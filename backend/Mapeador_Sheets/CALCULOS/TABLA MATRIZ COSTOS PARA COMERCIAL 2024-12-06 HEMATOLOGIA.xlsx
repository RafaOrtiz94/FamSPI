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lus\Desktop\AlexF\Desktop\COORDINACION COMERCIAL\COSTOS\2024\"/>
    </mc:Choice>
  </mc:AlternateContent>
  <xr:revisionPtr revIDLastSave="0" documentId="13_ncr:1_{84E3323D-8398-439F-8A3E-B3396EEFDF9F}" xr6:coauthVersionLast="47" xr6:coauthVersionMax="47" xr10:uidLastSave="{00000000-0000-0000-0000-000000000000}"/>
  <bookViews>
    <workbookView xWindow="-98" yWindow="-98" windowWidth="21795" windowHeight="13875" firstSheet="3" activeTab="5" xr2:uid="{FCDFB5CE-C695-439E-80C2-885CCB4A5BD6}"/>
  </bookViews>
  <sheets>
    <sheet name="BC" sheetId="5" r:id="rId1"/>
    <sheet name="BIOMETRIA HEMATICA" sheetId="1" r:id="rId2"/>
    <sheet name="DETERMINACION XP-300" sheetId="2" r:id="rId3"/>
    <sheet name="PRUEBA EFECTIVA XP-300" sheetId="3" r:id="rId4"/>
    <sheet name="COMODATO TODO COMPRADO XP-300" sheetId="4" r:id="rId5"/>
    <sheet name="DETERMINACION XN" sheetId="6" r:id="rId6"/>
    <sheet name="PRUEBA EFECTIVA XN" sheetId="7" r:id="rId7"/>
    <sheet name="COMODATO TODO COMPRADO XN" sheetId="8" r:id="rId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79" i="6" l="1"/>
  <c r="O3" i="6"/>
  <c r="Q92" i="8"/>
  <c r="M105" i="8"/>
  <c r="L108" i="8" l="1"/>
  <c r="H168" i="8"/>
  <c r="F168" i="8"/>
  <c r="G168" i="8" s="1"/>
  <c r="I168" i="8" s="1"/>
  <c r="K168" i="8" s="1"/>
  <c r="M168" i="8" s="1"/>
  <c r="H167" i="8"/>
  <c r="F167" i="8"/>
  <c r="G167" i="8" s="1"/>
  <c r="H139" i="8"/>
  <c r="H140" i="8"/>
  <c r="H141" i="8"/>
  <c r="H142" i="8"/>
  <c r="G141" i="8"/>
  <c r="F138" i="8"/>
  <c r="F139" i="8"/>
  <c r="G139" i="8" s="1"/>
  <c r="F140" i="8"/>
  <c r="G140" i="8" s="1"/>
  <c r="F141" i="8"/>
  <c r="F142" i="8"/>
  <c r="G142" i="8" s="1"/>
  <c r="F143" i="8"/>
  <c r="F144" i="8"/>
  <c r="H123" i="7"/>
  <c r="F123" i="7"/>
  <c r="G123" i="7" s="1"/>
  <c r="I123" i="7" s="1"/>
  <c r="K123" i="7" s="1"/>
  <c r="M123" i="7" s="1"/>
  <c r="H122" i="7"/>
  <c r="F122" i="7"/>
  <c r="G122" i="7" s="1"/>
  <c r="F145" i="7"/>
  <c r="G145" i="7" s="1"/>
  <c r="F146" i="7"/>
  <c r="G146" i="7" s="1"/>
  <c r="H146" i="7"/>
  <c r="H145" i="7"/>
  <c r="H146" i="6"/>
  <c r="F146" i="6"/>
  <c r="G146" i="6" s="1"/>
  <c r="I146" i="6" s="1"/>
  <c r="K146" i="6" s="1"/>
  <c r="M146" i="6" s="1"/>
  <c r="H145" i="6"/>
  <c r="F145" i="6"/>
  <c r="G145" i="6" s="1"/>
  <c r="H122" i="6"/>
  <c r="H123" i="6"/>
  <c r="F122" i="6"/>
  <c r="G122" i="6" s="1"/>
  <c r="F123" i="6"/>
  <c r="G123" i="6" s="1"/>
  <c r="I123" i="6" s="1"/>
  <c r="K123" i="6" s="1"/>
  <c r="M123" i="6" s="1"/>
  <c r="I122" i="6" l="1"/>
  <c r="K122" i="6" s="1"/>
  <c r="M122" i="6" s="1"/>
  <c r="I145" i="6"/>
  <c r="K145" i="6" s="1"/>
  <c r="M145" i="6" s="1"/>
  <c r="I122" i="7"/>
  <c r="K122" i="7" s="1"/>
  <c r="M122" i="7" s="1"/>
  <c r="I167" i="8"/>
  <c r="K167" i="8" s="1"/>
  <c r="M167" i="8" s="1"/>
  <c r="I141" i="8"/>
  <c r="K141" i="8" s="1"/>
  <c r="M141" i="8" s="1"/>
  <c r="I142" i="8"/>
  <c r="K142" i="8" s="1"/>
  <c r="M142" i="8" s="1"/>
  <c r="I145" i="7"/>
  <c r="K145" i="7" s="1"/>
  <c r="M145" i="7" s="1"/>
  <c r="I146" i="7"/>
  <c r="K146" i="7" s="1"/>
  <c r="M146" i="7" s="1"/>
  <c r="F175" i="8" l="1"/>
  <c r="F174" i="8"/>
  <c r="F173" i="8"/>
  <c r="F172" i="8"/>
  <c r="F171" i="8"/>
  <c r="F163" i="8"/>
  <c r="F164" i="8"/>
  <c r="F165" i="8"/>
  <c r="F166" i="8"/>
  <c r="F169" i="8"/>
  <c r="F170" i="8"/>
  <c r="F162" i="8"/>
  <c r="F149" i="8"/>
  <c r="F148" i="8"/>
  <c r="F147" i="8"/>
  <c r="F146" i="8"/>
  <c r="F145" i="8"/>
  <c r="F137" i="8"/>
  <c r="F136" i="8"/>
  <c r="F123" i="8"/>
  <c r="F122" i="8"/>
  <c r="F121" i="8"/>
  <c r="F120" i="8"/>
  <c r="F119" i="8"/>
  <c r="F118" i="8"/>
  <c r="F117" i="8"/>
  <c r="F116" i="8"/>
  <c r="F115" i="8"/>
  <c r="F114" i="8"/>
  <c r="F101" i="8"/>
  <c r="F100" i="8"/>
  <c r="F99" i="8"/>
  <c r="F98" i="8"/>
  <c r="F97" i="8"/>
  <c r="F96" i="8"/>
  <c r="F95" i="8"/>
  <c r="F94" i="8"/>
  <c r="F93" i="8"/>
  <c r="F92" i="8"/>
  <c r="F79" i="8"/>
  <c r="F78" i="8"/>
  <c r="F77" i="8"/>
  <c r="F76" i="8"/>
  <c r="F75" i="8"/>
  <c r="F74" i="8"/>
  <c r="F73" i="8"/>
  <c r="F72" i="8"/>
  <c r="F71" i="8"/>
  <c r="F70" i="8"/>
  <c r="F57" i="8"/>
  <c r="F56" i="8"/>
  <c r="F55" i="8"/>
  <c r="F54" i="8"/>
  <c r="F53" i="8"/>
  <c r="F52" i="8"/>
  <c r="F51" i="8"/>
  <c r="F50" i="8"/>
  <c r="F49" i="8"/>
  <c r="F48" i="8"/>
  <c r="F35" i="8"/>
  <c r="F34" i="8"/>
  <c r="F33" i="8"/>
  <c r="F32" i="8"/>
  <c r="F31" i="8"/>
  <c r="F30" i="8"/>
  <c r="F29" i="8"/>
  <c r="F28" i="8"/>
  <c r="F27" i="8"/>
  <c r="F26" i="8"/>
  <c r="F12" i="8"/>
  <c r="F11" i="8"/>
  <c r="F10" i="8"/>
  <c r="F4" i="8"/>
  <c r="F5" i="8"/>
  <c r="F6" i="8"/>
  <c r="F7" i="8"/>
  <c r="F8" i="8"/>
  <c r="F9" i="8"/>
  <c r="F3" i="8"/>
  <c r="F141" i="7"/>
  <c r="F142" i="7"/>
  <c r="F143" i="7"/>
  <c r="F144" i="7"/>
  <c r="F147" i="7"/>
  <c r="F148" i="7"/>
  <c r="F140" i="7"/>
  <c r="F118" i="7"/>
  <c r="F119" i="7"/>
  <c r="F120" i="7"/>
  <c r="F121" i="7"/>
  <c r="F124" i="7"/>
  <c r="F125" i="7"/>
  <c r="F117" i="7"/>
  <c r="F99" i="7"/>
  <c r="F100" i="7"/>
  <c r="F101" i="7"/>
  <c r="F102" i="7"/>
  <c r="F103" i="7"/>
  <c r="F104" i="7"/>
  <c r="F98" i="7"/>
  <c r="F80" i="7"/>
  <c r="F81" i="7"/>
  <c r="F82" i="7"/>
  <c r="F83" i="7"/>
  <c r="F84" i="7"/>
  <c r="F85" i="7"/>
  <c r="F79" i="7"/>
  <c r="F61" i="7"/>
  <c r="F62" i="7"/>
  <c r="F63" i="7"/>
  <c r="F64" i="7"/>
  <c r="F65" i="7"/>
  <c r="F66" i="7"/>
  <c r="F60" i="7"/>
  <c r="F42" i="7"/>
  <c r="F43" i="7"/>
  <c r="F44" i="7"/>
  <c r="F45" i="7"/>
  <c r="F46" i="7"/>
  <c r="F47" i="7"/>
  <c r="F41" i="7"/>
  <c r="F23" i="7"/>
  <c r="F24" i="7"/>
  <c r="F25" i="7"/>
  <c r="F26" i="7"/>
  <c r="F27" i="7"/>
  <c r="F28" i="7"/>
  <c r="F22" i="7"/>
  <c r="F4" i="7"/>
  <c r="F5" i="7"/>
  <c r="F6" i="7"/>
  <c r="F7" i="7"/>
  <c r="F8" i="7"/>
  <c r="F9" i="7"/>
  <c r="F3" i="7"/>
  <c r="F141" i="6"/>
  <c r="F142" i="6"/>
  <c r="F143" i="6"/>
  <c r="F144" i="6"/>
  <c r="F147" i="6"/>
  <c r="F148" i="6"/>
  <c r="F140" i="6"/>
  <c r="F118" i="6"/>
  <c r="F119" i="6"/>
  <c r="F120" i="6"/>
  <c r="F121" i="6"/>
  <c r="F124" i="6"/>
  <c r="F125" i="6"/>
  <c r="F117" i="6"/>
  <c r="F99" i="6"/>
  <c r="F100" i="6"/>
  <c r="F101" i="6"/>
  <c r="F102" i="6"/>
  <c r="F103" i="6"/>
  <c r="F104" i="6"/>
  <c r="F98" i="6"/>
  <c r="F80" i="6"/>
  <c r="F81" i="6"/>
  <c r="F82" i="6"/>
  <c r="F83" i="6"/>
  <c r="F84" i="6"/>
  <c r="F85" i="6"/>
  <c r="F79" i="6"/>
  <c r="F61" i="6"/>
  <c r="F62" i="6"/>
  <c r="F63" i="6"/>
  <c r="F64" i="6"/>
  <c r="F65" i="6"/>
  <c r="F66" i="6"/>
  <c r="F60" i="6"/>
  <c r="F42" i="6"/>
  <c r="F43" i="6"/>
  <c r="F44" i="6"/>
  <c r="F45" i="6"/>
  <c r="F46" i="6"/>
  <c r="F47" i="6"/>
  <c r="F41" i="6"/>
  <c r="F23" i="6"/>
  <c r="F24" i="6"/>
  <c r="F25" i="6"/>
  <c r="F26" i="6"/>
  <c r="F27" i="6"/>
  <c r="F28" i="6"/>
  <c r="F22" i="6"/>
  <c r="F4" i="6"/>
  <c r="F5" i="6"/>
  <c r="F6" i="6"/>
  <c r="F7" i="6"/>
  <c r="F8" i="6"/>
  <c r="F9" i="6"/>
  <c r="F3" i="6"/>
  <c r="K177" i="8" l="1"/>
  <c r="H175" i="8"/>
  <c r="H174" i="8"/>
  <c r="G174" i="8"/>
  <c r="H173" i="8"/>
  <c r="G173" i="8"/>
  <c r="H172" i="8"/>
  <c r="G172" i="8"/>
  <c r="H171" i="8"/>
  <c r="G171" i="8"/>
  <c r="H170" i="8"/>
  <c r="H169" i="8"/>
  <c r="H166" i="8"/>
  <c r="G166" i="8"/>
  <c r="H165" i="8"/>
  <c r="G165" i="8"/>
  <c r="H164" i="8"/>
  <c r="G164" i="8"/>
  <c r="H163" i="8"/>
  <c r="G163" i="8"/>
  <c r="H162" i="8"/>
  <c r="K151" i="8"/>
  <c r="M152" i="8" s="1"/>
  <c r="H149" i="8"/>
  <c r="H148" i="8"/>
  <c r="G148" i="8"/>
  <c r="J148" i="8" s="1"/>
  <c r="H147" i="8"/>
  <c r="G147" i="8"/>
  <c r="H146" i="8"/>
  <c r="G146" i="8"/>
  <c r="J146" i="8" s="1"/>
  <c r="H145" i="8"/>
  <c r="G145" i="8"/>
  <c r="H144" i="8"/>
  <c r="H143" i="8"/>
  <c r="H138" i="8"/>
  <c r="G138" i="8"/>
  <c r="H137" i="8"/>
  <c r="G137" i="8"/>
  <c r="H136" i="8"/>
  <c r="G136" i="8"/>
  <c r="K125" i="8"/>
  <c r="M126" i="8" s="1"/>
  <c r="H123" i="8"/>
  <c r="H122" i="8"/>
  <c r="G122" i="8"/>
  <c r="H121" i="8"/>
  <c r="G121" i="8"/>
  <c r="J121" i="8" s="1"/>
  <c r="H120" i="8"/>
  <c r="H119" i="8"/>
  <c r="H118" i="8"/>
  <c r="G118" i="8"/>
  <c r="H117" i="8"/>
  <c r="G117" i="8"/>
  <c r="H116" i="8"/>
  <c r="G116" i="8"/>
  <c r="H115" i="8"/>
  <c r="G115" i="8"/>
  <c r="H114" i="8"/>
  <c r="D120" i="8"/>
  <c r="K103" i="8"/>
  <c r="H101" i="8"/>
  <c r="H100" i="8"/>
  <c r="G100" i="8"/>
  <c r="H99" i="8"/>
  <c r="G99" i="8"/>
  <c r="J99" i="8" s="1"/>
  <c r="H98" i="8"/>
  <c r="H97" i="8"/>
  <c r="H96" i="8"/>
  <c r="G96" i="8"/>
  <c r="H95" i="8"/>
  <c r="G95" i="8"/>
  <c r="H94" i="8"/>
  <c r="G94" i="8"/>
  <c r="H93" i="8"/>
  <c r="G93" i="8"/>
  <c r="H92" i="8"/>
  <c r="D98" i="8"/>
  <c r="K81" i="8"/>
  <c r="H79" i="8"/>
  <c r="H78" i="8"/>
  <c r="G78" i="8"/>
  <c r="H77" i="8"/>
  <c r="G77" i="8"/>
  <c r="H76" i="8"/>
  <c r="H75" i="8"/>
  <c r="H74" i="8"/>
  <c r="G74" i="8"/>
  <c r="H73" i="8"/>
  <c r="G73" i="8"/>
  <c r="H72" i="8"/>
  <c r="G72" i="8"/>
  <c r="H71" i="8"/>
  <c r="G71" i="8"/>
  <c r="H70" i="8"/>
  <c r="D79" i="8"/>
  <c r="K59" i="8"/>
  <c r="H57" i="8"/>
  <c r="H56" i="8"/>
  <c r="G56" i="8"/>
  <c r="J56" i="8" s="1"/>
  <c r="H55" i="8"/>
  <c r="G55" i="8"/>
  <c r="H54" i="8"/>
  <c r="H53" i="8"/>
  <c r="H52" i="8"/>
  <c r="G52" i="8"/>
  <c r="H51" i="8"/>
  <c r="G51" i="8"/>
  <c r="H50" i="8"/>
  <c r="G50" i="8"/>
  <c r="H49" i="8"/>
  <c r="G49" i="8"/>
  <c r="H48" i="8"/>
  <c r="D54" i="8"/>
  <c r="K37" i="8"/>
  <c r="H35" i="8"/>
  <c r="H34" i="8"/>
  <c r="G34" i="8"/>
  <c r="H33" i="8"/>
  <c r="G33" i="8"/>
  <c r="J33" i="8" s="1"/>
  <c r="H32" i="8"/>
  <c r="H31" i="8"/>
  <c r="H30" i="8"/>
  <c r="G30" i="8"/>
  <c r="H29" i="8"/>
  <c r="G29" i="8"/>
  <c r="H28" i="8"/>
  <c r="G28" i="8"/>
  <c r="H27" i="8"/>
  <c r="G27" i="8"/>
  <c r="H26" i="8"/>
  <c r="D32" i="8"/>
  <c r="K14" i="8"/>
  <c r="M15" i="8" s="1"/>
  <c r="H12" i="8"/>
  <c r="H11" i="8"/>
  <c r="G11" i="8"/>
  <c r="J11" i="8" s="1"/>
  <c r="H10" i="8"/>
  <c r="G10" i="8"/>
  <c r="H9" i="8"/>
  <c r="H8" i="8"/>
  <c r="H7" i="8"/>
  <c r="G7" i="8"/>
  <c r="H6" i="8"/>
  <c r="G6" i="8"/>
  <c r="H5" i="8"/>
  <c r="G5" i="8"/>
  <c r="H4" i="8"/>
  <c r="G4" i="8"/>
  <c r="H3" i="8"/>
  <c r="D9" i="8"/>
  <c r="F153" i="7"/>
  <c r="F152" i="7"/>
  <c r="G152" i="7" s="1"/>
  <c r="F151" i="7"/>
  <c r="G151" i="7" s="1"/>
  <c r="F150" i="7"/>
  <c r="G150" i="7" s="1"/>
  <c r="F149" i="7"/>
  <c r="G149" i="7" s="1"/>
  <c r="G141" i="7"/>
  <c r="G142" i="7"/>
  <c r="G143" i="7"/>
  <c r="G144" i="7"/>
  <c r="D147" i="7"/>
  <c r="F130" i="7"/>
  <c r="F129" i="7"/>
  <c r="F128" i="7"/>
  <c r="G128" i="7" s="1"/>
  <c r="F127" i="7"/>
  <c r="G127" i="7" s="1"/>
  <c r="F126" i="7"/>
  <c r="G126" i="7" s="1"/>
  <c r="G118" i="7"/>
  <c r="G119" i="7"/>
  <c r="G120" i="7"/>
  <c r="G121" i="7"/>
  <c r="D124" i="7"/>
  <c r="F107" i="7"/>
  <c r="F106" i="7"/>
  <c r="G106" i="7" s="1"/>
  <c r="F105" i="7"/>
  <c r="G105" i="7" s="1"/>
  <c r="G99" i="7"/>
  <c r="G100" i="7"/>
  <c r="G101" i="7"/>
  <c r="G102" i="7"/>
  <c r="G98" i="7"/>
  <c r="F88" i="7"/>
  <c r="F87" i="7"/>
  <c r="G87" i="7" s="1"/>
  <c r="F86" i="7"/>
  <c r="G86" i="7" s="1"/>
  <c r="G80" i="7"/>
  <c r="G81" i="7"/>
  <c r="G82" i="7"/>
  <c r="G83" i="7"/>
  <c r="D84" i="7"/>
  <c r="F69" i="7"/>
  <c r="F68" i="7"/>
  <c r="G68" i="7" s="1"/>
  <c r="F67" i="7"/>
  <c r="G67" i="7" s="1"/>
  <c r="J67" i="7" s="1"/>
  <c r="G61" i="7"/>
  <c r="G62" i="7"/>
  <c r="G63" i="7"/>
  <c r="G64" i="7"/>
  <c r="G60" i="7"/>
  <c r="F50" i="7"/>
  <c r="F49" i="7"/>
  <c r="G49" i="7" s="1"/>
  <c r="F48" i="7"/>
  <c r="G48" i="7" s="1"/>
  <c r="G42" i="7"/>
  <c r="G43" i="7"/>
  <c r="G44" i="7"/>
  <c r="G45" i="7"/>
  <c r="D46" i="7"/>
  <c r="F31" i="7"/>
  <c r="F30" i="7"/>
  <c r="G30" i="7" s="1"/>
  <c r="F29" i="7"/>
  <c r="G29" i="7" s="1"/>
  <c r="G23" i="7"/>
  <c r="G24" i="7"/>
  <c r="G25" i="7"/>
  <c r="G26" i="7"/>
  <c r="G22" i="7"/>
  <c r="F12" i="7"/>
  <c r="F11" i="7"/>
  <c r="G11" i="7" s="1"/>
  <c r="F10" i="7"/>
  <c r="G10" i="7" s="1"/>
  <c r="G4" i="7"/>
  <c r="G5" i="7"/>
  <c r="G6" i="7"/>
  <c r="G7" i="7"/>
  <c r="G3" i="7"/>
  <c r="K155" i="7"/>
  <c r="H153" i="7"/>
  <c r="H152" i="7"/>
  <c r="H151" i="7"/>
  <c r="H150" i="7"/>
  <c r="H149" i="7"/>
  <c r="H148" i="7"/>
  <c r="H147" i="7"/>
  <c r="H144" i="7"/>
  <c r="H143" i="7"/>
  <c r="H142" i="7"/>
  <c r="H141" i="7"/>
  <c r="H140" i="7"/>
  <c r="K132" i="7"/>
  <c r="H130" i="7"/>
  <c r="H129" i="7"/>
  <c r="G129" i="7"/>
  <c r="H128" i="7"/>
  <c r="H127" i="7"/>
  <c r="H126" i="7"/>
  <c r="H125" i="7"/>
  <c r="H124" i="7"/>
  <c r="H121" i="7"/>
  <c r="H120" i="7"/>
  <c r="H119" i="7"/>
  <c r="H118" i="7"/>
  <c r="H117" i="7"/>
  <c r="K109" i="7"/>
  <c r="H107" i="7"/>
  <c r="H106" i="7"/>
  <c r="H105" i="7"/>
  <c r="H104" i="7"/>
  <c r="H103" i="7"/>
  <c r="H102" i="7"/>
  <c r="H101" i="7"/>
  <c r="H100" i="7"/>
  <c r="H99" i="7"/>
  <c r="H98" i="7"/>
  <c r="K90" i="7"/>
  <c r="H88" i="7"/>
  <c r="H87" i="7"/>
  <c r="H86" i="7"/>
  <c r="H85" i="7"/>
  <c r="H84" i="7"/>
  <c r="H83" i="7"/>
  <c r="H82" i="7"/>
  <c r="H81" i="7"/>
  <c r="H80" i="7"/>
  <c r="H79" i="7"/>
  <c r="K71" i="7"/>
  <c r="H69" i="7"/>
  <c r="H68" i="7"/>
  <c r="H67" i="7"/>
  <c r="H66" i="7"/>
  <c r="H65" i="7"/>
  <c r="H64" i="7"/>
  <c r="H63" i="7"/>
  <c r="H62" i="7"/>
  <c r="H61" i="7"/>
  <c r="H60" i="7"/>
  <c r="K52" i="7"/>
  <c r="H50" i="7"/>
  <c r="H49" i="7"/>
  <c r="H48" i="7"/>
  <c r="H47" i="7"/>
  <c r="H46" i="7"/>
  <c r="H45" i="7"/>
  <c r="H44" i="7"/>
  <c r="H43" i="7"/>
  <c r="H42" i="7"/>
  <c r="H41" i="7"/>
  <c r="K33" i="7"/>
  <c r="H31" i="7"/>
  <c r="H30" i="7"/>
  <c r="H29" i="7"/>
  <c r="H28" i="7"/>
  <c r="H27" i="7"/>
  <c r="H26" i="7"/>
  <c r="H25" i="7"/>
  <c r="H24" i="7"/>
  <c r="H23" i="7"/>
  <c r="H22" i="7"/>
  <c r="K14" i="7"/>
  <c r="H12" i="7"/>
  <c r="H11" i="7"/>
  <c r="H10" i="7"/>
  <c r="H9" i="7"/>
  <c r="H8" i="7"/>
  <c r="H7" i="7"/>
  <c r="H6" i="7"/>
  <c r="H5" i="7"/>
  <c r="H4" i="7"/>
  <c r="H3" i="7"/>
  <c r="M61" i="8" l="1"/>
  <c r="M60" i="8"/>
  <c r="M179" i="8"/>
  <c r="M178" i="8"/>
  <c r="M83" i="8"/>
  <c r="M82" i="8"/>
  <c r="M39" i="8"/>
  <c r="M38" i="8"/>
  <c r="M104" i="8"/>
  <c r="I149" i="7"/>
  <c r="K149" i="7" s="1"/>
  <c r="I48" i="7"/>
  <c r="K48" i="7" s="1"/>
  <c r="M48" i="7" s="1"/>
  <c r="I152" i="7"/>
  <c r="K152" i="7" s="1"/>
  <c r="M152" i="7" s="1"/>
  <c r="I83" i="7"/>
  <c r="K83" i="7" s="1"/>
  <c r="M83" i="7" s="1"/>
  <c r="M92" i="7"/>
  <c r="M91" i="7"/>
  <c r="M157" i="7"/>
  <c r="M156" i="7"/>
  <c r="M110" i="7"/>
  <c r="M111" i="7"/>
  <c r="M134" i="7"/>
  <c r="M133" i="7"/>
  <c r="M15" i="7"/>
  <c r="M16" i="7"/>
  <c r="M54" i="7"/>
  <c r="M53" i="7"/>
  <c r="M73" i="7"/>
  <c r="M72" i="7"/>
  <c r="M35" i="7"/>
  <c r="M34" i="7"/>
  <c r="P155" i="8"/>
  <c r="M153" i="8"/>
  <c r="P181" i="8"/>
  <c r="I34" i="8"/>
  <c r="P129" i="8"/>
  <c r="M127" i="8"/>
  <c r="P107" i="8"/>
  <c r="I139" i="8"/>
  <c r="K139" i="8" s="1"/>
  <c r="M139" i="8" s="1"/>
  <c r="I145" i="8"/>
  <c r="P85" i="8"/>
  <c r="I137" i="8"/>
  <c r="P63" i="8"/>
  <c r="P18" i="8"/>
  <c r="M16" i="8"/>
  <c r="P41" i="8"/>
  <c r="I74" i="8"/>
  <c r="K74" i="8" s="1"/>
  <c r="M74" i="8" s="1"/>
  <c r="I78" i="8"/>
  <c r="I116" i="8"/>
  <c r="I147" i="8"/>
  <c r="I138" i="8"/>
  <c r="I51" i="8"/>
  <c r="K51" i="8" s="1"/>
  <c r="M51" i="8" s="1"/>
  <c r="J172" i="8"/>
  <c r="I96" i="8"/>
  <c r="K96" i="8" s="1"/>
  <c r="M96" i="8" s="1"/>
  <c r="J151" i="7"/>
  <c r="J149" i="7"/>
  <c r="J150" i="7"/>
  <c r="J127" i="7"/>
  <c r="J126" i="7"/>
  <c r="J145" i="8"/>
  <c r="J171" i="8"/>
  <c r="I61" i="7"/>
  <c r="K61" i="7" s="1"/>
  <c r="N61" i="7" s="1"/>
  <c r="I143" i="7"/>
  <c r="K143" i="7" s="1"/>
  <c r="M143" i="7" s="1"/>
  <c r="I7" i="8"/>
  <c r="K7" i="8" s="1"/>
  <c r="M7" i="8" s="1"/>
  <c r="I73" i="8"/>
  <c r="K73" i="8" s="1"/>
  <c r="M73" i="8" s="1"/>
  <c r="I77" i="8"/>
  <c r="I164" i="8"/>
  <c r="K164" i="8" s="1"/>
  <c r="I174" i="8"/>
  <c r="I141" i="7"/>
  <c r="K141" i="7" s="1"/>
  <c r="N141" i="7" s="1"/>
  <c r="I117" i="8"/>
  <c r="K117" i="8" s="1"/>
  <c r="M117" i="8" s="1"/>
  <c r="I128" i="7"/>
  <c r="K128" i="7" s="1"/>
  <c r="M128" i="7" s="1"/>
  <c r="I11" i="7"/>
  <c r="K11" i="7" s="1"/>
  <c r="M11" i="7" s="1"/>
  <c r="I23" i="7"/>
  <c r="K23" i="7" s="1"/>
  <c r="M23" i="7" s="1"/>
  <c r="I44" i="7"/>
  <c r="K44" i="7" s="1"/>
  <c r="M44" i="7" s="1"/>
  <c r="I5" i="8"/>
  <c r="K5" i="8" s="1"/>
  <c r="I52" i="8"/>
  <c r="K52" i="8" s="1"/>
  <c r="M52" i="8" s="1"/>
  <c r="I166" i="8"/>
  <c r="K166" i="8" s="1"/>
  <c r="M166" i="8" s="1"/>
  <c r="I172" i="8"/>
  <c r="I22" i="7"/>
  <c r="K22" i="7" s="1"/>
  <c r="M22" i="7" s="1"/>
  <c r="I63" i="7"/>
  <c r="K63" i="7" s="1"/>
  <c r="M63" i="7" s="1"/>
  <c r="I98" i="7"/>
  <c r="K98" i="7" s="1"/>
  <c r="M98" i="7" s="1"/>
  <c r="I118" i="7"/>
  <c r="K118" i="7" s="1"/>
  <c r="M118" i="7" s="1"/>
  <c r="I6" i="8"/>
  <c r="K6" i="8" s="1"/>
  <c r="M6" i="8" s="1"/>
  <c r="I10" i="8"/>
  <c r="I30" i="8"/>
  <c r="I49" i="8"/>
  <c r="I72" i="8"/>
  <c r="I122" i="8"/>
  <c r="I163" i="8"/>
  <c r="K163" i="8" s="1"/>
  <c r="I173" i="8"/>
  <c r="I42" i="7"/>
  <c r="K42" i="7" s="1"/>
  <c r="N42" i="7" s="1"/>
  <c r="I120" i="7"/>
  <c r="K120" i="7" s="1"/>
  <c r="M120" i="7" s="1"/>
  <c r="I68" i="7"/>
  <c r="K68" i="7" s="1"/>
  <c r="M68" i="7" s="1"/>
  <c r="I87" i="7"/>
  <c r="K87" i="7" s="1"/>
  <c r="M87" i="7" s="1"/>
  <c r="I100" i="7"/>
  <c r="K100" i="7" s="1"/>
  <c r="M100" i="7" s="1"/>
  <c r="I106" i="7"/>
  <c r="K106" i="7" s="1"/>
  <c r="M106" i="7" s="1"/>
  <c r="I127" i="7"/>
  <c r="I43" i="7"/>
  <c r="K43" i="7" s="1"/>
  <c r="N43" i="7" s="1"/>
  <c r="I64" i="7"/>
  <c r="K64" i="7" s="1"/>
  <c r="M64" i="7" s="1"/>
  <c r="I119" i="7"/>
  <c r="K119" i="7" s="1"/>
  <c r="N119" i="7" s="1"/>
  <c r="I151" i="7"/>
  <c r="K151" i="7" s="1"/>
  <c r="M151" i="7" s="1"/>
  <c r="I29" i="8"/>
  <c r="K29" i="8" s="1"/>
  <c r="M29" i="8" s="1"/>
  <c r="I115" i="8"/>
  <c r="I129" i="7"/>
  <c r="K129" i="7" s="1"/>
  <c r="M129" i="7" s="1"/>
  <c r="I142" i="7"/>
  <c r="K142" i="7" s="1"/>
  <c r="N142" i="7" s="1"/>
  <c r="I150" i="7"/>
  <c r="I5" i="7"/>
  <c r="K5" i="7" s="1"/>
  <c r="M5" i="7" s="1"/>
  <c r="I26" i="7"/>
  <c r="K26" i="7" s="1"/>
  <c r="M26" i="7" s="1"/>
  <c r="I81" i="7"/>
  <c r="K81" i="7" s="1"/>
  <c r="N81" i="7" s="1"/>
  <c r="I102" i="7"/>
  <c r="K102" i="7" s="1"/>
  <c r="M102" i="7" s="1"/>
  <c r="I27" i="8"/>
  <c r="I144" i="7"/>
  <c r="K144" i="7" s="1"/>
  <c r="M144" i="7" s="1"/>
  <c r="I6" i="7"/>
  <c r="K6" i="7" s="1"/>
  <c r="M6" i="7" s="1"/>
  <c r="I82" i="7"/>
  <c r="K82" i="7" s="1"/>
  <c r="M82" i="7" s="1"/>
  <c r="I4" i="7"/>
  <c r="K4" i="7" s="1"/>
  <c r="N4" i="7" s="1"/>
  <c r="I25" i="7"/>
  <c r="K25" i="7" s="1"/>
  <c r="M25" i="7" s="1"/>
  <c r="I60" i="7"/>
  <c r="K60" i="7" s="1"/>
  <c r="M60" i="7" s="1"/>
  <c r="I80" i="7"/>
  <c r="K80" i="7" s="1"/>
  <c r="N80" i="7" s="1"/>
  <c r="I101" i="7"/>
  <c r="K101" i="7" s="1"/>
  <c r="M101" i="7" s="1"/>
  <c r="I95" i="8"/>
  <c r="K95" i="8" s="1"/>
  <c r="M95" i="8" s="1"/>
  <c r="I136" i="8"/>
  <c r="K136" i="8" s="1"/>
  <c r="M136" i="8" s="1"/>
  <c r="I140" i="8"/>
  <c r="K140" i="8" s="1"/>
  <c r="M140" i="8" s="1"/>
  <c r="I146" i="8"/>
  <c r="I165" i="8"/>
  <c r="K165" i="8" s="1"/>
  <c r="M165" i="8" s="1"/>
  <c r="I171" i="8"/>
  <c r="I7" i="7"/>
  <c r="K7" i="7" s="1"/>
  <c r="M7" i="7" s="1"/>
  <c r="I62" i="7"/>
  <c r="K62" i="7" s="1"/>
  <c r="N62" i="7" s="1"/>
  <c r="I67" i="7"/>
  <c r="K67" i="7" s="1"/>
  <c r="M67" i="7" s="1"/>
  <c r="I105" i="7"/>
  <c r="K105" i="7" s="1"/>
  <c r="M105" i="7" s="1"/>
  <c r="I126" i="7"/>
  <c r="I3" i="7"/>
  <c r="K3" i="7" s="1"/>
  <c r="M3" i="7" s="1"/>
  <c r="I24" i="7"/>
  <c r="K24" i="7" s="1"/>
  <c r="N24" i="7" s="1"/>
  <c r="I45" i="7"/>
  <c r="K45" i="7" s="1"/>
  <c r="M45" i="7" s="1"/>
  <c r="I86" i="7"/>
  <c r="K86" i="7" s="1"/>
  <c r="M86" i="7" s="1"/>
  <c r="I121" i="7"/>
  <c r="K121" i="7" s="1"/>
  <c r="M121" i="7" s="1"/>
  <c r="I118" i="8"/>
  <c r="K118" i="8" s="1"/>
  <c r="M118" i="8" s="1"/>
  <c r="I99" i="7"/>
  <c r="K99" i="7" s="1"/>
  <c r="N99" i="7" s="1"/>
  <c r="I49" i="7"/>
  <c r="K49" i="7" s="1"/>
  <c r="M49" i="7" s="1"/>
  <c r="J49" i="7"/>
  <c r="I10" i="7"/>
  <c r="K10" i="7" s="1"/>
  <c r="M10" i="7" s="1"/>
  <c r="J10" i="7"/>
  <c r="I29" i="7"/>
  <c r="K29" i="7" s="1"/>
  <c r="M29" i="7" s="1"/>
  <c r="J29" i="7"/>
  <c r="I30" i="7"/>
  <c r="K30" i="7" s="1"/>
  <c r="M30" i="7" s="1"/>
  <c r="J30" i="7"/>
  <c r="I100" i="8"/>
  <c r="J100" i="8"/>
  <c r="D8" i="7"/>
  <c r="G8" i="7" s="1"/>
  <c r="I8" i="7" s="1"/>
  <c r="K8" i="7" s="1"/>
  <c r="M8" i="7" s="1"/>
  <c r="I148" i="8"/>
  <c r="J55" i="8"/>
  <c r="J122" i="8"/>
  <c r="J68" i="7"/>
  <c r="J128" i="7"/>
  <c r="J152" i="7"/>
  <c r="I33" i="8"/>
  <c r="K33" i="8" s="1"/>
  <c r="I121" i="8"/>
  <c r="K121" i="8" s="1"/>
  <c r="J11" i="7"/>
  <c r="J105" i="7"/>
  <c r="J129" i="7"/>
  <c r="J48" i="7"/>
  <c r="J106" i="7"/>
  <c r="J34" i="8"/>
  <c r="J77" i="8"/>
  <c r="J173" i="8"/>
  <c r="J86" i="7"/>
  <c r="J10" i="8"/>
  <c r="J78" i="8"/>
  <c r="J147" i="8"/>
  <c r="J174" i="8"/>
  <c r="J87" i="7"/>
  <c r="M149" i="7"/>
  <c r="G79" i="8"/>
  <c r="I79" i="8" s="1"/>
  <c r="D69" i="7"/>
  <c r="G69" i="7" s="1"/>
  <c r="I69" i="7" s="1"/>
  <c r="K69" i="7" s="1"/>
  <c r="M69" i="7" s="1"/>
  <c r="G120" i="8"/>
  <c r="I120" i="8" s="1"/>
  <c r="K120" i="8" s="1"/>
  <c r="M120" i="8" s="1"/>
  <c r="G32" i="8"/>
  <c r="I32" i="8" s="1"/>
  <c r="D31" i="7"/>
  <c r="G31" i="7" s="1"/>
  <c r="I31" i="7" s="1"/>
  <c r="K31" i="7" s="1"/>
  <c r="M31" i="7" s="1"/>
  <c r="D12" i="8"/>
  <c r="G12" i="8" s="1"/>
  <c r="I71" i="8"/>
  <c r="D97" i="8"/>
  <c r="G97" i="8" s="1"/>
  <c r="I97" i="8" s="1"/>
  <c r="D107" i="7"/>
  <c r="G107" i="7" s="1"/>
  <c r="J107" i="7" s="1"/>
  <c r="G98" i="8"/>
  <c r="I98" i="8" s="1"/>
  <c r="M98" i="8" s="1"/>
  <c r="I28" i="8"/>
  <c r="D8" i="8"/>
  <c r="G8" i="8" s="1"/>
  <c r="I8" i="8" s="1"/>
  <c r="D170" i="8"/>
  <c r="G170" i="8" s="1"/>
  <c r="I170" i="8" s="1"/>
  <c r="D169" i="8"/>
  <c r="G169" i="8" s="1"/>
  <c r="I169" i="8" s="1"/>
  <c r="G54" i="8"/>
  <c r="I54" i="8" s="1"/>
  <c r="G3" i="8"/>
  <c r="I3" i="8" s="1"/>
  <c r="I4" i="8"/>
  <c r="K4" i="8" s="1"/>
  <c r="G26" i="8"/>
  <c r="I26" i="8" s="1"/>
  <c r="D31" i="8"/>
  <c r="G31" i="8" s="1"/>
  <c r="I31" i="8" s="1"/>
  <c r="K31" i="8" s="1"/>
  <c r="I56" i="8"/>
  <c r="K56" i="8" s="1"/>
  <c r="I94" i="8"/>
  <c r="K94" i="8" s="1"/>
  <c r="I99" i="8"/>
  <c r="D101" i="8"/>
  <c r="G101" i="8" s="1"/>
  <c r="I101" i="8" s="1"/>
  <c r="D144" i="8"/>
  <c r="G144" i="8" s="1"/>
  <c r="I144" i="8" s="1"/>
  <c r="D149" i="8"/>
  <c r="G149" i="8" s="1"/>
  <c r="D143" i="8"/>
  <c r="G143" i="8" s="1"/>
  <c r="I143" i="8" s="1"/>
  <c r="D175" i="8"/>
  <c r="G175" i="8" s="1"/>
  <c r="I175" i="8" s="1"/>
  <c r="K175" i="8" s="1"/>
  <c r="G70" i="8"/>
  <c r="I70" i="8" s="1"/>
  <c r="D75" i="8"/>
  <c r="G75" i="8" s="1"/>
  <c r="I75" i="8" s="1"/>
  <c r="G9" i="8"/>
  <c r="I9" i="8" s="1"/>
  <c r="D76" i="8"/>
  <c r="G76" i="8" s="1"/>
  <c r="I76" i="8" s="1"/>
  <c r="G92" i="8"/>
  <c r="I92" i="8" s="1"/>
  <c r="I93" i="8"/>
  <c r="G114" i="8"/>
  <c r="I114" i="8" s="1"/>
  <c r="D123" i="8"/>
  <c r="G123" i="8" s="1"/>
  <c r="J123" i="8" s="1"/>
  <c r="D119" i="8"/>
  <c r="G119" i="8" s="1"/>
  <c r="I119" i="8" s="1"/>
  <c r="G48" i="8"/>
  <c r="I48" i="8" s="1"/>
  <c r="G162" i="8"/>
  <c r="I162" i="8" s="1"/>
  <c r="D53" i="8"/>
  <c r="G53" i="8" s="1"/>
  <c r="I53" i="8" s="1"/>
  <c r="I11" i="8"/>
  <c r="K11" i="8" s="1"/>
  <c r="D35" i="8"/>
  <c r="G35" i="8" s="1"/>
  <c r="I35" i="8" s="1"/>
  <c r="K35" i="8" s="1"/>
  <c r="I50" i="8"/>
  <c r="K50" i="8" s="1"/>
  <c r="I55" i="8"/>
  <c r="K55" i="8" s="1"/>
  <c r="D57" i="8"/>
  <c r="G57" i="8" s="1"/>
  <c r="I57" i="8" s="1"/>
  <c r="K57" i="8" s="1"/>
  <c r="G147" i="7"/>
  <c r="I147" i="7" s="1"/>
  <c r="K147" i="7" s="1"/>
  <c r="M147" i="7" s="1"/>
  <c r="G124" i="7"/>
  <c r="I124" i="7" s="1"/>
  <c r="K124" i="7" s="1"/>
  <c r="M124" i="7" s="1"/>
  <c r="G84" i="7"/>
  <c r="I84" i="7" s="1"/>
  <c r="K84" i="7" s="1"/>
  <c r="M84" i="7" s="1"/>
  <c r="G46" i="7"/>
  <c r="I46" i="7" s="1"/>
  <c r="K46" i="7" s="1"/>
  <c r="M46" i="7" s="1"/>
  <c r="D9" i="7"/>
  <c r="G9" i="7" s="1"/>
  <c r="I9" i="7" s="1"/>
  <c r="K9" i="7" s="1"/>
  <c r="M9" i="7" s="1"/>
  <c r="D12" i="7"/>
  <c r="G12" i="7" s="1"/>
  <c r="D28" i="7"/>
  <c r="G28" i="7" s="1"/>
  <c r="I28" i="7" s="1"/>
  <c r="K28" i="7" s="1"/>
  <c r="M28" i="7" s="1"/>
  <c r="G41" i="7"/>
  <c r="I41" i="7" s="1"/>
  <c r="K41" i="7" s="1"/>
  <c r="M41" i="7" s="1"/>
  <c r="D66" i="7"/>
  <c r="G66" i="7" s="1"/>
  <c r="I66" i="7" s="1"/>
  <c r="K66" i="7" s="1"/>
  <c r="M66" i="7" s="1"/>
  <c r="G79" i="7"/>
  <c r="I79" i="7" s="1"/>
  <c r="K79" i="7" s="1"/>
  <c r="M79" i="7" s="1"/>
  <c r="D104" i="7"/>
  <c r="G104" i="7" s="1"/>
  <c r="I104" i="7" s="1"/>
  <c r="K104" i="7" s="1"/>
  <c r="M104" i="7" s="1"/>
  <c r="G117" i="7"/>
  <c r="I117" i="7" s="1"/>
  <c r="K117" i="7" s="1"/>
  <c r="M117" i="7" s="1"/>
  <c r="G140" i="7"/>
  <c r="I140" i="7" s="1"/>
  <c r="K140" i="7" s="1"/>
  <c r="M140" i="7" s="1"/>
  <c r="D88" i="7"/>
  <c r="G88" i="7" s="1"/>
  <c r="I88" i="7" s="1"/>
  <c r="K88" i="7" s="1"/>
  <c r="M88" i="7" s="1"/>
  <c r="D27" i="7"/>
  <c r="G27" i="7" s="1"/>
  <c r="I27" i="7" s="1"/>
  <c r="K27" i="7" s="1"/>
  <c r="M27" i="7" s="1"/>
  <c r="D65" i="7"/>
  <c r="G65" i="7" s="1"/>
  <c r="I65" i="7" s="1"/>
  <c r="K65" i="7" s="1"/>
  <c r="M65" i="7" s="1"/>
  <c r="D103" i="7"/>
  <c r="G103" i="7" s="1"/>
  <c r="I103" i="7" s="1"/>
  <c r="K103" i="7" s="1"/>
  <c r="M103" i="7" s="1"/>
  <c r="D50" i="7"/>
  <c r="G50" i="7" s="1"/>
  <c r="I50" i="7" s="1"/>
  <c r="K50" i="7" s="1"/>
  <c r="M50" i="7" s="1"/>
  <c r="D153" i="7"/>
  <c r="G153" i="7" s="1"/>
  <c r="I153" i="7" s="1"/>
  <c r="K153" i="7" s="1"/>
  <c r="M153" i="7" s="1"/>
  <c r="D130" i="7"/>
  <c r="G130" i="7" s="1"/>
  <c r="D47" i="7"/>
  <c r="G47" i="7" s="1"/>
  <c r="I47" i="7" s="1"/>
  <c r="K47" i="7" s="1"/>
  <c r="M47" i="7" s="1"/>
  <c r="D85" i="7"/>
  <c r="G85" i="7" s="1"/>
  <c r="I85" i="7" s="1"/>
  <c r="K85" i="7" s="1"/>
  <c r="M85" i="7" s="1"/>
  <c r="D125" i="7"/>
  <c r="G125" i="7" s="1"/>
  <c r="I125" i="7" s="1"/>
  <c r="K125" i="7" s="1"/>
  <c r="M125" i="7" s="1"/>
  <c r="D148" i="7"/>
  <c r="G148" i="7" s="1"/>
  <c r="I148" i="7" s="1"/>
  <c r="K148" i="7" s="1"/>
  <c r="M148" i="7" s="1"/>
  <c r="K172" i="8" l="1"/>
  <c r="M172" i="8" s="1"/>
  <c r="K148" i="8"/>
  <c r="M148" i="8" s="1"/>
  <c r="K171" i="8"/>
  <c r="M171" i="8" s="1"/>
  <c r="K10" i="8"/>
  <c r="M10" i="8" s="1"/>
  <c r="K174" i="8"/>
  <c r="M174" i="8" s="1"/>
  <c r="K146" i="8"/>
  <c r="M146" i="8" s="1"/>
  <c r="K173" i="8"/>
  <c r="M173" i="8" s="1"/>
  <c r="K77" i="8"/>
  <c r="M77" i="8" s="1"/>
  <c r="K147" i="8"/>
  <c r="M147" i="8" s="1"/>
  <c r="K145" i="8"/>
  <c r="M145" i="8" s="1"/>
  <c r="K122" i="8"/>
  <c r="M122" i="8" s="1"/>
  <c r="K78" i="8"/>
  <c r="M78" i="8" s="1"/>
  <c r="K34" i="8"/>
  <c r="M34" i="8" s="1"/>
  <c r="K28" i="8"/>
  <c r="N28" i="8" s="1"/>
  <c r="K79" i="8"/>
  <c r="M79" i="8" s="1"/>
  <c r="K30" i="8"/>
  <c r="M30" i="8" s="1"/>
  <c r="K137" i="8"/>
  <c r="N137" i="8" s="1"/>
  <c r="K27" i="8"/>
  <c r="N27" i="8" s="1"/>
  <c r="K115" i="8"/>
  <c r="N115" i="8" s="1"/>
  <c r="K32" i="8"/>
  <c r="M32" i="8" s="1"/>
  <c r="K49" i="8"/>
  <c r="N49" i="8" s="1"/>
  <c r="K71" i="8"/>
  <c r="N71" i="8" s="1"/>
  <c r="K138" i="8"/>
  <c r="M138" i="8" s="1"/>
  <c r="K72" i="8"/>
  <c r="N72" i="8" s="1"/>
  <c r="K116" i="8"/>
  <c r="M116" i="8" s="1"/>
  <c r="N164" i="8"/>
  <c r="N163" i="8"/>
  <c r="M119" i="7"/>
  <c r="O119" i="7" s="1"/>
  <c r="M5" i="8"/>
  <c r="M61" i="7"/>
  <c r="N118" i="7"/>
  <c r="J118" i="7" s="1"/>
  <c r="N23" i="7"/>
  <c r="J23" i="7" s="1"/>
  <c r="M81" i="7"/>
  <c r="M24" i="7"/>
  <c r="J57" i="8"/>
  <c r="N100" i="7"/>
  <c r="J100" i="7" s="1"/>
  <c r="J35" i="8"/>
  <c r="M141" i="7"/>
  <c r="J101" i="8"/>
  <c r="J69" i="7"/>
  <c r="J31" i="7"/>
  <c r="J88" i="7"/>
  <c r="J50" i="7"/>
  <c r="J79" i="8"/>
  <c r="M142" i="7"/>
  <c r="M80" i="7"/>
  <c r="M62" i="7"/>
  <c r="M43" i="7"/>
  <c r="M4" i="7"/>
  <c r="M42" i="7"/>
  <c r="K126" i="7"/>
  <c r="M126" i="7" s="1"/>
  <c r="K150" i="7"/>
  <c r="M150" i="7" s="1"/>
  <c r="N5" i="7"/>
  <c r="J5" i="7" s="1"/>
  <c r="J141" i="7"/>
  <c r="K127" i="7"/>
  <c r="M127" i="7" s="1"/>
  <c r="J81" i="7"/>
  <c r="M99" i="7"/>
  <c r="O100" i="7" s="1"/>
  <c r="J62" i="7"/>
  <c r="J43" i="7"/>
  <c r="I123" i="8"/>
  <c r="J149" i="8"/>
  <c r="M11" i="8"/>
  <c r="I130" i="7"/>
  <c r="K130" i="7" s="1"/>
  <c r="M130" i="7" s="1"/>
  <c r="J153" i="7"/>
  <c r="M100" i="8"/>
  <c r="J80" i="7"/>
  <c r="J142" i="7"/>
  <c r="I107" i="7"/>
  <c r="K107" i="7" s="1"/>
  <c r="M107" i="7" s="1"/>
  <c r="J130" i="7"/>
  <c r="M121" i="8"/>
  <c r="I12" i="8"/>
  <c r="J12" i="8"/>
  <c r="M56" i="8"/>
  <c r="I12" i="7"/>
  <c r="K12" i="7" s="1"/>
  <c r="M12" i="7" s="1"/>
  <c r="J12" i="7"/>
  <c r="M55" i="8"/>
  <c r="J61" i="7"/>
  <c r="M33" i="8"/>
  <c r="I149" i="8"/>
  <c r="J175" i="8"/>
  <c r="J42" i="7"/>
  <c r="M99" i="8"/>
  <c r="M164" i="8"/>
  <c r="K144" i="8"/>
  <c r="M144" i="8" s="1"/>
  <c r="M101" i="8"/>
  <c r="K92" i="8"/>
  <c r="M92" i="8" s="1"/>
  <c r="K143" i="8"/>
  <c r="M143" i="8" s="1"/>
  <c r="K75" i="8"/>
  <c r="M75" i="8" s="1"/>
  <c r="K76" i="8"/>
  <c r="M76" i="8" s="1"/>
  <c r="M35" i="8"/>
  <c r="K26" i="8"/>
  <c r="M26" i="8" s="1"/>
  <c r="K169" i="8"/>
  <c r="M169" i="8" s="1"/>
  <c r="K9" i="8"/>
  <c r="M9" i="8" s="1"/>
  <c r="K170" i="8"/>
  <c r="M170" i="8" s="1"/>
  <c r="K119" i="8"/>
  <c r="M119" i="8" s="1"/>
  <c r="K3" i="8"/>
  <c r="M3" i="8" s="1"/>
  <c r="K53" i="8"/>
  <c r="M53" i="8" s="1"/>
  <c r="K8" i="8"/>
  <c r="M8" i="8" s="1"/>
  <c r="K97" i="8"/>
  <c r="M97" i="8" s="1"/>
  <c r="M175" i="8"/>
  <c r="M57" i="8"/>
  <c r="K162" i="8"/>
  <c r="M162" i="8" s="1"/>
  <c r="K114" i="8"/>
  <c r="M114" i="8" s="1"/>
  <c r="K70" i="8"/>
  <c r="M70" i="8" s="1"/>
  <c r="M31" i="8"/>
  <c r="K48" i="8"/>
  <c r="M48" i="8" s="1"/>
  <c r="K54" i="8"/>
  <c r="M54" i="8" s="1"/>
  <c r="M4" i="8"/>
  <c r="N4" i="8"/>
  <c r="M94" i="8"/>
  <c r="N94" i="8"/>
  <c r="M93" i="8"/>
  <c r="N93" i="8"/>
  <c r="N50" i="8"/>
  <c r="M50" i="8"/>
  <c r="N138" i="8" l="1"/>
  <c r="J137" i="8" s="1"/>
  <c r="J72" i="8"/>
  <c r="M71" i="8"/>
  <c r="M28" i="8"/>
  <c r="J27" i="8"/>
  <c r="O81" i="7"/>
  <c r="P81" i="7" s="1"/>
  <c r="Q81" i="7" s="1"/>
  <c r="M27" i="8"/>
  <c r="L41" i="8" s="1"/>
  <c r="J71" i="8"/>
  <c r="J28" i="8"/>
  <c r="N116" i="8"/>
  <c r="J116" i="8" s="1"/>
  <c r="M49" i="8"/>
  <c r="M137" i="8"/>
  <c r="M72" i="8"/>
  <c r="L85" i="8" s="1"/>
  <c r="K12" i="8"/>
  <c r="M12" i="8" s="1"/>
  <c r="L18" i="8" s="1"/>
  <c r="K123" i="8"/>
  <c r="M123" i="8" s="1"/>
  <c r="M115" i="8"/>
  <c r="K149" i="8"/>
  <c r="M149" i="8" s="1"/>
  <c r="M163" i="8"/>
  <c r="L181" i="8" s="1"/>
  <c r="J164" i="8"/>
  <c r="J163" i="8"/>
  <c r="O117" i="7"/>
  <c r="R117" i="7" s="1"/>
  <c r="O41" i="7"/>
  <c r="R41" i="7" s="1"/>
  <c r="O60" i="7"/>
  <c r="R60" i="7" s="1"/>
  <c r="J119" i="7"/>
  <c r="O142" i="7"/>
  <c r="P142" i="7" s="1"/>
  <c r="Q142" i="7" s="1"/>
  <c r="O5" i="7"/>
  <c r="R5" i="7" s="1"/>
  <c r="O43" i="7"/>
  <c r="R43" i="7" s="1"/>
  <c r="P100" i="7"/>
  <c r="Q100" i="7" s="1"/>
  <c r="R100" i="7"/>
  <c r="O98" i="7"/>
  <c r="R119" i="7"/>
  <c r="P119" i="7"/>
  <c r="Q119" i="7" s="1"/>
  <c r="O62" i="7"/>
  <c r="O79" i="7"/>
  <c r="O140" i="7"/>
  <c r="O3" i="7"/>
  <c r="L107" i="8"/>
  <c r="N5" i="8"/>
  <c r="J4" i="8" s="1"/>
  <c r="L63" i="8"/>
  <c r="J24" i="7"/>
  <c r="J50" i="8"/>
  <c r="J93" i="8"/>
  <c r="J99" i="7"/>
  <c r="J4" i="7"/>
  <c r="J49" i="8"/>
  <c r="J94" i="8"/>
  <c r="J138" i="8" l="1"/>
  <c r="R81" i="7"/>
  <c r="L129" i="8"/>
  <c r="J115" i="8"/>
  <c r="L155" i="8"/>
  <c r="P60" i="7"/>
  <c r="Q60" i="7" s="1"/>
  <c r="P117" i="7"/>
  <c r="Q117" i="7" s="1"/>
  <c r="P5" i="7"/>
  <c r="Q5" i="7" s="1"/>
  <c r="P41" i="7"/>
  <c r="Q41" i="7" s="1"/>
  <c r="P43" i="7"/>
  <c r="Q43" i="7" s="1"/>
  <c r="R142" i="7"/>
  <c r="J5" i="8"/>
  <c r="R3" i="7"/>
  <c r="P3" i="7"/>
  <c r="Q3" i="7" s="1"/>
  <c r="R79" i="7"/>
  <c r="P79" i="7"/>
  <c r="Q79" i="7" s="1"/>
  <c r="P62" i="7"/>
  <c r="Q62" i="7" s="1"/>
  <c r="R62" i="7"/>
  <c r="R140" i="7"/>
  <c r="P140" i="7"/>
  <c r="Q140" i="7" s="1"/>
  <c r="R98" i="7"/>
  <c r="P98" i="7"/>
  <c r="Q98" i="7" s="1"/>
  <c r="K155" i="6"/>
  <c r="M157" i="6" s="1"/>
  <c r="H153" i="6"/>
  <c r="F153" i="6"/>
  <c r="H152" i="6"/>
  <c r="F152" i="6"/>
  <c r="G152" i="6" s="1"/>
  <c r="H151" i="6"/>
  <c r="F151" i="6"/>
  <c r="G151" i="6" s="1"/>
  <c r="H150" i="6"/>
  <c r="F150" i="6"/>
  <c r="G150" i="6" s="1"/>
  <c r="H149" i="6"/>
  <c r="F149" i="6"/>
  <c r="G149" i="6" s="1"/>
  <c r="H148" i="6"/>
  <c r="H147" i="6"/>
  <c r="H144" i="6"/>
  <c r="G144" i="6"/>
  <c r="H143" i="6"/>
  <c r="G143" i="6"/>
  <c r="H142" i="6"/>
  <c r="G142" i="6"/>
  <c r="H141" i="6"/>
  <c r="G141" i="6"/>
  <c r="H140" i="6"/>
  <c r="D147" i="6"/>
  <c r="K132" i="6"/>
  <c r="M134" i="6" s="1"/>
  <c r="H126" i="6"/>
  <c r="H127" i="6"/>
  <c r="F127" i="6"/>
  <c r="G127" i="6" s="1"/>
  <c r="F126" i="6"/>
  <c r="G126" i="6" s="1"/>
  <c r="H130" i="6"/>
  <c r="F130" i="6"/>
  <c r="H129" i="6"/>
  <c r="F129" i="6"/>
  <c r="G129" i="6" s="1"/>
  <c r="H128" i="6"/>
  <c r="F128" i="6"/>
  <c r="G128" i="6" s="1"/>
  <c r="H125" i="6"/>
  <c r="H124" i="6"/>
  <c r="H121" i="6"/>
  <c r="G121" i="6"/>
  <c r="H120" i="6"/>
  <c r="G120" i="6"/>
  <c r="H119" i="6"/>
  <c r="G119" i="6"/>
  <c r="H118" i="6"/>
  <c r="G118" i="6"/>
  <c r="H117" i="6"/>
  <c r="D124" i="6"/>
  <c r="J149" i="6" l="1"/>
  <c r="J126" i="6"/>
  <c r="J150" i="6"/>
  <c r="J127" i="6"/>
  <c r="I127" i="6"/>
  <c r="K127" i="6" s="1"/>
  <c r="M127" i="6" s="1"/>
  <c r="I126" i="6"/>
  <c r="K126" i="6" s="1"/>
  <c r="M126" i="6" s="1"/>
  <c r="I121" i="6"/>
  <c r="K121" i="6" s="1"/>
  <c r="M121" i="6" s="1"/>
  <c r="I149" i="6"/>
  <c r="K149" i="6" s="1"/>
  <c r="M149" i="6" s="1"/>
  <c r="I120" i="6"/>
  <c r="K120" i="6" s="1"/>
  <c r="M120" i="6" s="1"/>
  <c r="I142" i="6"/>
  <c r="K142" i="6" s="1"/>
  <c r="N142" i="6" s="1"/>
  <c r="I118" i="6"/>
  <c r="K118" i="6" s="1"/>
  <c r="M118" i="6" s="1"/>
  <c r="I119" i="6"/>
  <c r="K119" i="6" s="1"/>
  <c r="J128" i="6"/>
  <c r="J151" i="6"/>
  <c r="I128" i="6"/>
  <c r="K128" i="6" s="1"/>
  <c r="M128" i="6" s="1"/>
  <c r="J129" i="6"/>
  <c r="J152" i="6"/>
  <c r="I129" i="6"/>
  <c r="K129" i="6" s="1"/>
  <c r="M129" i="6" s="1"/>
  <c r="G147" i="6"/>
  <c r="I147" i="6" s="1"/>
  <c r="K147" i="6" s="1"/>
  <c r="M147" i="6" s="1"/>
  <c r="I151" i="6"/>
  <c r="K151" i="6" s="1"/>
  <c r="M151" i="6" s="1"/>
  <c r="I152" i="6"/>
  <c r="K152" i="6" s="1"/>
  <c r="M152" i="6" s="1"/>
  <c r="I143" i="6"/>
  <c r="K143" i="6" s="1"/>
  <c r="M143" i="6" s="1"/>
  <c r="I144" i="6"/>
  <c r="K144" i="6" s="1"/>
  <c r="M144" i="6" s="1"/>
  <c r="I150" i="6"/>
  <c r="I141" i="6"/>
  <c r="K141" i="6" s="1"/>
  <c r="N141" i="6" s="1"/>
  <c r="M133" i="6"/>
  <c r="G140" i="6"/>
  <c r="I140" i="6" s="1"/>
  <c r="K140" i="6" s="1"/>
  <c r="M140" i="6" s="1"/>
  <c r="D153" i="6"/>
  <c r="G153" i="6" s="1"/>
  <c r="I153" i="6" s="1"/>
  <c r="K153" i="6" s="1"/>
  <c r="M153" i="6" s="1"/>
  <c r="D148" i="6"/>
  <c r="G148" i="6" s="1"/>
  <c r="I148" i="6" s="1"/>
  <c r="K148" i="6" s="1"/>
  <c r="M148" i="6" s="1"/>
  <c r="G124" i="6"/>
  <c r="M156" i="6"/>
  <c r="G117" i="6"/>
  <c r="D130" i="6"/>
  <c r="G130" i="6" s="1"/>
  <c r="D125" i="6"/>
  <c r="G125" i="6" s="1"/>
  <c r="M142" i="6" l="1"/>
  <c r="M119" i="6"/>
  <c r="N119" i="6"/>
  <c r="N118" i="6"/>
  <c r="I125" i="6"/>
  <c r="K125" i="6" s="1"/>
  <c r="M125" i="6" s="1"/>
  <c r="I130" i="6"/>
  <c r="K130" i="6" s="1"/>
  <c r="M130" i="6" s="1"/>
  <c r="J153" i="6"/>
  <c r="I117" i="6"/>
  <c r="K117" i="6" s="1"/>
  <c r="M117" i="6" s="1"/>
  <c r="I124" i="6"/>
  <c r="K124" i="6" s="1"/>
  <c r="M124" i="6" s="1"/>
  <c r="K150" i="6"/>
  <c r="M150" i="6" s="1"/>
  <c r="M141" i="6"/>
  <c r="J141" i="6"/>
  <c r="J142" i="6"/>
  <c r="K109" i="6"/>
  <c r="M111" i="6" s="1"/>
  <c r="H107" i="6"/>
  <c r="F107" i="6"/>
  <c r="H106" i="6"/>
  <c r="F106" i="6"/>
  <c r="G106" i="6" s="1"/>
  <c r="J106" i="6" s="1"/>
  <c r="H105" i="6"/>
  <c r="F105" i="6"/>
  <c r="G105" i="6" s="1"/>
  <c r="J105" i="6" s="1"/>
  <c r="H104" i="6"/>
  <c r="H103" i="6"/>
  <c r="H102" i="6"/>
  <c r="G102" i="6"/>
  <c r="H101" i="6"/>
  <c r="G101" i="6"/>
  <c r="H100" i="6"/>
  <c r="G100" i="6"/>
  <c r="H99" i="6"/>
  <c r="G99" i="6"/>
  <c r="H98" i="6"/>
  <c r="G98" i="6"/>
  <c r="K71" i="6"/>
  <c r="M73" i="6" s="1"/>
  <c r="H69" i="6"/>
  <c r="F69" i="6"/>
  <c r="H68" i="6"/>
  <c r="F68" i="6"/>
  <c r="G68" i="6" s="1"/>
  <c r="H67" i="6"/>
  <c r="F67" i="6"/>
  <c r="G67" i="6" s="1"/>
  <c r="H66" i="6"/>
  <c r="H65" i="6"/>
  <c r="H64" i="6"/>
  <c r="G64" i="6"/>
  <c r="H63" i="6"/>
  <c r="G63" i="6"/>
  <c r="H62" i="6"/>
  <c r="G62" i="6"/>
  <c r="H61" i="6"/>
  <c r="G61" i="6"/>
  <c r="H60" i="6"/>
  <c r="G60" i="6"/>
  <c r="K33" i="6"/>
  <c r="H31" i="6"/>
  <c r="F31" i="6"/>
  <c r="H30" i="6"/>
  <c r="F30" i="6"/>
  <c r="G30" i="6" s="1"/>
  <c r="J30" i="6" s="1"/>
  <c r="H29" i="6"/>
  <c r="F29" i="6"/>
  <c r="G29" i="6" s="1"/>
  <c r="H28" i="6"/>
  <c r="H27" i="6"/>
  <c r="H26" i="6"/>
  <c r="G26" i="6"/>
  <c r="H25" i="6"/>
  <c r="G25" i="6"/>
  <c r="H24" i="6"/>
  <c r="G24" i="6"/>
  <c r="H23" i="6"/>
  <c r="G23" i="6"/>
  <c r="H22" i="6"/>
  <c r="D31" i="6"/>
  <c r="K90" i="6"/>
  <c r="M92" i="6" s="1"/>
  <c r="H88" i="6"/>
  <c r="F88" i="6"/>
  <c r="H87" i="6"/>
  <c r="F87" i="6"/>
  <c r="G87" i="6" s="1"/>
  <c r="J87" i="6" s="1"/>
  <c r="H86" i="6"/>
  <c r="F86" i="6"/>
  <c r="G86" i="6" s="1"/>
  <c r="H85" i="6"/>
  <c r="H84" i="6"/>
  <c r="H83" i="6"/>
  <c r="G83" i="6"/>
  <c r="H82" i="6"/>
  <c r="G82" i="6"/>
  <c r="H81" i="6"/>
  <c r="G81" i="6"/>
  <c r="H80" i="6"/>
  <c r="G80" i="6"/>
  <c r="H79" i="6"/>
  <c r="D88" i="6"/>
  <c r="K52" i="6"/>
  <c r="M54" i="6" s="1"/>
  <c r="H50" i="6"/>
  <c r="F50" i="6"/>
  <c r="H49" i="6"/>
  <c r="F49" i="6"/>
  <c r="G49" i="6" s="1"/>
  <c r="J49" i="6" s="1"/>
  <c r="H48" i="6"/>
  <c r="F48" i="6"/>
  <c r="G48" i="6" s="1"/>
  <c r="H47" i="6"/>
  <c r="H46" i="6"/>
  <c r="H45" i="6"/>
  <c r="G45" i="6"/>
  <c r="H44" i="6"/>
  <c r="G44" i="6"/>
  <c r="H43" i="6"/>
  <c r="G43" i="6"/>
  <c r="H42" i="6"/>
  <c r="G42" i="6"/>
  <c r="H41" i="6"/>
  <c r="D46" i="6"/>
  <c r="I62" i="6" l="1"/>
  <c r="K62" i="6" s="1"/>
  <c r="N62" i="6" s="1"/>
  <c r="I25" i="6"/>
  <c r="K25" i="6" s="1"/>
  <c r="M25" i="6" s="1"/>
  <c r="I42" i="6"/>
  <c r="N42" i="6" s="1"/>
  <c r="I101" i="6"/>
  <c r="K101" i="6" s="1"/>
  <c r="M101" i="6" s="1"/>
  <c r="M34" i="6"/>
  <c r="M35" i="6"/>
  <c r="O140" i="6"/>
  <c r="R140" i="6" s="1"/>
  <c r="O142" i="6"/>
  <c r="P142" i="6" s="1"/>
  <c r="Q142" i="6" s="1"/>
  <c r="O119" i="6"/>
  <c r="O117" i="6"/>
  <c r="J118" i="6"/>
  <c r="I99" i="6"/>
  <c r="K99" i="6" s="1"/>
  <c r="M99" i="6" s="1"/>
  <c r="I60" i="6"/>
  <c r="K60" i="6" s="1"/>
  <c r="M60" i="6" s="1"/>
  <c r="I81" i="6"/>
  <c r="K81" i="6" s="1"/>
  <c r="M81" i="6" s="1"/>
  <c r="J119" i="6"/>
  <c r="J86" i="6"/>
  <c r="J67" i="6"/>
  <c r="J29" i="6"/>
  <c r="J48" i="6"/>
  <c r="I68" i="6"/>
  <c r="K68" i="6" s="1"/>
  <c r="M68" i="6" s="1"/>
  <c r="J68" i="6"/>
  <c r="I63" i="6"/>
  <c r="K63" i="6" s="1"/>
  <c r="M63" i="6" s="1"/>
  <c r="I67" i="6"/>
  <c r="K67" i="6" s="1"/>
  <c r="M67" i="6" s="1"/>
  <c r="I98" i="6"/>
  <c r="K98" i="6" s="1"/>
  <c r="M98" i="6" s="1"/>
  <c r="I102" i="6"/>
  <c r="K102" i="6" s="1"/>
  <c r="M102" i="6" s="1"/>
  <c r="I106" i="6"/>
  <c r="K106" i="6" s="1"/>
  <c r="M106" i="6" s="1"/>
  <c r="I82" i="6"/>
  <c r="K82" i="6" s="1"/>
  <c r="M82" i="6" s="1"/>
  <c r="I26" i="6"/>
  <c r="K26" i="6" s="1"/>
  <c r="M26" i="6" s="1"/>
  <c r="I30" i="6"/>
  <c r="K30" i="6" s="1"/>
  <c r="M30" i="6" s="1"/>
  <c r="I61" i="6"/>
  <c r="K61" i="6" s="1"/>
  <c r="M61" i="6" s="1"/>
  <c r="I100" i="6"/>
  <c r="K100" i="6" s="1"/>
  <c r="M100" i="6" s="1"/>
  <c r="I29" i="6"/>
  <c r="K29" i="6" s="1"/>
  <c r="M29" i="6" s="1"/>
  <c r="D66" i="6"/>
  <c r="G66" i="6" s="1"/>
  <c r="I66" i="6" s="1"/>
  <c r="K66" i="6" s="1"/>
  <c r="M66" i="6" s="1"/>
  <c r="I44" i="6"/>
  <c r="K44" i="6" s="1"/>
  <c r="M44" i="6" s="1"/>
  <c r="I23" i="6"/>
  <c r="K23" i="6" s="1"/>
  <c r="N23" i="6" s="1"/>
  <c r="I105" i="6"/>
  <c r="K105" i="6" s="1"/>
  <c r="M105" i="6" s="1"/>
  <c r="I24" i="6"/>
  <c r="M110" i="6"/>
  <c r="D104" i="6"/>
  <c r="G104" i="6" s="1"/>
  <c r="I104" i="6" s="1"/>
  <c r="K104" i="6" s="1"/>
  <c r="M104" i="6" s="1"/>
  <c r="I80" i="6"/>
  <c r="M80" i="6" s="1"/>
  <c r="D103" i="6"/>
  <c r="G103" i="6" s="1"/>
  <c r="I103" i="6" s="1"/>
  <c r="K103" i="6" s="1"/>
  <c r="M103" i="6" s="1"/>
  <c r="D107" i="6"/>
  <c r="G107" i="6" s="1"/>
  <c r="J107" i="6" s="1"/>
  <c r="I64" i="6"/>
  <c r="K64" i="6" s="1"/>
  <c r="M64" i="6" s="1"/>
  <c r="D65" i="6"/>
  <c r="G65" i="6" s="1"/>
  <c r="I65" i="6" s="1"/>
  <c r="K65" i="6" s="1"/>
  <c r="M65" i="6" s="1"/>
  <c r="M72" i="6"/>
  <c r="D69" i="6"/>
  <c r="G69" i="6" s="1"/>
  <c r="I69" i="6" s="1"/>
  <c r="K69" i="6" s="1"/>
  <c r="M69" i="6" s="1"/>
  <c r="G22" i="6"/>
  <c r="I22" i="6" s="1"/>
  <c r="K22" i="6" s="1"/>
  <c r="M22" i="6" s="1"/>
  <c r="G31" i="6"/>
  <c r="I31" i="6" s="1"/>
  <c r="K31" i="6" s="1"/>
  <c r="M31" i="6" s="1"/>
  <c r="D28" i="6"/>
  <c r="G28" i="6" s="1"/>
  <c r="I28" i="6" s="1"/>
  <c r="K28" i="6" s="1"/>
  <c r="M28" i="6" s="1"/>
  <c r="I43" i="6"/>
  <c r="K43" i="6" s="1"/>
  <c r="M43" i="6" s="1"/>
  <c r="D47" i="6"/>
  <c r="G47" i="6" s="1"/>
  <c r="I47" i="6" s="1"/>
  <c r="M47" i="6" s="1"/>
  <c r="D27" i="6"/>
  <c r="G27" i="6" s="1"/>
  <c r="I27" i="6" s="1"/>
  <c r="K27" i="6" s="1"/>
  <c r="M27" i="6" s="1"/>
  <c r="I83" i="6"/>
  <c r="K83" i="6" s="1"/>
  <c r="M83" i="6" s="1"/>
  <c r="I87" i="6"/>
  <c r="M87" i="6" s="1"/>
  <c r="M91" i="6"/>
  <c r="I86" i="6"/>
  <c r="M86" i="6" s="1"/>
  <c r="I45" i="6"/>
  <c r="K45" i="6" s="1"/>
  <c r="M45" i="6" s="1"/>
  <c r="D84" i="6"/>
  <c r="G84" i="6" s="1"/>
  <c r="I84" i="6" s="1"/>
  <c r="K84" i="6" s="1"/>
  <c r="M84" i="6" s="1"/>
  <c r="I48" i="6"/>
  <c r="M48" i="6" s="1"/>
  <c r="D85" i="6"/>
  <c r="G85" i="6" s="1"/>
  <c r="I85" i="6" s="1"/>
  <c r="M85" i="6" s="1"/>
  <c r="G79" i="6"/>
  <c r="I79" i="6" s="1"/>
  <c r="K79" i="6" s="1"/>
  <c r="M79" i="6" s="1"/>
  <c r="I49" i="6"/>
  <c r="M49" i="6" s="1"/>
  <c r="G88" i="6"/>
  <c r="I88" i="6" s="1"/>
  <c r="M88" i="6" s="1"/>
  <c r="M42" i="6"/>
  <c r="G46" i="6"/>
  <c r="I46" i="6" s="1"/>
  <c r="K46" i="6" s="1"/>
  <c r="M46" i="6" s="1"/>
  <c r="D50" i="6"/>
  <c r="G50" i="6" s="1"/>
  <c r="I50" i="6" s="1"/>
  <c r="M50" i="6" s="1"/>
  <c r="G41" i="6"/>
  <c r="I41" i="6" s="1"/>
  <c r="K41" i="6" s="1"/>
  <c r="M41" i="6" s="1"/>
  <c r="M53" i="6"/>
  <c r="H4" i="6"/>
  <c r="M62" i="6" l="1"/>
  <c r="O62" i="6" s="1"/>
  <c r="P140" i="6"/>
  <c r="Q140" i="6" s="1"/>
  <c r="R142" i="6"/>
  <c r="O100" i="6"/>
  <c r="O81" i="6"/>
  <c r="O43" i="6"/>
  <c r="K24" i="6"/>
  <c r="M24" i="6" s="1"/>
  <c r="R117" i="6"/>
  <c r="P117" i="6"/>
  <c r="Q117" i="6" s="1"/>
  <c r="P119" i="6"/>
  <c r="Q119" i="6" s="1"/>
  <c r="R119" i="6"/>
  <c r="P79" i="6"/>
  <c r="Q79" i="6" s="1"/>
  <c r="O60" i="6"/>
  <c r="O41" i="6"/>
  <c r="P41" i="6" s="1"/>
  <c r="Q41" i="6" s="1"/>
  <c r="N99" i="6"/>
  <c r="J50" i="6"/>
  <c r="J69" i="6"/>
  <c r="J88" i="6"/>
  <c r="N81" i="6"/>
  <c r="I107" i="6"/>
  <c r="K107" i="6" s="1"/>
  <c r="M107" i="6" s="1"/>
  <c r="O98" i="6" s="1"/>
  <c r="J130" i="6"/>
  <c r="N61" i="6"/>
  <c r="J62" i="6" s="1"/>
  <c r="N100" i="6"/>
  <c r="J100" i="6" s="1"/>
  <c r="N43" i="6"/>
  <c r="J43" i="6" s="1"/>
  <c r="N80" i="6"/>
  <c r="M23" i="6"/>
  <c r="K14" i="6"/>
  <c r="H5" i="6"/>
  <c r="H6" i="6"/>
  <c r="H7" i="6"/>
  <c r="H8" i="6"/>
  <c r="H9" i="6"/>
  <c r="H10" i="6"/>
  <c r="H11" i="6"/>
  <c r="H12" i="6"/>
  <c r="H3" i="6"/>
  <c r="F12" i="6"/>
  <c r="F11" i="6"/>
  <c r="G11" i="6" s="1"/>
  <c r="J11" i="6" s="1"/>
  <c r="F10" i="6"/>
  <c r="G10" i="6" s="1"/>
  <c r="G4" i="6"/>
  <c r="I4" i="6" s="1"/>
  <c r="G5" i="6"/>
  <c r="G6" i="6"/>
  <c r="G7" i="6"/>
  <c r="D12" i="6"/>
  <c r="F3" i="2"/>
  <c r="G3" i="2" s="1"/>
  <c r="H3" i="2"/>
  <c r="F4" i="2"/>
  <c r="G4" i="2" s="1"/>
  <c r="H4" i="2"/>
  <c r="F5" i="2"/>
  <c r="H5" i="2"/>
  <c r="F6" i="2"/>
  <c r="G6" i="2" s="1"/>
  <c r="H6" i="2"/>
  <c r="J8" i="2"/>
  <c r="L10" i="2" s="1"/>
  <c r="M16" i="6" l="1"/>
  <c r="M15" i="6"/>
  <c r="N24" i="6"/>
  <c r="J24" i="6" s="1"/>
  <c r="O24" i="6"/>
  <c r="O22" i="6"/>
  <c r="R22" i="6" s="1"/>
  <c r="R79" i="6"/>
  <c r="R100" i="6"/>
  <c r="R62" i="6"/>
  <c r="P81" i="6"/>
  <c r="Q81" i="6" s="1"/>
  <c r="R98" i="6"/>
  <c r="P98" i="6"/>
  <c r="Q98" i="6" s="1"/>
  <c r="R41" i="6"/>
  <c r="P60" i="6"/>
  <c r="Q60" i="6" s="1"/>
  <c r="R60" i="6"/>
  <c r="J80" i="6"/>
  <c r="J31" i="6"/>
  <c r="J10" i="6"/>
  <c r="J61" i="6"/>
  <c r="J99" i="6"/>
  <c r="J81" i="6"/>
  <c r="J42" i="6"/>
  <c r="I10" i="6"/>
  <c r="I6" i="6"/>
  <c r="K6" i="6" s="1"/>
  <c r="M6" i="6" s="1"/>
  <c r="I7" i="6"/>
  <c r="K7" i="6" s="1"/>
  <c r="M7" i="6" s="1"/>
  <c r="I5" i="6"/>
  <c r="K5" i="6" s="1"/>
  <c r="G12" i="6"/>
  <c r="I11" i="6"/>
  <c r="G3" i="6"/>
  <c r="I3" i="6" s="1"/>
  <c r="K3" i="6" s="1"/>
  <c r="M3" i="6" s="1"/>
  <c r="D8" i="6"/>
  <c r="G8" i="6" s="1"/>
  <c r="I8" i="6" s="1"/>
  <c r="K8" i="6" s="1"/>
  <c r="M8" i="6" s="1"/>
  <c r="D9" i="6"/>
  <c r="G9" i="6" s="1"/>
  <c r="I9" i="6" s="1"/>
  <c r="I4" i="2"/>
  <c r="J4" i="2" s="1"/>
  <c r="L4" i="2" s="1"/>
  <c r="L9" i="2"/>
  <c r="I3" i="2"/>
  <c r="J3" i="2" s="1"/>
  <c r="L3" i="2" s="1"/>
  <c r="I6" i="2"/>
  <c r="J6" i="2" s="1"/>
  <c r="L6" i="2" s="1"/>
  <c r="D5" i="2"/>
  <c r="G5" i="2" s="1"/>
  <c r="I5" i="2" s="1"/>
  <c r="J5" i="2" s="1"/>
  <c r="L5" i="2" s="1"/>
  <c r="P22" i="6" l="1"/>
  <c r="Q22" i="6" s="1"/>
  <c r="J23" i="6"/>
  <c r="M10" i="6"/>
  <c r="M11" i="6"/>
  <c r="M9" i="6"/>
  <c r="P100" i="6"/>
  <c r="Q100" i="6" s="1"/>
  <c r="R81" i="6"/>
  <c r="P62" i="6"/>
  <c r="Q62" i="6" s="1"/>
  <c r="R43" i="6"/>
  <c r="P43" i="6"/>
  <c r="Q43" i="6" s="1"/>
  <c r="R24" i="6"/>
  <c r="P24" i="6"/>
  <c r="Q24" i="6" s="1"/>
  <c r="I12" i="6"/>
  <c r="J12" i="6"/>
  <c r="H4" i="4"/>
  <c r="H5" i="4"/>
  <c r="H6" i="4"/>
  <c r="H3" i="4"/>
  <c r="H4" i="3"/>
  <c r="H5" i="3"/>
  <c r="H6" i="3"/>
  <c r="H3" i="3"/>
  <c r="M12" i="6" l="1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55" i="5"/>
  <c r="F109" i="5" l="1"/>
  <c r="L155" i="7" l="1"/>
  <c r="M155" i="7" s="1"/>
  <c r="L33" i="7"/>
  <c r="M33" i="7" s="1"/>
  <c r="O22" i="7" s="1"/>
  <c r="L14" i="7"/>
  <c r="M14" i="7" s="1"/>
  <c r="L132" i="7"/>
  <c r="M132" i="7" s="1"/>
  <c r="L177" i="8"/>
  <c r="L37" i="8"/>
  <c r="L14" i="8"/>
  <c r="L59" i="8"/>
  <c r="L151" i="8"/>
  <c r="L81" i="8"/>
  <c r="L125" i="8"/>
  <c r="L103" i="8"/>
  <c r="L109" i="7"/>
  <c r="M109" i="7" s="1"/>
  <c r="L90" i="7"/>
  <c r="M90" i="7" s="1"/>
  <c r="L71" i="7"/>
  <c r="M71" i="7" s="1"/>
  <c r="L52" i="7"/>
  <c r="M52" i="7" s="1"/>
  <c r="L155" i="6"/>
  <c r="M155" i="6" s="1"/>
  <c r="L132" i="6"/>
  <c r="M132" i="6" s="1"/>
  <c r="L90" i="6"/>
  <c r="M90" i="6" s="1"/>
  <c r="L33" i="6"/>
  <c r="M33" i="6" s="1"/>
  <c r="L71" i="6"/>
  <c r="M71" i="6" s="1"/>
  <c r="L109" i="6"/>
  <c r="M109" i="6" s="1"/>
  <c r="L52" i="6"/>
  <c r="M52" i="6" s="1"/>
  <c r="L14" i="6"/>
  <c r="M14" i="6" s="1"/>
  <c r="K8" i="2"/>
  <c r="L8" i="2" s="1"/>
  <c r="F110" i="5"/>
  <c r="F111" i="5" s="1"/>
  <c r="K8" i="3"/>
  <c r="K8" i="4"/>
  <c r="M3" i="2" l="1"/>
  <c r="P3" i="2" s="1"/>
  <c r="M177" i="8"/>
  <c r="L180" i="8" s="1"/>
  <c r="L182" i="8" s="1"/>
  <c r="M151" i="8"/>
  <c r="L154" i="8" s="1"/>
  <c r="L156" i="8" s="1"/>
  <c r="M125" i="8"/>
  <c r="L128" i="8" s="1"/>
  <c r="L130" i="8" s="1"/>
  <c r="M103" i="8"/>
  <c r="L106" i="8" s="1"/>
  <c r="M81" i="8"/>
  <c r="L84" i="8" s="1"/>
  <c r="L86" i="8" s="1"/>
  <c r="M59" i="8"/>
  <c r="L62" i="8" s="1"/>
  <c r="L64" i="8" s="1"/>
  <c r="M37" i="8"/>
  <c r="L40" i="8" s="1"/>
  <c r="L42" i="8" s="1"/>
  <c r="M14" i="8"/>
  <c r="L17" i="8" s="1"/>
  <c r="L19" i="8" s="1"/>
  <c r="R22" i="7"/>
  <c r="P22" i="7"/>
  <c r="Q22" i="7" s="1"/>
  <c r="J8" i="4"/>
  <c r="L9" i="4" s="1"/>
  <c r="F6" i="4"/>
  <c r="G6" i="4" s="1"/>
  <c r="F5" i="4"/>
  <c r="F4" i="4"/>
  <c r="G4" i="4" s="1"/>
  <c r="F3" i="4"/>
  <c r="D5" i="4" s="1"/>
  <c r="J8" i="3"/>
  <c r="F4" i="3"/>
  <c r="G4" i="3" s="1"/>
  <c r="I4" i="3" s="1"/>
  <c r="J4" i="3" s="1"/>
  <c r="L4" i="3" s="1"/>
  <c r="F5" i="3"/>
  <c r="F6" i="3"/>
  <c r="G6" i="3" s="1"/>
  <c r="F3" i="3"/>
  <c r="D5" i="3" s="1"/>
  <c r="O168" i="8" l="1"/>
  <c r="P168" i="8" s="1"/>
  <c r="O167" i="8"/>
  <c r="P167" i="8" s="1"/>
  <c r="O142" i="8"/>
  <c r="P142" i="8" s="1"/>
  <c r="O141" i="8"/>
  <c r="P141" i="8" s="1"/>
  <c r="O173" i="8"/>
  <c r="P173" i="8" s="1"/>
  <c r="O163" i="8"/>
  <c r="P163" i="8" s="1"/>
  <c r="O164" i="8"/>
  <c r="P164" i="8" s="1"/>
  <c r="O174" i="8"/>
  <c r="P174" i="8" s="1"/>
  <c r="O175" i="8"/>
  <c r="P175" i="8" s="1"/>
  <c r="O162" i="8"/>
  <c r="P162" i="8" s="1"/>
  <c r="O165" i="8"/>
  <c r="P165" i="8" s="1"/>
  <c r="O166" i="8"/>
  <c r="P166" i="8" s="1"/>
  <c r="O169" i="8"/>
  <c r="P169" i="8" s="1"/>
  <c r="O170" i="8"/>
  <c r="P170" i="8" s="1"/>
  <c r="O171" i="8"/>
  <c r="P171" i="8" s="1"/>
  <c r="O172" i="8"/>
  <c r="P172" i="8" s="1"/>
  <c r="O145" i="8"/>
  <c r="P145" i="8" s="1"/>
  <c r="O148" i="8"/>
  <c r="P148" i="8" s="1"/>
  <c r="O139" i="8"/>
  <c r="P139" i="8" s="1"/>
  <c r="O143" i="8"/>
  <c r="P143" i="8" s="1"/>
  <c r="O146" i="8"/>
  <c r="P146" i="8" s="1"/>
  <c r="O147" i="8"/>
  <c r="P147" i="8" s="1"/>
  <c r="O149" i="8"/>
  <c r="P149" i="8" s="1"/>
  <c r="O136" i="8"/>
  <c r="P136" i="8" s="1"/>
  <c r="O137" i="8"/>
  <c r="P137" i="8" s="1"/>
  <c r="O138" i="8"/>
  <c r="P138" i="8" s="1"/>
  <c r="O140" i="8"/>
  <c r="P140" i="8" s="1"/>
  <c r="O144" i="8"/>
  <c r="P144" i="8" s="1"/>
  <c r="O116" i="8"/>
  <c r="P116" i="8" s="1"/>
  <c r="O114" i="8"/>
  <c r="P114" i="8" s="1"/>
  <c r="O120" i="8"/>
  <c r="P120" i="8" s="1"/>
  <c r="O115" i="8"/>
  <c r="P115" i="8" s="1"/>
  <c r="O123" i="8"/>
  <c r="P123" i="8" s="1"/>
  <c r="O117" i="8"/>
  <c r="P117" i="8" s="1"/>
  <c r="O119" i="8"/>
  <c r="P119" i="8" s="1"/>
  <c r="O122" i="8"/>
  <c r="P122" i="8" s="1"/>
  <c r="O118" i="8"/>
  <c r="P118" i="8" s="1"/>
  <c r="O121" i="8"/>
  <c r="P121" i="8" s="1"/>
  <c r="O96" i="8"/>
  <c r="P96" i="8" s="1"/>
  <c r="O93" i="8"/>
  <c r="P93" i="8" s="1"/>
  <c r="O100" i="8"/>
  <c r="P100" i="8" s="1"/>
  <c r="O94" i="8"/>
  <c r="P94" i="8" s="1"/>
  <c r="O95" i="8"/>
  <c r="P95" i="8" s="1"/>
  <c r="O98" i="8"/>
  <c r="P98" i="8" s="1"/>
  <c r="O101" i="8"/>
  <c r="P101" i="8" s="1"/>
  <c r="O92" i="8"/>
  <c r="P92" i="8" s="1"/>
  <c r="O99" i="8"/>
  <c r="P99" i="8" s="1"/>
  <c r="O97" i="8"/>
  <c r="P97" i="8" s="1"/>
  <c r="O76" i="8"/>
  <c r="P76" i="8" s="1"/>
  <c r="O77" i="8"/>
  <c r="P77" i="8" s="1"/>
  <c r="O78" i="8"/>
  <c r="P78" i="8" s="1"/>
  <c r="O79" i="8"/>
  <c r="P79" i="8" s="1"/>
  <c r="O71" i="8"/>
  <c r="P71" i="8" s="1"/>
  <c r="O72" i="8"/>
  <c r="P72" i="8" s="1"/>
  <c r="O70" i="8"/>
  <c r="P70" i="8" s="1"/>
  <c r="O74" i="8"/>
  <c r="P74" i="8" s="1"/>
  <c r="O75" i="8"/>
  <c r="P75" i="8" s="1"/>
  <c r="O73" i="8"/>
  <c r="P73" i="8" s="1"/>
  <c r="O52" i="8"/>
  <c r="P52" i="8" s="1"/>
  <c r="O54" i="8"/>
  <c r="P54" i="8" s="1"/>
  <c r="O53" i="8"/>
  <c r="P53" i="8" s="1"/>
  <c r="O56" i="8"/>
  <c r="P56" i="8" s="1"/>
  <c r="O49" i="8"/>
  <c r="P49" i="8" s="1"/>
  <c r="O51" i="8"/>
  <c r="P51" i="8" s="1"/>
  <c r="O55" i="8"/>
  <c r="P55" i="8" s="1"/>
  <c r="O57" i="8"/>
  <c r="P57" i="8" s="1"/>
  <c r="O50" i="8"/>
  <c r="P50" i="8" s="1"/>
  <c r="O48" i="8"/>
  <c r="P48" i="8" s="1"/>
  <c r="O34" i="8"/>
  <c r="P34" i="8" s="1"/>
  <c r="O33" i="8"/>
  <c r="P33" i="8" s="1"/>
  <c r="O27" i="8"/>
  <c r="P27" i="8" s="1"/>
  <c r="O35" i="8"/>
  <c r="P35" i="8" s="1"/>
  <c r="O29" i="8"/>
  <c r="P29" i="8" s="1"/>
  <c r="O30" i="8"/>
  <c r="P30" i="8" s="1"/>
  <c r="O32" i="8"/>
  <c r="P32" i="8" s="1"/>
  <c r="O28" i="8"/>
  <c r="P28" i="8" s="1"/>
  <c r="O26" i="8"/>
  <c r="P26" i="8" s="1"/>
  <c r="O31" i="8"/>
  <c r="P31" i="8" s="1"/>
  <c r="O10" i="8"/>
  <c r="P10" i="8" s="1"/>
  <c r="O11" i="8"/>
  <c r="P11" i="8" s="1"/>
  <c r="O6" i="8"/>
  <c r="P6" i="8" s="1"/>
  <c r="O7" i="8"/>
  <c r="P7" i="8" s="1"/>
  <c r="O4" i="8"/>
  <c r="P4" i="8" s="1"/>
  <c r="O12" i="8"/>
  <c r="P12" i="8" s="1"/>
  <c r="O5" i="8"/>
  <c r="P5" i="8" s="1"/>
  <c r="O3" i="8"/>
  <c r="P3" i="8" s="1"/>
  <c r="O8" i="8"/>
  <c r="P8" i="8" s="1"/>
  <c r="O9" i="8"/>
  <c r="P9" i="8" s="1"/>
  <c r="L10" i="3"/>
  <c r="L8" i="3"/>
  <c r="L9" i="3"/>
  <c r="L8" i="4"/>
  <c r="L11" i="4" s="1"/>
  <c r="L10" i="4"/>
  <c r="I4" i="4"/>
  <c r="J4" i="4" s="1"/>
  <c r="L4" i="4" s="1"/>
  <c r="I6" i="3"/>
  <c r="J6" i="3" s="1"/>
  <c r="L6" i="3" s="1"/>
  <c r="I6" i="4"/>
  <c r="J6" i="4" s="1"/>
  <c r="L6" i="4" s="1"/>
  <c r="G5" i="4"/>
  <c r="I5" i="4" s="1"/>
  <c r="G3" i="4"/>
  <c r="I3" i="4" s="1"/>
  <c r="G5" i="3"/>
  <c r="I5" i="3" s="1"/>
  <c r="J5" i="3" s="1"/>
  <c r="L5" i="3" s="1"/>
  <c r="G3" i="3"/>
  <c r="I3" i="3" s="1"/>
  <c r="J3" i="3" s="1"/>
  <c r="L3" i="3" s="1"/>
  <c r="Q164" i="8" l="1"/>
  <c r="Q50" i="8"/>
  <c r="Q48" i="8"/>
  <c r="Q138" i="8"/>
  <c r="Q136" i="8"/>
  <c r="Q72" i="8"/>
  <c r="Q70" i="8"/>
  <c r="Q3" i="8"/>
  <c r="Q5" i="8"/>
  <c r="Q94" i="8"/>
  <c r="Q116" i="8"/>
  <c r="Q114" i="8"/>
  <c r="Q28" i="8"/>
  <c r="Q26" i="8"/>
  <c r="P176" i="8"/>
  <c r="P180" i="8" s="1"/>
  <c r="P150" i="8"/>
  <c r="P154" i="8" s="1"/>
  <c r="P124" i="8"/>
  <c r="P128" i="8" s="1"/>
  <c r="P102" i="8"/>
  <c r="P106" i="8" s="1"/>
  <c r="P80" i="8"/>
  <c r="P84" i="8" s="1"/>
  <c r="P58" i="8"/>
  <c r="P62" i="8" s="1"/>
  <c r="P36" i="8"/>
  <c r="P13" i="8"/>
  <c r="P17" i="8" s="1"/>
  <c r="M3" i="3"/>
  <c r="P3" i="3" s="1"/>
  <c r="J5" i="4"/>
  <c r="L5" i="4" s="1"/>
  <c r="J3" i="4"/>
  <c r="L3" i="4" s="1"/>
  <c r="Q162" i="8" l="1"/>
  <c r="P40" i="8"/>
  <c r="L14" i="4"/>
  <c r="L12" i="4"/>
  <c r="L13" i="4" s="1"/>
  <c r="M4" i="4" l="1"/>
  <c r="N4" i="4" s="1"/>
  <c r="M5" i="4"/>
  <c r="N5" i="4" s="1"/>
  <c r="M6" i="4"/>
  <c r="N6" i="4" s="1"/>
  <c r="M3" i="4"/>
  <c r="N3" i="4" s="1"/>
  <c r="O3" i="4" l="1"/>
  <c r="N3" i="3"/>
  <c r="O3" i="3" s="1"/>
  <c r="N3" i="2" l="1"/>
  <c r="O3" i="2" s="1"/>
  <c r="N5" i="6"/>
  <c r="M5" i="6"/>
  <c r="N4" i="6" l="1"/>
  <c r="J5" i="6" s="1"/>
  <c r="M4" i="6"/>
  <c r="J4" i="6" l="1"/>
  <c r="P3" i="6"/>
  <c r="Q3" i="6" s="1"/>
  <c r="O5" i="6"/>
  <c r="R3" i="6" l="1"/>
  <c r="P5" i="6"/>
  <c r="Q5" i="6" s="1"/>
  <c r="R5" i="6"/>
</calcChain>
</file>

<file path=xl/sharedStrings.xml><?xml version="1.0" encoding="utf-8"?>
<sst xmlns="http://schemas.openxmlformats.org/spreadsheetml/2006/main" count="1090" uniqueCount="183">
  <si>
    <t>EQUIPO</t>
  </si>
  <si>
    <t>Parámetro</t>
  </si>
  <si>
    <t>ID</t>
  </si>
  <si>
    <t>PRODUCTO</t>
  </si>
  <si>
    <t>DET/KIT</t>
  </si>
  <si>
    <t>DIAS ESTABILIDAD</t>
  </si>
  <si>
    <t>DET/AÑO PROCESO</t>
  </si>
  <si>
    <t>PRODUCTO CALCULADO</t>
  </si>
  <si>
    <t>PRODUCTO A ENTREGAR</t>
  </si>
  <si>
    <t>Biometria básica</t>
  </si>
  <si>
    <t>CELLPACK 20L</t>
  </si>
  <si>
    <t>STROMA WH KX21 x 500ML</t>
  </si>
  <si>
    <t>EIGHT CHECK-3WP XTRA ( 4 X 2 ML)</t>
  </si>
  <si>
    <t>MINIMOS POR ESTABILIDAD</t>
  </si>
  <si>
    <t>PVP</t>
  </si>
  <si>
    <t>TOTAL</t>
  </si>
  <si>
    <t>REDONDEADO A ENTREGAR</t>
  </si>
  <si>
    <t>PAPER ROLL F.PRINTER STP211-144 (10PCS.)</t>
  </si>
  <si>
    <t>PVP BIOMETRIA</t>
  </si>
  <si>
    <t>PARA PROCESO</t>
  </si>
  <si>
    <t>VALOR INICIAL DEL PROCESO</t>
  </si>
  <si>
    <t>VALOR FINAL DEL PROCESO</t>
  </si>
  <si>
    <t>REPUESTOS</t>
  </si>
  <si>
    <t>BIOMETRIA HEMATICA</t>
  </si>
  <si>
    <t>MANTENIMIENTO/REPUESTOS</t>
  </si>
  <si>
    <t>PVP TODO COMPRADO</t>
  </si>
  <si>
    <t>TOTAL TODO COMPRADO</t>
  </si>
  <si>
    <t>INFORMACIÓN GENERAL PARA CASO DE NEGOCIO (BC)</t>
  </si>
  <si>
    <t>Actualización: 06 noviembre 2024. 13:11</t>
  </si>
  <si>
    <t>TIPO DE CLIENTE</t>
  </si>
  <si>
    <t>ENTIDAD CONTRATANTE</t>
  </si>
  <si>
    <t>CLIENTE</t>
  </si>
  <si>
    <t>Código del Proceso</t>
  </si>
  <si>
    <t>Objeto de contratación</t>
  </si>
  <si>
    <t>Provincia /Ciudad</t>
  </si>
  <si>
    <t>* Ambiente de Laboratorio :</t>
  </si>
  <si>
    <t>Número de días por semana que trabaja el laboratorio</t>
  </si>
  <si>
    <t>Turnos por dia</t>
  </si>
  <si>
    <t>Horas por turno</t>
  </si>
  <si>
    <t>Controles de calidad por turno</t>
  </si>
  <si>
    <t>Niveles de Control</t>
  </si>
  <si>
    <t>Frecuencia de controles de calidad semanal (Rutina)</t>
  </si>
  <si>
    <t>Pruebas Especiales</t>
  </si>
  <si>
    <t>Frecuencia de controles de calidad pruebas especiales</t>
  </si>
  <si>
    <t>*Equipamiento</t>
  </si>
  <si>
    <t>Nombre de Equipo Principal</t>
  </si>
  <si>
    <t>Estado de equipo principal (nuevo / usado/ año de fabricación) TDR</t>
  </si>
  <si>
    <t>Imagen reserva de equipo</t>
  </si>
  <si>
    <t>Nombre de Equipo Back up</t>
  </si>
  <si>
    <t xml:space="preserve"> Estado de equipo back up (nuevo / usado/ año de fabricación)</t>
  </si>
  <si>
    <t>Ubicación de los equipos a instalar</t>
  </si>
  <si>
    <t>Estado de equipos: Propio / Alquilado /Nuevo /Reservado/ Serie</t>
  </si>
  <si>
    <t>Permite equipo provisional</t>
  </si>
  <si>
    <t>*LIS</t>
  </si>
  <si>
    <t>Incluye LIS : Si / No</t>
  </si>
  <si>
    <t>Proveedor del sistema a trabajar</t>
  </si>
  <si>
    <t>Incluye Hadware: Si/No</t>
  </si>
  <si>
    <t>Número de pacientes</t>
  </si>
  <si>
    <t>Tamaño Licencia: S / M / L (con web add on o no)</t>
  </si>
  <si>
    <t>Interfaz a sistema actual</t>
  </si>
  <si>
    <t>Nombre del sistema</t>
  </si>
  <si>
    <t>Proveedor</t>
  </si>
  <si>
    <t>Interfaz de equipos</t>
  </si>
  <si>
    <t>Modelo / Proveedor</t>
  </si>
  <si>
    <t>* Requerimiento del BC:</t>
  </si>
  <si>
    <t>Cobro de arriendo del equipamiento: Si / NO (GERENCIA)</t>
  </si>
  <si>
    <t>Plazo</t>
  </si>
  <si>
    <t>Proyección de plazo</t>
  </si>
  <si>
    <t>*Compra</t>
  </si>
  <si>
    <t>Presupuesto Referencial del proceso</t>
  </si>
  <si>
    <t>Porcentaje máximo de canje</t>
  </si>
  <si>
    <t>Compromiso de compra (GERENCIA)</t>
  </si>
  <si>
    <t>*Entregas</t>
  </si>
  <si>
    <t>Total/Parcial - tiempo/Parcial a necesidad del laboratorio</t>
  </si>
  <si>
    <t>Determinacion Efectiva Si/No</t>
  </si>
  <si>
    <t>Observaciones</t>
  </si>
  <si>
    <t>*Inversiones adicionales</t>
  </si>
  <si>
    <t>Características</t>
  </si>
  <si>
    <t>Estado</t>
  </si>
  <si>
    <t>Cantidad</t>
  </si>
  <si>
    <t>Precio</t>
  </si>
  <si>
    <t>Total</t>
  </si>
  <si>
    <t>Control externo de tercera opinión</t>
  </si>
  <si>
    <t>Control interno interlaboratorial</t>
  </si>
  <si>
    <t>Póliza $ 66.593,64</t>
  </si>
  <si>
    <t>Póliza de seguro de equipos</t>
  </si>
  <si>
    <t>Ups equipo</t>
  </si>
  <si>
    <t>Equipo</t>
  </si>
  <si>
    <t>Ups servidor</t>
  </si>
  <si>
    <t>Powest on line 1kva 1000VA</t>
  </si>
  <si>
    <t>LIS</t>
  </si>
  <si>
    <t>Interfaz</t>
  </si>
  <si>
    <t>Lantronix</t>
  </si>
  <si>
    <t>IP publica</t>
  </si>
  <si>
    <t>Punto de consulta web</t>
  </si>
  <si>
    <t>Internet</t>
  </si>
  <si>
    <t>Servidor</t>
  </si>
  <si>
    <t>Computadores Desktop HP P20AV 19.5</t>
  </si>
  <si>
    <t>Monitor + Teclado y mouse</t>
  </si>
  <si>
    <t>Impresora Epson L4260 Laser multifuncion</t>
  </si>
  <si>
    <t>Tinta</t>
  </si>
  <si>
    <t>Juego de 4 colores</t>
  </si>
  <si>
    <t>Impresora Epson Toner</t>
  </si>
  <si>
    <t>Toner</t>
  </si>
  <si>
    <t xml:space="preserve">Juego de 4 colores </t>
  </si>
  <si>
    <t>Impresora Zebra Termica ZD230 ETHERNET Y USB</t>
  </si>
  <si>
    <t>Sistema de destilación de agua pequeño</t>
  </si>
  <si>
    <t>Sistema de osmosis</t>
  </si>
  <si>
    <t>Sitema de prefiltracion</t>
  </si>
  <si>
    <t>Tanque para resina mixta (muerta)</t>
  </si>
  <si>
    <t>Tubo contenedor de resina</t>
  </si>
  <si>
    <t>Estructura de proteccion para sistema de agua</t>
  </si>
  <si>
    <t>MEMBRANE EQ.OSMOSIS, AG2521TF  2.5 diam</t>
  </si>
  <si>
    <t>FILTER NOM. P/SEDIMENTS PX10-20XX  PURTR (CARBON)</t>
  </si>
  <si>
    <t>FILTER NOM.P/SEDIMENTS GX05-20XX  HYTREX (FIBRA)</t>
  </si>
  <si>
    <t>RESINA IONICA REGENERADA 20 "</t>
  </si>
  <si>
    <t>RESINA MUERTA 16kilos</t>
  </si>
  <si>
    <t>Sal en grano x quintal</t>
  </si>
  <si>
    <t>Climatizacion del area</t>
  </si>
  <si>
    <t>36000 btus por gravedad</t>
  </si>
  <si>
    <t>Rollo de cable UTP CAT5e x 100m</t>
  </si>
  <si>
    <t>Conector RJ45 Delta CAT5E x 50 unds</t>
  </si>
  <si>
    <t>Rack Cerrado POWEST 5UR</t>
  </si>
  <si>
    <t>Soporte para servidor</t>
  </si>
  <si>
    <t>Switch HP Aruba Ion 5 puertos</t>
  </si>
  <si>
    <t>Switch HP Aruba Ion 1430 24 puertos</t>
  </si>
  <si>
    <t>Extensiones y cortapicos</t>
  </si>
  <si>
    <t>Extras (tairas, canaletas, espiral plastico)</t>
  </si>
  <si>
    <t>Etiquetas</t>
  </si>
  <si>
    <t>Rollo x</t>
  </si>
  <si>
    <t>A4 printer paper</t>
  </si>
  <si>
    <t>Paquete x 500 uds</t>
  </si>
  <si>
    <t>Refrigerador panorámico</t>
  </si>
  <si>
    <t>Refrigerador médico</t>
  </si>
  <si>
    <t xml:space="preserve">Refrigerador/congeldor </t>
  </si>
  <si>
    <t>Termometro para refrigerador</t>
  </si>
  <si>
    <t>Termohigrometros</t>
  </si>
  <si>
    <t>Cronometros digitales</t>
  </si>
  <si>
    <t>Centrifuga</t>
  </si>
  <si>
    <t>24 Tubos</t>
  </si>
  <si>
    <t>Servicio Logisticos Proveedores</t>
  </si>
  <si>
    <t>Servicio Logisticos Clientes</t>
  </si>
  <si>
    <t>Ampolla de agua bidestilada</t>
  </si>
  <si>
    <t>Agua destilada por galón</t>
  </si>
  <si>
    <t>Hisopos x 100 uds</t>
  </si>
  <si>
    <t>Mantenimiento</t>
  </si>
  <si>
    <t>Gasas x 100 uds</t>
  </si>
  <si>
    <t>Alcohol prepad 10 x 100 uds</t>
  </si>
  <si>
    <t>Sub total</t>
  </si>
  <si>
    <t>¿Porque es importante ganar este proceso ?</t>
  </si>
  <si>
    <t>ADICIONALES</t>
  </si>
  <si>
    <t>NUMERO DE EQUIPOS</t>
  </si>
  <si>
    <t>TIEMPO CONTRATO EN MESES</t>
  </si>
  <si>
    <t>CELLPACK DCL</t>
  </si>
  <si>
    <t>SULFOLYSER REAGENT X 5L</t>
  </si>
  <si>
    <t>SULFOLYSER REAGENT 500 ml</t>
  </si>
  <si>
    <t>WDF Lysercell WDF</t>
  </si>
  <si>
    <t>WDF Fluorocell WDF 2X42 ML</t>
  </si>
  <si>
    <t>CELLCLEAN AUTO 4 ML X 20  </t>
  </si>
  <si>
    <t>XN Check 12x3.0ml Level 1,2,3</t>
  </si>
  <si>
    <t>Reticulocitos</t>
  </si>
  <si>
    <t>FLUOROCELL RET 2 X 12ML</t>
  </si>
  <si>
    <t>CELLPACK DFL 1 L</t>
  </si>
  <si>
    <t>Líquidos</t>
  </si>
  <si>
    <t>XN-Check BF 6x3.0ml Level 1,2</t>
  </si>
  <si>
    <t>RETICULOCITOS</t>
  </si>
  <si>
    <t>PLAQUETAS FLUORESCENTES</t>
  </si>
  <si>
    <t>FLUIDOS CORPORALES</t>
  </si>
  <si>
    <t>XNL-350 SIN LICENCIAS</t>
  </si>
  <si>
    <t>XNL-350 CON LICENCIAS</t>
  </si>
  <si>
    <t>XNL-450 SIN LICENCIAS</t>
  </si>
  <si>
    <t>XNL-450 CON LICENCIAS</t>
  </si>
  <si>
    <t xml:space="preserve">XNL-550 SIN LICENCIAS </t>
  </si>
  <si>
    <t xml:space="preserve">XNL-550 CON LICENCIAS </t>
  </si>
  <si>
    <t xml:space="preserve">XN-1000 SIN LICENCIAS </t>
  </si>
  <si>
    <t>Plaquetas Fluorescentes</t>
  </si>
  <si>
    <t>FLUOROCELL PLT 2 X 12ML</t>
  </si>
  <si>
    <t xml:space="preserve">XN-1000 CON LICENCIAS </t>
  </si>
  <si>
    <t>PVP BIOMETRIA COMPLETA</t>
  </si>
  <si>
    <t xml:space="preserve">PVP BIOMETRIA </t>
  </si>
  <si>
    <t>ALQUILER</t>
  </si>
  <si>
    <t>FLUOROCELL WNR 2 X 82ML</t>
  </si>
  <si>
    <t>LYSERCELL-WNR WNR-210A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</si>
</sst>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$&quot;* #,##0.00_ ;_ &quot;$&quot;* \-#,##0.00_ ;_ &quot;$&quot;* &quot;-&quot;??_ ;_ @_ "/>
    <numFmt numFmtId="164" formatCode="_-&quot;$&quot;* #,##0.00_-;\-&quot;$&quot;* #,##0.00_-;_-&quot;$&quot;* &quot;-&quot;??_-;_-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</font>
    <font>
      <sz val="8"/>
      <color theme="1"/>
      <name val="Calibri"/>
      <family val="2"/>
    </font>
    <font>
      <sz val="11"/>
      <name val="Calibri"/>
      <family val="2"/>
    </font>
    <font>
      <b/>
      <sz val="8"/>
      <color theme="1"/>
      <name val="Calibri"/>
      <family val="2"/>
    </font>
    <font>
      <sz val="8"/>
      <color theme="1"/>
      <name val="Calibri"/>
      <family val="2"/>
    </font>
    <font>
      <sz val="11"/>
      <color theme="1"/>
      <name val="Calibri"/>
      <family val="2"/>
      <scheme val="minor"/>
    </font>
    <font>
      <sz val="8"/>
      <color rgb="FF1F1F1F"/>
      <name val="Calibri"/>
      <family val="2"/>
    </font>
    <font>
      <sz val="8"/>
      <color rgb="FF000000"/>
      <name val="Calibri"/>
      <family val="2"/>
    </font>
    <font>
      <sz val="8"/>
      <color rgb="FF222222"/>
      <name val="Calibri"/>
      <family val="2"/>
    </font>
    <font>
      <sz val="8"/>
      <color theme="1"/>
      <name val="Calibri"/>
    </font>
  </fonts>
  <fills count="20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BDD6EE"/>
        <bgColor rgb="FFBDD6EE"/>
      </patternFill>
    </fill>
    <fill>
      <patternFill patternType="solid">
        <fgColor rgb="FFFFFFFF"/>
        <bgColor rgb="FFFFFFFF"/>
      </patternFill>
    </fill>
    <fill>
      <patternFill patternType="solid">
        <fgColor rgb="FFFECCFA"/>
        <bgColor rgb="FFFECCFA"/>
      </patternFill>
    </fill>
    <fill>
      <patternFill patternType="solid">
        <fgColor rgb="FFE7E6E6"/>
        <bgColor rgb="FFE7E6E6"/>
      </patternFill>
    </fill>
    <fill>
      <patternFill patternType="solid">
        <fgColor theme="2"/>
        <bgColor rgb="FFFECCFA"/>
      </patternFill>
    </fill>
    <fill>
      <patternFill patternType="solid">
        <fgColor theme="7" tint="0.79998168889431442"/>
        <bgColor rgb="FFFECCFA"/>
      </patternFill>
    </fill>
    <fill>
      <patternFill patternType="solid">
        <fgColor theme="2"/>
        <bgColor rgb="FFE7E6E6"/>
      </patternFill>
    </fill>
    <fill>
      <patternFill patternType="solid">
        <fgColor theme="7" tint="0.79998168889431442"/>
        <bgColor rgb="FFD0CECE"/>
      </patternFill>
    </fill>
    <fill>
      <patternFill patternType="solid">
        <fgColor rgb="FF92D050"/>
        <bgColor rgb="FFFECCFA"/>
      </patternFill>
    </fill>
    <fill>
      <patternFill patternType="solid">
        <fgColor theme="8" tint="0.79998168889431442"/>
        <bgColor rgb="FFFEF2CB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FECCFA"/>
      </patternFill>
    </fill>
    <fill>
      <patternFill patternType="solid">
        <fgColor theme="6" tint="0.79998168889431442"/>
        <bgColor rgb="FFFECCFA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FFF99"/>
      </patternFill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15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2" fontId="3" fillId="0" borderId="2" xfId="0" applyNumberFormat="1" applyFont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44" fontId="3" fillId="0" borderId="2" xfId="0" applyNumberFormat="1" applyFont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44" fontId="3" fillId="0" borderId="6" xfId="0" applyNumberFormat="1" applyFont="1" applyBorder="1" applyAlignment="1">
      <alignment horizontal="center"/>
    </xf>
    <xf numFmtId="0" fontId="5" fillId="2" borderId="5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44" fontId="1" fillId="4" borderId="5" xfId="0" applyNumberFormat="1" applyFont="1" applyFill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44" fontId="3" fillId="0" borderId="1" xfId="0" applyNumberFormat="1" applyFont="1" applyBorder="1" applyAlignment="1">
      <alignment horizontal="center"/>
    </xf>
    <xf numFmtId="0" fontId="0" fillId="0" borderId="5" xfId="0" applyBorder="1"/>
    <xf numFmtId="0" fontId="6" fillId="0" borderId="5" xfId="0" applyFont="1" applyBorder="1"/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0" fillId="0" borderId="8" xfId="0" applyBorder="1"/>
    <xf numFmtId="44" fontId="3" fillId="0" borderId="3" xfId="0" applyNumberFormat="1" applyFont="1" applyBorder="1" applyAlignment="1">
      <alignment horizontal="center"/>
    </xf>
    <xf numFmtId="0" fontId="3" fillId="0" borderId="5" xfId="0" applyFont="1" applyBorder="1"/>
    <xf numFmtId="0" fontId="3" fillId="0" borderId="5" xfId="0" applyFont="1" applyBorder="1" applyAlignment="1">
      <alignment horizontal="center"/>
    </xf>
    <xf numFmtId="2" fontId="3" fillId="0" borderId="5" xfId="0" applyNumberFormat="1" applyFont="1" applyBorder="1" applyAlignment="1">
      <alignment horizontal="center"/>
    </xf>
    <xf numFmtId="44" fontId="3" fillId="0" borderId="5" xfId="0" applyNumberFormat="1" applyFont="1" applyBorder="1" applyAlignment="1">
      <alignment horizontal="center"/>
    </xf>
    <xf numFmtId="0" fontId="3" fillId="0" borderId="10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2" fontId="5" fillId="0" borderId="9" xfId="0" applyNumberFormat="1" applyFont="1" applyBorder="1" applyAlignment="1">
      <alignment horizontal="center"/>
    </xf>
    <xf numFmtId="44" fontId="3" fillId="0" borderId="0" xfId="0" applyNumberFormat="1" applyFont="1" applyAlignment="1">
      <alignment horizontal="center"/>
    </xf>
    <xf numFmtId="44" fontId="0" fillId="0" borderId="0" xfId="0" applyNumberFormat="1"/>
    <xf numFmtId="10" fontId="0" fillId="0" borderId="0" xfId="1" applyNumberFormat="1" applyFont="1"/>
    <xf numFmtId="44" fontId="3" fillId="0" borderId="7" xfId="0" applyNumberFormat="1" applyFont="1" applyBorder="1" applyAlignment="1">
      <alignment horizontal="center"/>
    </xf>
    <xf numFmtId="44" fontId="3" fillId="0" borderId="12" xfId="0" applyNumberFormat="1" applyFont="1" applyBorder="1" applyAlignment="1">
      <alignment horizontal="center"/>
    </xf>
    <xf numFmtId="0" fontId="5" fillId="2" borderId="8" xfId="0" applyFont="1" applyFill="1" applyBorder="1" applyAlignment="1">
      <alignment horizontal="center" vertical="center" wrapText="1"/>
    </xf>
    <xf numFmtId="44" fontId="1" fillId="4" borderId="8" xfId="0" applyNumberFormat="1" applyFont="1" applyFill="1" applyBorder="1"/>
    <xf numFmtId="0" fontId="3" fillId="0" borderId="0" xfId="0" applyFont="1" applyAlignment="1">
      <alignment wrapText="1"/>
    </xf>
    <xf numFmtId="0" fontId="3" fillId="5" borderId="15" xfId="0" applyFont="1" applyFill="1" applyBorder="1" applyAlignment="1">
      <alignment horizontal="left" wrapText="1"/>
    </xf>
    <xf numFmtId="0" fontId="2" fillId="5" borderId="16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wrapText="1"/>
    </xf>
    <xf numFmtId="0" fontId="3" fillId="5" borderId="4" xfId="0" applyFont="1" applyFill="1" applyBorder="1" applyAlignment="1">
      <alignment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wrapText="1"/>
    </xf>
    <xf numFmtId="0" fontId="2" fillId="5" borderId="2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wrapText="1"/>
    </xf>
    <xf numFmtId="0" fontId="2" fillId="0" borderId="2" xfId="0" applyFont="1" applyBorder="1" applyAlignment="1">
      <alignment vertic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3" fillId="0" borderId="17" xfId="0" applyFont="1" applyBorder="1" applyAlignment="1">
      <alignment wrapText="1"/>
    </xf>
    <xf numFmtId="0" fontId="3" fillId="0" borderId="18" xfId="0" applyFont="1" applyBorder="1" applyAlignment="1">
      <alignment wrapText="1"/>
    </xf>
    <xf numFmtId="0" fontId="2" fillId="5" borderId="19" xfId="0" applyFont="1" applyFill="1" applyBorder="1" applyAlignment="1">
      <alignment wrapText="1"/>
    </xf>
    <xf numFmtId="0" fontId="2" fillId="5" borderId="20" xfId="0" applyFont="1" applyFill="1" applyBorder="1" applyAlignment="1">
      <alignment horizontal="center" wrapText="1"/>
    </xf>
    <xf numFmtId="0" fontId="2" fillId="5" borderId="21" xfId="0" applyFont="1" applyFill="1" applyBorder="1" applyAlignment="1">
      <alignment horizontal="center" wrapText="1"/>
    </xf>
    <xf numFmtId="0" fontId="3" fillId="6" borderId="4" xfId="0" applyFont="1" applyFill="1" applyBorder="1" applyAlignment="1">
      <alignment vertical="center" wrapText="1"/>
    </xf>
    <xf numFmtId="0" fontId="2" fillId="0" borderId="4" xfId="0" applyFont="1" applyBorder="1" applyAlignment="1">
      <alignment horizontal="center" wrapText="1"/>
    </xf>
    <xf numFmtId="0" fontId="3" fillId="6" borderId="4" xfId="0" applyFont="1" applyFill="1" applyBorder="1" applyAlignment="1">
      <alignment horizontal="center" wrapText="1"/>
    </xf>
    <xf numFmtId="164" fontId="3" fillId="0" borderId="2" xfId="0" applyNumberFormat="1" applyFont="1" applyBorder="1" applyAlignment="1">
      <alignment horizontal="left" wrapText="1"/>
    </xf>
    <xf numFmtId="0" fontId="2" fillId="6" borderId="4" xfId="0" applyFont="1" applyFill="1" applyBorder="1" applyAlignment="1">
      <alignment horizontal="left" wrapText="1"/>
    </xf>
    <xf numFmtId="0" fontId="3" fillId="6" borderId="2" xfId="0" applyFont="1" applyFill="1" applyBorder="1" applyAlignment="1">
      <alignment vertical="center" wrapText="1"/>
    </xf>
    <xf numFmtId="0" fontId="2" fillId="0" borderId="2" xfId="0" applyFont="1" applyBorder="1" applyAlignment="1">
      <alignment horizontal="center" wrapText="1"/>
    </xf>
    <xf numFmtId="0" fontId="3" fillId="6" borderId="2" xfId="0" applyFont="1" applyFill="1" applyBorder="1" applyAlignment="1">
      <alignment wrapText="1"/>
    </xf>
    <xf numFmtId="0" fontId="8" fillId="6" borderId="2" xfId="0" applyFont="1" applyFill="1" applyBorder="1" applyAlignment="1">
      <alignment wrapText="1"/>
    </xf>
    <xf numFmtId="0" fontId="9" fillId="0" borderId="0" xfId="0" applyFont="1"/>
    <xf numFmtId="0" fontId="9" fillId="6" borderId="2" xfId="0" applyFont="1" applyFill="1" applyBorder="1" applyAlignment="1">
      <alignment vertical="center" wrapText="1"/>
    </xf>
    <xf numFmtId="0" fontId="10" fillId="6" borderId="2" xfId="0" applyFont="1" applyFill="1" applyBorder="1" applyAlignment="1">
      <alignment wrapText="1"/>
    </xf>
    <xf numFmtId="0" fontId="3" fillId="6" borderId="2" xfId="0" applyFont="1" applyFill="1" applyBorder="1"/>
    <xf numFmtId="0" fontId="3" fillId="0" borderId="22" xfId="0" applyFont="1" applyBorder="1" applyAlignment="1">
      <alignment wrapText="1"/>
    </xf>
    <xf numFmtId="0" fontId="3" fillId="0" borderId="23" xfId="0" applyFont="1" applyBorder="1" applyAlignment="1">
      <alignment wrapText="1"/>
    </xf>
    <xf numFmtId="164" fontId="2" fillId="6" borderId="24" xfId="0" applyNumberFormat="1" applyFont="1" applyFill="1" applyBorder="1" applyAlignment="1">
      <alignment horizontal="left" wrapText="1"/>
    </xf>
    <xf numFmtId="0" fontId="3" fillId="0" borderId="25" xfId="0" applyFont="1" applyBorder="1" applyAlignment="1">
      <alignment wrapText="1"/>
    </xf>
    <xf numFmtId="0" fontId="3" fillId="0" borderId="26" xfId="0" applyFont="1" applyBorder="1" applyAlignment="1">
      <alignment wrapText="1"/>
    </xf>
    <xf numFmtId="164" fontId="2" fillId="6" borderId="27" xfId="0" applyNumberFormat="1" applyFont="1" applyFill="1" applyBorder="1" applyAlignment="1">
      <alignment horizontal="left" wrapText="1"/>
    </xf>
    <xf numFmtId="0" fontId="3" fillId="0" borderId="19" xfId="0" applyFont="1" applyBorder="1" applyAlignment="1">
      <alignment vertical="center" wrapText="1"/>
    </xf>
    <xf numFmtId="0" fontId="3" fillId="0" borderId="5" xfId="0" applyFont="1" applyBorder="1" applyAlignment="1">
      <alignment horizontal="left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left" vertical="center" wrapText="1"/>
    </xf>
    <xf numFmtId="0" fontId="3" fillId="7" borderId="5" xfId="0" applyFont="1" applyFill="1" applyBorder="1" applyAlignment="1">
      <alignment horizontal="center"/>
    </xf>
    <xf numFmtId="2" fontId="3" fillId="7" borderId="5" xfId="0" applyNumberFormat="1" applyFont="1" applyFill="1" applyBorder="1" applyAlignment="1">
      <alignment horizontal="center"/>
    </xf>
    <xf numFmtId="0" fontId="3" fillId="7" borderId="5" xfId="0" applyFont="1" applyFill="1" applyBorder="1" applyAlignment="1">
      <alignment horizontal="left"/>
    </xf>
    <xf numFmtId="0" fontId="3" fillId="7" borderId="5" xfId="0" applyFont="1" applyFill="1" applyBorder="1"/>
    <xf numFmtId="0" fontId="3" fillId="7" borderId="5" xfId="0" applyFont="1" applyFill="1" applyBorder="1" applyAlignment="1">
      <alignment horizontal="left" wrapText="1"/>
    </xf>
    <xf numFmtId="0" fontId="3" fillId="8" borderId="5" xfId="0" applyFont="1" applyFill="1" applyBorder="1" applyAlignment="1">
      <alignment horizontal="left" wrapText="1"/>
    </xf>
    <xf numFmtId="0" fontId="3" fillId="8" borderId="5" xfId="0" applyFont="1" applyFill="1" applyBorder="1" applyAlignment="1">
      <alignment wrapText="1"/>
    </xf>
    <xf numFmtId="0" fontId="3" fillId="8" borderId="5" xfId="0" applyFont="1" applyFill="1" applyBorder="1" applyAlignment="1">
      <alignment horizontal="center"/>
    </xf>
    <xf numFmtId="0" fontId="3" fillId="9" borderId="5" xfId="0" applyFont="1" applyFill="1" applyBorder="1" applyAlignment="1">
      <alignment horizontal="center"/>
    </xf>
    <xf numFmtId="0" fontId="3" fillId="10" borderId="5" xfId="0" applyFont="1" applyFill="1" applyBorder="1" applyAlignment="1">
      <alignment horizontal="center"/>
    </xf>
    <xf numFmtId="2" fontId="3" fillId="9" borderId="5" xfId="0" applyNumberFormat="1" applyFont="1" applyFill="1" applyBorder="1" applyAlignment="1">
      <alignment horizontal="center"/>
    </xf>
    <xf numFmtId="2" fontId="3" fillId="10" borderId="5" xfId="0" applyNumberFormat="1" applyFont="1" applyFill="1" applyBorder="1" applyAlignment="1">
      <alignment horizontal="center"/>
    </xf>
    <xf numFmtId="44" fontId="3" fillId="7" borderId="5" xfId="0" applyNumberFormat="1" applyFont="1" applyFill="1" applyBorder="1" applyAlignment="1">
      <alignment horizontal="center"/>
    </xf>
    <xf numFmtId="44" fontId="3" fillId="11" borderId="5" xfId="0" applyNumberFormat="1" applyFont="1" applyFill="1" applyBorder="1" applyAlignment="1">
      <alignment horizontal="center"/>
    </xf>
    <xf numFmtId="44" fontId="3" fillId="9" borderId="5" xfId="0" applyNumberFormat="1" applyFont="1" applyFill="1" applyBorder="1" applyAlignment="1">
      <alignment horizontal="center"/>
    </xf>
    <xf numFmtId="44" fontId="3" fillId="10" borderId="5" xfId="0" applyNumberFormat="1" applyFont="1" applyFill="1" applyBorder="1" applyAlignment="1">
      <alignment horizontal="center"/>
    </xf>
    <xf numFmtId="44" fontId="0" fillId="0" borderId="5" xfId="0" applyNumberFormat="1" applyBorder="1"/>
    <xf numFmtId="44" fontId="0" fillId="4" borderId="5" xfId="0" applyNumberFormat="1" applyFill="1" applyBorder="1"/>
    <xf numFmtId="0" fontId="3" fillId="12" borderId="5" xfId="0" applyFont="1" applyFill="1" applyBorder="1" applyAlignment="1">
      <alignment horizontal="center" vertical="center" wrapText="1"/>
    </xf>
    <xf numFmtId="0" fontId="3" fillId="12" borderId="5" xfId="0" applyFont="1" applyFill="1" applyBorder="1" applyAlignment="1">
      <alignment horizontal="left" vertical="center" wrapText="1"/>
    </xf>
    <xf numFmtId="0" fontId="3" fillId="12" borderId="5" xfId="0" applyFont="1" applyFill="1" applyBorder="1" applyAlignment="1">
      <alignment horizontal="center"/>
    </xf>
    <xf numFmtId="44" fontId="3" fillId="12" borderId="5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44" fontId="3" fillId="7" borderId="0" xfId="0" applyNumberFormat="1" applyFont="1" applyFill="1" applyAlignment="1">
      <alignment horizontal="center"/>
    </xf>
    <xf numFmtId="44" fontId="3" fillId="9" borderId="0" xfId="0" applyNumberFormat="1" applyFont="1" applyFill="1" applyAlignment="1">
      <alignment horizontal="center"/>
    </xf>
    <xf numFmtId="44" fontId="3" fillId="10" borderId="0" xfId="0" applyNumberFormat="1" applyFont="1" applyFill="1" applyAlignment="1">
      <alignment horizontal="center"/>
    </xf>
    <xf numFmtId="2" fontId="3" fillId="13" borderId="5" xfId="0" applyNumberFormat="1" applyFont="1" applyFill="1" applyBorder="1" applyAlignment="1">
      <alignment horizontal="center"/>
    </xf>
    <xf numFmtId="0" fontId="3" fillId="14" borderId="5" xfId="0" applyFont="1" applyFill="1" applyBorder="1" applyAlignment="1">
      <alignment horizontal="left" wrapText="1"/>
    </xf>
    <xf numFmtId="0" fontId="3" fillId="14" borderId="5" xfId="0" applyFont="1" applyFill="1" applyBorder="1" applyAlignment="1">
      <alignment wrapText="1"/>
    </xf>
    <xf numFmtId="0" fontId="3" fillId="14" borderId="5" xfId="0" applyFont="1" applyFill="1" applyBorder="1" applyAlignment="1">
      <alignment horizontal="center"/>
    </xf>
    <xf numFmtId="0" fontId="3" fillId="16" borderId="5" xfId="0" applyFont="1" applyFill="1" applyBorder="1" applyAlignment="1">
      <alignment horizontal="center"/>
    </xf>
    <xf numFmtId="2" fontId="3" fillId="16" borderId="5" xfId="0" applyNumberFormat="1" applyFont="1" applyFill="1" applyBorder="1" applyAlignment="1">
      <alignment horizontal="center"/>
    </xf>
    <xf numFmtId="44" fontId="3" fillId="16" borderId="5" xfId="0" applyNumberFormat="1" applyFont="1" applyFill="1" applyBorder="1" applyAlignment="1">
      <alignment horizontal="center"/>
    </xf>
    <xf numFmtId="2" fontId="3" fillId="17" borderId="5" xfId="0" applyNumberFormat="1" applyFont="1" applyFill="1" applyBorder="1" applyAlignment="1">
      <alignment horizontal="center"/>
    </xf>
    <xf numFmtId="44" fontId="1" fillId="18" borderId="5" xfId="0" applyNumberFormat="1" applyFont="1" applyFill="1" applyBorder="1"/>
    <xf numFmtId="0" fontId="5" fillId="19" borderId="5" xfId="0" applyFont="1" applyFill="1" applyBorder="1" applyAlignment="1">
      <alignment horizontal="center" vertical="center" wrapText="1"/>
    </xf>
    <xf numFmtId="44" fontId="3" fillId="18" borderId="5" xfId="0" applyNumberFormat="1" applyFont="1" applyFill="1" applyBorder="1" applyAlignment="1">
      <alignment horizontal="center"/>
    </xf>
    <xf numFmtId="44" fontId="0" fillId="18" borderId="5" xfId="0" applyNumberFormat="1" applyFill="1" applyBorder="1"/>
    <xf numFmtId="0" fontId="2" fillId="0" borderId="0" xfId="0" applyFont="1" applyAlignment="1">
      <alignment horizontal="center" vertical="center" wrapText="1"/>
    </xf>
    <xf numFmtId="0" fontId="0" fillId="4" borderId="5" xfId="0" applyFill="1" applyBorder="1"/>
    <xf numFmtId="0" fontId="11" fillId="7" borderId="2" xfId="0" applyFont="1" applyFill="1" applyBorder="1" applyAlignment="1">
      <alignment horizontal="left" wrapText="1"/>
    </xf>
    <xf numFmtId="0" fontId="11" fillId="7" borderId="2" xfId="0" applyFont="1" applyFill="1" applyBorder="1" applyAlignment="1">
      <alignment wrapText="1"/>
    </xf>
    <xf numFmtId="0" fontId="11" fillId="7" borderId="2" xfId="0" applyFont="1" applyFill="1" applyBorder="1" applyAlignment="1">
      <alignment horizontal="center"/>
    </xf>
    <xf numFmtId="0" fontId="11" fillId="7" borderId="6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3" fillId="7" borderId="5" xfId="0" applyFont="1" applyFill="1" applyBorder="1" applyAlignment="1">
      <alignment horizontal="center" vertical="center" wrapText="1"/>
    </xf>
    <xf numFmtId="0" fontId="4" fillId="0" borderId="5" xfId="0" applyFont="1" applyBorder="1"/>
    <xf numFmtId="0" fontId="3" fillId="8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3" fillId="14" borderId="5" xfId="0" applyFont="1" applyFill="1" applyBorder="1" applyAlignment="1">
      <alignment horizontal="center" vertical="center" wrapText="1"/>
    </xf>
    <xf numFmtId="0" fontId="4" fillId="15" borderId="5" xfId="0" applyFont="1" applyFill="1" applyBorder="1"/>
    <xf numFmtId="0" fontId="2" fillId="5" borderId="13" xfId="0" applyFont="1" applyFill="1" applyBorder="1" applyAlignment="1">
      <alignment horizontal="center" vertical="center" wrapText="1"/>
    </xf>
    <xf numFmtId="0" fontId="4" fillId="0" borderId="14" xfId="0" applyFont="1" applyBorder="1"/>
    <xf numFmtId="0" fontId="3" fillId="0" borderId="28" xfId="0" applyFont="1" applyBorder="1" applyAlignment="1">
      <alignment horizontal="left" vertical="center"/>
    </xf>
    <xf numFmtId="0" fontId="4" fillId="0" borderId="29" xfId="0" applyFont="1" applyBorder="1"/>
    <xf numFmtId="0" fontId="4" fillId="0" borderId="30" xfId="0" applyFont="1" applyBorder="1"/>
    <xf numFmtId="0" fontId="6" fillId="0" borderId="1" xfId="0" applyFont="1" applyBorder="1" applyAlignment="1">
      <alignment horizontal="center" vertical="center" wrapText="1"/>
    </xf>
    <xf numFmtId="0" fontId="4" fillId="0" borderId="3" xfId="0" applyFont="1" applyBorder="1"/>
    <xf numFmtId="0" fontId="4" fillId="0" borderId="4" xfId="0" applyFont="1" applyBorder="1"/>
    <xf numFmtId="0" fontId="3" fillId="3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0" borderId="3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FECC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4B12C-AF58-4B68-9AE4-443D017541E4}">
  <sheetPr>
    <tabColor rgb="FF92D050"/>
  </sheetPr>
  <dimension ref="A1:Z1000"/>
  <sheetViews>
    <sheetView topLeftCell="A79" workbookViewId="0">
      <selection activeCell="E62" sqref="E62"/>
    </sheetView>
  </sheetViews>
  <sheetFormatPr baseColWidth="10" defaultColWidth="14.46484375" defaultRowHeight="14.25" x14ac:dyDescent="0.45"/>
  <cols>
    <col min="1" max="1" width="45.796875" customWidth="1"/>
    <col min="2" max="2" width="43.06640625" customWidth="1"/>
    <col min="3" max="6" width="11.46484375" customWidth="1"/>
    <col min="7" max="26" width="10.73046875" customWidth="1"/>
  </cols>
  <sheetData>
    <row r="1" spans="1:26" ht="45" customHeight="1" x14ac:dyDescent="0.45">
      <c r="A1" s="133" t="s">
        <v>27</v>
      </c>
      <c r="B1" s="134"/>
      <c r="C1" s="41"/>
      <c r="D1" s="41"/>
      <c r="E1" s="41"/>
      <c r="F1" s="4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12.75" customHeight="1" thickBot="1" x14ac:dyDescent="0.5">
      <c r="A2" s="42" t="s">
        <v>28</v>
      </c>
      <c r="B2" s="43"/>
      <c r="C2" s="41"/>
      <c r="D2" s="41"/>
      <c r="E2" s="41"/>
      <c r="F2" s="4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1.25" customHeight="1" x14ac:dyDescent="0.45">
      <c r="A3" s="44" t="s">
        <v>29</v>
      </c>
      <c r="B3" s="45"/>
      <c r="C3" s="41"/>
      <c r="D3" s="41"/>
      <c r="E3" s="41"/>
      <c r="F3" s="4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ht="11.25" customHeight="1" x14ac:dyDescent="0.45">
      <c r="A4" s="46" t="s">
        <v>30</v>
      </c>
      <c r="B4" s="47"/>
      <c r="C4" s="41"/>
      <c r="D4" s="41"/>
      <c r="E4" s="41"/>
      <c r="F4" s="4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ht="11.25" customHeight="1" x14ac:dyDescent="0.45">
      <c r="A5" s="46" t="s">
        <v>31</v>
      </c>
      <c r="B5" s="47"/>
      <c r="C5" s="41"/>
      <c r="D5" s="41"/>
      <c r="E5" s="41"/>
      <c r="F5" s="4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11.25" customHeight="1" x14ac:dyDescent="0.45">
      <c r="A6" s="46" t="s">
        <v>32</v>
      </c>
      <c r="B6" s="47"/>
      <c r="C6" s="41"/>
      <c r="D6" s="41"/>
      <c r="E6" s="41"/>
      <c r="F6" s="4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 ht="11.25" customHeight="1" x14ac:dyDescent="0.45">
      <c r="A7" s="46" t="s">
        <v>33</v>
      </c>
      <c r="B7" s="47"/>
      <c r="C7" s="41"/>
      <c r="D7" s="41"/>
      <c r="E7" s="41"/>
      <c r="F7" s="4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ht="11.25" customHeight="1" x14ac:dyDescent="0.45">
      <c r="A8" s="46" t="s">
        <v>34</v>
      </c>
      <c r="B8" s="47"/>
      <c r="C8" s="41"/>
      <c r="D8" s="41"/>
      <c r="E8" s="41"/>
      <c r="F8" s="4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 ht="11.25" customHeight="1" x14ac:dyDescent="0.45">
      <c r="A9" s="48" t="s">
        <v>35</v>
      </c>
      <c r="B9" s="49"/>
      <c r="C9" s="41"/>
      <c r="D9" s="41"/>
      <c r="E9" s="41"/>
      <c r="F9" s="4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ht="21.75" customHeight="1" x14ac:dyDescent="0.45">
      <c r="A10" s="46" t="s">
        <v>36</v>
      </c>
      <c r="B10" s="47"/>
      <c r="C10" s="41"/>
      <c r="D10" s="41"/>
      <c r="E10" s="41"/>
      <c r="F10" s="4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 ht="16.5" customHeight="1" x14ac:dyDescent="0.45">
      <c r="A11" s="46" t="s">
        <v>37</v>
      </c>
      <c r="B11" s="47"/>
      <c r="C11" s="41"/>
      <c r="D11" s="41"/>
      <c r="E11" s="41"/>
      <c r="F11" s="4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ht="15.75" customHeight="1" x14ac:dyDescent="0.45">
      <c r="A12" s="46" t="s">
        <v>38</v>
      </c>
      <c r="B12" s="47"/>
      <c r="C12" s="41"/>
      <c r="D12" s="41"/>
      <c r="E12" s="41"/>
      <c r="F12" s="4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ht="14.25" customHeight="1" x14ac:dyDescent="0.45">
      <c r="A13" s="46" t="s">
        <v>39</v>
      </c>
      <c r="B13" s="47"/>
      <c r="C13" s="41"/>
      <c r="D13" s="41"/>
      <c r="E13" s="41"/>
      <c r="F13" s="4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ht="11.25" customHeight="1" x14ac:dyDescent="0.45">
      <c r="A14" s="46" t="s">
        <v>40</v>
      </c>
      <c r="B14" s="47"/>
      <c r="C14" s="41"/>
      <c r="D14" s="41"/>
      <c r="E14" s="41"/>
      <c r="F14" s="4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ht="16.5" customHeight="1" x14ac:dyDescent="0.45">
      <c r="A15" s="46" t="s">
        <v>41</v>
      </c>
      <c r="B15" s="47"/>
      <c r="C15" s="41"/>
      <c r="D15" s="41"/>
      <c r="E15" s="41"/>
      <c r="F15" s="4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11.25" customHeight="1" x14ac:dyDescent="0.45">
      <c r="A16" s="46" t="s">
        <v>42</v>
      </c>
      <c r="B16" s="47"/>
      <c r="C16" s="41"/>
      <c r="D16" s="41"/>
      <c r="E16" s="41"/>
      <c r="F16" s="4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ht="24" customHeight="1" x14ac:dyDescent="0.45">
      <c r="A17" s="46" t="s">
        <v>43</v>
      </c>
      <c r="B17" s="47"/>
      <c r="C17" s="41"/>
      <c r="D17" s="41"/>
      <c r="E17" s="41"/>
      <c r="F17" s="4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ht="11.25" customHeight="1" x14ac:dyDescent="0.45">
      <c r="A18" s="48" t="s">
        <v>44</v>
      </c>
      <c r="B18" s="49"/>
      <c r="C18" s="41"/>
      <c r="D18" s="41"/>
      <c r="E18" s="41"/>
      <c r="F18" s="4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11.25" customHeight="1" x14ac:dyDescent="0.45">
      <c r="A19" s="50" t="s">
        <v>45</v>
      </c>
      <c r="B19" s="47"/>
      <c r="C19" s="41"/>
      <c r="D19" s="41"/>
      <c r="E19" s="41"/>
      <c r="F19" s="4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11.25" customHeight="1" x14ac:dyDescent="0.45">
      <c r="A20" s="46" t="s">
        <v>46</v>
      </c>
      <c r="B20" s="47"/>
      <c r="C20" s="41"/>
      <c r="D20" s="41"/>
      <c r="E20" s="41"/>
      <c r="F20" s="4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ht="123.75" customHeight="1" x14ac:dyDescent="0.45">
      <c r="A21" s="46" t="s">
        <v>47</v>
      </c>
      <c r="B21" s="47"/>
      <c r="C21" s="41"/>
      <c r="D21" s="41"/>
      <c r="E21" s="41"/>
      <c r="F21" s="4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ht="11.25" customHeight="1" x14ac:dyDescent="0.45">
      <c r="A22" s="46" t="s">
        <v>48</v>
      </c>
      <c r="B22" s="47"/>
      <c r="C22" s="41"/>
      <c r="D22" s="41"/>
      <c r="E22" s="41"/>
      <c r="F22" s="4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1.25" customHeight="1" x14ac:dyDescent="0.45">
      <c r="A23" s="46" t="s">
        <v>49</v>
      </c>
      <c r="B23" s="47"/>
      <c r="C23" s="41"/>
      <c r="D23" s="41"/>
      <c r="E23" s="41"/>
      <c r="F23" s="4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ht="11.25" customHeight="1" x14ac:dyDescent="0.45">
      <c r="A24" s="46" t="s">
        <v>50</v>
      </c>
      <c r="B24" s="47"/>
      <c r="C24" s="41"/>
      <c r="D24" s="41"/>
      <c r="E24" s="41"/>
      <c r="F24" s="4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ht="11.25" customHeight="1" x14ac:dyDescent="0.45">
      <c r="A25" s="46" t="s">
        <v>51</v>
      </c>
      <c r="B25" s="47"/>
      <c r="C25" s="41"/>
      <c r="D25" s="41"/>
      <c r="E25" s="41"/>
      <c r="F25" s="4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 ht="11.25" customHeight="1" x14ac:dyDescent="0.45">
      <c r="A26" s="46" t="s">
        <v>52</v>
      </c>
      <c r="B26" s="47"/>
      <c r="C26" s="41"/>
      <c r="D26" s="41"/>
      <c r="E26" s="41"/>
      <c r="F26" s="4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 ht="11.25" customHeight="1" x14ac:dyDescent="0.45">
      <c r="A27" s="48" t="s">
        <v>53</v>
      </c>
      <c r="B27" s="49"/>
      <c r="C27" s="41"/>
      <c r="D27" s="41"/>
      <c r="E27" s="41"/>
      <c r="F27" s="4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 ht="11.25" customHeight="1" x14ac:dyDescent="0.45">
      <c r="A28" s="46" t="s">
        <v>54</v>
      </c>
      <c r="B28" s="47"/>
      <c r="C28" s="41"/>
      <c r="D28" s="41"/>
      <c r="E28" s="41"/>
      <c r="F28" s="4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ht="11.25" customHeight="1" x14ac:dyDescent="0.45">
      <c r="A29" s="46" t="s">
        <v>55</v>
      </c>
      <c r="B29" s="47"/>
      <c r="C29" s="41"/>
      <c r="D29" s="41"/>
      <c r="E29" s="41"/>
      <c r="F29" s="4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 ht="11.25" customHeight="1" x14ac:dyDescent="0.45">
      <c r="A30" s="46" t="s">
        <v>56</v>
      </c>
      <c r="B30" s="47"/>
      <c r="C30" s="41"/>
      <c r="D30" s="41"/>
      <c r="E30" s="41"/>
      <c r="F30" s="4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 ht="11.25" customHeight="1" x14ac:dyDescent="0.45">
      <c r="A31" s="46" t="s">
        <v>57</v>
      </c>
      <c r="B31" s="47"/>
      <c r="C31" s="41"/>
      <c r="D31" s="41"/>
      <c r="E31" s="41"/>
      <c r="F31" s="4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 ht="11.25" customHeight="1" x14ac:dyDescent="0.45">
      <c r="A32" s="46" t="s">
        <v>58</v>
      </c>
      <c r="B32" s="47"/>
      <c r="C32" s="41"/>
      <c r="D32" s="41"/>
      <c r="E32" s="41"/>
      <c r="F32" s="4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 ht="11.25" customHeight="1" x14ac:dyDescent="0.45">
      <c r="A33" s="50" t="s">
        <v>59</v>
      </c>
      <c r="B33" s="47"/>
      <c r="C33" s="41"/>
      <c r="D33" s="41"/>
      <c r="E33" s="41"/>
      <c r="F33" s="4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 ht="11.25" customHeight="1" x14ac:dyDescent="0.45">
      <c r="A34" s="46" t="s">
        <v>60</v>
      </c>
      <c r="B34" s="47"/>
      <c r="C34" s="41"/>
      <c r="D34" s="41"/>
      <c r="E34" s="41"/>
      <c r="F34" s="4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1:26" ht="11.25" customHeight="1" x14ac:dyDescent="0.45">
      <c r="A35" s="46" t="s">
        <v>61</v>
      </c>
      <c r="B35" s="47"/>
      <c r="C35" s="41"/>
      <c r="D35" s="41"/>
      <c r="E35" s="41"/>
      <c r="F35" s="4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 ht="11.25" customHeight="1" x14ac:dyDescent="0.45">
      <c r="A36" s="46" t="s">
        <v>56</v>
      </c>
      <c r="B36" s="47"/>
      <c r="C36" s="41"/>
      <c r="D36" s="41"/>
      <c r="E36" s="41"/>
      <c r="F36" s="4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 ht="11.25" customHeight="1" x14ac:dyDescent="0.45">
      <c r="A37" s="50" t="s">
        <v>62</v>
      </c>
      <c r="B37" s="47"/>
      <c r="C37" s="41"/>
      <c r="D37" s="41"/>
      <c r="E37" s="41"/>
      <c r="F37" s="4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 ht="11.25" customHeight="1" x14ac:dyDescent="0.45">
      <c r="A38" s="46" t="s">
        <v>63</v>
      </c>
      <c r="B38" s="47"/>
      <c r="C38" s="41"/>
      <c r="D38" s="41"/>
      <c r="E38" s="41"/>
      <c r="F38" s="4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6" ht="11.25" customHeight="1" x14ac:dyDescent="0.45">
      <c r="A39" s="46" t="s">
        <v>63</v>
      </c>
      <c r="B39" s="47"/>
      <c r="C39" s="41"/>
      <c r="D39" s="41"/>
      <c r="E39" s="41"/>
      <c r="F39" s="4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1:26" ht="11.25" customHeight="1" x14ac:dyDescent="0.45">
      <c r="A40" s="46" t="s">
        <v>63</v>
      </c>
      <c r="B40" s="47"/>
      <c r="C40" s="41"/>
      <c r="D40" s="41"/>
      <c r="E40" s="41"/>
      <c r="F40" s="4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1:26" ht="11.25" customHeight="1" x14ac:dyDescent="0.45">
      <c r="A41" s="48" t="s">
        <v>64</v>
      </c>
      <c r="B41" s="49"/>
      <c r="C41" s="41"/>
      <c r="D41" s="41"/>
      <c r="E41" s="41"/>
      <c r="F41" s="4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1:26" ht="11.25" customHeight="1" x14ac:dyDescent="0.45">
      <c r="A42" s="46" t="s">
        <v>65</v>
      </c>
      <c r="B42" s="47"/>
      <c r="C42" s="41"/>
      <c r="D42" s="41"/>
      <c r="E42" s="41"/>
      <c r="F42" s="4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 ht="11.25" customHeight="1" x14ac:dyDescent="0.45">
      <c r="A43" s="46" t="s">
        <v>66</v>
      </c>
      <c r="B43" s="47"/>
      <c r="C43" s="41"/>
      <c r="D43" s="41"/>
      <c r="E43" s="41"/>
      <c r="F43" s="4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1:26" ht="11.25" customHeight="1" x14ac:dyDescent="0.45">
      <c r="A44" s="46" t="s">
        <v>67</v>
      </c>
      <c r="B44" s="47"/>
      <c r="C44" s="41"/>
      <c r="D44" s="41"/>
      <c r="E44" s="41"/>
      <c r="F44" s="4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1:26" ht="11.25" customHeight="1" x14ac:dyDescent="0.45">
      <c r="A45" s="48" t="s">
        <v>68</v>
      </c>
      <c r="B45" s="49"/>
      <c r="C45" s="41"/>
      <c r="D45" s="41"/>
      <c r="E45" s="41"/>
      <c r="F45" s="4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1:26" ht="11.25" customHeight="1" x14ac:dyDescent="0.45">
      <c r="A46" s="46" t="s">
        <v>69</v>
      </c>
      <c r="B46" s="47"/>
      <c r="C46" s="41"/>
      <c r="D46" s="41"/>
      <c r="E46" s="41"/>
      <c r="F46" s="4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 ht="11.25" customHeight="1" x14ac:dyDescent="0.45">
      <c r="A47" s="46" t="s">
        <v>70</v>
      </c>
      <c r="B47" s="47"/>
      <c r="C47" s="41"/>
      <c r="D47" s="41"/>
      <c r="E47" s="41"/>
      <c r="F47" s="4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1:26" ht="11.25" customHeight="1" x14ac:dyDescent="0.45">
      <c r="A48" s="47" t="s">
        <v>71</v>
      </c>
      <c r="B48" s="47"/>
      <c r="C48" s="41"/>
      <c r="D48" s="41"/>
      <c r="E48" s="41"/>
      <c r="F48" s="4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 ht="11.25" customHeight="1" x14ac:dyDescent="0.45">
      <c r="A49" s="48" t="s">
        <v>72</v>
      </c>
      <c r="B49" s="49"/>
      <c r="C49" s="41"/>
      <c r="D49" s="41"/>
      <c r="E49" s="41"/>
      <c r="F49" s="4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1:26" ht="11.25" customHeight="1" x14ac:dyDescent="0.45">
      <c r="A50" s="46" t="s">
        <v>73</v>
      </c>
      <c r="B50" s="47"/>
      <c r="C50" s="41"/>
      <c r="D50" s="41"/>
      <c r="E50" s="41"/>
      <c r="F50" s="4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spans="1:26" ht="11.25" customHeight="1" x14ac:dyDescent="0.45">
      <c r="A51" s="46" t="s">
        <v>74</v>
      </c>
      <c r="B51" s="47"/>
      <c r="C51" s="41"/>
      <c r="D51" s="41"/>
      <c r="E51" s="41"/>
      <c r="F51" s="4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1:26" ht="11.25" customHeight="1" x14ac:dyDescent="0.45">
      <c r="A52" s="47" t="s">
        <v>75</v>
      </c>
      <c r="B52" s="47"/>
      <c r="C52" s="41"/>
      <c r="D52" s="41"/>
      <c r="E52" s="41"/>
      <c r="F52" s="4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1:26" ht="11.25" customHeight="1" thickBot="1" x14ac:dyDescent="0.5">
      <c r="A53" s="51"/>
      <c r="B53" s="52"/>
      <c r="C53" s="41"/>
      <c r="D53" s="53"/>
      <c r="E53" s="54"/>
      <c r="F53" s="54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spans="1:26" ht="11.25" customHeight="1" thickBot="1" x14ac:dyDescent="0.5">
      <c r="A54" s="55" t="s">
        <v>76</v>
      </c>
      <c r="B54" s="56" t="s">
        <v>77</v>
      </c>
      <c r="C54" s="56" t="s">
        <v>78</v>
      </c>
      <c r="D54" s="56" t="s">
        <v>79</v>
      </c>
      <c r="E54" s="56" t="s">
        <v>80</v>
      </c>
      <c r="F54" s="57" t="s">
        <v>81</v>
      </c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spans="1:26" ht="11.25" customHeight="1" x14ac:dyDescent="0.45">
      <c r="A55" s="58" t="s">
        <v>82</v>
      </c>
      <c r="B55" s="59"/>
      <c r="C55" s="59"/>
      <c r="D55" s="60">
        <v>0</v>
      </c>
      <c r="E55" s="61">
        <v>0</v>
      </c>
      <c r="F55" s="62">
        <f>D55*E55</f>
        <v>0</v>
      </c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spans="1:26" ht="11.25" customHeight="1" x14ac:dyDescent="0.45">
      <c r="A56" s="63" t="s">
        <v>83</v>
      </c>
      <c r="B56" s="64"/>
      <c r="C56" s="64"/>
      <c r="D56" s="60">
        <v>0</v>
      </c>
      <c r="E56" s="61">
        <v>0</v>
      </c>
      <c r="F56" s="62">
        <f t="shared" ref="F56:F108" si="0">D56*E56</f>
        <v>0</v>
      </c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spans="1:26" ht="11.25" customHeight="1" x14ac:dyDescent="0.45">
      <c r="A57" s="63" t="s">
        <v>84</v>
      </c>
      <c r="B57" s="65"/>
      <c r="C57" s="65"/>
      <c r="D57" s="60">
        <v>0</v>
      </c>
      <c r="E57" s="61">
        <v>0</v>
      </c>
      <c r="F57" s="62">
        <f t="shared" si="0"/>
        <v>0</v>
      </c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spans="1:26" ht="11.25" customHeight="1" x14ac:dyDescent="0.45">
      <c r="A58" s="63" t="s">
        <v>85</v>
      </c>
      <c r="B58" s="65"/>
      <c r="C58" s="65"/>
      <c r="D58" s="60">
        <v>0</v>
      </c>
      <c r="E58" s="61">
        <v>0</v>
      </c>
      <c r="F58" s="62">
        <f t="shared" si="0"/>
        <v>0</v>
      </c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spans="1:26" ht="11.25" customHeight="1" x14ac:dyDescent="0.45">
      <c r="A59" s="63" t="s">
        <v>86</v>
      </c>
      <c r="B59" s="47" t="s">
        <v>87</v>
      </c>
      <c r="C59" s="47"/>
      <c r="D59" s="60">
        <v>0</v>
      </c>
      <c r="E59" s="61">
        <v>0</v>
      </c>
      <c r="F59" s="62">
        <f t="shared" si="0"/>
        <v>0</v>
      </c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spans="1:26" ht="11.25" customHeight="1" x14ac:dyDescent="0.45">
      <c r="A60" s="63" t="s">
        <v>88</v>
      </c>
      <c r="B60" s="66" t="s">
        <v>89</v>
      </c>
      <c r="C60" s="47"/>
      <c r="D60" s="60">
        <v>0</v>
      </c>
      <c r="E60" s="61">
        <v>200</v>
      </c>
      <c r="F60" s="62">
        <f t="shared" si="0"/>
        <v>0</v>
      </c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spans="1:26" ht="11.25" customHeight="1" x14ac:dyDescent="0.45">
      <c r="A61" s="63" t="s">
        <v>90</v>
      </c>
      <c r="B61" s="47"/>
      <c r="C61" s="47"/>
      <c r="D61" s="60">
        <v>1</v>
      </c>
      <c r="E61" s="61">
        <v>1920</v>
      </c>
      <c r="F61" s="62">
        <f t="shared" si="0"/>
        <v>1920</v>
      </c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spans="1:26" ht="11.25" customHeight="1" x14ac:dyDescent="0.45">
      <c r="A62" s="63" t="s">
        <v>91</v>
      </c>
      <c r="B62" s="47"/>
      <c r="C62" s="47"/>
      <c r="D62" s="60">
        <v>1</v>
      </c>
      <c r="E62" s="61">
        <v>0</v>
      </c>
      <c r="F62" s="62">
        <f t="shared" si="0"/>
        <v>0</v>
      </c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spans="1:26" ht="11.25" customHeight="1" x14ac:dyDescent="0.45">
      <c r="A63" s="63" t="s">
        <v>92</v>
      </c>
      <c r="B63" s="47"/>
      <c r="C63" s="47"/>
      <c r="D63" s="60">
        <v>0</v>
      </c>
      <c r="E63" s="61">
        <v>820</v>
      </c>
      <c r="F63" s="62">
        <f t="shared" si="0"/>
        <v>0</v>
      </c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spans="1:26" ht="11.25" customHeight="1" x14ac:dyDescent="0.45">
      <c r="A64" s="63" t="s">
        <v>93</v>
      </c>
      <c r="B64" s="47"/>
      <c r="C64" s="47"/>
      <c r="D64" s="60">
        <v>0</v>
      </c>
      <c r="E64" s="61">
        <v>0</v>
      </c>
      <c r="F64" s="62">
        <f t="shared" si="0"/>
        <v>0</v>
      </c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spans="1:26" ht="11.25" customHeight="1" x14ac:dyDescent="0.45">
      <c r="A65" s="63" t="s">
        <v>94</v>
      </c>
      <c r="B65" s="47"/>
      <c r="C65" s="47"/>
      <c r="D65" s="60">
        <v>0</v>
      </c>
      <c r="E65" s="61">
        <v>0</v>
      </c>
      <c r="F65" s="62">
        <f t="shared" si="0"/>
        <v>0</v>
      </c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spans="1:26" ht="11.25" customHeight="1" x14ac:dyDescent="0.45">
      <c r="A66" s="63" t="s">
        <v>95</v>
      </c>
      <c r="B66" s="47"/>
      <c r="C66" s="47"/>
      <c r="D66" s="60">
        <v>0</v>
      </c>
      <c r="E66" s="61">
        <v>0</v>
      </c>
      <c r="F66" s="62">
        <f t="shared" si="0"/>
        <v>0</v>
      </c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spans="1:26" ht="11.25" customHeight="1" x14ac:dyDescent="0.45">
      <c r="A67" s="63" t="s">
        <v>96</v>
      </c>
      <c r="B67" s="47"/>
      <c r="C67" s="47"/>
      <c r="D67" s="60">
        <v>0</v>
      </c>
      <c r="E67" s="61">
        <v>0</v>
      </c>
      <c r="F67" s="62">
        <f t="shared" si="0"/>
        <v>0</v>
      </c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spans="1:26" ht="11.25" customHeight="1" x14ac:dyDescent="0.45">
      <c r="A68" s="63" t="s">
        <v>97</v>
      </c>
      <c r="B68" s="47" t="s">
        <v>98</v>
      </c>
      <c r="C68" s="47"/>
      <c r="D68" s="60">
        <v>0</v>
      </c>
      <c r="E68" s="61">
        <v>900</v>
      </c>
      <c r="F68" s="62">
        <f t="shared" si="0"/>
        <v>0</v>
      </c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spans="1:26" ht="11.25" customHeight="1" x14ac:dyDescent="0.45">
      <c r="A69" s="63" t="s">
        <v>99</v>
      </c>
      <c r="B69" s="47"/>
      <c r="C69" s="47"/>
      <c r="D69" s="60">
        <v>0</v>
      </c>
      <c r="E69" s="61">
        <v>300</v>
      </c>
      <c r="F69" s="62">
        <f t="shared" si="0"/>
        <v>0</v>
      </c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spans="1:26" ht="11.25" customHeight="1" x14ac:dyDescent="0.45">
      <c r="A70" s="63" t="s">
        <v>100</v>
      </c>
      <c r="B70" s="47" t="s">
        <v>101</v>
      </c>
      <c r="C70" s="47"/>
      <c r="D70" s="60">
        <v>0</v>
      </c>
      <c r="E70" s="61">
        <v>65</v>
      </c>
      <c r="F70" s="62">
        <f t="shared" si="0"/>
        <v>0</v>
      </c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spans="1:26" ht="11.25" customHeight="1" x14ac:dyDescent="0.45">
      <c r="A71" s="63" t="s">
        <v>102</v>
      </c>
      <c r="B71" s="47"/>
      <c r="C71" s="47"/>
      <c r="D71" s="60">
        <v>0</v>
      </c>
      <c r="E71" s="61">
        <v>980</v>
      </c>
      <c r="F71" s="62">
        <f t="shared" si="0"/>
        <v>0</v>
      </c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spans="1:26" ht="11.25" customHeight="1" x14ac:dyDescent="0.45">
      <c r="A72" s="63" t="s">
        <v>103</v>
      </c>
      <c r="B72" s="47" t="s">
        <v>104</v>
      </c>
      <c r="C72" s="47"/>
      <c r="D72" s="60">
        <v>0</v>
      </c>
      <c r="E72" s="61">
        <v>568</v>
      </c>
      <c r="F72" s="62">
        <f t="shared" si="0"/>
        <v>0</v>
      </c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spans="1:26" ht="11.25" customHeight="1" x14ac:dyDescent="0.45">
      <c r="A73" s="63" t="s">
        <v>105</v>
      </c>
      <c r="B73" s="47"/>
      <c r="C73" s="47"/>
      <c r="D73" s="60">
        <v>0</v>
      </c>
      <c r="E73" s="61">
        <v>400</v>
      </c>
      <c r="F73" s="62">
        <f t="shared" si="0"/>
        <v>0</v>
      </c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spans="1:26" ht="11.25" customHeight="1" x14ac:dyDescent="0.45">
      <c r="A74" s="63" t="s">
        <v>106</v>
      </c>
      <c r="B74" s="47"/>
      <c r="C74" s="47"/>
      <c r="D74" s="60">
        <v>0</v>
      </c>
      <c r="E74" s="61"/>
      <c r="F74" s="62">
        <f t="shared" si="0"/>
        <v>0</v>
      </c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spans="1:26" ht="11.25" customHeight="1" x14ac:dyDescent="0.45">
      <c r="A75" s="63" t="s">
        <v>107</v>
      </c>
      <c r="B75" s="47"/>
      <c r="C75" s="47"/>
      <c r="D75" s="60">
        <v>0</v>
      </c>
      <c r="E75" s="61">
        <v>0</v>
      </c>
      <c r="F75" s="62">
        <f t="shared" si="0"/>
        <v>0</v>
      </c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spans="1:26" ht="11.25" customHeight="1" x14ac:dyDescent="0.45">
      <c r="A76" s="63" t="s">
        <v>108</v>
      </c>
      <c r="B76" s="47"/>
      <c r="C76" s="47"/>
      <c r="D76" s="60">
        <v>0</v>
      </c>
      <c r="E76" s="61">
        <v>0</v>
      </c>
      <c r="F76" s="62">
        <f t="shared" si="0"/>
        <v>0</v>
      </c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spans="1:26" ht="11.25" customHeight="1" x14ac:dyDescent="0.45">
      <c r="A77" s="63" t="s">
        <v>109</v>
      </c>
      <c r="B77" s="47"/>
      <c r="C77" s="47"/>
      <c r="D77" s="60">
        <v>0</v>
      </c>
      <c r="E77" s="61">
        <v>0</v>
      </c>
      <c r="F77" s="62">
        <f t="shared" si="0"/>
        <v>0</v>
      </c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spans="1:26" ht="11.25" customHeight="1" x14ac:dyDescent="0.45">
      <c r="A78" s="67" t="s">
        <v>110</v>
      </c>
      <c r="B78" s="47"/>
      <c r="C78" s="47"/>
      <c r="D78" s="60">
        <v>0</v>
      </c>
      <c r="E78" s="61"/>
      <c r="F78" s="62">
        <f t="shared" si="0"/>
        <v>0</v>
      </c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spans="1:26" ht="11.25" customHeight="1" x14ac:dyDescent="0.45">
      <c r="A79" s="63" t="s">
        <v>111</v>
      </c>
      <c r="B79" s="47"/>
      <c r="C79" s="47"/>
      <c r="D79" s="60">
        <v>0</v>
      </c>
      <c r="E79" s="61">
        <v>400</v>
      </c>
      <c r="F79" s="62">
        <f t="shared" si="0"/>
        <v>0</v>
      </c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spans="1:26" ht="11.25" customHeight="1" x14ac:dyDescent="0.45">
      <c r="A80" s="68" t="s">
        <v>112</v>
      </c>
      <c r="B80" s="68"/>
      <c r="C80" s="68"/>
      <c r="D80" s="60">
        <v>0</v>
      </c>
      <c r="E80" s="61">
        <v>600</v>
      </c>
      <c r="F80" s="62">
        <f t="shared" si="0"/>
        <v>0</v>
      </c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spans="1:26" ht="15" customHeight="1" x14ac:dyDescent="0.45">
      <c r="A81" s="68" t="s">
        <v>113</v>
      </c>
      <c r="B81" s="68"/>
      <c r="C81" s="68"/>
      <c r="D81" s="60">
        <v>0</v>
      </c>
      <c r="E81" s="61"/>
      <c r="F81" s="62">
        <f t="shared" si="0"/>
        <v>0</v>
      </c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spans="1:26" ht="15" customHeight="1" x14ac:dyDescent="0.45">
      <c r="A82" s="68" t="s">
        <v>114</v>
      </c>
      <c r="B82" s="68"/>
      <c r="C82" s="68"/>
      <c r="D82" s="60">
        <v>0</v>
      </c>
      <c r="E82" s="61"/>
      <c r="F82" s="62">
        <f t="shared" si="0"/>
        <v>0</v>
      </c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spans="1:26" ht="11.25" customHeight="1" x14ac:dyDescent="0.45">
      <c r="A83" s="68" t="s">
        <v>115</v>
      </c>
      <c r="B83" s="68"/>
      <c r="C83" s="69"/>
      <c r="D83" s="60">
        <v>0</v>
      </c>
      <c r="E83" s="61"/>
      <c r="F83" s="62">
        <f t="shared" si="0"/>
        <v>0</v>
      </c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spans="1:26" ht="11.25" customHeight="1" x14ac:dyDescent="0.45">
      <c r="A84" s="68" t="s">
        <v>116</v>
      </c>
      <c r="B84" s="68"/>
      <c r="C84" s="70"/>
      <c r="D84" s="60">
        <v>0</v>
      </c>
      <c r="E84" s="61"/>
      <c r="F84" s="62">
        <f t="shared" si="0"/>
        <v>0</v>
      </c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spans="1:26" ht="11.25" customHeight="1" x14ac:dyDescent="0.45">
      <c r="A85" s="63" t="s">
        <v>117</v>
      </c>
      <c r="B85" s="47"/>
      <c r="C85" s="47"/>
      <c r="D85" s="60">
        <v>0</v>
      </c>
      <c r="E85" s="61"/>
      <c r="F85" s="62">
        <f t="shared" si="0"/>
        <v>0</v>
      </c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spans="1:26" ht="11.25" customHeight="1" x14ac:dyDescent="0.45">
      <c r="A86" s="63" t="s">
        <v>118</v>
      </c>
      <c r="B86" s="47" t="s">
        <v>119</v>
      </c>
      <c r="C86" s="47"/>
      <c r="D86" s="60">
        <v>0</v>
      </c>
      <c r="E86" s="61">
        <v>1600</v>
      </c>
      <c r="F86" s="62">
        <f t="shared" si="0"/>
        <v>0</v>
      </c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spans="1:26" ht="11.25" customHeight="1" x14ac:dyDescent="0.45">
      <c r="A87" s="63" t="s">
        <v>120</v>
      </c>
      <c r="B87" s="47"/>
      <c r="C87" s="47"/>
      <c r="D87" s="60">
        <v>0</v>
      </c>
      <c r="E87" s="61">
        <v>31</v>
      </c>
      <c r="F87" s="62">
        <f t="shared" si="0"/>
        <v>0</v>
      </c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spans="1:26" ht="11.25" customHeight="1" x14ac:dyDescent="0.45">
      <c r="A88" s="63" t="s">
        <v>121</v>
      </c>
      <c r="B88" s="47"/>
      <c r="C88" s="47"/>
      <c r="D88" s="60">
        <v>0</v>
      </c>
      <c r="E88" s="61">
        <v>10</v>
      </c>
      <c r="F88" s="62">
        <f t="shared" si="0"/>
        <v>0</v>
      </c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spans="1:26" ht="11.25" customHeight="1" x14ac:dyDescent="0.45">
      <c r="A89" s="63" t="s">
        <v>122</v>
      </c>
      <c r="B89" s="47" t="s">
        <v>123</v>
      </c>
      <c r="C89" s="47"/>
      <c r="D89" s="60">
        <v>0</v>
      </c>
      <c r="E89" s="61">
        <v>150</v>
      </c>
      <c r="F89" s="62">
        <f t="shared" si="0"/>
        <v>0</v>
      </c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spans="1:26" ht="11.25" customHeight="1" x14ac:dyDescent="0.45">
      <c r="A90" s="63" t="s">
        <v>124</v>
      </c>
      <c r="B90" s="47"/>
      <c r="C90" s="47"/>
      <c r="D90" s="60">
        <v>0</v>
      </c>
      <c r="E90" s="61">
        <v>60</v>
      </c>
      <c r="F90" s="62">
        <f t="shared" si="0"/>
        <v>0</v>
      </c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spans="1:26" ht="11.25" customHeight="1" x14ac:dyDescent="0.45">
      <c r="A91" s="63" t="s">
        <v>125</v>
      </c>
      <c r="B91" s="47"/>
      <c r="C91" s="47"/>
      <c r="D91" s="60">
        <v>0</v>
      </c>
      <c r="E91" s="61">
        <v>200</v>
      </c>
      <c r="F91" s="62">
        <f t="shared" si="0"/>
        <v>0</v>
      </c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spans="1:26" ht="11.25" customHeight="1" x14ac:dyDescent="0.45">
      <c r="A92" s="63" t="s">
        <v>126</v>
      </c>
      <c r="B92" s="47"/>
      <c r="C92" s="47"/>
      <c r="D92" s="60">
        <v>0</v>
      </c>
      <c r="E92" s="61">
        <v>0</v>
      </c>
      <c r="F92" s="62">
        <f t="shared" si="0"/>
        <v>0</v>
      </c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spans="1:26" ht="11.25" customHeight="1" x14ac:dyDescent="0.45">
      <c r="A93" s="63" t="s">
        <v>127</v>
      </c>
      <c r="B93" s="47"/>
      <c r="C93" s="47"/>
      <c r="D93" s="60">
        <v>0</v>
      </c>
      <c r="E93" s="61">
        <v>100</v>
      </c>
      <c r="F93" s="62">
        <f t="shared" si="0"/>
        <v>0</v>
      </c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spans="1:26" ht="11.25" customHeight="1" x14ac:dyDescent="0.45">
      <c r="A94" s="63" t="s">
        <v>128</v>
      </c>
      <c r="B94" s="47" t="s">
        <v>129</v>
      </c>
      <c r="C94" s="47"/>
      <c r="D94" s="60">
        <v>0</v>
      </c>
      <c r="E94" s="61">
        <v>6.29</v>
      </c>
      <c r="F94" s="62">
        <f t="shared" si="0"/>
        <v>0</v>
      </c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spans="1:26" ht="11.25" customHeight="1" x14ac:dyDescent="0.45">
      <c r="A95" s="63" t="s">
        <v>130</v>
      </c>
      <c r="B95" s="47" t="s">
        <v>131</v>
      </c>
      <c r="C95" s="47"/>
      <c r="D95" s="60">
        <v>0</v>
      </c>
      <c r="E95" s="61">
        <v>3.85</v>
      </c>
      <c r="F95" s="62">
        <f t="shared" si="0"/>
        <v>0</v>
      </c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spans="1:26" ht="11.25" customHeight="1" x14ac:dyDescent="0.45">
      <c r="A96" s="63" t="s">
        <v>132</v>
      </c>
      <c r="B96" s="47"/>
      <c r="C96" s="47"/>
      <c r="D96" s="60">
        <v>0</v>
      </c>
      <c r="E96" s="61">
        <v>600</v>
      </c>
      <c r="F96" s="62">
        <f t="shared" si="0"/>
        <v>0</v>
      </c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spans="1:26" ht="11.25" customHeight="1" x14ac:dyDescent="0.45">
      <c r="A97" s="63" t="s">
        <v>133</v>
      </c>
      <c r="B97" s="47" t="s">
        <v>134</v>
      </c>
      <c r="C97" s="47"/>
      <c r="D97" s="60">
        <v>0</v>
      </c>
      <c r="E97" s="61">
        <v>3500</v>
      </c>
      <c r="F97" s="62">
        <f t="shared" si="0"/>
        <v>0</v>
      </c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spans="1:26" ht="11.25" customHeight="1" x14ac:dyDescent="0.45">
      <c r="A98" s="63" t="s">
        <v>135</v>
      </c>
      <c r="B98" s="47"/>
      <c r="C98" s="47"/>
      <c r="D98" s="60">
        <v>0</v>
      </c>
      <c r="E98" s="61">
        <v>400</v>
      </c>
      <c r="F98" s="62">
        <f t="shared" si="0"/>
        <v>0</v>
      </c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spans="1:26" ht="11.25" customHeight="1" x14ac:dyDescent="0.45">
      <c r="A99" s="63" t="s">
        <v>136</v>
      </c>
      <c r="B99" s="47"/>
      <c r="C99" s="47"/>
      <c r="D99" s="60">
        <v>0</v>
      </c>
      <c r="E99" s="61">
        <v>70</v>
      </c>
      <c r="F99" s="62">
        <f t="shared" si="0"/>
        <v>0</v>
      </c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1:26" ht="11.25" customHeight="1" x14ac:dyDescent="0.45">
      <c r="A100" s="63" t="s">
        <v>137</v>
      </c>
      <c r="B100" s="47"/>
      <c r="C100" s="47"/>
      <c r="D100" s="60">
        <v>0</v>
      </c>
      <c r="E100" s="61">
        <v>60</v>
      </c>
      <c r="F100" s="62">
        <f t="shared" si="0"/>
        <v>0</v>
      </c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 ht="11.25" customHeight="1" x14ac:dyDescent="0.45">
      <c r="A101" s="63" t="s">
        <v>138</v>
      </c>
      <c r="B101" s="47" t="s">
        <v>139</v>
      </c>
      <c r="C101" s="47"/>
      <c r="D101" s="60">
        <v>0</v>
      </c>
      <c r="E101" s="61">
        <v>3800</v>
      </c>
      <c r="F101" s="62">
        <f t="shared" si="0"/>
        <v>0</v>
      </c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1:26" ht="11.25" customHeight="1" x14ac:dyDescent="0.45">
      <c r="A102" s="63" t="s">
        <v>140</v>
      </c>
      <c r="B102" s="47"/>
      <c r="C102" s="47"/>
      <c r="D102" s="60">
        <v>0</v>
      </c>
      <c r="E102" s="61">
        <v>0</v>
      </c>
      <c r="F102" s="62">
        <f t="shared" si="0"/>
        <v>0</v>
      </c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 ht="11.25" customHeight="1" x14ac:dyDescent="0.45">
      <c r="A103" s="63" t="s">
        <v>141</v>
      </c>
      <c r="B103" s="47"/>
      <c r="C103" s="47"/>
      <c r="D103" s="60">
        <v>0</v>
      </c>
      <c r="E103" s="61">
        <v>0</v>
      </c>
      <c r="F103" s="62">
        <f t="shared" si="0"/>
        <v>0</v>
      </c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1:26" ht="11.25" customHeight="1" x14ac:dyDescent="0.45">
      <c r="A104" s="63" t="s">
        <v>142</v>
      </c>
      <c r="B104" s="47"/>
      <c r="C104" s="47"/>
      <c r="D104" s="60">
        <v>0</v>
      </c>
      <c r="E104" s="61">
        <v>0.35</v>
      </c>
      <c r="F104" s="62">
        <f t="shared" si="0"/>
        <v>0</v>
      </c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 ht="11.25" customHeight="1" x14ac:dyDescent="0.45">
      <c r="A105" s="63" t="s">
        <v>143</v>
      </c>
      <c r="B105" s="47"/>
      <c r="C105" s="47"/>
      <c r="D105" s="60">
        <v>0</v>
      </c>
      <c r="E105" s="61">
        <v>2.8</v>
      </c>
      <c r="F105" s="62">
        <f t="shared" si="0"/>
        <v>0</v>
      </c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 ht="11.25" customHeight="1" x14ac:dyDescent="0.45">
      <c r="A106" s="63" t="s">
        <v>144</v>
      </c>
      <c r="B106" s="47" t="s">
        <v>145</v>
      </c>
      <c r="C106" s="47"/>
      <c r="D106" s="60">
        <v>0</v>
      </c>
      <c r="E106" s="61">
        <v>0.62</v>
      </c>
      <c r="F106" s="62">
        <f t="shared" si="0"/>
        <v>0</v>
      </c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 ht="11.25" customHeight="1" x14ac:dyDescent="0.45">
      <c r="A107" s="63" t="s">
        <v>146</v>
      </c>
      <c r="B107" s="47" t="s">
        <v>145</v>
      </c>
      <c r="C107" s="47"/>
      <c r="D107" s="60">
        <v>0</v>
      </c>
      <c r="E107" s="61">
        <v>5.9</v>
      </c>
      <c r="F107" s="62">
        <f t="shared" si="0"/>
        <v>0</v>
      </c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1:26" ht="11.25" customHeight="1" thickBot="1" x14ac:dyDescent="0.5">
      <c r="A108" s="63" t="s">
        <v>147</v>
      </c>
      <c r="B108" s="47" t="s">
        <v>145</v>
      </c>
      <c r="C108" s="47"/>
      <c r="D108" s="60">
        <v>0</v>
      </c>
      <c r="E108" s="61">
        <v>5</v>
      </c>
      <c r="F108" s="62">
        <f t="shared" si="0"/>
        <v>0</v>
      </c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1:26" ht="11.25" customHeight="1" thickBot="1" x14ac:dyDescent="0.5">
      <c r="A109" s="71"/>
      <c r="B109" s="71"/>
      <c r="C109" s="71"/>
      <c r="D109" s="72"/>
      <c r="E109" s="61" t="s">
        <v>148</v>
      </c>
      <c r="F109" s="73">
        <f>SUM(F55:F108)</f>
        <v>1920</v>
      </c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1:26" ht="11.25" customHeight="1" thickBot="1" x14ac:dyDescent="0.5">
      <c r="A110" s="74"/>
      <c r="B110" s="74"/>
      <c r="C110" s="74"/>
      <c r="D110" s="75"/>
      <c r="E110" s="61">
        <v>0.15</v>
      </c>
      <c r="F110" s="76">
        <f>+F109*0.15</f>
        <v>288</v>
      </c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6" ht="11.25" customHeight="1" x14ac:dyDescent="0.45">
      <c r="A111" s="41"/>
      <c r="B111" s="41"/>
      <c r="C111" s="41"/>
      <c r="D111" s="41"/>
      <c r="E111" s="61" t="s">
        <v>81</v>
      </c>
      <c r="F111" s="73">
        <f>F109+F110</f>
        <v>2208</v>
      </c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26" ht="11.25" customHeight="1" thickBot="1" x14ac:dyDescent="0.5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 ht="71.25" customHeight="1" thickBot="1" x14ac:dyDescent="0.5">
      <c r="A113" s="77" t="s">
        <v>149</v>
      </c>
      <c r="B113" s="135"/>
      <c r="C113" s="136"/>
      <c r="D113" s="136"/>
      <c r="E113" s="136"/>
      <c r="F113" s="137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spans="1:26" ht="11.25" customHeight="1" x14ac:dyDescent="0.45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1:26" ht="11.25" customHeight="1" x14ac:dyDescent="0.4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1:26" ht="11.25" customHeight="1" x14ac:dyDescent="0.45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 ht="11.25" customHeight="1" x14ac:dyDescent="0.45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1:26" ht="11.25" customHeight="1" x14ac:dyDescent="0.45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1:26" ht="11.25" customHeight="1" x14ac:dyDescent="0.45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1:26" ht="11.25" customHeight="1" x14ac:dyDescent="0.45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26" ht="11.25" customHeight="1" x14ac:dyDescent="0.45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1:26" ht="11.25" customHeight="1" x14ac:dyDescent="0.45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1:26" ht="11.25" customHeight="1" x14ac:dyDescent="0.45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1:26" ht="11.25" customHeight="1" x14ac:dyDescent="0.45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1:26" ht="11.25" customHeight="1" x14ac:dyDescent="0.4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1:26" ht="11.25" customHeight="1" x14ac:dyDescent="0.45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1:26" ht="11.25" customHeight="1" x14ac:dyDescent="0.45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spans="1:26" ht="11.25" customHeight="1" x14ac:dyDescent="0.45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spans="1:26" ht="11.25" customHeight="1" x14ac:dyDescent="0.45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spans="1:26" ht="11.25" customHeight="1" x14ac:dyDescent="0.45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spans="1:26" ht="11.25" customHeight="1" x14ac:dyDescent="0.45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1:26" ht="11.25" customHeight="1" x14ac:dyDescent="0.45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1:26" ht="11.25" customHeight="1" x14ac:dyDescent="0.45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spans="1:26" ht="11.25" customHeight="1" x14ac:dyDescent="0.45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spans="1:26" ht="11.25" customHeight="1" x14ac:dyDescent="0.4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spans="1:26" ht="11.25" customHeight="1" x14ac:dyDescent="0.45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spans="1:26" ht="11.25" customHeight="1" x14ac:dyDescent="0.45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spans="1:26" ht="11.25" customHeight="1" x14ac:dyDescent="0.45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spans="1:26" ht="11.25" customHeight="1" x14ac:dyDescent="0.45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spans="1:26" ht="11.25" customHeight="1" x14ac:dyDescent="0.45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spans="1:26" ht="11.25" customHeight="1" x14ac:dyDescent="0.45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spans="1:26" ht="11.25" customHeight="1" x14ac:dyDescent="0.45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spans="1:26" ht="11.25" customHeight="1" x14ac:dyDescent="0.45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spans="1:26" ht="11.25" customHeight="1" x14ac:dyDescent="0.45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spans="1:26" ht="11.25" customHeight="1" x14ac:dyDescent="0.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1:26" ht="11.25" customHeight="1" x14ac:dyDescent="0.45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spans="1:26" ht="11.25" customHeight="1" x14ac:dyDescent="0.45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spans="1:26" ht="11.25" customHeight="1" x14ac:dyDescent="0.45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spans="1:26" ht="11.25" customHeight="1" x14ac:dyDescent="0.45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spans="1:26" ht="11.25" customHeight="1" x14ac:dyDescent="0.45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spans="1:26" ht="11.25" customHeight="1" x14ac:dyDescent="0.45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spans="1:26" ht="11.25" customHeight="1" x14ac:dyDescent="0.45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spans="1:26" ht="11.25" customHeight="1" x14ac:dyDescent="0.45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spans="1:26" ht="11.25" customHeight="1" x14ac:dyDescent="0.45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spans="1:26" ht="11.25" customHeight="1" x14ac:dyDescent="0.4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spans="1:26" ht="11.25" customHeight="1" x14ac:dyDescent="0.45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spans="1:26" ht="11.25" customHeight="1" x14ac:dyDescent="0.45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spans="1:26" ht="11.25" customHeight="1" x14ac:dyDescent="0.45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spans="1:26" ht="11.25" customHeight="1" x14ac:dyDescent="0.45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spans="1:26" ht="11.25" customHeight="1" x14ac:dyDescent="0.45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spans="1:26" ht="11.25" customHeight="1" x14ac:dyDescent="0.45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spans="1:26" ht="11.25" customHeight="1" x14ac:dyDescent="0.45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spans="1:26" ht="11.25" customHeight="1" x14ac:dyDescent="0.45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spans="1:26" ht="11.25" customHeight="1" x14ac:dyDescent="0.45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spans="1:26" ht="11.25" customHeight="1" x14ac:dyDescent="0.4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spans="1:26" ht="11.25" customHeight="1" x14ac:dyDescent="0.45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spans="1:26" ht="11.25" customHeight="1" x14ac:dyDescent="0.45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spans="1:26" ht="11.25" customHeight="1" x14ac:dyDescent="0.45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spans="1:26" ht="11.25" customHeight="1" x14ac:dyDescent="0.45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spans="1:26" ht="11.25" customHeight="1" x14ac:dyDescent="0.45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spans="1:26" ht="11.25" customHeight="1" x14ac:dyDescent="0.45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1:26" ht="11.25" customHeight="1" x14ac:dyDescent="0.45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spans="1:26" ht="11.25" customHeight="1" x14ac:dyDescent="0.45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spans="1:26" ht="11.25" customHeight="1" x14ac:dyDescent="0.45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spans="1:26" ht="11.25" customHeight="1" x14ac:dyDescent="0.4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spans="1:26" ht="11.25" customHeight="1" x14ac:dyDescent="0.45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spans="1:26" ht="11.25" customHeight="1" x14ac:dyDescent="0.45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spans="1:26" ht="11.25" customHeight="1" x14ac:dyDescent="0.45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spans="1:26" ht="11.25" customHeight="1" x14ac:dyDescent="0.45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spans="1:26" ht="11.25" customHeight="1" x14ac:dyDescent="0.45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spans="1:26" ht="11.25" customHeight="1" x14ac:dyDescent="0.45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spans="1:26" ht="11.25" customHeight="1" x14ac:dyDescent="0.45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spans="1:26" ht="11.25" customHeight="1" x14ac:dyDescent="0.45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spans="1:26" ht="11.25" customHeight="1" x14ac:dyDescent="0.45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spans="1:26" ht="11.25" customHeight="1" x14ac:dyDescent="0.4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1:26" ht="11.25" customHeight="1" x14ac:dyDescent="0.45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spans="1:26" ht="11.25" customHeight="1" x14ac:dyDescent="0.45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1:26" ht="11.25" customHeight="1" x14ac:dyDescent="0.45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spans="1:26" ht="11.25" customHeight="1" x14ac:dyDescent="0.45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spans="1:26" ht="11.25" customHeight="1" x14ac:dyDescent="0.45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spans="1:26" ht="11.25" customHeight="1" x14ac:dyDescent="0.45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spans="1:26" ht="11.25" customHeight="1" x14ac:dyDescent="0.45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spans="1:26" ht="11.25" customHeight="1" x14ac:dyDescent="0.45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spans="1:26" ht="11.25" customHeight="1" x14ac:dyDescent="0.45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spans="1:26" ht="11.25" customHeight="1" x14ac:dyDescent="0.4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spans="1:26" ht="11.25" customHeight="1" x14ac:dyDescent="0.45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spans="1:26" ht="11.25" customHeight="1" x14ac:dyDescent="0.45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spans="1:26" ht="11.25" customHeight="1" x14ac:dyDescent="0.45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spans="1:26" ht="11.25" customHeight="1" x14ac:dyDescent="0.45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spans="1:26" ht="11.25" customHeight="1" x14ac:dyDescent="0.45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spans="1:26" ht="11.25" customHeight="1" x14ac:dyDescent="0.45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spans="1:26" ht="11.25" customHeight="1" x14ac:dyDescent="0.45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spans="1:26" ht="11.25" customHeight="1" x14ac:dyDescent="0.45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spans="1:26" ht="11.25" customHeight="1" x14ac:dyDescent="0.45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spans="1:26" ht="11.25" customHeight="1" x14ac:dyDescent="0.4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spans="1:26" ht="11.25" customHeight="1" x14ac:dyDescent="0.45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spans="1:26" ht="11.25" customHeight="1" x14ac:dyDescent="0.45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spans="1:26" ht="11.25" customHeight="1" x14ac:dyDescent="0.45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spans="1:26" ht="11.25" customHeight="1" x14ac:dyDescent="0.45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spans="1:26" ht="11.25" customHeight="1" x14ac:dyDescent="0.45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spans="1:26" ht="11.25" customHeight="1" x14ac:dyDescent="0.45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spans="1:26" ht="11.25" customHeight="1" x14ac:dyDescent="0.45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spans="1:26" ht="11.25" customHeight="1" x14ac:dyDescent="0.45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spans="1:26" ht="11.25" customHeight="1" x14ac:dyDescent="0.45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spans="1:26" ht="11.25" customHeight="1" x14ac:dyDescent="0.4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spans="1:26" ht="11.25" customHeight="1" x14ac:dyDescent="0.45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spans="1:26" ht="11.25" customHeight="1" x14ac:dyDescent="0.45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spans="1:26" ht="11.25" customHeight="1" x14ac:dyDescent="0.45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spans="1:26" ht="11.25" customHeight="1" x14ac:dyDescent="0.45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spans="1:26" ht="11.25" customHeight="1" x14ac:dyDescent="0.45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spans="1:26" ht="11.25" customHeight="1" x14ac:dyDescent="0.45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spans="1:26" ht="11.25" customHeight="1" x14ac:dyDescent="0.45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spans="1:26" ht="11.25" customHeight="1" x14ac:dyDescent="0.45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spans="1:26" ht="11.25" customHeight="1" x14ac:dyDescent="0.45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spans="1:26" ht="11.25" customHeight="1" x14ac:dyDescent="0.4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spans="1:26" ht="11.25" customHeight="1" x14ac:dyDescent="0.45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spans="1:26" ht="11.25" customHeight="1" x14ac:dyDescent="0.45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spans="1:26" ht="11.25" customHeight="1" x14ac:dyDescent="0.45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spans="1:26" ht="11.25" customHeight="1" x14ac:dyDescent="0.45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spans="1:26" ht="11.25" customHeight="1" x14ac:dyDescent="0.45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spans="1:26" ht="11.25" customHeight="1" x14ac:dyDescent="0.45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spans="1:26" ht="11.25" customHeight="1" x14ac:dyDescent="0.45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spans="1:26" ht="11.25" customHeight="1" x14ac:dyDescent="0.45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spans="1:26" ht="11.25" customHeight="1" x14ac:dyDescent="0.45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spans="1:26" ht="11.25" customHeight="1" x14ac:dyDescent="0.4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spans="1:26" ht="11.25" customHeight="1" x14ac:dyDescent="0.45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spans="1:26" ht="11.25" customHeight="1" x14ac:dyDescent="0.45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spans="1:26" ht="11.25" customHeight="1" x14ac:dyDescent="0.45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spans="1:26" ht="11.25" customHeight="1" x14ac:dyDescent="0.45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spans="1:26" ht="11.25" customHeight="1" x14ac:dyDescent="0.45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spans="1:26" ht="11.25" customHeight="1" x14ac:dyDescent="0.45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spans="1:26" ht="11.25" customHeight="1" x14ac:dyDescent="0.45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spans="1:26" ht="11.25" customHeight="1" x14ac:dyDescent="0.45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spans="1:26" ht="11.25" customHeight="1" x14ac:dyDescent="0.45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spans="1:26" ht="11.25" customHeight="1" x14ac:dyDescent="0.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spans="1:26" ht="11.25" customHeight="1" x14ac:dyDescent="0.45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spans="1:26" ht="11.25" customHeight="1" x14ac:dyDescent="0.45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spans="1:26" ht="11.25" customHeight="1" x14ac:dyDescent="0.45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spans="1:26" ht="11.25" customHeight="1" x14ac:dyDescent="0.45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spans="1:26" ht="11.25" customHeight="1" x14ac:dyDescent="0.45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spans="1:26" ht="11.25" customHeight="1" x14ac:dyDescent="0.45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spans="1:26" ht="11.25" customHeight="1" x14ac:dyDescent="0.45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spans="1:26" ht="11.25" customHeight="1" x14ac:dyDescent="0.45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spans="1:26" ht="11.25" customHeight="1" x14ac:dyDescent="0.45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spans="1:26" ht="11.25" customHeight="1" x14ac:dyDescent="0.4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spans="1:26" ht="11.25" customHeight="1" x14ac:dyDescent="0.45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spans="1:26" ht="11.25" customHeight="1" x14ac:dyDescent="0.45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spans="1:26" ht="11.25" customHeight="1" x14ac:dyDescent="0.45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spans="1:26" ht="11.25" customHeight="1" x14ac:dyDescent="0.45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spans="1:26" ht="11.25" customHeight="1" x14ac:dyDescent="0.45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spans="1:26" ht="11.25" customHeight="1" x14ac:dyDescent="0.45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spans="1:26" ht="11.25" customHeight="1" x14ac:dyDescent="0.45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spans="1:26" ht="11.25" customHeight="1" x14ac:dyDescent="0.45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spans="1:26" ht="11.25" customHeight="1" x14ac:dyDescent="0.45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spans="1:26" ht="11.25" customHeight="1" x14ac:dyDescent="0.4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spans="1:26" ht="11.25" customHeight="1" x14ac:dyDescent="0.45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spans="1:26" ht="11.25" customHeight="1" x14ac:dyDescent="0.45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spans="1:26" ht="11.25" customHeight="1" x14ac:dyDescent="0.45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spans="1:26" ht="11.25" customHeight="1" x14ac:dyDescent="0.45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spans="1:26" ht="11.25" customHeight="1" x14ac:dyDescent="0.45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spans="1:26" ht="11.25" customHeight="1" x14ac:dyDescent="0.45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spans="1:26" ht="11.25" customHeight="1" x14ac:dyDescent="0.45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spans="1:26" ht="11.25" customHeight="1" x14ac:dyDescent="0.45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spans="1:26" ht="11.25" customHeight="1" x14ac:dyDescent="0.45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spans="1:26" ht="11.25" customHeight="1" x14ac:dyDescent="0.4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spans="1:26" ht="11.25" customHeight="1" x14ac:dyDescent="0.45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spans="1:26" ht="11.25" customHeight="1" x14ac:dyDescent="0.45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spans="1:26" ht="11.25" customHeight="1" x14ac:dyDescent="0.45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spans="1:26" ht="11.25" customHeight="1" x14ac:dyDescent="0.45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spans="1:26" ht="11.25" customHeight="1" x14ac:dyDescent="0.45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spans="1:26" ht="11.25" customHeight="1" x14ac:dyDescent="0.45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spans="1:26" ht="11.25" customHeight="1" x14ac:dyDescent="0.45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spans="1:26" ht="11.25" customHeight="1" x14ac:dyDescent="0.45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spans="1:26" ht="11.25" customHeight="1" x14ac:dyDescent="0.45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spans="1:26" ht="11.25" customHeight="1" x14ac:dyDescent="0.4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spans="1:26" ht="11.25" customHeight="1" x14ac:dyDescent="0.45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spans="1:26" ht="11.25" customHeight="1" x14ac:dyDescent="0.45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spans="1:26" ht="11.25" customHeight="1" x14ac:dyDescent="0.45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spans="1:26" ht="11.25" customHeight="1" x14ac:dyDescent="0.45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spans="1:26" ht="11.25" customHeight="1" x14ac:dyDescent="0.45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spans="1:26" ht="11.25" customHeight="1" x14ac:dyDescent="0.45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spans="1:26" ht="11.25" customHeight="1" x14ac:dyDescent="0.45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spans="1:26" ht="11.25" customHeight="1" x14ac:dyDescent="0.45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spans="1:26" ht="11.25" customHeight="1" x14ac:dyDescent="0.45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spans="1:26" ht="11.25" customHeight="1" x14ac:dyDescent="0.4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spans="1:26" ht="11.25" customHeight="1" x14ac:dyDescent="0.45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spans="1:26" ht="11.25" customHeight="1" x14ac:dyDescent="0.45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spans="1:26" ht="11.25" customHeight="1" x14ac:dyDescent="0.45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spans="1:26" ht="11.25" customHeight="1" x14ac:dyDescent="0.45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spans="1:26" ht="11.25" customHeight="1" x14ac:dyDescent="0.45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spans="1:26" ht="11.25" customHeight="1" x14ac:dyDescent="0.45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spans="1:26" ht="11.25" customHeight="1" x14ac:dyDescent="0.45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spans="1:26" ht="11.25" customHeight="1" x14ac:dyDescent="0.45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spans="1:26" ht="11.25" customHeight="1" x14ac:dyDescent="0.45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spans="1:26" ht="11.25" customHeight="1" x14ac:dyDescent="0.4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spans="1:26" ht="11.25" customHeight="1" x14ac:dyDescent="0.45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spans="1:26" ht="11.25" customHeight="1" x14ac:dyDescent="0.45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spans="1:26" ht="11.25" customHeight="1" x14ac:dyDescent="0.45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spans="1:26" ht="11.25" customHeight="1" x14ac:dyDescent="0.45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spans="1:26" ht="11.25" customHeight="1" x14ac:dyDescent="0.45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spans="1:26" ht="11.25" customHeight="1" x14ac:dyDescent="0.45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spans="1:26" ht="11.25" customHeight="1" x14ac:dyDescent="0.45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spans="1:26" ht="11.25" customHeight="1" x14ac:dyDescent="0.45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spans="1:26" ht="11.25" customHeight="1" x14ac:dyDescent="0.45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spans="1:26" ht="11.25" customHeight="1" x14ac:dyDescent="0.4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spans="1:26" ht="11.25" customHeight="1" x14ac:dyDescent="0.45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spans="1:26" ht="11.25" customHeight="1" x14ac:dyDescent="0.45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spans="1:26" ht="11.25" customHeight="1" x14ac:dyDescent="0.45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spans="1:26" ht="11.25" customHeight="1" x14ac:dyDescent="0.45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spans="1:26" ht="11.25" customHeight="1" x14ac:dyDescent="0.45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spans="1:26" ht="11.25" customHeight="1" x14ac:dyDescent="0.45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spans="1:26" ht="11.25" customHeight="1" x14ac:dyDescent="0.45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spans="1:26" ht="11.25" customHeight="1" x14ac:dyDescent="0.45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spans="1:26" ht="11.25" customHeight="1" x14ac:dyDescent="0.45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spans="1:26" ht="11.25" customHeight="1" x14ac:dyDescent="0.4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spans="1:26" ht="11.25" customHeight="1" x14ac:dyDescent="0.45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spans="1:26" ht="11.25" customHeight="1" x14ac:dyDescent="0.45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spans="1:26" ht="11.25" customHeight="1" x14ac:dyDescent="0.45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spans="1:26" ht="11.25" customHeight="1" x14ac:dyDescent="0.45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spans="1:26" ht="11.25" customHeight="1" x14ac:dyDescent="0.45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spans="1:26" ht="11.25" customHeight="1" x14ac:dyDescent="0.45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spans="1:26" ht="11.25" customHeight="1" x14ac:dyDescent="0.45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spans="1:26" ht="11.25" customHeight="1" x14ac:dyDescent="0.45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spans="1:26" ht="11.25" customHeight="1" x14ac:dyDescent="0.45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spans="1:26" ht="11.25" customHeight="1" x14ac:dyDescent="0.4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spans="1:26" ht="11.25" customHeight="1" x14ac:dyDescent="0.45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spans="1:26" ht="11.25" customHeight="1" x14ac:dyDescent="0.45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spans="1:26" ht="11.25" customHeight="1" x14ac:dyDescent="0.45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spans="1:26" ht="11.25" customHeight="1" x14ac:dyDescent="0.45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spans="1:26" ht="11.25" customHeight="1" x14ac:dyDescent="0.45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spans="1:26" ht="11.25" customHeight="1" x14ac:dyDescent="0.45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spans="1:26" ht="11.25" customHeight="1" x14ac:dyDescent="0.45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spans="1:26" ht="11.25" customHeight="1" x14ac:dyDescent="0.45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spans="1:26" ht="11.25" customHeight="1" x14ac:dyDescent="0.45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spans="1:26" ht="11.25" customHeight="1" x14ac:dyDescent="0.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spans="1:26" ht="11.25" customHeight="1" x14ac:dyDescent="0.45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spans="1:26" ht="11.25" customHeight="1" x14ac:dyDescent="0.45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spans="1:26" ht="11.25" customHeight="1" x14ac:dyDescent="0.45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spans="1:26" ht="11.25" customHeight="1" x14ac:dyDescent="0.45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spans="1:26" ht="11.25" customHeight="1" x14ac:dyDescent="0.45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spans="1:26" ht="11.25" customHeight="1" x14ac:dyDescent="0.45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spans="1:26" ht="11.25" customHeight="1" x14ac:dyDescent="0.45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spans="1:26" ht="11.25" customHeight="1" x14ac:dyDescent="0.45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spans="1:26" ht="11.25" customHeight="1" x14ac:dyDescent="0.45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spans="1:26" ht="11.25" customHeight="1" x14ac:dyDescent="0.4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spans="1:26" ht="11.25" customHeight="1" x14ac:dyDescent="0.45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spans="1:26" ht="11.25" customHeight="1" x14ac:dyDescent="0.45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spans="1:26" ht="11.25" customHeight="1" x14ac:dyDescent="0.45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spans="1:26" ht="11.25" customHeight="1" x14ac:dyDescent="0.45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spans="1:26" ht="11.25" customHeight="1" x14ac:dyDescent="0.45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spans="1:26" ht="11.25" customHeight="1" x14ac:dyDescent="0.45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spans="1:26" ht="11.25" customHeight="1" x14ac:dyDescent="0.45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spans="1:26" ht="11.25" customHeight="1" x14ac:dyDescent="0.45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spans="1:26" ht="11.25" customHeight="1" x14ac:dyDescent="0.45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spans="1:26" ht="11.25" customHeight="1" x14ac:dyDescent="0.4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spans="1:26" ht="11.25" customHeight="1" x14ac:dyDescent="0.45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spans="1:26" ht="11.25" customHeight="1" x14ac:dyDescent="0.45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spans="1:26" ht="11.25" customHeight="1" x14ac:dyDescent="0.45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spans="1:26" ht="11.25" customHeight="1" x14ac:dyDescent="0.45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spans="1:26" ht="11.25" customHeight="1" x14ac:dyDescent="0.45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spans="1:26" ht="11.25" customHeight="1" x14ac:dyDescent="0.45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spans="1:26" ht="11.25" customHeight="1" x14ac:dyDescent="0.45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spans="1:26" ht="11.25" customHeight="1" x14ac:dyDescent="0.45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spans="1:26" ht="11.25" customHeight="1" x14ac:dyDescent="0.45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spans="1:26" ht="11.25" customHeight="1" x14ac:dyDescent="0.4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spans="1:26" ht="11.25" customHeight="1" x14ac:dyDescent="0.45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spans="1:26" ht="11.25" customHeight="1" x14ac:dyDescent="0.45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spans="1:26" ht="11.25" customHeight="1" x14ac:dyDescent="0.45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spans="1:26" ht="11.25" customHeight="1" x14ac:dyDescent="0.45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spans="1:26" ht="11.25" customHeight="1" x14ac:dyDescent="0.45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spans="1:26" ht="11.25" customHeight="1" x14ac:dyDescent="0.45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spans="1:26" ht="11.25" customHeight="1" x14ac:dyDescent="0.45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spans="1:26" ht="11.25" customHeight="1" x14ac:dyDescent="0.45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spans="1:26" ht="11.25" customHeight="1" x14ac:dyDescent="0.45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spans="1:26" ht="11.25" customHeight="1" x14ac:dyDescent="0.4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spans="1:26" ht="11.25" customHeight="1" x14ac:dyDescent="0.45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spans="1:26" ht="11.25" customHeight="1" x14ac:dyDescent="0.45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spans="1:26" ht="11.25" customHeight="1" x14ac:dyDescent="0.45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spans="1:26" ht="11.25" customHeight="1" x14ac:dyDescent="0.45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spans="1:26" ht="11.25" customHeight="1" x14ac:dyDescent="0.45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spans="1:26" ht="11.25" customHeight="1" x14ac:dyDescent="0.45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spans="1:26" ht="11.25" customHeight="1" x14ac:dyDescent="0.45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spans="1:26" ht="11.25" customHeight="1" x14ac:dyDescent="0.45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spans="1:26" ht="11.25" customHeight="1" x14ac:dyDescent="0.45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spans="1:26" ht="11.25" customHeight="1" x14ac:dyDescent="0.4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spans="1:26" ht="11.25" customHeight="1" x14ac:dyDescent="0.45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spans="1:26" ht="11.25" customHeight="1" x14ac:dyDescent="0.45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spans="1:26" ht="11.25" customHeight="1" x14ac:dyDescent="0.45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spans="1:26" ht="11.25" customHeight="1" x14ac:dyDescent="0.45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spans="1:26" ht="11.25" customHeight="1" x14ac:dyDescent="0.45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spans="1:26" ht="11.25" customHeight="1" x14ac:dyDescent="0.45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spans="1:26" ht="11.25" customHeight="1" x14ac:dyDescent="0.45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spans="1:26" ht="11.25" customHeight="1" x14ac:dyDescent="0.45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spans="1:26" ht="11.25" customHeight="1" x14ac:dyDescent="0.45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spans="1:26" ht="11.25" customHeight="1" x14ac:dyDescent="0.4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spans="1:26" ht="11.25" customHeight="1" x14ac:dyDescent="0.45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spans="1:26" ht="11.25" customHeight="1" x14ac:dyDescent="0.45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spans="1:26" ht="11.25" customHeight="1" x14ac:dyDescent="0.45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spans="1:26" ht="11.25" customHeight="1" x14ac:dyDescent="0.45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spans="1:26" ht="11.25" customHeight="1" x14ac:dyDescent="0.45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spans="1:26" ht="11.25" customHeight="1" x14ac:dyDescent="0.45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spans="1:26" ht="11.25" customHeight="1" x14ac:dyDescent="0.45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spans="1:26" ht="11.25" customHeight="1" x14ac:dyDescent="0.45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spans="1:26" ht="11.25" customHeight="1" x14ac:dyDescent="0.45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spans="1:26" ht="11.25" customHeight="1" x14ac:dyDescent="0.4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spans="1:26" ht="11.25" customHeight="1" x14ac:dyDescent="0.45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spans="1:26" ht="11.25" customHeight="1" x14ac:dyDescent="0.45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spans="1:26" ht="11.25" customHeight="1" x14ac:dyDescent="0.45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spans="1:26" ht="11.25" customHeight="1" x14ac:dyDescent="0.45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spans="1:26" ht="11.25" customHeight="1" x14ac:dyDescent="0.45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spans="1:26" ht="11.25" customHeight="1" x14ac:dyDescent="0.45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spans="1:26" ht="11.25" customHeight="1" x14ac:dyDescent="0.45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spans="1:26" ht="11.25" customHeight="1" x14ac:dyDescent="0.45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spans="1:26" ht="11.25" customHeight="1" x14ac:dyDescent="0.45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spans="1:26" ht="11.25" customHeight="1" x14ac:dyDescent="0.4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spans="1:26" ht="11.25" customHeight="1" x14ac:dyDescent="0.45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spans="1:26" ht="11.25" customHeight="1" x14ac:dyDescent="0.45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spans="1:26" ht="11.25" customHeight="1" x14ac:dyDescent="0.45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spans="1:26" ht="11.25" customHeight="1" x14ac:dyDescent="0.45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spans="1:26" ht="11.25" customHeight="1" x14ac:dyDescent="0.45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spans="1:26" ht="11.25" customHeight="1" x14ac:dyDescent="0.45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spans="1:26" ht="11.25" customHeight="1" x14ac:dyDescent="0.45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spans="1:26" ht="11.25" customHeight="1" x14ac:dyDescent="0.45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spans="1:26" ht="11.25" customHeight="1" x14ac:dyDescent="0.45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spans="1:26" ht="11.25" customHeight="1" x14ac:dyDescent="0.4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spans="1:26" ht="11.25" customHeight="1" x14ac:dyDescent="0.45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spans="1:26" ht="11.25" customHeight="1" x14ac:dyDescent="0.45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spans="1:26" ht="11.25" customHeight="1" x14ac:dyDescent="0.45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spans="1:26" ht="11.25" customHeight="1" x14ac:dyDescent="0.45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spans="1:26" ht="11.25" customHeight="1" x14ac:dyDescent="0.45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spans="1:26" ht="11.25" customHeight="1" x14ac:dyDescent="0.45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spans="1:26" ht="11.25" customHeight="1" x14ac:dyDescent="0.45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spans="1:26" ht="11.25" customHeight="1" x14ac:dyDescent="0.45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spans="1:26" ht="11.25" customHeight="1" x14ac:dyDescent="0.45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spans="1:26" ht="11.25" customHeight="1" x14ac:dyDescent="0.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spans="1:26" ht="11.25" customHeight="1" x14ac:dyDescent="0.45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spans="1:26" ht="11.25" customHeight="1" x14ac:dyDescent="0.45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spans="1:26" ht="11.25" customHeight="1" x14ac:dyDescent="0.45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spans="1:26" ht="11.25" customHeight="1" x14ac:dyDescent="0.45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spans="1:26" ht="11.25" customHeight="1" x14ac:dyDescent="0.45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spans="1:26" ht="11.25" customHeight="1" x14ac:dyDescent="0.45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spans="1:26" ht="11.25" customHeight="1" x14ac:dyDescent="0.45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spans="1:26" ht="11.25" customHeight="1" x14ac:dyDescent="0.45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spans="1:26" ht="11.25" customHeight="1" x14ac:dyDescent="0.45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spans="1:26" ht="11.25" customHeight="1" x14ac:dyDescent="0.4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spans="1:26" ht="11.25" customHeight="1" x14ac:dyDescent="0.45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spans="1:26" ht="11.25" customHeight="1" x14ac:dyDescent="0.45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spans="1:26" ht="11.25" customHeight="1" x14ac:dyDescent="0.45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spans="1:26" ht="11.25" customHeight="1" x14ac:dyDescent="0.45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spans="1:26" ht="11.25" customHeight="1" x14ac:dyDescent="0.45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spans="1:26" ht="11.25" customHeight="1" x14ac:dyDescent="0.45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spans="1:26" ht="11.25" customHeight="1" x14ac:dyDescent="0.45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spans="1:26" ht="11.25" customHeight="1" x14ac:dyDescent="0.45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spans="1:26" ht="11.25" customHeight="1" x14ac:dyDescent="0.45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spans="1:26" ht="11.25" customHeight="1" x14ac:dyDescent="0.4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spans="1:26" ht="11.25" customHeight="1" x14ac:dyDescent="0.45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spans="1:26" ht="11.25" customHeight="1" x14ac:dyDescent="0.45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spans="1:26" ht="11.25" customHeight="1" x14ac:dyDescent="0.45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spans="1:26" ht="11.25" customHeight="1" x14ac:dyDescent="0.45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spans="1:26" ht="11.25" customHeight="1" x14ac:dyDescent="0.45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spans="1:26" ht="11.25" customHeight="1" x14ac:dyDescent="0.45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spans="1:26" ht="11.25" customHeight="1" x14ac:dyDescent="0.45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spans="1:26" ht="11.25" customHeight="1" x14ac:dyDescent="0.45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spans="1:26" ht="11.25" customHeight="1" x14ac:dyDescent="0.45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spans="1:26" ht="11.25" customHeight="1" x14ac:dyDescent="0.4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spans="1:26" ht="11.25" customHeight="1" x14ac:dyDescent="0.45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spans="1:26" ht="11.25" customHeight="1" x14ac:dyDescent="0.45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spans="1:26" ht="11.25" customHeight="1" x14ac:dyDescent="0.45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spans="1:26" ht="11.25" customHeight="1" x14ac:dyDescent="0.45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spans="1:26" ht="11.25" customHeight="1" x14ac:dyDescent="0.45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spans="1:26" ht="11.25" customHeight="1" x14ac:dyDescent="0.45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spans="1:26" ht="11.25" customHeight="1" x14ac:dyDescent="0.45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spans="1:26" ht="11.25" customHeight="1" x14ac:dyDescent="0.45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spans="1:26" ht="11.25" customHeight="1" x14ac:dyDescent="0.45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spans="1:26" ht="11.25" customHeight="1" x14ac:dyDescent="0.4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spans="1:26" ht="11.25" customHeight="1" x14ac:dyDescent="0.45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spans="1:26" ht="11.25" customHeight="1" x14ac:dyDescent="0.45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spans="1:26" ht="11.25" customHeight="1" x14ac:dyDescent="0.45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spans="1:26" ht="11.25" customHeight="1" x14ac:dyDescent="0.45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spans="1:26" ht="11.25" customHeight="1" x14ac:dyDescent="0.45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spans="1:26" ht="11.25" customHeight="1" x14ac:dyDescent="0.45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spans="1:26" ht="11.25" customHeight="1" x14ac:dyDescent="0.45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spans="1:26" ht="11.25" customHeight="1" x14ac:dyDescent="0.45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spans="1:26" ht="11.25" customHeight="1" x14ac:dyDescent="0.45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spans="1:26" ht="11.25" customHeight="1" x14ac:dyDescent="0.4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spans="1:26" ht="11.25" customHeight="1" x14ac:dyDescent="0.45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spans="1:26" ht="11.25" customHeight="1" x14ac:dyDescent="0.45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spans="1:26" ht="11.25" customHeight="1" x14ac:dyDescent="0.45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spans="1:26" ht="11.25" customHeight="1" x14ac:dyDescent="0.45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spans="1:26" ht="11.25" customHeight="1" x14ac:dyDescent="0.45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spans="1:26" ht="11.25" customHeight="1" x14ac:dyDescent="0.45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spans="1:26" ht="11.25" customHeight="1" x14ac:dyDescent="0.45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spans="1:26" ht="11.25" customHeight="1" x14ac:dyDescent="0.45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spans="1:26" ht="11.25" customHeight="1" x14ac:dyDescent="0.45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spans="1:26" ht="11.25" customHeight="1" x14ac:dyDescent="0.4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spans="1:26" ht="11.25" customHeight="1" x14ac:dyDescent="0.45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spans="1:26" ht="11.25" customHeight="1" x14ac:dyDescent="0.45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spans="1:26" ht="11.25" customHeight="1" x14ac:dyDescent="0.45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spans="1:26" ht="11.25" customHeight="1" x14ac:dyDescent="0.45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spans="1:26" ht="11.25" customHeight="1" x14ac:dyDescent="0.45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spans="1:26" ht="11.25" customHeight="1" x14ac:dyDescent="0.45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spans="1:26" ht="11.25" customHeight="1" x14ac:dyDescent="0.45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spans="1:26" ht="11.25" customHeight="1" x14ac:dyDescent="0.45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spans="1:26" ht="11.25" customHeight="1" x14ac:dyDescent="0.45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spans="1:26" ht="11.25" customHeight="1" x14ac:dyDescent="0.4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spans="1:26" ht="11.25" customHeight="1" x14ac:dyDescent="0.45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spans="1:26" ht="11.25" customHeight="1" x14ac:dyDescent="0.45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spans="1:26" ht="11.25" customHeight="1" x14ac:dyDescent="0.45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spans="1:26" ht="11.25" customHeight="1" x14ac:dyDescent="0.45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spans="1:26" ht="11.25" customHeight="1" x14ac:dyDescent="0.45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spans="1:26" ht="11.25" customHeight="1" x14ac:dyDescent="0.45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spans="1:26" ht="11.25" customHeight="1" x14ac:dyDescent="0.45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spans="1:26" ht="11.25" customHeight="1" x14ac:dyDescent="0.45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spans="1:26" ht="11.25" customHeight="1" x14ac:dyDescent="0.45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spans="1:26" ht="11.25" customHeight="1" x14ac:dyDescent="0.4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spans="1:26" ht="11.25" customHeight="1" x14ac:dyDescent="0.45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spans="1:26" ht="11.25" customHeight="1" x14ac:dyDescent="0.45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spans="1:26" ht="11.25" customHeight="1" x14ac:dyDescent="0.45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spans="1:26" ht="11.25" customHeight="1" x14ac:dyDescent="0.45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spans="1:26" ht="11.25" customHeight="1" x14ac:dyDescent="0.45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spans="1:26" ht="11.25" customHeight="1" x14ac:dyDescent="0.45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spans="1:26" ht="11.25" customHeight="1" x14ac:dyDescent="0.45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spans="1:26" ht="11.25" customHeight="1" x14ac:dyDescent="0.45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spans="1:26" ht="11.25" customHeight="1" x14ac:dyDescent="0.45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spans="1:26" ht="11.25" customHeight="1" x14ac:dyDescent="0.4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spans="1:26" ht="11.25" customHeight="1" x14ac:dyDescent="0.45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spans="1:26" ht="11.25" customHeight="1" x14ac:dyDescent="0.45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spans="1:26" ht="11.25" customHeight="1" x14ac:dyDescent="0.45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spans="1:26" ht="11.25" customHeight="1" x14ac:dyDescent="0.45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spans="1:26" ht="11.25" customHeight="1" x14ac:dyDescent="0.45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spans="1:26" ht="11.25" customHeight="1" x14ac:dyDescent="0.45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spans="1:26" ht="11.25" customHeight="1" x14ac:dyDescent="0.45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spans="1:26" ht="11.25" customHeight="1" x14ac:dyDescent="0.45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spans="1:26" ht="11.25" customHeight="1" x14ac:dyDescent="0.45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spans="1:26" ht="11.25" customHeight="1" x14ac:dyDescent="0.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spans="1:26" ht="11.25" customHeight="1" x14ac:dyDescent="0.45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spans="1:26" ht="11.25" customHeight="1" x14ac:dyDescent="0.45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spans="1:26" ht="11.25" customHeight="1" x14ac:dyDescent="0.45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spans="1:26" ht="11.25" customHeight="1" x14ac:dyDescent="0.45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spans="1:26" ht="11.25" customHeight="1" x14ac:dyDescent="0.45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spans="1:26" ht="11.25" customHeight="1" x14ac:dyDescent="0.45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spans="1:26" ht="11.25" customHeight="1" x14ac:dyDescent="0.45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spans="1:26" ht="11.25" customHeight="1" x14ac:dyDescent="0.45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spans="1:26" ht="11.25" customHeight="1" x14ac:dyDescent="0.45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spans="1:26" ht="11.25" customHeight="1" x14ac:dyDescent="0.4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spans="1:26" ht="11.25" customHeight="1" x14ac:dyDescent="0.45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spans="1:26" ht="11.25" customHeight="1" x14ac:dyDescent="0.45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spans="1:26" ht="11.25" customHeight="1" x14ac:dyDescent="0.45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spans="1:26" ht="11.25" customHeight="1" x14ac:dyDescent="0.45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spans="1:26" ht="11.25" customHeight="1" x14ac:dyDescent="0.45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spans="1:26" ht="11.25" customHeight="1" x14ac:dyDescent="0.45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spans="1:26" ht="11.25" customHeight="1" x14ac:dyDescent="0.45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spans="1:26" ht="11.25" customHeight="1" x14ac:dyDescent="0.45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spans="1:26" ht="11.25" customHeight="1" x14ac:dyDescent="0.45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spans="1:26" ht="11.25" customHeight="1" x14ac:dyDescent="0.4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spans="1:26" ht="11.25" customHeight="1" x14ac:dyDescent="0.45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spans="1:26" ht="11.25" customHeight="1" x14ac:dyDescent="0.45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spans="1:26" ht="11.25" customHeight="1" x14ac:dyDescent="0.45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spans="1:26" ht="11.25" customHeight="1" x14ac:dyDescent="0.45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spans="1:26" ht="11.25" customHeight="1" x14ac:dyDescent="0.45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spans="1:26" ht="11.25" customHeight="1" x14ac:dyDescent="0.45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spans="1:26" ht="11.25" customHeight="1" x14ac:dyDescent="0.45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spans="1:26" ht="11.25" customHeight="1" x14ac:dyDescent="0.45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spans="1:26" ht="11.25" customHeight="1" x14ac:dyDescent="0.45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spans="1:26" ht="11.25" customHeight="1" x14ac:dyDescent="0.4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spans="1:26" ht="11.25" customHeight="1" x14ac:dyDescent="0.45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spans="1:26" ht="11.25" customHeight="1" x14ac:dyDescent="0.45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spans="1:26" ht="11.25" customHeight="1" x14ac:dyDescent="0.45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spans="1:26" ht="11.25" customHeight="1" x14ac:dyDescent="0.45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spans="1:26" ht="11.25" customHeight="1" x14ac:dyDescent="0.45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spans="1:26" ht="11.25" customHeight="1" x14ac:dyDescent="0.45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spans="1:26" ht="11.25" customHeight="1" x14ac:dyDescent="0.45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spans="1:26" ht="11.25" customHeight="1" x14ac:dyDescent="0.45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spans="1:26" ht="11.25" customHeight="1" x14ac:dyDescent="0.45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spans="1:26" ht="11.25" customHeight="1" x14ac:dyDescent="0.4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spans="1:26" ht="11.25" customHeight="1" x14ac:dyDescent="0.45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spans="1:26" ht="11.25" customHeight="1" x14ac:dyDescent="0.45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spans="1:26" ht="11.25" customHeight="1" x14ac:dyDescent="0.45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spans="1:26" ht="11.25" customHeight="1" x14ac:dyDescent="0.45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spans="1:26" ht="11.25" customHeight="1" x14ac:dyDescent="0.45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spans="1:26" ht="11.25" customHeight="1" x14ac:dyDescent="0.45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spans="1:26" ht="11.25" customHeight="1" x14ac:dyDescent="0.45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spans="1:26" ht="11.25" customHeight="1" x14ac:dyDescent="0.45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spans="1:26" ht="11.25" customHeight="1" x14ac:dyDescent="0.45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spans="1:26" ht="11.25" customHeight="1" x14ac:dyDescent="0.4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spans="1:26" ht="11.25" customHeight="1" x14ac:dyDescent="0.45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spans="1:26" ht="11.25" customHeight="1" x14ac:dyDescent="0.45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spans="1:26" ht="11.25" customHeight="1" x14ac:dyDescent="0.45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spans="1:26" ht="11.25" customHeight="1" x14ac:dyDescent="0.45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spans="1:26" ht="11.25" customHeight="1" x14ac:dyDescent="0.45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spans="1:26" ht="11.25" customHeight="1" x14ac:dyDescent="0.45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spans="1:26" ht="11.25" customHeight="1" x14ac:dyDescent="0.45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spans="1:26" ht="11.25" customHeight="1" x14ac:dyDescent="0.45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spans="1:26" ht="11.25" customHeight="1" x14ac:dyDescent="0.45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spans="1:26" ht="11.25" customHeight="1" x14ac:dyDescent="0.4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spans="1:26" ht="11.25" customHeight="1" x14ac:dyDescent="0.45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spans="1:26" ht="11.25" customHeight="1" x14ac:dyDescent="0.45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spans="1:26" ht="11.25" customHeight="1" x14ac:dyDescent="0.45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spans="1:26" ht="11.25" customHeight="1" x14ac:dyDescent="0.45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spans="1:26" ht="11.25" customHeight="1" x14ac:dyDescent="0.45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spans="1:26" ht="11.25" customHeight="1" x14ac:dyDescent="0.45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spans="1:26" ht="11.25" customHeight="1" x14ac:dyDescent="0.45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spans="1:26" ht="11.25" customHeight="1" x14ac:dyDescent="0.45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spans="1:26" ht="11.25" customHeight="1" x14ac:dyDescent="0.45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spans="1:26" ht="11.25" customHeight="1" x14ac:dyDescent="0.4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spans="1:26" ht="11.25" customHeight="1" x14ac:dyDescent="0.45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spans="1:26" ht="11.25" customHeight="1" x14ac:dyDescent="0.45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spans="1:26" ht="11.25" customHeight="1" x14ac:dyDescent="0.45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spans="1:26" ht="11.25" customHeight="1" x14ac:dyDescent="0.45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spans="1:26" ht="11.25" customHeight="1" x14ac:dyDescent="0.45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spans="1:26" ht="11.25" customHeight="1" x14ac:dyDescent="0.45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spans="1:26" ht="11.25" customHeight="1" x14ac:dyDescent="0.45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spans="1:26" ht="11.25" customHeight="1" x14ac:dyDescent="0.45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spans="1:26" ht="11.25" customHeight="1" x14ac:dyDescent="0.45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spans="1:26" ht="11.25" customHeight="1" x14ac:dyDescent="0.4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spans="1:26" ht="11.25" customHeight="1" x14ac:dyDescent="0.45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spans="1:26" ht="11.25" customHeight="1" x14ac:dyDescent="0.45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spans="1:26" ht="11.25" customHeight="1" x14ac:dyDescent="0.45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spans="1:26" ht="11.25" customHeight="1" x14ac:dyDescent="0.45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spans="1:26" ht="11.25" customHeight="1" x14ac:dyDescent="0.45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spans="1:26" ht="11.25" customHeight="1" x14ac:dyDescent="0.45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spans="1:26" ht="11.25" customHeight="1" x14ac:dyDescent="0.45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spans="1:26" ht="11.25" customHeight="1" x14ac:dyDescent="0.45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spans="1:26" ht="11.25" customHeight="1" x14ac:dyDescent="0.45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spans="1:26" ht="11.25" customHeight="1" x14ac:dyDescent="0.4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spans="1:26" ht="11.25" customHeight="1" x14ac:dyDescent="0.45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spans="1:26" ht="11.25" customHeight="1" x14ac:dyDescent="0.45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spans="1:26" ht="11.25" customHeight="1" x14ac:dyDescent="0.45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spans="1:26" ht="11.25" customHeight="1" x14ac:dyDescent="0.45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spans="1:26" ht="11.25" customHeight="1" x14ac:dyDescent="0.45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spans="1:26" ht="11.25" customHeight="1" x14ac:dyDescent="0.45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spans="1:26" ht="11.25" customHeight="1" x14ac:dyDescent="0.45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spans="1:26" ht="11.25" customHeight="1" x14ac:dyDescent="0.45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spans="1:26" ht="11.25" customHeight="1" x14ac:dyDescent="0.45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spans="1:26" ht="11.25" customHeight="1" x14ac:dyDescent="0.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spans="1:26" ht="11.25" customHeight="1" x14ac:dyDescent="0.45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spans="1:26" ht="11.25" customHeight="1" x14ac:dyDescent="0.45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spans="1:26" ht="11.25" customHeight="1" x14ac:dyDescent="0.45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spans="1:26" ht="11.25" customHeight="1" x14ac:dyDescent="0.45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spans="1:26" ht="11.25" customHeight="1" x14ac:dyDescent="0.45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spans="1:26" ht="11.25" customHeight="1" x14ac:dyDescent="0.45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spans="1:26" ht="11.25" customHeight="1" x14ac:dyDescent="0.45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spans="1:26" ht="11.25" customHeight="1" x14ac:dyDescent="0.45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spans="1:26" ht="11.25" customHeight="1" x14ac:dyDescent="0.45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spans="1:26" ht="11.25" customHeight="1" x14ac:dyDescent="0.4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spans="1:26" ht="11.25" customHeight="1" x14ac:dyDescent="0.45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spans="1:26" ht="11.25" customHeight="1" x14ac:dyDescent="0.45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spans="1:26" ht="11.25" customHeight="1" x14ac:dyDescent="0.45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spans="1:26" ht="11.25" customHeight="1" x14ac:dyDescent="0.45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spans="1:26" ht="11.25" customHeight="1" x14ac:dyDescent="0.45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spans="1:26" ht="11.25" customHeight="1" x14ac:dyDescent="0.45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spans="1:26" ht="11.25" customHeight="1" x14ac:dyDescent="0.45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spans="1:26" ht="11.25" customHeight="1" x14ac:dyDescent="0.45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spans="1:26" ht="11.25" customHeight="1" x14ac:dyDescent="0.45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spans="1:26" ht="11.25" customHeight="1" x14ac:dyDescent="0.4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spans="1:26" ht="11.25" customHeight="1" x14ac:dyDescent="0.45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spans="1:26" ht="11.25" customHeight="1" x14ac:dyDescent="0.45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spans="1:26" ht="11.25" customHeight="1" x14ac:dyDescent="0.45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spans="1:26" ht="11.25" customHeight="1" x14ac:dyDescent="0.45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spans="1:26" ht="11.25" customHeight="1" x14ac:dyDescent="0.45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spans="1:26" ht="11.25" customHeight="1" x14ac:dyDescent="0.45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spans="1:26" ht="11.25" customHeight="1" x14ac:dyDescent="0.45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spans="1:26" ht="11.25" customHeight="1" x14ac:dyDescent="0.45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spans="1:26" ht="11.25" customHeight="1" x14ac:dyDescent="0.45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spans="1:26" ht="11.25" customHeight="1" x14ac:dyDescent="0.4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spans="1:26" ht="11.25" customHeight="1" x14ac:dyDescent="0.45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spans="1:26" ht="11.25" customHeight="1" x14ac:dyDescent="0.45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spans="1:26" ht="11.25" customHeight="1" x14ac:dyDescent="0.45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spans="1:26" ht="11.25" customHeight="1" x14ac:dyDescent="0.45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spans="1:26" ht="11.25" customHeight="1" x14ac:dyDescent="0.45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spans="1:26" ht="11.25" customHeight="1" x14ac:dyDescent="0.45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spans="1:26" ht="11.25" customHeight="1" x14ac:dyDescent="0.45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spans="1:26" ht="11.25" customHeight="1" x14ac:dyDescent="0.45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spans="1:26" ht="11.25" customHeight="1" x14ac:dyDescent="0.45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spans="1:26" ht="11.25" customHeight="1" x14ac:dyDescent="0.4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spans="1:26" ht="11.25" customHeight="1" x14ac:dyDescent="0.45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spans="1:26" ht="11.25" customHeight="1" x14ac:dyDescent="0.45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spans="1:26" ht="11.25" customHeight="1" x14ac:dyDescent="0.45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spans="1:26" ht="11.25" customHeight="1" x14ac:dyDescent="0.45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spans="1:26" ht="11.25" customHeight="1" x14ac:dyDescent="0.45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spans="1:26" ht="11.25" customHeight="1" x14ac:dyDescent="0.45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spans="1:26" ht="11.25" customHeight="1" x14ac:dyDescent="0.45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spans="1:26" ht="11.25" customHeight="1" x14ac:dyDescent="0.45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spans="1:26" ht="11.25" customHeight="1" x14ac:dyDescent="0.45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spans="1:26" ht="11.25" customHeight="1" x14ac:dyDescent="0.4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spans="1:26" ht="11.25" customHeight="1" x14ac:dyDescent="0.45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spans="1:26" ht="11.25" customHeight="1" x14ac:dyDescent="0.45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spans="1:26" ht="11.25" customHeight="1" x14ac:dyDescent="0.45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spans="1:26" ht="11.25" customHeight="1" x14ac:dyDescent="0.45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spans="1:26" ht="11.25" customHeight="1" x14ac:dyDescent="0.45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spans="1:26" ht="11.25" customHeight="1" x14ac:dyDescent="0.45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spans="1:26" ht="11.25" customHeight="1" x14ac:dyDescent="0.45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spans="1:26" ht="11.25" customHeight="1" x14ac:dyDescent="0.45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spans="1:26" ht="11.25" customHeight="1" x14ac:dyDescent="0.45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spans="1:26" ht="11.25" customHeight="1" x14ac:dyDescent="0.4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spans="1:26" ht="11.25" customHeight="1" x14ac:dyDescent="0.45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spans="1:26" ht="11.25" customHeight="1" x14ac:dyDescent="0.45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spans="1:26" ht="11.25" customHeight="1" x14ac:dyDescent="0.45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spans="1:26" ht="11.25" customHeight="1" x14ac:dyDescent="0.45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spans="1:26" ht="11.25" customHeight="1" x14ac:dyDescent="0.45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spans="1:26" ht="11.25" customHeight="1" x14ac:dyDescent="0.45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spans="1:26" ht="11.25" customHeight="1" x14ac:dyDescent="0.45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spans="1:26" ht="11.25" customHeight="1" x14ac:dyDescent="0.45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spans="1:26" ht="11.25" customHeight="1" x14ac:dyDescent="0.45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spans="1:26" ht="11.25" customHeight="1" x14ac:dyDescent="0.4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spans="1:26" ht="11.25" customHeight="1" x14ac:dyDescent="0.45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spans="1:26" ht="11.25" customHeight="1" x14ac:dyDescent="0.45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spans="1:26" ht="11.25" customHeight="1" x14ac:dyDescent="0.45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spans="1:26" ht="11.25" customHeight="1" x14ac:dyDescent="0.45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spans="1:26" ht="11.25" customHeight="1" x14ac:dyDescent="0.45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spans="1:26" ht="11.25" customHeight="1" x14ac:dyDescent="0.45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spans="1:26" ht="11.25" customHeight="1" x14ac:dyDescent="0.45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spans="1:26" ht="11.25" customHeight="1" x14ac:dyDescent="0.45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spans="1:26" ht="11.25" customHeight="1" x14ac:dyDescent="0.45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spans="1:26" ht="11.25" customHeight="1" x14ac:dyDescent="0.4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spans="1:26" ht="11.25" customHeight="1" x14ac:dyDescent="0.45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spans="1:26" ht="11.25" customHeight="1" x14ac:dyDescent="0.45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spans="1:26" ht="11.25" customHeight="1" x14ac:dyDescent="0.45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spans="1:26" ht="11.25" customHeight="1" x14ac:dyDescent="0.45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spans="1:26" ht="11.25" customHeight="1" x14ac:dyDescent="0.45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spans="1:26" ht="11.25" customHeight="1" x14ac:dyDescent="0.45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spans="1:26" ht="11.25" customHeight="1" x14ac:dyDescent="0.45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spans="1:26" ht="11.25" customHeight="1" x14ac:dyDescent="0.45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spans="1:26" ht="11.25" customHeight="1" x14ac:dyDescent="0.45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spans="1:26" ht="11.25" customHeight="1" x14ac:dyDescent="0.4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spans="1:26" ht="11.25" customHeight="1" x14ac:dyDescent="0.45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spans="1:26" ht="11.25" customHeight="1" x14ac:dyDescent="0.45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spans="1:26" ht="11.25" customHeight="1" x14ac:dyDescent="0.45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spans="1:26" ht="11.25" customHeight="1" x14ac:dyDescent="0.45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spans="1:26" ht="11.25" customHeight="1" x14ac:dyDescent="0.45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spans="1:26" ht="11.25" customHeight="1" x14ac:dyDescent="0.45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spans="1:26" ht="11.25" customHeight="1" x14ac:dyDescent="0.45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spans="1:26" ht="11.25" customHeight="1" x14ac:dyDescent="0.45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spans="1:26" ht="11.25" customHeight="1" x14ac:dyDescent="0.45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spans="1:26" ht="11.25" customHeight="1" x14ac:dyDescent="0.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spans="1:26" ht="11.25" customHeight="1" x14ac:dyDescent="0.45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spans="1:26" ht="11.25" customHeight="1" x14ac:dyDescent="0.45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spans="1:26" ht="11.25" customHeight="1" x14ac:dyDescent="0.45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spans="1:26" ht="11.25" customHeight="1" x14ac:dyDescent="0.45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spans="1:26" ht="11.25" customHeight="1" x14ac:dyDescent="0.45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spans="1:26" ht="11.25" customHeight="1" x14ac:dyDescent="0.45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spans="1:26" ht="11.25" customHeight="1" x14ac:dyDescent="0.45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spans="1:26" ht="11.25" customHeight="1" x14ac:dyDescent="0.45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spans="1:26" ht="11.25" customHeight="1" x14ac:dyDescent="0.45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spans="1:26" ht="11.25" customHeight="1" x14ac:dyDescent="0.4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spans="1:26" ht="11.25" customHeight="1" x14ac:dyDescent="0.45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spans="1:26" ht="11.25" customHeight="1" x14ac:dyDescent="0.45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spans="1:26" ht="11.25" customHeight="1" x14ac:dyDescent="0.45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spans="1:26" ht="11.25" customHeight="1" x14ac:dyDescent="0.45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spans="1:26" ht="11.25" customHeight="1" x14ac:dyDescent="0.45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spans="1:26" ht="11.25" customHeight="1" x14ac:dyDescent="0.45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spans="1:26" ht="11.25" customHeight="1" x14ac:dyDescent="0.45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spans="1:26" ht="11.25" customHeight="1" x14ac:dyDescent="0.45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spans="1:26" ht="11.25" customHeight="1" x14ac:dyDescent="0.45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spans="1:26" ht="11.25" customHeight="1" x14ac:dyDescent="0.4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spans="1:26" ht="11.25" customHeight="1" x14ac:dyDescent="0.45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spans="1:26" ht="11.25" customHeight="1" x14ac:dyDescent="0.45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spans="1:26" ht="11.25" customHeight="1" x14ac:dyDescent="0.45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spans="1:26" ht="11.25" customHeight="1" x14ac:dyDescent="0.45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spans="1:26" ht="11.25" customHeight="1" x14ac:dyDescent="0.45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spans="1:26" ht="11.25" customHeight="1" x14ac:dyDescent="0.45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spans="1:26" ht="11.25" customHeight="1" x14ac:dyDescent="0.45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spans="1:26" ht="11.25" customHeight="1" x14ac:dyDescent="0.45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spans="1:26" ht="11.25" customHeight="1" x14ac:dyDescent="0.45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spans="1:26" ht="11.25" customHeight="1" x14ac:dyDescent="0.4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spans="1:26" ht="11.25" customHeight="1" x14ac:dyDescent="0.45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spans="1:26" ht="11.25" customHeight="1" x14ac:dyDescent="0.45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spans="1:26" ht="11.25" customHeight="1" x14ac:dyDescent="0.45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spans="1:26" ht="11.25" customHeight="1" x14ac:dyDescent="0.45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spans="1:26" ht="11.25" customHeight="1" x14ac:dyDescent="0.45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spans="1:26" ht="11.25" customHeight="1" x14ac:dyDescent="0.45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spans="1:26" ht="11.25" customHeight="1" x14ac:dyDescent="0.45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spans="1:26" ht="11.25" customHeight="1" x14ac:dyDescent="0.45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spans="1:26" ht="11.25" customHeight="1" x14ac:dyDescent="0.45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spans="1:26" ht="11.25" customHeight="1" x14ac:dyDescent="0.4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spans="1:26" ht="11.25" customHeight="1" x14ac:dyDescent="0.45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spans="1:26" ht="11.25" customHeight="1" x14ac:dyDescent="0.45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spans="1:26" ht="11.25" customHeight="1" x14ac:dyDescent="0.45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spans="1:26" ht="11.25" customHeight="1" x14ac:dyDescent="0.45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spans="1:26" ht="11.25" customHeight="1" x14ac:dyDescent="0.45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spans="1:26" ht="11.25" customHeight="1" x14ac:dyDescent="0.45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spans="1:26" ht="11.25" customHeight="1" x14ac:dyDescent="0.45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spans="1:26" ht="11.25" customHeight="1" x14ac:dyDescent="0.45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spans="1:26" ht="11.25" customHeight="1" x14ac:dyDescent="0.45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spans="1:26" ht="11.25" customHeight="1" x14ac:dyDescent="0.4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spans="1:26" ht="11.25" customHeight="1" x14ac:dyDescent="0.45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spans="1:26" ht="11.25" customHeight="1" x14ac:dyDescent="0.45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spans="1:26" ht="11.25" customHeight="1" x14ac:dyDescent="0.45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spans="1:26" ht="11.25" customHeight="1" x14ac:dyDescent="0.45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spans="1:26" ht="11.25" customHeight="1" x14ac:dyDescent="0.45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spans="1:26" ht="11.25" customHeight="1" x14ac:dyDescent="0.45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spans="1:26" ht="11.25" customHeight="1" x14ac:dyDescent="0.45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spans="1:26" ht="11.25" customHeight="1" x14ac:dyDescent="0.45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spans="1:26" ht="11.25" customHeight="1" x14ac:dyDescent="0.45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spans="1:26" ht="11.25" customHeight="1" x14ac:dyDescent="0.4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spans="1:26" ht="11.25" customHeight="1" x14ac:dyDescent="0.45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spans="1:26" ht="11.25" customHeight="1" x14ac:dyDescent="0.45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spans="1:26" ht="11.25" customHeight="1" x14ac:dyDescent="0.45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spans="1:26" ht="11.25" customHeight="1" x14ac:dyDescent="0.45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spans="1:26" ht="11.25" customHeight="1" x14ac:dyDescent="0.45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spans="1:26" ht="11.25" customHeight="1" x14ac:dyDescent="0.45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spans="1:26" ht="11.25" customHeight="1" x14ac:dyDescent="0.45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spans="1:26" ht="11.25" customHeight="1" x14ac:dyDescent="0.45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spans="1:26" ht="11.25" customHeight="1" x14ac:dyDescent="0.45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spans="1:26" ht="11.25" customHeight="1" x14ac:dyDescent="0.4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spans="1:26" ht="11.25" customHeight="1" x14ac:dyDescent="0.45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spans="1:26" ht="11.25" customHeight="1" x14ac:dyDescent="0.45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spans="1:26" ht="11.25" customHeight="1" x14ac:dyDescent="0.45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spans="1:26" ht="11.25" customHeight="1" x14ac:dyDescent="0.45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spans="1:26" ht="11.25" customHeight="1" x14ac:dyDescent="0.45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spans="1:26" ht="11.25" customHeight="1" x14ac:dyDescent="0.45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spans="1:26" ht="11.25" customHeight="1" x14ac:dyDescent="0.45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spans="1:26" ht="11.25" customHeight="1" x14ac:dyDescent="0.45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spans="1:26" ht="11.25" customHeight="1" x14ac:dyDescent="0.45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spans="1:26" ht="11.25" customHeight="1" x14ac:dyDescent="0.4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spans="1:26" ht="11.25" customHeight="1" x14ac:dyDescent="0.45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spans="1:26" ht="11.25" customHeight="1" x14ac:dyDescent="0.45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spans="1:26" ht="11.25" customHeight="1" x14ac:dyDescent="0.45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spans="1:26" ht="11.25" customHeight="1" x14ac:dyDescent="0.45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spans="1:26" ht="11.25" customHeight="1" x14ac:dyDescent="0.45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spans="1:26" ht="11.25" customHeight="1" x14ac:dyDescent="0.45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spans="1:26" ht="11.25" customHeight="1" x14ac:dyDescent="0.45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spans="1:26" ht="11.25" customHeight="1" x14ac:dyDescent="0.45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spans="1:26" ht="11.25" customHeight="1" x14ac:dyDescent="0.45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spans="1:26" ht="11.25" customHeight="1" x14ac:dyDescent="0.4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spans="1:26" ht="11.25" customHeight="1" x14ac:dyDescent="0.45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spans="1:26" ht="11.25" customHeight="1" x14ac:dyDescent="0.45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spans="1:26" ht="11.25" customHeight="1" x14ac:dyDescent="0.45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spans="1:26" ht="11.25" customHeight="1" x14ac:dyDescent="0.45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spans="1:26" ht="11.25" customHeight="1" x14ac:dyDescent="0.45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spans="1:26" ht="11.25" customHeight="1" x14ac:dyDescent="0.45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spans="1:26" ht="11.25" customHeight="1" x14ac:dyDescent="0.45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spans="1:26" ht="11.25" customHeight="1" x14ac:dyDescent="0.45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spans="1:26" ht="11.25" customHeight="1" x14ac:dyDescent="0.45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spans="1:26" ht="11.25" customHeight="1" x14ac:dyDescent="0.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spans="1:26" ht="11.25" customHeight="1" x14ac:dyDescent="0.45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spans="1:26" ht="11.25" customHeight="1" x14ac:dyDescent="0.45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spans="1:26" ht="11.25" customHeight="1" x14ac:dyDescent="0.45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spans="1:26" ht="11.25" customHeight="1" x14ac:dyDescent="0.45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spans="1:26" ht="11.25" customHeight="1" x14ac:dyDescent="0.45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spans="1:26" ht="11.25" customHeight="1" x14ac:dyDescent="0.45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spans="1:26" ht="11.25" customHeight="1" x14ac:dyDescent="0.45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spans="1:26" ht="11.25" customHeight="1" x14ac:dyDescent="0.45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spans="1:26" ht="11.25" customHeight="1" x14ac:dyDescent="0.45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spans="1:26" ht="11.25" customHeight="1" x14ac:dyDescent="0.4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spans="1:26" ht="11.25" customHeight="1" x14ac:dyDescent="0.45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spans="1:26" ht="11.25" customHeight="1" x14ac:dyDescent="0.45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spans="1:26" ht="11.25" customHeight="1" x14ac:dyDescent="0.45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spans="1:26" ht="11.25" customHeight="1" x14ac:dyDescent="0.45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spans="1:26" ht="11.25" customHeight="1" x14ac:dyDescent="0.45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spans="1:26" ht="11.25" customHeight="1" x14ac:dyDescent="0.45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spans="1:26" ht="11.25" customHeight="1" x14ac:dyDescent="0.45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spans="1:26" ht="11.25" customHeight="1" x14ac:dyDescent="0.45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spans="1:26" ht="11.25" customHeight="1" x14ac:dyDescent="0.45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spans="1:26" ht="11.25" customHeight="1" x14ac:dyDescent="0.4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spans="1:26" ht="11.25" customHeight="1" x14ac:dyDescent="0.45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spans="1:26" ht="11.25" customHeight="1" x14ac:dyDescent="0.45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spans="1:26" ht="11.25" customHeight="1" x14ac:dyDescent="0.45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spans="1:26" ht="11.25" customHeight="1" x14ac:dyDescent="0.45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spans="1:26" ht="11.25" customHeight="1" x14ac:dyDescent="0.45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spans="1:26" ht="11.25" customHeight="1" x14ac:dyDescent="0.45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spans="1:26" ht="11.25" customHeight="1" x14ac:dyDescent="0.45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spans="1:26" ht="11.25" customHeight="1" x14ac:dyDescent="0.45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spans="1:26" ht="11.25" customHeight="1" x14ac:dyDescent="0.45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spans="1:26" ht="11.25" customHeight="1" x14ac:dyDescent="0.4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spans="1:26" ht="11.25" customHeight="1" x14ac:dyDescent="0.45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spans="1:26" ht="11.25" customHeight="1" x14ac:dyDescent="0.45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spans="1:26" ht="11.25" customHeight="1" x14ac:dyDescent="0.45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spans="1:26" ht="11.25" customHeight="1" x14ac:dyDescent="0.45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spans="1:26" ht="11.25" customHeight="1" x14ac:dyDescent="0.45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spans="1:26" ht="11.25" customHeight="1" x14ac:dyDescent="0.45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spans="1:26" ht="11.25" customHeight="1" x14ac:dyDescent="0.45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spans="1:26" ht="11.25" customHeight="1" x14ac:dyDescent="0.45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spans="1:26" ht="11.25" customHeight="1" x14ac:dyDescent="0.45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spans="1:26" ht="11.25" customHeight="1" x14ac:dyDescent="0.4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spans="1:26" ht="11.25" customHeight="1" x14ac:dyDescent="0.45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spans="1:26" ht="11.25" customHeight="1" x14ac:dyDescent="0.45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spans="1:26" ht="11.25" customHeight="1" x14ac:dyDescent="0.45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spans="1:26" ht="11.25" customHeight="1" x14ac:dyDescent="0.45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spans="1:26" ht="11.25" customHeight="1" x14ac:dyDescent="0.45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spans="1:26" ht="11.25" customHeight="1" x14ac:dyDescent="0.45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spans="1:26" ht="11.25" customHeight="1" x14ac:dyDescent="0.45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spans="1:26" ht="11.25" customHeight="1" x14ac:dyDescent="0.45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spans="1:26" ht="11.25" customHeight="1" x14ac:dyDescent="0.45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spans="1:26" ht="11.25" customHeight="1" x14ac:dyDescent="0.4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spans="1:26" ht="11.25" customHeight="1" x14ac:dyDescent="0.45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spans="1:26" ht="11.25" customHeight="1" x14ac:dyDescent="0.45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spans="1:26" ht="11.25" customHeight="1" x14ac:dyDescent="0.45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spans="1:26" ht="11.25" customHeight="1" x14ac:dyDescent="0.45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spans="1:26" ht="11.25" customHeight="1" x14ac:dyDescent="0.45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spans="1:26" ht="11.25" customHeight="1" x14ac:dyDescent="0.45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spans="1:26" ht="11.25" customHeight="1" x14ac:dyDescent="0.45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spans="1:26" ht="11.25" customHeight="1" x14ac:dyDescent="0.45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spans="1:26" ht="11.25" customHeight="1" x14ac:dyDescent="0.45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spans="1:26" ht="11.25" customHeight="1" x14ac:dyDescent="0.4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spans="1:26" ht="11.25" customHeight="1" x14ac:dyDescent="0.45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spans="1:26" ht="11.25" customHeight="1" x14ac:dyDescent="0.45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spans="1:26" ht="11.25" customHeight="1" x14ac:dyDescent="0.45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spans="1:26" ht="11.25" customHeight="1" x14ac:dyDescent="0.45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spans="1:26" ht="11.25" customHeight="1" x14ac:dyDescent="0.45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spans="1:26" ht="11.25" customHeight="1" x14ac:dyDescent="0.45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spans="1:26" ht="11.25" customHeight="1" x14ac:dyDescent="0.45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spans="1:26" ht="11.25" customHeight="1" x14ac:dyDescent="0.45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spans="1:26" ht="11.25" customHeight="1" x14ac:dyDescent="0.45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spans="1:26" ht="11.25" customHeight="1" x14ac:dyDescent="0.4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spans="1:26" ht="11.25" customHeight="1" x14ac:dyDescent="0.45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spans="1:26" ht="11.25" customHeight="1" x14ac:dyDescent="0.45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spans="1:26" ht="11.25" customHeight="1" x14ac:dyDescent="0.45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spans="1:26" ht="11.25" customHeight="1" x14ac:dyDescent="0.45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spans="1:26" ht="11.25" customHeight="1" x14ac:dyDescent="0.45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spans="1:26" ht="11.25" customHeight="1" x14ac:dyDescent="0.45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spans="1:26" ht="11.25" customHeight="1" x14ac:dyDescent="0.45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spans="1:26" ht="11.25" customHeight="1" x14ac:dyDescent="0.45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spans="1:26" ht="11.25" customHeight="1" x14ac:dyDescent="0.45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spans="1:26" ht="11.25" customHeight="1" x14ac:dyDescent="0.4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spans="1:26" ht="11.25" customHeight="1" x14ac:dyDescent="0.45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spans="1:26" ht="11.25" customHeight="1" x14ac:dyDescent="0.45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spans="1:26" ht="11.25" customHeight="1" x14ac:dyDescent="0.45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spans="1:26" ht="11.25" customHeight="1" x14ac:dyDescent="0.45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spans="1:26" ht="11.25" customHeight="1" x14ac:dyDescent="0.45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spans="1:26" ht="11.25" customHeight="1" x14ac:dyDescent="0.45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spans="1:26" ht="11.25" customHeight="1" x14ac:dyDescent="0.45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spans="1:26" ht="11.25" customHeight="1" x14ac:dyDescent="0.45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spans="1:26" ht="11.25" customHeight="1" x14ac:dyDescent="0.45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spans="1:26" ht="11.25" customHeight="1" x14ac:dyDescent="0.4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spans="1:26" ht="11.25" customHeight="1" x14ac:dyDescent="0.45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spans="1:26" ht="11.25" customHeight="1" x14ac:dyDescent="0.45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spans="1:26" ht="11.25" customHeight="1" x14ac:dyDescent="0.45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spans="1:26" ht="11.25" customHeight="1" x14ac:dyDescent="0.45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spans="1:26" ht="11.25" customHeight="1" x14ac:dyDescent="0.45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spans="1:26" ht="11.25" customHeight="1" x14ac:dyDescent="0.45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spans="1:26" ht="11.25" customHeight="1" x14ac:dyDescent="0.45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spans="1:26" ht="11.25" customHeight="1" x14ac:dyDescent="0.45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spans="1:26" ht="11.25" customHeight="1" x14ac:dyDescent="0.45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spans="1:26" ht="11.25" customHeight="1" x14ac:dyDescent="0.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spans="1:26" ht="11.25" customHeight="1" x14ac:dyDescent="0.45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spans="1:26" ht="11.25" customHeight="1" x14ac:dyDescent="0.45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spans="1:26" ht="11.25" customHeight="1" x14ac:dyDescent="0.45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spans="1:26" ht="11.25" customHeight="1" x14ac:dyDescent="0.45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spans="1:26" ht="11.25" customHeight="1" x14ac:dyDescent="0.45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spans="1:26" ht="11.25" customHeight="1" x14ac:dyDescent="0.45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spans="1:26" ht="11.25" customHeight="1" x14ac:dyDescent="0.45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spans="1:26" ht="11.25" customHeight="1" x14ac:dyDescent="0.45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spans="1:26" ht="11.25" customHeight="1" x14ac:dyDescent="0.45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spans="1:26" ht="11.25" customHeight="1" x14ac:dyDescent="0.4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spans="1:26" ht="11.25" customHeight="1" x14ac:dyDescent="0.45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spans="1:26" ht="11.25" customHeight="1" x14ac:dyDescent="0.45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spans="1:26" ht="11.25" customHeight="1" x14ac:dyDescent="0.45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spans="1:26" ht="11.25" customHeight="1" x14ac:dyDescent="0.45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spans="1:26" ht="11.25" customHeight="1" x14ac:dyDescent="0.45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spans="1:26" ht="11.25" customHeight="1" x14ac:dyDescent="0.45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spans="1:26" ht="11.25" customHeight="1" x14ac:dyDescent="0.45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spans="1:26" ht="11.25" customHeight="1" x14ac:dyDescent="0.45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spans="1:26" ht="11.25" customHeight="1" x14ac:dyDescent="0.45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spans="1:26" ht="11.25" customHeight="1" x14ac:dyDescent="0.4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spans="1:26" ht="11.25" customHeight="1" x14ac:dyDescent="0.45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spans="1:26" ht="11.25" customHeight="1" x14ac:dyDescent="0.45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spans="1:26" ht="11.25" customHeight="1" x14ac:dyDescent="0.45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spans="1:26" ht="11.25" customHeight="1" x14ac:dyDescent="0.45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spans="1:26" ht="11.25" customHeight="1" x14ac:dyDescent="0.45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spans="1:26" ht="11.25" customHeight="1" x14ac:dyDescent="0.45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spans="1:26" ht="11.25" customHeight="1" x14ac:dyDescent="0.45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spans="1:26" ht="11.25" customHeight="1" x14ac:dyDescent="0.45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spans="1:26" ht="11.25" customHeight="1" x14ac:dyDescent="0.45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spans="1:26" ht="11.25" customHeight="1" x14ac:dyDescent="0.4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spans="1:26" ht="11.25" customHeight="1" x14ac:dyDescent="0.45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spans="1:26" ht="11.25" customHeight="1" x14ac:dyDescent="0.45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spans="1:26" ht="11.25" customHeight="1" x14ac:dyDescent="0.45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spans="1:26" ht="11.25" customHeight="1" x14ac:dyDescent="0.45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spans="1:26" ht="11.25" customHeight="1" x14ac:dyDescent="0.45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spans="1:26" ht="11.25" customHeight="1" x14ac:dyDescent="0.45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spans="1:26" ht="11.25" customHeight="1" x14ac:dyDescent="0.45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spans="1:26" ht="11.25" customHeight="1" x14ac:dyDescent="0.45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spans="1:26" ht="11.25" customHeight="1" x14ac:dyDescent="0.45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spans="1:26" ht="11.25" customHeight="1" x14ac:dyDescent="0.4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spans="1:26" ht="11.25" customHeight="1" x14ac:dyDescent="0.45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spans="1:26" ht="11.25" customHeight="1" x14ac:dyDescent="0.45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spans="1:26" ht="11.25" customHeight="1" x14ac:dyDescent="0.45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spans="1:26" ht="11.25" customHeight="1" x14ac:dyDescent="0.45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spans="1:26" ht="11.25" customHeight="1" x14ac:dyDescent="0.45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spans="1:26" ht="11.25" customHeight="1" x14ac:dyDescent="0.45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spans="1:26" ht="11.25" customHeight="1" x14ac:dyDescent="0.45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spans="1:26" ht="11.25" customHeight="1" x14ac:dyDescent="0.45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spans="1:26" ht="11.25" customHeight="1" x14ac:dyDescent="0.45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spans="1:26" ht="11.25" customHeight="1" x14ac:dyDescent="0.4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spans="1:26" ht="11.25" customHeight="1" x14ac:dyDescent="0.45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spans="1:26" ht="11.25" customHeight="1" x14ac:dyDescent="0.45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spans="1:26" ht="11.25" customHeight="1" x14ac:dyDescent="0.45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spans="1:26" ht="11.25" customHeight="1" x14ac:dyDescent="0.45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spans="1:26" ht="11.25" customHeight="1" x14ac:dyDescent="0.45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mergeCells count="2">
    <mergeCell ref="A1:B1"/>
    <mergeCell ref="B113:F1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8891B-F9E4-42BC-A984-6AD6B0196B79}">
  <sheetPr>
    <tabColor rgb="FF92D050"/>
  </sheetPr>
  <dimension ref="A1:H993"/>
  <sheetViews>
    <sheetView workbookViewId="0">
      <selection activeCell="B10" sqref="B10:B13"/>
    </sheetView>
  </sheetViews>
  <sheetFormatPr baseColWidth="10" defaultColWidth="14.46484375" defaultRowHeight="14.25" x14ac:dyDescent="0.45"/>
  <cols>
    <col min="1" max="1" width="17.06640625" customWidth="1"/>
    <col min="2" max="17" width="10.73046875" customWidth="1"/>
  </cols>
  <sheetData>
    <row r="1" spans="1:8" ht="21" x14ac:dyDescent="0.45">
      <c r="A1" s="6" t="s">
        <v>1</v>
      </c>
      <c r="B1" s="7" t="s">
        <v>6</v>
      </c>
    </row>
    <row r="2" spans="1:8" x14ac:dyDescent="0.45">
      <c r="A2" s="138" t="s">
        <v>23</v>
      </c>
      <c r="B2" s="141">
        <v>12200</v>
      </c>
      <c r="C2" s="138" t="s">
        <v>165</v>
      </c>
      <c r="D2" s="141"/>
      <c r="E2" s="138" t="s">
        <v>166</v>
      </c>
      <c r="F2" s="141"/>
      <c r="G2" s="138" t="s">
        <v>167</v>
      </c>
      <c r="H2" s="141"/>
    </row>
    <row r="3" spans="1:8" x14ac:dyDescent="0.45">
      <c r="A3" s="139"/>
      <c r="B3" s="142"/>
      <c r="C3" s="139"/>
      <c r="D3" s="142"/>
      <c r="E3" s="139"/>
      <c r="F3" s="142"/>
      <c r="G3" s="139"/>
      <c r="H3" s="142"/>
    </row>
    <row r="4" spans="1:8" x14ac:dyDescent="0.45">
      <c r="A4" s="139"/>
      <c r="B4" s="142"/>
      <c r="C4" s="139"/>
      <c r="D4" s="142"/>
      <c r="E4" s="139"/>
      <c r="F4" s="142"/>
      <c r="G4" s="139"/>
      <c r="H4" s="142"/>
    </row>
    <row r="5" spans="1:8" x14ac:dyDescent="0.45">
      <c r="A5" s="140"/>
      <c r="B5" s="143"/>
      <c r="C5" s="140"/>
      <c r="D5" s="143"/>
      <c r="E5" s="140"/>
      <c r="F5" s="143"/>
      <c r="G5" s="140"/>
      <c r="H5" s="143"/>
    </row>
    <row r="6" spans="1:8" x14ac:dyDescent="0.45">
      <c r="A6" s="138" t="s">
        <v>152</v>
      </c>
      <c r="B6" s="141">
        <v>12</v>
      </c>
    </row>
    <row r="7" spans="1:8" x14ac:dyDescent="0.45">
      <c r="A7" s="139"/>
      <c r="B7" s="142"/>
    </row>
    <row r="8" spans="1:8" x14ac:dyDescent="0.45">
      <c r="A8" s="139"/>
      <c r="B8" s="142"/>
    </row>
    <row r="9" spans="1:8" x14ac:dyDescent="0.45">
      <c r="A9" s="140"/>
      <c r="B9" s="143"/>
    </row>
    <row r="10" spans="1:8" x14ac:dyDescent="0.45">
      <c r="A10" s="138" t="s">
        <v>151</v>
      </c>
      <c r="B10" s="141">
        <v>1</v>
      </c>
    </row>
    <row r="11" spans="1:8" x14ac:dyDescent="0.45">
      <c r="A11" s="139"/>
      <c r="B11" s="142"/>
    </row>
    <row r="12" spans="1:8" x14ac:dyDescent="0.45">
      <c r="A12" s="139"/>
      <c r="B12" s="142"/>
    </row>
    <row r="13" spans="1:8" x14ac:dyDescent="0.45">
      <c r="A13" s="140"/>
      <c r="B13" s="143"/>
    </row>
    <row r="14" spans="1:8" ht="15.75" customHeight="1" x14ac:dyDescent="0.45"/>
    <row r="15" spans="1:8" ht="15.75" customHeight="1" x14ac:dyDescent="0.45"/>
    <row r="16" spans="1:8" ht="15.75" customHeight="1" x14ac:dyDescent="0.45"/>
    <row r="17" ht="15.75" customHeight="1" x14ac:dyDescent="0.45"/>
    <row r="18" ht="15.75" customHeight="1" x14ac:dyDescent="0.45"/>
    <row r="19" ht="15.75" customHeight="1" x14ac:dyDescent="0.45"/>
    <row r="20" ht="15.75" customHeight="1" x14ac:dyDescent="0.45"/>
    <row r="21" ht="15.75" customHeight="1" x14ac:dyDescent="0.45"/>
    <row r="22" ht="15.75" customHeight="1" x14ac:dyDescent="0.45"/>
    <row r="23" ht="15.75" customHeight="1" x14ac:dyDescent="0.45"/>
    <row r="24" ht="15.75" customHeight="1" x14ac:dyDescent="0.45"/>
    <row r="25" ht="15.75" customHeight="1" x14ac:dyDescent="0.45"/>
    <row r="26" ht="15.75" customHeight="1" x14ac:dyDescent="0.45"/>
    <row r="27" ht="15.75" customHeight="1" x14ac:dyDescent="0.45"/>
    <row r="28" ht="15.75" customHeight="1" x14ac:dyDescent="0.45"/>
    <row r="29" ht="15.75" customHeight="1" x14ac:dyDescent="0.45"/>
    <row r="30" ht="15.75" customHeight="1" x14ac:dyDescent="0.45"/>
    <row r="31" ht="15.75" customHeight="1" x14ac:dyDescent="0.45"/>
    <row r="32" ht="15.75" customHeight="1" x14ac:dyDescent="0.45"/>
    <row r="33" ht="15.75" customHeight="1" x14ac:dyDescent="0.45"/>
    <row r="34" ht="15.75" customHeight="1" x14ac:dyDescent="0.45"/>
    <row r="35" ht="15.75" customHeight="1" x14ac:dyDescent="0.45"/>
    <row r="36" ht="15.75" customHeight="1" x14ac:dyDescent="0.45"/>
    <row r="37" ht="15.75" customHeight="1" x14ac:dyDescent="0.45"/>
    <row r="38" ht="15.75" customHeight="1" x14ac:dyDescent="0.45"/>
    <row r="39" ht="15.75" customHeight="1" x14ac:dyDescent="0.45"/>
    <row r="40" ht="15.75" customHeight="1" x14ac:dyDescent="0.45"/>
    <row r="41" ht="15.75" customHeight="1" x14ac:dyDescent="0.45"/>
    <row r="42" ht="15.75" customHeight="1" x14ac:dyDescent="0.45"/>
    <row r="43" ht="15.75" customHeight="1" x14ac:dyDescent="0.45"/>
    <row r="44" ht="15.75" customHeight="1" x14ac:dyDescent="0.45"/>
    <row r="45" ht="15.75" customHeight="1" x14ac:dyDescent="0.45"/>
    <row r="46" ht="15.75" customHeight="1" x14ac:dyDescent="0.45"/>
    <row r="47" ht="15.75" customHeight="1" x14ac:dyDescent="0.45"/>
    <row r="48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</sheetData>
  <mergeCells count="12">
    <mergeCell ref="A2:A5"/>
    <mergeCell ref="B2:B5"/>
    <mergeCell ref="A6:A9"/>
    <mergeCell ref="B6:B9"/>
    <mergeCell ref="A10:A13"/>
    <mergeCell ref="B10:B13"/>
    <mergeCell ref="C2:C5"/>
    <mergeCell ref="D2:D5"/>
    <mergeCell ref="G2:G5"/>
    <mergeCell ref="H2:H5"/>
    <mergeCell ref="E2:E5"/>
    <mergeCell ref="F2:F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4DE11-E469-4D26-9432-7DAAB43314A8}">
  <dimension ref="A2:P997"/>
  <sheetViews>
    <sheetView workbookViewId="0">
      <selection activeCell="K2" sqref="K2:K6"/>
    </sheetView>
  </sheetViews>
  <sheetFormatPr baseColWidth="10" defaultColWidth="14.46484375" defaultRowHeight="14.25" x14ac:dyDescent="0.45"/>
  <cols>
    <col min="1" max="1" width="10" bestFit="1" customWidth="1"/>
    <col min="2" max="2" width="8.6640625" bestFit="1" customWidth="1"/>
    <col min="3" max="3" width="26.06640625" bestFit="1" customWidth="1"/>
    <col min="4" max="4" width="5.19921875" bestFit="1" customWidth="1"/>
    <col min="5" max="5" width="8.265625" bestFit="1" customWidth="1"/>
    <col min="6" max="6" width="6.1328125" bestFit="1" customWidth="1"/>
    <col min="7" max="7" width="7.73046875" bestFit="1" customWidth="1"/>
    <col min="8" max="8" width="9.1328125" bestFit="1" customWidth="1"/>
    <col min="9" max="9" width="8.3984375" bestFit="1" customWidth="1"/>
    <col min="10" max="10" width="12.73046875" bestFit="1" customWidth="1"/>
    <col min="11" max="11" width="7.796875" bestFit="1" customWidth="1"/>
    <col min="12" max="12" width="8.53125" bestFit="1" customWidth="1"/>
    <col min="13" max="13" width="9.9296875" bestFit="1" customWidth="1"/>
    <col min="14" max="14" width="9.6640625" bestFit="1" customWidth="1"/>
    <col min="15" max="16" width="11.6640625" bestFit="1" customWidth="1"/>
    <col min="17" max="27" width="10.73046875" customWidth="1"/>
  </cols>
  <sheetData>
    <row r="2" spans="1:16" ht="21" x14ac:dyDescent="0.45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2" t="s">
        <v>6</v>
      </c>
      <c r="G2" s="2" t="s">
        <v>7</v>
      </c>
      <c r="H2" s="2" t="s">
        <v>13</v>
      </c>
      <c r="I2" s="2" t="s">
        <v>8</v>
      </c>
      <c r="J2" s="9" t="s">
        <v>16</v>
      </c>
      <c r="K2" s="9" t="s">
        <v>14</v>
      </c>
      <c r="L2" s="12" t="s">
        <v>15</v>
      </c>
      <c r="M2" s="11" t="s">
        <v>18</v>
      </c>
      <c r="N2" s="11" t="s">
        <v>19</v>
      </c>
      <c r="O2" s="11" t="s">
        <v>20</v>
      </c>
      <c r="P2" s="11" t="s">
        <v>21</v>
      </c>
    </row>
    <row r="3" spans="1:16" x14ac:dyDescent="0.45">
      <c r="A3" s="144" t="s">
        <v>9</v>
      </c>
      <c r="B3" s="30">
        <v>3145611001</v>
      </c>
      <c r="C3" s="3" t="s">
        <v>10</v>
      </c>
      <c r="D3" s="4">
        <v>450</v>
      </c>
      <c r="E3" s="4">
        <v>60</v>
      </c>
      <c r="F3" s="4">
        <f>'BIOMETRIA HEMATICA'!$B$2</f>
        <v>12200</v>
      </c>
      <c r="G3" s="5">
        <f>F3/D3</f>
        <v>27.111111111111111</v>
      </c>
      <c r="H3" s="5">
        <f>(360/E3)*'BIOMETRIA HEMATICA'!$B$10</f>
        <v>6</v>
      </c>
      <c r="I3" s="5">
        <f>IF(G3&gt;H3,G3,H3)</f>
        <v>27.111111111111111</v>
      </c>
      <c r="J3" s="5">
        <f>ROUNDUP(I3,0)</f>
        <v>28</v>
      </c>
      <c r="K3" s="8">
        <v>253</v>
      </c>
      <c r="L3" s="10">
        <f>K3*J3</f>
        <v>7084</v>
      </c>
      <c r="M3" s="13">
        <f>(SUM(L3:L8)/'BIOMETRIA HEMATICA'!B2)+L10</f>
        <v>2.2294262295081966</v>
      </c>
      <c r="N3" s="116">
        <f>((M3*0.15)+M3)</f>
        <v>2.5638401639344259</v>
      </c>
      <c r="O3" s="116">
        <f>N3*'BIOMETRIA HEMATICA'!B2</f>
        <v>31278.849999999995</v>
      </c>
      <c r="P3" s="13">
        <f>M3*'BIOMETRIA HEMATICA'!B2</f>
        <v>27199</v>
      </c>
    </row>
    <row r="4" spans="1:16" x14ac:dyDescent="0.45">
      <c r="A4" s="145"/>
      <c r="B4" s="30">
        <v>12216540001</v>
      </c>
      <c r="C4" s="3" t="s">
        <v>11</v>
      </c>
      <c r="D4" s="4">
        <v>450</v>
      </c>
      <c r="E4" s="4">
        <v>60</v>
      </c>
      <c r="F4" s="4">
        <f>'BIOMETRIA HEMATICA'!$B$2</f>
        <v>12200</v>
      </c>
      <c r="G4" s="5">
        <f t="shared" ref="G4:G6" si="0">F4/D4</f>
        <v>27.111111111111111</v>
      </c>
      <c r="H4" s="5">
        <f>(360/E4)*'BIOMETRIA HEMATICA'!$B$10</f>
        <v>6</v>
      </c>
      <c r="I4" s="5">
        <f t="shared" ref="I4:I6" si="1">IF(G4&gt;H4,G4,H4)</f>
        <v>27.111111111111111</v>
      </c>
      <c r="J4" s="5">
        <f t="shared" ref="J4:J6" si="2">ROUNDUP(I4,0)</f>
        <v>28</v>
      </c>
      <c r="K4" s="8">
        <v>264</v>
      </c>
      <c r="L4" s="8">
        <f t="shared" ref="L4:L6" si="3">K4*J4</f>
        <v>7392</v>
      </c>
    </row>
    <row r="5" spans="1:16" x14ac:dyDescent="0.45">
      <c r="A5" s="145"/>
      <c r="B5" s="31">
        <v>3134466001</v>
      </c>
      <c r="C5" s="14" t="s">
        <v>12</v>
      </c>
      <c r="D5" s="15">
        <f>(((F3/30)/12)*E5)</f>
        <v>2880.5555555555561</v>
      </c>
      <c r="E5" s="15">
        <v>85</v>
      </c>
      <c r="F5" s="15">
        <f>'BIOMETRIA HEMATICA'!$B$2</f>
        <v>12200</v>
      </c>
      <c r="G5" s="16">
        <f t="shared" si="0"/>
        <v>4.235294117647058</v>
      </c>
      <c r="H5" s="5">
        <f>(360/E5)*'BIOMETRIA HEMATICA'!$B$10</f>
        <v>4.2352941176470589</v>
      </c>
      <c r="I5" s="16">
        <f t="shared" si="1"/>
        <v>4.2352941176470589</v>
      </c>
      <c r="J5" s="16">
        <f t="shared" si="2"/>
        <v>5</v>
      </c>
      <c r="K5" s="17">
        <v>269</v>
      </c>
      <c r="L5" s="17">
        <f t="shared" si="3"/>
        <v>1345</v>
      </c>
    </row>
    <row r="6" spans="1:16" x14ac:dyDescent="0.45">
      <c r="A6" s="145"/>
      <c r="B6" s="32">
        <v>3113353180</v>
      </c>
      <c r="C6" s="26" t="s">
        <v>17</v>
      </c>
      <c r="D6" s="27">
        <v>900</v>
      </c>
      <c r="E6" s="27">
        <v>365</v>
      </c>
      <c r="F6" s="27">
        <f>'BIOMETRIA HEMATICA'!$B$2</f>
        <v>12200</v>
      </c>
      <c r="G6" s="28">
        <f t="shared" si="0"/>
        <v>13.555555555555555</v>
      </c>
      <c r="H6" s="5">
        <f>(360/E6)*'BIOMETRIA HEMATICA'!$B$10</f>
        <v>0.98630136986301364</v>
      </c>
      <c r="I6" s="28">
        <f t="shared" si="1"/>
        <v>13.555555555555555</v>
      </c>
      <c r="J6" s="28">
        <f t="shared" si="2"/>
        <v>14</v>
      </c>
      <c r="K6" s="29">
        <v>80</v>
      </c>
      <c r="L6" s="29">
        <f t="shared" si="3"/>
        <v>1120</v>
      </c>
    </row>
    <row r="7" spans="1:16" x14ac:dyDescent="0.45">
      <c r="A7" s="145"/>
      <c r="B7" s="20"/>
      <c r="C7" s="21"/>
      <c r="D7" s="22"/>
      <c r="E7" s="22"/>
      <c r="F7" s="22"/>
      <c r="G7" s="23"/>
      <c r="H7" s="23"/>
      <c r="J7" s="33"/>
      <c r="K7" s="25"/>
      <c r="L7" s="25"/>
    </row>
    <row r="8" spans="1:16" x14ac:dyDescent="0.45">
      <c r="A8" s="145"/>
      <c r="B8" s="78"/>
      <c r="C8" s="26" t="s">
        <v>150</v>
      </c>
      <c r="D8" s="27"/>
      <c r="E8" s="27"/>
      <c r="F8" s="27"/>
      <c r="G8" s="28"/>
      <c r="H8" s="28"/>
      <c r="I8" s="18"/>
      <c r="J8" s="147">
        <f>'BIOMETRIA HEMATICA'!B6</f>
        <v>12</v>
      </c>
      <c r="K8" s="29">
        <f>BC!F109</f>
        <v>1920</v>
      </c>
      <c r="L8" s="29">
        <f>(K8/J8)*J8</f>
        <v>1920</v>
      </c>
    </row>
    <row r="9" spans="1:16" x14ac:dyDescent="0.45">
      <c r="A9" s="145"/>
      <c r="B9" s="32"/>
      <c r="C9" s="19" t="s">
        <v>180</v>
      </c>
      <c r="D9" s="27"/>
      <c r="E9" s="27"/>
      <c r="F9" s="27"/>
      <c r="G9" s="28"/>
      <c r="H9" s="28"/>
      <c r="I9" s="18"/>
      <c r="J9" s="148"/>
      <c r="K9" s="29">
        <v>210</v>
      </c>
      <c r="L9" s="29">
        <f>(K9*J8)/(12)</f>
        <v>210</v>
      </c>
    </row>
    <row r="10" spans="1:16" x14ac:dyDescent="0.45">
      <c r="A10" s="146"/>
      <c r="B10" s="24"/>
      <c r="C10" s="19" t="s">
        <v>0</v>
      </c>
      <c r="D10" s="18"/>
      <c r="E10" s="18"/>
      <c r="F10" s="18"/>
      <c r="G10" s="18"/>
      <c r="H10" s="18"/>
      <c r="I10" s="18"/>
      <c r="J10" s="149"/>
      <c r="K10" s="29">
        <v>8338</v>
      </c>
      <c r="L10" s="29">
        <f>((((K10)/(J8)*12))/'BIOMETRIA HEMATICA'!B2)*(J8/12)</f>
        <v>0.6834426229508197</v>
      </c>
    </row>
    <row r="18" ht="15.75" customHeight="1" x14ac:dyDescent="0.45"/>
    <row r="19" ht="15.75" customHeight="1" x14ac:dyDescent="0.45"/>
    <row r="20" ht="15.75" customHeight="1" x14ac:dyDescent="0.45"/>
    <row r="21" ht="15.75" customHeight="1" x14ac:dyDescent="0.45"/>
    <row r="22" ht="15.75" customHeight="1" x14ac:dyDescent="0.45"/>
    <row r="23" ht="15.75" customHeight="1" x14ac:dyDescent="0.45"/>
    <row r="24" ht="15.75" customHeight="1" x14ac:dyDescent="0.45"/>
    <row r="25" ht="15.75" customHeight="1" x14ac:dyDescent="0.45"/>
    <row r="26" ht="15.75" customHeight="1" x14ac:dyDescent="0.45"/>
    <row r="27" ht="15.75" customHeight="1" x14ac:dyDescent="0.45"/>
    <row r="28" ht="15.75" customHeight="1" x14ac:dyDescent="0.45"/>
    <row r="29" ht="15.75" customHeight="1" x14ac:dyDescent="0.45"/>
    <row r="30" ht="15.75" customHeight="1" x14ac:dyDescent="0.45"/>
    <row r="31" ht="15.75" customHeight="1" x14ac:dyDescent="0.45"/>
    <row r="32" ht="15.75" customHeight="1" x14ac:dyDescent="0.45"/>
    <row r="33" ht="15.75" customHeight="1" x14ac:dyDescent="0.45"/>
    <row r="34" ht="15.75" customHeight="1" x14ac:dyDescent="0.45"/>
    <row r="35" ht="15.75" customHeight="1" x14ac:dyDescent="0.45"/>
    <row r="36" ht="15.75" customHeight="1" x14ac:dyDescent="0.45"/>
    <row r="37" ht="15.75" customHeight="1" x14ac:dyDescent="0.45"/>
    <row r="38" ht="15.75" customHeight="1" x14ac:dyDescent="0.45"/>
    <row r="39" ht="15.75" customHeight="1" x14ac:dyDescent="0.45"/>
    <row r="40" ht="15.75" customHeight="1" x14ac:dyDescent="0.45"/>
    <row r="41" ht="15.75" customHeight="1" x14ac:dyDescent="0.45"/>
    <row r="42" ht="15.75" customHeight="1" x14ac:dyDescent="0.45"/>
    <row r="43" ht="15.75" customHeight="1" x14ac:dyDescent="0.45"/>
    <row r="44" ht="15.75" customHeight="1" x14ac:dyDescent="0.45"/>
    <row r="45" ht="15.75" customHeight="1" x14ac:dyDescent="0.45"/>
    <row r="46" ht="15.75" customHeight="1" x14ac:dyDescent="0.45"/>
    <row r="47" ht="15.75" customHeight="1" x14ac:dyDescent="0.45"/>
    <row r="48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</sheetData>
  <mergeCells count="2">
    <mergeCell ref="A3:A10"/>
    <mergeCell ref="J8:J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C8BCF-80CB-434C-8F77-71151B7CB5D9}">
  <dimension ref="A2:P997"/>
  <sheetViews>
    <sheetView workbookViewId="0">
      <selection activeCell="M4" sqref="M4"/>
    </sheetView>
  </sheetViews>
  <sheetFormatPr baseColWidth="10" defaultColWidth="14.46484375" defaultRowHeight="14.25" x14ac:dyDescent="0.45"/>
  <cols>
    <col min="1" max="1" width="10" bestFit="1" customWidth="1"/>
    <col min="2" max="2" width="8.6640625" bestFit="1" customWidth="1"/>
    <col min="3" max="3" width="26.06640625" bestFit="1" customWidth="1"/>
    <col min="4" max="4" width="5.19921875" bestFit="1" customWidth="1"/>
    <col min="5" max="5" width="8.265625" bestFit="1" customWidth="1"/>
    <col min="6" max="6" width="6.1328125" bestFit="1" customWidth="1"/>
    <col min="7" max="7" width="7.73046875" bestFit="1" customWidth="1"/>
    <col min="8" max="8" width="9.1328125" bestFit="1" customWidth="1"/>
    <col min="9" max="9" width="8.3984375" bestFit="1" customWidth="1"/>
    <col min="10" max="10" width="12.73046875" bestFit="1" customWidth="1"/>
    <col min="11" max="11" width="7.06640625" bestFit="1" customWidth="1"/>
    <col min="12" max="12" width="8.53125" bestFit="1" customWidth="1"/>
    <col min="13" max="13" width="9.9296875" bestFit="1" customWidth="1"/>
    <col min="14" max="14" width="9.6640625" bestFit="1" customWidth="1"/>
    <col min="15" max="16" width="11.6640625" bestFit="1" customWidth="1"/>
    <col min="17" max="27" width="10.73046875" customWidth="1"/>
  </cols>
  <sheetData>
    <row r="2" spans="1:16" ht="21" x14ac:dyDescent="0.45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2" t="s">
        <v>6</v>
      </c>
      <c r="G2" s="2" t="s">
        <v>7</v>
      </c>
      <c r="H2" s="2" t="s">
        <v>13</v>
      </c>
      <c r="I2" s="2" t="s">
        <v>8</v>
      </c>
      <c r="J2" s="9" t="s">
        <v>16</v>
      </c>
      <c r="K2" s="9" t="s">
        <v>14</v>
      </c>
      <c r="L2" s="12" t="s">
        <v>15</v>
      </c>
      <c r="M2" s="11" t="s">
        <v>18</v>
      </c>
      <c r="N2" s="11" t="s">
        <v>19</v>
      </c>
      <c r="O2" s="11" t="s">
        <v>20</v>
      </c>
      <c r="P2" s="11" t="s">
        <v>21</v>
      </c>
    </row>
    <row r="3" spans="1:16" x14ac:dyDescent="0.45">
      <c r="A3" s="150" t="s">
        <v>9</v>
      </c>
      <c r="B3" s="30">
        <v>3145611001</v>
      </c>
      <c r="C3" s="3" t="s">
        <v>10</v>
      </c>
      <c r="D3" s="4">
        <v>450</v>
      </c>
      <c r="E3" s="4">
        <v>60</v>
      </c>
      <c r="F3" s="4">
        <f>('BIOMETRIA HEMATICA'!$B$2*0.2)+'BIOMETRIA HEMATICA'!$B$2</f>
        <v>14640</v>
      </c>
      <c r="G3" s="5">
        <f>F3/D3</f>
        <v>32.533333333333331</v>
      </c>
      <c r="H3" s="5">
        <f>(360/E3)*'BIOMETRIA HEMATICA'!$B$10</f>
        <v>6</v>
      </c>
      <c r="I3" s="5">
        <f>IF(G3&gt;H3,G3,H3)</f>
        <v>32.533333333333331</v>
      </c>
      <c r="J3" s="5">
        <f>ROUNDUP(I3,0)</f>
        <v>33</v>
      </c>
      <c r="K3" s="8">
        <v>253</v>
      </c>
      <c r="L3" s="10">
        <f>K3*J3</f>
        <v>8349</v>
      </c>
      <c r="M3" s="13">
        <f>(SUM(L3:L8)/'BIOMETRIA HEMATICA'!B2)+L10</f>
        <v>2.4609836065573774</v>
      </c>
      <c r="N3" s="116">
        <f>((M3*0.15)+M3)</f>
        <v>2.830131147540984</v>
      </c>
      <c r="O3" s="116">
        <f>N3*'BIOMETRIA HEMATICA'!B2</f>
        <v>34527.600000000006</v>
      </c>
      <c r="P3" s="13">
        <f>M3*'BIOMETRIA HEMATICA'!B2</f>
        <v>30024.000000000004</v>
      </c>
    </row>
    <row r="4" spans="1:16" x14ac:dyDescent="0.45">
      <c r="A4" s="150"/>
      <c r="B4" s="30">
        <v>12216540001</v>
      </c>
      <c r="C4" s="3" t="s">
        <v>11</v>
      </c>
      <c r="D4" s="4">
        <v>450</v>
      </c>
      <c r="E4" s="4">
        <v>60</v>
      </c>
      <c r="F4" s="4">
        <f>('BIOMETRIA HEMATICA'!$B$2*0.2)+'BIOMETRIA HEMATICA'!$B$2</f>
        <v>14640</v>
      </c>
      <c r="G4" s="5">
        <f t="shared" ref="G4:G6" si="0">F4/D4</f>
        <v>32.533333333333331</v>
      </c>
      <c r="H4" s="5">
        <f>(360/E4)*'BIOMETRIA HEMATICA'!$B$10</f>
        <v>6</v>
      </c>
      <c r="I4" s="5">
        <f t="shared" ref="I4:I6" si="1">IF(G4&gt;H4,G4,H4)</f>
        <v>32.533333333333331</v>
      </c>
      <c r="J4" s="5">
        <f t="shared" ref="J4:J6" si="2">ROUNDUP(I4,0)</f>
        <v>33</v>
      </c>
      <c r="K4" s="8">
        <v>264</v>
      </c>
      <c r="L4" s="8">
        <f t="shared" ref="L4:L6" si="3">K4*J4</f>
        <v>8712</v>
      </c>
    </row>
    <row r="5" spans="1:16" x14ac:dyDescent="0.45">
      <c r="A5" s="150"/>
      <c r="B5" s="31">
        <v>3134466001</v>
      </c>
      <c r="C5" s="14" t="s">
        <v>12</v>
      </c>
      <c r="D5" s="15">
        <f>(((F3/30)/12)*E5)</f>
        <v>3456.6666666666665</v>
      </c>
      <c r="E5" s="15">
        <v>85</v>
      </c>
      <c r="F5" s="4">
        <f>('BIOMETRIA HEMATICA'!$B$2*0.2)+'BIOMETRIA HEMATICA'!$B$2</f>
        <v>14640</v>
      </c>
      <c r="G5" s="16">
        <f t="shared" si="0"/>
        <v>4.2352941176470589</v>
      </c>
      <c r="H5" s="5">
        <f>(360/E5)*'BIOMETRIA HEMATICA'!$B$10</f>
        <v>4.2352941176470589</v>
      </c>
      <c r="I5" s="16">
        <f t="shared" si="1"/>
        <v>4.2352941176470589</v>
      </c>
      <c r="J5" s="16">
        <f t="shared" si="2"/>
        <v>5</v>
      </c>
      <c r="K5" s="17">
        <v>269</v>
      </c>
      <c r="L5" s="17">
        <f t="shared" si="3"/>
        <v>1345</v>
      </c>
    </row>
    <row r="6" spans="1:16" x14ac:dyDescent="0.45">
      <c r="A6" s="150"/>
      <c r="B6" s="32">
        <v>3113353180</v>
      </c>
      <c r="C6" s="26" t="s">
        <v>17</v>
      </c>
      <c r="D6" s="27">
        <v>900</v>
      </c>
      <c r="E6" s="27">
        <v>365</v>
      </c>
      <c r="F6" s="4">
        <f>('BIOMETRIA HEMATICA'!$B$2*0.2)+'BIOMETRIA HEMATICA'!$B$2</f>
        <v>14640</v>
      </c>
      <c r="G6" s="28">
        <f t="shared" si="0"/>
        <v>16.266666666666666</v>
      </c>
      <c r="H6" s="5">
        <f>(360/E6)*'BIOMETRIA HEMATICA'!$B$10</f>
        <v>0.98630136986301364</v>
      </c>
      <c r="I6" s="28">
        <f t="shared" si="1"/>
        <v>16.266666666666666</v>
      </c>
      <c r="J6" s="28">
        <f t="shared" si="2"/>
        <v>17</v>
      </c>
      <c r="K6" s="29">
        <v>80</v>
      </c>
      <c r="L6" s="29">
        <f t="shared" si="3"/>
        <v>1360</v>
      </c>
    </row>
    <row r="7" spans="1:16" x14ac:dyDescent="0.45">
      <c r="A7" s="150"/>
      <c r="B7" s="20"/>
      <c r="C7" s="21"/>
      <c r="D7" s="22"/>
      <c r="E7" s="22"/>
      <c r="F7" s="22"/>
      <c r="G7" s="23"/>
      <c r="H7" s="23"/>
      <c r="J7" s="33"/>
      <c r="K7" s="25"/>
      <c r="L7" s="25"/>
    </row>
    <row r="8" spans="1:16" x14ac:dyDescent="0.45">
      <c r="A8" s="150"/>
      <c r="B8" s="78"/>
      <c r="C8" s="26" t="s">
        <v>150</v>
      </c>
      <c r="D8" s="27"/>
      <c r="E8" s="27"/>
      <c r="F8" s="27"/>
      <c r="G8" s="28"/>
      <c r="H8" s="28"/>
      <c r="I8" s="18"/>
      <c r="J8" s="147">
        <f>'BIOMETRIA HEMATICA'!B6</f>
        <v>12</v>
      </c>
      <c r="K8" s="29">
        <f>BC!F109</f>
        <v>1920</v>
      </c>
      <c r="L8" s="29">
        <f>(K8/J8)*J8</f>
        <v>1920</v>
      </c>
    </row>
    <row r="9" spans="1:16" x14ac:dyDescent="0.45">
      <c r="A9" s="150"/>
      <c r="B9" s="32"/>
      <c r="C9" s="19" t="s">
        <v>180</v>
      </c>
      <c r="D9" s="27"/>
      <c r="E9" s="27"/>
      <c r="F9" s="27"/>
      <c r="G9" s="28"/>
      <c r="H9" s="28"/>
      <c r="I9" s="18"/>
      <c r="J9" s="148"/>
      <c r="K9" s="29">
        <v>210</v>
      </c>
      <c r="L9" s="29">
        <f>(K9*J8)/(12)</f>
        <v>210</v>
      </c>
    </row>
    <row r="10" spans="1:16" x14ac:dyDescent="0.45">
      <c r="A10" s="150"/>
      <c r="B10" s="24"/>
      <c r="C10" s="19" t="s">
        <v>0</v>
      </c>
      <c r="D10" s="18"/>
      <c r="E10" s="18"/>
      <c r="F10" s="18"/>
      <c r="G10" s="18"/>
      <c r="H10" s="18"/>
      <c r="I10" s="18"/>
      <c r="J10" s="149"/>
      <c r="K10" s="29">
        <v>8338</v>
      </c>
      <c r="L10" s="29">
        <f>((((K10)/(J8)*12))/'BIOMETRIA HEMATICA'!B2)*(J8/12)</f>
        <v>0.6834426229508197</v>
      </c>
    </row>
    <row r="18" ht="15.75" customHeight="1" x14ac:dyDescent="0.45"/>
    <row r="19" ht="15.75" customHeight="1" x14ac:dyDescent="0.45"/>
    <row r="20" ht="15.75" customHeight="1" x14ac:dyDescent="0.45"/>
    <row r="21" ht="15.75" customHeight="1" x14ac:dyDescent="0.45"/>
    <row r="22" ht="15.75" customHeight="1" x14ac:dyDescent="0.45"/>
    <row r="23" ht="15.75" customHeight="1" x14ac:dyDescent="0.45"/>
    <row r="24" ht="15.75" customHeight="1" x14ac:dyDescent="0.45"/>
    <row r="25" ht="15.75" customHeight="1" x14ac:dyDescent="0.45"/>
    <row r="26" ht="15.75" customHeight="1" x14ac:dyDescent="0.45"/>
    <row r="27" ht="15.75" customHeight="1" x14ac:dyDescent="0.45"/>
    <row r="28" ht="15.75" customHeight="1" x14ac:dyDescent="0.45"/>
    <row r="29" ht="15.75" customHeight="1" x14ac:dyDescent="0.45"/>
    <row r="30" ht="15.75" customHeight="1" x14ac:dyDescent="0.45"/>
    <row r="31" ht="15.75" customHeight="1" x14ac:dyDescent="0.45"/>
    <row r="32" ht="15.75" customHeight="1" x14ac:dyDescent="0.45"/>
    <row r="33" ht="15.75" customHeight="1" x14ac:dyDescent="0.45"/>
    <row r="34" ht="15.75" customHeight="1" x14ac:dyDescent="0.45"/>
    <row r="35" ht="15.75" customHeight="1" x14ac:dyDescent="0.45"/>
    <row r="36" ht="15.75" customHeight="1" x14ac:dyDescent="0.45"/>
    <row r="37" ht="15.75" customHeight="1" x14ac:dyDescent="0.45"/>
    <row r="38" ht="15.75" customHeight="1" x14ac:dyDescent="0.45"/>
    <row r="39" ht="15.75" customHeight="1" x14ac:dyDescent="0.45"/>
    <row r="40" ht="15.75" customHeight="1" x14ac:dyDescent="0.45"/>
    <row r="41" ht="15.75" customHeight="1" x14ac:dyDescent="0.45"/>
    <row r="42" ht="15.75" customHeight="1" x14ac:dyDescent="0.45"/>
    <row r="43" ht="15.75" customHeight="1" x14ac:dyDescent="0.45"/>
    <row r="44" ht="15.75" customHeight="1" x14ac:dyDescent="0.45"/>
    <row r="45" ht="15.75" customHeight="1" x14ac:dyDescent="0.45"/>
    <row r="46" ht="15.75" customHeight="1" x14ac:dyDescent="0.45"/>
    <row r="47" ht="15.75" customHeight="1" x14ac:dyDescent="0.45"/>
    <row r="48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</sheetData>
  <mergeCells count="2">
    <mergeCell ref="A3:A10"/>
    <mergeCell ref="J8:J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0DAB7-CFCE-476C-B010-A670E0C5A68E}">
  <dimension ref="A2:O997"/>
  <sheetViews>
    <sheetView workbookViewId="0">
      <selection activeCell="M2" sqref="M2:O6"/>
    </sheetView>
  </sheetViews>
  <sheetFormatPr baseColWidth="10" defaultColWidth="14.46484375" defaultRowHeight="14.25" x14ac:dyDescent="0.45"/>
  <cols>
    <col min="1" max="1" width="10" bestFit="1" customWidth="1"/>
    <col min="2" max="2" width="8.6640625" bestFit="1" customWidth="1"/>
    <col min="3" max="3" width="26.06640625" bestFit="1" customWidth="1"/>
    <col min="4" max="4" width="5.19921875" bestFit="1" customWidth="1"/>
    <col min="5" max="5" width="8.265625" bestFit="1" customWidth="1"/>
    <col min="6" max="6" width="6.1328125" bestFit="1" customWidth="1"/>
    <col min="7" max="7" width="7.73046875" bestFit="1" customWidth="1"/>
    <col min="8" max="8" width="9.1328125" bestFit="1" customWidth="1"/>
    <col min="9" max="9" width="8.3984375" bestFit="1" customWidth="1"/>
    <col min="10" max="10" width="12.73046875" bestFit="1" customWidth="1"/>
    <col min="11" max="11" width="7.06640625" bestFit="1" customWidth="1"/>
    <col min="12" max="13" width="10.59765625" bestFit="1" customWidth="1"/>
    <col min="14" max="14" width="8.53125" customWidth="1"/>
    <col min="15" max="15" width="9.9296875" bestFit="1" customWidth="1"/>
    <col min="16" max="26" width="10.73046875" customWidth="1"/>
  </cols>
  <sheetData>
    <row r="2" spans="1:15" ht="21" x14ac:dyDescent="0.45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2" t="s">
        <v>6</v>
      </c>
      <c r="G2" s="2" t="s">
        <v>7</v>
      </c>
      <c r="H2" s="2" t="s">
        <v>13</v>
      </c>
      <c r="I2" s="2" t="s">
        <v>8</v>
      </c>
      <c r="J2" s="9" t="s">
        <v>16</v>
      </c>
      <c r="K2" s="9" t="s">
        <v>14</v>
      </c>
      <c r="L2" s="12" t="s">
        <v>15</v>
      </c>
      <c r="M2" s="117" t="s">
        <v>25</v>
      </c>
      <c r="N2" s="11" t="s">
        <v>26</v>
      </c>
      <c r="O2" s="39" t="s">
        <v>18</v>
      </c>
    </row>
    <row r="3" spans="1:15" x14ac:dyDescent="0.45">
      <c r="A3" s="150" t="s">
        <v>9</v>
      </c>
      <c r="B3" s="30">
        <v>3145611001</v>
      </c>
      <c r="C3" s="3" t="s">
        <v>10</v>
      </c>
      <c r="D3" s="4">
        <v>450</v>
      </c>
      <c r="E3" s="4">
        <v>60</v>
      </c>
      <c r="F3" s="4">
        <f>'BIOMETRIA HEMATICA'!$B$2</f>
        <v>12200</v>
      </c>
      <c r="G3" s="5">
        <f>F3/D3</f>
        <v>27.111111111111111</v>
      </c>
      <c r="H3" s="5">
        <f>(360/E3)*'BIOMETRIA HEMATICA'!$B$10</f>
        <v>6</v>
      </c>
      <c r="I3" s="5">
        <f>IF(G3&gt;H3,G3,H3)</f>
        <v>27.111111111111111</v>
      </c>
      <c r="J3" s="5">
        <f>ROUNDDOWN(I3,0)</f>
        <v>27</v>
      </c>
      <c r="K3" s="8">
        <v>253</v>
      </c>
      <c r="L3" s="10">
        <f>K3*J3</f>
        <v>6831</v>
      </c>
      <c r="M3" s="118">
        <f>(K3*$L$13)+K3</f>
        <v>286.52348367029549</v>
      </c>
      <c r="N3" s="29">
        <f>M3*J3</f>
        <v>7736.134059097978</v>
      </c>
      <c r="O3" s="40">
        <f>(SUM(N3:N6)/'BIOMETRIA HEMATICA'!B2)+L10</f>
        <v>2.1756557377049184</v>
      </c>
    </row>
    <row r="4" spans="1:15" x14ac:dyDescent="0.45">
      <c r="A4" s="150"/>
      <c r="B4" s="30">
        <v>12216540001</v>
      </c>
      <c r="C4" s="3" t="s">
        <v>11</v>
      </c>
      <c r="D4" s="4">
        <v>450</v>
      </c>
      <c r="E4" s="4">
        <v>60</v>
      </c>
      <c r="F4" s="4">
        <f>'BIOMETRIA HEMATICA'!$B$2</f>
        <v>12200</v>
      </c>
      <c r="G4" s="5">
        <f t="shared" ref="G4:G6" si="0">F4/D4</f>
        <v>27.111111111111111</v>
      </c>
      <c r="H4" s="5">
        <f>(360/E4)*'BIOMETRIA HEMATICA'!$B$10</f>
        <v>6</v>
      </c>
      <c r="I4" s="5">
        <f t="shared" ref="I4:I6" si="1">IF(G4&gt;H4,G4,H4)</f>
        <v>27.111111111111111</v>
      </c>
      <c r="J4" s="5">
        <f t="shared" ref="J4:J6" si="2">ROUNDDOWN(I4,0)</f>
        <v>27</v>
      </c>
      <c r="K4" s="8">
        <v>264</v>
      </c>
      <c r="L4" s="10">
        <f t="shared" ref="L4:L6" si="3">K4*J4</f>
        <v>7128</v>
      </c>
      <c r="M4" s="118">
        <f t="shared" ref="M4:M6" si="4">(K4*$L$13)+K4</f>
        <v>298.98102643856919</v>
      </c>
      <c r="N4" s="29">
        <f t="shared" ref="N4:N6" si="5">M4*J4</f>
        <v>8072.4877138413685</v>
      </c>
    </row>
    <row r="5" spans="1:15" x14ac:dyDescent="0.45">
      <c r="A5" s="150"/>
      <c r="B5" s="31">
        <v>3134466001</v>
      </c>
      <c r="C5" s="14" t="s">
        <v>12</v>
      </c>
      <c r="D5" s="15">
        <f>(((F3/30)/12)*E5)</f>
        <v>2880.5555555555561</v>
      </c>
      <c r="E5" s="15">
        <v>85</v>
      </c>
      <c r="F5" s="15">
        <f>'BIOMETRIA HEMATICA'!$B$2</f>
        <v>12200</v>
      </c>
      <c r="G5" s="16">
        <f t="shared" si="0"/>
        <v>4.235294117647058</v>
      </c>
      <c r="H5" s="5">
        <f>(360/E5)*'BIOMETRIA HEMATICA'!$B$10</f>
        <v>4.2352941176470589</v>
      </c>
      <c r="I5" s="16">
        <f t="shared" si="1"/>
        <v>4.2352941176470589</v>
      </c>
      <c r="J5" s="5">
        <f t="shared" si="2"/>
        <v>4</v>
      </c>
      <c r="K5" s="17">
        <v>269</v>
      </c>
      <c r="L5" s="37">
        <f t="shared" si="3"/>
        <v>1076</v>
      </c>
      <c r="M5" s="118">
        <f t="shared" si="4"/>
        <v>304.6435458786936</v>
      </c>
      <c r="N5" s="29">
        <f t="shared" si="5"/>
        <v>1218.5741835147744</v>
      </c>
    </row>
    <row r="6" spans="1:15" x14ac:dyDescent="0.45">
      <c r="A6" s="150"/>
      <c r="B6" s="32">
        <v>3113353180</v>
      </c>
      <c r="C6" s="26" t="s">
        <v>17</v>
      </c>
      <c r="D6" s="27">
        <v>900</v>
      </c>
      <c r="E6" s="27">
        <v>365</v>
      </c>
      <c r="F6" s="27">
        <f>'BIOMETRIA HEMATICA'!$B$2</f>
        <v>12200</v>
      </c>
      <c r="G6" s="28">
        <f t="shared" si="0"/>
        <v>13.555555555555555</v>
      </c>
      <c r="H6" s="5">
        <f>(360/E6)*'BIOMETRIA HEMATICA'!$B$10</f>
        <v>0.98630136986301364</v>
      </c>
      <c r="I6" s="28">
        <f t="shared" si="1"/>
        <v>13.555555555555555</v>
      </c>
      <c r="J6" s="5">
        <f t="shared" si="2"/>
        <v>13</v>
      </c>
      <c r="K6" s="29">
        <v>80</v>
      </c>
      <c r="L6" s="38">
        <f t="shared" si="3"/>
        <v>1040</v>
      </c>
      <c r="M6" s="118">
        <f t="shared" si="4"/>
        <v>90.600311041990665</v>
      </c>
      <c r="N6" s="29">
        <f t="shared" si="5"/>
        <v>1177.8040435458786</v>
      </c>
    </row>
    <row r="7" spans="1:15" x14ac:dyDescent="0.45">
      <c r="A7" s="150"/>
      <c r="B7" s="20"/>
      <c r="C7" s="21"/>
      <c r="D7" s="22"/>
      <c r="E7" s="22"/>
      <c r="F7" s="22"/>
      <c r="G7" s="23"/>
      <c r="H7" s="23"/>
      <c r="J7" s="33"/>
      <c r="K7" s="25"/>
      <c r="L7" s="25"/>
      <c r="M7" s="34"/>
      <c r="N7" s="34"/>
    </row>
    <row r="8" spans="1:15" x14ac:dyDescent="0.45">
      <c r="A8" s="150"/>
      <c r="B8" s="78"/>
      <c r="C8" s="26" t="s">
        <v>150</v>
      </c>
      <c r="D8" s="27"/>
      <c r="E8" s="27"/>
      <c r="F8" s="27"/>
      <c r="G8" s="28"/>
      <c r="H8" s="28"/>
      <c r="I8" s="18"/>
      <c r="J8" s="147">
        <f>'BIOMETRIA HEMATICA'!B6</f>
        <v>12</v>
      </c>
      <c r="K8" s="29">
        <f>BC!F109</f>
        <v>1920</v>
      </c>
      <c r="L8" s="29">
        <f>(K8/J8)*J8</f>
        <v>1920</v>
      </c>
      <c r="M8" s="34"/>
      <c r="N8" s="34"/>
    </row>
    <row r="9" spans="1:15" x14ac:dyDescent="0.45">
      <c r="A9" s="150"/>
      <c r="B9" s="32"/>
      <c r="C9" s="19" t="s">
        <v>22</v>
      </c>
      <c r="D9" s="27"/>
      <c r="E9" s="27"/>
      <c r="F9" s="27"/>
      <c r="G9" s="28"/>
      <c r="H9" s="28"/>
      <c r="I9" s="18"/>
      <c r="J9" s="148"/>
      <c r="K9" s="29">
        <v>210</v>
      </c>
      <c r="L9" s="29">
        <f>(K9*J8)/(12)</f>
        <v>210</v>
      </c>
      <c r="M9" s="34"/>
      <c r="N9" s="34"/>
    </row>
    <row r="10" spans="1:15" x14ac:dyDescent="0.45">
      <c r="A10" s="150"/>
      <c r="B10" s="24"/>
      <c r="C10" s="19" t="s">
        <v>0</v>
      </c>
      <c r="D10" s="18"/>
      <c r="E10" s="18"/>
      <c r="F10" s="18"/>
      <c r="G10" s="18"/>
      <c r="H10" s="18"/>
      <c r="I10" s="18"/>
      <c r="J10" s="149"/>
      <c r="K10" s="29">
        <v>8338</v>
      </c>
      <c r="L10" s="29">
        <f>((((K10)/(J8)*12))/'BIOMETRIA HEMATICA'!B2)*(J8/12)</f>
        <v>0.6834426229508197</v>
      </c>
      <c r="M10" s="34"/>
      <c r="N10" s="34"/>
    </row>
    <row r="11" spans="1:15" x14ac:dyDescent="0.45">
      <c r="L11" s="35">
        <f>SUM(L8:L9)</f>
        <v>2130</v>
      </c>
      <c r="M11" s="35"/>
    </row>
    <row r="12" spans="1:15" x14ac:dyDescent="0.45">
      <c r="L12" s="35">
        <f>SUM(L3:L6)</f>
        <v>16075</v>
      </c>
    </row>
    <row r="13" spans="1:15" x14ac:dyDescent="0.45">
      <c r="L13" s="36">
        <f>L11/L12</f>
        <v>0.13250388802488336</v>
      </c>
    </row>
    <row r="14" spans="1:15" x14ac:dyDescent="0.45">
      <c r="L14" s="35">
        <f>SUM(L3:L10)</f>
        <v>18205.683442622951</v>
      </c>
    </row>
    <row r="18" ht="15.75" customHeight="1" x14ac:dyDescent="0.45"/>
    <row r="19" ht="15.75" customHeight="1" x14ac:dyDescent="0.45"/>
    <row r="20" ht="15.75" customHeight="1" x14ac:dyDescent="0.45"/>
    <row r="21" ht="15.75" customHeight="1" x14ac:dyDescent="0.45"/>
    <row r="22" ht="15.75" customHeight="1" x14ac:dyDescent="0.45"/>
    <row r="23" ht="15.75" customHeight="1" x14ac:dyDescent="0.45"/>
    <row r="24" ht="15.75" customHeight="1" x14ac:dyDescent="0.45"/>
    <row r="25" ht="15.75" customHeight="1" x14ac:dyDescent="0.45"/>
    <row r="26" ht="15.75" customHeight="1" x14ac:dyDescent="0.45"/>
    <row r="27" ht="15.75" customHeight="1" x14ac:dyDescent="0.45"/>
    <row r="28" ht="15.75" customHeight="1" x14ac:dyDescent="0.45"/>
    <row r="29" ht="15.75" customHeight="1" x14ac:dyDescent="0.45"/>
    <row r="30" ht="15.75" customHeight="1" x14ac:dyDescent="0.45"/>
    <row r="31" ht="15.75" customHeight="1" x14ac:dyDescent="0.45"/>
    <row r="32" ht="15.75" customHeight="1" x14ac:dyDescent="0.45"/>
    <row r="33" ht="15.75" customHeight="1" x14ac:dyDescent="0.45"/>
    <row r="34" ht="15.75" customHeight="1" x14ac:dyDescent="0.45"/>
    <row r="35" ht="15.75" customHeight="1" x14ac:dyDescent="0.45"/>
    <row r="36" ht="15.75" customHeight="1" x14ac:dyDescent="0.45"/>
    <row r="37" ht="15.75" customHeight="1" x14ac:dyDescent="0.45"/>
    <row r="38" ht="15.75" customHeight="1" x14ac:dyDescent="0.45"/>
    <row r="39" ht="15.75" customHeight="1" x14ac:dyDescent="0.45"/>
    <row r="40" ht="15.75" customHeight="1" x14ac:dyDescent="0.45"/>
    <row r="41" ht="15.75" customHeight="1" x14ac:dyDescent="0.45"/>
    <row r="42" ht="15.75" customHeight="1" x14ac:dyDescent="0.45"/>
    <row r="43" ht="15.75" customHeight="1" x14ac:dyDescent="0.45"/>
    <row r="44" ht="15.75" customHeight="1" x14ac:dyDescent="0.45"/>
    <row r="45" ht="15.75" customHeight="1" x14ac:dyDescent="0.45"/>
    <row r="46" ht="15.75" customHeight="1" x14ac:dyDescent="0.45"/>
    <row r="47" ht="15.75" customHeight="1" x14ac:dyDescent="0.45"/>
    <row r="48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</sheetData>
  <mergeCells count="2">
    <mergeCell ref="A3:A10"/>
    <mergeCell ref="J8:J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C8C01-6854-4935-AEF0-CA876B991852}">
  <dimension ref="A1:R157"/>
  <sheetViews>
    <sheetView tabSelected="1" topLeftCell="A64" workbookViewId="0">
      <selection activeCell="O79" sqref="O79"/>
    </sheetView>
  </sheetViews>
  <sheetFormatPr baseColWidth="10" defaultRowHeight="14.25" x14ac:dyDescent="0.45"/>
  <cols>
    <col min="1" max="1" width="10" bestFit="1" customWidth="1"/>
    <col min="2" max="2" width="8.6640625" bestFit="1" customWidth="1"/>
    <col min="3" max="3" width="18.06640625" bestFit="1" customWidth="1"/>
    <col min="4" max="4" width="8.6640625" bestFit="1" customWidth="1"/>
    <col min="5" max="5" width="8.265625" bestFit="1" customWidth="1"/>
    <col min="6" max="6" width="6.1328125" bestFit="1" customWidth="1"/>
    <col min="7" max="7" width="8.6640625" bestFit="1" customWidth="1"/>
    <col min="8" max="8" width="9.1328125" bestFit="1" customWidth="1"/>
    <col min="9" max="9" width="8.3984375" bestFit="1" customWidth="1"/>
    <col min="10" max="10" width="8.3984375" customWidth="1"/>
    <col min="11" max="11" width="10.19921875" bestFit="1" customWidth="1"/>
    <col min="12" max="12" width="7.796875" bestFit="1" customWidth="1"/>
    <col min="13" max="13" width="7.6640625" customWidth="1"/>
    <col min="14" max="14" width="7.796875" hidden="1" customWidth="1"/>
    <col min="15" max="15" width="9.9296875" bestFit="1" customWidth="1"/>
    <col min="16" max="16" width="9.6640625" bestFit="1" customWidth="1"/>
    <col min="17" max="18" width="11.59765625" bestFit="1" customWidth="1"/>
  </cols>
  <sheetData>
    <row r="1" spans="1:18" x14ac:dyDescent="0.45">
      <c r="A1" s="126" t="s">
        <v>168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</row>
    <row r="2" spans="1:18" ht="21" x14ac:dyDescent="0.45">
      <c r="A2" s="79" t="s">
        <v>1</v>
      </c>
      <c r="B2" s="79" t="s">
        <v>2</v>
      </c>
      <c r="C2" s="79" t="s">
        <v>3</v>
      </c>
      <c r="D2" s="79" t="s">
        <v>4</v>
      </c>
      <c r="E2" s="80" t="s">
        <v>5</v>
      </c>
      <c r="F2" s="80" t="s">
        <v>6</v>
      </c>
      <c r="G2" s="80" t="s">
        <v>7</v>
      </c>
      <c r="H2" s="80" t="s">
        <v>13</v>
      </c>
      <c r="I2" s="80" t="s">
        <v>8</v>
      </c>
      <c r="J2" s="80"/>
      <c r="K2" s="11" t="s">
        <v>16</v>
      </c>
      <c r="L2" s="11" t="s">
        <v>14</v>
      </c>
      <c r="M2" s="11" t="s">
        <v>15</v>
      </c>
      <c r="N2" s="11"/>
      <c r="O2" s="11" t="s">
        <v>178</v>
      </c>
      <c r="P2" s="11" t="s">
        <v>19</v>
      </c>
      <c r="Q2" s="11" t="s">
        <v>20</v>
      </c>
      <c r="R2" s="11" t="s">
        <v>21</v>
      </c>
    </row>
    <row r="3" spans="1:18" x14ac:dyDescent="0.45">
      <c r="A3" s="127" t="s">
        <v>9</v>
      </c>
      <c r="B3" s="81">
        <v>6510167001</v>
      </c>
      <c r="C3" s="81" t="s">
        <v>153</v>
      </c>
      <c r="D3" s="82">
        <v>450</v>
      </c>
      <c r="E3" s="82">
        <v>60</v>
      </c>
      <c r="F3" s="82">
        <f>'BIOMETRIA HEMATICA'!$B$2</f>
        <v>12200</v>
      </c>
      <c r="G3" s="82">
        <f>F3/D3</f>
        <v>27.111111111111111</v>
      </c>
      <c r="H3" s="82">
        <f>(360/E3)*'BIOMETRIA HEMATICA'!$B$10</f>
        <v>6</v>
      </c>
      <c r="I3" s="83">
        <f>IF(G3&gt;H3,G3,H3)</f>
        <v>27.111111111111111</v>
      </c>
      <c r="J3" s="83"/>
      <c r="K3" s="83">
        <f>ROUNDUP(I3,0)</f>
        <v>28</v>
      </c>
      <c r="L3" s="94">
        <v>121</v>
      </c>
      <c r="M3" s="94">
        <f>L3*K3</f>
        <v>3388</v>
      </c>
      <c r="N3" s="94"/>
      <c r="O3" s="99">
        <f>(SUM(M3:N12)/F3)+M16+(BC!F109/'DETERMINACION XN'!F3)</f>
        <v>1.8263852459016394</v>
      </c>
      <c r="P3" s="119">
        <f>((O3*0.15)+O3)</f>
        <v>2.1003430327868853</v>
      </c>
      <c r="Q3" s="119">
        <f>P3*'BIOMETRIA HEMATICA'!B2</f>
        <v>25624.185000000001</v>
      </c>
      <c r="R3" s="99">
        <f>O3*'BIOMETRIA HEMATICA'!B2</f>
        <v>22281.9</v>
      </c>
    </row>
    <row r="4" spans="1:18" ht="21" x14ac:dyDescent="0.45">
      <c r="A4" s="128"/>
      <c r="B4" s="81">
        <v>3337006001</v>
      </c>
      <c r="C4" s="81" t="s">
        <v>154</v>
      </c>
      <c r="D4" s="82">
        <v>9450</v>
      </c>
      <c r="E4" s="82">
        <v>60</v>
      </c>
      <c r="F4" s="82">
        <f>'BIOMETRIA HEMATICA'!$B$2</f>
        <v>12200</v>
      </c>
      <c r="G4" s="82">
        <f t="shared" ref="G4:G12" si="0">F4/D4</f>
        <v>1.2910052910052909</v>
      </c>
      <c r="H4" s="82">
        <f>(360/E4)*'BIOMETRIA HEMATICA'!$B$10</f>
        <v>6</v>
      </c>
      <c r="I4" s="83">
        <f>IF(G4&gt;H4,G4,H4)</f>
        <v>6</v>
      </c>
      <c r="J4" s="83">
        <f>IF(N4&gt;N5,0,I4)</f>
        <v>6</v>
      </c>
      <c r="K4" s="108"/>
      <c r="L4" s="94">
        <v>1107</v>
      </c>
      <c r="M4" s="94">
        <f t="shared" ref="M4:M12" si="1">L4*K4</f>
        <v>0</v>
      </c>
      <c r="N4" s="105">
        <f>L4*K4</f>
        <v>0</v>
      </c>
      <c r="O4" s="11" t="s">
        <v>179</v>
      </c>
      <c r="P4" s="11" t="s">
        <v>19</v>
      </c>
      <c r="Q4" s="11" t="s">
        <v>20</v>
      </c>
      <c r="R4" s="11" t="s">
        <v>21</v>
      </c>
    </row>
    <row r="5" spans="1:18" x14ac:dyDescent="0.45">
      <c r="A5" s="128"/>
      <c r="B5" s="84">
        <v>12215616001</v>
      </c>
      <c r="C5" s="85" t="s">
        <v>155</v>
      </c>
      <c r="D5" s="82">
        <v>850</v>
      </c>
      <c r="E5" s="82">
        <v>60</v>
      </c>
      <c r="F5" s="82">
        <f>'BIOMETRIA HEMATICA'!$B$2</f>
        <v>12200</v>
      </c>
      <c r="G5" s="82">
        <f t="shared" si="0"/>
        <v>14.352941176470589</v>
      </c>
      <c r="H5" s="82">
        <f>(360/E5)*'BIOMETRIA HEMATICA'!$B$10</f>
        <v>6</v>
      </c>
      <c r="I5" s="83">
        <f t="shared" ref="I5:I12" si="2">IF(G5&gt;H5,G5,H5)</f>
        <v>14.352941176470589</v>
      </c>
      <c r="J5" s="83">
        <f>IF(N5&gt;N4,0,I5)</f>
        <v>0</v>
      </c>
      <c r="K5" s="108">
        <f>ROUNDUP(I5,0)</f>
        <v>15</v>
      </c>
      <c r="L5" s="94">
        <v>228.33</v>
      </c>
      <c r="M5" s="94">
        <f t="shared" si="1"/>
        <v>3424.9500000000003</v>
      </c>
      <c r="N5" s="105">
        <f>L5*K5</f>
        <v>3424.9500000000003</v>
      </c>
      <c r="O5" s="99">
        <f>(SUM(M3:N9)/'BIOMETRIA HEMATICA'!B2)+M16</f>
        <v>1.6690081967213115</v>
      </c>
      <c r="P5" s="119">
        <f>((O5*0.15)+O5)</f>
        <v>1.9193594262295082</v>
      </c>
      <c r="Q5" s="119">
        <f>P5*'BIOMETRIA HEMATICA'!B2</f>
        <v>23416.185000000001</v>
      </c>
      <c r="R5" s="99">
        <f>O5*'BIOMETRIA HEMATICA'!B2</f>
        <v>20361.900000000001</v>
      </c>
    </row>
    <row r="6" spans="1:18" x14ac:dyDescent="0.45">
      <c r="A6" s="128"/>
      <c r="B6" s="81">
        <v>7837984001</v>
      </c>
      <c r="C6" s="81" t="s">
        <v>156</v>
      </c>
      <c r="D6" s="82">
        <v>2450</v>
      </c>
      <c r="E6" s="82">
        <v>90</v>
      </c>
      <c r="F6" s="82">
        <f>'BIOMETRIA HEMATICA'!$B$2</f>
        <v>12200</v>
      </c>
      <c r="G6" s="82">
        <f t="shared" si="0"/>
        <v>4.9795918367346941</v>
      </c>
      <c r="H6" s="82">
        <f>(360/E6)*'BIOMETRIA HEMATICA'!$B$10</f>
        <v>4</v>
      </c>
      <c r="I6" s="83">
        <f t="shared" si="2"/>
        <v>4.9795918367346941</v>
      </c>
      <c r="J6" s="83"/>
      <c r="K6" s="83">
        <f t="shared" ref="K6:K8" si="3">ROUNDUP(I6,0)</f>
        <v>5</v>
      </c>
      <c r="L6" s="94">
        <v>176</v>
      </c>
      <c r="M6" s="94">
        <f t="shared" si="1"/>
        <v>880</v>
      </c>
      <c r="N6" s="105"/>
    </row>
    <row r="7" spans="1:18" x14ac:dyDescent="0.45">
      <c r="A7" s="128"/>
      <c r="B7" s="81">
        <v>6510256001</v>
      </c>
      <c r="C7" s="81" t="s">
        <v>157</v>
      </c>
      <c r="D7" s="82">
        <v>3400</v>
      </c>
      <c r="E7" s="82">
        <v>180</v>
      </c>
      <c r="F7" s="82">
        <f>'BIOMETRIA HEMATICA'!$B$2</f>
        <v>12200</v>
      </c>
      <c r="G7" s="82">
        <f t="shared" si="0"/>
        <v>3.5882352941176472</v>
      </c>
      <c r="H7" s="82">
        <f>(360/E7)*'BIOMETRIA HEMATICA'!$B$10</f>
        <v>2</v>
      </c>
      <c r="I7" s="83">
        <f t="shared" si="2"/>
        <v>3.5882352941176472</v>
      </c>
      <c r="J7" s="83"/>
      <c r="K7" s="83">
        <f t="shared" si="3"/>
        <v>4</v>
      </c>
      <c r="L7" s="94">
        <v>862</v>
      </c>
      <c r="M7" s="94">
        <f t="shared" si="1"/>
        <v>3448</v>
      </c>
      <c r="N7" s="105"/>
    </row>
    <row r="8" spans="1:18" x14ac:dyDescent="0.45">
      <c r="A8" s="128"/>
      <c r="B8" s="81">
        <v>6952291001</v>
      </c>
      <c r="C8" s="81" t="s">
        <v>158</v>
      </c>
      <c r="D8" s="82">
        <f>(((F3/30)/12)*E8)</f>
        <v>5083.3333333333339</v>
      </c>
      <c r="E8" s="82">
        <v>150</v>
      </c>
      <c r="F8" s="82">
        <f>'BIOMETRIA HEMATICA'!$B$2</f>
        <v>12200</v>
      </c>
      <c r="G8" s="82">
        <f t="shared" si="0"/>
        <v>2.4</v>
      </c>
      <c r="H8" s="82">
        <f>(360/E8)*'BIOMETRIA HEMATICA'!$B$10</f>
        <v>2.4</v>
      </c>
      <c r="I8" s="83">
        <f t="shared" si="2"/>
        <v>2.4</v>
      </c>
      <c r="J8" s="83"/>
      <c r="K8" s="83">
        <f t="shared" si="3"/>
        <v>3</v>
      </c>
      <c r="L8" s="94">
        <v>52</v>
      </c>
      <c r="M8" s="94">
        <f t="shared" si="1"/>
        <v>156</v>
      </c>
      <c r="N8" s="105"/>
    </row>
    <row r="9" spans="1:18" ht="21" x14ac:dyDescent="0.45">
      <c r="A9" s="128"/>
      <c r="B9" s="86">
        <v>7051506001</v>
      </c>
      <c r="C9" s="81" t="s">
        <v>159</v>
      </c>
      <c r="D9" s="82">
        <f>(((F3/30)/12)*E9)</f>
        <v>1897.7777777777781</v>
      </c>
      <c r="E9" s="82">
        <v>56</v>
      </c>
      <c r="F9" s="82">
        <f>'BIOMETRIA HEMATICA'!$B$2</f>
        <v>12200</v>
      </c>
      <c r="G9" s="82">
        <f t="shared" si="0"/>
        <v>6.4285714285714279</v>
      </c>
      <c r="H9" s="82">
        <f>(360/E9)*'BIOMETRIA HEMATICA'!$B$10</f>
        <v>6.4285714285714288</v>
      </c>
      <c r="I9" s="83">
        <f t="shared" si="2"/>
        <v>6.4285714285714288</v>
      </c>
      <c r="J9" s="83"/>
      <c r="K9" s="83"/>
      <c r="L9" s="94">
        <v>544</v>
      </c>
      <c r="M9" s="94">
        <f t="shared" si="1"/>
        <v>0</v>
      </c>
      <c r="N9" s="105"/>
    </row>
    <row r="10" spans="1:18" x14ac:dyDescent="0.45">
      <c r="A10" s="129" t="s">
        <v>160</v>
      </c>
      <c r="B10" s="87">
        <v>6510272001</v>
      </c>
      <c r="C10" s="88" t="s">
        <v>161</v>
      </c>
      <c r="D10" s="89">
        <v>650</v>
      </c>
      <c r="E10" s="89">
        <v>180</v>
      </c>
      <c r="F10" s="89">
        <f>'BIOMETRIA HEMATICA'!$D$2</f>
        <v>0</v>
      </c>
      <c r="G10" s="90">
        <f t="shared" si="0"/>
        <v>0</v>
      </c>
      <c r="H10" s="90">
        <f>(360/E10)*'BIOMETRIA HEMATICA'!$B$10</f>
        <v>2</v>
      </c>
      <c r="I10" s="92">
        <f t="shared" si="2"/>
        <v>2</v>
      </c>
      <c r="J10" s="115">
        <f t="shared" ref="J10:J11" si="4">IF(G10=0,0,G10)</f>
        <v>0</v>
      </c>
      <c r="K10" s="108"/>
      <c r="L10" s="95">
        <v>1705</v>
      </c>
      <c r="M10" s="96">
        <f t="shared" si="1"/>
        <v>0</v>
      </c>
      <c r="N10" s="106"/>
      <c r="O10" s="104"/>
      <c r="P10" s="104"/>
      <c r="Q10" s="104"/>
      <c r="R10" s="104"/>
    </row>
    <row r="11" spans="1:18" x14ac:dyDescent="0.45">
      <c r="A11" s="128"/>
      <c r="B11" s="87">
        <v>9426752001</v>
      </c>
      <c r="C11" s="88" t="s">
        <v>162</v>
      </c>
      <c r="D11" s="89">
        <v>450</v>
      </c>
      <c r="E11" s="89">
        <v>60</v>
      </c>
      <c r="F11" s="89">
        <f>'BIOMETRIA HEMATICA'!$D$2</f>
        <v>0</v>
      </c>
      <c r="G11" s="90">
        <f t="shared" si="0"/>
        <v>0</v>
      </c>
      <c r="H11" s="90">
        <f>(360/E11)*'BIOMETRIA HEMATICA'!$B$10</f>
        <v>6</v>
      </c>
      <c r="I11" s="92">
        <f t="shared" si="2"/>
        <v>6</v>
      </c>
      <c r="J11" s="115">
        <f t="shared" si="4"/>
        <v>0</v>
      </c>
      <c r="K11" s="108"/>
      <c r="L11" s="95">
        <v>34</v>
      </c>
      <c r="M11" s="96">
        <f t="shared" si="1"/>
        <v>0</v>
      </c>
      <c r="N11" s="106"/>
      <c r="O11" s="35"/>
      <c r="P11" s="35"/>
      <c r="Q11" s="35"/>
      <c r="R11" s="35"/>
    </row>
    <row r="12" spans="1:18" ht="21" x14ac:dyDescent="0.45">
      <c r="A12" s="100" t="s">
        <v>163</v>
      </c>
      <c r="B12" s="101">
        <v>7051409001</v>
      </c>
      <c r="C12" s="101" t="s">
        <v>164</v>
      </c>
      <c r="D12" s="102">
        <f>(((F3/30)/12)*E12)</f>
        <v>1897.7777777777781</v>
      </c>
      <c r="E12" s="102">
        <v>56</v>
      </c>
      <c r="F12" s="102">
        <f>'BIOMETRIA HEMATICA'!$H$2</f>
        <v>0</v>
      </c>
      <c r="G12" s="91">
        <f t="shared" si="0"/>
        <v>0</v>
      </c>
      <c r="H12" s="91">
        <f>(360/E12)*'BIOMETRIA HEMATICA'!$B$10</f>
        <v>6.4285714285714288</v>
      </c>
      <c r="I12" s="93">
        <f t="shared" si="2"/>
        <v>6.4285714285714288</v>
      </c>
      <c r="J12" s="93">
        <f>IF(G12=0,0,G12)</f>
        <v>0</v>
      </c>
      <c r="K12" s="108"/>
      <c r="L12" s="103">
        <v>661</v>
      </c>
      <c r="M12" s="97">
        <f t="shared" si="1"/>
        <v>0</v>
      </c>
      <c r="N12" s="107"/>
      <c r="O12" s="104"/>
      <c r="P12" s="104"/>
      <c r="Q12" s="104"/>
      <c r="R12" s="104"/>
    </row>
    <row r="13" spans="1:18" x14ac:dyDescent="0.45">
      <c r="C13" s="18"/>
      <c r="D13" s="18"/>
      <c r="E13" s="18"/>
      <c r="F13" s="18"/>
      <c r="G13" s="18"/>
      <c r="H13" s="18"/>
      <c r="I13" s="18"/>
      <c r="J13" s="18"/>
      <c r="K13" s="18"/>
      <c r="L13" s="98"/>
      <c r="M13" s="98"/>
      <c r="N13" s="35"/>
      <c r="O13" s="35"/>
      <c r="P13" s="35"/>
      <c r="Q13" s="35"/>
      <c r="R13" s="35"/>
    </row>
    <row r="14" spans="1:18" x14ac:dyDescent="0.45">
      <c r="C14" s="26" t="s">
        <v>150</v>
      </c>
      <c r="D14" s="27"/>
      <c r="E14" s="27"/>
      <c r="F14" s="27"/>
      <c r="G14" s="28"/>
      <c r="H14" s="28"/>
      <c r="I14" s="18"/>
      <c r="J14" s="18"/>
      <c r="K14" s="130">
        <f>'BIOMETRIA HEMATICA'!B6</f>
        <v>12</v>
      </c>
      <c r="L14" s="29">
        <f>BC!F109</f>
        <v>1920</v>
      </c>
      <c r="M14" s="29">
        <f>(L14/K14)*K14</f>
        <v>1920</v>
      </c>
      <c r="N14" s="34"/>
    </row>
    <row r="15" spans="1:18" x14ac:dyDescent="0.45">
      <c r="C15" s="19" t="s">
        <v>24</v>
      </c>
      <c r="D15" s="27"/>
      <c r="E15" s="27"/>
      <c r="F15" s="27"/>
      <c r="G15" s="28"/>
      <c r="H15" s="28"/>
      <c r="I15" s="18"/>
      <c r="J15" s="18"/>
      <c r="K15" s="130"/>
      <c r="L15" s="29">
        <v>470</v>
      </c>
      <c r="M15" s="29">
        <f>(L15*K14)/(12)</f>
        <v>470</v>
      </c>
      <c r="N15" s="34"/>
    </row>
    <row r="16" spans="1:18" x14ac:dyDescent="0.45">
      <c r="C16" s="19" t="s">
        <v>0</v>
      </c>
      <c r="D16" s="18"/>
      <c r="E16" s="18"/>
      <c r="F16" s="18"/>
      <c r="G16" s="18"/>
      <c r="H16" s="18"/>
      <c r="I16" s="18"/>
      <c r="J16" s="18"/>
      <c r="K16" s="130"/>
      <c r="L16" s="29">
        <v>21362</v>
      </c>
      <c r="M16" s="29">
        <f>((((L15)*(K14))/'BIOMETRIA HEMATICA'!B2))</f>
        <v>0.46229508196721314</v>
      </c>
      <c r="N16" s="34"/>
    </row>
    <row r="20" spans="1:18" x14ac:dyDescent="0.45">
      <c r="A20" s="126" t="s">
        <v>169</v>
      </c>
      <c r="B20" s="126"/>
      <c r="C20" s="126"/>
      <c r="D20" s="126"/>
      <c r="E20" s="126"/>
      <c r="F20" s="126"/>
      <c r="G20" s="126"/>
      <c r="H20" s="126"/>
      <c r="I20" s="126"/>
      <c r="J20" s="126"/>
      <c r="K20" s="126"/>
      <c r="L20" s="126"/>
      <c r="M20" s="126"/>
      <c r="N20" s="126"/>
      <c r="O20" s="126"/>
      <c r="P20" s="126"/>
      <c r="Q20" s="126"/>
      <c r="R20" s="126"/>
    </row>
    <row r="21" spans="1:18" ht="21" x14ac:dyDescent="0.45">
      <c r="A21" s="79" t="s">
        <v>1</v>
      </c>
      <c r="B21" s="79" t="s">
        <v>2</v>
      </c>
      <c r="C21" s="79" t="s">
        <v>3</v>
      </c>
      <c r="D21" s="79" t="s">
        <v>4</v>
      </c>
      <c r="E21" s="80" t="s">
        <v>5</v>
      </c>
      <c r="F21" s="80" t="s">
        <v>6</v>
      </c>
      <c r="G21" s="80" t="s">
        <v>7</v>
      </c>
      <c r="H21" s="80" t="s">
        <v>13</v>
      </c>
      <c r="I21" s="80" t="s">
        <v>8</v>
      </c>
      <c r="J21" s="80"/>
      <c r="K21" s="11" t="s">
        <v>16</v>
      </c>
      <c r="L21" s="11" t="s">
        <v>14</v>
      </c>
      <c r="M21" s="11" t="s">
        <v>15</v>
      </c>
      <c r="N21" s="11"/>
      <c r="O21" s="11" t="s">
        <v>178</v>
      </c>
      <c r="P21" s="11" t="s">
        <v>19</v>
      </c>
      <c r="Q21" s="11" t="s">
        <v>20</v>
      </c>
      <c r="R21" s="11" t="s">
        <v>21</v>
      </c>
    </row>
    <row r="22" spans="1:18" x14ac:dyDescent="0.45">
      <c r="A22" s="127" t="s">
        <v>9</v>
      </c>
      <c r="B22" s="81">
        <v>6510167001</v>
      </c>
      <c r="C22" s="81" t="s">
        <v>153</v>
      </c>
      <c r="D22" s="82">
        <v>450</v>
      </c>
      <c r="E22" s="82">
        <v>60</v>
      </c>
      <c r="F22" s="82">
        <f>'BIOMETRIA HEMATICA'!$B$2</f>
        <v>12200</v>
      </c>
      <c r="G22" s="82">
        <f>F22/D22</f>
        <v>27.111111111111111</v>
      </c>
      <c r="H22" s="82">
        <f>(360/E22)*'BIOMETRIA HEMATICA'!$B$10</f>
        <v>6</v>
      </c>
      <c r="I22" s="83">
        <f>IF(G22&gt;H22,G22,H22)</f>
        <v>27.111111111111111</v>
      </c>
      <c r="J22" s="83"/>
      <c r="K22" s="83">
        <f>ROUNDUP(I22,0)</f>
        <v>28</v>
      </c>
      <c r="L22" s="94">
        <v>121</v>
      </c>
      <c r="M22" s="94">
        <f>L22*K22</f>
        <v>3388</v>
      </c>
      <c r="N22" s="94"/>
      <c r="O22" s="99">
        <f>(SUM(M22:M31)/'BIOMETRIA HEMATICA'!B2)+M35</f>
        <v>3.0186844262295085</v>
      </c>
      <c r="P22" s="119">
        <f>((O22*0.15)+O22)</f>
        <v>3.4714870901639348</v>
      </c>
      <c r="Q22" s="119">
        <f>P22*'BIOMETRIA HEMATICA'!B21</f>
        <v>0</v>
      </c>
      <c r="R22" s="99">
        <f>O22*'BIOMETRIA HEMATICA'!B21</f>
        <v>0</v>
      </c>
    </row>
    <row r="23" spans="1:18" ht="21" x14ac:dyDescent="0.45">
      <c r="A23" s="128"/>
      <c r="B23" s="81">
        <v>3337006001</v>
      </c>
      <c r="C23" s="81" t="s">
        <v>154</v>
      </c>
      <c r="D23" s="82">
        <v>9450</v>
      </c>
      <c r="E23" s="82">
        <v>60</v>
      </c>
      <c r="F23" s="82">
        <f>'BIOMETRIA HEMATICA'!$B$2</f>
        <v>12200</v>
      </c>
      <c r="G23" s="82">
        <f t="shared" ref="G23:G31" si="5">F23/D23</f>
        <v>1.2910052910052909</v>
      </c>
      <c r="H23" s="82">
        <f>(360/E23)*'BIOMETRIA HEMATICA'!$B$10</f>
        <v>6</v>
      </c>
      <c r="I23" s="83">
        <f>IF(G23&gt;H23,G23,H23)</f>
        <v>6</v>
      </c>
      <c r="J23" s="83">
        <f>IF(N23&gt;N24,0,I23)</f>
        <v>0</v>
      </c>
      <c r="K23" s="108">
        <f>ROUNDUP(I23,0)</f>
        <v>6</v>
      </c>
      <c r="L23" s="94">
        <v>1107</v>
      </c>
      <c r="M23" s="94">
        <f t="shared" ref="M23:M31" si="6">L23*K23</f>
        <v>6642</v>
      </c>
      <c r="N23" s="105">
        <f>L23*K23</f>
        <v>6642</v>
      </c>
      <c r="O23" s="11" t="s">
        <v>179</v>
      </c>
      <c r="P23" s="11" t="s">
        <v>19</v>
      </c>
      <c r="Q23" s="11" t="s">
        <v>20</v>
      </c>
      <c r="R23" s="11" t="s">
        <v>21</v>
      </c>
    </row>
    <row r="24" spans="1:18" x14ac:dyDescent="0.45">
      <c r="A24" s="128"/>
      <c r="B24" s="84">
        <v>12215616001</v>
      </c>
      <c r="C24" s="85" t="s">
        <v>155</v>
      </c>
      <c r="D24" s="82">
        <v>850</v>
      </c>
      <c r="E24" s="82">
        <v>60</v>
      </c>
      <c r="F24" s="82">
        <f>'BIOMETRIA HEMATICA'!$B$2</f>
        <v>12200</v>
      </c>
      <c r="G24" s="82">
        <f t="shared" si="5"/>
        <v>14.352941176470589</v>
      </c>
      <c r="H24" s="82">
        <f>(360/E24)*'BIOMETRIA HEMATICA'!$B$10</f>
        <v>6</v>
      </c>
      <c r="I24" s="83">
        <f t="shared" ref="I24:I31" si="7">IF(G24&gt;H24,G24,H24)</f>
        <v>14.352941176470589</v>
      </c>
      <c r="J24" s="83">
        <f>IF(N24&gt;N23,0,I24)</f>
        <v>14.352941176470589</v>
      </c>
      <c r="K24" s="108">
        <f>ROUNDUP(I24,0)</f>
        <v>15</v>
      </c>
      <c r="L24" s="94">
        <v>228.33</v>
      </c>
      <c r="M24" s="94">
        <f t="shared" si="6"/>
        <v>3424.9500000000003</v>
      </c>
      <c r="N24" s="105">
        <f>L24*K24</f>
        <v>3424.9500000000003</v>
      </c>
      <c r="O24" s="99">
        <f>(SUM(M22:M28)/'BIOMETRIA HEMATICA'!B2)+M35</f>
        <v>2.3431926229508195</v>
      </c>
      <c r="P24" s="119">
        <f>((O24*0.15)+O24)</f>
        <v>2.6946715163934423</v>
      </c>
      <c r="Q24" s="119">
        <f>P24*'BIOMETRIA HEMATICA'!B21</f>
        <v>0</v>
      </c>
      <c r="R24" s="99">
        <f>O24*'BIOMETRIA HEMATICA'!B21</f>
        <v>0</v>
      </c>
    </row>
    <row r="25" spans="1:18" x14ac:dyDescent="0.45">
      <c r="A25" s="128"/>
      <c r="B25" s="81">
        <v>7837984001</v>
      </c>
      <c r="C25" s="81" t="s">
        <v>156</v>
      </c>
      <c r="D25" s="82">
        <v>2450</v>
      </c>
      <c r="E25" s="82">
        <v>90</v>
      </c>
      <c r="F25" s="82">
        <f>'BIOMETRIA HEMATICA'!$B$2</f>
        <v>12200</v>
      </c>
      <c r="G25" s="82">
        <f t="shared" si="5"/>
        <v>4.9795918367346941</v>
      </c>
      <c r="H25" s="82">
        <f>(360/E25)*'BIOMETRIA HEMATICA'!$B$10</f>
        <v>4</v>
      </c>
      <c r="I25" s="83">
        <f t="shared" si="7"/>
        <v>4.9795918367346941</v>
      </c>
      <c r="J25" s="83"/>
      <c r="K25" s="83">
        <f t="shared" ref="K25:K31" si="8">ROUNDUP(I25,0)</f>
        <v>5</v>
      </c>
      <c r="L25" s="94">
        <v>176</v>
      </c>
      <c r="M25" s="94">
        <f t="shared" si="6"/>
        <v>880</v>
      </c>
      <c r="N25" s="105"/>
    </row>
    <row r="26" spans="1:18" x14ac:dyDescent="0.45">
      <c r="A26" s="128"/>
      <c r="B26" s="81">
        <v>6510256001</v>
      </c>
      <c r="C26" s="81" t="s">
        <v>157</v>
      </c>
      <c r="D26" s="82">
        <v>3400</v>
      </c>
      <c r="E26" s="82">
        <v>180</v>
      </c>
      <c r="F26" s="82">
        <f>'BIOMETRIA HEMATICA'!$B$2</f>
        <v>12200</v>
      </c>
      <c r="G26" s="82">
        <f t="shared" si="5"/>
        <v>3.5882352941176472</v>
      </c>
      <c r="H26" s="82">
        <f>(360/E26)*'BIOMETRIA HEMATICA'!$B$10</f>
        <v>2</v>
      </c>
      <c r="I26" s="83">
        <f t="shared" si="7"/>
        <v>3.5882352941176472</v>
      </c>
      <c r="J26" s="83"/>
      <c r="K26" s="83">
        <f t="shared" si="8"/>
        <v>4</v>
      </c>
      <c r="L26" s="94">
        <v>862</v>
      </c>
      <c r="M26" s="94">
        <f t="shared" si="6"/>
        <v>3448</v>
      </c>
      <c r="N26" s="105"/>
    </row>
    <row r="27" spans="1:18" x14ac:dyDescent="0.45">
      <c r="A27" s="128"/>
      <c r="B27" s="81">
        <v>6952291001</v>
      </c>
      <c r="C27" s="81" t="s">
        <v>158</v>
      </c>
      <c r="D27" s="82">
        <f>(((F22/30)/12)*E27)</f>
        <v>5083.3333333333339</v>
      </c>
      <c r="E27" s="82">
        <v>150</v>
      </c>
      <c r="F27" s="82">
        <f>'BIOMETRIA HEMATICA'!$B$2</f>
        <v>12200</v>
      </c>
      <c r="G27" s="82">
        <f t="shared" si="5"/>
        <v>2.4</v>
      </c>
      <c r="H27" s="82">
        <f>(360/E27)*'BIOMETRIA HEMATICA'!$B$10</f>
        <v>2.4</v>
      </c>
      <c r="I27" s="83">
        <f t="shared" si="7"/>
        <v>2.4</v>
      </c>
      <c r="J27" s="83"/>
      <c r="K27" s="83">
        <f t="shared" si="8"/>
        <v>3</v>
      </c>
      <c r="L27" s="94">
        <v>52</v>
      </c>
      <c r="M27" s="94">
        <f t="shared" si="6"/>
        <v>156</v>
      </c>
      <c r="N27" s="105"/>
    </row>
    <row r="28" spans="1:18" ht="21" x14ac:dyDescent="0.45">
      <c r="A28" s="128"/>
      <c r="B28" s="86">
        <v>7051506001</v>
      </c>
      <c r="C28" s="81" t="s">
        <v>159</v>
      </c>
      <c r="D28" s="82">
        <f>(((F22/30)/12)*E28)</f>
        <v>1897.7777777777781</v>
      </c>
      <c r="E28" s="82">
        <v>56</v>
      </c>
      <c r="F28" s="82">
        <f>'BIOMETRIA HEMATICA'!$B$2</f>
        <v>12200</v>
      </c>
      <c r="G28" s="82">
        <f t="shared" si="5"/>
        <v>6.4285714285714279</v>
      </c>
      <c r="H28" s="82">
        <f>(360/E28)*'BIOMETRIA HEMATICA'!$B$10</f>
        <v>6.4285714285714288</v>
      </c>
      <c r="I28" s="83">
        <f t="shared" si="7"/>
        <v>6.4285714285714288</v>
      </c>
      <c r="J28" s="83"/>
      <c r="K28" s="83">
        <f t="shared" si="8"/>
        <v>7</v>
      </c>
      <c r="L28" s="94">
        <v>544</v>
      </c>
      <c r="M28" s="94">
        <f t="shared" si="6"/>
        <v>3808</v>
      </c>
      <c r="N28" s="105"/>
    </row>
    <row r="29" spans="1:18" x14ac:dyDescent="0.45">
      <c r="A29" s="129" t="s">
        <v>160</v>
      </c>
      <c r="B29" s="87">
        <v>6510272001</v>
      </c>
      <c r="C29" s="88" t="s">
        <v>161</v>
      </c>
      <c r="D29" s="89">
        <v>650</v>
      </c>
      <c r="E29" s="89">
        <v>180</v>
      </c>
      <c r="F29" s="89">
        <f>'BIOMETRIA HEMATICA'!$D$2</f>
        <v>0</v>
      </c>
      <c r="G29" s="90">
        <f t="shared" si="5"/>
        <v>0</v>
      </c>
      <c r="H29" s="90">
        <f>(360/E29)*'BIOMETRIA HEMATICA'!$B$10</f>
        <v>2</v>
      </c>
      <c r="I29" s="92">
        <f t="shared" si="7"/>
        <v>2</v>
      </c>
      <c r="J29" s="115">
        <f t="shared" ref="J29:J30" si="9">IF(G29=0,0,G29)</f>
        <v>0</v>
      </c>
      <c r="K29" s="108">
        <f t="shared" si="8"/>
        <v>2</v>
      </c>
      <c r="L29" s="95">
        <v>1705</v>
      </c>
      <c r="M29" s="96">
        <f t="shared" si="6"/>
        <v>3410</v>
      </c>
      <c r="N29" s="106"/>
      <c r="O29" s="104"/>
      <c r="P29" s="104"/>
      <c r="Q29" s="104"/>
      <c r="R29" s="104"/>
    </row>
    <row r="30" spans="1:18" x14ac:dyDescent="0.45">
      <c r="A30" s="128"/>
      <c r="B30" s="87">
        <v>9426752001</v>
      </c>
      <c r="C30" s="88" t="s">
        <v>162</v>
      </c>
      <c r="D30" s="89">
        <v>450</v>
      </c>
      <c r="E30" s="89">
        <v>60</v>
      </c>
      <c r="F30" s="89">
        <f>'BIOMETRIA HEMATICA'!$D$2</f>
        <v>0</v>
      </c>
      <c r="G30" s="90">
        <f t="shared" si="5"/>
        <v>0</v>
      </c>
      <c r="H30" s="90">
        <f>(360/E30)*'BIOMETRIA HEMATICA'!$B$10</f>
        <v>6</v>
      </c>
      <c r="I30" s="92">
        <f t="shared" si="7"/>
        <v>6</v>
      </c>
      <c r="J30" s="115">
        <f t="shared" si="9"/>
        <v>0</v>
      </c>
      <c r="K30" s="108">
        <f t="shared" si="8"/>
        <v>6</v>
      </c>
      <c r="L30" s="95">
        <v>34</v>
      </c>
      <c r="M30" s="96">
        <f t="shared" si="6"/>
        <v>204</v>
      </c>
      <c r="N30" s="106"/>
      <c r="O30" s="35"/>
      <c r="P30" s="35"/>
      <c r="Q30" s="35"/>
      <c r="R30" s="35"/>
    </row>
    <row r="31" spans="1:18" ht="21" x14ac:dyDescent="0.45">
      <c r="A31" s="100" t="s">
        <v>163</v>
      </c>
      <c r="B31" s="101">
        <v>7051409001</v>
      </c>
      <c r="C31" s="101" t="s">
        <v>164</v>
      </c>
      <c r="D31" s="102">
        <f>(((F22/30)/12)*E31)</f>
        <v>1897.7777777777781</v>
      </c>
      <c r="E31" s="102">
        <v>56</v>
      </c>
      <c r="F31" s="102">
        <f>'BIOMETRIA HEMATICA'!$H$2</f>
        <v>0</v>
      </c>
      <c r="G31" s="91">
        <f t="shared" si="5"/>
        <v>0</v>
      </c>
      <c r="H31" s="91">
        <f>(360/E31)*'BIOMETRIA HEMATICA'!$B$10</f>
        <v>6.4285714285714288</v>
      </c>
      <c r="I31" s="93">
        <f t="shared" si="7"/>
        <v>6.4285714285714288</v>
      </c>
      <c r="J31" s="93">
        <f>IF(G10=0,0,G31)</f>
        <v>0</v>
      </c>
      <c r="K31" s="108">
        <f t="shared" si="8"/>
        <v>7</v>
      </c>
      <c r="L31" s="103">
        <v>661</v>
      </c>
      <c r="M31" s="97">
        <f t="shared" si="6"/>
        <v>4627</v>
      </c>
      <c r="N31" s="107"/>
      <c r="O31" s="104"/>
      <c r="P31" s="104"/>
      <c r="Q31" s="104"/>
      <c r="R31" s="104"/>
    </row>
    <row r="32" spans="1:18" x14ac:dyDescent="0.45">
      <c r="C32" s="18"/>
      <c r="D32" s="18"/>
      <c r="E32" s="18"/>
      <c r="F32" s="18"/>
      <c r="G32" s="18"/>
      <c r="H32" s="18"/>
      <c r="I32" s="18"/>
      <c r="J32" s="18"/>
      <c r="K32" s="18"/>
      <c r="L32" s="98"/>
      <c r="M32" s="98"/>
      <c r="N32" s="35"/>
      <c r="O32" s="35"/>
      <c r="P32" s="35"/>
      <c r="Q32" s="35"/>
      <c r="R32" s="35"/>
    </row>
    <row r="33" spans="1:18" x14ac:dyDescent="0.45">
      <c r="C33" s="26" t="s">
        <v>150</v>
      </c>
      <c r="D33" s="27"/>
      <c r="E33" s="27"/>
      <c r="F33" s="27"/>
      <c r="G33" s="28"/>
      <c r="H33" s="28"/>
      <c r="I33" s="18"/>
      <c r="J33" s="18"/>
      <c r="K33" s="130">
        <f>'BIOMETRIA HEMATICA'!B6</f>
        <v>12</v>
      </c>
      <c r="L33" s="29">
        <f>BC!F109</f>
        <v>1920</v>
      </c>
      <c r="M33" s="29">
        <f>(L33/K33)*K33</f>
        <v>1920</v>
      </c>
      <c r="N33" s="34"/>
    </row>
    <row r="34" spans="1:18" x14ac:dyDescent="0.45">
      <c r="C34" s="19" t="s">
        <v>180</v>
      </c>
      <c r="D34" s="27"/>
      <c r="E34" s="27"/>
      <c r="F34" s="27"/>
      <c r="G34" s="28"/>
      <c r="H34" s="28"/>
      <c r="I34" s="18"/>
      <c r="J34" s="18"/>
      <c r="K34" s="130"/>
      <c r="L34" s="29">
        <v>570</v>
      </c>
      <c r="M34" s="29">
        <f>(L34*K33)/(12)</f>
        <v>570</v>
      </c>
      <c r="N34" s="34"/>
    </row>
    <row r="35" spans="1:18" x14ac:dyDescent="0.45">
      <c r="C35" s="19" t="s">
        <v>0</v>
      </c>
      <c r="D35" s="18"/>
      <c r="E35" s="18"/>
      <c r="F35" s="18"/>
      <c r="G35" s="18"/>
      <c r="H35" s="18"/>
      <c r="I35" s="18"/>
      <c r="J35" s="18"/>
      <c r="K35" s="130"/>
      <c r="L35" s="29">
        <v>29260</v>
      </c>
      <c r="M35" s="29">
        <f>((((L34)*(K33))/'BIOMETRIA HEMATICA'!B2))</f>
        <v>0.56065573770491806</v>
      </c>
      <c r="N35" s="34"/>
    </row>
    <row r="39" spans="1:18" x14ac:dyDescent="0.45">
      <c r="A39" s="126" t="s">
        <v>170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</row>
    <row r="40" spans="1:18" ht="21" x14ac:dyDescent="0.45">
      <c r="A40" s="79" t="s">
        <v>1</v>
      </c>
      <c r="B40" s="79" t="s">
        <v>2</v>
      </c>
      <c r="C40" s="79" t="s">
        <v>3</v>
      </c>
      <c r="D40" s="79" t="s">
        <v>4</v>
      </c>
      <c r="E40" s="80" t="s">
        <v>5</v>
      </c>
      <c r="F40" s="80" t="s">
        <v>6</v>
      </c>
      <c r="G40" s="80" t="s">
        <v>7</v>
      </c>
      <c r="H40" s="80" t="s">
        <v>13</v>
      </c>
      <c r="I40" s="80" t="s">
        <v>8</v>
      </c>
      <c r="J40" s="80"/>
      <c r="K40" s="11" t="s">
        <v>16</v>
      </c>
      <c r="L40" s="11" t="s">
        <v>14</v>
      </c>
      <c r="M40" s="11" t="s">
        <v>15</v>
      </c>
      <c r="N40" s="11"/>
      <c r="O40" s="11" t="s">
        <v>178</v>
      </c>
      <c r="P40" s="11" t="s">
        <v>19</v>
      </c>
      <c r="Q40" s="11" t="s">
        <v>20</v>
      </c>
      <c r="R40" s="11" t="s">
        <v>21</v>
      </c>
    </row>
    <row r="41" spans="1:18" x14ac:dyDescent="0.45">
      <c r="A41" s="127" t="s">
        <v>9</v>
      </c>
      <c r="B41" s="81">
        <v>6510167001</v>
      </c>
      <c r="C41" s="81" t="s">
        <v>153</v>
      </c>
      <c r="D41" s="82">
        <v>450</v>
      </c>
      <c r="E41" s="82">
        <v>60</v>
      </c>
      <c r="F41" s="82">
        <f>'BIOMETRIA HEMATICA'!$B$2</f>
        <v>12200</v>
      </c>
      <c r="G41" s="82">
        <f>F41/D41</f>
        <v>27.111111111111111</v>
      </c>
      <c r="H41" s="82">
        <f>(360/E41)*'BIOMETRIA HEMATICA'!$B$10</f>
        <v>6</v>
      </c>
      <c r="I41" s="83">
        <f>IF(G41&gt;H41,G41,H41)</f>
        <v>27.111111111111111</v>
      </c>
      <c r="J41" s="83"/>
      <c r="K41" s="83">
        <f>ROUNDUP(I41,0)</f>
        <v>28</v>
      </c>
      <c r="L41" s="94">
        <v>121</v>
      </c>
      <c r="M41" s="94">
        <f>L41*K41</f>
        <v>3388</v>
      </c>
      <c r="N41" s="94"/>
      <c r="O41" s="99">
        <f>(SUM(M41:M50)/'BIOMETRIA HEMATICA'!B2)+M54</f>
        <v>1.4866352459016394</v>
      </c>
      <c r="P41" s="119">
        <f>((O41*0.15)+O41)</f>
        <v>1.7096305327868853</v>
      </c>
      <c r="Q41" s="119">
        <f>P41*'BIOMETRIA HEMATICA'!B40</f>
        <v>0</v>
      </c>
      <c r="R41" s="99">
        <f>O41*'BIOMETRIA HEMATICA'!B40</f>
        <v>0</v>
      </c>
    </row>
    <row r="42" spans="1:18" ht="21" x14ac:dyDescent="0.45">
      <c r="A42" s="128"/>
      <c r="B42" s="81">
        <v>3337006001</v>
      </c>
      <c r="C42" s="81" t="s">
        <v>154</v>
      </c>
      <c r="D42" s="82">
        <v>9450</v>
      </c>
      <c r="E42" s="82">
        <v>60</v>
      </c>
      <c r="F42" s="82">
        <f>'BIOMETRIA HEMATICA'!$B$2</f>
        <v>12200</v>
      </c>
      <c r="G42" s="82">
        <f t="shared" ref="G42:G50" si="10">F42/D42</f>
        <v>1.2910052910052909</v>
      </c>
      <c r="H42" s="82">
        <f>(360/E42)*'BIOMETRIA HEMATICA'!$B$10</f>
        <v>6</v>
      </c>
      <c r="I42" s="83">
        <f>IF(G42&gt;H42,G42,H42)</f>
        <v>6</v>
      </c>
      <c r="J42" s="83">
        <f>IF(N42&gt;N43,0,I42)</f>
        <v>6</v>
      </c>
      <c r="K42" s="108"/>
      <c r="L42" s="94">
        <v>1107</v>
      </c>
      <c r="M42" s="94">
        <f t="shared" ref="M42:M50" si="11">L42*K42</f>
        <v>0</v>
      </c>
      <c r="N42" s="105">
        <f>L42*K42</f>
        <v>0</v>
      </c>
      <c r="O42" s="11" t="s">
        <v>179</v>
      </c>
      <c r="P42" s="11" t="s">
        <v>19</v>
      </c>
      <c r="Q42" s="11" t="s">
        <v>20</v>
      </c>
      <c r="R42" s="11" t="s">
        <v>21</v>
      </c>
    </row>
    <row r="43" spans="1:18" x14ac:dyDescent="0.45">
      <c r="A43" s="128"/>
      <c r="B43" s="84">
        <v>12215616001</v>
      </c>
      <c r="C43" s="85" t="s">
        <v>155</v>
      </c>
      <c r="D43" s="82">
        <v>850</v>
      </c>
      <c r="E43" s="82">
        <v>60</v>
      </c>
      <c r="F43" s="82">
        <f>'BIOMETRIA HEMATICA'!$B$2</f>
        <v>12200</v>
      </c>
      <c r="G43" s="82">
        <f t="shared" si="10"/>
        <v>14.352941176470589</v>
      </c>
      <c r="H43" s="82">
        <f>(360/E43)*'BIOMETRIA HEMATICA'!$B$10</f>
        <v>6</v>
      </c>
      <c r="I43" s="83">
        <f t="shared" ref="I43:I50" si="12">IF(G43&gt;H43,G43,H43)</f>
        <v>14.352941176470589</v>
      </c>
      <c r="J43" s="83">
        <f>IF(N43&gt;N42,0,I43)</f>
        <v>0</v>
      </c>
      <c r="K43" s="108">
        <f t="shared" ref="K43:K46" si="13">ROUNDUP(I43,0)</f>
        <v>15</v>
      </c>
      <c r="L43" s="94">
        <v>228.33</v>
      </c>
      <c r="M43" s="94">
        <f t="shared" si="11"/>
        <v>3424.9500000000003</v>
      </c>
      <c r="N43" s="105">
        <f>L43*K43</f>
        <v>3424.9500000000003</v>
      </c>
      <c r="O43" s="99">
        <f>(SUM(M41:M47)/'BIOMETRIA HEMATICA'!B2)+M54</f>
        <v>1.4866352459016394</v>
      </c>
      <c r="P43" s="119">
        <f>((O43*0.15)+O43)</f>
        <v>1.7096305327868853</v>
      </c>
      <c r="Q43" s="119">
        <f>P43*'BIOMETRIA HEMATICA'!B40</f>
        <v>0</v>
      </c>
      <c r="R43" s="99">
        <f>O43*'BIOMETRIA HEMATICA'!B40</f>
        <v>0</v>
      </c>
    </row>
    <row r="44" spans="1:18" x14ac:dyDescent="0.45">
      <c r="A44" s="128"/>
      <c r="B44" s="81">
        <v>7837984001</v>
      </c>
      <c r="C44" s="81" t="s">
        <v>156</v>
      </c>
      <c r="D44" s="82">
        <v>2450</v>
      </c>
      <c r="E44" s="82">
        <v>90</v>
      </c>
      <c r="F44" s="82">
        <f>'BIOMETRIA HEMATICA'!$B$2</f>
        <v>12200</v>
      </c>
      <c r="G44" s="82">
        <f t="shared" si="10"/>
        <v>4.9795918367346941</v>
      </c>
      <c r="H44" s="82">
        <f>(360/E44)*'BIOMETRIA HEMATICA'!$B$10</f>
        <v>4</v>
      </c>
      <c r="I44" s="83">
        <f t="shared" si="12"/>
        <v>4.9795918367346941</v>
      </c>
      <c r="J44" s="83"/>
      <c r="K44" s="83">
        <f t="shared" si="13"/>
        <v>5</v>
      </c>
      <c r="L44" s="94">
        <v>176</v>
      </c>
      <c r="M44" s="94">
        <f t="shared" si="11"/>
        <v>880</v>
      </c>
      <c r="N44" s="105"/>
    </row>
    <row r="45" spans="1:18" x14ac:dyDescent="0.45">
      <c r="A45" s="128"/>
      <c r="B45" s="81">
        <v>6510256001</v>
      </c>
      <c r="C45" s="81" t="s">
        <v>157</v>
      </c>
      <c r="D45" s="82">
        <v>3400</v>
      </c>
      <c r="E45" s="82">
        <v>180</v>
      </c>
      <c r="F45" s="82">
        <f>'BIOMETRIA HEMATICA'!$B$2</f>
        <v>12200</v>
      </c>
      <c r="G45" s="82">
        <f t="shared" si="10"/>
        <v>3.5882352941176472</v>
      </c>
      <c r="H45" s="82">
        <f>(360/E45)*'BIOMETRIA HEMATICA'!$B$10</f>
        <v>2</v>
      </c>
      <c r="I45" s="83">
        <f t="shared" si="12"/>
        <v>3.5882352941176472</v>
      </c>
      <c r="J45" s="83"/>
      <c r="K45" s="83">
        <f t="shared" si="13"/>
        <v>4</v>
      </c>
      <c r="L45" s="94">
        <v>862</v>
      </c>
      <c r="M45" s="94">
        <f t="shared" si="11"/>
        <v>3448</v>
      </c>
      <c r="N45" s="105"/>
    </row>
    <row r="46" spans="1:18" x14ac:dyDescent="0.45">
      <c r="A46" s="128"/>
      <c r="B46" s="81">
        <v>6952291001</v>
      </c>
      <c r="C46" s="81" t="s">
        <v>158</v>
      </c>
      <c r="D46" s="82">
        <f>(((F41/30)/12)*E46)</f>
        <v>5083.3333333333339</v>
      </c>
      <c r="E46" s="82">
        <v>150</v>
      </c>
      <c r="F46" s="82">
        <f>'BIOMETRIA HEMATICA'!$B$2</f>
        <v>12200</v>
      </c>
      <c r="G46" s="82">
        <f t="shared" si="10"/>
        <v>2.4</v>
      </c>
      <c r="H46" s="82">
        <f>(360/E46)*'BIOMETRIA HEMATICA'!$B$10</f>
        <v>2.4</v>
      </c>
      <c r="I46" s="83">
        <f t="shared" si="12"/>
        <v>2.4</v>
      </c>
      <c r="J46" s="83"/>
      <c r="K46" s="83">
        <f t="shared" si="13"/>
        <v>3</v>
      </c>
      <c r="L46" s="94">
        <v>52</v>
      </c>
      <c r="M46" s="94">
        <f t="shared" si="11"/>
        <v>156</v>
      </c>
      <c r="N46" s="105"/>
    </row>
    <row r="47" spans="1:18" ht="21" x14ac:dyDescent="0.45">
      <c r="A47" s="128"/>
      <c r="B47" s="86">
        <v>7051506001</v>
      </c>
      <c r="C47" s="81" t="s">
        <v>159</v>
      </c>
      <c r="D47" s="82">
        <f>(((F41/30)/12)*E47)</f>
        <v>1897.7777777777781</v>
      </c>
      <c r="E47" s="82">
        <v>56</v>
      </c>
      <c r="F47" s="82">
        <f>'BIOMETRIA HEMATICA'!$B$2</f>
        <v>12200</v>
      </c>
      <c r="G47" s="82">
        <f t="shared" si="10"/>
        <v>6.4285714285714279</v>
      </c>
      <c r="H47" s="82">
        <f>(360/E47)*'BIOMETRIA HEMATICA'!$B$10</f>
        <v>6.4285714285714288</v>
      </c>
      <c r="I47" s="83">
        <f t="shared" si="12"/>
        <v>6.4285714285714288</v>
      </c>
      <c r="J47" s="83"/>
      <c r="K47" s="83"/>
      <c r="L47" s="94">
        <v>544</v>
      </c>
      <c r="M47" s="94">
        <f t="shared" si="11"/>
        <v>0</v>
      </c>
      <c r="N47" s="105"/>
    </row>
    <row r="48" spans="1:18" x14ac:dyDescent="0.45">
      <c r="A48" s="129" t="s">
        <v>160</v>
      </c>
      <c r="B48" s="87">
        <v>6510272001</v>
      </c>
      <c r="C48" s="88" t="s">
        <v>161</v>
      </c>
      <c r="D48" s="89">
        <v>650</v>
      </c>
      <c r="E48" s="89">
        <v>180</v>
      </c>
      <c r="F48" s="89">
        <f>'BIOMETRIA HEMATICA'!$D$2</f>
        <v>0</v>
      </c>
      <c r="G48" s="90">
        <f t="shared" si="10"/>
        <v>0</v>
      </c>
      <c r="H48" s="90">
        <f>(360/E48)*'BIOMETRIA HEMATICA'!$B$10</f>
        <v>2</v>
      </c>
      <c r="I48" s="92">
        <f t="shared" si="12"/>
        <v>2</v>
      </c>
      <c r="J48" s="115">
        <f t="shared" ref="J48:J49" si="14">IF(G48=0,0,G48)</f>
        <v>0</v>
      </c>
      <c r="K48" s="108"/>
      <c r="L48" s="95">
        <v>1705</v>
      </c>
      <c r="M48" s="96">
        <f t="shared" si="11"/>
        <v>0</v>
      </c>
      <c r="N48" s="106"/>
      <c r="O48" s="104"/>
      <c r="P48" s="104"/>
      <c r="Q48" s="104"/>
      <c r="R48" s="104"/>
    </row>
    <row r="49" spans="1:18" x14ac:dyDescent="0.45">
      <c r="A49" s="128"/>
      <c r="B49" s="87">
        <v>9426752001</v>
      </c>
      <c r="C49" s="88" t="s">
        <v>162</v>
      </c>
      <c r="D49" s="89">
        <v>450</v>
      </c>
      <c r="E49" s="89">
        <v>60</v>
      </c>
      <c r="F49" s="89">
        <f>'BIOMETRIA HEMATICA'!$D$2</f>
        <v>0</v>
      </c>
      <c r="G49" s="90">
        <f t="shared" si="10"/>
        <v>0</v>
      </c>
      <c r="H49" s="90">
        <f>(360/E49)*'BIOMETRIA HEMATICA'!$B$10</f>
        <v>6</v>
      </c>
      <c r="I49" s="92">
        <f t="shared" si="12"/>
        <v>6</v>
      </c>
      <c r="J49" s="115">
        <f t="shared" si="14"/>
        <v>0</v>
      </c>
      <c r="K49" s="108"/>
      <c r="L49" s="95">
        <v>34</v>
      </c>
      <c r="M49" s="96">
        <f t="shared" si="11"/>
        <v>0</v>
      </c>
      <c r="N49" s="106"/>
      <c r="O49" s="35"/>
      <c r="P49" s="35"/>
      <c r="Q49" s="35"/>
      <c r="R49" s="35"/>
    </row>
    <row r="50" spans="1:18" ht="21" x14ac:dyDescent="0.45">
      <c r="A50" s="100" t="s">
        <v>163</v>
      </c>
      <c r="B50" s="101">
        <v>7051409001</v>
      </c>
      <c r="C50" s="101" t="s">
        <v>164</v>
      </c>
      <c r="D50" s="102">
        <f>(((F41/30)/12)*E50)</f>
        <v>1897.7777777777781</v>
      </c>
      <c r="E50" s="102">
        <v>56</v>
      </c>
      <c r="F50" s="102">
        <f>'BIOMETRIA HEMATICA'!$H$2</f>
        <v>0</v>
      </c>
      <c r="G50" s="91">
        <f t="shared" si="10"/>
        <v>0</v>
      </c>
      <c r="H50" s="91">
        <f>(360/E50)*'BIOMETRIA HEMATICA'!$B$10</f>
        <v>6.4285714285714288</v>
      </c>
      <c r="I50" s="93">
        <f t="shared" si="12"/>
        <v>6.4285714285714288</v>
      </c>
      <c r="J50" s="93">
        <f>IF(G29=0,0,G50)</f>
        <v>0</v>
      </c>
      <c r="K50" s="108"/>
      <c r="L50" s="103">
        <v>661</v>
      </c>
      <c r="M50" s="97">
        <f t="shared" si="11"/>
        <v>0</v>
      </c>
      <c r="N50" s="107"/>
      <c r="O50" s="104"/>
      <c r="P50" s="104"/>
      <c r="Q50" s="104"/>
      <c r="R50" s="104"/>
    </row>
    <row r="51" spans="1:18" x14ac:dyDescent="0.45">
      <c r="C51" s="18"/>
      <c r="D51" s="18"/>
      <c r="E51" s="18"/>
      <c r="F51" s="18"/>
      <c r="G51" s="18"/>
      <c r="H51" s="18"/>
      <c r="I51" s="18"/>
      <c r="J51" s="18"/>
      <c r="K51" s="18"/>
      <c r="L51" s="98"/>
      <c r="M51" s="98"/>
      <c r="N51" s="35"/>
      <c r="O51" s="35"/>
      <c r="P51" s="35"/>
      <c r="Q51" s="35"/>
      <c r="R51" s="35"/>
    </row>
    <row r="52" spans="1:18" x14ac:dyDescent="0.45">
      <c r="C52" s="26" t="s">
        <v>150</v>
      </c>
      <c r="D52" s="27"/>
      <c r="E52" s="27"/>
      <c r="F52" s="27"/>
      <c r="G52" s="28"/>
      <c r="H52" s="28"/>
      <c r="I52" s="18"/>
      <c r="J52" s="18"/>
      <c r="K52" s="130">
        <f>'BIOMETRIA HEMATICA'!B6</f>
        <v>12</v>
      </c>
      <c r="L52" s="29">
        <f>BC!F109</f>
        <v>1920</v>
      </c>
      <c r="M52" s="29">
        <f>(L52/K52)*K52</f>
        <v>1920</v>
      </c>
      <c r="N52" s="34"/>
    </row>
    <row r="53" spans="1:18" x14ac:dyDescent="0.45">
      <c r="C53" s="19" t="s">
        <v>180</v>
      </c>
      <c r="D53" s="27"/>
      <c r="E53" s="27"/>
      <c r="F53" s="27"/>
      <c r="G53" s="28"/>
      <c r="H53" s="28"/>
      <c r="I53" s="18"/>
      <c r="J53" s="18"/>
      <c r="K53" s="130"/>
      <c r="L53" s="29">
        <v>570</v>
      </c>
      <c r="M53" s="29">
        <f>(L53*K52)/(12)</f>
        <v>570</v>
      </c>
      <c r="N53" s="34"/>
    </row>
    <row r="54" spans="1:18" x14ac:dyDescent="0.45">
      <c r="C54" s="19" t="s">
        <v>0</v>
      </c>
      <c r="D54" s="18"/>
      <c r="E54" s="18"/>
      <c r="F54" s="18"/>
      <c r="G54" s="18"/>
      <c r="H54" s="18"/>
      <c r="I54" s="18"/>
      <c r="J54" s="18"/>
      <c r="K54" s="130"/>
      <c r="L54" s="29">
        <v>26389</v>
      </c>
      <c r="M54" s="29">
        <f>((((L53)*(K52))/'BIOMETRIA HEMATICA'!B2))</f>
        <v>0.56065573770491806</v>
      </c>
      <c r="N54" s="34"/>
    </row>
    <row r="58" spans="1:18" x14ac:dyDescent="0.45">
      <c r="A58" s="126" t="s">
        <v>171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</row>
    <row r="59" spans="1:18" ht="21" x14ac:dyDescent="0.45">
      <c r="A59" s="79" t="s">
        <v>1</v>
      </c>
      <c r="B59" s="79" t="s">
        <v>2</v>
      </c>
      <c r="C59" s="79" t="s">
        <v>3</v>
      </c>
      <c r="D59" s="79" t="s">
        <v>4</v>
      </c>
      <c r="E59" s="80" t="s">
        <v>5</v>
      </c>
      <c r="F59" s="80" t="s">
        <v>6</v>
      </c>
      <c r="G59" s="80" t="s">
        <v>7</v>
      </c>
      <c r="H59" s="80" t="s">
        <v>13</v>
      </c>
      <c r="I59" s="80" t="s">
        <v>8</v>
      </c>
      <c r="J59" s="80"/>
      <c r="K59" s="11" t="s">
        <v>16</v>
      </c>
      <c r="L59" s="11" t="s">
        <v>14</v>
      </c>
      <c r="M59" s="11" t="s">
        <v>15</v>
      </c>
      <c r="N59" s="11"/>
      <c r="O59" s="11" t="s">
        <v>178</v>
      </c>
      <c r="P59" s="11" t="s">
        <v>19</v>
      </c>
      <c r="Q59" s="11" t="s">
        <v>20</v>
      </c>
      <c r="R59" s="11" t="s">
        <v>21</v>
      </c>
    </row>
    <row r="60" spans="1:18" x14ac:dyDescent="0.45">
      <c r="A60" s="127" t="s">
        <v>9</v>
      </c>
      <c r="B60" s="81">
        <v>6510167001</v>
      </c>
      <c r="C60" s="81" t="s">
        <v>153</v>
      </c>
      <c r="D60" s="82">
        <v>450</v>
      </c>
      <c r="E60" s="82">
        <v>60</v>
      </c>
      <c r="F60" s="82">
        <f>'BIOMETRIA HEMATICA'!$B$2</f>
        <v>12200</v>
      </c>
      <c r="G60" s="82">
        <f>F60/D60</f>
        <v>27.111111111111111</v>
      </c>
      <c r="H60" s="82">
        <f>(360/E60)*'BIOMETRIA HEMATICA'!$B$10</f>
        <v>6</v>
      </c>
      <c r="I60" s="83">
        <f>IF(G60&gt;H60,G60,H60)</f>
        <v>27.111111111111111</v>
      </c>
      <c r="J60" s="83"/>
      <c r="K60" s="83">
        <f>ROUNDUP(I60,0)</f>
        <v>28</v>
      </c>
      <c r="L60" s="94">
        <v>121</v>
      </c>
      <c r="M60" s="94">
        <f>L60*K60</f>
        <v>3388</v>
      </c>
      <c r="N60" s="94"/>
      <c r="O60" s="99">
        <f>(SUM(M60:M69)/'BIOMETRIA HEMATICA'!B2)+M73</f>
        <v>3.1170450819672135</v>
      </c>
      <c r="P60" s="119">
        <f>((O60*0.15)+O60)</f>
        <v>3.5846018442622958</v>
      </c>
      <c r="Q60" s="119">
        <f>P60*'BIOMETRIA HEMATICA'!B59</f>
        <v>0</v>
      </c>
      <c r="R60" s="99">
        <f>O60*'BIOMETRIA HEMATICA'!B59</f>
        <v>0</v>
      </c>
    </row>
    <row r="61" spans="1:18" ht="21" x14ac:dyDescent="0.45">
      <c r="A61" s="128"/>
      <c r="B61" s="81">
        <v>3337006001</v>
      </c>
      <c r="C61" s="81" t="s">
        <v>154</v>
      </c>
      <c r="D61" s="82">
        <v>9450</v>
      </c>
      <c r="E61" s="82">
        <v>60</v>
      </c>
      <c r="F61" s="82">
        <f>'BIOMETRIA HEMATICA'!$B$2</f>
        <v>12200</v>
      </c>
      <c r="G61" s="82">
        <f t="shared" ref="G61:G69" si="15">F61/D61</f>
        <v>1.2910052910052909</v>
      </c>
      <c r="H61" s="82">
        <f>(360/E61)*'BIOMETRIA HEMATICA'!$B$10</f>
        <v>6</v>
      </c>
      <c r="I61" s="83">
        <f>IF(G61&gt;H61,G61,H61)</f>
        <v>6</v>
      </c>
      <c r="J61" s="83">
        <f>IF(N61&gt;N62,0,I61)</f>
        <v>0</v>
      </c>
      <c r="K61" s="108">
        <f>ROUNDUP(I61,0)</f>
        <v>6</v>
      </c>
      <c r="L61" s="94">
        <v>1107</v>
      </c>
      <c r="M61" s="94">
        <f t="shared" ref="M61:M69" si="16">L61*K61</f>
        <v>6642</v>
      </c>
      <c r="N61" s="105">
        <f>L61*K61</f>
        <v>6642</v>
      </c>
      <c r="O61" s="11" t="s">
        <v>179</v>
      </c>
      <c r="P61" s="11" t="s">
        <v>19</v>
      </c>
      <c r="Q61" s="11" t="s">
        <v>20</v>
      </c>
      <c r="R61" s="11" t="s">
        <v>21</v>
      </c>
    </row>
    <row r="62" spans="1:18" x14ac:dyDescent="0.45">
      <c r="A62" s="128"/>
      <c r="B62" s="84">
        <v>12215616001</v>
      </c>
      <c r="C62" s="85" t="s">
        <v>155</v>
      </c>
      <c r="D62" s="82">
        <v>850</v>
      </c>
      <c r="E62" s="82">
        <v>60</v>
      </c>
      <c r="F62" s="82">
        <f>'BIOMETRIA HEMATICA'!$B$2</f>
        <v>12200</v>
      </c>
      <c r="G62" s="82">
        <f t="shared" si="15"/>
        <v>14.352941176470589</v>
      </c>
      <c r="H62" s="82">
        <f>(360/E62)*'BIOMETRIA HEMATICA'!$B$10</f>
        <v>6</v>
      </c>
      <c r="I62" s="83">
        <f t="shared" ref="I62:I69" si="17">IF(G62&gt;H62,G62,H62)</f>
        <v>14.352941176470589</v>
      </c>
      <c r="J62" s="83">
        <f>IF(N62&gt;N61,0,I62)</f>
        <v>14.352941176470589</v>
      </c>
      <c r="K62" s="108">
        <f t="shared" ref="K62:K69" si="18">ROUNDUP(I62,0)</f>
        <v>15</v>
      </c>
      <c r="L62" s="94">
        <v>228.33</v>
      </c>
      <c r="M62" s="94">
        <f t="shared" si="16"/>
        <v>3424.9500000000003</v>
      </c>
      <c r="N62" s="105">
        <f>L62*K62</f>
        <v>3424.9500000000003</v>
      </c>
      <c r="O62" s="99">
        <f>(SUM(M60:M66)/'BIOMETRIA HEMATICA'!B2)+M73</f>
        <v>2.4415532786885246</v>
      </c>
      <c r="P62" s="119">
        <f>((O62*0.15)+O62)</f>
        <v>2.8077862704918033</v>
      </c>
      <c r="Q62" s="119">
        <f>P62*'BIOMETRIA HEMATICA'!B59</f>
        <v>0</v>
      </c>
      <c r="R62" s="99">
        <f>O62*'BIOMETRIA HEMATICA'!B59</f>
        <v>0</v>
      </c>
    </row>
    <row r="63" spans="1:18" x14ac:dyDescent="0.45">
      <c r="A63" s="128"/>
      <c r="B63" s="81">
        <v>7837984001</v>
      </c>
      <c r="C63" s="81" t="s">
        <v>156</v>
      </c>
      <c r="D63" s="82">
        <v>2450</v>
      </c>
      <c r="E63" s="82">
        <v>90</v>
      </c>
      <c r="F63" s="82">
        <f>'BIOMETRIA HEMATICA'!$B$2</f>
        <v>12200</v>
      </c>
      <c r="G63" s="82">
        <f t="shared" si="15"/>
        <v>4.9795918367346941</v>
      </c>
      <c r="H63" s="82">
        <f>(360/E63)*'BIOMETRIA HEMATICA'!$B$10</f>
        <v>4</v>
      </c>
      <c r="I63" s="83">
        <f t="shared" si="17"/>
        <v>4.9795918367346941</v>
      </c>
      <c r="J63" s="83"/>
      <c r="K63" s="83">
        <f t="shared" si="18"/>
        <v>5</v>
      </c>
      <c r="L63" s="94">
        <v>176</v>
      </c>
      <c r="M63" s="94">
        <f t="shared" si="16"/>
        <v>880</v>
      </c>
      <c r="N63" s="105"/>
    </row>
    <row r="64" spans="1:18" x14ac:dyDescent="0.45">
      <c r="A64" s="128"/>
      <c r="B64" s="81">
        <v>6510256001</v>
      </c>
      <c r="C64" s="81" t="s">
        <v>157</v>
      </c>
      <c r="D64" s="82">
        <v>3400</v>
      </c>
      <c r="E64" s="82">
        <v>180</v>
      </c>
      <c r="F64" s="82">
        <f>'BIOMETRIA HEMATICA'!$B$2</f>
        <v>12200</v>
      </c>
      <c r="G64" s="82">
        <f t="shared" si="15"/>
        <v>3.5882352941176472</v>
      </c>
      <c r="H64" s="82">
        <f>(360/E64)*'BIOMETRIA HEMATICA'!$B$10</f>
        <v>2</v>
      </c>
      <c r="I64" s="83">
        <f t="shared" si="17"/>
        <v>3.5882352941176472</v>
      </c>
      <c r="J64" s="83"/>
      <c r="K64" s="83">
        <f t="shared" si="18"/>
        <v>4</v>
      </c>
      <c r="L64" s="94">
        <v>862</v>
      </c>
      <c r="M64" s="94">
        <f t="shared" si="16"/>
        <v>3448</v>
      </c>
      <c r="N64" s="105"/>
    </row>
    <row r="65" spans="1:18" x14ac:dyDescent="0.45">
      <c r="A65" s="128"/>
      <c r="B65" s="81">
        <v>6952291001</v>
      </c>
      <c r="C65" s="81" t="s">
        <v>158</v>
      </c>
      <c r="D65" s="82">
        <f>(((F60/30)/12)*E65)</f>
        <v>5083.3333333333339</v>
      </c>
      <c r="E65" s="82">
        <v>150</v>
      </c>
      <c r="F65" s="82">
        <f>'BIOMETRIA HEMATICA'!$B$2</f>
        <v>12200</v>
      </c>
      <c r="G65" s="82">
        <f t="shared" si="15"/>
        <v>2.4</v>
      </c>
      <c r="H65" s="82">
        <f>(360/E65)*'BIOMETRIA HEMATICA'!$B$10</f>
        <v>2.4</v>
      </c>
      <c r="I65" s="83">
        <f t="shared" si="17"/>
        <v>2.4</v>
      </c>
      <c r="J65" s="83"/>
      <c r="K65" s="83">
        <f t="shared" si="18"/>
        <v>3</v>
      </c>
      <c r="L65" s="94">
        <v>52</v>
      </c>
      <c r="M65" s="94">
        <f t="shared" si="16"/>
        <v>156</v>
      </c>
      <c r="N65" s="105"/>
    </row>
    <row r="66" spans="1:18" ht="21" x14ac:dyDescent="0.45">
      <c r="A66" s="128"/>
      <c r="B66" s="86">
        <v>7051506001</v>
      </c>
      <c r="C66" s="81" t="s">
        <v>159</v>
      </c>
      <c r="D66" s="82">
        <f>(((F60/30)/12)*E66)</f>
        <v>1897.7777777777781</v>
      </c>
      <c r="E66" s="82">
        <v>56</v>
      </c>
      <c r="F66" s="82">
        <f>'BIOMETRIA HEMATICA'!$B$2</f>
        <v>12200</v>
      </c>
      <c r="G66" s="82">
        <f t="shared" si="15"/>
        <v>6.4285714285714279</v>
      </c>
      <c r="H66" s="82">
        <f>(360/E66)*'BIOMETRIA HEMATICA'!$B$10</f>
        <v>6.4285714285714288</v>
      </c>
      <c r="I66" s="83">
        <f t="shared" si="17"/>
        <v>6.4285714285714288</v>
      </c>
      <c r="J66" s="83"/>
      <c r="K66" s="83">
        <f t="shared" si="18"/>
        <v>7</v>
      </c>
      <c r="L66" s="94">
        <v>544</v>
      </c>
      <c r="M66" s="94">
        <f t="shared" si="16"/>
        <v>3808</v>
      </c>
      <c r="N66" s="105"/>
    </row>
    <row r="67" spans="1:18" x14ac:dyDescent="0.45">
      <c r="A67" s="129" t="s">
        <v>160</v>
      </c>
      <c r="B67" s="87">
        <v>6510272001</v>
      </c>
      <c r="C67" s="88" t="s">
        <v>161</v>
      </c>
      <c r="D67" s="89">
        <v>650</v>
      </c>
      <c r="E67" s="89">
        <v>180</v>
      </c>
      <c r="F67" s="89">
        <f>'BIOMETRIA HEMATICA'!$D$2</f>
        <v>0</v>
      </c>
      <c r="G67" s="90">
        <f t="shared" si="15"/>
        <v>0</v>
      </c>
      <c r="H67" s="90">
        <f>(360/E67)*'BIOMETRIA HEMATICA'!$B$10</f>
        <v>2</v>
      </c>
      <c r="I67" s="92">
        <f t="shared" si="17"/>
        <v>2</v>
      </c>
      <c r="J67" s="115">
        <f t="shared" ref="J67:J68" si="19">IF(G67=0,0,G67)</f>
        <v>0</v>
      </c>
      <c r="K67" s="108">
        <f t="shared" si="18"/>
        <v>2</v>
      </c>
      <c r="L67" s="95">
        <v>1705</v>
      </c>
      <c r="M67" s="96">
        <f t="shared" si="16"/>
        <v>3410</v>
      </c>
      <c r="N67" s="106"/>
      <c r="O67" s="104"/>
      <c r="P67" s="104"/>
      <c r="Q67" s="104"/>
      <c r="R67" s="104"/>
    </row>
    <row r="68" spans="1:18" x14ac:dyDescent="0.45">
      <c r="A68" s="128"/>
      <c r="B68" s="87">
        <v>9426752001</v>
      </c>
      <c r="C68" s="88" t="s">
        <v>162</v>
      </c>
      <c r="D68" s="89">
        <v>450</v>
      </c>
      <c r="E68" s="89">
        <v>60</v>
      </c>
      <c r="F68" s="89">
        <f>'BIOMETRIA HEMATICA'!$D$2</f>
        <v>0</v>
      </c>
      <c r="G68" s="90">
        <f t="shared" si="15"/>
        <v>0</v>
      </c>
      <c r="H68" s="90">
        <f>(360/E68)*'BIOMETRIA HEMATICA'!$B$10</f>
        <v>6</v>
      </c>
      <c r="I68" s="92">
        <f t="shared" si="17"/>
        <v>6</v>
      </c>
      <c r="J68" s="115">
        <f t="shared" si="19"/>
        <v>0</v>
      </c>
      <c r="K68" s="108">
        <f t="shared" si="18"/>
        <v>6</v>
      </c>
      <c r="L68" s="95">
        <v>34</v>
      </c>
      <c r="M68" s="96">
        <f t="shared" si="16"/>
        <v>204</v>
      </c>
      <c r="N68" s="106"/>
      <c r="O68" s="35"/>
      <c r="P68" s="35"/>
      <c r="Q68" s="35"/>
      <c r="R68" s="35"/>
    </row>
    <row r="69" spans="1:18" ht="21" x14ac:dyDescent="0.45">
      <c r="A69" s="100" t="s">
        <v>163</v>
      </c>
      <c r="B69" s="101">
        <v>7051409001</v>
      </c>
      <c r="C69" s="101" t="s">
        <v>164</v>
      </c>
      <c r="D69" s="102">
        <f>(((F60/30)/12)*E69)</f>
        <v>1897.7777777777781</v>
      </c>
      <c r="E69" s="102">
        <v>56</v>
      </c>
      <c r="F69" s="102">
        <f>'BIOMETRIA HEMATICA'!$H$2</f>
        <v>0</v>
      </c>
      <c r="G69" s="91">
        <f t="shared" si="15"/>
        <v>0</v>
      </c>
      <c r="H69" s="91">
        <f>(360/E69)*'BIOMETRIA HEMATICA'!$B$10</f>
        <v>6.4285714285714288</v>
      </c>
      <c r="I69" s="93">
        <f t="shared" si="17"/>
        <v>6.4285714285714288</v>
      </c>
      <c r="J69" s="93">
        <f t="shared" ref="J69" si="20">IF(G48=0,0,G69)</f>
        <v>0</v>
      </c>
      <c r="K69" s="108">
        <f t="shared" si="18"/>
        <v>7</v>
      </c>
      <c r="L69" s="103">
        <v>661</v>
      </c>
      <c r="M69" s="97">
        <f t="shared" si="16"/>
        <v>4627</v>
      </c>
      <c r="N69" s="107"/>
      <c r="O69" s="104"/>
      <c r="P69" s="104"/>
      <c r="Q69" s="104"/>
      <c r="R69" s="104"/>
    </row>
    <row r="70" spans="1:18" x14ac:dyDescent="0.45">
      <c r="C70" s="18"/>
      <c r="D70" s="18"/>
      <c r="E70" s="18"/>
      <c r="F70" s="18"/>
      <c r="G70" s="18"/>
      <c r="H70" s="18"/>
      <c r="I70" s="18"/>
      <c r="J70" s="18"/>
      <c r="K70" s="18"/>
      <c r="L70" s="98"/>
      <c r="M70" s="98"/>
      <c r="N70" s="35"/>
      <c r="O70" s="35"/>
      <c r="P70" s="35"/>
      <c r="Q70" s="35"/>
      <c r="R70" s="35"/>
    </row>
    <row r="71" spans="1:18" x14ac:dyDescent="0.45">
      <c r="C71" s="26" t="s">
        <v>150</v>
      </c>
      <c r="D71" s="27"/>
      <c r="E71" s="27"/>
      <c r="F71" s="27"/>
      <c r="G71" s="28"/>
      <c r="H71" s="28"/>
      <c r="I71" s="18"/>
      <c r="J71" s="18"/>
      <c r="K71" s="130">
        <f>'BIOMETRIA HEMATICA'!B6</f>
        <v>12</v>
      </c>
      <c r="L71" s="29">
        <f>BC!F109</f>
        <v>1920</v>
      </c>
      <c r="M71" s="29">
        <f>(L71/K71)*K71</f>
        <v>1920</v>
      </c>
      <c r="N71" s="34"/>
    </row>
    <row r="72" spans="1:18" x14ac:dyDescent="0.45">
      <c r="C72" s="19" t="s">
        <v>180</v>
      </c>
      <c r="D72" s="27"/>
      <c r="E72" s="27"/>
      <c r="F72" s="27"/>
      <c r="G72" s="28"/>
      <c r="H72" s="28"/>
      <c r="I72" s="18"/>
      <c r="J72" s="18"/>
      <c r="K72" s="130"/>
      <c r="L72" s="29">
        <v>670</v>
      </c>
      <c r="M72" s="29">
        <f>(L72*K71)/(12)</f>
        <v>670</v>
      </c>
      <c r="N72" s="34"/>
    </row>
    <row r="73" spans="1:18" x14ac:dyDescent="0.45">
      <c r="C73" s="19" t="s">
        <v>0</v>
      </c>
      <c r="D73" s="18"/>
      <c r="E73" s="18"/>
      <c r="F73" s="18"/>
      <c r="G73" s="18"/>
      <c r="H73" s="18"/>
      <c r="I73" s="18"/>
      <c r="J73" s="18"/>
      <c r="K73" s="130"/>
      <c r="L73" s="29">
        <v>34287</v>
      </c>
      <c r="M73" s="29">
        <f>((((L72)*(K71))/'BIOMETRIA HEMATICA'!B2))</f>
        <v>0.65901639344262297</v>
      </c>
      <c r="N73" s="34"/>
    </row>
    <row r="77" spans="1:18" x14ac:dyDescent="0.45">
      <c r="A77" s="126" t="s">
        <v>172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</row>
    <row r="78" spans="1:18" ht="21" x14ac:dyDescent="0.45">
      <c r="A78" s="79" t="s">
        <v>1</v>
      </c>
      <c r="B78" s="79" t="s">
        <v>2</v>
      </c>
      <c r="C78" s="79" t="s">
        <v>3</v>
      </c>
      <c r="D78" s="79" t="s">
        <v>4</v>
      </c>
      <c r="E78" s="80" t="s">
        <v>5</v>
      </c>
      <c r="F78" s="80" t="s">
        <v>6</v>
      </c>
      <c r="G78" s="80" t="s">
        <v>7</v>
      </c>
      <c r="H78" s="80" t="s">
        <v>13</v>
      </c>
      <c r="I78" s="80" t="s">
        <v>8</v>
      </c>
      <c r="J78" s="80"/>
      <c r="K78" s="11" t="s">
        <v>16</v>
      </c>
      <c r="L78" s="11" t="s">
        <v>14</v>
      </c>
      <c r="M78" s="11" t="s">
        <v>15</v>
      </c>
      <c r="N78" s="11"/>
      <c r="O78" s="11" t="s">
        <v>178</v>
      </c>
      <c r="P78" s="11" t="s">
        <v>19</v>
      </c>
      <c r="Q78" s="11" t="s">
        <v>20</v>
      </c>
      <c r="R78" s="11" t="s">
        <v>21</v>
      </c>
    </row>
    <row r="79" spans="1:18" x14ac:dyDescent="0.45">
      <c r="A79" s="127" t="s">
        <v>9</v>
      </c>
      <c r="B79" s="81">
        <v>6510167001</v>
      </c>
      <c r="C79" s="81" t="s">
        <v>153</v>
      </c>
      <c r="D79" s="82">
        <v>450</v>
      </c>
      <c r="E79" s="82">
        <v>60</v>
      </c>
      <c r="F79" s="82">
        <f>'BIOMETRIA HEMATICA'!$B$2</f>
        <v>12200</v>
      </c>
      <c r="G79" s="82">
        <f>F79/D79</f>
        <v>27.111111111111111</v>
      </c>
      <c r="H79" s="82">
        <f>(360/E79)*'BIOMETRIA HEMATICA'!$B$10</f>
        <v>6</v>
      </c>
      <c r="I79" s="83">
        <f>IF(G79&gt;H79,G79,H79)</f>
        <v>27.111111111111111</v>
      </c>
      <c r="J79" s="83"/>
      <c r="K79" s="83">
        <f>ROUNDUP(I79,0)</f>
        <v>28</v>
      </c>
      <c r="L79" s="94">
        <v>121</v>
      </c>
      <c r="M79" s="94">
        <f>L79*K79</f>
        <v>3388</v>
      </c>
      <c r="N79" s="94"/>
      <c r="O79" s="99">
        <f>(SUM(M79:M88)/'BIOMETRIA HEMATICA'!B2)+M92+(BC!F109/'DETERMINACION XN'!F3)</f>
        <v>1.6882745901639347</v>
      </c>
      <c r="P79" s="119">
        <f>((O79*0.15)+O79)</f>
        <v>1.9415157786885249</v>
      </c>
      <c r="Q79" s="119">
        <f>P79*'BIOMETRIA HEMATICA'!B78</f>
        <v>0</v>
      </c>
      <c r="R79" s="99">
        <f>O79*'BIOMETRIA HEMATICA'!B78</f>
        <v>0</v>
      </c>
    </row>
    <row r="80" spans="1:18" ht="21" x14ac:dyDescent="0.45">
      <c r="A80" s="128"/>
      <c r="B80" s="81">
        <v>3337006001</v>
      </c>
      <c r="C80" s="81" t="s">
        <v>154</v>
      </c>
      <c r="D80" s="82">
        <v>9450</v>
      </c>
      <c r="E80" s="82">
        <v>60</v>
      </c>
      <c r="F80" s="82">
        <f>'BIOMETRIA HEMATICA'!$B$2</f>
        <v>12200</v>
      </c>
      <c r="G80" s="82">
        <f t="shared" ref="G80:G88" si="21">F80/D80</f>
        <v>1.2910052910052909</v>
      </c>
      <c r="H80" s="82">
        <f>(360/E80)*'BIOMETRIA HEMATICA'!$B$10</f>
        <v>6</v>
      </c>
      <c r="I80" s="83">
        <f>IF(G80&gt;H80,G80,H80)</f>
        <v>6</v>
      </c>
      <c r="J80" s="83">
        <f>IF(N80&gt;N81,0,I80)</f>
        <v>6</v>
      </c>
      <c r="K80" s="108">
        <v>0</v>
      </c>
      <c r="L80" s="94">
        <v>1107</v>
      </c>
      <c r="M80" s="94">
        <f t="shared" ref="M80:M88" si="22">L80*K80</f>
        <v>0</v>
      </c>
      <c r="N80" s="105">
        <f>L80*K80</f>
        <v>0</v>
      </c>
      <c r="O80" s="11" t="s">
        <v>179</v>
      </c>
      <c r="P80" s="11" t="s">
        <v>19</v>
      </c>
      <c r="Q80" s="11" t="s">
        <v>20</v>
      </c>
      <c r="R80" s="11" t="s">
        <v>21</v>
      </c>
    </row>
    <row r="81" spans="1:18" x14ac:dyDescent="0.45">
      <c r="A81" s="128"/>
      <c r="B81" s="84">
        <v>12215616001</v>
      </c>
      <c r="C81" s="85" t="s">
        <v>155</v>
      </c>
      <c r="D81" s="82">
        <v>850</v>
      </c>
      <c r="E81" s="82">
        <v>60</v>
      </c>
      <c r="F81" s="82">
        <f>'BIOMETRIA HEMATICA'!$B$2</f>
        <v>12200</v>
      </c>
      <c r="G81" s="82">
        <f t="shared" si="21"/>
        <v>14.352941176470589</v>
      </c>
      <c r="H81" s="82">
        <f>(360/E81)*'BIOMETRIA HEMATICA'!$B$10</f>
        <v>6</v>
      </c>
      <c r="I81" s="83">
        <f t="shared" ref="I81:I88" si="23">IF(G81&gt;H81,G81,H81)</f>
        <v>14.352941176470589</v>
      </c>
      <c r="J81" s="83">
        <f>IF(N81&gt;N80,0,I81)</f>
        <v>0</v>
      </c>
      <c r="K81" s="108">
        <f t="shared" ref="K81:K84" si="24">ROUNDUP(I81,0)</f>
        <v>15</v>
      </c>
      <c r="L81" s="94">
        <v>228.33</v>
      </c>
      <c r="M81" s="94">
        <f t="shared" si="22"/>
        <v>3424.9500000000003</v>
      </c>
      <c r="N81" s="105">
        <f>L81*K81</f>
        <v>3424.9500000000003</v>
      </c>
      <c r="O81" s="99">
        <f>(SUM(M79:M85)/'BIOMETRIA HEMATICA'!B2)+M92</f>
        <v>1.5308975409836068</v>
      </c>
      <c r="P81" s="119">
        <f>((O81*0.15)+O81)</f>
        <v>1.7605321721311478</v>
      </c>
      <c r="Q81" s="119">
        <f>P81*'BIOMETRIA HEMATICA'!B78</f>
        <v>0</v>
      </c>
      <c r="R81" s="99">
        <f>O81*'BIOMETRIA HEMATICA'!B78</f>
        <v>0</v>
      </c>
    </row>
    <row r="82" spans="1:18" x14ac:dyDescent="0.45">
      <c r="A82" s="128"/>
      <c r="B82" s="81">
        <v>7837984001</v>
      </c>
      <c r="C82" s="81" t="s">
        <v>156</v>
      </c>
      <c r="D82" s="82">
        <v>2450</v>
      </c>
      <c r="E82" s="82">
        <v>90</v>
      </c>
      <c r="F82" s="82">
        <f>'BIOMETRIA HEMATICA'!$B$2</f>
        <v>12200</v>
      </c>
      <c r="G82" s="82">
        <f t="shared" si="21"/>
        <v>4.9795918367346941</v>
      </c>
      <c r="H82" s="82">
        <f>(360/E82)*'BIOMETRIA HEMATICA'!$B$10</f>
        <v>4</v>
      </c>
      <c r="I82" s="83">
        <f t="shared" si="23"/>
        <v>4.9795918367346941</v>
      </c>
      <c r="J82" s="83"/>
      <c r="K82" s="83">
        <f t="shared" si="24"/>
        <v>5</v>
      </c>
      <c r="L82" s="94">
        <v>176</v>
      </c>
      <c r="M82" s="94">
        <f t="shared" si="22"/>
        <v>880</v>
      </c>
      <c r="N82" s="105"/>
    </row>
    <row r="83" spans="1:18" x14ac:dyDescent="0.45">
      <c r="A83" s="128"/>
      <c r="B83" s="81">
        <v>6510256001</v>
      </c>
      <c r="C83" s="81" t="s">
        <v>157</v>
      </c>
      <c r="D83" s="82">
        <v>3400</v>
      </c>
      <c r="E83" s="82">
        <v>180</v>
      </c>
      <c r="F83" s="82">
        <f>'BIOMETRIA HEMATICA'!$B$2</f>
        <v>12200</v>
      </c>
      <c r="G83" s="82">
        <f t="shared" si="21"/>
        <v>3.5882352941176472</v>
      </c>
      <c r="H83" s="82">
        <f>(360/E83)*'BIOMETRIA HEMATICA'!$B$10</f>
        <v>2</v>
      </c>
      <c r="I83" s="83">
        <f t="shared" si="23"/>
        <v>3.5882352941176472</v>
      </c>
      <c r="J83" s="83"/>
      <c r="K83" s="83">
        <f t="shared" si="24"/>
        <v>4</v>
      </c>
      <c r="L83" s="94">
        <v>862</v>
      </c>
      <c r="M83" s="94">
        <f t="shared" si="22"/>
        <v>3448</v>
      </c>
      <c r="N83" s="105"/>
    </row>
    <row r="84" spans="1:18" x14ac:dyDescent="0.45">
      <c r="A84" s="128"/>
      <c r="B84" s="81">
        <v>6952291001</v>
      </c>
      <c r="C84" s="81" t="s">
        <v>158</v>
      </c>
      <c r="D84" s="82">
        <f>(((F79/30)/12)*E84)</f>
        <v>5083.3333333333339</v>
      </c>
      <c r="E84" s="82">
        <v>150</v>
      </c>
      <c r="F84" s="82">
        <f>'BIOMETRIA HEMATICA'!$B$2</f>
        <v>12200</v>
      </c>
      <c r="G84" s="82">
        <f t="shared" si="21"/>
        <v>2.4</v>
      </c>
      <c r="H84" s="82">
        <f>(360/E84)*'BIOMETRIA HEMATICA'!$B$10</f>
        <v>2.4</v>
      </c>
      <c r="I84" s="83">
        <f t="shared" si="23"/>
        <v>2.4</v>
      </c>
      <c r="J84" s="83"/>
      <c r="K84" s="83">
        <f t="shared" si="24"/>
        <v>3</v>
      </c>
      <c r="L84" s="94">
        <v>52</v>
      </c>
      <c r="M84" s="94">
        <f t="shared" si="22"/>
        <v>156</v>
      </c>
      <c r="N84" s="105"/>
    </row>
    <row r="85" spans="1:18" ht="21" x14ac:dyDescent="0.45">
      <c r="A85" s="128"/>
      <c r="B85" s="86">
        <v>7051506001</v>
      </c>
      <c r="C85" s="81" t="s">
        <v>159</v>
      </c>
      <c r="D85" s="82">
        <f>(((F79/30)/12)*E85)</f>
        <v>1897.7777777777781</v>
      </c>
      <c r="E85" s="82">
        <v>56</v>
      </c>
      <c r="F85" s="82">
        <f>'BIOMETRIA HEMATICA'!$B$2</f>
        <v>12200</v>
      </c>
      <c r="G85" s="82">
        <f t="shared" si="21"/>
        <v>6.4285714285714279</v>
      </c>
      <c r="H85" s="82">
        <f>(360/E85)*'BIOMETRIA HEMATICA'!$B$10</f>
        <v>6.4285714285714288</v>
      </c>
      <c r="I85" s="83">
        <f t="shared" si="23"/>
        <v>6.4285714285714288</v>
      </c>
      <c r="J85" s="83"/>
      <c r="K85" s="83"/>
      <c r="L85" s="94">
        <v>544</v>
      </c>
      <c r="M85" s="94">
        <f t="shared" si="22"/>
        <v>0</v>
      </c>
      <c r="N85" s="105"/>
    </row>
    <row r="86" spans="1:18" x14ac:dyDescent="0.45">
      <c r="A86" s="129" t="s">
        <v>160</v>
      </c>
      <c r="B86" s="87">
        <v>6510272001</v>
      </c>
      <c r="C86" s="88" t="s">
        <v>161</v>
      </c>
      <c r="D86" s="89">
        <v>650</v>
      </c>
      <c r="E86" s="89">
        <v>180</v>
      </c>
      <c r="F86" s="89">
        <f>'BIOMETRIA HEMATICA'!$D$2</f>
        <v>0</v>
      </c>
      <c r="G86" s="90">
        <f t="shared" si="21"/>
        <v>0</v>
      </c>
      <c r="H86" s="90">
        <f>(360/E86)*'BIOMETRIA HEMATICA'!$B$10</f>
        <v>2</v>
      </c>
      <c r="I86" s="92">
        <f t="shared" si="23"/>
        <v>2</v>
      </c>
      <c r="J86" s="115">
        <f t="shared" ref="J86:J87" si="25">IF(G86=0,0,G86)</f>
        <v>0</v>
      </c>
      <c r="K86" s="108"/>
      <c r="L86" s="95">
        <v>1705</v>
      </c>
      <c r="M86" s="96">
        <f t="shared" si="22"/>
        <v>0</v>
      </c>
      <c r="N86" s="106"/>
      <c r="O86" s="104"/>
      <c r="P86" s="104"/>
      <c r="Q86" s="104"/>
      <c r="R86" s="104"/>
    </row>
    <row r="87" spans="1:18" x14ac:dyDescent="0.45">
      <c r="A87" s="128"/>
      <c r="B87" s="87">
        <v>9426752001</v>
      </c>
      <c r="C87" s="88" t="s">
        <v>162</v>
      </c>
      <c r="D87" s="89">
        <v>450</v>
      </c>
      <c r="E87" s="89">
        <v>60</v>
      </c>
      <c r="F87" s="89">
        <f>'BIOMETRIA HEMATICA'!$D$2</f>
        <v>0</v>
      </c>
      <c r="G87" s="90">
        <f t="shared" si="21"/>
        <v>0</v>
      </c>
      <c r="H87" s="90">
        <f>(360/E87)*'BIOMETRIA HEMATICA'!$B$10</f>
        <v>6</v>
      </c>
      <c r="I87" s="92">
        <f t="shared" si="23"/>
        <v>6</v>
      </c>
      <c r="J87" s="115">
        <f t="shared" si="25"/>
        <v>0</v>
      </c>
      <c r="K87" s="108"/>
      <c r="L87" s="95">
        <v>34</v>
      </c>
      <c r="M87" s="96">
        <f t="shared" si="22"/>
        <v>0</v>
      </c>
      <c r="N87" s="106"/>
      <c r="O87" s="35"/>
      <c r="P87" s="35"/>
      <c r="Q87" s="35"/>
      <c r="R87" s="35"/>
    </row>
    <row r="88" spans="1:18" ht="21" x14ac:dyDescent="0.45">
      <c r="A88" s="100" t="s">
        <v>163</v>
      </c>
      <c r="B88" s="101">
        <v>7051409001</v>
      </c>
      <c r="C88" s="101" t="s">
        <v>164</v>
      </c>
      <c r="D88" s="102">
        <f>(((F79/30)/12)*E88)</f>
        <v>1897.7777777777781</v>
      </c>
      <c r="E88" s="102">
        <v>56</v>
      </c>
      <c r="F88" s="102">
        <f>'BIOMETRIA HEMATICA'!$H$2</f>
        <v>0</v>
      </c>
      <c r="G88" s="91">
        <f t="shared" si="21"/>
        <v>0</v>
      </c>
      <c r="H88" s="91">
        <f>(360/E88)*'BIOMETRIA HEMATICA'!$B$10</f>
        <v>6.4285714285714288</v>
      </c>
      <c r="I88" s="93">
        <f t="shared" si="23"/>
        <v>6.4285714285714288</v>
      </c>
      <c r="J88" s="93">
        <f t="shared" ref="J88" si="26">IF(G67=0,0,G88)</f>
        <v>0</v>
      </c>
      <c r="K88" s="108"/>
      <c r="L88" s="103">
        <v>661</v>
      </c>
      <c r="M88" s="97">
        <f t="shared" si="22"/>
        <v>0</v>
      </c>
      <c r="N88" s="107"/>
      <c r="O88" s="104"/>
      <c r="P88" s="104"/>
      <c r="Q88" s="104"/>
      <c r="R88" s="104"/>
    </row>
    <row r="89" spans="1:18" x14ac:dyDescent="0.45">
      <c r="C89" s="18"/>
      <c r="D89" s="18"/>
      <c r="E89" s="18"/>
      <c r="F89" s="18"/>
      <c r="G89" s="18"/>
      <c r="H89" s="18"/>
      <c r="I89" s="18"/>
      <c r="J89" s="18"/>
      <c r="K89" s="18"/>
      <c r="L89" s="98"/>
      <c r="M89" s="98"/>
      <c r="N89" s="35"/>
      <c r="O89" s="35"/>
      <c r="P89" s="35"/>
      <c r="Q89" s="35"/>
      <c r="R89" s="35"/>
    </row>
    <row r="90" spans="1:18" x14ac:dyDescent="0.45">
      <c r="C90" s="26" t="s">
        <v>150</v>
      </c>
      <c r="D90" s="27"/>
      <c r="E90" s="27"/>
      <c r="F90" s="27"/>
      <c r="G90" s="28"/>
      <c r="H90" s="28"/>
      <c r="I90" s="18"/>
      <c r="J90" s="18"/>
      <c r="K90" s="130">
        <f>'BIOMETRIA HEMATICA'!B6</f>
        <v>12</v>
      </c>
      <c r="L90" s="29">
        <f>BC!F109</f>
        <v>1920</v>
      </c>
      <c r="M90" s="29">
        <f>(L90/K90)*K90</f>
        <v>1920</v>
      </c>
      <c r="N90" s="34"/>
    </row>
    <row r="91" spans="1:18" x14ac:dyDescent="0.45">
      <c r="C91" s="19" t="s">
        <v>180</v>
      </c>
      <c r="D91" s="27"/>
      <c r="E91" s="27"/>
      <c r="F91" s="27"/>
      <c r="G91" s="28"/>
      <c r="H91" s="28"/>
      <c r="I91" s="18"/>
      <c r="J91" s="18"/>
      <c r="K91" s="130"/>
      <c r="L91" s="29">
        <v>615</v>
      </c>
      <c r="M91" s="29">
        <f>(L91*K90)/(12)</f>
        <v>615</v>
      </c>
      <c r="N91" s="34"/>
    </row>
    <row r="92" spans="1:18" x14ac:dyDescent="0.45">
      <c r="C92" s="19" t="s">
        <v>0</v>
      </c>
      <c r="D92" s="18"/>
      <c r="E92" s="18"/>
      <c r="F92" s="18"/>
      <c r="G92" s="18"/>
      <c r="H92" s="18"/>
      <c r="I92" s="18"/>
      <c r="J92" s="18"/>
      <c r="K92" s="130"/>
      <c r="L92" s="29">
        <v>28941</v>
      </c>
      <c r="M92" s="29">
        <f>((((L91)*(K90))/'BIOMETRIA HEMATICA'!B2))</f>
        <v>0.60491803278688527</v>
      </c>
      <c r="N92" s="34"/>
    </row>
    <row r="96" spans="1:18" x14ac:dyDescent="0.45">
      <c r="A96" s="126" t="s">
        <v>173</v>
      </c>
      <c r="B96" s="126"/>
      <c r="C96" s="126"/>
      <c r="D96" s="126"/>
      <c r="E96" s="126"/>
      <c r="F96" s="126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</row>
    <row r="97" spans="1:18" ht="21" x14ac:dyDescent="0.45">
      <c r="A97" s="79" t="s">
        <v>1</v>
      </c>
      <c r="B97" s="79" t="s">
        <v>2</v>
      </c>
      <c r="C97" s="79" t="s">
        <v>3</v>
      </c>
      <c r="D97" s="79" t="s">
        <v>4</v>
      </c>
      <c r="E97" s="80" t="s">
        <v>5</v>
      </c>
      <c r="F97" s="80" t="s">
        <v>6</v>
      </c>
      <c r="G97" s="80" t="s">
        <v>7</v>
      </c>
      <c r="H97" s="80" t="s">
        <v>13</v>
      </c>
      <c r="I97" s="80" t="s">
        <v>8</v>
      </c>
      <c r="J97" s="80"/>
      <c r="K97" s="11" t="s">
        <v>16</v>
      </c>
      <c r="L97" s="11" t="s">
        <v>14</v>
      </c>
      <c r="M97" s="11" t="s">
        <v>15</v>
      </c>
      <c r="N97" s="11"/>
      <c r="O97" s="11" t="s">
        <v>178</v>
      </c>
      <c r="P97" s="11" t="s">
        <v>19</v>
      </c>
      <c r="Q97" s="11" t="s">
        <v>20</v>
      </c>
      <c r="R97" s="11" t="s">
        <v>21</v>
      </c>
    </row>
    <row r="98" spans="1:18" x14ac:dyDescent="0.45">
      <c r="A98" s="127" t="s">
        <v>9</v>
      </c>
      <c r="B98" s="81">
        <v>6510167001</v>
      </c>
      <c r="C98" s="81" t="s">
        <v>153</v>
      </c>
      <c r="D98" s="82">
        <v>450</v>
      </c>
      <c r="E98" s="82">
        <v>60</v>
      </c>
      <c r="F98" s="82">
        <f>'BIOMETRIA HEMATICA'!$B$2-'BIOMETRIA HEMATICA'!$D$2</f>
        <v>12200</v>
      </c>
      <c r="G98" s="82">
        <f>F98/D98</f>
        <v>27.111111111111111</v>
      </c>
      <c r="H98" s="82">
        <f>(360/E98)*'BIOMETRIA HEMATICA'!$B$10</f>
        <v>6</v>
      </c>
      <c r="I98" s="83">
        <f>IF(G98&gt;H98,G98,H98)</f>
        <v>27.111111111111111</v>
      </c>
      <c r="J98" s="83"/>
      <c r="K98" s="83">
        <f>ROUNDUP(I98,0)</f>
        <v>28</v>
      </c>
      <c r="L98" s="94">
        <v>121</v>
      </c>
      <c r="M98" s="94">
        <f>L98*K98</f>
        <v>3388</v>
      </c>
      <c r="N98" s="94"/>
      <c r="O98" s="99">
        <f>(SUM(M98:M107)/'BIOMETRIA HEMATICA'!B2)+M111</f>
        <v>3.156389344262295</v>
      </c>
      <c r="P98" s="119">
        <f>((O98*0.15)+O98)</f>
        <v>3.6298477459016394</v>
      </c>
      <c r="Q98" s="119">
        <f>P98*'BIOMETRIA HEMATICA'!B97</f>
        <v>0</v>
      </c>
      <c r="R98" s="99">
        <f>O98*'BIOMETRIA HEMATICA'!B97</f>
        <v>0</v>
      </c>
    </row>
    <row r="99" spans="1:18" ht="21" x14ac:dyDescent="0.45">
      <c r="A99" s="128"/>
      <c r="B99" s="81">
        <v>3337006001</v>
      </c>
      <c r="C99" s="81" t="s">
        <v>154</v>
      </c>
      <c r="D99" s="82">
        <v>9450</v>
      </c>
      <c r="E99" s="82">
        <v>60</v>
      </c>
      <c r="F99" s="82">
        <f>'BIOMETRIA HEMATICA'!$B$2-'BIOMETRIA HEMATICA'!$D$2</f>
        <v>12200</v>
      </c>
      <c r="G99" s="82">
        <f t="shared" ref="G99:G107" si="27">F99/D99</f>
        <v>1.2910052910052909</v>
      </c>
      <c r="H99" s="82">
        <f>(360/E99)*'BIOMETRIA HEMATICA'!$B$10</f>
        <v>6</v>
      </c>
      <c r="I99" s="83">
        <f>IF(G99&gt;H99,G99,H99)</f>
        <v>6</v>
      </c>
      <c r="J99" s="83">
        <f>IF(N99&gt;N100,0,I99)</f>
        <v>0</v>
      </c>
      <c r="K99" s="108">
        <f>ROUNDUP(I99,0)</f>
        <v>6</v>
      </c>
      <c r="L99" s="94">
        <v>1107</v>
      </c>
      <c r="M99" s="94">
        <f t="shared" ref="M99:M107" si="28">L99*K99</f>
        <v>6642</v>
      </c>
      <c r="N99" s="105">
        <f>L99*K99</f>
        <v>6642</v>
      </c>
      <c r="O99" s="11" t="s">
        <v>179</v>
      </c>
      <c r="P99" s="11" t="s">
        <v>19</v>
      </c>
      <c r="Q99" s="11" t="s">
        <v>20</v>
      </c>
      <c r="R99" s="11" t="s">
        <v>21</v>
      </c>
    </row>
    <row r="100" spans="1:18" x14ac:dyDescent="0.45">
      <c r="A100" s="128"/>
      <c r="B100" s="84">
        <v>12215616001</v>
      </c>
      <c r="C100" s="85" t="s">
        <v>155</v>
      </c>
      <c r="D100" s="82">
        <v>850</v>
      </c>
      <c r="E100" s="82">
        <v>60</v>
      </c>
      <c r="F100" s="82">
        <f>'BIOMETRIA HEMATICA'!$B$2-'BIOMETRIA HEMATICA'!$D$2</f>
        <v>12200</v>
      </c>
      <c r="G100" s="82">
        <f t="shared" si="27"/>
        <v>14.352941176470589</v>
      </c>
      <c r="H100" s="82">
        <f>(360/E100)*'BIOMETRIA HEMATICA'!$B$10</f>
        <v>6</v>
      </c>
      <c r="I100" s="83">
        <f t="shared" ref="I100:I107" si="29">IF(G100&gt;H100,G100,H100)</f>
        <v>14.352941176470589</v>
      </c>
      <c r="J100" s="83">
        <f>IF(N100&gt;N99,0,I100)</f>
        <v>14.352941176470589</v>
      </c>
      <c r="K100" s="108">
        <f t="shared" ref="K100:K107" si="30">ROUNDUP(I100,0)</f>
        <v>15</v>
      </c>
      <c r="L100" s="94">
        <v>228.33</v>
      </c>
      <c r="M100" s="94">
        <f t="shared" si="28"/>
        <v>3424.9500000000003</v>
      </c>
      <c r="N100" s="105">
        <f>L100*K100</f>
        <v>3424.9500000000003</v>
      </c>
      <c r="O100" s="99">
        <f>(SUM(M98:M104)/'BIOMETRIA HEMATICA'!B2)+M111</f>
        <v>2.4808975409836065</v>
      </c>
      <c r="P100" s="119">
        <f>((O100*0.15)+O100)</f>
        <v>2.8530321721311473</v>
      </c>
      <c r="Q100" s="119">
        <f>P100*'BIOMETRIA HEMATICA'!B97</f>
        <v>0</v>
      </c>
      <c r="R100" s="99">
        <f>O100*'BIOMETRIA HEMATICA'!B97</f>
        <v>0</v>
      </c>
    </row>
    <row r="101" spans="1:18" x14ac:dyDescent="0.45">
      <c r="A101" s="128"/>
      <c r="B101" s="81">
        <v>7837984001</v>
      </c>
      <c r="C101" s="81" t="s">
        <v>156</v>
      </c>
      <c r="D101" s="82">
        <v>2450</v>
      </c>
      <c r="E101" s="82">
        <v>90</v>
      </c>
      <c r="F101" s="82">
        <f>'BIOMETRIA HEMATICA'!$B$2-'BIOMETRIA HEMATICA'!$D$2</f>
        <v>12200</v>
      </c>
      <c r="G101" s="82">
        <f t="shared" si="27"/>
        <v>4.9795918367346941</v>
      </c>
      <c r="H101" s="82">
        <f>(360/E101)*'BIOMETRIA HEMATICA'!$B$10</f>
        <v>4</v>
      </c>
      <c r="I101" s="83">
        <f t="shared" si="29"/>
        <v>4.9795918367346941</v>
      </c>
      <c r="J101" s="83"/>
      <c r="K101" s="83">
        <f t="shared" si="30"/>
        <v>5</v>
      </c>
      <c r="L101" s="94">
        <v>176</v>
      </c>
      <c r="M101" s="94">
        <f t="shared" si="28"/>
        <v>880</v>
      </c>
      <c r="N101" s="105"/>
    </row>
    <row r="102" spans="1:18" x14ac:dyDescent="0.45">
      <c r="A102" s="128"/>
      <c r="B102" s="81">
        <v>6510256001</v>
      </c>
      <c r="C102" s="81" t="s">
        <v>157</v>
      </c>
      <c r="D102" s="82">
        <v>3400</v>
      </c>
      <c r="E102" s="82">
        <v>180</v>
      </c>
      <c r="F102" s="82">
        <f>'BIOMETRIA HEMATICA'!$B$2-'BIOMETRIA HEMATICA'!$D$2</f>
        <v>12200</v>
      </c>
      <c r="G102" s="82">
        <f t="shared" si="27"/>
        <v>3.5882352941176472</v>
      </c>
      <c r="H102" s="82">
        <f>(360/E102)*'BIOMETRIA HEMATICA'!$B$10</f>
        <v>2</v>
      </c>
      <c r="I102" s="83">
        <f t="shared" si="29"/>
        <v>3.5882352941176472</v>
      </c>
      <c r="J102" s="83"/>
      <c r="K102" s="83">
        <f t="shared" si="30"/>
        <v>4</v>
      </c>
      <c r="L102" s="94">
        <v>862</v>
      </c>
      <c r="M102" s="94">
        <f t="shared" si="28"/>
        <v>3448</v>
      </c>
      <c r="N102" s="105"/>
    </row>
    <row r="103" spans="1:18" x14ac:dyDescent="0.45">
      <c r="A103" s="128"/>
      <c r="B103" s="81">
        <v>6952291001</v>
      </c>
      <c r="C103" s="81" t="s">
        <v>158</v>
      </c>
      <c r="D103" s="82">
        <f>(((F98/30)/12)*E103)</f>
        <v>5083.3333333333339</v>
      </c>
      <c r="E103" s="82">
        <v>150</v>
      </c>
      <c r="F103" s="82">
        <f>'BIOMETRIA HEMATICA'!$B$2-'BIOMETRIA HEMATICA'!$D$2</f>
        <v>12200</v>
      </c>
      <c r="G103" s="82">
        <f t="shared" si="27"/>
        <v>2.4</v>
      </c>
      <c r="H103" s="82">
        <f>(360/E103)*'BIOMETRIA HEMATICA'!$B$10</f>
        <v>2.4</v>
      </c>
      <c r="I103" s="83">
        <f t="shared" si="29"/>
        <v>2.4</v>
      </c>
      <c r="J103" s="83"/>
      <c r="K103" s="83">
        <f t="shared" si="30"/>
        <v>3</v>
      </c>
      <c r="L103" s="94">
        <v>52</v>
      </c>
      <c r="M103" s="94">
        <f t="shared" si="28"/>
        <v>156</v>
      </c>
      <c r="N103" s="105"/>
    </row>
    <row r="104" spans="1:18" ht="21" x14ac:dyDescent="0.45">
      <c r="A104" s="128"/>
      <c r="B104" s="86">
        <v>7051506001</v>
      </c>
      <c r="C104" s="81" t="s">
        <v>159</v>
      </c>
      <c r="D104" s="82">
        <f>(((F98/30)/12)*E104)</f>
        <v>1897.7777777777781</v>
      </c>
      <c r="E104" s="82">
        <v>56</v>
      </c>
      <c r="F104" s="82">
        <f>'BIOMETRIA HEMATICA'!$B$2-'BIOMETRIA HEMATICA'!$D$2</f>
        <v>12200</v>
      </c>
      <c r="G104" s="82">
        <f t="shared" si="27"/>
        <v>6.4285714285714279</v>
      </c>
      <c r="H104" s="82">
        <f>(360/E104)*'BIOMETRIA HEMATICA'!$B$10</f>
        <v>6.4285714285714288</v>
      </c>
      <c r="I104" s="83">
        <f t="shared" si="29"/>
        <v>6.4285714285714288</v>
      </c>
      <c r="J104" s="83"/>
      <c r="K104" s="83">
        <f t="shared" si="30"/>
        <v>7</v>
      </c>
      <c r="L104" s="94">
        <v>544</v>
      </c>
      <c r="M104" s="94">
        <f t="shared" si="28"/>
        <v>3808</v>
      </c>
      <c r="N104" s="105"/>
    </row>
    <row r="105" spans="1:18" x14ac:dyDescent="0.45">
      <c r="A105" s="129" t="s">
        <v>160</v>
      </c>
      <c r="B105" s="87">
        <v>6510272001</v>
      </c>
      <c r="C105" s="88" t="s">
        <v>161</v>
      </c>
      <c r="D105" s="89">
        <v>650</v>
      </c>
      <c r="E105" s="89">
        <v>180</v>
      </c>
      <c r="F105" s="89">
        <f>'BIOMETRIA HEMATICA'!$D$2</f>
        <v>0</v>
      </c>
      <c r="G105" s="90">
        <f t="shared" si="27"/>
        <v>0</v>
      </c>
      <c r="H105" s="90">
        <f>(360/E105)*'BIOMETRIA HEMATICA'!$B$10</f>
        <v>2</v>
      </c>
      <c r="I105" s="92">
        <f t="shared" si="29"/>
        <v>2</v>
      </c>
      <c r="J105" s="115">
        <f t="shared" ref="J105:J106" si="31">IF(G105=0,0,G105)</f>
        <v>0</v>
      </c>
      <c r="K105" s="108">
        <f t="shared" si="30"/>
        <v>2</v>
      </c>
      <c r="L105" s="95">
        <v>1705</v>
      </c>
      <c r="M105" s="96">
        <f t="shared" si="28"/>
        <v>3410</v>
      </c>
      <c r="N105" s="106"/>
      <c r="O105" s="104"/>
      <c r="P105" s="104"/>
      <c r="Q105" s="104"/>
      <c r="R105" s="104"/>
    </row>
    <row r="106" spans="1:18" x14ac:dyDescent="0.45">
      <c r="A106" s="128"/>
      <c r="B106" s="87">
        <v>9426752001</v>
      </c>
      <c r="C106" s="88" t="s">
        <v>162</v>
      </c>
      <c r="D106" s="89">
        <v>450</v>
      </c>
      <c r="E106" s="89">
        <v>60</v>
      </c>
      <c r="F106" s="89">
        <f>'BIOMETRIA HEMATICA'!$D$2</f>
        <v>0</v>
      </c>
      <c r="G106" s="90">
        <f t="shared" si="27"/>
        <v>0</v>
      </c>
      <c r="H106" s="90">
        <f>(360/E106)*'BIOMETRIA HEMATICA'!$B$10</f>
        <v>6</v>
      </c>
      <c r="I106" s="92">
        <f t="shared" si="29"/>
        <v>6</v>
      </c>
      <c r="J106" s="115">
        <f t="shared" si="31"/>
        <v>0</v>
      </c>
      <c r="K106" s="108">
        <f t="shared" si="30"/>
        <v>6</v>
      </c>
      <c r="L106" s="95">
        <v>34</v>
      </c>
      <c r="M106" s="96">
        <f t="shared" si="28"/>
        <v>204</v>
      </c>
      <c r="N106" s="106"/>
      <c r="O106" s="35"/>
      <c r="P106" s="35"/>
      <c r="Q106" s="35"/>
      <c r="R106" s="35"/>
    </row>
    <row r="107" spans="1:18" ht="21" x14ac:dyDescent="0.45">
      <c r="A107" s="100" t="s">
        <v>163</v>
      </c>
      <c r="B107" s="101">
        <v>7051409001</v>
      </c>
      <c r="C107" s="101" t="s">
        <v>164</v>
      </c>
      <c r="D107" s="102">
        <f>(((F98/30)/12)*E107)</f>
        <v>1897.7777777777781</v>
      </c>
      <c r="E107" s="102">
        <v>56</v>
      </c>
      <c r="F107" s="102">
        <f>'BIOMETRIA HEMATICA'!$H$2</f>
        <v>0</v>
      </c>
      <c r="G107" s="91">
        <f t="shared" si="27"/>
        <v>0</v>
      </c>
      <c r="H107" s="91">
        <f>(360/E107)*'BIOMETRIA HEMATICA'!$B$10</f>
        <v>6.4285714285714288</v>
      </c>
      <c r="I107" s="93">
        <f t="shared" si="29"/>
        <v>6.4285714285714288</v>
      </c>
      <c r="J107" s="93">
        <f t="shared" ref="J107" si="32">IF(G86=0,0,G107)</f>
        <v>0</v>
      </c>
      <c r="K107" s="108">
        <f t="shared" si="30"/>
        <v>7</v>
      </c>
      <c r="L107" s="103">
        <v>661</v>
      </c>
      <c r="M107" s="97">
        <f t="shared" si="28"/>
        <v>4627</v>
      </c>
      <c r="N107" s="107"/>
      <c r="O107" s="104"/>
      <c r="P107" s="104"/>
      <c r="Q107" s="104"/>
      <c r="R107" s="104"/>
    </row>
    <row r="108" spans="1:18" x14ac:dyDescent="0.45">
      <c r="C108" s="18"/>
      <c r="D108" s="18"/>
      <c r="E108" s="18"/>
      <c r="F108" s="18"/>
      <c r="G108" s="18"/>
      <c r="H108" s="18"/>
      <c r="I108" s="18"/>
      <c r="J108" s="18"/>
      <c r="K108" s="18"/>
      <c r="L108" s="98"/>
      <c r="M108" s="98"/>
      <c r="N108" s="35"/>
      <c r="O108" s="35"/>
      <c r="P108" s="35"/>
      <c r="Q108" s="35"/>
      <c r="R108" s="35"/>
    </row>
    <row r="109" spans="1:18" x14ac:dyDescent="0.45">
      <c r="C109" s="26" t="s">
        <v>150</v>
      </c>
      <c r="D109" s="27"/>
      <c r="E109" s="27"/>
      <c r="F109" s="27"/>
      <c r="G109" s="28"/>
      <c r="H109" s="28"/>
      <c r="I109" s="18"/>
      <c r="J109" s="18"/>
      <c r="K109" s="130">
        <f>'BIOMETRIA HEMATICA'!B6</f>
        <v>12</v>
      </c>
      <c r="L109" s="29">
        <f>BC!F109</f>
        <v>1920</v>
      </c>
      <c r="M109" s="29">
        <f>(L109/K109)*K109</f>
        <v>1920</v>
      </c>
      <c r="N109" s="34"/>
    </row>
    <row r="110" spans="1:18" x14ac:dyDescent="0.45">
      <c r="C110" s="19" t="s">
        <v>180</v>
      </c>
      <c r="D110" s="27"/>
      <c r="E110" s="27"/>
      <c r="F110" s="27"/>
      <c r="G110" s="28"/>
      <c r="H110" s="28"/>
      <c r="I110" s="18"/>
      <c r="J110" s="18"/>
      <c r="K110" s="130"/>
      <c r="L110" s="29">
        <v>710</v>
      </c>
      <c r="M110" s="29">
        <f>(L110*K109)/(12)</f>
        <v>710</v>
      </c>
      <c r="N110" s="34"/>
    </row>
    <row r="111" spans="1:18" x14ac:dyDescent="0.45">
      <c r="C111" s="19" t="s">
        <v>0</v>
      </c>
      <c r="D111" s="18"/>
      <c r="E111" s="18"/>
      <c r="F111" s="18"/>
      <c r="G111" s="18"/>
      <c r="H111" s="18"/>
      <c r="I111" s="18"/>
      <c r="J111" s="18"/>
      <c r="K111" s="130"/>
      <c r="L111" s="29">
        <v>36850</v>
      </c>
      <c r="M111" s="29">
        <f>((((L110)*(K109))/'BIOMETRIA HEMATICA'!B2))</f>
        <v>0.69836065573770489</v>
      </c>
      <c r="N111" s="34"/>
    </row>
    <row r="115" spans="1:18" x14ac:dyDescent="0.45">
      <c r="A115" s="126" t="s">
        <v>174</v>
      </c>
      <c r="B115" s="126"/>
      <c r="C115" s="126"/>
      <c r="D115" s="126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</row>
    <row r="116" spans="1:18" ht="21" x14ac:dyDescent="0.45">
      <c r="A116" s="79" t="s">
        <v>1</v>
      </c>
      <c r="B116" s="79" t="s">
        <v>2</v>
      </c>
      <c r="C116" s="79" t="s">
        <v>3</v>
      </c>
      <c r="D116" s="79" t="s">
        <v>4</v>
      </c>
      <c r="E116" s="80" t="s">
        <v>5</v>
      </c>
      <c r="F116" s="80" t="s">
        <v>6</v>
      </c>
      <c r="G116" s="80" t="s">
        <v>7</v>
      </c>
      <c r="H116" s="80" t="s">
        <v>13</v>
      </c>
      <c r="I116" s="80" t="s">
        <v>8</v>
      </c>
      <c r="J116" s="80"/>
      <c r="K116" s="11" t="s">
        <v>16</v>
      </c>
      <c r="L116" s="11" t="s">
        <v>14</v>
      </c>
      <c r="M116" s="11" t="s">
        <v>15</v>
      </c>
      <c r="N116" s="11"/>
      <c r="O116" s="11" t="s">
        <v>178</v>
      </c>
      <c r="P116" s="11" t="s">
        <v>19</v>
      </c>
      <c r="Q116" s="11" t="s">
        <v>20</v>
      </c>
      <c r="R116" s="11" t="s">
        <v>21</v>
      </c>
    </row>
    <row r="117" spans="1:18" x14ac:dyDescent="0.45">
      <c r="A117" s="127" t="s">
        <v>9</v>
      </c>
      <c r="B117" s="81">
        <v>6510167001</v>
      </c>
      <c r="C117" s="81" t="s">
        <v>153</v>
      </c>
      <c r="D117" s="82">
        <v>450</v>
      </c>
      <c r="E117" s="82">
        <v>60</v>
      </c>
      <c r="F117" s="82">
        <f>'BIOMETRIA HEMATICA'!$B$2</f>
        <v>12200</v>
      </c>
      <c r="G117" s="82">
        <f>F117/D117</f>
        <v>27.111111111111111</v>
      </c>
      <c r="H117" s="82">
        <f>(360/E117)*'BIOMETRIA HEMATICA'!$B$10</f>
        <v>6</v>
      </c>
      <c r="I117" s="83">
        <f>IF(G117&gt;H117,G117,H117)</f>
        <v>27.111111111111111</v>
      </c>
      <c r="J117" s="83"/>
      <c r="K117" s="83">
        <f>ROUNDUP(I117,0)</f>
        <v>28</v>
      </c>
      <c r="L117" s="94">
        <v>121</v>
      </c>
      <c r="M117" s="94">
        <f>L117*K117</f>
        <v>3388</v>
      </c>
      <c r="N117" s="94"/>
      <c r="O117" s="99">
        <f>(SUM(M117:M130)/'BIOMETRIA HEMATICA'!B2)+M134</f>
        <v>5.3624549180327872</v>
      </c>
      <c r="P117" s="119">
        <f>((O117*0.15)+O117)</f>
        <v>6.1668231557377053</v>
      </c>
      <c r="Q117" s="119">
        <f>P117*'BIOMETRIA HEMATICA'!B116</f>
        <v>0</v>
      </c>
      <c r="R117" s="99">
        <f>O117*'BIOMETRIA HEMATICA'!B116</f>
        <v>0</v>
      </c>
    </row>
    <row r="118" spans="1:18" ht="21" x14ac:dyDescent="0.45">
      <c r="A118" s="128"/>
      <c r="B118" s="81">
        <v>3337006001</v>
      </c>
      <c r="C118" s="81" t="s">
        <v>154</v>
      </c>
      <c r="D118" s="82">
        <v>9450</v>
      </c>
      <c r="E118" s="82">
        <v>60</v>
      </c>
      <c r="F118" s="82">
        <f>'BIOMETRIA HEMATICA'!$B$2</f>
        <v>12200</v>
      </c>
      <c r="G118" s="82">
        <f t="shared" ref="G118:G130" si="33">F118/D118</f>
        <v>1.2910052910052909</v>
      </c>
      <c r="H118" s="82">
        <f>(360/E118)*'BIOMETRIA HEMATICA'!$B$10</f>
        <v>6</v>
      </c>
      <c r="I118" s="83">
        <f>IF(G118&gt;H118,G118,H118)</f>
        <v>6</v>
      </c>
      <c r="J118" s="83">
        <f>IF(N118&gt;N119,0,I118)</f>
        <v>0</v>
      </c>
      <c r="K118" s="108">
        <f>ROUNDUP(I118,0)</f>
        <v>6</v>
      </c>
      <c r="L118" s="94">
        <v>1107</v>
      </c>
      <c r="M118" s="94">
        <f t="shared" ref="M118:M130" si="34">L118*K118</f>
        <v>6642</v>
      </c>
      <c r="N118" s="105">
        <f>L118*K118</f>
        <v>6642</v>
      </c>
      <c r="O118" s="11" t="s">
        <v>179</v>
      </c>
      <c r="P118" s="11" t="s">
        <v>19</v>
      </c>
      <c r="Q118" s="11" t="s">
        <v>20</v>
      </c>
      <c r="R118" s="11" t="s">
        <v>21</v>
      </c>
    </row>
    <row r="119" spans="1:18" x14ac:dyDescent="0.45">
      <c r="A119" s="128"/>
      <c r="B119" s="84">
        <v>12215616001</v>
      </c>
      <c r="C119" s="85" t="s">
        <v>155</v>
      </c>
      <c r="D119" s="82">
        <v>850</v>
      </c>
      <c r="E119" s="82">
        <v>60</v>
      </c>
      <c r="F119" s="82">
        <f>'BIOMETRIA HEMATICA'!$B$2</f>
        <v>12200</v>
      </c>
      <c r="G119" s="82">
        <f t="shared" si="33"/>
        <v>14.352941176470589</v>
      </c>
      <c r="H119" s="82">
        <f>(360/E119)*'BIOMETRIA HEMATICA'!$B$10</f>
        <v>6</v>
      </c>
      <c r="I119" s="83">
        <f t="shared" ref="I119:I130" si="35">IF(G119&gt;H119,G119,H119)</f>
        <v>14.352941176470589</v>
      </c>
      <c r="J119" s="83">
        <f>IF(N119&gt;N118,0,I119)</f>
        <v>14.352941176470589</v>
      </c>
      <c r="K119" s="108">
        <f>ROUNDUP(I119,0)</f>
        <v>15</v>
      </c>
      <c r="L119" s="94">
        <v>228.33</v>
      </c>
      <c r="M119" s="94">
        <f t="shared" si="34"/>
        <v>3424.9500000000003</v>
      </c>
      <c r="N119" s="105">
        <f>L119*K119</f>
        <v>3424.9500000000003</v>
      </c>
      <c r="O119" s="99">
        <f>(SUM(M117:M125)/'BIOMETRIA HEMATICA'!B2)+M134</f>
        <v>4.5808975409836066</v>
      </c>
      <c r="P119" s="119">
        <f>((O119*0.15)+O119)</f>
        <v>5.2680321721311474</v>
      </c>
      <c r="Q119" s="119">
        <f>P119*'BIOMETRIA HEMATICA'!B116</f>
        <v>0</v>
      </c>
      <c r="R119" s="99">
        <f>O119*'BIOMETRIA HEMATICA'!B116</f>
        <v>0</v>
      </c>
    </row>
    <row r="120" spans="1:18" x14ac:dyDescent="0.45">
      <c r="A120" s="128"/>
      <c r="B120" s="81">
        <v>7837984001</v>
      </c>
      <c r="C120" s="81" t="s">
        <v>156</v>
      </c>
      <c r="D120" s="82">
        <v>2450</v>
      </c>
      <c r="E120" s="82">
        <v>90</v>
      </c>
      <c r="F120" s="82">
        <f>'BIOMETRIA HEMATICA'!$B$2</f>
        <v>12200</v>
      </c>
      <c r="G120" s="82">
        <f t="shared" si="33"/>
        <v>4.9795918367346941</v>
      </c>
      <c r="H120" s="82">
        <f>(360/E120)*'BIOMETRIA HEMATICA'!$B$10</f>
        <v>4</v>
      </c>
      <c r="I120" s="83">
        <f t="shared" si="35"/>
        <v>4.9795918367346941</v>
      </c>
      <c r="J120" s="83"/>
      <c r="K120" s="83">
        <f t="shared" ref="K120:K130" si="36">ROUNDUP(I120,0)</f>
        <v>5</v>
      </c>
      <c r="L120" s="94">
        <v>176</v>
      </c>
      <c r="M120" s="94">
        <f t="shared" si="34"/>
        <v>880</v>
      </c>
      <c r="N120" s="105"/>
    </row>
    <row r="121" spans="1:18" x14ac:dyDescent="0.45">
      <c r="A121" s="128"/>
      <c r="B121" s="81">
        <v>6510256001</v>
      </c>
      <c r="C121" s="81" t="s">
        <v>157</v>
      </c>
      <c r="D121" s="82">
        <v>3400</v>
      </c>
      <c r="E121" s="82">
        <v>180</v>
      </c>
      <c r="F121" s="82">
        <f>'BIOMETRIA HEMATICA'!$B$2</f>
        <v>12200</v>
      </c>
      <c r="G121" s="82">
        <f t="shared" si="33"/>
        <v>3.5882352941176472</v>
      </c>
      <c r="H121" s="82">
        <f>(360/E121)*'BIOMETRIA HEMATICA'!$B$10</f>
        <v>2</v>
      </c>
      <c r="I121" s="83">
        <f t="shared" si="35"/>
        <v>3.5882352941176472</v>
      </c>
      <c r="J121" s="83"/>
      <c r="K121" s="83">
        <f t="shared" si="36"/>
        <v>4</v>
      </c>
      <c r="L121" s="94">
        <v>862</v>
      </c>
      <c r="M121" s="94">
        <f t="shared" si="34"/>
        <v>3448</v>
      </c>
      <c r="N121" s="105"/>
    </row>
    <row r="122" spans="1:18" ht="18.75" customHeight="1" x14ac:dyDescent="0.45">
      <c r="A122" s="128"/>
      <c r="B122" s="122">
        <v>6510248001</v>
      </c>
      <c r="C122" s="123" t="s">
        <v>181</v>
      </c>
      <c r="D122" s="124">
        <v>6945</v>
      </c>
      <c r="E122" s="124">
        <v>180</v>
      </c>
      <c r="F122" s="82">
        <f>'BIOMETRIA HEMATICA'!$B$2</f>
        <v>12200</v>
      </c>
      <c r="G122" s="82">
        <f t="shared" si="33"/>
        <v>1.7566594672426206</v>
      </c>
      <c r="H122" s="82">
        <f>(360/E122)*'BIOMETRIA HEMATICA'!$B$10</f>
        <v>2</v>
      </c>
      <c r="I122" s="83">
        <f t="shared" si="35"/>
        <v>2</v>
      </c>
      <c r="J122" s="125"/>
      <c r="K122" s="83">
        <f t="shared" si="36"/>
        <v>2</v>
      </c>
      <c r="L122" s="94">
        <v>634</v>
      </c>
      <c r="M122" s="94">
        <f t="shared" ref="M122:M123" si="37">L122*K122</f>
        <v>1268</v>
      </c>
    </row>
    <row r="123" spans="1:18" ht="18.75" customHeight="1" x14ac:dyDescent="0.45">
      <c r="A123" s="128"/>
      <c r="B123" s="122">
        <v>7838000001</v>
      </c>
      <c r="C123" s="123" t="s">
        <v>182</v>
      </c>
      <c r="D123" s="124">
        <v>2950</v>
      </c>
      <c r="E123" s="124">
        <v>90</v>
      </c>
      <c r="F123" s="82">
        <f>'BIOMETRIA HEMATICA'!$B$2</f>
        <v>12200</v>
      </c>
      <c r="G123" s="82">
        <f t="shared" si="33"/>
        <v>4.1355932203389827</v>
      </c>
      <c r="H123" s="82">
        <f>(360/E123)*'BIOMETRIA HEMATICA'!$B$10</f>
        <v>4</v>
      </c>
      <c r="I123" s="83">
        <f t="shared" si="35"/>
        <v>4.1355932203389827</v>
      </c>
      <c r="J123" s="125"/>
      <c r="K123" s="83">
        <f t="shared" si="36"/>
        <v>5</v>
      </c>
      <c r="L123" s="94">
        <v>128</v>
      </c>
      <c r="M123" s="94">
        <f t="shared" si="37"/>
        <v>640</v>
      </c>
    </row>
    <row r="124" spans="1:18" x14ac:dyDescent="0.45">
      <c r="A124" s="128"/>
      <c r="B124" s="81">
        <v>6952291001</v>
      </c>
      <c r="C124" s="81" t="s">
        <v>158</v>
      </c>
      <c r="D124" s="82">
        <f>(((F117/30)/12)*E124)</f>
        <v>5083.3333333333339</v>
      </c>
      <c r="E124" s="82">
        <v>150</v>
      </c>
      <c r="F124" s="82">
        <f>'BIOMETRIA HEMATICA'!$B$2</f>
        <v>12200</v>
      </c>
      <c r="G124" s="82">
        <f t="shared" si="33"/>
        <v>2.4</v>
      </c>
      <c r="H124" s="82">
        <f>(360/E124)*'BIOMETRIA HEMATICA'!$B$10</f>
        <v>2.4</v>
      </c>
      <c r="I124" s="83">
        <f t="shared" si="35"/>
        <v>2.4</v>
      </c>
      <c r="J124" s="83"/>
      <c r="K124" s="83">
        <f t="shared" si="36"/>
        <v>3</v>
      </c>
      <c r="L124" s="94">
        <v>52</v>
      </c>
      <c r="M124" s="94">
        <f t="shared" si="34"/>
        <v>156</v>
      </c>
      <c r="N124" s="105"/>
    </row>
    <row r="125" spans="1:18" ht="21" x14ac:dyDescent="0.45">
      <c r="A125" s="128"/>
      <c r="B125" s="86">
        <v>7051506001</v>
      </c>
      <c r="C125" s="81" t="s">
        <v>159</v>
      </c>
      <c r="D125" s="82">
        <f>(((F117/30)/12)*E125)</f>
        <v>1897.7777777777781</v>
      </c>
      <c r="E125" s="82">
        <v>56</v>
      </c>
      <c r="F125" s="82">
        <f>'BIOMETRIA HEMATICA'!$B$2</f>
        <v>12200</v>
      </c>
      <c r="G125" s="82">
        <f t="shared" si="33"/>
        <v>6.4285714285714279</v>
      </c>
      <c r="H125" s="82">
        <f>(360/E125)*'BIOMETRIA HEMATICA'!$B$10</f>
        <v>6.4285714285714288</v>
      </c>
      <c r="I125" s="83">
        <f t="shared" si="35"/>
        <v>6.4285714285714288</v>
      </c>
      <c r="J125" s="83"/>
      <c r="K125" s="83">
        <f t="shared" si="36"/>
        <v>7</v>
      </c>
      <c r="L125" s="94">
        <v>544</v>
      </c>
      <c r="M125" s="94">
        <f t="shared" si="34"/>
        <v>3808</v>
      </c>
      <c r="N125" s="105"/>
    </row>
    <row r="126" spans="1:18" ht="18.75" customHeight="1" x14ac:dyDescent="0.45">
      <c r="A126" s="131" t="s">
        <v>175</v>
      </c>
      <c r="B126" s="109">
        <v>6510299001</v>
      </c>
      <c r="C126" s="110" t="s">
        <v>176</v>
      </c>
      <c r="D126" s="111">
        <v>650</v>
      </c>
      <c r="E126" s="111">
        <v>180</v>
      </c>
      <c r="F126" s="111">
        <f>'BIOMETRIA HEMATICA'!$F$2</f>
        <v>0</v>
      </c>
      <c r="G126" s="112">
        <f t="shared" ref="G126:G127" si="38">F126/D126</f>
        <v>0</v>
      </c>
      <c r="H126" s="112">
        <f>(360/E126)*'BIOMETRIA HEMATICA'!$B$10</f>
        <v>2</v>
      </c>
      <c r="I126" s="113">
        <f>IF(G126&gt;H126,G126,H126)</f>
        <v>2</v>
      </c>
      <c r="J126" s="113">
        <f>IF(G126=0,0,G126)</f>
        <v>0</v>
      </c>
      <c r="K126" s="108">
        <f t="shared" ref="K126:K127" si="39">ROUNDUP(I126,0)</f>
        <v>2</v>
      </c>
      <c r="L126" s="114">
        <v>545</v>
      </c>
      <c r="M126" s="114">
        <f t="shared" ref="M126:M127" si="40">L126*K126</f>
        <v>1090</v>
      </c>
    </row>
    <row r="127" spans="1:18" ht="18.75" customHeight="1" x14ac:dyDescent="0.45">
      <c r="A127" s="132"/>
      <c r="B127" s="109">
        <v>9426752001</v>
      </c>
      <c r="C127" s="110" t="s">
        <v>162</v>
      </c>
      <c r="D127" s="111">
        <v>450</v>
      </c>
      <c r="E127" s="111">
        <v>60</v>
      </c>
      <c r="F127" s="111">
        <f>'BIOMETRIA HEMATICA'!$F$2</f>
        <v>0</v>
      </c>
      <c r="G127" s="112">
        <f t="shared" si="38"/>
        <v>0</v>
      </c>
      <c r="H127" s="112">
        <f>(360/E127)*'BIOMETRIA HEMATICA'!$B$10</f>
        <v>6</v>
      </c>
      <c r="I127" s="113">
        <f>IF(G127&gt;H127,G127,H127)</f>
        <v>6</v>
      </c>
      <c r="J127" s="113">
        <f t="shared" ref="J127:J129" si="41">IF(G127=0,0,G127)</f>
        <v>0</v>
      </c>
      <c r="K127" s="108">
        <f t="shared" si="39"/>
        <v>6</v>
      </c>
      <c r="L127" s="114">
        <v>34</v>
      </c>
      <c r="M127" s="114">
        <f t="shared" si="40"/>
        <v>204</v>
      </c>
    </row>
    <row r="128" spans="1:18" x14ac:dyDescent="0.45">
      <c r="A128" s="129" t="s">
        <v>160</v>
      </c>
      <c r="B128" s="87">
        <v>6510272001</v>
      </c>
      <c r="C128" s="88" t="s">
        <v>161</v>
      </c>
      <c r="D128" s="89">
        <v>650</v>
      </c>
      <c r="E128" s="89">
        <v>180</v>
      </c>
      <c r="F128" s="89">
        <f>'BIOMETRIA HEMATICA'!$D$2</f>
        <v>0</v>
      </c>
      <c r="G128" s="90">
        <f t="shared" si="33"/>
        <v>0</v>
      </c>
      <c r="H128" s="90">
        <f>(360/E128)*'BIOMETRIA HEMATICA'!$B$10</f>
        <v>2</v>
      </c>
      <c r="I128" s="92">
        <f>IF(G128&gt;H128,G128,H128)</f>
        <v>2</v>
      </c>
      <c r="J128" s="115">
        <f t="shared" si="41"/>
        <v>0</v>
      </c>
      <c r="K128" s="108">
        <f t="shared" si="36"/>
        <v>2</v>
      </c>
      <c r="L128" s="95">
        <v>1705</v>
      </c>
      <c r="M128" s="96">
        <f t="shared" si="34"/>
        <v>3410</v>
      </c>
      <c r="N128" s="106"/>
      <c r="O128" s="104"/>
      <c r="P128" s="104"/>
      <c r="Q128" s="104"/>
      <c r="R128" s="104"/>
    </row>
    <row r="129" spans="1:18" x14ac:dyDescent="0.45">
      <c r="A129" s="128"/>
      <c r="B129" s="87">
        <v>9426752001</v>
      </c>
      <c r="C129" s="88" t="s">
        <v>162</v>
      </c>
      <c r="D129" s="89">
        <v>450</v>
      </c>
      <c r="E129" s="89">
        <v>60</v>
      </c>
      <c r="F129" s="89">
        <f>'BIOMETRIA HEMATICA'!$D$2</f>
        <v>0</v>
      </c>
      <c r="G129" s="90">
        <f t="shared" si="33"/>
        <v>0</v>
      </c>
      <c r="H129" s="90">
        <f>(360/E129)*'BIOMETRIA HEMATICA'!$B$10</f>
        <v>6</v>
      </c>
      <c r="I129" s="92">
        <f>IF(G129&gt;H129,G129,H129)</f>
        <v>6</v>
      </c>
      <c r="J129" s="115">
        <f t="shared" si="41"/>
        <v>0</v>
      </c>
      <c r="K129" s="108">
        <f t="shared" si="36"/>
        <v>6</v>
      </c>
      <c r="L129" s="95">
        <v>34</v>
      </c>
      <c r="M129" s="96">
        <f t="shared" si="34"/>
        <v>204</v>
      </c>
      <c r="N129" s="106"/>
      <c r="O129" s="35"/>
      <c r="P129" s="35"/>
      <c r="Q129" s="35"/>
      <c r="R129" s="35"/>
    </row>
    <row r="130" spans="1:18" ht="21" x14ac:dyDescent="0.45">
      <c r="A130" s="100" t="s">
        <v>163</v>
      </c>
      <c r="B130" s="101">
        <v>7051409001</v>
      </c>
      <c r="C130" s="101" t="s">
        <v>164</v>
      </c>
      <c r="D130" s="102">
        <f>(((F117/30)/12)*E130)</f>
        <v>1897.7777777777781</v>
      </c>
      <c r="E130" s="102">
        <v>56</v>
      </c>
      <c r="F130" s="102">
        <f>'BIOMETRIA HEMATICA'!$H$2</f>
        <v>0</v>
      </c>
      <c r="G130" s="91">
        <f t="shared" si="33"/>
        <v>0</v>
      </c>
      <c r="H130" s="91">
        <f>(360/E130)*'BIOMETRIA HEMATICA'!$B$10</f>
        <v>6.4285714285714288</v>
      </c>
      <c r="I130" s="93">
        <f t="shared" si="35"/>
        <v>6.4285714285714288</v>
      </c>
      <c r="J130" s="93">
        <f t="shared" ref="J130" si="42">IF(G107=0,0,G130)</f>
        <v>0</v>
      </c>
      <c r="K130" s="108">
        <f t="shared" si="36"/>
        <v>7</v>
      </c>
      <c r="L130" s="103">
        <v>661</v>
      </c>
      <c r="M130" s="97">
        <f t="shared" si="34"/>
        <v>4627</v>
      </c>
      <c r="N130" s="107"/>
      <c r="O130" s="104"/>
      <c r="P130" s="104"/>
      <c r="Q130" s="104"/>
      <c r="R130" s="104"/>
    </row>
    <row r="131" spans="1:18" x14ac:dyDescent="0.45">
      <c r="C131" s="18"/>
      <c r="D131" s="18"/>
      <c r="E131" s="18"/>
      <c r="F131" s="18"/>
      <c r="G131" s="18"/>
      <c r="H131" s="18"/>
      <c r="I131" s="18"/>
      <c r="J131" s="18"/>
      <c r="K131" s="18"/>
      <c r="L131" s="98"/>
      <c r="M131" s="98"/>
      <c r="N131" s="35"/>
      <c r="O131" s="35"/>
      <c r="P131" s="35"/>
      <c r="Q131" s="35"/>
      <c r="R131" s="35"/>
    </row>
    <row r="132" spans="1:18" x14ac:dyDescent="0.45">
      <c r="C132" s="26" t="s">
        <v>150</v>
      </c>
      <c r="D132" s="27"/>
      <c r="E132" s="27"/>
      <c r="F132" s="27"/>
      <c r="G132" s="28"/>
      <c r="H132" s="28"/>
      <c r="I132" s="18"/>
      <c r="J132" s="18"/>
      <c r="K132" s="130">
        <f>'BIOMETRIA HEMATICA'!B6</f>
        <v>12</v>
      </c>
      <c r="L132" s="29">
        <f>BC!F109</f>
        <v>1920</v>
      </c>
      <c r="M132" s="29">
        <f>(L132/K132)*K132</f>
        <v>1920</v>
      </c>
      <c r="N132" s="34"/>
    </row>
    <row r="133" spans="1:18" x14ac:dyDescent="0.45">
      <c r="C133" s="19" t="s">
        <v>180</v>
      </c>
      <c r="D133" s="27"/>
      <c r="E133" s="27"/>
      <c r="F133" s="27"/>
      <c r="G133" s="28"/>
      <c r="H133" s="28"/>
      <c r="I133" s="18"/>
      <c r="J133" s="18"/>
      <c r="K133" s="130"/>
      <c r="L133" s="29">
        <v>2686</v>
      </c>
      <c r="M133" s="29">
        <f>(L133*K132)/(12)</f>
        <v>2686</v>
      </c>
      <c r="N133" s="34"/>
    </row>
    <row r="134" spans="1:18" x14ac:dyDescent="0.45">
      <c r="C134" s="19" t="s">
        <v>0</v>
      </c>
      <c r="D134" s="18"/>
      <c r="E134" s="18"/>
      <c r="F134" s="18"/>
      <c r="G134" s="18"/>
      <c r="H134" s="18"/>
      <c r="I134" s="18"/>
      <c r="J134" s="18"/>
      <c r="K134" s="130"/>
      <c r="L134" s="29">
        <v>71401</v>
      </c>
      <c r="M134" s="29">
        <f>((((L133)*(K132))/'BIOMETRIA HEMATICA'!B2))</f>
        <v>2.641967213114754</v>
      </c>
      <c r="N134" s="34"/>
    </row>
    <row r="138" spans="1:18" x14ac:dyDescent="0.45">
      <c r="A138" s="126" t="s">
        <v>177</v>
      </c>
      <c r="B138" s="126"/>
      <c r="C138" s="126"/>
      <c r="D138" s="126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</row>
    <row r="139" spans="1:18" ht="21" x14ac:dyDescent="0.45">
      <c r="A139" s="79" t="s">
        <v>1</v>
      </c>
      <c r="B139" s="79" t="s">
        <v>2</v>
      </c>
      <c r="C139" s="79" t="s">
        <v>3</v>
      </c>
      <c r="D139" s="79" t="s">
        <v>4</v>
      </c>
      <c r="E139" s="80" t="s">
        <v>5</v>
      </c>
      <c r="F139" s="80" t="s">
        <v>6</v>
      </c>
      <c r="G139" s="80" t="s">
        <v>7</v>
      </c>
      <c r="H139" s="80" t="s">
        <v>13</v>
      </c>
      <c r="I139" s="80" t="s">
        <v>8</v>
      </c>
      <c r="J139" s="80"/>
      <c r="K139" s="11" t="s">
        <v>16</v>
      </c>
      <c r="L139" s="11" t="s">
        <v>14</v>
      </c>
      <c r="M139" s="11" t="s">
        <v>15</v>
      </c>
      <c r="N139" s="11"/>
      <c r="O139" s="11" t="s">
        <v>178</v>
      </c>
      <c r="P139" s="11" t="s">
        <v>19</v>
      </c>
      <c r="Q139" s="11" t="s">
        <v>20</v>
      </c>
      <c r="R139" s="11" t="s">
        <v>21</v>
      </c>
    </row>
    <row r="140" spans="1:18" x14ac:dyDescent="0.45">
      <c r="A140" s="127" t="s">
        <v>9</v>
      </c>
      <c r="B140" s="81">
        <v>6510167001</v>
      </c>
      <c r="C140" s="81" t="s">
        <v>153</v>
      </c>
      <c r="D140" s="82">
        <v>450</v>
      </c>
      <c r="E140" s="82">
        <v>60</v>
      </c>
      <c r="F140" s="82">
        <f>'BIOMETRIA HEMATICA'!$B$2</f>
        <v>12200</v>
      </c>
      <c r="G140" s="82">
        <f>F140/D140</f>
        <v>27.111111111111111</v>
      </c>
      <c r="H140" s="82">
        <f>(360/E140)*'BIOMETRIA HEMATICA'!$B$10</f>
        <v>6</v>
      </c>
      <c r="I140" s="83">
        <f>IF(G140&gt;H140,G140,H140)</f>
        <v>27.111111111111111</v>
      </c>
      <c r="J140" s="83"/>
      <c r="K140" s="83">
        <f>ROUNDUP(I140,0)</f>
        <v>28</v>
      </c>
      <c r="L140" s="94">
        <v>121</v>
      </c>
      <c r="M140" s="94">
        <f>L140*K140</f>
        <v>3388</v>
      </c>
      <c r="N140" s="94"/>
      <c r="O140" s="99">
        <f>(SUM(M140:M153)/'BIOMETRIA HEMATICA'!B2)+M157</f>
        <v>5.5660614754098354</v>
      </c>
      <c r="P140" s="119">
        <f>((O140*0.15)+O140)</f>
        <v>6.4009706967213109</v>
      </c>
      <c r="Q140" s="119">
        <f>P140*'BIOMETRIA HEMATICA'!B137</f>
        <v>0</v>
      </c>
      <c r="R140" s="99">
        <f>O140*'BIOMETRIA HEMATICA'!B137</f>
        <v>0</v>
      </c>
    </row>
    <row r="141" spans="1:18" ht="21" x14ac:dyDescent="0.45">
      <c r="A141" s="128"/>
      <c r="B141" s="81">
        <v>3337006001</v>
      </c>
      <c r="C141" s="81" t="s">
        <v>154</v>
      </c>
      <c r="D141" s="82">
        <v>9450</v>
      </c>
      <c r="E141" s="82">
        <v>60</v>
      </c>
      <c r="F141" s="82">
        <f>'BIOMETRIA HEMATICA'!$B$2</f>
        <v>12200</v>
      </c>
      <c r="G141" s="82">
        <f t="shared" ref="G141:G153" si="43">F141/D141</f>
        <v>1.2910052910052909</v>
      </c>
      <c r="H141" s="82">
        <f>(360/E141)*'BIOMETRIA HEMATICA'!$B$10</f>
        <v>6</v>
      </c>
      <c r="I141" s="83">
        <f>IF(G141&gt;H141,G141,H141)</f>
        <v>6</v>
      </c>
      <c r="J141" s="83">
        <f>IF(N141&gt;N142,0,I141)</f>
        <v>0</v>
      </c>
      <c r="K141" s="108">
        <f>ROUNDUP(I141,0)</f>
        <v>6</v>
      </c>
      <c r="L141" s="94">
        <v>1107</v>
      </c>
      <c r="M141" s="94">
        <f t="shared" ref="M141:M153" si="44">L141*K141</f>
        <v>6642</v>
      </c>
      <c r="N141" s="105">
        <f>L141*K141</f>
        <v>6642</v>
      </c>
      <c r="O141" s="11" t="s">
        <v>179</v>
      </c>
      <c r="P141" s="11" t="s">
        <v>19</v>
      </c>
      <c r="Q141" s="11" t="s">
        <v>20</v>
      </c>
      <c r="R141" s="11" t="s">
        <v>21</v>
      </c>
    </row>
    <row r="142" spans="1:18" x14ac:dyDescent="0.45">
      <c r="A142" s="128"/>
      <c r="B142" s="84">
        <v>12215616001</v>
      </c>
      <c r="C142" s="85" t="s">
        <v>155</v>
      </c>
      <c r="D142" s="82">
        <v>850</v>
      </c>
      <c r="E142" s="82">
        <v>60</v>
      </c>
      <c r="F142" s="82">
        <f>'BIOMETRIA HEMATICA'!$B$2</f>
        <v>12200</v>
      </c>
      <c r="G142" s="82">
        <f t="shared" si="43"/>
        <v>14.352941176470589</v>
      </c>
      <c r="H142" s="82">
        <f>(360/E142)*'BIOMETRIA HEMATICA'!$B$10</f>
        <v>6</v>
      </c>
      <c r="I142" s="83">
        <f t="shared" ref="I142:I153" si="45">IF(G142&gt;H142,G142,H142)</f>
        <v>14.352941176470589</v>
      </c>
      <c r="J142" s="83">
        <f>IF(N142&gt;N141,0,I142)</f>
        <v>14.352941176470589</v>
      </c>
      <c r="K142" s="108">
        <f>ROUNDUP(I142,0)</f>
        <v>15</v>
      </c>
      <c r="L142" s="94">
        <v>228.33</v>
      </c>
      <c r="M142" s="94">
        <f t="shared" si="44"/>
        <v>3424.9500000000003</v>
      </c>
      <c r="N142" s="105">
        <f>L142*K142</f>
        <v>3424.9500000000003</v>
      </c>
      <c r="O142" s="99">
        <f>(SUM(M140:M148)/'BIOMETRIA HEMATICA'!B2)+M157</f>
        <v>4.7845040983606557</v>
      </c>
      <c r="P142" s="119">
        <f>((O142*0.15)+O142)</f>
        <v>5.5021797131147538</v>
      </c>
      <c r="Q142" s="119">
        <f>P142*'BIOMETRIA HEMATICA'!B137</f>
        <v>0</v>
      </c>
      <c r="R142" s="99">
        <f>O142*'BIOMETRIA HEMATICA'!B137</f>
        <v>0</v>
      </c>
    </row>
    <row r="143" spans="1:18" x14ac:dyDescent="0.45">
      <c r="A143" s="128"/>
      <c r="B143" s="81">
        <v>7837984001</v>
      </c>
      <c r="C143" s="81" t="s">
        <v>156</v>
      </c>
      <c r="D143" s="82">
        <v>2450</v>
      </c>
      <c r="E143" s="82">
        <v>90</v>
      </c>
      <c r="F143" s="82">
        <f>'BIOMETRIA HEMATICA'!$B$2</f>
        <v>12200</v>
      </c>
      <c r="G143" s="82">
        <f t="shared" si="43"/>
        <v>4.9795918367346941</v>
      </c>
      <c r="H143" s="82">
        <f>(360/E143)*'BIOMETRIA HEMATICA'!$B$10</f>
        <v>4</v>
      </c>
      <c r="I143" s="83">
        <f t="shared" si="45"/>
        <v>4.9795918367346941</v>
      </c>
      <c r="J143" s="83"/>
      <c r="K143" s="83">
        <f t="shared" ref="K143:K153" si="46">ROUNDUP(I143,0)</f>
        <v>5</v>
      </c>
      <c r="L143" s="94">
        <v>176</v>
      </c>
      <c r="M143" s="94">
        <f t="shared" si="44"/>
        <v>880</v>
      </c>
      <c r="N143" s="105"/>
    </row>
    <row r="144" spans="1:18" x14ac:dyDescent="0.45">
      <c r="A144" s="128"/>
      <c r="B144" s="81">
        <v>6510256001</v>
      </c>
      <c r="C144" s="81" t="s">
        <v>157</v>
      </c>
      <c r="D144" s="82">
        <v>3400</v>
      </c>
      <c r="E144" s="82">
        <v>180</v>
      </c>
      <c r="F144" s="82">
        <f>'BIOMETRIA HEMATICA'!$B$2</f>
        <v>12200</v>
      </c>
      <c r="G144" s="82">
        <f t="shared" si="43"/>
        <v>3.5882352941176472</v>
      </c>
      <c r="H144" s="82">
        <f>(360/E144)*'BIOMETRIA HEMATICA'!$B$10</f>
        <v>2</v>
      </c>
      <c r="I144" s="83">
        <f t="shared" si="45"/>
        <v>3.5882352941176472</v>
      </c>
      <c r="J144" s="83"/>
      <c r="K144" s="83">
        <f t="shared" si="46"/>
        <v>4</v>
      </c>
      <c r="L144" s="94">
        <v>862</v>
      </c>
      <c r="M144" s="94">
        <f t="shared" si="44"/>
        <v>3448</v>
      </c>
      <c r="N144" s="105"/>
    </row>
    <row r="145" spans="1:18" ht="18.75" customHeight="1" x14ac:dyDescent="0.45">
      <c r="A145" s="128"/>
      <c r="B145" s="122">
        <v>6510248001</v>
      </c>
      <c r="C145" s="123" t="s">
        <v>181</v>
      </c>
      <c r="D145" s="124">
        <v>6945</v>
      </c>
      <c r="E145" s="124">
        <v>180</v>
      </c>
      <c r="F145" s="82">
        <f>'BIOMETRIA HEMATICA'!$B$2</f>
        <v>12200</v>
      </c>
      <c r="G145" s="82">
        <f t="shared" si="43"/>
        <v>1.7566594672426206</v>
      </c>
      <c r="H145" s="82">
        <f>(360/E145)*'BIOMETRIA HEMATICA'!$B$10</f>
        <v>2</v>
      </c>
      <c r="I145" s="83">
        <f t="shared" si="45"/>
        <v>2</v>
      </c>
      <c r="J145" s="125"/>
      <c r="K145" s="83">
        <f t="shared" si="46"/>
        <v>2</v>
      </c>
      <c r="L145" s="94">
        <v>634</v>
      </c>
      <c r="M145" s="94">
        <f t="shared" si="44"/>
        <v>1268</v>
      </c>
    </row>
    <row r="146" spans="1:18" ht="18.75" customHeight="1" x14ac:dyDescent="0.45">
      <c r="A146" s="128"/>
      <c r="B146" s="122">
        <v>7838000001</v>
      </c>
      <c r="C146" s="123" t="s">
        <v>182</v>
      </c>
      <c r="D146" s="124">
        <v>2950</v>
      </c>
      <c r="E146" s="124">
        <v>90</v>
      </c>
      <c r="F146" s="82">
        <f>'BIOMETRIA HEMATICA'!$B$2</f>
        <v>12200</v>
      </c>
      <c r="G146" s="82">
        <f t="shared" si="43"/>
        <v>4.1355932203389827</v>
      </c>
      <c r="H146" s="82">
        <f>(360/E146)*'BIOMETRIA HEMATICA'!$B$10</f>
        <v>4</v>
      </c>
      <c r="I146" s="83">
        <f t="shared" si="45"/>
        <v>4.1355932203389827</v>
      </c>
      <c r="J146" s="125"/>
      <c r="K146" s="83">
        <f t="shared" si="46"/>
        <v>5</v>
      </c>
      <c r="L146" s="94">
        <v>128</v>
      </c>
      <c r="M146" s="94">
        <f t="shared" si="44"/>
        <v>640</v>
      </c>
    </row>
    <row r="147" spans="1:18" x14ac:dyDescent="0.45">
      <c r="A147" s="128"/>
      <c r="B147" s="81">
        <v>6952291001</v>
      </c>
      <c r="C147" s="81" t="s">
        <v>158</v>
      </c>
      <c r="D147" s="82">
        <f>(((F140/30)/12)*E147)</f>
        <v>5083.3333333333339</v>
      </c>
      <c r="E147" s="82">
        <v>150</v>
      </c>
      <c r="F147" s="82">
        <f>'BIOMETRIA HEMATICA'!$B$2</f>
        <v>12200</v>
      </c>
      <c r="G147" s="82">
        <f t="shared" si="43"/>
        <v>2.4</v>
      </c>
      <c r="H147" s="82">
        <f>(360/E147)*'BIOMETRIA HEMATICA'!$B$10</f>
        <v>2.4</v>
      </c>
      <c r="I147" s="83">
        <f t="shared" si="45"/>
        <v>2.4</v>
      </c>
      <c r="J147" s="83"/>
      <c r="K147" s="83">
        <f t="shared" si="46"/>
        <v>3</v>
      </c>
      <c r="L147" s="94">
        <v>52</v>
      </c>
      <c r="M147" s="94">
        <f t="shared" si="44"/>
        <v>156</v>
      </c>
      <c r="N147" s="105"/>
    </row>
    <row r="148" spans="1:18" ht="21" x14ac:dyDescent="0.45">
      <c r="A148" s="128"/>
      <c r="B148" s="86">
        <v>7051506001</v>
      </c>
      <c r="C148" s="81" t="s">
        <v>159</v>
      </c>
      <c r="D148" s="82">
        <f>(((F140/30)/12)*E148)</f>
        <v>1897.7777777777781</v>
      </c>
      <c r="E148" s="82">
        <v>56</v>
      </c>
      <c r="F148" s="82">
        <f>'BIOMETRIA HEMATICA'!$B$2</f>
        <v>12200</v>
      </c>
      <c r="G148" s="82">
        <f t="shared" si="43"/>
        <v>6.4285714285714279</v>
      </c>
      <c r="H148" s="82">
        <f>(360/E148)*'BIOMETRIA HEMATICA'!$B$10</f>
        <v>6.4285714285714288</v>
      </c>
      <c r="I148" s="83">
        <f t="shared" si="45"/>
        <v>6.4285714285714288</v>
      </c>
      <c r="J148" s="83"/>
      <c r="K148" s="83">
        <f t="shared" si="46"/>
        <v>7</v>
      </c>
      <c r="L148" s="94">
        <v>544</v>
      </c>
      <c r="M148" s="94">
        <f t="shared" si="44"/>
        <v>3808</v>
      </c>
      <c r="N148" s="105"/>
    </row>
    <row r="149" spans="1:18" ht="18.75" customHeight="1" x14ac:dyDescent="0.45">
      <c r="A149" s="131" t="s">
        <v>175</v>
      </c>
      <c r="B149" s="109">
        <v>6510299001</v>
      </c>
      <c r="C149" s="110" t="s">
        <v>176</v>
      </c>
      <c r="D149" s="111">
        <v>650</v>
      </c>
      <c r="E149" s="111">
        <v>180</v>
      </c>
      <c r="F149" s="111">
        <f>'BIOMETRIA HEMATICA'!$F$2</f>
        <v>0</v>
      </c>
      <c r="G149" s="112">
        <f t="shared" si="43"/>
        <v>0</v>
      </c>
      <c r="H149" s="112">
        <f>(360/E149)*'BIOMETRIA HEMATICA'!$B$10</f>
        <v>2</v>
      </c>
      <c r="I149" s="113">
        <f t="shared" si="45"/>
        <v>2</v>
      </c>
      <c r="J149" s="113">
        <f>IF(G126=0,0,G149)</f>
        <v>0</v>
      </c>
      <c r="K149" s="108">
        <f t="shared" si="46"/>
        <v>2</v>
      </c>
      <c r="L149" s="114">
        <v>545</v>
      </c>
      <c r="M149" s="114">
        <f t="shared" si="44"/>
        <v>1090</v>
      </c>
    </row>
    <row r="150" spans="1:18" ht="18.75" customHeight="1" x14ac:dyDescent="0.45">
      <c r="A150" s="132"/>
      <c r="B150" s="109">
        <v>9426752001</v>
      </c>
      <c r="C150" s="110" t="s">
        <v>162</v>
      </c>
      <c r="D150" s="111">
        <v>450</v>
      </c>
      <c r="E150" s="111">
        <v>60</v>
      </c>
      <c r="F150" s="111">
        <f>'BIOMETRIA HEMATICA'!$F$2</f>
        <v>0</v>
      </c>
      <c r="G150" s="112">
        <f t="shared" si="43"/>
        <v>0</v>
      </c>
      <c r="H150" s="112">
        <f>(360/E150)*'BIOMETRIA HEMATICA'!$B$10</f>
        <v>6</v>
      </c>
      <c r="I150" s="113">
        <f t="shared" si="45"/>
        <v>6</v>
      </c>
      <c r="J150" s="113">
        <f>IF(G127=0,0,G150)</f>
        <v>0</v>
      </c>
      <c r="K150" s="108">
        <f t="shared" si="46"/>
        <v>6</v>
      </c>
      <c r="L150" s="114">
        <v>34</v>
      </c>
      <c r="M150" s="114">
        <f t="shared" si="44"/>
        <v>204</v>
      </c>
    </row>
    <row r="151" spans="1:18" x14ac:dyDescent="0.45">
      <c r="A151" s="129" t="s">
        <v>160</v>
      </c>
      <c r="B151" s="87">
        <v>6510272001</v>
      </c>
      <c r="C151" s="88" t="s">
        <v>161</v>
      </c>
      <c r="D151" s="89">
        <v>650</v>
      </c>
      <c r="E151" s="89">
        <v>180</v>
      </c>
      <c r="F151" s="89">
        <f>'BIOMETRIA HEMATICA'!$D$2</f>
        <v>0</v>
      </c>
      <c r="G151" s="90">
        <f t="shared" si="43"/>
        <v>0</v>
      </c>
      <c r="H151" s="90">
        <f>(360/E151)*'BIOMETRIA HEMATICA'!$B$10</f>
        <v>2</v>
      </c>
      <c r="I151" s="92">
        <f t="shared" si="45"/>
        <v>2</v>
      </c>
      <c r="J151" s="115">
        <f>IF(G128=0,0,G151)</f>
        <v>0</v>
      </c>
      <c r="K151" s="108">
        <f t="shared" si="46"/>
        <v>2</v>
      </c>
      <c r="L151" s="95">
        <v>1705</v>
      </c>
      <c r="M151" s="96">
        <f t="shared" si="44"/>
        <v>3410</v>
      </c>
      <c r="N151" s="106"/>
      <c r="O151" s="104"/>
      <c r="P151" s="104"/>
      <c r="Q151" s="104"/>
      <c r="R151" s="104"/>
    </row>
    <row r="152" spans="1:18" x14ac:dyDescent="0.45">
      <c r="A152" s="128"/>
      <c r="B152" s="87">
        <v>9426752001</v>
      </c>
      <c r="C152" s="88" t="s">
        <v>162</v>
      </c>
      <c r="D152" s="89">
        <v>450</v>
      </c>
      <c r="E152" s="89">
        <v>60</v>
      </c>
      <c r="F152" s="89">
        <f>'BIOMETRIA HEMATICA'!$D$2</f>
        <v>0</v>
      </c>
      <c r="G152" s="90">
        <f t="shared" si="43"/>
        <v>0</v>
      </c>
      <c r="H152" s="90">
        <f>(360/E152)*'BIOMETRIA HEMATICA'!$B$10</f>
        <v>6</v>
      </c>
      <c r="I152" s="92">
        <f t="shared" si="45"/>
        <v>6</v>
      </c>
      <c r="J152" s="115">
        <f>IF(G129=0,0,G152)</f>
        <v>0</v>
      </c>
      <c r="K152" s="108">
        <f t="shared" si="46"/>
        <v>6</v>
      </c>
      <c r="L152" s="95">
        <v>34</v>
      </c>
      <c r="M152" s="96">
        <f t="shared" si="44"/>
        <v>204</v>
      </c>
      <c r="N152" s="106"/>
      <c r="O152" s="35"/>
      <c r="P152" s="35"/>
      <c r="Q152" s="35"/>
      <c r="R152" s="35"/>
    </row>
    <row r="153" spans="1:18" ht="21" x14ac:dyDescent="0.45">
      <c r="A153" s="100" t="s">
        <v>163</v>
      </c>
      <c r="B153" s="101">
        <v>7051409001</v>
      </c>
      <c r="C153" s="101" t="s">
        <v>164</v>
      </c>
      <c r="D153" s="102">
        <f>(((F140/30)/12)*E153)</f>
        <v>1897.7777777777781</v>
      </c>
      <c r="E153" s="102">
        <v>56</v>
      </c>
      <c r="F153" s="102">
        <f>'BIOMETRIA HEMATICA'!$H$2</f>
        <v>0</v>
      </c>
      <c r="G153" s="91">
        <f t="shared" si="43"/>
        <v>0</v>
      </c>
      <c r="H153" s="91">
        <f>(360/E153)*'BIOMETRIA HEMATICA'!$B$10</f>
        <v>6.4285714285714288</v>
      </c>
      <c r="I153" s="93">
        <f t="shared" si="45"/>
        <v>6.4285714285714288</v>
      </c>
      <c r="J153" s="93">
        <f>IF(G130=0,0,G153)</f>
        <v>0</v>
      </c>
      <c r="K153" s="108">
        <f t="shared" si="46"/>
        <v>7</v>
      </c>
      <c r="L153" s="103">
        <v>661</v>
      </c>
      <c r="M153" s="97">
        <f t="shared" si="44"/>
        <v>4627</v>
      </c>
      <c r="N153" s="107"/>
      <c r="O153" s="104"/>
      <c r="P153" s="104"/>
      <c r="Q153" s="104"/>
      <c r="R153" s="104"/>
    </row>
    <row r="154" spans="1:18" x14ac:dyDescent="0.45">
      <c r="C154" s="18"/>
      <c r="D154" s="18"/>
      <c r="E154" s="18"/>
      <c r="F154" s="18"/>
      <c r="G154" s="18"/>
      <c r="H154" s="18"/>
      <c r="I154" s="18"/>
      <c r="J154" s="18"/>
      <c r="K154" s="18"/>
      <c r="L154" s="98"/>
      <c r="M154" s="98"/>
      <c r="N154" s="35"/>
      <c r="O154" s="35"/>
      <c r="P154" s="35"/>
      <c r="Q154" s="35"/>
      <c r="R154" s="35"/>
    </row>
    <row r="155" spans="1:18" x14ac:dyDescent="0.45">
      <c r="C155" s="26" t="s">
        <v>150</v>
      </c>
      <c r="D155" s="27"/>
      <c r="E155" s="27"/>
      <c r="F155" s="27"/>
      <c r="G155" s="28"/>
      <c r="H155" s="28"/>
      <c r="I155" s="18"/>
      <c r="J155" s="18"/>
      <c r="K155" s="130">
        <f>'BIOMETRIA HEMATICA'!B6</f>
        <v>12</v>
      </c>
      <c r="L155" s="29">
        <f>BC!F109</f>
        <v>1920</v>
      </c>
      <c r="M155" s="29">
        <f>(L155/K155)*K155</f>
        <v>1920</v>
      </c>
      <c r="N155" s="34"/>
    </row>
    <row r="156" spans="1:18" x14ac:dyDescent="0.45">
      <c r="C156" s="19" t="s">
        <v>180</v>
      </c>
      <c r="D156" s="27"/>
      <c r="E156" s="27"/>
      <c r="F156" s="27"/>
      <c r="G156" s="28"/>
      <c r="H156" s="28"/>
      <c r="I156" s="18"/>
      <c r="J156" s="18"/>
      <c r="K156" s="130"/>
      <c r="L156" s="29">
        <v>2893</v>
      </c>
      <c r="M156" s="29">
        <f>(L156*K155)/(12)</f>
        <v>2893</v>
      </c>
      <c r="N156" s="34"/>
    </row>
    <row r="157" spans="1:18" x14ac:dyDescent="0.45">
      <c r="C157" s="19" t="s">
        <v>0</v>
      </c>
      <c r="D157" s="18"/>
      <c r="E157" s="18"/>
      <c r="F157" s="18"/>
      <c r="G157" s="18"/>
      <c r="H157" s="18"/>
      <c r="I157" s="18"/>
      <c r="J157" s="18"/>
      <c r="K157" s="130"/>
      <c r="L157" s="29">
        <v>86713</v>
      </c>
      <c r="M157" s="29">
        <f>((((L156)*(K155))/'BIOMETRIA HEMATICA'!B2))</f>
        <v>2.8455737704918032</v>
      </c>
      <c r="N157" s="34"/>
    </row>
  </sheetData>
  <mergeCells count="34">
    <mergeCell ref="A140:A148"/>
    <mergeCell ref="A149:A150"/>
    <mergeCell ref="A151:A152"/>
    <mergeCell ref="K155:K157"/>
    <mergeCell ref="A117:A125"/>
    <mergeCell ref="A128:A129"/>
    <mergeCell ref="K132:K134"/>
    <mergeCell ref="A126:A127"/>
    <mergeCell ref="A138:R138"/>
    <mergeCell ref="A96:R96"/>
    <mergeCell ref="A98:A104"/>
    <mergeCell ref="A105:A106"/>
    <mergeCell ref="K109:K111"/>
    <mergeCell ref="A115:R115"/>
    <mergeCell ref="A3:A9"/>
    <mergeCell ref="A10:A11"/>
    <mergeCell ref="A1:R1"/>
    <mergeCell ref="K14:K16"/>
    <mergeCell ref="A39:R39"/>
    <mergeCell ref="A20:R20"/>
    <mergeCell ref="A22:A28"/>
    <mergeCell ref="A77:R77"/>
    <mergeCell ref="A79:A85"/>
    <mergeCell ref="A86:A87"/>
    <mergeCell ref="K90:K92"/>
    <mergeCell ref="A29:A30"/>
    <mergeCell ref="K33:K35"/>
    <mergeCell ref="A58:R58"/>
    <mergeCell ref="A60:A66"/>
    <mergeCell ref="A67:A68"/>
    <mergeCell ref="K71:K73"/>
    <mergeCell ref="A41:A47"/>
    <mergeCell ref="A48:A49"/>
    <mergeCell ref="K52:K54"/>
  </mergeCells>
  <pageMargins left="0.7" right="0.7" top="0.75" bottom="0.75" header="0.3" footer="0.3"/>
  <pageSetup orientation="portrait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5F86D-DEFF-4259-937B-CB7D599BFA92}">
  <dimension ref="A1:R157"/>
  <sheetViews>
    <sheetView topLeftCell="A106" workbookViewId="0">
      <selection activeCell="B122" sqref="A122:XFD123"/>
    </sheetView>
  </sheetViews>
  <sheetFormatPr baseColWidth="10" defaultRowHeight="14.25" x14ac:dyDescent="0.45"/>
  <cols>
    <col min="1" max="1" width="10" bestFit="1" customWidth="1"/>
    <col min="2" max="2" width="8.6640625" bestFit="1" customWidth="1"/>
    <col min="3" max="3" width="18.06640625" bestFit="1" customWidth="1"/>
    <col min="4" max="4" width="8.6640625" bestFit="1" customWidth="1"/>
    <col min="5" max="5" width="8.265625" bestFit="1" customWidth="1"/>
    <col min="6" max="6" width="6.1328125" bestFit="1" customWidth="1"/>
    <col min="7" max="7" width="8.6640625" bestFit="1" customWidth="1"/>
    <col min="8" max="8" width="9.1328125" bestFit="1" customWidth="1"/>
    <col min="9" max="9" width="8.3984375" bestFit="1" customWidth="1"/>
    <col min="10" max="10" width="8.3984375" customWidth="1"/>
    <col min="11" max="11" width="10.19921875" bestFit="1" customWidth="1"/>
    <col min="12" max="12" width="7.796875" bestFit="1" customWidth="1"/>
    <col min="13" max="13" width="7.6640625" customWidth="1"/>
    <col min="14" max="14" width="7.796875" hidden="1" customWidth="1"/>
    <col min="15" max="15" width="9.9296875" bestFit="1" customWidth="1"/>
    <col min="16" max="16" width="9.6640625" bestFit="1" customWidth="1"/>
    <col min="17" max="18" width="11.59765625" bestFit="1" customWidth="1"/>
  </cols>
  <sheetData>
    <row r="1" spans="1:18" x14ac:dyDescent="0.45">
      <c r="A1" s="126" t="s">
        <v>168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</row>
    <row r="2" spans="1:18" ht="21" x14ac:dyDescent="0.45">
      <c r="A2" s="79" t="s">
        <v>1</v>
      </c>
      <c r="B2" s="79" t="s">
        <v>2</v>
      </c>
      <c r="C2" s="79" t="s">
        <v>3</v>
      </c>
      <c r="D2" s="79" t="s">
        <v>4</v>
      </c>
      <c r="E2" s="80" t="s">
        <v>5</v>
      </c>
      <c r="F2" s="80" t="s">
        <v>6</v>
      </c>
      <c r="G2" s="80" t="s">
        <v>7</v>
      </c>
      <c r="H2" s="80" t="s">
        <v>13</v>
      </c>
      <c r="I2" s="80" t="s">
        <v>8</v>
      </c>
      <c r="J2" s="80"/>
      <c r="K2" s="11" t="s">
        <v>16</v>
      </c>
      <c r="L2" s="11" t="s">
        <v>14</v>
      </c>
      <c r="M2" s="11" t="s">
        <v>15</v>
      </c>
      <c r="N2" s="11"/>
      <c r="O2" s="11" t="s">
        <v>178</v>
      </c>
      <c r="P2" s="11" t="s">
        <v>19</v>
      </c>
      <c r="Q2" s="11" t="s">
        <v>20</v>
      </c>
      <c r="R2" s="11" t="s">
        <v>21</v>
      </c>
    </row>
    <row r="3" spans="1:18" x14ac:dyDescent="0.45">
      <c r="A3" s="127" t="s">
        <v>9</v>
      </c>
      <c r="B3" s="81">
        <v>6510167001</v>
      </c>
      <c r="C3" s="81" t="s">
        <v>153</v>
      </c>
      <c r="D3" s="82">
        <v>450</v>
      </c>
      <c r="E3" s="82">
        <v>60</v>
      </c>
      <c r="F3" s="82">
        <f>(('BIOMETRIA HEMATICA'!$B$2)*0.2)+('BIOMETRIA HEMATICA'!$B$2)</f>
        <v>14640</v>
      </c>
      <c r="G3" s="82">
        <f>F3/D3</f>
        <v>32.533333333333331</v>
      </c>
      <c r="H3" s="82">
        <f>(360/E3)*'BIOMETRIA HEMATICA'!$B$10</f>
        <v>6</v>
      </c>
      <c r="I3" s="83">
        <f>IF(G3&gt;H3,G3,H3)</f>
        <v>32.533333333333331</v>
      </c>
      <c r="J3" s="83"/>
      <c r="K3" s="83">
        <f>ROUNDUP(I3,0)</f>
        <v>33</v>
      </c>
      <c r="L3" s="94">
        <v>121</v>
      </c>
      <c r="M3" s="94">
        <f>L3*K3</f>
        <v>3993</v>
      </c>
      <c r="N3" s="94"/>
      <c r="O3" s="99">
        <f>(SUM(M3:N12)/'BIOMETRIA HEMATICA'!B2)+M16</f>
        <v>3.9924491803278692</v>
      </c>
      <c r="P3" s="119">
        <f>((O3*0.15)+O3)</f>
        <v>4.5913165573770494</v>
      </c>
      <c r="Q3" s="119">
        <f>P3*'BIOMETRIA HEMATICA'!B2</f>
        <v>56014.062000000005</v>
      </c>
      <c r="R3" s="99">
        <f>O3*'BIOMETRIA HEMATICA'!B2</f>
        <v>48707.880000000005</v>
      </c>
    </row>
    <row r="4" spans="1:18" ht="21" x14ac:dyDescent="0.45">
      <c r="A4" s="128"/>
      <c r="B4" s="81">
        <v>3337006001</v>
      </c>
      <c r="C4" s="81" t="s">
        <v>154</v>
      </c>
      <c r="D4" s="82">
        <v>9450</v>
      </c>
      <c r="E4" s="82">
        <v>60</v>
      </c>
      <c r="F4" s="82">
        <f>(('BIOMETRIA HEMATICA'!$B$2)*0.2)+('BIOMETRIA HEMATICA'!$B$2)</f>
        <v>14640</v>
      </c>
      <c r="G4" s="82">
        <f t="shared" ref="G4:G12" si="0">F4/D4</f>
        <v>1.5492063492063493</v>
      </c>
      <c r="H4" s="82">
        <f>(360/E4)*'BIOMETRIA HEMATICA'!$B$10</f>
        <v>6</v>
      </c>
      <c r="I4" s="83">
        <f>IF(G4&gt;H4,G4,H4)</f>
        <v>6</v>
      </c>
      <c r="J4" s="83">
        <f>IF(N4&gt;N5,0,I4)</f>
        <v>0</v>
      </c>
      <c r="K4" s="108">
        <f>ROUNDUP(I4,0)</f>
        <v>6</v>
      </c>
      <c r="L4" s="94">
        <v>1107</v>
      </c>
      <c r="M4" s="94">
        <f t="shared" ref="M4:M12" si="1">L4*K4</f>
        <v>6642</v>
      </c>
      <c r="N4" s="105">
        <f>L4*K4</f>
        <v>6642</v>
      </c>
      <c r="O4" s="11" t="s">
        <v>179</v>
      </c>
      <c r="P4" s="11" t="s">
        <v>19</v>
      </c>
      <c r="Q4" s="11" t="s">
        <v>20</v>
      </c>
      <c r="R4" s="11" t="s">
        <v>21</v>
      </c>
    </row>
    <row r="5" spans="1:18" x14ac:dyDescent="0.45">
      <c r="A5" s="128"/>
      <c r="B5" s="84">
        <v>12215616001</v>
      </c>
      <c r="C5" s="85" t="s">
        <v>155</v>
      </c>
      <c r="D5" s="82">
        <v>850</v>
      </c>
      <c r="E5" s="82">
        <v>60</v>
      </c>
      <c r="F5" s="82">
        <f>(('BIOMETRIA HEMATICA'!$B$2)*0.2)+('BIOMETRIA HEMATICA'!$B$2)</f>
        <v>14640</v>
      </c>
      <c r="G5" s="82">
        <f t="shared" si="0"/>
        <v>17.223529411764705</v>
      </c>
      <c r="H5" s="82">
        <f>(360/E5)*'BIOMETRIA HEMATICA'!$B$10</f>
        <v>6</v>
      </c>
      <c r="I5" s="83">
        <f t="shared" ref="I5:I12" si="2">IF(G5&gt;H5,G5,H5)</f>
        <v>17.223529411764705</v>
      </c>
      <c r="J5" s="83">
        <f>IF(N5&gt;N4,0,I5)</f>
        <v>17.223529411764705</v>
      </c>
      <c r="K5" s="108">
        <f t="shared" ref="K5:K12" si="3">ROUNDUP(I5,0)</f>
        <v>18</v>
      </c>
      <c r="L5" s="94">
        <v>228.33</v>
      </c>
      <c r="M5" s="94">
        <f t="shared" si="1"/>
        <v>4109.9400000000005</v>
      </c>
      <c r="N5" s="105">
        <f>L5*K5</f>
        <v>4109.9400000000005</v>
      </c>
      <c r="O5" s="99">
        <f>(SUM(M3:N9)/'BIOMETRIA HEMATICA'!B2)+M16</f>
        <v>3.3169573770491807</v>
      </c>
      <c r="P5" s="119">
        <f>((O5*0.15)+O5)</f>
        <v>3.8145009836065578</v>
      </c>
      <c r="Q5" s="119">
        <f>P5*'BIOMETRIA HEMATICA'!B2</f>
        <v>46536.912000000004</v>
      </c>
      <c r="R5" s="99">
        <f>O5*'BIOMETRIA HEMATICA'!B2</f>
        <v>40466.880000000005</v>
      </c>
    </row>
    <row r="6" spans="1:18" x14ac:dyDescent="0.45">
      <c r="A6" s="128"/>
      <c r="B6" s="81">
        <v>7837984001</v>
      </c>
      <c r="C6" s="81" t="s">
        <v>156</v>
      </c>
      <c r="D6" s="82">
        <v>2450</v>
      </c>
      <c r="E6" s="82">
        <v>90</v>
      </c>
      <c r="F6" s="82">
        <f>(('BIOMETRIA HEMATICA'!$B$2)*0.2)+('BIOMETRIA HEMATICA'!$B$2)</f>
        <v>14640</v>
      </c>
      <c r="G6" s="82">
        <f t="shared" si="0"/>
        <v>5.9755102040816324</v>
      </c>
      <c r="H6" s="82">
        <f>(360/E6)*'BIOMETRIA HEMATICA'!$B$10</f>
        <v>4</v>
      </c>
      <c r="I6" s="83">
        <f t="shared" si="2"/>
        <v>5.9755102040816324</v>
      </c>
      <c r="J6" s="83"/>
      <c r="K6" s="83">
        <f t="shared" si="3"/>
        <v>6</v>
      </c>
      <c r="L6" s="94">
        <v>176</v>
      </c>
      <c r="M6" s="94">
        <f t="shared" si="1"/>
        <v>1056</v>
      </c>
      <c r="N6" s="105"/>
    </row>
    <row r="7" spans="1:18" x14ac:dyDescent="0.45">
      <c r="A7" s="128"/>
      <c r="B7" s="81">
        <v>6510256001</v>
      </c>
      <c r="C7" s="81" t="s">
        <v>157</v>
      </c>
      <c r="D7" s="82">
        <v>3400</v>
      </c>
      <c r="E7" s="82">
        <v>180</v>
      </c>
      <c r="F7" s="82">
        <f>(('BIOMETRIA HEMATICA'!$B$2)*0.2)+('BIOMETRIA HEMATICA'!$B$2)</f>
        <v>14640</v>
      </c>
      <c r="G7" s="82">
        <f t="shared" si="0"/>
        <v>4.3058823529411763</v>
      </c>
      <c r="H7" s="82">
        <f>(360/E7)*'BIOMETRIA HEMATICA'!$B$10</f>
        <v>2</v>
      </c>
      <c r="I7" s="83">
        <f t="shared" si="2"/>
        <v>4.3058823529411763</v>
      </c>
      <c r="J7" s="83"/>
      <c r="K7" s="83">
        <f t="shared" si="3"/>
        <v>5</v>
      </c>
      <c r="L7" s="94">
        <v>862</v>
      </c>
      <c r="M7" s="94">
        <f t="shared" si="1"/>
        <v>4310</v>
      </c>
      <c r="N7" s="105"/>
    </row>
    <row r="8" spans="1:18" x14ac:dyDescent="0.45">
      <c r="A8" s="128"/>
      <c r="B8" s="81">
        <v>6952291001</v>
      </c>
      <c r="C8" s="81" t="s">
        <v>158</v>
      </c>
      <c r="D8" s="82">
        <f>(((F3/30)/12)*E8)</f>
        <v>6100</v>
      </c>
      <c r="E8" s="82">
        <v>150</v>
      </c>
      <c r="F8" s="82">
        <f>(('BIOMETRIA HEMATICA'!$B$2)*0.2)+('BIOMETRIA HEMATICA'!$B$2)</f>
        <v>14640</v>
      </c>
      <c r="G8" s="82">
        <f t="shared" si="0"/>
        <v>2.4</v>
      </c>
      <c r="H8" s="82">
        <f>(360/E8)*'BIOMETRIA HEMATICA'!$B$10</f>
        <v>2.4</v>
      </c>
      <c r="I8" s="83">
        <f t="shared" si="2"/>
        <v>2.4</v>
      </c>
      <c r="J8" s="83"/>
      <c r="K8" s="83">
        <f t="shared" si="3"/>
        <v>3</v>
      </c>
      <c r="L8" s="94">
        <v>52</v>
      </c>
      <c r="M8" s="94">
        <f t="shared" si="1"/>
        <v>156</v>
      </c>
      <c r="N8" s="105"/>
    </row>
    <row r="9" spans="1:18" ht="21" x14ac:dyDescent="0.45">
      <c r="A9" s="128"/>
      <c r="B9" s="86">
        <v>7051506001</v>
      </c>
      <c r="C9" s="81" t="s">
        <v>159</v>
      </c>
      <c r="D9" s="82">
        <f>(((F3/30)/12)*E9)</f>
        <v>2277.333333333333</v>
      </c>
      <c r="E9" s="82">
        <v>56</v>
      </c>
      <c r="F9" s="82">
        <f>(('BIOMETRIA HEMATICA'!$B$2)*0.2)+('BIOMETRIA HEMATICA'!$B$2)</f>
        <v>14640</v>
      </c>
      <c r="G9" s="82">
        <f t="shared" si="0"/>
        <v>6.4285714285714297</v>
      </c>
      <c r="H9" s="82">
        <f>(360/E9)*'BIOMETRIA HEMATICA'!$B$10</f>
        <v>6.4285714285714288</v>
      </c>
      <c r="I9" s="83">
        <f t="shared" si="2"/>
        <v>6.4285714285714288</v>
      </c>
      <c r="J9" s="83"/>
      <c r="K9" s="83">
        <f t="shared" si="3"/>
        <v>7</v>
      </c>
      <c r="L9" s="94">
        <v>544</v>
      </c>
      <c r="M9" s="94">
        <f t="shared" si="1"/>
        <v>3808</v>
      </c>
      <c r="N9" s="105"/>
    </row>
    <row r="10" spans="1:18" x14ac:dyDescent="0.45">
      <c r="A10" s="129" t="s">
        <v>160</v>
      </c>
      <c r="B10" s="87">
        <v>6510272001</v>
      </c>
      <c r="C10" s="88" t="s">
        <v>161</v>
      </c>
      <c r="D10" s="89">
        <v>650</v>
      </c>
      <c r="E10" s="89">
        <v>180</v>
      </c>
      <c r="F10" s="89">
        <f>(('BIOMETRIA HEMATICA'!$D$2)*0.2)+('BIOMETRIA HEMATICA'!$D$2)</f>
        <v>0</v>
      </c>
      <c r="G10" s="90">
        <f t="shared" si="0"/>
        <v>0</v>
      </c>
      <c r="H10" s="90">
        <f>(360/E10)*'BIOMETRIA HEMATICA'!$B$10</f>
        <v>2</v>
      </c>
      <c r="I10" s="92">
        <f t="shared" si="2"/>
        <v>2</v>
      </c>
      <c r="J10" s="115">
        <f t="shared" ref="J10:J11" si="4">IF(G10=0,0,G10)</f>
        <v>0</v>
      </c>
      <c r="K10" s="108">
        <f t="shared" si="3"/>
        <v>2</v>
      </c>
      <c r="L10" s="95">
        <v>1705</v>
      </c>
      <c r="M10" s="96">
        <f t="shared" si="1"/>
        <v>3410</v>
      </c>
      <c r="N10" s="106"/>
      <c r="O10" s="104"/>
      <c r="P10" s="104"/>
      <c r="Q10" s="104"/>
      <c r="R10" s="104"/>
    </row>
    <row r="11" spans="1:18" x14ac:dyDescent="0.45">
      <c r="A11" s="128"/>
      <c r="B11" s="87">
        <v>9426752001</v>
      </c>
      <c r="C11" s="88" t="s">
        <v>162</v>
      </c>
      <c r="D11" s="89">
        <v>450</v>
      </c>
      <c r="E11" s="89">
        <v>60</v>
      </c>
      <c r="F11" s="89">
        <f>(('BIOMETRIA HEMATICA'!$D$2)*0.2)+('BIOMETRIA HEMATICA'!$D$2)</f>
        <v>0</v>
      </c>
      <c r="G11" s="90">
        <f t="shared" si="0"/>
        <v>0</v>
      </c>
      <c r="H11" s="90">
        <f>(360/E11)*'BIOMETRIA HEMATICA'!$B$10</f>
        <v>6</v>
      </c>
      <c r="I11" s="92">
        <f t="shared" si="2"/>
        <v>6</v>
      </c>
      <c r="J11" s="115">
        <f t="shared" si="4"/>
        <v>0</v>
      </c>
      <c r="K11" s="108">
        <f t="shared" si="3"/>
        <v>6</v>
      </c>
      <c r="L11" s="95">
        <v>34</v>
      </c>
      <c r="M11" s="96">
        <f t="shared" si="1"/>
        <v>204</v>
      </c>
      <c r="N11" s="106"/>
      <c r="O11" s="35"/>
      <c r="P11" s="35"/>
      <c r="Q11" s="35"/>
      <c r="R11" s="35"/>
    </row>
    <row r="12" spans="1:18" ht="21" x14ac:dyDescent="0.45">
      <c r="A12" s="100" t="s">
        <v>163</v>
      </c>
      <c r="B12" s="101">
        <v>7051409001</v>
      </c>
      <c r="C12" s="101" t="s">
        <v>164</v>
      </c>
      <c r="D12" s="102">
        <f>(((F3/30)/12)*E12)</f>
        <v>2277.333333333333</v>
      </c>
      <c r="E12" s="102">
        <v>56</v>
      </c>
      <c r="F12" s="102">
        <f>(('BIOMETRIA HEMATICA'!$H$2)*0.2)+('BIOMETRIA HEMATICA'!$H$2)</f>
        <v>0</v>
      </c>
      <c r="G12" s="91">
        <f t="shared" si="0"/>
        <v>0</v>
      </c>
      <c r="H12" s="91">
        <f>(360/E12)*'BIOMETRIA HEMATICA'!$B$10</f>
        <v>6.4285714285714288</v>
      </c>
      <c r="I12" s="93">
        <f t="shared" si="2"/>
        <v>6.4285714285714288</v>
      </c>
      <c r="J12" s="93">
        <f>IF(G12=0,0,G12)</f>
        <v>0</v>
      </c>
      <c r="K12" s="108">
        <f t="shared" si="3"/>
        <v>7</v>
      </c>
      <c r="L12" s="103">
        <v>661</v>
      </c>
      <c r="M12" s="97">
        <f t="shared" si="1"/>
        <v>4627</v>
      </c>
      <c r="N12" s="107"/>
      <c r="O12" s="104"/>
      <c r="P12" s="104"/>
      <c r="Q12" s="104"/>
      <c r="R12" s="104"/>
    </row>
    <row r="13" spans="1:18" x14ac:dyDescent="0.45">
      <c r="C13" s="18"/>
      <c r="D13" s="18"/>
      <c r="E13" s="18"/>
      <c r="F13" s="18"/>
      <c r="G13" s="18"/>
      <c r="H13" s="18"/>
      <c r="I13" s="18"/>
      <c r="J13" s="18"/>
      <c r="K13" s="18"/>
      <c r="L13" s="98"/>
      <c r="M13" s="98"/>
      <c r="N13" s="35"/>
      <c r="O13" s="35"/>
      <c r="P13" s="35"/>
      <c r="Q13" s="35"/>
      <c r="R13" s="35"/>
    </row>
    <row r="14" spans="1:18" x14ac:dyDescent="0.45">
      <c r="C14" s="26" t="s">
        <v>150</v>
      </c>
      <c r="D14" s="27"/>
      <c r="E14" s="27"/>
      <c r="F14" s="27"/>
      <c r="G14" s="28"/>
      <c r="H14" s="28"/>
      <c r="I14" s="18"/>
      <c r="J14" s="18"/>
      <c r="K14" s="130">
        <f>'BIOMETRIA HEMATICA'!B6</f>
        <v>12</v>
      </c>
      <c r="L14" s="29">
        <f>BC!F109</f>
        <v>1920</v>
      </c>
      <c r="M14" s="29">
        <f>(L14/K14)*K14</f>
        <v>1920</v>
      </c>
      <c r="N14" s="34"/>
    </row>
    <row r="15" spans="1:18" x14ac:dyDescent="0.45">
      <c r="C15" s="19" t="s">
        <v>180</v>
      </c>
      <c r="D15" s="27"/>
      <c r="E15" s="27"/>
      <c r="F15" s="27"/>
      <c r="G15" s="28"/>
      <c r="H15" s="28"/>
      <c r="I15" s="18"/>
      <c r="J15" s="18"/>
      <c r="K15" s="130"/>
      <c r="L15" s="29">
        <v>470</v>
      </c>
      <c r="M15" s="29">
        <f>(L15*K14)/(12)</f>
        <v>470</v>
      </c>
      <c r="N15" s="34"/>
    </row>
    <row r="16" spans="1:18" x14ac:dyDescent="0.45">
      <c r="C16" s="19" t="s">
        <v>0</v>
      </c>
      <c r="D16" s="18"/>
      <c r="E16" s="18"/>
      <c r="F16" s="18"/>
      <c r="G16" s="18"/>
      <c r="H16" s="18"/>
      <c r="I16" s="18"/>
      <c r="J16" s="18"/>
      <c r="K16" s="130"/>
      <c r="L16" s="29">
        <v>21362</v>
      </c>
      <c r="M16" s="29">
        <f>((((L15)*(K14))/'BIOMETRIA HEMATICA'!B2))</f>
        <v>0.46229508196721314</v>
      </c>
      <c r="N16" s="34"/>
    </row>
    <row r="20" spans="1:18" x14ac:dyDescent="0.45">
      <c r="A20" s="126" t="s">
        <v>169</v>
      </c>
      <c r="B20" s="126"/>
      <c r="C20" s="126"/>
      <c r="D20" s="126"/>
      <c r="E20" s="126"/>
      <c r="F20" s="126"/>
      <c r="G20" s="126"/>
      <c r="H20" s="126"/>
      <c r="I20" s="126"/>
      <c r="J20" s="126"/>
      <c r="K20" s="126"/>
      <c r="L20" s="126"/>
      <c r="M20" s="126"/>
      <c r="N20" s="126"/>
      <c r="O20" s="126"/>
      <c r="P20" s="126"/>
      <c r="Q20" s="126"/>
      <c r="R20" s="126"/>
    </row>
    <row r="21" spans="1:18" ht="21" x14ac:dyDescent="0.45">
      <c r="A21" s="79" t="s">
        <v>1</v>
      </c>
      <c r="B21" s="79" t="s">
        <v>2</v>
      </c>
      <c r="C21" s="79" t="s">
        <v>3</v>
      </c>
      <c r="D21" s="79" t="s">
        <v>4</v>
      </c>
      <c r="E21" s="80" t="s">
        <v>5</v>
      </c>
      <c r="F21" s="80" t="s">
        <v>6</v>
      </c>
      <c r="G21" s="80" t="s">
        <v>7</v>
      </c>
      <c r="H21" s="80" t="s">
        <v>13</v>
      </c>
      <c r="I21" s="80" t="s">
        <v>8</v>
      </c>
      <c r="J21" s="80"/>
      <c r="K21" s="11" t="s">
        <v>16</v>
      </c>
      <c r="L21" s="11" t="s">
        <v>14</v>
      </c>
      <c r="M21" s="11" t="s">
        <v>15</v>
      </c>
      <c r="N21" s="11"/>
      <c r="O21" s="11" t="s">
        <v>18</v>
      </c>
      <c r="P21" s="11" t="s">
        <v>19</v>
      </c>
      <c r="Q21" s="11" t="s">
        <v>20</v>
      </c>
      <c r="R21" s="11" t="s">
        <v>21</v>
      </c>
    </row>
    <row r="22" spans="1:18" x14ac:dyDescent="0.45">
      <c r="A22" s="127" t="s">
        <v>9</v>
      </c>
      <c r="B22" s="81">
        <v>6510167001</v>
      </c>
      <c r="C22" s="81" t="s">
        <v>153</v>
      </c>
      <c r="D22" s="82">
        <v>450</v>
      </c>
      <c r="E22" s="82">
        <v>60</v>
      </c>
      <c r="F22" s="82">
        <f>(('BIOMETRIA HEMATICA'!$B$2)*0.2)+('BIOMETRIA HEMATICA'!$B$2)</f>
        <v>14640</v>
      </c>
      <c r="G22" s="82">
        <f>F22/D22</f>
        <v>32.533333333333331</v>
      </c>
      <c r="H22" s="82">
        <f>(360/E22)*'BIOMETRIA HEMATICA'!$B$10</f>
        <v>6</v>
      </c>
      <c r="I22" s="83">
        <f>IF(G22&gt;H22,G22,H22)</f>
        <v>32.533333333333331</v>
      </c>
      <c r="J22" s="83"/>
      <c r="K22" s="83">
        <f>ROUNDUP(I22,0)</f>
        <v>33</v>
      </c>
      <c r="L22" s="94">
        <v>121</v>
      </c>
      <c r="M22" s="94">
        <f>L22*K22</f>
        <v>3993</v>
      </c>
      <c r="N22" s="94"/>
      <c r="O22" s="99">
        <f>(SUM(M22:M34)/'BIOMETRIA HEMATICA'!B2)+M35</f>
        <v>3.4136016393442628</v>
      </c>
      <c r="P22" s="119">
        <f>((O22*0.15)+O22)</f>
        <v>3.9256418852459021</v>
      </c>
      <c r="Q22" s="119">
        <f>P22*'BIOMETRIA HEMATICA'!B2</f>
        <v>47892.831000000006</v>
      </c>
      <c r="R22" s="99">
        <f>O22*'BIOMETRIA HEMATICA'!B2</f>
        <v>41645.94</v>
      </c>
    </row>
    <row r="23" spans="1:18" x14ac:dyDescent="0.45">
      <c r="A23" s="128"/>
      <c r="B23" s="81">
        <v>3337006001</v>
      </c>
      <c r="C23" s="81" t="s">
        <v>154</v>
      </c>
      <c r="D23" s="82">
        <v>9450</v>
      </c>
      <c r="E23" s="82">
        <v>60</v>
      </c>
      <c r="F23" s="82">
        <f>(('BIOMETRIA HEMATICA'!$B$2)*0.2)+('BIOMETRIA HEMATICA'!$B$2)</f>
        <v>14640</v>
      </c>
      <c r="G23" s="82">
        <f t="shared" ref="G23:G31" si="5">F23/D23</f>
        <v>1.5492063492063493</v>
      </c>
      <c r="H23" s="82">
        <f>(360/E23)*'BIOMETRIA HEMATICA'!$B$10</f>
        <v>6</v>
      </c>
      <c r="I23" s="83">
        <f>IF(G23&gt;H23,G23,H23)</f>
        <v>6</v>
      </c>
      <c r="J23" s="83">
        <f>IF(N23&gt;N24,0,I23)</f>
        <v>0</v>
      </c>
      <c r="K23" s="108">
        <f>ROUNDUP(I23,0)</f>
        <v>6</v>
      </c>
      <c r="L23" s="94">
        <v>1107</v>
      </c>
      <c r="M23" s="94">
        <f t="shared" ref="M23:M31" si="6">L23*K23</f>
        <v>6642</v>
      </c>
      <c r="N23" s="105">
        <f>L23*K23</f>
        <v>6642</v>
      </c>
    </row>
    <row r="24" spans="1:18" x14ac:dyDescent="0.45">
      <c r="A24" s="128"/>
      <c r="B24" s="84">
        <v>12215616001</v>
      </c>
      <c r="C24" s="85" t="s">
        <v>155</v>
      </c>
      <c r="D24" s="82">
        <v>850</v>
      </c>
      <c r="E24" s="82">
        <v>60</v>
      </c>
      <c r="F24" s="82">
        <f>(('BIOMETRIA HEMATICA'!$B$2)*0.2)+('BIOMETRIA HEMATICA'!$B$2)</f>
        <v>14640</v>
      </c>
      <c r="G24" s="82">
        <f t="shared" si="5"/>
        <v>17.223529411764705</v>
      </c>
      <c r="H24" s="82">
        <f>(360/E24)*'BIOMETRIA HEMATICA'!$B$10</f>
        <v>6</v>
      </c>
      <c r="I24" s="83">
        <f t="shared" ref="I24:I31" si="7">IF(G24&gt;H24,G24,H24)</f>
        <v>17.223529411764705</v>
      </c>
      <c r="J24" s="83">
        <f>IF(N24&gt;N23,0,I24)</f>
        <v>17.223529411764705</v>
      </c>
      <c r="K24" s="108">
        <f t="shared" ref="K24:K31" si="8">ROUNDUP(I24,0)</f>
        <v>18</v>
      </c>
      <c r="L24" s="94">
        <v>228.33</v>
      </c>
      <c r="M24" s="94">
        <f t="shared" si="6"/>
        <v>4109.9400000000005</v>
      </c>
      <c r="N24" s="105">
        <f>L24*K24</f>
        <v>4109.9400000000005</v>
      </c>
    </row>
    <row r="25" spans="1:18" x14ac:dyDescent="0.45">
      <c r="A25" s="128"/>
      <c r="B25" s="81">
        <v>7837984001</v>
      </c>
      <c r="C25" s="81" t="s">
        <v>156</v>
      </c>
      <c r="D25" s="82">
        <v>2450</v>
      </c>
      <c r="E25" s="82">
        <v>90</v>
      </c>
      <c r="F25" s="82">
        <f>(('BIOMETRIA HEMATICA'!$B$2)*0.2)+('BIOMETRIA HEMATICA'!$B$2)</f>
        <v>14640</v>
      </c>
      <c r="G25" s="82">
        <f t="shared" si="5"/>
        <v>5.9755102040816324</v>
      </c>
      <c r="H25" s="82">
        <f>(360/E25)*'BIOMETRIA HEMATICA'!$B$10</f>
        <v>4</v>
      </c>
      <c r="I25" s="83">
        <f t="shared" si="7"/>
        <v>5.9755102040816324</v>
      </c>
      <c r="J25" s="83"/>
      <c r="K25" s="83">
        <f t="shared" si="8"/>
        <v>6</v>
      </c>
      <c r="L25" s="94">
        <v>176</v>
      </c>
      <c r="M25" s="94">
        <f t="shared" si="6"/>
        <v>1056</v>
      </c>
      <c r="N25" s="105"/>
    </row>
    <row r="26" spans="1:18" x14ac:dyDescent="0.45">
      <c r="A26" s="128"/>
      <c r="B26" s="81">
        <v>6510256001</v>
      </c>
      <c r="C26" s="81" t="s">
        <v>157</v>
      </c>
      <c r="D26" s="82">
        <v>3400</v>
      </c>
      <c r="E26" s="82">
        <v>180</v>
      </c>
      <c r="F26" s="82">
        <f>(('BIOMETRIA HEMATICA'!$B$2)*0.2)+('BIOMETRIA HEMATICA'!$B$2)</f>
        <v>14640</v>
      </c>
      <c r="G26" s="82">
        <f t="shared" si="5"/>
        <v>4.3058823529411763</v>
      </c>
      <c r="H26" s="82">
        <f>(360/E26)*'BIOMETRIA HEMATICA'!$B$10</f>
        <v>2</v>
      </c>
      <c r="I26" s="83">
        <f t="shared" si="7"/>
        <v>4.3058823529411763</v>
      </c>
      <c r="J26" s="83"/>
      <c r="K26" s="83">
        <f t="shared" si="8"/>
        <v>5</v>
      </c>
      <c r="L26" s="94">
        <v>862</v>
      </c>
      <c r="M26" s="94">
        <f t="shared" si="6"/>
        <v>4310</v>
      </c>
      <c r="N26" s="105"/>
    </row>
    <row r="27" spans="1:18" x14ac:dyDescent="0.45">
      <c r="A27" s="128"/>
      <c r="B27" s="81">
        <v>6952291001</v>
      </c>
      <c r="C27" s="81" t="s">
        <v>158</v>
      </c>
      <c r="D27" s="82">
        <f>(((F22/30)/12)*E27)</f>
        <v>6100</v>
      </c>
      <c r="E27" s="82">
        <v>150</v>
      </c>
      <c r="F27" s="82">
        <f>(('BIOMETRIA HEMATICA'!$B$2)*0.2)+('BIOMETRIA HEMATICA'!$B$2)</f>
        <v>14640</v>
      </c>
      <c r="G27" s="82">
        <f t="shared" si="5"/>
        <v>2.4</v>
      </c>
      <c r="H27" s="82">
        <f>(360/E27)*'BIOMETRIA HEMATICA'!$B$10</f>
        <v>2.4</v>
      </c>
      <c r="I27" s="83">
        <f t="shared" si="7"/>
        <v>2.4</v>
      </c>
      <c r="J27" s="83"/>
      <c r="K27" s="83">
        <f t="shared" si="8"/>
        <v>3</v>
      </c>
      <c r="L27" s="94">
        <v>52</v>
      </c>
      <c r="M27" s="94">
        <f t="shared" si="6"/>
        <v>156</v>
      </c>
      <c r="N27" s="105"/>
    </row>
    <row r="28" spans="1:18" ht="21" x14ac:dyDescent="0.45">
      <c r="A28" s="128"/>
      <c r="B28" s="86">
        <v>7051506001</v>
      </c>
      <c r="C28" s="81" t="s">
        <v>159</v>
      </c>
      <c r="D28" s="82">
        <f>(((F22/30)/12)*E28)</f>
        <v>2277.333333333333</v>
      </c>
      <c r="E28" s="82">
        <v>56</v>
      </c>
      <c r="F28" s="82">
        <f>(('BIOMETRIA HEMATICA'!$B$2)*0.2)+('BIOMETRIA HEMATICA'!$B$2)</f>
        <v>14640</v>
      </c>
      <c r="G28" s="82">
        <f t="shared" si="5"/>
        <v>6.4285714285714297</v>
      </c>
      <c r="H28" s="82">
        <f>(360/E28)*'BIOMETRIA HEMATICA'!$B$10</f>
        <v>6.4285714285714288</v>
      </c>
      <c r="I28" s="83">
        <f t="shared" si="7"/>
        <v>6.4285714285714288</v>
      </c>
      <c r="J28" s="83"/>
      <c r="K28" s="83">
        <f t="shared" si="8"/>
        <v>7</v>
      </c>
      <c r="L28" s="94">
        <v>544</v>
      </c>
      <c r="M28" s="94">
        <f t="shared" si="6"/>
        <v>3808</v>
      </c>
      <c r="N28" s="105"/>
    </row>
    <row r="29" spans="1:18" x14ac:dyDescent="0.45">
      <c r="A29" s="129" t="s">
        <v>160</v>
      </c>
      <c r="B29" s="87">
        <v>6510272001</v>
      </c>
      <c r="C29" s="88" t="s">
        <v>161</v>
      </c>
      <c r="D29" s="89">
        <v>650</v>
      </c>
      <c r="E29" s="89">
        <v>180</v>
      </c>
      <c r="F29" s="89">
        <f>(('BIOMETRIA HEMATICA'!$D$2)*0.2)+('BIOMETRIA HEMATICA'!$D$2)</f>
        <v>0</v>
      </c>
      <c r="G29" s="90">
        <f t="shared" si="5"/>
        <v>0</v>
      </c>
      <c r="H29" s="90">
        <f>(360/E29)*'BIOMETRIA HEMATICA'!$B$10</f>
        <v>2</v>
      </c>
      <c r="I29" s="92">
        <f t="shared" si="7"/>
        <v>2</v>
      </c>
      <c r="J29" s="115">
        <f t="shared" ref="J29:J30" si="9">IF(G29=0,0,G29)</f>
        <v>0</v>
      </c>
      <c r="K29" s="108">
        <f t="shared" si="8"/>
        <v>2</v>
      </c>
      <c r="L29" s="95">
        <v>1705</v>
      </c>
      <c r="M29" s="96">
        <f t="shared" si="6"/>
        <v>3410</v>
      </c>
      <c r="N29" s="106"/>
      <c r="O29" s="104"/>
      <c r="P29" s="104"/>
      <c r="Q29" s="104"/>
      <c r="R29" s="104"/>
    </row>
    <row r="30" spans="1:18" x14ac:dyDescent="0.45">
      <c r="A30" s="128"/>
      <c r="B30" s="87">
        <v>9426752001</v>
      </c>
      <c r="C30" s="88" t="s">
        <v>162</v>
      </c>
      <c r="D30" s="89">
        <v>450</v>
      </c>
      <c r="E30" s="89">
        <v>60</v>
      </c>
      <c r="F30" s="89">
        <f>(('BIOMETRIA HEMATICA'!$D$2)*0.2)+('BIOMETRIA HEMATICA'!$D$2)</f>
        <v>0</v>
      </c>
      <c r="G30" s="90">
        <f t="shared" si="5"/>
        <v>0</v>
      </c>
      <c r="H30" s="90">
        <f>(360/E30)*'BIOMETRIA HEMATICA'!$B$10</f>
        <v>6</v>
      </c>
      <c r="I30" s="92">
        <f t="shared" si="7"/>
        <v>6</v>
      </c>
      <c r="J30" s="115">
        <f t="shared" si="9"/>
        <v>0</v>
      </c>
      <c r="K30" s="108">
        <f t="shared" si="8"/>
        <v>6</v>
      </c>
      <c r="L30" s="95">
        <v>34</v>
      </c>
      <c r="M30" s="96">
        <f t="shared" si="6"/>
        <v>204</v>
      </c>
      <c r="N30" s="106"/>
      <c r="O30" s="35"/>
      <c r="P30" s="35"/>
      <c r="Q30" s="35"/>
      <c r="R30" s="35"/>
    </row>
    <row r="31" spans="1:18" ht="21" x14ac:dyDescent="0.45">
      <c r="A31" s="100" t="s">
        <v>163</v>
      </c>
      <c r="B31" s="101">
        <v>7051409001</v>
      </c>
      <c r="C31" s="101" t="s">
        <v>164</v>
      </c>
      <c r="D31" s="102">
        <f>(((F22/30)/12)*E31)</f>
        <v>2277.333333333333</v>
      </c>
      <c r="E31" s="102">
        <v>56</v>
      </c>
      <c r="F31" s="102">
        <f>(('BIOMETRIA HEMATICA'!$H$2)*0.2)+('BIOMETRIA HEMATICA'!$H$2)</f>
        <v>0</v>
      </c>
      <c r="G31" s="91">
        <f t="shared" si="5"/>
        <v>0</v>
      </c>
      <c r="H31" s="91">
        <f>(360/E31)*'BIOMETRIA HEMATICA'!$B$10</f>
        <v>6.4285714285714288</v>
      </c>
      <c r="I31" s="93">
        <f t="shared" si="7"/>
        <v>6.4285714285714288</v>
      </c>
      <c r="J31" s="93">
        <f>IF(G10=0,0,G31)</f>
        <v>0</v>
      </c>
      <c r="K31" s="108">
        <f t="shared" si="8"/>
        <v>7</v>
      </c>
      <c r="L31" s="103">
        <v>661</v>
      </c>
      <c r="M31" s="97">
        <f t="shared" si="6"/>
        <v>4627</v>
      </c>
      <c r="N31" s="107"/>
      <c r="O31" s="104"/>
      <c r="P31" s="104"/>
      <c r="Q31" s="104"/>
      <c r="R31" s="104"/>
    </row>
    <row r="32" spans="1:18" x14ac:dyDescent="0.45">
      <c r="C32" s="18"/>
      <c r="D32" s="18"/>
      <c r="E32" s="18"/>
      <c r="F32" s="18"/>
      <c r="G32" s="18"/>
      <c r="H32" s="18"/>
      <c r="I32" s="18"/>
      <c r="J32" s="18"/>
      <c r="K32" s="18"/>
      <c r="L32" s="98"/>
      <c r="M32" s="98"/>
      <c r="N32" s="35"/>
      <c r="O32" s="35"/>
      <c r="P32" s="35"/>
      <c r="Q32" s="35"/>
      <c r="R32" s="35"/>
    </row>
    <row r="33" spans="1:18" x14ac:dyDescent="0.45">
      <c r="C33" s="26" t="s">
        <v>150</v>
      </c>
      <c r="D33" s="27"/>
      <c r="E33" s="27"/>
      <c r="F33" s="27"/>
      <c r="G33" s="28"/>
      <c r="H33" s="28"/>
      <c r="I33" s="18"/>
      <c r="J33" s="18"/>
      <c r="K33" s="130">
        <f>'BIOMETRIA HEMATICA'!B6</f>
        <v>12</v>
      </c>
      <c r="L33" s="29">
        <f>BC!F109</f>
        <v>1920</v>
      </c>
      <c r="M33" s="29">
        <f>(L33/K33)*K33</f>
        <v>1920</v>
      </c>
      <c r="N33" s="34"/>
    </row>
    <row r="34" spans="1:18" x14ac:dyDescent="0.45">
      <c r="C34" s="19" t="s">
        <v>24</v>
      </c>
      <c r="D34" s="27"/>
      <c r="E34" s="27"/>
      <c r="F34" s="27"/>
      <c r="G34" s="28"/>
      <c r="H34" s="28"/>
      <c r="I34" s="18"/>
      <c r="J34" s="18"/>
      <c r="K34" s="130"/>
      <c r="L34" s="29">
        <v>570</v>
      </c>
      <c r="M34" s="29">
        <f>(L34*K33)/(12)</f>
        <v>570</v>
      </c>
      <c r="N34" s="34"/>
    </row>
    <row r="35" spans="1:18" x14ac:dyDescent="0.45">
      <c r="C35" s="19" t="s">
        <v>0</v>
      </c>
      <c r="D35" s="18"/>
      <c r="E35" s="18"/>
      <c r="F35" s="18"/>
      <c r="G35" s="18"/>
      <c r="H35" s="18"/>
      <c r="I35" s="18"/>
      <c r="J35" s="18"/>
      <c r="K35" s="130"/>
      <c r="L35" s="29">
        <v>29260</v>
      </c>
      <c r="M35" s="29">
        <f>((((L34)*(K33))/'BIOMETRIA HEMATICA'!B2))</f>
        <v>0.56065573770491806</v>
      </c>
      <c r="N35" s="34"/>
    </row>
    <row r="39" spans="1:18" x14ac:dyDescent="0.45">
      <c r="A39" s="126" t="s">
        <v>170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</row>
    <row r="40" spans="1:18" ht="21" x14ac:dyDescent="0.45">
      <c r="A40" s="79" t="s">
        <v>1</v>
      </c>
      <c r="B40" s="79" t="s">
        <v>2</v>
      </c>
      <c r="C40" s="79" t="s">
        <v>3</v>
      </c>
      <c r="D40" s="79" t="s">
        <v>4</v>
      </c>
      <c r="E40" s="80" t="s">
        <v>5</v>
      </c>
      <c r="F40" s="80" t="s">
        <v>6</v>
      </c>
      <c r="G40" s="80" t="s">
        <v>7</v>
      </c>
      <c r="H40" s="80" t="s">
        <v>13</v>
      </c>
      <c r="I40" s="80" t="s">
        <v>8</v>
      </c>
      <c r="J40" s="80"/>
      <c r="K40" s="11" t="s">
        <v>16</v>
      </c>
      <c r="L40" s="11" t="s">
        <v>14</v>
      </c>
      <c r="M40" s="11" t="s">
        <v>15</v>
      </c>
      <c r="N40" s="11"/>
      <c r="O40" s="11" t="s">
        <v>178</v>
      </c>
      <c r="P40" s="11" t="s">
        <v>19</v>
      </c>
      <c r="Q40" s="11" t="s">
        <v>20</v>
      </c>
      <c r="R40" s="11" t="s">
        <v>21</v>
      </c>
    </row>
    <row r="41" spans="1:18" x14ac:dyDescent="0.45">
      <c r="A41" s="127" t="s">
        <v>9</v>
      </c>
      <c r="B41" s="81">
        <v>6510167001</v>
      </c>
      <c r="C41" s="81" t="s">
        <v>153</v>
      </c>
      <c r="D41" s="82">
        <v>450</v>
      </c>
      <c r="E41" s="82">
        <v>60</v>
      </c>
      <c r="F41" s="82">
        <f>(('BIOMETRIA HEMATICA'!$B$2)*0.2)+('BIOMETRIA HEMATICA'!$B$2)</f>
        <v>14640</v>
      </c>
      <c r="G41" s="82">
        <f>F41/D41</f>
        <v>32.533333333333331</v>
      </c>
      <c r="H41" s="82">
        <f>(360/E41)*'BIOMETRIA HEMATICA'!$B$10</f>
        <v>6</v>
      </c>
      <c r="I41" s="83">
        <f>IF(G41&gt;H41,G41,H41)</f>
        <v>32.533333333333331</v>
      </c>
      <c r="J41" s="83"/>
      <c r="K41" s="83">
        <f>ROUNDUP(I41,0)</f>
        <v>33</v>
      </c>
      <c r="L41" s="94">
        <v>121</v>
      </c>
      <c r="M41" s="94">
        <f>L41*K41</f>
        <v>3993</v>
      </c>
      <c r="N41" s="94"/>
      <c r="O41" s="99">
        <f>(SUM(M41:M50)/'BIOMETRIA HEMATICA'!B2)+M54</f>
        <v>3.2095032786885249</v>
      </c>
      <c r="P41" s="119">
        <f>((O41*0.15)+O41)</f>
        <v>3.6909287704918037</v>
      </c>
      <c r="Q41" s="119">
        <f>P41*'BIOMETRIA HEMATICA'!B40</f>
        <v>0</v>
      </c>
      <c r="R41" s="99">
        <f>O41*'BIOMETRIA HEMATICA'!B40</f>
        <v>0</v>
      </c>
    </row>
    <row r="42" spans="1:18" ht="21" x14ac:dyDescent="0.45">
      <c r="A42" s="128"/>
      <c r="B42" s="81">
        <v>3337006001</v>
      </c>
      <c r="C42" s="81" t="s">
        <v>154</v>
      </c>
      <c r="D42" s="82">
        <v>9450</v>
      </c>
      <c r="E42" s="82">
        <v>60</v>
      </c>
      <c r="F42" s="82">
        <f>(('BIOMETRIA HEMATICA'!$B$2)*0.2)+('BIOMETRIA HEMATICA'!$B$2)</f>
        <v>14640</v>
      </c>
      <c r="G42" s="82">
        <f t="shared" ref="G42:G50" si="10">F42/D42</f>
        <v>1.5492063492063493</v>
      </c>
      <c r="H42" s="82">
        <f>(360/E42)*'BIOMETRIA HEMATICA'!$B$10</f>
        <v>6</v>
      </c>
      <c r="I42" s="83">
        <f>IF(G42&gt;H42,G42,H42)</f>
        <v>6</v>
      </c>
      <c r="J42" s="83">
        <f>IF(N42&gt;N43,0,I42)</f>
        <v>0</v>
      </c>
      <c r="K42" s="108">
        <f>ROUNDUP(I42,0)</f>
        <v>6</v>
      </c>
      <c r="L42" s="94">
        <v>1107</v>
      </c>
      <c r="M42" s="94">
        <f t="shared" ref="M42:M50" si="11">L42*K42</f>
        <v>6642</v>
      </c>
      <c r="N42" s="105">
        <f>L42*K42</f>
        <v>6642</v>
      </c>
      <c r="O42" s="11" t="s">
        <v>179</v>
      </c>
      <c r="P42" s="11" t="s">
        <v>19</v>
      </c>
      <c r="Q42" s="11" t="s">
        <v>20</v>
      </c>
      <c r="R42" s="11" t="s">
        <v>21</v>
      </c>
    </row>
    <row r="43" spans="1:18" x14ac:dyDescent="0.45">
      <c r="A43" s="128"/>
      <c r="B43" s="84">
        <v>12215616001</v>
      </c>
      <c r="C43" s="85" t="s">
        <v>155</v>
      </c>
      <c r="D43" s="82">
        <v>850</v>
      </c>
      <c r="E43" s="82">
        <v>60</v>
      </c>
      <c r="F43" s="82">
        <f>(('BIOMETRIA HEMATICA'!$B$2)*0.2)+('BIOMETRIA HEMATICA'!$B$2)</f>
        <v>14640</v>
      </c>
      <c r="G43" s="82">
        <f t="shared" si="10"/>
        <v>17.223529411764705</v>
      </c>
      <c r="H43" s="82">
        <f>(360/E43)*'BIOMETRIA HEMATICA'!$B$10</f>
        <v>6</v>
      </c>
      <c r="I43" s="83">
        <f t="shared" ref="I43:I50" si="12">IF(G43&gt;H43,G43,H43)</f>
        <v>17.223529411764705</v>
      </c>
      <c r="J43" s="83">
        <f>IF(N43&gt;N42,0,I43)</f>
        <v>17.223529411764705</v>
      </c>
      <c r="K43" s="108">
        <f t="shared" ref="K43:K50" si="13">ROUNDUP(I43,0)</f>
        <v>18</v>
      </c>
      <c r="L43" s="94">
        <v>228.33</v>
      </c>
      <c r="M43" s="94">
        <f t="shared" si="11"/>
        <v>4109.9400000000005</v>
      </c>
      <c r="N43" s="105">
        <f>L43*K43</f>
        <v>4109.9400000000005</v>
      </c>
      <c r="O43" s="99">
        <f>(SUM(M41:M47)/'BIOMETRIA HEMATICA'!B2)+M54</f>
        <v>2.5340114754098364</v>
      </c>
      <c r="P43" s="119">
        <f>((O43*0.15)+O43)</f>
        <v>2.9141131967213116</v>
      </c>
      <c r="Q43" s="119">
        <f>P43*'BIOMETRIA HEMATICA'!B40</f>
        <v>0</v>
      </c>
      <c r="R43" s="99">
        <f>O43*'BIOMETRIA HEMATICA'!B40</f>
        <v>0</v>
      </c>
    </row>
    <row r="44" spans="1:18" x14ac:dyDescent="0.45">
      <c r="A44" s="128"/>
      <c r="B44" s="81">
        <v>7837984001</v>
      </c>
      <c r="C44" s="81" t="s">
        <v>156</v>
      </c>
      <c r="D44" s="82">
        <v>2450</v>
      </c>
      <c r="E44" s="82">
        <v>90</v>
      </c>
      <c r="F44" s="82">
        <f>(('BIOMETRIA HEMATICA'!$B$2)*0.2)+('BIOMETRIA HEMATICA'!$B$2)</f>
        <v>14640</v>
      </c>
      <c r="G44" s="82">
        <f t="shared" si="10"/>
        <v>5.9755102040816324</v>
      </c>
      <c r="H44" s="82">
        <f>(360/E44)*'BIOMETRIA HEMATICA'!$B$10</f>
        <v>4</v>
      </c>
      <c r="I44" s="83">
        <f t="shared" si="12"/>
        <v>5.9755102040816324</v>
      </c>
      <c r="J44" s="83"/>
      <c r="K44" s="83">
        <f t="shared" si="13"/>
        <v>6</v>
      </c>
      <c r="L44" s="94">
        <v>176</v>
      </c>
      <c r="M44" s="94">
        <f t="shared" si="11"/>
        <v>1056</v>
      </c>
      <c r="N44" s="105"/>
    </row>
    <row r="45" spans="1:18" x14ac:dyDescent="0.45">
      <c r="A45" s="128"/>
      <c r="B45" s="81">
        <v>6510256001</v>
      </c>
      <c r="C45" s="81" t="s">
        <v>157</v>
      </c>
      <c r="D45" s="82">
        <v>3400</v>
      </c>
      <c r="E45" s="82">
        <v>180</v>
      </c>
      <c r="F45" s="82">
        <f>(('BIOMETRIA HEMATICA'!$B$2)*0.2)+('BIOMETRIA HEMATICA'!$B$2)</f>
        <v>14640</v>
      </c>
      <c r="G45" s="82">
        <f t="shared" si="10"/>
        <v>4.3058823529411763</v>
      </c>
      <c r="H45" s="82">
        <f>(360/E45)*'BIOMETRIA HEMATICA'!$B$10</f>
        <v>2</v>
      </c>
      <c r="I45" s="83">
        <f t="shared" si="12"/>
        <v>4.3058823529411763</v>
      </c>
      <c r="J45" s="83"/>
      <c r="K45" s="83">
        <f t="shared" si="13"/>
        <v>5</v>
      </c>
      <c r="L45" s="94">
        <v>862</v>
      </c>
      <c r="M45" s="94">
        <f t="shared" si="11"/>
        <v>4310</v>
      </c>
      <c r="N45" s="105"/>
    </row>
    <row r="46" spans="1:18" x14ac:dyDescent="0.45">
      <c r="A46" s="128"/>
      <c r="B46" s="81">
        <v>6952291001</v>
      </c>
      <c r="C46" s="81" t="s">
        <v>158</v>
      </c>
      <c r="D46" s="82">
        <f>(((F41/30)/12)*E46)</f>
        <v>6100</v>
      </c>
      <c r="E46" s="82">
        <v>150</v>
      </c>
      <c r="F46" s="82">
        <f>(('BIOMETRIA HEMATICA'!$B$2)*0.2)+('BIOMETRIA HEMATICA'!$B$2)</f>
        <v>14640</v>
      </c>
      <c r="G46" s="82">
        <f t="shared" si="10"/>
        <v>2.4</v>
      </c>
      <c r="H46" s="82">
        <f>(360/E46)*'BIOMETRIA HEMATICA'!$B$10</f>
        <v>2.4</v>
      </c>
      <c r="I46" s="83">
        <f t="shared" si="12"/>
        <v>2.4</v>
      </c>
      <c r="J46" s="83"/>
      <c r="K46" s="83">
        <f t="shared" si="13"/>
        <v>3</v>
      </c>
      <c r="L46" s="94">
        <v>52</v>
      </c>
      <c r="M46" s="94">
        <f t="shared" si="11"/>
        <v>156</v>
      </c>
      <c r="N46" s="105"/>
    </row>
    <row r="47" spans="1:18" ht="21" x14ac:dyDescent="0.45">
      <c r="A47" s="128"/>
      <c r="B47" s="86">
        <v>7051506001</v>
      </c>
      <c r="C47" s="81" t="s">
        <v>159</v>
      </c>
      <c r="D47" s="82">
        <f>(((F41/30)/12)*E47)</f>
        <v>2277.333333333333</v>
      </c>
      <c r="E47" s="82">
        <v>56</v>
      </c>
      <c r="F47" s="82">
        <f>(('BIOMETRIA HEMATICA'!$B$2)*0.2)+('BIOMETRIA HEMATICA'!$B$2)</f>
        <v>14640</v>
      </c>
      <c r="G47" s="82">
        <f t="shared" si="10"/>
        <v>6.4285714285714297</v>
      </c>
      <c r="H47" s="82">
        <f>(360/E47)*'BIOMETRIA HEMATICA'!$B$10</f>
        <v>6.4285714285714288</v>
      </c>
      <c r="I47" s="83">
        <f t="shared" si="12"/>
        <v>6.4285714285714288</v>
      </c>
      <c r="J47" s="83"/>
      <c r="K47" s="83">
        <f t="shared" si="13"/>
        <v>7</v>
      </c>
      <c r="L47" s="94">
        <v>544</v>
      </c>
      <c r="M47" s="94">
        <f t="shared" si="11"/>
        <v>3808</v>
      </c>
      <c r="N47" s="105"/>
    </row>
    <row r="48" spans="1:18" x14ac:dyDescent="0.45">
      <c r="A48" s="129" t="s">
        <v>160</v>
      </c>
      <c r="B48" s="87">
        <v>6510272001</v>
      </c>
      <c r="C48" s="88" t="s">
        <v>161</v>
      </c>
      <c r="D48" s="89">
        <v>650</v>
      </c>
      <c r="E48" s="89">
        <v>180</v>
      </c>
      <c r="F48" s="89">
        <f>(('BIOMETRIA HEMATICA'!$D$2)*0.2)+('BIOMETRIA HEMATICA'!$D$2)</f>
        <v>0</v>
      </c>
      <c r="G48" s="90">
        <f t="shared" si="10"/>
        <v>0</v>
      </c>
      <c r="H48" s="90">
        <f>(360/E48)*'BIOMETRIA HEMATICA'!$B$10</f>
        <v>2</v>
      </c>
      <c r="I48" s="92">
        <f t="shared" si="12"/>
        <v>2</v>
      </c>
      <c r="J48" s="115">
        <f t="shared" ref="J48:J49" si="14">IF(G48=0,0,G48)</f>
        <v>0</v>
      </c>
      <c r="K48" s="108">
        <f t="shared" si="13"/>
        <v>2</v>
      </c>
      <c r="L48" s="95">
        <v>1705</v>
      </c>
      <c r="M48" s="96">
        <f t="shared" si="11"/>
        <v>3410</v>
      </c>
      <c r="N48" s="106"/>
      <c r="O48" s="104"/>
      <c r="P48" s="104"/>
      <c r="Q48" s="104"/>
      <c r="R48" s="104"/>
    </row>
    <row r="49" spans="1:18" x14ac:dyDescent="0.45">
      <c r="A49" s="128"/>
      <c r="B49" s="87">
        <v>9426752001</v>
      </c>
      <c r="C49" s="88" t="s">
        <v>162</v>
      </c>
      <c r="D49" s="89">
        <v>450</v>
      </c>
      <c r="E49" s="89">
        <v>60</v>
      </c>
      <c r="F49" s="89">
        <f>(('BIOMETRIA HEMATICA'!$D$2)*0.2)+('BIOMETRIA HEMATICA'!$D$2)</f>
        <v>0</v>
      </c>
      <c r="G49" s="90">
        <f t="shared" si="10"/>
        <v>0</v>
      </c>
      <c r="H49" s="90">
        <f>(360/E49)*'BIOMETRIA HEMATICA'!$B$10</f>
        <v>6</v>
      </c>
      <c r="I49" s="92">
        <f t="shared" si="12"/>
        <v>6</v>
      </c>
      <c r="J49" s="115">
        <f t="shared" si="14"/>
        <v>0</v>
      </c>
      <c r="K49" s="108">
        <f t="shared" si="13"/>
        <v>6</v>
      </c>
      <c r="L49" s="95">
        <v>34</v>
      </c>
      <c r="M49" s="96">
        <f t="shared" si="11"/>
        <v>204</v>
      </c>
      <c r="N49" s="106"/>
      <c r="O49" s="35"/>
      <c r="P49" s="35"/>
      <c r="Q49" s="35"/>
      <c r="R49" s="35"/>
    </row>
    <row r="50" spans="1:18" ht="21" x14ac:dyDescent="0.45">
      <c r="A50" s="100" t="s">
        <v>163</v>
      </c>
      <c r="B50" s="101">
        <v>7051409001</v>
      </c>
      <c r="C50" s="101" t="s">
        <v>164</v>
      </c>
      <c r="D50" s="102">
        <f>(((F41/30)/12)*E50)</f>
        <v>2277.333333333333</v>
      </c>
      <c r="E50" s="102">
        <v>56</v>
      </c>
      <c r="F50" s="102">
        <f>(('BIOMETRIA HEMATICA'!$H$2)*0.2)+('BIOMETRIA HEMATICA'!$H$2)</f>
        <v>0</v>
      </c>
      <c r="G50" s="91">
        <f t="shared" si="10"/>
        <v>0</v>
      </c>
      <c r="H50" s="91">
        <f>(360/E50)*'BIOMETRIA HEMATICA'!$B$10</f>
        <v>6.4285714285714288</v>
      </c>
      <c r="I50" s="93">
        <f t="shared" si="12"/>
        <v>6.4285714285714288</v>
      </c>
      <c r="J50" s="93">
        <f>IF(G29=0,0,G50)</f>
        <v>0</v>
      </c>
      <c r="K50" s="108">
        <f t="shared" si="13"/>
        <v>7</v>
      </c>
      <c r="L50" s="103">
        <v>661</v>
      </c>
      <c r="M50" s="97">
        <f t="shared" si="11"/>
        <v>4627</v>
      </c>
      <c r="N50" s="107"/>
      <c r="O50" s="104"/>
      <c r="P50" s="104"/>
      <c r="Q50" s="104"/>
      <c r="R50" s="104"/>
    </row>
    <row r="51" spans="1:18" x14ac:dyDescent="0.45">
      <c r="C51" s="18"/>
      <c r="D51" s="18"/>
      <c r="E51" s="18"/>
      <c r="F51" s="18"/>
      <c r="G51" s="18"/>
      <c r="H51" s="18"/>
      <c r="I51" s="18"/>
      <c r="J51" s="18"/>
      <c r="K51" s="18"/>
      <c r="L51" s="98"/>
      <c r="M51" s="98"/>
      <c r="N51" s="35"/>
      <c r="O51" s="35"/>
      <c r="P51" s="35"/>
      <c r="Q51" s="35"/>
      <c r="R51" s="35"/>
    </row>
    <row r="52" spans="1:18" x14ac:dyDescent="0.45">
      <c r="C52" s="26" t="s">
        <v>150</v>
      </c>
      <c r="D52" s="27"/>
      <c r="E52" s="27"/>
      <c r="F52" s="27"/>
      <c r="G52" s="28"/>
      <c r="H52" s="28"/>
      <c r="I52" s="18"/>
      <c r="J52" s="18"/>
      <c r="K52" s="130">
        <f>'BIOMETRIA HEMATICA'!B6</f>
        <v>12</v>
      </c>
      <c r="L52" s="29">
        <f>BC!F109</f>
        <v>1920</v>
      </c>
      <c r="M52" s="29">
        <f>(L52/K52)*K52</f>
        <v>1920</v>
      </c>
      <c r="N52" s="34"/>
    </row>
    <row r="53" spans="1:18" x14ac:dyDescent="0.45">
      <c r="C53" s="19" t="s">
        <v>24</v>
      </c>
      <c r="D53" s="27"/>
      <c r="E53" s="27"/>
      <c r="F53" s="27"/>
      <c r="G53" s="28"/>
      <c r="H53" s="28"/>
      <c r="I53" s="18"/>
      <c r="J53" s="18"/>
      <c r="K53" s="130"/>
      <c r="L53" s="29">
        <v>570</v>
      </c>
      <c r="M53" s="29">
        <f>(L53*K52)/(12)</f>
        <v>570</v>
      </c>
      <c r="N53" s="34"/>
    </row>
    <row r="54" spans="1:18" x14ac:dyDescent="0.45">
      <c r="C54" s="19" t="s">
        <v>0</v>
      </c>
      <c r="D54" s="18"/>
      <c r="E54" s="18"/>
      <c r="F54" s="18"/>
      <c r="G54" s="18"/>
      <c r="H54" s="18"/>
      <c r="I54" s="18"/>
      <c r="J54" s="18"/>
      <c r="K54" s="130"/>
      <c r="L54" s="29">
        <v>26389</v>
      </c>
      <c r="M54" s="29">
        <f>((((L53)*(K52))/'BIOMETRIA HEMATICA'!B2))</f>
        <v>0.56065573770491806</v>
      </c>
      <c r="N54" s="34"/>
    </row>
    <row r="58" spans="1:18" x14ac:dyDescent="0.45">
      <c r="A58" s="126" t="s">
        <v>171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</row>
    <row r="59" spans="1:18" ht="21" x14ac:dyDescent="0.45">
      <c r="A59" s="79" t="s">
        <v>1</v>
      </c>
      <c r="B59" s="79" t="s">
        <v>2</v>
      </c>
      <c r="C59" s="79" t="s">
        <v>3</v>
      </c>
      <c r="D59" s="79" t="s">
        <v>4</v>
      </c>
      <c r="E59" s="80" t="s">
        <v>5</v>
      </c>
      <c r="F59" s="80" t="s">
        <v>6</v>
      </c>
      <c r="G59" s="80" t="s">
        <v>7</v>
      </c>
      <c r="H59" s="80" t="s">
        <v>13</v>
      </c>
      <c r="I59" s="80" t="s">
        <v>8</v>
      </c>
      <c r="J59" s="80"/>
      <c r="K59" s="11" t="s">
        <v>16</v>
      </c>
      <c r="L59" s="11" t="s">
        <v>14</v>
      </c>
      <c r="M59" s="11" t="s">
        <v>15</v>
      </c>
      <c r="N59" s="11"/>
      <c r="O59" s="11" t="s">
        <v>178</v>
      </c>
      <c r="P59" s="11" t="s">
        <v>19</v>
      </c>
      <c r="Q59" s="11" t="s">
        <v>20</v>
      </c>
      <c r="R59" s="11" t="s">
        <v>21</v>
      </c>
    </row>
    <row r="60" spans="1:18" x14ac:dyDescent="0.45">
      <c r="A60" s="127" t="s">
        <v>9</v>
      </c>
      <c r="B60" s="81">
        <v>6510167001</v>
      </c>
      <c r="C60" s="81" t="s">
        <v>153</v>
      </c>
      <c r="D60" s="82">
        <v>450</v>
      </c>
      <c r="E60" s="82">
        <v>60</v>
      </c>
      <c r="F60" s="82">
        <f>(('BIOMETRIA HEMATICA'!$B$2)*0.2)+('BIOMETRIA HEMATICA'!$B$2)</f>
        <v>14640</v>
      </c>
      <c r="G60" s="82">
        <f>F60/D60</f>
        <v>32.533333333333331</v>
      </c>
      <c r="H60" s="82">
        <f>(360/E60)*'BIOMETRIA HEMATICA'!$B$10</f>
        <v>6</v>
      </c>
      <c r="I60" s="83">
        <f>IF(G60&gt;H60,G60,H60)</f>
        <v>32.533333333333331</v>
      </c>
      <c r="J60" s="83"/>
      <c r="K60" s="83">
        <f>ROUNDUP(I60,0)</f>
        <v>33</v>
      </c>
      <c r="L60" s="94">
        <v>121</v>
      </c>
      <c r="M60" s="94">
        <f>L60*K60</f>
        <v>3993</v>
      </c>
      <c r="N60" s="94"/>
      <c r="O60" s="99">
        <f>(SUM(M60:M69)/'BIOMETRIA HEMATICA'!B2)+M73</f>
        <v>3.3078639344262299</v>
      </c>
      <c r="P60" s="119">
        <f>((O60*0.15)+O60)</f>
        <v>3.8040435245901643</v>
      </c>
      <c r="Q60" s="119">
        <f>P60*'BIOMETRIA HEMATICA'!B59</f>
        <v>0</v>
      </c>
      <c r="R60" s="99">
        <f>O60*'BIOMETRIA HEMATICA'!B59</f>
        <v>0</v>
      </c>
    </row>
    <row r="61" spans="1:18" ht="21" x14ac:dyDescent="0.45">
      <c r="A61" s="128"/>
      <c r="B61" s="81">
        <v>3337006001</v>
      </c>
      <c r="C61" s="81" t="s">
        <v>154</v>
      </c>
      <c r="D61" s="82">
        <v>9450</v>
      </c>
      <c r="E61" s="82">
        <v>60</v>
      </c>
      <c r="F61" s="82">
        <f>(('BIOMETRIA HEMATICA'!$B$2)*0.2)+('BIOMETRIA HEMATICA'!$B$2)</f>
        <v>14640</v>
      </c>
      <c r="G61" s="82">
        <f t="shared" ref="G61:G69" si="15">F61/D61</f>
        <v>1.5492063492063493</v>
      </c>
      <c r="H61" s="82">
        <f>(360/E61)*'BIOMETRIA HEMATICA'!$B$10</f>
        <v>6</v>
      </c>
      <c r="I61" s="83">
        <f>IF(G61&gt;H61,G61,H61)</f>
        <v>6</v>
      </c>
      <c r="J61" s="83">
        <f>IF(N61&gt;N62,0,I61)</f>
        <v>0</v>
      </c>
      <c r="K61" s="108">
        <f>ROUNDUP(I61,0)</f>
        <v>6</v>
      </c>
      <c r="L61" s="94">
        <v>1107</v>
      </c>
      <c r="M61" s="94">
        <f t="shared" ref="M61:M69" si="16">L61*K61</f>
        <v>6642</v>
      </c>
      <c r="N61" s="105">
        <f>L61*K61</f>
        <v>6642</v>
      </c>
      <c r="O61" s="11" t="s">
        <v>179</v>
      </c>
      <c r="P61" s="11" t="s">
        <v>19</v>
      </c>
      <c r="Q61" s="11" t="s">
        <v>20</v>
      </c>
      <c r="R61" s="11" t="s">
        <v>21</v>
      </c>
    </row>
    <row r="62" spans="1:18" x14ac:dyDescent="0.45">
      <c r="A62" s="128"/>
      <c r="B62" s="84">
        <v>12215616001</v>
      </c>
      <c r="C62" s="85" t="s">
        <v>155</v>
      </c>
      <c r="D62" s="82">
        <v>850</v>
      </c>
      <c r="E62" s="82">
        <v>60</v>
      </c>
      <c r="F62" s="82">
        <f>(('BIOMETRIA HEMATICA'!$B$2)*0.2)+('BIOMETRIA HEMATICA'!$B$2)</f>
        <v>14640</v>
      </c>
      <c r="G62" s="82">
        <f t="shared" si="15"/>
        <v>17.223529411764705</v>
      </c>
      <c r="H62" s="82">
        <f>(360/E62)*'BIOMETRIA HEMATICA'!$B$10</f>
        <v>6</v>
      </c>
      <c r="I62" s="83">
        <f t="shared" ref="I62:I69" si="17">IF(G62&gt;H62,G62,H62)</f>
        <v>17.223529411764705</v>
      </c>
      <c r="J62" s="83">
        <f>IF(N62&gt;N61,0,I62)</f>
        <v>17.223529411764705</v>
      </c>
      <c r="K62" s="108">
        <f t="shared" ref="K62:K69" si="18">ROUNDUP(I62,0)</f>
        <v>18</v>
      </c>
      <c r="L62" s="94">
        <v>228.33</v>
      </c>
      <c r="M62" s="94">
        <f t="shared" si="16"/>
        <v>4109.9400000000005</v>
      </c>
      <c r="N62" s="105">
        <f>L62*K62</f>
        <v>4109.9400000000005</v>
      </c>
      <c r="O62" s="99">
        <f>(SUM(M60:M66)/'BIOMETRIA HEMATICA'!B2)+M73</f>
        <v>2.632372131147541</v>
      </c>
      <c r="P62" s="119">
        <f>((O62*0.15)+O62)</f>
        <v>3.0272279508196722</v>
      </c>
      <c r="Q62" s="119">
        <f>P62*'BIOMETRIA HEMATICA'!B59</f>
        <v>0</v>
      </c>
      <c r="R62" s="99">
        <f>O62*'BIOMETRIA HEMATICA'!B59</f>
        <v>0</v>
      </c>
    </row>
    <row r="63" spans="1:18" x14ac:dyDescent="0.45">
      <c r="A63" s="128"/>
      <c r="B63" s="81">
        <v>7837984001</v>
      </c>
      <c r="C63" s="81" t="s">
        <v>156</v>
      </c>
      <c r="D63" s="82">
        <v>2450</v>
      </c>
      <c r="E63" s="82">
        <v>90</v>
      </c>
      <c r="F63" s="82">
        <f>(('BIOMETRIA HEMATICA'!$B$2)*0.2)+('BIOMETRIA HEMATICA'!$B$2)</f>
        <v>14640</v>
      </c>
      <c r="G63" s="82">
        <f t="shared" si="15"/>
        <v>5.9755102040816324</v>
      </c>
      <c r="H63" s="82">
        <f>(360/E63)*'BIOMETRIA HEMATICA'!$B$10</f>
        <v>4</v>
      </c>
      <c r="I63" s="83">
        <f t="shared" si="17"/>
        <v>5.9755102040816324</v>
      </c>
      <c r="J63" s="83"/>
      <c r="K63" s="83">
        <f t="shared" si="18"/>
        <v>6</v>
      </c>
      <c r="L63" s="94">
        <v>176</v>
      </c>
      <c r="M63" s="94">
        <f t="shared" si="16"/>
        <v>1056</v>
      </c>
      <c r="N63" s="105"/>
    </row>
    <row r="64" spans="1:18" x14ac:dyDescent="0.45">
      <c r="A64" s="128"/>
      <c r="B64" s="81">
        <v>6510256001</v>
      </c>
      <c r="C64" s="81" t="s">
        <v>157</v>
      </c>
      <c r="D64" s="82">
        <v>3400</v>
      </c>
      <c r="E64" s="82">
        <v>180</v>
      </c>
      <c r="F64" s="82">
        <f>(('BIOMETRIA HEMATICA'!$B$2)*0.2)+('BIOMETRIA HEMATICA'!$B$2)</f>
        <v>14640</v>
      </c>
      <c r="G64" s="82">
        <f t="shared" si="15"/>
        <v>4.3058823529411763</v>
      </c>
      <c r="H64" s="82">
        <f>(360/E64)*'BIOMETRIA HEMATICA'!$B$10</f>
        <v>2</v>
      </c>
      <c r="I64" s="83">
        <f t="shared" si="17"/>
        <v>4.3058823529411763</v>
      </c>
      <c r="J64" s="83"/>
      <c r="K64" s="83">
        <f t="shared" si="18"/>
        <v>5</v>
      </c>
      <c r="L64" s="94">
        <v>862</v>
      </c>
      <c r="M64" s="94">
        <f t="shared" si="16"/>
        <v>4310</v>
      </c>
      <c r="N64" s="105"/>
    </row>
    <row r="65" spans="1:18" x14ac:dyDescent="0.45">
      <c r="A65" s="128"/>
      <c r="B65" s="81">
        <v>6952291001</v>
      </c>
      <c r="C65" s="81" t="s">
        <v>158</v>
      </c>
      <c r="D65" s="82">
        <f>(((F60/30)/12)*E65)</f>
        <v>6100</v>
      </c>
      <c r="E65" s="82">
        <v>150</v>
      </c>
      <c r="F65" s="82">
        <f>(('BIOMETRIA HEMATICA'!$B$2)*0.2)+('BIOMETRIA HEMATICA'!$B$2)</f>
        <v>14640</v>
      </c>
      <c r="G65" s="82">
        <f t="shared" si="15"/>
        <v>2.4</v>
      </c>
      <c r="H65" s="82">
        <f>(360/E65)*'BIOMETRIA HEMATICA'!$B$10</f>
        <v>2.4</v>
      </c>
      <c r="I65" s="83">
        <f t="shared" si="17"/>
        <v>2.4</v>
      </c>
      <c r="J65" s="83"/>
      <c r="K65" s="83">
        <f t="shared" si="18"/>
        <v>3</v>
      </c>
      <c r="L65" s="94">
        <v>52</v>
      </c>
      <c r="M65" s="94">
        <f t="shared" si="16"/>
        <v>156</v>
      </c>
      <c r="N65" s="105"/>
    </row>
    <row r="66" spans="1:18" ht="21" x14ac:dyDescent="0.45">
      <c r="A66" s="128"/>
      <c r="B66" s="86">
        <v>7051506001</v>
      </c>
      <c r="C66" s="81" t="s">
        <v>159</v>
      </c>
      <c r="D66" s="82">
        <f>(((F60/30)/12)*E66)</f>
        <v>2277.333333333333</v>
      </c>
      <c r="E66" s="82">
        <v>56</v>
      </c>
      <c r="F66" s="82">
        <f>(('BIOMETRIA HEMATICA'!$B$2)*0.2)+('BIOMETRIA HEMATICA'!$B$2)</f>
        <v>14640</v>
      </c>
      <c r="G66" s="82">
        <f t="shared" si="15"/>
        <v>6.4285714285714297</v>
      </c>
      <c r="H66" s="82">
        <f>(360/E66)*'BIOMETRIA HEMATICA'!$B$10</f>
        <v>6.4285714285714288</v>
      </c>
      <c r="I66" s="83">
        <f t="shared" si="17"/>
        <v>6.4285714285714288</v>
      </c>
      <c r="J66" s="83"/>
      <c r="K66" s="83">
        <f t="shared" si="18"/>
        <v>7</v>
      </c>
      <c r="L66" s="94">
        <v>544</v>
      </c>
      <c r="M66" s="94">
        <f t="shared" si="16"/>
        <v>3808</v>
      </c>
      <c r="N66" s="105"/>
    </row>
    <row r="67" spans="1:18" x14ac:dyDescent="0.45">
      <c r="A67" s="129" t="s">
        <v>160</v>
      </c>
      <c r="B67" s="87">
        <v>6510272001</v>
      </c>
      <c r="C67" s="88" t="s">
        <v>161</v>
      </c>
      <c r="D67" s="89">
        <v>650</v>
      </c>
      <c r="E67" s="89">
        <v>180</v>
      </c>
      <c r="F67" s="89">
        <f>(('BIOMETRIA HEMATICA'!$D$2)*0.2)+('BIOMETRIA HEMATICA'!$D$2)</f>
        <v>0</v>
      </c>
      <c r="G67" s="90">
        <f t="shared" si="15"/>
        <v>0</v>
      </c>
      <c r="H67" s="90">
        <f>(360/E67)*'BIOMETRIA HEMATICA'!$B$10</f>
        <v>2</v>
      </c>
      <c r="I67" s="92">
        <f t="shared" si="17"/>
        <v>2</v>
      </c>
      <c r="J67" s="115">
        <f t="shared" ref="J67:J68" si="19">IF(G67=0,0,G67)</f>
        <v>0</v>
      </c>
      <c r="K67" s="108">
        <f t="shared" si="18"/>
        <v>2</v>
      </c>
      <c r="L67" s="95">
        <v>1705</v>
      </c>
      <c r="M67" s="96">
        <f t="shared" si="16"/>
        <v>3410</v>
      </c>
      <c r="N67" s="106"/>
      <c r="O67" s="104"/>
      <c r="P67" s="104"/>
      <c r="Q67" s="104"/>
      <c r="R67" s="104"/>
    </row>
    <row r="68" spans="1:18" x14ac:dyDescent="0.45">
      <c r="A68" s="128"/>
      <c r="B68" s="87">
        <v>9426752001</v>
      </c>
      <c r="C68" s="88" t="s">
        <v>162</v>
      </c>
      <c r="D68" s="89">
        <v>450</v>
      </c>
      <c r="E68" s="89">
        <v>60</v>
      </c>
      <c r="F68" s="89">
        <f>(('BIOMETRIA HEMATICA'!$D$2)*0.2)+('BIOMETRIA HEMATICA'!$D$2)</f>
        <v>0</v>
      </c>
      <c r="G68" s="90">
        <f t="shared" si="15"/>
        <v>0</v>
      </c>
      <c r="H68" s="90">
        <f>(360/E68)*'BIOMETRIA HEMATICA'!$B$10</f>
        <v>6</v>
      </c>
      <c r="I68" s="92">
        <f t="shared" si="17"/>
        <v>6</v>
      </c>
      <c r="J68" s="115">
        <f t="shared" si="19"/>
        <v>0</v>
      </c>
      <c r="K68" s="108">
        <f t="shared" si="18"/>
        <v>6</v>
      </c>
      <c r="L68" s="95">
        <v>34</v>
      </c>
      <c r="M68" s="96">
        <f t="shared" si="16"/>
        <v>204</v>
      </c>
      <c r="N68" s="106"/>
      <c r="O68" s="35"/>
      <c r="P68" s="35"/>
      <c r="Q68" s="35"/>
      <c r="R68" s="35"/>
    </row>
    <row r="69" spans="1:18" ht="21" x14ac:dyDescent="0.45">
      <c r="A69" s="100" t="s">
        <v>163</v>
      </c>
      <c r="B69" s="101">
        <v>7051409001</v>
      </c>
      <c r="C69" s="101" t="s">
        <v>164</v>
      </c>
      <c r="D69" s="102">
        <f>(((F60/30)/12)*E69)</f>
        <v>2277.333333333333</v>
      </c>
      <c r="E69" s="102">
        <v>56</v>
      </c>
      <c r="F69" s="102">
        <f>(('BIOMETRIA HEMATICA'!$H$2)*0.2+('BIOMETRIA HEMATICA'!$H$2))</f>
        <v>0</v>
      </c>
      <c r="G69" s="91">
        <f t="shared" si="15"/>
        <v>0</v>
      </c>
      <c r="H69" s="91">
        <f>(360/E69)*'BIOMETRIA HEMATICA'!$B$10</f>
        <v>6.4285714285714288</v>
      </c>
      <c r="I69" s="93">
        <f t="shared" si="17"/>
        <v>6.4285714285714288</v>
      </c>
      <c r="J69" s="93">
        <f t="shared" ref="J69" si="20">IF(G48=0,0,G69)</f>
        <v>0</v>
      </c>
      <c r="K69" s="108">
        <f t="shared" si="18"/>
        <v>7</v>
      </c>
      <c r="L69" s="103">
        <v>661</v>
      </c>
      <c r="M69" s="97">
        <f t="shared" si="16"/>
        <v>4627</v>
      </c>
      <c r="N69" s="107"/>
      <c r="O69" s="104"/>
      <c r="P69" s="104"/>
      <c r="Q69" s="104"/>
      <c r="R69" s="104"/>
    </row>
    <row r="70" spans="1:18" x14ac:dyDescent="0.45">
      <c r="C70" s="18"/>
      <c r="D70" s="18"/>
      <c r="E70" s="18"/>
      <c r="F70" s="18"/>
      <c r="G70" s="18"/>
      <c r="H70" s="18"/>
      <c r="I70" s="18"/>
      <c r="J70" s="18"/>
      <c r="K70" s="18"/>
      <c r="L70" s="98"/>
      <c r="M70" s="98"/>
      <c r="N70" s="35"/>
      <c r="O70" s="35"/>
      <c r="P70" s="35"/>
      <c r="Q70" s="35"/>
      <c r="R70" s="35"/>
    </row>
    <row r="71" spans="1:18" x14ac:dyDescent="0.45">
      <c r="C71" s="26" t="s">
        <v>150</v>
      </c>
      <c r="D71" s="27"/>
      <c r="E71" s="27"/>
      <c r="F71" s="27"/>
      <c r="G71" s="28"/>
      <c r="H71" s="28"/>
      <c r="I71" s="18"/>
      <c r="J71" s="18"/>
      <c r="K71" s="130">
        <f>'BIOMETRIA HEMATICA'!B6</f>
        <v>12</v>
      </c>
      <c r="L71" s="29">
        <f>BC!F109</f>
        <v>1920</v>
      </c>
      <c r="M71" s="29">
        <f>(L71/K71)*K71</f>
        <v>1920</v>
      </c>
      <c r="N71" s="34"/>
    </row>
    <row r="72" spans="1:18" x14ac:dyDescent="0.45">
      <c r="C72" s="19" t="s">
        <v>24</v>
      </c>
      <c r="D72" s="27"/>
      <c r="E72" s="27"/>
      <c r="F72" s="27"/>
      <c r="G72" s="28"/>
      <c r="H72" s="28"/>
      <c r="I72" s="18"/>
      <c r="J72" s="18"/>
      <c r="K72" s="130"/>
      <c r="L72" s="29">
        <v>670</v>
      </c>
      <c r="M72" s="29">
        <f>(L72*K71)/(12)</f>
        <v>670</v>
      </c>
      <c r="N72" s="34"/>
    </row>
    <row r="73" spans="1:18" x14ac:dyDescent="0.45">
      <c r="C73" s="19" t="s">
        <v>0</v>
      </c>
      <c r="D73" s="18"/>
      <c r="E73" s="18"/>
      <c r="F73" s="18"/>
      <c r="G73" s="18"/>
      <c r="H73" s="18"/>
      <c r="I73" s="18"/>
      <c r="J73" s="18"/>
      <c r="K73" s="130"/>
      <c r="L73" s="29">
        <v>34287</v>
      </c>
      <c r="M73" s="29">
        <f>((((L72)*(K71))/'BIOMETRIA HEMATICA'!B2))</f>
        <v>0.65901639344262297</v>
      </c>
      <c r="N73" s="34"/>
    </row>
    <row r="77" spans="1:18" x14ac:dyDescent="0.45">
      <c r="A77" s="126" t="s">
        <v>172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</row>
    <row r="78" spans="1:18" ht="21" x14ac:dyDescent="0.45">
      <c r="A78" s="79" t="s">
        <v>1</v>
      </c>
      <c r="B78" s="79" t="s">
        <v>2</v>
      </c>
      <c r="C78" s="79" t="s">
        <v>3</v>
      </c>
      <c r="D78" s="79" t="s">
        <v>4</v>
      </c>
      <c r="E78" s="80" t="s">
        <v>5</v>
      </c>
      <c r="F78" s="80" t="s">
        <v>6</v>
      </c>
      <c r="G78" s="80" t="s">
        <v>7</v>
      </c>
      <c r="H78" s="80" t="s">
        <v>13</v>
      </c>
      <c r="I78" s="80" t="s">
        <v>8</v>
      </c>
      <c r="J78" s="80"/>
      <c r="K78" s="11" t="s">
        <v>16</v>
      </c>
      <c r="L78" s="11" t="s">
        <v>14</v>
      </c>
      <c r="M78" s="11" t="s">
        <v>15</v>
      </c>
      <c r="N78" s="11"/>
      <c r="O78" s="11" t="s">
        <v>178</v>
      </c>
      <c r="P78" s="11" t="s">
        <v>19</v>
      </c>
      <c r="Q78" s="11" t="s">
        <v>20</v>
      </c>
      <c r="R78" s="11" t="s">
        <v>21</v>
      </c>
    </row>
    <row r="79" spans="1:18" x14ac:dyDescent="0.45">
      <c r="A79" s="127" t="s">
        <v>9</v>
      </c>
      <c r="B79" s="81">
        <v>6510167001</v>
      </c>
      <c r="C79" s="81" t="s">
        <v>153</v>
      </c>
      <c r="D79" s="82">
        <v>450</v>
      </c>
      <c r="E79" s="82">
        <v>60</v>
      </c>
      <c r="F79" s="82">
        <f>(('BIOMETRIA HEMATICA'!$B$2)*0.2)+('BIOMETRIA HEMATICA'!$B$2)</f>
        <v>14640</v>
      </c>
      <c r="G79" s="82">
        <f>F79/D79</f>
        <v>32.533333333333331</v>
      </c>
      <c r="H79" s="82">
        <f>(360/E79)*'BIOMETRIA HEMATICA'!$B$10</f>
        <v>6</v>
      </c>
      <c r="I79" s="83">
        <f>IF(G79&gt;H79,G79,H79)</f>
        <v>32.533333333333331</v>
      </c>
      <c r="J79" s="83"/>
      <c r="K79" s="83">
        <f>ROUNDUP(I79,0)</f>
        <v>33</v>
      </c>
      <c r="L79" s="94">
        <v>121</v>
      </c>
      <c r="M79" s="94">
        <f>L79*K79</f>
        <v>3993</v>
      </c>
      <c r="N79" s="94"/>
      <c r="O79" s="99">
        <f>(SUM(M79:M88)/'BIOMETRIA HEMATICA'!B2)+M92</f>
        <v>3.253765573770492</v>
      </c>
      <c r="P79" s="119">
        <f>((O79*0.15)+O79)</f>
        <v>3.7418304098360657</v>
      </c>
      <c r="Q79" s="119">
        <f>P79*'BIOMETRIA HEMATICA'!B78</f>
        <v>0</v>
      </c>
      <c r="R79" s="99">
        <f>O79*'BIOMETRIA HEMATICA'!B78</f>
        <v>0</v>
      </c>
    </row>
    <row r="80" spans="1:18" ht="21" x14ac:dyDescent="0.45">
      <c r="A80" s="128"/>
      <c r="B80" s="81">
        <v>3337006001</v>
      </c>
      <c r="C80" s="81" t="s">
        <v>154</v>
      </c>
      <c r="D80" s="82">
        <v>9450</v>
      </c>
      <c r="E80" s="82">
        <v>60</v>
      </c>
      <c r="F80" s="82">
        <f>(('BIOMETRIA HEMATICA'!$B$2)*0.2)+('BIOMETRIA HEMATICA'!$B$2)</f>
        <v>14640</v>
      </c>
      <c r="G80" s="82">
        <f t="shared" ref="G80:G88" si="21">F80/D80</f>
        <v>1.5492063492063493</v>
      </c>
      <c r="H80" s="82">
        <f>(360/E80)*'BIOMETRIA HEMATICA'!$B$10</f>
        <v>6</v>
      </c>
      <c r="I80" s="83">
        <f>IF(G80&gt;H80,G80,H80)</f>
        <v>6</v>
      </c>
      <c r="J80" s="83">
        <f>IF(N80&gt;N81,0,I80)</f>
        <v>0</v>
      </c>
      <c r="K80" s="108">
        <f>ROUNDUP(I80,0)</f>
        <v>6</v>
      </c>
      <c r="L80" s="94">
        <v>1107</v>
      </c>
      <c r="M80" s="94">
        <f t="shared" ref="M80:M88" si="22">L80*K80</f>
        <v>6642</v>
      </c>
      <c r="N80" s="105">
        <f>L80*K80</f>
        <v>6642</v>
      </c>
      <c r="O80" s="11" t="s">
        <v>179</v>
      </c>
      <c r="P80" s="11" t="s">
        <v>19</v>
      </c>
      <c r="Q80" s="11" t="s">
        <v>20</v>
      </c>
      <c r="R80" s="11" t="s">
        <v>21</v>
      </c>
    </row>
    <row r="81" spans="1:18" x14ac:dyDescent="0.45">
      <c r="A81" s="128"/>
      <c r="B81" s="84">
        <v>12215616001</v>
      </c>
      <c r="C81" s="85" t="s">
        <v>155</v>
      </c>
      <c r="D81" s="82">
        <v>850</v>
      </c>
      <c r="E81" s="82">
        <v>60</v>
      </c>
      <c r="F81" s="82">
        <f>(('BIOMETRIA HEMATICA'!$B$2)*0.2)+('BIOMETRIA HEMATICA'!$B$2)</f>
        <v>14640</v>
      </c>
      <c r="G81" s="82">
        <f t="shared" si="21"/>
        <v>17.223529411764705</v>
      </c>
      <c r="H81" s="82">
        <f>(360/E81)*'BIOMETRIA HEMATICA'!$B$10</f>
        <v>6</v>
      </c>
      <c r="I81" s="83">
        <f t="shared" ref="I81:I88" si="23">IF(G81&gt;H81,G81,H81)</f>
        <v>17.223529411764705</v>
      </c>
      <c r="J81" s="83">
        <f>IF(N81&gt;N80,0,I81)</f>
        <v>17.223529411764705</v>
      </c>
      <c r="K81" s="108">
        <f t="shared" ref="K81:K88" si="24">ROUNDUP(I81,0)</f>
        <v>18</v>
      </c>
      <c r="L81" s="94">
        <v>228.33</v>
      </c>
      <c r="M81" s="94">
        <f t="shared" si="22"/>
        <v>4109.9400000000005</v>
      </c>
      <c r="N81" s="105">
        <f>L81*K81</f>
        <v>4109.9400000000005</v>
      </c>
      <c r="O81" s="99">
        <f>(SUM(M79:M85)/'BIOMETRIA HEMATICA'!B2)+M92</f>
        <v>2.5782737704918035</v>
      </c>
      <c r="P81" s="119">
        <f>((O81*0.15)+O81)</f>
        <v>2.9650148360655741</v>
      </c>
      <c r="Q81" s="119">
        <f>P81*'BIOMETRIA HEMATICA'!B78</f>
        <v>0</v>
      </c>
      <c r="R81" s="99">
        <f>O81*'BIOMETRIA HEMATICA'!B78</f>
        <v>0</v>
      </c>
    </row>
    <row r="82" spans="1:18" x14ac:dyDescent="0.45">
      <c r="A82" s="128"/>
      <c r="B82" s="81">
        <v>7837984001</v>
      </c>
      <c r="C82" s="81" t="s">
        <v>156</v>
      </c>
      <c r="D82" s="82">
        <v>2450</v>
      </c>
      <c r="E82" s="82">
        <v>90</v>
      </c>
      <c r="F82" s="82">
        <f>(('BIOMETRIA HEMATICA'!$B$2)*0.2)+('BIOMETRIA HEMATICA'!$B$2)</f>
        <v>14640</v>
      </c>
      <c r="G82" s="82">
        <f t="shared" si="21"/>
        <v>5.9755102040816324</v>
      </c>
      <c r="H82" s="82">
        <f>(360/E82)*'BIOMETRIA HEMATICA'!$B$10</f>
        <v>4</v>
      </c>
      <c r="I82" s="83">
        <f t="shared" si="23"/>
        <v>5.9755102040816324</v>
      </c>
      <c r="J82" s="83"/>
      <c r="K82" s="83">
        <f t="shared" si="24"/>
        <v>6</v>
      </c>
      <c r="L82" s="94">
        <v>176</v>
      </c>
      <c r="M82" s="94">
        <f t="shared" si="22"/>
        <v>1056</v>
      </c>
      <c r="N82" s="105"/>
    </row>
    <row r="83" spans="1:18" x14ac:dyDescent="0.45">
      <c r="A83" s="128"/>
      <c r="B83" s="81">
        <v>6510256001</v>
      </c>
      <c r="C83" s="81" t="s">
        <v>157</v>
      </c>
      <c r="D83" s="82">
        <v>3400</v>
      </c>
      <c r="E83" s="82">
        <v>180</v>
      </c>
      <c r="F83" s="82">
        <f>(('BIOMETRIA HEMATICA'!$B$2)*0.2)+('BIOMETRIA HEMATICA'!$B$2)</f>
        <v>14640</v>
      </c>
      <c r="G83" s="82">
        <f t="shared" si="21"/>
        <v>4.3058823529411763</v>
      </c>
      <c r="H83" s="82">
        <f>(360/E83)*'BIOMETRIA HEMATICA'!$B$10</f>
        <v>2</v>
      </c>
      <c r="I83" s="83">
        <f t="shared" si="23"/>
        <v>4.3058823529411763</v>
      </c>
      <c r="J83" s="83"/>
      <c r="K83" s="83">
        <f t="shared" si="24"/>
        <v>5</v>
      </c>
      <c r="L83" s="94">
        <v>862</v>
      </c>
      <c r="M83" s="94">
        <f t="shared" si="22"/>
        <v>4310</v>
      </c>
      <c r="N83" s="105"/>
    </row>
    <row r="84" spans="1:18" x14ac:dyDescent="0.45">
      <c r="A84" s="128"/>
      <c r="B84" s="81">
        <v>6952291001</v>
      </c>
      <c r="C84" s="81" t="s">
        <v>158</v>
      </c>
      <c r="D84" s="82">
        <f>(((F79/30)/12)*E84)</f>
        <v>6100</v>
      </c>
      <c r="E84" s="82">
        <v>150</v>
      </c>
      <c r="F84" s="82">
        <f>(('BIOMETRIA HEMATICA'!$B$2)*0.2)+('BIOMETRIA HEMATICA'!$B$2)</f>
        <v>14640</v>
      </c>
      <c r="G84" s="82">
        <f t="shared" si="21"/>
        <v>2.4</v>
      </c>
      <c r="H84" s="82">
        <f>(360/E84)*'BIOMETRIA HEMATICA'!$B$10</f>
        <v>2.4</v>
      </c>
      <c r="I84" s="83">
        <f t="shared" si="23"/>
        <v>2.4</v>
      </c>
      <c r="J84" s="83"/>
      <c r="K84" s="83">
        <f t="shared" si="24"/>
        <v>3</v>
      </c>
      <c r="L84" s="94">
        <v>52</v>
      </c>
      <c r="M84" s="94">
        <f t="shared" si="22"/>
        <v>156</v>
      </c>
      <c r="N84" s="105"/>
    </row>
    <row r="85" spans="1:18" ht="21" x14ac:dyDescent="0.45">
      <c r="A85" s="128"/>
      <c r="B85" s="86">
        <v>7051506001</v>
      </c>
      <c r="C85" s="81" t="s">
        <v>159</v>
      </c>
      <c r="D85" s="82">
        <f>(((F79/30)/12)*E85)</f>
        <v>2277.333333333333</v>
      </c>
      <c r="E85" s="82">
        <v>56</v>
      </c>
      <c r="F85" s="82">
        <f>(('BIOMETRIA HEMATICA'!$B$2)*0.2)+('BIOMETRIA HEMATICA'!$B$2)</f>
        <v>14640</v>
      </c>
      <c r="G85" s="82">
        <f t="shared" si="21"/>
        <v>6.4285714285714297</v>
      </c>
      <c r="H85" s="82">
        <f>(360/E85)*'BIOMETRIA HEMATICA'!$B$10</f>
        <v>6.4285714285714288</v>
      </c>
      <c r="I85" s="83">
        <f t="shared" si="23"/>
        <v>6.4285714285714288</v>
      </c>
      <c r="J85" s="83"/>
      <c r="K85" s="83">
        <f t="shared" si="24"/>
        <v>7</v>
      </c>
      <c r="L85" s="94">
        <v>544</v>
      </c>
      <c r="M85" s="94">
        <f t="shared" si="22"/>
        <v>3808</v>
      </c>
      <c r="N85" s="105"/>
    </row>
    <row r="86" spans="1:18" x14ac:dyDescent="0.45">
      <c r="A86" s="129" t="s">
        <v>160</v>
      </c>
      <c r="B86" s="87">
        <v>6510272001</v>
      </c>
      <c r="C86" s="88" t="s">
        <v>161</v>
      </c>
      <c r="D86" s="89">
        <v>650</v>
      </c>
      <c r="E86" s="89">
        <v>180</v>
      </c>
      <c r="F86" s="89">
        <f>(('BIOMETRIA HEMATICA'!$D$2)*0.2)+('BIOMETRIA HEMATICA'!$D$2)</f>
        <v>0</v>
      </c>
      <c r="G86" s="90">
        <f t="shared" si="21"/>
        <v>0</v>
      </c>
      <c r="H86" s="90">
        <f>(360/E86)*'BIOMETRIA HEMATICA'!$B$10</f>
        <v>2</v>
      </c>
      <c r="I86" s="92">
        <f t="shared" si="23"/>
        <v>2</v>
      </c>
      <c r="J86" s="115">
        <f t="shared" ref="J86:J87" si="25">IF(G86=0,0,G86)</f>
        <v>0</v>
      </c>
      <c r="K86" s="108">
        <f t="shared" si="24"/>
        <v>2</v>
      </c>
      <c r="L86" s="95">
        <v>1705</v>
      </c>
      <c r="M86" s="96">
        <f t="shared" si="22"/>
        <v>3410</v>
      </c>
      <c r="N86" s="106"/>
      <c r="O86" s="104"/>
      <c r="P86" s="104"/>
      <c r="Q86" s="104"/>
      <c r="R86" s="104"/>
    </row>
    <row r="87" spans="1:18" x14ac:dyDescent="0.45">
      <c r="A87" s="128"/>
      <c r="B87" s="87">
        <v>9426752001</v>
      </c>
      <c r="C87" s="88" t="s">
        <v>162</v>
      </c>
      <c r="D87" s="89">
        <v>450</v>
      </c>
      <c r="E87" s="89">
        <v>60</v>
      </c>
      <c r="F87" s="89">
        <f>(('BIOMETRIA HEMATICA'!$D$2)*0.2)+('BIOMETRIA HEMATICA'!$D$2)</f>
        <v>0</v>
      </c>
      <c r="G87" s="90">
        <f t="shared" si="21"/>
        <v>0</v>
      </c>
      <c r="H87" s="90">
        <f>(360/E87)*'BIOMETRIA HEMATICA'!$B$10</f>
        <v>6</v>
      </c>
      <c r="I87" s="92">
        <f t="shared" si="23"/>
        <v>6</v>
      </c>
      <c r="J87" s="115">
        <f t="shared" si="25"/>
        <v>0</v>
      </c>
      <c r="K87" s="108">
        <f t="shared" si="24"/>
        <v>6</v>
      </c>
      <c r="L87" s="95">
        <v>34</v>
      </c>
      <c r="M87" s="96">
        <f t="shared" si="22"/>
        <v>204</v>
      </c>
      <c r="N87" s="106"/>
      <c r="O87" s="35"/>
      <c r="P87" s="35"/>
      <c r="Q87" s="35"/>
      <c r="R87" s="35"/>
    </row>
    <row r="88" spans="1:18" ht="21" x14ac:dyDescent="0.45">
      <c r="A88" s="100" t="s">
        <v>163</v>
      </c>
      <c r="B88" s="101">
        <v>7051409001</v>
      </c>
      <c r="C88" s="101" t="s">
        <v>164</v>
      </c>
      <c r="D88" s="102">
        <f>(((F79/30)/12)*E88)</f>
        <v>2277.333333333333</v>
      </c>
      <c r="E88" s="102">
        <v>56</v>
      </c>
      <c r="F88" s="102">
        <f>(('BIOMETRIA HEMATICA'!$H$2)*0.2)+('BIOMETRIA HEMATICA'!$H$2)</f>
        <v>0</v>
      </c>
      <c r="G88" s="91">
        <f t="shared" si="21"/>
        <v>0</v>
      </c>
      <c r="H88" s="91">
        <f>(360/E88)*'BIOMETRIA HEMATICA'!$B$10</f>
        <v>6.4285714285714288</v>
      </c>
      <c r="I88" s="93">
        <f t="shared" si="23"/>
        <v>6.4285714285714288</v>
      </c>
      <c r="J88" s="93">
        <f t="shared" ref="J88" si="26">IF(G67=0,0,G88)</f>
        <v>0</v>
      </c>
      <c r="K88" s="108">
        <f t="shared" si="24"/>
        <v>7</v>
      </c>
      <c r="L88" s="103">
        <v>661</v>
      </c>
      <c r="M88" s="97">
        <f t="shared" si="22"/>
        <v>4627</v>
      </c>
      <c r="N88" s="107"/>
      <c r="O88" s="104"/>
      <c r="P88" s="104"/>
      <c r="Q88" s="104"/>
      <c r="R88" s="104"/>
    </row>
    <row r="89" spans="1:18" x14ac:dyDescent="0.45">
      <c r="C89" s="18"/>
      <c r="D89" s="18"/>
      <c r="E89" s="18"/>
      <c r="F89" s="18"/>
      <c r="G89" s="18"/>
      <c r="H89" s="18"/>
      <c r="I89" s="18"/>
      <c r="J89" s="18"/>
      <c r="K89" s="18"/>
      <c r="L89" s="98"/>
      <c r="M89" s="98"/>
      <c r="N89" s="35"/>
      <c r="O89" s="35"/>
      <c r="P89" s="35"/>
      <c r="Q89" s="35"/>
      <c r="R89" s="35"/>
    </row>
    <row r="90" spans="1:18" x14ac:dyDescent="0.45">
      <c r="C90" s="26" t="s">
        <v>150</v>
      </c>
      <c r="D90" s="27"/>
      <c r="E90" s="27"/>
      <c r="F90" s="27"/>
      <c r="G90" s="28"/>
      <c r="H90" s="28"/>
      <c r="I90" s="18"/>
      <c r="J90" s="18"/>
      <c r="K90" s="130">
        <f>'BIOMETRIA HEMATICA'!B6</f>
        <v>12</v>
      </c>
      <c r="L90" s="29">
        <f>BC!F109</f>
        <v>1920</v>
      </c>
      <c r="M90" s="29">
        <f>(L90/K90)*K90</f>
        <v>1920</v>
      </c>
      <c r="N90" s="34"/>
    </row>
    <row r="91" spans="1:18" x14ac:dyDescent="0.45">
      <c r="C91" s="19" t="s">
        <v>24</v>
      </c>
      <c r="D91" s="27"/>
      <c r="E91" s="27"/>
      <c r="F91" s="27"/>
      <c r="G91" s="28"/>
      <c r="H91" s="28"/>
      <c r="I91" s="18"/>
      <c r="J91" s="18"/>
      <c r="K91" s="130"/>
      <c r="L91" s="29">
        <v>615</v>
      </c>
      <c r="M91" s="29">
        <f>(L91*K90)/(12)</f>
        <v>615</v>
      </c>
      <c r="N91" s="34"/>
    </row>
    <row r="92" spans="1:18" x14ac:dyDescent="0.45">
      <c r="C92" s="19" t="s">
        <v>0</v>
      </c>
      <c r="D92" s="18"/>
      <c r="E92" s="18"/>
      <c r="F92" s="18"/>
      <c r="G92" s="18"/>
      <c r="H92" s="18"/>
      <c r="I92" s="18"/>
      <c r="J92" s="18"/>
      <c r="K92" s="130"/>
      <c r="L92" s="29">
        <v>28941</v>
      </c>
      <c r="M92" s="29">
        <f>((((L91)*(K90))/'BIOMETRIA HEMATICA'!B2))</f>
        <v>0.60491803278688527</v>
      </c>
      <c r="N92" s="34"/>
    </row>
    <row r="96" spans="1:18" x14ac:dyDescent="0.45">
      <c r="A96" s="126" t="s">
        <v>173</v>
      </c>
      <c r="B96" s="126"/>
      <c r="C96" s="126"/>
      <c r="D96" s="126"/>
      <c r="E96" s="126"/>
      <c r="F96" s="126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</row>
    <row r="97" spans="1:18" ht="21" x14ac:dyDescent="0.45">
      <c r="A97" s="79" t="s">
        <v>1</v>
      </c>
      <c r="B97" s="79" t="s">
        <v>2</v>
      </c>
      <c r="C97" s="79" t="s">
        <v>3</v>
      </c>
      <c r="D97" s="79" t="s">
        <v>4</v>
      </c>
      <c r="E97" s="80" t="s">
        <v>5</v>
      </c>
      <c r="F97" s="80" t="s">
        <v>6</v>
      </c>
      <c r="G97" s="80" t="s">
        <v>7</v>
      </c>
      <c r="H97" s="80" t="s">
        <v>13</v>
      </c>
      <c r="I97" s="80" t="s">
        <v>8</v>
      </c>
      <c r="J97" s="80"/>
      <c r="K97" s="11" t="s">
        <v>16</v>
      </c>
      <c r="L97" s="11" t="s">
        <v>14</v>
      </c>
      <c r="M97" s="11" t="s">
        <v>15</v>
      </c>
      <c r="N97" s="11"/>
      <c r="O97" s="11" t="s">
        <v>178</v>
      </c>
      <c r="P97" s="11" t="s">
        <v>19</v>
      </c>
      <c r="Q97" s="11" t="s">
        <v>20</v>
      </c>
      <c r="R97" s="11" t="s">
        <v>21</v>
      </c>
    </row>
    <row r="98" spans="1:18" x14ac:dyDescent="0.45">
      <c r="A98" s="127" t="s">
        <v>9</v>
      </c>
      <c r="B98" s="81">
        <v>6510167001</v>
      </c>
      <c r="C98" s="81" t="s">
        <v>153</v>
      </c>
      <c r="D98" s="82">
        <v>450</v>
      </c>
      <c r="E98" s="82">
        <v>60</v>
      </c>
      <c r="F98" s="82">
        <f>(('BIOMETRIA HEMATICA'!$B$2)*0.2)+('BIOMETRIA HEMATICA'!$B$2)</f>
        <v>14640</v>
      </c>
      <c r="G98" s="82">
        <f>F98/D98</f>
        <v>32.533333333333331</v>
      </c>
      <c r="H98" s="82">
        <f>(360/E98)*'BIOMETRIA HEMATICA'!$B$10</f>
        <v>6</v>
      </c>
      <c r="I98" s="83">
        <f>IF(G98&gt;H98,G98,H98)</f>
        <v>32.533333333333331</v>
      </c>
      <c r="J98" s="83"/>
      <c r="K98" s="83">
        <f>ROUNDUP(I98,0)</f>
        <v>33</v>
      </c>
      <c r="L98" s="94">
        <v>121</v>
      </c>
      <c r="M98" s="94">
        <f>L98*K98</f>
        <v>3993</v>
      </c>
      <c r="N98" s="94"/>
      <c r="O98" s="99">
        <f>(SUM(M98:M107)/'BIOMETRIA HEMATICA'!B2)+M111</f>
        <v>3.3472081967213114</v>
      </c>
      <c r="P98" s="119">
        <f>((O98*0.15)+O98)</f>
        <v>3.8492894262295083</v>
      </c>
      <c r="Q98" s="119">
        <f>P98*'BIOMETRIA HEMATICA'!B97</f>
        <v>0</v>
      </c>
      <c r="R98" s="99">
        <f>O98*'BIOMETRIA HEMATICA'!B97</f>
        <v>0</v>
      </c>
    </row>
    <row r="99" spans="1:18" ht="21" x14ac:dyDescent="0.45">
      <c r="A99" s="128"/>
      <c r="B99" s="81">
        <v>3337006001</v>
      </c>
      <c r="C99" s="81" t="s">
        <v>154</v>
      </c>
      <c r="D99" s="82">
        <v>9450</v>
      </c>
      <c r="E99" s="82">
        <v>60</v>
      </c>
      <c r="F99" s="82">
        <f>(('BIOMETRIA HEMATICA'!$B$2)*0.2)+('BIOMETRIA HEMATICA'!$B$2)</f>
        <v>14640</v>
      </c>
      <c r="G99" s="82">
        <f t="shared" ref="G99:G107" si="27">F99/D99</f>
        <v>1.5492063492063493</v>
      </c>
      <c r="H99" s="82">
        <f>(360/E99)*'BIOMETRIA HEMATICA'!$B$10</f>
        <v>6</v>
      </c>
      <c r="I99" s="83">
        <f>IF(G99&gt;H99,G99,H99)</f>
        <v>6</v>
      </c>
      <c r="J99" s="83">
        <f>IF(N99&gt;N100,0,I99)</f>
        <v>0</v>
      </c>
      <c r="K99" s="108">
        <f>ROUNDUP(I99,0)</f>
        <v>6</v>
      </c>
      <c r="L99" s="94">
        <v>1107</v>
      </c>
      <c r="M99" s="94">
        <f t="shared" ref="M99:M107" si="28">L99*K99</f>
        <v>6642</v>
      </c>
      <c r="N99" s="105">
        <f>L99*K99</f>
        <v>6642</v>
      </c>
      <c r="O99" s="11" t="s">
        <v>179</v>
      </c>
      <c r="P99" s="11" t="s">
        <v>19</v>
      </c>
      <c r="Q99" s="11" t="s">
        <v>20</v>
      </c>
      <c r="R99" s="11" t="s">
        <v>21</v>
      </c>
    </row>
    <row r="100" spans="1:18" x14ac:dyDescent="0.45">
      <c r="A100" s="128"/>
      <c r="B100" s="84">
        <v>12215616001</v>
      </c>
      <c r="C100" s="85" t="s">
        <v>155</v>
      </c>
      <c r="D100" s="82">
        <v>850</v>
      </c>
      <c r="E100" s="82">
        <v>60</v>
      </c>
      <c r="F100" s="82">
        <f>(('BIOMETRIA HEMATICA'!$B$2)*0.2)+('BIOMETRIA HEMATICA'!$B$2)</f>
        <v>14640</v>
      </c>
      <c r="G100" s="82">
        <f t="shared" si="27"/>
        <v>17.223529411764705</v>
      </c>
      <c r="H100" s="82">
        <f>(360/E100)*'BIOMETRIA HEMATICA'!$B$10</f>
        <v>6</v>
      </c>
      <c r="I100" s="83">
        <f t="shared" ref="I100:I107" si="29">IF(G100&gt;H100,G100,H100)</f>
        <v>17.223529411764705</v>
      </c>
      <c r="J100" s="83">
        <f>IF(N100&gt;N99,0,I100)</f>
        <v>17.223529411764705</v>
      </c>
      <c r="K100" s="108">
        <f t="shared" ref="K100:K107" si="30">ROUNDUP(I100,0)</f>
        <v>18</v>
      </c>
      <c r="L100" s="94">
        <v>228.33</v>
      </c>
      <c r="M100" s="94">
        <f t="shared" si="28"/>
        <v>4109.9400000000005</v>
      </c>
      <c r="N100" s="105">
        <f>L100*K100</f>
        <v>4109.9400000000005</v>
      </c>
      <c r="O100" s="99">
        <f>(SUM(M98:M104)/'BIOMETRIA HEMATICA'!B2)+M111</f>
        <v>2.6717163934426233</v>
      </c>
      <c r="P100" s="119">
        <f>((O100*0.15)+O100)</f>
        <v>3.0724738524590167</v>
      </c>
      <c r="Q100" s="119">
        <f>P100*'BIOMETRIA HEMATICA'!B97</f>
        <v>0</v>
      </c>
      <c r="R100" s="99">
        <f>O100*'BIOMETRIA HEMATICA'!B97</f>
        <v>0</v>
      </c>
    </row>
    <row r="101" spans="1:18" x14ac:dyDescent="0.45">
      <c r="A101" s="128"/>
      <c r="B101" s="81">
        <v>7837984001</v>
      </c>
      <c r="C101" s="81" t="s">
        <v>156</v>
      </c>
      <c r="D101" s="82">
        <v>2450</v>
      </c>
      <c r="E101" s="82">
        <v>90</v>
      </c>
      <c r="F101" s="82">
        <f>(('BIOMETRIA HEMATICA'!$B$2)*0.2)+('BIOMETRIA HEMATICA'!$B$2)</f>
        <v>14640</v>
      </c>
      <c r="G101" s="82">
        <f t="shared" si="27"/>
        <v>5.9755102040816324</v>
      </c>
      <c r="H101" s="82">
        <f>(360/E101)*'BIOMETRIA HEMATICA'!$B$10</f>
        <v>4</v>
      </c>
      <c r="I101" s="83">
        <f t="shared" si="29"/>
        <v>5.9755102040816324</v>
      </c>
      <c r="J101" s="83"/>
      <c r="K101" s="83">
        <f t="shared" si="30"/>
        <v>6</v>
      </c>
      <c r="L101" s="94">
        <v>176</v>
      </c>
      <c r="M101" s="94">
        <f t="shared" si="28"/>
        <v>1056</v>
      </c>
      <c r="N101" s="105"/>
    </row>
    <row r="102" spans="1:18" x14ac:dyDescent="0.45">
      <c r="A102" s="128"/>
      <c r="B102" s="81">
        <v>6510256001</v>
      </c>
      <c r="C102" s="81" t="s">
        <v>157</v>
      </c>
      <c r="D102" s="82">
        <v>3400</v>
      </c>
      <c r="E102" s="82">
        <v>180</v>
      </c>
      <c r="F102" s="82">
        <f>(('BIOMETRIA HEMATICA'!$B$2)*0.2)+('BIOMETRIA HEMATICA'!$B$2)</f>
        <v>14640</v>
      </c>
      <c r="G102" s="82">
        <f t="shared" si="27"/>
        <v>4.3058823529411763</v>
      </c>
      <c r="H102" s="82">
        <f>(360/E102)*'BIOMETRIA HEMATICA'!$B$10</f>
        <v>2</v>
      </c>
      <c r="I102" s="83">
        <f t="shared" si="29"/>
        <v>4.3058823529411763</v>
      </c>
      <c r="J102" s="83"/>
      <c r="K102" s="83">
        <f t="shared" si="30"/>
        <v>5</v>
      </c>
      <c r="L102" s="94">
        <v>862</v>
      </c>
      <c r="M102" s="94">
        <f t="shared" si="28"/>
        <v>4310</v>
      </c>
      <c r="N102" s="105"/>
    </row>
    <row r="103" spans="1:18" x14ac:dyDescent="0.45">
      <c r="A103" s="128"/>
      <c r="B103" s="81">
        <v>6952291001</v>
      </c>
      <c r="C103" s="81" t="s">
        <v>158</v>
      </c>
      <c r="D103" s="82">
        <f>(((F98/30)/12)*E103)</f>
        <v>6100</v>
      </c>
      <c r="E103" s="82">
        <v>150</v>
      </c>
      <c r="F103" s="82">
        <f>(('BIOMETRIA HEMATICA'!$B$2)*0.2)+('BIOMETRIA HEMATICA'!$B$2)</f>
        <v>14640</v>
      </c>
      <c r="G103" s="82">
        <f t="shared" si="27"/>
        <v>2.4</v>
      </c>
      <c r="H103" s="82">
        <f>(360/E103)*'BIOMETRIA HEMATICA'!$B$10</f>
        <v>2.4</v>
      </c>
      <c r="I103" s="83">
        <f t="shared" si="29"/>
        <v>2.4</v>
      </c>
      <c r="J103" s="83"/>
      <c r="K103" s="83">
        <f t="shared" si="30"/>
        <v>3</v>
      </c>
      <c r="L103" s="94">
        <v>52</v>
      </c>
      <c r="M103" s="94">
        <f t="shared" si="28"/>
        <v>156</v>
      </c>
      <c r="N103" s="105"/>
    </row>
    <row r="104" spans="1:18" ht="21" x14ac:dyDescent="0.45">
      <c r="A104" s="128"/>
      <c r="B104" s="86">
        <v>7051506001</v>
      </c>
      <c r="C104" s="81" t="s">
        <v>159</v>
      </c>
      <c r="D104" s="82">
        <f>(((F98/30)/12)*E104)</f>
        <v>2277.333333333333</v>
      </c>
      <c r="E104" s="82">
        <v>56</v>
      </c>
      <c r="F104" s="82">
        <f>(('BIOMETRIA HEMATICA'!$B$2)*0.2)+('BIOMETRIA HEMATICA'!$B$2)</f>
        <v>14640</v>
      </c>
      <c r="G104" s="82">
        <f t="shared" si="27"/>
        <v>6.4285714285714297</v>
      </c>
      <c r="H104" s="82">
        <f>(360/E104)*'BIOMETRIA HEMATICA'!$B$10</f>
        <v>6.4285714285714288</v>
      </c>
      <c r="I104" s="83">
        <f t="shared" si="29"/>
        <v>6.4285714285714288</v>
      </c>
      <c r="J104" s="83"/>
      <c r="K104" s="83">
        <f t="shared" si="30"/>
        <v>7</v>
      </c>
      <c r="L104" s="94">
        <v>544</v>
      </c>
      <c r="M104" s="94">
        <f t="shared" si="28"/>
        <v>3808</v>
      </c>
      <c r="N104" s="105"/>
    </row>
    <row r="105" spans="1:18" x14ac:dyDescent="0.45">
      <c r="A105" s="129" t="s">
        <v>160</v>
      </c>
      <c r="B105" s="87">
        <v>6510272001</v>
      </c>
      <c r="C105" s="88" t="s">
        <v>161</v>
      </c>
      <c r="D105" s="89">
        <v>650</v>
      </c>
      <c r="E105" s="89">
        <v>180</v>
      </c>
      <c r="F105" s="89">
        <f>(('BIOMETRIA HEMATICA'!$D$2)*0.2)+('BIOMETRIA HEMATICA'!$D$2)</f>
        <v>0</v>
      </c>
      <c r="G105" s="90">
        <f t="shared" si="27"/>
        <v>0</v>
      </c>
      <c r="H105" s="90">
        <f>(360/E105)*'BIOMETRIA HEMATICA'!$B$10</f>
        <v>2</v>
      </c>
      <c r="I105" s="92">
        <f t="shared" si="29"/>
        <v>2</v>
      </c>
      <c r="J105" s="115">
        <f t="shared" ref="J105:J106" si="31">IF(G105=0,0,G105)</f>
        <v>0</v>
      </c>
      <c r="K105" s="108">
        <f t="shared" si="30"/>
        <v>2</v>
      </c>
      <c r="L105" s="95">
        <v>1705</v>
      </c>
      <c r="M105" s="96">
        <f t="shared" si="28"/>
        <v>3410</v>
      </c>
      <c r="N105" s="106"/>
      <c r="O105" s="104"/>
      <c r="P105" s="104"/>
      <c r="Q105" s="104"/>
      <c r="R105" s="104"/>
    </row>
    <row r="106" spans="1:18" x14ac:dyDescent="0.45">
      <c r="A106" s="128"/>
      <c r="B106" s="87">
        <v>9426752001</v>
      </c>
      <c r="C106" s="88" t="s">
        <v>162</v>
      </c>
      <c r="D106" s="89">
        <v>450</v>
      </c>
      <c r="E106" s="89">
        <v>60</v>
      </c>
      <c r="F106" s="89">
        <f>(('BIOMETRIA HEMATICA'!$D$2)*0.2)+('BIOMETRIA HEMATICA'!$D$2)</f>
        <v>0</v>
      </c>
      <c r="G106" s="90">
        <f t="shared" si="27"/>
        <v>0</v>
      </c>
      <c r="H106" s="90">
        <f>(360/E106)*'BIOMETRIA HEMATICA'!$B$10</f>
        <v>6</v>
      </c>
      <c r="I106" s="92">
        <f t="shared" si="29"/>
        <v>6</v>
      </c>
      <c r="J106" s="115">
        <f t="shared" si="31"/>
        <v>0</v>
      </c>
      <c r="K106" s="108">
        <f t="shared" si="30"/>
        <v>6</v>
      </c>
      <c r="L106" s="95">
        <v>34</v>
      </c>
      <c r="M106" s="96">
        <f t="shared" si="28"/>
        <v>204</v>
      </c>
      <c r="N106" s="106"/>
      <c r="O106" s="35"/>
      <c r="P106" s="35"/>
      <c r="Q106" s="35"/>
      <c r="R106" s="35"/>
    </row>
    <row r="107" spans="1:18" ht="21" x14ac:dyDescent="0.45">
      <c r="A107" s="100" t="s">
        <v>163</v>
      </c>
      <c r="B107" s="101">
        <v>7051409001</v>
      </c>
      <c r="C107" s="101" t="s">
        <v>164</v>
      </c>
      <c r="D107" s="102">
        <f>(((F98/30)/12)*E107)</f>
        <v>2277.333333333333</v>
      </c>
      <c r="E107" s="102">
        <v>56</v>
      </c>
      <c r="F107" s="102">
        <f>(('BIOMETRIA HEMATICA'!$H$2)*0.2)+('BIOMETRIA HEMATICA'!$H$2)</f>
        <v>0</v>
      </c>
      <c r="G107" s="91">
        <f t="shared" si="27"/>
        <v>0</v>
      </c>
      <c r="H107" s="91">
        <f>(360/E107)*'BIOMETRIA HEMATICA'!$B$10</f>
        <v>6.4285714285714288</v>
      </c>
      <c r="I107" s="93">
        <f t="shared" si="29"/>
        <v>6.4285714285714288</v>
      </c>
      <c r="J107" s="93">
        <f t="shared" ref="J107" si="32">IF(G86=0,0,G107)</f>
        <v>0</v>
      </c>
      <c r="K107" s="108">
        <f t="shared" si="30"/>
        <v>7</v>
      </c>
      <c r="L107" s="103">
        <v>661</v>
      </c>
      <c r="M107" s="97">
        <f t="shared" si="28"/>
        <v>4627</v>
      </c>
      <c r="N107" s="107"/>
      <c r="O107" s="104"/>
      <c r="P107" s="104"/>
      <c r="Q107" s="104"/>
      <c r="R107" s="104"/>
    </row>
    <row r="108" spans="1:18" x14ac:dyDescent="0.45">
      <c r="C108" s="18"/>
      <c r="D108" s="18"/>
      <c r="E108" s="18"/>
      <c r="F108" s="18"/>
      <c r="G108" s="18"/>
      <c r="H108" s="18"/>
      <c r="I108" s="18"/>
      <c r="J108" s="18"/>
      <c r="K108" s="18"/>
      <c r="L108" s="98"/>
      <c r="M108" s="98"/>
      <c r="N108" s="35"/>
      <c r="O108" s="35"/>
      <c r="P108" s="35"/>
      <c r="Q108" s="35"/>
      <c r="R108" s="35"/>
    </row>
    <row r="109" spans="1:18" x14ac:dyDescent="0.45">
      <c r="C109" s="26" t="s">
        <v>150</v>
      </c>
      <c r="D109" s="27"/>
      <c r="E109" s="27"/>
      <c r="F109" s="27"/>
      <c r="G109" s="28"/>
      <c r="H109" s="28"/>
      <c r="I109" s="18"/>
      <c r="J109" s="18"/>
      <c r="K109" s="130">
        <f>'BIOMETRIA HEMATICA'!B6</f>
        <v>12</v>
      </c>
      <c r="L109" s="29">
        <f>BC!F109</f>
        <v>1920</v>
      </c>
      <c r="M109" s="29">
        <f>(L109/K109)*K109</f>
        <v>1920</v>
      </c>
      <c r="N109" s="34"/>
    </row>
    <row r="110" spans="1:18" x14ac:dyDescent="0.45">
      <c r="C110" s="19" t="s">
        <v>24</v>
      </c>
      <c r="D110" s="27"/>
      <c r="E110" s="27"/>
      <c r="F110" s="27"/>
      <c r="G110" s="28"/>
      <c r="H110" s="28"/>
      <c r="I110" s="18"/>
      <c r="J110" s="18"/>
      <c r="K110" s="130"/>
      <c r="L110" s="29">
        <v>710</v>
      </c>
      <c r="M110" s="29">
        <f>(L110*K109)/(12)</f>
        <v>710</v>
      </c>
      <c r="N110" s="34"/>
    </row>
    <row r="111" spans="1:18" x14ac:dyDescent="0.45">
      <c r="C111" s="19" t="s">
        <v>0</v>
      </c>
      <c r="D111" s="18"/>
      <c r="E111" s="18"/>
      <c r="F111" s="18"/>
      <c r="G111" s="18"/>
      <c r="H111" s="18"/>
      <c r="I111" s="18"/>
      <c r="J111" s="18"/>
      <c r="K111" s="130"/>
      <c r="L111" s="29">
        <v>36850</v>
      </c>
      <c r="M111" s="29">
        <f>((((L110)*(K109))/'BIOMETRIA HEMATICA'!B2))</f>
        <v>0.69836065573770489</v>
      </c>
      <c r="N111" s="34"/>
    </row>
    <row r="115" spans="1:18" x14ac:dyDescent="0.45">
      <c r="A115" s="126" t="s">
        <v>174</v>
      </c>
      <c r="B115" s="126"/>
      <c r="C115" s="126"/>
      <c r="D115" s="126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</row>
    <row r="116" spans="1:18" ht="21" x14ac:dyDescent="0.45">
      <c r="A116" s="79" t="s">
        <v>1</v>
      </c>
      <c r="B116" s="79" t="s">
        <v>2</v>
      </c>
      <c r="C116" s="79" t="s">
        <v>3</v>
      </c>
      <c r="D116" s="79" t="s">
        <v>4</v>
      </c>
      <c r="E116" s="80" t="s">
        <v>5</v>
      </c>
      <c r="F116" s="80" t="s">
        <v>6</v>
      </c>
      <c r="G116" s="80" t="s">
        <v>7</v>
      </c>
      <c r="H116" s="80" t="s">
        <v>13</v>
      </c>
      <c r="I116" s="80" t="s">
        <v>8</v>
      </c>
      <c r="J116" s="80"/>
      <c r="K116" s="11" t="s">
        <v>16</v>
      </c>
      <c r="L116" s="11" t="s">
        <v>14</v>
      </c>
      <c r="M116" s="11" t="s">
        <v>15</v>
      </c>
      <c r="N116" s="11"/>
      <c r="O116" s="11" t="s">
        <v>178</v>
      </c>
      <c r="P116" s="11" t="s">
        <v>19</v>
      </c>
      <c r="Q116" s="11" t="s">
        <v>20</v>
      </c>
      <c r="R116" s="11" t="s">
        <v>21</v>
      </c>
    </row>
    <row r="117" spans="1:18" x14ac:dyDescent="0.45">
      <c r="A117" s="127" t="s">
        <v>9</v>
      </c>
      <c r="B117" s="81">
        <v>6510167001</v>
      </c>
      <c r="C117" s="81" t="s">
        <v>153</v>
      </c>
      <c r="D117" s="82">
        <v>450</v>
      </c>
      <c r="E117" s="82">
        <v>60</v>
      </c>
      <c r="F117" s="82">
        <f>(('BIOMETRIA HEMATICA'!$B$2)*0.2)+('BIOMETRIA HEMATICA'!$B$2)</f>
        <v>14640</v>
      </c>
      <c r="G117" s="82">
        <f>F117/D117</f>
        <v>32.533333333333331</v>
      </c>
      <c r="H117" s="82">
        <f>(360/E117)*'BIOMETRIA HEMATICA'!$B$10</f>
        <v>6</v>
      </c>
      <c r="I117" s="83">
        <f>IF(G117&gt;H117,G117,H117)</f>
        <v>32.533333333333331</v>
      </c>
      <c r="J117" s="83"/>
      <c r="K117" s="83">
        <f>ROUNDUP(I117,0)</f>
        <v>33</v>
      </c>
      <c r="L117" s="94">
        <v>121</v>
      </c>
      <c r="M117" s="94">
        <f>L117*K117</f>
        <v>3993</v>
      </c>
      <c r="N117" s="94"/>
      <c r="O117" s="99">
        <f>(SUM(M117:M130)/'BIOMETRIA HEMATICA'!B2)+M134</f>
        <v>5.6052409836065573</v>
      </c>
      <c r="P117" s="119">
        <f>((O117*0.15)+O117)</f>
        <v>6.4460271311475408</v>
      </c>
      <c r="Q117" s="119">
        <f>P117*'BIOMETRIA HEMATICA'!B116</f>
        <v>0</v>
      </c>
      <c r="R117" s="99">
        <f>O117*'BIOMETRIA HEMATICA'!B116</f>
        <v>0</v>
      </c>
    </row>
    <row r="118" spans="1:18" ht="21" x14ac:dyDescent="0.45">
      <c r="A118" s="128"/>
      <c r="B118" s="81">
        <v>3337006001</v>
      </c>
      <c r="C118" s="81" t="s">
        <v>154</v>
      </c>
      <c r="D118" s="82">
        <v>9450</v>
      </c>
      <c r="E118" s="82">
        <v>60</v>
      </c>
      <c r="F118" s="82">
        <f>(('BIOMETRIA HEMATICA'!$B$2)*0.2)+('BIOMETRIA HEMATICA'!$B$2)</f>
        <v>14640</v>
      </c>
      <c r="G118" s="82">
        <f t="shared" ref="G118:G130" si="33">F118/D118</f>
        <v>1.5492063492063493</v>
      </c>
      <c r="H118" s="82">
        <f>(360/E118)*'BIOMETRIA HEMATICA'!$B$10</f>
        <v>6</v>
      </c>
      <c r="I118" s="83">
        <f>IF(G118&gt;H118,G118,H118)</f>
        <v>6</v>
      </c>
      <c r="J118" s="83">
        <f>IF(N118&gt;N119,0,I118)</f>
        <v>0</v>
      </c>
      <c r="K118" s="108">
        <f>ROUNDUP(I118,0)</f>
        <v>6</v>
      </c>
      <c r="L118" s="94">
        <v>1107</v>
      </c>
      <c r="M118" s="94">
        <f t="shared" ref="M118:M130" si="34">L118*K118</f>
        <v>6642</v>
      </c>
      <c r="N118" s="105">
        <f>L118*K118</f>
        <v>6642</v>
      </c>
      <c r="O118" s="11" t="s">
        <v>179</v>
      </c>
      <c r="P118" s="11" t="s">
        <v>19</v>
      </c>
      <c r="Q118" s="11" t="s">
        <v>20</v>
      </c>
      <c r="R118" s="11" t="s">
        <v>21</v>
      </c>
    </row>
    <row r="119" spans="1:18" x14ac:dyDescent="0.45">
      <c r="A119" s="128"/>
      <c r="B119" s="84">
        <v>12215616001</v>
      </c>
      <c r="C119" s="85" t="s">
        <v>155</v>
      </c>
      <c r="D119" s="82">
        <v>850</v>
      </c>
      <c r="E119" s="82">
        <v>60</v>
      </c>
      <c r="F119" s="82">
        <f>(('BIOMETRIA HEMATICA'!$B$2)*0.2)+('BIOMETRIA HEMATICA'!$B$2)</f>
        <v>14640</v>
      </c>
      <c r="G119" s="82">
        <f t="shared" si="33"/>
        <v>17.223529411764705</v>
      </c>
      <c r="H119" s="82">
        <f>(360/E119)*'BIOMETRIA HEMATICA'!$B$10</f>
        <v>6</v>
      </c>
      <c r="I119" s="83">
        <f t="shared" ref="I119:I130" si="35">IF(G119&gt;H119,G119,H119)</f>
        <v>17.223529411764705</v>
      </c>
      <c r="J119" s="83">
        <f>IF(N119&gt;N118,0,I119)</f>
        <v>17.223529411764705</v>
      </c>
      <c r="K119" s="108">
        <f>ROUNDUP(I119,0)</f>
        <v>18</v>
      </c>
      <c r="L119" s="94">
        <v>228.33</v>
      </c>
      <c r="M119" s="94">
        <f t="shared" si="34"/>
        <v>4109.9400000000005</v>
      </c>
      <c r="N119" s="105">
        <f>L119*K119</f>
        <v>4109.9400000000005</v>
      </c>
      <c r="O119" s="99">
        <f>(SUM(M117:M125)/'BIOMETRIA HEMATICA'!B2)+M134</f>
        <v>4.8236836065573776</v>
      </c>
      <c r="P119" s="119">
        <f>((O119*0.15)+O119)</f>
        <v>5.5472361475409846</v>
      </c>
      <c r="Q119" s="119">
        <f>P119*'BIOMETRIA HEMATICA'!B116</f>
        <v>0</v>
      </c>
      <c r="R119" s="99">
        <f>O119*'BIOMETRIA HEMATICA'!B116</f>
        <v>0</v>
      </c>
    </row>
    <row r="120" spans="1:18" x14ac:dyDescent="0.45">
      <c r="A120" s="128"/>
      <c r="B120" s="81">
        <v>7837984001</v>
      </c>
      <c r="C120" s="81" t="s">
        <v>156</v>
      </c>
      <c r="D120" s="82">
        <v>2450</v>
      </c>
      <c r="E120" s="82">
        <v>90</v>
      </c>
      <c r="F120" s="82">
        <f>(('BIOMETRIA HEMATICA'!$B$2)*0.2)+('BIOMETRIA HEMATICA'!$B$2)</f>
        <v>14640</v>
      </c>
      <c r="G120" s="82">
        <f t="shared" si="33"/>
        <v>5.9755102040816324</v>
      </c>
      <c r="H120" s="82">
        <f>(360/E120)*'BIOMETRIA HEMATICA'!$B$10</f>
        <v>4</v>
      </c>
      <c r="I120" s="83">
        <f t="shared" si="35"/>
        <v>5.9755102040816324</v>
      </c>
      <c r="J120" s="83"/>
      <c r="K120" s="83">
        <f t="shared" ref="K120:K130" si="36">ROUNDUP(I120,0)</f>
        <v>6</v>
      </c>
      <c r="L120" s="94">
        <v>176</v>
      </c>
      <c r="M120" s="94">
        <f t="shared" si="34"/>
        <v>1056</v>
      </c>
      <c r="N120" s="105"/>
    </row>
    <row r="121" spans="1:18" x14ac:dyDescent="0.45">
      <c r="A121" s="128"/>
      <c r="B121" s="81">
        <v>6510256001</v>
      </c>
      <c r="C121" s="81" t="s">
        <v>157</v>
      </c>
      <c r="D121" s="82">
        <v>3400</v>
      </c>
      <c r="E121" s="82">
        <v>180</v>
      </c>
      <c r="F121" s="82">
        <f>(('BIOMETRIA HEMATICA'!$B$2)*0.2)+('BIOMETRIA HEMATICA'!$B$2)</f>
        <v>14640</v>
      </c>
      <c r="G121" s="82">
        <f t="shared" si="33"/>
        <v>4.3058823529411763</v>
      </c>
      <c r="H121" s="82">
        <f>(360/E121)*'BIOMETRIA HEMATICA'!$B$10</f>
        <v>2</v>
      </c>
      <c r="I121" s="83">
        <f t="shared" si="35"/>
        <v>4.3058823529411763</v>
      </c>
      <c r="J121" s="83"/>
      <c r="K121" s="83">
        <f t="shared" si="36"/>
        <v>5</v>
      </c>
      <c r="L121" s="94">
        <v>862</v>
      </c>
      <c r="M121" s="94">
        <f t="shared" si="34"/>
        <v>4310</v>
      </c>
      <c r="N121" s="105"/>
    </row>
    <row r="122" spans="1:18" ht="18.75" customHeight="1" x14ac:dyDescent="0.45">
      <c r="A122" s="128"/>
      <c r="B122" s="122">
        <v>6510248001</v>
      </c>
      <c r="C122" s="123" t="s">
        <v>181</v>
      </c>
      <c r="D122" s="124">
        <v>6945</v>
      </c>
      <c r="E122" s="124">
        <v>180</v>
      </c>
      <c r="F122" s="82">
        <f>(('BIOMETRIA HEMATICA'!$B$2)*0.2)+('BIOMETRIA HEMATICA'!$B$2)</f>
        <v>14640</v>
      </c>
      <c r="G122" s="82">
        <f t="shared" si="33"/>
        <v>2.1079913606911447</v>
      </c>
      <c r="H122" s="82">
        <f>(360/E122)*'BIOMETRIA HEMATICA'!$B$10</f>
        <v>2</v>
      </c>
      <c r="I122" s="83">
        <f t="shared" si="35"/>
        <v>2.1079913606911447</v>
      </c>
      <c r="J122" s="125"/>
      <c r="K122" s="83">
        <f t="shared" si="36"/>
        <v>3</v>
      </c>
      <c r="L122" s="94">
        <v>634</v>
      </c>
      <c r="M122" s="94">
        <f t="shared" si="34"/>
        <v>1902</v>
      </c>
    </row>
    <row r="123" spans="1:18" ht="18.75" customHeight="1" x14ac:dyDescent="0.45">
      <c r="A123" s="128"/>
      <c r="B123" s="122">
        <v>7838000001</v>
      </c>
      <c r="C123" s="123" t="s">
        <v>182</v>
      </c>
      <c r="D123" s="124">
        <v>2950</v>
      </c>
      <c r="E123" s="124">
        <v>90</v>
      </c>
      <c r="F123" s="82">
        <f>(('BIOMETRIA HEMATICA'!$B$2)*0.2)+('BIOMETRIA HEMATICA'!$B$2)</f>
        <v>14640</v>
      </c>
      <c r="G123" s="82">
        <f t="shared" si="33"/>
        <v>4.9627118644067796</v>
      </c>
      <c r="H123" s="82">
        <f>(360/E123)*'BIOMETRIA HEMATICA'!$B$10</f>
        <v>4</v>
      </c>
      <c r="I123" s="83">
        <f t="shared" si="35"/>
        <v>4.9627118644067796</v>
      </c>
      <c r="J123" s="125"/>
      <c r="K123" s="83">
        <f t="shared" si="36"/>
        <v>5</v>
      </c>
      <c r="L123" s="94">
        <v>128</v>
      </c>
      <c r="M123" s="94">
        <f t="shared" si="34"/>
        <v>640</v>
      </c>
    </row>
    <row r="124" spans="1:18" x14ac:dyDescent="0.45">
      <c r="A124" s="128"/>
      <c r="B124" s="81">
        <v>6952291001</v>
      </c>
      <c r="C124" s="81" t="s">
        <v>158</v>
      </c>
      <c r="D124" s="82">
        <f>(((F117/30)/12)*E124)</f>
        <v>6100</v>
      </c>
      <c r="E124" s="82">
        <v>150</v>
      </c>
      <c r="F124" s="82">
        <f>(('BIOMETRIA HEMATICA'!$B$2)*0.2)+('BIOMETRIA HEMATICA'!$B$2)</f>
        <v>14640</v>
      </c>
      <c r="G124" s="82">
        <f t="shared" si="33"/>
        <v>2.4</v>
      </c>
      <c r="H124" s="82">
        <f>(360/E124)*'BIOMETRIA HEMATICA'!$B$10</f>
        <v>2.4</v>
      </c>
      <c r="I124" s="83">
        <f t="shared" si="35"/>
        <v>2.4</v>
      </c>
      <c r="J124" s="83"/>
      <c r="K124" s="83">
        <f t="shared" si="36"/>
        <v>3</v>
      </c>
      <c r="L124" s="94">
        <v>52</v>
      </c>
      <c r="M124" s="94">
        <f t="shared" si="34"/>
        <v>156</v>
      </c>
      <c r="N124" s="105"/>
    </row>
    <row r="125" spans="1:18" ht="21" x14ac:dyDescent="0.45">
      <c r="A125" s="128"/>
      <c r="B125" s="86">
        <v>7051506001</v>
      </c>
      <c r="C125" s="81" t="s">
        <v>159</v>
      </c>
      <c r="D125" s="82">
        <f>(((F117/30)/12)*E125)</f>
        <v>2277.333333333333</v>
      </c>
      <c r="E125" s="82">
        <v>56</v>
      </c>
      <c r="F125" s="82">
        <f>(('BIOMETRIA HEMATICA'!$B$2)*0.2)+('BIOMETRIA HEMATICA'!$B$2)</f>
        <v>14640</v>
      </c>
      <c r="G125" s="82">
        <f t="shared" si="33"/>
        <v>6.4285714285714297</v>
      </c>
      <c r="H125" s="82">
        <f>(360/E125)*'BIOMETRIA HEMATICA'!$B$10</f>
        <v>6.4285714285714288</v>
      </c>
      <c r="I125" s="83">
        <f t="shared" si="35"/>
        <v>6.4285714285714288</v>
      </c>
      <c r="J125" s="83"/>
      <c r="K125" s="83">
        <f t="shared" si="36"/>
        <v>7</v>
      </c>
      <c r="L125" s="94">
        <v>544</v>
      </c>
      <c r="M125" s="94">
        <f t="shared" si="34"/>
        <v>3808</v>
      </c>
      <c r="N125" s="105"/>
    </row>
    <row r="126" spans="1:18" ht="18.75" customHeight="1" x14ac:dyDescent="0.45">
      <c r="A126" s="131" t="s">
        <v>175</v>
      </c>
      <c r="B126" s="109">
        <v>6510299001</v>
      </c>
      <c r="C126" s="110" t="s">
        <v>176</v>
      </c>
      <c r="D126" s="111">
        <v>650</v>
      </c>
      <c r="E126" s="111">
        <v>180</v>
      </c>
      <c r="F126" s="111">
        <f>(('BIOMETRIA HEMATICA'!$F$2)*0.2)+('BIOMETRIA HEMATICA'!$F$2)</f>
        <v>0</v>
      </c>
      <c r="G126" s="112">
        <f t="shared" si="33"/>
        <v>0</v>
      </c>
      <c r="H126" s="112">
        <f>(360/E126)*'BIOMETRIA HEMATICA'!$B$10</f>
        <v>2</v>
      </c>
      <c r="I126" s="113">
        <f t="shared" si="35"/>
        <v>2</v>
      </c>
      <c r="J126" s="113">
        <f>IF(G126=0,0,G126)</f>
        <v>0</v>
      </c>
      <c r="K126" s="108">
        <f t="shared" si="36"/>
        <v>2</v>
      </c>
      <c r="L126" s="114">
        <v>545</v>
      </c>
      <c r="M126" s="114">
        <f t="shared" si="34"/>
        <v>1090</v>
      </c>
    </row>
    <row r="127" spans="1:18" ht="18.75" customHeight="1" x14ac:dyDescent="0.45">
      <c r="A127" s="132"/>
      <c r="B127" s="109">
        <v>9426752001</v>
      </c>
      <c r="C127" s="110" t="s">
        <v>162</v>
      </c>
      <c r="D127" s="111">
        <v>450</v>
      </c>
      <c r="E127" s="111">
        <v>60</v>
      </c>
      <c r="F127" s="111">
        <f>(('BIOMETRIA HEMATICA'!$F$2)*0.2)+('BIOMETRIA HEMATICA'!$F$2)</f>
        <v>0</v>
      </c>
      <c r="G127" s="112">
        <f t="shared" si="33"/>
        <v>0</v>
      </c>
      <c r="H127" s="112">
        <f>(360/E127)*'BIOMETRIA HEMATICA'!$B$10</f>
        <v>6</v>
      </c>
      <c r="I127" s="113">
        <f t="shared" si="35"/>
        <v>6</v>
      </c>
      <c r="J127" s="113">
        <f t="shared" ref="J127:J129" si="37">IF(G127=0,0,G127)</f>
        <v>0</v>
      </c>
      <c r="K127" s="108">
        <f t="shared" si="36"/>
        <v>6</v>
      </c>
      <c r="L127" s="114">
        <v>34</v>
      </c>
      <c r="M127" s="114">
        <f t="shared" si="34"/>
        <v>204</v>
      </c>
    </row>
    <row r="128" spans="1:18" x14ac:dyDescent="0.45">
      <c r="A128" s="129" t="s">
        <v>160</v>
      </c>
      <c r="B128" s="87">
        <v>6510272001</v>
      </c>
      <c r="C128" s="88" t="s">
        <v>161</v>
      </c>
      <c r="D128" s="89">
        <v>650</v>
      </c>
      <c r="E128" s="89">
        <v>180</v>
      </c>
      <c r="F128" s="89">
        <f>(('BIOMETRIA HEMATICA'!$D$2)*0.2)+('BIOMETRIA HEMATICA'!$F$2)</f>
        <v>0</v>
      </c>
      <c r="G128" s="90">
        <f t="shared" si="33"/>
        <v>0</v>
      </c>
      <c r="H128" s="90">
        <f>(360/E128)*'BIOMETRIA HEMATICA'!$B$10</f>
        <v>2</v>
      </c>
      <c r="I128" s="92">
        <f t="shared" si="35"/>
        <v>2</v>
      </c>
      <c r="J128" s="115">
        <f t="shared" si="37"/>
        <v>0</v>
      </c>
      <c r="K128" s="108">
        <f t="shared" si="36"/>
        <v>2</v>
      </c>
      <c r="L128" s="95">
        <v>1705</v>
      </c>
      <c r="M128" s="96">
        <f t="shared" si="34"/>
        <v>3410</v>
      </c>
      <c r="N128" s="106"/>
      <c r="O128" s="104"/>
      <c r="P128" s="104"/>
      <c r="Q128" s="104"/>
      <c r="R128" s="104"/>
    </row>
    <row r="129" spans="1:18" x14ac:dyDescent="0.45">
      <c r="A129" s="128"/>
      <c r="B129" s="87">
        <v>9426752001</v>
      </c>
      <c r="C129" s="88" t="s">
        <v>162</v>
      </c>
      <c r="D129" s="89">
        <v>450</v>
      </c>
      <c r="E129" s="89">
        <v>60</v>
      </c>
      <c r="F129" s="89">
        <f>(('BIOMETRIA HEMATICA'!$D$2)*0.2)+('BIOMETRIA HEMATICA'!$F$2)</f>
        <v>0</v>
      </c>
      <c r="G129" s="90">
        <f t="shared" si="33"/>
        <v>0</v>
      </c>
      <c r="H129" s="90">
        <f>(360/E129)*'BIOMETRIA HEMATICA'!$B$10</f>
        <v>6</v>
      </c>
      <c r="I129" s="92">
        <f t="shared" si="35"/>
        <v>6</v>
      </c>
      <c r="J129" s="115">
        <f t="shared" si="37"/>
        <v>0</v>
      </c>
      <c r="K129" s="108">
        <f t="shared" si="36"/>
        <v>6</v>
      </c>
      <c r="L129" s="95">
        <v>34</v>
      </c>
      <c r="M129" s="96">
        <f t="shared" si="34"/>
        <v>204</v>
      </c>
      <c r="N129" s="106"/>
      <c r="O129" s="35"/>
      <c r="P129" s="35"/>
      <c r="Q129" s="35"/>
      <c r="R129" s="35"/>
    </row>
    <row r="130" spans="1:18" ht="21" x14ac:dyDescent="0.45">
      <c r="A130" s="100" t="s">
        <v>163</v>
      </c>
      <c r="B130" s="101">
        <v>7051409001</v>
      </c>
      <c r="C130" s="101" t="s">
        <v>164</v>
      </c>
      <c r="D130" s="102">
        <f>(((F117/30)/12)*E130)</f>
        <v>2277.333333333333</v>
      </c>
      <c r="E130" s="102">
        <v>56</v>
      </c>
      <c r="F130" s="102">
        <f>(('BIOMETRIA HEMATICA'!$H$2)*0.2)+('BIOMETRIA HEMATICA'!$H$2)</f>
        <v>0</v>
      </c>
      <c r="G130" s="91">
        <f t="shared" si="33"/>
        <v>0</v>
      </c>
      <c r="H130" s="91">
        <f>(360/E130)*'BIOMETRIA HEMATICA'!$B$10</f>
        <v>6.4285714285714288</v>
      </c>
      <c r="I130" s="93">
        <f t="shared" si="35"/>
        <v>6.4285714285714288</v>
      </c>
      <c r="J130" s="93">
        <f t="shared" ref="J130" si="38">IF(G107=0,0,G130)</f>
        <v>0</v>
      </c>
      <c r="K130" s="108">
        <f t="shared" si="36"/>
        <v>7</v>
      </c>
      <c r="L130" s="103">
        <v>661</v>
      </c>
      <c r="M130" s="97">
        <f t="shared" si="34"/>
        <v>4627</v>
      </c>
      <c r="N130" s="107"/>
      <c r="O130" s="104"/>
      <c r="P130" s="104"/>
      <c r="Q130" s="104"/>
      <c r="R130" s="104"/>
    </row>
    <row r="131" spans="1:18" x14ac:dyDescent="0.45">
      <c r="C131" s="18"/>
      <c r="D131" s="18"/>
      <c r="E131" s="18"/>
      <c r="F131" s="18"/>
      <c r="G131" s="18"/>
      <c r="H131" s="18"/>
      <c r="I131" s="18"/>
      <c r="J131" s="18"/>
      <c r="K131" s="18"/>
      <c r="L131" s="98"/>
      <c r="M131" s="98"/>
      <c r="N131" s="35"/>
      <c r="O131" s="35"/>
      <c r="P131" s="35"/>
      <c r="Q131" s="35"/>
      <c r="R131" s="35"/>
    </row>
    <row r="132" spans="1:18" x14ac:dyDescent="0.45">
      <c r="C132" s="26" t="s">
        <v>150</v>
      </c>
      <c r="D132" s="27"/>
      <c r="E132" s="27"/>
      <c r="F132" s="27"/>
      <c r="G132" s="28"/>
      <c r="H132" s="28"/>
      <c r="I132" s="18"/>
      <c r="J132" s="18"/>
      <c r="K132" s="130">
        <f>'BIOMETRIA HEMATICA'!B6</f>
        <v>12</v>
      </c>
      <c r="L132" s="29">
        <f>BC!F109</f>
        <v>1920</v>
      </c>
      <c r="M132" s="29">
        <f>(L132/K132)*K132</f>
        <v>1920</v>
      </c>
      <c r="N132" s="34"/>
    </row>
    <row r="133" spans="1:18" x14ac:dyDescent="0.45">
      <c r="C133" s="19" t="s">
        <v>24</v>
      </c>
      <c r="D133" s="27"/>
      <c r="E133" s="27"/>
      <c r="F133" s="27"/>
      <c r="G133" s="28"/>
      <c r="H133" s="28"/>
      <c r="I133" s="18"/>
      <c r="J133" s="18"/>
      <c r="K133" s="130"/>
      <c r="L133" s="29">
        <v>2686</v>
      </c>
      <c r="M133" s="29">
        <f>(L133*K132)/(12)</f>
        <v>2686</v>
      </c>
      <c r="N133" s="34"/>
    </row>
    <row r="134" spans="1:18" x14ac:dyDescent="0.45">
      <c r="C134" s="19" t="s">
        <v>0</v>
      </c>
      <c r="D134" s="18"/>
      <c r="E134" s="18"/>
      <c r="F134" s="18"/>
      <c r="G134" s="18"/>
      <c r="H134" s="18"/>
      <c r="I134" s="18"/>
      <c r="J134" s="18"/>
      <c r="K134" s="130"/>
      <c r="L134" s="29">
        <v>71401</v>
      </c>
      <c r="M134" s="29">
        <f>((((L133)*(K132))/'BIOMETRIA HEMATICA'!B2))</f>
        <v>2.641967213114754</v>
      </c>
      <c r="N134" s="34"/>
    </row>
    <row r="138" spans="1:18" x14ac:dyDescent="0.45">
      <c r="A138" s="126" t="s">
        <v>177</v>
      </c>
      <c r="B138" s="126"/>
      <c r="C138" s="126"/>
      <c r="D138" s="126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</row>
    <row r="139" spans="1:18" ht="21" x14ac:dyDescent="0.45">
      <c r="A139" s="79" t="s">
        <v>1</v>
      </c>
      <c r="B139" s="79" t="s">
        <v>2</v>
      </c>
      <c r="C139" s="79" t="s">
        <v>3</v>
      </c>
      <c r="D139" s="79" t="s">
        <v>4</v>
      </c>
      <c r="E139" s="80" t="s">
        <v>5</v>
      </c>
      <c r="F139" s="80" t="s">
        <v>6</v>
      </c>
      <c r="G139" s="80" t="s">
        <v>7</v>
      </c>
      <c r="H139" s="80" t="s">
        <v>13</v>
      </c>
      <c r="I139" s="80" t="s">
        <v>8</v>
      </c>
      <c r="J139" s="80"/>
      <c r="K139" s="11" t="s">
        <v>16</v>
      </c>
      <c r="L139" s="11" t="s">
        <v>14</v>
      </c>
      <c r="M139" s="11" t="s">
        <v>15</v>
      </c>
      <c r="N139" s="11"/>
      <c r="O139" s="11" t="s">
        <v>178</v>
      </c>
      <c r="P139" s="11" t="s">
        <v>19</v>
      </c>
      <c r="Q139" s="11" t="s">
        <v>20</v>
      </c>
      <c r="R139" s="11" t="s">
        <v>21</v>
      </c>
    </row>
    <row r="140" spans="1:18" x14ac:dyDescent="0.45">
      <c r="A140" s="127" t="s">
        <v>9</v>
      </c>
      <c r="B140" s="81">
        <v>6510167001</v>
      </c>
      <c r="C140" s="81" t="s">
        <v>153</v>
      </c>
      <c r="D140" s="82">
        <v>450</v>
      </c>
      <c r="E140" s="82">
        <v>60</v>
      </c>
      <c r="F140" s="82">
        <f>(('BIOMETRIA HEMATICA'!$B$2)*0.2)+('BIOMETRIA HEMATICA'!$B$2)</f>
        <v>14640</v>
      </c>
      <c r="G140" s="82">
        <f>F140/D140</f>
        <v>32.533333333333331</v>
      </c>
      <c r="H140" s="82">
        <f>(360/E140)*'BIOMETRIA HEMATICA'!$B$10</f>
        <v>6</v>
      </c>
      <c r="I140" s="83">
        <f>IF(G140&gt;H140,G140,H140)</f>
        <v>32.533333333333331</v>
      </c>
      <c r="J140" s="83"/>
      <c r="K140" s="83">
        <f>ROUNDUP(I140,0)</f>
        <v>33</v>
      </c>
      <c r="L140" s="94">
        <v>121</v>
      </c>
      <c r="M140" s="94">
        <f>L140*K140</f>
        <v>3993</v>
      </c>
      <c r="N140" s="94"/>
      <c r="O140" s="99">
        <f>(SUM(M140:M153)/'BIOMETRIA HEMATICA'!B2)+M157</f>
        <v>5.8088475409836065</v>
      </c>
      <c r="P140" s="119">
        <f>((O140*0.15)+O140)</f>
        <v>6.6801746721311472</v>
      </c>
      <c r="Q140" s="119">
        <f>P140*'BIOMETRIA HEMATICA'!B137</f>
        <v>0</v>
      </c>
      <c r="R140" s="99">
        <f>O140*'BIOMETRIA HEMATICA'!B137</f>
        <v>0</v>
      </c>
    </row>
    <row r="141" spans="1:18" ht="21" x14ac:dyDescent="0.45">
      <c r="A141" s="128"/>
      <c r="B141" s="81">
        <v>3337006001</v>
      </c>
      <c r="C141" s="81" t="s">
        <v>154</v>
      </c>
      <c r="D141" s="82">
        <v>9450</v>
      </c>
      <c r="E141" s="82">
        <v>60</v>
      </c>
      <c r="F141" s="82">
        <f>(('BIOMETRIA HEMATICA'!$B$2)*0.2)+('BIOMETRIA HEMATICA'!$B$2)</f>
        <v>14640</v>
      </c>
      <c r="G141" s="82">
        <f t="shared" ref="G141:G153" si="39">F141/D141</f>
        <v>1.5492063492063493</v>
      </c>
      <c r="H141" s="82">
        <f>(360/E141)*'BIOMETRIA HEMATICA'!$B$10</f>
        <v>6</v>
      </c>
      <c r="I141" s="83">
        <f>IF(G141&gt;H141,G141,H141)</f>
        <v>6</v>
      </c>
      <c r="J141" s="83">
        <f>IF(N141&gt;N142,0,I141)</f>
        <v>0</v>
      </c>
      <c r="K141" s="108">
        <f>ROUNDUP(I141,0)</f>
        <v>6</v>
      </c>
      <c r="L141" s="94">
        <v>1107</v>
      </c>
      <c r="M141" s="94">
        <f t="shared" ref="M141:M153" si="40">L141*K141</f>
        <v>6642</v>
      </c>
      <c r="N141" s="105">
        <f>L141*K141</f>
        <v>6642</v>
      </c>
      <c r="O141" s="11" t="s">
        <v>179</v>
      </c>
      <c r="P141" s="11" t="s">
        <v>19</v>
      </c>
      <c r="Q141" s="11" t="s">
        <v>20</v>
      </c>
      <c r="R141" s="11" t="s">
        <v>21</v>
      </c>
    </row>
    <row r="142" spans="1:18" x14ac:dyDescent="0.45">
      <c r="A142" s="128"/>
      <c r="B142" s="84">
        <v>12215616001</v>
      </c>
      <c r="C142" s="85" t="s">
        <v>155</v>
      </c>
      <c r="D142" s="82">
        <v>850</v>
      </c>
      <c r="E142" s="82">
        <v>60</v>
      </c>
      <c r="F142" s="82">
        <f>(('BIOMETRIA HEMATICA'!$B$2)*0.2)+('BIOMETRIA HEMATICA'!$B$2)</f>
        <v>14640</v>
      </c>
      <c r="G142" s="82">
        <f t="shared" si="39"/>
        <v>17.223529411764705</v>
      </c>
      <c r="H142" s="82">
        <f>(360/E142)*'BIOMETRIA HEMATICA'!$B$10</f>
        <v>6</v>
      </c>
      <c r="I142" s="83">
        <f t="shared" ref="I142:I153" si="41">IF(G142&gt;H142,G142,H142)</f>
        <v>17.223529411764705</v>
      </c>
      <c r="J142" s="83">
        <f>IF(N142&gt;N141,0,I142)</f>
        <v>17.223529411764705</v>
      </c>
      <c r="K142" s="108">
        <f>ROUNDUP(I142,0)</f>
        <v>18</v>
      </c>
      <c r="L142" s="94">
        <v>228.33</v>
      </c>
      <c r="M142" s="94">
        <f t="shared" si="40"/>
        <v>4109.9400000000005</v>
      </c>
      <c r="N142" s="105">
        <f>L142*K142</f>
        <v>4109.9400000000005</v>
      </c>
      <c r="O142" s="99">
        <f>(SUM(M140:M148)/'BIOMETRIA HEMATICA'!B2)+M157</f>
        <v>5.0272901639344258</v>
      </c>
      <c r="P142" s="119">
        <f>((O142*0.15)+O142)</f>
        <v>5.7813836885245902</v>
      </c>
      <c r="Q142" s="119">
        <f>P142*'BIOMETRIA HEMATICA'!B137</f>
        <v>0</v>
      </c>
      <c r="R142" s="99">
        <f>O142*'BIOMETRIA HEMATICA'!B137</f>
        <v>0</v>
      </c>
    </row>
    <row r="143" spans="1:18" x14ac:dyDescent="0.45">
      <c r="A143" s="128"/>
      <c r="B143" s="81">
        <v>7837984001</v>
      </c>
      <c r="C143" s="81" t="s">
        <v>156</v>
      </c>
      <c r="D143" s="82">
        <v>2450</v>
      </c>
      <c r="E143" s="82">
        <v>90</v>
      </c>
      <c r="F143" s="82">
        <f>(('BIOMETRIA HEMATICA'!$B$2)*0.2)+('BIOMETRIA HEMATICA'!$B$2)</f>
        <v>14640</v>
      </c>
      <c r="G143" s="82">
        <f t="shared" si="39"/>
        <v>5.9755102040816324</v>
      </c>
      <c r="H143" s="82">
        <f>(360/E143)*'BIOMETRIA HEMATICA'!$B$10</f>
        <v>4</v>
      </c>
      <c r="I143" s="83">
        <f t="shared" si="41"/>
        <v>5.9755102040816324</v>
      </c>
      <c r="J143" s="83"/>
      <c r="K143" s="83">
        <f t="shared" ref="K143:K153" si="42">ROUNDUP(I143,0)</f>
        <v>6</v>
      </c>
      <c r="L143" s="94">
        <v>176</v>
      </c>
      <c r="M143" s="94">
        <f t="shared" si="40"/>
        <v>1056</v>
      </c>
      <c r="N143" s="105"/>
    </row>
    <row r="144" spans="1:18" x14ac:dyDescent="0.45">
      <c r="A144" s="128"/>
      <c r="B144" s="81">
        <v>6510256001</v>
      </c>
      <c r="C144" s="81" t="s">
        <v>157</v>
      </c>
      <c r="D144" s="82">
        <v>3400</v>
      </c>
      <c r="E144" s="82">
        <v>180</v>
      </c>
      <c r="F144" s="82">
        <f>(('BIOMETRIA HEMATICA'!$B$2)*0.2)+('BIOMETRIA HEMATICA'!$B$2)</f>
        <v>14640</v>
      </c>
      <c r="G144" s="82">
        <f t="shared" si="39"/>
        <v>4.3058823529411763</v>
      </c>
      <c r="H144" s="82">
        <f>(360/E144)*'BIOMETRIA HEMATICA'!$B$10</f>
        <v>2</v>
      </c>
      <c r="I144" s="83">
        <f t="shared" si="41"/>
        <v>4.3058823529411763</v>
      </c>
      <c r="J144" s="83"/>
      <c r="K144" s="83">
        <f t="shared" si="42"/>
        <v>5</v>
      </c>
      <c r="L144" s="94">
        <v>862</v>
      </c>
      <c r="M144" s="94">
        <f t="shared" si="40"/>
        <v>4310</v>
      </c>
      <c r="N144" s="105"/>
    </row>
    <row r="145" spans="1:18" ht="18.75" customHeight="1" x14ac:dyDescent="0.45">
      <c r="A145" s="128"/>
      <c r="B145" s="122">
        <v>6510248001</v>
      </c>
      <c r="C145" s="123" t="s">
        <v>181</v>
      </c>
      <c r="D145" s="124">
        <v>6945</v>
      </c>
      <c r="E145" s="124">
        <v>180</v>
      </c>
      <c r="F145" s="82">
        <f>(('BIOMETRIA HEMATICA'!$B$2)*0.2)+('BIOMETRIA HEMATICA'!$B$2)</f>
        <v>14640</v>
      </c>
      <c r="G145" s="82">
        <f t="shared" si="39"/>
        <v>2.1079913606911447</v>
      </c>
      <c r="H145" s="82">
        <f>(360/E145)*'BIOMETRIA HEMATICA'!$B$10</f>
        <v>2</v>
      </c>
      <c r="I145" s="83">
        <f t="shared" si="41"/>
        <v>2.1079913606911447</v>
      </c>
      <c r="J145" s="125"/>
      <c r="K145" s="83">
        <f t="shared" si="42"/>
        <v>3</v>
      </c>
      <c r="L145" s="94">
        <v>634</v>
      </c>
      <c r="M145" s="94">
        <f t="shared" si="40"/>
        <v>1902</v>
      </c>
    </row>
    <row r="146" spans="1:18" ht="18.75" customHeight="1" x14ac:dyDescent="0.45">
      <c r="A146" s="128"/>
      <c r="B146" s="122">
        <v>7838000001</v>
      </c>
      <c r="C146" s="123" t="s">
        <v>182</v>
      </c>
      <c r="D146" s="124">
        <v>2950</v>
      </c>
      <c r="E146" s="124">
        <v>90</v>
      </c>
      <c r="F146" s="82">
        <f>(('BIOMETRIA HEMATICA'!$B$2)*0.2)+('BIOMETRIA HEMATICA'!$B$2)</f>
        <v>14640</v>
      </c>
      <c r="G146" s="82">
        <f t="shared" si="39"/>
        <v>4.9627118644067796</v>
      </c>
      <c r="H146" s="82">
        <f>(360/E146)*'BIOMETRIA HEMATICA'!$B$10</f>
        <v>4</v>
      </c>
      <c r="I146" s="83">
        <f t="shared" si="41"/>
        <v>4.9627118644067796</v>
      </c>
      <c r="J146" s="125"/>
      <c r="K146" s="83">
        <f t="shared" si="42"/>
        <v>5</v>
      </c>
      <c r="L146" s="94">
        <v>128</v>
      </c>
      <c r="M146" s="94">
        <f t="shared" si="40"/>
        <v>640</v>
      </c>
    </row>
    <row r="147" spans="1:18" x14ac:dyDescent="0.45">
      <c r="A147" s="128"/>
      <c r="B147" s="81">
        <v>6952291001</v>
      </c>
      <c r="C147" s="81" t="s">
        <v>158</v>
      </c>
      <c r="D147" s="82">
        <f>(((F140/30)/12)*E147)</f>
        <v>6100</v>
      </c>
      <c r="E147" s="82">
        <v>150</v>
      </c>
      <c r="F147" s="82">
        <f>(('BIOMETRIA HEMATICA'!$B$2)*0.2)+('BIOMETRIA HEMATICA'!$B$2)</f>
        <v>14640</v>
      </c>
      <c r="G147" s="82">
        <f t="shared" si="39"/>
        <v>2.4</v>
      </c>
      <c r="H147" s="82">
        <f>(360/E147)*'BIOMETRIA HEMATICA'!$B$10</f>
        <v>2.4</v>
      </c>
      <c r="I147" s="83">
        <f t="shared" si="41"/>
        <v>2.4</v>
      </c>
      <c r="J147" s="83"/>
      <c r="K147" s="83">
        <f t="shared" si="42"/>
        <v>3</v>
      </c>
      <c r="L147" s="94">
        <v>52</v>
      </c>
      <c r="M147" s="94">
        <f t="shared" si="40"/>
        <v>156</v>
      </c>
      <c r="N147" s="105"/>
    </row>
    <row r="148" spans="1:18" ht="21" x14ac:dyDescent="0.45">
      <c r="A148" s="128"/>
      <c r="B148" s="86">
        <v>7051506001</v>
      </c>
      <c r="C148" s="81" t="s">
        <v>159</v>
      </c>
      <c r="D148" s="82">
        <f>(((F140/30)/12)*E148)</f>
        <v>2277.333333333333</v>
      </c>
      <c r="E148" s="82">
        <v>56</v>
      </c>
      <c r="F148" s="82">
        <f>(('BIOMETRIA HEMATICA'!$B$2)*0.2)+('BIOMETRIA HEMATICA'!$B$2)</f>
        <v>14640</v>
      </c>
      <c r="G148" s="82">
        <f t="shared" si="39"/>
        <v>6.4285714285714297</v>
      </c>
      <c r="H148" s="82">
        <f>(360/E148)*'BIOMETRIA HEMATICA'!$B$10</f>
        <v>6.4285714285714288</v>
      </c>
      <c r="I148" s="83">
        <f t="shared" si="41"/>
        <v>6.4285714285714288</v>
      </c>
      <c r="J148" s="83"/>
      <c r="K148" s="83">
        <f t="shared" si="42"/>
        <v>7</v>
      </c>
      <c r="L148" s="94">
        <v>544</v>
      </c>
      <c r="M148" s="94">
        <f t="shared" si="40"/>
        <v>3808</v>
      </c>
      <c r="N148" s="105"/>
    </row>
    <row r="149" spans="1:18" ht="18.75" customHeight="1" x14ac:dyDescent="0.45">
      <c r="A149" s="131" t="s">
        <v>175</v>
      </c>
      <c r="B149" s="109">
        <v>6510299001</v>
      </c>
      <c r="C149" s="110" t="s">
        <v>176</v>
      </c>
      <c r="D149" s="111">
        <v>650</v>
      </c>
      <c r="E149" s="111">
        <v>180</v>
      </c>
      <c r="F149" s="111">
        <f>(('BIOMETRIA HEMATICA'!$F$2)*0.2)+('BIOMETRIA HEMATICA'!$F$2)</f>
        <v>0</v>
      </c>
      <c r="G149" s="112">
        <f t="shared" si="39"/>
        <v>0</v>
      </c>
      <c r="H149" s="112">
        <f>(360/E149)*'BIOMETRIA HEMATICA'!$B$10</f>
        <v>2</v>
      </c>
      <c r="I149" s="113">
        <f t="shared" si="41"/>
        <v>2</v>
      </c>
      <c r="J149" s="113">
        <f>IF(G126=0,0,G149)</f>
        <v>0</v>
      </c>
      <c r="K149" s="108">
        <f t="shared" si="42"/>
        <v>2</v>
      </c>
      <c r="L149" s="114">
        <v>545</v>
      </c>
      <c r="M149" s="114">
        <f t="shared" si="40"/>
        <v>1090</v>
      </c>
    </row>
    <row r="150" spans="1:18" ht="18.75" customHeight="1" x14ac:dyDescent="0.45">
      <c r="A150" s="132"/>
      <c r="B150" s="109">
        <v>9426752001</v>
      </c>
      <c r="C150" s="110" t="s">
        <v>162</v>
      </c>
      <c r="D150" s="111">
        <v>450</v>
      </c>
      <c r="E150" s="111">
        <v>60</v>
      </c>
      <c r="F150" s="111">
        <f>(('BIOMETRIA HEMATICA'!$F$2)*0.2)+('BIOMETRIA HEMATICA'!$F$2)</f>
        <v>0</v>
      </c>
      <c r="G150" s="112">
        <f t="shared" si="39"/>
        <v>0</v>
      </c>
      <c r="H150" s="112">
        <f>(360/E150)*'BIOMETRIA HEMATICA'!$B$10</f>
        <v>6</v>
      </c>
      <c r="I150" s="113">
        <f t="shared" si="41"/>
        <v>6</v>
      </c>
      <c r="J150" s="113">
        <f>IF(G127=0,0,G150)</f>
        <v>0</v>
      </c>
      <c r="K150" s="108">
        <f t="shared" si="42"/>
        <v>6</v>
      </c>
      <c r="L150" s="114">
        <v>34</v>
      </c>
      <c r="M150" s="114">
        <f t="shared" si="40"/>
        <v>204</v>
      </c>
    </row>
    <row r="151" spans="1:18" x14ac:dyDescent="0.45">
      <c r="A151" s="129" t="s">
        <v>160</v>
      </c>
      <c r="B151" s="87">
        <v>6510272001</v>
      </c>
      <c r="C151" s="88" t="s">
        <v>161</v>
      </c>
      <c r="D151" s="89">
        <v>650</v>
      </c>
      <c r="E151" s="89">
        <v>180</v>
      </c>
      <c r="F151" s="89">
        <f>(('BIOMETRIA HEMATICA'!$D$2)*0.2)+('BIOMETRIA HEMATICA'!$D$2)</f>
        <v>0</v>
      </c>
      <c r="G151" s="90">
        <f t="shared" si="39"/>
        <v>0</v>
      </c>
      <c r="H151" s="90">
        <f>(360/E151)*'BIOMETRIA HEMATICA'!$B$10</f>
        <v>2</v>
      </c>
      <c r="I151" s="92">
        <f t="shared" si="41"/>
        <v>2</v>
      </c>
      <c r="J151" s="115">
        <f>IF(G128=0,0,G151)</f>
        <v>0</v>
      </c>
      <c r="K151" s="108">
        <f t="shared" si="42"/>
        <v>2</v>
      </c>
      <c r="L151" s="95">
        <v>1705</v>
      </c>
      <c r="M151" s="96">
        <f t="shared" si="40"/>
        <v>3410</v>
      </c>
      <c r="N151" s="106"/>
      <c r="O151" s="104"/>
      <c r="P151" s="104"/>
      <c r="Q151" s="104"/>
      <c r="R151" s="104"/>
    </row>
    <row r="152" spans="1:18" x14ac:dyDescent="0.45">
      <c r="A152" s="128"/>
      <c r="B152" s="87">
        <v>9426752001</v>
      </c>
      <c r="C152" s="88" t="s">
        <v>162</v>
      </c>
      <c r="D152" s="89">
        <v>450</v>
      </c>
      <c r="E152" s="89">
        <v>60</v>
      </c>
      <c r="F152" s="89">
        <f>(('BIOMETRIA HEMATICA'!$D$2)*0.2)+('BIOMETRIA HEMATICA'!$D$2)</f>
        <v>0</v>
      </c>
      <c r="G152" s="90">
        <f t="shared" si="39"/>
        <v>0</v>
      </c>
      <c r="H152" s="90">
        <f>(360/E152)*'BIOMETRIA HEMATICA'!$B$10</f>
        <v>6</v>
      </c>
      <c r="I152" s="92">
        <f t="shared" si="41"/>
        <v>6</v>
      </c>
      <c r="J152" s="115">
        <f>IF(G129=0,0,G152)</f>
        <v>0</v>
      </c>
      <c r="K152" s="108">
        <f t="shared" si="42"/>
        <v>6</v>
      </c>
      <c r="L152" s="95">
        <v>34</v>
      </c>
      <c r="M152" s="96">
        <f t="shared" si="40"/>
        <v>204</v>
      </c>
      <c r="N152" s="106"/>
      <c r="O152" s="35"/>
      <c r="P152" s="35"/>
      <c r="Q152" s="35"/>
      <c r="R152" s="35"/>
    </row>
    <row r="153" spans="1:18" ht="21" x14ac:dyDescent="0.45">
      <c r="A153" s="100" t="s">
        <v>163</v>
      </c>
      <c r="B153" s="101">
        <v>7051409001</v>
      </c>
      <c r="C153" s="101" t="s">
        <v>164</v>
      </c>
      <c r="D153" s="102">
        <f>(((F140/30)/12)*E153)</f>
        <v>2277.333333333333</v>
      </c>
      <c r="E153" s="102">
        <v>56</v>
      </c>
      <c r="F153" s="102">
        <f>(('BIOMETRIA HEMATICA'!$H$2)*0.2)+('BIOMETRIA HEMATICA'!$H$2)</f>
        <v>0</v>
      </c>
      <c r="G153" s="91">
        <f t="shared" si="39"/>
        <v>0</v>
      </c>
      <c r="H153" s="91">
        <f>(360/E153)*'BIOMETRIA HEMATICA'!$B$10</f>
        <v>6.4285714285714288</v>
      </c>
      <c r="I153" s="93">
        <f t="shared" si="41"/>
        <v>6.4285714285714288</v>
      </c>
      <c r="J153" s="93">
        <f>IF(G130=0,0,G153)</f>
        <v>0</v>
      </c>
      <c r="K153" s="108">
        <f t="shared" si="42"/>
        <v>7</v>
      </c>
      <c r="L153" s="103">
        <v>661</v>
      </c>
      <c r="M153" s="97">
        <f t="shared" si="40"/>
        <v>4627</v>
      </c>
      <c r="N153" s="107"/>
      <c r="O153" s="104"/>
      <c r="P153" s="104"/>
      <c r="Q153" s="104"/>
      <c r="R153" s="104"/>
    </row>
    <row r="154" spans="1:18" x14ac:dyDescent="0.45">
      <c r="C154" s="18"/>
      <c r="D154" s="18"/>
      <c r="E154" s="18"/>
      <c r="F154" s="18"/>
      <c r="G154" s="18"/>
      <c r="H154" s="18"/>
      <c r="I154" s="18"/>
      <c r="J154" s="18"/>
      <c r="K154" s="18"/>
      <c r="L154" s="98"/>
      <c r="M154" s="98"/>
      <c r="N154" s="35"/>
      <c r="O154" s="35"/>
      <c r="P154" s="35"/>
      <c r="Q154" s="35"/>
      <c r="R154" s="35"/>
    </row>
    <row r="155" spans="1:18" x14ac:dyDescent="0.45">
      <c r="C155" s="26" t="s">
        <v>150</v>
      </c>
      <c r="D155" s="27"/>
      <c r="E155" s="27"/>
      <c r="F155" s="27"/>
      <c r="G155" s="28"/>
      <c r="H155" s="28"/>
      <c r="I155" s="18"/>
      <c r="J155" s="18"/>
      <c r="K155" s="130">
        <f>'BIOMETRIA HEMATICA'!B6</f>
        <v>12</v>
      </c>
      <c r="L155" s="29">
        <f>BC!F109</f>
        <v>1920</v>
      </c>
      <c r="M155" s="29">
        <f>(L155/K155)*K155</f>
        <v>1920</v>
      </c>
      <c r="N155" s="34"/>
    </row>
    <row r="156" spans="1:18" x14ac:dyDescent="0.45">
      <c r="C156" s="19" t="s">
        <v>24</v>
      </c>
      <c r="D156" s="27"/>
      <c r="E156" s="27"/>
      <c r="F156" s="27"/>
      <c r="G156" s="28"/>
      <c r="H156" s="28"/>
      <c r="I156" s="18"/>
      <c r="J156" s="18"/>
      <c r="K156" s="130"/>
      <c r="L156" s="29">
        <v>2893</v>
      </c>
      <c r="M156" s="29">
        <f>(L156*K155)/(12)</f>
        <v>2893</v>
      </c>
      <c r="N156" s="34"/>
    </row>
    <row r="157" spans="1:18" x14ac:dyDescent="0.45">
      <c r="C157" s="19" t="s">
        <v>0</v>
      </c>
      <c r="D157" s="18"/>
      <c r="E157" s="18"/>
      <c r="F157" s="18"/>
      <c r="G157" s="18"/>
      <c r="H157" s="18"/>
      <c r="I157" s="18"/>
      <c r="J157" s="18"/>
      <c r="K157" s="130"/>
      <c r="L157" s="29">
        <v>86713</v>
      </c>
      <c r="M157" s="29">
        <f>((((L156)*(K155))/'BIOMETRIA HEMATICA'!B2))</f>
        <v>2.8455737704918032</v>
      </c>
      <c r="N157" s="34"/>
    </row>
  </sheetData>
  <mergeCells count="34">
    <mergeCell ref="A140:A148"/>
    <mergeCell ref="A149:A150"/>
    <mergeCell ref="A151:A152"/>
    <mergeCell ref="K155:K157"/>
    <mergeCell ref="A115:R115"/>
    <mergeCell ref="A117:A125"/>
    <mergeCell ref="A126:A127"/>
    <mergeCell ref="A128:A129"/>
    <mergeCell ref="K132:K134"/>
    <mergeCell ref="A138:R138"/>
    <mergeCell ref="K109:K111"/>
    <mergeCell ref="A58:R58"/>
    <mergeCell ref="A60:A66"/>
    <mergeCell ref="A67:A68"/>
    <mergeCell ref="K71:K73"/>
    <mergeCell ref="A77:R77"/>
    <mergeCell ref="A79:A85"/>
    <mergeCell ref="A86:A87"/>
    <mergeCell ref="K90:K92"/>
    <mergeCell ref="A96:R96"/>
    <mergeCell ref="A98:A104"/>
    <mergeCell ref="A105:A106"/>
    <mergeCell ref="K52:K54"/>
    <mergeCell ref="A1:R1"/>
    <mergeCell ref="A3:A9"/>
    <mergeCell ref="A10:A11"/>
    <mergeCell ref="K14:K16"/>
    <mergeCell ref="A20:R20"/>
    <mergeCell ref="A22:A28"/>
    <mergeCell ref="A29:A30"/>
    <mergeCell ref="K33:K35"/>
    <mergeCell ref="A39:R39"/>
    <mergeCell ref="A41:A47"/>
    <mergeCell ref="A48:A4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4AD04-E10F-4ACD-9065-F9DA9807A31E}">
  <dimension ref="A1:Q182"/>
  <sheetViews>
    <sheetView topLeftCell="A82" workbookViewId="0">
      <selection activeCell="Q93" sqref="Q93"/>
    </sheetView>
  </sheetViews>
  <sheetFormatPr baseColWidth="10" defaultRowHeight="14.25" x14ac:dyDescent="0.45"/>
  <cols>
    <col min="1" max="1" width="10" bestFit="1" customWidth="1"/>
    <col min="2" max="2" width="8.6640625" bestFit="1" customWidth="1"/>
    <col min="3" max="3" width="18.06640625" bestFit="1" customWidth="1"/>
    <col min="4" max="4" width="8.6640625" bestFit="1" customWidth="1"/>
    <col min="5" max="5" width="8.265625" bestFit="1" customWidth="1"/>
    <col min="6" max="6" width="6.1328125" bestFit="1" customWidth="1"/>
    <col min="7" max="7" width="8.6640625" bestFit="1" customWidth="1"/>
    <col min="8" max="8" width="9.1328125" bestFit="1" customWidth="1"/>
    <col min="9" max="9" width="8.3984375" bestFit="1" customWidth="1"/>
    <col min="10" max="10" width="8.3984375" customWidth="1"/>
    <col min="11" max="11" width="10.19921875" bestFit="1" customWidth="1"/>
    <col min="12" max="12" width="10.59765625" bestFit="1" customWidth="1"/>
    <col min="13" max="13" width="7.796875" bestFit="1" customWidth="1"/>
    <col min="14" max="14" width="7.796875" hidden="1" customWidth="1"/>
    <col min="15" max="15" width="7.796875" customWidth="1"/>
    <col min="16" max="16" width="11.59765625" bestFit="1" customWidth="1"/>
    <col min="17" max="17" width="9.9296875" bestFit="1" customWidth="1"/>
  </cols>
  <sheetData>
    <row r="1" spans="1:17" x14ac:dyDescent="0.45">
      <c r="A1" s="126" t="s">
        <v>168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</row>
    <row r="2" spans="1:17" ht="21" x14ac:dyDescent="0.45">
      <c r="A2" s="79" t="s">
        <v>1</v>
      </c>
      <c r="B2" s="79" t="s">
        <v>2</v>
      </c>
      <c r="C2" s="79" t="s">
        <v>3</v>
      </c>
      <c r="D2" s="79" t="s">
        <v>4</v>
      </c>
      <c r="E2" s="80" t="s">
        <v>5</v>
      </c>
      <c r="F2" s="80" t="s">
        <v>6</v>
      </c>
      <c r="G2" s="80" t="s">
        <v>7</v>
      </c>
      <c r="H2" s="80" t="s">
        <v>13</v>
      </c>
      <c r="I2" s="80" t="s">
        <v>8</v>
      </c>
      <c r="J2" s="80"/>
      <c r="K2" s="11" t="s">
        <v>16</v>
      </c>
      <c r="L2" s="11" t="s">
        <v>14</v>
      </c>
      <c r="M2" s="11" t="s">
        <v>15</v>
      </c>
      <c r="N2" s="11"/>
      <c r="O2" s="117" t="s">
        <v>25</v>
      </c>
      <c r="P2" s="11" t="s">
        <v>26</v>
      </c>
      <c r="Q2" s="80" t="s">
        <v>178</v>
      </c>
    </row>
    <row r="3" spans="1:17" x14ac:dyDescent="0.45">
      <c r="A3" s="127" t="s">
        <v>9</v>
      </c>
      <c r="B3" s="81">
        <v>6510167001</v>
      </c>
      <c r="C3" s="81" t="s">
        <v>153</v>
      </c>
      <c r="D3" s="82">
        <v>450</v>
      </c>
      <c r="E3" s="82">
        <v>60</v>
      </c>
      <c r="F3" s="82">
        <f>(('BIOMETRIA HEMATICA'!$B$2))</f>
        <v>12200</v>
      </c>
      <c r="G3" s="82">
        <f>F3/D3</f>
        <v>27.111111111111111</v>
      </c>
      <c r="H3" s="82">
        <f>(360/E3)*'BIOMETRIA HEMATICA'!$B$10</f>
        <v>6</v>
      </c>
      <c r="I3" s="83">
        <f>IF(G3&gt;H3,G3,H3)</f>
        <v>27.111111111111111</v>
      </c>
      <c r="J3" s="83"/>
      <c r="K3" s="83">
        <f t="shared" ref="K3:K12" si="0">ROUNDDOWN(I3,0)</f>
        <v>27</v>
      </c>
      <c r="L3" s="94">
        <v>121</v>
      </c>
      <c r="M3" s="94">
        <f>L3*K3</f>
        <v>3267</v>
      </c>
      <c r="N3" s="94"/>
      <c r="O3" s="118">
        <f t="shared" ref="O3:O12" si="1">(L3*$L$19)+L3</f>
        <v>522.45086861212963</v>
      </c>
      <c r="P3" s="29">
        <f t="shared" ref="P3:P12" si="2">O3*K3</f>
        <v>14106.173452527501</v>
      </c>
      <c r="Q3" s="121">
        <f>(SUM(P3:P12)/'BIOMETRIA HEMATICA'!B2)+M16</f>
        <v>10.139640983606556</v>
      </c>
    </row>
    <row r="4" spans="1:17" x14ac:dyDescent="0.45">
      <c r="A4" s="128"/>
      <c r="B4" s="81">
        <v>3337006001</v>
      </c>
      <c r="C4" s="81" t="s">
        <v>154</v>
      </c>
      <c r="D4" s="82">
        <v>9450</v>
      </c>
      <c r="E4" s="82">
        <v>60</v>
      </c>
      <c r="F4" s="82">
        <f>(('BIOMETRIA HEMATICA'!$B$2))</f>
        <v>12200</v>
      </c>
      <c r="G4" s="82">
        <f t="shared" ref="G4:G12" si="3">F4/D4</f>
        <v>1.2910052910052909</v>
      </c>
      <c r="H4" s="82">
        <f>(360/E4)*'BIOMETRIA HEMATICA'!$B$10</f>
        <v>6</v>
      </c>
      <c r="I4" s="83">
        <f>IF(G4&gt;H4,G4,H4)</f>
        <v>6</v>
      </c>
      <c r="J4" s="83">
        <f>IF(N4&gt;N5,0,I4)</f>
        <v>0</v>
      </c>
      <c r="K4" s="108">
        <f t="shared" si="0"/>
        <v>6</v>
      </c>
      <c r="L4" s="94">
        <v>1107</v>
      </c>
      <c r="M4" s="94">
        <f t="shared" ref="M4:M12" si="4">L4*K4</f>
        <v>6642</v>
      </c>
      <c r="N4" s="105">
        <f>L4*K4</f>
        <v>6642</v>
      </c>
      <c r="O4" s="118">
        <f t="shared" si="1"/>
        <v>4779.7777814349374</v>
      </c>
      <c r="P4" s="29">
        <f t="shared" si="2"/>
        <v>28678.666688609625</v>
      </c>
      <c r="Q4" s="80" t="s">
        <v>179</v>
      </c>
    </row>
    <row r="5" spans="1:17" x14ac:dyDescent="0.45">
      <c r="A5" s="128"/>
      <c r="B5" s="84">
        <v>12215616001</v>
      </c>
      <c r="C5" s="85" t="s">
        <v>155</v>
      </c>
      <c r="D5" s="82">
        <v>850</v>
      </c>
      <c r="E5" s="82">
        <v>60</v>
      </c>
      <c r="F5" s="82">
        <f>(('BIOMETRIA HEMATICA'!$B$2))</f>
        <v>12200</v>
      </c>
      <c r="G5" s="82">
        <f t="shared" si="3"/>
        <v>14.352941176470589</v>
      </c>
      <c r="H5" s="82">
        <f>(360/E5)*'BIOMETRIA HEMATICA'!$B$10</f>
        <v>6</v>
      </c>
      <c r="I5" s="83">
        <f t="shared" ref="I5:I12" si="5">IF(G5&gt;H5,G5,H5)</f>
        <v>14.352941176470589</v>
      </c>
      <c r="J5" s="83">
        <f>IF(N5&gt;N4,0,I5)</f>
        <v>14.352941176470589</v>
      </c>
      <c r="K5" s="108">
        <f t="shared" si="0"/>
        <v>14</v>
      </c>
      <c r="L5" s="94">
        <v>228.33</v>
      </c>
      <c r="M5" s="94">
        <f t="shared" si="4"/>
        <v>3196.6200000000003</v>
      </c>
      <c r="N5" s="105">
        <f>L5*K5</f>
        <v>3196.6200000000003</v>
      </c>
      <c r="O5" s="118">
        <f t="shared" si="1"/>
        <v>985.87774239840962</v>
      </c>
      <c r="P5" s="29">
        <f t="shared" si="2"/>
        <v>13802.288393577735</v>
      </c>
      <c r="Q5" s="121">
        <f>(SUM(P3:P9)/'BIOMETRIA HEMATICA'!B2)+M16</f>
        <v>7.4569573471887658</v>
      </c>
    </row>
    <row r="6" spans="1:17" x14ac:dyDescent="0.45">
      <c r="A6" s="128"/>
      <c r="B6" s="81">
        <v>7837984001</v>
      </c>
      <c r="C6" s="81" t="s">
        <v>156</v>
      </c>
      <c r="D6" s="82">
        <v>2450</v>
      </c>
      <c r="E6" s="82">
        <v>90</v>
      </c>
      <c r="F6" s="82">
        <f>(('BIOMETRIA HEMATICA'!$B$2))</f>
        <v>12200</v>
      </c>
      <c r="G6" s="82">
        <f t="shared" si="3"/>
        <v>4.9795918367346941</v>
      </c>
      <c r="H6" s="82">
        <f>(360/E6)*'BIOMETRIA HEMATICA'!$B$10</f>
        <v>4</v>
      </c>
      <c r="I6" s="83">
        <f t="shared" si="5"/>
        <v>4.9795918367346941</v>
      </c>
      <c r="J6" s="83"/>
      <c r="K6" s="83">
        <f t="shared" si="0"/>
        <v>4</v>
      </c>
      <c r="L6" s="94">
        <v>176</v>
      </c>
      <c r="M6" s="94">
        <f t="shared" si="4"/>
        <v>704</v>
      </c>
      <c r="N6" s="105"/>
      <c r="O6" s="118">
        <f t="shared" si="1"/>
        <v>759.92853616309765</v>
      </c>
      <c r="P6" s="29">
        <f t="shared" si="2"/>
        <v>3039.7141446523906</v>
      </c>
    </row>
    <row r="7" spans="1:17" x14ac:dyDescent="0.45">
      <c r="A7" s="128"/>
      <c r="B7" s="81">
        <v>6510256001</v>
      </c>
      <c r="C7" s="81" t="s">
        <v>157</v>
      </c>
      <c r="D7" s="82">
        <v>3400</v>
      </c>
      <c r="E7" s="82">
        <v>180</v>
      </c>
      <c r="F7" s="82">
        <f>(('BIOMETRIA HEMATICA'!$B$2))</f>
        <v>12200</v>
      </c>
      <c r="G7" s="82">
        <f t="shared" si="3"/>
        <v>3.5882352941176472</v>
      </c>
      <c r="H7" s="82">
        <f>(360/E7)*'BIOMETRIA HEMATICA'!$B$10</f>
        <v>2</v>
      </c>
      <c r="I7" s="83">
        <f t="shared" si="5"/>
        <v>3.5882352941176472</v>
      </c>
      <c r="J7" s="83"/>
      <c r="K7" s="83">
        <f t="shared" si="0"/>
        <v>3</v>
      </c>
      <c r="L7" s="94">
        <v>862</v>
      </c>
      <c r="M7" s="94">
        <f t="shared" si="4"/>
        <v>2586</v>
      </c>
      <c r="N7" s="105"/>
      <c r="O7" s="118">
        <f t="shared" si="1"/>
        <v>3721.9227168897169</v>
      </c>
      <c r="P7" s="29">
        <f t="shared" si="2"/>
        <v>11165.768150669152</v>
      </c>
    </row>
    <row r="8" spans="1:17" x14ac:dyDescent="0.45">
      <c r="A8" s="128"/>
      <c r="B8" s="81">
        <v>6952291001</v>
      </c>
      <c r="C8" s="81" t="s">
        <v>158</v>
      </c>
      <c r="D8" s="82">
        <f>(((F3/30)/12)*E8)</f>
        <v>5083.3333333333339</v>
      </c>
      <c r="E8" s="82">
        <v>150</v>
      </c>
      <c r="F8" s="82">
        <f>(('BIOMETRIA HEMATICA'!$B$2))</f>
        <v>12200</v>
      </c>
      <c r="G8" s="82">
        <f t="shared" si="3"/>
        <v>2.4</v>
      </c>
      <c r="H8" s="82">
        <f>(360/E8)*'BIOMETRIA HEMATICA'!$B$10</f>
        <v>2.4</v>
      </c>
      <c r="I8" s="83">
        <f t="shared" si="5"/>
        <v>2.4</v>
      </c>
      <c r="J8" s="83"/>
      <c r="K8" s="83">
        <f t="shared" si="0"/>
        <v>2</v>
      </c>
      <c r="L8" s="94">
        <v>52</v>
      </c>
      <c r="M8" s="94">
        <f t="shared" si="4"/>
        <v>104</v>
      </c>
      <c r="N8" s="105"/>
      <c r="O8" s="118">
        <f t="shared" si="1"/>
        <v>224.52434023000612</v>
      </c>
      <c r="P8" s="29">
        <f t="shared" si="2"/>
        <v>449.04868046001224</v>
      </c>
    </row>
    <row r="9" spans="1:17" ht="21" x14ac:dyDescent="0.45">
      <c r="A9" s="128"/>
      <c r="B9" s="86">
        <v>7051506001</v>
      </c>
      <c r="C9" s="81" t="s">
        <v>159</v>
      </c>
      <c r="D9" s="82">
        <f>(((F3/30)/12)*E9)</f>
        <v>1897.7777777777781</v>
      </c>
      <c r="E9" s="82">
        <v>56</v>
      </c>
      <c r="F9" s="82">
        <f>(('BIOMETRIA HEMATICA'!$B$2))</f>
        <v>12200</v>
      </c>
      <c r="G9" s="82">
        <f t="shared" si="3"/>
        <v>6.4285714285714279</v>
      </c>
      <c r="H9" s="82">
        <f>(360/E9)*'BIOMETRIA HEMATICA'!$B$10</f>
        <v>6.4285714285714288</v>
      </c>
      <c r="I9" s="83">
        <f t="shared" si="5"/>
        <v>6.4285714285714288</v>
      </c>
      <c r="J9" s="83"/>
      <c r="K9" s="83">
        <f t="shared" si="0"/>
        <v>6</v>
      </c>
      <c r="L9" s="94">
        <v>544</v>
      </c>
      <c r="M9" s="94">
        <f t="shared" si="4"/>
        <v>3264</v>
      </c>
      <c r="N9" s="105"/>
      <c r="O9" s="118">
        <f t="shared" si="1"/>
        <v>2348.8700208677565</v>
      </c>
      <c r="P9" s="29">
        <f t="shared" si="2"/>
        <v>14093.220125206539</v>
      </c>
    </row>
    <row r="10" spans="1:17" x14ac:dyDescent="0.45">
      <c r="A10" s="129" t="s">
        <v>160</v>
      </c>
      <c r="B10" s="87">
        <v>6510272001</v>
      </c>
      <c r="C10" s="88" t="s">
        <v>161</v>
      </c>
      <c r="D10" s="89">
        <v>650</v>
      </c>
      <c r="E10" s="89">
        <v>180</v>
      </c>
      <c r="F10" s="89">
        <f>(('BIOMETRIA HEMATICA'!$D$2))</f>
        <v>0</v>
      </c>
      <c r="G10" s="90">
        <f t="shared" si="3"/>
        <v>0</v>
      </c>
      <c r="H10" s="90">
        <f>(360/E10)*'BIOMETRIA HEMATICA'!$B$10</f>
        <v>2</v>
      </c>
      <c r="I10" s="92">
        <f t="shared" si="5"/>
        <v>2</v>
      </c>
      <c r="J10" s="115">
        <f t="shared" ref="J10:J11" si="6">IF(G10=0,0,G10)</f>
        <v>0</v>
      </c>
      <c r="K10" s="108">
        <f t="shared" si="0"/>
        <v>2</v>
      </c>
      <c r="L10" s="95">
        <v>1705</v>
      </c>
      <c r="M10" s="96">
        <f t="shared" si="4"/>
        <v>3410</v>
      </c>
      <c r="N10" s="106"/>
      <c r="O10" s="118">
        <f t="shared" si="1"/>
        <v>7361.8076940800083</v>
      </c>
      <c r="P10" s="29">
        <f t="shared" si="2"/>
        <v>14723.615388160017</v>
      </c>
      <c r="Q10" s="120"/>
    </row>
    <row r="11" spans="1:17" x14ac:dyDescent="0.45">
      <c r="A11" s="128"/>
      <c r="B11" s="87">
        <v>9426752001</v>
      </c>
      <c r="C11" s="88" t="s">
        <v>162</v>
      </c>
      <c r="D11" s="89">
        <v>450</v>
      </c>
      <c r="E11" s="89">
        <v>60</v>
      </c>
      <c r="F11" s="89">
        <f>(('BIOMETRIA HEMATICA'!$D$2))</f>
        <v>0</v>
      </c>
      <c r="G11" s="90">
        <f t="shared" si="3"/>
        <v>0</v>
      </c>
      <c r="H11" s="90">
        <f>(360/E11)*'BIOMETRIA HEMATICA'!$B$10</f>
        <v>6</v>
      </c>
      <c r="I11" s="92">
        <f t="shared" si="5"/>
        <v>6</v>
      </c>
      <c r="J11" s="115">
        <f t="shared" si="6"/>
        <v>0</v>
      </c>
      <c r="K11" s="108">
        <f t="shared" si="0"/>
        <v>6</v>
      </c>
      <c r="L11" s="95">
        <v>34</v>
      </c>
      <c r="M11" s="96">
        <f t="shared" si="4"/>
        <v>204</v>
      </c>
      <c r="N11" s="106"/>
      <c r="O11" s="118">
        <f t="shared" si="1"/>
        <v>146.80437630423478</v>
      </c>
      <c r="P11" s="29">
        <f t="shared" si="2"/>
        <v>880.82625782540867</v>
      </c>
      <c r="Q11" s="35"/>
    </row>
    <row r="12" spans="1:17" ht="21" x14ac:dyDescent="0.45">
      <c r="A12" s="100" t="s">
        <v>163</v>
      </c>
      <c r="B12" s="101">
        <v>7051409001</v>
      </c>
      <c r="C12" s="101" t="s">
        <v>164</v>
      </c>
      <c r="D12" s="102">
        <f>(((F3/30)/12)*E12)</f>
        <v>1897.7777777777781</v>
      </c>
      <c r="E12" s="102">
        <v>56</v>
      </c>
      <c r="F12" s="102">
        <f>(('BIOMETRIA HEMATICA'!$H$2))</f>
        <v>0</v>
      </c>
      <c r="G12" s="91">
        <f t="shared" si="3"/>
        <v>0</v>
      </c>
      <c r="H12" s="91">
        <f>(360/E12)*'BIOMETRIA HEMATICA'!$B$10</f>
        <v>6.4285714285714288</v>
      </c>
      <c r="I12" s="93">
        <f t="shared" si="5"/>
        <v>6.4285714285714288</v>
      </c>
      <c r="J12" s="93">
        <f>IF(G12=0,0,G12)</f>
        <v>0</v>
      </c>
      <c r="K12" s="108">
        <f t="shared" si="0"/>
        <v>6</v>
      </c>
      <c r="L12" s="103">
        <v>661</v>
      </c>
      <c r="M12" s="97">
        <f t="shared" si="4"/>
        <v>3966</v>
      </c>
      <c r="N12" s="107"/>
      <c r="O12" s="118">
        <f t="shared" si="1"/>
        <v>2854.0497863852702</v>
      </c>
      <c r="P12" s="29">
        <f t="shared" si="2"/>
        <v>17124.29871831162</v>
      </c>
      <c r="Q12" s="120"/>
    </row>
    <row r="13" spans="1:17" x14ac:dyDescent="0.45">
      <c r="C13" s="18"/>
      <c r="D13" s="18"/>
      <c r="E13" s="18"/>
      <c r="F13" s="18"/>
      <c r="G13" s="18"/>
      <c r="H13" s="18"/>
      <c r="I13" s="18"/>
      <c r="J13" s="18"/>
      <c r="K13" s="18"/>
      <c r="L13" s="98"/>
      <c r="M13" s="98"/>
      <c r="N13" s="35"/>
      <c r="O13" s="35"/>
      <c r="P13" s="35">
        <f>SUM(P3:P12)</f>
        <v>118063.62</v>
      </c>
      <c r="Q13" s="35"/>
    </row>
    <row r="14" spans="1:17" x14ac:dyDescent="0.45">
      <c r="C14" s="26" t="s">
        <v>150</v>
      </c>
      <c r="D14" s="27"/>
      <c r="E14" s="27"/>
      <c r="F14" s="27"/>
      <c r="G14" s="28"/>
      <c r="H14" s="28"/>
      <c r="I14" s="18"/>
      <c r="J14" s="18"/>
      <c r="K14" s="130">
        <f>'BIOMETRIA HEMATICA'!B6</f>
        <v>12</v>
      </c>
      <c r="L14" s="29">
        <f>BC!F109</f>
        <v>1920</v>
      </c>
      <c r="M14" s="29">
        <f>(L14/K14)*K14</f>
        <v>1920</v>
      </c>
      <c r="N14" s="34"/>
      <c r="O14" s="34"/>
      <c r="P14" s="34"/>
    </row>
    <row r="15" spans="1:17" x14ac:dyDescent="0.45">
      <c r="C15" s="19" t="s">
        <v>24</v>
      </c>
      <c r="D15" s="27"/>
      <c r="E15" s="27"/>
      <c r="F15" s="27"/>
      <c r="G15" s="28"/>
      <c r="H15" s="28"/>
      <c r="I15" s="18"/>
      <c r="J15" s="18"/>
      <c r="K15" s="130"/>
      <c r="L15" s="29">
        <v>470</v>
      </c>
      <c r="M15" s="29">
        <f>(L15*K14)</f>
        <v>5640</v>
      </c>
      <c r="N15" s="34"/>
      <c r="O15" s="34"/>
      <c r="P15" s="34"/>
    </row>
    <row r="16" spans="1:17" x14ac:dyDescent="0.45">
      <c r="C16" s="19" t="s">
        <v>0</v>
      </c>
      <c r="D16" s="18"/>
      <c r="E16" s="18"/>
      <c r="F16" s="18"/>
      <c r="G16" s="18"/>
      <c r="H16" s="18"/>
      <c r="I16" s="18"/>
      <c r="J16" s="18"/>
      <c r="K16" s="130"/>
      <c r="L16" s="29">
        <v>21362</v>
      </c>
      <c r="M16" s="29">
        <f>((((L15)*(K14))/'BIOMETRIA HEMATICA'!B2))</f>
        <v>0.46229508196721314</v>
      </c>
      <c r="N16" s="34"/>
      <c r="O16" s="34"/>
      <c r="P16" s="34"/>
    </row>
    <row r="17" spans="1:17" x14ac:dyDescent="0.45">
      <c r="L17" s="35">
        <f>SUM(M14:M15)</f>
        <v>7560</v>
      </c>
      <c r="M17" s="35"/>
      <c r="P17" s="35">
        <f>P13-L18</f>
        <v>90720</v>
      </c>
    </row>
    <row r="18" spans="1:17" x14ac:dyDescent="0.45">
      <c r="L18" s="35">
        <f>SUM(M3:M12)</f>
        <v>27343.620000000003</v>
      </c>
      <c r="P18" s="35">
        <f>L15*K14</f>
        <v>5640</v>
      </c>
    </row>
    <row r="19" spans="1:17" x14ac:dyDescent="0.45">
      <c r="L19" s="36">
        <f>(L17/L18)*K14</f>
        <v>3.3177757736539637</v>
      </c>
    </row>
    <row r="20" spans="1:17" x14ac:dyDescent="0.45">
      <c r="L20" s="35"/>
    </row>
    <row r="24" spans="1:17" x14ac:dyDescent="0.45">
      <c r="A24" s="126" t="s">
        <v>169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</row>
    <row r="25" spans="1:17" ht="21" x14ac:dyDescent="0.45">
      <c r="A25" s="79" t="s">
        <v>1</v>
      </c>
      <c r="B25" s="79" t="s">
        <v>2</v>
      </c>
      <c r="C25" s="79" t="s">
        <v>3</v>
      </c>
      <c r="D25" s="79" t="s">
        <v>4</v>
      </c>
      <c r="E25" s="80" t="s">
        <v>5</v>
      </c>
      <c r="F25" s="80" t="s">
        <v>6</v>
      </c>
      <c r="G25" s="80" t="s">
        <v>7</v>
      </c>
      <c r="H25" s="80" t="s">
        <v>13</v>
      </c>
      <c r="I25" s="80" t="s">
        <v>8</v>
      </c>
      <c r="J25" s="80"/>
      <c r="K25" s="11" t="s">
        <v>16</v>
      </c>
      <c r="L25" s="11" t="s">
        <v>14</v>
      </c>
      <c r="M25" s="11" t="s">
        <v>15</v>
      </c>
      <c r="N25" s="11"/>
      <c r="O25" s="117" t="s">
        <v>25</v>
      </c>
      <c r="P25" s="11" t="s">
        <v>26</v>
      </c>
      <c r="Q25" s="80" t="s">
        <v>178</v>
      </c>
    </row>
    <row r="26" spans="1:17" x14ac:dyDescent="0.45">
      <c r="A26" s="127" t="s">
        <v>9</v>
      </c>
      <c r="B26" s="81">
        <v>6510167001</v>
      </c>
      <c r="C26" s="81" t="s">
        <v>153</v>
      </c>
      <c r="D26" s="82">
        <v>450</v>
      </c>
      <c r="E26" s="82">
        <v>60</v>
      </c>
      <c r="F26" s="82">
        <f>(('BIOMETRIA HEMATICA'!$B$2))</f>
        <v>12200</v>
      </c>
      <c r="G26" s="82">
        <f>F26/D26</f>
        <v>27.111111111111111</v>
      </c>
      <c r="H26" s="82">
        <f>(360/E26)*'BIOMETRIA HEMATICA'!$B$10</f>
        <v>6</v>
      </c>
      <c r="I26" s="83">
        <f>IF(G26&gt;H26,G26,H26)</f>
        <v>27.111111111111111</v>
      </c>
      <c r="J26" s="83"/>
      <c r="K26" s="83">
        <f>ROUNDDOWN(I26,0)</f>
        <v>27</v>
      </c>
      <c r="L26" s="94">
        <v>121</v>
      </c>
      <c r="M26" s="94">
        <f>L26*K26</f>
        <v>3267</v>
      </c>
      <c r="N26" s="94"/>
      <c r="O26" s="118">
        <f>(L26*$L$42)+L26</f>
        <v>586.17322870929297</v>
      </c>
      <c r="P26" s="29">
        <f t="shared" ref="P26:P35" si="7">O26*K26</f>
        <v>15826.67717515091</v>
      </c>
      <c r="Q26" s="121">
        <f>(SUM(P26:P35)/'BIOMETRIA HEMATICA'!B2)+M39</f>
        <v>11.41832950819672</v>
      </c>
    </row>
    <row r="27" spans="1:17" x14ac:dyDescent="0.45">
      <c r="A27" s="128"/>
      <c r="B27" s="81">
        <v>3337006001</v>
      </c>
      <c r="C27" s="81" t="s">
        <v>154</v>
      </c>
      <c r="D27" s="82">
        <v>9450</v>
      </c>
      <c r="E27" s="82">
        <v>60</v>
      </c>
      <c r="F27" s="82">
        <f>(('BIOMETRIA HEMATICA'!$B$2))</f>
        <v>12200</v>
      </c>
      <c r="G27" s="82">
        <f t="shared" ref="G27:G35" si="8">F27/D27</f>
        <v>1.2910052910052909</v>
      </c>
      <c r="H27" s="82">
        <f>(360/E27)*'BIOMETRIA HEMATICA'!$B$10</f>
        <v>6</v>
      </c>
      <c r="I27" s="83">
        <f>IF(G27&gt;H27,G27,H27)</f>
        <v>6</v>
      </c>
      <c r="J27" s="83">
        <f>IF(N27&gt;N28,0,I27)</f>
        <v>0</v>
      </c>
      <c r="K27" s="108">
        <f t="shared" ref="K27:K28" si="9">ROUNDDOWN(I27,0)</f>
        <v>6</v>
      </c>
      <c r="L27" s="94">
        <v>1107</v>
      </c>
      <c r="M27" s="94">
        <f t="shared" ref="M27:M35" si="10">L27*K27</f>
        <v>6642</v>
      </c>
      <c r="N27" s="105">
        <f>L27*K27</f>
        <v>6642</v>
      </c>
      <c r="O27" s="118">
        <f t="shared" ref="O27:O35" si="11">(L27*$L$42)+L27</f>
        <v>5362.7583816627057</v>
      </c>
      <c r="P27" s="29">
        <f t="shared" si="7"/>
        <v>32176.550289976236</v>
      </c>
      <c r="Q27" s="80" t="s">
        <v>179</v>
      </c>
    </row>
    <row r="28" spans="1:17" x14ac:dyDescent="0.45">
      <c r="A28" s="128"/>
      <c r="B28" s="84">
        <v>12215616001</v>
      </c>
      <c r="C28" s="85" t="s">
        <v>155</v>
      </c>
      <c r="D28" s="82">
        <v>850</v>
      </c>
      <c r="E28" s="82">
        <v>60</v>
      </c>
      <c r="F28" s="82">
        <f>(('BIOMETRIA HEMATICA'!$B$2))</f>
        <v>12200</v>
      </c>
      <c r="G28" s="82">
        <f t="shared" si="8"/>
        <v>14.352941176470589</v>
      </c>
      <c r="H28" s="82">
        <f>(360/E28)*'BIOMETRIA HEMATICA'!$B$10</f>
        <v>6</v>
      </c>
      <c r="I28" s="83">
        <f t="shared" ref="I28:I35" si="12">IF(G28&gt;H28,G28,H28)</f>
        <v>14.352941176470589</v>
      </c>
      <c r="J28" s="83">
        <f>IF(N28&gt;N27,0,I28)</f>
        <v>14.352941176470589</v>
      </c>
      <c r="K28" s="108">
        <f t="shared" si="9"/>
        <v>14</v>
      </c>
      <c r="L28" s="94">
        <v>228.33</v>
      </c>
      <c r="M28" s="94">
        <f t="shared" si="10"/>
        <v>3196.6200000000003</v>
      </c>
      <c r="N28" s="105">
        <f>L28*K28</f>
        <v>3196.6200000000003</v>
      </c>
      <c r="O28" s="118">
        <f t="shared" si="11"/>
        <v>1106.1234157949825</v>
      </c>
      <c r="P28" s="29">
        <f t="shared" si="7"/>
        <v>15485.727821129756</v>
      </c>
      <c r="Q28" s="121">
        <f>(SUM(P26:P32)/'BIOMETRIA HEMATICA'!B2)+M39</f>
        <v>8.4084439414602059</v>
      </c>
    </row>
    <row r="29" spans="1:17" x14ac:dyDescent="0.45">
      <c r="A29" s="128"/>
      <c r="B29" s="81">
        <v>7837984001</v>
      </c>
      <c r="C29" s="81" t="s">
        <v>156</v>
      </c>
      <c r="D29" s="82">
        <v>2450</v>
      </c>
      <c r="E29" s="82">
        <v>90</v>
      </c>
      <c r="F29" s="82">
        <f>(('BIOMETRIA HEMATICA'!$B$2))</f>
        <v>12200</v>
      </c>
      <c r="G29" s="82">
        <f t="shared" si="8"/>
        <v>4.9795918367346941</v>
      </c>
      <c r="H29" s="82">
        <f>(360/E29)*'BIOMETRIA HEMATICA'!$B$10</f>
        <v>4</v>
      </c>
      <c r="I29" s="83">
        <f t="shared" si="12"/>
        <v>4.9795918367346941</v>
      </c>
      <c r="J29" s="83"/>
      <c r="K29" s="83">
        <f t="shared" ref="K29:K35" si="13">ROUNDDOWN(I29,0)</f>
        <v>4</v>
      </c>
      <c r="L29" s="94">
        <v>176</v>
      </c>
      <c r="M29" s="94">
        <f t="shared" si="10"/>
        <v>704</v>
      </c>
      <c r="N29" s="105"/>
      <c r="O29" s="118">
        <f t="shared" si="11"/>
        <v>852.61560539533525</v>
      </c>
      <c r="P29" s="29">
        <f t="shared" si="7"/>
        <v>3410.462421581341</v>
      </c>
    </row>
    <row r="30" spans="1:17" x14ac:dyDescent="0.45">
      <c r="A30" s="128"/>
      <c r="B30" s="81">
        <v>6510256001</v>
      </c>
      <c r="C30" s="81" t="s">
        <v>157</v>
      </c>
      <c r="D30" s="82">
        <v>3400</v>
      </c>
      <c r="E30" s="82">
        <v>180</v>
      </c>
      <c r="F30" s="82">
        <f>(('BIOMETRIA HEMATICA'!$B$2))</f>
        <v>12200</v>
      </c>
      <c r="G30" s="82">
        <f t="shared" si="8"/>
        <v>3.5882352941176472</v>
      </c>
      <c r="H30" s="82">
        <f>(360/E30)*'BIOMETRIA HEMATICA'!$B$10</f>
        <v>2</v>
      </c>
      <c r="I30" s="83">
        <f t="shared" si="12"/>
        <v>3.5882352941176472</v>
      </c>
      <c r="J30" s="83"/>
      <c r="K30" s="83">
        <f t="shared" si="13"/>
        <v>3</v>
      </c>
      <c r="L30" s="94">
        <v>862</v>
      </c>
      <c r="M30" s="94">
        <f t="shared" si="10"/>
        <v>2586</v>
      </c>
      <c r="N30" s="105"/>
      <c r="O30" s="118">
        <f t="shared" si="11"/>
        <v>4175.8787036976082</v>
      </c>
      <c r="P30" s="29">
        <f t="shared" si="7"/>
        <v>12527.636111092825</v>
      </c>
    </row>
    <row r="31" spans="1:17" x14ac:dyDescent="0.45">
      <c r="A31" s="128"/>
      <c r="B31" s="81">
        <v>6952291001</v>
      </c>
      <c r="C31" s="81" t="s">
        <v>158</v>
      </c>
      <c r="D31" s="82">
        <f>(((F26/30)/12)*E31)</f>
        <v>5083.3333333333339</v>
      </c>
      <c r="E31" s="82">
        <v>150</v>
      </c>
      <c r="F31" s="82">
        <f>(('BIOMETRIA HEMATICA'!$B$2))</f>
        <v>12200</v>
      </c>
      <c r="G31" s="82">
        <f t="shared" si="8"/>
        <v>2.4</v>
      </c>
      <c r="H31" s="82">
        <f>(360/E31)*'BIOMETRIA HEMATICA'!$B$10</f>
        <v>2.4</v>
      </c>
      <c r="I31" s="83">
        <f t="shared" si="12"/>
        <v>2.4</v>
      </c>
      <c r="J31" s="83"/>
      <c r="K31" s="83">
        <f t="shared" si="13"/>
        <v>2</v>
      </c>
      <c r="L31" s="94">
        <v>52</v>
      </c>
      <c r="M31" s="94">
        <f t="shared" si="10"/>
        <v>104</v>
      </c>
      <c r="N31" s="105"/>
      <c r="O31" s="118">
        <f t="shared" si="11"/>
        <v>251.90915613953089</v>
      </c>
      <c r="P31" s="29">
        <f t="shared" si="7"/>
        <v>503.81831227906179</v>
      </c>
    </row>
    <row r="32" spans="1:17" ht="21" x14ac:dyDescent="0.45">
      <c r="A32" s="128"/>
      <c r="B32" s="86">
        <v>7051506001</v>
      </c>
      <c r="C32" s="81" t="s">
        <v>159</v>
      </c>
      <c r="D32" s="82">
        <f>(((F26/30)/12)*E32)</f>
        <v>1897.7777777777781</v>
      </c>
      <c r="E32" s="82">
        <v>56</v>
      </c>
      <c r="F32" s="82">
        <f>(('BIOMETRIA HEMATICA'!$B$2))</f>
        <v>12200</v>
      </c>
      <c r="G32" s="82">
        <f t="shared" si="8"/>
        <v>6.4285714285714279</v>
      </c>
      <c r="H32" s="82">
        <f>(360/E32)*'BIOMETRIA HEMATICA'!$B$10</f>
        <v>6.4285714285714288</v>
      </c>
      <c r="I32" s="83">
        <f t="shared" si="12"/>
        <v>6.4285714285714288</v>
      </c>
      <c r="J32" s="83"/>
      <c r="K32" s="83">
        <f t="shared" si="13"/>
        <v>6</v>
      </c>
      <c r="L32" s="94">
        <v>544</v>
      </c>
      <c r="M32" s="94">
        <f t="shared" si="10"/>
        <v>3264</v>
      </c>
      <c r="N32" s="105"/>
      <c r="O32" s="118">
        <f t="shared" si="11"/>
        <v>2635.3573257674002</v>
      </c>
      <c r="P32" s="29">
        <f t="shared" si="7"/>
        <v>15812.143954604402</v>
      </c>
    </row>
    <row r="33" spans="1:17" x14ac:dyDescent="0.45">
      <c r="A33" s="129" t="s">
        <v>160</v>
      </c>
      <c r="B33" s="87">
        <v>6510272001</v>
      </c>
      <c r="C33" s="88" t="s">
        <v>161</v>
      </c>
      <c r="D33" s="89">
        <v>650</v>
      </c>
      <c r="E33" s="89">
        <v>180</v>
      </c>
      <c r="F33" s="89">
        <f>(('BIOMETRIA HEMATICA'!$D$2))</f>
        <v>0</v>
      </c>
      <c r="G33" s="90">
        <f t="shared" si="8"/>
        <v>0</v>
      </c>
      <c r="H33" s="90">
        <f>(360/E33)*'BIOMETRIA HEMATICA'!$B$10</f>
        <v>2</v>
      </c>
      <c r="I33" s="92">
        <f t="shared" si="12"/>
        <v>2</v>
      </c>
      <c r="J33" s="115">
        <f t="shared" ref="J33:J34" si="14">IF(G33=0,0,G33)</f>
        <v>0</v>
      </c>
      <c r="K33" s="108">
        <f t="shared" si="13"/>
        <v>2</v>
      </c>
      <c r="L33" s="95">
        <v>1705</v>
      </c>
      <c r="M33" s="96">
        <f t="shared" si="10"/>
        <v>3410</v>
      </c>
      <c r="N33" s="106"/>
      <c r="O33" s="118">
        <f t="shared" si="11"/>
        <v>8259.7136772673111</v>
      </c>
      <c r="P33" s="29">
        <f t="shared" si="7"/>
        <v>16519.427354534622</v>
      </c>
      <c r="Q33" s="120"/>
    </row>
    <row r="34" spans="1:17" x14ac:dyDescent="0.45">
      <c r="A34" s="128"/>
      <c r="B34" s="87">
        <v>9426752001</v>
      </c>
      <c r="C34" s="88" t="s">
        <v>162</v>
      </c>
      <c r="D34" s="89">
        <v>450</v>
      </c>
      <c r="E34" s="89">
        <v>60</v>
      </c>
      <c r="F34" s="89">
        <f>(('BIOMETRIA HEMATICA'!$D$2))</f>
        <v>0</v>
      </c>
      <c r="G34" s="90">
        <f t="shared" si="8"/>
        <v>0</v>
      </c>
      <c r="H34" s="90">
        <f>(360/E34)*'BIOMETRIA HEMATICA'!$B$10</f>
        <v>6</v>
      </c>
      <c r="I34" s="92">
        <f t="shared" si="12"/>
        <v>6</v>
      </c>
      <c r="J34" s="115">
        <f t="shared" si="14"/>
        <v>0</v>
      </c>
      <c r="K34" s="108">
        <f t="shared" si="13"/>
        <v>6</v>
      </c>
      <c r="L34" s="95">
        <v>34</v>
      </c>
      <c r="M34" s="96">
        <f t="shared" si="10"/>
        <v>204</v>
      </c>
      <c r="N34" s="106"/>
      <c r="O34" s="118">
        <f t="shared" si="11"/>
        <v>164.70983286046251</v>
      </c>
      <c r="P34" s="29">
        <f t="shared" si="7"/>
        <v>988.25899716277513</v>
      </c>
      <c r="Q34" s="35"/>
    </row>
    <row r="35" spans="1:17" ht="21" x14ac:dyDescent="0.45">
      <c r="A35" s="100" t="s">
        <v>163</v>
      </c>
      <c r="B35" s="101">
        <v>7051409001</v>
      </c>
      <c r="C35" s="101" t="s">
        <v>164</v>
      </c>
      <c r="D35" s="102">
        <f>(((F26/30)/12)*E35)</f>
        <v>1897.7777777777781</v>
      </c>
      <c r="E35" s="102">
        <v>56</v>
      </c>
      <c r="F35" s="102">
        <f>(('BIOMETRIA HEMATICA'!$H$2))</f>
        <v>0</v>
      </c>
      <c r="G35" s="91">
        <f t="shared" si="8"/>
        <v>0</v>
      </c>
      <c r="H35" s="91">
        <f>(360/E35)*'BIOMETRIA HEMATICA'!$B$10</f>
        <v>6.4285714285714288</v>
      </c>
      <c r="I35" s="93">
        <f t="shared" si="12"/>
        <v>6.4285714285714288</v>
      </c>
      <c r="J35" s="93">
        <f>IF(G10=0,0,G35)</f>
        <v>0</v>
      </c>
      <c r="K35" s="108">
        <f t="shared" si="13"/>
        <v>6</v>
      </c>
      <c r="L35" s="103">
        <v>661</v>
      </c>
      <c r="M35" s="97">
        <f t="shared" si="10"/>
        <v>3966</v>
      </c>
      <c r="N35" s="107"/>
      <c r="O35" s="118">
        <f t="shared" si="11"/>
        <v>3202.1529270813444</v>
      </c>
      <c r="P35" s="29">
        <f t="shared" si="7"/>
        <v>19212.917562488066</v>
      </c>
      <c r="Q35" s="120"/>
    </row>
    <row r="36" spans="1:17" x14ac:dyDescent="0.45">
      <c r="C36" s="18"/>
      <c r="D36" s="18"/>
      <c r="E36" s="18"/>
      <c r="F36" s="18"/>
      <c r="G36" s="18"/>
      <c r="H36" s="18"/>
      <c r="I36" s="18"/>
      <c r="J36" s="18"/>
      <c r="K36" s="18"/>
      <c r="L36" s="98"/>
      <c r="M36" s="98"/>
      <c r="N36" s="35"/>
      <c r="O36" s="35"/>
      <c r="P36" s="35">
        <f>SUM(P26:P35)</f>
        <v>132463.62</v>
      </c>
      <c r="Q36" s="35"/>
    </row>
    <row r="37" spans="1:17" x14ac:dyDescent="0.45">
      <c r="C37" s="26" t="s">
        <v>150</v>
      </c>
      <c r="D37" s="27"/>
      <c r="E37" s="27"/>
      <c r="F37" s="27"/>
      <c r="G37" s="28"/>
      <c r="H37" s="28"/>
      <c r="I37" s="18"/>
      <c r="J37" s="18"/>
      <c r="K37" s="130">
        <f>'BIOMETRIA HEMATICA'!B6</f>
        <v>12</v>
      </c>
      <c r="L37" s="29">
        <f>BC!F109</f>
        <v>1920</v>
      </c>
      <c r="M37" s="29">
        <f>(L37/K37)*K37</f>
        <v>1920</v>
      </c>
      <c r="N37" s="34"/>
      <c r="O37" s="34"/>
      <c r="P37" s="34"/>
    </row>
    <row r="38" spans="1:17" x14ac:dyDescent="0.45">
      <c r="C38" s="19" t="s">
        <v>24</v>
      </c>
      <c r="D38" s="27"/>
      <c r="E38" s="27"/>
      <c r="F38" s="27"/>
      <c r="G38" s="28"/>
      <c r="H38" s="28"/>
      <c r="I38" s="18"/>
      <c r="J38" s="18"/>
      <c r="K38" s="130"/>
      <c r="L38" s="29">
        <v>570</v>
      </c>
      <c r="M38" s="29">
        <f>(L38*K37)</f>
        <v>6840</v>
      </c>
      <c r="N38" s="34"/>
      <c r="O38" s="34"/>
      <c r="P38" s="34"/>
    </row>
    <row r="39" spans="1:17" x14ac:dyDescent="0.45">
      <c r="C39" s="19" t="s">
        <v>0</v>
      </c>
      <c r="D39" s="18"/>
      <c r="E39" s="18"/>
      <c r="F39" s="18"/>
      <c r="G39" s="18"/>
      <c r="H39" s="18"/>
      <c r="I39" s="18"/>
      <c r="J39" s="18"/>
      <c r="K39" s="130"/>
      <c r="L39" s="29">
        <v>29260</v>
      </c>
      <c r="M39" s="29">
        <f>((((L38)*(K37))/'BIOMETRIA HEMATICA'!B2))</f>
        <v>0.56065573770491806</v>
      </c>
      <c r="N39" s="34"/>
      <c r="O39" s="34"/>
      <c r="P39" s="34"/>
    </row>
    <row r="40" spans="1:17" x14ac:dyDescent="0.45">
      <c r="L40" s="35">
        <f>SUM(M37:M38)</f>
        <v>8760</v>
      </c>
      <c r="M40" s="35"/>
      <c r="P40" s="35">
        <f>P36-L41</f>
        <v>105120</v>
      </c>
    </row>
    <row r="41" spans="1:17" x14ac:dyDescent="0.45">
      <c r="L41" s="35">
        <f>SUM(M26:M35)</f>
        <v>27343.620000000003</v>
      </c>
      <c r="P41" s="35">
        <f>L38*K37</f>
        <v>6840</v>
      </c>
    </row>
    <row r="42" spans="1:17" x14ac:dyDescent="0.45">
      <c r="L42" s="36">
        <f>(L40/L41)*K37</f>
        <v>3.8444068488371324</v>
      </c>
    </row>
    <row r="43" spans="1:17" x14ac:dyDescent="0.45">
      <c r="P43" s="35"/>
    </row>
    <row r="44" spans="1:17" x14ac:dyDescent="0.45">
      <c r="P44" s="35"/>
    </row>
    <row r="46" spans="1:17" x14ac:dyDescent="0.45">
      <c r="A46" s="126" t="s">
        <v>170</v>
      </c>
      <c r="B46" s="126"/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</row>
    <row r="47" spans="1:17" ht="21" x14ac:dyDescent="0.45">
      <c r="A47" s="79" t="s">
        <v>1</v>
      </c>
      <c r="B47" s="79" t="s">
        <v>2</v>
      </c>
      <c r="C47" s="79" t="s">
        <v>3</v>
      </c>
      <c r="D47" s="79" t="s">
        <v>4</v>
      </c>
      <c r="E47" s="80" t="s">
        <v>5</v>
      </c>
      <c r="F47" s="80" t="s">
        <v>6</v>
      </c>
      <c r="G47" s="80" t="s">
        <v>7</v>
      </c>
      <c r="H47" s="80" t="s">
        <v>13</v>
      </c>
      <c r="I47" s="80" t="s">
        <v>8</v>
      </c>
      <c r="J47" s="80"/>
      <c r="K47" s="11" t="s">
        <v>16</v>
      </c>
      <c r="L47" s="11" t="s">
        <v>14</v>
      </c>
      <c r="M47" s="11" t="s">
        <v>15</v>
      </c>
      <c r="N47" s="11"/>
      <c r="O47" s="117" t="s">
        <v>25</v>
      </c>
      <c r="P47" s="11" t="s">
        <v>26</v>
      </c>
      <c r="Q47" s="80" t="s">
        <v>178</v>
      </c>
    </row>
    <row r="48" spans="1:17" x14ac:dyDescent="0.45">
      <c r="A48" s="127" t="s">
        <v>9</v>
      </c>
      <c r="B48" s="81">
        <v>6510167001</v>
      </c>
      <c r="C48" s="81" t="s">
        <v>153</v>
      </c>
      <c r="D48" s="82">
        <v>450</v>
      </c>
      <c r="E48" s="82">
        <v>60</v>
      </c>
      <c r="F48" s="82">
        <f>(('BIOMETRIA HEMATICA'!$B$2))</f>
        <v>12200</v>
      </c>
      <c r="G48" s="82">
        <f>F48/D48</f>
        <v>27.111111111111111</v>
      </c>
      <c r="H48" s="82">
        <f>(360/E48)*'BIOMETRIA HEMATICA'!$B$10</f>
        <v>6</v>
      </c>
      <c r="I48" s="83">
        <f>IF(G48&gt;H48,G48,H48)</f>
        <v>27.111111111111111</v>
      </c>
      <c r="J48" s="83"/>
      <c r="K48" s="83">
        <f>ROUNDDOWN(I48,0)</f>
        <v>27</v>
      </c>
      <c r="L48" s="94">
        <v>121</v>
      </c>
      <c r="M48" s="94">
        <f>L48*K48</f>
        <v>3267</v>
      </c>
      <c r="N48" s="94"/>
      <c r="O48" s="118">
        <f>(L48*$L$64)+L48</f>
        <v>586.17322870929297</v>
      </c>
      <c r="P48" s="29">
        <f t="shared" ref="P48:P57" si="15">O48*K48</f>
        <v>15826.67717515091</v>
      </c>
      <c r="Q48" s="121">
        <f>(SUM(P48:P57)/'BIOMETRIA HEMATICA'!B2)+M61</f>
        <v>11.41832950819672</v>
      </c>
    </row>
    <row r="49" spans="1:17" x14ac:dyDescent="0.45">
      <c r="A49" s="128"/>
      <c r="B49" s="81">
        <v>3337006001</v>
      </c>
      <c r="C49" s="81" t="s">
        <v>154</v>
      </c>
      <c r="D49" s="82">
        <v>9450</v>
      </c>
      <c r="E49" s="82">
        <v>60</v>
      </c>
      <c r="F49" s="82">
        <f>(('BIOMETRIA HEMATICA'!$B$2))</f>
        <v>12200</v>
      </c>
      <c r="G49" s="82">
        <f t="shared" ref="G49:G57" si="16">F49/D49</f>
        <v>1.2910052910052909</v>
      </c>
      <c r="H49" s="82">
        <f>(360/E49)*'BIOMETRIA HEMATICA'!$B$10</f>
        <v>6</v>
      </c>
      <c r="I49" s="83">
        <f>IF(G49&gt;H49,G49,H49)</f>
        <v>6</v>
      </c>
      <c r="J49" s="83">
        <f>IF(N49&gt;N50,0,I49)</f>
        <v>0</v>
      </c>
      <c r="K49" s="108">
        <f t="shared" ref="K49:K50" si="17">ROUNDDOWN(I49,0)</f>
        <v>6</v>
      </c>
      <c r="L49" s="94">
        <v>1107</v>
      </c>
      <c r="M49" s="94">
        <f t="shared" ref="M49:M57" si="18">L49*K49</f>
        <v>6642</v>
      </c>
      <c r="N49" s="105">
        <f>L49*K49</f>
        <v>6642</v>
      </c>
      <c r="O49" s="118">
        <f t="shared" ref="O49:O57" si="19">(L49*$L$64)+L49</f>
        <v>5362.7583816627057</v>
      </c>
      <c r="P49" s="29">
        <f t="shared" si="15"/>
        <v>32176.550289976236</v>
      </c>
      <c r="Q49" s="80" t="s">
        <v>179</v>
      </c>
    </row>
    <row r="50" spans="1:17" x14ac:dyDescent="0.45">
      <c r="A50" s="128"/>
      <c r="B50" s="84">
        <v>12215616001</v>
      </c>
      <c r="C50" s="85" t="s">
        <v>155</v>
      </c>
      <c r="D50" s="82">
        <v>850</v>
      </c>
      <c r="E50" s="82">
        <v>60</v>
      </c>
      <c r="F50" s="82">
        <f>(('BIOMETRIA HEMATICA'!$B$2))</f>
        <v>12200</v>
      </c>
      <c r="G50" s="82">
        <f t="shared" si="16"/>
        <v>14.352941176470589</v>
      </c>
      <c r="H50" s="82">
        <f>(360/E50)*'BIOMETRIA HEMATICA'!$B$10</f>
        <v>6</v>
      </c>
      <c r="I50" s="83">
        <f t="shared" ref="I50:I57" si="20">IF(G50&gt;H50,G50,H50)</f>
        <v>14.352941176470589</v>
      </c>
      <c r="J50" s="83">
        <f>IF(N50&gt;N49,0,I50)</f>
        <v>14.352941176470589</v>
      </c>
      <c r="K50" s="108">
        <f t="shared" si="17"/>
        <v>14</v>
      </c>
      <c r="L50" s="94">
        <v>228.33</v>
      </c>
      <c r="M50" s="94">
        <f t="shared" si="18"/>
        <v>3196.6200000000003</v>
      </c>
      <c r="N50" s="105">
        <f>L50*K50</f>
        <v>3196.6200000000003</v>
      </c>
      <c r="O50" s="118">
        <f t="shared" si="19"/>
        <v>1106.1234157949825</v>
      </c>
      <c r="P50" s="29">
        <f t="shared" si="15"/>
        <v>15485.727821129756</v>
      </c>
      <c r="Q50" s="121">
        <f>(SUM(P48:P54)/'BIOMETRIA HEMATICA'!B2)+M61</f>
        <v>8.4084439414602059</v>
      </c>
    </row>
    <row r="51" spans="1:17" x14ac:dyDescent="0.45">
      <c r="A51" s="128"/>
      <c r="B51" s="81">
        <v>7837984001</v>
      </c>
      <c r="C51" s="81" t="s">
        <v>156</v>
      </c>
      <c r="D51" s="82">
        <v>2450</v>
      </c>
      <c r="E51" s="82">
        <v>90</v>
      </c>
      <c r="F51" s="82">
        <f>(('BIOMETRIA HEMATICA'!$B$2))</f>
        <v>12200</v>
      </c>
      <c r="G51" s="82">
        <f t="shared" si="16"/>
        <v>4.9795918367346941</v>
      </c>
      <c r="H51" s="82">
        <f>(360/E51)*'BIOMETRIA HEMATICA'!$B$10</f>
        <v>4</v>
      </c>
      <c r="I51" s="83">
        <f t="shared" si="20"/>
        <v>4.9795918367346941</v>
      </c>
      <c r="J51" s="83"/>
      <c r="K51" s="83">
        <f t="shared" ref="K51:K57" si="21">ROUNDDOWN(I51,0)</f>
        <v>4</v>
      </c>
      <c r="L51" s="94">
        <v>176</v>
      </c>
      <c r="M51" s="94">
        <f t="shared" si="18"/>
        <v>704</v>
      </c>
      <c r="N51" s="105"/>
      <c r="O51" s="118">
        <f t="shared" si="19"/>
        <v>852.61560539533525</v>
      </c>
      <c r="P51" s="29">
        <f t="shared" si="15"/>
        <v>3410.462421581341</v>
      </c>
    </row>
    <row r="52" spans="1:17" x14ac:dyDescent="0.45">
      <c r="A52" s="128"/>
      <c r="B52" s="81">
        <v>6510256001</v>
      </c>
      <c r="C52" s="81" t="s">
        <v>157</v>
      </c>
      <c r="D52" s="82">
        <v>3400</v>
      </c>
      <c r="E52" s="82">
        <v>180</v>
      </c>
      <c r="F52" s="82">
        <f>(('BIOMETRIA HEMATICA'!$B$2))</f>
        <v>12200</v>
      </c>
      <c r="G52" s="82">
        <f t="shared" si="16"/>
        <v>3.5882352941176472</v>
      </c>
      <c r="H52" s="82">
        <f>(360/E52)*'BIOMETRIA HEMATICA'!$B$10</f>
        <v>2</v>
      </c>
      <c r="I52" s="83">
        <f t="shared" si="20"/>
        <v>3.5882352941176472</v>
      </c>
      <c r="J52" s="83"/>
      <c r="K52" s="83">
        <f t="shared" si="21"/>
        <v>3</v>
      </c>
      <c r="L52" s="94">
        <v>862</v>
      </c>
      <c r="M52" s="94">
        <f t="shared" si="18"/>
        <v>2586</v>
      </c>
      <c r="N52" s="105"/>
      <c r="O52" s="118">
        <f t="shared" si="19"/>
        <v>4175.8787036976082</v>
      </c>
      <c r="P52" s="29">
        <f t="shared" si="15"/>
        <v>12527.636111092825</v>
      </c>
    </row>
    <row r="53" spans="1:17" x14ac:dyDescent="0.45">
      <c r="A53" s="128"/>
      <c r="B53" s="81">
        <v>6952291001</v>
      </c>
      <c r="C53" s="81" t="s">
        <v>158</v>
      </c>
      <c r="D53" s="82">
        <f>(((F48/30)/12)*E53)</f>
        <v>5083.3333333333339</v>
      </c>
      <c r="E53" s="82">
        <v>150</v>
      </c>
      <c r="F53" s="82">
        <f>(('BIOMETRIA HEMATICA'!$B$2))</f>
        <v>12200</v>
      </c>
      <c r="G53" s="82">
        <f t="shared" si="16"/>
        <v>2.4</v>
      </c>
      <c r="H53" s="82">
        <f>(360/E53)*'BIOMETRIA HEMATICA'!$B$10</f>
        <v>2.4</v>
      </c>
      <c r="I53" s="83">
        <f t="shared" si="20"/>
        <v>2.4</v>
      </c>
      <c r="J53" s="83"/>
      <c r="K53" s="83">
        <f t="shared" si="21"/>
        <v>2</v>
      </c>
      <c r="L53" s="94">
        <v>52</v>
      </c>
      <c r="M53" s="94">
        <f t="shared" si="18"/>
        <v>104</v>
      </c>
      <c r="N53" s="105"/>
      <c r="O53" s="118">
        <f t="shared" si="19"/>
        <v>251.90915613953089</v>
      </c>
      <c r="P53" s="29">
        <f t="shared" si="15"/>
        <v>503.81831227906179</v>
      </c>
    </row>
    <row r="54" spans="1:17" ht="21" x14ac:dyDescent="0.45">
      <c r="A54" s="128"/>
      <c r="B54" s="86">
        <v>7051506001</v>
      </c>
      <c r="C54" s="81" t="s">
        <v>159</v>
      </c>
      <c r="D54" s="82">
        <f>(((F48/30)/12)*E54)</f>
        <v>1897.7777777777781</v>
      </c>
      <c r="E54" s="82">
        <v>56</v>
      </c>
      <c r="F54" s="82">
        <f>(('BIOMETRIA HEMATICA'!$B$2))</f>
        <v>12200</v>
      </c>
      <c r="G54" s="82">
        <f t="shared" si="16"/>
        <v>6.4285714285714279</v>
      </c>
      <c r="H54" s="82">
        <f>(360/E54)*'BIOMETRIA HEMATICA'!$B$10</f>
        <v>6.4285714285714288</v>
      </c>
      <c r="I54" s="83">
        <f t="shared" si="20"/>
        <v>6.4285714285714288</v>
      </c>
      <c r="J54" s="83"/>
      <c r="K54" s="83">
        <f t="shared" si="21"/>
        <v>6</v>
      </c>
      <c r="L54" s="94">
        <v>544</v>
      </c>
      <c r="M54" s="94">
        <f t="shared" si="18"/>
        <v>3264</v>
      </c>
      <c r="N54" s="105"/>
      <c r="O54" s="118">
        <f t="shared" si="19"/>
        <v>2635.3573257674002</v>
      </c>
      <c r="P54" s="29">
        <f t="shared" si="15"/>
        <v>15812.143954604402</v>
      </c>
    </row>
    <row r="55" spans="1:17" x14ac:dyDescent="0.45">
      <c r="A55" s="129" t="s">
        <v>160</v>
      </c>
      <c r="B55" s="87">
        <v>6510272001</v>
      </c>
      <c r="C55" s="88" t="s">
        <v>161</v>
      </c>
      <c r="D55" s="89">
        <v>650</v>
      </c>
      <c r="E55" s="89">
        <v>180</v>
      </c>
      <c r="F55" s="89">
        <f>(('BIOMETRIA HEMATICA'!$D$2))</f>
        <v>0</v>
      </c>
      <c r="G55" s="90">
        <f t="shared" si="16"/>
        <v>0</v>
      </c>
      <c r="H55" s="90">
        <f>(360/E55)*'BIOMETRIA HEMATICA'!$B$10</f>
        <v>2</v>
      </c>
      <c r="I55" s="92">
        <f t="shared" si="20"/>
        <v>2</v>
      </c>
      <c r="J55" s="115">
        <f t="shared" ref="J55:J56" si="22">IF(G55=0,0,G55)</f>
        <v>0</v>
      </c>
      <c r="K55" s="108">
        <f t="shared" si="21"/>
        <v>2</v>
      </c>
      <c r="L55" s="95">
        <v>1705</v>
      </c>
      <c r="M55" s="96">
        <f t="shared" si="18"/>
        <v>3410</v>
      </c>
      <c r="N55" s="106"/>
      <c r="O55" s="118">
        <f t="shared" si="19"/>
        <v>8259.7136772673111</v>
      </c>
      <c r="P55" s="29">
        <f t="shared" si="15"/>
        <v>16519.427354534622</v>
      </c>
      <c r="Q55" s="120"/>
    </row>
    <row r="56" spans="1:17" x14ac:dyDescent="0.45">
      <c r="A56" s="128"/>
      <c r="B56" s="87">
        <v>9426752001</v>
      </c>
      <c r="C56" s="88" t="s">
        <v>162</v>
      </c>
      <c r="D56" s="89">
        <v>450</v>
      </c>
      <c r="E56" s="89">
        <v>60</v>
      </c>
      <c r="F56" s="89">
        <f>(('BIOMETRIA HEMATICA'!$D$2))</f>
        <v>0</v>
      </c>
      <c r="G56" s="90">
        <f t="shared" si="16"/>
        <v>0</v>
      </c>
      <c r="H56" s="90">
        <f>(360/E56)*'BIOMETRIA HEMATICA'!$B$10</f>
        <v>6</v>
      </c>
      <c r="I56" s="92">
        <f t="shared" si="20"/>
        <v>6</v>
      </c>
      <c r="J56" s="115">
        <f t="shared" si="22"/>
        <v>0</v>
      </c>
      <c r="K56" s="108">
        <f t="shared" si="21"/>
        <v>6</v>
      </c>
      <c r="L56" s="95">
        <v>34</v>
      </c>
      <c r="M56" s="96">
        <f t="shared" si="18"/>
        <v>204</v>
      </c>
      <c r="N56" s="106"/>
      <c r="O56" s="118">
        <f t="shared" si="19"/>
        <v>164.70983286046251</v>
      </c>
      <c r="P56" s="29">
        <f t="shared" si="15"/>
        <v>988.25899716277513</v>
      </c>
      <c r="Q56" s="35"/>
    </row>
    <row r="57" spans="1:17" ht="21" x14ac:dyDescent="0.45">
      <c r="A57" s="100" t="s">
        <v>163</v>
      </c>
      <c r="B57" s="101">
        <v>7051409001</v>
      </c>
      <c r="C57" s="101" t="s">
        <v>164</v>
      </c>
      <c r="D57" s="102">
        <f>(((F48/30)/12)*E57)</f>
        <v>1897.7777777777781</v>
      </c>
      <c r="E57" s="102">
        <v>56</v>
      </c>
      <c r="F57" s="102">
        <f>(('BIOMETRIA HEMATICA'!$H$2))</f>
        <v>0</v>
      </c>
      <c r="G57" s="91">
        <f t="shared" si="16"/>
        <v>0</v>
      </c>
      <c r="H57" s="91">
        <f>(360/E57)*'BIOMETRIA HEMATICA'!$B$10</f>
        <v>6.4285714285714288</v>
      </c>
      <c r="I57" s="93">
        <f t="shared" si="20"/>
        <v>6.4285714285714288</v>
      </c>
      <c r="J57" s="93">
        <f>IF(G33=0,0,G57)</f>
        <v>0</v>
      </c>
      <c r="K57" s="108">
        <f t="shared" si="21"/>
        <v>6</v>
      </c>
      <c r="L57" s="103">
        <v>661</v>
      </c>
      <c r="M57" s="97">
        <f t="shared" si="18"/>
        <v>3966</v>
      </c>
      <c r="N57" s="107"/>
      <c r="O57" s="118">
        <f t="shared" si="19"/>
        <v>3202.1529270813444</v>
      </c>
      <c r="P57" s="29">
        <f t="shared" si="15"/>
        <v>19212.917562488066</v>
      </c>
      <c r="Q57" s="120"/>
    </row>
    <row r="58" spans="1:17" x14ac:dyDescent="0.45">
      <c r="C58" s="18"/>
      <c r="D58" s="18"/>
      <c r="E58" s="18"/>
      <c r="F58" s="18"/>
      <c r="G58" s="18"/>
      <c r="H58" s="18"/>
      <c r="I58" s="18"/>
      <c r="J58" s="18"/>
      <c r="K58" s="18"/>
      <c r="L58" s="98"/>
      <c r="M58" s="98"/>
      <c r="N58" s="35"/>
      <c r="O58" s="35"/>
      <c r="P58" s="35">
        <f>SUM(P48:P57)</f>
        <v>132463.62</v>
      </c>
      <c r="Q58" s="35"/>
    </row>
    <row r="59" spans="1:17" x14ac:dyDescent="0.45">
      <c r="C59" s="26" t="s">
        <v>150</v>
      </c>
      <c r="D59" s="27"/>
      <c r="E59" s="27"/>
      <c r="F59" s="27"/>
      <c r="G59" s="28"/>
      <c r="H59" s="28"/>
      <c r="I59" s="18"/>
      <c r="J59" s="18"/>
      <c r="K59" s="130">
        <f>'BIOMETRIA HEMATICA'!B6</f>
        <v>12</v>
      </c>
      <c r="L59" s="29">
        <f>BC!F109</f>
        <v>1920</v>
      </c>
      <c r="M59" s="29">
        <f>(L59/K59)*K59</f>
        <v>1920</v>
      </c>
      <c r="N59" s="34"/>
      <c r="O59" s="34"/>
      <c r="P59" s="34"/>
    </row>
    <row r="60" spans="1:17" x14ac:dyDescent="0.45">
      <c r="C60" s="19" t="s">
        <v>24</v>
      </c>
      <c r="D60" s="27"/>
      <c r="E60" s="27"/>
      <c r="F60" s="27"/>
      <c r="G60" s="28"/>
      <c r="H60" s="28"/>
      <c r="I60" s="18"/>
      <c r="J60" s="18"/>
      <c r="K60" s="130"/>
      <c r="L60" s="29">
        <v>570</v>
      </c>
      <c r="M60" s="29">
        <f>(L60*K59)</f>
        <v>6840</v>
      </c>
      <c r="N60" s="34"/>
      <c r="O60" s="34"/>
      <c r="P60" s="34"/>
    </row>
    <row r="61" spans="1:17" x14ac:dyDescent="0.45">
      <c r="C61" s="19" t="s">
        <v>0</v>
      </c>
      <c r="D61" s="18"/>
      <c r="E61" s="18"/>
      <c r="F61" s="18"/>
      <c r="G61" s="18"/>
      <c r="H61" s="18"/>
      <c r="I61" s="18"/>
      <c r="J61" s="18"/>
      <c r="K61" s="130"/>
      <c r="L61" s="29">
        <v>26389</v>
      </c>
      <c r="M61" s="29">
        <f>((((L60)*(K59))/'BIOMETRIA HEMATICA'!B2))</f>
        <v>0.56065573770491806</v>
      </c>
      <c r="N61" s="34"/>
      <c r="O61" s="34"/>
      <c r="P61" s="34"/>
    </row>
    <row r="62" spans="1:17" x14ac:dyDescent="0.45">
      <c r="L62" s="35">
        <f>SUM(M59:M60)</f>
        <v>8760</v>
      </c>
      <c r="M62" s="35"/>
      <c r="P62" s="35">
        <f>P58-L63</f>
        <v>105120</v>
      </c>
    </row>
    <row r="63" spans="1:17" x14ac:dyDescent="0.45">
      <c r="L63" s="35">
        <f>SUM(M48:M57)</f>
        <v>27343.620000000003</v>
      </c>
      <c r="P63" s="35">
        <f>L60*K59</f>
        <v>6840</v>
      </c>
    </row>
    <row r="64" spans="1:17" x14ac:dyDescent="0.45">
      <c r="L64" s="36">
        <f>(L62/L63)*K59</f>
        <v>3.8444068488371324</v>
      </c>
    </row>
    <row r="68" spans="1:17" x14ac:dyDescent="0.45">
      <c r="A68" s="126" t="s">
        <v>171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</row>
    <row r="69" spans="1:17" ht="21" x14ac:dyDescent="0.45">
      <c r="A69" s="79" t="s">
        <v>1</v>
      </c>
      <c r="B69" s="79" t="s">
        <v>2</v>
      </c>
      <c r="C69" s="79" t="s">
        <v>3</v>
      </c>
      <c r="D69" s="79" t="s">
        <v>4</v>
      </c>
      <c r="E69" s="80" t="s">
        <v>5</v>
      </c>
      <c r="F69" s="80" t="s">
        <v>6</v>
      </c>
      <c r="G69" s="80" t="s">
        <v>7</v>
      </c>
      <c r="H69" s="80" t="s">
        <v>13</v>
      </c>
      <c r="I69" s="80" t="s">
        <v>8</v>
      </c>
      <c r="J69" s="80"/>
      <c r="K69" s="11" t="s">
        <v>16</v>
      </c>
      <c r="L69" s="11" t="s">
        <v>14</v>
      </c>
      <c r="M69" s="11" t="s">
        <v>15</v>
      </c>
      <c r="N69" s="11"/>
      <c r="O69" s="117" t="s">
        <v>25</v>
      </c>
      <c r="P69" s="11" t="s">
        <v>26</v>
      </c>
      <c r="Q69" s="80" t="s">
        <v>178</v>
      </c>
    </row>
    <row r="70" spans="1:17" x14ac:dyDescent="0.45">
      <c r="A70" s="127" t="s">
        <v>9</v>
      </c>
      <c r="B70" s="81">
        <v>6510167001</v>
      </c>
      <c r="C70" s="81" t="s">
        <v>153</v>
      </c>
      <c r="D70" s="82">
        <v>450</v>
      </c>
      <c r="E70" s="82">
        <v>60</v>
      </c>
      <c r="F70" s="82">
        <f>(('BIOMETRIA HEMATICA'!$B$2))</f>
        <v>12200</v>
      </c>
      <c r="G70" s="82">
        <f>F70/D70</f>
        <v>27.111111111111111</v>
      </c>
      <c r="H70" s="82">
        <f>(360/E70)*'BIOMETRIA HEMATICA'!$B$10</f>
        <v>6</v>
      </c>
      <c r="I70" s="83">
        <f>IF(G70&gt;H70,G70,H70)</f>
        <v>27.111111111111111</v>
      </c>
      <c r="J70" s="83"/>
      <c r="K70" s="83">
        <f>ROUNDDOWN(I70,0)</f>
        <v>27</v>
      </c>
      <c r="L70" s="94">
        <v>121</v>
      </c>
      <c r="M70" s="94">
        <f>L70*K70</f>
        <v>3267</v>
      </c>
      <c r="N70" s="94"/>
      <c r="O70" s="118">
        <f>(L70*$L$86)+L70</f>
        <v>649.89558880645643</v>
      </c>
      <c r="P70" s="29">
        <f t="shared" ref="P70:P79" si="23">O70*K70</f>
        <v>17547.180897774324</v>
      </c>
      <c r="Q70" s="121">
        <f>(SUM(P70:P79)/'BIOMETRIA HEMATICA'!B2)+M83</f>
        <v>12.697018032786886</v>
      </c>
    </row>
    <row r="71" spans="1:17" x14ac:dyDescent="0.45">
      <c r="A71" s="128"/>
      <c r="B71" s="81">
        <v>3337006001</v>
      </c>
      <c r="C71" s="81" t="s">
        <v>154</v>
      </c>
      <c r="D71" s="82">
        <v>9450</v>
      </c>
      <c r="E71" s="82">
        <v>60</v>
      </c>
      <c r="F71" s="82">
        <f>(('BIOMETRIA HEMATICA'!$B$2))</f>
        <v>12200</v>
      </c>
      <c r="G71" s="82">
        <f t="shared" ref="G71:G79" si="24">F71/D71</f>
        <v>1.2910052910052909</v>
      </c>
      <c r="H71" s="82">
        <f>(360/E71)*'BIOMETRIA HEMATICA'!$B$10</f>
        <v>6</v>
      </c>
      <c r="I71" s="83">
        <f>IF(G71&gt;H71,G71,H71)</f>
        <v>6</v>
      </c>
      <c r="J71" s="83">
        <f>IF(N71&gt;N72,0,I71)</f>
        <v>0</v>
      </c>
      <c r="K71" s="108">
        <f t="shared" ref="K71:K72" si="25">ROUNDDOWN(I71,0)</f>
        <v>6</v>
      </c>
      <c r="L71" s="94">
        <v>1107</v>
      </c>
      <c r="M71" s="94">
        <f t="shared" ref="M71:M79" si="26">L71*K71</f>
        <v>6642</v>
      </c>
      <c r="N71" s="105">
        <f>L71*K71</f>
        <v>6642</v>
      </c>
      <c r="O71" s="118">
        <f t="shared" ref="O71:O79" si="27">(L71*$L$86)+L71</f>
        <v>5945.738981890474</v>
      </c>
      <c r="P71" s="29">
        <f t="shared" si="23"/>
        <v>35674.433891342844</v>
      </c>
      <c r="Q71" s="80" t="s">
        <v>179</v>
      </c>
    </row>
    <row r="72" spans="1:17" x14ac:dyDescent="0.45">
      <c r="A72" s="128"/>
      <c r="B72" s="84">
        <v>12215616001</v>
      </c>
      <c r="C72" s="85" t="s">
        <v>155</v>
      </c>
      <c r="D72" s="82">
        <v>850</v>
      </c>
      <c r="E72" s="82">
        <v>60</v>
      </c>
      <c r="F72" s="82">
        <f>(('BIOMETRIA HEMATICA'!$B$2))</f>
        <v>12200</v>
      </c>
      <c r="G72" s="82">
        <f t="shared" si="24"/>
        <v>14.352941176470589</v>
      </c>
      <c r="H72" s="82">
        <f>(360/E72)*'BIOMETRIA HEMATICA'!$B$10</f>
        <v>6</v>
      </c>
      <c r="I72" s="83">
        <f t="shared" ref="I72:I79" si="28">IF(G72&gt;H72,G72,H72)</f>
        <v>14.352941176470589</v>
      </c>
      <c r="J72" s="83">
        <f>IF(N72&gt;N71,0,I72)</f>
        <v>14.352941176470589</v>
      </c>
      <c r="K72" s="108">
        <f t="shared" si="25"/>
        <v>14</v>
      </c>
      <c r="L72" s="94">
        <v>228.33</v>
      </c>
      <c r="M72" s="94">
        <f t="shared" si="26"/>
        <v>3196.6200000000003</v>
      </c>
      <c r="N72" s="105">
        <f>L72*K72</f>
        <v>3196.6200000000003</v>
      </c>
      <c r="O72" s="118">
        <f t="shared" si="27"/>
        <v>1226.3690891915555</v>
      </c>
      <c r="P72" s="29">
        <f t="shared" si="23"/>
        <v>17169.167248681777</v>
      </c>
      <c r="Q72" s="121">
        <f>(SUM(P70:P76)/'BIOMETRIA HEMATICA'!B2)+M83</f>
        <v>9.3599305357316496</v>
      </c>
    </row>
    <row r="73" spans="1:17" x14ac:dyDescent="0.45">
      <c r="A73" s="128"/>
      <c r="B73" s="81">
        <v>7837984001</v>
      </c>
      <c r="C73" s="81" t="s">
        <v>156</v>
      </c>
      <c r="D73" s="82">
        <v>2450</v>
      </c>
      <c r="E73" s="82">
        <v>90</v>
      </c>
      <c r="F73" s="82">
        <f>(('BIOMETRIA HEMATICA'!$B$2))</f>
        <v>12200</v>
      </c>
      <c r="G73" s="82">
        <f t="shared" si="24"/>
        <v>4.9795918367346941</v>
      </c>
      <c r="H73" s="82">
        <f>(360/E73)*'BIOMETRIA HEMATICA'!$B$10</f>
        <v>4</v>
      </c>
      <c r="I73" s="83">
        <f t="shared" si="28"/>
        <v>4.9795918367346941</v>
      </c>
      <c r="J73" s="83"/>
      <c r="K73" s="83">
        <f t="shared" ref="K73:K79" si="29">ROUNDDOWN(I73,0)</f>
        <v>4</v>
      </c>
      <c r="L73" s="94">
        <v>176</v>
      </c>
      <c r="M73" s="94">
        <f t="shared" si="26"/>
        <v>704</v>
      </c>
      <c r="N73" s="105"/>
      <c r="O73" s="118">
        <f t="shared" si="27"/>
        <v>945.30267462757308</v>
      </c>
      <c r="P73" s="29">
        <f t="shared" si="23"/>
        <v>3781.2106985102923</v>
      </c>
    </row>
    <row r="74" spans="1:17" x14ac:dyDescent="0.45">
      <c r="A74" s="128"/>
      <c r="B74" s="81">
        <v>6510256001</v>
      </c>
      <c r="C74" s="81" t="s">
        <v>157</v>
      </c>
      <c r="D74" s="82">
        <v>3400</v>
      </c>
      <c r="E74" s="82">
        <v>180</v>
      </c>
      <c r="F74" s="82">
        <f>(('BIOMETRIA HEMATICA'!$B$2))</f>
        <v>12200</v>
      </c>
      <c r="G74" s="82">
        <f t="shared" si="24"/>
        <v>3.5882352941176472</v>
      </c>
      <c r="H74" s="82">
        <f>(360/E74)*'BIOMETRIA HEMATICA'!$B$10</f>
        <v>2</v>
      </c>
      <c r="I74" s="83">
        <f t="shared" si="28"/>
        <v>3.5882352941176472</v>
      </c>
      <c r="J74" s="83"/>
      <c r="K74" s="83">
        <f t="shared" si="29"/>
        <v>3</v>
      </c>
      <c r="L74" s="94">
        <v>862</v>
      </c>
      <c r="M74" s="94">
        <f t="shared" si="26"/>
        <v>2586</v>
      </c>
      <c r="N74" s="105"/>
      <c r="O74" s="118">
        <f t="shared" si="27"/>
        <v>4629.8346905055005</v>
      </c>
      <c r="P74" s="29">
        <f t="shared" si="23"/>
        <v>13889.504071516501</v>
      </c>
    </row>
    <row r="75" spans="1:17" x14ac:dyDescent="0.45">
      <c r="A75" s="128"/>
      <c r="B75" s="81">
        <v>6952291001</v>
      </c>
      <c r="C75" s="81" t="s">
        <v>158</v>
      </c>
      <c r="D75" s="82">
        <f>(((F70/30)/12)*E75)</f>
        <v>5083.3333333333339</v>
      </c>
      <c r="E75" s="82">
        <v>150</v>
      </c>
      <c r="F75" s="82">
        <f>(('BIOMETRIA HEMATICA'!$B$2))</f>
        <v>12200</v>
      </c>
      <c r="G75" s="82">
        <f t="shared" si="24"/>
        <v>2.4</v>
      </c>
      <c r="H75" s="82">
        <f>(360/E75)*'BIOMETRIA HEMATICA'!$B$10</f>
        <v>2.4</v>
      </c>
      <c r="I75" s="83">
        <f t="shared" si="28"/>
        <v>2.4</v>
      </c>
      <c r="J75" s="83"/>
      <c r="K75" s="83">
        <f t="shared" si="29"/>
        <v>2</v>
      </c>
      <c r="L75" s="94">
        <v>52</v>
      </c>
      <c r="M75" s="94">
        <f t="shared" si="26"/>
        <v>104</v>
      </c>
      <c r="N75" s="105"/>
      <c r="O75" s="118">
        <f t="shared" si="27"/>
        <v>279.2939720490557</v>
      </c>
      <c r="P75" s="29">
        <f t="shared" si="23"/>
        <v>558.58794409811139</v>
      </c>
    </row>
    <row r="76" spans="1:17" ht="21" x14ac:dyDescent="0.45">
      <c r="A76" s="128"/>
      <c r="B76" s="86">
        <v>7051506001</v>
      </c>
      <c r="C76" s="81" t="s">
        <v>159</v>
      </c>
      <c r="D76" s="82">
        <f>(((F70/30)/12)*E76)</f>
        <v>1897.7777777777781</v>
      </c>
      <c r="E76" s="82">
        <v>56</v>
      </c>
      <c r="F76" s="82">
        <f>(('BIOMETRIA HEMATICA'!$B$2))</f>
        <v>12200</v>
      </c>
      <c r="G76" s="82">
        <f t="shared" si="24"/>
        <v>6.4285714285714279</v>
      </c>
      <c r="H76" s="82">
        <f>(360/E76)*'BIOMETRIA HEMATICA'!$B$10</f>
        <v>6.4285714285714288</v>
      </c>
      <c r="I76" s="83">
        <f t="shared" si="28"/>
        <v>6.4285714285714288</v>
      </c>
      <c r="J76" s="83"/>
      <c r="K76" s="83">
        <f t="shared" si="29"/>
        <v>6</v>
      </c>
      <c r="L76" s="94">
        <v>544</v>
      </c>
      <c r="M76" s="94">
        <f t="shared" si="26"/>
        <v>3264</v>
      </c>
      <c r="N76" s="105"/>
      <c r="O76" s="118">
        <f t="shared" si="27"/>
        <v>2921.8446306670439</v>
      </c>
      <c r="P76" s="29">
        <f t="shared" si="23"/>
        <v>17531.067784002262</v>
      </c>
    </row>
    <row r="77" spans="1:17" x14ac:dyDescent="0.45">
      <c r="A77" s="129" t="s">
        <v>160</v>
      </c>
      <c r="B77" s="87">
        <v>6510272001</v>
      </c>
      <c r="C77" s="88" t="s">
        <v>161</v>
      </c>
      <c r="D77" s="89">
        <v>650</v>
      </c>
      <c r="E77" s="89">
        <v>180</v>
      </c>
      <c r="F77" s="89">
        <f>(('BIOMETRIA HEMATICA'!$D$2))</f>
        <v>0</v>
      </c>
      <c r="G77" s="90">
        <f t="shared" si="24"/>
        <v>0</v>
      </c>
      <c r="H77" s="90">
        <f>(360/E77)*'BIOMETRIA HEMATICA'!$B$10</f>
        <v>2</v>
      </c>
      <c r="I77" s="92">
        <f t="shared" si="28"/>
        <v>2</v>
      </c>
      <c r="J77" s="115">
        <f t="shared" ref="J77:J78" si="30">IF(G77=0,0,G77)</f>
        <v>0</v>
      </c>
      <c r="K77" s="108">
        <f t="shared" si="29"/>
        <v>2</v>
      </c>
      <c r="L77" s="95">
        <v>1705</v>
      </c>
      <c r="M77" s="96">
        <f t="shared" si="26"/>
        <v>3410</v>
      </c>
      <c r="N77" s="106"/>
      <c r="O77" s="118">
        <f t="shared" si="27"/>
        <v>9157.619660454613</v>
      </c>
      <c r="P77" s="29">
        <f t="shared" si="23"/>
        <v>18315.239320909226</v>
      </c>
      <c r="Q77" s="120"/>
    </row>
    <row r="78" spans="1:17" x14ac:dyDescent="0.45">
      <c r="A78" s="128"/>
      <c r="B78" s="87">
        <v>9426752001</v>
      </c>
      <c r="C78" s="88" t="s">
        <v>162</v>
      </c>
      <c r="D78" s="89">
        <v>450</v>
      </c>
      <c r="E78" s="89">
        <v>60</v>
      </c>
      <c r="F78" s="89">
        <f>(('BIOMETRIA HEMATICA'!$D$2))</f>
        <v>0</v>
      </c>
      <c r="G78" s="90">
        <f t="shared" si="24"/>
        <v>0</v>
      </c>
      <c r="H78" s="90">
        <f>(360/E78)*'BIOMETRIA HEMATICA'!$B$10</f>
        <v>6</v>
      </c>
      <c r="I78" s="92">
        <f t="shared" si="28"/>
        <v>6</v>
      </c>
      <c r="J78" s="115">
        <f t="shared" si="30"/>
        <v>0</v>
      </c>
      <c r="K78" s="108">
        <f t="shared" si="29"/>
        <v>6</v>
      </c>
      <c r="L78" s="95">
        <v>34</v>
      </c>
      <c r="M78" s="96">
        <f t="shared" si="26"/>
        <v>204</v>
      </c>
      <c r="N78" s="106"/>
      <c r="O78" s="118">
        <f t="shared" si="27"/>
        <v>182.61528941669025</v>
      </c>
      <c r="P78" s="29">
        <f t="shared" si="23"/>
        <v>1095.6917365001414</v>
      </c>
      <c r="Q78" s="35"/>
    </row>
    <row r="79" spans="1:17" ht="21" x14ac:dyDescent="0.45">
      <c r="A79" s="100" t="s">
        <v>163</v>
      </c>
      <c r="B79" s="101">
        <v>7051409001</v>
      </c>
      <c r="C79" s="101" t="s">
        <v>164</v>
      </c>
      <c r="D79" s="102">
        <f>(((F70/30)/12)*E79)</f>
        <v>1897.7777777777781</v>
      </c>
      <c r="E79" s="102">
        <v>56</v>
      </c>
      <c r="F79" s="102">
        <f>(('BIOMETRIA HEMATICA'!$H$2))</f>
        <v>0</v>
      </c>
      <c r="G79" s="91">
        <f t="shared" si="24"/>
        <v>0</v>
      </c>
      <c r="H79" s="91">
        <f>(360/E79)*'BIOMETRIA HEMATICA'!$B$10</f>
        <v>6.4285714285714288</v>
      </c>
      <c r="I79" s="93">
        <f t="shared" si="28"/>
        <v>6.4285714285714288</v>
      </c>
      <c r="J79" s="93">
        <f t="shared" ref="J79" si="31">IF(G55=0,0,G79)</f>
        <v>0</v>
      </c>
      <c r="K79" s="108">
        <f t="shared" si="29"/>
        <v>6</v>
      </c>
      <c r="L79" s="103">
        <v>661</v>
      </c>
      <c r="M79" s="97">
        <f t="shared" si="26"/>
        <v>3966</v>
      </c>
      <c r="N79" s="107"/>
      <c r="O79" s="118">
        <f t="shared" si="27"/>
        <v>3550.256067777419</v>
      </c>
      <c r="P79" s="29">
        <f t="shared" si="23"/>
        <v>21301.536406664512</v>
      </c>
      <c r="Q79" s="120"/>
    </row>
    <row r="80" spans="1:17" x14ac:dyDescent="0.45">
      <c r="C80" s="18"/>
      <c r="D80" s="18"/>
      <c r="E80" s="18"/>
      <c r="F80" s="18"/>
      <c r="G80" s="18"/>
      <c r="H80" s="18"/>
      <c r="I80" s="18"/>
      <c r="J80" s="18"/>
      <c r="K80" s="18"/>
      <c r="L80" s="98"/>
      <c r="M80" s="98"/>
      <c r="N80" s="35"/>
      <c r="O80" s="35"/>
      <c r="P80" s="35">
        <f>SUM(P70:P79)</f>
        <v>146863.62</v>
      </c>
      <c r="Q80" s="35"/>
    </row>
    <row r="81" spans="1:17" x14ac:dyDescent="0.45">
      <c r="C81" s="26" t="s">
        <v>150</v>
      </c>
      <c r="D81" s="27"/>
      <c r="E81" s="27"/>
      <c r="F81" s="27"/>
      <c r="G81" s="28"/>
      <c r="H81" s="28"/>
      <c r="I81" s="18"/>
      <c r="J81" s="18"/>
      <c r="K81" s="130">
        <f>'BIOMETRIA HEMATICA'!B6</f>
        <v>12</v>
      </c>
      <c r="L81" s="29">
        <f>BC!F109</f>
        <v>1920</v>
      </c>
      <c r="M81" s="29">
        <f>(L81/K81)*K81</f>
        <v>1920</v>
      </c>
      <c r="N81" s="34"/>
      <c r="O81" s="34"/>
      <c r="P81" s="34"/>
    </row>
    <row r="82" spans="1:17" x14ac:dyDescent="0.45">
      <c r="C82" s="19" t="s">
        <v>24</v>
      </c>
      <c r="D82" s="27"/>
      <c r="E82" s="27"/>
      <c r="F82" s="27"/>
      <c r="G82" s="28"/>
      <c r="H82" s="28"/>
      <c r="I82" s="18"/>
      <c r="J82" s="18"/>
      <c r="K82" s="130"/>
      <c r="L82" s="29">
        <v>670</v>
      </c>
      <c r="M82" s="29">
        <f>(L82*K81)</f>
        <v>8040</v>
      </c>
      <c r="N82" s="34"/>
      <c r="O82" s="34"/>
      <c r="P82" s="34"/>
    </row>
    <row r="83" spans="1:17" x14ac:dyDescent="0.45">
      <c r="C83" s="19" t="s">
        <v>0</v>
      </c>
      <c r="D83" s="18"/>
      <c r="E83" s="18"/>
      <c r="F83" s="18"/>
      <c r="G83" s="18"/>
      <c r="H83" s="18"/>
      <c r="I83" s="18"/>
      <c r="J83" s="18"/>
      <c r="K83" s="130"/>
      <c r="L83" s="29">
        <v>34287</v>
      </c>
      <c r="M83" s="29">
        <f>((((L82)*(K81))/'BIOMETRIA HEMATICA'!B2))</f>
        <v>0.65901639344262297</v>
      </c>
      <c r="N83" s="34"/>
      <c r="O83" s="34"/>
      <c r="P83" s="34"/>
    </row>
    <row r="84" spans="1:17" x14ac:dyDescent="0.45">
      <c r="L84" s="35">
        <f>SUM(M81:M82)</f>
        <v>9960</v>
      </c>
      <c r="M84" s="35"/>
      <c r="P84" s="35">
        <f>P80-L85</f>
        <v>119520</v>
      </c>
    </row>
    <row r="85" spans="1:17" x14ac:dyDescent="0.45">
      <c r="L85" s="35">
        <f>SUM(M70:M79)</f>
        <v>27343.620000000003</v>
      </c>
      <c r="P85" s="35">
        <f>L82*K81</f>
        <v>8040</v>
      </c>
    </row>
    <row r="86" spans="1:17" x14ac:dyDescent="0.45">
      <c r="L86" s="36">
        <f>(L84/L85)*K81</f>
        <v>4.3710379240203014</v>
      </c>
    </row>
    <row r="90" spans="1:17" x14ac:dyDescent="0.45">
      <c r="A90" s="126" t="s">
        <v>172</v>
      </c>
      <c r="B90" s="126"/>
      <c r="C90" s="126"/>
      <c r="D90" s="126"/>
      <c r="E90" s="126"/>
      <c r="F90" s="126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</row>
    <row r="91" spans="1:17" ht="21" x14ac:dyDescent="0.45">
      <c r="A91" s="79" t="s">
        <v>1</v>
      </c>
      <c r="B91" s="79" t="s">
        <v>2</v>
      </c>
      <c r="C91" s="79" t="s">
        <v>3</v>
      </c>
      <c r="D91" s="79" t="s">
        <v>4</v>
      </c>
      <c r="E91" s="80" t="s">
        <v>5</v>
      </c>
      <c r="F91" s="80" t="s">
        <v>6</v>
      </c>
      <c r="G91" s="80" t="s">
        <v>7</v>
      </c>
      <c r="H91" s="80" t="s">
        <v>13</v>
      </c>
      <c r="I91" s="80" t="s">
        <v>8</v>
      </c>
      <c r="J91" s="80"/>
      <c r="K91" s="11" t="s">
        <v>16</v>
      </c>
      <c r="L91" s="11" t="s">
        <v>14</v>
      </c>
      <c r="M91" s="11" t="s">
        <v>15</v>
      </c>
      <c r="N91" s="11"/>
      <c r="O91" s="117" t="s">
        <v>25</v>
      </c>
      <c r="P91" s="11" t="s">
        <v>26</v>
      </c>
      <c r="Q91" s="80" t="s">
        <v>178</v>
      </c>
    </row>
    <row r="92" spans="1:17" x14ac:dyDescent="0.45">
      <c r="A92" s="127" t="s">
        <v>9</v>
      </c>
      <c r="B92" s="81">
        <v>6510167001</v>
      </c>
      <c r="C92" s="81" t="s">
        <v>153</v>
      </c>
      <c r="D92" s="82">
        <v>450</v>
      </c>
      <c r="E92" s="82">
        <v>60</v>
      </c>
      <c r="F92" s="82">
        <f>(('BIOMETRIA HEMATICA'!$B$2))</f>
        <v>12200</v>
      </c>
      <c r="G92" s="82">
        <f>F92/D92</f>
        <v>27.111111111111111</v>
      </c>
      <c r="H92" s="82">
        <f>(360/E92)*'BIOMETRIA HEMATICA'!$B$10</f>
        <v>6</v>
      </c>
      <c r="I92" s="83">
        <f>IF(G92&gt;H92,G92,H92)</f>
        <v>27.111111111111111</v>
      </c>
      <c r="J92" s="83"/>
      <c r="K92" s="83">
        <f>ROUNDDOWN(I92,0)</f>
        <v>27</v>
      </c>
      <c r="L92" s="94">
        <v>121</v>
      </c>
      <c r="M92" s="94">
        <f>L92*K92</f>
        <v>3267</v>
      </c>
      <c r="N92" s="94"/>
      <c r="O92" s="118">
        <f>(L92*$L$108)+L92</f>
        <v>211.58778893891224</v>
      </c>
      <c r="P92" s="29">
        <f t="shared" ref="P92:P101" si="32">O92*K92</f>
        <v>5712.8703013506301</v>
      </c>
      <c r="Q92" s="99">
        <f>(SUM(P92:P101)/F92)+M105</f>
        <v>2.0178377049180325</v>
      </c>
    </row>
    <row r="93" spans="1:17" x14ac:dyDescent="0.45">
      <c r="A93" s="128"/>
      <c r="B93" s="81">
        <v>3337006001</v>
      </c>
      <c r="C93" s="81" t="s">
        <v>154</v>
      </c>
      <c r="D93" s="82">
        <v>9450</v>
      </c>
      <c r="E93" s="82">
        <v>60</v>
      </c>
      <c r="F93" s="82">
        <f>(('BIOMETRIA HEMATICA'!$B$2))</f>
        <v>12200</v>
      </c>
      <c r="G93" s="82">
        <f t="shared" ref="G93:G101" si="33">F93/D93</f>
        <v>1.2910052910052909</v>
      </c>
      <c r="H93" s="82">
        <f>(360/E93)*'BIOMETRIA HEMATICA'!$B$10</f>
        <v>6</v>
      </c>
      <c r="I93" s="83">
        <f>IF(G93&gt;H93,G93,H93)</f>
        <v>6</v>
      </c>
      <c r="J93" s="83">
        <f>IF(N93&gt;N94,0,I93)</f>
        <v>6</v>
      </c>
      <c r="K93" s="108">
        <v>0</v>
      </c>
      <c r="L93" s="94">
        <v>1107</v>
      </c>
      <c r="M93" s="94">
        <f t="shared" ref="M93:M101" si="34">L93*K93</f>
        <v>0</v>
      </c>
      <c r="N93" s="105">
        <f>L93*K93</f>
        <v>0</v>
      </c>
      <c r="O93" s="118">
        <f t="shared" ref="O93:O101" si="35">(L93*$L$108)+L93</f>
        <v>1935.765969879139</v>
      </c>
      <c r="P93" s="29">
        <f t="shared" si="32"/>
        <v>0</v>
      </c>
      <c r="Q93" s="80" t="s">
        <v>179</v>
      </c>
    </row>
    <row r="94" spans="1:17" x14ac:dyDescent="0.45">
      <c r="A94" s="128"/>
      <c r="B94" s="84">
        <v>12215616001</v>
      </c>
      <c r="C94" s="85" t="s">
        <v>155</v>
      </c>
      <c r="D94" s="82">
        <v>850</v>
      </c>
      <c r="E94" s="82">
        <v>60</v>
      </c>
      <c r="F94" s="82">
        <f>(('BIOMETRIA HEMATICA'!$B$2))</f>
        <v>12200</v>
      </c>
      <c r="G94" s="82">
        <f t="shared" si="33"/>
        <v>14.352941176470589</v>
      </c>
      <c r="H94" s="82">
        <f>(360/E94)*'BIOMETRIA HEMATICA'!$B$10</f>
        <v>6</v>
      </c>
      <c r="I94" s="83">
        <f t="shared" ref="I94:I101" si="36">IF(G94&gt;H94,G94,H94)</f>
        <v>14.352941176470589</v>
      </c>
      <c r="J94" s="83">
        <f>IF(N94&gt;N93,0,I94)</f>
        <v>0</v>
      </c>
      <c r="K94" s="108">
        <f t="shared" ref="K94" si="37">ROUNDDOWN(I94,0)</f>
        <v>14</v>
      </c>
      <c r="L94" s="94">
        <v>228.33</v>
      </c>
      <c r="M94" s="94">
        <f t="shared" si="34"/>
        <v>3196.6200000000003</v>
      </c>
      <c r="N94" s="105">
        <f>L94*K94</f>
        <v>3196.6200000000003</v>
      </c>
      <c r="O94" s="118">
        <f t="shared" si="35"/>
        <v>399.27140370596555</v>
      </c>
      <c r="P94" s="29">
        <f t="shared" si="32"/>
        <v>5589.799651883518</v>
      </c>
      <c r="Q94" s="121">
        <f>(SUM(P92:P98)/'BIOMETRIA HEMATICA'!B2)+M105</f>
        <v>2.0178377049180325</v>
      </c>
    </row>
    <row r="95" spans="1:17" x14ac:dyDescent="0.45">
      <c r="A95" s="128"/>
      <c r="B95" s="81">
        <v>7837984001</v>
      </c>
      <c r="C95" s="81" t="s">
        <v>156</v>
      </c>
      <c r="D95" s="82">
        <v>2450</v>
      </c>
      <c r="E95" s="82">
        <v>90</v>
      </c>
      <c r="F95" s="82">
        <f>(('BIOMETRIA HEMATICA'!$B$2))</f>
        <v>12200</v>
      </c>
      <c r="G95" s="82">
        <f t="shared" si="33"/>
        <v>4.9795918367346941</v>
      </c>
      <c r="H95" s="82">
        <f>(360/E95)*'BIOMETRIA HEMATICA'!$B$10</f>
        <v>4</v>
      </c>
      <c r="I95" s="83">
        <f t="shared" si="36"/>
        <v>4.9795918367346941</v>
      </c>
      <c r="J95" s="83"/>
      <c r="K95" s="83">
        <f t="shared" ref="K95:K97" si="38">ROUNDDOWN(I95,0)</f>
        <v>4</v>
      </c>
      <c r="L95" s="94">
        <v>176</v>
      </c>
      <c r="M95" s="94">
        <f t="shared" si="34"/>
        <v>704</v>
      </c>
      <c r="N95" s="105"/>
      <c r="O95" s="118">
        <f t="shared" si="35"/>
        <v>307.76405663841774</v>
      </c>
      <c r="P95" s="29">
        <f t="shared" si="32"/>
        <v>1231.056226553671</v>
      </c>
    </row>
    <row r="96" spans="1:17" x14ac:dyDescent="0.45">
      <c r="A96" s="128"/>
      <c r="B96" s="81">
        <v>6510256001</v>
      </c>
      <c r="C96" s="81" t="s">
        <v>157</v>
      </c>
      <c r="D96" s="82">
        <v>3400</v>
      </c>
      <c r="E96" s="82">
        <v>180</v>
      </c>
      <c r="F96" s="82">
        <f>(('BIOMETRIA HEMATICA'!$B$2))</f>
        <v>12200</v>
      </c>
      <c r="G96" s="82">
        <f t="shared" si="33"/>
        <v>3.5882352941176472</v>
      </c>
      <c r="H96" s="82">
        <f>(360/E96)*'BIOMETRIA HEMATICA'!$B$10</f>
        <v>2</v>
      </c>
      <c r="I96" s="83">
        <f t="shared" si="36"/>
        <v>3.5882352941176472</v>
      </c>
      <c r="J96" s="83"/>
      <c r="K96" s="83">
        <f t="shared" si="38"/>
        <v>3</v>
      </c>
      <c r="L96" s="94">
        <v>862</v>
      </c>
      <c r="M96" s="94">
        <f t="shared" si="34"/>
        <v>2586</v>
      </c>
      <c r="N96" s="105"/>
      <c r="O96" s="118">
        <f t="shared" si="35"/>
        <v>1507.3444137631598</v>
      </c>
      <c r="P96" s="29">
        <f t="shared" si="32"/>
        <v>4522.0332412894795</v>
      </c>
    </row>
    <row r="97" spans="1:17" x14ac:dyDescent="0.45">
      <c r="A97" s="128"/>
      <c r="B97" s="81">
        <v>6952291001</v>
      </c>
      <c r="C97" s="81" t="s">
        <v>158</v>
      </c>
      <c r="D97" s="82">
        <f>(((F92/30)/12)*E97)</f>
        <v>5083.3333333333339</v>
      </c>
      <c r="E97" s="82">
        <v>150</v>
      </c>
      <c r="F97" s="82">
        <f>(('BIOMETRIA HEMATICA'!$B$2))</f>
        <v>12200</v>
      </c>
      <c r="G97" s="82">
        <f t="shared" si="33"/>
        <v>2.4</v>
      </c>
      <c r="H97" s="82">
        <f>(360/E97)*'BIOMETRIA HEMATICA'!$B$10</f>
        <v>2.4</v>
      </c>
      <c r="I97" s="83">
        <f t="shared" si="36"/>
        <v>2.4</v>
      </c>
      <c r="J97" s="83"/>
      <c r="K97" s="83">
        <f t="shared" si="38"/>
        <v>2</v>
      </c>
      <c r="L97" s="94">
        <v>52</v>
      </c>
      <c r="M97" s="94">
        <f t="shared" si="34"/>
        <v>104</v>
      </c>
      <c r="N97" s="105"/>
      <c r="O97" s="118">
        <f t="shared" si="35"/>
        <v>90.930289461350711</v>
      </c>
      <c r="P97" s="29">
        <f t="shared" si="32"/>
        <v>181.86057892270142</v>
      </c>
    </row>
    <row r="98" spans="1:17" ht="21" x14ac:dyDescent="0.45">
      <c r="A98" s="128"/>
      <c r="B98" s="86">
        <v>7051506001</v>
      </c>
      <c r="C98" s="81" t="s">
        <v>159</v>
      </c>
      <c r="D98" s="82">
        <f>(((F92/30)/12)*E98)</f>
        <v>1897.7777777777781</v>
      </c>
      <c r="E98" s="82">
        <v>56</v>
      </c>
      <c r="F98" s="82">
        <f>(('BIOMETRIA HEMATICA'!$B$2))</f>
        <v>12200</v>
      </c>
      <c r="G98" s="82">
        <f t="shared" si="33"/>
        <v>6.4285714285714279</v>
      </c>
      <c r="H98" s="82">
        <f>(360/E98)*'BIOMETRIA HEMATICA'!$B$10</f>
        <v>6.4285714285714288</v>
      </c>
      <c r="I98" s="83">
        <f t="shared" si="36"/>
        <v>6.4285714285714288</v>
      </c>
      <c r="J98" s="83"/>
      <c r="K98" s="83">
        <v>0</v>
      </c>
      <c r="L98" s="94">
        <v>544</v>
      </c>
      <c r="M98" s="94">
        <f t="shared" si="34"/>
        <v>0</v>
      </c>
      <c r="N98" s="105"/>
      <c r="O98" s="118">
        <f t="shared" si="35"/>
        <v>951.27072051874586</v>
      </c>
      <c r="P98" s="29">
        <f t="shared" si="32"/>
        <v>0</v>
      </c>
    </row>
    <row r="99" spans="1:17" x14ac:dyDescent="0.45">
      <c r="A99" s="129" t="s">
        <v>160</v>
      </c>
      <c r="B99" s="87">
        <v>6510272001</v>
      </c>
      <c r="C99" s="88" t="s">
        <v>161</v>
      </c>
      <c r="D99" s="89">
        <v>650</v>
      </c>
      <c r="E99" s="89">
        <v>180</v>
      </c>
      <c r="F99" s="89">
        <f>(('BIOMETRIA HEMATICA'!$D$2))</f>
        <v>0</v>
      </c>
      <c r="G99" s="90">
        <f t="shared" si="33"/>
        <v>0</v>
      </c>
      <c r="H99" s="90">
        <f>(360/E99)*'BIOMETRIA HEMATICA'!$B$10</f>
        <v>2</v>
      </c>
      <c r="I99" s="92">
        <f t="shared" si="36"/>
        <v>2</v>
      </c>
      <c r="J99" s="115">
        <f t="shared" ref="J99:J100" si="39">IF(G99=0,0,G99)</f>
        <v>0</v>
      </c>
      <c r="K99" s="108"/>
      <c r="L99" s="95">
        <v>1705</v>
      </c>
      <c r="M99" s="96">
        <f t="shared" si="34"/>
        <v>0</v>
      </c>
      <c r="N99" s="106"/>
      <c r="O99" s="118">
        <f t="shared" si="35"/>
        <v>2981.464298684672</v>
      </c>
      <c r="P99" s="29">
        <f t="shared" si="32"/>
        <v>0</v>
      </c>
      <c r="Q99" s="120"/>
    </row>
    <row r="100" spans="1:17" x14ac:dyDescent="0.45">
      <c r="A100" s="128"/>
      <c r="B100" s="87">
        <v>9426752001</v>
      </c>
      <c r="C100" s="88" t="s">
        <v>162</v>
      </c>
      <c r="D100" s="89">
        <v>450</v>
      </c>
      <c r="E100" s="89">
        <v>60</v>
      </c>
      <c r="F100" s="89">
        <f>(('BIOMETRIA HEMATICA'!$D$2))</f>
        <v>0</v>
      </c>
      <c r="G100" s="90">
        <f t="shared" si="33"/>
        <v>0</v>
      </c>
      <c r="H100" s="90">
        <f>(360/E100)*'BIOMETRIA HEMATICA'!$B$10</f>
        <v>6</v>
      </c>
      <c r="I100" s="92">
        <f t="shared" si="36"/>
        <v>6</v>
      </c>
      <c r="J100" s="115">
        <f t="shared" si="39"/>
        <v>0</v>
      </c>
      <c r="K100" s="108"/>
      <c r="L100" s="95">
        <v>34</v>
      </c>
      <c r="M100" s="96">
        <f t="shared" si="34"/>
        <v>0</v>
      </c>
      <c r="N100" s="106"/>
      <c r="O100" s="118">
        <f t="shared" si="35"/>
        <v>59.454420032421616</v>
      </c>
      <c r="P100" s="29">
        <f t="shared" si="32"/>
        <v>0</v>
      </c>
      <c r="Q100" s="35"/>
    </row>
    <row r="101" spans="1:17" ht="21" x14ac:dyDescent="0.45">
      <c r="A101" s="100" t="s">
        <v>163</v>
      </c>
      <c r="B101" s="101">
        <v>7051409001</v>
      </c>
      <c r="C101" s="101" t="s">
        <v>164</v>
      </c>
      <c r="D101" s="102">
        <f>(((F92/30)/12)*E101)</f>
        <v>1897.7777777777781</v>
      </c>
      <c r="E101" s="102">
        <v>56</v>
      </c>
      <c r="F101" s="102">
        <f>(('BIOMETRIA HEMATICA'!$H$2))</f>
        <v>0</v>
      </c>
      <c r="G101" s="91">
        <f t="shared" si="33"/>
        <v>0</v>
      </c>
      <c r="H101" s="91">
        <f>(360/E101)*'BIOMETRIA HEMATICA'!$B$10</f>
        <v>6.4285714285714288</v>
      </c>
      <c r="I101" s="93">
        <f t="shared" si="36"/>
        <v>6.4285714285714288</v>
      </c>
      <c r="J101" s="93">
        <f t="shared" ref="J101" si="40">IF(G77=0,0,G101)</f>
        <v>0</v>
      </c>
      <c r="K101" s="108"/>
      <c r="L101" s="103">
        <v>661</v>
      </c>
      <c r="M101" s="97">
        <f t="shared" si="34"/>
        <v>0</v>
      </c>
      <c r="N101" s="107"/>
      <c r="O101" s="118">
        <f t="shared" si="35"/>
        <v>1155.863871806785</v>
      </c>
      <c r="P101" s="29">
        <f t="shared" si="32"/>
        <v>0</v>
      </c>
      <c r="Q101" s="120"/>
    </row>
    <row r="102" spans="1:17" x14ac:dyDescent="0.45">
      <c r="C102" s="18"/>
      <c r="D102" s="18"/>
      <c r="E102" s="18"/>
      <c r="F102" s="18"/>
      <c r="G102" s="18"/>
      <c r="H102" s="18"/>
      <c r="I102" s="18"/>
      <c r="J102" s="18"/>
      <c r="K102" s="18"/>
      <c r="L102" s="98"/>
      <c r="M102" s="98"/>
      <c r="N102" s="35"/>
      <c r="O102" s="35"/>
      <c r="P102" s="35">
        <f>SUM(P92:P101)</f>
        <v>17237.62</v>
      </c>
      <c r="Q102" s="35"/>
    </row>
    <row r="103" spans="1:17" x14ac:dyDescent="0.45">
      <c r="C103" s="26" t="s">
        <v>150</v>
      </c>
      <c r="D103" s="27"/>
      <c r="E103" s="27"/>
      <c r="F103" s="27"/>
      <c r="G103" s="28"/>
      <c r="H103" s="28"/>
      <c r="I103" s="18"/>
      <c r="J103" s="18"/>
      <c r="K103" s="130">
        <f>'BIOMETRIA HEMATICA'!B6</f>
        <v>12</v>
      </c>
      <c r="L103" s="29">
        <f>BC!F109</f>
        <v>1920</v>
      </c>
      <c r="M103" s="29">
        <f>(L103/K103)*K103</f>
        <v>1920</v>
      </c>
      <c r="N103" s="34"/>
      <c r="O103" s="34"/>
      <c r="P103" s="34"/>
    </row>
    <row r="104" spans="1:17" x14ac:dyDescent="0.45">
      <c r="C104" s="19" t="s">
        <v>24</v>
      </c>
      <c r="D104" s="27"/>
      <c r="E104" s="27"/>
      <c r="F104" s="27"/>
      <c r="G104" s="28"/>
      <c r="H104" s="28"/>
      <c r="I104" s="18"/>
      <c r="J104" s="18"/>
      <c r="K104" s="130"/>
      <c r="L104" s="29">
        <v>615</v>
      </c>
      <c r="M104" s="29">
        <f>(L104*K103)</f>
        <v>7380</v>
      </c>
      <c r="N104" s="34"/>
      <c r="O104" s="34"/>
      <c r="P104" s="34"/>
    </row>
    <row r="105" spans="1:17" x14ac:dyDescent="0.45">
      <c r="C105" s="19" t="s">
        <v>0</v>
      </c>
      <c r="D105" s="18"/>
      <c r="E105" s="18"/>
      <c r="F105" s="18"/>
      <c r="G105" s="18"/>
      <c r="H105" s="18"/>
      <c r="I105" s="18"/>
      <c r="J105" s="18"/>
      <c r="K105" s="130"/>
      <c r="L105" s="29">
        <v>28941</v>
      </c>
      <c r="M105" s="29">
        <f>((((L104)*(K103))/F92))</f>
        <v>0.60491803278688527</v>
      </c>
      <c r="N105" s="34"/>
      <c r="O105" s="34"/>
      <c r="P105" s="34"/>
    </row>
    <row r="106" spans="1:17" x14ac:dyDescent="0.45">
      <c r="L106" s="35">
        <f>SUM(M103:N104)</f>
        <v>9300</v>
      </c>
      <c r="M106" s="35"/>
      <c r="P106" s="35">
        <f>P102-L107</f>
        <v>7379.9999999999982</v>
      </c>
    </row>
    <row r="107" spans="1:17" x14ac:dyDescent="0.45">
      <c r="L107" s="35">
        <f>SUM(M92:M101)</f>
        <v>9857.6200000000008</v>
      </c>
      <c r="P107" s="35">
        <f>L104*K103</f>
        <v>7380</v>
      </c>
    </row>
    <row r="108" spans="1:17" x14ac:dyDescent="0.45">
      <c r="L108" s="36">
        <f>(L104/L107)*K103</f>
        <v>0.74865941271828285</v>
      </c>
    </row>
    <row r="112" spans="1:17" x14ac:dyDescent="0.45">
      <c r="A112" s="126" t="s">
        <v>173</v>
      </c>
      <c r="B112" s="126"/>
      <c r="C112" s="126"/>
      <c r="D112" s="126"/>
      <c r="E112" s="126"/>
      <c r="F112" s="126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</row>
    <row r="113" spans="1:17" ht="21" x14ac:dyDescent="0.45">
      <c r="A113" s="79" t="s">
        <v>1</v>
      </c>
      <c r="B113" s="79" t="s">
        <v>2</v>
      </c>
      <c r="C113" s="79" t="s">
        <v>3</v>
      </c>
      <c r="D113" s="79" t="s">
        <v>4</v>
      </c>
      <c r="E113" s="80" t="s">
        <v>5</v>
      </c>
      <c r="F113" s="80" t="s">
        <v>6</v>
      </c>
      <c r="G113" s="80" t="s">
        <v>7</v>
      </c>
      <c r="H113" s="80" t="s">
        <v>13</v>
      </c>
      <c r="I113" s="80" t="s">
        <v>8</v>
      </c>
      <c r="J113" s="80"/>
      <c r="K113" s="11" t="s">
        <v>16</v>
      </c>
      <c r="L113" s="11" t="s">
        <v>14</v>
      </c>
      <c r="M113" s="11" t="s">
        <v>15</v>
      </c>
      <c r="N113" s="11"/>
      <c r="O113" s="117" t="s">
        <v>25</v>
      </c>
      <c r="P113" s="11" t="s">
        <v>26</v>
      </c>
      <c r="Q113" s="80" t="s">
        <v>178</v>
      </c>
    </row>
    <row r="114" spans="1:17" x14ac:dyDescent="0.45">
      <c r="A114" s="127" t="s">
        <v>9</v>
      </c>
      <c r="B114" s="81">
        <v>6510167001</v>
      </c>
      <c r="C114" s="81" t="s">
        <v>153</v>
      </c>
      <c r="D114" s="82">
        <v>450</v>
      </c>
      <c r="E114" s="82">
        <v>60</v>
      </c>
      <c r="F114" s="82">
        <f>(('BIOMETRIA HEMATICA'!$B$2))</f>
        <v>12200</v>
      </c>
      <c r="G114" s="82">
        <f>F114/D114</f>
        <v>27.111111111111111</v>
      </c>
      <c r="H114" s="82">
        <f>(360/E114)*'BIOMETRIA HEMATICA'!$B$10</f>
        <v>6</v>
      </c>
      <c r="I114" s="83">
        <f>IF(G114&gt;H114,G114,H114)</f>
        <v>27.111111111111111</v>
      </c>
      <c r="J114" s="83"/>
      <c r="K114" s="83">
        <f>ROUNDDOWN(I114,0)</f>
        <v>27</v>
      </c>
      <c r="L114" s="94">
        <v>121</v>
      </c>
      <c r="M114" s="94">
        <f>L114*K114</f>
        <v>3267</v>
      </c>
      <c r="N114" s="94"/>
      <c r="O114" s="118">
        <f>(L114*$L$130)+L114</f>
        <v>675.38453284532181</v>
      </c>
      <c r="P114" s="29">
        <f t="shared" ref="P114:P123" si="41">O114*K114</f>
        <v>18235.38238682369</v>
      </c>
      <c r="Q114" s="121">
        <f>(SUM(P114:P123)/'BIOMETRIA HEMATICA'!B2)+M127</f>
        <v>13.208493442622951</v>
      </c>
    </row>
    <row r="115" spans="1:17" x14ac:dyDescent="0.45">
      <c r="A115" s="128"/>
      <c r="B115" s="81">
        <v>3337006001</v>
      </c>
      <c r="C115" s="81" t="s">
        <v>154</v>
      </c>
      <c r="D115" s="82">
        <v>9450</v>
      </c>
      <c r="E115" s="82">
        <v>60</v>
      </c>
      <c r="F115" s="82">
        <f>(('BIOMETRIA HEMATICA'!$B$2))</f>
        <v>12200</v>
      </c>
      <c r="G115" s="82">
        <f t="shared" ref="G115:G123" si="42">F115/D115</f>
        <v>1.2910052910052909</v>
      </c>
      <c r="H115" s="82">
        <f>(360/E115)*'BIOMETRIA HEMATICA'!$B$10</f>
        <v>6</v>
      </c>
      <c r="I115" s="83">
        <f>IF(G115&gt;H115,G115,H115)</f>
        <v>6</v>
      </c>
      <c r="J115" s="83">
        <f>IF(N115&gt;N116,0,I115)</f>
        <v>0</v>
      </c>
      <c r="K115" s="108">
        <f t="shared" ref="K115:K116" si="43">ROUNDDOWN(I115,0)</f>
        <v>6</v>
      </c>
      <c r="L115" s="94">
        <v>1107</v>
      </c>
      <c r="M115" s="94">
        <f t="shared" ref="M115:M123" si="44">L115*K115</f>
        <v>6642</v>
      </c>
      <c r="N115" s="105">
        <f>L115*K115</f>
        <v>6642</v>
      </c>
      <c r="O115" s="118">
        <f t="shared" ref="O115:O123" si="45">(L115*$L$130)+L115</f>
        <v>6178.9312219815802</v>
      </c>
      <c r="P115" s="29">
        <f t="shared" si="41"/>
        <v>37073.587331889481</v>
      </c>
      <c r="Q115" s="80" t="s">
        <v>179</v>
      </c>
    </row>
    <row r="116" spans="1:17" x14ac:dyDescent="0.45">
      <c r="A116" s="128"/>
      <c r="B116" s="84">
        <v>12215616001</v>
      </c>
      <c r="C116" s="85" t="s">
        <v>155</v>
      </c>
      <c r="D116" s="82">
        <v>850</v>
      </c>
      <c r="E116" s="82">
        <v>60</v>
      </c>
      <c r="F116" s="82">
        <f>(('BIOMETRIA HEMATICA'!$B$2))</f>
        <v>12200</v>
      </c>
      <c r="G116" s="82">
        <f t="shared" si="42"/>
        <v>14.352941176470589</v>
      </c>
      <c r="H116" s="82">
        <f>(360/E116)*'BIOMETRIA HEMATICA'!$B$10</f>
        <v>6</v>
      </c>
      <c r="I116" s="83">
        <f t="shared" ref="I116:I123" si="46">IF(G116&gt;H116,G116,H116)</f>
        <v>14.352941176470589</v>
      </c>
      <c r="J116" s="83">
        <f>IF(N116&gt;N115,0,I116)</f>
        <v>14.352941176470589</v>
      </c>
      <c r="K116" s="108">
        <f t="shared" si="43"/>
        <v>14</v>
      </c>
      <c r="L116" s="94">
        <v>228.33</v>
      </c>
      <c r="M116" s="94">
        <f t="shared" si="44"/>
        <v>3196.6200000000003</v>
      </c>
      <c r="N116" s="105">
        <f>L116*K116</f>
        <v>3196.6200000000003</v>
      </c>
      <c r="O116" s="118">
        <f t="shared" si="45"/>
        <v>1274.4673585501846</v>
      </c>
      <c r="P116" s="29">
        <f t="shared" si="41"/>
        <v>17842.543019702585</v>
      </c>
      <c r="Q116" s="121">
        <f>(SUM(P114:P120)/'BIOMETRIA HEMATICA'!B2)+M127</f>
        <v>9.7405251734402238</v>
      </c>
    </row>
    <row r="117" spans="1:17" x14ac:dyDescent="0.45">
      <c r="A117" s="128"/>
      <c r="B117" s="81">
        <v>7837984001</v>
      </c>
      <c r="C117" s="81" t="s">
        <v>156</v>
      </c>
      <c r="D117" s="82">
        <v>2450</v>
      </c>
      <c r="E117" s="82">
        <v>90</v>
      </c>
      <c r="F117" s="82">
        <f>(('BIOMETRIA HEMATICA'!$B$2))</f>
        <v>12200</v>
      </c>
      <c r="G117" s="82">
        <f t="shared" si="42"/>
        <v>4.9795918367346941</v>
      </c>
      <c r="H117" s="82">
        <f>(360/E117)*'BIOMETRIA HEMATICA'!$B$10</f>
        <v>4</v>
      </c>
      <c r="I117" s="83">
        <f t="shared" si="46"/>
        <v>4.9795918367346941</v>
      </c>
      <c r="J117" s="83"/>
      <c r="K117" s="83">
        <f t="shared" ref="K117:K123" si="47">ROUNDDOWN(I117,0)</f>
        <v>4</v>
      </c>
      <c r="L117" s="94">
        <v>176</v>
      </c>
      <c r="M117" s="94">
        <f t="shared" si="44"/>
        <v>704</v>
      </c>
      <c r="N117" s="105"/>
      <c r="O117" s="118">
        <f t="shared" si="45"/>
        <v>982.37750232046812</v>
      </c>
      <c r="P117" s="29">
        <f t="shared" si="41"/>
        <v>3929.5100092818725</v>
      </c>
    </row>
    <row r="118" spans="1:17" x14ac:dyDescent="0.45">
      <c r="A118" s="128"/>
      <c r="B118" s="81">
        <v>6510256001</v>
      </c>
      <c r="C118" s="81" t="s">
        <v>157</v>
      </c>
      <c r="D118" s="82">
        <v>3400</v>
      </c>
      <c r="E118" s="82">
        <v>180</v>
      </c>
      <c r="F118" s="82">
        <f>(('BIOMETRIA HEMATICA'!$B$2))</f>
        <v>12200</v>
      </c>
      <c r="G118" s="82">
        <f t="shared" si="42"/>
        <v>3.5882352941176472</v>
      </c>
      <c r="H118" s="82">
        <f>(360/E118)*'BIOMETRIA HEMATICA'!$B$10</f>
        <v>2</v>
      </c>
      <c r="I118" s="83">
        <f t="shared" si="46"/>
        <v>3.5882352941176472</v>
      </c>
      <c r="J118" s="83"/>
      <c r="K118" s="83">
        <f t="shared" si="47"/>
        <v>3</v>
      </c>
      <c r="L118" s="94">
        <v>862</v>
      </c>
      <c r="M118" s="94">
        <f t="shared" si="44"/>
        <v>2586</v>
      </c>
      <c r="N118" s="105"/>
      <c r="O118" s="118">
        <f t="shared" si="45"/>
        <v>4811.4170852286561</v>
      </c>
      <c r="P118" s="29">
        <f t="shared" si="41"/>
        <v>14434.251255685969</v>
      </c>
    </row>
    <row r="119" spans="1:17" x14ac:dyDescent="0.45">
      <c r="A119" s="128"/>
      <c r="B119" s="81">
        <v>6952291001</v>
      </c>
      <c r="C119" s="81" t="s">
        <v>158</v>
      </c>
      <c r="D119" s="82">
        <f>(((F114/30)/12)*E119)</f>
        <v>5083.3333333333339</v>
      </c>
      <c r="E119" s="82">
        <v>150</v>
      </c>
      <c r="F119" s="82">
        <f>(('BIOMETRIA HEMATICA'!$B$2))</f>
        <v>12200</v>
      </c>
      <c r="G119" s="82">
        <f t="shared" si="42"/>
        <v>2.4</v>
      </c>
      <c r="H119" s="82">
        <f>(360/E119)*'BIOMETRIA HEMATICA'!$B$10</f>
        <v>2.4</v>
      </c>
      <c r="I119" s="83">
        <f t="shared" si="46"/>
        <v>2.4</v>
      </c>
      <c r="J119" s="83"/>
      <c r="K119" s="83">
        <f t="shared" si="47"/>
        <v>2</v>
      </c>
      <c r="L119" s="94">
        <v>52</v>
      </c>
      <c r="M119" s="94">
        <f t="shared" si="44"/>
        <v>104</v>
      </c>
      <c r="N119" s="105"/>
      <c r="O119" s="118">
        <f t="shared" si="45"/>
        <v>290.24789841286554</v>
      </c>
      <c r="P119" s="29">
        <f t="shared" si="41"/>
        <v>580.49579682573108</v>
      </c>
    </row>
    <row r="120" spans="1:17" ht="21" x14ac:dyDescent="0.45">
      <c r="A120" s="128"/>
      <c r="B120" s="86">
        <v>7051506001</v>
      </c>
      <c r="C120" s="81" t="s">
        <v>159</v>
      </c>
      <c r="D120" s="82">
        <f>(((F114/30)/12)*E120)</f>
        <v>1897.7777777777781</v>
      </c>
      <c r="E120" s="82">
        <v>56</v>
      </c>
      <c r="F120" s="82">
        <f>(('BIOMETRIA HEMATICA'!$B$2))</f>
        <v>12200</v>
      </c>
      <c r="G120" s="82">
        <f t="shared" si="42"/>
        <v>6.4285714285714279</v>
      </c>
      <c r="H120" s="82">
        <f>(360/E120)*'BIOMETRIA HEMATICA'!$B$10</f>
        <v>6.4285714285714288</v>
      </c>
      <c r="I120" s="83">
        <f t="shared" si="46"/>
        <v>6.4285714285714288</v>
      </c>
      <c r="J120" s="83"/>
      <c r="K120" s="83">
        <f t="shared" si="47"/>
        <v>6</v>
      </c>
      <c r="L120" s="94">
        <v>544</v>
      </c>
      <c r="M120" s="94">
        <f t="shared" si="44"/>
        <v>3264</v>
      </c>
      <c r="N120" s="105"/>
      <c r="O120" s="118">
        <f t="shared" si="45"/>
        <v>3036.4395526269013</v>
      </c>
      <c r="P120" s="29">
        <f t="shared" si="41"/>
        <v>18218.637315761407</v>
      </c>
    </row>
    <row r="121" spans="1:17" x14ac:dyDescent="0.45">
      <c r="A121" s="129" t="s">
        <v>160</v>
      </c>
      <c r="B121" s="87">
        <v>6510272001</v>
      </c>
      <c r="C121" s="88" t="s">
        <v>161</v>
      </c>
      <c r="D121" s="89">
        <v>650</v>
      </c>
      <c r="E121" s="89">
        <v>180</v>
      </c>
      <c r="F121" s="89">
        <f>(('BIOMETRIA HEMATICA'!$D$2))</f>
        <v>0</v>
      </c>
      <c r="G121" s="90">
        <f t="shared" si="42"/>
        <v>0</v>
      </c>
      <c r="H121" s="90">
        <f>(360/E121)*'BIOMETRIA HEMATICA'!$B$10</f>
        <v>2</v>
      </c>
      <c r="I121" s="92">
        <f t="shared" si="46"/>
        <v>2</v>
      </c>
      <c r="J121" s="115">
        <f t="shared" ref="J121:J122" si="48">IF(G121=0,0,G121)</f>
        <v>0</v>
      </c>
      <c r="K121" s="108">
        <f t="shared" si="47"/>
        <v>2</v>
      </c>
      <c r="L121" s="95">
        <v>1705</v>
      </c>
      <c r="M121" s="96">
        <f t="shared" si="44"/>
        <v>3410</v>
      </c>
      <c r="N121" s="106"/>
      <c r="O121" s="118">
        <f t="shared" si="45"/>
        <v>9516.7820537295338</v>
      </c>
      <c r="P121" s="29">
        <f t="shared" si="41"/>
        <v>19033.564107459068</v>
      </c>
      <c r="Q121" s="120"/>
    </row>
    <row r="122" spans="1:17" x14ac:dyDescent="0.45">
      <c r="A122" s="128"/>
      <c r="B122" s="87">
        <v>9426752001</v>
      </c>
      <c r="C122" s="88" t="s">
        <v>162</v>
      </c>
      <c r="D122" s="89">
        <v>450</v>
      </c>
      <c r="E122" s="89">
        <v>60</v>
      </c>
      <c r="F122" s="89">
        <f>(('BIOMETRIA HEMATICA'!$D$2))</f>
        <v>0</v>
      </c>
      <c r="G122" s="90">
        <f t="shared" si="42"/>
        <v>0</v>
      </c>
      <c r="H122" s="90">
        <f>(360/E122)*'BIOMETRIA HEMATICA'!$B$10</f>
        <v>6</v>
      </c>
      <c r="I122" s="92">
        <f t="shared" si="46"/>
        <v>6</v>
      </c>
      <c r="J122" s="115">
        <f t="shared" si="48"/>
        <v>0</v>
      </c>
      <c r="K122" s="108">
        <f t="shared" si="47"/>
        <v>6</v>
      </c>
      <c r="L122" s="95">
        <v>34</v>
      </c>
      <c r="M122" s="96">
        <f t="shared" si="44"/>
        <v>204</v>
      </c>
      <c r="N122" s="106"/>
      <c r="O122" s="118">
        <f t="shared" si="45"/>
        <v>189.77747203918133</v>
      </c>
      <c r="P122" s="29">
        <f t="shared" si="41"/>
        <v>1138.6648322350879</v>
      </c>
      <c r="Q122" s="35"/>
    </row>
    <row r="123" spans="1:17" ht="21" x14ac:dyDescent="0.45">
      <c r="A123" s="100" t="s">
        <v>163</v>
      </c>
      <c r="B123" s="101">
        <v>7051409001</v>
      </c>
      <c r="C123" s="101" t="s">
        <v>164</v>
      </c>
      <c r="D123" s="102">
        <f>(((F114/30)/12)*E123)</f>
        <v>1897.7777777777781</v>
      </c>
      <c r="E123" s="102">
        <v>56</v>
      </c>
      <c r="F123" s="102">
        <f>(('BIOMETRIA HEMATICA'!$H$2))</f>
        <v>0</v>
      </c>
      <c r="G123" s="91">
        <f t="shared" si="42"/>
        <v>0</v>
      </c>
      <c r="H123" s="91">
        <f>(360/E123)*'BIOMETRIA HEMATICA'!$B$10</f>
        <v>6.4285714285714288</v>
      </c>
      <c r="I123" s="93">
        <f t="shared" si="46"/>
        <v>6.4285714285714288</v>
      </c>
      <c r="J123" s="93">
        <f t="shared" ref="J123" si="49">IF(G99=0,0,G123)</f>
        <v>0</v>
      </c>
      <c r="K123" s="108">
        <f t="shared" si="47"/>
        <v>6</v>
      </c>
      <c r="L123" s="103">
        <v>661</v>
      </c>
      <c r="M123" s="97">
        <f t="shared" si="44"/>
        <v>3966</v>
      </c>
      <c r="N123" s="107"/>
      <c r="O123" s="118">
        <f t="shared" si="45"/>
        <v>3689.4973240558488</v>
      </c>
      <c r="P123" s="29">
        <f t="shared" si="41"/>
        <v>22136.983944335094</v>
      </c>
      <c r="Q123" s="120"/>
    </row>
    <row r="124" spans="1:17" x14ac:dyDescent="0.45">
      <c r="C124" s="18"/>
      <c r="D124" s="18"/>
      <c r="E124" s="18"/>
      <c r="F124" s="18"/>
      <c r="G124" s="18"/>
      <c r="H124" s="18"/>
      <c r="I124" s="18"/>
      <c r="J124" s="18"/>
      <c r="K124" s="18"/>
      <c r="L124" s="98"/>
      <c r="M124" s="98"/>
      <c r="N124" s="35"/>
      <c r="O124" s="35"/>
      <c r="P124" s="35">
        <f>SUM(P114:P123)</f>
        <v>152623.62</v>
      </c>
      <c r="Q124" s="35"/>
    </row>
    <row r="125" spans="1:17" x14ac:dyDescent="0.45">
      <c r="C125" s="26" t="s">
        <v>150</v>
      </c>
      <c r="D125" s="27"/>
      <c r="E125" s="27"/>
      <c r="F125" s="27"/>
      <c r="G125" s="28"/>
      <c r="H125" s="28"/>
      <c r="I125" s="18"/>
      <c r="J125" s="18"/>
      <c r="K125" s="130">
        <f>'BIOMETRIA HEMATICA'!B6</f>
        <v>12</v>
      </c>
      <c r="L125" s="29">
        <f>BC!F109</f>
        <v>1920</v>
      </c>
      <c r="M125" s="29">
        <f>(L125/K125)*K125</f>
        <v>1920</v>
      </c>
      <c r="N125" s="34"/>
      <c r="O125" s="34"/>
      <c r="P125" s="34"/>
    </row>
    <row r="126" spans="1:17" x14ac:dyDescent="0.45">
      <c r="C126" s="19" t="s">
        <v>24</v>
      </c>
      <c r="D126" s="27"/>
      <c r="E126" s="27"/>
      <c r="F126" s="27"/>
      <c r="G126" s="28"/>
      <c r="H126" s="28"/>
      <c r="I126" s="18"/>
      <c r="J126" s="18"/>
      <c r="K126" s="130"/>
      <c r="L126" s="29">
        <v>710</v>
      </c>
      <c r="M126" s="29">
        <f>(L126*K125)</f>
        <v>8520</v>
      </c>
      <c r="N126" s="34"/>
      <c r="O126" s="34"/>
      <c r="P126" s="34"/>
    </row>
    <row r="127" spans="1:17" x14ac:dyDescent="0.45">
      <c r="C127" s="19" t="s">
        <v>0</v>
      </c>
      <c r="D127" s="18"/>
      <c r="E127" s="18"/>
      <c r="F127" s="18"/>
      <c r="G127" s="18"/>
      <c r="H127" s="18"/>
      <c r="I127" s="18"/>
      <c r="J127" s="18"/>
      <c r="K127" s="130"/>
      <c r="L127" s="29">
        <v>36850</v>
      </c>
      <c r="M127" s="29">
        <f>((((L126)*(K125))/'BIOMETRIA HEMATICA'!B2))</f>
        <v>0.69836065573770489</v>
      </c>
      <c r="N127" s="34"/>
      <c r="O127" s="34"/>
      <c r="P127" s="34"/>
    </row>
    <row r="128" spans="1:17" x14ac:dyDescent="0.45">
      <c r="L128" s="35">
        <f>SUM(M125:M126)</f>
        <v>10440</v>
      </c>
      <c r="M128" s="35"/>
      <c r="P128" s="35">
        <f>P124-L129</f>
        <v>125280</v>
      </c>
    </row>
    <row r="129" spans="1:17" x14ac:dyDescent="0.45">
      <c r="L129" s="35">
        <f>SUM(M114:M123)</f>
        <v>27343.620000000003</v>
      </c>
      <c r="P129" s="35">
        <f>L126*K125</f>
        <v>8520</v>
      </c>
    </row>
    <row r="130" spans="1:17" x14ac:dyDescent="0.45">
      <c r="L130" s="36">
        <f>(L128/L129)*K125</f>
        <v>4.5816903540935687</v>
      </c>
    </row>
    <row r="134" spans="1:17" x14ac:dyDescent="0.45">
      <c r="A134" s="126" t="s">
        <v>174</v>
      </c>
      <c r="B134" s="126"/>
      <c r="C134" s="126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</row>
    <row r="135" spans="1:17" ht="21" x14ac:dyDescent="0.45">
      <c r="A135" s="79" t="s">
        <v>1</v>
      </c>
      <c r="B135" s="79" t="s">
        <v>2</v>
      </c>
      <c r="C135" s="79" t="s">
        <v>3</v>
      </c>
      <c r="D135" s="79" t="s">
        <v>4</v>
      </c>
      <c r="E135" s="80" t="s">
        <v>5</v>
      </c>
      <c r="F135" s="80" t="s">
        <v>6</v>
      </c>
      <c r="G135" s="80" t="s">
        <v>7</v>
      </c>
      <c r="H135" s="80" t="s">
        <v>13</v>
      </c>
      <c r="I135" s="80" t="s">
        <v>8</v>
      </c>
      <c r="J135" s="80"/>
      <c r="K135" s="11" t="s">
        <v>16</v>
      </c>
      <c r="L135" s="11" t="s">
        <v>14</v>
      </c>
      <c r="M135" s="11" t="s">
        <v>15</v>
      </c>
      <c r="N135" s="11"/>
      <c r="O135" s="117" t="s">
        <v>25</v>
      </c>
      <c r="P135" s="11" t="s">
        <v>26</v>
      </c>
      <c r="Q135" s="80" t="s">
        <v>178</v>
      </c>
    </row>
    <row r="136" spans="1:17" x14ac:dyDescent="0.45">
      <c r="A136" s="127" t="s">
        <v>9</v>
      </c>
      <c r="B136" s="81">
        <v>6510167001</v>
      </c>
      <c r="C136" s="81" t="s">
        <v>153</v>
      </c>
      <c r="D136" s="82">
        <v>450</v>
      </c>
      <c r="E136" s="82">
        <v>60</v>
      </c>
      <c r="F136" s="82">
        <f>(('BIOMETRIA HEMATICA'!$B$2))</f>
        <v>12200</v>
      </c>
      <c r="G136" s="82">
        <f>F136/D136</f>
        <v>27.111111111111111</v>
      </c>
      <c r="H136" s="82">
        <f>(360/E136)*'BIOMETRIA HEMATICA'!$B$10</f>
        <v>6</v>
      </c>
      <c r="I136" s="83">
        <f>IF(G136&gt;H136,G136,H136)</f>
        <v>27.111111111111111</v>
      </c>
      <c r="J136" s="83"/>
      <c r="K136" s="83">
        <f>ROUNDDOWN(I136,0)</f>
        <v>27</v>
      </c>
      <c r="L136" s="94">
        <v>121</v>
      </c>
      <c r="M136" s="94">
        <f>L136*K136</f>
        <v>3267</v>
      </c>
      <c r="N136" s="94"/>
      <c r="O136" s="118">
        <f>(L136*$L$156)+L136</f>
        <v>1744.4309207015606</v>
      </c>
      <c r="P136" s="29">
        <f t="shared" ref="P136:P147" si="50">O136*K136</f>
        <v>47099.634858942132</v>
      </c>
      <c r="Q136" s="121">
        <f>(SUM(P136:P149)/'BIOMETRIA HEMATICA'!B2)+M153</f>
        <v>38.737837704918029</v>
      </c>
    </row>
    <row r="137" spans="1:17" x14ac:dyDescent="0.45">
      <c r="A137" s="128"/>
      <c r="B137" s="81">
        <v>3337006001</v>
      </c>
      <c r="C137" s="81" t="s">
        <v>154</v>
      </c>
      <c r="D137" s="82">
        <v>9450</v>
      </c>
      <c r="E137" s="82">
        <v>60</v>
      </c>
      <c r="F137" s="82">
        <f>(('BIOMETRIA HEMATICA'!$B$2))</f>
        <v>12200</v>
      </c>
      <c r="G137" s="82">
        <f t="shared" ref="G137:G149" si="51">F137/D137</f>
        <v>1.2910052910052909</v>
      </c>
      <c r="H137" s="82">
        <f>(360/E137)*'BIOMETRIA HEMATICA'!$B$10</f>
        <v>6</v>
      </c>
      <c r="I137" s="83">
        <f>IF(G137&gt;H137,G137,H137)</f>
        <v>6</v>
      </c>
      <c r="J137" s="83">
        <f>IF(N137&gt;N138,0,I137)</f>
        <v>0</v>
      </c>
      <c r="K137" s="108">
        <f t="shared" ref="K137:K138" si="52">ROUNDDOWN(I137,0)</f>
        <v>6</v>
      </c>
      <c r="L137" s="94">
        <v>1107</v>
      </c>
      <c r="M137" s="94">
        <f t="shared" ref="M137:M149" si="53">L137*K137</f>
        <v>6642</v>
      </c>
      <c r="N137" s="105">
        <f>L137*K137</f>
        <v>6642</v>
      </c>
      <c r="O137" s="118">
        <f>(L137*$L$156)+L137</f>
        <v>15959.380406748987</v>
      </c>
      <c r="P137" s="29">
        <f t="shared" si="50"/>
        <v>95756.282440493931</v>
      </c>
      <c r="Q137" s="80" t="s">
        <v>179</v>
      </c>
    </row>
    <row r="138" spans="1:17" x14ac:dyDescent="0.45">
      <c r="A138" s="128"/>
      <c r="B138" s="84">
        <v>12215616001</v>
      </c>
      <c r="C138" s="85" t="s">
        <v>155</v>
      </c>
      <c r="D138" s="82">
        <v>850</v>
      </c>
      <c r="E138" s="82">
        <v>60</v>
      </c>
      <c r="F138" s="82">
        <f>(('BIOMETRIA HEMATICA'!$B$2))</f>
        <v>12200</v>
      </c>
      <c r="G138" s="82">
        <f t="shared" si="51"/>
        <v>14.352941176470589</v>
      </c>
      <c r="H138" s="82">
        <f>(360/E138)*'BIOMETRIA HEMATICA'!$B$10</f>
        <v>6</v>
      </c>
      <c r="I138" s="83">
        <f t="shared" ref="I138:I149" si="54">IF(G138&gt;H138,G138,H138)</f>
        <v>14.352941176470589</v>
      </c>
      <c r="J138" s="83">
        <f>IF(N138&gt;N137,0,I138)</f>
        <v>14.352941176470589</v>
      </c>
      <c r="K138" s="108">
        <f t="shared" si="52"/>
        <v>14</v>
      </c>
      <c r="L138" s="94">
        <v>228.33</v>
      </c>
      <c r="M138" s="94">
        <f t="shared" si="53"/>
        <v>3196.6200000000003</v>
      </c>
      <c r="N138" s="105">
        <f>L138*K138</f>
        <v>3196.6200000000003</v>
      </c>
      <c r="O138" s="118">
        <f>(L138*$L$156)+L138</f>
        <v>3291.7843977172506</v>
      </c>
      <c r="P138" s="29">
        <f t="shared" si="50"/>
        <v>46084.981568041505</v>
      </c>
      <c r="Q138" s="121">
        <f>(SUM(P136:P144)/'BIOMETRIA HEMATICA'!B2)+M153</f>
        <v>28.251399559473207</v>
      </c>
    </row>
    <row r="139" spans="1:17" x14ac:dyDescent="0.45">
      <c r="A139" s="128"/>
      <c r="B139" s="81">
        <v>7837984001</v>
      </c>
      <c r="C139" s="81" t="s">
        <v>156</v>
      </c>
      <c r="D139" s="82">
        <v>2450</v>
      </c>
      <c r="E139" s="82">
        <v>90</v>
      </c>
      <c r="F139" s="82">
        <f>(('BIOMETRIA HEMATICA'!$B$2))</f>
        <v>12200</v>
      </c>
      <c r="G139" s="82">
        <f t="shared" si="51"/>
        <v>4.9795918367346941</v>
      </c>
      <c r="H139" s="82">
        <f>(360/E139)*'BIOMETRIA HEMATICA'!$B$10</f>
        <v>4</v>
      </c>
      <c r="I139" s="83">
        <f t="shared" si="54"/>
        <v>4.9795918367346941</v>
      </c>
      <c r="J139" s="83"/>
      <c r="K139" s="83">
        <f t="shared" ref="K139:K149" si="55">ROUNDDOWN(I139,0)</f>
        <v>4</v>
      </c>
      <c r="L139" s="94">
        <v>176</v>
      </c>
      <c r="M139" s="94">
        <f t="shared" si="53"/>
        <v>704</v>
      </c>
      <c r="N139" s="105"/>
      <c r="O139" s="118">
        <f>(L139*$L$156)+L139</f>
        <v>2537.3540664749971</v>
      </c>
      <c r="P139" s="29">
        <f t="shared" si="50"/>
        <v>10149.416265899989</v>
      </c>
    </row>
    <row r="140" spans="1:17" x14ac:dyDescent="0.45">
      <c r="A140" s="128"/>
      <c r="B140" s="81">
        <v>6510256001</v>
      </c>
      <c r="C140" s="81" t="s">
        <v>157</v>
      </c>
      <c r="D140" s="82">
        <v>3400</v>
      </c>
      <c r="E140" s="82">
        <v>180</v>
      </c>
      <c r="F140" s="82">
        <f>(('BIOMETRIA HEMATICA'!$B$2))</f>
        <v>12200</v>
      </c>
      <c r="G140" s="82">
        <f t="shared" si="51"/>
        <v>3.5882352941176472</v>
      </c>
      <c r="H140" s="82">
        <f>(360/E140)*'BIOMETRIA HEMATICA'!$B$10</f>
        <v>2</v>
      </c>
      <c r="I140" s="83">
        <f t="shared" si="54"/>
        <v>3.5882352941176472</v>
      </c>
      <c r="J140" s="83"/>
      <c r="K140" s="83">
        <f t="shared" si="55"/>
        <v>3</v>
      </c>
      <c r="L140" s="94">
        <v>862</v>
      </c>
      <c r="M140" s="94">
        <f t="shared" si="53"/>
        <v>2586</v>
      </c>
      <c r="N140" s="105"/>
      <c r="O140" s="118">
        <f>(L140*$L$156)+L140</f>
        <v>12427.268211940043</v>
      </c>
      <c r="P140" s="29">
        <f t="shared" si="50"/>
        <v>37281.804635820132</v>
      </c>
    </row>
    <row r="141" spans="1:17" ht="18.75" customHeight="1" x14ac:dyDescent="0.45">
      <c r="A141" s="128"/>
      <c r="B141" s="122">
        <v>6510248001</v>
      </c>
      <c r="C141" s="123" t="s">
        <v>181</v>
      </c>
      <c r="D141" s="124">
        <v>6945</v>
      </c>
      <c r="E141" s="124">
        <v>180</v>
      </c>
      <c r="F141" s="82">
        <f>(('BIOMETRIA HEMATICA'!$B$2))</f>
        <v>12200</v>
      </c>
      <c r="G141" s="82">
        <f t="shared" si="51"/>
        <v>1.7566594672426206</v>
      </c>
      <c r="H141" s="82">
        <f>(360/E141)*'BIOMETRIA HEMATICA'!$B$10</f>
        <v>2</v>
      </c>
      <c r="I141" s="83">
        <f t="shared" si="54"/>
        <v>2</v>
      </c>
      <c r="J141" s="125"/>
      <c r="K141" s="83">
        <f t="shared" ref="K141:K142" si="56">ROUNDUP(I141,0)</f>
        <v>2</v>
      </c>
      <c r="L141" s="94">
        <v>634</v>
      </c>
      <c r="M141" s="94">
        <f t="shared" si="53"/>
        <v>1268</v>
      </c>
      <c r="O141" s="118">
        <f t="shared" ref="O141:O142" si="57">(L141*$L$156)+L141</f>
        <v>9140.2413530974336</v>
      </c>
      <c r="P141" s="29">
        <f t="shared" si="50"/>
        <v>18280.482706194867</v>
      </c>
    </row>
    <row r="142" spans="1:17" ht="18.75" customHeight="1" x14ac:dyDescent="0.45">
      <c r="A142" s="128"/>
      <c r="B142" s="122">
        <v>7838000001</v>
      </c>
      <c r="C142" s="123" t="s">
        <v>182</v>
      </c>
      <c r="D142" s="124">
        <v>2950</v>
      </c>
      <c r="E142" s="124">
        <v>90</v>
      </c>
      <c r="F142" s="82">
        <f>(('BIOMETRIA HEMATICA'!$B$2))</f>
        <v>12200</v>
      </c>
      <c r="G142" s="82">
        <f t="shared" si="51"/>
        <v>4.1355932203389827</v>
      </c>
      <c r="H142" s="82">
        <f>(360/E142)*'BIOMETRIA HEMATICA'!$B$10</f>
        <v>4</v>
      </c>
      <c r="I142" s="83">
        <f t="shared" si="54"/>
        <v>4.1355932203389827</v>
      </c>
      <c r="J142" s="125"/>
      <c r="K142" s="83">
        <f t="shared" si="56"/>
        <v>5</v>
      </c>
      <c r="L142" s="94">
        <v>128</v>
      </c>
      <c r="M142" s="94">
        <f t="shared" si="53"/>
        <v>640</v>
      </c>
      <c r="O142" s="118">
        <f t="shared" si="57"/>
        <v>1845.3484119818161</v>
      </c>
      <c r="P142" s="29">
        <f t="shared" si="50"/>
        <v>9226.7420599090801</v>
      </c>
    </row>
    <row r="143" spans="1:17" x14ac:dyDescent="0.45">
      <c r="A143" s="128"/>
      <c r="B143" s="81">
        <v>6952291001</v>
      </c>
      <c r="C143" s="81" t="s">
        <v>158</v>
      </c>
      <c r="D143" s="82">
        <f>(((F136/30)/12)*E143)</f>
        <v>5083.3333333333339</v>
      </c>
      <c r="E143" s="82">
        <v>150</v>
      </c>
      <c r="F143" s="82">
        <f>(('BIOMETRIA HEMATICA'!$B$2))</f>
        <v>12200</v>
      </c>
      <c r="G143" s="82">
        <f t="shared" si="51"/>
        <v>2.4</v>
      </c>
      <c r="H143" s="82">
        <f>(360/E143)*'BIOMETRIA HEMATICA'!$B$10</f>
        <v>2.4</v>
      </c>
      <c r="I143" s="83">
        <f t="shared" si="54"/>
        <v>2.4</v>
      </c>
      <c r="J143" s="83"/>
      <c r="K143" s="83">
        <f t="shared" si="55"/>
        <v>2</v>
      </c>
      <c r="L143" s="94">
        <v>52</v>
      </c>
      <c r="M143" s="94">
        <f t="shared" si="53"/>
        <v>104</v>
      </c>
      <c r="N143" s="105"/>
      <c r="O143" s="118">
        <f t="shared" ref="O143:O149" si="58">(L143*$L$156)+L143</f>
        <v>749.67279236761283</v>
      </c>
      <c r="P143" s="29">
        <f t="shared" si="50"/>
        <v>1499.3455847352257</v>
      </c>
    </row>
    <row r="144" spans="1:17" ht="21" x14ac:dyDescent="0.45">
      <c r="A144" s="128"/>
      <c r="B144" s="86">
        <v>7051506001</v>
      </c>
      <c r="C144" s="81" t="s">
        <v>159</v>
      </c>
      <c r="D144" s="82">
        <f>(((F136/30)/12)*E144)</f>
        <v>1897.7777777777781</v>
      </c>
      <c r="E144" s="82">
        <v>56</v>
      </c>
      <c r="F144" s="82">
        <f>(('BIOMETRIA HEMATICA'!$B$2))</f>
        <v>12200</v>
      </c>
      <c r="G144" s="82">
        <f t="shared" si="51"/>
        <v>6.4285714285714279</v>
      </c>
      <c r="H144" s="82">
        <f>(360/E144)*'BIOMETRIA HEMATICA'!$B$10</f>
        <v>6.4285714285714288</v>
      </c>
      <c r="I144" s="83">
        <f t="shared" si="54"/>
        <v>6.4285714285714288</v>
      </c>
      <c r="J144" s="83"/>
      <c r="K144" s="83">
        <f t="shared" si="55"/>
        <v>6</v>
      </c>
      <c r="L144" s="94">
        <v>544</v>
      </c>
      <c r="M144" s="94">
        <f t="shared" si="53"/>
        <v>3264</v>
      </c>
      <c r="N144" s="105"/>
      <c r="O144" s="118">
        <f t="shared" si="58"/>
        <v>7842.7307509227185</v>
      </c>
      <c r="P144" s="29">
        <f t="shared" si="50"/>
        <v>47056.384505536313</v>
      </c>
    </row>
    <row r="145" spans="1:17" ht="18.75" customHeight="1" x14ac:dyDescent="0.45">
      <c r="A145" s="131" t="s">
        <v>175</v>
      </c>
      <c r="B145" s="109">
        <v>6510299001</v>
      </c>
      <c r="C145" s="110" t="s">
        <v>176</v>
      </c>
      <c r="D145" s="111">
        <v>650</v>
      </c>
      <c r="E145" s="111">
        <v>180</v>
      </c>
      <c r="F145" s="111">
        <f>(('BIOMETRIA HEMATICA'!$F$2))</f>
        <v>0</v>
      </c>
      <c r="G145" s="112">
        <f t="shared" si="51"/>
        <v>0</v>
      </c>
      <c r="H145" s="112">
        <f>(360/E145)*'BIOMETRIA HEMATICA'!$B$10</f>
        <v>2</v>
      </c>
      <c r="I145" s="113">
        <f t="shared" si="54"/>
        <v>2</v>
      </c>
      <c r="J145" s="113">
        <f>IF(G145=0,0,G145)</f>
        <v>0</v>
      </c>
      <c r="K145" s="108">
        <f t="shared" si="55"/>
        <v>2</v>
      </c>
      <c r="L145" s="114">
        <v>545</v>
      </c>
      <c r="M145" s="114">
        <f t="shared" si="53"/>
        <v>1090</v>
      </c>
      <c r="O145" s="118">
        <f t="shared" si="58"/>
        <v>7857.1475353913265</v>
      </c>
      <c r="P145" s="29">
        <f t="shared" si="50"/>
        <v>15714.295070782653</v>
      </c>
    </row>
    <row r="146" spans="1:17" ht="18.75" customHeight="1" x14ac:dyDescent="0.45">
      <c r="A146" s="132"/>
      <c r="B146" s="109">
        <v>9426752001</v>
      </c>
      <c r="C146" s="110" t="s">
        <v>162</v>
      </c>
      <c r="D146" s="111">
        <v>450</v>
      </c>
      <c r="E146" s="111">
        <v>60</v>
      </c>
      <c r="F146" s="111">
        <f>(('BIOMETRIA HEMATICA'!$F$2))</f>
        <v>0</v>
      </c>
      <c r="G146" s="112">
        <f t="shared" si="51"/>
        <v>0</v>
      </c>
      <c r="H146" s="112">
        <f>(360/E146)*'BIOMETRIA HEMATICA'!$B$10</f>
        <v>6</v>
      </c>
      <c r="I146" s="113">
        <f t="shared" si="54"/>
        <v>6</v>
      </c>
      <c r="J146" s="113">
        <f t="shared" ref="J146:J148" si="59">IF(G146=0,0,G146)</f>
        <v>0</v>
      </c>
      <c r="K146" s="108">
        <f t="shared" si="55"/>
        <v>6</v>
      </c>
      <c r="L146" s="114">
        <v>34</v>
      </c>
      <c r="M146" s="114">
        <f t="shared" si="53"/>
        <v>204</v>
      </c>
      <c r="O146" s="118">
        <f t="shared" si="58"/>
        <v>490.1706719326699</v>
      </c>
      <c r="P146" s="29">
        <f t="shared" si="50"/>
        <v>2941.0240315960195</v>
      </c>
    </row>
    <row r="147" spans="1:17" x14ac:dyDescent="0.45">
      <c r="A147" s="129" t="s">
        <v>160</v>
      </c>
      <c r="B147" s="87">
        <v>6510272001</v>
      </c>
      <c r="C147" s="88" t="s">
        <v>161</v>
      </c>
      <c r="D147" s="89">
        <v>650</v>
      </c>
      <c r="E147" s="89">
        <v>180</v>
      </c>
      <c r="F147" s="89">
        <f>(('BIOMETRIA HEMATICA'!$D$2))</f>
        <v>0</v>
      </c>
      <c r="G147" s="90">
        <f t="shared" si="51"/>
        <v>0</v>
      </c>
      <c r="H147" s="90">
        <f>(360/E147)*'BIOMETRIA HEMATICA'!$B$10</f>
        <v>2</v>
      </c>
      <c r="I147" s="92">
        <f t="shared" si="54"/>
        <v>2</v>
      </c>
      <c r="J147" s="115">
        <f t="shared" si="59"/>
        <v>0</v>
      </c>
      <c r="K147" s="108">
        <f t="shared" si="55"/>
        <v>2</v>
      </c>
      <c r="L147" s="95">
        <v>1705</v>
      </c>
      <c r="M147" s="96">
        <f t="shared" si="53"/>
        <v>3410</v>
      </c>
      <c r="N147" s="106"/>
      <c r="O147" s="118">
        <f t="shared" si="58"/>
        <v>24580.617518976534</v>
      </c>
      <c r="P147" s="29">
        <f t="shared" si="50"/>
        <v>49161.235037953069</v>
      </c>
      <c r="Q147" s="120"/>
    </row>
    <row r="148" spans="1:17" x14ac:dyDescent="0.45">
      <c r="A148" s="128"/>
      <c r="B148" s="87">
        <v>9426752001</v>
      </c>
      <c r="C148" s="88" t="s">
        <v>162</v>
      </c>
      <c r="D148" s="89">
        <v>450</v>
      </c>
      <c r="E148" s="89">
        <v>60</v>
      </c>
      <c r="F148" s="89">
        <f>(('BIOMETRIA HEMATICA'!$D$2))</f>
        <v>0</v>
      </c>
      <c r="G148" s="90">
        <f t="shared" si="51"/>
        <v>0</v>
      </c>
      <c r="H148" s="90">
        <f>(360/E148)*'BIOMETRIA HEMATICA'!$B$10</f>
        <v>6</v>
      </c>
      <c r="I148" s="92">
        <f t="shared" si="54"/>
        <v>6</v>
      </c>
      <c r="J148" s="115">
        <f t="shared" si="59"/>
        <v>0</v>
      </c>
      <c r="K148" s="108">
        <f t="shared" si="55"/>
        <v>6</v>
      </c>
      <c r="L148" s="95">
        <v>34</v>
      </c>
      <c r="M148" s="96">
        <f t="shared" si="53"/>
        <v>204</v>
      </c>
      <c r="N148" s="106"/>
      <c r="O148" s="118">
        <f t="shared" si="58"/>
        <v>490.1706719326699</v>
      </c>
      <c r="P148" s="29">
        <f t="shared" ref="P148:P149" si="60">O148*K148</f>
        <v>2941.0240315960195</v>
      </c>
      <c r="Q148" s="35"/>
    </row>
    <row r="149" spans="1:17" ht="21" x14ac:dyDescent="0.45">
      <c r="A149" s="100" t="s">
        <v>163</v>
      </c>
      <c r="B149" s="101">
        <v>7051409001</v>
      </c>
      <c r="C149" s="101" t="s">
        <v>164</v>
      </c>
      <c r="D149" s="102">
        <f>(((F136/30)/12)*E149)</f>
        <v>1897.7777777777781</v>
      </c>
      <c r="E149" s="102">
        <v>56</v>
      </c>
      <c r="F149" s="102">
        <f>(('BIOMETRIA HEMATICA'!$H$2))</f>
        <v>0</v>
      </c>
      <c r="G149" s="91">
        <f t="shared" si="51"/>
        <v>0</v>
      </c>
      <c r="H149" s="91">
        <f>(360/E149)*'BIOMETRIA HEMATICA'!$B$10</f>
        <v>6.4285714285714288</v>
      </c>
      <c r="I149" s="93">
        <f t="shared" si="54"/>
        <v>6.4285714285714288</v>
      </c>
      <c r="J149" s="93">
        <f t="shared" ref="J149" si="61">IF(G123=0,0,G149)</f>
        <v>0</v>
      </c>
      <c r="K149" s="108">
        <f t="shared" si="55"/>
        <v>6</v>
      </c>
      <c r="L149" s="103">
        <v>661</v>
      </c>
      <c r="M149" s="97">
        <f t="shared" si="53"/>
        <v>3966</v>
      </c>
      <c r="N149" s="107"/>
      <c r="O149" s="118">
        <f t="shared" si="58"/>
        <v>9529.4945337498466</v>
      </c>
      <c r="P149" s="29">
        <f t="shared" si="60"/>
        <v>57176.96720249908</v>
      </c>
      <c r="Q149" s="120"/>
    </row>
    <row r="150" spans="1:17" x14ac:dyDescent="0.45">
      <c r="C150" s="18"/>
      <c r="D150" s="18"/>
      <c r="E150" s="18"/>
      <c r="F150" s="18"/>
      <c r="G150" s="18"/>
      <c r="H150" s="18"/>
      <c r="I150" s="18"/>
      <c r="J150" s="18"/>
      <c r="K150" s="18"/>
      <c r="L150" s="98"/>
      <c r="M150" s="98"/>
      <c r="N150" s="35"/>
      <c r="O150" s="35"/>
      <c r="P150" s="35">
        <f>SUM(P136:P149)</f>
        <v>440369.62</v>
      </c>
      <c r="Q150" s="35"/>
    </row>
    <row r="151" spans="1:17" x14ac:dyDescent="0.45">
      <c r="C151" s="26" t="s">
        <v>150</v>
      </c>
      <c r="D151" s="27"/>
      <c r="E151" s="27"/>
      <c r="F151" s="27"/>
      <c r="G151" s="28"/>
      <c r="H151" s="28"/>
      <c r="I151" s="18"/>
      <c r="J151" s="18"/>
      <c r="K151" s="130">
        <f>'BIOMETRIA HEMATICA'!B6</f>
        <v>12</v>
      </c>
      <c r="L151" s="29">
        <f>BC!F109</f>
        <v>1920</v>
      </c>
      <c r="M151" s="29">
        <f>(L151/K151)*K151</f>
        <v>1920</v>
      </c>
      <c r="N151" s="34"/>
      <c r="O151" s="34"/>
      <c r="P151" s="34"/>
    </row>
    <row r="152" spans="1:17" x14ac:dyDescent="0.45">
      <c r="C152" s="19" t="s">
        <v>24</v>
      </c>
      <c r="D152" s="27"/>
      <c r="E152" s="27"/>
      <c r="F152" s="27"/>
      <c r="G152" s="28"/>
      <c r="H152" s="28"/>
      <c r="I152" s="18"/>
      <c r="J152" s="18"/>
      <c r="K152" s="130"/>
      <c r="L152" s="29">
        <v>2686</v>
      </c>
      <c r="M152" s="29">
        <f>(L152*K151)</f>
        <v>32232</v>
      </c>
      <c r="N152" s="34"/>
      <c r="O152" s="34"/>
      <c r="P152" s="34"/>
    </row>
    <row r="153" spans="1:17" x14ac:dyDescent="0.45">
      <c r="C153" s="19" t="s">
        <v>0</v>
      </c>
      <c r="D153" s="18"/>
      <c r="E153" s="18"/>
      <c r="F153" s="18"/>
      <c r="G153" s="18"/>
      <c r="H153" s="18"/>
      <c r="I153" s="18"/>
      <c r="J153" s="18"/>
      <c r="K153" s="130"/>
      <c r="L153" s="29">
        <v>71401</v>
      </c>
      <c r="M153" s="29">
        <f>((((L152)*(K151))/'BIOMETRIA HEMATICA'!B2))</f>
        <v>2.641967213114754</v>
      </c>
      <c r="N153" s="34"/>
      <c r="O153" s="34"/>
      <c r="P153" s="34"/>
    </row>
    <row r="154" spans="1:17" x14ac:dyDescent="0.45">
      <c r="L154" s="35">
        <f>SUM(M151:M152)</f>
        <v>34152</v>
      </c>
      <c r="M154" s="35"/>
      <c r="P154" s="35">
        <f>P150-L155</f>
        <v>409824</v>
      </c>
    </row>
    <row r="155" spans="1:17" x14ac:dyDescent="0.45">
      <c r="L155" s="35">
        <f>SUM(M136:M149)</f>
        <v>30545.620000000003</v>
      </c>
      <c r="P155" s="35">
        <f>L152*K151</f>
        <v>32232</v>
      </c>
    </row>
    <row r="156" spans="1:17" x14ac:dyDescent="0.45">
      <c r="L156" s="36">
        <f>(L154/L155)*K151</f>
        <v>13.416784468607938</v>
      </c>
    </row>
    <row r="160" spans="1:17" x14ac:dyDescent="0.45">
      <c r="A160" s="126" t="s">
        <v>177</v>
      </c>
      <c r="B160" s="126"/>
      <c r="C160" s="126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</row>
    <row r="161" spans="1:17" ht="21" x14ac:dyDescent="0.45">
      <c r="A161" s="79" t="s">
        <v>1</v>
      </c>
      <c r="B161" s="79" t="s">
        <v>2</v>
      </c>
      <c r="C161" s="79" t="s">
        <v>3</v>
      </c>
      <c r="D161" s="79" t="s">
        <v>4</v>
      </c>
      <c r="E161" s="80" t="s">
        <v>5</v>
      </c>
      <c r="F161" s="80" t="s">
        <v>6</v>
      </c>
      <c r="G161" s="80" t="s">
        <v>7</v>
      </c>
      <c r="H161" s="80" t="s">
        <v>13</v>
      </c>
      <c r="I161" s="80" t="s">
        <v>8</v>
      </c>
      <c r="J161" s="80"/>
      <c r="K161" s="11" t="s">
        <v>16</v>
      </c>
      <c r="L161" s="11" t="s">
        <v>14</v>
      </c>
      <c r="M161" s="11" t="s">
        <v>15</v>
      </c>
      <c r="N161" s="11"/>
      <c r="O161" s="117" t="s">
        <v>25</v>
      </c>
      <c r="P161" s="11" t="s">
        <v>26</v>
      </c>
      <c r="Q161" s="80" t="s">
        <v>178</v>
      </c>
    </row>
    <row r="162" spans="1:17" x14ac:dyDescent="0.45">
      <c r="A162" s="127" t="s">
        <v>9</v>
      </c>
      <c r="B162" s="81">
        <v>6510167001</v>
      </c>
      <c r="C162" s="81" t="s">
        <v>153</v>
      </c>
      <c r="D162" s="82">
        <v>450</v>
      </c>
      <c r="E162" s="82">
        <v>60</v>
      </c>
      <c r="F162" s="82">
        <f>(('BIOMETRIA HEMATICA'!$B$2))</f>
        <v>12200</v>
      </c>
      <c r="G162" s="82">
        <f>F162/D162</f>
        <v>27.111111111111111</v>
      </c>
      <c r="H162" s="82">
        <f>(360/E162)*'BIOMETRIA HEMATICA'!$B$10</f>
        <v>6</v>
      </c>
      <c r="I162" s="83">
        <f>IF(G162&gt;H162,G162,H162)</f>
        <v>27.111111111111111</v>
      </c>
      <c r="J162" s="83"/>
      <c r="K162" s="83">
        <f>ROUNDDOWN(I162,0)</f>
        <v>27</v>
      </c>
      <c r="L162" s="94">
        <v>121</v>
      </c>
      <c r="M162" s="94">
        <f>L162*K162</f>
        <v>3267</v>
      </c>
      <c r="N162" s="94"/>
      <c r="O162" s="118">
        <f>(L162*$L$182)+L162</f>
        <v>1862.5089953977033</v>
      </c>
      <c r="P162" s="29">
        <f t="shared" ref="P162:P173" si="62">O162*K162</f>
        <v>50287.742875737989</v>
      </c>
      <c r="Q162" s="121">
        <f>(SUM(P162:P177)/'BIOMETRIA HEMATICA'!B2)+M181</f>
        <v>76.773064697845498</v>
      </c>
    </row>
    <row r="163" spans="1:17" x14ac:dyDescent="0.45">
      <c r="A163" s="128"/>
      <c r="B163" s="81">
        <v>3337006001</v>
      </c>
      <c r="C163" s="81" t="s">
        <v>154</v>
      </c>
      <c r="D163" s="82">
        <v>9450</v>
      </c>
      <c r="E163" s="82">
        <v>60</v>
      </c>
      <c r="F163" s="82">
        <f>(('BIOMETRIA HEMATICA'!$B$2))</f>
        <v>12200</v>
      </c>
      <c r="G163" s="82">
        <f t="shared" ref="G163:G175" si="63">F163/D163</f>
        <v>1.2910052910052909</v>
      </c>
      <c r="H163" s="82">
        <f>(360/E163)*'BIOMETRIA HEMATICA'!$B$10</f>
        <v>6</v>
      </c>
      <c r="I163" s="83">
        <f>IF(G163&gt;H163,G163,H163)</f>
        <v>6</v>
      </c>
      <c r="J163" s="83">
        <f>IF(N163&gt;N164,0,I163)</f>
        <v>0</v>
      </c>
      <c r="K163" s="108">
        <f t="shared" ref="K163:K164" si="64">ROUNDDOWN(I163,0)</f>
        <v>6</v>
      </c>
      <c r="L163" s="94">
        <v>1107</v>
      </c>
      <c r="M163" s="94">
        <f t="shared" ref="M163:M175" si="65">L163*K163</f>
        <v>6642</v>
      </c>
      <c r="N163" s="105">
        <f>L163*K163</f>
        <v>6642</v>
      </c>
      <c r="O163" s="118">
        <f t="shared" ref="O163:O175" si="66">(L163*$L$182)+L163</f>
        <v>17039.648412440147</v>
      </c>
      <c r="P163" s="29">
        <f t="shared" si="62"/>
        <v>102237.89047464088</v>
      </c>
      <c r="Q163" s="80" t="s">
        <v>179</v>
      </c>
    </row>
    <row r="164" spans="1:17" x14ac:dyDescent="0.45">
      <c r="A164" s="128"/>
      <c r="B164" s="84">
        <v>12215616001</v>
      </c>
      <c r="C164" s="85" t="s">
        <v>155</v>
      </c>
      <c r="D164" s="82">
        <v>850</v>
      </c>
      <c r="E164" s="82">
        <v>60</v>
      </c>
      <c r="F164" s="82">
        <f>(('BIOMETRIA HEMATICA'!$B$2))</f>
        <v>12200</v>
      </c>
      <c r="G164" s="82">
        <f t="shared" si="63"/>
        <v>14.352941176470589</v>
      </c>
      <c r="H164" s="82">
        <f>(360/E164)*'BIOMETRIA HEMATICA'!$B$10</f>
        <v>6</v>
      </c>
      <c r="I164" s="83">
        <f t="shared" ref="I164:I175" si="67">IF(G164&gt;H164,G164,H164)</f>
        <v>14.352941176470589</v>
      </c>
      <c r="J164" s="83">
        <f>IF(N164&gt;N163,0,I164)</f>
        <v>14.352941176470589</v>
      </c>
      <c r="K164" s="108">
        <f t="shared" si="64"/>
        <v>14</v>
      </c>
      <c r="L164" s="94">
        <v>228.33</v>
      </c>
      <c r="M164" s="94">
        <f t="shared" si="65"/>
        <v>3196.6200000000003</v>
      </c>
      <c r="N164" s="105">
        <f>L164*K164</f>
        <v>3196.6200000000003</v>
      </c>
      <c r="O164" s="118">
        <f t="shared" si="66"/>
        <v>3514.6006522244434</v>
      </c>
      <c r="P164" s="29">
        <f t="shared" si="62"/>
        <v>49204.409131142209</v>
      </c>
      <c r="Q164" s="121">
        <f>(SUM(P162:P172)/'BIOMETRIA HEMATICA'!B2)+M181</f>
        <v>28.822910763016647</v>
      </c>
    </row>
    <row r="165" spans="1:17" x14ac:dyDescent="0.45">
      <c r="A165" s="128"/>
      <c r="B165" s="81">
        <v>7837984001</v>
      </c>
      <c r="C165" s="81" t="s">
        <v>156</v>
      </c>
      <c r="D165" s="82">
        <v>2450</v>
      </c>
      <c r="E165" s="82">
        <v>90</v>
      </c>
      <c r="F165" s="82">
        <f>(('BIOMETRIA HEMATICA'!$B$2))</f>
        <v>12200</v>
      </c>
      <c r="G165" s="82">
        <f t="shared" si="63"/>
        <v>4.9795918367346941</v>
      </c>
      <c r="H165" s="82">
        <f>(360/E165)*'BIOMETRIA HEMATICA'!$B$10</f>
        <v>4</v>
      </c>
      <c r="I165" s="83">
        <f t="shared" si="67"/>
        <v>4.9795918367346941</v>
      </c>
      <c r="J165" s="83"/>
      <c r="K165" s="83">
        <f t="shared" ref="K165:K175" si="68">ROUNDDOWN(I165,0)</f>
        <v>4</v>
      </c>
      <c r="L165" s="94">
        <v>176</v>
      </c>
      <c r="M165" s="94">
        <f t="shared" si="65"/>
        <v>704</v>
      </c>
      <c r="N165" s="105"/>
      <c r="O165" s="118">
        <f t="shared" si="66"/>
        <v>2709.1039933057505</v>
      </c>
      <c r="P165" s="29">
        <f t="shared" si="62"/>
        <v>10836.415973223002</v>
      </c>
    </row>
    <row r="166" spans="1:17" x14ac:dyDescent="0.45">
      <c r="A166" s="128"/>
      <c r="B166" s="81">
        <v>6510256001</v>
      </c>
      <c r="C166" s="81" t="s">
        <v>157</v>
      </c>
      <c r="D166" s="82">
        <v>3400</v>
      </c>
      <c r="E166" s="82">
        <v>180</v>
      </c>
      <c r="F166" s="82">
        <f>(('BIOMETRIA HEMATICA'!$B$2))</f>
        <v>12200</v>
      </c>
      <c r="G166" s="82">
        <f t="shared" si="63"/>
        <v>3.5882352941176472</v>
      </c>
      <c r="H166" s="82">
        <f>(360/E166)*'BIOMETRIA HEMATICA'!$B$10</f>
        <v>2</v>
      </c>
      <c r="I166" s="83">
        <f t="shared" si="67"/>
        <v>3.5882352941176472</v>
      </c>
      <c r="J166" s="83"/>
      <c r="K166" s="83">
        <f t="shared" si="68"/>
        <v>3</v>
      </c>
      <c r="L166" s="94">
        <v>862</v>
      </c>
      <c r="M166" s="94">
        <f t="shared" si="65"/>
        <v>2586</v>
      </c>
      <c r="N166" s="105"/>
      <c r="O166" s="118">
        <f t="shared" si="66"/>
        <v>13268.452512667936</v>
      </c>
      <c r="P166" s="29">
        <f t="shared" si="62"/>
        <v>39805.357538003809</v>
      </c>
    </row>
    <row r="167" spans="1:17" ht="18.75" customHeight="1" x14ac:dyDescent="0.45">
      <c r="A167" s="128"/>
      <c r="B167" s="122">
        <v>6510248001</v>
      </c>
      <c r="C167" s="123" t="s">
        <v>181</v>
      </c>
      <c r="D167" s="124">
        <v>6945</v>
      </c>
      <c r="E167" s="124">
        <v>180</v>
      </c>
      <c r="F167" s="82">
        <f>(('BIOMETRIA HEMATICA'!$B$2))</f>
        <v>12200</v>
      </c>
      <c r="G167" s="82">
        <f t="shared" si="63"/>
        <v>1.7566594672426206</v>
      </c>
      <c r="H167" s="82">
        <f>(360/E167)*'BIOMETRIA HEMATICA'!$B$10</f>
        <v>2</v>
      </c>
      <c r="I167" s="83">
        <f t="shared" si="67"/>
        <v>2</v>
      </c>
      <c r="J167" s="125"/>
      <c r="K167" s="83">
        <f t="shared" ref="K167:K168" si="69">ROUNDUP(I167,0)</f>
        <v>2</v>
      </c>
      <c r="L167" s="94">
        <v>634</v>
      </c>
      <c r="M167" s="94">
        <f t="shared" si="65"/>
        <v>1268</v>
      </c>
      <c r="O167" s="118">
        <f t="shared" ref="O167:O168" si="70">(L167*$L$156)+L167</f>
        <v>9140.2413530974336</v>
      </c>
      <c r="P167" s="29">
        <f t="shared" si="62"/>
        <v>18280.482706194867</v>
      </c>
    </row>
    <row r="168" spans="1:17" ht="18.75" customHeight="1" x14ac:dyDescent="0.45">
      <c r="A168" s="128"/>
      <c r="B168" s="122">
        <v>7838000001</v>
      </c>
      <c r="C168" s="123" t="s">
        <v>182</v>
      </c>
      <c r="D168" s="124">
        <v>2950</v>
      </c>
      <c r="E168" s="124">
        <v>90</v>
      </c>
      <c r="F168" s="82">
        <f>(('BIOMETRIA HEMATICA'!$B$2))</f>
        <v>12200</v>
      </c>
      <c r="G168" s="82">
        <f t="shared" si="63"/>
        <v>4.1355932203389827</v>
      </c>
      <c r="H168" s="82">
        <f>(360/E168)*'BIOMETRIA HEMATICA'!$B$10</f>
        <v>4</v>
      </c>
      <c r="I168" s="83">
        <f t="shared" si="67"/>
        <v>4.1355932203389827</v>
      </c>
      <c r="J168" s="125"/>
      <c r="K168" s="83">
        <f t="shared" si="69"/>
        <v>5</v>
      </c>
      <c r="L168" s="94">
        <v>128</v>
      </c>
      <c r="M168" s="94">
        <f t="shared" si="65"/>
        <v>640</v>
      </c>
      <c r="O168" s="118">
        <f t="shared" si="70"/>
        <v>1845.3484119818161</v>
      </c>
      <c r="P168" s="29">
        <f t="shared" si="62"/>
        <v>9226.7420599090801</v>
      </c>
    </row>
    <row r="169" spans="1:17" x14ac:dyDescent="0.45">
      <c r="A169" s="128"/>
      <c r="B169" s="81">
        <v>6952291001</v>
      </c>
      <c r="C169" s="81" t="s">
        <v>158</v>
      </c>
      <c r="D169" s="82">
        <f>(((F162/30)/12)*E169)</f>
        <v>5083.3333333333339</v>
      </c>
      <c r="E169" s="82">
        <v>150</v>
      </c>
      <c r="F169" s="82">
        <f>(('BIOMETRIA HEMATICA'!$B$2))</f>
        <v>12200</v>
      </c>
      <c r="G169" s="82">
        <f t="shared" si="63"/>
        <v>2.4</v>
      </c>
      <c r="H169" s="82">
        <f>(360/E169)*'BIOMETRIA HEMATICA'!$B$10</f>
        <v>2.4</v>
      </c>
      <c r="I169" s="83">
        <f t="shared" si="67"/>
        <v>2.4</v>
      </c>
      <c r="J169" s="83"/>
      <c r="K169" s="83">
        <f t="shared" si="68"/>
        <v>2</v>
      </c>
      <c r="L169" s="94">
        <v>52</v>
      </c>
      <c r="M169" s="94">
        <f t="shared" si="65"/>
        <v>104</v>
      </c>
      <c r="N169" s="105"/>
      <c r="O169" s="118">
        <f t="shared" si="66"/>
        <v>800.41708893124439</v>
      </c>
      <c r="P169" s="29">
        <f t="shared" si="62"/>
        <v>1600.8341778624888</v>
      </c>
    </row>
    <row r="170" spans="1:17" ht="21" x14ac:dyDescent="0.45">
      <c r="A170" s="128"/>
      <c r="B170" s="86">
        <v>7051506001</v>
      </c>
      <c r="C170" s="81" t="s">
        <v>159</v>
      </c>
      <c r="D170" s="82">
        <f>(((F162/30)/12)*E170)</f>
        <v>1897.7777777777781</v>
      </c>
      <c r="E170" s="82">
        <v>56</v>
      </c>
      <c r="F170" s="82">
        <f>(('BIOMETRIA HEMATICA'!$B$2))</f>
        <v>12200</v>
      </c>
      <c r="G170" s="82">
        <f t="shared" si="63"/>
        <v>6.4285714285714279</v>
      </c>
      <c r="H170" s="82">
        <f>(360/E170)*'BIOMETRIA HEMATICA'!$B$10</f>
        <v>6.4285714285714288</v>
      </c>
      <c r="I170" s="83">
        <f t="shared" si="67"/>
        <v>6.4285714285714288</v>
      </c>
      <c r="J170" s="83"/>
      <c r="K170" s="83">
        <f t="shared" si="68"/>
        <v>6</v>
      </c>
      <c r="L170" s="94">
        <v>544</v>
      </c>
      <c r="M170" s="94">
        <f t="shared" si="65"/>
        <v>3264</v>
      </c>
      <c r="N170" s="105"/>
      <c r="O170" s="118">
        <f t="shared" si="66"/>
        <v>8373.5941611268645</v>
      </c>
      <c r="P170" s="29">
        <f t="shared" si="62"/>
        <v>50241.564966761187</v>
      </c>
    </row>
    <row r="171" spans="1:17" ht="18.75" customHeight="1" x14ac:dyDescent="0.45">
      <c r="A171" s="131" t="s">
        <v>175</v>
      </c>
      <c r="B171" s="109">
        <v>6510299001</v>
      </c>
      <c r="C171" s="110" t="s">
        <v>176</v>
      </c>
      <c r="D171" s="111">
        <v>650</v>
      </c>
      <c r="E171" s="111">
        <v>180</v>
      </c>
      <c r="F171" s="111">
        <f>(('BIOMETRIA HEMATICA'!$F$2))</f>
        <v>0</v>
      </c>
      <c r="G171" s="112">
        <f t="shared" si="63"/>
        <v>0</v>
      </c>
      <c r="H171" s="112">
        <f>(360/E171)*'BIOMETRIA HEMATICA'!$B$10</f>
        <v>2</v>
      </c>
      <c r="I171" s="113">
        <f t="shared" si="67"/>
        <v>2</v>
      </c>
      <c r="J171" s="113">
        <f>IF(G145=0,0,G171)</f>
        <v>0</v>
      </c>
      <c r="K171" s="108">
        <f t="shared" si="68"/>
        <v>2</v>
      </c>
      <c r="L171" s="114">
        <v>545</v>
      </c>
      <c r="M171" s="114">
        <f t="shared" si="65"/>
        <v>1090</v>
      </c>
      <c r="O171" s="118">
        <f t="shared" si="66"/>
        <v>8388.9867974524659</v>
      </c>
      <c r="P171" s="29">
        <f t="shared" si="62"/>
        <v>16777.973594904932</v>
      </c>
    </row>
    <row r="172" spans="1:17" ht="18.75" customHeight="1" x14ac:dyDescent="0.45">
      <c r="A172" s="132"/>
      <c r="B172" s="109">
        <v>9426752001</v>
      </c>
      <c r="C172" s="110" t="s">
        <v>162</v>
      </c>
      <c r="D172" s="111">
        <v>450</v>
      </c>
      <c r="E172" s="111">
        <v>60</v>
      </c>
      <c r="F172" s="111">
        <f>(('BIOMETRIA HEMATICA'!$F$2))</f>
        <v>0</v>
      </c>
      <c r="G172" s="112">
        <f t="shared" si="63"/>
        <v>0</v>
      </c>
      <c r="H172" s="112">
        <f>(360/E172)*'BIOMETRIA HEMATICA'!$B$10</f>
        <v>6</v>
      </c>
      <c r="I172" s="113">
        <f t="shared" si="67"/>
        <v>6</v>
      </c>
      <c r="J172" s="113">
        <f>IF(G146=0,0,G172)</f>
        <v>0</v>
      </c>
      <c r="K172" s="108">
        <f t="shared" si="68"/>
        <v>6</v>
      </c>
      <c r="L172" s="114">
        <v>34</v>
      </c>
      <c r="M172" s="114">
        <f t="shared" si="65"/>
        <v>204</v>
      </c>
      <c r="O172" s="118">
        <f t="shared" si="66"/>
        <v>523.34963507042903</v>
      </c>
      <c r="P172" s="29">
        <f t="shared" si="62"/>
        <v>3140.0978104225742</v>
      </c>
    </row>
    <row r="173" spans="1:17" x14ac:dyDescent="0.45">
      <c r="A173" s="129" t="s">
        <v>160</v>
      </c>
      <c r="B173" s="87">
        <v>6510272001</v>
      </c>
      <c r="C173" s="88" t="s">
        <v>161</v>
      </c>
      <c r="D173" s="89">
        <v>650</v>
      </c>
      <c r="E173" s="89">
        <v>180</v>
      </c>
      <c r="F173" s="89">
        <f>(('BIOMETRIA HEMATICA'!$D$2))</f>
        <v>0</v>
      </c>
      <c r="G173" s="90">
        <f t="shared" si="63"/>
        <v>0</v>
      </c>
      <c r="H173" s="90">
        <f>(360/E173)*'BIOMETRIA HEMATICA'!$B$10</f>
        <v>2</v>
      </c>
      <c r="I173" s="92">
        <f t="shared" si="67"/>
        <v>2</v>
      </c>
      <c r="J173" s="115">
        <f>IF(G147=0,0,G173)</f>
        <v>0</v>
      </c>
      <c r="K173" s="108">
        <f t="shared" si="68"/>
        <v>2</v>
      </c>
      <c r="L173" s="95">
        <v>1705</v>
      </c>
      <c r="M173" s="96">
        <f t="shared" si="65"/>
        <v>3410</v>
      </c>
      <c r="N173" s="106"/>
      <c r="O173" s="118">
        <f t="shared" si="66"/>
        <v>26244.444935149455</v>
      </c>
      <c r="P173" s="29">
        <f t="shared" si="62"/>
        <v>52488.88987029891</v>
      </c>
    </row>
    <row r="174" spans="1:17" x14ac:dyDescent="0.45">
      <c r="A174" s="128"/>
      <c r="B174" s="87">
        <v>9426752001</v>
      </c>
      <c r="C174" s="88" t="s">
        <v>162</v>
      </c>
      <c r="D174" s="89">
        <v>450</v>
      </c>
      <c r="E174" s="89">
        <v>60</v>
      </c>
      <c r="F174" s="89">
        <f>(('BIOMETRIA HEMATICA'!$D$2))</f>
        <v>0</v>
      </c>
      <c r="G174" s="90">
        <f t="shared" si="63"/>
        <v>0</v>
      </c>
      <c r="H174" s="90">
        <f>(360/E174)*'BIOMETRIA HEMATICA'!$B$10</f>
        <v>6</v>
      </c>
      <c r="I174" s="92">
        <f t="shared" si="67"/>
        <v>6</v>
      </c>
      <c r="J174" s="115">
        <f>IF(G148=0,0,G174)</f>
        <v>0</v>
      </c>
      <c r="K174" s="108">
        <f t="shared" si="68"/>
        <v>6</v>
      </c>
      <c r="L174" s="95">
        <v>34</v>
      </c>
      <c r="M174" s="96">
        <f t="shared" si="65"/>
        <v>204</v>
      </c>
      <c r="N174" s="106"/>
      <c r="O174" s="118">
        <f t="shared" si="66"/>
        <v>523.34963507042903</v>
      </c>
      <c r="P174" s="29">
        <f t="shared" ref="P174:P175" si="71">O174*K174</f>
        <v>3140.0978104225742</v>
      </c>
    </row>
    <row r="175" spans="1:17" ht="21" x14ac:dyDescent="0.45">
      <c r="A175" s="100" t="s">
        <v>163</v>
      </c>
      <c r="B175" s="101">
        <v>7051409001</v>
      </c>
      <c r="C175" s="101" t="s">
        <v>164</v>
      </c>
      <c r="D175" s="102">
        <f>(((F162/30)/12)*E175)</f>
        <v>1897.7777777777781</v>
      </c>
      <c r="E175" s="102">
        <v>56</v>
      </c>
      <c r="F175" s="102">
        <f>(('BIOMETRIA HEMATICA'!$H$2))</f>
        <v>0</v>
      </c>
      <c r="G175" s="91">
        <f t="shared" si="63"/>
        <v>0</v>
      </c>
      <c r="H175" s="91">
        <f>(360/E175)*'BIOMETRIA HEMATICA'!$B$10</f>
        <v>6.4285714285714288</v>
      </c>
      <c r="I175" s="93">
        <f t="shared" si="67"/>
        <v>6.4285714285714288</v>
      </c>
      <c r="J175" s="93">
        <f>IF(G149=0,0,G175)</f>
        <v>0</v>
      </c>
      <c r="K175" s="108">
        <f t="shared" si="68"/>
        <v>6</v>
      </c>
      <c r="L175" s="103">
        <v>661</v>
      </c>
      <c r="M175" s="97">
        <f t="shared" si="65"/>
        <v>3966</v>
      </c>
      <c r="N175" s="107"/>
      <c r="O175" s="118">
        <f t="shared" si="66"/>
        <v>10174.532611222165</v>
      </c>
      <c r="P175" s="29">
        <f t="shared" si="71"/>
        <v>61047.195667332984</v>
      </c>
      <c r="Q175" s="120"/>
    </row>
    <row r="176" spans="1:17" x14ac:dyDescent="0.45">
      <c r="C176" s="18"/>
      <c r="D176" s="18"/>
      <c r="E176" s="18"/>
      <c r="F176" s="18"/>
      <c r="G176" s="18"/>
      <c r="H176" s="18"/>
      <c r="I176" s="18"/>
      <c r="J176" s="18"/>
      <c r="K176" s="18"/>
      <c r="L176" s="98"/>
      <c r="M176" s="98"/>
      <c r="N176" s="35"/>
      <c r="O176" s="35"/>
      <c r="P176" s="35">
        <f>SUM(P162:P175)</f>
        <v>468315.69465685758</v>
      </c>
      <c r="Q176" s="35"/>
    </row>
    <row r="177" spans="3:17" x14ac:dyDescent="0.45">
      <c r="C177" s="26" t="s">
        <v>150</v>
      </c>
      <c r="D177" s="27"/>
      <c r="E177" s="27"/>
      <c r="F177" s="27"/>
      <c r="G177" s="28"/>
      <c r="H177" s="28"/>
      <c r="I177" s="18"/>
      <c r="J177" s="18"/>
      <c r="K177" s="130">
        <f>'BIOMETRIA HEMATICA'!B6</f>
        <v>12</v>
      </c>
      <c r="L177" s="29">
        <f>BC!F109</f>
        <v>1920</v>
      </c>
      <c r="M177" s="29">
        <f>(L177/K177)*K177</f>
        <v>1920</v>
      </c>
      <c r="N177" s="34"/>
      <c r="O177" s="34"/>
      <c r="P177" s="34"/>
      <c r="Q177" s="120"/>
    </row>
    <row r="178" spans="3:17" x14ac:dyDescent="0.45">
      <c r="C178" s="19" t="s">
        <v>24</v>
      </c>
      <c r="D178" s="27"/>
      <c r="E178" s="27"/>
      <c r="F178" s="27"/>
      <c r="G178" s="28"/>
      <c r="H178" s="28"/>
      <c r="I178" s="18"/>
      <c r="J178" s="18"/>
      <c r="K178" s="130"/>
      <c r="L178" s="29">
        <v>2893</v>
      </c>
      <c r="M178" s="29">
        <f>(L178*K177)</f>
        <v>34716</v>
      </c>
      <c r="N178" s="34"/>
      <c r="O178" s="34"/>
      <c r="P178" s="34"/>
      <c r="Q178" s="35"/>
    </row>
    <row r="179" spans="3:17" x14ac:dyDescent="0.45">
      <c r="C179" s="19" t="s">
        <v>0</v>
      </c>
      <c r="D179" s="18"/>
      <c r="E179" s="18"/>
      <c r="F179" s="18"/>
      <c r="G179" s="18"/>
      <c r="H179" s="18"/>
      <c r="I179" s="18"/>
      <c r="J179" s="18"/>
      <c r="K179" s="130"/>
      <c r="L179" s="29">
        <v>86713</v>
      </c>
      <c r="M179" s="29">
        <f>((((L178)*(K177))/'BIOMETRIA HEMATICA'!B2))</f>
        <v>2.8455737704918032</v>
      </c>
      <c r="N179" s="34"/>
      <c r="O179" s="34"/>
      <c r="P179" s="34"/>
    </row>
    <row r="180" spans="3:17" x14ac:dyDescent="0.45">
      <c r="L180" s="35">
        <f>SUM(M177:M178)</f>
        <v>36636</v>
      </c>
      <c r="M180" s="35"/>
      <c r="P180" s="35">
        <f>P176-L181</f>
        <v>437770.07465685759</v>
      </c>
    </row>
    <row r="181" spans="3:17" x14ac:dyDescent="0.45">
      <c r="L181" s="35">
        <f>SUM(M162:M175)</f>
        <v>30545.620000000003</v>
      </c>
      <c r="P181" s="35">
        <f>L178*K177</f>
        <v>34716</v>
      </c>
    </row>
    <row r="182" spans="3:17" x14ac:dyDescent="0.45">
      <c r="L182" s="36">
        <f>(L180/L181)*K177</f>
        <v>14.392636325600854</v>
      </c>
    </row>
  </sheetData>
  <mergeCells count="34">
    <mergeCell ref="A162:A170"/>
    <mergeCell ref="A171:A172"/>
    <mergeCell ref="A173:A174"/>
    <mergeCell ref="K177:K179"/>
    <mergeCell ref="A134:Q134"/>
    <mergeCell ref="A136:A144"/>
    <mergeCell ref="A145:A146"/>
    <mergeCell ref="A147:A148"/>
    <mergeCell ref="K151:K153"/>
    <mergeCell ref="A160:Q160"/>
    <mergeCell ref="K125:K127"/>
    <mergeCell ref="A68:Q68"/>
    <mergeCell ref="A70:A76"/>
    <mergeCell ref="A77:A78"/>
    <mergeCell ref="K81:K83"/>
    <mergeCell ref="A90:Q90"/>
    <mergeCell ref="A92:A98"/>
    <mergeCell ref="A99:A100"/>
    <mergeCell ref="K103:K105"/>
    <mergeCell ref="A112:Q112"/>
    <mergeCell ref="A114:A120"/>
    <mergeCell ref="A121:A122"/>
    <mergeCell ref="K59:K61"/>
    <mergeCell ref="A1:Q1"/>
    <mergeCell ref="A3:A9"/>
    <mergeCell ref="A10:A11"/>
    <mergeCell ref="K14:K16"/>
    <mergeCell ref="A24:Q24"/>
    <mergeCell ref="A26:A32"/>
    <mergeCell ref="A33:A34"/>
    <mergeCell ref="K37:K39"/>
    <mergeCell ref="A46:Q46"/>
    <mergeCell ref="A48:A54"/>
    <mergeCell ref="A55:A5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BC</vt:lpstr>
      <vt:lpstr>BIOMETRIA HEMATICA</vt:lpstr>
      <vt:lpstr>DETERMINACION XP-300</vt:lpstr>
      <vt:lpstr>PRUEBA EFECTIVA XP-300</vt:lpstr>
      <vt:lpstr>COMODATO TODO COMPRADO XP-300</vt:lpstr>
      <vt:lpstr>DETERMINACION XN</vt:lpstr>
      <vt:lpstr>PRUEBA EFECTIVA XN</vt:lpstr>
      <vt:lpstr>COMODATO TODO COMPRADO XN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Pelus Fariño</dc:creator>
  <cp:lastModifiedBy>Alex Pelus Fariño</cp:lastModifiedBy>
  <dcterms:created xsi:type="dcterms:W3CDTF">2024-12-06T15:24:30Z</dcterms:created>
  <dcterms:modified xsi:type="dcterms:W3CDTF">2026-05-07T18:20:41Z</dcterms:modified>
</cp:coreProperties>
</file>