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lus\Desktop\AlexF\Desktop\COORDINACION COMERCIAL\COSTOS\2024\"/>
    </mc:Choice>
  </mc:AlternateContent>
  <xr:revisionPtr revIDLastSave="0" documentId="13_ncr:1_{38110507-8616-424A-AB15-55DC3F8686EE}" xr6:coauthVersionLast="47" xr6:coauthVersionMax="47" xr10:uidLastSave="{00000000-0000-0000-0000-000000000000}"/>
  <bookViews>
    <workbookView xWindow="-98" yWindow="-98" windowWidth="21795" windowHeight="13875" firstSheet="15" activeTab="17" xr2:uid="{931F72A4-7B0E-4B01-A7F1-20816311F916}"/>
  </bookViews>
  <sheets>
    <sheet name="BC" sheetId="2" r:id="rId1"/>
    <sheet name="c111" sheetId="11" r:id="rId2"/>
    <sheet name="c111 DETERMIACION" sheetId="1" r:id="rId3"/>
    <sheet name="c111 PRUEBA EFECTIVA" sheetId="4" r:id="rId4"/>
    <sheet name="c111 TODO COMPRADO" sheetId="5" r:id="rId5"/>
    <sheet name="c311" sheetId="12" r:id="rId6"/>
    <sheet name="c311 DETERMINACION" sheetId="3" r:id="rId7"/>
    <sheet name="c311 PRUEBA EFECTIVA" sheetId="6" r:id="rId8"/>
    <sheet name="c311 TODO COMPRADO" sheetId="7" r:id="rId9"/>
    <sheet name="e411" sheetId="13" r:id="rId10"/>
    <sheet name="e411 DETERMINACION" sheetId="8" r:id="rId11"/>
    <sheet name="e411 PRUEBA EFECTIVA" sheetId="9" r:id="rId12"/>
    <sheet name="e411 TODO COMPRADO" sheetId="10" r:id="rId13"/>
    <sheet name="c303-c503" sheetId="14" r:id="rId14"/>
    <sheet name="c303-c503 DETERMINACION" sheetId="15" r:id="rId15"/>
    <sheet name="c303-c503 PRUEBA EFECTIVA" sheetId="16" r:id="rId16"/>
    <sheet name="c303-c503 TODO COMPRADO" sheetId="17" r:id="rId17"/>
    <sheet name="e402-e801" sheetId="18" r:id="rId18"/>
    <sheet name="e402-e801 DETERMINACION" sheetId="19" r:id="rId19"/>
    <sheet name="e402-e801 PRUEBA EFECTIVA" sheetId="20" r:id="rId20"/>
    <sheet name="e402-e801 TODO COMPRADO" sheetId="21" r:id="rId21"/>
  </sheets>
  <externalReferences>
    <externalReference r:id="rId22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46" i="17" l="1"/>
  <c r="R146" i="17" s="1"/>
  <c r="M146" i="17"/>
  <c r="M147" i="17"/>
  <c r="M148" i="17"/>
  <c r="M149" i="17"/>
  <c r="M150" i="17"/>
  <c r="M151" i="17"/>
  <c r="H146" i="17"/>
  <c r="K146" i="17" s="1"/>
  <c r="L146" i="17" s="1"/>
  <c r="I146" i="17"/>
  <c r="J146" i="17" s="1"/>
  <c r="H147" i="17"/>
  <c r="K147" i="17" s="1"/>
  <c r="L147" i="17" s="1"/>
  <c r="Q147" i="17" s="1"/>
  <c r="R147" i="17" s="1"/>
  <c r="I147" i="17"/>
  <c r="H148" i="17"/>
  <c r="I148" i="17"/>
  <c r="J148" i="17"/>
  <c r="K148" i="17"/>
  <c r="L148" i="17" s="1"/>
  <c r="Q148" i="17" s="1"/>
  <c r="R148" i="17" s="1"/>
  <c r="H149" i="17"/>
  <c r="I149" i="17"/>
  <c r="H150" i="17"/>
  <c r="K150" i="17" s="1"/>
  <c r="L150" i="17" s="1"/>
  <c r="Q150" i="17" s="1"/>
  <c r="R150" i="17" s="1"/>
  <c r="I150" i="17"/>
  <c r="H151" i="17"/>
  <c r="I151" i="17"/>
  <c r="J151" i="17" s="1"/>
  <c r="K151" i="17"/>
  <c r="L151" i="17"/>
  <c r="Q151" i="17" s="1"/>
  <c r="R151" i="17" s="1"/>
  <c r="I146" i="16"/>
  <c r="L146" i="16" s="1"/>
  <c r="M146" i="16" s="1"/>
  <c r="J146" i="16"/>
  <c r="K146" i="16" s="1"/>
  <c r="I147" i="16"/>
  <c r="K147" i="16" s="1"/>
  <c r="J147" i="16"/>
  <c r="I148" i="16"/>
  <c r="K148" i="16" s="1"/>
  <c r="J148" i="16"/>
  <c r="I149" i="16"/>
  <c r="L149" i="16" s="1"/>
  <c r="M149" i="16" s="1"/>
  <c r="J149" i="16"/>
  <c r="I150" i="16"/>
  <c r="J150" i="16"/>
  <c r="K150" i="16" s="1"/>
  <c r="L150" i="16"/>
  <c r="M150" i="16" s="1"/>
  <c r="I151" i="16"/>
  <c r="J151" i="16"/>
  <c r="L151" i="16"/>
  <c r="M151" i="16" s="1"/>
  <c r="O151" i="15"/>
  <c r="P151" i="15" s="1"/>
  <c r="L151" i="15"/>
  <c r="N151" i="15" s="1"/>
  <c r="I151" i="15"/>
  <c r="L150" i="15"/>
  <c r="N150" i="15" s="1"/>
  <c r="I150" i="15"/>
  <c r="J150" i="15" s="1"/>
  <c r="K150" i="15" s="1"/>
  <c r="I149" i="15"/>
  <c r="J149" i="15" s="1"/>
  <c r="K149" i="15" s="1"/>
  <c r="L149" i="15" s="1"/>
  <c r="I148" i="15"/>
  <c r="J148" i="15" s="1"/>
  <c r="K148" i="15" s="1"/>
  <c r="L148" i="15" s="1"/>
  <c r="O148" i="15" s="1"/>
  <c r="P148" i="15" s="1"/>
  <c r="I147" i="15"/>
  <c r="J147" i="15"/>
  <c r="K147" i="15" s="1"/>
  <c r="L147" i="15" s="1"/>
  <c r="O147" i="15" s="1"/>
  <c r="P147" i="15" s="1"/>
  <c r="I146" i="15"/>
  <c r="P129" i="7"/>
  <c r="Q129" i="7"/>
  <c r="P130" i="7"/>
  <c r="Q130" i="7" s="1"/>
  <c r="P131" i="7"/>
  <c r="Q131" i="7"/>
  <c r="P132" i="7"/>
  <c r="Q132" i="7"/>
  <c r="P133" i="7"/>
  <c r="Q133" i="7"/>
  <c r="P134" i="7"/>
  <c r="Q134" i="7" s="1"/>
  <c r="N129" i="7"/>
  <c r="N130" i="7"/>
  <c r="N131" i="7"/>
  <c r="N132" i="7"/>
  <c r="N133" i="7"/>
  <c r="N134" i="7"/>
  <c r="G129" i="7"/>
  <c r="I129" i="7" s="1"/>
  <c r="J129" i="7" s="1"/>
  <c r="H129" i="7"/>
  <c r="G130" i="7"/>
  <c r="H130" i="7"/>
  <c r="I130" i="7"/>
  <c r="J130" i="7"/>
  <c r="G131" i="7"/>
  <c r="I131" i="7" s="1"/>
  <c r="J131" i="7" s="1"/>
  <c r="H131" i="7"/>
  <c r="G132" i="7"/>
  <c r="H132" i="7"/>
  <c r="I132" i="7"/>
  <c r="J132" i="7" s="1"/>
  <c r="G133" i="7"/>
  <c r="H133" i="7"/>
  <c r="I133" i="7" s="1"/>
  <c r="J133" i="7" s="1"/>
  <c r="G134" i="7"/>
  <c r="H134" i="7"/>
  <c r="I134" i="7"/>
  <c r="J134" i="7" s="1"/>
  <c r="H129" i="3"/>
  <c r="H130" i="3"/>
  <c r="H131" i="3"/>
  <c r="H132" i="3"/>
  <c r="H133" i="3"/>
  <c r="H134" i="3"/>
  <c r="G129" i="3"/>
  <c r="G130" i="3"/>
  <c r="G131" i="3"/>
  <c r="I131" i="3" s="1"/>
  <c r="J131" i="3" s="1"/>
  <c r="G132" i="3"/>
  <c r="G133" i="3"/>
  <c r="I133" i="3" s="1"/>
  <c r="J133" i="3" s="1"/>
  <c r="G134" i="3"/>
  <c r="H116" i="6"/>
  <c r="H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J129" i="6" s="1"/>
  <c r="K129" i="6" s="1"/>
  <c r="I130" i="6"/>
  <c r="J130" i="6" s="1"/>
  <c r="K130" i="6" s="1"/>
  <c r="I131" i="6"/>
  <c r="I132" i="6"/>
  <c r="I133" i="6"/>
  <c r="I134" i="6"/>
  <c r="I114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9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76" i="6"/>
  <c r="J134" i="6"/>
  <c r="K134" i="6" s="1"/>
  <c r="J131" i="6"/>
  <c r="K131" i="6" s="1"/>
  <c r="J132" i="6"/>
  <c r="K132" i="6" s="1"/>
  <c r="J133" i="6"/>
  <c r="K133" i="6" s="1"/>
  <c r="L129" i="6"/>
  <c r="P129" i="6" s="1"/>
  <c r="Q129" i="6" s="1"/>
  <c r="M129" i="6"/>
  <c r="L130" i="6"/>
  <c r="M130" i="6"/>
  <c r="L131" i="6"/>
  <c r="P131" i="6" s="1"/>
  <c r="Q131" i="6" s="1"/>
  <c r="M131" i="6"/>
  <c r="L132" i="6"/>
  <c r="P132" i="6" s="1"/>
  <c r="Q132" i="6" s="1"/>
  <c r="M132" i="6"/>
  <c r="O132" i="6"/>
  <c r="L133" i="6"/>
  <c r="P133" i="6" s="1"/>
  <c r="Q133" i="6" s="1"/>
  <c r="M133" i="6"/>
  <c r="L134" i="6"/>
  <c r="M134" i="6"/>
  <c r="H129" i="6"/>
  <c r="H130" i="6"/>
  <c r="H131" i="6"/>
  <c r="H132" i="6"/>
  <c r="H133" i="6"/>
  <c r="H134" i="6"/>
  <c r="I129" i="3"/>
  <c r="J129" i="3" s="1"/>
  <c r="K129" i="3"/>
  <c r="N129" i="3" s="1"/>
  <c r="L129" i="3"/>
  <c r="I130" i="3"/>
  <c r="J130" i="3" s="1"/>
  <c r="K130" i="3"/>
  <c r="O130" i="3" s="1"/>
  <c r="P130" i="3" s="1"/>
  <c r="L130" i="3"/>
  <c r="K131" i="3"/>
  <c r="O131" i="3" s="1"/>
  <c r="P131" i="3" s="1"/>
  <c r="L131" i="3"/>
  <c r="I132" i="3"/>
  <c r="J132" i="3" s="1"/>
  <c r="K132" i="3"/>
  <c r="O132" i="3" s="1"/>
  <c r="P132" i="3" s="1"/>
  <c r="L132" i="3"/>
  <c r="K133" i="3"/>
  <c r="O133" i="3" s="1"/>
  <c r="P133" i="3" s="1"/>
  <c r="L133" i="3"/>
  <c r="I134" i="3"/>
  <c r="J134" i="3" s="1"/>
  <c r="K134" i="3"/>
  <c r="N134" i="3" s="1"/>
  <c r="L134" i="3"/>
  <c r="J150" i="17" l="1"/>
  <c r="J149" i="17"/>
  <c r="L147" i="16"/>
  <c r="M147" i="16" s="1"/>
  <c r="P150" i="16"/>
  <c r="Q150" i="16" s="1"/>
  <c r="O151" i="16"/>
  <c r="K149" i="16"/>
  <c r="K151" i="16"/>
  <c r="L148" i="16"/>
  <c r="M148" i="16" s="1"/>
  <c r="N149" i="15"/>
  <c r="O149" i="15"/>
  <c r="P149" i="15" s="1"/>
  <c r="O150" i="15"/>
  <c r="P150" i="15" s="1"/>
  <c r="N148" i="15"/>
  <c r="N147" i="15"/>
  <c r="J147" i="17"/>
  <c r="K149" i="17"/>
  <c r="L149" i="17" s="1"/>
  <c r="Q149" i="17" s="1"/>
  <c r="R149" i="17" s="1"/>
  <c r="P151" i="16"/>
  <c r="Q151" i="16" s="1"/>
  <c r="P149" i="16"/>
  <c r="Q149" i="16" s="1"/>
  <c r="O149" i="16"/>
  <c r="P147" i="16"/>
  <c r="Q147" i="16" s="1"/>
  <c r="O147" i="16"/>
  <c r="P146" i="16"/>
  <c r="Q146" i="16" s="1"/>
  <c r="O146" i="16"/>
  <c r="O150" i="16"/>
  <c r="J146" i="15"/>
  <c r="K146" i="15" s="1"/>
  <c r="L146" i="15" s="1"/>
  <c r="J151" i="15"/>
  <c r="K151" i="15" s="1"/>
  <c r="O130" i="6"/>
  <c r="O134" i="6"/>
  <c r="N131" i="3"/>
  <c r="N133" i="3"/>
  <c r="N132" i="3"/>
  <c r="N130" i="3"/>
  <c r="O129" i="6"/>
  <c r="P134" i="6"/>
  <c r="Q134" i="6" s="1"/>
  <c r="O131" i="6"/>
  <c r="O133" i="6"/>
  <c r="P130" i="6"/>
  <c r="Q130" i="6" s="1"/>
  <c r="O129" i="3"/>
  <c r="P129" i="3" s="1"/>
  <c r="O134" i="3"/>
  <c r="P134" i="3" s="1"/>
  <c r="F30" i="5"/>
  <c r="G30" i="5"/>
  <c r="H30" i="5"/>
  <c r="I30" i="5" s="1"/>
  <c r="J30" i="5"/>
  <c r="K30" i="5"/>
  <c r="M30" i="5" s="1"/>
  <c r="P30" i="5"/>
  <c r="G30" i="4"/>
  <c r="H30" i="4"/>
  <c r="K30" i="4" s="1"/>
  <c r="L30" i="4" s="1"/>
  <c r="N30" i="4" s="1"/>
  <c r="I30" i="4"/>
  <c r="J30" i="4" s="1"/>
  <c r="O30" i="4"/>
  <c r="F30" i="4"/>
  <c r="A7" i="1"/>
  <c r="A4" i="1"/>
  <c r="G30" i="1"/>
  <c r="I30" i="1" s="1"/>
  <c r="H30" i="1"/>
  <c r="N30" i="1"/>
  <c r="F30" i="1"/>
  <c r="G36" i="11"/>
  <c r="F36" i="11"/>
  <c r="L229" i="10"/>
  <c r="G10" i="10"/>
  <c r="G11" i="10"/>
  <c r="H11" i="10" s="1"/>
  <c r="L11" i="10" s="1"/>
  <c r="N11" i="10" s="1"/>
  <c r="G12" i="10"/>
  <c r="G13" i="10"/>
  <c r="H176" i="10" s="1"/>
  <c r="G14" i="10"/>
  <c r="H178" i="10" s="1"/>
  <c r="K178" i="10" s="1"/>
  <c r="L178" i="10" s="1"/>
  <c r="G15" i="10"/>
  <c r="G16" i="10"/>
  <c r="H179" i="10" s="1"/>
  <c r="K179" i="10" s="1"/>
  <c r="L179" i="10" s="1"/>
  <c r="G17" i="10"/>
  <c r="G18" i="10"/>
  <c r="G19" i="10"/>
  <c r="G20" i="10"/>
  <c r="G21" i="10"/>
  <c r="H21" i="10" s="1"/>
  <c r="K21" i="10" s="1"/>
  <c r="G22" i="10"/>
  <c r="G23" i="10"/>
  <c r="H23" i="10" s="1"/>
  <c r="G24" i="10"/>
  <c r="H111" i="10" s="1"/>
  <c r="G25" i="10"/>
  <c r="G26" i="10"/>
  <c r="G27" i="10"/>
  <c r="G28" i="10"/>
  <c r="H115" i="10" s="1"/>
  <c r="G29" i="10"/>
  <c r="H116" i="10" s="1"/>
  <c r="K116" i="10" s="1"/>
  <c r="L116" i="10" s="1"/>
  <c r="N116" i="10" s="1"/>
  <c r="G30" i="10"/>
  <c r="H30" i="10" s="1"/>
  <c r="L30" i="10" s="1"/>
  <c r="N30" i="10" s="1"/>
  <c r="G31" i="10"/>
  <c r="G32" i="10"/>
  <c r="G33" i="10"/>
  <c r="G34" i="10"/>
  <c r="G35" i="10"/>
  <c r="H35" i="10" s="1"/>
  <c r="L35" i="10" s="1"/>
  <c r="N35" i="10" s="1"/>
  <c r="G36" i="10"/>
  <c r="G37" i="10"/>
  <c r="G38" i="10"/>
  <c r="H38" i="10" s="1"/>
  <c r="L38" i="10" s="1"/>
  <c r="N38" i="10" s="1"/>
  <c r="G39" i="10"/>
  <c r="H122" i="10" s="1"/>
  <c r="G40" i="10"/>
  <c r="H40" i="10" s="1"/>
  <c r="G41" i="10"/>
  <c r="G42" i="10"/>
  <c r="G43" i="10"/>
  <c r="G44" i="10"/>
  <c r="G45" i="10"/>
  <c r="G46" i="10"/>
  <c r="H126" i="10" s="1"/>
  <c r="G47" i="10"/>
  <c r="G48" i="10"/>
  <c r="H48" i="10" s="1"/>
  <c r="G49" i="10"/>
  <c r="G50" i="10"/>
  <c r="G51" i="10"/>
  <c r="G52" i="10"/>
  <c r="G53" i="10"/>
  <c r="G54" i="10"/>
  <c r="H54" i="10" s="1"/>
  <c r="K54" i="10" s="1"/>
  <c r="G55" i="10"/>
  <c r="G56" i="10"/>
  <c r="H56" i="10" s="1"/>
  <c r="G57" i="10"/>
  <c r="G58" i="10"/>
  <c r="G59" i="10"/>
  <c r="G60" i="10"/>
  <c r="G61" i="10"/>
  <c r="H61" i="10" s="1"/>
  <c r="L61" i="10" s="1"/>
  <c r="N61" i="10" s="1"/>
  <c r="G62" i="10"/>
  <c r="H199" i="10" s="1"/>
  <c r="G63" i="10"/>
  <c r="G64" i="10"/>
  <c r="G65" i="10"/>
  <c r="G66" i="10"/>
  <c r="G67" i="10"/>
  <c r="G68" i="10"/>
  <c r="G69" i="10"/>
  <c r="G70" i="10"/>
  <c r="H144" i="10" s="1"/>
  <c r="K144" i="10" s="1"/>
  <c r="L144" i="10" s="1"/>
  <c r="G71" i="10"/>
  <c r="G72" i="10"/>
  <c r="H146" i="10" s="1"/>
  <c r="G73" i="10"/>
  <c r="H73" i="10" s="1"/>
  <c r="L73" i="10" s="1"/>
  <c r="N73" i="10" s="1"/>
  <c r="G74" i="10"/>
  <c r="G75" i="10"/>
  <c r="G76" i="10"/>
  <c r="H149" i="10" s="1"/>
  <c r="K149" i="10" s="1"/>
  <c r="L149" i="10" s="1"/>
  <c r="G77" i="10"/>
  <c r="G78" i="10"/>
  <c r="H151" i="10" s="1"/>
  <c r="K151" i="10" s="1"/>
  <c r="L151" i="10" s="1"/>
  <c r="G79" i="10"/>
  <c r="G80" i="10"/>
  <c r="G81" i="10"/>
  <c r="G82" i="10"/>
  <c r="H82" i="10" s="1"/>
  <c r="G83" i="10"/>
  <c r="G84" i="10"/>
  <c r="G85" i="10"/>
  <c r="H85" i="10" s="1"/>
  <c r="L85" i="10" s="1"/>
  <c r="N85" i="10" s="1"/>
  <c r="G86" i="10"/>
  <c r="G87" i="10"/>
  <c r="H87" i="10" s="1"/>
  <c r="L87" i="10" s="1"/>
  <c r="N87" i="10" s="1"/>
  <c r="G88" i="10"/>
  <c r="H198" i="10" s="1"/>
  <c r="K198" i="10" s="1"/>
  <c r="L198" i="10" s="1"/>
  <c r="G89" i="10"/>
  <c r="H158" i="10" s="1"/>
  <c r="G90" i="10"/>
  <c r="G91" i="10"/>
  <c r="G92" i="10"/>
  <c r="H161" i="10" s="1"/>
  <c r="K161" i="10" s="1"/>
  <c r="L161" i="10" s="1"/>
  <c r="G93" i="10"/>
  <c r="H93" i="10" s="1"/>
  <c r="G94" i="10"/>
  <c r="H94" i="10" s="1"/>
  <c r="G95" i="10"/>
  <c r="G96" i="10"/>
  <c r="G97" i="10"/>
  <c r="H97" i="10" s="1"/>
  <c r="G98" i="10"/>
  <c r="G99" i="10"/>
  <c r="G100" i="10"/>
  <c r="G101" i="10"/>
  <c r="H101" i="10" s="1"/>
  <c r="L101" i="10" s="1"/>
  <c r="N101" i="10" s="1"/>
  <c r="G102" i="10"/>
  <c r="G9" i="10"/>
  <c r="R230" i="10"/>
  <c r="O229" i="10"/>
  <c r="N229" i="10"/>
  <c r="K228" i="10"/>
  <c r="L228" i="10" s="1"/>
  <c r="I228" i="10"/>
  <c r="J228" i="10" s="1"/>
  <c r="I227" i="10"/>
  <c r="K226" i="10"/>
  <c r="L226" i="10" s="1"/>
  <c r="I226" i="10"/>
  <c r="J226" i="10" s="1"/>
  <c r="K225" i="10"/>
  <c r="L225" i="10" s="1"/>
  <c r="I225" i="10"/>
  <c r="J225" i="10" s="1"/>
  <c r="I224" i="10"/>
  <c r="I223" i="10"/>
  <c r="I222" i="10"/>
  <c r="I221" i="10"/>
  <c r="I220" i="10"/>
  <c r="I219" i="10"/>
  <c r="I218" i="10"/>
  <c r="I216" i="10"/>
  <c r="I215" i="10"/>
  <c r="I214" i="10"/>
  <c r="I213" i="10"/>
  <c r="I212" i="10"/>
  <c r="I211" i="10"/>
  <c r="K210" i="10"/>
  <c r="L210" i="10" s="1"/>
  <c r="N210" i="10" s="1"/>
  <c r="I210" i="10"/>
  <c r="J210" i="10" s="1"/>
  <c r="I209" i="10"/>
  <c r="I208" i="10"/>
  <c r="K207" i="10"/>
  <c r="L207" i="10" s="1"/>
  <c r="Q207" i="10" s="1"/>
  <c r="R207" i="10" s="1"/>
  <c r="I207" i="10"/>
  <c r="J207" i="10" s="1"/>
  <c r="K206" i="10"/>
  <c r="L206" i="10" s="1"/>
  <c r="I206" i="10"/>
  <c r="J206" i="10" s="1"/>
  <c r="I205" i="10"/>
  <c r="I204" i="10"/>
  <c r="K203" i="10"/>
  <c r="L203" i="10" s="1"/>
  <c r="I203" i="10"/>
  <c r="J203" i="10" s="1"/>
  <c r="I202" i="10"/>
  <c r="K201" i="10"/>
  <c r="L201" i="10" s="1"/>
  <c r="I201" i="10"/>
  <c r="J201" i="10" s="1"/>
  <c r="K200" i="10"/>
  <c r="L200" i="10" s="1"/>
  <c r="Q200" i="10" s="1"/>
  <c r="R200" i="10" s="1"/>
  <c r="J200" i="10"/>
  <c r="I200" i="10"/>
  <c r="I199" i="10"/>
  <c r="I198" i="10"/>
  <c r="I197" i="10"/>
  <c r="I196" i="10"/>
  <c r="K195" i="10"/>
  <c r="L195" i="10" s="1"/>
  <c r="N195" i="10" s="1"/>
  <c r="I195" i="10"/>
  <c r="J195" i="10" s="1"/>
  <c r="I194" i="10"/>
  <c r="I193" i="10"/>
  <c r="I192" i="10"/>
  <c r="K191" i="10"/>
  <c r="L191" i="10" s="1"/>
  <c r="I191" i="10"/>
  <c r="J191" i="10" s="1"/>
  <c r="I190" i="10"/>
  <c r="I189" i="10"/>
  <c r="I188" i="10"/>
  <c r="I187" i="10"/>
  <c r="I186" i="10"/>
  <c r="I185" i="10"/>
  <c r="I184" i="10"/>
  <c r="I183" i="10"/>
  <c r="I182" i="10"/>
  <c r="I181" i="10"/>
  <c r="I180" i="10"/>
  <c r="I179" i="10"/>
  <c r="I178" i="10"/>
  <c r="I177" i="10"/>
  <c r="I176" i="10"/>
  <c r="I175" i="10"/>
  <c r="K174" i="10"/>
  <c r="L174" i="10" s="1"/>
  <c r="I174" i="10"/>
  <c r="J174" i="10" s="1"/>
  <c r="I173" i="10"/>
  <c r="K172" i="10"/>
  <c r="L172" i="10" s="1"/>
  <c r="I172" i="10"/>
  <c r="J172" i="10" s="1"/>
  <c r="I171" i="10"/>
  <c r="I170" i="10"/>
  <c r="I168" i="10"/>
  <c r="I167" i="10"/>
  <c r="I166" i="10"/>
  <c r="I165" i="10"/>
  <c r="I164" i="10"/>
  <c r="I163" i="10"/>
  <c r="I162" i="10"/>
  <c r="I161" i="10"/>
  <c r="I160" i="10"/>
  <c r="I159" i="10"/>
  <c r="I158" i="10"/>
  <c r="I157" i="10"/>
  <c r="I156" i="10"/>
  <c r="I155" i="10"/>
  <c r="I154" i="10"/>
  <c r="I153" i="10"/>
  <c r="I152" i="10"/>
  <c r="I151" i="10"/>
  <c r="I150" i="10"/>
  <c r="I149" i="10"/>
  <c r="I148" i="10"/>
  <c r="I147" i="10"/>
  <c r="I146" i="10"/>
  <c r="I145" i="10"/>
  <c r="I144" i="10"/>
  <c r="I143" i="10"/>
  <c r="I142" i="10"/>
  <c r="I141" i="10"/>
  <c r="I140" i="10"/>
  <c r="I139" i="10"/>
  <c r="I138" i="10"/>
  <c r="I137" i="10"/>
  <c r="I136" i="10"/>
  <c r="I135" i="10"/>
  <c r="I134" i="10"/>
  <c r="I133" i="10"/>
  <c r="I132" i="10"/>
  <c r="I131" i="10"/>
  <c r="I130" i="10"/>
  <c r="H130" i="10"/>
  <c r="I129" i="10"/>
  <c r="I128" i="10"/>
  <c r="I127" i="10"/>
  <c r="I126" i="10"/>
  <c r="I125" i="10"/>
  <c r="I124" i="10"/>
  <c r="I123" i="10"/>
  <c r="I122" i="10"/>
  <c r="I121" i="10"/>
  <c r="I120" i="10"/>
  <c r="I119" i="10"/>
  <c r="I118" i="10"/>
  <c r="I117" i="10"/>
  <c r="I116" i="10"/>
  <c r="I115" i="10"/>
  <c r="I114" i="10"/>
  <c r="I113" i="10"/>
  <c r="I112" i="10"/>
  <c r="I111" i="10"/>
  <c r="I110" i="10"/>
  <c r="I109" i="10"/>
  <c r="I108" i="10"/>
  <c r="I107" i="10"/>
  <c r="I106" i="10"/>
  <c r="I105" i="10"/>
  <c r="Q102" i="10"/>
  <c r="I102" i="10"/>
  <c r="Q101" i="10"/>
  <c r="I101" i="10"/>
  <c r="H167" i="10"/>
  <c r="Q100" i="10"/>
  <c r="I100" i="10"/>
  <c r="Q99" i="10"/>
  <c r="I99" i="10"/>
  <c r="Q98" i="10"/>
  <c r="I98" i="10"/>
  <c r="H164" i="10"/>
  <c r="Q97" i="10"/>
  <c r="I97" i="10"/>
  <c r="Q96" i="10"/>
  <c r="I96" i="10"/>
  <c r="Q95" i="10"/>
  <c r="I95" i="10"/>
  <c r="Q94" i="10"/>
  <c r="I94" i="10"/>
  <c r="Q93" i="10"/>
  <c r="I93" i="10"/>
  <c r="Q92" i="10"/>
  <c r="I92" i="10"/>
  <c r="H92" i="10"/>
  <c r="Q91" i="10"/>
  <c r="I91" i="10"/>
  <c r="Q90" i="10"/>
  <c r="I90" i="10"/>
  <c r="Q89" i="10"/>
  <c r="I89" i="10"/>
  <c r="H89" i="10"/>
  <c r="Q88" i="10"/>
  <c r="I88" i="10"/>
  <c r="Q87" i="10"/>
  <c r="I87" i="10"/>
  <c r="Q86" i="10"/>
  <c r="I86" i="10"/>
  <c r="Q85" i="10"/>
  <c r="I85" i="10"/>
  <c r="Q84" i="10"/>
  <c r="I84" i="10"/>
  <c r="H84" i="10"/>
  <c r="Q83" i="10"/>
  <c r="I83" i="10"/>
  <c r="Q82" i="10"/>
  <c r="I82" i="10"/>
  <c r="H204" i="10"/>
  <c r="Q81" i="10"/>
  <c r="I81" i="10"/>
  <c r="Q80" i="10"/>
  <c r="I80" i="10"/>
  <c r="Q79" i="10"/>
  <c r="I79" i="10"/>
  <c r="Q78" i="10"/>
  <c r="I78" i="10"/>
  <c r="Q77" i="10"/>
  <c r="I77" i="10"/>
  <c r="Q76" i="10"/>
  <c r="I76" i="10"/>
  <c r="Q75" i="10"/>
  <c r="I75" i="10"/>
  <c r="Q74" i="10"/>
  <c r="I74" i="10"/>
  <c r="H147" i="10"/>
  <c r="K147" i="10" s="1"/>
  <c r="L147" i="10" s="1"/>
  <c r="Q73" i="10"/>
  <c r="I73" i="10"/>
  <c r="Q72" i="10"/>
  <c r="I72" i="10"/>
  <c r="Q71" i="10"/>
  <c r="I71" i="10"/>
  <c r="Q70" i="10"/>
  <c r="I70" i="10"/>
  <c r="Q69" i="10"/>
  <c r="I69" i="10"/>
  <c r="Q68" i="10"/>
  <c r="I68" i="10"/>
  <c r="H68" i="10"/>
  <c r="H142" i="10"/>
  <c r="Q67" i="10"/>
  <c r="I67" i="10"/>
  <c r="Q66" i="10"/>
  <c r="I66" i="10"/>
  <c r="H140" i="10"/>
  <c r="K140" i="10" s="1"/>
  <c r="L140" i="10" s="1"/>
  <c r="Q65" i="10"/>
  <c r="I65" i="10"/>
  <c r="Q64" i="10"/>
  <c r="I64" i="10"/>
  <c r="Q63" i="10"/>
  <c r="I63" i="10"/>
  <c r="Q62" i="10"/>
  <c r="I62" i="10"/>
  <c r="Q61" i="10"/>
  <c r="I61" i="10"/>
  <c r="Q60" i="10"/>
  <c r="I60" i="10"/>
  <c r="H60" i="10"/>
  <c r="Q59" i="10"/>
  <c r="I59" i="10"/>
  <c r="Q58" i="10"/>
  <c r="I58" i="10"/>
  <c r="H136" i="10"/>
  <c r="K136" i="10" s="1"/>
  <c r="L136" i="10" s="1"/>
  <c r="Q136" i="10" s="1"/>
  <c r="R136" i="10" s="1"/>
  <c r="Q57" i="10"/>
  <c r="I57" i="10"/>
  <c r="Q56" i="10"/>
  <c r="I56" i="10"/>
  <c r="Q55" i="10"/>
  <c r="I55" i="10"/>
  <c r="Q54" i="10"/>
  <c r="I54" i="10"/>
  <c r="Q53" i="10"/>
  <c r="I53" i="10"/>
  <c r="Q52" i="10"/>
  <c r="I52" i="10"/>
  <c r="Q51" i="10"/>
  <c r="I51" i="10"/>
  <c r="Q50" i="10"/>
  <c r="I50" i="10"/>
  <c r="H50" i="10"/>
  <c r="L50" i="10" s="1"/>
  <c r="N50" i="10" s="1"/>
  <c r="Q49" i="10"/>
  <c r="I49" i="10"/>
  <c r="Q48" i="10"/>
  <c r="I48" i="10"/>
  <c r="Q47" i="10"/>
  <c r="I47" i="10"/>
  <c r="Q46" i="10"/>
  <c r="I46" i="10"/>
  <c r="Q45" i="10"/>
  <c r="I45" i="10"/>
  <c r="Q44" i="10"/>
  <c r="I44" i="10"/>
  <c r="H124" i="10"/>
  <c r="Q43" i="10"/>
  <c r="I43" i="10"/>
  <c r="H43" i="10"/>
  <c r="L43" i="10" s="1"/>
  <c r="N43" i="10" s="1"/>
  <c r="Q42" i="10"/>
  <c r="I42" i="10"/>
  <c r="Q41" i="10"/>
  <c r="I41" i="10"/>
  <c r="H41" i="10"/>
  <c r="H189" i="10"/>
  <c r="Q40" i="10"/>
  <c r="I40" i="10"/>
  <c r="A40" i="10"/>
  <c r="Q39" i="10"/>
  <c r="I39" i="10"/>
  <c r="Q38" i="10"/>
  <c r="I38" i="10"/>
  <c r="Q37" i="10"/>
  <c r="I37" i="10"/>
  <c r="Q36" i="10"/>
  <c r="I36" i="10"/>
  <c r="H36" i="10"/>
  <c r="K36" i="10" s="1"/>
  <c r="H119" i="10"/>
  <c r="Q35" i="10"/>
  <c r="I35" i="10"/>
  <c r="Q34" i="10"/>
  <c r="I34" i="10"/>
  <c r="H187" i="10"/>
  <c r="Q33" i="10"/>
  <c r="I33" i="10"/>
  <c r="Q32" i="10"/>
  <c r="I32" i="10"/>
  <c r="Q31" i="10"/>
  <c r="I31" i="10"/>
  <c r="A31" i="10"/>
  <c r="H212" i="10" s="1"/>
  <c r="K212" i="10" s="1"/>
  <c r="L212" i="10" s="1"/>
  <c r="Q30" i="10"/>
  <c r="I30" i="10"/>
  <c r="Q29" i="10"/>
  <c r="I29" i="10"/>
  <c r="H29" i="10"/>
  <c r="L29" i="10" s="1"/>
  <c r="N29" i="10" s="1"/>
  <c r="Q28" i="10"/>
  <c r="I28" i="10"/>
  <c r="H28" i="10"/>
  <c r="L28" i="10" s="1"/>
  <c r="N28" i="10" s="1"/>
  <c r="Q27" i="10"/>
  <c r="I27" i="10"/>
  <c r="Q26" i="10"/>
  <c r="I26" i="10"/>
  <c r="Q25" i="10"/>
  <c r="I25" i="10"/>
  <c r="H112" i="10"/>
  <c r="K112" i="10" s="1"/>
  <c r="L112" i="10" s="1"/>
  <c r="Q24" i="10"/>
  <c r="I24" i="10"/>
  <c r="Q23" i="10"/>
  <c r="I23" i="10"/>
  <c r="Q22" i="10"/>
  <c r="I22" i="10"/>
  <c r="Q21" i="10"/>
  <c r="I21" i="10"/>
  <c r="Q20" i="10"/>
  <c r="I20" i="10"/>
  <c r="Q19" i="10"/>
  <c r="I19" i="10"/>
  <c r="H19" i="10"/>
  <c r="L19" i="10" s="1"/>
  <c r="N19" i="10" s="1"/>
  <c r="H182" i="10"/>
  <c r="K182" i="10" s="1"/>
  <c r="L182" i="10" s="1"/>
  <c r="Q18" i="10"/>
  <c r="I18" i="10"/>
  <c r="H181" i="10"/>
  <c r="Q17" i="10"/>
  <c r="I17" i="10"/>
  <c r="Q16" i="10"/>
  <c r="I16" i="10"/>
  <c r="Q15" i="10"/>
  <c r="I15" i="10"/>
  <c r="Q14" i="10"/>
  <c r="I14" i="10"/>
  <c r="Q13" i="10"/>
  <c r="I13" i="10"/>
  <c r="H13" i="10"/>
  <c r="L13" i="10" s="1"/>
  <c r="N13" i="10" s="1"/>
  <c r="Q12" i="10"/>
  <c r="I12" i="10"/>
  <c r="H12" i="10"/>
  <c r="L12" i="10" s="1"/>
  <c r="N12" i="10" s="1"/>
  <c r="H110" i="10"/>
  <c r="Q11" i="10"/>
  <c r="I11" i="10"/>
  <c r="Q10" i="10"/>
  <c r="I10" i="10"/>
  <c r="H10" i="10"/>
  <c r="L10" i="10" s="1"/>
  <c r="N10" i="10" s="1"/>
  <c r="H106" i="10"/>
  <c r="Q9" i="10"/>
  <c r="I9" i="10"/>
  <c r="H78" i="10" l="1"/>
  <c r="L78" i="10" s="1"/>
  <c r="N78" i="10" s="1"/>
  <c r="H121" i="10"/>
  <c r="K82" i="10"/>
  <c r="L82" i="10"/>
  <c r="N82" i="10" s="1"/>
  <c r="J21" i="10"/>
  <c r="J13" i="10"/>
  <c r="H72" i="10"/>
  <c r="H155" i="10"/>
  <c r="K155" i="10" s="1"/>
  <c r="L155" i="10" s="1"/>
  <c r="Q155" i="10" s="1"/>
  <c r="R155" i="10" s="1"/>
  <c r="H170" i="10"/>
  <c r="K170" i="10" s="1"/>
  <c r="L170" i="10" s="1"/>
  <c r="Q170" i="10" s="1"/>
  <c r="R170" i="10" s="1"/>
  <c r="O148" i="16"/>
  <c r="P148" i="16"/>
  <c r="Q148" i="16" s="1"/>
  <c r="N146" i="15"/>
  <c r="O146" i="15"/>
  <c r="P146" i="15" s="1"/>
  <c r="J167" i="10"/>
  <c r="J121" i="10"/>
  <c r="J30" i="1"/>
  <c r="K30" i="1" s="1"/>
  <c r="M30" i="1" s="1"/>
  <c r="K40" i="10"/>
  <c r="J40" i="10"/>
  <c r="L40" i="10"/>
  <c r="N40" i="10" s="1"/>
  <c r="A28" i="10"/>
  <c r="H173" i="10" s="1"/>
  <c r="K173" i="10" s="1"/>
  <c r="L173" i="10" s="1"/>
  <c r="Q173" i="10" s="1"/>
  <c r="R173" i="10" s="1"/>
  <c r="K43" i="10"/>
  <c r="H163" i="10"/>
  <c r="H188" i="10"/>
  <c r="K188" i="10" s="1"/>
  <c r="L188" i="10" s="1"/>
  <c r="N188" i="10" s="1"/>
  <c r="H194" i="10"/>
  <c r="K194" i="10" s="1"/>
  <c r="L194" i="10" s="1"/>
  <c r="N194" i="10" s="1"/>
  <c r="H123" i="10"/>
  <c r="K123" i="10" s="1"/>
  <c r="L123" i="10" s="1"/>
  <c r="Q123" i="10" s="1"/>
  <c r="R123" i="10" s="1"/>
  <c r="H16" i="10"/>
  <c r="K16" i="10" s="1"/>
  <c r="H24" i="10"/>
  <c r="L24" i="10" s="1"/>
  <c r="N24" i="10" s="1"/>
  <c r="H134" i="10"/>
  <c r="J35" i="10"/>
  <c r="J164" i="10"/>
  <c r="N200" i="10"/>
  <c r="Q210" i="10"/>
  <c r="R210" i="10" s="1"/>
  <c r="H128" i="10"/>
  <c r="J128" i="10" s="1"/>
  <c r="K128" i="10" s="1"/>
  <c r="L128" i="10" s="1"/>
  <c r="H162" i="10"/>
  <c r="J162" i="10" s="1"/>
  <c r="J68" i="10"/>
  <c r="L94" i="10"/>
  <c r="N94" i="10" s="1"/>
  <c r="K94" i="10"/>
  <c r="L23" i="10"/>
  <c r="N23" i="10" s="1"/>
  <c r="J23" i="10"/>
  <c r="J10" i="10"/>
  <c r="K10" i="10" s="1"/>
  <c r="J12" i="10"/>
  <c r="L21" i="10"/>
  <c r="N21" i="10" s="1"/>
  <c r="J28" i="10"/>
  <c r="K28" i="10" s="1"/>
  <c r="J30" i="10"/>
  <c r="K30" i="10" s="1"/>
  <c r="H39" i="10"/>
  <c r="L39" i="10" s="1"/>
  <c r="N39" i="10" s="1"/>
  <c r="J82" i="10"/>
  <c r="H157" i="10"/>
  <c r="K157" i="10" s="1"/>
  <c r="L157" i="10" s="1"/>
  <c r="Q157" i="10" s="1"/>
  <c r="R157" i="10" s="1"/>
  <c r="K167" i="10"/>
  <c r="L167" i="10" s="1"/>
  <c r="Q167" i="10" s="1"/>
  <c r="R167" i="10" s="1"/>
  <c r="J78" i="10"/>
  <c r="J19" i="10"/>
  <c r="J89" i="10"/>
  <c r="J106" i="10"/>
  <c r="J198" i="10"/>
  <c r="H109" i="10"/>
  <c r="K109" i="10" s="1"/>
  <c r="L109" i="10" s="1"/>
  <c r="J29" i="10"/>
  <c r="J36" i="10"/>
  <c r="J61" i="10"/>
  <c r="K78" i="10"/>
  <c r="J101" i="10"/>
  <c r="Q116" i="10"/>
  <c r="R116" i="10" s="1"/>
  <c r="L36" i="10"/>
  <c r="N36" i="10" s="1"/>
  <c r="K38" i="10"/>
  <c r="J50" i="10"/>
  <c r="K50" i="10" s="1"/>
  <c r="J73" i="10"/>
  <c r="J122" i="10"/>
  <c r="K122" i="10" s="1"/>
  <c r="L122" i="10" s="1"/>
  <c r="H117" i="10"/>
  <c r="J56" i="10"/>
  <c r="J140" i="10"/>
  <c r="J136" i="10"/>
  <c r="L60" i="10"/>
  <c r="N60" i="10" s="1"/>
  <c r="H152" i="10"/>
  <c r="J152" i="10" s="1"/>
  <c r="H79" i="10"/>
  <c r="H105" i="10"/>
  <c r="G103" i="10"/>
  <c r="R14" i="10" s="1"/>
  <c r="H9" i="10"/>
  <c r="Q212" i="10"/>
  <c r="R212" i="10" s="1"/>
  <c r="N212" i="10"/>
  <c r="A34" i="10"/>
  <c r="H190" i="10" s="1"/>
  <c r="K190" i="10" s="1"/>
  <c r="L190" i="10" s="1"/>
  <c r="H42" i="10"/>
  <c r="H131" i="10"/>
  <c r="H51" i="10"/>
  <c r="J51" i="10" s="1"/>
  <c r="A19" i="10"/>
  <c r="H214" i="10" s="1"/>
  <c r="J214" i="10" s="1"/>
  <c r="H175" i="10"/>
  <c r="K175" i="10" s="1"/>
  <c r="L175" i="10" s="1"/>
  <c r="H107" i="10"/>
  <c r="K107" i="10" s="1"/>
  <c r="L107" i="10" s="1"/>
  <c r="H138" i="10"/>
  <c r="H64" i="10"/>
  <c r="A37" i="10"/>
  <c r="H192" i="10" s="1"/>
  <c r="K192" i="10" s="1"/>
  <c r="L192" i="10" s="1"/>
  <c r="Q149" i="10"/>
  <c r="R149" i="10" s="1"/>
  <c r="N149" i="10"/>
  <c r="Q226" i="10"/>
  <c r="R226" i="10" s="1"/>
  <c r="N226" i="10"/>
  <c r="H171" i="10"/>
  <c r="A43" i="10"/>
  <c r="H227" i="10" s="1"/>
  <c r="H33" i="10"/>
  <c r="J33" i="10" s="1"/>
  <c r="H135" i="10"/>
  <c r="H196" i="10"/>
  <c r="K196" i="10" s="1"/>
  <c r="L196" i="10" s="1"/>
  <c r="H57" i="10"/>
  <c r="H160" i="10"/>
  <c r="J160" i="10" s="1"/>
  <c r="H91" i="10"/>
  <c r="J91" i="10" s="1"/>
  <c r="Q161" i="10"/>
  <c r="R161" i="10" s="1"/>
  <c r="N161" i="10"/>
  <c r="Q178" i="10"/>
  <c r="R178" i="10" s="1"/>
  <c r="N178" i="10"/>
  <c r="H180" i="10"/>
  <c r="K180" i="10" s="1"/>
  <c r="L180" i="10" s="1"/>
  <c r="H17" i="10"/>
  <c r="H184" i="10"/>
  <c r="K184" i="10" s="1"/>
  <c r="L184" i="10" s="1"/>
  <c r="H108" i="10"/>
  <c r="H22" i="10"/>
  <c r="H113" i="10"/>
  <c r="H26" i="10"/>
  <c r="L41" i="10"/>
  <c r="N41" i="10" s="1"/>
  <c r="J41" i="10"/>
  <c r="L48" i="10"/>
  <c r="N48" i="10" s="1"/>
  <c r="H153" i="10"/>
  <c r="K153" i="10" s="1"/>
  <c r="L153" i="10" s="1"/>
  <c r="H80" i="10"/>
  <c r="J80" i="10" s="1"/>
  <c r="A16" i="10"/>
  <c r="H215" i="10" s="1"/>
  <c r="J11" i="10"/>
  <c r="K13" i="10"/>
  <c r="H14" i="10"/>
  <c r="H177" i="10"/>
  <c r="K177" i="10" s="1"/>
  <c r="L177" i="10" s="1"/>
  <c r="H15" i="10"/>
  <c r="H132" i="10"/>
  <c r="K132" i="10" s="1"/>
  <c r="L132" i="10" s="1"/>
  <c r="H52" i="10"/>
  <c r="J52" i="10" s="1"/>
  <c r="A10" i="10"/>
  <c r="H202" i="10" s="1"/>
  <c r="K202" i="10" s="1"/>
  <c r="L202" i="10" s="1"/>
  <c r="K11" i="10"/>
  <c r="K12" i="10"/>
  <c r="N179" i="10"/>
  <c r="Q179" i="10"/>
  <c r="R179" i="10" s="1"/>
  <c r="H118" i="10"/>
  <c r="K118" i="10" s="1"/>
  <c r="L118" i="10" s="1"/>
  <c r="A25" i="10"/>
  <c r="H185" i="10" s="1"/>
  <c r="J185" i="10" s="1"/>
  <c r="H32" i="10"/>
  <c r="J39" i="10"/>
  <c r="K39" i="10" s="1"/>
  <c r="K41" i="10"/>
  <c r="H63" i="10"/>
  <c r="J63" i="10" s="1"/>
  <c r="H137" i="10"/>
  <c r="J137" i="10" s="1"/>
  <c r="L16" i="10"/>
  <c r="N16" i="10" s="1"/>
  <c r="H183" i="10"/>
  <c r="K183" i="10" s="1"/>
  <c r="L183" i="10" s="1"/>
  <c r="H20" i="10"/>
  <c r="Q112" i="10"/>
  <c r="R112" i="10" s="1"/>
  <c r="N112" i="10"/>
  <c r="L54" i="10"/>
  <c r="N54" i="10" s="1"/>
  <c r="H143" i="10"/>
  <c r="K143" i="10" s="1"/>
  <c r="L143" i="10" s="1"/>
  <c r="H69" i="10"/>
  <c r="L92" i="10"/>
  <c r="N92" i="10" s="1"/>
  <c r="K92" i="10"/>
  <c r="A13" i="10"/>
  <c r="H208" i="10" s="1"/>
  <c r="Q182" i="10"/>
  <c r="R182" i="10" s="1"/>
  <c r="N182" i="10"/>
  <c r="H114" i="10"/>
  <c r="H27" i="10"/>
  <c r="J27" i="10" s="1"/>
  <c r="K19" i="10"/>
  <c r="K111" i="10"/>
  <c r="L111" i="10" s="1"/>
  <c r="J111" i="10"/>
  <c r="J32" i="10"/>
  <c r="J48" i="10"/>
  <c r="K48" i="10" s="1"/>
  <c r="J54" i="10"/>
  <c r="H133" i="10"/>
  <c r="K133" i="10" s="1"/>
  <c r="L133" i="10" s="1"/>
  <c r="H55" i="10"/>
  <c r="J55" i="10" s="1"/>
  <c r="K134" i="10"/>
  <c r="L134" i="10" s="1"/>
  <c r="J134" i="10"/>
  <c r="J92" i="10"/>
  <c r="Q151" i="10"/>
  <c r="R151" i="10" s="1"/>
  <c r="N151" i="10"/>
  <c r="Q172" i="10"/>
  <c r="R172" i="10" s="1"/>
  <c r="N172" i="10"/>
  <c r="H120" i="10"/>
  <c r="K120" i="10" s="1"/>
  <c r="L120" i="10" s="1"/>
  <c r="H37" i="10"/>
  <c r="L56" i="10"/>
  <c r="N56" i="10" s="1"/>
  <c r="K56" i="10"/>
  <c r="H197" i="10"/>
  <c r="H59" i="10"/>
  <c r="J59" i="10" s="1"/>
  <c r="H139" i="10"/>
  <c r="H65" i="10"/>
  <c r="H205" i="10"/>
  <c r="J205" i="10" s="1"/>
  <c r="H83" i="10"/>
  <c r="H159" i="10"/>
  <c r="J159" i="10" s="1"/>
  <c r="H90" i="10"/>
  <c r="J90" i="10" s="1"/>
  <c r="H166" i="10"/>
  <c r="H100" i="10"/>
  <c r="J100" i="10" s="1"/>
  <c r="L84" i="10"/>
  <c r="N84" i="10" s="1"/>
  <c r="K84" i="10"/>
  <c r="H156" i="10"/>
  <c r="K156" i="10" s="1"/>
  <c r="L156" i="10" s="1"/>
  <c r="H86" i="10"/>
  <c r="J86" i="10" s="1"/>
  <c r="L97" i="10"/>
  <c r="N97" i="10" s="1"/>
  <c r="K97" i="10"/>
  <c r="Q147" i="10"/>
  <c r="R147" i="10" s="1"/>
  <c r="N147" i="10"/>
  <c r="N173" i="10"/>
  <c r="K106" i="10"/>
  <c r="L106" i="10" s="1"/>
  <c r="H186" i="10"/>
  <c r="K186" i="10" s="1"/>
  <c r="L186" i="10" s="1"/>
  <c r="H31" i="10"/>
  <c r="J60" i="10"/>
  <c r="K60" i="10" s="1"/>
  <c r="K61" i="10"/>
  <c r="H141" i="10"/>
  <c r="J141" i="10" s="1"/>
  <c r="H67" i="10"/>
  <c r="J67" i="10" s="1"/>
  <c r="J84" i="10"/>
  <c r="J85" i="10"/>
  <c r="J87" i="10"/>
  <c r="L89" i="10"/>
  <c r="N89" i="10" s="1"/>
  <c r="K89" i="10"/>
  <c r="J97" i="10"/>
  <c r="J112" i="10"/>
  <c r="K121" i="10"/>
  <c r="L121" i="10" s="1"/>
  <c r="J130" i="10"/>
  <c r="K130" i="10" s="1"/>
  <c r="L130" i="10" s="1"/>
  <c r="K24" i="10"/>
  <c r="K29" i="10"/>
  <c r="K35" i="10"/>
  <c r="H125" i="10"/>
  <c r="H45" i="10"/>
  <c r="J45" i="10" s="1"/>
  <c r="L68" i="10"/>
  <c r="N68" i="10" s="1"/>
  <c r="K68" i="10"/>
  <c r="H145" i="10"/>
  <c r="K145" i="10" s="1"/>
  <c r="L145" i="10" s="1"/>
  <c r="H71" i="10"/>
  <c r="J146" i="10"/>
  <c r="K146" i="10"/>
  <c r="L146" i="10" s="1"/>
  <c r="H150" i="10"/>
  <c r="J150" i="10" s="1"/>
  <c r="H77" i="10"/>
  <c r="J77" i="10" s="1"/>
  <c r="K85" i="10"/>
  <c r="K87" i="10"/>
  <c r="L93" i="10"/>
  <c r="N93" i="10" s="1"/>
  <c r="J149" i="10"/>
  <c r="K181" i="10"/>
  <c r="L181" i="10" s="1"/>
  <c r="J181" i="10"/>
  <c r="K23" i="10"/>
  <c r="H49" i="10"/>
  <c r="H129" i="10"/>
  <c r="J129" i="10" s="1"/>
  <c r="L72" i="10"/>
  <c r="N72" i="10" s="1"/>
  <c r="K72" i="10"/>
  <c r="H148" i="10"/>
  <c r="K148" i="10" s="1"/>
  <c r="L148" i="10" s="1"/>
  <c r="H75" i="10"/>
  <c r="J75" i="10" s="1"/>
  <c r="J93" i="10"/>
  <c r="K93" i="10" s="1"/>
  <c r="K176" i="10"/>
  <c r="L176" i="10" s="1"/>
  <c r="H18" i="10"/>
  <c r="A22" i="10"/>
  <c r="H213" i="10" s="1"/>
  <c r="H25" i="10"/>
  <c r="J25" i="10" s="1"/>
  <c r="H34" i="10"/>
  <c r="J34" i="10" s="1"/>
  <c r="J38" i="10"/>
  <c r="J43" i="10"/>
  <c r="H44" i="10"/>
  <c r="J44" i="10" s="1"/>
  <c r="H127" i="10"/>
  <c r="K127" i="10" s="1"/>
  <c r="L127" i="10" s="1"/>
  <c r="H47" i="10"/>
  <c r="J47" i="10" s="1"/>
  <c r="H193" i="10"/>
  <c r="K193" i="10" s="1"/>
  <c r="L193" i="10" s="1"/>
  <c r="H53" i="10"/>
  <c r="J53" i="10" s="1"/>
  <c r="J72" i="10"/>
  <c r="K73" i="10"/>
  <c r="H76" i="10"/>
  <c r="J76" i="10" s="1"/>
  <c r="H154" i="10"/>
  <c r="H81" i="10"/>
  <c r="J81" i="10" s="1"/>
  <c r="H211" i="10"/>
  <c r="H96" i="10"/>
  <c r="J96" i="10" s="1"/>
  <c r="J110" i="10"/>
  <c r="K110" i="10" s="1"/>
  <c r="L110" i="10" s="1"/>
  <c r="J116" i="10"/>
  <c r="Q198" i="10"/>
  <c r="R198" i="10" s="1"/>
  <c r="N198" i="10"/>
  <c r="H209" i="10"/>
  <c r="H95" i="10"/>
  <c r="J95" i="10" s="1"/>
  <c r="K126" i="10"/>
  <c r="L126" i="10" s="1"/>
  <c r="J126" i="10"/>
  <c r="K199" i="10"/>
  <c r="L199" i="10" s="1"/>
  <c r="J199" i="10"/>
  <c r="Q140" i="10"/>
  <c r="R140" i="10" s="1"/>
  <c r="N140" i="10"/>
  <c r="Q144" i="10"/>
  <c r="R144" i="10" s="1"/>
  <c r="N144" i="10"/>
  <c r="J204" i="10"/>
  <c r="K204" i="10" s="1"/>
  <c r="L204" i="10" s="1"/>
  <c r="H88" i="10"/>
  <c r="J115" i="10"/>
  <c r="K115" i="10" s="1"/>
  <c r="L115" i="10" s="1"/>
  <c r="J117" i="10"/>
  <c r="K119" i="10"/>
  <c r="L119" i="10" s="1"/>
  <c r="J119" i="10"/>
  <c r="K189" i="10"/>
  <c r="L189" i="10" s="1"/>
  <c r="J189" i="10"/>
  <c r="H46" i="10"/>
  <c r="J46" i="10" s="1"/>
  <c r="H58" i="10"/>
  <c r="J58" i="10" s="1"/>
  <c r="H62" i="10"/>
  <c r="H66" i="10"/>
  <c r="J66" i="10" s="1"/>
  <c r="H70" i="10"/>
  <c r="J70" i="10" s="1"/>
  <c r="H74" i="10"/>
  <c r="J74" i="10" s="1"/>
  <c r="J94" i="10"/>
  <c r="N123" i="10"/>
  <c r="J133" i="10"/>
  <c r="J147" i="10"/>
  <c r="J151" i="10"/>
  <c r="Q174" i="10"/>
  <c r="R174" i="10" s="1"/>
  <c r="N174" i="10"/>
  <c r="N191" i="10"/>
  <c r="Q191" i="10"/>
  <c r="R191" i="10" s="1"/>
  <c r="J187" i="10"/>
  <c r="K187" i="10" s="1"/>
  <c r="L187" i="10" s="1"/>
  <c r="H165" i="10"/>
  <c r="H99" i="10"/>
  <c r="J99" i="10" s="1"/>
  <c r="K101" i="10"/>
  <c r="N136" i="10"/>
  <c r="J176" i="10"/>
  <c r="J178" i="10"/>
  <c r="J182" i="10"/>
  <c r="Q203" i="10"/>
  <c r="R203" i="10" s="1"/>
  <c r="N203" i="10"/>
  <c r="J142" i="10"/>
  <c r="K142" i="10" s="1"/>
  <c r="L142" i="10" s="1"/>
  <c r="J144" i="10"/>
  <c r="J156" i="10"/>
  <c r="J158" i="10"/>
  <c r="K158" i="10" s="1"/>
  <c r="L158" i="10" s="1"/>
  <c r="H216" i="10"/>
  <c r="H168" i="10"/>
  <c r="K162" i="10"/>
  <c r="L162" i="10" s="1"/>
  <c r="K164" i="10"/>
  <c r="L164" i="10" s="1"/>
  <c r="Q225" i="10"/>
  <c r="R225" i="10" s="1"/>
  <c r="N225" i="10"/>
  <c r="H98" i="10"/>
  <c r="H102" i="10"/>
  <c r="J179" i="10"/>
  <c r="J183" i="10"/>
  <c r="J124" i="10"/>
  <c r="K124" i="10" s="1"/>
  <c r="L124" i="10" s="1"/>
  <c r="J184" i="10"/>
  <c r="Q201" i="10"/>
  <c r="R201" i="10" s="1"/>
  <c r="N201" i="10"/>
  <c r="Q206" i="10"/>
  <c r="R206" i="10" s="1"/>
  <c r="N206" i="10"/>
  <c r="J212" i="10"/>
  <c r="J188" i="10"/>
  <c r="Q228" i="10"/>
  <c r="R228" i="10" s="1"/>
  <c r="N228" i="10"/>
  <c r="N207" i="10"/>
  <c r="J153" i="10"/>
  <c r="J161" i="10"/>
  <c r="Q195" i="10"/>
  <c r="R195" i="10" s="1"/>
  <c r="Q229" i="10"/>
  <c r="R229" i="10" s="1"/>
  <c r="J155" i="10" l="1"/>
  <c r="N155" i="10"/>
  <c r="J170" i="10"/>
  <c r="J190" i="10"/>
  <c r="N170" i="10"/>
  <c r="J109" i="10"/>
  <c r="J123" i="10"/>
  <c r="J118" i="10"/>
  <c r="J192" i="10"/>
  <c r="J186" i="10"/>
  <c r="Q188" i="10"/>
  <c r="R188" i="10" s="1"/>
  <c r="J163" i="10"/>
  <c r="K163" i="10"/>
  <c r="L163" i="10" s="1"/>
  <c r="J173" i="10"/>
  <c r="J194" i="10"/>
  <c r="J24" i="10"/>
  <c r="J175" i="10"/>
  <c r="J107" i="10"/>
  <c r="Q194" i="10"/>
  <c r="R194" i="10" s="1"/>
  <c r="J177" i="10"/>
  <c r="J180" i="10"/>
  <c r="J196" i="10"/>
  <c r="J16" i="10"/>
  <c r="K117" i="10"/>
  <c r="L117" i="10" s="1"/>
  <c r="Q117" i="10" s="1"/>
  <c r="R117" i="10" s="1"/>
  <c r="N167" i="10"/>
  <c r="Q122" i="10"/>
  <c r="R122" i="10" s="1"/>
  <c r="N122" i="10"/>
  <c r="N157" i="10"/>
  <c r="J157" i="10"/>
  <c r="J127" i="10"/>
  <c r="J193" i="10"/>
  <c r="R22" i="10"/>
  <c r="T22" i="10" s="1"/>
  <c r="U22" i="10" s="1"/>
  <c r="J202" i="10"/>
  <c r="R67" i="10"/>
  <c r="S67" i="10" s="1"/>
  <c r="T14" i="10"/>
  <c r="U14" i="10" s="1"/>
  <c r="S14" i="10"/>
  <c r="Q115" i="10"/>
  <c r="R115" i="10" s="1"/>
  <c r="N115" i="10"/>
  <c r="Q110" i="10"/>
  <c r="R110" i="10" s="1"/>
  <c r="N110" i="10"/>
  <c r="Q204" i="10"/>
  <c r="R204" i="10" s="1"/>
  <c r="N204" i="10"/>
  <c r="N158" i="10"/>
  <c r="Q158" i="10"/>
  <c r="R158" i="10" s="1"/>
  <c r="N142" i="10"/>
  <c r="Q142" i="10"/>
  <c r="R142" i="10" s="1"/>
  <c r="N187" i="10"/>
  <c r="Q187" i="10"/>
  <c r="R187" i="10" s="1"/>
  <c r="N109" i="10"/>
  <c r="Q109" i="10"/>
  <c r="R109" i="10" s="1"/>
  <c r="L102" i="10"/>
  <c r="N102" i="10" s="1"/>
  <c r="J102" i="10"/>
  <c r="K102" i="10"/>
  <c r="Q162" i="10"/>
  <c r="R162" i="10" s="1"/>
  <c r="N162" i="10"/>
  <c r="N189" i="10"/>
  <c r="Q189" i="10"/>
  <c r="R189" i="10" s="1"/>
  <c r="R99" i="10"/>
  <c r="L96" i="10"/>
  <c r="N96" i="10" s="1"/>
  <c r="K96" i="10"/>
  <c r="L44" i="10"/>
  <c r="N44" i="10" s="1"/>
  <c r="K44" i="10"/>
  <c r="Q176" i="10"/>
  <c r="R176" i="10" s="1"/>
  <c r="N176" i="10"/>
  <c r="Q145" i="10"/>
  <c r="R145" i="10" s="1"/>
  <c r="N145" i="10"/>
  <c r="N130" i="10"/>
  <c r="Q130" i="10"/>
  <c r="R130" i="10" s="1"/>
  <c r="K86" i="10"/>
  <c r="L86" i="10"/>
  <c r="N86" i="10" s="1"/>
  <c r="J166" i="10"/>
  <c r="K166" i="10" s="1"/>
  <c r="L166" i="10" s="1"/>
  <c r="L65" i="10"/>
  <c r="N65" i="10" s="1"/>
  <c r="K65" i="10"/>
  <c r="Q133" i="10"/>
  <c r="R133" i="10" s="1"/>
  <c r="N133" i="10"/>
  <c r="R59" i="10"/>
  <c r="R44" i="10"/>
  <c r="K14" i="10"/>
  <c r="L14" i="10"/>
  <c r="N14" i="10" s="1"/>
  <c r="J14" i="10"/>
  <c r="R76" i="10"/>
  <c r="J113" i="10"/>
  <c r="K113" i="10"/>
  <c r="L113" i="10" s="1"/>
  <c r="Q196" i="10"/>
  <c r="R196" i="10" s="1"/>
  <c r="N196" i="10"/>
  <c r="R25" i="10"/>
  <c r="K42" i="10"/>
  <c r="L42" i="10"/>
  <c r="N42" i="10" s="1"/>
  <c r="J42" i="10"/>
  <c r="J105" i="10"/>
  <c r="K105" i="10"/>
  <c r="L105" i="10" s="1"/>
  <c r="Q164" i="10"/>
  <c r="R164" i="10" s="1"/>
  <c r="N164" i="10"/>
  <c r="Q124" i="10"/>
  <c r="R124" i="10" s="1"/>
  <c r="N124" i="10"/>
  <c r="L100" i="10"/>
  <c r="N100" i="10" s="1"/>
  <c r="K100" i="10"/>
  <c r="Q143" i="10"/>
  <c r="R143" i="10" s="1"/>
  <c r="N143" i="10"/>
  <c r="Q153" i="10"/>
  <c r="R153" i="10" s="1"/>
  <c r="N153" i="10"/>
  <c r="L26" i="10"/>
  <c r="N26" i="10" s="1"/>
  <c r="J26" i="10"/>
  <c r="K26" i="10" s="1"/>
  <c r="L57" i="10"/>
  <c r="N57" i="10" s="1"/>
  <c r="J57" i="10"/>
  <c r="K57" i="10"/>
  <c r="L98" i="10"/>
  <c r="N98" i="10" s="1"/>
  <c r="K98" i="10"/>
  <c r="J98" i="10"/>
  <c r="J125" i="10"/>
  <c r="K125" i="10" s="1"/>
  <c r="L125" i="10" s="1"/>
  <c r="K99" i="10"/>
  <c r="L99" i="10"/>
  <c r="N99" i="10" s="1"/>
  <c r="K74" i="10"/>
  <c r="L74" i="10"/>
  <c r="N74" i="10" s="1"/>
  <c r="R98" i="10"/>
  <c r="J211" i="10"/>
  <c r="K211" i="10" s="1"/>
  <c r="L211" i="10" s="1"/>
  <c r="R55" i="10"/>
  <c r="R36" i="10"/>
  <c r="Q156" i="10"/>
  <c r="R156" i="10" s="1"/>
  <c r="N156" i="10"/>
  <c r="R92" i="10"/>
  <c r="K139" i="10"/>
  <c r="L139" i="10" s="1"/>
  <c r="J139" i="10"/>
  <c r="R42" i="10"/>
  <c r="J120" i="10"/>
  <c r="R64" i="10"/>
  <c r="L22" i="10"/>
  <c r="N22" i="10" s="1"/>
  <c r="K22" i="10"/>
  <c r="J22" i="10"/>
  <c r="K135" i="10"/>
  <c r="L135" i="10" s="1"/>
  <c r="J135" i="10"/>
  <c r="Q190" i="10"/>
  <c r="R190" i="10" s="1"/>
  <c r="N190" i="10"/>
  <c r="L79" i="10"/>
  <c r="N79" i="10" s="1"/>
  <c r="J79" i="10"/>
  <c r="K79" i="10" s="1"/>
  <c r="K18" i="10"/>
  <c r="L18" i="10"/>
  <c r="N18" i="10" s="1"/>
  <c r="J114" i="10"/>
  <c r="K114" i="10" s="1"/>
  <c r="L114" i="10" s="1"/>
  <c r="Q132" i="10"/>
  <c r="R132" i="10" s="1"/>
  <c r="N132" i="10"/>
  <c r="H224" i="10"/>
  <c r="H223" i="10"/>
  <c r="H222" i="10"/>
  <c r="H221" i="10"/>
  <c r="H220" i="10"/>
  <c r="H218" i="10"/>
  <c r="R94" i="10"/>
  <c r="H219" i="10"/>
  <c r="R95" i="10"/>
  <c r="R96" i="10"/>
  <c r="R100" i="10"/>
  <c r="R86" i="10"/>
  <c r="R90" i="10"/>
  <c r="R82" i="10"/>
  <c r="R61" i="10"/>
  <c r="R58" i="10"/>
  <c r="R91" i="10"/>
  <c r="R57" i="10"/>
  <c r="R54" i="10"/>
  <c r="R52" i="10"/>
  <c r="R34" i="10"/>
  <c r="R28" i="10"/>
  <c r="R23" i="10"/>
  <c r="R81" i="10"/>
  <c r="R78" i="10"/>
  <c r="R53" i="10"/>
  <c r="R50" i="10"/>
  <c r="R48" i="10"/>
  <c r="R38" i="10"/>
  <c r="R20" i="10"/>
  <c r="R15" i="10"/>
  <c r="R49" i="10"/>
  <c r="R46" i="10"/>
  <c r="R31" i="10"/>
  <c r="R26" i="10"/>
  <c r="R101" i="10"/>
  <c r="R73" i="10"/>
  <c r="R70" i="10"/>
  <c r="R68" i="10"/>
  <c r="R37" i="10"/>
  <c r="R29" i="10"/>
  <c r="R24" i="10"/>
  <c r="R17" i="10"/>
  <c r="R93" i="10"/>
  <c r="R69" i="10"/>
  <c r="R66" i="10"/>
  <c r="R65" i="10"/>
  <c r="R33" i="10"/>
  <c r="R87" i="10"/>
  <c r="R85" i="10"/>
  <c r="R18" i="10"/>
  <c r="R62" i="10"/>
  <c r="R74" i="10"/>
  <c r="R60" i="10"/>
  <c r="R21" i="10"/>
  <c r="R45" i="10"/>
  <c r="R40" i="10"/>
  <c r="R32" i="10"/>
  <c r="R13" i="10"/>
  <c r="R84" i="10"/>
  <c r="R77" i="10"/>
  <c r="R72" i="10"/>
  <c r="R9" i="10"/>
  <c r="J209" i="10"/>
  <c r="K209" i="10" s="1"/>
  <c r="L209" i="10" s="1"/>
  <c r="J168" i="10"/>
  <c r="K168" i="10" s="1"/>
  <c r="L168" i="10" s="1"/>
  <c r="J148" i="10"/>
  <c r="J165" i="10"/>
  <c r="K165" i="10"/>
  <c r="L165" i="10" s="1"/>
  <c r="L70" i="10"/>
  <c r="N70" i="10" s="1"/>
  <c r="K70" i="10"/>
  <c r="Q119" i="10"/>
  <c r="R119" i="10" s="1"/>
  <c r="N119" i="10"/>
  <c r="R89" i="10"/>
  <c r="L53" i="10"/>
  <c r="N53" i="10" s="1"/>
  <c r="K53" i="10"/>
  <c r="R41" i="10"/>
  <c r="Q121" i="10"/>
  <c r="R121" i="10" s="1"/>
  <c r="N121" i="10"/>
  <c r="K90" i="10"/>
  <c r="L90" i="10"/>
  <c r="N90" i="10" s="1"/>
  <c r="L59" i="10"/>
  <c r="N59" i="10" s="1"/>
  <c r="K59" i="10"/>
  <c r="L37" i="10"/>
  <c r="N37" i="10" s="1"/>
  <c r="K37" i="10"/>
  <c r="R16" i="10"/>
  <c r="K108" i="10"/>
  <c r="L108" i="10" s="1"/>
  <c r="J108" i="10"/>
  <c r="L91" i="10"/>
  <c r="N91" i="10" s="1"/>
  <c r="K91" i="10"/>
  <c r="J37" i="10"/>
  <c r="R11" i="10"/>
  <c r="R39" i="10"/>
  <c r="K152" i="10"/>
  <c r="L152" i="10" s="1"/>
  <c r="K95" i="10"/>
  <c r="L95" i="10"/>
  <c r="N95" i="10" s="1"/>
  <c r="Q148" i="10"/>
  <c r="R148" i="10" s="1"/>
  <c r="N148" i="10"/>
  <c r="L71" i="10"/>
  <c r="N71" i="10" s="1"/>
  <c r="K71" i="10"/>
  <c r="L55" i="10"/>
  <c r="N55" i="10" s="1"/>
  <c r="K55" i="10"/>
  <c r="Q183" i="10"/>
  <c r="R183" i="10" s="1"/>
  <c r="N183" i="10"/>
  <c r="L63" i="10"/>
  <c r="N63" i="10" s="1"/>
  <c r="K63" i="10"/>
  <c r="N177" i="10"/>
  <c r="Q177" i="10"/>
  <c r="R177" i="10" s="1"/>
  <c r="J131" i="10"/>
  <c r="K131" i="10" s="1"/>
  <c r="L131" i="10" s="1"/>
  <c r="J216" i="10"/>
  <c r="K216" i="10" s="1"/>
  <c r="L216" i="10" s="1"/>
  <c r="L66" i="10"/>
  <c r="N66" i="10" s="1"/>
  <c r="K66" i="10"/>
  <c r="J132" i="10"/>
  <c r="L88" i="10"/>
  <c r="N88" i="10" s="1"/>
  <c r="K88" i="10"/>
  <c r="J88" i="10"/>
  <c r="Q199" i="10"/>
  <c r="R199" i="10" s="1"/>
  <c r="N199" i="10"/>
  <c r="L81" i="10"/>
  <c r="N81" i="10" s="1"/>
  <c r="K81" i="10"/>
  <c r="N193" i="10"/>
  <c r="Q193" i="10"/>
  <c r="R193" i="10" s="1"/>
  <c r="J71" i="10"/>
  <c r="L77" i="10"/>
  <c r="N77" i="10" s="1"/>
  <c r="K77" i="10"/>
  <c r="R75" i="10"/>
  <c r="R43" i="10"/>
  <c r="K159" i="10"/>
  <c r="L159" i="10" s="1"/>
  <c r="K197" i="10"/>
  <c r="L197" i="10" s="1"/>
  <c r="J197" i="10"/>
  <c r="Q120" i="10"/>
  <c r="R120" i="10" s="1"/>
  <c r="N120" i="10"/>
  <c r="R88" i="10"/>
  <c r="J208" i="10"/>
  <c r="K208" i="10" s="1"/>
  <c r="L208" i="10" s="1"/>
  <c r="R30" i="10"/>
  <c r="R80" i="10"/>
  <c r="Q202" i="10"/>
  <c r="R202" i="10" s="1"/>
  <c r="N202" i="10"/>
  <c r="Q184" i="10"/>
  <c r="R184" i="10" s="1"/>
  <c r="N184" i="10"/>
  <c r="K160" i="10"/>
  <c r="L160" i="10" s="1"/>
  <c r="L33" i="10"/>
  <c r="N33" i="10" s="1"/>
  <c r="K33" i="10"/>
  <c r="Q192" i="10"/>
  <c r="R192" i="10" s="1"/>
  <c r="N192" i="10"/>
  <c r="Q107" i="10"/>
  <c r="R107" i="10" s="1"/>
  <c r="N107" i="10"/>
  <c r="Q128" i="10"/>
  <c r="R128" i="10" s="1"/>
  <c r="N128" i="10"/>
  <c r="K34" i="10"/>
  <c r="L34" i="10"/>
  <c r="N34" i="10" s="1"/>
  <c r="R51" i="10"/>
  <c r="Q181" i="10"/>
  <c r="R181" i="10" s="1"/>
  <c r="N181" i="10"/>
  <c r="K150" i="10"/>
  <c r="L150" i="10" s="1"/>
  <c r="K31" i="10"/>
  <c r="J31" i="10"/>
  <c r="L31" i="10"/>
  <c r="N31" i="10" s="1"/>
  <c r="L83" i="10"/>
  <c r="N83" i="10" s="1"/>
  <c r="J83" i="10"/>
  <c r="K83" i="10"/>
  <c r="R63" i="10"/>
  <c r="K32" i="10"/>
  <c r="L32" i="10"/>
  <c r="N32" i="10" s="1"/>
  <c r="J18" i="10"/>
  <c r="R83" i="10"/>
  <c r="L17" i="10"/>
  <c r="N17" i="10" s="1"/>
  <c r="K17" i="10"/>
  <c r="J17" i="10"/>
  <c r="L64" i="10"/>
  <c r="N64" i="10" s="1"/>
  <c r="K64" i="10"/>
  <c r="Q175" i="10"/>
  <c r="R175" i="10" s="1"/>
  <c r="N175" i="10"/>
  <c r="L45" i="10"/>
  <c r="N45" i="10" s="1"/>
  <c r="K45" i="10"/>
  <c r="L62" i="10"/>
  <c r="N62" i="10" s="1"/>
  <c r="K62" i="10"/>
  <c r="J154" i="10"/>
  <c r="K154" i="10"/>
  <c r="L154" i="10" s="1"/>
  <c r="J145" i="10"/>
  <c r="J227" i="10"/>
  <c r="K227" i="10" s="1"/>
  <c r="L227" i="10" s="1"/>
  <c r="J143" i="10"/>
  <c r="L58" i="10"/>
  <c r="N58" i="10" s="1"/>
  <c r="K58" i="10"/>
  <c r="N126" i="10"/>
  <c r="Q126" i="10"/>
  <c r="R126" i="10" s="1"/>
  <c r="L76" i="10"/>
  <c r="N76" i="10" s="1"/>
  <c r="K76" i="10"/>
  <c r="L47" i="10"/>
  <c r="N47" i="10" s="1"/>
  <c r="K47" i="10"/>
  <c r="K25" i="10"/>
  <c r="L25" i="10"/>
  <c r="N25" i="10" s="1"/>
  <c r="R79" i="10"/>
  <c r="K129" i="10"/>
  <c r="L129" i="10" s="1"/>
  <c r="Q146" i="10"/>
  <c r="R146" i="10" s="1"/>
  <c r="N146" i="10"/>
  <c r="J64" i="10"/>
  <c r="L67" i="10"/>
  <c r="N67" i="10" s="1"/>
  <c r="K67" i="10"/>
  <c r="N186" i="10"/>
  <c r="Q186" i="10"/>
  <c r="R186" i="10" s="1"/>
  <c r="K205" i="10"/>
  <c r="L205" i="10" s="1"/>
  <c r="R35" i="10"/>
  <c r="J65" i="10"/>
  <c r="K185" i="10"/>
  <c r="L185" i="10" s="1"/>
  <c r="R102" i="10"/>
  <c r="R19" i="10"/>
  <c r="J215" i="10"/>
  <c r="K215" i="10" s="1"/>
  <c r="L215" i="10" s="1"/>
  <c r="Q180" i="10"/>
  <c r="R180" i="10" s="1"/>
  <c r="N180" i="10"/>
  <c r="R71" i="10"/>
  <c r="J171" i="10"/>
  <c r="K171" i="10" s="1"/>
  <c r="L171" i="10" s="1"/>
  <c r="J138" i="10"/>
  <c r="K138" i="10"/>
  <c r="L138" i="10" s="1"/>
  <c r="K214" i="10"/>
  <c r="L214" i="10" s="1"/>
  <c r="R12" i="10"/>
  <c r="L46" i="10"/>
  <c r="N46" i="10" s="1"/>
  <c r="K46" i="10"/>
  <c r="Q127" i="10"/>
  <c r="R127" i="10" s="1"/>
  <c r="N127" i="10"/>
  <c r="J213" i="10"/>
  <c r="K213" i="10" s="1"/>
  <c r="L213" i="10" s="1"/>
  <c r="L75" i="10"/>
  <c r="N75" i="10" s="1"/>
  <c r="K75" i="10"/>
  <c r="L49" i="10"/>
  <c r="N49" i="10" s="1"/>
  <c r="K49" i="10"/>
  <c r="J49" i="10"/>
  <c r="R97" i="10"/>
  <c r="R47" i="10"/>
  <c r="K141" i="10"/>
  <c r="L141" i="10" s="1"/>
  <c r="Q106" i="10"/>
  <c r="R106" i="10" s="1"/>
  <c r="N106" i="10"/>
  <c r="N134" i="10"/>
  <c r="Q134" i="10"/>
  <c r="R134" i="10" s="1"/>
  <c r="Q111" i="10"/>
  <c r="R111" i="10" s="1"/>
  <c r="N111" i="10"/>
  <c r="L27" i="10"/>
  <c r="N27" i="10" s="1"/>
  <c r="K27" i="10"/>
  <c r="L69" i="10"/>
  <c r="N69" i="10" s="1"/>
  <c r="K69" i="10"/>
  <c r="J69" i="10"/>
  <c r="K20" i="10"/>
  <c r="J20" i="10"/>
  <c r="L20" i="10"/>
  <c r="N20" i="10" s="1"/>
  <c r="K137" i="10"/>
  <c r="L137" i="10" s="1"/>
  <c r="Q118" i="10"/>
  <c r="R118" i="10" s="1"/>
  <c r="N118" i="10"/>
  <c r="L52" i="10"/>
  <c r="N52" i="10" s="1"/>
  <c r="K52" i="10"/>
  <c r="K15" i="10"/>
  <c r="L15" i="10"/>
  <c r="N15" i="10" s="1"/>
  <c r="J15" i="10"/>
  <c r="L80" i="10"/>
  <c r="N80" i="10" s="1"/>
  <c r="K80" i="10"/>
  <c r="J62" i="10"/>
  <c r="R27" i="10"/>
  <c r="R56" i="10"/>
  <c r="L51" i="10"/>
  <c r="N51" i="10" s="1"/>
  <c r="K51" i="10"/>
  <c r="K9" i="10"/>
  <c r="L9" i="10"/>
  <c r="N9" i="10" s="1"/>
  <c r="J9" i="10"/>
  <c r="R10" i="10"/>
  <c r="N117" i="10" l="1"/>
  <c r="Q163" i="10"/>
  <c r="R163" i="10" s="1"/>
  <c r="N163" i="10"/>
  <c r="Q125" i="10"/>
  <c r="R125" i="10" s="1"/>
  <c r="N125" i="10"/>
  <c r="T67" i="10"/>
  <c r="U67" i="10" s="1"/>
  <c r="S22" i="10"/>
  <c r="N211" i="10"/>
  <c r="Q211" i="10"/>
  <c r="R211" i="10" s="1"/>
  <c r="Q131" i="10"/>
  <c r="R131" i="10" s="1"/>
  <c r="N131" i="10"/>
  <c r="Q171" i="10"/>
  <c r="R171" i="10" s="1"/>
  <c r="N171" i="10"/>
  <c r="Q215" i="10"/>
  <c r="R215" i="10" s="1"/>
  <c r="N215" i="10"/>
  <c r="N209" i="10"/>
  <c r="Q209" i="10"/>
  <c r="R209" i="10" s="1"/>
  <c r="Q213" i="10"/>
  <c r="R213" i="10" s="1"/>
  <c r="N213" i="10"/>
  <c r="Q227" i="10"/>
  <c r="R227" i="10" s="1"/>
  <c r="N227" i="10"/>
  <c r="Q216" i="10"/>
  <c r="R216" i="10" s="1"/>
  <c r="N216" i="10"/>
  <c r="Q168" i="10"/>
  <c r="R168" i="10" s="1"/>
  <c r="N168" i="10"/>
  <c r="Q160" i="10"/>
  <c r="R160" i="10" s="1"/>
  <c r="N160" i="10"/>
  <c r="Q208" i="10"/>
  <c r="R208" i="10" s="1"/>
  <c r="N208" i="10"/>
  <c r="S75" i="10"/>
  <c r="T75" i="10"/>
  <c r="U75" i="10" s="1"/>
  <c r="S11" i="10"/>
  <c r="T11" i="10"/>
  <c r="U11" i="10" s="1"/>
  <c r="T84" i="10"/>
  <c r="U84" i="10" s="1"/>
  <c r="S84" i="10"/>
  <c r="S62" i="10"/>
  <c r="T62" i="10"/>
  <c r="U62" i="10" s="1"/>
  <c r="T93" i="10"/>
  <c r="U93" i="10" s="1"/>
  <c r="S93" i="10"/>
  <c r="S101" i="10"/>
  <c r="T101" i="10"/>
  <c r="U101" i="10" s="1"/>
  <c r="T48" i="10"/>
  <c r="U48" i="10" s="1"/>
  <c r="S48" i="10"/>
  <c r="T52" i="10"/>
  <c r="U52" i="10" s="1"/>
  <c r="S52" i="10"/>
  <c r="T86" i="10"/>
  <c r="U86" i="10" s="1"/>
  <c r="S86" i="10"/>
  <c r="J221" i="10"/>
  <c r="K221" i="10" s="1"/>
  <c r="L221" i="10" s="1"/>
  <c r="Q135" i="10"/>
  <c r="R135" i="10" s="1"/>
  <c r="N135" i="10"/>
  <c r="Q139" i="10"/>
  <c r="R139" i="10" s="1"/>
  <c r="N139" i="10"/>
  <c r="S98" i="10"/>
  <c r="T98" i="10"/>
  <c r="U98" i="10" s="1"/>
  <c r="S59" i="10"/>
  <c r="T59" i="10"/>
  <c r="U59" i="10" s="1"/>
  <c r="T56" i="10"/>
  <c r="U56" i="10" s="1"/>
  <c r="S56" i="10"/>
  <c r="S35" i="10"/>
  <c r="T35" i="10"/>
  <c r="U35" i="10" s="1"/>
  <c r="Q154" i="10"/>
  <c r="R154" i="10" s="1"/>
  <c r="N154" i="10"/>
  <c r="S88" i="10"/>
  <c r="T88" i="10"/>
  <c r="U88" i="10" s="1"/>
  <c r="T13" i="10"/>
  <c r="U13" i="10" s="1"/>
  <c r="S13" i="10"/>
  <c r="T18" i="10"/>
  <c r="U18" i="10" s="1"/>
  <c r="S18" i="10"/>
  <c r="T17" i="10"/>
  <c r="U17" i="10" s="1"/>
  <c r="S17" i="10"/>
  <c r="T26" i="10"/>
  <c r="U26" i="10" s="1"/>
  <c r="S26" i="10"/>
  <c r="S50" i="10"/>
  <c r="T50" i="10"/>
  <c r="U50" i="10" s="1"/>
  <c r="S54" i="10"/>
  <c r="T54" i="10"/>
  <c r="U54" i="10" s="1"/>
  <c r="T100" i="10"/>
  <c r="U100" i="10" s="1"/>
  <c r="S100" i="10"/>
  <c r="J222" i="10"/>
  <c r="K222" i="10" s="1"/>
  <c r="L222" i="10" s="1"/>
  <c r="S92" i="10"/>
  <c r="T92" i="10"/>
  <c r="U92" i="10" s="1"/>
  <c r="Q105" i="10"/>
  <c r="R105" i="10" s="1"/>
  <c r="N105" i="10"/>
  <c r="Q113" i="10"/>
  <c r="R113" i="10" s="1"/>
  <c r="N113" i="10"/>
  <c r="S27" i="10"/>
  <c r="T27" i="10"/>
  <c r="U27" i="10" s="1"/>
  <c r="T12" i="10"/>
  <c r="U12" i="10" s="1"/>
  <c r="S12" i="10"/>
  <c r="Q205" i="10"/>
  <c r="R205" i="10" s="1"/>
  <c r="N205" i="10"/>
  <c r="N129" i="10"/>
  <c r="Q129" i="10"/>
  <c r="R129" i="10" s="1"/>
  <c r="N150" i="10"/>
  <c r="Q150" i="10"/>
  <c r="R150" i="10" s="1"/>
  <c r="T89" i="10"/>
  <c r="U89" i="10" s="1"/>
  <c r="S89" i="10"/>
  <c r="S32" i="10"/>
  <c r="T32" i="10"/>
  <c r="U32" i="10" s="1"/>
  <c r="S85" i="10"/>
  <c r="T85" i="10"/>
  <c r="U85" i="10" s="1"/>
  <c r="T24" i="10"/>
  <c r="U24" i="10" s="1"/>
  <c r="S24" i="10"/>
  <c r="T31" i="10"/>
  <c r="U31" i="10" s="1"/>
  <c r="S31" i="10"/>
  <c r="T53" i="10"/>
  <c r="U53" i="10" s="1"/>
  <c r="S53" i="10"/>
  <c r="S57" i="10"/>
  <c r="T57" i="10"/>
  <c r="U57" i="10" s="1"/>
  <c r="T96" i="10"/>
  <c r="U96" i="10" s="1"/>
  <c r="S96" i="10"/>
  <c r="J223" i="10"/>
  <c r="K223" i="10" s="1"/>
  <c r="L223" i="10" s="1"/>
  <c r="S10" i="10"/>
  <c r="T10" i="10"/>
  <c r="U10" i="10" s="1"/>
  <c r="Q214" i="10"/>
  <c r="R214" i="10" s="1"/>
  <c r="N214" i="10"/>
  <c r="S79" i="10"/>
  <c r="T79" i="10"/>
  <c r="U79" i="10" s="1"/>
  <c r="S63" i="10"/>
  <c r="T63" i="10"/>
  <c r="U63" i="10" s="1"/>
  <c r="T40" i="10"/>
  <c r="U40" i="10" s="1"/>
  <c r="S40" i="10"/>
  <c r="S87" i="10"/>
  <c r="T87" i="10"/>
  <c r="U87" i="10" s="1"/>
  <c r="T29" i="10"/>
  <c r="U29" i="10" s="1"/>
  <c r="S29" i="10"/>
  <c r="S46" i="10"/>
  <c r="T46" i="10"/>
  <c r="U46" i="10" s="1"/>
  <c r="S78" i="10"/>
  <c r="T78" i="10"/>
  <c r="U78" i="10" s="1"/>
  <c r="T91" i="10"/>
  <c r="U91" i="10" s="1"/>
  <c r="S91" i="10"/>
  <c r="T95" i="10"/>
  <c r="U95" i="10" s="1"/>
  <c r="S95" i="10"/>
  <c r="J224" i="10"/>
  <c r="K224" i="10" s="1"/>
  <c r="L224" i="10" s="1"/>
  <c r="T76" i="10"/>
  <c r="U76" i="10" s="1"/>
  <c r="S76" i="10"/>
  <c r="Q141" i="10"/>
  <c r="R141" i="10" s="1"/>
  <c r="N141" i="10"/>
  <c r="N138" i="10"/>
  <c r="Q138" i="10"/>
  <c r="R138" i="10" s="1"/>
  <c r="T45" i="10"/>
  <c r="U45" i="10" s="1"/>
  <c r="S45" i="10"/>
  <c r="S33" i="10"/>
  <c r="T33" i="10"/>
  <c r="U33" i="10" s="1"/>
  <c r="S37" i="10"/>
  <c r="T37" i="10"/>
  <c r="U37" i="10" s="1"/>
  <c r="T49" i="10"/>
  <c r="U49" i="10" s="1"/>
  <c r="S49" i="10"/>
  <c r="T81" i="10"/>
  <c r="U81" i="10" s="1"/>
  <c r="S81" i="10"/>
  <c r="S58" i="10"/>
  <c r="T58" i="10"/>
  <c r="U58" i="10" s="1"/>
  <c r="J219" i="10"/>
  <c r="K219" i="10" s="1"/>
  <c r="L219" i="10" s="1"/>
  <c r="T64" i="10"/>
  <c r="U64" i="10" s="1"/>
  <c r="S64" i="10"/>
  <c r="T36" i="10"/>
  <c r="U36" i="10" s="1"/>
  <c r="S36" i="10"/>
  <c r="S71" i="10"/>
  <c r="T71" i="10"/>
  <c r="U71" i="10" s="1"/>
  <c r="N103" i="10"/>
  <c r="L233" i="10" s="1"/>
  <c r="N137" i="10"/>
  <c r="Q137" i="10"/>
  <c r="R137" i="10" s="1"/>
  <c r="S47" i="10"/>
  <c r="T47" i="10"/>
  <c r="U47" i="10" s="1"/>
  <c r="T19" i="10"/>
  <c r="U19" i="10" s="1"/>
  <c r="S19" i="10"/>
  <c r="S51" i="10"/>
  <c r="T51" i="10"/>
  <c r="U51" i="10" s="1"/>
  <c r="T80" i="10"/>
  <c r="U80" i="10" s="1"/>
  <c r="S80" i="10"/>
  <c r="Q197" i="10"/>
  <c r="R197" i="10" s="1"/>
  <c r="N197" i="10"/>
  <c r="N108" i="10"/>
  <c r="Q108" i="10"/>
  <c r="R108" i="10" s="1"/>
  <c r="T9" i="10"/>
  <c r="U9" i="10" s="1"/>
  <c r="S9" i="10"/>
  <c r="T21" i="10"/>
  <c r="U21" i="10" s="1"/>
  <c r="S21" i="10"/>
  <c r="T65" i="10"/>
  <c r="U65" i="10" s="1"/>
  <c r="S65" i="10"/>
  <c r="T68" i="10"/>
  <c r="U68" i="10" s="1"/>
  <c r="S68" i="10"/>
  <c r="T15" i="10"/>
  <c r="U15" i="10" s="1"/>
  <c r="S15" i="10"/>
  <c r="T23" i="10"/>
  <c r="U23" i="10" s="1"/>
  <c r="S23" i="10"/>
  <c r="T61" i="10"/>
  <c r="U61" i="10" s="1"/>
  <c r="S61" i="10"/>
  <c r="T94" i="10"/>
  <c r="U94" i="10" s="1"/>
  <c r="S94" i="10"/>
  <c r="S55" i="10"/>
  <c r="T55" i="10"/>
  <c r="U55" i="10" s="1"/>
  <c r="N166" i="10"/>
  <c r="Q166" i="10"/>
  <c r="R166" i="10" s="1"/>
  <c r="S97" i="10"/>
  <c r="T97" i="10"/>
  <c r="U97" i="10" s="1"/>
  <c r="T102" i="10"/>
  <c r="U102" i="10" s="1"/>
  <c r="S102" i="10"/>
  <c r="T30" i="10"/>
  <c r="U30" i="10" s="1"/>
  <c r="S30" i="10"/>
  <c r="Q159" i="10"/>
  <c r="R159" i="10" s="1"/>
  <c r="N159" i="10"/>
  <c r="Q152" i="10"/>
  <c r="R152" i="10" s="1"/>
  <c r="N152" i="10"/>
  <c r="T16" i="10"/>
  <c r="U16" i="10" s="1"/>
  <c r="S16" i="10"/>
  <c r="T72" i="10"/>
  <c r="U72" i="10" s="1"/>
  <c r="S72" i="10"/>
  <c r="T60" i="10"/>
  <c r="U60" i="10" s="1"/>
  <c r="S60" i="10"/>
  <c r="S66" i="10"/>
  <c r="T66" i="10"/>
  <c r="U66" i="10" s="1"/>
  <c r="S70" i="10"/>
  <c r="T70" i="10"/>
  <c r="U70" i="10" s="1"/>
  <c r="T20" i="10"/>
  <c r="U20" i="10" s="1"/>
  <c r="S20" i="10"/>
  <c r="T28" i="10"/>
  <c r="U28" i="10" s="1"/>
  <c r="S28" i="10"/>
  <c r="S82" i="10"/>
  <c r="T82" i="10"/>
  <c r="U82" i="10" s="1"/>
  <c r="J218" i="10"/>
  <c r="K218" i="10" s="1"/>
  <c r="L218" i="10" s="1"/>
  <c r="T42" i="10"/>
  <c r="U42" i="10" s="1"/>
  <c r="S42" i="10"/>
  <c r="T25" i="10"/>
  <c r="U25" i="10" s="1"/>
  <c r="S25" i="10"/>
  <c r="T99" i="10"/>
  <c r="U99" i="10" s="1"/>
  <c r="S99" i="10"/>
  <c r="N185" i="10"/>
  <c r="Q185" i="10"/>
  <c r="R185" i="10" s="1"/>
  <c r="S83" i="10"/>
  <c r="T83" i="10"/>
  <c r="U83" i="10" s="1"/>
  <c r="S43" i="10"/>
  <c r="T43" i="10"/>
  <c r="U43" i="10" s="1"/>
  <c r="T39" i="10"/>
  <c r="U39" i="10" s="1"/>
  <c r="S39" i="10"/>
  <c r="T41" i="10"/>
  <c r="U41" i="10" s="1"/>
  <c r="S41" i="10"/>
  <c r="Q165" i="10"/>
  <c r="R165" i="10" s="1"/>
  <c r="N165" i="10"/>
  <c r="T77" i="10"/>
  <c r="U77" i="10" s="1"/>
  <c r="S77" i="10"/>
  <c r="S74" i="10"/>
  <c r="T74" i="10"/>
  <c r="U74" i="10" s="1"/>
  <c r="S69" i="10"/>
  <c r="T69" i="10"/>
  <c r="U69" i="10" s="1"/>
  <c r="T73" i="10"/>
  <c r="U73" i="10" s="1"/>
  <c r="S73" i="10"/>
  <c r="S38" i="10"/>
  <c r="T38" i="10"/>
  <c r="U38" i="10" s="1"/>
  <c r="T34" i="10"/>
  <c r="U34" i="10" s="1"/>
  <c r="S34" i="10"/>
  <c r="T90" i="10"/>
  <c r="U90" i="10" s="1"/>
  <c r="S90" i="10"/>
  <c r="J220" i="10"/>
  <c r="K220" i="10" s="1"/>
  <c r="L220" i="10" s="1"/>
  <c r="Q114" i="10"/>
  <c r="R114" i="10" s="1"/>
  <c r="N114" i="10"/>
  <c r="T44" i="10"/>
  <c r="U44" i="10" s="1"/>
  <c r="S44" i="10"/>
  <c r="N219" i="10" l="1"/>
  <c r="Q219" i="10"/>
  <c r="R219" i="10" s="1"/>
  <c r="Q218" i="10"/>
  <c r="R218" i="10" s="1"/>
  <c r="N218" i="10"/>
  <c r="Q221" i="10"/>
  <c r="R221" i="10" s="1"/>
  <c r="N221" i="10"/>
  <c r="W9" i="10"/>
  <c r="O219" i="10"/>
  <c r="O210" i="10"/>
  <c r="O209" i="10"/>
  <c r="O218" i="10"/>
  <c r="O208" i="10"/>
  <c r="O228" i="10"/>
  <c r="O227" i="10"/>
  <c r="O216" i="10"/>
  <c r="O207" i="10"/>
  <c r="O206" i="10"/>
  <c r="O205" i="10"/>
  <c r="O193" i="10"/>
  <c r="O184" i="10"/>
  <c r="O176" i="10"/>
  <c r="O165" i="10"/>
  <c r="O157" i="10"/>
  <c r="O149" i="10"/>
  <c r="O141" i="10"/>
  <c r="O226" i="10"/>
  <c r="O225" i="10"/>
  <c r="O224" i="10"/>
  <c r="O215" i="10"/>
  <c r="O223" i="10"/>
  <c r="O214" i="10"/>
  <c r="O203" i="10"/>
  <c r="O202" i="10"/>
  <c r="O194" i="10"/>
  <c r="O137" i="10"/>
  <c r="O129" i="10"/>
  <c r="O220" i="10"/>
  <c r="O211" i="10"/>
  <c r="O195" i="10"/>
  <c r="O136" i="10"/>
  <c r="O128" i="10"/>
  <c r="O197" i="10"/>
  <c r="O196" i="10"/>
  <c r="O199" i="10"/>
  <c r="O198" i="10"/>
  <c r="O134" i="10"/>
  <c r="O221" i="10"/>
  <c r="O212" i="10"/>
  <c r="O200" i="10"/>
  <c r="O173" i="10"/>
  <c r="O172" i="10"/>
  <c r="O171" i="10"/>
  <c r="O164" i="10"/>
  <c r="O163" i="10"/>
  <c r="O162" i="10"/>
  <c r="O156" i="10"/>
  <c r="O155" i="10"/>
  <c r="O154" i="10"/>
  <c r="O148" i="10"/>
  <c r="O147" i="10"/>
  <c r="O146" i="10"/>
  <c r="O133" i="10"/>
  <c r="O125" i="10"/>
  <c r="O204" i="10"/>
  <c r="O190" i="10"/>
  <c r="O189" i="10"/>
  <c r="O188" i="10"/>
  <c r="O168" i="10"/>
  <c r="O166" i="10"/>
  <c r="O160" i="10"/>
  <c r="O158" i="10"/>
  <c r="O152" i="10"/>
  <c r="O150" i="10"/>
  <c r="O144" i="10"/>
  <c r="O142" i="10"/>
  <c r="O126" i="10"/>
  <c r="O116" i="10"/>
  <c r="O108" i="10"/>
  <c r="O222" i="10"/>
  <c r="O213" i="10"/>
  <c r="O140" i="10"/>
  <c r="O132" i="10"/>
  <c r="O115" i="10"/>
  <c r="O107" i="10"/>
  <c r="O101" i="10"/>
  <c r="P101" i="10" s="1"/>
  <c r="O97" i="10"/>
  <c r="P97" i="10" s="1"/>
  <c r="O93" i="10"/>
  <c r="P93" i="10" s="1"/>
  <c r="O89" i="10"/>
  <c r="P89" i="10" s="1"/>
  <c r="O85" i="10"/>
  <c r="P85" i="10" s="1"/>
  <c r="O182" i="10"/>
  <c r="O174" i="10"/>
  <c r="O135" i="10"/>
  <c r="O127" i="10"/>
  <c r="O114" i="10"/>
  <c r="O106" i="10"/>
  <c r="O192" i="10"/>
  <c r="O187" i="10"/>
  <c r="O185" i="10"/>
  <c r="O180" i="10"/>
  <c r="O178" i="10"/>
  <c r="O123" i="10"/>
  <c r="O122" i="10"/>
  <c r="O121" i="10"/>
  <c r="O113" i="10"/>
  <c r="O105" i="10"/>
  <c r="O102" i="10"/>
  <c r="P102" i="10" s="1"/>
  <c r="O98" i="10"/>
  <c r="P98" i="10" s="1"/>
  <c r="O94" i="10"/>
  <c r="P94" i="10" s="1"/>
  <c r="O90" i="10"/>
  <c r="P90" i="10" s="1"/>
  <c r="O124" i="10"/>
  <c r="O119" i="10"/>
  <c r="O111" i="10"/>
  <c r="O99" i="10"/>
  <c r="P99" i="10" s="1"/>
  <c r="O95" i="10"/>
  <c r="P95" i="10" s="1"/>
  <c r="O181" i="10"/>
  <c r="O167" i="10"/>
  <c r="O159" i="10"/>
  <c r="O151" i="10"/>
  <c r="O143" i="10"/>
  <c r="O139" i="10"/>
  <c r="O84" i="10"/>
  <c r="P84" i="10" s="1"/>
  <c r="O80" i="10"/>
  <c r="P80" i="10" s="1"/>
  <c r="O76" i="10"/>
  <c r="P76" i="10" s="1"/>
  <c r="O72" i="10"/>
  <c r="P72" i="10" s="1"/>
  <c r="O68" i="10"/>
  <c r="P68" i="10" s="1"/>
  <c r="O64" i="10"/>
  <c r="P64" i="10" s="1"/>
  <c r="O60" i="10"/>
  <c r="P60" i="10" s="1"/>
  <c r="O56" i="10"/>
  <c r="P56" i="10" s="1"/>
  <c r="O52" i="10"/>
  <c r="P52" i="10" s="1"/>
  <c r="O48" i="10"/>
  <c r="P48" i="10" s="1"/>
  <c r="O44" i="10"/>
  <c r="P44" i="10" s="1"/>
  <c r="O39" i="10"/>
  <c r="P39" i="10" s="1"/>
  <c r="O25" i="10"/>
  <c r="P25" i="10" s="1"/>
  <c r="O191" i="10"/>
  <c r="O117" i="10"/>
  <c r="O109" i="10"/>
  <c r="O87" i="10"/>
  <c r="P87" i="10" s="1"/>
  <c r="O81" i="10"/>
  <c r="P81" i="10" s="1"/>
  <c r="O77" i="10"/>
  <c r="P77" i="10" s="1"/>
  <c r="O73" i="10"/>
  <c r="P73" i="10" s="1"/>
  <c r="O69" i="10"/>
  <c r="P69" i="10" s="1"/>
  <c r="O65" i="10"/>
  <c r="P65" i="10" s="1"/>
  <c r="O61" i="10"/>
  <c r="P61" i="10" s="1"/>
  <c r="O57" i="10"/>
  <c r="P57" i="10" s="1"/>
  <c r="O53" i="10"/>
  <c r="P53" i="10" s="1"/>
  <c r="O49" i="10"/>
  <c r="P49" i="10" s="1"/>
  <c r="O45" i="10"/>
  <c r="P45" i="10" s="1"/>
  <c r="O31" i="10"/>
  <c r="P31" i="10" s="1"/>
  <c r="O186" i="10"/>
  <c r="O183" i="10"/>
  <c r="O177" i="10"/>
  <c r="O138" i="10"/>
  <c r="O96" i="10"/>
  <c r="P96" i="10" s="1"/>
  <c r="O92" i="10"/>
  <c r="P92" i="10" s="1"/>
  <c r="O201" i="10"/>
  <c r="O170" i="10"/>
  <c r="O161" i="10"/>
  <c r="O153" i="10"/>
  <c r="O145" i="10"/>
  <c r="O131" i="10"/>
  <c r="O120" i="10"/>
  <c r="O112" i="10"/>
  <c r="O91" i="10"/>
  <c r="P91" i="10" s="1"/>
  <c r="O82" i="10"/>
  <c r="P82" i="10" s="1"/>
  <c r="O78" i="10"/>
  <c r="P78" i="10" s="1"/>
  <c r="O74" i="10"/>
  <c r="P74" i="10" s="1"/>
  <c r="O70" i="10"/>
  <c r="P70" i="10" s="1"/>
  <c r="O66" i="10"/>
  <c r="P66" i="10" s="1"/>
  <c r="O62" i="10"/>
  <c r="P62" i="10" s="1"/>
  <c r="O58" i="10"/>
  <c r="P58" i="10" s="1"/>
  <c r="O54" i="10"/>
  <c r="P54" i="10" s="1"/>
  <c r="O50" i="10"/>
  <c r="P50" i="10" s="1"/>
  <c r="O46" i="10"/>
  <c r="P46" i="10" s="1"/>
  <c r="O88" i="10"/>
  <c r="P88" i="10" s="1"/>
  <c r="O63" i="10"/>
  <c r="P63" i="10" s="1"/>
  <c r="O37" i="10"/>
  <c r="P37" i="10" s="1"/>
  <c r="O35" i="10"/>
  <c r="P35" i="10" s="1"/>
  <c r="O29" i="10"/>
  <c r="P29" i="10" s="1"/>
  <c r="O24" i="10"/>
  <c r="P24" i="10" s="1"/>
  <c r="O22" i="10"/>
  <c r="P22" i="10" s="1"/>
  <c r="O17" i="10"/>
  <c r="P17" i="10" s="1"/>
  <c r="O12" i="10"/>
  <c r="P12" i="10" s="1"/>
  <c r="O179" i="10"/>
  <c r="O130" i="10"/>
  <c r="O86" i="10"/>
  <c r="P86" i="10" s="1"/>
  <c r="O83" i="10"/>
  <c r="P83" i="10" s="1"/>
  <c r="O59" i="10"/>
  <c r="P59" i="10" s="1"/>
  <c r="O41" i="10"/>
  <c r="P41" i="10" s="1"/>
  <c r="O27" i="10"/>
  <c r="P27" i="10" s="1"/>
  <c r="O118" i="10"/>
  <c r="O55" i="10"/>
  <c r="P55" i="10" s="1"/>
  <c r="O32" i="10"/>
  <c r="P32" i="10" s="1"/>
  <c r="O30" i="10"/>
  <c r="P30" i="10" s="1"/>
  <c r="O18" i="10"/>
  <c r="P18" i="10" s="1"/>
  <c r="O100" i="10"/>
  <c r="P100" i="10" s="1"/>
  <c r="O79" i="10"/>
  <c r="P79" i="10" s="1"/>
  <c r="O51" i="10"/>
  <c r="P51" i="10" s="1"/>
  <c r="O36" i="10"/>
  <c r="P36" i="10" s="1"/>
  <c r="O19" i="10"/>
  <c r="P19" i="10" s="1"/>
  <c r="O14" i="10"/>
  <c r="P14" i="10" s="1"/>
  <c r="O75" i="10"/>
  <c r="P75" i="10" s="1"/>
  <c r="O43" i="10"/>
  <c r="P43" i="10" s="1"/>
  <c r="O38" i="10"/>
  <c r="P38" i="10" s="1"/>
  <c r="O20" i="10"/>
  <c r="P20" i="10" s="1"/>
  <c r="O110" i="10"/>
  <c r="O71" i="10"/>
  <c r="P71" i="10" s="1"/>
  <c r="O42" i="10"/>
  <c r="P42" i="10" s="1"/>
  <c r="O40" i="10"/>
  <c r="P40" i="10" s="1"/>
  <c r="O26" i="10"/>
  <c r="P26" i="10" s="1"/>
  <c r="O16" i="10"/>
  <c r="P16" i="10" s="1"/>
  <c r="O175" i="10"/>
  <c r="O11" i="10"/>
  <c r="P11" i="10" s="1"/>
  <c r="O21" i="10"/>
  <c r="P21" i="10" s="1"/>
  <c r="O67" i="10"/>
  <c r="P67" i="10" s="1"/>
  <c r="O13" i="10"/>
  <c r="P13" i="10" s="1"/>
  <c r="O23" i="10"/>
  <c r="P23" i="10" s="1"/>
  <c r="O9" i="10"/>
  <c r="P9" i="10" s="1"/>
  <c r="O33" i="10"/>
  <c r="P33" i="10" s="1"/>
  <c r="O10" i="10"/>
  <c r="P10" i="10" s="1"/>
  <c r="O34" i="10"/>
  <c r="P34" i="10" s="1"/>
  <c r="O28" i="10"/>
  <c r="P28" i="10" s="1"/>
  <c r="O47" i="10"/>
  <c r="P47" i="10" s="1"/>
  <c r="O15" i="10"/>
  <c r="P15" i="10" s="1"/>
  <c r="V9" i="10"/>
  <c r="Q222" i="10"/>
  <c r="R222" i="10" s="1"/>
  <c r="N222" i="10"/>
  <c r="N220" i="10"/>
  <c r="Q220" i="10"/>
  <c r="R220" i="10" s="1"/>
  <c r="Q224" i="10"/>
  <c r="R224" i="10" s="1"/>
  <c r="N224" i="10"/>
  <c r="Q223" i="10"/>
  <c r="R223" i="10" s="1"/>
  <c r="N223" i="10"/>
  <c r="N230" i="10" l="1"/>
  <c r="N231" i="10" s="1"/>
  <c r="P103" i="10"/>
  <c r="M233" i="10" s="1"/>
  <c r="G116" i="21" l="1"/>
  <c r="G115" i="21"/>
  <c r="H116" i="20"/>
  <c r="H115" i="20"/>
  <c r="H245" i="20"/>
  <c r="H244" i="20"/>
  <c r="G242" i="21"/>
  <c r="H243" i="20"/>
  <c r="H242" i="20"/>
  <c r="G241" i="21"/>
  <c r="H241" i="20"/>
  <c r="G240" i="21"/>
  <c r="H240" i="20"/>
  <c r="H236" i="20"/>
  <c r="G236" i="21"/>
  <c r="G223" i="21"/>
  <c r="G222" i="21"/>
  <c r="G221" i="21"/>
  <c r="G220" i="21"/>
  <c r="G219" i="21"/>
  <c r="G218" i="21"/>
  <c r="G217" i="21"/>
  <c r="H223" i="20"/>
  <c r="H222" i="20"/>
  <c r="H221" i="20"/>
  <c r="H220" i="20"/>
  <c r="H219" i="20"/>
  <c r="H218" i="20"/>
  <c r="H217" i="20"/>
  <c r="H216" i="20"/>
  <c r="G216" i="21"/>
  <c r="G204" i="21"/>
  <c r="G189" i="21"/>
  <c r="H204" i="20"/>
  <c r="H189" i="20"/>
  <c r="H203" i="20"/>
  <c r="G203" i="21"/>
  <c r="G202" i="21"/>
  <c r="H202" i="20"/>
  <c r="H201" i="20"/>
  <c r="G201" i="21"/>
  <c r="G195" i="21" l="1"/>
  <c r="H195" i="20"/>
  <c r="H194" i="20"/>
  <c r="G194" i="21"/>
  <c r="G193" i="21"/>
  <c r="H193" i="20"/>
  <c r="H191" i="20"/>
  <c r="G191" i="21"/>
  <c r="H187" i="20"/>
  <c r="G187" i="21"/>
  <c r="G168" i="21"/>
  <c r="H168" i="20"/>
  <c r="H163" i="20"/>
  <c r="G163" i="21"/>
  <c r="G150" i="21"/>
  <c r="H150" i="20"/>
  <c r="H148" i="20"/>
  <c r="G148" i="21"/>
  <c r="G145" i="21"/>
  <c r="H145" i="20"/>
  <c r="H144" i="20"/>
  <c r="G144" i="21"/>
  <c r="G131" i="21"/>
  <c r="H131" i="20"/>
  <c r="H128" i="20"/>
  <c r="G128" i="21"/>
  <c r="G117" i="21"/>
  <c r="H117" i="20"/>
  <c r="G114" i="21"/>
  <c r="H114" i="20"/>
  <c r="E112" i="18"/>
  <c r="K135" i="7"/>
  <c r="G151" i="7"/>
  <c r="G152" i="7"/>
  <c r="G153" i="7"/>
  <c r="G150" i="7"/>
  <c r="G146" i="7"/>
  <c r="G144" i="7"/>
  <c r="G143" i="7"/>
  <c r="H149" i="6"/>
  <c r="H150" i="6"/>
  <c r="H151" i="6"/>
  <c r="H148" i="6"/>
  <c r="H144" i="6"/>
  <c r="H142" i="6"/>
  <c r="H141" i="6"/>
  <c r="G148" i="3"/>
  <c r="G149" i="3"/>
  <c r="G150" i="3"/>
  <c r="G147" i="3"/>
  <c r="G143" i="3"/>
  <c r="G141" i="3"/>
  <c r="G140" i="3"/>
  <c r="H172" i="15"/>
  <c r="H171" i="15"/>
  <c r="H170" i="15"/>
  <c r="H169" i="15"/>
  <c r="H173" i="17"/>
  <c r="H174" i="17"/>
  <c r="H175" i="17"/>
  <c r="H172" i="17"/>
  <c r="H164" i="17"/>
  <c r="H162" i="17"/>
  <c r="H161" i="17"/>
  <c r="H158" i="15"/>
  <c r="H159" i="15" l="1"/>
  <c r="H237" i="21" l="1"/>
  <c r="H238" i="21"/>
  <c r="H239" i="21"/>
  <c r="H240" i="21"/>
  <c r="H241" i="21"/>
  <c r="H242" i="21"/>
  <c r="H243" i="21"/>
  <c r="H244" i="21"/>
  <c r="H245" i="21"/>
  <c r="H246" i="21"/>
  <c r="H247" i="21"/>
  <c r="H248" i="21"/>
  <c r="H249" i="21"/>
  <c r="H250" i="21"/>
  <c r="H251" i="21"/>
  <c r="H252" i="21"/>
  <c r="H253" i="21"/>
  <c r="H254" i="21"/>
  <c r="H255" i="21"/>
  <c r="H256" i="21"/>
  <c r="H257" i="21"/>
  <c r="H258" i="21"/>
  <c r="H236" i="21"/>
  <c r="H188" i="21" l="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H201" i="21"/>
  <c r="H202" i="21"/>
  <c r="H203" i="21"/>
  <c r="H204" i="21"/>
  <c r="H205" i="21"/>
  <c r="H206" i="21"/>
  <c r="H207" i="21"/>
  <c r="H208" i="21"/>
  <c r="H209" i="21"/>
  <c r="H210" i="21"/>
  <c r="H211" i="21"/>
  <c r="H212" i="21"/>
  <c r="H213" i="21"/>
  <c r="H214" i="21"/>
  <c r="H215" i="21"/>
  <c r="H216" i="21"/>
  <c r="H217" i="21"/>
  <c r="H218" i="21"/>
  <c r="H219" i="21"/>
  <c r="H220" i="21"/>
  <c r="H221" i="21"/>
  <c r="H222" i="21"/>
  <c r="H223" i="21"/>
  <c r="H224" i="21"/>
  <c r="H225" i="21"/>
  <c r="H226" i="21"/>
  <c r="H227" i="21"/>
  <c r="H228" i="21"/>
  <c r="H229" i="21"/>
  <c r="H230" i="21"/>
  <c r="H231" i="21"/>
  <c r="H232" i="21"/>
  <c r="H233" i="21"/>
  <c r="H234" i="21"/>
  <c r="H187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14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9" i="21"/>
  <c r="I237" i="20"/>
  <c r="I238" i="20"/>
  <c r="I239" i="20"/>
  <c r="I240" i="20"/>
  <c r="I241" i="20"/>
  <c r="I242" i="20"/>
  <c r="I243" i="20"/>
  <c r="I244" i="20"/>
  <c r="I245" i="20"/>
  <c r="I246" i="20"/>
  <c r="I247" i="20"/>
  <c r="I248" i="20"/>
  <c r="I249" i="20"/>
  <c r="I250" i="20"/>
  <c r="I251" i="20"/>
  <c r="I252" i="20"/>
  <c r="I253" i="20"/>
  <c r="I254" i="20"/>
  <c r="I255" i="20"/>
  <c r="I256" i="20"/>
  <c r="I257" i="20"/>
  <c r="I258" i="20"/>
  <c r="I259" i="20"/>
  <c r="I260" i="20"/>
  <c r="I261" i="20"/>
  <c r="I236" i="20"/>
  <c r="I188" i="20"/>
  <c r="I189" i="20"/>
  <c r="I190" i="20"/>
  <c r="I191" i="20"/>
  <c r="I192" i="20"/>
  <c r="I193" i="20"/>
  <c r="I194" i="20"/>
  <c r="I195" i="20"/>
  <c r="I196" i="20"/>
  <c r="I197" i="20"/>
  <c r="I198" i="20"/>
  <c r="I199" i="20"/>
  <c r="I200" i="20"/>
  <c r="I201" i="20"/>
  <c r="I202" i="20"/>
  <c r="I203" i="20"/>
  <c r="I204" i="20"/>
  <c r="I205" i="20"/>
  <c r="I206" i="20"/>
  <c r="I207" i="20"/>
  <c r="I208" i="20"/>
  <c r="I209" i="20"/>
  <c r="I210" i="20"/>
  <c r="I211" i="20"/>
  <c r="I212" i="20"/>
  <c r="I213" i="20"/>
  <c r="I214" i="20"/>
  <c r="I215" i="20"/>
  <c r="I216" i="20"/>
  <c r="I217" i="20"/>
  <c r="I218" i="20"/>
  <c r="I219" i="20"/>
  <c r="I220" i="20"/>
  <c r="I221" i="20"/>
  <c r="I222" i="20"/>
  <c r="I223" i="20"/>
  <c r="I224" i="20"/>
  <c r="I225" i="20"/>
  <c r="I226" i="20"/>
  <c r="I227" i="20"/>
  <c r="I228" i="20"/>
  <c r="I229" i="20"/>
  <c r="I230" i="20"/>
  <c r="I231" i="20"/>
  <c r="I232" i="20"/>
  <c r="I233" i="20"/>
  <c r="I234" i="20"/>
  <c r="I187" i="20"/>
  <c r="I115" i="20"/>
  <c r="I116" i="20"/>
  <c r="I117" i="20"/>
  <c r="I118" i="20"/>
  <c r="I119" i="20"/>
  <c r="I120" i="20"/>
  <c r="I121" i="20"/>
  <c r="I122" i="20"/>
  <c r="I123" i="20"/>
  <c r="I124" i="20"/>
  <c r="I125" i="20"/>
  <c r="I126" i="20"/>
  <c r="I127" i="20"/>
  <c r="I128" i="20"/>
  <c r="I129" i="20"/>
  <c r="I130" i="20"/>
  <c r="I131" i="20"/>
  <c r="I132" i="20"/>
  <c r="I133" i="20"/>
  <c r="I134" i="20"/>
  <c r="I135" i="20"/>
  <c r="I136" i="20"/>
  <c r="I137" i="20"/>
  <c r="I138" i="20"/>
  <c r="I139" i="20"/>
  <c r="I140" i="20"/>
  <c r="I141" i="20"/>
  <c r="I142" i="20"/>
  <c r="I143" i="20"/>
  <c r="I144" i="20"/>
  <c r="I145" i="20"/>
  <c r="I146" i="20"/>
  <c r="I147" i="20"/>
  <c r="I148" i="20"/>
  <c r="I149" i="20"/>
  <c r="I150" i="20"/>
  <c r="I151" i="20"/>
  <c r="I152" i="20"/>
  <c r="I153" i="20"/>
  <c r="I154" i="20"/>
  <c r="I155" i="20"/>
  <c r="I156" i="20"/>
  <c r="I157" i="20"/>
  <c r="I158" i="20"/>
  <c r="I159" i="20"/>
  <c r="I160" i="20"/>
  <c r="I161" i="20"/>
  <c r="I162" i="20"/>
  <c r="I163" i="20"/>
  <c r="I164" i="20"/>
  <c r="I165" i="20"/>
  <c r="I166" i="20"/>
  <c r="I167" i="20"/>
  <c r="I168" i="20"/>
  <c r="I169" i="20"/>
  <c r="I170" i="20"/>
  <c r="I171" i="20"/>
  <c r="I172" i="20"/>
  <c r="I173" i="20"/>
  <c r="I174" i="20"/>
  <c r="I175" i="20"/>
  <c r="I176" i="20"/>
  <c r="I177" i="20"/>
  <c r="I178" i="20"/>
  <c r="I179" i="20"/>
  <c r="I180" i="20"/>
  <c r="I181" i="20"/>
  <c r="I182" i="20"/>
  <c r="I183" i="20"/>
  <c r="I184" i="20"/>
  <c r="I185" i="20"/>
  <c r="I114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5" i="20"/>
  <c r="I36" i="20"/>
  <c r="I37" i="20"/>
  <c r="I38" i="20"/>
  <c r="I39" i="20"/>
  <c r="I40" i="20"/>
  <c r="I41" i="20"/>
  <c r="I42" i="20"/>
  <c r="I43" i="20"/>
  <c r="I44" i="20"/>
  <c r="I45" i="20"/>
  <c r="I46" i="20"/>
  <c r="I47" i="20"/>
  <c r="I48" i="20"/>
  <c r="I49" i="20"/>
  <c r="I50" i="20"/>
  <c r="I51" i="20"/>
  <c r="I52" i="20"/>
  <c r="I53" i="20"/>
  <c r="I54" i="20"/>
  <c r="I55" i="20"/>
  <c r="I56" i="20"/>
  <c r="I57" i="20"/>
  <c r="I58" i="20"/>
  <c r="I59" i="20"/>
  <c r="I60" i="20"/>
  <c r="I61" i="20"/>
  <c r="I62" i="20"/>
  <c r="I63" i="20"/>
  <c r="I64" i="20"/>
  <c r="I65" i="20"/>
  <c r="I66" i="20"/>
  <c r="I67" i="20"/>
  <c r="I68" i="20"/>
  <c r="I69" i="20"/>
  <c r="I70" i="20"/>
  <c r="I71" i="20"/>
  <c r="I72" i="20"/>
  <c r="I73" i="20"/>
  <c r="I74" i="20"/>
  <c r="I75" i="20"/>
  <c r="I76" i="20"/>
  <c r="I77" i="20"/>
  <c r="I78" i="20"/>
  <c r="I79" i="20"/>
  <c r="I80" i="20"/>
  <c r="I81" i="20"/>
  <c r="I82" i="20"/>
  <c r="I83" i="20"/>
  <c r="I84" i="20"/>
  <c r="I85" i="20"/>
  <c r="I86" i="20"/>
  <c r="I87" i="20"/>
  <c r="I88" i="20"/>
  <c r="I89" i="20"/>
  <c r="I90" i="20"/>
  <c r="I91" i="20"/>
  <c r="I92" i="20"/>
  <c r="I93" i="20"/>
  <c r="I94" i="20"/>
  <c r="I95" i="20"/>
  <c r="I96" i="20"/>
  <c r="I97" i="20"/>
  <c r="I98" i="20"/>
  <c r="I99" i="20"/>
  <c r="I100" i="20"/>
  <c r="I101" i="20"/>
  <c r="I102" i="20"/>
  <c r="I103" i="20"/>
  <c r="I104" i="20"/>
  <c r="I105" i="20"/>
  <c r="I106" i="20"/>
  <c r="I107" i="20"/>
  <c r="I108" i="20"/>
  <c r="I109" i="20"/>
  <c r="I110" i="20"/>
  <c r="I111" i="20"/>
  <c r="I9" i="20"/>
  <c r="H237" i="19"/>
  <c r="H238" i="19"/>
  <c r="H239" i="19"/>
  <c r="H240" i="19"/>
  <c r="H241" i="19"/>
  <c r="H242" i="19"/>
  <c r="H243" i="19"/>
  <c r="H244" i="19"/>
  <c r="H245" i="19"/>
  <c r="H246" i="19"/>
  <c r="H247" i="19"/>
  <c r="H248" i="19"/>
  <c r="H249" i="19"/>
  <c r="H250" i="19"/>
  <c r="H251" i="19"/>
  <c r="H252" i="19"/>
  <c r="H253" i="19"/>
  <c r="H254" i="19"/>
  <c r="H255" i="19"/>
  <c r="H256" i="19"/>
  <c r="H257" i="19"/>
  <c r="H258" i="19"/>
  <c r="H259" i="19"/>
  <c r="H260" i="19"/>
  <c r="H261" i="19"/>
  <c r="H236" i="19"/>
  <c r="H188" i="19"/>
  <c r="H189" i="19"/>
  <c r="H190" i="19"/>
  <c r="H191" i="19"/>
  <c r="H192" i="19"/>
  <c r="H193" i="19"/>
  <c r="H194" i="19"/>
  <c r="H195" i="19"/>
  <c r="H196" i="19"/>
  <c r="H197" i="19"/>
  <c r="H198" i="19"/>
  <c r="H199" i="19"/>
  <c r="H200" i="19"/>
  <c r="H201" i="19"/>
  <c r="H202" i="19"/>
  <c r="H203" i="19"/>
  <c r="H204" i="19"/>
  <c r="H205" i="19"/>
  <c r="H206" i="19"/>
  <c r="H207" i="19"/>
  <c r="H208" i="19"/>
  <c r="H209" i="19"/>
  <c r="H210" i="19"/>
  <c r="H211" i="19"/>
  <c r="H212" i="19"/>
  <c r="H213" i="19"/>
  <c r="H214" i="19"/>
  <c r="H215" i="19"/>
  <c r="H216" i="19"/>
  <c r="H217" i="19"/>
  <c r="H218" i="19"/>
  <c r="H219" i="19"/>
  <c r="H220" i="19"/>
  <c r="H221" i="19"/>
  <c r="H222" i="19"/>
  <c r="H223" i="19"/>
  <c r="H224" i="19"/>
  <c r="H225" i="19"/>
  <c r="H226" i="19"/>
  <c r="H227" i="19"/>
  <c r="H228" i="19"/>
  <c r="H229" i="19"/>
  <c r="H230" i="19"/>
  <c r="H231" i="19"/>
  <c r="H232" i="19"/>
  <c r="H233" i="19"/>
  <c r="H234" i="19"/>
  <c r="H187" i="19"/>
  <c r="H115" i="19"/>
  <c r="H116" i="19"/>
  <c r="H117" i="19"/>
  <c r="H118" i="19"/>
  <c r="H119" i="19"/>
  <c r="H120" i="19"/>
  <c r="H121" i="19"/>
  <c r="H122" i="19"/>
  <c r="H123" i="19"/>
  <c r="H124" i="19"/>
  <c r="H125" i="19"/>
  <c r="H126" i="19"/>
  <c r="H127" i="19"/>
  <c r="H128" i="19"/>
  <c r="H129" i="19"/>
  <c r="H130" i="19"/>
  <c r="H131" i="19"/>
  <c r="H132" i="19"/>
  <c r="H133" i="19"/>
  <c r="H134" i="19"/>
  <c r="H135" i="19"/>
  <c r="H136" i="19"/>
  <c r="H137" i="19"/>
  <c r="H138" i="19"/>
  <c r="H139" i="19"/>
  <c r="H140" i="19"/>
  <c r="H141" i="19"/>
  <c r="H142" i="19"/>
  <c r="H143" i="19"/>
  <c r="H144" i="19"/>
  <c r="H145" i="19"/>
  <c r="H146" i="19"/>
  <c r="H147" i="19"/>
  <c r="H148" i="19"/>
  <c r="H149" i="19"/>
  <c r="H150" i="19"/>
  <c r="H151" i="19"/>
  <c r="H152" i="19"/>
  <c r="H153" i="19"/>
  <c r="H154" i="19"/>
  <c r="H155" i="19"/>
  <c r="H156" i="19"/>
  <c r="H157" i="19"/>
  <c r="H158" i="19"/>
  <c r="H159" i="19"/>
  <c r="H160" i="19"/>
  <c r="H161" i="19"/>
  <c r="H162" i="19"/>
  <c r="H163" i="19"/>
  <c r="H164" i="19"/>
  <c r="H165" i="19"/>
  <c r="H166" i="19"/>
  <c r="H167" i="19"/>
  <c r="H168" i="19"/>
  <c r="H169" i="19"/>
  <c r="H170" i="19"/>
  <c r="H171" i="19"/>
  <c r="H172" i="19"/>
  <c r="H173" i="19"/>
  <c r="H174" i="19"/>
  <c r="H175" i="19"/>
  <c r="H176" i="19"/>
  <c r="H177" i="19"/>
  <c r="H178" i="19"/>
  <c r="H179" i="19"/>
  <c r="H180" i="19"/>
  <c r="H181" i="19"/>
  <c r="H182" i="19"/>
  <c r="H183" i="19"/>
  <c r="H184" i="19"/>
  <c r="H185" i="19"/>
  <c r="H114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H41" i="19"/>
  <c r="H42" i="19"/>
  <c r="H43" i="19"/>
  <c r="H44" i="19"/>
  <c r="H45" i="19"/>
  <c r="H46" i="19"/>
  <c r="H47" i="19"/>
  <c r="H48" i="19"/>
  <c r="H49" i="19"/>
  <c r="H50" i="19"/>
  <c r="H51" i="19"/>
  <c r="H52" i="19"/>
  <c r="H53" i="19"/>
  <c r="H54" i="19"/>
  <c r="H55" i="19"/>
  <c r="H56" i="19"/>
  <c r="H57" i="19"/>
  <c r="H58" i="19"/>
  <c r="H59" i="19"/>
  <c r="H60" i="19"/>
  <c r="H61" i="19"/>
  <c r="H62" i="19"/>
  <c r="H63" i="19"/>
  <c r="H64" i="19"/>
  <c r="H65" i="19"/>
  <c r="H66" i="19"/>
  <c r="H67" i="19"/>
  <c r="H68" i="19"/>
  <c r="H69" i="19"/>
  <c r="H70" i="19"/>
  <c r="H71" i="19"/>
  <c r="H72" i="19"/>
  <c r="H73" i="19"/>
  <c r="H74" i="19"/>
  <c r="H75" i="19"/>
  <c r="H76" i="19"/>
  <c r="H77" i="19"/>
  <c r="H78" i="19"/>
  <c r="H79" i="19"/>
  <c r="H80" i="19"/>
  <c r="H81" i="19"/>
  <c r="H82" i="19"/>
  <c r="H83" i="19"/>
  <c r="H84" i="19"/>
  <c r="H85" i="19"/>
  <c r="H86" i="19"/>
  <c r="H87" i="19"/>
  <c r="H88" i="19"/>
  <c r="H89" i="19"/>
  <c r="H90" i="19"/>
  <c r="H91" i="19"/>
  <c r="H92" i="19"/>
  <c r="H93" i="19"/>
  <c r="H94" i="19"/>
  <c r="H95" i="19"/>
  <c r="H96" i="19"/>
  <c r="H97" i="19"/>
  <c r="H98" i="19"/>
  <c r="H99" i="19"/>
  <c r="H100" i="19"/>
  <c r="H101" i="19"/>
  <c r="H102" i="19"/>
  <c r="H103" i="19"/>
  <c r="H104" i="19"/>
  <c r="H105" i="19"/>
  <c r="H106" i="19"/>
  <c r="H107" i="19"/>
  <c r="H108" i="19"/>
  <c r="H109" i="19"/>
  <c r="H110" i="19"/>
  <c r="H111" i="19"/>
  <c r="H9" i="19"/>
  <c r="I145" i="17"/>
  <c r="I127" i="17"/>
  <c r="I128" i="17"/>
  <c r="I129" i="17"/>
  <c r="I130" i="17"/>
  <c r="I131" i="17"/>
  <c r="I132" i="17"/>
  <c r="I133" i="17"/>
  <c r="I134" i="17"/>
  <c r="I135" i="17"/>
  <c r="I136" i="17"/>
  <c r="I137" i="17"/>
  <c r="I138" i="17"/>
  <c r="I139" i="17"/>
  <c r="I140" i="17"/>
  <c r="I141" i="17"/>
  <c r="I142" i="17"/>
  <c r="I143" i="17"/>
  <c r="I144" i="17"/>
  <c r="I126" i="17"/>
  <c r="I85" i="17"/>
  <c r="I86" i="17"/>
  <c r="I87" i="17"/>
  <c r="I88" i="17"/>
  <c r="I89" i="17"/>
  <c r="I90" i="17"/>
  <c r="I91" i="17"/>
  <c r="I92" i="17"/>
  <c r="I93" i="17"/>
  <c r="I94" i="17"/>
  <c r="I95" i="17"/>
  <c r="I96" i="17"/>
  <c r="I97" i="17"/>
  <c r="I98" i="17"/>
  <c r="I99" i="17"/>
  <c r="I100" i="17"/>
  <c r="I101" i="17"/>
  <c r="I102" i="17"/>
  <c r="I103" i="17"/>
  <c r="I104" i="17"/>
  <c r="I105" i="17"/>
  <c r="I106" i="17"/>
  <c r="I107" i="17"/>
  <c r="I108" i="17"/>
  <c r="I109" i="17"/>
  <c r="I110" i="17"/>
  <c r="I111" i="17"/>
  <c r="I112" i="17"/>
  <c r="I113" i="17"/>
  <c r="I114" i="17"/>
  <c r="I115" i="17"/>
  <c r="I116" i="17"/>
  <c r="I117" i="17"/>
  <c r="I118" i="17"/>
  <c r="I119" i="17"/>
  <c r="I120" i="17"/>
  <c r="I121" i="17"/>
  <c r="I122" i="17"/>
  <c r="I123" i="17"/>
  <c r="I124" i="17"/>
  <c r="I84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I68" i="17"/>
  <c r="I69" i="17"/>
  <c r="I70" i="17"/>
  <c r="I71" i="17"/>
  <c r="I72" i="17"/>
  <c r="I73" i="17"/>
  <c r="I74" i="17"/>
  <c r="I75" i="17"/>
  <c r="I76" i="17"/>
  <c r="I77" i="17"/>
  <c r="I78" i="17"/>
  <c r="I79" i="17"/>
  <c r="I80" i="17"/>
  <c r="I81" i="17"/>
  <c r="I9" i="17"/>
  <c r="J172" i="16"/>
  <c r="J159" i="16"/>
  <c r="J160" i="16"/>
  <c r="J161" i="16"/>
  <c r="J162" i="16"/>
  <c r="J169" i="16"/>
  <c r="J170" i="16"/>
  <c r="J171" i="16"/>
  <c r="J158" i="16"/>
  <c r="J127" i="16"/>
  <c r="J128" i="16"/>
  <c r="J129" i="16"/>
  <c r="J130" i="16"/>
  <c r="J131" i="16"/>
  <c r="J132" i="16"/>
  <c r="J133" i="16"/>
  <c r="J134" i="16"/>
  <c r="J135" i="16"/>
  <c r="J136" i="16"/>
  <c r="J137" i="16"/>
  <c r="J138" i="16"/>
  <c r="J139" i="16"/>
  <c r="J140" i="16"/>
  <c r="J141" i="16"/>
  <c r="J142" i="16"/>
  <c r="J143" i="16"/>
  <c r="J144" i="16"/>
  <c r="J145" i="16"/>
  <c r="J126" i="16"/>
  <c r="J85" i="16"/>
  <c r="J86" i="16"/>
  <c r="J87" i="16"/>
  <c r="J88" i="16"/>
  <c r="J89" i="16"/>
  <c r="J90" i="16"/>
  <c r="J91" i="16"/>
  <c r="J92" i="16"/>
  <c r="J93" i="16"/>
  <c r="J94" i="16"/>
  <c r="J95" i="16"/>
  <c r="J96" i="16"/>
  <c r="J97" i="16"/>
  <c r="J98" i="16"/>
  <c r="J99" i="16"/>
  <c r="J100" i="16"/>
  <c r="J101" i="16"/>
  <c r="J102" i="16"/>
  <c r="J103" i="16"/>
  <c r="J104" i="16"/>
  <c r="J105" i="16"/>
  <c r="J106" i="16"/>
  <c r="J107" i="16"/>
  <c r="J108" i="16"/>
  <c r="J109" i="16"/>
  <c r="J110" i="16"/>
  <c r="J111" i="16"/>
  <c r="J112" i="16"/>
  <c r="J113" i="16"/>
  <c r="J114" i="16"/>
  <c r="J115" i="16"/>
  <c r="J116" i="16"/>
  <c r="J117" i="16"/>
  <c r="J118" i="16"/>
  <c r="J119" i="16"/>
  <c r="J120" i="16"/>
  <c r="J121" i="16"/>
  <c r="J122" i="16"/>
  <c r="J123" i="16"/>
  <c r="J124" i="16"/>
  <c r="J84" i="16"/>
  <c r="J10" i="16"/>
  <c r="J11" i="16"/>
  <c r="J12" i="16"/>
  <c r="J13" i="16"/>
  <c r="J14" i="16"/>
  <c r="J15" i="16"/>
  <c r="J16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J29" i="16"/>
  <c r="J30" i="16"/>
  <c r="J31" i="16"/>
  <c r="J32" i="16"/>
  <c r="J33" i="16"/>
  <c r="J34" i="16"/>
  <c r="J35" i="16"/>
  <c r="J36" i="16"/>
  <c r="J37" i="16"/>
  <c r="J38" i="16"/>
  <c r="J39" i="16"/>
  <c r="J40" i="16"/>
  <c r="J41" i="16"/>
  <c r="J42" i="16"/>
  <c r="J43" i="16"/>
  <c r="J44" i="16"/>
  <c r="J45" i="16"/>
  <c r="J46" i="16"/>
  <c r="J47" i="16"/>
  <c r="J48" i="16"/>
  <c r="J49" i="16"/>
  <c r="J50" i="16"/>
  <c r="J51" i="16"/>
  <c r="J52" i="16"/>
  <c r="J53" i="16"/>
  <c r="J54" i="16"/>
  <c r="J55" i="16"/>
  <c r="J56" i="16"/>
  <c r="J57" i="16"/>
  <c r="J58" i="16"/>
  <c r="J59" i="16"/>
  <c r="J60" i="16"/>
  <c r="J61" i="16"/>
  <c r="J62" i="16"/>
  <c r="J63" i="16"/>
  <c r="J64" i="16"/>
  <c r="J65" i="16"/>
  <c r="J66" i="16"/>
  <c r="J67" i="16"/>
  <c r="J68" i="16"/>
  <c r="J69" i="16"/>
  <c r="J70" i="16"/>
  <c r="J71" i="16"/>
  <c r="J72" i="16"/>
  <c r="J73" i="16"/>
  <c r="J74" i="16"/>
  <c r="J75" i="16"/>
  <c r="J76" i="16"/>
  <c r="J77" i="16"/>
  <c r="J78" i="16"/>
  <c r="J79" i="16"/>
  <c r="J80" i="16"/>
  <c r="J81" i="16"/>
  <c r="J9" i="16"/>
  <c r="J219" i="9"/>
  <c r="J220" i="9"/>
  <c r="J221" i="9"/>
  <c r="J222" i="9"/>
  <c r="J223" i="9"/>
  <c r="J224" i="9"/>
  <c r="J225" i="9"/>
  <c r="J226" i="9"/>
  <c r="J227" i="9"/>
  <c r="J228" i="9"/>
  <c r="J218" i="9"/>
  <c r="J171" i="9"/>
  <c r="J172" i="9"/>
  <c r="J173" i="9"/>
  <c r="J174" i="9"/>
  <c r="J175" i="9"/>
  <c r="J176" i="9"/>
  <c r="J177" i="9"/>
  <c r="J178" i="9"/>
  <c r="J179" i="9"/>
  <c r="J180" i="9"/>
  <c r="J181" i="9"/>
  <c r="J182" i="9"/>
  <c r="J183" i="9"/>
  <c r="J184" i="9"/>
  <c r="J185" i="9"/>
  <c r="J186" i="9"/>
  <c r="J187" i="9"/>
  <c r="J188" i="9"/>
  <c r="J189" i="9"/>
  <c r="J190" i="9"/>
  <c r="J191" i="9"/>
  <c r="J192" i="9"/>
  <c r="J193" i="9"/>
  <c r="J194" i="9"/>
  <c r="J195" i="9"/>
  <c r="J196" i="9"/>
  <c r="J197" i="9"/>
  <c r="J198" i="9"/>
  <c r="J199" i="9"/>
  <c r="J200" i="9"/>
  <c r="J201" i="9"/>
  <c r="J202" i="9"/>
  <c r="J203" i="9"/>
  <c r="J204" i="9"/>
  <c r="J205" i="9"/>
  <c r="J206" i="9"/>
  <c r="J207" i="9"/>
  <c r="J208" i="9"/>
  <c r="J209" i="9"/>
  <c r="J210" i="9"/>
  <c r="J211" i="9"/>
  <c r="J212" i="9"/>
  <c r="J213" i="9"/>
  <c r="J214" i="9"/>
  <c r="J215" i="9"/>
  <c r="J216" i="9"/>
  <c r="J170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J162" i="9"/>
  <c r="J163" i="9"/>
  <c r="J164" i="9"/>
  <c r="J165" i="9"/>
  <c r="J166" i="9"/>
  <c r="J167" i="9"/>
  <c r="J168" i="9"/>
  <c r="J105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9" i="9"/>
  <c r="H144" i="7"/>
  <c r="H145" i="7"/>
  <c r="H146" i="7"/>
  <c r="H147" i="7"/>
  <c r="H148" i="7"/>
  <c r="H149" i="7"/>
  <c r="H150" i="7"/>
  <c r="H151" i="7"/>
  <c r="H152" i="7"/>
  <c r="H153" i="7"/>
  <c r="H143" i="7"/>
  <c r="I142" i="6"/>
  <c r="I143" i="6"/>
  <c r="I144" i="6"/>
  <c r="I145" i="6"/>
  <c r="I146" i="6"/>
  <c r="I147" i="6"/>
  <c r="I148" i="6"/>
  <c r="I149" i="6"/>
  <c r="I150" i="6"/>
  <c r="I151" i="6"/>
  <c r="I141" i="6"/>
  <c r="H141" i="3"/>
  <c r="H142" i="3"/>
  <c r="H143" i="3"/>
  <c r="H144" i="3"/>
  <c r="H145" i="3"/>
  <c r="H146" i="3"/>
  <c r="H147" i="3"/>
  <c r="H148" i="3"/>
  <c r="H149" i="3"/>
  <c r="H150" i="3"/>
  <c r="H140" i="3"/>
  <c r="I159" i="15"/>
  <c r="I160" i="15"/>
  <c r="I161" i="15"/>
  <c r="I162" i="15"/>
  <c r="I163" i="15"/>
  <c r="I164" i="15"/>
  <c r="I165" i="15"/>
  <c r="I166" i="15"/>
  <c r="I167" i="15"/>
  <c r="I168" i="15"/>
  <c r="I169" i="15"/>
  <c r="I170" i="15"/>
  <c r="I171" i="15"/>
  <c r="I172" i="15"/>
  <c r="I158" i="15"/>
  <c r="I127" i="15"/>
  <c r="I128" i="15"/>
  <c r="I129" i="15"/>
  <c r="I130" i="15"/>
  <c r="I131" i="15"/>
  <c r="I132" i="15"/>
  <c r="I133" i="15"/>
  <c r="I134" i="15"/>
  <c r="I135" i="15"/>
  <c r="I136" i="15"/>
  <c r="I137" i="15"/>
  <c r="I138" i="15"/>
  <c r="I139" i="15"/>
  <c r="I140" i="15"/>
  <c r="I141" i="15"/>
  <c r="I142" i="15"/>
  <c r="I143" i="15"/>
  <c r="I144" i="15"/>
  <c r="I145" i="15"/>
  <c r="I126" i="15"/>
  <c r="I85" i="15"/>
  <c r="I86" i="15"/>
  <c r="I87" i="15"/>
  <c r="I88" i="15"/>
  <c r="I89" i="15"/>
  <c r="I90" i="15"/>
  <c r="I91" i="15"/>
  <c r="I92" i="15"/>
  <c r="I93" i="15"/>
  <c r="I94" i="15"/>
  <c r="I95" i="15"/>
  <c r="I96" i="15"/>
  <c r="I97" i="15"/>
  <c r="I98" i="15"/>
  <c r="I99" i="15"/>
  <c r="I100" i="15"/>
  <c r="I101" i="15"/>
  <c r="I102" i="15"/>
  <c r="I103" i="15"/>
  <c r="I104" i="15"/>
  <c r="I105" i="15"/>
  <c r="I106" i="15"/>
  <c r="I107" i="15"/>
  <c r="I108" i="15"/>
  <c r="I109" i="15"/>
  <c r="I110" i="15"/>
  <c r="I111" i="15"/>
  <c r="I112" i="15"/>
  <c r="I113" i="15"/>
  <c r="I114" i="15"/>
  <c r="I115" i="15"/>
  <c r="I116" i="15"/>
  <c r="I117" i="15"/>
  <c r="I118" i="15"/>
  <c r="I119" i="15"/>
  <c r="I120" i="15"/>
  <c r="I121" i="15"/>
  <c r="I122" i="15"/>
  <c r="I123" i="15"/>
  <c r="I124" i="15"/>
  <c r="I84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67" i="15"/>
  <c r="I68" i="15"/>
  <c r="I69" i="15"/>
  <c r="I70" i="15"/>
  <c r="I71" i="15"/>
  <c r="I72" i="15"/>
  <c r="I73" i="15"/>
  <c r="I74" i="15"/>
  <c r="I75" i="15"/>
  <c r="I76" i="15"/>
  <c r="I77" i="15"/>
  <c r="I78" i="15"/>
  <c r="I79" i="15"/>
  <c r="I80" i="15"/>
  <c r="I81" i="15"/>
  <c r="I9" i="15"/>
  <c r="I219" i="8"/>
  <c r="I220" i="8"/>
  <c r="I221" i="8"/>
  <c r="I222" i="8"/>
  <c r="I223" i="8"/>
  <c r="I224" i="8"/>
  <c r="I225" i="8"/>
  <c r="I226" i="8"/>
  <c r="I227" i="8"/>
  <c r="I228" i="8"/>
  <c r="I218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170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05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9" i="8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14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9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76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9" i="7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9" i="6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14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9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76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9" i="3"/>
  <c r="H51" i="5"/>
  <c r="H52" i="5"/>
  <c r="H53" i="5"/>
  <c r="H54" i="5"/>
  <c r="H50" i="5"/>
  <c r="H43" i="5"/>
  <c r="H44" i="5"/>
  <c r="H45" i="5"/>
  <c r="H46" i="5"/>
  <c r="H47" i="5"/>
  <c r="H48" i="5"/>
  <c r="H42" i="5"/>
  <c r="H35" i="5"/>
  <c r="H36" i="5"/>
  <c r="H37" i="5"/>
  <c r="H38" i="5"/>
  <c r="H39" i="5"/>
  <c r="H40" i="5"/>
  <c r="H34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1" i="5"/>
  <c r="H3" i="5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1" i="4"/>
  <c r="I3" i="4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1" i="1"/>
  <c r="H3" i="1"/>
  <c r="I51" i="4"/>
  <c r="I52" i="4"/>
  <c r="I53" i="4"/>
  <c r="I54" i="4"/>
  <c r="I50" i="4"/>
  <c r="I43" i="4"/>
  <c r="I44" i="4"/>
  <c r="I45" i="4"/>
  <c r="I46" i="4"/>
  <c r="I47" i="4"/>
  <c r="I48" i="4"/>
  <c r="I42" i="4"/>
  <c r="I35" i="4"/>
  <c r="I36" i="4"/>
  <c r="I37" i="4"/>
  <c r="I38" i="4"/>
  <c r="I39" i="4"/>
  <c r="I40" i="4"/>
  <c r="I34" i="4"/>
  <c r="H51" i="1"/>
  <c r="H52" i="1"/>
  <c r="H53" i="1"/>
  <c r="H54" i="1"/>
  <c r="H50" i="1"/>
  <c r="H43" i="1"/>
  <c r="H44" i="1"/>
  <c r="H45" i="1"/>
  <c r="H46" i="1"/>
  <c r="H47" i="1"/>
  <c r="H48" i="1"/>
  <c r="H42" i="1"/>
  <c r="H35" i="1"/>
  <c r="H36" i="1"/>
  <c r="H37" i="1"/>
  <c r="H38" i="1"/>
  <c r="H39" i="1"/>
  <c r="H40" i="1"/>
  <c r="H34" i="1"/>
  <c r="K263" i="20"/>
  <c r="M262" i="20"/>
  <c r="K262" i="20"/>
  <c r="J263" i="19"/>
  <c r="L262" i="19"/>
  <c r="M262" i="19" s="1"/>
  <c r="J262" i="19"/>
  <c r="J260" i="21"/>
  <c r="J259" i="21"/>
  <c r="K153" i="17"/>
  <c r="K152" i="17"/>
  <c r="L153" i="16"/>
  <c r="L152" i="16"/>
  <c r="K153" i="15"/>
  <c r="K152" i="15"/>
  <c r="L229" i="8"/>
  <c r="M229" i="9"/>
  <c r="G111" i="7"/>
  <c r="G109" i="7"/>
  <c r="G104" i="7"/>
  <c r="G103" i="7"/>
  <c r="G97" i="7"/>
  <c r="G96" i="7"/>
  <c r="G92" i="7"/>
  <c r="G87" i="7"/>
  <c r="G83" i="7"/>
  <c r="G82" i="7"/>
  <c r="G79" i="7"/>
  <c r="G78" i="7"/>
  <c r="G76" i="7"/>
  <c r="L135" i="6"/>
  <c r="H111" i="6"/>
  <c r="H109" i="6"/>
  <c r="H104" i="6"/>
  <c r="H103" i="6"/>
  <c r="H97" i="6"/>
  <c r="H96" i="6"/>
  <c r="H92" i="6"/>
  <c r="H87" i="6"/>
  <c r="H83" i="6"/>
  <c r="H82" i="6"/>
  <c r="H79" i="6"/>
  <c r="H78" i="6"/>
  <c r="H76" i="6"/>
  <c r="K135" i="3"/>
  <c r="K60" i="5"/>
  <c r="H59" i="5"/>
  <c r="H58" i="5"/>
  <c r="H57" i="5"/>
  <c r="H56" i="5"/>
  <c r="H55" i="5"/>
  <c r="G53" i="5"/>
  <c r="I53" i="5" s="1"/>
  <c r="G52" i="5"/>
  <c r="I52" i="5" s="1"/>
  <c r="G43" i="5"/>
  <c r="G42" i="5"/>
  <c r="I42" i="5" s="1"/>
  <c r="G35" i="5"/>
  <c r="L60" i="4"/>
  <c r="H53" i="4"/>
  <c r="H52" i="4"/>
  <c r="K60" i="1"/>
  <c r="G53" i="1"/>
  <c r="G52" i="1"/>
  <c r="F59" i="2"/>
  <c r="F60" i="2"/>
  <c r="F61" i="2"/>
  <c r="F62" i="2"/>
  <c r="F63" i="2"/>
  <c r="F125" i="2" s="1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58" i="2"/>
  <c r="I43" i="5" l="1"/>
  <c r="I35" i="5"/>
  <c r="N262" i="20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F33" i="21"/>
  <c r="F34" i="21"/>
  <c r="F35" i="21"/>
  <c r="F36" i="21"/>
  <c r="F37" i="21"/>
  <c r="F38" i="21"/>
  <c r="F39" i="21"/>
  <c r="F40" i="21"/>
  <c r="F41" i="21"/>
  <c r="F42" i="21"/>
  <c r="F43" i="21"/>
  <c r="F44" i="21"/>
  <c r="F45" i="21"/>
  <c r="F46" i="21"/>
  <c r="F47" i="21"/>
  <c r="F48" i="21"/>
  <c r="F49" i="21"/>
  <c r="F50" i="21"/>
  <c r="F51" i="21"/>
  <c r="F52" i="21"/>
  <c r="F53" i="21"/>
  <c r="F54" i="21"/>
  <c r="F55" i="21"/>
  <c r="F56" i="21"/>
  <c r="F57" i="21"/>
  <c r="F58" i="21"/>
  <c r="F59" i="21"/>
  <c r="F60" i="21"/>
  <c r="F61" i="21"/>
  <c r="F62" i="21"/>
  <c r="F63" i="21"/>
  <c r="F64" i="21"/>
  <c r="F65" i="21"/>
  <c r="F66" i="21"/>
  <c r="F67" i="21"/>
  <c r="F68" i="21"/>
  <c r="F69" i="21"/>
  <c r="F70" i="21"/>
  <c r="F71" i="21"/>
  <c r="F72" i="21"/>
  <c r="F73" i="21"/>
  <c r="F74" i="21"/>
  <c r="F75" i="21"/>
  <c r="F76" i="21"/>
  <c r="F77" i="21"/>
  <c r="F78" i="21"/>
  <c r="F79" i="21"/>
  <c r="F80" i="21"/>
  <c r="F81" i="21"/>
  <c r="F82" i="21"/>
  <c r="F83" i="21"/>
  <c r="F84" i="21"/>
  <c r="F85" i="21"/>
  <c r="F86" i="21"/>
  <c r="F87" i="21"/>
  <c r="F88" i="21"/>
  <c r="F89" i="21"/>
  <c r="F90" i="21"/>
  <c r="F91" i="21"/>
  <c r="F92" i="21"/>
  <c r="F93" i="21"/>
  <c r="F94" i="21"/>
  <c r="F95" i="21"/>
  <c r="F96" i="21"/>
  <c r="F97" i="21"/>
  <c r="F98" i="21"/>
  <c r="F99" i="21"/>
  <c r="F100" i="21"/>
  <c r="F101" i="21"/>
  <c r="F102" i="21"/>
  <c r="F103" i="21"/>
  <c r="F104" i="21"/>
  <c r="F105" i="21"/>
  <c r="F106" i="21"/>
  <c r="F107" i="21"/>
  <c r="F108" i="21"/>
  <c r="F109" i="21"/>
  <c r="F110" i="21"/>
  <c r="F111" i="21"/>
  <c r="F9" i="21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F92" i="20"/>
  <c r="F93" i="20"/>
  <c r="F94" i="20"/>
  <c r="F95" i="20"/>
  <c r="F96" i="20"/>
  <c r="F97" i="20"/>
  <c r="F98" i="20"/>
  <c r="F99" i="20"/>
  <c r="F100" i="20"/>
  <c r="F101" i="20"/>
  <c r="F102" i="20"/>
  <c r="F103" i="20"/>
  <c r="F104" i="20"/>
  <c r="F105" i="20"/>
  <c r="F106" i="20"/>
  <c r="F107" i="20"/>
  <c r="F108" i="20"/>
  <c r="F109" i="20"/>
  <c r="F110" i="20"/>
  <c r="F111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9" i="20"/>
  <c r="M263" i="20" s="1"/>
  <c r="N263" i="20" s="1"/>
  <c r="G261" i="18" l="1"/>
  <c r="G260" i="18"/>
  <c r="H260" i="18" s="1"/>
  <c r="G259" i="18"/>
  <c r="H259" i="18" s="1"/>
  <c r="G258" i="18"/>
  <c r="G257" i="18"/>
  <c r="G256" i="18"/>
  <c r="H256" i="18" s="1"/>
  <c r="H255" i="18"/>
  <c r="G255" i="18"/>
  <c r="G254" i="18"/>
  <c r="H254" i="18" s="1"/>
  <c r="G253" i="18"/>
  <c r="H253" i="18" s="1"/>
  <c r="G252" i="18"/>
  <c r="H252" i="18" s="1"/>
  <c r="G251" i="18"/>
  <c r="H251" i="18" s="1"/>
  <c r="G250" i="18"/>
  <c r="H250" i="18" s="1"/>
  <c r="G249" i="18"/>
  <c r="G248" i="18"/>
  <c r="H248" i="18" s="1"/>
  <c r="G247" i="18"/>
  <c r="H247" i="18" s="1"/>
  <c r="G246" i="18"/>
  <c r="H246" i="18" s="1"/>
  <c r="G245" i="18"/>
  <c r="G244" i="18"/>
  <c r="G243" i="18"/>
  <c r="G242" i="18"/>
  <c r="G241" i="18"/>
  <c r="G240" i="18"/>
  <c r="G239" i="18"/>
  <c r="H239" i="18" s="1"/>
  <c r="G238" i="18"/>
  <c r="G237" i="18"/>
  <c r="G236" i="18"/>
  <c r="G234" i="18"/>
  <c r="G233" i="18"/>
  <c r="G232" i="18"/>
  <c r="G231" i="18"/>
  <c r="G230" i="18"/>
  <c r="G229" i="18"/>
  <c r="G228" i="18"/>
  <c r="G227" i="18"/>
  <c r="G226" i="18"/>
  <c r="G225" i="18"/>
  <c r="G224" i="18"/>
  <c r="G223" i="18"/>
  <c r="G222" i="18"/>
  <c r="G221" i="18"/>
  <c r="G220" i="18"/>
  <c r="G219" i="18"/>
  <c r="G218" i="18"/>
  <c r="G217" i="18"/>
  <c r="G216" i="18"/>
  <c r="G215" i="18"/>
  <c r="G214" i="18"/>
  <c r="G213" i="18"/>
  <c r="G212" i="18"/>
  <c r="G211" i="18"/>
  <c r="G210" i="18"/>
  <c r="G209" i="18"/>
  <c r="G208" i="18"/>
  <c r="G207" i="18"/>
  <c r="G206" i="18"/>
  <c r="G205" i="18"/>
  <c r="G204" i="18"/>
  <c r="G203" i="18"/>
  <c r="G202" i="18"/>
  <c r="G201" i="18"/>
  <c r="G200" i="18"/>
  <c r="G199" i="18"/>
  <c r="G198" i="18"/>
  <c r="G197" i="18"/>
  <c r="G196" i="18"/>
  <c r="G195" i="18"/>
  <c r="G194" i="18"/>
  <c r="G193" i="18"/>
  <c r="G192" i="18"/>
  <c r="G191" i="18"/>
  <c r="G190" i="18"/>
  <c r="G189" i="18"/>
  <c r="G188" i="18"/>
  <c r="G187" i="18"/>
  <c r="G185" i="18"/>
  <c r="G184" i="18"/>
  <c r="G183" i="18"/>
  <c r="G182" i="18"/>
  <c r="G181" i="18"/>
  <c r="G180" i="18"/>
  <c r="G179" i="18"/>
  <c r="G178" i="18"/>
  <c r="G177" i="18"/>
  <c r="G176" i="18"/>
  <c r="G175" i="18"/>
  <c r="G174" i="18"/>
  <c r="G173" i="18"/>
  <c r="G172" i="18"/>
  <c r="G171" i="18"/>
  <c r="G170" i="18"/>
  <c r="G169" i="18"/>
  <c r="G168" i="18"/>
  <c r="G167" i="18"/>
  <c r="G166" i="18"/>
  <c r="G165" i="18"/>
  <c r="G164" i="18"/>
  <c r="G163" i="18"/>
  <c r="G162" i="18"/>
  <c r="G161" i="18"/>
  <c r="G160" i="18"/>
  <c r="G159" i="18"/>
  <c r="G158" i="18"/>
  <c r="G157" i="18"/>
  <c r="G156" i="18"/>
  <c r="G155" i="18"/>
  <c r="G154" i="18"/>
  <c r="G153" i="18"/>
  <c r="G152" i="18"/>
  <c r="G151" i="18"/>
  <c r="G150" i="18"/>
  <c r="G149" i="18"/>
  <c r="G148" i="18"/>
  <c r="G147" i="18"/>
  <c r="G146" i="18"/>
  <c r="G145" i="18"/>
  <c r="G144" i="18"/>
  <c r="G143" i="18"/>
  <c r="G142" i="18"/>
  <c r="G141" i="18"/>
  <c r="G140" i="18"/>
  <c r="G139" i="18"/>
  <c r="G138" i="18"/>
  <c r="G137" i="18"/>
  <c r="G136" i="18"/>
  <c r="G135" i="18"/>
  <c r="G134" i="18"/>
  <c r="G133" i="18"/>
  <c r="G132" i="18"/>
  <c r="G131" i="18"/>
  <c r="G130" i="18"/>
  <c r="G129" i="18"/>
  <c r="G128" i="18"/>
  <c r="G127" i="18"/>
  <c r="G126" i="18"/>
  <c r="G125" i="18"/>
  <c r="G124" i="18"/>
  <c r="G123" i="18"/>
  <c r="G122" i="18"/>
  <c r="G121" i="18"/>
  <c r="G120" i="18"/>
  <c r="G119" i="18"/>
  <c r="G118" i="18"/>
  <c r="G117" i="18"/>
  <c r="G116" i="18"/>
  <c r="G115" i="18"/>
  <c r="G114" i="18"/>
  <c r="G111" i="18"/>
  <c r="F111" i="18"/>
  <c r="F111" i="19" s="1"/>
  <c r="G110" i="18"/>
  <c r="F110" i="18"/>
  <c r="F110" i="19" s="1"/>
  <c r="G109" i="18"/>
  <c r="F109" i="18"/>
  <c r="F109" i="19" s="1"/>
  <c r="G108" i="18"/>
  <c r="F108" i="18"/>
  <c r="F108" i="19" s="1"/>
  <c r="G107" i="18"/>
  <c r="F107" i="18"/>
  <c r="F107" i="19" s="1"/>
  <c r="G106" i="18"/>
  <c r="F106" i="18"/>
  <c r="F106" i="19" s="1"/>
  <c r="G105" i="18"/>
  <c r="F105" i="18"/>
  <c r="F105" i="19" s="1"/>
  <c r="G104" i="18"/>
  <c r="F104" i="18"/>
  <c r="F104" i="19" s="1"/>
  <c r="G103" i="18"/>
  <c r="F103" i="18"/>
  <c r="F103" i="19" s="1"/>
  <c r="G102" i="18"/>
  <c r="F102" i="18"/>
  <c r="F102" i="19" s="1"/>
  <c r="G101" i="18"/>
  <c r="F101" i="18"/>
  <c r="F101" i="19" s="1"/>
  <c r="G100" i="18"/>
  <c r="F100" i="18"/>
  <c r="F100" i="19" s="1"/>
  <c r="G99" i="18"/>
  <c r="F99" i="18"/>
  <c r="F99" i="19" s="1"/>
  <c r="G98" i="18"/>
  <c r="F98" i="18"/>
  <c r="F98" i="19" s="1"/>
  <c r="G97" i="18"/>
  <c r="F97" i="18"/>
  <c r="F97" i="19" s="1"/>
  <c r="G96" i="18"/>
  <c r="F96" i="18"/>
  <c r="F96" i="19" s="1"/>
  <c r="G223" i="19" s="1"/>
  <c r="G95" i="18"/>
  <c r="F95" i="18"/>
  <c r="F95" i="19" s="1"/>
  <c r="G222" i="19" s="1"/>
  <c r="G94" i="18"/>
  <c r="F94" i="18"/>
  <c r="F94" i="19" s="1"/>
  <c r="G221" i="19" s="1"/>
  <c r="G93" i="18"/>
  <c r="F93" i="18"/>
  <c r="F93" i="19" s="1"/>
  <c r="G220" i="19" s="1"/>
  <c r="G92" i="18"/>
  <c r="F92" i="18"/>
  <c r="F92" i="19" s="1"/>
  <c r="G219" i="19" s="1"/>
  <c r="G91" i="18"/>
  <c r="F91" i="18"/>
  <c r="F91" i="19" s="1"/>
  <c r="G218" i="19" s="1"/>
  <c r="G90" i="18"/>
  <c r="F90" i="18"/>
  <c r="F90" i="19" s="1"/>
  <c r="G217" i="19" s="1"/>
  <c r="G89" i="18"/>
  <c r="F89" i="18"/>
  <c r="F89" i="19" s="1"/>
  <c r="G216" i="19" s="1"/>
  <c r="G88" i="18"/>
  <c r="F88" i="18"/>
  <c r="F88" i="19" s="1"/>
  <c r="G87" i="18"/>
  <c r="F87" i="18"/>
  <c r="F87" i="19" s="1"/>
  <c r="G86" i="18"/>
  <c r="F86" i="18"/>
  <c r="F86" i="19" s="1"/>
  <c r="G85" i="18"/>
  <c r="F85" i="18"/>
  <c r="F85" i="19" s="1"/>
  <c r="G84" i="18"/>
  <c r="F84" i="18"/>
  <c r="F84" i="19" s="1"/>
  <c r="G83" i="18"/>
  <c r="F83" i="18"/>
  <c r="F83" i="19" s="1"/>
  <c r="G82" i="18"/>
  <c r="F82" i="18"/>
  <c r="F82" i="19" s="1"/>
  <c r="G81" i="18"/>
  <c r="F81" i="18"/>
  <c r="F81" i="19" s="1"/>
  <c r="G80" i="18"/>
  <c r="F80" i="18"/>
  <c r="F80" i="19" s="1"/>
  <c r="G79" i="18"/>
  <c r="F79" i="18"/>
  <c r="F79" i="19" s="1"/>
  <c r="G78" i="18"/>
  <c r="F78" i="18"/>
  <c r="F78" i="19" s="1"/>
  <c r="G77" i="18"/>
  <c r="F77" i="18"/>
  <c r="F77" i="19" s="1"/>
  <c r="G76" i="18"/>
  <c r="F76" i="18"/>
  <c r="F76" i="19" s="1"/>
  <c r="G75" i="18"/>
  <c r="F75" i="18"/>
  <c r="F75" i="19" s="1"/>
  <c r="G203" i="19" s="1"/>
  <c r="G74" i="18"/>
  <c r="F74" i="18"/>
  <c r="F74" i="19" s="1"/>
  <c r="G73" i="18"/>
  <c r="F73" i="18"/>
  <c r="F73" i="19" s="1"/>
  <c r="G202" i="19" s="1"/>
  <c r="G72" i="18"/>
  <c r="F72" i="18"/>
  <c r="F72" i="19" s="1"/>
  <c r="G71" i="18"/>
  <c r="F71" i="18"/>
  <c r="F71" i="19" s="1"/>
  <c r="G70" i="18"/>
  <c r="F70" i="18"/>
  <c r="F70" i="19" s="1"/>
  <c r="G69" i="18"/>
  <c r="F69" i="18"/>
  <c r="F69" i="19" s="1"/>
  <c r="G68" i="18"/>
  <c r="F68" i="18"/>
  <c r="F68" i="19" s="1"/>
  <c r="G67" i="18"/>
  <c r="F67" i="18"/>
  <c r="F67" i="19" s="1"/>
  <c r="G66" i="18"/>
  <c r="F66" i="18"/>
  <c r="F66" i="19" s="1"/>
  <c r="G65" i="18"/>
  <c r="F65" i="18"/>
  <c r="F65" i="19" s="1"/>
  <c r="G64" i="18"/>
  <c r="F64" i="18"/>
  <c r="F64" i="19" s="1"/>
  <c r="G63" i="18"/>
  <c r="F63" i="18"/>
  <c r="F63" i="19" s="1"/>
  <c r="G168" i="19" s="1"/>
  <c r="G62" i="18"/>
  <c r="F62" i="18"/>
  <c r="F62" i="19" s="1"/>
  <c r="G61" i="18"/>
  <c r="F61" i="18"/>
  <c r="F61" i="19" s="1"/>
  <c r="G60" i="18"/>
  <c r="F60" i="18"/>
  <c r="F60" i="19" s="1"/>
  <c r="G59" i="18"/>
  <c r="F59" i="18"/>
  <c r="F59" i="19" s="1"/>
  <c r="G58" i="18"/>
  <c r="F58" i="18"/>
  <c r="F58" i="19" s="1"/>
  <c r="G163" i="19" s="1"/>
  <c r="G57" i="18"/>
  <c r="F57" i="18"/>
  <c r="F57" i="19" s="1"/>
  <c r="G56" i="18"/>
  <c r="F56" i="18"/>
  <c r="F56" i="19" s="1"/>
  <c r="G55" i="18"/>
  <c r="F55" i="18"/>
  <c r="F55" i="19" s="1"/>
  <c r="G54" i="18"/>
  <c r="F54" i="18"/>
  <c r="F54" i="19" s="1"/>
  <c r="G53" i="18"/>
  <c r="F53" i="18"/>
  <c r="F53" i="19" s="1"/>
  <c r="G52" i="18"/>
  <c r="F52" i="18"/>
  <c r="F52" i="19" s="1"/>
  <c r="G51" i="18"/>
  <c r="F51" i="18"/>
  <c r="F51" i="19" s="1"/>
  <c r="G50" i="18"/>
  <c r="F50" i="18"/>
  <c r="F50" i="19" s="1"/>
  <c r="G49" i="18"/>
  <c r="F49" i="18"/>
  <c r="F49" i="19" s="1"/>
  <c r="G48" i="18"/>
  <c r="F48" i="18"/>
  <c r="F48" i="19" s="1"/>
  <c r="G47" i="18"/>
  <c r="F47" i="18"/>
  <c r="F47" i="19" s="1"/>
  <c r="G46" i="18"/>
  <c r="F46" i="18"/>
  <c r="F46" i="19" s="1"/>
  <c r="G45" i="18"/>
  <c r="F45" i="18"/>
  <c r="F45" i="19" s="1"/>
  <c r="G150" i="19" s="1"/>
  <c r="G44" i="18"/>
  <c r="F44" i="18"/>
  <c r="F44" i="19" s="1"/>
  <c r="G43" i="18"/>
  <c r="F43" i="18"/>
  <c r="F43" i="19" s="1"/>
  <c r="G148" i="19" s="1"/>
  <c r="G42" i="18"/>
  <c r="F42" i="18"/>
  <c r="F42" i="19" s="1"/>
  <c r="G41" i="18"/>
  <c r="F41" i="18"/>
  <c r="F41" i="19" s="1"/>
  <c r="G40" i="18"/>
  <c r="F40" i="18"/>
  <c r="F40" i="19" s="1"/>
  <c r="G145" i="19" s="1"/>
  <c r="G39" i="18"/>
  <c r="F39" i="18"/>
  <c r="F39" i="19" s="1"/>
  <c r="G144" i="19" s="1"/>
  <c r="G38" i="18"/>
  <c r="F38" i="18"/>
  <c r="F38" i="19" s="1"/>
  <c r="G37" i="18"/>
  <c r="F37" i="18"/>
  <c r="F37" i="19" s="1"/>
  <c r="G36" i="18"/>
  <c r="F36" i="18"/>
  <c r="F36" i="19" s="1"/>
  <c r="G35" i="18"/>
  <c r="F35" i="18"/>
  <c r="F35" i="19" s="1"/>
  <c r="G34" i="18"/>
  <c r="F34" i="18"/>
  <c r="F34" i="19" s="1"/>
  <c r="G33" i="18"/>
  <c r="F33" i="18"/>
  <c r="F33" i="19" s="1"/>
  <c r="G32" i="18"/>
  <c r="F32" i="18"/>
  <c r="F32" i="19" s="1"/>
  <c r="G31" i="18"/>
  <c r="F31" i="18"/>
  <c r="F31" i="19" s="1"/>
  <c r="G30" i="18"/>
  <c r="F30" i="18"/>
  <c r="F30" i="19" s="1"/>
  <c r="G29" i="18"/>
  <c r="F29" i="18"/>
  <c r="F29" i="19" s="1"/>
  <c r="G28" i="18"/>
  <c r="F28" i="18"/>
  <c r="F28" i="19" s="1"/>
  <c r="G27" i="18"/>
  <c r="F27" i="18"/>
  <c r="F27" i="19" s="1"/>
  <c r="G26" i="18"/>
  <c r="F26" i="18"/>
  <c r="F26" i="19" s="1"/>
  <c r="G131" i="19" s="1"/>
  <c r="G25" i="18"/>
  <c r="F25" i="18"/>
  <c r="F25" i="19" s="1"/>
  <c r="G24" i="18"/>
  <c r="F24" i="18"/>
  <c r="F24" i="19" s="1"/>
  <c r="G23" i="18"/>
  <c r="F23" i="18"/>
  <c r="F23" i="19" s="1"/>
  <c r="G128" i="19" s="1"/>
  <c r="G22" i="18"/>
  <c r="F22" i="18"/>
  <c r="F22" i="19" s="1"/>
  <c r="G21" i="18"/>
  <c r="F21" i="18"/>
  <c r="F21" i="19" s="1"/>
  <c r="G20" i="18"/>
  <c r="F20" i="18"/>
  <c r="F20" i="19" s="1"/>
  <c r="G19" i="18"/>
  <c r="F19" i="18"/>
  <c r="F19" i="19" s="1"/>
  <c r="G18" i="18"/>
  <c r="F18" i="18"/>
  <c r="F18" i="19" s="1"/>
  <c r="G17" i="18"/>
  <c r="F17" i="18"/>
  <c r="F17" i="19" s="1"/>
  <c r="G16" i="18"/>
  <c r="F16" i="18"/>
  <c r="F16" i="19" s="1"/>
  <c r="G15" i="18"/>
  <c r="F15" i="18"/>
  <c r="F15" i="19" s="1"/>
  <c r="G14" i="18"/>
  <c r="F14" i="18"/>
  <c r="F14" i="19" s="1"/>
  <c r="G13" i="18"/>
  <c r="F13" i="18"/>
  <c r="F13" i="19" s="1"/>
  <c r="G12" i="18"/>
  <c r="F12" i="18"/>
  <c r="F12" i="19" s="1"/>
  <c r="G117" i="19" s="1"/>
  <c r="G11" i="18"/>
  <c r="F11" i="18"/>
  <c r="F11" i="19" s="1"/>
  <c r="G116" i="19" s="1"/>
  <c r="G10" i="18"/>
  <c r="F10" i="18"/>
  <c r="F10" i="19" s="1"/>
  <c r="G115" i="19" s="1"/>
  <c r="G9" i="18"/>
  <c r="F9" i="18"/>
  <c r="G46" i="11"/>
  <c r="L40" i="5"/>
  <c r="M40" i="4"/>
  <c r="L40" i="1"/>
  <c r="F9" i="19" l="1"/>
  <c r="G114" i="19" s="1"/>
  <c r="H242" i="18"/>
  <c r="H237" i="18"/>
  <c r="H245" i="18"/>
  <c r="H240" i="18"/>
  <c r="H249" i="18"/>
  <c r="H243" i="18"/>
  <c r="H257" i="18"/>
  <c r="H238" i="18"/>
  <c r="H241" i="18"/>
  <c r="H261" i="18"/>
  <c r="H236" i="18"/>
  <c r="H244" i="18"/>
  <c r="H258" i="18"/>
  <c r="F6" i="21"/>
  <c r="D6" i="21"/>
  <c r="F6" i="20"/>
  <c r="K240" i="20" s="1"/>
  <c r="L240" i="20" s="1"/>
  <c r="O240" i="20" s="1"/>
  <c r="P240" i="20" s="1"/>
  <c r="D6" i="20"/>
  <c r="K243" i="20" s="1"/>
  <c r="L243" i="20" s="1"/>
  <c r="O243" i="20" s="1"/>
  <c r="P243" i="20" s="1"/>
  <c r="K260" i="20"/>
  <c r="L260" i="20" s="1"/>
  <c r="J260" i="20"/>
  <c r="K259" i="20"/>
  <c r="L259" i="20" s="1"/>
  <c r="O259" i="20" s="1"/>
  <c r="P259" i="20" s="1"/>
  <c r="J259" i="20"/>
  <c r="K256" i="20"/>
  <c r="L256" i="20" s="1"/>
  <c r="J256" i="20"/>
  <c r="K255" i="20"/>
  <c r="L255" i="20" s="1"/>
  <c r="J255" i="20"/>
  <c r="K254" i="20"/>
  <c r="L254" i="20" s="1"/>
  <c r="O254" i="20" s="1"/>
  <c r="P254" i="20" s="1"/>
  <c r="J254" i="20"/>
  <c r="K253" i="20"/>
  <c r="L253" i="20" s="1"/>
  <c r="J253" i="20"/>
  <c r="K252" i="20"/>
  <c r="L252" i="20" s="1"/>
  <c r="J252" i="20"/>
  <c r="K251" i="20"/>
  <c r="L251" i="20" s="1"/>
  <c r="J251" i="20"/>
  <c r="K250" i="20"/>
  <c r="L250" i="20" s="1"/>
  <c r="J250" i="20"/>
  <c r="K248" i="20"/>
  <c r="L248" i="20" s="1"/>
  <c r="O248" i="20" s="1"/>
  <c r="P248" i="20" s="1"/>
  <c r="J248" i="20"/>
  <c r="K247" i="20"/>
  <c r="L247" i="20" s="1"/>
  <c r="J247" i="20"/>
  <c r="K246" i="20"/>
  <c r="L246" i="20" s="1"/>
  <c r="O246" i="20" s="1"/>
  <c r="P246" i="20" s="1"/>
  <c r="J246" i="20"/>
  <c r="K241" i="20"/>
  <c r="L241" i="20" s="1"/>
  <c r="O241" i="20" s="1"/>
  <c r="P241" i="20" s="1"/>
  <c r="F6" i="19"/>
  <c r="J242" i="19" s="1"/>
  <c r="D6" i="19"/>
  <c r="J243" i="19" s="1"/>
  <c r="J245" i="19"/>
  <c r="L260" i="21"/>
  <c r="L259" i="21"/>
  <c r="J257" i="21"/>
  <c r="K257" i="21" s="1"/>
  <c r="P257" i="21" s="1"/>
  <c r="Q257" i="21" s="1"/>
  <c r="I257" i="21"/>
  <c r="J256" i="21"/>
  <c r="K256" i="21" s="1"/>
  <c r="I256" i="21"/>
  <c r="J253" i="21"/>
  <c r="K253" i="21" s="1"/>
  <c r="I253" i="21"/>
  <c r="J252" i="21"/>
  <c r="K252" i="21" s="1"/>
  <c r="I252" i="21"/>
  <c r="J251" i="21"/>
  <c r="K251" i="21" s="1"/>
  <c r="I251" i="21"/>
  <c r="J250" i="21"/>
  <c r="K250" i="21" s="1"/>
  <c r="P250" i="21" s="1"/>
  <c r="Q250" i="21" s="1"/>
  <c r="I250" i="21"/>
  <c r="J249" i="21"/>
  <c r="K249" i="21" s="1"/>
  <c r="M249" i="21" s="1"/>
  <c r="I249" i="21"/>
  <c r="J248" i="21"/>
  <c r="K248" i="21" s="1"/>
  <c r="P248" i="21" s="1"/>
  <c r="Q248" i="21" s="1"/>
  <c r="I248" i="21"/>
  <c r="J247" i="21"/>
  <c r="K247" i="21" s="1"/>
  <c r="P247" i="21" s="1"/>
  <c r="Q247" i="21" s="1"/>
  <c r="I247" i="21"/>
  <c r="J245" i="21"/>
  <c r="K245" i="21" s="1"/>
  <c r="I245" i="21"/>
  <c r="J244" i="21"/>
  <c r="K244" i="21" s="1"/>
  <c r="I244" i="21"/>
  <c r="J243" i="21"/>
  <c r="K243" i="21" s="1"/>
  <c r="M243" i="21" s="1"/>
  <c r="I243" i="21"/>
  <c r="G234" i="21"/>
  <c r="J234" i="21" s="1"/>
  <c r="K234" i="21" s="1"/>
  <c r="G232" i="21"/>
  <c r="J232" i="21" s="1"/>
  <c r="K232" i="21" s="1"/>
  <c r="G231" i="21"/>
  <c r="J231" i="21" s="1"/>
  <c r="K231" i="21" s="1"/>
  <c r="G230" i="21"/>
  <c r="J230" i="21" s="1"/>
  <c r="K230" i="21" s="1"/>
  <c r="G229" i="21"/>
  <c r="J229" i="21" s="1"/>
  <c r="K229" i="21" s="1"/>
  <c r="G228" i="21"/>
  <c r="J228" i="21" s="1"/>
  <c r="K228" i="21" s="1"/>
  <c r="G227" i="21"/>
  <c r="J227" i="21" s="1"/>
  <c r="K227" i="21" s="1"/>
  <c r="G226" i="21"/>
  <c r="J226" i="21" s="1"/>
  <c r="K226" i="21" s="1"/>
  <c r="J222" i="21"/>
  <c r="K222" i="21" s="1"/>
  <c r="G215" i="21"/>
  <c r="J215" i="21" s="1"/>
  <c r="K215" i="21" s="1"/>
  <c r="G214" i="21"/>
  <c r="J214" i="21" s="1"/>
  <c r="K214" i="21" s="1"/>
  <c r="G213" i="21"/>
  <c r="J213" i="21" s="1"/>
  <c r="K213" i="21" s="1"/>
  <c r="G212" i="21"/>
  <c r="J212" i="21" s="1"/>
  <c r="K212" i="21" s="1"/>
  <c r="G211" i="21"/>
  <c r="J211" i="21" s="1"/>
  <c r="K211" i="21" s="1"/>
  <c r="G210" i="21"/>
  <c r="J210" i="21" s="1"/>
  <c r="K210" i="21" s="1"/>
  <c r="G209" i="21"/>
  <c r="J209" i="21" s="1"/>
  <c r="K209" i="21" s="1"/>
  <c r="G208" i="21"/>
  <c r="G207" i="21"/>
  <c r="J207" i="21" s="1"/>
  <c r="K207" i="21" s="1"/>
  <c r="G206" i="21"/>
  <c r="J206" i="21" s="1"/>
  <c r="K206" i="21" s="1"/>
  <c r="G205" i="21"/>
  <c r="G200" i="21"/>
  <c r="G199" i="21"/>
  <c r="J199" i="21" s="1"/>
  <c r="K199" i="21" s="1"/>
  <c r="G198" i="21"/>
  <c r="J198" i="21" s="1"/>
  <c r="K198" i="21" s="1"/>
  <c r="G197" i="21"/>
  <c r="G196" i="21"/>
  <c r="J196" i="21" s="1"/>
  <c r="K196" i="21" s="1"/>
  <c r="J192" i="21"/>
  <c r="K192" i="21" s="1"/>
  <c r="I192" i="21"/>
  <c r="J190" i="21"/>
  <c r="K190" i="21" s="1"/>
  <c r="P190" i="21" s="1"/>
  <c r="Q190" i="21" s="1"/>
  <c r="I190" i="21"/>
  <c r="G185" i="21"/>
  <c r="J185" i="21" s="1"/>
  <c r="K185" i="21" s="1"/>
  <c r="M185" i="21" s="1"/>
  <c r="G184" i="21"/>
  <c r="J184" i="21" s="1"/>
  <c r="K184" i="21" s="1"/>
  <c r="G183" i="21"/>
  <c r="J183" i="21" s="1"/>
  <c r="K183" i="21" s="1"/>
  <c r="G182" i="21"/>
  <c r="J182" i="21" s="1"/>
  <c r="K182" i="21" s="1"/>
  <c r="M182" i="21" s="1"/>
  <c r="G181" i="21"/>
  <c r="J181" i="21" s="1"/>
  <c r="K181" i="21" s="1"/>
  <c r="P181" i="21" s="1"/>
  <c r="Q181" i="21" s="1"/>
  <c r="G180" i="21"/>
  <c r="G179" i="21"/>
  <c r="G178" i="21"/>
  <c r="G177" i="21"/>
  <c r="J177" i="21" s="1"/>
  <c r="K177" i="21" s="1"/>
  <c r="P177" i="21" s="1"/>
  <c r="Q177" i="21" s="1"/>
  <c r="G176" i="21"/>
  <c r="J176" i="21" s="1"/>
  <c r="K176" i="21" s="1"/>
  <c r="G175" i="21"/>
  <c r="G174" i="21"/>
  <c r="J174" i="21" s="1"/>
  <c r="K174" i="21" s="1"/>
  <c r="G173" i="21"/>
  <c r="J173" i="21" s="1"/>
  <c r="K173" i="21" s="1"/>
  <c r="P173" i="21" s="1"/>
  <c r="Q173" i="21" s="1"/>
  <c r="G172" i="21"/>
  <c r="J172" i="21" s="1"/>
  <c r="K172" i="21" s="1"/>
  <c r="M172" i="21" s="1"/>
  <c r="G171" i="21"/>
  <c r="G170" i="21"/>
  <c r="J170" i="21" s="1"/>
  <c r="K170" i="21" s="1"/>
  <c r="M170" i="21" s="1"/>
  <c r="G169" i="21"/>
  <c r="J169" i="21" s="1"/>
  <c r="K169" i="21" s="1"/>
  <c r="M169" i="21" s="1"/>
  <c r="G167" i="21"/>
  <c r="J167" i="21" s="1"/>
  <c r="K167" i="21" s="1"/>
  <c r="G166" i="21"/>
  <c r="G165" i="21"/>
  <c r="J165" i="21" s="1"/>
  <c r="K165" i="21" s="1"/>
  <c r="M165" i="21" s="1"/>
  <c r="G164" i="21"/>
  <c r="I163" i="21"/>
  <c r="G162" i="21"/>
  <c r="G161" i="21"/>
  <c r="J161" i="21" s="1"/>
  <c r="K161" i="21" s="1"/>
  <c r="M161" i="21" s="1"/>
  <c r="G160" i="21"/>
  <c r="J160" i="21" s="1"/>
  <c r="K160" i="21" s="1"/>
  <c r="G159" i="21"/>
  <c r="J159" i="21" s="1"/>
  <c r="K159" i="21" s="1"/>
  <c r="G158" i="21"/>
  <c r="G157" i="21"/>
  <c r="J157" i="21" s="1"/>
  <c r="K157" i="21" s="1"/>
  <c r="M157" i="21" s="1"/>
  <c r="G156" i="21"/>
  <c r="G155" i="21"/>
  <c r="I155" i="21" s="1"/>
  <c r="G154" i="21"/>
  <c r="J154" i="21" s="1"/>
  <c r="K154" i="21" s="1"/>
  <c r="G153" i="21"/>
  <c r="G152" i="21"/>
  <c r="G151" i="21"/>
  <c r="I150" i="21"/>
  <c r="G149" i="21"/>
  <c r="G147" i="21"/>
  <c r="G146" i="21"/>
  <c r="I146" i="21" s="1"/>
  <c r="G143" i="21"/>
  <c r="J143" i="21" s="1"/>
  <c r="K143" i="21" s="1"/>
  <c r="G142" i="21"/>
  <c r="I142" i="21" s="1"/>
  <c r="G141" i="21"/>
  <c r="J141" i="21" s="1"/>
  <c r="K141" i="21" s="1"/>
  <c r="G140" i="21"/>
  <c r="G139" i="21"/>
  <c r="J139" i="21" s="1"/>
  <c r="K139" i="21" s="1"/>
  <c r="M139" i="21" s="1"/>
  <c r="G138" i="21"/>
  <c r="I138" i="21" s="1"/>
  <c r="G137" i="21"/>
  <c r="G136" i="21"/>
  <c r="J136" i="21" s="1"/>
  <c r="K136" i="21" s="1"/>
  <c r="G135" i="21"/>
  <c r="J135" i="21" s="1"/>
  <c r="K135" i="21" s="1"/>
  <c r="M135" i="21" s="1"/>
  <c r="G134" i="21"/>
  <c r="J134" i="21" s="1"/>
  <c r="K134" i="21" s="1"/>
  <c r="G133" i="21"/>
  <c r="G132" i="21"/>
  <c r="G130" i="21"/>
  <c r="J130" i="21" s="1"/>
  <c r="K130" i="21" s="1"/>
  <c r="G129" i="21"/>
  <c r="G127" i="21"/>
  <c r="G126" i="21"/>
  <c r="G125" i="21"/>
  <c r="G124" i="21"/>
  <c r="G123" i="21"/>
  <c r="G122" i="21"/>
  <c r="G121" i="21"/>
  <c r="G120" i="21"/>
  <c r="G119" i="21"/>
  <c r="G118" i="21"/>
  <c r="J116" i="21"/>
  <c r="K116" i="21" s="1"/>
  <c r="J115" i="21"/>
  <c r="K115" i="21" s="1"/>
  <c r="F112" i="21"/>
  <c r="P111" i="21"/>
  <c r="G111" i="21"/>
  <c r="J111" i="21" s="1"/>
  <c r="K111" i="21" s="1"/>
  <c r="M111" i="21" s="1"/>
  <c r="P110" i="21"/>
  <c r="G110" i="21"/>
  <c r="J110" i="21" s="1"/>
  <c r="K110" i="21" s="1"/>
  <c r="M110" i="21" s="1"/>
  <c r="P109" i="21"/>
  <c r="G109" i="21"/>
  <c r="J109" i="21" s="1"/>
  <c r="K109" i="21" s="1"/>
  <c r="M109" i="21" s="1"/>
  <c r="P108" i="21"/>
  <c r="G108" i="21"/>
  <c r="J108" i="21" s="1"/>
  <c r="K108" i="21" s="1"/>
  <c r="M108" i="21" s="1"/>
  <c r="P107" i="21"/>
  <c r="G107" i="21"/>
  <c r="J107" i="21" s="1"/>
  <c r="K107" i="21" s="1"/>
  <c r="M107" i="21" s="1"/>
  <c r="P106" i="21"/>
  <c r="G106" i="21"/>
  <c r="J106" i="21" s="1"/>
  <c r="K106" i="21" s="1"/>
  <c r="M106" i="21" s="1"/>
  <c r="P105" i="21"/>
  <c r="G105" i="21"/>
  <c r="J105" i="21" s="1"/>
  <c r="K105" i="21" s="1"/>
  <c r="M105" i="21" s="1"/>
  <c r="P104" i="21"/>
  <c r="G104" i="21"/>
  <c r="J104" i="21" s="1"/>
  <c r="K104" i="21" s="1"/>
  <c r="M104" i="21" s="1"/>
  <c r="P103" i="21"/>
  <c r="G103" i="21"/>
  <c r="J103" i="21" s="1"/>
  <c r="K103" i="21" s="1"/>
  <c r="M103" i="21" s="1"/>
  <c r="P102" i="21"/>
  <c r="G102" i="21"/>
  <c r="J102" i="21" s="1"/>
  <c r="K102" i="21" s="1"/>
  <c r="M102" i="21" s="1"/>
  <c r="P101" i="21"/>
  <c r="G101" i="21"/>
  <c r="J101" i="21" s="1"/>
  <c r="K101" i="21" s="1"/>
  <c r="M101" i="21" s="1"/>
  <c r="P100" i="21"/>
  <c r="G100" i="21"/>
  <c r="J100" i="21" s="1"/>
  <c r="K100" i="21" s="1"/>
  <c r="M100" i="21" s="1"/>
  <c r="P99" i="21"/>
  <c r="I99" i="21"/>
  <c r="G99" i="21"/>
  <c r="P98" i="21"/>
  <c r="G98" i="21"/>
  <c r="J98" i="21" s="1"/>
  <c r="K98" i="21" s="1"/>
  <c r="M98" i="21" s="1"/>
  <c r="P97" i="21"/>
  <c r="G97" i="21"/>
  <c r="P96" i="21"/>
  <c r="G96" i="21"/>
  <c r="P95" i="21"/>
  <c r="G95" i="21"/>
  <c r="J95" i="21" s="1"/>
  <c r="K95" i="21" s="1"/>
  <c r="M95" i="21" s="1"/>
  <c r="P94" i="21"/>
  <c r="G94" i="21"/>
  <c r="P93" i="21"/>
  <c r="G93" i="21"/>
  <c r="P92" i="21"/>
  <c r="G92" i="21"/>
  <c r="P91" i="21"/>
  <c r="G91" i="21"/>
  <c r="I91" i="21" s="1"/>
  <c r="P90" i="21"/>
  <c r="G90" i="21"/>
  <c r="I90" i="21" s="1"/>
  <c r="J90" i="21" s="1"/>
  <c r="K90" i="21" s="1"/>
  <c r="M90" i="21" s="1"/>
  <c r="P89" i="21"/>
  <c r="G89" i="21"/>
  <c r="P88" i="21"/>
  <c r="G88" i="21"/>
  <c r="J88" i="21" s="1"/>
  <c r="K88" i="21" s="1"/>
  <c r="M88" i="21" s="1"/>
  <c r="P87" i="21"/>
  <c r="G87" i="21"/>
  <c r="J87" i="21" s="1"/>
  <c r="K87" i="21" s="1"/>
  <c r="M87" i="21" s="1"/>
  <c r="P86" i="21"/>
  <c r="G86" i="21"/>
  <c r="J86" i="21" s="1"/>
  <c r="K86" i="21" s="1"/>
  <c r="M86" i="21" s="1"/>
  <c r="P85" i="21"/>
  <c r="G85" i="21"/>
  <c r="J85" i="21" s="1"/>
  <c r="K85" i="21" s="1"/>
  <c r="M85" i="21" s="1"/>
  <c r="P84" i="21"/>
  <c r="G84" i="21"/>
  <c r="J84" i="21" s="1"/>
  <c r="K84" i="21" s="1"/>
  <c r="M84" i="21" s="1"/>
  <c r="P83" i="21"/>
  <c r="G83" i="21"/>
  <c r="J83" i="21" s="1"/>
  <c r="K83" i="21" s="1"/>
  <c r="M83" i="21" s="1"/>
  <c r="P82" i="21"/>
  <c r="G82" i="21"/>
  <c r="J82" i="21" s="1"/>
  <c r="K82" i="21" s="1"/>
  <c r="M82" i="21" s="1"/>
  <c r="P81" i="21"/>
  <c r="G81" i="21"/>
  <c r="P80" i="21"/>
  <c r="G80" i="21"/>
  <c r="J80" i="21" s="1"/>
  <c r="K80" i="21" s="1"/>
  <c r="M80" i="21" s="1"/>
  <c r="P79" i="21"/>
  <c r="G79" i="21"/>
  <c r="J79" i="21" s="1"/>
  <c r="K79" i="21" s="1"/>
  <c r="M79" i="21" s="1"/>
  <c r="P78" i="21"/>
  <c r="G78" i="21"/>
  <c r="P77" i="21"/>
  <c r="G77" i="21"/>
  <c r="P76" i="21"/>
  <c r="G76" i="21"/>
  <c r="P75" i="21"/>
  <c r="G75" i="21"/>
  <c r="P74" i="21"/>
  <c r="G74" i="21"/>
  <c r="P73" i="21"/>
  <c r="G73" i="21"/>
  <c r="P72" i="21"/>
  <c r="G72" i="21"/>
  <c r="J72" i="21" s="1"/>
  <c r="K72" i="21" s="1"/>
  <c r="M72" i="21" s="1"/>
  <c r="P71" i="21"/>
  <c r="G71" i="21"/>
  <c r="J71" i="21" s="1"/>
  <c r="K71" i="21" s="1"/>
  <c r="M71" i="21" s="1"/>
  <c r="P70" i="21"/>
  <c r="G70" i="21"/>
  <c r="P69" i="21"/>
  <c r="G69" i="21"/>
  <c r="J69" i="21" s="1"/>
  <c r="K69" i="21" s="1"/>
  <c r="M69" i="21" s="1"/>
  <c r="P68" i="21"/>
  <c r="G68" i="21"/>
  <c r="J68" i="21" s="1"/>
  <c r="K68" i="21" s="1"/>
  <c r="M68" i="21" s="1"/>
  <c r="P67" i="21"/>
  <c r="G67" i="21"/>
  <c r="J67" i="21" s="1"/>
  <c r="K67" i="21" s="1"/>
  <c r="M67" i="21" s="1"/>
  <c r="P66" i="21"/>
  <c r="G66" i="21"/>
  <c r="I66" i="21" s="1"/>
  <c r="P65" i="21"/>
  <c r="G65" i="21"/>
  <c r="J65" i="21" s="1"/>
  <c r="K65" i="21" s="1"/>
  <c r="M65" i="21" s="1"/>
  <c r="P64" i="21"/>
  <c r="G64" i="21"/>
  <c r="J64" i="21" s="1"/>
  <c r="K64" i="21" s="1"/>
  <c r="M64" i="21" s="1"/>
  <c r="P63" i="21"/>
  <c r="G63" i="21"/>
  <c r="I63" i="21" s="1"/>
  <c r="P62" i="21"/>
  <c r="G62" i="21"/>
  <c r="J62" i="21" s="1"/>
  <c r="K62" i="21" s="1"/>
  <c r="M62" i="21" s="1"/>
  <c r="P61" i="21"/>
  <c r="G61" i="21"/>
  <c r="P60" i="21"/>
  <c r="G60" i="21"/>
  <c r="J60" i="21" s="1"/>
  <c r="K60" i="21" s="1"/>
  <c r="M60" i="21" s="1"/>
  <c r="P59" i="21"/>
  <c r="G59" i="21"/>
  <c r="J59" i="21" s="1"/>
  <c r="K59" i="21" s="1"/>
  <c r="M59" i="21" s="1"/>
  <c r="P58" i="21"/>
  <c r="G58" i="21"/>
  <c r="I58" i="21" s="1"/>
  <c r="J58" i="21" s="1"/>
  <c r="K58" i="21" s="1"/>
  <c r="M58" i="21" s="1"/>
  <c r="P57" i="21"/>
  <c r="G57" i="21"/>
  <c r="J57" i="21" s="1"/>
  <c r="K57" i="21" s="1"/>
  <c r="M57" i="21" s="1"/>
  <c r="P56" i="21"/>
  <c r="G56" i="21"/>
  <c r="J56" i="21" s="1"/>
  <c r="K56" i="21" s="1"/>
  <c r="M56" i="21" s="1"/>
  <c r="P55" i="21"/>
  <c r="G55" i="21"/>
  <c r="J55" i="21" s="1"/>
  <c r="K55" i="21" s="1"/>
  <c r="M55" i="21" s="1"/>
  <c r="P54" i="21"/>
  <c r="G54" i="21"/>
  <c r="J54" i="21" s="1"/>
  <c r="K54" i="21" s="1"/>
  <c r="M54" i="21" s="1"/>
  <c r="P53" i="21"/>
  <c r="G53" i="21"/>
  <c r="P52" i="21"/>
  <c r="G52" i="21"/>
  <c r="J52" i="21" s="1"/>
  <c r="K52" i="21" s="1"/>
  <c r="M52" i="21" s="1"/>
  <c r="P51" i="21"/>
  <c r="G51" i="21"/>
  <c r="J51" i="21" s="1"/>
  <c r="K51" i="21" s="1"/>
  <c r="M51" i="21" s="1"/>
  <c r="P50" i="21"/>
  <c r="G50" i="21"/>
  <c r="P49" i="21"/>
  <c r="G49" i="21"/>
  <c r="J49" i="21" s="1"/>
  <c r="K49" i="21" s="1"/>
  <c r="M49" i="21" s="1"/>
  <c r="P48" i="21"/>
  <c r="G48" i="21"/>
  <c r="P47" i="21"/>
  <c r="G47" i="21"/>
  <c r="P46" i="21"/>
  <c r="G46" i="21"/>
  <c r="P45" i="21"/>
  <c r="G45" i="21"/>
  <c r="P44" i="21"/>
  <c r="G44" i="21"/>
  <c r="P43" i="21"/>
  <c r="G43" i="21"/>
  <c r="A43" i="21"/>
  <c r="G224" i="21" s="1"/>
  <c r="P42" i="21"/>
  <c r="G42" i="21"/>
  <c r="P41" i="21"/>
  <c r="G41" i="21"/>
  <c r="P40" i="21"/>
  <c r="G40" i="21"/>
  <c r="A40" i="21"/>
  <c r="G225" i="21" s="1"/>
  <c r="P39" i="21"/>
  <c r="G39" i="21"/>
  <c r="P38" i="21"/>
  <c r="G38" i="21"/>
  <c r="J38" i="21" s="1"/>
  <c r="K38" i="21" s="1"/>
  <c r="M38" i="21" s="1"/>
  <c r="P37" i="21"/>
  <c r="G37" i="21"/>
  <c r="A37" i="21"/>
  <c r="G233" i="21" s="1"/>
  <c r="J233" i="21" s="1"/>
  <c r="K233" i="21" s="1"/>
  <c r="P36" i="21"/>
  <c r="G36" i="21"/>
  <c r="J36" i="21" s="1"/>
  <c r="K36" i="21" s="1"/>
  <c r="M36" i="21" s="1"/>
  <c r="P35" i="21"/>
  <c r="G35" i="21"/>
  <c r="I35" i="21" s="1"/>
  <c r="P34" i="21"/>
  <c r="G34" i="21"/>
  <c r="J34" i="21" s="1"/>
  <c r="K34" i="21" s="1"/>
  <c r="M34" i="21" s="1"/>
  <c r="A34" i="21"/>
  <c r="P33" i="21"/>
  <c r="G33" i="21"/>
  <c r="P32" i="21"/>
  <c r="G32" i="21"/>
  <c r="P31" i="21"/>
  <c r="G31" i="21"/>
  <c r="J31" i="21" s="1"/>
  <c r="K31" i="21" s="1"/>
  <c r="M31" i="21" s="1"/>
  <c r="A31" i="21"/>
  <c r="P30" i="21"/>
  <c r="G30" i="21"/>
  <c r="J30" i="21" s="1"/>
  <c r="K30" i="21" s="1"/>
  <c r="M30" i="21" s="1"/>
  <c r="P29" i="21"/>
  <c r="G29" i="21"/>
  <c r="J29" i="21" s="1"/>
  <c r="K29" i="21" s="1"/>
  <c r="M29" i="21" s="1"/>
  <c r="P28" i="21"/>
  <c r="G28" i="21"/>
  <c r="J28" i="21" s="1"/>
  <c r="K28" i="21" s="1"/>
  <c r="P27" i="21"/>
  <c r="G27" i="21"/>
  <c r="A27" i="21"/>
  <c r="J193" i="21" s="1"/>
  <c r="K193" i="21" s="1"/>
  <c r="P26" i="21"/>
  <c r="G26" i="21"/>
  <c r="P25" i="21"/>
  <c r="G25" i="21"/>
  <c r="J25" i="21" s="1"/>
  <c r="K25" i="21" s="1"/>
  <c r="M25" i="21" s="1"/>
  <c r="P24" i="21"/>
  <c r="G24" i="21"/>
  <c r="A24" i="21"/>
  <c r="P23" i="21"/>
  <c r="G23" i="21"/>
  <c r="P22" i="21"/>
  <c r="G22" i="21"/>
  <c r="P21" i="21"/>
  <c r="G21" i="21"/>
  <c r="A21" i="21"/>
  <c r="P20" i="21"/>
  <c r="G20" i="21"/>
  <c r="P19" i="21"/>
  <c r="G19" i="21"/>
  <c r="P18" i="21"/>
  <c r="G18" i="21"/>
  <c r="A18" i="21"/>
  <c r="G188" i="21" s="1"/>
  <c r="J188" i="21" s="1"/>
  <c r="K188" i="21" s="1"/>
  <c r="P17" i="21"/>
  <c r="G17" i="21"/>
  <c r="P16" i="21"/>
  <c r="G16" i="21"/>
  <c r="P15" i="21"/>
  <c r="G15" i="21"/>
  <c r="A15" i="21"/>
  <c r="P14" i="21"/>
  <c r="G14" i="21"/>
  <c r="P13" i="21"/>
  <c r="G13" i="21"/>
  <c r="I13" i="21" s="1"/>
  <c r="J13" i="21" s="1"/>
  <c r="K13" i="21" s="1"/>
  <c r="M13" i="21" s="1"/>
  <c r="A13" i="21"/>
  <c r="P12" i="21"/>
  <c r="G12" i="21"/>
  <c r="P11" i="21"/>
  <c r="G11" i="21"/>
  <c r="J11" i="21" s="1"/>
  <c r="K11" i="21" s="1"/>
  <c r="M11" i="21" s="1"/>
  <c r="P10" i="21"/>
  <c r="G10" i="21"/>
  <c r="J10" i="21" s="1"/>
  <c r="K10" i="21" s="1"/>
  <c r="M10" i="21" s="1"/>
  <c r="A10" i="21"/>
  <c r="P9" i="21"/>
  <c r="G9" i="21"/>
  <c r="G10" i="20"/>
  <c r="K115" i="20" s="1"/>
  <c r="L115" i="20" s="1"/>
  <c r="G11" i="20"/>
  <c r="H11" i="20" s="1"/>
  <c r="K11" i="20" s="1"/>
  <c r="L11" i="20" s="1"/>
  <c r="N11" i="20" s="1"/>
  <c r="G12" i="20"/>
  <c r="H12" i="20" s="1"/>
  <c r="G13" i="20"/>
  <c r="H13" i="20" s="1"/>
  <c r="G14" i="20"/>
  <c r="H119" i="20" s="1"/>
  <c r="G15" i="20"/>
  <c r="H120" i="20" s="1"/>
  <c r="G16" i="20"/>
  <c r="H121" i="20" s="1"/>
  <c r="G17" i="20"/>
  <c r="H17" i="20" s="1"/>
  <c r="G18" i="20"/>
  <c r="H123" i="20" s="1"/>
  <c r="G19" i="20"/>
  <c r="H19" i="20" s="1"/>
  <c r="G20" i="20"/>
  <c r="H20" i="20" s="1"/>
  <c r="G21" i="20"/>
  <c r="H21" i="20" s="1"/>
  <c r="G22" i="20"/>
  <c r="H127" i="20" s="1"/>
  <c r="G23" i="20"/>
  <c r="G24" i="20"/>
  <c r="H129" i="20" s="1"/>
  <c r="G25" i="20"/>
  <c r="H25" i="20" s="1"/>
  <c r="K25" i="20" s="1"/>
  <c r="L25" i="20" s="1"/>
  <c r="N25" i="20" s="1"/>
  <c r="G26" i="20"/>
  <c r="H26" i="20" s="1"/>
  <c r="G27" i="20"/>
  <c r="H27" i="20" s="1"/>
  <c r="G28" i="20"/>
  <c r="H28" i="20" s="1"/>
  <c r="K28" i="20" s="1"/>
  <c r="L28" i="20" s="1"/>
  <c r="N28" i="20" s="1"/>
  <c r="G29" i="20"/>
  <c r="H29" i="20" s="1"/>
  <c r="K29" i="20" s="1"/>
  <c r="L29" i="20" s="1"/>
  <c r="N29" i="20" s="1"/>
  <c r="G30" i="20"/>
  <c r="H135" i="20" s="1"/>
  <c r="K135" i="20" s="1"/>
  <c r="L135" i="20" s="1"/>
  <c r="G31" i="20"/>
  <c r="H136" i="20" s="1"/>
  <c r="K136" i="20" s="1"/>
  <c r="L136" i="20" s="1"/>
  <c r="G32" i="20"/>
  <c r="H137" i="20" s="1"/>
  <c r="G33" i="20"/>
  <c r="H138" i="20" s="1"/>
  <c r="G34" i="20"/>
  <c r="H139" i="20" s="1"/>
  <c r="K139" i="20" s="1"/>
  <c r="L139" i="20" s="1"/>
  <c r="G35" i="20"/>
  <c r="H140" i="20" s="1"/>
  <c r="G36" i="20"/>
  <c r="H36" i="20" s="1"/>
  <c r="K36" i="20" s="1"/>
  <c r="L36" i="20" s="1"/>
  <c r="N36" i="20" s="1"/>
  <c r="G37" i="20"/>
  <c r="H142" i="20" s="1"/>
  <c r="G38" i="20"/>
  <c r="H38" i="20" s="1"/>
  <c r="G39" i="20"/>
  <c r="H39" i="20" s="1"/>
  <c r="G40" i="20"/>
  <c r="H40" i="20" s="1"/>
  <c r="G41" i="20"/>
  <c r="H146" i="20" s="1"/>
  <c r="G42" i="20"/>
  <c r="H147" i="20" s="1"/>
  <c r="G43" i="20"/>
  <c r="G44" i="20"/>
  <c r="H44" i="20" s="1"/>
  <c r="G45" i="20"/>
  <c r="G46" i="20"/>
  <c r="H46" i="20" s="1"/>
  <c r="G47" i="20"/>
  <c r="H47" i="20" s="1"/>
  <c r="G48" i="20"/>
  <c r="H48" i="20" s="1"/>
  <c r="G49" i="20"/>
  <c r="H154" i="20" s="1"/>
  <c r="K154" i="20" s="1"/>
  <c r="L154" i="20" s="1"/>
  <c r="G50" i="20"/>
  <c r="H197" i="20" s="1"/>
  <c r="G51" i="20"/>
  <c r="H198" i="20" s="1"/>
  <c r="K198" i="20" s="1"/>
  <c r="L198" i="20" s="1"/>
  <c r="G52" i="20"/>
  <c r="H199" i="20" s="1"/>
  <c r="K199" i="20" s="1"/>
  <c r="L199" i="20" s="1"/>
  <c r="G53" i="20"/>
  <c r="H158" i="20" s="1"/>
  <c r="G54" i="20"/>
  <c r="G55" i="20"/>
  <c r="H55" i="20" s="1"/>
  <c r="K55" i="20" s="1"/>
  <c r="L55" i="20" s="1"/>
  <c r="N55" i="20" s="1"/>
  <c r="G56" i="20"/>
  <c r="H56" i="20" s="1"/>
  <c r="K56" i="20" s="1"/>
  <c r="L56" i="20" s="1"/>
  <c r="N56" i="20" s="1"/>
  <c r="G57" i="20"/>
  <c r="H162" i="20" s="1"/>
  <c r="K162" i="20" s="1"/>
  <c r="L162" i="20" s="1"/>
  <c r="G58" i="20"/>
  <c r="G59" i="20"/>
  <c r="H164" i="20" s="1"/>
  <c r="K164" i="20" s="1"/>
  <c r="L164" i="20" s="1"/>
  <c r="G60" i="20"/>
  <c r="H60" i="20" s="1"/>
  <c r="K60" i="20" s="1"/>
  <c r="L60" i="20" s="1"/>
  <c r="N60" i="20" s="1"/>
  <c r="G61" i="20"/>
  <c r="H166" i="20" s="1"/>
  <c r="G62" i="20"/>
  <c r="H62" i="20" s="1"/>
  <c r="K62" i="20" s="1"/>
  <c r="L62" i="20" s="1"/>
  <c r="N62" i="20" s="1"/>
  <c r="G63" i="20"/>
  <c r="H63" i="20" s="1"/>
  <c r="G64" i="20"/>
  <c r="H64" i="20" s="1"/>
  <c r="K64" i="20" s="1"/>
  <c r="L64" i="20" s="1"/>
  <c r="N64" i="20" s="1"/>
  <c r="G65" i="20"/>
  <c r="H170" i="20" s="1"/>
  <c r="G66" i="20"/>
  <c r="H171" i="20" s="1"/>
  <c r="G67" i="20"/>
  <c r="H172" i="20" s="1"/>
  <c r="G68" i="20"/>
  <c r="H68" i="20" s="1"/>
  <c r="K68" i="20" s="1"/>
  <c r="L68" i="20" s="1"/>
  <c r="N68" i="20" s="1"/>
  <c r="G69" i="20"/>
  <c r="H174" i="20" s="1"/>
  <c r="G70" i="20"/>
  <c r="H70" i="20" s="1"/>
  <c r="G71" i="20"/>
  <c r="H71" i="20" s="1"/>
  <c r="K71" i="20" s="1"/>
  <c r="L71" i="20" s="1"/>
  <c r="N71" i="20" s="1"/>
  <c r="G72" i="20"/>
  <c r="H72" i="20" s="1"/>
  <c r="K72" i="20" s="1"/>
  <c r="L72" i="20" s="1"/>
  <c r="N72" i="20" s="1"/>
  <c r="G73" i="20"/>
  <c r="H73" i="20" s="1"/>
  <c r="G74" i="20"/>
  <c r="H74" i="20" s="1"/>
  <c r="G75" i="20"/>
  <c r="H178" i="20" s="1"/>
  <c r="G76" i="20"/>
  <c r="H76" i="20" s="1"/>
  <c r="G77" i="20"/>
  <c r="H77" i="20" s="1"/>
  <c r="G78" i="20"/>
  <c r="H78" i="20" s="1"/>
  <c r="G79" i="20"/>
  <c r="H206" i="20" s="1"/>
  <c r="K206" i="20" s="1"/>
  <c r="L206" i="20" s="1"/>
  <c r="G80" i="20"/>
  <c r="H207" i="20" s="1"/>
  <c r="K207" i="20" s="1"/>
  <c r="L207" i="20" s="1"/>
  <c r="G81" i="20"/>
  <c r="H208" i="20" s="1"/>
  <c r="G82" i="20"/>
  <c r="H209" i="20" s="1"/>
  <c r="K209" i="20" s="1"/>
  <c r="L209" i="20" s="1"/>
  <c r="G83" i="20"/>
  <c r="H210" i="20" s="1"/>
  <c r="K210" i="20" s="1"/>
  <c r="L210" i="20" s="1"/>
  <c r="G84" i="20"/>
  <c r="H84" i="20" s="1"/>
  <c r="K84" i="20" s="1"/>
  <c r="L84" i="20" s="1"/>
  <c r="N84" i="20" s="1"/>
  <c r="G85" i="20"/>
  <c r="H85" i="20" s="1"/>
  <c r="K85" i="20" s="1"/>
  <c r="L85" i="20" s="1"/>
  <c r="N85" i="20" s="1"/>
  <c r="G86" i="20"/>
  <c r="H86" i="20" s="1"/>
  <c r="K86" i="20" s="1"/>
  <c r="L86" i="20" s="1"/>
  <c r="N86" i="20" s="1"/>
  <c r="G87" i="20"/>
  <c r="H214" i="20" s="1"/>
  <c r="K214" i="20" s="1"/>
  <c r="L214" i="20" s="1"/>
  <c r="G88" i="20"/>
  <c r="H215" i="20" s="1"/>
  <c r="K215" i="20" s="1"/>
  <c r="L215" i="20" s="1"/>
  <c r="G89" i="20"/>
  <c r="G90" i="20"/>
  <c r="G91" i="20"/>
  <c r="G92" i="20"/>
  <c r="H92" i="20" s="1"/>
  <c r="G93" i="20"/>
  <c r="H93" i="20" s="1"/>
  <c r="G94" i="20"/>
  <c r="H94" i="20" s="1"/>
  <c r="G95" i="20"/>
  <c r="K222" i="20" s="1"/>
  <c r="L222" i="20" s="1"/>
  <c r="G96" i="20"/>
  <c r="G97" i="20"/>
  <c r="G98" i="20"/>
  <c r="H98" i="20" s="1"/>
  <c r="K98" i="20" s="1"/>
  <c r="L98" i="20" s="1"/>
  <c r="N98" i="20" s="1"/>
  <c r="G99" i="20"/>
  <c r="G100" i="20"/>
  <c r="H100" i="20" s="1"/>
  <c r="K100" i="20" s="1"/>
  <c r="L100" i="20" s="1"/>
  <c r="N100" i="20" s="1"/>
  <c r="G101" i="20"/>
  <c r="H226" i="20" s="1"/>
  <c r="K226" i="20" s="1"/>
  <c r="L226" i="20" s="1"/>
  <c r="G102" i="20"/>
  <c r="H227" i="20" s="1"/>
  <c r="K227" i="20" s="1"/>
  <c r="L227" i="20" s="1"/>
  <c r="G103" i="20"/>
  <c r="H103" i="20" s="1"/>
  <c r="K103" i="20" s="1"/>
  <c r="L103" i="20" s="1"/>
  <c r="N103" i="20" s="1"/>
  <c r="G104" i="20"/>
  <c r="H104" i="20" s="1"/>
  <c r="K104" i="20" s="1"/>
  <c r="L104" i="20" s="1"/>
  <c r="N104" i="20" s="1"/>
  <c r="G105" i="20"/>
  <c r="H230" i="20" s="1"/>
  <c r="K230" i="20" s="1"/>
  <c r="L230" i="20" s="1"/>
  <c r="G106" i="20"/>
  <c r="H181" i="20" s="1"/>
  <c r="K181" i="20" s="1"/>
  <c r="L181" i="20" s="1"/>
  <c r="N181" i="20" s="1"/>
  <c r="G107" i="20"/>
  <c r="H232" i="20" s="1"/>
  <c r="K232" i="20" s="1"/>
  <c r="L232" i="20" s="1"/>
  <c r="G108" i="20"/>
  <c r="H182" i="20" s="1"/>
  <c r="K182" i="20" s="1"/>
  <c r="L182" i="20" s="1"/>
  <c r="G109" i="20"/>
  <c r="H109" i="20" s="1"/>
  <c r="K109" i="20" s="1"/>
  <c r="L109" i="20" s="1"/>
  <c r="N109" i="20" s="1"/>
  <c r="G110" i="20"/>
  <c r="H110" i="20" s="1"/>
  <c r="G111" i="20"/>
  <c r="H111" i="20" s="1"/>
  <c r="K111" i="20" s="1"/>
  <c r="L111" i="20" s="1"/>
  <c r="N111" i="20" s="1"/>
  <c r="G9" i="20"/>
  <c r="H9" i="20" s="1"/>
  <c r="K192" i="20"/>
  <c r="L192" i="20" s="1"/>
  <c r="J192" i="20"/>
  <c r="K190" i="20"/>
  <c r="L190" i="20" s="1"/>
  <c r="O190" i="20" s="1"/>
  <c r="P190" i="20" s="1"/>
  <c r="J190" i="20"/>
  <c r="F112" i="20"/>
  <c r="O111" i="20"/>
  <c r="O110" i="20"/>
  <c r="O109" i="20"/>
  <c r="O108" i="20"/>
  <c r="O107" i="20"/>
  <c r="O106" i="20"/>
  <c r="O105" i="20"/>
  <c r="O104" i="20"/>
  <c r="O103" i="20"/>
  <c r="O102" i="20"/>
  <c r="O101" i="20"/>
  <c r="O100" i="20"/>
  <c r="O99" i="20"/>
  <c r="O98" i="20"/>
  <c r="O97" i="20"/>
  <c r="O96" i="20"/>
  <c r="O95" i="20"/>
  <c r="O94" i="20"/>
  <c r="O93" i="20"/>
  <c r="O92" i="20"/>
  <c r="O91" i="20"/>
  <c r="O90" i="20"/>
  <c r="O89" i="20"/>
  <c r="O88" i="20"/>
  <c r="O87" i="20"/>
  <c r="O86" i="20"/>
  <c r="O85" i="20"/>
  <c r="O84" i="20"/>
  <c r="O83" i="20"/>
  <c r="O82" i="20"/>
  <c r="O81" i="20"/>
  <c r="O80" i="20"/>
  <c r="O79" i="20"/>
  <c r="O78" i="20"/>
  <c r="O77" i="20"/>
  <c r="O76" i="20"/>
  <c r="O75" i="20"/>
  <c r="O74" i="20"/>
  <c r="O73" i="20"/>
  <c r="O72" i="20"/>
  <c r="O71" i="20"/>
  <c r="O70" i="20"/>
  <c r="O69" i="20"/>
  <c r="O68" i="20"/>
  <c r="O67" i="20"/>
  <c r="O66" i="20"/>
  <c r="O65" i="20"/>
  <c r="O64" i="20"/>
  <c r="O63" i="20"/>
  <c r="O62" i="20"/>
  <c r="O61" i="20"/>
  <c r="O60" i="20"/>
  <c r="O59" i="20"/>
  <c r="O58" i="20"/>
  <c r="O57" i="20"/>
  <c r="O56" i="20"/>
  <c r="O55" i="20"/>
  <c r="O54" i="20"/>
  <c r="O53" i="20"/>
  <c r="O52" i="20"/>
  <c r="O51" i="20"/>
  <c r="O50" i="20"/>
  <c r="O49" i="20"/>
  <c r="O48" i="20"/>
  <c r="O47" i="20"/>
  <c r="O46" i="20"/>
  <c r="O45" i="20"/>
  <c r="O44" i="20"/>
  <c r="O43" i="20"/>
  <c r="O42" i="20"/>
  <c r="O41" i="20"/>
  <c r="O40" i="20"/>
  <c r="O39" i="20"/>
  <c r="O38" i="20"/>
  <c r="O37" i="20"/>
  <c r="O36" i="20"/>
  <c r="O35" i="20"/>
  <c r="O34" i="20"/>
  <c r="O33" i="20"/>
  <c r="O32" i="20"/>
  <c r="O31" i="20"/>
  <c r="O30" i="20"/>
  <c r="O29" i="20"/>
  <c r="O28" i="20"/>
  <c r="O27" i="20"/>
  <c r="O26" i="20"/>
  <c r="O25" i="20"/>
  <c r="O24" i="20"/>
  <c r="O23" i="20"/>
  <c r="O22" i="20"/>
  <c r="O21" i="20"/>
  <c r="O20" i="20"/>
  <c r="O19" i="20"/>
  <c r="O18" i="20"/>
  <c r="O17" i="20"/>
  <c r="O16" i="20"/>
  <c r="O15" i="20"/>
  <c r="O14" i="20"/>
  <c r="O13" i="20"/>
  <c r="O12" i="20"/>
  <c r="O11" i="20"/>
  <c r="O10" i="20"/>
  <c r="O9" i="20"/>
  <c r="D161" i="17"/>
  <c r="D158" i="16"/>
  <c r="D158" i="15"/>
  <c r="F143" i="7"/>
  <c r="F141" i="6"/>
  <c r="G141" i="6" s="1"/>
  <c r="J190" i="19"/>
  <c r="K190" i="19" s="1"/>
  <c r="M190" i="19" s="1"/>
  <c r="J192" i="19"/>
  <c r="K192" i="19" s="1"/>
  <c r="N192" i="19" s="1"/>
  <c r="O192" i="19" s="1"/>
  <c r="J246" i="19"/>
  <c r="K246" i="19" s="1"/>
  <c r="J247" i="19"/>
  <c r="K247" i="19" s="1"/>
  <c r="J248" i="19"/>
  <c r="K248" i="19" s="1"/>
  <c r="N248" i="19" s="1"/>
  <c r="O248" i="19" s="1"/>
  <c r="J250" i="19"/>
  <c r="K250" i="19" s="1"/>
  <c r="M250" i="19" s="1"/>
  <c r="J251" i="19"/>
  <c r="K251" i="19" s="1"/>
  <c r="M251" i="19" s="1"/>
  <c r="J252" i="19"/>
  <c r="K252" i="19" s="1"/>
  <c r="J253" i="19"/>
  <c r="K253" i="19" s="1"/>
  <c r="J254" i="19"/>
  <c r="K254" i="19" s="1"/>
  <c r="J255" i="19"/>
  <c r="K255" i="19" s="1"/>
  <c r="J256" i="19"/>
  <c r="K256" i="19" s="1"/>
  <c r="J259" i="19"/>
  <c r="K259" i="19" s="1"/>
  <c r="J260" i="19"/>
  <c r="K260" i="19" s="1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35" i="6"/>
  <c r="M114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9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76" i="6"/>
  <c r="L135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263" i="19" l="1"/>
  <c r="M263" i="19" s="1"/>
  <c r="H160" i="15"/>
  <c r="H165" i="15"/>
  <c r="H163" i="15"/>
  <c r="H168" i="15"/>
  <c r="H167" i="15"/>
  <c r="H164" i="15"/>
  <c r="H166" i="15"/>
  <c r="J168" i="16"/>
  <c r="J165" i="16"/>
  <c r="J167" i="16"/>
  <c r="J163" i="16"/>
  <c r="J166" i="16"/>
  <c r="J164" i="16"/>
  <c r="H168" i="17"/>
  <c r="H167" i="17"/>
  <c r="H171" i="17"/>
  <c r="H170" i="17"/>
  <c r="H166" i="17"/>
  <c r="H169" i="17"/>
  <c r="I54" i="21"/>
  <c r="I136" i="21"/>
  <c r="I86" i="21"/>
  <c r="A40" i="20"/>
  <c r="H225" i="20" s="1"/>
  <c r="I78" i="21"/>
  <c r="J78" i="21" s="1"/>
  <c r="K78" i="21" s="1"/>
  <c r="M78" i="21" s="1"/>
  <c r="H91" i="20"/>
  <c r="J91" i="20" s="1"/>
  <c r="I25" i="21"/>
  <c r="J35" i="21"/>
  <c r="K35" i="21" s="1"/>
  <c r="M35" i="21" s="1"/>
  <c r="I72" i="21"/>
  <c r="I30" i="21"/>
  <c r="J99" i="21"/>
  <c r="K99" i="21" s="1"/>
  <c r="M99" i="21" s="1"/>
  <c r="H32" i="20"/>
  <c r="J32" i="20" s="1"/>
  <c r="K32" i="20" s="1"/>
  <c r="L32" i="20" s="1"/>
  <c r="N32" i="20" s="1"/>
  <c r="A43" i="20"/>
  <c r="H224" i="20" s="1"/>
  <c r="H143" i="20"/>
  <c r="K143" i="20" s="1"/>
  <c r="L143" i="20" s="1"/>
  <c r="O143" i="20" s="1"/>
  <c r="P143" i="20" s="1"/>
  <c r="H228" i="20"/>
  <c r="K228" i="20" s="1"/>
  <c r="L228" i="20" s="1"/>
  <c r="O228" i="20" s="1"/>
  <c r="P228" i="20" s="1"/>
  <c r="A28" i="20"/>
  <c r="K193" i="20" s="1"/>
  <c r="L193" i="20" s="1"/>
  <c r="O193" i="20" s="1"/>
  <c r="P193" i="20" s="1"/>
  <c r="H83" i="20"/>
  <c r="K83" i="20" s="1"/>
  <c r="L83" i="20" s="1"/>
  <c r="N83" i="20" s="1"/>
  <c r="H151" i="20"/>
  <c r="J151" i="20" s="1"/>
  <c r="H75" i="20"/>
  <c r="K75" i="20" s="1"/>
  <c r="L75" i="20" s="1"/>
  <c r="N75" i="20" s="1"/>
  <c r="H24" i="20"/>
  <c r="J24" i="20" s="1"/>
  <c r="H159" i="20"/>
  <c r="K159" i="20" s="1"/>
  <c r="L159" i="20" s="1"/>
  <c r="H67" i="20"/>
  <c r="K67" i="20" s="1"/>
  <c r="L67" i="20" s="1"/>
  <c r="N67" i="20" s="1"/>
  <c r="H18" i="20"/>
  <c r="H167" i="20"/>
  <c r="K167" i="20" s="1"/>
  <c r="L167" i="20" s="1"/>
  <c r="O167" i="20" s="1"/>
  <c r="P167" i="20" s="1"/>
  <c r="H59" i="20"/>
  <c r="H16" i="20"/>
  <c r="H175" i="20"/>
  <c r="K242" i="20"/>
  <c r="L242" i="20" s="1"/>
  <c r="O242" i="20" s="1"/>
  <c r="P242" i="20" s="1"/>
  <c r="A31" i="20"/>
  <c r="H51" i="20"/>
  <c r="K51" i="20" s="1"/>
  <c r="L51" i="20" s="1"/>
  <c r="N51" i="20" s="1"/>
  <c r="H10" i="20"/>
  <c r="K10" i="20" s="1"/>
  <c r="L10" i="20" s="1"/>
  <c r="N10" i="20" s="1"/>
  <c r="A13" i="20"/>
  <c r="J195" i="20" s="1"/>
  <c r="K195" i="20" s="1"/>
  <c r="L195" i="20" s="1"/>
  <c r="H107" i="20"/>
  <c r="K107" i="20" s="1"/>
  <c r="L107" i="20" s="1"/>
  <c r="N107" i="20" s="1"/>
  <c r="H43" i="20"/>
  <c r="J43" i="20" s="1"/>
  <c r="K43" i="20" s="1"/>
  <c r="L43" i="20" s="1"/>
  <c r="N43" i="20" s="1"/>
  <c r="H122" i="20"/>
  <c r="J122" i="20" s="1"/>
  <c r="H99" i="20"/>
  <c r="H35" i="20"/>
  <c r="H130" i="20"/>
  <c r="K130" i="20" s="1"/>
  <c r="L130" i="20" s="1"/>
  <c r="O130" i="20" s="1"/>
  <c r="P130" i="20" s="1"/>
  <c r="J244" i="19"/>
  <c r="K244" i="19" s="1"/>
  <c r="N244" i="19" s="1"/>
  <c r="O244" i="19" s="1"/>
  <c r="M260" i="21"/>
  <c r="I134" i="21"/>
  <c r="I153" i="21"/>
  <c r="J153" i="21" s="1"/>
  <c r="K153" i="21" s="1"/>
  <c r="I157" i="21"/>
  <c r="I10" i="21"/>
  <c r="I95" i="21"/>
  <c r="I123" i="21"/>
  <c r="P157" i="21"/>
  <c r="Q157" i="21" s="1"/>
  <c r="I161" i="21"/>
  <c r="I28" i="21"/>
  <c r="I40" i="21"/>
  <c r="J40" i="21" s="1"/>
  <c r="K40" i="21" s="1"/>
  <c r="M40" i="21" s="1"/>
  <c r="I12" i="21"/>
  <c r="I111" i="21"/>
  <c r="I158" i="21"/>
  <c r="J158" i="21" s="1"/>
  <c r="K158" i="21" s="1"/>
  <c r="I53" i="21"/>
  <c r="J53" i="21" s="1"/>
  <c r="K53" i="21" s="1"/>
  <c r="M53" i="21" s="1"/>
  <c r="I56" i="21"/>
  <c r="I79" i="21"/>
  <c r="I109" i="21"/>
  <c r="J92" i="20"/>
  <c r="K92" i="20" s="1"/>
  <c r="L92" i="20" s="1"/>
  <c r="N92" i="20" s="1"/>
  <c r="J110" i="20"/>
  <c r="K110" i="20"/>
  <c r="L110" i="20" s="1"/>
  <c r="N110" i="20" s="1"/>
  <c r="H200" i="20"/>
  <c r="J146" i="20"/>
  <c r="K146" i="20" s="1"/>
  <c r="L146" i="20" s="1"/>
  <c r="O146" i="20" s="1"/>
  <c r="P146" i="20" s="1"/>
  <c r="J162" i="20"/>
  <c r="H106" i="20"/>
  <c r="K106" i="20" s="1"/>
  <c r="L106" i="20" s="1"/>
  <c r="N106" i="20" s="1"/>
  <c r="H90" i="20"/>
  <c r="K90" i="20" s="1"/>
  <c r="L90" i="20" s="1"/>
  <c r="N90" i="20" s="1"/>
  <c r="H82" i="20"/>
  <c r="K82" i="20" s="1"/>
  <c r="L82" i="20" s="1"/>
  <c r="N82" i="20" s="1"/>
  <c r="H66" i="20"/>
  <c r="H58" i="20"/>
  <c r="J58" i="20" s="1"/>
  <c r="K58" i="20" s="1"/>
  <c r="L58" i="20" s="1"/>
  <c r="N58" i="20" s="1"/>
  <c r="H50" i="20"/>
  <c r="J50" i="20" s="1"/>
  <c r="K50" i="20" s="1"/>
  <c r="L50" i="20" s="1"/>
  <c r="N50" i="20" s="1"/>
  <c r="H42" i="20"/>
  <c r="H34" i="20"/>
  <c r="K34" i="20" s="1"/>
  <c r="L34" i="20" s="1"/>
  <c r="N34" i="20" s="1"/>
  <c r="H152" i="20"/>
  <c r="J152" i="20" s="1"/>
  <c r="H160" i="20"/>
  <c r="K160" i="20" s="1"/>
  <c r="L160" i="20" s="1"/>
  <c r="O160" i="20" s="1"/>
  <c r="P160" i="20" s="1"/>
  <c r="J168" i="20"/>
  <c r="K168" i="20" s="1"/>
  <c r="L168" i="20" s="1"/>
  <c r="N168" i="20" s="1"/>
  <c r="H176" i="20"/>
  <c r="J176" i="20" s="1"/>
  <c r="H184" i="20"/>
  <c r="K184" i="20" s="1"/>
  <c r="L184" i="20" s="1"/>
  <c r="O184" i="20" s="1"/>
  <c r="P184" i="20" s="1"/>
  <c r="A37" i="20"/>
  <c r="H233" i="20" s="1"/>
  <c r="K233" i="20" s="1"/>
  <c r="L233" i="20" s="1"/>
  <c r="O233" i="20" s="1"/>
  <c r="P233" i="20" s="1"/>
  <c r="H211" i="20"/>
  <c r="K211" i="20" s="1"/>
  <c r="L211" i="20" s="1"/>
  <c r="N211" i="20" s="1"/>
  <c r="J219" i="20"/>
  <c r="H229" i="20"/>
  <c r="K229" i="20" s="1"/>
  <c r="L229" i="20" s="1"/>
  <c r="O229" i="20" s="1"/>
  <c r="P229" i="20" s="1"/>
  <c r="J71" i="20"/>
  <c r="J83" i="20"/>
  <c r="J214" i="20"/>
  <c r="H105" i="20"/>
  <c r="K105" i="20" s="1"/>
  <c r="L105" i="20" s="1"/>
  <c r="N105" i="20" s="1"/>
  <c r="H97" i="20"/>
  <c r="H89" i="20"/>
  <c r="K89" i="20" s="1"/>
  <c r="L89" i="20" s="1"/>
  <c r="N89" i="20" s="1"/>
  <c r="H81" i="20"/>
  <c r="H65" i="20"/>
  <c r="K65" i="20" s="1"/>
  <c r="L65" i="20" s="1"/>
  <c r="N65" i="20" s="1"/>
  <c r="H57" i="20"/>
  <c r="K57" i="20" s="1"/>
  <c r="L57" i="20" s="1"/>
  <c r="N57" i="20" s="1"/>
  <c r="H49" i="20"/>
  <c r="K49" i="20" s="1"/>
  <c r="L49" i="20" s="1"/>
  <c r="N49" i="20" s="1"/>
  <c r="H41" i="20"/>
  <c r="H33" i="20"/>
  <c r="J33" i="20" s="1"/>
  <c r="K33" i="20" s="1"/>
  <c r="L33" i="20" s="1"/>
  <c r="N33" i="20" s="1"/>
  <c r="H153" i="20"/>
  <c r="H161" i="20"/>
  <c r="K161" i="20" s="1"/>
  <c r="L161" i="20" s="1"/>
  <c r="O161" i="20" s="1"/>
  <c r="P161" i="20" s="1"/>
  <c r="H169" i="20"/>
  <c r="J169" i="20" s="1"/>
  <c r="H177" i="20"/>
  <c r="K177" i="20" s="1"/>
  <c r="L177" i="20" s="1"/>
  <c r="N177" i="20" s="1"/>
  <c r="H185" i="20"/>
  <c r="K185" i="20" s="1"/>
  <c r="L185" i="20" s="1"/>
  <c r="N185" i="20" s="1"/>
  <c r="H212" i="20"/>
  <c r="K212" i="20" s="1"/>
  <c r="L212" i="20" s="1"/>
  <c r="O212" i="20" s="1"/>
  <c r="P212" i="20" s="1"/>
  <c r="J63" i="20"/>
  <c r="K63" i="20" s="1"/>
  <c r="L63" i="20" s="1"/>
  <c r="N63" i="20" s="1"/>
  <c r="J78" i="20"/>
  <c r="K78" i="20" s="1"/>
  <c r="L78" i="20" s="1"/>
  <c r="N78" i="20" s="1"/>
  <c r="A16" i="20"/>
  <c r="H96" i="20"/>
  <c r="H88" i="20"/>
  <c r="K88" i="20" s="1"/>
  <c r="L88" i="20" s="1"/>
  <c r="N88" i="20" s="1"/>
  <c r="H80" i="20"/>
  <c r="K80" i="20" s="1"/>
  <c r="L80" i="20" s="1"/>
  <c r="N80" i="20" s="1"/>
  <c r="H205" i="20"/>
  <c r="H213" i="20"/>
  <c r="K213" i="20" s="1"/>
  <c r="L213" i="20" s="1"/>
  <c r="O213" i="20" s="1"/>
  <c r="P213" i="20" s="1"/>
  <c r="J221" i="20"/>
  <c r="K221" i="20" s="1"/>
  <c r="L221" i="20" s="1"/>
  <c r="H231" i="20"/>
  <c r="K231" i="20" s="1"/>
  <c r="L231" i="20" s="1"/>
  <c r="N231" i="20" s="1"/>
  <c r="J40" i="20"/>
  <c r="K40" i="20" s="1"/>
  <c r="L40" i="20" s="1"/>
  <c r="N40" i="20" s="1"/>
  <c r="H183" i="20"/>
  <c r="K183" i="20" s="1"/>
  <c r="L183" i="20" s="1"/>
  <c r="N183" i="20" s="1"/>
  <c r="J154" i="20"/>
  <c r="J159" i="20"/>
  <c r="J164" i="20"/>
  <c r="J206" i="20"/>
  <c r="J210" i="20"/>
  <c r="H95" i="20"/>
  <c r="K95" i="20" s="1"/>
  <c r="L95" i="20" s="1"/>
  <c r="N95" i="20" s="1"/>
  <c r="H87" i="20"/>
  <c r="K87" i="20" s="1"/>
  <c r="L87" i="20" s="1"/>
  <c r="N87" i="20" s="1"/>
  <c r="H79" i="20"/>
  <c r="K79" i="20" s="1"/>
  <c r="L79" i="20" s="1"/>
  <c r="N79" i="20" s="1"/>
  <c r="H155" i="20"/>
  <c r="J155" i="20" s="1"/>
  <c r="K155" i="20" s="1"/>
  <c r="L155" i="20" s="1"/>
  <c r="J163" i="20"/>
  <c r="K163" i="20" s="1"/>
  <c r="L163" i="20" s="1"/>
  <c r="H179" i="20"/>
  <c r="A19" i="20"/>
  <c r="H188" i="20" s="1"/>
  <c r="K188" i="20" s="1"/>
  <c r="L188" i="20" s="1"/>
  <c r="N188" i="20" s="1"/>
  <c r="H196" i="20"/>
  <c r="K196" i="20" s="1"/>
  <c r="L196" i="20" s="1"/>
  <c r="O196" i="20" s="1"/>
  <c r="P196" i="20" s="1"/>
  <c r="A34" i="20"/>
  <c r="J201" i="20" s="1"/>
  <c r="K201" i="20" s="1"/>
  <c r="L201" i="20" s="1"/>
  <c r="J76" i="20"/>
  <c r="K76" i="20" s="1"/>
  <c r="L76" i="20" s="1"/>
  <c r="N76" i="20" s="1"/>
  <c r="J104" i="20"/>
  <c r="J222" i="20"/>
  <c r="H102" i="20"/>
  <c r="K102" i="20" s="1"/>
  <c r="L102" i="20" s="1"/>
  <c r="N102" i="20" s="1"/>
  <c r="H54" i="20"/>
  <c r="K54" i="20" s="1"/>
  <c r="L54" i="20" s="1"/>
  <c r="N54" i="20" s="1"/>
  <c r="H156" i="20"/>
  <c r="K156" i="20" s="1"/>
  <c r="L156" i="20" s="1"/>
  <c r="O156" i="20" s="1"/>
  <c r="P156" i="20" s="1"/>
  <c r="H180" i="20"/>
  <c r="J180" i="20" s="1"/>
  <c r="A25" i="20"/>
  <c r="J204" i="20" s="1"/>
  <c r="K204" i="20" s="1"/>
  <c r="L204" i="20" s="1"/>
  <c r="H234" i="20"/>
  <c r="K234" i="20" s="1"/>
  <c r="L234" i="20" s="1"/>
  <c r="O234" i="20" s="1"/>
  <c r="P234" i="20" s="1"/>
  <c r="J208" i="20"/>
  <c r="K208" i="20" s="1"/>
  <c r="L208" i="20" s="1"/>
  <c r="J64" i="20"/>
  <c r="J138" i="20"/>
  <c r="K138" i="20" s="1"/>
  <c r="L138" i="20" s="1"/>
  <c r="J143" i="20"/>
  <c r="H101" i="20"/>
  <c r="K101" i="20" s="1"/>
  <c r="L101" i="20" s="1"/>
  <c r="N101" i="20" s="1"/>
  <c r="H69" i="20"/>
  <c r="K69" i="20" s="1"/>
  <c r="L69" i="20" s="1"/>
  <c r="N69" i="20" s="1"/>
  <c r="H61" i="20"/>
  <c r="J61" i="20" s="1"/>
  <c r="H53" i="20"/>
  <c r="J53" i="20" s="1"/>
  <c r="H45" i="20"/>
  <c r="J45" i="20" s="1"/>
  <c r="K45" i="20" s="1"/>
  <c r="L45" i="20" s="1"/>
  <c r="N45" i="20" s="1"/>
  <c r="H37" i="20"/>
  <c r="J37" i="20" s="1"/>
  <c r="K37" i="20" s="1"/>
  <c r="L37" i="20" s="1"/>
  <c r="N37" i="20" s="1"/>
  <c r="H141" i="20"/>
  <c r="K141" i="20" s="1"/>
  <c r="L141" i="20" s="1"/>
  <c r="N141" i="20" s="1"/>
  <c r="H149" i="20"/>
  <c r="J149" i="20" s="1"/>
  <c r="K149" i="20" s="1"/>
  <c r="L149" i="20" s="1"/>
  <c r="H157" i="20"/>
  <c r="K157" i="20" s="1"/>
  <c r="L157" i="20" s="1"/>
  <c r="O157" i="20" s="1"/>
  <c r="P157" i="20" s="1"/>
  <c r="H165" i="20"/>
  <c r="K165" i="20" s="1"/>
  <c r="L165" i="20" s="1"/>
  <c r="O165" i="20" s="1"/>
  <c r="P165" i="20" s="1"/>
  <c r="H173" i="20"/>
  <c r="K173" i="20" s="1"/>
  <c r="L173" i="20" s="1"/>
  <c r="J93" i="20"/>
  <c r="K93" i="20" s="1"/>
  <c r="L93" i="20" s="1"/>
  <c r="N93" i="20" s="1"/>
  <c r="J218" i="20"/>
  <c r="H108" i="20"/>
  <c r="K108" i="20" s="1"/>
  <c r="L108" i="20" s="1"/>
  <c r="N108" i="20" s="1"/>
  <c r="H52" i="20"/>
  <c r="K52" i="20" s="1"/>
  <c r="L52" i="20" s="1"/>
  <c r="N52" i="20" s="1"/>
  <c r="J135" i="20"/>
  <c r="J131" i="20"/>
  <c r="K116" i="20"/>
  <c r="L116" i="20" s="1"/>
  <c r="O116" i="20" s="1"/>
  <c r="P116" i="20" s="1"/>
  <c r="H132" i="20"/>
  <c r="J132" i="20" s="1"/>
  <c r="J127" i="20"/>
  <c r="K127" i="20" s="1"/>
  <c r="L127" i="20" s="1"/>
  <c r="O127" i="20" s="1"/>
  <c r="P127" i="20" s="1"/>
  <c r="J137" i="20"/>
  <c r="H31" i="20"/>
  <c r="K31" i="20" s="1"/>
  <c r="L31" i="20" s="1"/>
  <c r="N31" i="20" s="1"/>
  <c r="H23" i="20"/>
  <c r="J23" i="20" s="1"/>
  <c r="K23" i="20" s="1"/>
  <c r="L23" i="20" s="1"/>
  <c r="N23" i="20" s="1"/>
  <c r="H15" i="20"/>
  <c r="J15" i="20" s="1"/>
  <c r="K15" i="20" s="1"/>
  <c r="L15" i="20" s="1"/>
  <c r="N15" i="20" s="1"/>
  <c r="J117" i="20"/>
  <c r="K117" i="20" s="1"/>
  <c r="L117" i="20" s="1"/>
  <c r="H125" i="20"/>
  <c r="J125" i="20" s="1"/>
  <c r="K125" i="20" s="1"/>
  <c r="L125" i="20" s="1"/>
  <c r="H133" i="20"/>
  <c r="K133" i="20" s="1"/>
  <c r="L133" i="20" s="1"/>
  <c r="O133" i="20" s="1"/>
  <c r="P133" i="20" s="1"/>
  <c r="A22" i="20"/>
  <c r="J189" i="20" s="1"/>
  <c r="K189" i="20" s="1"/>
  <c r="L189" i="20" s="1"/>
  <c r="J121" i="20"/>
  <c r="H30" i="20"/>
  <c r="K30" i="20" s="1"/>
  <c r="L30" i="20" s="1"/>
  <c r="N30" i="20" s="1"/>
  <c r="H22" i="20"/>
  <c r="J22" i="20" s="1"/>
  <c r="K22" i="20" s="1"/>
  <c r="L22" i="20" s="1"/>
  <c r="N22" i="20" s="1"/>
  <c r="H14" i="20"/>
  <c r="J14" i="20" s="1"/>
  <c r="K14" i="20" s="1"/>
  <c r="L14" i="20" s="1"/>
  <c r="N14" i="20" s="1"/>
  <c r="H118" i="20"/>
  <c r="J118" i="20" s="1"/>
  <c r="K118" i="20" s="1"/>
  <c r="L118" i="20" s="1"/>
  <c r="O118" i="20" s="1"/>
  <c r="P118" i="20" s="1"/>
  <c r="H126" i="20"/>
  <c r="J126" i="20" s="1"/>
  <c r="K126" i="20" s="1"/>
  <c r="L126" i="20" s="1"/>
  <c r="O126" i="20" s="1"/>
  <c r="P126" i="20" s="1"/>
  <c r="H134" i="20"/>
  <c r="K134" i="20" s="1"/>
  <c r="L134" i="20" s="1"/>
  <c r="O134" i="20" s="1"/>
  <c r="P134" i="20" s="1"/>
  <c r="G112" i="20"/>
  <c r="H261" i="20" s="1"/>
  <c r="J261" i="20" s="1"/>
  <c r="K261" i="20" s="1"/>
  <c r="L261" i="20" s="1"/>
  <c r="J28" i="20"/>
  <c r="H124" i="20"/>
  <c r="J124" i="20" s="1"/>
  <c r="K124" i="20" s="1"/>
  <c r="L124" i="20" s="1"/>
  <c r="J114" i="20"/>
  <c r="K114" i="20" s="1"/>
  <c r="L114" i="20" s="1"/>
  <c r="N114" i="20" s="1"/>
  <c r="A10" i="20"/>
  <c r="J187" i="20" s="1"/>
  <c r="K187" i="20" s="1"/>
  <c r="L187" i="20" s="1"/>
  <c r="J240" i="19"/>
  <c r="J241" i="19"/>
  <c r="K244" i="20"/>
  <c r="L244" i="20" s="1"/>
  <c r="O244" i="20" s="1"/>
  <c r="P244" i="20" s="1"/>
  <c r="K245" i="20"/>
  <c r="L245" i="20" s="1"/>
  <c r="O245" i="20" s="1"/>
  <c r="P245" i="20" s="1"/>
  <c r="N251" i="20"/>
  <c r="O251" i="20"/>
  <c r="P251" i="20" s="1"/>
  <c r="N246" i="20"/>
  <c r="N250" i="20"/>
  <c r="O250" i="20"/>
  <c r="P250" i="20" s="1"/>
  <c r="O253" i="20"/>
  <c r="P253" i="20" s="1"/>
  <c r="N253" i="20"/>
  <c r="O256" i="20"/>
  <c r="P256" i="20" s="1"/>
  <c r="N256" i="20"/>
  <c r="O255" i="20"/>
  <c r="P255" i="20" s="1"/>
  <c r="N255" i="20"/>
  <c r="N260" i="20"/>
  <c r="O260" i="20"/>
  <c r="P260" i="20" s="1"/>
  <c r="O247" i="20"/>
  <c r="P247" i="20" s="1"/>
  <c r="N247" i="20"/>
  <c r="N252" i="20"/>
  <c r="O252" i="20"/>
  <c r="P252" i="20" s="1"/>
  <c r="N248" i="20"/>
  <c r="N259" i="20"/>
  <c r="N240" i="20"/>
  <c r="N241" i="20"/>
  <c r="N243" i="20"/>
  <c r="N254" i="20"/>
  <c r="M259" i="21"/>
  <c r="M28" i="21"/>
  <c r="I18" i="21"/>
  <c r="J18" i="21" s="1"/>
  <c r="K18" i="21" s="1"/>
  <c r="M18" i="21" s="1"/>
  <c r="I51" i="21"/>
  <c r="I68" i="21"/>
  <c r="I70" i="21"/>
  <c r="J70" i="21" s="1"/>
  <c r="K70" i="21" s="1"/>
  <c r="M70" i="21" s="1"/>
  <c r="I75" i="21"/>
  <c r="I93" i="21"/>
  <c r="J93" i="21" s="1"/>
  <c r="K93" i="21" s="1"/>
  <c r="I98" i="21"/>
  <c r="I114" i="21"/>
  <c r="I118" i="21"/>
  <c r="I152" i="21"/>
  <c r="J152" i="21" s="1"/>
  <c r="K152" i="21" s="1"/>
  <c r="I166" i="21"/>
  <c r="J166" i="21" s="1"/>
  <c r="K166" i="21" s="1"/>
  <c r="J66" i="21"/>
  <c r="K66" i="21" s="1"/>
  <c r="M66" i="21" s="1"/>
  <c r="I130" i="21"/>
  <c r="I182" i="21"/>
  <c r="I19" i="21"/>
  <c r="J19" i="21" s="1"/>
  <c r="K19" i="21" s="1"/>
  <c r="I42" i="21"/>
  <c r="J42" i="21" s="1"/>
  <c r="K42" i="21" s="1"/>
  <c r="M42" i="21" s="1"/>
  <c r="I94" i="21"/>
  <c r="J94" i="21" s="1"/>
  <c r="K94" i="21" s="1"/>
  <c r="I47" i="21"/>
  <c r="J47" i="21" s="1"/>
  <c r="K47" i="21" s="1"/>
  <c r="M47" i="21" s="1"/>
  <c r="I45" i="21"/>
  <c r="J45" i="21" s="1"/>
  <c r="K45" i="21" s="1"/>
  <c r="M45" i="21" s="1"/>
  <c r="I50" i="21"/>
  <c r="J50" i="21" s="1"/>
  <c r="K50" i="21" s="1"/>
  <c r="M50" i="21" s="1"/>
  <c r="I29" i="21"/>
  <c r="I129" i="21"/>
  <c r="J129" i="21" s="1"/>
  <c r="K129" i="21" s="1"/>
  <c r="I143" i="21"/>
  <c r="I151" i="21"/>
  <c r="J151" i="21" s="1"/>
  <c r="K151" i="21" s="1"/>
  <c r="P165" i="21"/>
  <c r="Q165" i="21" s="1"/>
  <c r="I199" i="21"/>
  <c r="I38" i="21"/>
  <c r="I55" i="21"/>
  <c r="I71" i="21"/>
  <c r="I105" i="21"/>
  <c r="I128" i="21"/>
  <c r="I137" i="21"/>
  <c r="J137" i="21" s="1"/>
  <c r="K137" i="21" s="1"/>
  <c r="I14" i="21"/>
  <c r="J14" i="21" s="1"/>
  <c r="K14" i="21" s="1"/>
  <c r="M14" i="21" s="1"/>
  <c r="I48" i="21"/>
  <c r="J48" i="21" s="1"/>
  <c r="K48" i="21" s="1"/>
  <c r="M48" i="21" s="1"/>
  <c r="J63" i="21"/>
  <c r="K63" i="21" s="1"/>
  <c r="M63" i="21" s="1"/>
  <c r="I65" i="21"/>
  <c r="I73" i="21"/>
  <c r="J73" i="21" s="1"/>
  <c r="K73" i="21" s="1"/>
  <c r="M73" i="21" s="1"/>
  <c r="I85" i="21"/>
  <c r="I101" i="21"/>
  <c r="I103" i="21"/>
  <c r="I117" i="21"/>
  <c r="J117" i="21" s="1"/>
  <c r="K117" i="21" s="1"/>
  <c r="I145" i="21"/>
  <c r="J145" i="21" s="1"/>
  <c r="K145" i="21" s="1"/>
  <c r="I159" i="21"/>
  <c r="I175" i="21"/>
  <c r="J175" i="21" s="1"/>
  <c r="K175" i="21" s="1"/>
  <c r="I23" i="21"/>
  <c r="J23" i="21" s="1"/>
  <c r="K23" i="21" s="1"/>
  <c r="I80" i="21"/>
  <c r="I46" i="21"/>
  <c r="J46" i="21" s="1"/>
  <c r="K46" i="21" s="1"/>
  <c r="M46" i="21" s="1"/>
  <c r="I87" i="21"/>
  <c r="I121" i="21"/>
  <c r="I125" i="21"/>
  <c r="J125" i="21" s="1"/>
  <c r="K125" i="21" s="1"/>
  <c r="I135" i="21"/>
  <c r="P172" i="21"/>
  <c r="Q172" i="21" s="1"/>
  <c r="I11" i="21"/>
  <c r="I33" i="21"/>
  <c r="J33" i="21" s="1"/>
  <c r="K33" i="21" s="1"/>
  <c r="I61" i="21"/>
  <c r="J61" i="21" s="1"/>
  <c r="K61" i="21" s="1"/>
  <c r="M61" i="21" s="1"/>
  <c r="I77" i="21"/>
  <c r="I81" i="21"/>
  <c r="J81" i="21" s="1"/>
  <c r="K81" i="21" s="1"/>
  <c r="M81" i="21" s="1"/>
  <c r="I122" i="21"/>
  <c r="J122" i="21" s="1"/>
  <c r="K122" i="21" s="1"/>
  <c r="I154" i="21"/>
  <c r="P182" i="21"/>
  <c r="Q182" i="21" s="1"/>
  <c r="I202" i="21"/>
  <c r="J202" i="21" s="1"/>
  <c r="K202" i="21" s="1"/>
  <c r="I37" i="21"/>
  <c r="J37" i="21" s="1"/>
  <c r="K37" i="21" s="1"/>
  <c r="I102" i="21"/>
  <c r="P170" i="21"/>
  <c r="Q170" i="21" s="1"/>
  <c r="I144" i="21"/>
  <c r="J144" i="21" s="1"/>
  <c r="K144" i="21" s="1"/>
  <c r="P184" i="21"/>
  <c r="Q184" i="21" s="1"/>
  <c r="M184" i="21"/>
  <c r="P115" i="21"/>
  <c r="Q115" i="21" s="1"/>
  <c r="M115" i="21"/>
  <c r="M136" i="21"/>
  <c r="P136" i="21"/>
  <c r="Q136" i="21" s="1"/>
  <c r="P130" i="21"/>
  <c r="Q130" i="21" s="1"/>
  <c r="M130" i="21"/>
  <c r="J77" i="21"/>
  <c r="K77" i="21" s="1"/>
  <c r="M77" i="21" s="1"/>
  <c r="I120" i="21"/>
  <c r="M181" i="21"/>
  <c r="I21" i="21"/>
  <c r="J21" i="21" s="1"/>
  <c r="K21" i="21" s="1"/>
  <c r="M21" i="21" s="1"/>
  <c r="I43" i="21"/>
  <c r="J43" i="21" s="1"/>
  <c r="K43" i="21" s="1"/>
  <c r="M43" i="21" s="1"/>
  <c r="I74" i="21"/>
  <c r="J74" i="21" s="1"/>
  <c r="K74" i="21" s="1"/>
  <c r="M74" i="21" s="1"/>
  <c r="I89" i="21"/>
  <c r="J89" i="21" s="1"/>
  <c r="K89" i="21" s="1"/>
  <c r="P169" i="21"/>
  <c r="Q169" i="21" s="1"/>
  <c r="I180" i="21"/>
  <c r="J180" i="21" s="1"/>
  <c r="K180" i="21" s="1"/>
  <c r="I184" i="21"/>
  <c r="I226" i="21"/>
  <c r="I230" i="21"/>
  <c r="P249" i="21"/>
  <c r="Q249" i="21" s="1"/>
  <c r="I39" i="21"/>
  <c r="J39" i="21" s="1"/>
  <c r="K39" i="21" s="1"/>
  <c r="M39" i="21" s="1"/>
  <c r="I49" i="21"/>
  <c r="I132" i="21"/>
  <c r="J132" i="21" s="1"/>
  <c r="K132" i="21" s="1"/>
  <c r="M173" i="21"/>
  <c r="M247" i="21"/>
  <c r="I17" i="21"/>
  <c r="J17" i="21" s="1"/>
  <c r="K17" i="21" s="1"/>
  <c r="M17" i="21" s="1"/>
  <c r="I69" i="21"/>
  <c r="I139" i="21"/>
  <c r="I141" i="21"/>
  <c r="P161" i="21"/>
  <c r="Q161" i="21" s="1"/>
  <c r="I236" i="21"/>
  <c r="J236" i="21" s="1"/>
  <c r="K236" i="21" s="1"/>
  <c r="I34" i="21"/>
  <c r="I59" i="21"/>
  <c r="I96" i="21"/>
  <c r="J96" i="21" s="1"/>
  <c r="K96" i="21" s="1"/>
  <c r="I115" i="21"/>
  <c r="P185" i="21"/>
  <c r="Q185" i="21" s="1"/>
  <c r="I52" i="21"/>
  <c r="I83" i="21"/>
  <c r="I97" i="21"/>
  <c r="J97" i="21" s="1"/>
  <c r="K97" i="21" s="1"/>
  <c r="M97" i="21" s="1"/>
  <c r="I107" i="21"/>
  <c r="I126" i="21"/>
  <c r="P139" i="21"/>
  <c r="Q139" i="21" s="1"/>
  <c r="I165" i="21"/>
  <c r="J12" i="21"/>
  <c r="K12" i="21" s="1"/>
  <c r="M12" i="21" s="1"/>
  <c r="I31" i="21"/>
  <c r="I82" i="21"/>
  <c r="I88" i="21"/>
  <c r="I106" i="21"/>
  <c r="I127" i="21"/>
  <c r="I140" i="21"/>
  <c r="J140" i="21" s="1"/>
  <c r="K140" i="21" s="1"/>
  <c r="I168" i="21"/>
  <c r="J168" i="21" s="1"/>
  <c r="K168" i="21" s="1"/>
  <c r="P168" i="21" s="1"/>
  <c r="Q168" i="21" s="1"/>
  <c r="P243" i="21"/>
  <c r="Q243" i="21" s="1"/>
  <c r="M248" i="21"/>
  <c r="I41" i="21"/>
  <c r="J41" i="21" s="1"/>
  <c r="K41" i="21" s="1"/>
  <c r="M41" i="21" s="1"/>
  <c r="I104" i="21"/>
  <c r="I124" i="21"/>
  <c r="J124" i="21" s="1"/>
  <c r="K124" i="21" s="1"/>
  <c r="I131" i="21"/>
  <c r="I179" i="21"/>
  <c r="J179" i="21" s="1"/>
  <c r="K179" i="21" s="1"/>
  <c r="I181" i="21"/>
  <c r="I183" i="21"/>
  <c r="I185" i="21"/>
  <c r="M134" i="21"/>
  <c r="P134" i="21"/>
  <c r="Q134" i="21" s="1"/>
  <c r="I149" i="21"/>
  <c r="J149" i="21" s="1"/>
  <c r="K149" i="21" s="1"/>
  <c r="P176" i="21"/>
  <c r="Q176" i="21" s="1"/>
  <c r="M176" i="21"/>
  <c r="I15" i="21"/>
  <c r="J15" i="21" s="1"/>
  <c r="K15" i="21" s="1"/>
  <c r="I22" i="21"/>
  <c r="J22" i="21" s="1"/>
  <c r="K22" i="21" s="1"/>
  <c r="M22" i="21" s="1"/>
  <c r="P193" i="21"/>
  <c r="Q193" i="21" s="1"/>
  <c r="M193" i="21"/>
  <c r="I116" i="21"/>
  <c r="J127" i="21"/>
  <c r="K127" i="21" s="1"/>
  <c r="J131" i="21"/>
  <c r="K131" i="21" s="1"/>
  <c r="J164" i="21"/>
  <c r="K164" i="21" s="1"/>
  <c r="I164" i="21"/>
  <c r="P206" i="21"/>
  <c r="Q206" i="21" s="1"/>
  <c r="M206" i="21"/>
  <c r="P210" i="21"/>
  <c r="Q210" i="21" s="1"/>
  <c r="M210" i="21"/>
  <c r="P214" i="21"/>
  <c r="Q214" i="21" s="1"/>
  <c r="M214" i="21"/>
  <c r="P222" i="21"/>
  <c r="Q222" i="21" s="1"/>
  <c r="M222" i="21"/>
  <c r="P227" i="21"/>
  <c r="Q227" i="21" s="1"/>
  <c r="M227" i="21"/>
  <c r="P231" i="21"/>
  <c r="Q231" i="21" s="1"/>
  <c r="M231" i="21"/>
  <c r="P116" i="21"/>
  <c r="Q116" i="21" s="1"/>
  <c r="M116" i="21"/>
  <c r="I9" i="21"/>
  <c r="J9" i="21" s="1"/>
  <c r="K9" i="21" s="1"/>
  <c r="M9" i="21" s="1"/>
  <c r="I16" i="21"/>
  <c r="J16" i="21" s="1"/>
  <c r="K16" i="21" s="1"/>
  <c r="I24" i="21"/>
  <c r="J24" i="21" s="1"/>
  <c r="K24" i="21" s="1"/>
  <c r="M24" i="21" s="1"/>
  <c r="I26" i="21"/>
  <c r="J26" i="21" s="1"/>
  <c r="K26" i="21" s="1"/>
  <c r="J133" i="21"/>
  <c r="K133" i="21" s="1"/>
  <c r="I133" i="21"/>
  <c r="M160" i="21"/>
  <c r="P160" i="21"/>
  <c r="Q160" i="21" s="1"/>
  <c r="J162" i="21"/>
  <c r="K162" i="21" s="1"/>
  <c r="I162" i="21"/>
  <c r="I27" i="21"/>
  <c r="J27" i="21" s="1"/>
  <c r="K27" i="21" s="1"/>
  <c r="M27" i="21" s="1"/>
  <c r="I44" i="21"/>
  <c r="J44" i="21" s="1"/>
  <c r="K44" i="21" s="1"/>
  <c r="J123" i="21"/>
  <c r="K123" i="21" s="1"/>
  <c r="I147" i="21"/>
  <c r="J147" i="21" s="1"/>
  <c r="K147" i="21" s="1"/>
  <c r="M154" i="21"/>
  <c r="P154" i="21"/>
  <c r="Q154" i="21" s="1"/>
  <c r="J156" i="21"/>
  <c r="K156" i="21" s="1"/>
  <c r="I156" i="21"/>
  <c r="I148" i="21"/>
  <c r="J148" i="21" s="1"/>
  <c r="K148" i="21" s="1"/>
  <c r="I160" i="21"/>
  <c r="P167" i="21"/>
  <c r="Q167" i="21" s="1"/>
  <c r="M167" i="21"/>
  <c r="I32" i="21"/>
  <c r="J32" i="21" s="1"/>
  <c r="K32" i="21" s="1"/>
  <c r="P233" i="21"/>
  <c r="Q233" i="21" s="1"/>
  <c r="M233" i="21"/>
  <c r="I57" i="21"/>
  <c r="I60" i="21"/>
  <c r="J75" i="21"/>
  <c r="K75" i="21" s="1"/>
  <c r="M75" i="21" s="1"/>
  <c r="P135" i="21"/>
  <c r="Q135" i="21" s="1"/>
  <c r="M141" i="21"/>
  <c r="P141" i="21"/>
  <c r="Q141" i="21" s="1"/>
  <c r="M143" i="21"/>
  <c r="P143" i="21"/>
  <c r="Q143" i="21" s="1"/>
  <c r="I167" i="21"/>
  <c r="M177" i="21"/>
  <c r="I36" i="21"/>
  <c r="I62" i="21"/>
  <c r="I64" i="21"/>
  <c r="I67" i="21"/>
  <c r="I119" i="21"/>
  <c r="J119" i="21" s="1"/>
  <c r="K119" i="21" s="1"/>
  <c r="I191" i="21"/>
  <c r="J191" i="21" s="1"/>
  <c r="K191" i="21" s="1"/>
  <c r="I20" i="21"/>
  <c r="J20" i="21" s="1"/>
  <c r="K20" i="21" s="1"/>
  <c r="J91" i="21"/>
  <c r="K91" i="21" s="1"/>
  <c r="M91" i="21" s="1"/>
  <c r="J126" i="21"/>
  <c r="K126" i="21" s="1"/>
  <c r="J146" i="21"/>
  <c r="K146" i="21" s="1"/>
  <c r="M188" i="21"/>
  <c r="P188" i="21"/>
  <c r="Q188" i="21" s="1"/>
  <c r="G255" i="21"/>
  <c r="G254" i="21"/>
  <c r="G246" i="21"/>
  <c r="G258" i="21"/>
  <c r="I258" i="21" s="1"/>
  <c r="I242" i="21"/>
  <c r="G238" i="21"/>
  <c r="I241" i="21"/>
  <c r="G239" i="21"/>
  <c r="I239" i="21" s="1"/>
  <c r="J118" i="21"/>
  <c r="K118" i="21" s="1"/>
  <c r="J128" i="21"/>
  <c r="K128" i="21" s="1"/>
  <c r="J138" i="21"/>
  <c r="K138" i="21" s="1"/>
  <c r="J155" i="21"/>
  <c r="K155" i="21" s="1"/>
  <c r="I172" i="21"/>
  <c r="I176" i="21"/>
  <c r="I206" i="21"/>
  <c r="I210" i="21"/>
  <c r="I214" i="21"/>
  <c r="I218" i="21"/>
  <c r="J218" i="21" s="1"/>
  <c r="K218" i="21" s="1"/>
  <c r="I222" i="21"/>
  <c r="I227" i="21"/>
  <c r="I231" i="21"/>
  <c r="G237" i="21"/>
  <c r="I237" i="21" s="1"/>
  <c r="I76" i="21"/>
  <c r="J76" i="21" s="1"/>
  <c r="K76" i="21" s="1"/>
  <c r="M76" i="21" s="1"/>
  <c r="I84" i="21"/>
  <c r="I92" i="21"/>
  <c r="J92" i="21" s="1"/>
  <c r="K92" i="21" s="1"/>
  <c r="M92" i="21" s="1"/>
  <c r="I100" i="21"/>
  <c r="I108" i="21"/>
  <c r="I110" i="21"/>
  <c r="P198" i="21"/>
  <c r="Q198" i="21" s="1"/>
  <c r="M198" i="21"/>
  <c r="P207" i="21"/>
  <c r="Q207" i="21" s="1"/>
  <c r="M207" i="21"/>
  <c r="P211" i="21"/>
  <c r="Q211" i="21" s="1"/>
  <c r="M211" i="21"/>
  <c r="P215" i="21"/>
  <c r="Q215" i="21" s="1"/>
  <c r="M215" i="21"/>
  <c r="P245" i="21"/>
  <c r="Q245" i="21" s="1"/>
  <c r="M245" i="21"/>
  <c r="P256" i="21"/>
  <c r="Q256" i="21" s="1"/>
  <c r="M256" i="21"/>
  <c r="J120" i="21"/>
  <c r="K120" i="21" s="1"/>
  <c r="M159" i="21"/>
  <c r="P159" i="21"/>
  <c r="Q159" i="21" s="1"/>
  <c r="J163" i="21"/>
  <c r="K163" i="21" s="1"/>
  <c r="M174" i="21"/>
  <c r="P174" i="21"/>
  <c r="Q174" i="21" s="1"/>
  <c r="I187" i="21"/>
  <c r="J187" i="21" s="1"/>
  <c r="K187" i="21" s="1"/>
  <c r="I198" i="21"/>
  <c r="I194" i="21"/>
  <c r="J194" i="21" s="1"/>
  <c r="K194" i="21" s="1"/>
  <c r="P253" i="21"/>
  <c r="Q253" i="21" s="1"/>
  <c r="M253" i="21"/>
  <c r="P234" i="21"/>
  <c r="Q234" i="21" s="1"/>
  <c r="M234" i="21"/>
  <c r="P196" i="21"/>
  <c r="Q196" i="21" s="1"/>
  <c r="M196" i="21"/>
  <c r="P226" i="21"/>
  <c r="Q226" i="21" s="1"/>
  <c r="M226" i="21"/>
  <c r="P230" i="21"/>
  <c r="Q230" i="21" s="1"/>
  <c r="M230" i="21"/>
  <c r="J114" i="21"/>
  <c r="K114" i="21" s="1"/>
  <c r="I189" i="21"/>
  <c r="J189" i="21" s="1"/>
  <c r="K189" i="21" s="1"/>
  <c r="P199" i="21"/>
  <c r="Q199" i="21" s="1"/>
  <c r="M199" i="21"/>
  <c r="I203" i="21"/>
  <c r="J203" i="21" s="1"/>
  <c r="K203" i="21" s="1"/>
  <c r="I207" i="21"/>
  <c r="I211" i="21"/>
  <c r="I215" i="21"/>
  <c r="I219" i="21"/>
  <c r="J219" i="21" s="1"/>
  <c r="K219" i="21" s="1"/>
  <c r="I223" i="21"/>
  <c r="J223" i="21" s="1"/>
  <c r="K223" i="21" s="1"/>
  <c r="P228" i="21"/>
  <c r="Q228" i="21" s="1"/>
  <c r="M228" i="21"/>
  <c r="P232" i="21"/>
  <c r="Q232" i="21" s="1"/>
  <c r="M232" i="21"/>
  <c r="J121" i="21"/>
  <c r="K121" i="21" s="1"/>
  <c r="J142" i="21"/>
  <c r="K142" i="21" s="1"/>
  <c r="J150" i="21"/>
  <c r="K150" i="21" s="1"/>
  <c r="I171" i="21"/>
  <c r="J171" i="21" s="1"/>
  <c r="K171" i="21" s="1"/>
  <c r="P183" i="21"/>
  <c r="Q183" i="21" s="1"/>
  <c r="M183" i="21"/>
  <c r="I195" i="21"/>
  <c r="J195" i="21" s="1"/>
  <c r="K195" i="21" s="1"/>
  <c r="P212" i="21"/>
  <c r="Q212" i="21" s="1"/>
  <c r="M212" i="21"/>
  <c r="P251" i="21"/>
  <c r="Q251" i="21" s="1"/>
  <c r="M251" i="21"/>
  <c r="I234" i="21"/>
  <c r="I170" i="21"/>
  <c r="I174" i="21"/>
  <c r="I178" i="21"/>
  <c r="J178" i="21" s="1"/>
  <c r="K178" i="21" s="1"/>
  <c r="P192" i="21"/>
  <c r="Q192" i="21" s="1"/>
  <c r="M192" i="21"/>
  <c r="I196" i="21"/>
  <c r="I200" i="21"/>
  <c r="J200" i="21" s="1"/>
  <c r="K200" i="21" s="1"/>
  <c r="I204" i="21"/>
  <c r="J204" i="21" s="1"/>
  <c r="K204" i="21" s="1"/>
  <c r="I208" i="21"/>
  <c r="J208" i="21" s="1"/>
  <c r="K208" i="21" s="1"/>
  <c r="I212" i="21"/>
  <c r="I216" i="21"/>
  <c r="J216" i="21" s="1"/>
  <c r="K216" i="21" s="1"/>
  <c r="I220" i="21"/>
  <c r="J220" i="21" s="1"/>
  <c r="K220" i="21" s="1"/>
  <c r="I224" i="21"/>
  <c r="J224" i="21" s="1"/>
  <c r="K224" i="21" s="1"/>
  <c r="I228" i="21"/>
  <c r="I232" i="21"/>
  <c r="I188" i="21"/>
  <c r="P209" i="21"/>
  <c r="Q209" i="21" s="1"/>
  <c r="M209" i="21"/>
  <c r="P213" i="21"/>
  <c r="Q213" i="21" s="1"/>
  <c r="M213" i="21"/>
  <c r="P229" i="21"/>
  <c r="Q229" i="21" s="1"/>
  <c r="M229" i="21"/>
  <c r="P252" i="21"/>
  <c r="Q252" i="21" s="1"/>
  <c r="M252" i="21"/>
  <c r="I169" i="21"/>
  <c r="I173" i="21"/>
  <c r="I177" i="21"/>
  <c r="I193" i="21"/>
  <c r="I197" i="21"/>
  <c r="J197" i="21" s="1"/>
  <c r="K197" i="21" s="1"/>
  <c r="I201" i="21"/>
  <c r="J201" i="21" s="1"/>
  <c r="K201" i="21" s="1"/>
  <c r="I205" i="21"/>
  <c r="J205" i="21" s="1"/>
  <c r="K205" i="21" s="1"/>
  <c r="I209" i="21"/>
  <c r="I213" i="21"/>
  <c r="I217" i="21"/>
  <c r="J217" i="21" s="1"/>
  <c r="K217" i="21" s="1"/>
  <c r="I221" i="21"/>
  <c r="J221" i="21" s="1"/>
  <c r="K221" i="21" s="1"/>
  <c r="I225" i="21"/>
  <c r="J225" i="21" s="1"/>
  <c r="K225" i="21" s="1"/>
  <c r="I229" i="21"/>
  <c r="I233" i="21"/>
  <c r="P244" i="21"/>
  <c r="Q244" i="21" s="1"/>
  <c r="M244" i="21"/>
  <c r="M257" i="21"/>
  <c r="M190" i="21"/>
  <c r="M250" i="21"/>
  <c r="J231" i="20"/>
  <c r="J227" i="20"/>
  <c r="J17" i="20"/>
  <c r="K17" i="20" s="1"/>
  <c r="L17" i="20" s="1"/>
  <c r="N17" i="20" s="1"/>
  <c r="J29" i="20"/>
  <c r="J41" i="20"/>
  <c r="K41" i="20" s="1"/>
  <c r="L41" i="20" s="1"/>
  <c r="N41" i="20" s="1"/>
  <c r="J46" i="20"/>
  <c r="K46" i="20" s="1"/>
  <c r="L46" i="20" s="1"/>
  <c r="N46" i="20" s="1"/>
  <c r="J56" i="20"/>
  <c r="J68" i="20"/>
  <c r="J129" i="20"/>
  <c r="K129" i="20" s="1"/>
  <c r="L129" i="20" s="1"/>
  <c r="J147" i="20"/>
  <c r="K147" i="20" s="1"/>
  <c r="L147" i="20" s="1"/>
  <c r="J109" i="20"/>
  <c r="J119" i="20"/>
  <c r="K119" i="20" s="1"/>
  <c r="L119" i="20" s="1"/>
  <c r="N119" i="20" s="1"/>
  <c r="J167" i="20"/>
  <c r="K137" i="20"/>
  <c r="L137" i="20" s="1"/>
  <c r="N137" i="20" s="1"/>
  <c r="K145" i="20"/>
  <c r="L145" i="20" s="1"/>
  <c r="O145" i="20" s="1"/>
  <c r="P145" i="20" s="1"/>
  <c r="J55" i="20"/>
  <c r="J145" i="20"/>
  <c r="J60" i="20"/>
  <c r="J72" i="20"/>
  <c r="J84" i="20"/>
  <c r="J86" i="20"/>
  <c r="K121" i="20"/>
  <c r="L121" i="20" s="1"/>
  <c r="N121" i="20" s="1"/>
  <c r="J216" i="20"/>
  <c r="K216" i="20" s="1"/>
  <c r="L216" i="20" s="1"/>
  <c r="J10" i="20"/>
  <c r="J12" i="20"/>
  <c r="K12" i="20" s="1"/>
  <c r="L12" i="20" s="1"/>
  <c r="N12" i="20" s="1"/>
  <c r="J16" i="20"/>
  <c r="K16" i="20" s="1"/>
  <c r="L16" i="20" s="1"/>
  <c r="N16" i="20" s="1"/>
  <c r="J36" i="20"/>
  <c r="J47" i="20"/>
  <c r="K47" i="20" s="1"/>
  <c r="L47" i="20" s="1"/>
  <c r="N47" i="20" s="1"/>
  <c r="J62" i="20"/>
  <c r="J70" i="20"/>
  <c r="K70" i="20" s="1"/>
  <c r="L70" i="20" s="1"/>
  <c r="N70" i="20" s="1"/>
  <c r="J74" i="20"/>
  <c r="K74" i="20" s="1"/>
  <c r="L74" i="20" s="1"/>
  <c r="N74" i="20" s="1"/>
  <c r="J97" i="20"/>
  <c r="J103" i="20"/>
  <c r="J140" i="20"/>
  <c r="K140" i="20" s="1"/>
  <c r="L140" i="20" s="1"/>
  <c r="J148" i="20"/>
  <c r="K148" i="20" s="1"/>
  <c r="L148" i="20" s="1"/>
  <c r="J179" i="20"/>
  <c r="J182" i="20"/>
  <c r="J226" i="20"/>
  <c r="J230" i="20"/>
  <c r="J18" i="20"/>
  <c r="K18" i="20" s="1"/>
  <c r="L18" i="20" s="1"/>
  <c r="N18" i="20" s="1"/>
  <c r="J166" i="20"/>
  <c r="K166" i="20" s="1"/>
  <c r="L166" i="20" s="1"/>
  <c r="J25" i="20"/>
  <c r="J39" i="20"/>
  <c r="K39" i="20" s="1"/>
  <c r="L39" i="20" s="1"/>
  <c r="N39" i="20" s="1"/>
  <c r="J94" i="20"/>
  <c r="K94" i="20" s="1"/>
  <c r="L94" i="20" s="1"/>
  <c r="N94" i="20" s="1"/>
  <c r="J98" i="20"/>
  <c r="J111" i="20"/>
  <c r="J202" i="20"/>
  <c r="K202" i="20" s="1"/>
  <c r="L202" i="20" s="1"/>
  <c r="J9" i="20"/>
  <c r="K9" i="20" s="1"/>
  <c r="L9" i="20" s="1"/>
  <c r="N9" i="20" s="1"/>
  <c r="J13" i="20"/>
  <c r="K13" i="20" s="1"/>
  <c r="L13" i="20" s="1"/>
  <c r="N13" i="20" s="1"/>
  <c r="J19" i="20"/>
  <c r="K19" i="20" s="1"/>
  <c r="L19" i="20" s="1"/>
  <c r="N19" i="20" s="1"/>
  <c r="J48" i="20"/>
  <c r="K48" i="20" s="1"/>
  <c r="L48" i="20" s="1"/>
  <c r="N48" i="20" s="1"/>
  <c r="J120" i="20"/>
  <c r="K120" i="20" s="1"/>
  <c r="L120" i="20" s="1"/>
  <c r="J128" i="20"/>
  <c r="K128" i="20" s="1"/>
  <c r="L128" i="20" s="1"/>
  <c r="J136" i="20"/>
  <c r="J144" i="20"/>
  <c r="K144" i="20" s="1"/>
  <c r="L144" i="20" s="1"/>
  <c r="J198" i="20"/>
  <c r="J207" i="20"/>
  <c r="J215" i="20"/>
  <c r="J223" i="20"/>
  <c r="K223" i="20" s="1"/>
  <c r="L223" i="20" s="1"/>
  <c r="J228" i="20"/>
  <c r="J232" i="20"/>
  <c r="J35" i="20"/>
  <c r="J96" i="20"/>
  <c r="K96" i="20" s="1"/>
  <c r="L96" i="20" s="1"/>
  <c r="N96" i="20" s="1"/>
  <c r="J115" i="20"/>
  <c r="J123" i="20"/>
  <c r="K123" i="20" s="1"/>
  <c r="L123" i="20" s="1"/>
  <c r="J139" i="20"/>
  <c r="J181" i="20"/>
  <c r="J184" i="20"/>
  <c r="J203" i="20"/>
  <c r="J42" i="20"/>
  <c r="K42" i="20" s="1"/>
  <c r="L42" i="20" s="1"/>
  <c r="N42" i="20" s="1"/>
  <c r="J142" i="20"/>
  <c r="K142" i="20" s="1"/>
  <c r="L142" i="20" s="1"/>
  <c r="O142" i="20" s="1"/>
  <c r="P142" i="20" s="1"/>
  <c r="J150" i="20"/>
  <c r="K150" i="20" s="1"/>
  <c r="L150" i="20" s="1"/>
  <c r="N150" i="20" s="1"/>
  <c r="J158" i="20"/>
  <c r="K158" i="20" s="1"/>
  <c r="L158" i="20" s="1"/>
  <c r="O181" i="20"/>
  <c r="P181" i="20" s="1"/>
  <c r="J199" i="20"/>
  <c r="J220" i="20"/>
  <c r="K220" i="20" s="1"/>
  <c r="L220" i="20" s="1"/>
  <c r="J21" i="20"/>
  <c r="K21" i="20" s="1"/>
  <c r="L21" i="20" s="1"/>
  <c r="N21" i="20" s="1"/>
  <c r="K77" i="20"/>
  <c r="L77" i="20" s="1"/>
  <c r="N77" i="20" s="1"/>
  <c r="J77" i="20"/>
  <c r="J26" i="20"/>
  <c r="K26" i="20" s="1"/>
  <c r="L26" i="20" s="1"/>
  <c r="N26" i="20" s="1"/>
  <c r="J11" i="20"/>
  <c r="K38" i="20"/>
  <c r="L38" i="20" s="1"/>
  <c r="N38" i="20" s="1"/>
  <c r="J38" i="20"/>
  <c r="K59" i="20"/>
  <c r="L59" i="20" s="1"/>
  <c r="N59" i="20" s="1"/>
  <c r="J59" i="20"/>
  <c r="J20" i="20"/>
  <c r="K20" i="20" s="1"/>
  <c r="L20" i="20" s="1"/>
  <c r="N20" i="20" s="1"/>
  <c r="O138" i="20"/>
  <c r="P138" i="20" s="1"/>
  <c r="N138" i="20"/>
  <c r="O162" i="20"/>
  <c r="P162" i="20" s="1"/>
  <c r="N162" i="20"/>
  <c r="J73" i="20"/>
  <c r="K73" i="20" s="1"/>
  <c r="L73" i="20" s="1"/>
  <c r="N73" i="20" s="1"/>
  <c r="O154" i="20"/>
  <c r="P154" i="20" s="1"/>
  <c r="N154" i="20"/>
  <c r="O164" i="20"/>
  <c r="P164" i="20" s="1"/>
  <c r="N164" i="20"/>
  <c r="O136" i="20"/>
  <c r="P136" i="20" s="1"/>
  <c r="N136" i="20"/>
  <c r="K170" i="20"/>
  <c r="L170" i="20" s="1"/>
  <c r="J170" i="20"/>
  <c r="O192" i="20"/>
  <c r="P192" i="20" s="1"/>
  <c r="N192" i="20"/>
  <c r="J191" i="20"/>
  <c r="K191" i="20" s="1"/>
  <c r="L191" i="20" s="1"/>
  <c r="J85" i="20"/>
  <c r="O115" i="20"/>
  <c r="P115" i="20" s="1"/>
  <c r="N115" i="20"/>
  <c r="O139" i="20"/>
  <c r="P139" i="20" s="1"/>
  <c r="N139" i="20"/>
  <c r="K174" i="20"/>
  <c r="L174" i="20" s="1"/>
  <c r="J174" i="20"/>
  <c r="J171" i="20"/>
  <c r="K171" i="20" s="1"/>
  <c r="L171" i="20" s="1"/>
  <c r="K91" i="20"/>
  <c r="L91" i="20" s="1"/>
  <c r="N91" i="20" s="1"/>
  <c r="J27" i="20"/>
  <c r="K27" i="20" s="1"/>
  <c r="L27" i="20" s="1"/>
  <c r="N27" i="20" s="1"/>
  <c r="J44" i="20"/>
  <c r="K44" i="20" s="1"/>
  <c r="L44" i="20" s="1"/>
  <c r="N44" i="20" s="1"/>
  <c r="J100" i="20"/>
  <c r="O135" i="20"/>
  <c r="P135" i="20" s="1"/>
  <c r="N135" i="20"/>
  <c r="O159" i="20"/>
  <c r="P159" i="20" s="1"/>
  <c r="N159" i="20"/>
  <c r="K172" i="20"/>
  <c r="L172" i="20" s="1"/>
  <c r="J172" i="20"/>
  <c r="N182" i="20"/>
  <c r="O182" i="20"/>
  <c r="P182" i="20" s="1"/>
  <c r="J194" i="20"/>
  <c r="K194" i="20" s="1"/>
  <c r="L194" i="20" s="1"/>
  <c r="J224" i="20"/>
  <c r="K176" i="20"/>
  <c r="L176" i="20" s="1"/>
  <c r="O177" i="20"/>
  <c r="P177" i="20" s="1"/>
  <c r="N184" i="20"/>
  <c r="O209" i="20"/>
  <c r="P209" i="20" s="1"/>
  <c r="N209" i="20"/>
  <c r="J197" i="20"/>
  <c r="K197" i="20" s="1"/>
  <c r="L197" i="20" s="1"/>
  <c r="J209" i="20"/>
  <c r="J217" i="20"/>
  <c r="K217" i="20" s="1"/>
  <c r="L217" i="20" s="1"/>
  <c r="J225" i="20"/>
  <c r="J233" i="20"/>
  <c r="J188" i="20"/>
  <c r="O198" i="20"/>
  <c r="P198" i="20" s="1"/>
  <c r="N198" i="20"/>
  <c r="O206" i="20"/>
  <c r="P206" i="20" s="1"/>
  <c r="N206" i="20"/>
  <c r="O210" i="20"/>
  <c r="P210" i="20" s="1"/>
  <c r="N210" i="20"/>
  <c r="O214" i="20"/>
  <c r="P214" i="20" s="1"/>
  <c r="N214" i="20"/>
  <c r="K218" i="20"/>
  <c r="L218" i="20" s="1"/>
  <c r="O222" i="20"/>
  <c r="P222" i="20" s="1"/>
  <c r="N222" i="20"/>
  <c r="O226" i="20"/>
  <c r="P226" i="20" s="1"/>
  <c r="N226" i="20"/>
  <c r="O230" i="20"/>
  <c r="P230" i="20" s="1"/>
  <c r="N230" i="20"/>
  <c r="O199" i="20"/>
  <c r="P199" i="20" s="1"/>
  <c r="N199" i="20"/>
  <c r="K203" i="20"/>
  <c r="L203" i="20" s="1"/>
  <c r="O207" i="20"/>
  <c r="P207" i="20" s="1"/>
  <c r="N207" i="20"/>
  <c r="O211" i="20"/>
  <c r="P211" i="20" s="1"/>
  <c r="O215" i="20"/>
  <c r="P215" i="20" s="1"/>
  <c r="N215" i="20"/>
  <c r="O227" i="20"/>
  <c r="P227" i="20" s="1"/>
  <c r="N227" i="20"/>
  <c r="N228" i="20"/>
  <c r="O232" i="20"/>
  <c r="P232" i="20" s="1"/>
  <c r="N232" i="20"/>
  <c r="J178" i="20"/>
  <c r="K178" i="20" s="1"/>
  <c r="L178" i="20" s="1"/>
  <c r="N190" i="20"/>
  <c r="N254" i="19"/>
  <c r="O254" i="19" s="1"/>
  <c r="M254" i="19"/>
  <c r="M192" i="19"/>
  <c r="N251" i="19"/>
  <c r="O251" i="19" s="1"/>
  <c r="N250" i="19"/>
  <c r="O250" i="19" s="1"/>
  <c r="N253" i="19"/>
  <c r="O253" i="19" s="1"/>
  <c r="M253" i="19"/>
  <c r="N260" i="19"/>
  <c r="O260" i="19" s="1"/>
  <c r="M260" i="19"/>
  <c r="M255" i="19"/>
  <c r="N255" i="19"/>
  <c r="O255" i="19" s="1"/>
  <c r="N247" i="19"/>
  <c r="O247" i="19" s="1"/>
  <c r="M247" i="19"/>
  <c r="M252" i="19"/>
  <c r="N252" i="19"/>
  <c r="O252" i="19" s="1"/>
  <c r="M248" i="19"/>
  <c r="M259" i="19"/>
  <c r="N259" i="19"/>
  <c r="O259" i="19" s="1"/>
  <c r="M256" i="19"/>
  <c r="N256" i="19"/>
  <c r="O256" i="19" s="1"/>
  <c r="M246" i="19"/>
  <c r="N246" i="19"/>
  <c r="O246" i="19" s="1"/>
  <c r="N190" i="19"/>
  <c r="O190" i="19" s="1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78" i="3"/>
  <c r="L76" i="3"/>
  <c r="F140" i="3"/>
  <c r="G234" i="19"/>
  <c r="J234" i="19" s="1"/>
  <c r="K234" i="19" s="1"/>
  <c r="G232" i="19"/>
  <c r="J232" i="19" s="1"/>
  <c r="K232" i="19" s="1"/>
  <c r="G231" i="19"/>
  <c r="J231" i="19" s="1"/>
  <c r="K231" i="19" s="1"/>
  <c r="G230" i="19"/>
  <c r="J230" i="19" s="1"/>
  <c r="K230" i="19" s="1"/>
  <c r="G229" i="19"/>
  <c r="J229" i="19" s="1"/>
  <c r="K229" i="19" s="1"/>
  <c r="G228" i="19"/>
  <c r="J228" i="19" s="1"/>
  <c r="K228" i="19" s="1"/>
  <c r="G227" i="19"/>
  <c r="J227" i="19" s="1"/>
  <c r="K227" i="19" s="1"/>
  <c r="G226" i="19"/>
  <c r="J226" i="19" s="1"/>
  <c r="K226" i="19" s="1"/>
  <c r="A43" i="19"/>
  <c r="G224" i="19" s="1"/>
  <c r="J222" i="19"/>
  <c r="K222" i="19" s="1"/>
  <c r="G215" i="19"/>
  <c r="J215" i="19" s="1"/>
  <c r="K215" i="19" s="1"/>
  <c r="G214" i="19"/>
  <c r="J214" i="19" s="1"/>
  <c r="K214" i="19" s="1"/>
  <c r="G213" i="19"/>
  <c r="J213" i="19" s="1"/>
  <c r="K213" i="19" s="1"/>
  <c r="G212" i="19"/>
  <c r="J212" i="19" s="1"/>
  <c r="K212" i="19" s="1"/>
  <c r="G211" i="19"/>
  <c r="J211" i="19" s="1"/>
  <c r="K211" i="19" s="1"/>
  <c r="G210" i="19"/>
  <c r="J210" i="19" s="1"/>
  <c r="K210" i="19" s="1"/>
  <c r="G209" i="19"/>
  <c r="J209" i="19" s="1"/>
  <c r="K209" i="19" s="1"/>
  <c r="G208" i="19"/>
  <c r="G207" i="19"/>
  <c r="J207" i="19" s="1"/>
  <c r="K207" i="19" s="1"/>
  <c r="G206" i="19"/>
  <c r="J206" i="19" s="1"/>
  <c r="K206" i="19" s="1"/>
  <c r="G205" i="19"/>
  <c r="G200" i="19"/>
  <c r="G199" i="19"/>
  <c r="J199" i="19" s="1"/>
  <c r="K199" i="19" s="1"/>
  <c r="G198" i="19"/>
  <c r="J198" i="19" s="1"/>
  <c r="K198" i="19" s="1"/>
  <c r="G197" i="19"/>
  <c r="G196" i="19"/>
  <c r="J196" i="19" s="1"/>
  <c r="K196" i="19" s="1"/>
  <c r="N233" i="20" l="1"/>
  <c r="J31" i="20"/>
  <c r="J69" i="20"/>
  <c r="J105" i="20"/>
  <c r="N146" i="20"/>
  <c r="N212" i="20"/>
  <c r="N193" i="20"/>
  <c r="N167" i="20"/>
  <c r="J116" i="20"/>
  <c r="O231" i="20"/>
  <c r="P231" i="20" s="1"/>
  <c r="J165" i="20"/>
  <c r="J193" i="20"/>
  <c r="J185" i="20"/>
  <c r="J107" i="20"/>
  <c r="N234" i="20"/>
  <c r="N133" i="20"/>
  <c r="J177" i="20"/>
  <c r="J173" i="20"/>
  <c r="J234" i="20"/>
  <c r="J75" i="20"/>
  <c r="K131" i="20"/>
  <c r="L131" i="20" s="1"/>
  <c r="O131" i="20" s="1"/>
  <c r="P131" i="20" s="1"/>
  <c r="J213" i="20"/>
  <c r="N134" i="20"/>
  <c r="J133" i="20"/>
  <c r="J211" i="20"/>
  <c r="J134" i="20"/>
  <c r="P225" i="21"/>
  <c r="Q225" i="21" s="1"/>
  <c r="M225" i="21"/>
  <c r="P179" i="21"/>
  <c r="Q179" i="21" s="1"/>
  <c r="M179" i="21"/>
  <c r="M140" i="21"/>
  <c r="P140" i="21"/>
  <c r="Q140" i="21" s="1"/>
  <c r="P175" i="21"/>
  <c r="Q175" i="21" s="1"/>
  <c r="M175" i="21"/>
  <c r="O158" i="20"/>
  <c r="P158" i="20" s="1"/>
  <c r="N158" i="20"/>
  <c r="M166" i="21"/>
  <c r="P166" i="21"/>
  <c r="Q166" i="21" s="1"/>
  <c r="P224" i="21"/>
  <c r="Q224" i="21" s="1"/>
  <c r="M224" i="21"/>
  <c r="P180" i="21"/>
  <c r="Q180" i="21" s="1"/>
  <c r="M180" i="21"/>
  <c r="M122" i="21"/>
  <c r="P122" i="21"/>
  <c r="Q122" i="21" s="1"/>
  <c r="M152" i="21"/>
  <c r="P152" i="21"/>
  <c r="Q152" i="21" s="1"/>
  <c r="M153" i="21"/>
  <c r="P153" i="21"/>
  <c r="Q153" i="21" s="1"/>
  <c r="O140" i="20"/>
  <c r="P140" i="20" s="1"/>
  <c r="N140" i="20"/>
  <c r="P132" i="21"/>
  <c r="Q132" i="21" s="1"/>
  <c r="M132" i="21"/>
  <c r="N166" i="20"/>
  <c r="O166" i="20"/>
  <c r="P166" i="20" s="1"/>
  <c r="P208" i="21"/>
  <c r="Q208" i="21" s="1"/>
  <c r="M208" i="21"/>
  <c r="P171" i="21"/>
  <c r="Q171" i="21" s="1"/>
  <c r="M171" i="21"/>
  <c r="M151" i="21"/>
  <c r="P151" i="21"/>
  <c r="Q151" i="21" s="1"/>
  <c r="M158" i="21"/>
  <c r="P158" i="21"/>
  <c r="Q158" i="21" s="1"/>
  <c r="O129" i="20"/>
  <c r="P129" i="20" s="1"/>
  <c r="N129" i="20"/>
  <c r="P205" i="21"/>
  <c r="Q205" i="21" s="1"/>
  <c r="M205" i="21"/>
  <c r="P200" i="21"/>
  <c r="Q200" i="21" s="1"/>
  <c r="M200" i="21"/>
  <c r="P219" i="21"/>
  <c r="Q219" i="21" s="1"/>
  <c r="M219" i="21"/>
  <c r="O208" i="20"/>
  <c r="P208" i="20" s="1"/>
  <c r="N208" i="20"/>
  <c r="P129" i="21"/>
  <c r="Q129" i="21" s="1"/>
  <c r="M129" i="21"/>
  <c r="K132" i="20"/>
  <c r="L132" i="20" s="1"/>
  <c r="K53" i="20"/>
  <c r="L53" i="20" s="1"/>
  <c r="N53" i="20" s="1"/>
  <c r="K35" i="20"/>
  <c r="L35" i="20" s="1"/>
  <c r="N35" i="20" s="1"/>
  <c r="K224" i="20"/>
  <c r="L224" i="20" s="1"/>
  <c r="K61" i="20"/>
  <c r="L61" i="20" s="1"/>
  <c r="N61" i="20" s="1"/>
  <c r="K24" i="20"/>
  <c r="L24" i="20" s="1"/>
  <c r="N24" i="20" s="1"/>
  <c r="K180" i="20"/>
  <c r="L180" i="20" s="1"/>
  <c r="N180" i="20" s="1"/>
  <c r="K219" i="20"/>
  <c r="L219" i="20" s="1"/>
  <c r="O219" i="20" s="1"/>
  <c r="P219" i="20" s="1"/>
  <c r="K152" i="20"/>
  <c r="L152" i="20" s="1"/>
  <c r="O152" i="20" s="1"/>
  <c r="P152" i="20" s="1"/>
  <c r="K122" i="20"/>
  <c r="L122" i="20" s="1"/>
  <c r="K151" i="20"/>
  <c r="L151" i="20" s="1"/>
  <c r="K179" i="20"/>
  <c r="L179" i="20" s="1"/>
  <c r="N179" i="20" s="1"/>
  <c r="K97" i="20"/>
  <c r="L97" i="20" s="1"/>
  <c r="N97" i="20" s="1"/>
  <c r="K225" i="20"/>
  <c r="L225" i="20" s="1"/>
  <c r="J102" i="20"/>
  <c r="N143" i="20"/>
  <c r="J175" i="20"/>
  <c r="K175" i="20" s="1"/>
  <c r="L175" i="20" s="1"/>
  <c r="N175" i="20" s="1"/>
  <c r="J90" i="20"/>
  <c r="N161" i="20"/>
  <c r="N242" i="20"/>
  <c r="J99" i="20"/>
  <c r="K99" i="20" s="1"/>
  <c r="L99" i="20" s="1"/>
  <c r="N99" i="20" s="1"/>
  <c r="J81" i="20"/>
  <c r="K81" i="20" s="1"/>
  <c r="L81" i="20" s="1"/>
  <c r="N81" i="20" s="1"/>
  <c r="N130" i="20"/>
  <c r="J200" i="20"/>
  <c r="K200" i="20" s="1"/>
  <c r="L200" i="20" s="1"/>
  <c r="J51" i="20"/>
  <c r="J196" i="20"/>
  <c r="N196" i="20"/>
  <c r="N156" i="20"/>
  <c r="N127" i="20"/>
  <c r="O141" i="20"/>
  <c r="P141" i="20" s="1"/>
  <c r="J160" i="20"/>
  <c r="J130" i="20"/>
  <c r="J67" i="20"/>
  <c r="J156" i="20"/>
  <c r="J88" i="20"/>
  <c r="J212" i="20"/>
  <c r="M168" i="21"/>
  <c r="N213" i="20"/>
  <c r="N116" i="20"/>
  <c r="O185" i="20"/>
  <c r="P185" i="20" s="1"/>
  <c r="O150" i="20"/>
  <c r="P150" i="20" s="1"/>
  <c r="O183" i="20"/>
  <c r="P183" i="20" s="1"/>
  <c r="N142" i="20"/>
  <c r="N165" i="20"/>
  <c r="O114" i="20"/>
  <c r="P114" i="20" s="1"/>
  <c r="J95" i="20"/>
  <c r="J66" i="20"/>
  <c r="K66" i="20" s="1"/>
  <c r="L66" i="20" s="1"/>
  <c r="N66" i="20" s="1"/>
  <c r="J57" i="20"/>
  <c r="J49" i="20"/>
  <c r="O163" i="20"/>
  <c r="P163" i="20" s="1"/>
  <c r="N163" i="20"/>
  <c r="J141" i="20"/>
  <c r="H239" i="20"/>
  <c r="J239" i="20" s="1"/>
  <c r="K239" i="20" s="1"/>
  <c r="L239" i="20" s="1"/>
  <c r="O239" i="20" s="1"/>
  <c r="P239" i="20" s="1"/>
  <c r="J89" i="20"/>
  <c r="J101" i="20"/>
  <c r="K169" i="20"/>
  <c r="L169" i="20" s="1"/>
  <c r="N169" i="20" s="1"/>
  <c r="J244" i="20"/>
  <c r="J108" i="20"/>
  <c r="J34" i="20"/>
  <c r="N160" i="20"/>
  <c r="J236" i="20"/>
  <c r="K236" i="20" s="1"/>
  <c r="L236" i="20" s="1"/>
  <c r="O236" i="20" s="1"/>
  <c r="P236" i="20" s="1"/>
  <c r="N157" i="20"/>
  <c r="J79" i="20"/>
  <c r="J82" i="20"/>
  <c r="J153" i="20"/>
  <c r="K153" i="20" s="1"/>
  <c r="L153" i="20" s="1"/>
  <c r="J205" i="20"/>
  <c r="K205" i="20" s="1"/>
  <c r="L205" i="20" s="1"/>
  <c r="J229" i="20"/>
  <c r="N229" i="20"/>
  <c r="J87" i="20"/>
  <c r="J65" i="20"/>
  <c r="J54" i="20"/>
  <c r="J157" i="20"/>
  <c r="J80" i="20"/>
  <c r="O188" i="20"/>
  <c r="P188" i="20" s="1"/>
  <c r="J161" i="20"/>
  <c r="J183" i="20"/>
  <c r="J52" i="20"/>
  <c r="J106" i="20"/>
  <c r="O261" i="20"/>
  <c r="N261" i="20"/>
  <c r="H238" i="20"/>
  <c r="J238" i="20" s="1"/>
  <c r="K238" i="20" s="1"/>
  <c r="L238" i="20" s="1"/>
  <c r="N238" i="20" s="1"/>
  <c r="J30" i="20"/>
  <c r="J242" i="20"/>
  <c r="J240" i="20"/>
  <c r="J241" i="20"/>
  <c r="J245" i="20"/>
  <c r="O119" i="20"/>
  <c r="P119" i="20" s="1"/>
  <c r="N118" i="20"/>
  <c r="H258" i="20"/>
  <c r="J258" i="20" s="1"/>
  <c r="K258" i="20" s="1"/>
  <c r="L258" i="20" s="1"/>
  <c r="H237" i="20"/>
  <c r="J237" i="20" s="1"/>
  <c r="K237" i="20" s="1"/>
  <c r="L237" i="20" s="1"/>
  <c r="O237" i="20" s="1"/>
  <c r="P237" i="20" s="1"/>
  <c r="J243" i="20"/>
  <c r="O137" i="20"/>
  <c r="P137" i="20" s="1"/>
  <c r="N244" i="20"/>
  <c r="H257" i="20"/>
  <c r="J257" i="20" s="1"/>
  <c r="K257" i="20" s="1"/>
  <c r="L257" i="20" s="1"/>
  <c r="N257" i="20" s="1"/>
  <c r="H249" i="20"/>
  <c r="J249" i="20" s="1"/>
  <c r="K249" i="20" s="1"/>
  <c r="L249" i="20" s="1"/>
  <c r="N245" i="20"/>
  <c r="M244" i="19"/>
  <c r="M26" i="21"/>
  <c r="M93" i="21"/>
  <c r="M89" i="21"/>
  <c r="M94" i="21"/>
  <c r="M44" i="21"/>
  <c r="M23" i="21"/>
  <c r="M33" i="21"/>
  <c r="M19" i="21"/>
  <c r="M96" i="21"/>
  <c r="M20" i="21"/>
  <c r="M32" i="21"/>
  <c r="M16" i="21"/>
  <c r="M15" i="21"/>
  <c r="M37" i="21"/>
  <c r="P195" i="21"/>
  <c r="Q195" i="21" s="1"/>
  <c r="M195" i="21"/>
  <c r="M189" i="21"/>
  <c r="P189" i="21"/>
  <c r="Q189" i="21" s="1"/>
  <c r="P201" i="21"/>
  <c r="Q201" i="21" s="1"/>
  <c r="M201" i="21"/>
  <c r="P216" i="21"/>
  <c r="Q216" i="21" s="1"/>
  <c r="M216" i="21"/>
  <c r="M178" i="21"/>
  <c r="P178" i="21"/>
  <c r="Q178" i="21" s="1"/>
  <c r="P203" i="21"/>
  <c r="Q203" i="21" s="1"/>
  <c r="M203" i="21"/>
  <c r="P223" i="21"/>
  <c r="Q223" i="21" s="1"/>
  <c r="M223" i="21"/>
  <c r="P119" i="21"/>
  <c r="Q119" i="21" s="1"/>
  <c r="M119" i="21"/>
  <c r="P204" i="21"/>
  <c r="Q204" i="21" s="1"/>
  <c r="M204" i="21"/>
  <c r="P191" i="21"/>
  <c r="Q191" i="21" s="1"/>
  <c r="M191" i="21"/>
  <c r="P220" i="21"/>
  <c r="Q220" i="21" s="1"/>
  <c r="M220" i="21"/>
  <c r="P217" i="21"/>
  <c r="Q217" i="21" s="1"/>
  <c r="M217" i="21"/>
  <c r="I255" i="21"/>
  <c r="J255" i="21" s="1"/>
  <c r="K255" i="21" s="1"/>
  <c r="M150" i="21"/>
  <c r="P150" i="21"/>
  <c r="Q150" i="21" s="1"/>
  <c r="M156" i="21"/>
  <c r="P156" i="21"/>
  <c r="Q156" i="21" s="1"/>
  <c r="M133" i="21"/>
  <c r="P133" i="21"/>
  <c r="Q133" i="21" s="1"/>
  <c r="P194" i="21"/>
  <c r="Q194" i="21" s="1"/>
  <c r="M194" i="21"/>
  <c r="P131" i="21"/>
  <c r="Q131" i="21" s="1"/>
  <c r="M131" i="21"/>
  <c r="I240" i="21"/>
  <c r="J240" i="21" s="1"/>
  <c r="K240" i="21" s="1"/>
  <c r="M142" i="21"/>
  <c r="P142" i="21"/>
  <c r="Q142" i="21" s="1"/>
  <c r="M145" i="21"/>
  <c r="P145" i="21"/>
  <c r="Q145" i="21" s="1"/>
  <c r="M155" i="21"/>
  <c r="P155" i="21"/>
  <c r="Q155" i="21" s="1"/>
  <c r="J241" i="21"/>
  <c r="K241" i="21" s="1"/>
  <c r="M117" i="21"/>
  <c r="P117" i="21"/>
  <c r="Q117" i="21" s="1"/>
  <c r="P127" i="21"/>
  <c r="Q127" i="21" s="1"/>
  <c r="M127" i="21"/>
  <c r="P197" i="21"/>
  <c r="Q197" i="21" s="1"/>
  <c r="M197" i="21"/>
  <c r="M163" i="21"/>
  <c r="P163" i="21"/>
  <c r="Q163" i="21" s="1"/>
  <c r="P121" i="21"/>
  <c r="Q121" i="21" s="1"/>
  <c r="M121" i="21"/>
  <c r="M114" i="21"/>
  <c r="P114" i="21"/>
  <c r="Q114" i="21" s="1"/>
  <c r="P120" i="21"/>
  <c r="Q120" i="21" s="1"/>
  <c r="M120" i="21"/>
  <c r="M124" i="21"/>
  <c r="P124" i="21"/>
  <c r="Q124" i="21" s="1"/>
  <c r="I238" i="21"/>
  <c r="J238" i="21" s="1"/>
  <c r="K238" i="21" s="1"/>
  <c r="P236" i="21"/>
  <c r="Q236" i="21" s="1"/>
  <c r="M236" i="21"/>
  <c r="J242" i="21"/>
  <c r="K242" i="21" s="1"/>
  <c r="M162" i="21"/>
  <c r="P162" i="21"/>
  <c r="Q162" i="21" s="1"/>
  <c r="M144" i="21"/>
  <c r="P144" i="21"/>
  <c r="Q144" i="21" s="1"/>
  <c r="M138" i="21"/>
  <c r="P138" i="21"/>
  <c r="Q138" i="21" s="1"/>
  <c r="J258" i="21"/>
  <c r="K258" i="21" s="1"/>
  <c r="M148" i="21"/>
  <c r="P148" i="21"/>
  <c r="Q148" i="21" s="1"/>
  <c r="P123" i="21"/>
  <c r="Q123" i="21" s="1"/>
  <c r="M123" i="21"/>
  <c r="M125" i="21"/>
  <c r="P125" i="21"/>
  <c r="Q125" i="21" s="1"/>
  <c r="P128" i="21"/>
  <c r="Q128" i="21" s="1"/>
  <c r="M128" i="21"/>
  <c r="I246" i="21"/>
  <c r="J246" i="21" s="1"/>
  <c r="K246" i="21" s="1"/>
  <c r="M137" i="21"/>
  <c r="P137" i="21"/>
  <c r="Q137" i="21" s="1"/>
  <c r="P221" i="21"/>
  <c r="Q221" i="21" s="1"/>
  <c r="M221" i="21"/>
  <c r="J237" i="21"/>
  <c r="K237" i="21" s="1"/>
  <c r="P202" i="21"/>
  <c r="Q202" i="21" s="1"/>
  <c r="M202" i="21"/>
  <c r="P118" i="21"/>
  <c r="Q118" i="21" s="1"/>
  <c r="M118" i="21"/>
  <c r="I254" i="21"/>
  <c r="J254" i="21" s="1"/>
  <c r="K254" i="21" s="1"/>
  <c r="M146" i="21"/>
  <c r="P146" i="21"/>
  <c r="Q146" i="21" s="1"/>
  <c r="M147" i="21"/>
  <c r="P147" i="21"/>
  <c r="Q147" i="21" s="1"/>
  <c r="M149" i="21"/>
  <c r="P149" i="21"/>
  <c r="Q149" i="21" s="1"/>
  <c r="J239" i="21"/>
  <c r="K239" i="21" s="1"/>
  <c r="P126" i="21"/>
  <c r="Q126" i="21" s="1"/>
  <c r="M126" i="21"/>
  <c r="M187" i="21"/>
  <c r="P187" i="21"/>
  <c r="Q187" i="21" s="1"/>
  <c r="P218" i="21"/>
  <c r="Q218" i="21" s="1"/>
  <c r="M218" i="21"/>
  <c r="M164" i="21"/>
  <c r="P164" i="21"/>
  <c r="Q164" i="21" s="1"/>
  <c r="O168" i="20"/>
  <c r="P168" i="20" s="1"/>
  <c r="N126" i="20"/>
  <c r="O121" i="20"/>
  <c r="P121" i="20" s="1"/>
  <c r="O144" i="20"/>
  <c r="P144" i="20" s="1"/>
  <c r="N144" i="20"/>
  <c r="N147" i="20"/>
  <c r="O147" i="20"/>
  <c r="P147" i="20" s="1"/>
  <c r="O155" i="20"/>
  <c r="P155" i="20" s="1"/>
  <c r="N155" i="20"/>
  <c r="N145" i="20"/>
  <c r="N149" i="20"/>
  <c r="O149" i="20"/>
  <c r="P149" i="20" s="1"/>
  <c r="O125" i="20"/>
  <c r="P125" i="20" s="1"/>
  <c r="N125" i="20"/>
  <c r="N123" i="20"/>
  <c r="O123" i="20"/>
  <c r="P123" i="20" s="1"/>
  <c r="O128" i="20"/>
  <c r="P128" i="20" s="1"/>
  <c r="N128" i="20"/>
  <c r="N117" i="20"/>
  <c r="O117" i="20"/>
  <c r="P117" i="20" s="1"/>
  <c r="N120" i="20"/>
  <c r="O120" i="20"/>
  <c r="P120" i="20" s="1"/>
  <c r="N148" i="20"/>
  <c r="O148" i="20"/>
  <c r="P148" i="20" s="1"/>
  <c r="O124" i="20"/>
  <c r="P124" i="20" s="1"/>
  <c r="N124" i="20"/>
  <c r="O204" i="20"/>
  <c r="P204" i="20" s="1"/>
  <c r="N204" i="20"/>
  <c r="O201" i="20"/>
  <c r="P201" i="20" s="1"/>
  <c r="N201" i="20"/>
  <c r="O195" i="20"/>
  <c r="P195" i="20" s="1"/>
  <c r="N195" i="20"/>
  <c r="O194" i="20"/>
  <c r="P194" i="20" s="1"/>
  <c r="N194" i="20"/>
  <c r="N178" i="20"/>
  <c r="O178" i="20"/>
  <c r="P178" i="20" s="1"/>
  <c r="O217" i="20"/>
  <c r="P217" i="20" s="1"/>
  <c r="N217" i="20"/>
  <c r="O220" i="20"/>
  <c r="P220" i="20" s="1"/>
  <c r="N220" i="20"/>
  <c r="O223" i="20"/>
  <c r="P223" i="20" s="1"/>
  <c r="N223" i="20"/>
  <c r="N173" i="20"/>
  <c r="O173" i="20"/>
  <c r="P173" i="20" s="1"/>
  <c r="O203" i="20"/>
  <c r="P203" i="20" s="1"/>
  <c r="N203" i="20"/>
  <c r="N172" i="20"/>
  <c r="O172" i="20"/>
  <c r="P172" i="20" s="1"/>
  <c r="N189" i="20"/>
  <c r="O189" i="20"/>
  <c r="P189" i="20" s="1"/>
  <c r="N174" i="20"/>
  <c r="O174" i="20"/>
  <c r="P174" i="20" s="1"/>
  <c r="O218" i="20"/>
  <c r="P218" i="20" s="1"/>
  <c r="N218" i="20"/>
  <c r="O202" i="20"/>
  <c r="P202" i="20" s="1"/>
  <c r="N202" i="20"/>
  <c r="N170" i="20"/>
  <c r="O170" i="20"/>
  <c r="P170" i="20" s="1"/>
  <c r="O221" i="20"/>
  <c r="P221" i="20" s="1"/>
  <c r="N221" i="20"/>
  <c r="O197" i="20"/>
  <c r="P197" i="20" s="1"/>
  <c r="N197" i="20"/>
  <c r="N171" i="20"/>
  <c r="O171" i="20"/>
  <c r="P171" i="20" s="1"/>
  <c r="O191" i="20"/>
  <c r="P191" i="20" s="1"/>
  <c r="N191" i="20"/>
  <c r="N187" i="20"/>
  <c r="O187" i="20"/>
  <c r="P187" i="20" s="1"/>
  <c r="O216" i="20"/>
  <c r="P216" i="20" s="1"/>
  <c r="N216" i="20"/>
  <c r="N176" i="20"/>
  <c r="O176" i="20"/>
  <c r="P176" i="20" s="1"/>
  <c r="M234" i="19"/>
  <c r="N234" i="19"/>
  <c r="O234" i="19" s="1"/>
  <c r="M196" i="19"/>
  <c r="N196" i="19"/>
  <c r="O196" i="19" s="1"/>
  <c r="N211" i="19"/>
  <c r="O211" i="19" s="1"/>
  <c r="M211" i="19"/>
  <c r="N212" i="19"/>
  <c r="O212" i="19" s="1"/>
  <c r="M212" i="19"/>
  <c r="M226" i="19"/>
  <c r="N226" i="19"/>
  <c r="O226" i="19" s="1"/>
  <c r="M206" i="19"/>
  <c r="N206" i="19"/>
  <c r="O206" i="19" s="1"/>
  <c r="M207" i="19"/>
  <c r="N207" i="19"/>
  <c r="O207" i="19" s="1"/>
  <c r="M215" i="19"/>
  <c r="N215" i="19"/>
  <c r="O215" i="19" s="1"/>
  <c r="M222" i="19"/>
  <c r="N222" i="19"/>
  <c r="O222" i="19" s="1"/>
  <c r="M229" i="19"/>
  <c r="N229" i="19"/>
  <c r="O229" i="19" s="1"/>
  <c r="M227" i="19"/>
  <c r="N227" i="19"/>
  <c r="O227" i="19" s="1"/>
  <c r="M199" i="19"/>
  <c r="N199" i="19"/>
  <c r="O199" i="19" s="1"/>
  <c r="M228" i="19"/>
  <c r="N228" i="19"/>
  <c r="O228" i="19" s="1"/>
  <c r="M230" i="19"/>
  <c r="N230" i="19"/>
  <c r="O230" i="19" s="1"/>
  <c r="M198" i="19"/>
  <c r="N198" i="19"/>
  <c r="O198" i="19" s="1"/>
  <c r="N214" i="19"/>
  <c r="O214" i="19" s="1"/>
  <c r="M214" i="19"/>
  <c r="M209" i="19"/>
  <c r="N209" i="19"/>
  <c r="O209" i="19" s="1"/>
  <c r="M231" i="19"/>
  <c r="N231" i="19"/>
  <c r="O231" i="19" s="1"/>
  <c r="M213" i="19"/>
  <c r="N213" i="19"/>
  <c r="O213" i="19" s="1"/>
  <c r="M210" i="19"/>
  <c r="N210" i="19"/>
  <c r="O210" i="19" s="1"/>
  <c r="M232" i="19"/>
  <c r="N232" i="19"/>
  <c r="O232" i="19" s="1"/>
  <c r="A18" i="19"/>
  <c r="G188" i="19" s="1"/>
  <c r="J188" i="19" s="1"/>
  <c r="K188" i="19" s="1"/>
  <c r="A10" i="19"/>
  <c r="G187" i="19" s="1"/>
  <c r="G185" i="19"/>
  <c r="J185" i="19" s="1"/>
  <c r="K185" i="19" s="1"/>
  <c r="G184" i="19"/>
  <c r="J184" i="19" s="1"/>
  <c r="K184" i="19" s="1"/>
  <c r="G183" i="19"/>
  <c r="J183" i="19" s="1"/>
  <c r="K183" i="19" s="1"/>
  <c r="G182" i="19"/>
  <c r="J182" i="19" s="1"/>
  <c r="K182" i="19" s="1"/>
  <c r="G181" i="19"/>
  <c r="J181" i="19" s="1"/>
  <c r="K181" i="19" s="1"/>
  <c r="G180" i="19"/>
  <c r="G179" i="19"/>
  <c r="G178" i="19"/>
  <c r="G177" i="19"/>
  <c r="J177" i="19" s="1"/>
  <c r="K177" i="19" s="1"/>
  <c r="G176" i="19"/>
  <c r="J176" i="19" s="1"/>
  <c r="K176" i="19" s="1"/>
  <c r="G175" i="19"/>
  <c r="G174" i="19"/>
  <c r="J174" i="19" s="1"/>
  <c r="K174" i="19" s="1"/>
  <c r="G173" i="19"/>
  <c r="J173" i="19" s="1"/>
  <c r="K173" i="19" s="1"/>
  <c r="O180" i="20" l="1"/>
  <c r="P180" i="20" s="1"/>
  <c r="N131" i="20"/>
  <c r="N152" i="20"/>
  <c r="N219" i="20"/>
  <c r="O153" i="20"/>
  <c r="P153" i="20" s="1"/>
  <c r="N153" i="20"/>
  <c r="O205" i="20"/>
  <c r="P205" i="20" s="1"/>
  <c r="N205" i="20"/>
  <c r="O200" i="20"/>
  <c r="P200" i="20" s="1"/>
  <c r="N200" i="20"/>
  <c r="O225" i="20"/>
  <c r="P225" i="20" s="1"/>
  <c r="N225" i="20"/>
  <c r="O122" i="20"/>
  <c r="P122" i="20" s="1"/>
  <c r="N122" i="20"/>
  <c r="O175" i="20"/>
  <c r="P175" i="20" s="1"/>
  <c r="O224" i="20"/>
  <c r="P224" i="20" s="1"/>
  <c r="N224" i="20"/>
  <c r="O169" i="20"/>
  <c r="P169" i="20" s="1"/>
  <c r="O151" i="20"/>
  <c r="P151" i="20" s="1"/>
  <c r="N151" i="20"/>
  <c r="O179" i="20"/>
  <c r="P179" i="20" s="1"/>
  <c r="O132" i="20"/>
  <c r="P132" i="20" s="1"/>
  <c r="N132" i="20"/>
  <c r="N239" i="20"/>
  <c r="M112" i="21"/>
  <c r="L264" i="21" s="1"/>
  <c r="P261" i="20"/>
  <c r="P11" i="20"/>
  <c r="P19" i="20"/>
  <c r="P27" i="20"/>
  <c r="P35" i="20"/>
  <c r="P43" i="20"/>
  <c r="P51" i="20"/>
  <c r="P59" i="20"/>
  <c r="P67" i="20"/>
  <c r="P75" i="20"/>
  <c r="P83" i="20"/>
  <c r="P91" i="20"/>
  <c r="P99" i="20"/>
  <c r="P107" i="20"/>
  <c r="P12" i="20"/>
  <c r="P20" i="20"/>
  <c r="P28" i="20"/>
  <c r="P36" i="20"/>
  <c r="P44" i="20"/>
  <c r="P52" i="20"/>
  <c r="P60" i="20"/>
  <c r="P68" i="20"/>
  <c r="P76" i="20"/>
  <c r="P84" i="20"/>
  <c r="P92" i="20"/>
  <c r="P100" i="20"/>
  <c r="P108" i="20"/>
  <c r="P16" i="20"/>
  <c r="P48" i="20"/>
  <c r="P72" i="20"/>
  <c r="P96" i="20"/>
  <c r="P58" i="20"/>
  <c r="P13" i="20"/>
  <c r="P21" i="20"/>
  <c r="P29" i="20"/>
  <c r="P37" i="20"/>
  <c r="P45" i="20"/>
  <c r="P53" i="20"/>
  <c r="P61" i="20"/>
  <c r="P69" i="20"/>
  <c r="P77" i="20"/>
  <c r="P85" i="20"/>
  <c r="P93" i="20"/>
  <c r="P101" i="20"/>
  <c r="P109" i="20"/>
  <c r="P24" i="20"/>
  <c r="P56" i="20"/>
  <c r="P88" i="20"/>
  <c r="P104" i="20"/>
  <c r="P50" i="20"/>
  <c r="P98" i="20"/>
  <c r="P14" i="20"/>
  <c r="P22" i="20"/>
  <c r="P30" i="20"/>
  <c r="P38" i="20"/>
  <c r="P46" i="20"/>
  <c r="P54" i="20"/>
  <c r="P62" i="20"/>
  <c r="P70" i="20"/>
  <c r="P78" i="20"/>
  <c r="P86" i="20"/>
  <c r="P94" i="20"/>
  <c r="P102" i="20"/>
  <c r="P110" i="20"/>
  <c r="P32" i="20"/>
  <c r="P64" i="20"/>
  <c r="P9" i="20"/>
  <c r="P74" i="20"/>
  <c r="P15" i="20"/>
  <c r="P23" i="20"/>
  <c r="P31" i="20"/>
  <c r="P39" i="20"/>
  <c r="P47" i="20"/>
  <c r="P55" i="20"/>
  <c r="P63" i="20"/>
  <c r="P71" i="20"/>
  <c r="P79" i="20"/>
  <c r="P87" i="20"/>
  <c r="P95" i="20"/>
  <c r="P103" i="20"/>
  <c r="P111" i="20"/>
  <c r="P40" i="20"/>
  <c r="P80" i="20"/>
  <c r="P42" i="20"/>
  <c r="P106" i="20"/>
  <c r="P17" i="20"/>
  <c r="P25" i="20"/>
  <c r="P33" i="20"/>
  <c r="P41" i="20"/>
  <c r="P49" i="20"/>
  <c r="P57" i="20"/>
  <c r="P65" i="20"/>
  <c r="P73" i="20"/>
  <c r="P81" i="20"/>
  <c r="P89" i="20"/>
  <c r="P97" i="20"/>
  <c r="P105" i="20"/>
  <c r="P10" i="20"/>
  <c r="P18" i="20"/>
  <c r="P26" i="20"/>
  <c r="P34" i="20"/>
  <c r="P66" i="20"/>
  <c r="P82" i="20"/>
  <c r="P90" i="20"/>
  <c r="N237" i="20"/>
  <c r="N236" i="20"/>
  <c r="O238" i="20"/>
  <c r="P238" i="20" s="1"/>
  <c r="O258" i="20"/>
  <c r="P258" i="20" s="1"/>
  <c r="N258" i="20"/>
  <c r="O257" i="20"/>
  <c r="P257" i="20" s="1"/>
  <c r="O249" i="20"/>
  <c r="P249" i="20" s="1"/>
  <c r="N249" i="20"/>
  <c r="P254" i="21"/>
  <c r="Q254" i="21" s="1"/>
  <c r="M254" i="21"/>
  <c r="P255" i="21"/>
  <c r="Q255" i="21" s="1"/>
  <c r="M255" i="21"/>
  <c r="P240" i="21"/>
  <c r="Q240" i="21" s="1"/>
  <c r="M240" i="21"/>
  <c r="P246" i="21"/>
  <c r="Q246" i="21" s="1"/>
  <c r="M246" i="21"/>
  <c r="P238" i="21"/>
  <c r="Q238" i="21" s="1"/>
  <c r="M238" i="21"/>
  <c r="P258" i="21"/>
  <c r="Q258" i="21" s="1"/>
  <c r="M258" i="21"/>
  <c r="P242" i="21"/>
  <c r="Q242" i="21" s="1"/>
  <c r="M242" i="21"/>
  <c r="P237" i="21"/>
  <c r="Q237" i="21" s="1"/>
  <c r="M237" i="21"/>
  <c r="P239" i="21"/>
  <c r="Q239" i="21" s="1"/>
  <c r="M239" i="21"/>
  <c r="P241" i="21"/>
  <c r="Q241" i="21" s="1"/>
  <c r="M241" i="21"/>
  <c r="M188" i="19"/>
  <c r="N188" i="19"/>
  <c r="O188" i="19" s="1"/>
  <c r="M185" i="19"/>
  <c r="N185" i="19"/>
  <c r="O185" i="19" s="1"/>
  <c r="M173" i="19"/>
  <c r="N173" i="19"/>
  <c r="O173" i="19" s="1"/>
  <c r="M182" i="19"/>
  <c r="N182" i="19"/>
  <c r="O182" i="19" s="1"/>
  <c r="M181" i="19"/>
  <c r="N181" i="19"/>
  <c r="O181" i="19" s="1"/>
  <c r="M174" i="19"/>
  <c r="N174" i="19"/>
  <c r="O174" i="19" s="1"/>
  <c r="M183" i="19"/>
  <c r="N183" i="19"/>
  <c r="O183" i="19" s="1"/>
  <c r="M177" i="19"/>
  <c r="N177" i="19"/>
  <c r="O177" i="19" s="1"/>
  <c r="N176" i="19"/>
  <c r="O176" i="19" s="1"/>
  <c r="M176" i="19"/>
  <c r="M184" i="19"/>
  <c r="N184" i="19"/>
  <c r="O184" i="19" s="1"/>
  <c r="G172" i="19"/>
  <c r="J172" i="19" s="1"/>
  <c r="K172" i="19" s="1"/>
  <c r="G171" i="19"/>
  <c r="G170" i="19"/>
  <c r="J170" i="19" s="1"/>
  <c r="K170" i="19" s="1"/>
  <c r="G169" i="19"/>
  <c r="J169" i="19" s="1"/>
  <c r="K169" i="19" s="1"/>
  <c r="G155" i="19"/>
  <c r="G167" i="19"/>
  <c r="J167" i="19" s="1"/>
  <c r="K167" i="19" s="1"/>
  <c r="G166" i="19"/>
  <c r="G165" i="19"/>
  <c r="J165" i="19" s="1"/>
  <c r="K165" i="19" s="1"/>
  <c r="G164" i="19"/>
  <c r="J164" i="19" s="1"/>
  <c r="K164" i="19" s="1"/>
  <c r="G162" i="19"/>
  <c r="J162" i="19" s="1"/>
  <c r="K162" i="19" s="1"/>
  <c r="G161" i="19"/>
  <c r="J161" i="19" s="1"/>
  <c r="K161" i="19" s="1"/>
  <c r="G160" i="19"/>
  <c r="J160" i="19" s="1"/>
  <c r="K160" i="19" s="1"/>
  <c r="G159" i="19"/>
  <c r="J159" i="19" s="1"/>
  <c r="K159" i="19" s="1"/>
  <c r="G158" i="19"/>
  <c r="G157" i="19"/>
  <c r="J157" i="19" s="1"/>
  <c r="K157" i="19" s="1"/>
  <c r="G156" i="19"/>
  <c r="J156" i="19" s="1"/>
  <c r="K156" i="19" s="1"/>
  <c r="G154" i="19"/>
  <c r="J154" i="19" s="1"/>
  <c r="K154" i="19" s="1"/>
  <c r="G153" i="19"/>
  <c r="G152" i="19"/>
  <c r="G151" i="19"/>
  <c r="I150" i="19"/>
  <c r="G149" i="19"/>
  <c r="G147" i="19"/>
  <c r="I147" i="19" s="1"/>
  <c r="G146" i="19"/>
  <c r="G143" i="19"/>
  <c r="J143" i="19" s="1"/>
  <c r="K143" i="19" s="1"/>
  <c r="G142" i="19"/>
  <c r="I142" i="19" s="1"/>
  <c r="G141" i="19"/>
  <c r="J141" i="19" s="1"/>
  <c r="K141" i="19" s="1"/>
  <c r="G140" i="19"/>
  <c r="G139" i="19"/>
  <c r="J139" i="19" s="1"/>
  <c r="K139" i="19" s="1"/>
  <c r="G138" i="19"/>
  <c r="G137" i="19"/>
  <c r="G136" i="19"/>
  <c r="J136" i="19" s="1"/>
  <c r="K136" i="19" s="1"/>
  <c r="G135" i="19"/>
  <c r="J135" i="19" s="1"/>
  <c r="K135" i="19" s="1"/>
  <c r="G134" i="19"/>
  <c r="J134" i="19" s="1"/>
  <c r="K134" i="19" s="1"/>
  <c r="G133" i="19"/>
  <c r="J133" i="19" s="1"/>
  <c r="K133" i="19" s="1"/>
  <c r="G132" i="19"/>
  <c r="I131" i="19"/>
  <c r="G130" i="19"/>
  <c r="J130" i="19" s="1"/>
  <c r="K130" i="19" s="1"/>
  <c r="G129" i="19"/>
  <c r="G127" i="19"/>
  <c r="I127" i="19" s="1"/>
  <c r="G124" i="19"/>
  <c r="G123" i="19"/>
  <c r="G119" i="19"/>
  <c r="I173" i="19"/>
  <c r="I174" i="19"/>
  <c r="I175" i="19"/>
  <c r="J175" i="19" s="1"/>
  <c r="K175" i="19" s="1"/>
  <c r="I176" i="19"/>
  <c r="I177" i="19"/>
  <c r="I178" i="19"/>
  <c r="J178" i="19" s="1"/>
  <c r="K178" i="19" s="1"/>
  <c r="I179" i="19"/>
  <c r="J179" i="19" s="1"/>
  <c r="K179" i="19" s="1"/>
  <c r="I180" i="19"/>
  <c r="J180" i="19" s="1"/>
  <c r="K180" i="19" s="1"/>
  <c r="I181" i="19"/>
  <c r="I182" i="19"/>
  <c r="I183" i="19"/>
  <c r="I184" i="19"/>
  <c r="I185" i="19"/>
  <c r="I187" i="19"/>
  <c r="J187" i="19" s="1"/>
  <c r="K187" i="19" s="1"/>
  <c r="I188" i="19"/>
  <c r="I190" i="19"/>
  <c r="I192" i="19"/>
  <c r="I196" i="19"/>
  <c r="I197" i="19"/>
  <c r="J197" i="19" s="1"/>
  <c r="K197" i="19" s="1"/>
  <c r="I198" i="19"/>
  <c r="I199" i="19"/>
  <c r="I200" i="19"/>
  <c r="J200" i="19" s="1"/>
  <c r="K200" i="19" s="1"/>
  <c r="I202" i="19"/>
  <c r="J202" i="19" s="1"/>
  <c r="K202" i="19" s="1"/>
  <c r="I203" i="19"/>
  <c r="J203" i="19" s="1"/>
  <c r="K203" i="19" s="1"/>
  <c r="I205" i="19"/>
  <c r="J205" i="19" s="1"/>
  <c r="K205" i="19" s="1"/>
  <c r="I206" i="19"/>
  <c r="I207" i="19"/>
  <c r="I208" i="19"/>
  <c r="J208" i="19" s="1"/>
  <c r="K208" i="19" s="1"/>
  <c r="I209" i="19"/>
  <c r="I210" i="19"/>
  <c r="I211" i="19"/>
  <c r="I212" i="19"/>
  <c r="I213" i="19"/>
  <c r="I214" i="19"/>
  <c r="I215" i="19"/>
  <c r="I216" i="19"/>
  <c r="J216" i="19" s="1"/>
  <c r="K216" i="19" s="1"/>
  <c r="I217" i="19"/>
  <c r="J217" i="19" s="1"/>
  <c r="K217" i="19" s="1"/>
  <c r="I218" i="19"/>
  <c r="J218" i="19" s="1"/>
  <c r="K218" i="19" s="1"/>
  <c r="I219" i="19"/>
  <c r="J219" i="19" s="1"/>
  <c r="K219" i="19" s="1"/>
  <c r="I220" i="19"/>
  <c r="J220" i="19" s="1"/>
  <c r="K220" i="19" s="1"/>
  <c r="I221" i="19"/>
  <c r="J221" i="19" s="1"/>
  <c r="K221" i="19" s="1"/>
  <c r="I222" i="19"/>
  <c r="I223" i="19"/>
  <c r="J223" i="19" s="1"/>
  <c r="K223" i="19" s="1"/>
  <c r="I224" i="19"/>
  <c r="J224" i="19" s="1"/>
  <c r="K224" i="19" s="1"/>
  <c r="I226" i="19"/>
  <c r="I227" i="19"/>
  <c r="I228" i="19"/>
  <c r="I229" i="19"/>
  <c r="I230" i="19"/>
  <c r="I231" i="19"/>
  <c r="I232" i="19"/>
  <c r="I234" i="19"/>
  <c r="I246" i="19"/>
  <c r="I247" i="19"/>
  <c r="I248" i="19"/>
  <c r="I250" i="19"/>
  <c r="I251" i="19"/>
  <c r="I252" i="19"/>
  <c r="I253" i="19"/>
  <c r="I254" i="19"/>
  <c r="I255" i="19"/>
  <c r="I256" i="19"/>
  <c r="I259" i="19"/>
  <c r="I260" i="19"/>
  <c r="G121" i="19"/>
  <c r="G125" i="19"/>
  <c r="G126" i="19"/>
  <c r="G122" i="19"/>
  <c r="G120" i="19"/>
  <c r="G118" i="19"/>
  <c r="J116" i="19"/>
  <c r="K116" i="19" s="1"/>
  <c r="I167" i="19" l="1"/>
  <c r="I143" i="19"/>
  <c r="M179" i="19"/>
  <c r="N179" i="19"/>
  <c r="O179" i="19" s="1"/>
  <c r="N180" i="19"/>
  <c r="O180" i="19" s="1"/>
  <c r="M180" i="19"/>
  <c r="N175" i="19"/>
  <c r="O175" i="19" s="1"/>
  <c r="M175" i="19"/>
  <c r="M219" i="19"/>
  <c r="N219" i="19"/>
  <c r="O219" i="19" s="1"/>
  <c r="M205" i="19"/>
  <c r="N205" i="19"/>
  <c r="O205" i="19" s="1"/>
  <c r="M200" i="19"/>
  <c r="N200" i="19"/>
  <c r="O200" i="19" s="1"/>
  <c r="I164" i="19"/>
  <c r="I171" i="19"/>
  <c r="J171" i="19" s="1"/>
  <c r="K171" i="19" s="1"/>
  <c r="M224" i="19"/>
  <c r="N224" i="19"/>
  <c r="O224" i="19" s="1"/>
  <c r="M208" i="19"/>
  <c r="N208" i="19"/>
  <c r="O208" i="19" s="1"/>
  <c r="I139" i="19"/>
  <c r="N264" i="20"/>
  <c r="N265" i="20" s="1"/>
  <c r="I135" i="19"/>
  <c r="I165" i="19"/>
  <c r="I157" i="19"/>
  <c r="I134" i="19"/>
  <c r="I151" i="19"/>
  <c r="J151" i="19" s="1"/>
  <c r="K151" i="19" s="1"/>
  <c r="L265" i="21"/>
  <c r="K264" i="21" s="1"/>
  <c r="N198" i="21" s="1"/>
  <c r="I166" i="19"/>
  <c r="J166" i="19" s="1"/>
  <c r="K166" i="19" s="1"/>
  <c r="I158" i="19"/>
  <c r="J158" i="19" s="1"/>
  <c r="K158" i="19" s="1"/>
  <c r="I149" i="19"/>
  <c r="J149" i="19" s="1"/>
  <c r="K149" i="19" s="1"/>
  <c r="I141" i="19"/>
  <c r="I133" i="19"/>
  <c r="I159" i="19"/>
  <c r="I172" i="19"/>
  <c r="I148" i="19"/>
  <c r="J148" i="19" s="1"/>
  <c r="K148" i="19" s="1"/>
  <c r="N148" i="19" s="1"/>
  <c r="O148" i="19" s="1"/>
  <c r="I140" i="19"/>
  <c r="J140" i="19" s="1"/>
  <c r="K140" i="19" s="1"/>
  <c r="M140" i="19" s="1"/>
  <c r="I132" i="19"/>
  <c r="J132" i="19" s="1"/>
  <c r="K132" i="19" s="1"/>
  <c r="I124" i="19"/>
  <c r="J124" i="19" s="1"/>
  <c r="K124" i="19" s="1"/>
  <c r="M124" i="19" s="1"/>
  <c r="I123" i="19"/>
  <c r="I163" i="19"/>
  <c r="I170" i="19"/>
  <c r="I154" i="19"/>
  <c r="I146" i="19"/>
  <c r="J146" i="19" s="1"/>
  <c r="K146" i="19" s="1"/>
  <c r="N146" i="19" s="1"/>
  <c r="O146" i="19" s="1"/>
  <c r="I138" i="19"/>
  <c r="J138" i="19" s="1"/>
  <c r="K138" i="19" s="1"/>
  <c r="N138" i="19" s="1"/>
  <c r="O138" i="19" s="1"/>
  <c r="I125" i="19"/>
  <c r="J125" i="19" s="1"/>
  <c r="K125" i="19" s="1"/>
  <c r="I155" i="19"/>
  <c r="J155" i="19" s="1"/>
  <c r="K155" i="19" s="1"/>
  <c r="I130" i="19"/>
  <c r="M261" i="21"/>
  <c r="M262" i="21" s="1"/>
  <c r="I156" i="19"/>
  <c r="I161" i="19"/>
  <c r="I117" i="19"/>
  <c r="J117" i="19" s="1"/>
  <c r="K117" i="19" s="1"/>
  <c r="I168" i="19"/>
  <c r="J168" i="19" s="1"/>
  <c r="K168" i="19" s="1"/>
  <c r="M168" i="19" s="1"/>
  <c r="I160" i="19"/>
  <c r="I152" i="19"/>
  <c r="J152" i="19" s="1"/>
  <c r="K152" i="19" s="1"/>
  <c r="I144" i="19"/>
  <c r="J144" i="19" s="1"/>
  <c r="K144" i="19" s="1"/>
  <c r="M144" i="19" s="1"/>
  <c r="I136" i="19"/>
  <c r="I128" i="19"/>
  <c r="J128" i="19" s="1"/>
  <c r="K128" i="19" s="1"/>
  <c r="M128" i="19" s="1"/>
  <c r="M187" i="19"/>
  <c r="N187" i="19"/>
  <c r="O187" i="19" s="1"/>
  <c r="M221" i="19"/>
  <c r="N221" i="19"/>
  <c r="O221" i="19" s="1"/>
  <c r="M197" i="19"/>
  <c r="N197" i="19"/>
  <c r="O197" i="19" s="1"/>
  <c r="I116" i="19"/>
  <c r="M130" i="19"/>
  <c r="N130" i="19"/>
  <c r="O130" i="19" s="1"/>
  <c r="M154" i="19"/>
  <c r="N154" i="19"/>
  <c r="O154" i="19" s="1"/>
  <c r="J163" i="19"/>
  <c r="K163" i="19" s="1"/>
  <c r="N170" i="19"/>
  <c r="O170" i="19" s="1"/>
  <c r="M170" i="19"/>
  <c r="M220" i="19"/>
  <c r="N220" i="19"/>
  <c r="O220" i="19" s="1"/>
  <c r="J131" i="19"/>
  <c r="K131" i="19" s="1"/>
  <c r="M139" i="19"/>
  <c r="N139" i="19"/>
  <c r="O139" i="19" s="1"/>
  <c r="J147" i="19"/>
  <c r="K147" i="19" s="1"/>
  <c r="M156" i="19"/>
  <c r="N156" i="19"/>
  <c r="O156" i="19" s="1"/>
  <c r="N164" i="19"/>
  <c r="O164" i="19" s="1"/>
  <c r="M164" i="19"/>
  <c r="M203" i="19"/>
  <c r="N203" i="19"/>
  <c r="O203" i="19" s="1"/>
  <c r="M178" i="19"/>
  <c r="N178" i="19"/>
  <c r="O178" i="19" s="1"/>
  <c r="I162" i="19"/>
  <c r="I122" i="19"/>
  <c r="J122" i="19" s="1"/>
  <c r="K122" i="19" s="1"/>
  <c r="N157" i="19"/>
  <c r="O157" i="19" s="1"/>
  <c r="M157" i="19"/>
  <c r="M165" i="19"/>
  <c r="N165" i="19"/>
  <c r="O165" i="19" s="1"/>
  <c r="M172" i="19"/>
  <c r="N172" i="19"/>
  <c r="O172" i="19" s="1"/>
  <c r="N169" i="19"/>
  <c r="O169" i="19" s="1"/>
  <c r="M169" i="19"/>
  <c r="N218" i="19"/>
  <c r="O218" i="19" s="1"/>
  <c r="M218" i="19"/>
  <c r="M202" i="19"/>
  <c r="N202" i="19"/>
  <c r="O202" i="19" s="1"/>
  <c r="I169" i="19"/>
  <c r="I153" i="19"/>
  <c r="J153" i="19" s="1"/>
  <c r="K153" i="19" s="1"/>
  <c r="I145" i="19"/>
  <c r="J145" i="19" s="1"/>
  <c r="K145" i="19" s="1"/>
  <c r="I137" i="19"/>
  <c r="J137" i="19" s="1"/>
  <c r="K137" i="19" s="1"/>
  <c r="I129" i="19"/>
  <c r="J129" i="19" s="1"/>
  <c r="K129" i="19" s="1"/>
  <c r="I121" i="19"/>
  <c r="J121" i="19" s="1"/>
  <c r="K121" i="19" s="1"/>
  <c r="J123" i="19"/>
  <c r="K123" i="19" s="1"/>
  <c r="M133" i="19"/>
  <c r="N133" i="19"/>
  <c r="O133" i="19" s="1"/>
  <c r="M141" i="19"/>
  <c r="N141" i="19"/>
  <c r="O141" i="19" s="1"/>
  <c r="M162" i="19"/>
  <c r="N162" i="19"/>
  <c r="O162" i="19" s="1"/>
  <c r="N217" i="19"/>
  <c r="O217" i="19" s="1"/>
  <c r="M217" i="19"/>
  <c r="I120" i="19"/>
  <c r="J120" i="19" s="1"/>
  <c r="K120" i="19" s="1"/>
  <c r="N134" i="19"/>
  <c r="O134" i="19" s="1"/>
  <c r="M134" i="19"/>
  <c r="J142" i="19"/>
  <c r="K142" i="19" s="1"/>
  <c r="J150" i="19"/>
  <c r="K150" i="19" s="1"/>
  <c r="M159" i="19"/>
  <c r="N159" i="19"/>
  <c r="O159" i="19" s="1"/>
  <c r="M167" i="19"/>
  <c r="N167" i="19"/>
  <c r="O167" i="19" s="1"/>
  <c r="M216" i="19"/>
  <c r="N216" i="19"/>
  <c r="O216" i="19" s="1"/>
  <c r="I119" i="19"/>
  <c r="J119" i="19" s="1"/>
  <c r="K119" i="19" s="1"/>
  <c r="J127" i="19"/>
  <c r="K127" i="19" s="1"/>
  <c r="M135" i="19"/>
  <c r="N135" i="19"/>
  <c r="O135" i="19" s="1"/>
  <c r="N143" i="19"/>
  <c r="O143" i="19" s="1"/>
  <c r="M143" i="19"/>
  <c r="M160" i="19"/>
  <c r="N160" i="19"/>
  <c r="O160" i="19" s="1"/>
  <c r="M116" i="19"/>
  <c r="N116" i="19"/>
  <c r="O116" i="19" s="1"/>
  <c r="N223" i="19"/>
  <c r="O223" i="19" s="1"/>
  <c r="M223" i="19"/>
  <c r="I126" i="19"/>
  <c r="J126" i="19" s="1"/>
  <c r="K126" i="19" s="1"/>
  <c r="I118" i="19"/>
  <c r="J118" i="19" s="1"/>
  <c r="K118" i="19" s="1"/>
  <c r="M136" i="19"/>
  <c r="N136" i="19"/>
  <c r="O136" i="19" s="1"/>
  <c r="M161" i="19"/>
  <c r="N161" i="19"/>
  <c r="O161" i="19" s="1"/>
  <c r="J115" i="19"/>
  <c r="K115" i="19" s="1"/>
  <c r="M146" i="19" l="1"/>
  <c r="M122" i="19"/>
  <c r="N122" i="19"/>
  <c r="O122" i="19" s="1"/>
  <c r="M166" i="19"/>
  <c r="N166" i="19"/>
  <c r="O166" i="19" s="1"/>
  <c r="M171" i="19"/>
  <c r="N171" i="19"/>
  <c r="O171" i="19" s="1"/>
  <c r="N158" i="19"/>
  <c r="O158" i="19" s="1"/>
  <c r="M158" i="19"/>
  <c r="M152" i="19"/>
  <c r="N152" i="19"/>
  <c r="O152" i="19" s="1"/>
  <c r="N151" i="19"/>
  <c r="O151" i="19" s="1"/>
  <c r="M151" i="19"/>
  <c r="M153" i="19"/>
  <c r="N153" i="19"/>
  <c r="O153" i="19" s="1"/>
  <c r="N132" i="19"/>
  <c r="O132" i="19" s="1"/>
  <c r="M132" i="19"/>
  <c r="N129" i="19"/>
  <c r="O129" i="19" s="1"/>
  <c r="M129" i="19"/>
  <c r="N140" i="19"/>
  <c r="O140" i="19" s="1"/>
  <c r="N10" i="21"/>
  <c r="O10" i="21" s="1"/>
  <c r="N49" i="21"/>
  <c r="O49" i="21" s="1"/>
  <c r="N162" i="21"/>
  <c r="N31" i="21"/>
  <c r="O31" i="21" s="1"/>
  <c r="N44" i="21"/>
  <c r="O44" i="21" s="1"/>
  <c r="N22" i="21"/>
  <c r="O22" i="21" s="1"/>
  <c r="N177" i="21"/>
  <c r="N234" i="21"/>
  <c r="N219" i="21"/>
  <c r="N101" i="21"/>
  <c r="O101" i="21" s="1"/>
  <c r="N37" i="21"/>
  <c r="O37" i="21" s="1"/>
  <c r="N242" i="21"/>
  <c r="N100" i="21"/>
  <c r="O100" i="21" s="1"/>
  <c r="N179" i="21"/>
  <c r="N115" i="21"/>
  <c r="N86" i="21"/>
  <c r="O86" i="21" s="1"/>
  <c r="N66" i="21"/>
  <c r="O66" i="21" s="1"/>
  <c r="N72" i="21"/>
  <c r="O72" i="21" s="1"/>
  <c r="N106" i="21"/>
  <c r="O106" i="21" s="1"/>
  <c r="N95" i="21"/>
  <c r="O95" i="21" s="1"/>
  <c r="N244" i="21"/>
  <c r="M138" i="19"/>
  <c r="N41" i="21"/>
  <c r="O41" i="21" s="1"/>
  <c r="N84" i="21"/>
  <c r="O84" i="21" s="1"/>
  <c r="N78" i="21"/>
  <c r="O78" i="21" s="1"/>
  <c r="N171" i="21"/>
  <c r="N211" i="21"/>
  <c r="N136" i="21"/>
  <c r="N134" i="21"/>
  <c r="N254" i="21"/>
  <c r="N33" i="21"/>
  <c r="O33" i="21" s="1"/>
  <c r="N18" i="21"/>
  <c r="O18" i="21" s="1"/>
  <c r="N74" i="21"/>
  <c r="O74" i="21" s="1"/>
  <c r="N15" i="21"/>
  <c r="O15" i="21" s="1"/>
  <c r="N85" i="21"/>
  <c r="O85" i="21" s="1"/>
  <c r="N220" i="21"/>
  <c r="N116" i="21"/>
  <c r="N203" i="21"/>
  <c r="N161" i="21"/>
  <c r="N218" i="21"/>
  <c r="N221" i="21"/>
  <c r="N128" i="21"/>
  <c r="N159" i="21"/>
  <c r="N216" i="21"/>
  <c r="N229" i="21"/>
  <c r="N126" i="21"/>
  <c r="N255" i="21"/>
  <c r="N181" i="21"/>
  <c r="N117" i="21"/>
  <c r="N246" i="21"/>
  <c r="N89" i="21"/>
  <c r="O89" i="21" s="1"/>
  <c r="N25" i="21"/>
  <c r="O25" i="21" s="1"/>
  <c r="N91" i="21"/>
  <c r="O91" i="21" s="1"/>
  <c r="N9" i="21"/>
  <c r="O9" i="21" s="1"/>
  <c r="N48" i="21"/>
  <c r="O48" i="21" s="1"/>
  <c r="N52" i="21"/>
  <c r="O52" i="21" s="1"/>
  <c r="N58" i="21"/>
  <c r="O58" i="21" s="1"/>
  <c r="N71" i="21"/>
  <c r="O71" i="21" s="1"/>
  <c r="N35" i="21"/>
  <c r="O35" i="21" s="1"/>
  <c r="N62" i="21"/>
  <c r="O62" i="21" s="1"/>
  <c r="N36" i="21"/>
  <c r="O36" i="21" s="1"/>
  <c r="N77" i="21"/>
  <c r="O77" i="21" s="1"/>
  <c r="N13" i="21"/>
  <c r="O13" i="21" s="1"/>
  <c r="N155" i="21"/>
  <c r="N212" i="21"/>
  <c r="N197" i="21"/>
  <c r="N138" i="21"/>
  <c r="N195" i="21"/>
  <c r="N153" i="21"/>
  <c r="N210" i="21"/>
  <c r="N184" i="21"/>
  <c r="N120" i="21"/>
  <c r="N249" i="21"/>
  <c r="N151" i="21"/>
  <c r="N208" i="21"/>
  <c r="N182" i="21"/>
  <c r="N118" i="21"/>
  <c r="N247" i="21"/>
  <c r="N173" i="21"/>
  <c r="N230" i="21"/>
  <c r="N238" i="21"/>
  <c r="N175" i="21"/>
  <c r="N190" i="21"/>
  <c r="N50" i="21"/>
  <c r="O50" i="21" s="1"/>
  <c r="N87" i="21"/>
  <c r="O87" i="21" s="1"/>
  <c r="N93" i="21"/>
  <c r="O93" i="21" s="1"/>
  <c r="N154" i="21"/>
  <c r="N164" i="21"/>
  <c r="N224" i="21"/>
  <c r="N237" i="21"/>
  <c r="N107" i="21"/>
  <c r="O107" i="21" s="1"/>
  <c r="N56" i="21"/>
  <c r="O56" i="21" s="1"/>
  <c r="N68" i="21"/>
  <c r="O68" i="21" s="1"/>
  <c r="N79" i="21"/>
  <c r="O79" i="21" s="1"/>
  <c r="N70" i="21"/>
  <c r="O70" i="21" s="1"/>
  <c r="N108" i="21"/>
  <c r="O108" i="21" s="1"/>
  <c r="N21" i="21"/>
  <c r="O21" i="21" s="1"/>
  <c r="N163" i="21"/>
  <c r="N146" i="21"/>
  <c r="N257" i="21"/>
  <c r="N81" i="21"/>
  <c r="O81" i="21" s="1"/>
  <c r="N17" i="21"/>
  <c r="O17" i="21" s="1"/>
  <c r="N59" i="21"/>
  <c r="O59" i="21" s="1"/>
  <c r="N104" i="21"/>
  <c r="O104" i="21" s="1"/>
  <c r="N40" i="21"/>
  <c r="O40" i="21" s="1"/>
  <c r="N20" i="21"/>
  <c r="O20" i="21" s="1"/>
  <c r="N42" i="21"/>
  <c r="O42" i="21" s="1"/>
  <c r="N63" i="21"/>
  <c r="O63" i="21" s="1"/>
  <c r="N34" i="21"/>
  <c r="O34" i="21" s="1"/>
  <c r="N54" i="21"/>
  <c r="O54" i="21" s="1"/>
  <c r="N99" i="21"/>
  <c r="O99" i="21" s="1"/>
  <c r="N69" i="21"/>
  <c r="O69" i="21" s="1"/>
  <c r="N12" i="21"/>
  <c r="O12" i="21" s="1"/>
  <c r="N147" i="21"/>
  <c r="N204" i="21"/>
  <c r="N245" i="21"/>
  <c r="N130" i="21"/>
  <c r="N236" i="21"/>
  <c r="N145" i="21"/>
  <c r="N202" i="21"/>
  <c r="N176" i="21"/>
  <c r="N233" i="21"/>
  <c r="N241" i="21"/>
  <c r="N143" i="21"/>
  <c r="N200" i="21"/>
  <c r="N174" i="21"/>
  <c r="N231" i="21"/>
  <c r="N239" i="21"/>
  <c r="N165" i="21"/>
  <c r="N222" i="21"/>
  <c r="N144" i="21"/>
  <c r="N232" i="21"/>
  <c r="N142" i="21"/>
  <c r="N133" i="21"/>
  <c r="N105" i="21"/>
  <c r="O105" i="21" s="1"/>
  <c r="N64" i="21"/>
  <c r="O64" i="21" s="1"/>
  <c r="N23" i="21"/>
  <c r="O23" i="21" s="1"/>
  <c r="N29" i="21"/>
  <c r="O29" i="21" s="1"/>
  <c r="N148" i="21"/>
  <c r="N226" i="21"/>
  <c r="N167" i="21"/>
  <c r="N11" i="21"/>
  <c r="O11" i="21" s="1"/>
  <c r="N32" i="21"/>
  <c r="O32" i="21" s="1"/>
  <c r="N26" i="21"/>
  <c r="O26" i="21" s="1"/>
  <c r="N110" i="21"/>
  <c r="O110" i="21" s="1"/>
  <c r="N61" i="21"/>
  <c r="O61" i="21" s="1"/>
  <c r="N139" i="21"/>
  <c r="N122" i="21"/>
  <c r="N166" i="21"/>
  <c r="N67" i="21"/>
  <c r="O67" i="21" s="1"/>
  <c r="N24" i="21"/>
  <c r="O24" i="21" s="1"/>
  <c r="N47" i="21"/>
  <c r="O47" i="21" s="1"/>
  <c r="N38" i="21"/>
  <c r="O38" i="21" s="1"/>
  <c r="N43" i="21"/>
  <c r="O43" i="21" s="1"/>
  <c r="N53" i="21"/>
  <c r="O53" i="21" s="1"/>
  <c r="N132" i="21"/>
  <c r="N131" i="21"/>
  <c r="N188" i="21"/>
  <c r="N178" i="21"/>
  <c r="N187" i="21"/>
  <c r="N243" i="21"/>
  <c r="N129" i="21"/>
  <c r="N258" i="21"/>
  <c r="N160" i="21"/>
  <c r="N217" i="21"/>
  <c r="N189" i="21"/>
  <c r="N127" i="21"/>
  <c r="N256" i="21"/>
  <c r="N158" i="21"/>
  <c r="N215" i="21"/>
  <c r="N124" i="21"/>
  <c r="N149" i="21"/>
  <c r="N206" i="21"/>
  <c r="N201" i="21"/>
  <c r="N240" i="21"/>
  <c r="N199" i="21"/>
  <c r="N253" i="21"/>
  <c r="N28" i="21"/>
  <c r="O28" i="21" s="1"/>
  <c r="N90" i="21"/>
  <c r="O90" i="21" s="1"/>
  <c r="N14" i="21"/>
  <c r="O14" i="21" s="1"/>
  <c r="N228" i="21"/>
  <c r="N169" i="21"/>
  <c r="N193" i="21"/>
  <c r="N156" i="21"/>
  <c r="N191" i="21"/>
  <c r="N125" i="21"/>
  <c r="N97" i="21"/>
  <c r="O97" i="21" s="1"/>
  <c r="N73" i="21"/>
  <c r="O73" i="21" s="1"/>
  <c r="N92" i="21"/>
  <c r="O92" i="21" s="1"/>
  <c r="N96" i="21"/>
  <c r="O96" i="21" s="1"/>
  <c r="N83" i="21"/>
  <c r="O83" i="21" s="1"/>
  <c r="N55" i="21"/>
  <c r="O55" i="21" s="1"/>
  <c r="N46" i="21"/>
  <c r="O46" i="21" s="1"/>
  <c r="N75" i="21"/>
  <c r="O75" i="21" s="1"/>
  <c r="N180" i="21"/>
  <c r="N196" i="21"/>
  <c r="N114" i="21"/>
  <c r="N251" i="21"/>
  <c r="N137" i="21"/>
  <c r="N194" i="21"/>
  <c r="N168" i="21"/>
  <c r="N225" i="21"/>
  <c r="N140" i="21"/>
  <c r="N135" i="21"/>
  <c r="N192" i="21"/>
  <c r="N223" i="21"/>
  <c r="N172" i="21"/>
  <c r="N157" i="21"/>
  <c r="N214" i="21"/>
  <c r="N65" i="21"/>
  <c r="O65" i="21" s="1"/>
  <c r="N76" i="21"/>
  <c r="O76" i="21" s="1"/>
  <c r="N98" i="21"/>
  <c r="O98" i="21" s="1"/>
  <c r="N88" i="21"/>
  <c r="O88" i="21" s="1"/>
  <c r="N51" i="21"/>
  <c r="O51" i="21" s="1"/>
  <c r="N111" i="21"/>
  <c r="O111" i="21" s="1"/>
  <c r="N102" i="21"/>
  <c r="O102" i="21" s="1"/>
  <c r="N27" i="21"/>
  <c r="O27" i="21" s="1"/>
  <c r="N57" i="21"/>
  <c r="O57" i="21" s="1"/>
  <c r="N60" i="21"/>
  <c r="O60" i="21" s="1"/>
  <c r="N82" i="21"/>
  <c r="O82" i="21" s="1"/>
  <c r="N80" i="21"/>
  <c r="O80" i="21" s="1"/>
  <c r="N16" i="21"/>
  <c r="O16" i="21" s="1"/>
  <c r="N19" i="21"/>
  <c r="O19" i="21" s="1"/>
  <c r="N103" i="21"/>
  <c r="O103" i="21" s="1"/>
  <c r="N39" i="21"/>
  <c r="O39" i="21" s="1"/>
  <c r="N94" i="21"/>
  <c r="O94" i="21" s="1"/>
  <c r="N30" i="21"/>
  <c r="O30" i="21" s="1"/>
  <c r="N109" i="21"/>
  <c r="O109" i="21" s="1"/>
  <c r="N45" i="21"/>
  <c r="O45" i="21" s="1"/>
  <c r="N213" i="21"/>
  <c r="N123" i="21"/>
  <c r="N252" i="21"/>
  <c r="N170" i="21"/>
  <c r="N227" i="21"/>
  <c r="N185" i="21"/>
  <c r="N121" i="21"/>
  <c r="N250" i="21"/>
  <c r="N152" i="21"/>
  <c r="N209" i="21"/>
  <c r="N183" i="21"/>
  <c r="N119" i="21"/>
  <c r="N248" i="21"/>
  <c r="N150" i="21"/>
  <c r="N207" i="21"/>
  <c r="N205" i="21"/>
  <c r="N141" i="21"/>
  <c r="Q17" i="21"/>
  <c r="Q25" i="21"/>
  <c r="Q33" i="21"/>
  <c r="Q41" i="21"/>
  <c r="Q49" i="21"/>
  <c r="Q57" i="21"/>
  <c r="Q65" i="21"/>
  <c r="Q73" i="21"/>
  <c r="Q81" i="21"/>
  <c r="Q89" i="21"/>
  <c r="Q97" i="21"/>
  <c r="Q105" i="21"/>
  <c r="Q16" i="21"/>
  <c r="Q80" i="21"/>
  <c r="Q9" i="21"/>
  <c r="Q10" i="21"/>
  <c r="Q18" i="21"/>
  <c r="Q26" i="21"/>
  <c r="Q34" i="21"/>
  <c r="Q42" i="21"/>
  <c r="Q50" i="21"/>
  <c r="Q58" i="21"/>
  <c r="Q66" i="21"/>
  <c r="Q74" i="21"/>
  <c r="Q82" i="21"/>
  <c r="Q90" i="21"/>
  <c r="Q98" i="21"/>
  <c r="Q106" i="21"/>
  <c r="Q56" i="21"/>
  <c r="Q11" i="21"/>
  <c r="Q19" i="21"/>
  <c r="Q27" i="21"/>
  <c r="Q35" i="21"/>
  <c r="Q43" i="21"/>
  <c r="Q51" i="21"/>
  <c r="Q59" i="21"/>
  <c r="Q67" i="21"/>
  <c r="Q75" i="21"/>
  <c r="Q83" i="21"/>
  <c r="Q91" i="21"/>
  <c r="Q99" i="21"/>
  <c r="Q107" i="21"/>
  <c r="Q48" i="21"/>
  <c r="Q72" i="21"/>
  <c r="Q12" i="21"/>
  <c r="Q20" i="21"/>
  <c r="Q28" i="21"/>
  <c r="Q36" i="21"/>
  <c r="Q44" i="21"/>
  <c r="Q52" i="21"/>
  <c r="Q60" i="21"/>
  <c r="Q68" i="21"/>
  <c r="Q76" i="21"/>
  <c r="Q84" i="21"/>
  <c r="Q92" i="21"/>
  <c r="Q100" i="21"/>
  <c r="Q108" i="21"/>
  <c r="Q64" i="21"/>
  <c r="Q13" i="21"/>
  <c r="Q21" i="21"/>
  <c r="Q29" i="21"/>
  <c r="Q37" i="21"/>
  <c r="Q45" i="21"/>
  <c r="Q53" i="21"/>
  <c r="Q61" i="21"/>
  <c r="Q69" i="21"/>
  <c r="Q77" i="21"/>
  <c r="Q85" i="21"/>
  <c r="Q93" i="21"/>
  <c r="Q101" i="21"/>
  <c r="Q109" i="21"/>
  <c r="Q32" i="21"/>
  <c r="Q88" i="21"/>
  <c r="Q14" i="21"/>
  <c r="Q22" i="21"/>
  <c r="Q30" i="21"/>
  <c r="Q38" i="21"/>
  <c r="Q46" i="21"/>
  <c r="Q54" i="21"/>
  <c r="Q62" i="21"/>
  <c r="Q70" i="21"/>
  <c r="Q78" i="21"/>
  <c r="Q86" i="21"/>
  <c r="Q94" i="21"/>
  <c r="Q102" i="21"/>
  <c r="Q110" i="21"/>
  <c r="Q24" i="21"/>
  <c r="Q104" i="21"/>
  <c r="Q15" i="21"/>
  <c r="Q23" i="21"/>
  <c r="Q31" i="21"/>
  <c r="Q39" i="21"/>
  <c r="Q47" i="21"/>
  <c r="Q55" i="21"/>
  <c r="Q63" i="21"/>
  <c r="Q71" i="21"/>
  <c r="Q79" i="21"/>
  <c r="Q87" i="21"/>
  <c r="Q95" i="21"/>
  <c r="Q103" i="21"/>
  <c r="Q111" i="21"/>
  <c r="Q40" i="21"/>
  <c r="Q96" i="21"/>
  <c r="N124" i="19"/>
  <c r="O124" i="19" s="1"/>
  <c r="M148" i="19"/>
  <c r="N144" i="19"/>
  <c r="O144" i="19" s="1"/>
  <c r="N168" i="19"/>
  <c r="O168" i="19" s="1"/>
  <c r="N128" i="19"/>
  <c r="O128" i="19" s="1"/>
  <c r="N137" i="19"/>
  <c r="O137" i="19" s="1"/>
  <c r="M137" i="19"/>
  <c r="M145" i="19"/>
  <c r="N145" i="19"/>
  <c r="O145" i="19" s="1"/>
  <c r="M120" i="19"/>
  <c r="N120" i="19"/>
  <c r="O120" i="19" s="1"/>
  <c r="I115" i="19"/>
  <c r="M149" i="19"/>
  <c r="N149" i="19"/>
  <c r="O149" i="19" s="1"/>
  <c r="M119" i="19"/>
  <c r="N119" i="19"/>
  <c r="O119" i="19" s="1"/>
  <c r="N125" i="19"/>
  <c r="O125" i="19" s="1"/>
  <c r="M125" i="19"/>
  <c r="M155" i="19"/>
  <c r="N155" i="19"/>
  <c r="O155" i="19" s="1"/>
  <c r="N163" i="19"/>
  <c r="O163" i="19" s="1"/>
  <c r="M163" i="19"/>
  <c r="M121" i="19"/>
  <c r="N121" i="19"/>
  <c r="O121" i="19" s="1"/>
  <c r="M117" i="19"/>
  <c r="N117" i="19"/>
  <c r="O117" i="19" s="1"/>
  <c r="M147" i="19"/>
  <c r="N147" i="19"/>
  <c r="O147" i="19" s="1"/>
  <c r="M115" i="19"/>
  <c r="N115" i="19"/>
  <c r="O115" i="19" s="1"/>
  <c r="M126" i="19"/>
  <c r="N126" i="19"/>
  <c r="O126" i="19" s="1"/>
  <c r="M127" i="19"/>
  <c r="N127" i="19"/>
  <c r="O127" i="19" s="1"/>
  <c r="M142" i="19"/>
  <c r="N142" i="19"/>
  <c r="O142" i="19" s="1"/>
  <c r="N131" i="19"/>
  <c r="O131" i="19" s="1"/>
  <c r="M131" i="19"/>
  <c r="M118" i="19"/>
  <c r="N118" i="19"/>
  <c r="O118" i="19" s="1"/>
  <c r="M150" i="19"/>
  <c r="N150" i="19"/>
  <c r="O150" i="19" s="1"/>
  <c r="M123" i="19"/>
  <c r="N123" i="19"/>
  <c r="O123" i="19" s="1"/>
  <c r="A40" i="19"/>
  <c r="G225" i="19" s="1"/>
  <c r="A37" i="19"/>
  <c r="G233" i="19" s="1"/>
  <c r="A34" i="19"/>
  <c r="G201" i="19" s="1"/>
  <c r="A31" i="19"/>
  <c r="A27" i="19"/>
  <c r="G193" i="19" s="1"/>
  <c r="A24" i="19"/>
  <c r="A21" i="19"/>
  <c r="G189" i="19" s="1"/>
  <c r="A15" i="19"/>
  <c r="G191" i="19" s="1"/>
  <c r="A13" i="19"/>
  <c r="N10" i="19"/>
  <c r="N11" i="19"/>
  <c r="N12" i="19"/>
  <c r="N13" i="19"/>
  <c r="N14" i="19"/>
  <c r="N15" i="19"/>
  <c r="N16" i="19"/>
  <c r="N17" i="19"/>
  <c r="N18" i="19"/>
  <c r="N19" i="19"/>
  <c r="N20" i="19"/>
  <c r="N21" i="19"/>
  <c r="N22" i="19"/>
  <c r="N23" i="19"/>
  <c r="N24" i="19"/>
  <c r="N25" i="19"/>
  <c r="N26" i="19"/>
  <c r="N27" i="19"/>
  <c r="N28" i="19"/>
  <c r="N29" i="19"/>
  <c r="N30" i="19"/>
  <c r="N31" i="19"/>
  <c r="N32" i="19"/>
  <c r="N33" i="19"/>
  <c r="N34" i="19"/>
  <c r="N35" i="19"/>
  <c r="N36" i="19"/>
  <c r="N37" i="19"/>
  <c r="N38" i="19"/>
  <c r="N39" i="19"/>
  <c r="N40" i="19"/>
  <c r="N41" i="19"/>
  <c r="N42" i="19"/>
  <c r="N43" i="19"/>
  <c r="N44" i="19"/>
  <c r="N45" i="19"/>
  <c r="N46" i="19"/>
  <c r="N47" i="19"/>
  <c r="N48" i="19"/>
  <c r="N49" i="19"/>
  <c r="N50" i="19"/>
  <c r="N51" i="19"/>
  <c r="N52" i="19"/>
  <c r="N53" i="19"/>
  <c r="N54" i="19"/>
  <c r="N55" i="19"/>
  <c r="N56" i="19"/>
  <c r="N57" i="19"/>
  <c r="N58" i="19"/>
  <c r="N59" i="19"/>
  <c r="N60" i="19"/>
  <c r="N61" i="19"/>
  <c r="N62" i="19"/>
  <c r="N63" i="19"/>
  <c r="N64" i="19"/>
  <c r="N65" i="19"/>
  <c r="N66" i="19"/>
  <c r="N67" i="19"/>
  <c r="N68" i="19"/>
  <c r="N69" i="19"/>
  <c r="N70" i="19"/>
  <c r="N71" i="19"/>
  <c r="N72" i="19"/>
  <c r="N73" i="19"/>
  <c r="N74" i="19"/>
  <c r="N75" i="19"/>
  <c r="N76" i="19"/>
  <c r="N77" i="19"/>
  <c r="N78" i="19"/>
  <c r="N79" i="19"/>
  <c r="N80" i="19"/>
  <c r="N81" i="19"/>
  <c r="N82" i="19"/>
  <c r="N83" i="19"/>
  <c r="N84" i="19"/>
  <c r="N85" i="19"/>
  <c r="N86" i="19"/>
  <c r="N87" i="19"/>
  <c r="N88" i="19"/>
  <c r="N89" i="19"/>
  <c r="N90" i="19"/>
  <c r="N91" i="19"/>
  <c r="N92" i="19"/>
  <c r="N93" i="19"/>
  <c r="N94" i="19"/>
  <c r="N95" i="19"/>
  <c r="N96" i="19"/>
  <c r="N97" i="19"/>
  <c r="N98" i="19"/>
  <c r="N99" i="19"/>
  <c r="N100" i="19"/>
  <c r="N101" i="19"/>
  <c r="N102" i="19"/>
  <c r="N103" i="19"/>
  <c r="N104" i="19"/>
  <c r="N105" i="19"/>
  <c r="N106" i="19"/>
  <c r="N107" i="19"/>
  <c r="N108" i="19"/>
  <c r="N109" i="19"/>
  <c r="N110" i="19"/>
  <c r="N111" i="19"/>
  <c r="G10" i="19"/>
  <c r="G11" i="19"/>
  <c r="J11" i="19" s="1"/>
  <c r="K11" i="19" s="1"/>
  <c r="M11" i="19" s="1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J25" i="19" s="1"/>
  <c r="K25" i="19" s="1"/>
  <c r="M25" i="19" s="1"/>
  <c r="G26" i="19"/>
  <c r="G27" i="19"/>
  <c r="G28" i="19"/>
  <c r="J28" i="19" s="1"/>
  <c r="K28" i="19" s="1"/>
  <c r="M28" i="19" s="1"/>
  <c r="G29" i="19"/>
  <c r="J29" i="19" s="1"/>
  <c r="K29" i="19" s="1"/>
  <c r="M29" i="19" s="1"/>
  <c r="G30" i="19"/>
  <c r="J30" i="19" s="1"/>
  <c r="K30" i="19" s="1"/>
  <c r="M30" i="19" s="1"/>
  <c r="G31" i="19"/>
  <c r="J31" i="19" s="1"/>
  <c r="K31" i="19" s="1"/>
  <c r="M31" i="19" s="1"/>
  <c r="G32" i="19"/>
  <c r="G33" i="19"/>
  <c r="G34" i="19"/>
  <c r="J34" i="19" s="1"/>
  <c r="K34" i="19" s="1"/>
  <c r="M34" i="19" s="1"/>
  <c r="G35" i="19"/>
  <c r="G36" i="19"/>
  <c r="G37" i="19"/>
  <c r="G38" i="19"/>
  <c r="J38" i="19" s="1"/>
  <c r="K38" i="19" s="1"/>
  <c r="M38" i="19" s="1"/>
  <c r="G39" i="19"/>
  <c r="G40" i="19"/>
  <c r="G41" i="19"/>
  <c r="G42" i="19"/>
  <c r="G43" i="19"/>
  <c r="G44" i="19"/>
  <c r="G45" i="19"/>
  <c r="G46" i="19"/>
  <c r="G47" i="19"/>
  <c r="G48" i="19"/>
  <c r="G49" i="19"/>
  <c r="J49" i="19" s="1"/>
  <c r="K49" i="19" s="1"/>
  <c r="M49" i="19" s="1"/>
  <c r="G50" i="19"/>
  <c r="G51" i="19"/>
  <c r="J51" i="19" s="1"/>
  <c r="K51" i="19" s="1"/>
  <c r="M51" i="19" s="1"/>
  <c r="G52" i="19"/>
  <c r="G53" i="19"/>
  <c r="G54" i="19"/>
  <c r="J54" i="19" s="1"/>
  <c r="K54" i="19" s="1"/>
  <c r="M54" i="19" s="1"/>
  <c r="G55" i="19"/>
  <c r="J55" i="19" s="1"/>
  <c r="K55" i="19" s="1"/>
  <c r="M55" i="19" s="1"/>
  <c r="G56" i="19"/>
  <c r="J56" i="19" s="1"/>
  <c r="K56" i="19" s="1"/>
  <c r="M56" i="19" s="1"/>
  <c r="G57" i="19"/>
  <c r="J57" i="19" s="1"/>
  <c r="K57" i="19" s="1"/>
  <c r="M57" i="19" s="1"/>
  <c r="G58" i="19"/>
  <c r="G59" i="19"/>
  <c r="J59" i="19" s="1"/>
  <c r="K59" i="19" s="1"/>
  <c r="M59" i="19" s="1"/>
  <c r="G60" i="19"/>
  <c r="J60" i="19" s="1"/>
  <c r="K60" i="19" s="1"/>
  <c r="M60" i="19" s="1"/>
  <c r="G61" i="19"/>
  <c r="G62" i="19"/>
  <c r="J62" i="19" s="1"/>
  <c r="K62" i="19" s="1"/>
  <c r="M62" i="19" s="1"/>
  <c r="G63" i="19"/>
  <c r="G64" i="19"/>
  <c r="J64" i="19" s="1"/>
  <c r="K64" i="19" s="1"/>
  <c r="M64" i="19" s="1"/>
  <c r="G65" i="19"/>
  <c r="J65" i="19" s="1"/>
  <c r="K65" i="19" s="1"/>
  <c r="M65" i="19" s="1"/>
  <c r="G66" i="19"/>
  <c r="G67" i="19"/>
  <c r="J67" i="19" s="1"/>
  <c r="K67" i="19" s="1"/>
  <c r="M67" i="19" s="1"/>
  <c r="G68" i="19"/>
  <c r="G69" i="19"/>
  <c r="J69" i="19" s="1"/>
  <c r="K69" i="19" s="1"/>
  <c r="M69" i="19" s="1"/>
  <c r="G70" i="19"/>
  <c r="G71" i="19"/>
  <c r="J71" i="19" s="1"/>
  <c r="K71" i="19" s="1"/>
  <c r="M71" i="19" s="1"/>
  <c r="G72" i="19"/>
  <c r="J72" i="19" s="1"/>
  <c r="K72" i="19" s="1"/>
  <c r="M72" i="19" s="1"/>
  <c r="G73" i="19"/>
  <c r="G74" i="19"/>
  <c r="G75" i="19"/>
  <c r="G76" i="19"/>
  <c r="G77" i="19"/>
  <c r="G78" i="19"/>
  <c r="G79" i="19"/>
  <c r="J79" i="19" s="1"/>
  <c r="K79" i="19" s="1"/>
  <c r="M79" i="19" s="1"/>
  <c r="G80" i="19"/>
  <c r="J80" i="19" s="1"/>
  <c r="K80" i="19" s="1"/>
  <c r="M80" i="19" s="1"/>
  <c r="G81" i="19"/>
  <c r="G82" i="19"/>
  <c r="J82" i="19" s="1"/>
  <c r="K82" i="19" s="1"/>
  <c r="M82" i="19" s="1"/>
  <c r="G83" i="19"/>
  <c r="J83" i="19" s="1"/>
  <c r="K83" i="19" s="1"/>
  <c r="M83" i="19" s="1"/>
  <c r="G84" i="19"/>
  <c r="J84" i="19" s="1"/>
  <c r="K84" i="19" s="1"/>
  <c r="M84" i="19" s="1"/>
  <c r="G85" i="19"/>
  <c r="J85" i="19" s="1"/>
  <c r="K85" i="19" s="1"/>
  <c r="M85" i="19" s="1"/>
  <c r="G86" i="19"/>
  <c r="J86" i="19" s="1"/>
  <c r="K86" i="19" s="1"/>
  <c r="M86" i="19" s="1"/>
  <c r="G87" i="19"/>
  <c r="J87" i="19" s="1"/>
  <c r="K87" i="19" s="1"/>
  <c r="M87" i="19" s="1"/>
  <c r="G88" i="19"/>
  <c r="J88" i="19" s="1"/>
  <c r="K88" i="19" s="1"/>
  <c r="M88" i="19" s="1"/>
  <c r="G89" i="19"/>
  <c r="G90" i="19"/>
  <c r="G91" i="19"/>
  <c r="G92" i="19"/>
  <c r="G93" i="19"/>
  <c r="G94" i="19"/>
  <c r="G95" i="19"/>
  <c r="J95" i="19" s="1"/>
  <c r="K95" i="19" s="1"/>
  <c r="M95" i="19" s="1"/>
  <c r="G96" i="19"/>
  <c r="G97" i="19"/>
  <c r="G98" i="19"/>
  <c r="J98" i="19" s="1"/>
  <c r="K98" i="19" s="1"/>
  <c r="M98" i="19" s="1"/>
  <c r="G99" i="19"/>
  <c r="G100" i="19"/>
  <c r="J100" i="19" s="1"/>
  <c r="K100" i="19" s="1"/>
  <c r="M100" i="19" s="1"/>
  <c r="G101" i="19"/>
  <c r="J101" i="19" s="1"/>
  <c r="K101" i="19" s="1"/>
  <c r="M101" i="19" s="1"/>
  <c r="G102" i="19"/>
  <c r="J102" i="19" s="1"/>
  <c r="K102" i="19" s="1"/>
  <c r="M102" i="19" s="1"/>
  <c r="G103" i="19"/>
  <c r="J103" i="19" s="1"/>
  <c r="K103" i="19" s="1"/>
  <c r="M103" i="19" s="1"/>
  <c r="G104" i="19"/>
  <c r="J104" i="19" s="1"/>
  <c r="K104" i="19" s="1"/>
  <c r="M104" i="19" s="1"/>
  <c r="G105" i="19"/>
  <c r="J105" i="19" s="1"/>
  <c r="K105" i="19" s="1"/>
  <c r="M105" i="19" s="1"/>
  <c r="G106" i="19"/>
  <c r="J106" i="19" s="1"/>
  <c r="K106" i="19" s="1"/>
  <c r="M106" i="19" s="1"/>
  <c r="G107" i="19"/>
  <c r="J107" i="19" s="1"/>
  <c r="K107" i="19" s="1"/>
  <c r="M107" i="19" s="1"/>
  <c r="G108" i="19"/>
  <c r="J108" i="19" s="1"/>
  <c r="K108" i="19" s="1"/>
  <c r="M108" i="19" s="1"/>
  <c r="G109" i="19"/>
  <c r="J109" i="19" s="1"/>
  <c r="K109" i="19" s="1"/>
  <c r="M109" i="19" s="1"/>
  <c r="G110" i="19"/>
  <c r="J110" i="19" s="1"/>
  <c r="K110" i="19" s="1"/>
  <c r="M110" i="19" s="1"/>
  <c r="G111" i="19"/>
  <c r="J111" i="19" s="1"/>
  <c r="K111" i="19" s="1"/>
  <c r="M111" i="19" s="1"/>
  <c r="L47" i="5"/>
  <c r="L46" i="5"/>
  <c r="L38" i="5"/>
  <c r="P29" i="5"/>
  <c r="F29" i="5"/>
  <c r="M47" i="4"/>
  <c r="M46" i="4"/>
  <c r="M38" i="4"/>
  <c r="O29" i="4"/>
  <c r="F29" i="4"/>
  <c r="L46" i="1"/>
  <c r="L47" i="1"/>
  <c r="G195" i="19" l="1"/>
  <c r="I195" i="19" s="1"/>
  <c r="J195" i="19" s="1"/>
  <c r="K195" i="19" s="1"/>
  <c r="G204" i="19"/>
  <c r="I204" i="19" s="1"/>
  <c r="J204" i="19" s="1"/>
  <c r="K204" i="19" s="1"/>
  <c r="N204" i="19" s="1"/>
  <c r="O204" i="19" s="1"/>
  <c r="G194" i="19"/>
  <c r="I194" i="19" s="1"/>
  <c r="J194" i="19" s="1"/>
  <c r="K194" i="19" s="1"/>
  <c r="G29" i="5"/>
  <c r="J29" i="5" s="1"/>
  <c r="K29" i="5" s="1"/>
  <c r="M29" i="5" s="1"/>
  <c r="G47" i="5"/>
  <c r="I47" i="5" s="1"/>
  <c r="J47" i="5" s="1"/>
  <c r="G38" i="5"/>
  <c r="I38" i="5" s="1"/>
  <c r="J38" i="5" s="1"/>
  <c r="G46" i="5"/>
  <c r="I46" i="5" s="1"/>
  <c r="O112" i="21"/>
  <c r="M264" i="21" s="1"/>
  <c r="H29" i="4"/>
  <c r="K29" i="4" s="1"/>
  <c r="L29" i="4" s="1"/>
  <c r="N29" i="4" s="1"/>
  <c r="I44" i="19"/>
  <c r="J44" i="19" s="1"/>
  <c r="K44" i="19" s="1"/>
  <c r="M44" i="19" s="1"/>
  <c r="I111" i="19"/>
  <c r="I103" i="19"/>
  <c r="I95" i="19"/>
  <c r="I98" i="19"/>
  <c r="I89" i="19"/>
  <c r="J89" i="19" s="1"/>
  <c r="K89" i="19" s="1"/>
  <c r="M89" i="19" s="1"/>
  <c r="I65" i="19"/>
  <c r="I29" i="19"/>
  <c r="I25" i="19"/>
  <c r="I191" i="19"/>
  <c r="J191" i="19" s="1"/>
  <c r="K191" i="19" s="1"/>
  <c r="I84" i="19"/>
  <c r="I189" i="19"/>
  <c r="J189" i="19" s="1"/>
  <c r="K189" i="19" s="1"/>
  <c r="I31" i="19"/>
  <c r="I11" i="19"/>
  <c r="J193" i="19"/>
  <c r="K193" i="19" s="1"/>
  <c r="I193" i="19"/>
  <c r="I225" i="19"/>
  <c r="J225" i="19" s="1"/>
  <c r="K225" i="19" s="1"/>
  <c r="I66" i="19"/>
  <c r="J66" i="19" s="1"/>
  <c r="K66" i="19" s="1"/>
  <c r="M66" i="19" s="1"/>
  <c r="I62" i="19"/>
  <c r="I54" i="19"/>
  <c r="I10" i="19"/>
  <c r="I201" i="19"/>
  <c r="J201" i="19" s="1"/>
  <c r="K201" i="19" s="1"/>
  <c r="J233" i="19"/>
  <c r="K233" i="19" s="1"/>
  <c r="I233" i="19"/>
  <c r="I58" i="19"/>
  <c r="J58" i="19" s="1"/>
  <c r="K58" i="19" s="1"/>
  <c r="M58" i="19" s="1"/>
  <c r="I39" i="19"/>
  <c r="J39" i="19" s="1"/>
  <c r="K39" i="19" s="1"/>
  <c r="M39" i="19" s="1"/>
  <c r="I18" i="19"/>
  <c r="J18" i="19" s="1"/>
  <c r="K18" i="19" s="1"/>
  <c r="M18" i="19" s="1"/>
  <c r="I19" i="19"/>
  <c r="J19" i="19" s="1"/>
  <c r="K19" i="19" s="1"/>
  <c r="M19" i="19" s="1"/>
  <c r="I92" i="19"/>
  <c r="J92" i="19" s="1"/>
  <c r="K92" i="19" s="1"/>
  <c r="M92" i="19" s="1"/>
  <c r="I81" i="19"/>
  <c r="J81" i="19" s="1"/>
  <c r="K81" i="19" s="1"/>
  <c r="M81" i="19" s="1"/>
  <c r="I52" i="19"/>
  <c r="I63" i="19"/>
  <c r="J63" i="19" s="1"/>
  <c r="K63" i="19" s="1"/>
  <c r="M63" i="19" s="1"/>
  <c r="I97" i="19"/>
  <c r="J97" i="19" s="1"/>
  <c r="K97" i="19" s="1"/>
  <c r="M97" i="19" s="1"/>
  <c r="I76" i="19"/>
  <c r="J76" i="19" s="1"/>
  <c r="K76" i="19" s="1"/>
  <c r="M76" i="19" s="1"/>
  <c r="I72" i="19"/>
  <c r="I108" i="19"/>
  <c r="I104" i="19"/>
  <c r="I49" i="19"/>
  <c r="I20" i="19"/>
  <c r="J20" i="19" s="1"/>
  <c r="K20" i="19" s="1"/>
  <c r="M20" i="19" s="1"/>
  <c r="I60" i="19"/>
  <c r="I110" i="19"/>
  <c r="I74" i="19"/>
  <c r="J74" i="19" s="1"/>
  <c r="K74" i="19" s="1"/>
  <c r="M74" i="19" s="1"/>
  <c r="I70" i="19"/>
  <c r="J70" i="19" s="1"/>
  <c r="K70" i="19" s="1"/>
  <c r="M70" i="19" s="1"/>
  <c r="I38" i="19"/>
  <c r="I15" i="19"/>
  <c r="J15" i="19" s="1"/>
  <c r="K15" i="19" s="1"/>
  <c r="M15" i="19" s="1"/>
  <c r="I105" i="19"/>
  <c r="I80" i="19"/>
  <c r="I33" i="19"/>
  <c r="J33" i="19" s="1"/>
  <c r="K33" i="19" s="1"/>
  <c r="M33" i="19" s="1"/>
  <c r="I100" i="19"/>
  <c r="I86" i="19"/>
  <c r="I50" i="19"/>
  <c r="J50" i="19" s="1"/>
  <c r="K50" i="19" s="1"/>
  <c r="M50" i="19" s="1"/>
  <c r="I47" i="19"/>
  <c r="J47" i="19" s="1"/>
  <c r="K47" i="19" s="1"/>
  <c r="M47" i="19" s="1"/>
  <c r="I36" i="19"/>
  <c r="I32" i="19"/>
  <c r="J32" i="19" s="1"/>
  <c r="K32" i="19" s="1"/>
  <c r="M32" i="19" s="1"/>
  <c r="I88" i="19"/>
  <c r="I82" i="19"/>
  <c r="I40" i="19"/>
  <c r="J40" i="19" s="1"/>
  <c r="K40" i="19" s="1"/>
  <c r="M40" i="19" s="1"/>
  <c r="I30" i="19"/>
  <c r="I21" i="19"/>
  <c r="J21" i="19" s="1"/>
  <c r="K21" i="19" s="1"/>
  <c r="M21" i="19" s="1"/>
  <c r="I12" i="19"/>
  <c r="J12" i="19" s="1"/>
  <c r="K12" i="19" s="1"/>
  <c r="M12" i="19" s="1"/>
  <c r="I106" i="19"/>
  <c r="I94" i="19"/>
  <c r="J94" i="19" s="1"/>
  <c r="K94" i="19" s="1"/>
  <c r="M94" i="19" s="1"/>
  <c r="I79" i="19"/>
  <c r="I56" i="19"/>
  <c r="I46" i="19"/>
  <c r="J46" i="19" s="1"/>
  <c r="K46" i="19" s="1"/>
  <c r="M46" i="19" s="1"/>
  <c r="I24" i="19"/>
  <c r="J24" i="19" s="1"/>
  <c r="K24" i="19" s="1"/>
  <c r="M24" i="19" s="1"/>
  <c r="I17" i="19"/>
  <c r="J17" i="19" s="1"/>
  <c r="K17" i="19" s="1"/>
  <c r="M17" i="19" s="1"/>
  <c r="I96" i="19"/>
  <c r="J96" i="19" s="1"/>
  <c r="K96" i="19" s="1"/>
  <c r="M96" i="19" s="1"/>
  <c r="I90" i="19"/>
  <c r="J90" i="19" s="1"/>
  <c r="K90" i="19" s="1"/>
  <c r="M90" i="19" s="1"/>
  <c r="I78" i="19"/>
  <c r="J78" i="19" s="1"/>
  <c r="K78" i="19" s="1"/>
  <c r="M78" i="19" s="1"/>
  <c r="I68" i="19"/>
  <c r="I55" i="19"/>
  <c r="I48" i="19"/>
  <c r="J48" i="19" s="1"/>
  <c r="K48" i="19" s="1"/>
  <c r="M48" i="19" s="1"/>
  <c r="I27" i="19"/>
  <c r="J27" i="19" s="1"/>
  <c r="K27" i="19" s="1"/>
  <c r="M27" i="19" s="1"/>
  <c r="I23" i="19"/>
  <c r="J23" i="19" s="1"/>
  <c r="K23" i="19" s="1"/>
  <c r="M23" i="19" s="1"/>
  <c r="I102" i="19"/>
  <c r="I87" i="19"/>
  <c r="I71" i="19"/>
  <c r="I64" i="19"/>
  <c r="I42" i="19"/>
  <c r="J42" i="19" s="1"/>
  <c r="K42" i="19" s="1"/>
  <c r="M42" i="19" s="1"/>
  <c r="I34" i="19"/>
  <c r="I16" i="19"/>
  <c r="J16" i="19" s="1"/>
  <c r="K16" i="19" s="1"/>
  <c r="M16" i="19" s="1"/>
  <c r="I109" i="19"/>
  <c r="I101" i="19"/>
  <c r="I93" i="19"/>
  <c r="J93" i="19" s="1"/>
  <c r="K93" i="19" s="1"/>
  <c r="M93" i="19" s="1"/>
  <c r="I85" i="19"/>
  <c r="I77" i="19"/>
  <c r="J77" i="19" s="1"/>
  <c r="K77" i="19" s="1"/>
  <c r="M77" i="19" s="1"/>
  <c r="I67" i="19"/>
  <c r="J52" i="19"/>
  <c r="K52" i="19" s="1"/>
  <c r="M52" i="19" s="1"/>
  <c r="I45" i="19"/>
  <c r="J45" i="19" s="1"/>
  <c r="K45" i="19" s="1"/>
  <c r="M45" i="19" s="1"/>
  <c r="I35" i="19"/>
  <c r="J35" i="19" s="1"/>
  <c r="K35" i="19" s="1"/>
  <c r="M35" i="19" s="1"/>
  <c r="I14" i="19"/>
  <c r="J14" i="19" s="1"/>
  <c r="K14" i="19" s="1"/>
  <c r="M14" i="19" s="1"/>
  <c r="I57" i="19"/>
  <c r="I26" i="19"/>
  <c r="J26" i="19" s="1"/>
  <c r="K26" i="19" s="1"/>
  <c r="M26" i="19" s="1"/>
  <c r="I69" i="19"/>
  <c r="I59" i="19"/>
  <c r="I37" i="19"/>
  <c r="J37" i="19" s="1"/>
  <c r="K37" i="19" s="1"/>
  <c r="M37" i="19" s="1"/>
  <c r="I28" i="19"/>
  <c r="I13" i="19"/>
  <c r="J13" i="19" s="1"/>
  <c r="K13" i="19" s="1"/>
  <c r="M13" i="19" s="1"/>
  <c r="J68" i="19"/>
  <c r="K68" i="19" s="1"/>
  <c r="M68" i="19" s="1"/>
  <c r="I61" i="19"/>
  <c r="J61" i="19" s="1"/>
  <c r="K61" i="19" s="1"/>
  <c r="M61" i="19" s="1"/>
  <c r="I51" i="19"/>
  <c r="J36" i="19"/>
  <c r="K36" i="19" s="1"/>
  <c r="M36" i="19" s="1"/>
  <c r="I41" i="19"/>
  <c r="J41" i="19" s="1"/>
  <c r="K41" i="19" s="1"/>
  <c r="M41" i="19" s="1"/>
  <c r="I73" i="19"/>
  <c r="J73" i="19" s="1"/>
  <c r="K73" i="19" s="1"/>
  <c r="M73" i="19" s="1"/>
  <c r="I107" i="19"/>
  <c r="I99" i="19"/>
  <c r="J99" i="19" s="1"/>
  <c r="K99" i="19" s="1"/>
  <c r="M99" i="19" s="1"/>
  <c r="I91" i="19"/>
  <c r="J91" i="19" s="1"/>
  <c r="K91" i="19" s="1"/>
  <c r="M91" i="19" s="1"/>
  <c r="I83" i="19"/>
  <c r="I75" i="19"/>
  <c r="J75" i="19" s="1"/>
  <c r="K75" i="19" s="1"/>
  <c r="M75" i="19" s="1"/>
  <c r="I53" i="19"/>
  <c r="J53" i="19" s="1"/>
  <c r="K53" i="19" s="1"/>
  <c r="M53" i="19" s="1"/>
  <c r="I43" i="19"/>
  <c r="J43" i="19" s="1"/>
  <c r="K43" i="19" s="1"/>
  <c r="M43" i="19" s="1"/>
  <c r="I22" i="19"/>
  <c r="J22" i="19" s="1"/>
  <c r="K22" i="19" s="1"/>
  <c r="M22" i="19" s="1"/>
  <c r="J10" i="19"/>
  <c r="K10" i="19" s="1"/>
  <c r="M10" i="19" s="1"/>
  <c r="I114" i="19"/>
  <c r="J114" i="19" s="1"/>
  <c r="K114" i="19" s="1"/>
  <c r="J46" i="5"/>
  <c r="I29" i="5"/>
  <c r="H46" i="4"/>
  <c r="J46" i="4" s="1"/>
  <c r="K46" i="4" s="1"/>
  <c r="G29" i="4"/>
  <c r="H47" i="4"/>
  <c r="J47" i="4" s="1"/>
  <c r="K47" i="4" s="1"/>
  <c r="H38" i="4"/>
  <c r="J38" i="4" s="1"/>
  <c r="K38" i="4" s="1"/>
  <c r="J29" i="4"/>
  <c r="L38" i="1"/>
  <c r="N29" i="1"/>
  <c r="F29" i="1"/>
  <c r="G53" i="11"/>
  <c r="G52" i="11"/>
  <c r="G44" i="11"/>
  <c r="G9" i="11"/>
  <c r="G10" i="11"/>
  <c r="G11" i="11"/>
  <c r="G12" i="11"/>
  <c r="G35" i="11"/>
  <c r="F35" i="11"/>
  <c r="F112" i="19"/>
  <c r="N9" i="19"/>
  <c r="G9" i="19"/>
  <c r="N175" i="17"/>
  <c r="I175" i="17"/>
  <c r="N174" i="17"/>
  <c r="I174" i="17"/>
  <c r="N173" i="17"/>
  <c r="I173" i="17"/>
  <c r="N172" i="17"/>
  <c r="I172" i="17"/>
  <c r="N171" i="17"/>
  <c r="I171" i="17"/>
  <c r="N170" i="17"/>
  <c r="I170" i="17"/>
  <c r="N169" i="17"/>
  <c r="I169" i="17"/>
  <c r="N168" i="17"/>
  <c r="I168" i="17"/>
  <c r="N167" i="17"/>
  <c r="I167" i="17"/>
  <c r="N166" i="17"/>
  <c r="I166" i="17"/>
  <c r="N165" i="17"/>
  <c r="I165" i="17"/>
  <c r="N164" i="17"/>
  <c r="I164" i="17"/>
  <c r="N163" i="17"/>
  <c r="I163" i="17"/>
  <c r="H163" i="17"/>
  <c r="N162" i="17"/>
  <c r="I162" i="17"/>
  <c r="N161" i="17"/>
  <c r="I161" i="17"/>
  <c r="M145" i="17"/>
  <c r="M144" i="17"/>
  <c r="M143" i="17"/>
  <c r="M142" i="17"/>
  <c r="M141" i="17"/>
  <c r="M140" i="17"/>
  <c r="M139" i="17"/>
  <c r="M138" i="17"/>
  <c r="M137" i="17"/>
  <c r="M136" i="17"/>
  <c r="M135" i="17"/>
  <c r="M134" i="17"/>
  <c r="M133" i="17"/>
  <c r="M132" i="17"/>
  <c r="M131" i="17"/>
  <c r="M130" i="17"/>
  <c r="M129" i="17"/>
  <c r="M128" i="17"/>
  <c r="M127" i="17"/>
  <c r="M126" i="17"/>
  <c r="M124" i="17"/>
  <c r="M123" i="17"/>
  <c r="M122" i="17"/>
  <c r="M121" i="17"/>
  <c r="M120" i="17"/>
  <c r="M119" i="17"/>
  <c r="M118" i="17"/>
  <c r="M117" i="17"/>
  <c r="M116" i="17"/>
  <c r="M115" i="17"/>
  <c r="M114" i="17"/>
  <c r="M113" i="17"/>
  <c r="M112" i="17"/>
  <c r="M111" i="17"/>
  <c r="M110" i="17"/>
  <c r="M109" i="17"/>
  <c r="M108" i="17"/>
  <c r="M107" i="17"/>
  <c r="M106" i="17"/>
  <c r="M105" i="17"/>
  <c r="M104" i="17"/>
  <c r="M103" i="17"/>
  <c r="M102" i="17"/>
  <c r="M101" i="17"/>
  <c r="M100" i="17"/>
  <c r="M99" i="17"/>
  <c r="M98" i="17"/>
  <c r="M97" i="17"/>
  <c r="K97" i="17"/>
  <c r="L97" i="17" s="1"/>
  <c r="Q97" i="17" s="1"/>
  <c r="R97" i="17" s="1"/>
  <c r="J97" i="17"/>
  <c r="M96" i="17"/>
  <c r="K96" i="17"/>
  <c r="L96" i="17" s="1"/>
  <c r="Q96" i="17" s="1"/>
  <c r="R96" i="17" s="1"/>
  <c r="J96" i="17"/>
  <c r="M95" i="17"/>
  <c r="K95" i="17"/>
  <c r="L95" i="17" s="1"/>
  <c r="Q95" i="17" s="1"/>
  <c r="R95" i="17" s="1"/>
  <c r="J95" i="17"/>
  <c r="M94" i="17"/>
  <c r="K94" i="17"/>
  <c r="L94" i="17" s="1"/>
  <c r="Q94" i="17" s="1"/>
  <c r="R94" i="17" s="1"/>
  <c r="J94" i="17"/>
  <c r="M93" i="17"/>
  <c r="M92" i="17"/>
  <c r="M91" i="17"/>
  <c r="M90" i="17"/>
  <c r="M89" i="17"/>
  <c r="M88" i="17"/>
  <c r="M87" i="17"/>
  <c r="M86" i="17"/>
  <c r="M85" i="17"/>
  <c r="M84" i="17"/>
  <c r="Q81" i="17"/>
  <c r="G81" i="17"/>
  <c r="Q80" i="17"/>
  <c r="G80" i="17"/>
  <c r="H80" i="17" s="1"/>
  <c r="Q79" i="17"/>
  <c r="G79" i="17"/>
  <c r="H79" i="17" s="1"/>
  <c r="K79" i="17" s="1"/>
  <c r="L79" i="17" s="1"/>
  <c r="N79" i="17" s="1"/>
  <c r="Q78" i="17"/>
  <c r="G78" i="17"/>
  <c r="H78" i="17" s="1"/>
  <c r="K78" i="17" s="1"/>
  <c r="L78" i="17" s="1"/>
  <c r="N78" i="17" s="1"/>
  <c r="Q77" i="17"/>
  <c r="G77" i="17"/>
  <c r="H77" i="17" s="1"/>
  <c r="K77" i="17" s="1"/>
  <c r="L77" i="17" s="1"/>
  <c r="N77" i="17" s="1"/>
  <c r="Q76" i="17"/>
  <c r="G76" i="17"/>
  <c r="Q75" i="17"/>
  <c r="G75" i="17"/>
  <c r="H119" i="17" s="1"/>
  <c r="K119" i="17" s="1"/>
  <c r="L119" i="17" s="1"/>
  <c r="Q119" i="17" s="1"/>
  <c r="R119" i="17" s="1"/>
  <c r="Q74" i="17"/>
  <c r="G74" i="17"/>
  <c r="H118" i="17" s="1"/>
  <c r="K118" i="17" s="1"/>
  <c r="L118" i="17" s="1"/>
  <c r="Q118" i="17" s="1"/>
  <c r="R118" i="17" s="1"/>
  <c r="Q73" i="17"/>
  <c r="G73" i="17"/>
  <c r="H73" i="17" s="1"/>
  <c r="Q72" i="17"/>
  <c r="G72" i="17"/>
  <c r="H72" i="17" s="1"/>
  <c r="K72" i="17" s="1"/>
  <c r="L72" i="17" s="1"/>
  <c r="N72" i="17" s="1"/>
  <c r="Q71" i="17"/>
  <c r="G71" i="17"/>
  <c r="H71" i="17" s="1"/>
  <c r="K71" i="17" s="1"/>
  <c r="L71" i="17" s="1"/>
  <c r="N71" i="17" s="1"/>
  <c r="Q70" i="17"/>
  <c r="G70" i="17"/>
  <c r="H70" i="17" s="1"/>
  <c r="K70" i="17" s="1"/>
  <c r="L70" i="17" s="1"/>
  <c r="N70" i="17" s="1"/>
  <c r="Q69" i="17"/>
  <c r="G69" i="17"/>
  <c r="H112" i="17" s="1"/>
  <c r="K112" i="17" s="1"/>
  <c r="L112" i="17" s="1"/>
  <c r="Q112" i="17" s="1"/>
  <c r="R112" i="17" s="1"/>
  <c r="Q68" i="17"/>
  <c r="G68" i="17"/>
  <c r="H109" i="17" s="1"/>
  <c r="K109" i="17" s="1"/>
  <c r="L109" i="17" s="1"/>
  <c r="Q109" i="17" s="1"/>
  <c r="R109" i="17" s="1"/>
  <c r="Q67" i="17"/>
  <c r="G67" i="17"/>
  <c r="H108" i="17" s="1"/>
  <c r="K108" i="17" s="1"/>
  <c r="L108" i="17" s="1"/>
  <c r="Q108" i="17" s="1"/>
  <c r="R108" i="17" s="1"/>
  <c r="Q66" i="17"/>
  <c r="G66" i="17"/>
  <c r="H105" i="17" s="1"/>
  <c r="K105" i="17" s="1"/>
  <c r="L105" i="17" s="1"/>
  <c r="Q105" i="17" s="1"/>
  <c r="R105" i="17" s="1"/>
  <c r="Q65" i="17"/>
  <c r="G65" i="17"/>
  <c r="Q64" i="17"/>
  <c r="G64" i="17"/>
  <c r="H64" i="17" s="1"/>
  <c r="Q63" i="17"/>
  <c r="G63" i="17"/>
  <c r="H63" i="17" s="1"/>
  <c r="Q62" i="17"/>
  <c r="G62" i="17"/>
  <c r="H62" i="17" s="1"/>
  <c r="K62" i="17" s="1"/>
  <c r="L62" i="17" s="1"/>
  <c r="N62" i="17" s="1"/>
  <c r="Q61" i="17"/>
  <c r="G61" i="17"/>
  <c r="H61" i="17" s="1"/>
  <c r="K61" i="17" s="1"/>
  <c r="L61" i="17" s="1"/>
  <c r="N61" i="17" s="1"/>
  <c r="Q60" i="17"/>
  <c r="G60" i="17"/>
  <c r="H60" i="17" s="1"/>
  <c r="K60" i="17" s="1"/>
  <c r="L60" i="17" s="1"/>
  <c r="Q59" i="17"/>
  <c r="G59" i="17"/>
  <c r="H59" i="17" s="1"/>
  <c r="K59" i="17" s="1"/>
  <c r="L59" i="17" s="1"/>
  <c r="N59" i="17" s="1"/>
  <c r="Q58" i="17"/>
  <c r="G58" i="17"/>
  <c r="H58" i="17" s="1"/>
  <c r="Q57" i="17"/>
  <c r="G57" i="17"/>
  <c r="H57" i="17" s="1"/>
  <c r="K57" i="17" s="1"/>
  <c r="L57" i="17" s="1"/>
  <c r="N57" i="17" s="1"/>
  <c r="Q56" i="17"/>
  <c r="G56" i="17"/>
  <c r="Q55" i="17"/>
  <c r="G55" i="17"/>
  <c r="H55" i="17" s="1"/>
  <c r="K55" i="17" s="1"/>
  <c r="L55" i="17" s="1"/>
  <c r="N55" i="17" s="1"/>
  <c r="Q54" i="17"/>
  <c r="G54" i="17"/>
  <c r="H54" i="17" s="1"/>
  <c r="Q53" i="17"/>
  <c r="G53" i="17"/>
  <c r="H53" i="17" s="1"/>
  <c r="K53" i="17" s="1"/>
  <c r="L53" i="17" s="1"/>
  <c r="N53" i="17" s="1"/>
  <c r="Q52" i="17"/>
  <c r="G52" i="17"/>
  <c r="H52" i="17" s="1"/>
  <c r="Q51" i="17"/>
  <c r="G51" i="17"/>
  <c r="H51" i="17" s="1"/>
  <c r="Q50" i="17"/>
  <c r="G50" i="17"/>
  <c r="H50" i="17" s="1"/>
  <c r="Q49" i="17"/>
  <c r="G49" i="17"/>
  <c r="H49" i="17" s="1"/>
  <c r="K49" i="17" s="1"/>
  <c r="L49" i="17" s="1"/>
  <c r="N49" i="17" s="1"/>
  <c r="Q48" i="17"/>
  <c r="G48" i="17"/>
  <c r="H48" i="17" s="1"/>
  <c r="K48" i="17" s="1"/>
  <c r="L48" i="17" s="1"/>
  <c r="N48" i="17" s="1"/>
  <c r="Q47" i="17"/>
  <c r="G47" i="17"/>
  <c r="H47" i="17" s="1"/>
  <c r="K47" i="17" s="1"/>
  <c r="L47" i="17" s="1"/>
  <c r="N47" i="17" s="1"/>
  <c r="Q46" i="17"/>
  <c r="G46" i="17"/>
  <c r="H46" i="17" s="1"/>
  <c r="K46" i="17" s="1"/>
  <c r="L46" i="17" s="1"/>
  <c r="N46" i="17" s="1"/>
  <c r="Q45" i="17"/>
  <c r="G45" i="17"/>
  <c r="H45" i="17" s="1"/>
  <c r="Q44" i="17"/>
  <c r="G44" i="17"/>
  <c r="H44" i="17" s="1"/>
  <c r="Q43" i="17"/>
  <c r="G43" i="17"/>
  <c r="H43" i="17" s="1"/>
  <c r="Q42" i="17"/>
  <c r="G42" i="17"/>
  <c r="Q41" i="17"/>
  <c r="G41" i="17"/>
  <c r="H41" i="17" s="1"/>
  <c r="K41" i="17" s="1"/>
  <c r="L41" i="17" s="1"/>
  <c r="N41" i="17" s="1"/>
  <c r="Q40" i="17"/>
  <c r="G40" i="17"/>
  <c r="H40" i="17" s="1"/>
  <c r="K40" i="17" s="1"/>
  <c r="L40" i="17" s="1"/>
  <c r="N40" i="17" s="1"/>
  <c r="Q39" i="17"/>
  <c r="G39" i="17"/>
  <c r="H39" i="17" s="1"/>
  <c r="K39" i="17" s="1"/>
  <c r="L39" i="17" s="1"/>
  <c r="N39" i="17" s="1"/>
  <c r="Q38" i="17"/>
  <c r="G38" i="17"/>
  <c r="H38" i="17" s="1"/>
  <c r="Q37" i="17"/>
  <c r="G37" i="17"/>
  <c r="H37" i="17" s="1"/>
  <c r="Q36" i="17"/>
  <c r="G36" i="17"/>
  <c r="H36" i="17" s="1"/>
  <c r="Q35" i="17"/>
  <c r="G35" i="17"/>
  <c r="H35" i="17" s="1"/>
  <c r="K35" i="17" s="1"/>
  <c r="L35" i="17" s="1"/>
  <c r="N35" i="17" s="1"/>
  <c r="Q34" i="17"/>
  <c r="G34" i="17"/>
  <c r="H34" i="17" s="1"/>
  <c r="Q33" i="17"/>
  <c r="G33" i="17"/>
  <c r="H33" i="17" s="1"/>
  <c r="K33" i="17" s="1"/>
  <c r="L33" i="17" s="1"/>
  <c r="N33" i="17" s="1"/>
  <c r="Q32" i="17"/>
  <c r="G32" i="17"/>
  <c r="H32" i="17" s="1"/>
  <c r="K32" i="17" s="1"/>
  <c r="L32" i="17" s="1"/>
  <c r="Q31" i="17"/>
  <c r="G31" i="17"/>
  <c r="H31" i="17" s="1"/>
  <c r="Q30" i="17"/>
  <c r="G30" i="17"/>
  <c r="H30" i="17" s="1"/>
  <c r="Q29" i="17"/>
  <c r="G29" i="17"/>
  <c r="H29" i="17" s="1"/>
  <c r="Q28" i="17"/>
  <c r="G28" i="17"/>
  <c r="H28" i="17" s="1"/>
  <c r="Q27" i="17"/>
  <c r="G27" i="17"/>
  <c r="H27" i="17" s="1"/>
  <c r="Q26" i="17"/>
  <c r="G26" i="17"/>
  <c r="H26" i="17" s="1"/>
  <c r="Q25" i="17"/>
  <c r="G25" i="17"/>
  <c r="H25" i="17" s="1"/>
  <c r="Q24" i="17"/>
  <c r="G24" i="17"/>
  <c r="H24" i="17" s="1"/>
  <c r="K24" i="17" s="1"/>
  <c r="L24" i="17" s="1"/>
  <c r="N24" i="17" s="1"/>
  <c r="Q23" i="17"/>
  <c r="G23" i="17"/>
  <c r="H23" i="17" s="1"/>
  <c r="Q22" i="17"/>
  <c r="G22" i="17"/>
  <c r="H22" i="17" s="1"/>
  <c r="Q21" i="17"/>
  <c r="G21" i="17"/>
  <c r="H21" i="17" s="1"/>
  <c r="Q20" i="17"/>
  <c r="G20" i="17"/>
  <c r="H20" i="17" s="1"/>
  <c r="Q19" i="17"/>
  <c r="G19" i="17"/>
  <c r="H19" i="17" s="1"/>
  <c r="Q18" i="17"/>
  <c r="G18" i="17"/>
  <c r="H18" i="17" s="1"/>
  <c r="Q17" i="17"/>
  <c r="G17" i="17"/>
  <c r="H17" i="17" s="1"/>
  <c r="Q16" i="17"/>
  <c r="G16" i="17"/>
  <c r="H16" i="17" s="1"/>
  <c r="Q15" i="17"/>
  <c r="G15" i="17"/>
  <c r="H15" i="17" s="1"/>
  <c r="Q14" i="17"/>
  <c r="G14" i="17"/>
  <c r="H14" i="17" s="1"/>
  <c r="Q13" i="17"/>
  <c r="G13" i="17"/>
  <c r="H13" i="17" s="1"/>
  <c r="Q12" i="17"/>
  <c r="G12" i="17"/>
  <c r="H12" i="17" s="1"/>
  <c r="K12" i="17" s="1"/>
  <c r="L12" i="17" s="1"/>
  <c r="N12" i="17" s="1"/>
  <c r="Q11" i="17"/>
  <c r="G11" i="17"/>
  <c r="H11" i="17" s="1"/>
  <c r="Q10" i="17"/>
  <c r="G10" i="17"/>
  <c r="H10" i="17" s="1"/>
  <c r="Q9" i="17"/>
  <c r="G9" i="17"/>
  <c r="H9" i="17" s="1"/>
  <c r="F6" i="17"/>
  <c r="D6" i="17"/>
  <c r="E158" i="16"/>
  <c r="M194" i="19" l="1"/>
  <c r="N194" i="19"/>
  <c r="O194" i="19" s="1"/>
  <c r="M195" i="19"/>
  <c r="N195" i="19"/>
  <c r="O195" i="19" s="1"/>
  <c r="M204" i="19"/>
  <c r="G244" i="19"/>
  <c r="I244" i="19" s="1"/>
  <c r="G241" i="19"/>
  <c r="I241" i="19" s="1"/>
  <c r="K241" i="19" s="1"/>
  <c r="G242" i="19"/>
  <c r="I242" i="19" s="1"/>
  <c r="K242" i="19" s="1"/>
  <c r="G236" i="19"/>
  <c r="G243" i="19"/>
  <c r="G240" i="19"/>
  <c r="G245" i="19"/>
  <c r="I245" i="19" s="1"/>
  <c r="K245" i="19" s="1"/>
  <c r="M265" i="21"/>
  <c r="H76" i="17"/>
  <c r="J76" i="17" s="1"/>
  <c r="H122" i="17"/>
  <c r="H121" i="17"/>
  <c r="H42" i="17"/>
  <c r="J42" i="17" s="1"/>
  <c r="H88" i="17"/>
  <c r="H104" i="17"/>
  <c r="H103" i="17"/>
  <c r="J103" i="17" s="1"/>
  <c r="K103" i="17" s="1"/>
  <c r="L103" i="17" s="1"/>
  <c r="Q103" i="17" s="1"/>
  <c r="R103" i="17" s="1"/>
  <c r="G29" i="1"/>
  <c r="I29" i="1" s="1"/>
  <c r="G47" i="1"/>
  <c r="I47" i="1" s="1"/>
  <c r="J47" i="1" s="1"/>
  <c r="G46" i="1"/>
  <c r="I46" i="1" s="1"/>
  <c r="J46" i="1" s="1"/>
  <c r="G249" i="19"/>
  <c r="G261" i="19"/>
  <c r="I261" i="19" s="1"/>
  <c r="J261" i="19" s="1"/>
  <c r="K261" i="19" s="1"/>
  <c r="G257" i="19"/>
  <c r="A16" i="17"/>
  <c r="J163" i="17"/>
  <c r="G258" i="19"/>
  <c r="I258" i="19" s="1"/>
  <c r="J258" i="19" s="1"/>
  <c r="K258" i="19" s="1"/>
  <c r="M201" i="19"/>
  <c r="N201" i="19"/>
  <c r="O201" i="19" s="1"/>
  <c r="M189" i="19"/>
  <c r="N189" i="19"/>
  <c r="O189" i="19" s="1"/>
  <c r="M233" i="19"/>
  <c r="N233" i="19"/>
  <c r="O233" i="19" s="1"/>
  <c r="M225" i="19"/>
  <c r="N225" i="19"/>
  <c r="O225" i="19" s="1"/>
  <c r="N114" i="19"/>
  <c r="O114" i="19" s="1"/>
  <c r="M114" i="19"/>
  <c r="M191" i="19"/>
  <c r="N191" i="19"/>
  <c r="O191" i="19" s="1"/>
  <c r="M193" i="19"/>
  <c r="N193" i="19"/>
  <c r="O193" i="19" s="1"/>
  <c r="I240" i="19"/>
  <c r="K240" i="19" s="1"/>
  <c r="I236" i="19"/>
  <c r="J236" i="19" s="1"/>
  <c r="K236" i="19" s="1"/>
  <c r="G239" i="19"/>
  <c r="G238" i="19"/>
  <c r="G237" i="19"/>
  <c r="G38" i="1"/>
  <c r="I38" i="1" s="1"/>
  <c r="J38" i="1" s="1"/>
  <c r="I9" i="19"/>
  <c r="J9" i="19" s="1"/>
  <c r="K9" i="19" s="1"/>
  <c r="M9" i="19" s="1"/>
  <c r="J167" i="17"/>
  <c r="H165" i="17"/>
  <c r="J165" i="17" s="1"/>
  <c r="K165" i="17" s="1"/>
  <c r="L165" i="17" s="1"/>
  <c r="J54" i="17"/>
  <c r="K54" i="17" s="1"/>
  <c r="L54" i="17" s="1"/>
  <c r="N54" i="17" s="1"/>
  <c r="A35" i="17"/>
  <c r="J166" i="17"/>
  <c r="K166" i="17" s="1"/>
  <c r="L166" i="17" s="1"/>
  <c r="J174" i="17"/>
  <c r="K174" i="17" s="1"/>
  <c r="L174" i="17" s="1"/>
  <c r="S174" i="17" s="1"/>
  <c r="T174" i="17" s="1"/>
  <c r="J172" i="17"/>
  <c r="K172" i="17" s="1"/>
  <c r="L172" i="17" s="1"/>
  <c r="S172" i="17" s="1"/>
  <c r="T172" i="17" s="1"/>
  <c r="N32" i="17"/>
  <c r="N60" i="17"/>
  <c r="J175" i="17"/>
  <c r="K175" i="17" s="1"/>
  <c r="L175" i="17" s="1"/>
  <c r="S175" i="17" s="1"/>
  <c r="T175" i="17" s="1"/>
  <c r="H66" i="17"/>
  <c r="K66" i="17" s="1"/>
  <c r="L66" i="17" s="1"/>
  <c r="H68" i="17"/>
  <c r="K68" i="17" s="1"/>
  <c r="L68" i="17" s="1"/>
  <c r="N68" i="17" s="1"/>
  <c r="H75" i="17"/>
  <c r="K75" i="17" s="1"/>
  <c r="L75" i="17" s="1"/>
  <c r="J162" i="17"/>
  <c r="K162" i="17" s="1"/>
  <c r="L162" i="17" s="1"/>
  <c r="J170" i="17"/>
  <c r="K170" i="17" s="1"/>
  <c r="L170" i="17" s="1"/>
  <c r="J51" i="17"/>
  <c r="K51" i="17" s="1"/>
  <c r="L51" i="17" s="1"/>
  <c r="N51" i="17" s="1"/>
  <c r="J168" i="17"/>
  <c r="K168" i="17" s="1"/>
  <c r="L168" i="17" s="1"/>
  <c r="H110" i="17"/>
  <c r="K110" i="17" s="1"/>
  <c r="L110" i="17" s="1"/>
  <c r="Q110" i="17" s="1"/>
  <c r="R110" i="17" s="1"/>
  <c r="J161" i="17"/>
  <c r="K161" i="17" s="1"/>
  <c r="L161" i="17" s="1"/>
  <c r="J44" i="17"/>
  <c r="K44" i="17" s="1"/>
  <c r="L44" i="17" s="1"/>
  <c r="N44" i="17" s="1"/>
  <c r="J71" i="17"/>
  <c r="J21" i="17"/>
  <c r="K21" i="17" s="1"/>
  <c r="L21" i="17" s="1"/>
  <c r="N21" i="17" s="1"/>
  <c r="J35" i="17"/>
  <c r="A20" i="17"/>
  <c r="H89" i="17"/>
  <c r="J89" i="17" s="1"/>
  <c r="H120" i="17"/>
  <c r="K120" i="17" s="1"/>
  <c r="L120" i="17" s="1"/>
  <c r="Q120" i="17" s="1"/>
  <c r="R120" i="17" s="1"/>
  <c r="J164" i="17"/>
  <c r="K164" i="17" s="1"/>
  <c r="L164" i="17" s="1"/>
  <c r="S164" i="17" s="1"/>
  <c r="T164" i="17" s="1"/>
  <c r="J169" i="17"/>
  <c r="J55" i="17"/>
  <c r="J17" i="17"/>
  <c r="J49" i="17"/>
  <c r="J59" i="17"/>
  <c r="A32" i="17"/>
  <c r="H123" i="17" s="1"/>
  <c r="J37" i="17"/>
  <c r="K37" i="17" s="1"/>
  <c r="L37" i="17" s="1"/>
  <c r="N37" i="17" s="1"/>
  <c r="J64" i="17"/>
  <c r="K64" i="17" s="1"/>
  <c r="L64" i="17" s="1"/>
  <c r="N64" i="17" s="1"/>
  <c r="J10" i="17"/>
  <c r="K10" i="17" s="1"/>
  <c r="L10" i="17" s="1"/>
  <c r="N10" i="17" s="1"/>
  <c r="A13" i="17"/>
  <c r="J27" i="17"/>
  <c r="K27" i="17" s="1"/>
  <c r="L27" i="17" s="1"/>
  <c r="N27" i="17" s="1"/>
  <c r="J32" i="17"/>
  <c r="J43" i="17"/>
  <c r="K43" i="17" s="1"/>
  <c r="L43" i="17" s="1"/>
  <c r="N43" i="17" s="1"/>
  <c r="J52" i="17"/>
  <c r="K52" i="17" s="1"/>
  <c r="L52" i="17" s="1"/>
  <c r="N52" i="17" s="1"/>
  <c r="J57" i="17"/>
  <c r="J77" i="17"/>
  <c r="J79" i="17"/>
  <c r="J173" i="17"/>
  <c r="K173" i="17" s="1"/>
  <c r="L173" i="17" s="1"/>
  <c r="J9" i="17"/>
  <c r="K9" i="17" s="1"/>
  <c r="L9" i="17" s="1"/>
  <c r="J36" i="17"/>
  <c r="K36" i="17" s="1"/>
  <c r="L36" i="17" s="1"/>
  <c r="N36" i="17" s="1"/>
  <c r="J11" i="17"/>
  <c r="K11" i="17" s="1"/>
  <c r="L11" i="17" s="1"/>
  <c r="N11" i="17" s="1"/>
  <c r="J20" i="17"/>
  <c r="K20" i="17" s="1"/>
  <c r="L20" i="17" s="1"/>
  <c r="J19" i="17"/>
  <c r="K19" i="17" s="1"/>
  <c r="L19" i="17" s="1"/>
  <c r="N19" i="17" s="1"/>
  <c r="J34" i="17"/>
  <c r="K34" i="17" s="1"/>
  <c r="L34" i="17" s="1"/>
  <c r="N34" i="17" s="1"/>
  <c r="J38" i="17"/>
  <c r="K38" i="17" s="1"/>
  <c r="L38" i="17" s="1"/>
  <c r="N38" i="17" s="1"/>
  <c r="J40" i="17"/>
  <c r="H92" i="17"/>
  <c r="K92" i="17" s="1"/>
  <c r="L92" i="17" s="1"/>
  <c r="Q92" i="17" s="1"/>
  <c r="R92" i="17" s="1"/>
  <c r="H106" i="17"/>
  <c r="K106" i="17" s="1"/>
  <c r="L106" i="17" s="1"/>
  <c r="Q106" i="17" s="1"/>
  <c r="R106" i="17" s="1"/>
  <c r="J119" i="17"/>
  <c r="K163" i="17"/>
  <c r="L163" i="17" s="1"/>
  <c r="M163" i="17" s="1"/>
  <c r="R163" i="17" s="1"/>
  <c r="J22" i="17"/>
  <c r="K22" i="17" s="1"/>
  <c r="L22" i="17" s="1"/>
  <c r="N22" i="17" s="1"/>
  <c r="J31" i="17"/>
  <c r="K31" i="17" s="1"/>
  <c r="L31" i="17" s="1"/>
  <c r="N31" i="17" s="1"/>
  <c r="H56" i="17"/>
  <c r="K56" i="17" s="1"/>
  <c r="L56" i="17" s="1"/>
  <c r="N56" i="17" s="1"/>
  <c r="J61" i="17"/>
  <c r="J70" i="17"/>
  <c r="H74" i="17"/>
  <c r="K74" i="17" s="1"/>
  <c r="L74" i="17" s="1"/>
  <c r="H81" i="17"/>
  <c r="K81" i="17" s="1"/>
  <c r="L81" i="17" s="1"/>
  <c r="N81" i="17" s="1"/>
  <c r="A26" i="17"/>
  <c r="H90" i="17" s="1"/>
  <c r="J29" i="17"/>
  <c r="K29" i="17" s="1"/>
  <c r="L29" i="17" s="1"/>
  <c r="N29" i="17" s="1"/>
  <c r="J63" i="17"/>
  <c r="K63" i="17" s="1"/>
  <c r="L63" i="17" s="1"/>
  <c r="N63" i="17" s="1"/>
  <c r="H107" i="17"/>
  <c r="K107" i="17" s="1"/>
  <c r="L107" i="17" s="1"/>
  <c r="Q107" i="17" s="1"/>
  <c r="R107" i="17" s="1"/>
  <c r="J15" i="17"/>
  <c r="K15" i="17" s="1"/>
  <c r="L15" i="17" s="1"/>
  <c r="J39" i="17"/>
  <c r="J41" i="17"/>
  <c r="J48" i="17"/>
  <c r="J58" i="17"/>
  <c r="K58" i="17" s="1"/>
  <c r="L58" i="17" s="1"/>
  <c r="N58" i="17" s="1"/>
  <c r="J30" i="17"/>
  <c r="K30" i="17" s="1"/>
  <c r="L30" i="17" s="1"/>
  <c r="N30" i="17" s="1"/>
  <c r="A38" i="17"/>
  <c r="J60" i="17"/>
  <c r="H111" i="17"/>
  <c r="K111" i="17" s="1"/>
  <c r="L111" i="17" s="1"/>
  <c r="Q111" i="17" s="1"/>
  <c r="R111" i="17" s="1"/>
  <c r="J12" i="17"/>
  <c r="J23" i="17"/>
  <c r="K23" i="17" s="1"/>
  <c r="L23" i="17" s="1"/>
  <c r="N23" i="17" s="1"/>
  <c r="J25" i="17"/>
  <c r="K25" i="17" s="1"/>
  <c r="L25" i="17" s="1"/>
  <c r="N25" i="17" s="1"/>
  <c r="J33" i="17"/>
  <c r="J62" i="17"/>
  <c r="J73" i="17"/>
  <c r="K73" i="17" s="1"/>
  <c r="L73" i="17" s="1"/>
  <c r="N73" i="17" s="1"/>
  <c r="J80" i="17"/>
  <c r="K80" i="17" s="1"/>
  <c r="L80" i="17" s="1"/>
  <c r="N80" i="17" s="1"/>
  <c r="J108" i="17"/>
  <c r="J171" i="17"/>
  <c r="J28" i="17"/>
  <c r="K28" i="17" s="1"/>
  <c r="L28" i="17" s="1"/>
  <c r="N28" i="17" s="1"/>
  <c r="J16" i="17"/>
  <c r="K16" i="17" s="1"/>
  <c r="L16" i="17" s="1"/>
  <c r="N16" i="17" s="1"/>
  <c r="J18" i="17"/>
  <c r="K18" i="17" s="1"/>
  <c r="L18" i="17" s="1"/>
  <c r="N18" i="17" s="1"/>
  <c r="J13" i="17"/>
  <c r="K13" i="17" s="1"/>
  <c r="L13" i="17" s="1"/>
  <c r="N13" i="17" s="1"/>
  <c r="J47" i="17"/>
  <c r="A23" i="17"/>
  <c r="K17" i="17"/>
  <c r="L17" i="17" s="1"/>
  <c r="N17" i="17" s="1"/>
  <c r="J14" i="17"/>
  <c r="K14" i="17" s="1"/>
  <c r="L14" i="17" s="1"/>
  <c r="N14" i="17" s="1"/>
  <c r="J26" i="17"/>
  <c r="K26" i="17" s="1"/>
  <c r="L26" i="17" s="1"/>
  <c r="N26" i="17" s="1"/>
  <c r="J24" i="17"/>
  <c r="J46" i="17"/>
  <c r="K50" i="17"/>
  <c r="L50" i="17" s="1"/>
  <c r="N50" i="17" s="1"/>
  <c r="J50" i="17"/>
  <c r="K171" i="17"/>
  <c r="L171" i="17" s="1"/>
  <c r="K167" i="17"/>
  <c r="L167" i="17" s="1"/>
  <c r="K169" i="17"/>
  <c r="L169" i="17" s="1"/>
  <c r="M152" i="17"/>
  <c r="A10" i="17"/>
  <c r="H84" i="17" s="1"/>
  <c r="M153" i="17"/>
  <c r="H117" i="17"/>
  <c r="K117" i="17" s="1"/>
  <c r="L117" i="17" s="1"/>
  <c r="Q117" i="17" s="1"/>
  <c r="R117" i="17" s="1"/>
  <c r="H116" i="17"/>
  <c r="K116" i="17" s="1"/>
  <c r="L116" i="17" s="1"/>
  <c r="Q116" i="17" s="1"/>
  <c r="R116" i="17" s="1"/>
  <c r="J112" i="17"/>
  <c r="M172" i="17"/>
  <c r="R172" i="17" s="1"/>
  <c r="G82" i="17"/>
  <c r="A29" i="17"/>
  <c r="J45" i="17"/>
  <c r="K45" i="17" s="1"/>
  <c r="L45" i="17" s="1"/>
  <c r="N45" i="17" s="1"/>
  <c r="J53" i="17"/>
  <c r="J104" i="17"/>
  <c r="K104" i="17" s="1"/>
  <c r="L104" i="17" s="1"/>
  <c r="Q104" i="17" s="1"/>
  <c r="R104" i="17" s="1"/>
  <c r="M175" i="17"/>
  <c r="R175" i="17" s="1"/>
  <c r="J118" i="17"/>
  <c r="H65" i="17"/>
  <c r="H67" i="17"/>
  <c r="K67" i="17" s="1"/>
  <c r="L67" i="17" s="1"/>
  <c r="N67" i="17" s="1"/>
  <c r="H69" i="17"/>
  <c r="K69" i="17" s="1"/>
  <c r="L69" i="17" s="1"/>
  <c r="N69" i="17" s="1"/>
  <c r="J105" i="17"/>
  <c r="J72" i="17"/>
  <c r="J78" i="17"/>
  <c r="J109" i="17"/>
  <c r="F14" i="3"/>
  <c r="P172" i="16"/>
  <c r="K172" i="16"/>
  <c r="P171" i="16"/>
  <c r="K171" i="16"/>
  <c r="P170" i="16"/>
  <c r="K170" i="16"/>
  <c r="P169" i="16"/>
  <c r="K169" i="16"/>
  <c r="L169" i="16" s="1"/>
  <c r="M169" i="16" s="1"/>
  <c r="N169" i="16" s="1"/>
  <c r="P168" i="16"/>
  <c r="K168" i="16"/>
  <c r="L168" i="16" s="1"/>
  <c r="P167" i="16"/>
  <c r="K167" i="16"/>
  <c r="P166" i="16"/>
  <c r="K166" i="16"/>
  <c r="P165" i="16"/>
  <c r="K165" i="16"/>
  <c r="P164" i="16"/>
  <c r="K164" i="16"/>
  <c r="P163" i="16"/>
  <c r="K163" i="16"/>
  <c r="P162" i="16"/>
  <c r="K162" i="16"/>
  <c r="P161" i="16"/>
  <c r="K161" i="16"/>
  <c r="L161" i="16" s="1"/>
  <c r="M161" i="16" s="1"/>
  <c r="N161" i="16" s="1"/>
  <c r="P160" i="16"/>
  <c r="K160" i="16"/>
  <c r="L160" i="16" s="1"/>
  <c r="P159" i="16"/>
  <c r="K159" i="16"/>
  <c r="P158" i="16"/>
  <c r="K158" i="16"/>
  <c r="N145" i="16"/>
  <c r="N144" i="16"/>
  <c r="N143" i="16"/>
  <c r="N142" i="16"/>
  <c r="N141" i="16"/>
  <c r="N140" i="16"/>
  <c r="N139" i="16"/>
  <c r="N138" i="16"/>
  <c r="N137" i="16"/>
  <c r="N136" i="16"/>
  <c r="N135" i="16"/>
  <c r="N134" i="16"/>
  <c r="N133" i="16"/>
  <c r="N132" i="16"/>
  <c r="N131" i="16"/>
  <c r="N130" i="16"/>
  <c r="N129" i="16"/>
  <c r="N128" i="16"/>
  <c r="N127" i="16"/>
  <c r="N126" i="16"/>
  <c r="N124" i="16"/>
  <c r="N123" i="16"/>
  <c r="N122" i="16"/>
  <c r="N121" i="16"/>
  <c r="N120" i="16"/>
  <c r="N119" i="16"/>
  <c r="N118" i="16"/>
  <c r="N117" i="16"/>
  <c r="N116" i="16"/>
  <c r="N115" i="16"/>
  <c r="N114" i="16"/>
  <c r="N113" i="16"/>
  <c r="N112" i="16"/>
  <c r="N111" i="16"/>
  <c r="N110" i="16"/>
  <c r="N109" i="16"/>
  <c r="N108" i="16"/>
  <c r="N107" i="16"/>
  <c r="N106" i="16"/>
  <c r="N105" i="16"/>
  <c r="N104" i="16"/>
  <c r="N103" i="16"/>
  <c r="N102" i="16"/>
  <c r="N101" i="16"/>
  <c r="N100" i="16"/>
  <c r="N99" i="16"/>
  <c r="N98" i="16"/>
  <c r="N97" i="16"/>
  <c r="L97" i="16"/>
  <c r="M97" i="16" s="1"/>
  <c r="P97" i="16" s="1"/>
  <c r="Q97" i="16" s="1"/>
  <c r="K97" i="16"/>
  <c r="N96" i="16"/>
  <c r="L96" i="16"/>
  <c r="M96" i="16" s="1"/>
  <c r="P96" i="16" s="1"/>
  <c r="Q96" i="16" s="1"/>
  <c r="K96" i="16"/>
  <c r="N95" i="16"/>
  <c r="L95" i="16"/>
  <c r="M95" i="16" s="1"/>
  <c r="P95" i="16" s="1"/>
  <c r="Q95" i="16" s="1"/>
  <c r="K95" i="16"/>
  <c r="N94" i="16"/>
  <c r="L94" i="16"/>
  <c r="M94" i="16" s="1"/>
  <c r="P94" i="16" s="1"/>
  <c r="Q94" i="16" s="1"/>
  <c r="K94" i="16"/>
  <c r="N93" i="16"/>
  <c r="N92" i="16"/>
  <c r="N91" i="16"/>
  <c r="N90" i="16"/>
  <c r="N89" i="16"/>
  <c r="N88" i="16"/>
  <c r="N87" i="16"/>
  <c r="N86" i="16"/>
  <c r="N85" i="16"/>
  <c r="N84" i="16"/>
  <c r="P81" i="16"/>
  <c r="G81" i="16"/>
  <c r="P80" i="16"/>
  <c r="G80" i="16"/>
  <c r="H80" i="16" s="1"/>
  <c r="P79" i="16"/>
  <c r="G79" i="16"/>
  <c r="H79" i="16" s="1"/>
  <c r="I79" i="16" s="1"/>
  <c r="P78" i="16"/>
  <c r="G78" i="16"/>
  <c r="P77" i="16"/>
  <c r="G77" i="16"/>
  <c r="H77" i="16" s="1"/>
  <c r="I77" i="16" s="1"/>
  <c r="L77" i="16" s="1"/>
  <c r="M77" i="16" s="1"/>
  <c r="O77" i="16" s="1"/>
  <c r="P76" i="16"/>
  <c r="G76" i="16"/>
  <c r="H76" i="16" s="1"/>
  <c r="P75" i="16"/>
  <c r="G75" i="16"/>
  <c r="H75" i="16" s="1"/>
  <c r="P74" i="16"/>
  <c r="G74" i="16"/>
  <c r="H74" i="16" s="1"/>
  <c r="P73" i="16"/>
  <c r="G73" i="16"/>
  <c r="H73" i="16" s="1"/>
  <c r="I73" i="16" s="1"/>
  <c r="P72" i="16"/>
  <c r="G72" i="16"/>
  <c r="H72" i="16" s="1"/>
  <c r="I72" i="16" s="1"/>
  <c r="P71" i="16"/>
  <c r="G71" i="16"/>
  <c r="H71" i="16" s="1"/>
  <c r="I71" i="16" s="1"/>
  <c r="P70" i="16"/>
  <c r="G70" i="16"/>
  <c r="H70" i="16" s="1"/>
  <c r="P69" i="16"/>
  <c r="G69" i="16"/>
  <c r="H69" i="16" s="1"/>
  <c r="I111" i="16" s="1"/>
  <c r="P68" i="16"/>
  <c r="G68" i="16"/>
  <c r="P67" i="16"/>
  <c r="G67" i="16"/>
  <c r="P66" i="16"/>
  <c r="G66" i="16"/>
  <c r="H66" i="16" s="1"/>
  <c r="P65" i="16"/>
  <c r="G65" i="16"/>
  <c r="H65" i="16" s="1"/>
  <c r="P64" i="16"/>
  <c r="G64" i="16"/>
  <c r="H64" i="16" s="1"/>
  <c r="I64" i="16" s="1"/>
  <c r="P63" i="16"/>
  <c r="G63" i="16"/>
  <c r="H63" i="16" s="1"/>
  <c r="P62" i="16"/>
  <c r="G62" i="16"/>
  <c r="H62" i="16" s="1"/>
  <c r="I62" i="16" s="1"/>
  <c r="L62" i="16" s="1"/>
  <c r="M62" i="16" s="1"/>
  <c r="O62" i="16" s="1"/>
  <c r="P61" i="16"/>
  <c r="G61" i="16"/>
  <c r="P60" i="16"/>
  <c r="G60" i="16"/>
  <c r="H60" i="16" s="1"/>
  <c r="I60" i="16" s="1"/>
  <c r="L60" i="16" s="1"/>
  <c r="M60" i="16" s="1"/>
  <c r="O60" i="16" s="1"/>
  <c r="P59" i="16"/>
  <c r="G59" i="16"/>
  <c r="P58" i="16"/>
  <c r="G58" i="16"/>
  <c r="H58" i="16" s="1"/>
  <c r="I58" i="16" s="1"/>
  <c r="P57" i="16"/>
  <c r="G57" i="16"/>
  <c r="H57" i="16" s="1"/>
  <c r="I57" i="16" s="1"/>
  <c r="P56" i="16"/>
  <c r="G56" i="16"/>
  <c r="H56" i="16" s="1"/>
  <c r="I56" i="16" s="1"/>
  <c r="P55" i="16"/>
  <c r="G55" i="16"/>
  <c r="H55" i="16" s="1"/>
  <c r="I55" i="16" s="1"/>
  <c r="P54" i="16"/>
  <c r="G54" i="16"/>
  <c r="P53" i="16"/>
  <c r="G53" i="16"/>
  <c r="H53" i="16" s="1"/>
  <c r="I53" i="16" s="1"/>
  <c r="P52" i="16"/>
  <c r="G52" i="16"/>
  <c r="H52" i="16" s="1"/>
  <c r="I52" i="16" s="1"/>
  <c r="P51" i="16"/>
  <c r="G51" i="16"/>
  <c r="H51" i="16" s="1"/>
  <c r="I51" i="16" s="1"/>
  <c r="P50" i="16"/>
  <c r="G50" i="16"/>
  <c r="H50" i="16" s="1"/>
  <c r="P49" i="16"/>
  <c r="G49" i="16"/>
  <c r="H49" i="16" s="1"/>
  <c r="I49" i="16" s="1"/>
  <c r="P48" i="16"/>
  <c r="G48" i="16"/>
  <c r="H48" i="16" s="1"/>
  <c r="P47" i="16"/>
  <c r="G47" i="16"/>
  <c r="H47" i="16" s="1"/>
  <c r="I47" i="16" s="1"/>
  <c r="P46" i="16"/>
  <c r="G46" i="16"/>
  <c r="H46" i="16" s="1"/>
  <c r="I46" i="16" s="1"/>
  <c r="P45" i="16"/>
  <c r="G45" i="16"/>
  <c r="H45" i="16" s="1"/>
  <c r="I45" i="16" s="1"/>
  <c r="P44" i="16"/>
  <c r="G44" i="16"/>
  <c r="P43" i="16"/>
  <c r="G43" i="16"/>
  <c r="H43" i="16" s="1"/>
  <c r="P42" i="16"/>
  <c r="G42" i="16"/>
  <c r="H42" i="16" s="1"/>
  <c r="P41" i="16"/>
  <c r="G41" i="16"/>
  <c r="H41" i="16" s="1"/>
  <c r="I41" i="16" s="1"/>
  <c r="P40" i="16"/>
  <c r="G40" i="16"/>
  <c r="H40" i="16" s="1"/>
  <c r="I40" i="16" s="1"/>
  <c r="P39" i="16"/>
  <c r="G39" i="16"/>
  <c r="H39" i="16" s="1"/>
  <c r="I39" i="16" s="1"/>
  <c r="L39" i="16" s="1"/>
  <c r="M39" i="16" s="1"/>
  <c r="O39" i="16" s="1"/>
  <c r="P38" i="16"/>
  <c r="G38" i="16"/>
  <c r="H38" i="16" s="1"/>
  <c r="I38" i="16" s="1"/>
  <c r="P37" i="16"/>
  <c r="G37" i="16"/>
  <c r="H37" i="16" s="1"/>
  <c r="I37" i="16" s="1"/>
  <c r="P36" i="16"/>
  <c r="G36" i="16"/>
  <c r="H36" i="16" s="1"/>
  <c r="I36" i="16" s="1"/>
  <c r="P35" i="16"/>
  <c r="G35" i="16"/>
  <c r="P34" i="16"/>
  <c r="G34" i="16"/>
  <c r="P33" i="16"/>
  <c r="G33" i="16"/>
  <c r="H33" i="16" s="1"/>
  <c r="I33" i="16" s="1"/>
  <c r="P32" i="16"/>
  <c r="G32" i="16"/>
  <c r="H32" i="16" s="1"/>
  <c r="I32" i="16" s="1"/>
  <c r="P31" i="16"/>
  <c r="G31" i="16"/>
  <c r="P30" i="16"/>
  <c r="G30" i="16"/>
  <c r="H30" i="16" s="1"/>
  <c r="I30" i="16" s="1"/>
  <c r="P29" i="16"/>
  <c r="G29" i="16"/>
  <c r="H29" i="16" s="1"/>
  <c r="I29" i="16" s="1"/>
  <c r="P28" i="16"/>
  <c r="G28" i="16"/>
  <c r="H28" i="16" s="1"/>
  <c r="I28" i="16" s="1"/>
  <c r="P27" i="16"/>
  <c r="G27" i="16"/>
  <c r="H27" i="16" s="1"/>
  <c r="I27" i="16" s="1"/>
  <c r="K27" i="16" s="1"/>
  <c r="P26" i="16"/>
  <c r="G26" i="16"/>
  <c r="H26" i="16" s="1"/>
  <c r="I26" i="16" s="1"/>
  <c r="P25" i="16"/>
  <c r="G25" i="16"/>
  <c r="H25" i="16" s="1"/>
  <c r="I25" i="16" s="1"/>
  <c r="K25" i="16" s="1"/>
  <c r="P24" i="16"/>
  <c r="G24" i="16"/>
  <c r="H24" i="16" s="1"/>
  <c r="I24" i="16" s="1"/>
  <c r="L24" i="16" s="1"/>
  <c r="M24" i="16" s="1"/>
  <c r="O24" i="16" s="1"/>
  <c r="P23" i="16"/>
  <c r="G23" i="16"/>
  <c r="P22" i="16"/>
  <c r="G22" i="16"/>
  <c r="H22" i="16" s="1"/>
  <c r="I22" i="16" s="1"/>
  <c r="P21" i="16"/>
  <c r="G21" i="16"/>
  <c r="H21" i="16" s="1"/>
  <c r="I21" i="16" s="1"/>
  <c r="P20" i="16"/>
  <c r="G20" i="16"/>
  <c r="H20" i="16" s="1"/>
  <c r="I20" i="16" s="1"/>
  <c r="P19" i="16"/>
  <c r="G19" i="16"/>
  <c r="P18" i="16"/>
  <c r="G18" i="16"/>
  <c r="P17" i="16"/>
  <c r="G17" i="16"/>
  <c r="H17" i="16" s="1"/>
  <c r="I17" i="16" s="1"/>
  <c r="P16" i="16"/>
  <c r="G16" i="16"/>
  <c r="H16" i="16" s="1"/>
  <c r="I16" i="16" s="1"/>
  <c r="P15" i="16"/>
  <c r="G15" i="16"/>
  <c r="H15" i="16" s="1"/>
  <c r="P14" i="16"/>
  <c r="G14" i="16"/>
  <c r="H14" i="16" s="1"/>
  <c r="I14" i="16" s="1"/>
  <c r="K14" i="16" s="1"/>
  <c r="P13" i="16"/>
  <c r="G13" i="16"/>
  <c r="H13" i="16" s="1"/>
  <c r="I13" i="16" s="1"/>
  <c r="P12" i="16"/>
  <c r="G12" i="16"/>
  <c r="H12" i="16" s="1"/>
  <c r="I12" i="16" s="1"/>
  <c r="P11" i="16"/>
  <c r="G11" i="16"/>
  <c r="H11" i="16" s="1"/>
  <c r="I11" i="16" s="1"/>
  <c r="P10" i="16"/>
  <c r="G10" i="16"/>
  <c r="P9" i="16"/>
  <c r="G9" i="16"/>
  <c r="H9" i="16" s="1"/>
  <c r="I9" i="16" s="1"/>
  <c r="F6" i="16"/>
  <c r="D6" i="16"/>
  <c r="J166" i="15"/>
  <c r="N166" i="15"/>
  <c r="J29" i="1" l="1"/>
  <c r="K29" i="1" s="1"/>
  <c r="M29" i="1" s="1"/>
  <c r="M174" i="17"/>
  <c r="R174" i="17" s="1"/>
  <c r="J56" i="17"/>
  <c r="I48" i="16"/>
  <c r="L48" i="16" s="1"/>
  <c r="M48" i="16" s="1"/>
  <c r="O48" i="16" s="1"/>
  <c r="A35" i="16"/>
  <c r="I92" i="16"/>
  <c r="K92" i="16" s="1"/>
  <c r="I50" i="16"/>
  <c r="K50" i="16" s="1"/>
  <c r="I118" i="16"/>
  <c r="K118" i="16" s="1"/>
  <c r="I117" i="16"/>
  <c r="K117" i="16" s="1"/>
  <c r="I116" i="16"/>
  <c r="L116" i="16" s="1"/>
  <c r="M116" i="16" s="1"/>
  <c r="P116" i="16" s="1"/>
  <c r="Q116" i="16" s="1"/>
  <c r="I74" i="16"/>
  <c r="L74" i="16" s="1"/>
  <c r="M74" i="16" s="1"/>
  <c r="O74" i="16" s="1"/>
  <c r="I43" i="16"/>
  <c r="I66" i="16"/>
  <c r="I106" i="16"/>
  <c r="K106" i="16" s="1"/>
  <c r="I105" i="16"/>
  <c r="L105" i="16" s="1"/>
  <c r="M105" i="16" s="1"/>
  <c r="P105" i="16" s="1"/>
  <c r="Q105" i="16" s="1"/>
  <c r="I88" i="16"/>
  <c r="I42" i="16"/>
  <c r="K42" i="16" s="1"/>
  <c r="L42" i="16" s="1"/>
  <c r="M42" i="16" s="1"/>
  <c r="O42" i="16" s="1"/>
  <c r="I103" i="16"/>
  <c r="K103" i="16" s="1"/>
  <c r="L103" i="16" s="1"/>
  <c r="M103" i="16" s="1"/>
  <c r="P103" i="16" s="1"/>
  <c r="Q103" i="16" s="1"/>
  <c r="I104" i="16"/>
  <c r="I65" i="16"/>
  <c r="K20" i="16"/>
  <c r="L20" i="16" s="1"/>
  <c r="M20" i="16" s="1"/>
  <c r="O20" i="16" s="1"/>
  <c r="A38" i="16"/>
  <c r="I63" i="16"/>
  <c r="K63" i="16" s="1"/>
  <c r="I75" i="16"/>
  <c r="L75" i="16" s="1"/>
  <c r="M75" i="16" s="1"/>
  <c r="O75" i="16" s="1"/>
  <c r="I120" i="16"/>
  <c r="K120" i="16" s="1"/>
  <c r="I119" i="16"/>
  <c r="L119" i="16" s="1"/>
  <c r="M119" i="16" s="1"/>
  <c r="P119" i="16" s="1"/>
  <c r="Q119" i="16" s="1"/>
  <c r="A29" i="16"/>
  <c r="I115" i="16" s="1"/>
  <c r="I70" i="16"/>
  <c r="L70" i="16" s="1"/>
  <c r="M70" i="16" s="1"/>
  <c r="O70" i="16" s="1"/>
  <c r="H129" i="17"/>
  <c r="J129" i="17" s="1"/>
  <c r="K129" i="17" s="1"/>
  <c r="L129" i="17" s="1"/>
  <c r="Q129" i="17" s="1"/>
  <c r="R129" i="17" s="1"/>
  <c r="H137" i="17"/>
  <c r="J137" i="17" s="1"/>
  <c r="K137" i="17" s="1"/>
  <c r="L137" i="17" s="1"/>
  <c r="Q137" i="17" s="1"/>
  <c r="R137" i="17" s="1"/>
  <c r="H145" i="17"/>
  <c r="H138" i="17"/>
  <c r="J138" i="17" s="1"/>
  <c r="K138" i="17" s="1"/>
  <c r="L138" i="17" s="1"/>
  <c r="Q138" i="17" s="1"/>
  <c r="R138" i="17" s="1"/>
  <c r="H130" i="17"/>
  <c r="J130" i="17" s="1"/>
  <c r="K130" i="17" s="1"/>
  <c r="L130" i="17" s="1"/>
  <c r="Q130" i="17" s="1"/>
  <c r="R130" i="17" s="1"/>
  <c r="H133" i="17"/>
  <c r="H131" i="17"/>
  <c r="J131" i="17" s="1"/>
  <c r="K131" i="17" s="1"/>
  <c r="L131" i="17" s="1"/>
  <c r="Q131" i="17" s="1"/>
  <c r="R131" i="17" s="1"/>
  <c r="H139" i="17"/>
  <c r="I122" i="16"/>
  <c r="I121" i="16"/>
  <c r="A13" i="16"/>
  <c r="I87" i="16" s="1"/>
  <c r="K87" i="16" s="1"/>
  <c r="L87" i="16" s="1"/>
  <c r="M87" i="16" s="1"/>
  <c r="P87" i="16" s="1"/>
  <c r="Q87" i="16" s="1"/>
  <c r="H34" i="16"/>
  <c r="I34" i="16" s="1"/>
  <c r="K34" i="16" s="1"/>
  <c r="L34" i="16" s="1"/>
  <c r="M34" i="16" s="1"/>
  <c r="O34" i="16" s="1"/>
  <c r="A26" i="16"/>
  <c r="H140" i="17"/>
  <c r="H102" i="17"/>
  <c r="H136" i="17"/>
  <c r="H101" i="17"/>
  <c r="H100" i="17"/>
  <c r="K89" i="17"/>
  <c r="L89" i="17" s="1"/>
  <c r="Q89" i="17" s="1"/>
  <c r="R89" i="17" s="1"/>
  <c r="L12" i="16"/>
  <c r="M12" i="16" s="1"/>
  <c r="O12" i="16" s="1"/>
  <c r="H81" i="16"/>
  <c r="I81" i="16" s="1"/>
  <c r="L81" i="16" s="1"/>
  <c r="M81" i="16" s="1"/>
  <c r="O81" i="16" s="1"/>
  <c r="H99" i="17"/>
  <c r="H98" i="17"/>
  <c r="H93" i="17"/>
  <c r="J93" i="17" s="1"/>
  <c r="K93" i="17" s="1"/>
  <c r="L93" i="17" s="1"/>
  <c r="Q93" i="17" s="1"/>
  <c r="R93" i="17" s="1"/>
  <c r="I112" i="16"/>
  <c r="L112" i="16" s="1"/>
  <c r="M112" i="16" s="1"/>
  <c r="P112" i="16" s="1"/>
  <c r="Q112" i="16" s="1"/>
  <c r="H87" i="17"/>
  <c r="H23" i="16"/>
  <c r="I23" i="16" s="1"/>
  <c r="K23" i="16" s="1"/>
  <c r="I69" i="16"/>
  <c r="L69" i="16" s="1"/>
  <c r="M69" i="16" s="1"/>
  <c r="O69" i="16" s="1"/>
  <c r="K76" i="17"/>
  <c r="L76" i="17" s="1"/>
  <c r="N76" i="17" s="1"/>
  <c r="L49" i="16"/>
  <c r="M49" i="16" s="1"/>
  <c r="O49" i="16" s="1"/>
  <c r="L53" i="16"/>
  <c r="M53" i="16" s="1"/>
  <c r="O53" i="16" s="1"/>
  <c r="H78" i="16"/>
  <c r="I78" i="16" s="1"/>
  <c r="L78" i="16" s="1"/>
  <c r="M78" i="16" s="1"/>
  <c r="O78" i="16" s="1"/>
  <c r="H54" i="16"/>
  <c r="I54" i="16" s="1"/>
  <c r="H31" i="16"/>
  <c r="I31" i="16" s="1"/>
  <c r="K31" i="16" s="1"/>
  <c r="I76" i="16"/>
  <c r="K76" i="16" s="1"/>
  <c r="H86" i="17"/>
  <c r="H85" i="17"/>
  <c r="H61" i="16"/>
  <c r="I61" i="16" s="1"/>
  <c r="K61" i="16" s="1"/>
  <c r="H68" i="16"/>
  <c r="L40" i="16"/>
  <c r="M40" i="16" s="1"/>
  <c r="O40" i="16" s="1"/>
  <c r="H67" i="16"/>
  <c r="H59" i="16"/>
  <c r="I59" i="16" s="1"/>
  <c r="L59" i="16" s="1"/>
  <c r="M59" i="16" s="1"/>
  <c r="O59" i="16" s="1"/>
  <c r="H44" i="16"/>
  <c r="I44" i="16" s="1"/>
  <c r="K44" i="16" s="1"/>
  <c r="L44" i="16" s="1"/>
  <c r="M44" i="16" s="1"/>
  <c r="O44" i="16" s="1"/>
  <c r="H19" i="16"/>
  <c r="I19" i="16" s="1"/>
  <c r="K19" i="16" s="1"/>
  <c r="H10" i="16"/>
  <c r="I10" i="16" s="1"/>
  <c r="K10" i="16" s="1"/>
  <c r="L79" i="16"/>
  <c r="M79" i="16" s="1"/>
  <c r="O79" i="16" s="1"/>
  <c r="L47" i="16"/>
  <c r="M47" i="16" s="1"/>
  <c r="O47" i="16" s="1"/>
  <c r="L55" i="16"/>
  <c r="M55" i="16" s="1"/>
  <c r="O55" i="16" s="1"/>
  <c r="H35" i="16"/>
  <c r="I35" i="16" s="1"/>
  <c r="L35" i="16" s="1"/>
  <c r="M35" i="16" s="1"/>
  <c r="O35" i="16" s="1"/>
  <c r="H18" i="16"/>
  <c r="I18" i="16" s="1"/>
  <c r="K18" i="16" s="1"/>
  <c r="K42" i="17"/>
  <c r="L42" i="17" s="1"/>
  <c r="N42" i="17" s="1"/>
  <c r="N241" i="19"/>
  <c r="O241" i="19" s="1"/>
  <c r="M241" i="19"/>
  <c r="M242" i="19"/>
  <c r="N242" i="19"/>
  <c r="O242" i="19" s="1"/>
  <c r="L167" i="16"/>
  <c r="M167" i="16" s="1"/>
  <c r="N167" i="16" s="1"/>
  <c r="J107" i="17"/>
  <c r="L163" i="16"/>
  <c r="M163" i="16" s="1"/>
  <c r="N163" i="16" s="1"/>
  <c r="M258" i="19"/>
  <c r="N258" i="19"/>
  <c r="O258" i="19" s="1"/>
  <c r="I237" i="19"/>
  <c r="J237" i="19" s="1"/>
  <c r="K237" i="19" s="1"/>
  <c r="I238" i="19"/>
  <c r="J238" i="19" s="1"/>
  <c r="K238" i="19" s="1"/>
  <c r="I239" i="19"/>
  <c r="J239" i="19" s="1"/>
  <c r="K239" i="19" s="1"/>
  <c r="I257" i="19"/>
  <c r="J257" i="19" s="1"/>
  <c r="K257" i="19" s="1"/>
  <c r="N261" i="19"/>
  <c r="O261" i="19" s="1"/>
  <c r="M261" i="19"/>
  <c r="M236" i="19"/>
  <c r="N236" i="19"/>
  <c r="O236" i="19" s="1"/>
  <c r="M245" i="19"/>
  <c r="N245" i="19"/>
  <c r="O245" i="19" s="1"/>
  <c r="M240" i="19"/>
  <c r="N240" i="19"/>
  <c r="O240" i="19" s="1"/>
  <c r="I249" i="19"/>
  <c r="J249" i="19" s="1"/>
  <c r="K249" i="19" s="1"/>
  <c r="I243" i="19"/>
  <c r="K243" i="19" s="1"/>
  <c r="H124" i="17"/>
  <c r="J124" i="17" s="1"/>
  <c r="K124" i="17" s="1"/>
  <c r="L124" i="17" s="1"/>
  <c r="Q124" i="17" s="1"/>
  <c r="R124" i="17" s="1"/>
  <c r="I80" i="16"/>
  <c r="K80" i="16" s="1"/>
  <c r="L80" i="16" s="1"/>
  <c r="M80" i="16" s="1"/>
  <c r="O80" i="16" s="1"/>
  <c r="K123" i="17"/>
  <c r="L123" i="17" s="1"/>
  <c r="Q123" i="17" s="1"/>
  <c r="R123" i="17" s="1"/>
  <c r="L164" i="16"/>
  <c r="N153" i="17"/>
  <c r="N15" i="17"/>
  <c r="I15" i="16"/>
  <c r="K15" i="16" s="1"/>
  <c r="L15" i="16" s="1"/>
  <c r="M15" i="16" s="1"/>
  <c r="O15" i="16" s="1"/>
  <c r="S163" i="17"/>
  <c r="T163" i="17" s="1"/>
  <c r="M164" i="17"/>
  <c r="R164" i="17" s="1"/>
  <c r="J68" i="17"/>
  <c r="J75" i="17"/>
  <c r="J92" i="17"/>
  <c r="J66" i="17"/>
  <c r="J106" i="17"/>
  <c r="J117" i="17"/>
  <c r="M162" i="17"/>
  <c r="R162" i="17" s="1"/>
  <c r="S162" i="17"/>
  <c r="T162" i="17" s="1"/>
  <c r="N74" i="17"/>
  <c r="N20" i="17"/>
  <c r="N75" i="17"/>
  <c r="J122" i="17"/>
  <c r="K122" i="17" s="1"/>
  <c r="L122" i="17" s="1"/>
  <c r="Q122" i="17" s="1"/>
  <c r="R122" i="17" s="1"/>
  <c r="N66" i="17"/>
  <c r="J81" i="17"/>
  <c r="N9" i="17"/>
  <c r="N152" i="17"/>
  <c r="J110" i="17"/>
  <c r="H91" i="17"/>
  <c r="J120" i="17"/>
  <c r="J84" i="17"/>
  <c r="K84" i="17" s="1"/>
  <c r="L84" i="17" s="1"/>
  <c r="Q84" i="17" s="1"/>
  <c r="R84" i="17" s="1"/>
  <c r="J121" i="17"/>
  <c r="K121" i="17" s="1"/>
  <c r="L121" i="17" s="1"/>
  <c r="Q121" i="17" s="1"/>
  <c r="R121" i="17" s="1"/>
  <c r="J74" i="17"/>
  <c r="J88" i="17"/>
  <c r="K88" i="17" s="1"/>
  <c r="L88" i="17" s="1"/>
  <c r="Q88" i="17" s="1"/>
  <c r="R88" i="17" s="1"/>
  <c r="J67" i="17"/>
  <c r="J111" i="17"/>
  <c r="J90" i="17"/>
  <c r="K90" i="17" s="1"/>
  <c r="L90" i="17" s="1"/>
  <c r="Q90" i="17" s="1"/>
  <c r="R90" i="17" s="1"/>
  <c r="M165" i="17"/>
  <c r="R165" i="17" s="1"/>
  <c r="S165" i="17"/>
  <c r="T165" i="17" s="1"/>
  <c r="M161" i="17"/>
  <c r="R161" i="17" s="1"/>
  <c r="S161" i="17"/>
  <c r="T161" i="17" s="1"/>
  <c r="J123" i="17"/>
  <c r="J116" i="17"/>
  <c r="S171" i="17"/>
  <c r="T171" i="17" s="1"/>
  <c r="M171" i="17"/>
  <c r="R171" i="17" s="1"/>
  <c r="S168" i="17"/>
  <c r="T168" i="17" s="1"/>
  <c r="M168" i="17"/>
  <c r="R168" i="17" s="1"/>
  <c r="J69" i="17"/>
  <c r="M166" i="17"/>
  <c r="R166" i="17" s="1"/>
  <c r="S166" i="17"/>
  <c r="T166" i="17" s="1"/>
  <c r="M173" i="17"/>
  <c r="R173" i="17" s="1"/>
  <c r="S173" i="17"/>
  <c r="T173" i="17" s="1"/>
  <c r="H113" i="17"/>
  <c r="H114" i="17"/>
  <c r="H115" i="17"/>
  <c r="H132" i="17"/>
  <c r="H142" i="17"/>
  <c r="H134" i="17"/>
  <c r="J134" i="17" s="1"/>
  <c r="K134" i="17" s="1"/>
  <c r="L134" i="17" s="1"/>
  <c r="Q134" i="17" s="1"/>
  <c r="R134" i="17" s="1"/>
  <c r="H126" i="17"/>
  <c r="J126" i="17" s="1"/>
  <c r="H141" i="17"/>
  <c r="H128" i="17"/>
  <c r="J128" i="17" s="1"/>
  <c r="K128" i="17" s="1"/>
  <c r="L128" i="17" s="1"/>
  <c r="Q128" i="17" s="1"/>
  <c r="R128" i="17" s="1"/>
  <c r="H135" i="17"/>
  <c r="J135" i="17" s="1"/>
  <c r="K135" i="17" s="1"/>
  <c r="L135" i="17" s="1"/>
  <c r="Q135" i="17" s="1"/>
  <c r="R135" i="17" s="1"/>
  <c r="H127" i="17"/>
  <c r="J127" i="17" s="1"/>
  <c r="H144" i="17"/>
  <c r="H143" i="17"/>
  <c r="M170" i="17"/>
  <c r="R170" i="17" s="1"/>
  <c r="S170" i="17"/>
  <c r="T170" i="17" s="1"/>
  <c r="J65" i="17"/>
  <c r="K65" i="17" s="1"/>
  <c r="L65" i="17" s="1"/>
  <c r="N65" i="17" s="1"/>
  <c r="M169" i="17"/>
  <c r="R169" i="17" s="1"/>
  <c r="S169" i="17"/>
  <c r="T169" i="17" s="1"/>
  <c r="S167" i="17"/>
  <c r="T167" i="17" s="1"/>
  <c r="M167" i="17"/>
  <c r="R167" i="17" s="1"/>
  <c r="L171" i="16"/>
  <c r="M171" i="16" s="1"/>
  <c r="N171" i="16" s="1"/>
  <c r="L159" i="16"/>
  <c r="L165" i="16"/>
  <c r="M165" i="16" s="1"/>
  <c r="N165" i="16" s="1"/>
  <c r="L117" i="16"/>
  <c r="M117" i="16" s="1"/>
  <c r="P117" i="16" s="1"/>
  <c r="Q117" i="16" s="1"/>
  <c r="L33" i="16"/>
  <c r="M33" i="16" s="1"/>
  <c r="O33" i="16" s="1"/>
  <c r="L17" i="16"/>
  <c r="M17" i="16" s="1"/>
  <c r="O17" i="16" s="1"/>
  <c r="L72" i="16"/>
  <c r="M72" i="16" s="1"/>
  <c r="O72" i="16" s="1"/>
  <c r="L41" i="16"/>
  <c r="M41" i="16" s="1"/>
  <c r="O41" i="16" s="1"/>
  <c r="L56" i="16"/>
  <c r="M56" i="16" s="1"/>
  <c r="O56" i="16" s="1"/>
  <c r="L71" i="16"/>
  <c r="M71" i="16" s="1"/>
  <c r="O71" i="16" s="1"/>
  <c r="L25" i="16"/>
  <c r="M25" i="16" s="1"/>
  <c r="O25" i="16" s="1"/>
  <c r="K9" i="16"/>
  <c r="L9" i="16" s="1"/>
  <c r="M9" i="16" s="1"/>
  <c r="O9" i="16" s="1"/>
  <c r="L32" i="16"/>
  <c r="M32" i="16" s="1"/>
  <c r="O32" i="16" s="1"/>
  <c r="K32" i="16"/>
  <c r="K21" i="16"/>
  <c r="L21" i="16" s="1"/>
  <c r="M21" i="16" s="1"/>
  <c r="O21" i="16" s="1"/>
  <c r="L46" i="16"/>
  <c r="M46" i="16" s="1"/>
  <c r="O46" i="16" s="1"/>
  <c r="K58" i="16"/>
  <c r="L58" i="16" s="1"/>
  <c r="M58" i="16" s="1"/>
  <c r="O58" i="16" s="1"/>
  <c r="K60" i="16"/>
  <c r="L166" i="16"/>
  <c r="L14" i="16"/>
  <c r="M14" i="16" s="1"/>
  <c r="O14" i="16" s="1"/>
  <c r="K29" i="16"/>
  <c r="L29" i="16" s="1"/>
  <c r="M29" i="16" s="1"/>
  <c r="O29" i="16" s="1"/>
  <c r="K56" i="16"/>
  <c r="K22" i="16"/>
  <c r="L22" i="16" s="1"/>
  <c r="M22" i="16" s="1"/>
  <c r="O22" i="16" s="1"/>
  <c r="K78" i="16"/>
  <c r="L27" i="16"/>
  <c r="M27" i="16" s="1"/>
  <c r="O27" i="16" s="1"/>
  <c r="K33" i="16"/>
  <c r="K17" i="16"/>
  <c r="K30" i="16"/>
  <c r="L30" i="16" s="1"/>
  <c r="M30" i="16" s="1"/>
  <c r="O30" i="16" s="1"/>
  <c r="K47" i="16"/>
  <c r="L66" i="16"/>
  <c r="M66" i="16" s="1"/>
  <c r="O66" i="16" s="1"/>
  <c r="L158" i="16"/>
  <c r="K45" i="16"/>
  <c r="L45" i="16" s="1"/>
  <c r="M45" i="16" s="1"/>
  <c r="O45" i="16" s="1"/>
  <c r="K49" i="16"/>
  <c r="L172" i="16"/>
  <c r="M172" i="16" s="1"/>
  <c r="N172" i="16" s="1"/>
  <c r="K16" i="16"/>
  <c r="L16" i="16" s="1"/>
  <c r="M16" i="16" s="1"/>
  <c r="O16" i="16" s="1"/>
  <c r="K79" i="16"/>
  <c r="M159" i="16"/>
  <c r="N159" i="16" s="1"/>
  <c r="S159" i="16" s="1"/>
  <c r="T159" i="16" s="1"/>
  <c r="K13" i="16"/>
  <c r="L13" i="16" s="1"/>
  <c r="M13" i="16" s="1"/>
  <c r="O13" i="16" s="1"/>
  <c r="K26" i="16"/>
  <c r="L26" i="16" s="1"/>
  <c r="M26" i="16" s="1"/>
  <c r="O26" i="16" s="1"/>
  <c r="K37" i="16"/>
  <c r="L37" i="16" s="1"/>
  <c r="M37" i="16" s="1"/>
  <c r="O37" i="16" s="1"/>
  <c r="K11" i="16"/>
  <c r="L11" i="16" s="1"/>
  <c r="M11" i="16" s="1"/>
  <c r="O11" i="16" s="1"/>
  <c r="K28" i="16"/>
  <c r="L28" i="16" s="1"/>
  <c r="M28" i="16" s="1"/>
  <c r="O28" i="16" s="1"/>
  <c r="K24" i="16"/>
  <c r="L57" i="16"/>
  <c r="M57" i="16" s="1"/>
  <c r="O57" i="16" s="1"/>
  <c r="K12" i="16"/>
  <c r="K66" i="16"/>
  <c r="M168" i="16"/>
  <c r="N168" i="16" s="1"/>
  <c r="M164" i="16"/>
  <c r="N164" i="16" s="1"/>
  <c r="M166" i="16"/>
  <c r="N166" i="16" s="1"/>
  <c r="N152" i="16"/>
  <c r="O152" i="16" s="1"/>
  <c r="K40" i="16"/>
  <c r="K46" i="16"/>
  <c r="K51" i="16"/>
  <c r="L51" i="16" s="1"/>
  <c r="M51" i="16" s="1"/>
  <c r="O51" i="16" s="1"/>
  <c r="K62" i="16"/>
  <c r="K72" i="16"/>
  <c r="K57" i="16"/>
  <c r="K36" i="16"/>
  <c r="L36" i="16" s="1"/>
  <c r="M36" i="16" s="1"/>
  <c r="O36" i="16" s="1"/>
  <c r="K41" i="16"/>
  <c r="K39" i="16"/>
  <c r="K52" i="16"/>
  <c r="L52" i="16" s="1"/>
  <c r="M52" i="16" s="1"/>
  <c r="O52" i="16" s="1"/>
  <c r="N153" i="16"/>
  <c r="O153" i="16" s="1"/>
  <c r="G82" i="16"/>
  <c r="K55" i="16"/>
  <c r="K71" i="16"/>
  <c r="K54" i="16"/>
  <c r="K64" i="16"/>
  <c r="L64" i="16" s="1"/>
  <c r="M64" i="16" s="1"/>
  <c r="O64" i="16" s="1"/>
  <c r="K73" i="16"/>
  <c r="L73" i="16" s="1"/>
  <c r="M73" i="16" s="1"/>
  <c r="O73" i="16" s="1"/>
  <c r="S169" i="16"/>
  <c r="T169" i="16" s="1"/>
  <c r="O169" i="16"/>
  <c r="R169" i="16" s="1"/>
  <c r="I90" i="16"/>
  <c r="I91" i="16"/>
  <c r="K38" i="16"/>
  <c r="L38" i="16" s="1"/>
  <c r="M38" i="16" s="1"/>
  <c r="O38" i="16" s="1"/>
  <c r="K53" i="16"/>
  <c r="S161" i="16"/>
  <c r="T161" i="16" s="1"/>
  <c r="O161" i="16"/>
  <c r="R161" i="16" s="1"/>
  <c r="K81" i="16"/>
  <c r="L162" i="16"/>
  <c r="M162" i="16" s="1"/>
  <c r="N162" i="16" s="1"/>
  <c r="L170" i="16"/>
  <c r="M170" i="16" s="1"/>
  <c r="N170" i="16" s="1"/>
  <c r="K77" i="16"/>
  <c r="L111" i="16"/>
  <c r="M111" i="16" s="1"/>
  <c r="P111" i="16" s="1"/>
  <c r="Q111" i="16" s="1"/>
  <c r="K111" i="16"/>
  <c r="M158" i="16"/>
  <c r="N158" i="16" s="1"/>
  <c r="K122" i="16"/>
  <c r="L122" i="16" s="1"/>
  <c r="M122" i="16" s="1"/>
  <c r="P122" i="16" s="1"/>
  <c r="Q122" i="16" s="1"/>
  <c r="M160" i="16"/>
  <c r="N160" i="16" s="1"/>
  <c r="N163" i="15"/>
  <c r="F6" i="15"/>
  <c r="D6" i="15"/>
  <c r="N135" i="3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42" i="15"/>
  <c r="H88" i="15" s="1"/>
  <c r="G43" i="15"/>
  <c r="G44" i="15"/>
  <c r="G45" i="15"/>
  <c r="G46" i="15"/>
  <c r="G47" i="15"/>
  <c r="G48" i="15"/>
  <c r="G49" i="15"/>
  <c r="G50" i="15"/>
  <c r="G51" i="15"/>
  <c r="G52" i="15"/>
  <c r="G53" i="15"/>
  <c r="G54" i="15"/>
  <c r="G55" i="15"/>
  <c r="G56" i="15"/>
  <c r="G57" i="15"/>
  <c r="G58" i="15"/>
  <c r="G59" i="15"/>
  <c r="G60" i="15"/>
  <c r="G61" i="15"/>
  <c r="G62" i="15"/>
  <c r="G63" i="15"/>
  <c r="G64" i="15"/>
  <c r="G65" i="15"/>
  <c r="G66" i="15"/>
  <c r="G67" i="15"/>
  <c r="G68" i="15"/>
  <c r="G69" i="15"/>
  <c r="G70" i="15"/>
  <c r="G71" i="15"/>
  <c r="G72" i="15"/>
  <c r="G73" i="15"/>
  <c r="G74" i="15"/>
  <c r="G75" i="15"/>
  <c r="G76" i="15"/>
  <c r="G77" i="15"/>
  <c r="G78" i="15"/>
  <c r="G79" i="15"/>
  <c r="G80" i="15"/>
  <c r="G81" i="15"/>
  <c r="G9" i="15"/>
  <c r="H165" i="14"/>
  <c r="H164" i="14"/>
  <c r="H163" i="14"/>
  <c r="H162" i="14"/>
  <c r="H161" i="14"/>
  <c r="H160" i="14"/>
  <c r="H159" i="14"/>
  <c r="H158" i="14"/>
  <c r="H157" i="14"/>
  <c r="H156" i="14"/>
  <c r="H155" i="14"/>
  <c r="H154" i="14"/>
  <c r="H153" i="14"/>
  <c r="H145" i="14"/>
  <c r="H144" i="14"/>
  <c r="H143" i="14"/>
  <c r="H142" i="14"/>
  <c r="H141" i="14"/>
  <c r="H140" i="14"/>
  <c r="H139" i="14"/>
  <c r="H138" i="14"/>
  <c r="H137" i="14"/>
  <c r="H136" i="14"/>
  <c r="H135" i="14"/>
  <c r="H134" i="14"/>
  <c r="H133" i="14"/>
  <c r="H132" i="14"/>
  <c r="H131" i="14"/>
  <c r="H130" i="14"/>
  <c r="H129" i="14"/>
  <c r="H128" i="14"/>
  <c r="H127" i="14"/>
  <c r="H126" i="14"/>
  <c r="H124" i="14"/>
  <c r="H123" i="14"/>
  <c r="H122" i="14"/>
  <c r="H121" i="14"/>
  <c r="H120" i="14"/>
  <c r="H119" i="14"/>
  <c r="H118" i="14"/>
  <c r="H117" i="14"/>
  <c r="H116" i="14"/>
  <c r="H115" i="14"/>
  <c r="H114" i="14"/>
  <c r="H113" i="14"/>
  <c r="H112" i="14"/>
  <c r="H111" i="14"/>
  <c r="H110" i="14"/>
  <c r="H109" i="14"/>
  <c r="H108" i="14"/>
  <c r="H107" i="14"/>
  <c r="H106" i="14"/>
  <c r="H105" i="14"/>
  <c r="H104" i="14"/>
  <c r="H103" i="14"/>
  <c r="H102" i="14"/>
  <c r="H101" i="14"/>
  <c r="H100" i="14"/>
  <c r="H99" i="14"/>
  <c r="H98" i="14"/>
  <c r="H97" i="14"/>
  <c r="H96" i="14"/>
  <c r="H95" i="14"/>
  <c r="H94" i="14"/>
  <c r="H93" i="14"/>
  <c r="H92" i="14"/>
  <c r="H91" i="14"/>
  <c r="H90" i="14"/>
  <c r="H89" i="14"/>
  <c r="H88" i="14"/>
  <c r="H87" i="14"/>
  <c r="H86" i="14"/>
  <c r="H85" i="14"/>
  <c r="H84" i="14"/>
  <c r="F82" i="14"/>
  <c r="H81" i="14"/>
  <c r="G81" i="14"/>
  <c r="H80" i="14"/>
  <c r="G80" i="14"/>
  <c r="H79" i="14"/>
  <c r="G79" i="14"/>
  <c r="H78" i="14"/>
  <c r="G78" i="14"/>
  <c r="H77" i="14"/>
  <c r="G77" i="14"/>
  <c r="H76" i="14"/>
  <c r="G76" i="14"/>
  <c r="H75" i="14"/>
  <c r="G75" i="14"/>
  <c r="H74" i="14"/>
  <c r="G74" i="14"/>
  <c r="H73" i="14"/>
  <c r="G73" i="14"/>
  <c r="H72" i="14"/>
  <c r="G72" i="14"/>
  <c r="H71" i="14"/>
  <c r="G71" i="14"/>
  <c r="H70" i="14"/>
  <c r="G70" i="14"/>
  <c r="H69" i="14"/>
  <c r="G69" i="14"/>
  <c r="H68" i="14"/>
  <c r="G68" i="14"/>
  <c r="H67" i="14"/>
  <c r="G67" i="14"/>
  <c r="H66" i="14"/>
  <c r="G66" i="14"/>
  <c r="H65" i="14"/>
  <c r="G65" i="14"/>
  <c r="H64" i="14"/>
  <c r="G64" i="14"/>
  <c r="H63" i="14"/>
  <c r="G63" i="14"/>
  <c r="H62" i="14"/>
  <c r="G62" i="14"/>
  <c r="H61" i="14"/>
  <c r="G61" i="14"/>
  <c r="H60" i="14"/>
  <c r="G60" i="14"/>
  <c r="H59" i="14"/>
  <c r="G59" i="14"/>
  <c r="H58" i="14"/>
  <c r="G58" i="14"/>
  <c r="H57" i="14"/>
  <c r="G57" i="14"/>
  <c r="H56" i="14"/>
  <c r="G56" i="14"/>
  <c r="H55" i="14"/>
  <c r="G55" i="14"/>
  <c r="H54" i="14"/>
  <c r="G54" i="14"/>
  <c r="H53" i="14"/>
  <c r="G53" i="14"/>
  <c r="H52" i="14"/>
  <c r="G52" i="14"/>
  <c r="H51" i="14"/>
  <c r="G51" i="14"/>
  <c r="H50" i="14"/>
  <c r="G50" i="14"/>
  <c r="H49" i="14"/>
  <c r="G49" i="14"/>
  <c r="H48" i="14"/>
  <c r="G48" i="14"/>
  <c r="H47" i="14"/>
  <c r="G47" i="14"/>
  <c r="H46" i="14"/>
  <c r="G46" i="14"/>
  <c r="H45" i="14"/>
  <c r="G45" i="14"/>
  <c r="H44" i="14"/>
  <c r="G44" i="14"/>
  <c r="H43" i="14"/>
  <c r="G43" i="14"/>
  <c r="H42" i="14"/>
  <c r="G42" i="14"/>
  <c r="H41" i="14"/>
  <c r="G41" i="14"/>
  <c r="H40" i="14"/>
  <c r="G40" i="14"/>
  <c r="H39" i="14"/>
  <c r="G39" i="14"/>
  <c r="H38" i="14"/>
  <c r="G38" i="14"/>
  <c r="H37" i="14"/>
  <c r="G37" i="14"/>
  <c r="H36" i="14"/>
  <c r="G36" i="14"/>
  <c r="H35" i="14"/>
  <c r="G35" i="14"/>
  <c r="H34" i="14"/>
  <c r="G34" i="14"/>
  <c r="H33" i="14"/>
  <c r="G33" i="14"/>
  <c r="H32" i="14"/>
  <c r="G32" i="14"/>
  <c r="H31" i="14"/>
  <c r="G31" i="14"/>
  <c r="H30" i="14"/>
  <c r="G30" i="14"/>
  <c r="H29" i="14"/>
  <c r="G29" i="14"/>
  <c r="H28" i="14"/>
  <c r="G28" i="14"/>
  <c r="H27" i="14"/>
  <c r="G27" i="14"/>
  <c r="H26" i="14"/>
  <c r="G26" i="14"/>
  <c r="H25" i="14"/>
  <c r="G25" i="14"/>
  <c r="H24" i="14"/>
  <c r="G24" i="14"/>
  <c r="H23" i="14"/>
  <c r="G23" i="14"/>
  <c r="H22" i="14"/>
  <c r="G22" i="14"/>
  <c r="H21" i="14"/>
  <c r="G21" i="14"/>
  <c r="H20" i="14"/>
  <c r="G20" i="14"/>
  <c r="H19" i="14"/>
  <c r="G19" i="14"/>
  <c r="H18" i="14"/>
  <c r="G18" i="14"/>
  <c r="H17" i="14"/>
  <c r="G17" i="14"/>
  <c r="H16" i="14"/>
  <c r="G16" i="14"/>
  <c r="H15" i="14"/>
  <c r="G15" i="14"/>
  <c r="H14" i="14"/>
  <c r="G14" i="14"/>
  <c r="H13" i="14"/>
  <c r="G13" i="14"/>
  <c r="H12" i="14"/>
  <c r="G12" i="14"/>
  <c r="H11" i="14"/>
  <c r="G11" i="14"/>
  <c r="H10" i="14"/>
  <c r="G10" i="14"/>
  <c r="H9" i="14"/>
  <c r="G9" i="14"/>
  <c r="J86" i="17" l="1"/>
  <c r="J85" i="17"/>
  <c r="L92" i="16"/>
  <c r="M92" i="16" s="1"/>
  <c r="P92" i="16" s="1"/>
  <c r="Q92" i="16" s="1"/>
  <c r="L106" i="16"/>
  <c r="M106" i="16" s="1"/>
  <c r="P106" i="16" s="1"/>
  <c r="Q106" i="16" s="1"/>
  <c r="L118" i="16"/>
  <c r="M118" i="16" s="1"/>
  <c r="P118" i="16" s="1"/>
  <c r="Q118" i="16" s="1"/>
  <c r="K35" i="16"/>
  <c r="I113" i="16"/>
  <c r="K113" i="16" s="1"/>
  <c r="I114" i="16"/>
  <c r="K114" i="16" s="1"/>
  <c r="L114" i="16" s="1"/>
  <c r="M114" i="16" s="1"/>
  <c r="P114" i="16" s="1"/>
  <c r="Q114" i="16" s="1"/>
  <c r="K59" i="16"/>
  <c r="K119" i="16"/>
  <c r="K74" i="16"/>
  <c r="L50" i="16"/>
  <c r="M50" i="16" s="1"/>
  <c r="O50" i="16" s="1"/>
  <c r="S171" i="16"/>
  <c r="T171" i="16" s="1"/>
  <c r="O171" i="16"/>
  <c r="R171" i="16" s="1"/>
  <c r="L76" i="16"/>
  <c r="M76" i="16" s="1"/>
  <c r="O76" i="16" s="1"/>
  <c r="K87" i="17"/>
  <c r="L87" i="17" s="1"/>
  <c r="Q87" i="17" s="1"/>
  <c r="R87" i="17" s="1"/>
  <c r="L63" i="16"/>
  <c r="M63" i="16" s="1"/>
  <c r="O63" i="16" s="1"/>
  <c r="J140" i="17"/>
  <c r="K140" i="17" s="1"/>
  <c r="L140" i="17" s="1"/>
  <c r="Q140" i="17" s="1"/>
  <c r="R140" i="17" s="1"/>
  <c r="L54" i="16"/>
  <c r="M54" i="16" s="1"/>
  <c r="O54" i="16" s="1"/>
  <c r="L120" i="16"/>
  <c r="M120" i="16" s="1"/>
  <c r="P120" i="16" s="1"/>
  <c r="Q120" i="16" s="1"/>
  <c r="A35" i="15"/>
  <c r="J87" i="17"/>
  <c r="K116" i="16"/>
  <c r="K105" i="16"/>
  <c r="A20" i="16"/>
  <c r="I93" i="16" s="1"/>
  <c r="K93" i="16" s="1"/>
  <c r="L93" i="16" s="1"/>
  <c r="M93" i="16" s="1"/>
  <c r="P93" i="16" s="1"/>
  <c r="Q93" i="16" s="1"/>
  <c r="A16" i="16"/>
  <c r="I89" i="16" s="1"/>
  <c r="K112" i="16"/>
  <c r="H121" i="15"/>
  <c r="H122" i="15"/>
  <c r="K104" i="16"/>
  <c r="L104" i="16" s="1"/>
  <c r="M104" i="16" s="1"/>
  <c r="P104" i="16" s="1"/>
  <c r="Q104" i="16" s="1"/>
  <c r="A10" i="16"/>
  <c r="I107" i="16"/>
  <c r="I67" i="16"/>
  <c r="L67" i="16" s="1"/>
  <c r="M67" i="16" s="1"/>
  <c r="O67" i="16" s="1"/>
  <c r="I108" i="16"/>
  <c r="K86" i="17"/>
  <c r="L86" i="17" s="1"/>
  <c r="Q86" i="17" s="1"/>
  <c r="R86" i="17" s="1"/>
  <c r="L10" i="16"/>
  <c r="M10" i="16" s="1"/>
  <c r="O10" i="16" s="1"/>
  <c r="K75" i="16"/>
  <c r="A23" i="16"/>
  <c r="H103" i="15"/>
  <c r="H104" i="15"/>
  <c r="L18" i="16"/>
  <c r="M18" i="16" s="1"/>
  <c r="O18" i="16" s="1"/>
  <c r="I68" i="16"/>
  <c r="I110" i="16"/>
  <c r="I109" i="16"/>
  <c r="L61" i="16"/>
  <c r="M61" i="16" s="1"/>
  <c r="O61" i="16" s="1"/>
  <c r="L31" i="16"/>
  <c r="M31" i="16" s="1"/>
  <c r="O31" i="16" s="1"/>
  <c r="I136" i="16"/>
  <c r="I102" i="16"/>
  <c r="I100" i="16"/>
  <c r="I101" i="16"/>
  <c r="H82" i="16"/>
  <c r="I143" i="16" s="1"/>
  <c r="A32" i="16"/>
  <c r="I124" i="16" s="1"/>
  <c r="K124" i="16" s="1"/>
  <c r="L124" i="16" s="1"/>
  <c r="M124" i="16" s="1"/>
  <c r="P124" i="16" s="1"/>
  <c r="Q124" i="16" s="1"/>
  <c r="K85" i="17"/>
  <c r="L85" i="17" s="1"/>
  <c r="Q85" i="17" s="1"/>
  <c r="R85" i="17" s="1"/>
  <c r="L19" i="16"/>
  <c r="M19" i="16" s="1"/>
  <c r="O19" i="16" s="1"/>
  <c r="L23" i="16"/>
  <c r="M23" i="16" s="1"/>
  <c r="O23" i="16" s="1"/>
  <c r="N154" i="17"/>
  <c r="N155" i="17" s="1"/>
  <c r="N82" i="17"/>
  <c r="M158" i="17" s="1"/>
  <c r="M243" i="19"/>
  <c r="N243" i="19"/>
  <c r="O243" i="19" s="1"/>
  <c r="M249" i="19"/>
  <c r="N249" i="19"/>
  <c r="O249" i="19" s="1"/>
  <c r="N257" i="19"/>
  <c r="O257" i="19" s="1"/>
  <c r="M257" i="19"/>
  <c r="M239" i="19"/>
  <c r="N239" i="19"/>
  <c r="O239" i="19" s="1"/>
  <c r="M238" i="19"/>
  <c r="N238" i="19"/>
  <c r="O238" i="19" s="1"/>
  <c r="M237" i="19"/>
  <c r="N237" i="19"/>
  <c r="O237" i="19" s="1"/>
  <c r="K126" i="17"/>
  <c r="L126" i="17" s="1"/>
  <c r="Q126" i="17" s="1"/>
  <c r="R126" i="17" s="1"/>
  <c r="K127" i="17"/>
  <c r="L127" i="17" s="1"/>
  <c r="Q127" i="17" s="1"/>
  <c r="R127" i="17" s="1"/>
  <c r="O154" i="16"/>
  <c r="O155" i="16" s="1"/>
  <c r="J136" i="17"/>
  <c r="K136" i="17" s="1"/>
  <c r="L136" i="17" s="1"/>
  <c r="Q136" i="17" s="1"/>
  <c r="R136" i="17" s="1"/>
  <c r="J91" i="17"/>
  <c r="K91" i="17" s="1"/>
  <c r="L91" i="17" s="1"/>
  <c r="Q91" i="17" s="1"/>
  <c r="R91" i="17" s="1"/>
  <c r="J100" i="17"/>
  <c r="K100" i="17" s="1"/>
  <c r="L100" i="17" s="1"/>
  <c r="Q100" i="17" s="1"/>
  <c r="R100" i="17" s="1"/>
  <c r="J101" i="17"/>
  <c r="K101" i="17" s="1"/>
  <c r="L101" i="17" s="1"/>
  <c r="Q101" i="17" s="1"/>
  <c r="R101" i="17" s="1"/>
  <c r="J102" i="17"/>
  <c r="K102" i="17" s="1"/>
  <c r="L102" i="17" s="1"/>
  <c r="Q102" i="17" s="1"/>
  <c r="R102" i="17" s="1"/>
  <c r="R176" i="17"/>
  <c r="R177" i="17" s="1"/>
  <c r="R178" i="17" s="1"/>
  <c r="J133" i="17"/>
  <c r="K133" i="17" s="1"/>
  <c r="L133" i="17" s="1"/>
  <c r="Q133" i="17" s="1"/>
  <c r="R133" i="17" s="1"/>
  <c r="J143" i="17"/>
  <c r="K143" i="17" s="1"/>
  <c r="L143" i="17" s="1"/>
  <c r="Q143" i="17" s="1"/>
  <c r="R143" i="17" s="1"/>
  <c r="J141" i="17"/>
  <c r="K141" i="17" s="1"/>
  <c r="L141" i="17" s="1"/>
  <c r="Q141" i="17" s="1"/>
  <c r="R141" i="17" s="1"/>
  <c r="J145" i="17"/>
  <c r="K145" i="17" s="1"/>
  <c r="L145" i="17" s="1"/>
  <c r="J115" i="17"/>
  <c r="K115" i="17" s="1"/>
  <c r="L115" i="17" s="1"/>
  <c r="Q115" i="17" s="1"/>
  <c r="R115" i="17" s="1"/>
  <c r="J144" i="17"/>
  <c r="K144" i="17" s="1"/>
  <c r="L144" i="17" s="1"/>
  <c r="Q144" i="17" s="1"/>
  <c r="R144" i="17" s="1"/>
  <c r="J132" i="17"/>
  <c r="K132" i="17" s="1"/>
  <c r="L132" i="17" s="1"/>
  <c r="Q132" i="17" s="1"/>
  <c r="R132" i="17" s="1"/>
  <c r="J114" i="17"/>
  <c r="K114" i="17" s="1"/>
  <c r="L114" i="17" s="1"/>
  <c r="Q114" i="17" s="1"/>
  <c r="R114" i="17" s="1"/>
  <c r="J139" i="17"/>
  <c r="K139" i="17" s="1"/>
  <c r="L139" i="17" s="1"/>
  <c r="Q139" i="17" s="1"/>
  <c r="R139" i="17" s="1"/>
  <c r="J98" i="17"/>
  <c r="K98" i="17" s="1"/>
  <c r="L98" i="17" s="1"/>
  <c r="Q98" i="17" s="1"/>
  <c r="R98" i="17" s="1"/>
  <c r="J113" i="17"/>
  <c r="K113" i="17" s="1"/>
  <c r="L113" i="17" s="1"/>
  <c r="Q113" i="17" s="1"/>
  <c r="R113" i="17" s="1"/>
  <c r="J99" i="17"/>
  <c r="K99" i="17" s="1"/>
  <c r="L99" i="17" s="1"/>
  <c r="Q99" i="17" s="1"/>
  <c r="R99" i="17" s="1"/>
  <c r="J142" i="17"/>
  <c r="K142" i="17" s="1"/>
  <c r="L142" i="17" s="1"/>
  <c r="Q142" i="17" s="1"/>
  <c r="R142" i="17" s="1"/>
  <c r="O159" i="16"/>
  <c r="R159" i="16" s="1"/>
  <c r="K91" i="16"/>
  <c r="L91" i="16" s="1"/>
  <c r="M91" i="16" s="1"/>
  <c r="P91" i="16" s="1"/>
  <c r="Q91" i="16" s="1"/>
  <c r="K48" i="16"/>
  <c r="K43" i="16"/>
  <c r="L43" i="16" s="1"/>
  <c r="M43" i="16" s="1"/>
  <c r="O43" i="16" s="1"/>
  <c r="K70" i="16"/>
  <c r="O170" i="16"/>
  <c r="R170" i="16" s="1"/>
  <c r="S170" i="16"/>
  <c r="T170" i="16" s="1"/>
  <c r="O162" i="16"/>
  <c r="R162" i="16" s="1"/>
  <c r="S162" i="16"/>
  <c r="T162" i="16" s="1"/>
  <c r="S168" i="16"/>
  <c r="T168" i="16" s="1"/>
  <c r="O168" i="16"/>
  <c r="R168" i="16" s="1"/>
  <c r="S165" i="16"/>
  <c r="T165" i="16" s="1"/>
  <c r="O165" i="16"/>
  <c r="R165" i="16" s="1"/>
  <c r="O167" i="16"/>
  <c r="R167" i="16" s="1"/>
  <c r="S167" i="16"/>
  <c r="T167" i="16" s="1"/>
  <c r="K69" i="16"/>
  <c r="I140" i="16"/>
  <c r="O163" i="16"/>
  <c r="R163" i="16" s="1"/>
  <c r="S163" i="16"/>
  <c r="T163" i="16" s="1"/>
  <c r="K115" i="16"/>
  <c r="L115" i="16" s="1"/>
  <c r="M115" i="16" s="1"/>
  <c r="P115" i="16" s="1"/>
  <c r="Q115" i="16" s="1"/>
  <c r="K90" i="16"/>
  <c r="L90" i="16" s="1"/>
  <c r="M90" i="16" s="1"/>
  <c r="P90" i="16" s="1"/>
  <c r="Q90" i="16" s="1"/>
  <c r="K88" i="16"/>
  <c r="L88" i="16" s="1"/>
  <c r="M88" i="16" s="1"/>
  <c r="P88" i="16" s="1"/>
  <c r="Q88" i="16" s="1"/>
  <c r="K121" i="16"/>
  <c r="L121" i="16" s="1"/>
  <c r="M121" i="16" s="1"/>
  <c r="P121" i="16" s="1"/>
  <c r="Q121" i="16" s="1"/>
  <c r="S160" i="16"/>
  <c r="T160" i="16" s="1"/>
  <c r="O160" i="16"/>
  <c r="R160" i="16" s="1"/>
  <c r="S172" i="16"/>
  <c r="T172" i="16" s="1"/>
  <c r="O172" i="16"/>
  <c r="R172" i="16" s="1"/>
  <c r="O166" i="16"/>
  <c r="R166" i="16" s="1"/>
  <c r="S166" i="16"/>
  <c r="T166" i="16" s="1"/>
  <c r="O158" i="16"/>
  <c r="R158" i="16" s="1"/>
  <c r="S158" i="16"/>
  <c r="T158" i="16" s="1"/>
  <c r="K65" i="16"/>
  <c r="L65" i="16" s="1"/>
  <c r="M65" i="16" s="1"/>
  <c r="O65" i="16" s="1"/>
  <c r="S164" i="16"/>
  <c r="T164" i="16" s="1"/>
  <c r="O164" i="16"/>
  <c r="R164" i="16" s="1"/>
  <c r="K164" i="15"/>
  <c r="K166" i="15"/>
  <c r="L166" i="15" s="1"/>
  <c r="M166" i="15" s="1"/>
  <c r="P166" i="15" s="1"/>
  <c r="J163" i="15"/>
  <c r="K163" i="15" s="1"/>
  <c r="A20" i="15"/>
  <c r="H93" i="15" s="1"/>
  <c r="L113" i="16" l="1"/>
  <c r="M113" i="16" s="1"/>
  <c r="P113" i="16" s="1"/>
  <c r="Q113" i="16" s="1"/>
  <c r="I142" i="16"/>
  <c r="K142" i="16" s="1"/>
  <c r="L142" i="16" s="1"/>
  <c r="M142" i="16" s="1"/>
  <c r="P142" i="16" s="1"/>
  <c r="Q142" i="16" s="1"/>
  <c r="I85" i="16"/>
  <c r="K85" i="16" s="1"/>
  <c r="L85" i="16" s="1"/>
  <c r="M85" i="16" s="1"/>
  <c r="P85" i="16" s="1"/>
  <c r="Q85" i="16" s="1"/>
  <c r="I135" i="16"/>
  <c r="K135" i="16" s="1"/>
  <c r="L135" i="16" s="1"/>
  <c r="M135" i="16" s="1"/>
  <c r="P135" i="16" s="1"/>
  <c r="Q135" i="16" s="1"/>
  <c r="K89" i="16"/>
  <c r="L89" i="16" s="1"/>
  <c r="M89" i="16" s="1"/>
  <c r="P89" i="16" s="1"/>
  <c r="Q89" i="16" s="1"/>
  <c r="I86" i="16"/>
  <c r="K86" i="16" s="1"/>
  <c r="L86" i="16" s="1"/>
  <c r="M86" i="16" s="1"/>
  <c r="P86" i="16" s="1"/>
  <c r="Q86" i="16" s="1"/>
  <c r="K67" i="16"/>
  <c r="I144" i="16"/>
  <c r="K144" i="16" s="1"/>
  <c r="L144" i="16" s="1"/>
  <c r="M144" i="16" s="1"/>
  <c r="P144" i="16" s="1"/>
  <c r="Q144" i="16" s="1"/>
  <c r="K109" i="16"/>
  <c r="L109" i="16"/>
  <c r="M109" i="16" s="1"/>
  <c r="P109" i="16" s="1"/>
  <c r="Q109" i="16" s="1"/>
  <c r="L110" i="16"/>
  <c r="M110" i="16" s="1"/>
  <c r="P110" i="16" s="1"/>
  <c r="Q110" i="16" s="1"/>
  <c r="K110" i="16"/>
  <c r="I129" i="16"/>
  <c r="K129" i="16" s="1"/>
  <c r="L129" i="16" s="1"/>
  <c r="M129" i="16" s="1"/>
  <c r="P129" i="16" s="1"/>
  <c r="Q129" i="16" s="1"/>
  <c r="I137" i="16"/>
  <c r="K137" i="16" s="1"/>
  <c r="L137" i="16" s="1"/>
  <c r="M137" i="16" s="1"/>
  <c r="P137" i="16" s="1"/>
  <c r="Q137" i="16" s="1"/>
  <c r="I138" i="16"/>
  <c r="K138" i="16" s="1"/>
  <c r="L138" i="16" s="1"/>
  <c r="M138" i="16" s="1"/>
  <c r="P138" i="16" s="1"/>
  <c r="Q138" i="16" s="1"/>
  <c r="I145" i="16"/>
  <c r="K145" i="16" s="1"/>
  <c r="L145" i="16" s="1"/>
  <c r="M145" i="16" s="1"/>
  <c r="P145" i="16" s="1"/>
  <c r="Q145" i="16" s="1"/>
  <c r="I130" i="16"/>
  <c r="K130" i="16" s="1"/>
  <c r="L130" i="16" s="1"/>
  <c r="M130" i="16" s="1"/>
  <c r="P130" i="16" s="1"/>
  <c r="Q130" i="16" s="1"/>
  <c r="I131" i="16"/>
  <c r="K131" i="16" s="1"/>
  <c r="L131" i="16" s="1"/>
  <c r="M131" i="16" s="1"/>
  <c r="P131" i="16" s="1"/>
  <c r="Q131" i="16" s="1"/>
  <c r="I139" i="16"/>
  <c r="K139" i="16" s="1"/>
  <c r="L139" i="16" s="1"/>
  <c r="M139" i="16" s="1"/>
  <c r="P139" i="16" s="1"/>
  <c r="Q139" i="16" s="1"/>
  <c r="I133" i="16"/>
  <c r="L68" i="16"/>
  <c r="M68" i="16" s="1"/>
  <c r="O68" i="16" s="1"/>
  <c r="K68" i="16"/>
  <c r="L108" i="16"/>
  <c r="M108" i="16" s="1"/>
  <c r="P108" i="16" s="1"/>
  <c r="Q108" i="16" s="1"/>
  <c r="K108" i="16"/>
  <c r="I134" i="16"/>
  <c r="K134" i="16" s="1"/>
  <c r="L134" i="16" s="1"/>
  <c r="M134" i="16" s="1"/>
  <c r="P134" i="16" s="1"/>
  <c r="Q134" i="16" s="1"/>
  <c r="I127" i="16"/>
  <c r="K127" i="16" s="1"/>
  <c r="K107" i="16"/>
  <c r="L107" i="16"/>
  <c r="M107" i="16" s="1"/>
  <c r="P107" i="16" s="1"/>
  <c r="Q107" i="16" s="1"/>
  <c r="I126" i="16"/>
  <c r="K126" i="16" s="1"/>
  <c r="L126" i="16" s="1"/>
  <c r="M126" i="16" s="1"/>
  <c r="P126" i="16" s="1"/>
  <c r="Q126" i="16" s="1"/>
  <c r="I84" i="16"/>
  <c r="I128" i="16"/>
  <c r="K128" i="16" s="1"/>
  <c r="L128" i="16" s="1"/>
  <c r="M128" i="16" s="1"/>
  <c r="P128" i="16" s="1"/>
  <c r="Q128" i="16" s="1"/>
  <c r="I98" i="16"/>
  <c r="K98" i="16" s="1"/>
  <c r="L98" i="16" s="1"/>
  <c r="M98" i="16" s="1"/>
  <c r="P98" i="16" s="1"/>
  <c r="Q98" i="16" s="1"/>
  <c r="I99" i="16"/>
  <c r="I141" i="16"/>
  <c r="K141" i="16" s="1"/>
  <c r="L141" i="16" s="1"/>
  <c r="M141" i="16" s="1"/>
  <c r="P141" i="16" s="1"/>
  <c r="Q141" i="16" s="1"/>
  <c r="I132" i="16"/>
  <c r="K132" i="16" s="1"/>
  <c r="L132" i="16" s="1"/>
  <c r="M132" i="16" s="1"/>
  <c r="P132" i="16" s="1"/>
  <c r="Q132" i="16" s="1"/>
  <c r="I123" i="16"/>
  <c r="K123" i="16" s="1"/>
  <c r="R10" i="17"/>
  <c r="R42" i="17"/>
  <c r="R73" i="17"/>
  <c r="R66" i="17"/>
  <c r="R11" i="17"/>
  <c r="R19" i="17"/>
  <c r="R27" i="17"/>
  <c r="R58" i="17"/>
  <c r="R12" i="17"/>
  <c r="R20" i="17"/>
  <c r="R28" i="17"/>
  <c r="R36" i="17"/>
  <c r="R44" i="17"/>
  <c r="R51" i="17"/>
  <c r="R59" i="17"/>
  <c r="R67" i="17"/>
  <c r="R75" i="17"/>
  <c r="R76" i="17"/>
  <c r="R13" i="17"/>
  <c r="R21" i="17"/>
  <c r="R29" i="17"/>
  <c r="R37" i="17"/>
  <c r="R52" i="17"/>
  <c r="R60" i="17"/>
  <c r="R68" i="17"/>
  <c r="R14" i="17"/>
  <c r="R22" i="17"/>
  <c r="R30" i="17"/>
  <c r="R38" i="17"/>
  <c r="R45" i="17"/>
  <c r="R53" i="17"/>
  <c r="R61" i="17"/>
  <c r="R69" i="17"/>
  <c r="R77" i="17"/>
  <c r="R33" i="17"/>
  <c r="R56" i="17"/>
  <c r="R80" i="17"/>
  <c r="R34" i="17"/>
  <c r="R65" i="17"/>
  <c r="R50" i="17"/>
  <c r="R74" i="17"/>
  <c r="R15" i="17"/>
  <c r="R23" i="17"/>
  <c r="R31" i="17"/>
  <c r="R39" i="17"/>
  <c r="R46" i="17"/>
  <c r="R54" i="17"/>
  <c r="R62" i="17"/>
  <c r="R70" i="17"/>
  <c r="R78" i="17"/>
  <c r="R25" i="17"/>
  <c r="R41" i="17"/>
  <c r="R64" i="17"/>
  <c r="R18" i="17"/>
  <c r="R49" i="17"/>
  <c r="R43" i="17"/>
  <c r="R16" i="17"/>
  <c r="R24" i="17"/>
  <c r="R32" i="17"/>
  <c r="R40" i="17"/>
  <c r="R47" i="17"/>
  <c r="R55" i="17"/>
  <c r="R63" i="17"/>
  <c r="R71" i="17"/>
  <c r="R79" i="17"/>
  <c r="R17" i="17"/>
  <c r="R48" i="17"/>
  <c r="R72" i="17"/>
  <c r="R26" i="17"/>
  <c r="R57" i="17"/>
  <c r="R81" i="17"/>
  <c r="R35" i="17"/>
  <c r="R9" i="17"/>
  <c r="Q15" i="16"/>
  <c r="Q23" i="16"/>
  <c r="Q31" i="16"/>
  <c r="Q39" i="16"/>
  <c r="Q46" i="16"/>
  <c r="Q54" i="16"/>
  <c r="Q62" i="16"/>
  <c r="Q70" i="16"/>
  <c r="Q78" i="16"/>
  <c r="Q25" i="16"/>
  <c r="Q48" i="16"/>
  <c r="Q72" i="16"/>
  <c r="Q16" i="16"/>
  <c r="Q24" i="16"/>
  <c r="Q32" i="16"/>
  <c r="Q40" i="16"/>
  <c r="Q47" i="16"/>
  <c r="Q55" i="16"/>
  <c r="Q63" i="16"/>
  <c r="Q71" i="16"/>
  <c r="Q79" i="16"/>
  <c r="Q33" i="16"/>
  <c r="Q41" i="16"/>
  <c r="Q64" i="16"/>
  <c r="Q80" i="16"/>
  <c r="Q17" i="16"/>
  <c r="Q56" i="16"/>
  <c r="Q10" i="16"/>
  <c r="Q18" i="16"/>
  <c r="Q26" i="16"/>
  <c r="Q34" i="16"/>
  <c r="Q42" i="16"/>
  <c r="Q49" i="16"/>
  <c r="Q57" i="16"/>
  <c r="Q65" i="16"/>
  <c r="Q73" i="16"/>
  <c r="Q81" i="16"/>
  <c r="Q22" i="16"/>
  <c r="Q38" i="16"/>
  <c r="Q61" i="16"/>
  <c r="Q11" i="16"/>
  <c r="Q19" i="16"/>
  <c r="Q27" i="16"/>
  <c r="Q35" i="16"/>
  <c r="Q43" i="16"/>
  <c r="Q50" i="16"/>
  <c r="Q58" i="16"/>
  <c r="Q66" i="16"/>
  <c r="Q74" i="16"/>
  <c r="Q9" i="16"/>
  <c r="Q14" i="16"/>
  <c r="Q45" i="16"/>
  <c r="Q69" i="16"/>
  <c r="Q12" i="16"/>
  <c r="Q20" i="16"/>
  <c r="Q28" i="16"/>
  <c r="Q36" i="16"/>
  <c r="Q44" i="16"/>
  <c r="Q51" i="16"/>
  <c r="Q59" i="16"/>
  <c r="Q67" i="16"/>
  <c r="Q75" i="16"/>
  <c r="Q13" i="16"/>
  <c r="Q21" i="16"/>
  <c r="Q29" i="16"/>
  <c r="Q37" i="16"/>
  <c r="Q52" i="16"/>
  <c r="Q60" i="16"/>
  <c r="Q68" i="16"/>
  <c r="Q76" i="16"/>
  <c r="Q30" i="16"/>
  <c r="Q53" i="16"/>
  <c r="Q77" i="16"/>
  <c r="M264" i="19"/>
  <c r="M265" i="19" s="1"/>
  <c r="M157" i="17"/>
  <c r="L157" i="17" s="1"/>
  <c r="L127" i="16"/>
  <c r="M127" i="16" s="1"/>
  <c r="P127" i="16" s="1"/>
  <c r="Q127" i="16" s="1"/>
  <c r="Q145" i="17"/>
  <c r="R145" i="17" s="1"/>
  <c r="K102" i="16"/>
  <c r="L102" i="16" s="1"/>
  <c r="M102" i="16" s="1"/>
  <c r="P102" i="16" s="1"/>
  <c r="Q102" i="16" s="1"/>
  <c r="K143" i="16"/>
  <c r="L143" i="16" s="1"/>
  <c r="M143" i="16" s="1"/>
  <c r="P143" i="16" s="1"/>
  <c r="Q143" i="16" s="1"/>
  <c r="K100" i="16"/>
  <c r="L100" i="16" s="1"/>
  <c r="M100" i="16" s="1"/>
  <c r="P100" i="16" s="1"/>
  <c r="Q100" i="16" s="1"/>
  <c r="K99" i="16"/>
  <c r="L99" i="16" s="1"/>
  <c r="M99" i="16" s="1"/>
  <c r="P99" i="16" s="1"/>
  <c r="Q99" i="16" s="1"/>
  <c r="K136" i="16"/>
  <c r="L136" i="16" s="1"/>
  <c r="M136" i="16" s="1"/>
  <c r="P136" i="16" s="1"/>
  <c r="Q136" i="16" s="1"/>
  <c r="K133" i="16"/>
  <c r="L133" i="16" s="1"/>
  <c r="M133" i="16" s="1"/>
  <c r="P133" i="16" s="1"/>
  <c r="Q133" i="16" s="1"/>
  <c r="R173" i="16"/>
  <c r="R174" i="16" s="1"/>
  <c r="R175" i="16" s="1"/>
  <c r="K140" i="16"/>
  <c r="L140" i="16" s="1"/>
  <c r="M140" i="16" s="1"/>
  <c r="P140" i="16" s="1"/>
  <c r="Q140" i="16" s="1"/>
  <c r="K101" i="16"/>
  <c r="L101" i="16" s="1"/>
  <c r="M101" i="16" s="1"/>
  <c r="P101" i="16" s="1"/>
  <c r="Q101" i="16" s="1"/>
  <c r="L163" i="15"/>
  <c r="Q163" i="15" s="1"/>
  <c r="R163" i="15" s="1"/>
  <c r="Q166" i="15"/>
  <c r="R166" i="15" s="1"/>
  <c r="O121" i="17" l="1"/>
  <c r="P121" i="17" s="1"/>
  <c r="O150" i="17"/>
  <c r="P150" i="17" s="1"/>
  <c r="O148" i="17"/>
  <c r="P148" i="17" s="1"/>
  <c r="O147" i="17"/>
  <c r="P147" i="17" s="1"/>
  <c r="O151" i="17"/>
  <c r="P151" i="17" s="1"/>
  <c r="O146" i="17"/>
  <c r="P146" i="17" s="1"/>
  <c r="O149" i="17"/>
  <c r="P149" i="17" s="1"/>
  <c r="L123" i="16"/>
  <c r="M123" i="16" s="1"/>
  <c r="P123" i="16" s="1"/>
  <c r="Q123" i="16" s="1"/>
  <c r="K84" i="16"/>
  <c r="L84" i="16" s="1"/>
  <c r="M84" i="16" s="1"/>
  <c r="P84" i="16" s="1"/>
  <c r="Q84" i="16" s="1"/>
  <c r="O15" i="19"/>
  <c r="O23" i="19"/>
  <c r="O31" i="19"/>
  <c r="O39" i="19"/>
  <c r="O47" i="19"/>
  <c r="O55" i="19"/>
  <c r="O63" i="19"/>
  <c r="O71" i="19"/>
  <c r="O79" i="19"/>
  <c r="O87" i="19"/>
  <c r="O95" i="19"/>
  <c r="O103" i="19"/>
  <c r="O111" i="19"/>
  <c r="O12" i="19"/>
  <c r="O52" i="19"/>
  <c r="O92" i="19"/>
  <c r="O21" i="19"/>
  <c r="O53" i="19"/>
  <c r="O85" i="19"/>
  <c r="O14" i="19"/>
  <c r="O62" i="19"/>
  <c r="O102" i="19"/>
  <c r="O16" i="19"/>
  <c r="O24" i="19"/>
  <c r="O32" i="19"/>
  <c r="O40" i="19"/>
  <c r="O48" i="19"/>
  <c r="O56" i="19"/>
  <c r="O64" i="19"/>
  <c r="O72" i="19"/>
  <c r="O80" i="19"/>
  <c r="O88" i="19"/>
  <c r="O96" i="19"/>
  <c r="O104" i="19"/>
  <c r="O9" i="19"/>
  <c r="O44" i="19"/>
  <c r="O108" i="19"/>
  <c r="O37" i="19"/>
  <c r="O77" i="19"/>
  <c r="O46" i="19"/>
  <c r="O78" i="19"/>
  <c r="O17" i="19"/>
  <c r="O25" i="19"/>
  <c r="O33" i="19"/>
  <c r="O41" i="19"/>
  <c r="O49" i="19"/>
  <c r="O57" i="19"/>
  <c r="O65" i="19"/>
  <c r="O73" i="19"/>
  <c r="O81" i="19"/>
  <c r="O89" i="19"/>
  <c r="O97" i="19"/>
  <c r="O105" i="19"/>
  <c r="O28" i="19"/>
  <c r="O68" i="19"/>
  <c r="O100" i="19"/>
  <c r="O29" i="19"/>
  <c r="O61" i="19"/>
  <c r="O109" i="19"/>
  <c r="O22" i="19"/>
  <c r="O54" i="19"/>
  <c r="O86" i="19"/>
  <c r="O10" i="19"/>
  <c r="O18" i="19"/>
  <c r="O26" i="19"/>
  <c r="O34" i="19"/>
  <c r="O42" i="19"/>
  <c r="O50" i="19"/>
  <c r="O58" i="19"/>
  <c r="O66" i="19"/>
  <c r="O74" i="19"/>
  <c r="O82" i="19"/>
  <c r="O90" i="19"/>
  <c r="O98" i="19"/>
  <c r="O106" i="19"/>
  <c r="O60" i="19"/>
  <c r="O13" i="19"/>
  <c r="O69" i="19"/>
  <c r="O93" i="19"/>
  <c r="O30" i="19"/>
  <c r="O70" i="19"/>
  <c r="O110" i="19"/>
  <c r="O11" i="19"/>
  <c r="O19" i="19"/>
  <c r="O27" i="19"/>
  <c r="O35" i="19"/>
  <c r="O43" i="19"/>
  <c r="O51" i="19"/>
  <c r="O59" i="19"/>
  <c r="O67" i="19"/>
  <c r="O75" i="19"/>
  <c r="O83" i="19"/>
  <c r="O91" i="19"/>
  <c r="O99" i="19"/>
  <c r="O107" i="19"/>
  <c r="O20" i="19"/>
  <c r="O36" i="19"/>
  <c r="O76" i="19"/>
  <c r="O84" i="19"/>
  <c r="O45" i="19"/>
  <c r="O101" i="19"/>
  <c r="O38" i="19"/>
  <c r="O94" i="19"/>
  <c r="O123" i="17"/>
  <c r="P123" i="17" s="1"/>
  <c r="O40" i="17"/>
  <c r="P40" i="17" s="1"/>
  <c r="O116" i="17"/>
  <c r="P116" i="17" s="1"/>
  <c r="O139" i="17"/>
  <c r="P139" i="17" s="1"/>
  <c r="O110" i="17"/>
  <c r="P110" i="17" s="1"/>
  <c r="O107" i="17"/>
  <c r="P107" i="17" s="1"/>
  <c r="O127" i="17"/>
  <c r="P127" i="17" s="1"/>
  <c r="O19" i="17"/>
  <c r="P19" i="17" s="1"/>
  <c r="O63" i="17"/>
  <c r="P63" i="17" s="1"/>
  <c r="O132" i="17"/>
  <c r="P132" i="17" s="1"/>
  <c r="O35" i="17"/>
  <c r="P35" i="17" s="1"/>
  <c r="O15" i="17"/>
  <c r="P15" i="17" s="1"/>
  <c r="O113" i="17"/>
  <c r="P113" i="17" s="1"/>
  <c r="O55" i="17"/>
  <c r="P55" i="17" s="1"/>
  <c r="O97" i="17"/>
  <c r="P97" i="17" s="1"/>
  <c r="O94" i="17"/>
  <c r="P94" i="17" s="1"/>
  <c r="O134" i="17"/>
  <c r="P134" i="17" s="1"/>
  <c r="O75" i="17"/>
  <c r="P75" i="17" s="1"/>
  <c r="O80" i="17"/>
  <c r="P80" i="17" s="1"/>
  <c r="O23" i="17"/>
  <c r="P23" i="17" s="1"/>
  <c r="O51" i="17"/>
  <c r="P51" i="17" s="1"/>
  <c r="O56" i="17"/>
  <c r="P56" i="17" s="1"/>
  <c r="O31" i="17"/>
  <c r="P31" i="17" s="1"/>
  <c r="O102" i="17"/>
  <c r="P102" i="17" s="1"/>
  <c r="O43" i="17"/>
  <c r="P43" i="17" s="1"/>
  <c r="O48" i="17"/>
  <c r="P48" i="17" s="1"/>
  <c r="O46" i="17"/>
  <c r="P46" i="17" s="1"/>
  <c r="O13" i="17"/>
  <c r="P13" i="17" s="1"/>
  <c r="O81" i="17"/>
  <c r="P81" i="17" s="1"/>
  <c r="O130" i="17"/>
  <c r="P130" i="17" s="1"/>
  <c r="O54" i="17"/>
  <c r="P54" i="17" s="1"/>
  <c r="O103" i="17"/>
  <c r="P103" i="17" s="1"/>
  <c r="O73" i="17"/>
  <c r="P73" i="17" s="1"/>
  <c r="O33" i="17"/>
  <c r="P33" i="17" s="1"/>
  <c r="O32" i="17"/>
  <c r="P32" i="17" s="1"/>
  <c r="O117" i="17"/>
  <c r="P117" i="17" s="1"/>
  <c r="O128" i="17"/>
  <c r="P128" i="17" s="1"/>
  <c r="O10" i="17"/>
  <c r="P10" i="17" s="1"/>
  <c r="O144" i="17"/>
  <c r="P144" i="17" s="1"/>
  <c r="O143" i="17"/>
  <c r="P143" i="17" s="1"/>
  <c r="O30" i="17"/>
  <c r="P30" i="17" s="1"/>
  <c r="O90" i="17"/>
  <c r="P90" i="17" s="1"/>
  <c r="O59" i="17"/>
  <c r="P59" i="17" s="1"/>
  <c r="O96" i="17"/>
  <c r="P96" i="17" s="1"/>
  <c r="O57" i="17"/>
  <c r="P57" i="17" s="1"/>
  <c r="O135" i="17"/>
  <c r="P135" i="17" s="1"/>
  <c r="O25" i="17"/>
  <c r="P25" i="17" s="1"/>
  <c r="O11" i="17"/>
  <c r="P11" i="17" s="1"/>
  <c r="O24" i="17"/>
  <c r="P24" i="17" s="1"/>
  <c r="O111" i="17"/>
  <c r="P111" i="17" s="1"/>
  <c r="O69" i="17"/>
  <c r="P69" i="17" s="1"/>
  <c r="O91" i="17"/>
  <c r="P91" i="17" s="1"/>
  <c r="O68" i="17"/>
  <c r="P68" i="17" s="1"/>
  <c r="O44" i="17"/>
  <c r="P44" i="17" s="1"/>
  <c r="O84" i="17"/>
  <c r="P84" i="17" s="1"/>
  <c r="O17" i="17"/>
  <c r="P17" i="17" s="1"/>
  <c r="O98" i="17"/>
  <c r="P98" i="17" s="1"/>
  <c r="O42" i="17"/>
  <c r="P42" i="17" s="1"/>
  <c r="O27" i="17"/>
  <c r="P27" i="17" s="1"/>
  <c r="O100" i="17"/>
  <c r="P100" i="17" s="1"/>
  <c r="O145" i="17"/>
  <c r="P145" i="17" s="1"/>
  <c r="O105" i="17"/>
  <c r="P105" i="17" s="1"/>
  <c r="O85" i="17"/>
  <c r="P85" i="17" s="1"/>
  <c r="O45" i="17"/>
  <c r="P45" i="17" s="1"/>
  <c r="O76" i="17"/>
  <c r="P76" i="17" s="1"/>
  <c r="O29" i="17"/>
  <c r="P29" i="17" s="1"/>
  <c r="O12" i="17"/>
  <c r="P12" i="17" s="1"/>
  <c r="O49" i="17"/>
  <c r="P49" i="17" s="1"/>
  <c r="O74" i="17"/>
  <c r="P74" i="17" s="1"/>
  <c r="O95" i="17"/>
  <c r="P95" i="17" s="1"/>
  <c r="O112" i="17"/>
  <c r="P112" i="17" s="1"/>
  <c r="O61" i="17"/>
  <c r="P61" i="17" s="1"/>
  <c r="O20" i="17"/>
  <c r="P20" i="17" s="1"/>
  <c r="O66" i="17"/>
  <c r="P66" i="17" s="1"/>
  <c r="O18" i="17"/>
  <c r="P18" i="17" s="1"/>
  <c r="O108" i="17"/>
  <c r="P108" i="17" s="1"/>
  <c r="O93" i="17"/>
  <c r="P93" i="17" s="1"/>
  <c r="O136" i="17"/>
  <c r="P136" i="17" s="1"/>
  <c r="O86" i="17"/>
  <c r="P86" i="17" s="1"/>
  <c r="O70" i="17"/>
  <c r="P70" i="17" s="1"/>
  <c r="O38" i="17"/>
  <c r="P38" i="17" s="1"/>
  <c r="O60" i="17"/>
  <c r="P60" i="17" s="1"/>
  <c r="O21" i="17"/>
  <c r="P21" i="17" s="1"/>
  <c r="O115" i="17"/>
  <c r="P115" i="17" s="1"/>
  <c r="O101" i="17"/>
  <c r="P101" i="17" s="1"/>
  <c r="O34" i="17"/>
  <c r="P34" i="17" s="1"/>
  <c r="O88" i="17"/>
  <c r="P88" i="17" s="1"/>
  <c r="O72" i="17"/>
  <c r="P72" i="17" s="1"/>
  <c r="O119" i="17"/>
  <c r="P119" i="17" s="1"/>
  <c r="O9" i="17"/>
  <c r="P9" i="17" s="1"/>
  <c r="O79" i="17"/>
  <c r="P79" i="17" s="1"/>
  <c r="O16" i="17"/>
  <c r="P16" i="17" s="1"/>
  <c r="O78" i="17"/>
  <c r="P78" i="17" s="1"/>
  <c r="O138" i="17"/>
  <c r="P138" i="17" s="1"/>
  <c r="O92" i="17"/>
  <c r="P92" i="17" s="1"/>
  <c r="O22" i="17"/>
  <c r="P22" i="17" s="1"/>
  <c r="O142" i="17"/>
  <c r="P142" i="17" s="1"/>
  <c r="O126" i="17"/>
  <c r="P126" i="17" s="1"/>
  <c r="O122" i="17"/>
  <c r="P122" i="17" s="1"/>
  <c r="O36" i="17"/>
  <c r="P36" i="17" s="1"/>
  <c r="O89" i="17"/>
  <c r="P89" i="17" s="1"/>
  <c r="O131" i="17"/>
  <c r="P131" i="17" s="1"/>
  <c r="O26" i="17"/>
  <c r="P26" i="17" s="1"/>
  <c r="O140" i="17"/>
  <c r="P140" i="17" s="1"/>
  <c r="O64" i="17"/>
  <c r="P64" i="17" s="1"/>
  <c r="O106" i="17"/>
  <c r="P106" i="17" s="1"/>
  <c r="O58" i="17"/>
  <c r="P58" i="17" s="1"/>
  <c r="O71" i="17"/>
  <c r="P71" i="17" s="1"/>
  <c r="O118" i="17"/>
  <c r="P118" i="17" s="1"/>
  <c r="O62" i="17"/>
  <c r="P62" i="17" s="1"/>
  <c r="O129" i="17"/>
  <c r="P129" i="17" s="1"/>
  <c r="O77" i="17"/>
  <c r="P77" i="17" s="1"/>
  <c r="O14" i="17"/>
  <c r="P14" i="17" s="1"/>
  <c r="O133" i="17"/>
  <c r="P133" i="17" s="1"/>
  <c r="O137" i="17"/>
  <c r="P137" i="17" s="1"/>
  <c r="O109" i="17"/>
  <c r="P109" i="17" s="1"/>
  <c r="O28" i="17"/>
  <c r="P28" i="17" s="1"/>
  <c r="O141" i="17"/>
  <c r="P141" i="17" s="1"/>
  <c r="O65" i="17"/>
  <c r="P65" i="17" s="1"/>
  <c r="O120" i="17"/>
  <c r="P120" i="17" s="1"/>
  <c r="O50" i="17"/>
  <c r="P50" i="17" s="1"/>
  <c r="O41" i="17"/>
  <c r="P41" i="17" s="1"/>
  <c r="O87" i="17"/>
  <c r="P87" i="17" s="1"/>
  <c r="O114" i="17"/>
  <c r="P114" i="17" s="1"/>
  <c r="O47" i="17"/>
  <c r="P47" i="17" s="1"/>
  <c r="O99" i="17"/>
  <c r="P99" i="17" s="1"/>
  <c r="O124" i="17"/>
  <c r="P124" i="17" s="1"/>
  <c r="O39" i="17"/>
  <c r="P39" i="17" s="1"/>
  <c r="O53" i="17"/>
  <c r="P53" i="17" s="1"/>
  <c r="O104" i="17"/>
  <c r="P104" i="17" s="1"/>
  <c r="O37" i="17"/>
  <c r="P37" i="17" s="1"/>
  <c r="O52" i="17"/>
  <c r="P52" i="17" s="1"/>
  <c r="O67" i="17"/>
  <c r="P67" i="17" s="1"/>
  <c r="M163" i="15"/>
  <c r="P163" i="15" s="1"/>
  <c r="A23" i="15"/>
  <c r="A10" i="15"/>
  <c r="H84" i="15" s="1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I204" i="9" s="1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9" i="9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H204" i="8" s="1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H166" i="8" s="1"/>
  <c r="G101" i="8"/>
  <c r="G102" i="8"/>
  <c r="G9" i="8"/>
  <c r="H228" i="13"/>
  <c r="H227" i="13"/>
  <c r="H226" i="13"/>
  <c r="H225" i="13"/>
  <c r="H224" i="13"/>
  <c r="H223" i="13"/>
  <c r="H222" i="13"/>
  <c r="H221" i="13"/>
  <c r="H220" i="13"/>
  <c r="H219" i="13"/>
  <c r="H218" i="13"/>
  <c r="H216" i="13"/>
  <c r="H215" i="13"/>
  <c r="H214" i="13"/>
  <c r="H213" i="13"/>
  <c r="H212" i="13"/>
  <c r="H211" i="13"/>
  <c r="H210" i="13"/>
  <c r="H209" i="13"/>
  <c r="H208" i="13"/>
  <c r="H207" i="13"/>
  <c r="H206" i="13"/>
  <c r="H205" i="13"/>
  <c r="H204" i="13"/>
  <c r="H203" i="13"/>
  <c r="H202" i="13"/>
  <c r="H201" i="13"/>
  <c r="H200" i="13"/>
  <c r="H199" i="13"/>
  <c r="H198" i="13"/>
  <c r="H197" i="13"/>
  <c r="H196" i="13"/>
  <c r="H195" i="13"/>
  <c r="H194" i="13"/>
  <c r="H193" i="13"/>
  <c r="H192" i="13"/>
  <c r="H191" i="13"/>
  <c r="H190" i="13"/>
  <c r="H189" i="13"/>
  <c r="H188" i="13"/>
  <c r="H187" i="13"/>
  <c r="H186" i="13"/>
  <c r="H185" i="13"/>
  <c r="H184" i="13"/>
  <c r="H183" i="13"/>
  <c r="H182" i="13"/>
  <c r="H181" i="13"/>
  <c r="H180" i="13"/>
  <c r="H179" i="13"/>
  <c r="H178" i="13"/>
  <c r="H177" i="13"/>
  <c r="H176" i="13"/>
  <c r="H175" i="13"/>
  <c r="H174" i="13"/>
  <c r="H173" i="13"/>
  <c r="H172" i="13"/>
  <c r="H171" i="13"/>
  <c r="H170" i="13"/>
  <c r="H168" i="13"/>
  <c r="H167" i="13"/>
  <c r="H166" i="13"/>
  <c r="H165" i="13"/>
  <c r="H164" i="13"/>
  <c r="H163" i="13"/>
  <c r="H162" i="13"/>
  <c r="H161" i="13"/>
  <c r="H160" i="13"/>
  <c r="H159" i="13"/>
  <c r="H158" i="13"/>
  <c r="H157" i="13"/>
  <c r="H156" i="13"/>
  <c r="H155" i="13"/>
  <c r="H154" i="13"/>
  <c r="H153" i="13"/>
  <c r="H152" i="13"/>
  <c r="H151" i="13"/>
  <c r="H150" i="13"/>
  <c r="H149" i="13"/>
  <c r="H148" i="13"/>
  <c r="H147" i="13"/>
  <c r="H146" i="13"/>
  <c r="H145" i="13"/>
  <c r="H144" i="13"/>
  <c r="H143" i="13"/>
  <c r="H142" i="13"/>
  <c r="H141" i="13"/>
  <c r="H140" i="13"/>
  <c r="H139" i="13"/>
  <c r="H138" i="13"/>
  <c r="H137" i="13"/>
  <c r="H136" i="13"/>
  <c r="H135" i="13"/>
  <c r="H134" i="13"/>
  <c r="H133" i="13"/>
  <c r="H132" i="13"/>
  <c r="H131" i="13"/>
  <c r="H130" i="13"/>
  <c r="H129" i="13"/>
  <c r="H128" i="13"/>
  <c r="H127" i="13"/>
  <c r="H126" i="13"/>
  <c r="H125" i="13"/>
  <c r="H124" i="13"/>
  <c r="H123" i="13"/>
  <c r="H122" i="13"/>
  <c r="H121" i="13"/>
  <c r="H120" i="13"/>
  <c r="H119" i="13"/>
  <c r="H118" i="13"/>
  <c r="H117" i="13"/>
  <c r="H116" i="13"/>
  <c r="H115" i="13"/>
  <c r="H114" i="13"/>
  <c r="H113" i="13"/>
  <c r="H112" i="13"/>
  <c r="H111" i="13"/>
  <c r="H110" i="13"/>
  <c r="H109" i="13"/>
  <c r="H108" i="13"/>
  <c r="H107" i="13"/>
  <c r="H106" i="13"/>
  <c r="H105" i="13"/>
  <c r="F103" i="13"/>
  <c r="H102" i="13"/>
  <c r="G102" i="13"/>
  <c r="H101" i="13"/>
  <c r="G101" i="13"/>
  <c r="H100" i="13"/>
  <c r="G100" i="13"/>
  <c r="H99" i="13"/>
  <c r="G99" i="13"/>
  <c r="H98" i="13"/>
  <c r="G98" i="13"/>
  <c r="H97" i="13"/>
  <c r="G97" i="13"/>
  <c r="H96" i="13"/>
  <c r="G96" i="13"/>
  <c r="H95" i="13"/>
  <c r="G95" i="13"/>
  <c r="H94" i="13"/>
  <c r="G94" i="13"/>
  <c r="H93" i="13"/>
  <c r="G93" i="13"/>
  <c r="H92" i="13"/>
  <c r="G92" i="13"/>
  <c r="H91" i="13"/>
  <c r="G91" i="13"/>
  <c r="H90" i="13"/>
  <c r="G90" i="13"/>
  <c r="H89" i="13"/>
  <c r="G89" i="13"/>
  <c r="H88" i="13"/>
  <c r="G88" i="13"/>
  <c r="H87" i="13"/>
  <c r="G87" i="13"/>
  <c r="H86" i="13"/>
  <c r="G86" i="13"/>
  <c r="H85" i="13"/>
  <c r="G85" i="13"/>
  <c r="H84" i="13"/>
  <c r="G84" i="13"/>
  <c r="H83" i="13"/>
  <c r="G83" i="13"/>
  <c r="H82" i="13"/>
  <c r="G82" i="13"/>
  <c r="H81" i="13"/>
  <c r="G81" i="13"/>
  <c r="H80" i="13"/>
  <c r="G80" i="13"/>
  <c r="H79" i="13"/>
  <c r="G79" i="13"/>
  <c r="H78" i="13"/>
  <c r="G78" i="13"/>
  <c r="H77" i="13"/>
  <c r="G77" i="13"/>
  <c r="H76" i="13"/>
  <c r="G76" i="13"/>
  <c r="H75" i="13"/>
  <c r="G75" i="13"/>
  <c r="H74" i="13"/>
  <c r="G74" i="13"/>
  <c r="H73" i="13"/>
  <c r="G73" i="13"/>
  <c r="H72" i="13"/>
  <c r="G72" i="13"/>
  <c r="H71" i="13"/>
  <c r="G71" i="13"/>
  <c r="H70" i="13"/>
  <c r="G70" i="13"/>
  <c r="H69" i="13"/>
  <c r="G69" i="13"/>
  <c r="H68" i="13"/>
  <c r="G68" i="13"/>
  <c r="H67" i="13"/>
  <c r="G67" i="13"/>
  <c r="H66" i="13"/>
  <c r="G66" i="13"/>
  <c r="H65" i="13"/>
  <c r="G65" i="13"/>
  <c r="H64" i="13"/>
  <c r="G64" i="13"/>
  <c r="H63" i="13"/>
  <c r="G63" i="13"/>
  <c r="H62" i="13"/>
  <c r="G62" i="13"/>
  <c r="H61" i="13"/>
  <c r="G61" i="13"/>
  <c r="H60" i="13"/>
  <c r="G60" i="13"/>
  <c r="H59" i="13"/>
  <c r="G59" i="13"/>
  <c r="H58" i="13"/>
  <c r="G58" i="13"/>
  <c r="H57" i="13"/>
  <c r="G57" i="13"/>
  <c r="H56" i="13"/>
  <c r="G56" i="13"/>
  <c r="H55" i="13"/>
  <c r="G55" i="13"/>
  <c r="H54" i="13"/>
  <c r="G54" i="13"/>
  <c r="H53" i="13"/>
  <c r="G53" i="13"/>
  <c r="H52" i="13"/>
  <c r="G52" i="13"/>
  <c r="H51" i="13"/>
  <c r="G51" i="13"/>
  <c r="H50" i="13"/>
  <c r="G50" i="13"/>
  <c r="H49" i="13"/>
  <c r="G49" i="13"/>
  <c r="H48" i="13"/>
  <c r="G48" i="13"/>
  <c r="H47" i="13"/>
  <c r="G47" i="13"/>
  <c r="H46" i="13"/>
  <c r="G46" i="13"/>
  <c r="H45" i="13"/>
  <c r="G45" i="13"/>
  <c r="H44" i="13"/>
  <c r="G44" i="13"/>
  <c r="H43" i="13"/>
  <c r="G43" i="13"/>
  <c r="H42" i="13"/>
  <c r="G42" i="13"/>
  <c r="H41" i="13"/>
  <c r="G41" i="13"/>
  <c r="H40" i="13"/>
  <c r="G40" i="13"/>
  <c r="H39" i="13"/>
  <c r="G39" i="13"/>
  <c r="H38" i="13"/>
  <c r="G38" i="13"/>
  <c r="H37" i="13"/>
  <c r="G37" i="13"/>
  <c r="H36" i="13"/>
  <c r="G36" i="13"/>
  <c r="H35" i="13"/>
  <c r="G35" i="13"/>
  <c r="H34" i="13"/>
  <c r="G34" i="13"/>
  <c r="H33" i="13"/>
  <c r="G33" i="13"/>
  <c r="H32" i="13"/>
  <c r="G32" i="13"/>
  <c r="H31" i="13"/>
  <c r="G31" i="13"/>
  <c r="H30" i="13"/>
  <c r="G30" i="13"/>
  <c r="H29" i="13"/>
  <c r="G29" i="13"/>
  <c r="H28" i="13"/>
  <c r="G28" i="13"/>
  <c r="H27" i="13"/>
  <c r="G27" i="13"/>
  <c r="H26" i="13"/>
  <c r="G26" i="13"/>
  <c r="H25" i="13"/>
  <c r="G25" i="13"/>
  <c r="H24" i="13"/>
  <c r="G24" i="13"/>
  <c r="H23" i="13"/>
  <c r="G23" i="13"/>
  <c r="H22" i="13"/>
  <c r="G22" i="13"/>
  <c r="H21" i="13"/>
  <c r="G21" i="13"/>
  <c r="H20" i="13"/>
  <c r="G20" i="13"/>
  <c r="H19" i="13"/>
  <c r="G19" i="13"/>
  <c r="H18" i="13"/>
  <c r="G18" i="13"/>
  <c r="H17" i="13"/>
  <c r="G17" i="13"/>
  <c r="H16" i="13"/>
  <c r="G16" i="13"/>
  <c r="H15" i="13"/>
  <c r="G15" i="13"/>
  <c r="H14" i="13"/>
  <c r="G14" i="13"/>
  <c r="H13" i="13"/>
  <c r="G13" i="13"/>
  <c r="H12" i="13"/>
  <c r="G12" i="13"/>
  <c r="H11" i="13"/>
  <c r="G11" i="13"/>
  <c r="H10" i="13"/>
  <c r="G10" i="13"/>
  <c r="H9" i="13"/>
  <c r="G9" i="13"/>
  <c r="H98" i="15" l="1"/>
  <c r="H99" i="15"/>
  <c r="P82" i="17"/>
  <c r="N157" i="17" s="1"/>
  <c r="N158" i="17" l="1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G80" i="7" s="1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G81" i="7" s="1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G89" i="7" s="1"/>
  <c r="F73" i="7"/>
  <c r="F9" i="7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9" i="6"/>
  <c r="F10" i="3"/>
  <c r="F11" i="3"/>
  <c r="F12" i="3"/>
  <c r="F13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G101" i="3" s="1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9" i="3"/>
  <c r="G112" i="12"/>
  <c r="G111" i="12"/>
  <c r="G110" i="12"/>
  <c r="G109" i="12"/>
  <c r="G108" i="12"/>
  <c r="G107" i="12"/>
  <c r="G106" i="12"/>
  <c r="G105" i="12"/>
  <c r="G104" i="12"/>
  <c r="G103" i="12"/>
  <c r="G102" i="12"/>
  <c r="G101" i="12"/>
  <c r="G100" i="12"/>
  <c r="G99" i="12"/>
  <c r="G98" i="12"/>
  <c r="G97" i="12"/>
  <c r="G96" i="12"/>
  <c r="G94" i="12"/>
  <c r="G93" i="12"/>
  <c r="G92" i="12"/>
  <c r="G91" i="12"/>
  <c r="G90" i="12"/>
  <c r="G89" i="12"/>
  <c r="G88" i="12"/>
  <c r="G87" i="12"/>
  <c r="G86" i="12"/>
  <c r="G85" i="12"/>
  <c r="G84" i="12"/>
  <c r="G83" i="12"/>
  <c r="G82" i="12"/>
  <c r="G81" i="12"/>
  <c r="G80" i="12"/>
  <c r="G79" i="12"/>
  <c r="G78" i="12"/>
  <c r="G77" i="12"/>
  <c r="G76" i="12"/>
  <c r="E74" i="12"/>
  <c r="G73" i="12"/>
  <c r="F73" i="12"/>
  <c r="G72" i="12"/>
  <c r="F72" i="12"/>
  <c r="G71" i="12"/>
  <c r="F71" i="12"/>
  <c r="G70" i="12"/>
  <c r="F70" i="12"/>
  <c r="G69" i="12"/>
  <c r="F69" i="12"/>
  <c r="G68" i="12"/>
  <c r="F68" i="12"/>
  <c r="G67" i="12"/>
  <c r="F67" i="12"/>
  <c r="G66" i="12"/>
  <c r="F66" i="12"/>
  <c r="G65" i="12"/>
  <c r="F65" i="12"/>
  <c r="G64" i="12"/>
  <c r="F64" i="12"/>
  <c r="G63" i="12"/>
  <c r="F63" i="12"/>
  <c r="G62" i="12"/>
  <c r="F62" i="12"/>
  <c r="G61" i="12"/>
  <c r="F61" i="12"/>
  <c r="G60" i="12"/>
  <c r="F60" i="12"/>
  <c r="G59" i="12"/>
  <c r="F59" i="12"/>
  <c r="G58" i="12"/>
  <c r="F58" i="12"/>
  <c r="G57" i="12"/>
  <c r="F57" i="12"/>
  <c r="G56" i="12"/>
  <c r="F56" i="12"/>
  <c r="G55" i="12"/>
  <c r="F55" i="12"/>
  <c r="G54" i="12"/>
  <c r="F54" i="12"/>
  <c r="G53" i="12"/>
  <c r="F53" i="12"/>
  <c r="G52" i="12"/>
  <c r="F52" i="12"/>
  <c r="G51" i="12"/>
  <c r="F51" i="12"/>
  <c r="G50" i="12"/>
  <c r="F50" i="12"/>
  <c r="G49" i="12"/>
  <c r="F49" i="12"/>
  <c r="G48" i="12"/>
  <c r="F48" i="12"/>
  <c r="G47" i="12"/>
  <c r="F47" i="12"/>
  <c r="G46" i="12"/>
  <c r="F46" i="12"/>
  <c r="G45" i="12"/>
  <c r="F45" i="12"/>
  <c r="G44" i="12"/>
  <c r="F44" i="12"/>
  <c r="G43" i="12"/>
  <c r="F43" i="12"/>
  <c r="G42" i="12"/>
  <c r="F42" i="12"/>
  <c r="G41" i="12"/>
  <c r="F41" i="12"/>
  <c r="G40" i="12"/>
  <c r="F40" i="12"/>
  <c r="G39" i="12"/>
  <c r="F39" i="12"/>
  <c r="G38" i="12"/>
  <c r="F38" i="12"/>
  <c r="G37" i="12"/>
  <c r="F37" i="12"/>
  <c r="G36" i="12"/>
  <c r="F36" i="12"/>
  <c r="G35" i="12"/>
  <c r="F35" i="12"/>
  <c r="G34" i="12"/>
  <c r="F34" i="12"/>
  <c r="G33" i="12"/>
  <c r="F33" i="12"/>
  <c r="G32" i="12"/>
  <c r="F32" i="12"/>
  <c r="G31" i="12"/>
  <c r="F31" i="12"/>
  <c r="G30" i="12"/>
  <c r="F30" i="12"/>
  <c r="G29" i="12"/>
  <c r="F29" i="12"/>
  <c r="G28" i="12"/>
  <c r="F28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F21" i="12"/>
  <c r="G20" i="12"/>
  <c r="F20" i="12"/>
  <c r="G19" i="12"/>
  <c r="F19" i="12"/>
  <c r="G18" i="12"/>
  <c r="F18" i="12"/>
  <c r="G17" i="12"/>
  <c r="F17" i="12"/>
  <c r="G16" i="12"/>
  <c r="F16" i="12"/>
  <c r="G15" i="12"/>
  <c r="F15" i="12"/>
  <c r="G14" i="12"/>
  <c r="F14" i="12"/>
  <c r="G13" i="12"/>
  <c r="F13" i="12"/>
  <c r="G12" i="12"/>
  <c r="F12" i="12"/>
  <c r="G11" i="12"/>
  <c r="F11" i="12"/>
  <c r="G10" i="12"/>
  <c r="F10" i="12"/>
  <c r="G9" i="12"/>
  <c r="F9" i="12"/>
  <c r="G112" i="7" l="1"/>
  <c r="G94" i="7"/>
  <c r="G110" i="7"/>
  <c r="G91" i="7"/>
  <c r="G108" i="7"/>
  <c r="G85" i="7"/>
  <c r="G98" i="7"/>
  <c r="G102" i="7"/>
  <c r="G90" i="7"/>
  <c r="G86" i="7"/>
  <c r="G106" i="7"/>
  <c r="G122" i="7"/>
  <c r="G105" i="7"/>
  <c r="G101" i="7"/>
  <c r="G88" i="7"/>
  <c r="G93" i="7"/>
  <c r="G107" i="7"/>
  <c r="G84" i="7"/>
  <c r="G99" i="7"/>
  <c r="L58" i="5"/>
  <c r="L57" i="5"/>
  <c r="L56" i="5"/>
  <c r="L54" i="5"/>
  <c r="L53" i="5"/>
  <c r="L52" i="5"/>
  <c r="L51" i="5"/>
  <c r="L50" i="5"/>
  <c r="L48" i="5"/>
  <c r="L45" i="5"/>
  <c r="L44" i="5"/>
  <c r="L43" i="5"/>
  <c r="L42" i="5"/>
  <c r="L39" i="5"/>
  <c r="L37" i="5"/>
  <c r="L36" i="5"/>
  <c r="L35" i="5"/>
  <c r="L34" i="5"/>
  <c r="M35" i="4"/>
  <c r="M36" i="4"/>
  <c r="M37" i="4"/>
  <c r="M39" i="4"/>
  <c r="M42" i="4"/>
  <c r="M43" i="4"/>
  <c r="M44" i="4"/>
  <c r="M45" i="4"/>
  <c r="M48" i="4"/>
  <c r="M50" i="4"/>
  <c r="M51" i="4"/>
  <c r="M52" i="4"/>
  <c r="M53" i="4"/>
  <c r="M54" i="4"/>
  <c r="M55" i="4"/>
  <c r="M56" i="4"/>
  <c r="M57" i="4"/>
  <c r="M58" i="4"/>
  <c r="M34" i="4"/>
  <c r="L51" i="1"/>
  <c r="L52" i="1"/>
  <c r="L53" i="1"/>
  <c r="L54" i="1"/>
  <c r="L55" i="1"/>
  <c r="L56" i="1"/>
  <c r="L57" i="1"/>
  <c r="L58" i="1"/>
  <c r="L50" i="1"/>
  <c r="L43" i="1"/>
  <c r="L44" i="1"/>
  <c r="L45" i="1"/>
  <c r="L48" i="1"/>
  <c r="L42" i="1"/>
  <c r="L35" i="1"/>
  <c r="L36" i="1"/>
  <c r="L37" i="1"/>
  <c r="L39" i="1"/>
  <c r="L34" i="1"/>
  <c r="F4" i="5" l="1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K46" i="5" s="1"/>
  <c r="F25" i="5"/>
  <c r="K47" i="5" s="1"/>
  <c r="F26" i="5"/>
  <c r="G36" i="5" s="1"/>
  <c r="I36" i="5" s="1"/>
  <c r="F27" i="5"/>
  <c r="F28" i="5"/>
  <c r="K40" i="5" s="1"/>
  <c r="F31" i="5"/>
  <c r="F3" i="5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L47" i="4" s="1"/>
  <c r="F26" i="4"/>
  <c r="F27" i="4"/>
  <c r="F28" i="4"/>
  <c r="L40" i="4" s="1"/>
  <c r="F31" i="4"/>
  <c r="F3" i="4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K47" i="1" s="1"/>
  <c r="F26" i="1"/>
  <c r="F27" i="1"/>
  <c r="F28" i="1"/>
  <c r="K40" i="1" s="1"/>
  <c r="F31" i="1"/>
  <c r="G40" i="1" s="1"/>
  <c r="I40" i="1" s="1"/>
  <c r="J40" i="1" s="1"/>
  <c r="F3" i="1"/>
  <c r="G64" i="11"/>
  <c r="G63" i="11"/>
  <c r="G62" i="11"/>
  <c r="G61" i="11"/>
  <c r="G60" i="11"/>
  <c r="G59" i="11"/>
  <c r="G58" i="11"/>
  <c r="G57" i="11"/>
  <c r="G56" i="11"/>
  <c r="G54" i="11"/>
  <c r="G51" i="11"/>
  <c r="G50" i="11"/>
  <c r="G49" i="11"/>
  <c r="G48" i="11"/>
  <c r="G45" i="11"/>
  <c r="G43" i="11"/>
  <c r="G42" i="11"/>
  <c r="G41" i="11"/>
  <c r="G40" i="11"/>
  <c r="E38" i="11"/>
  <c r="G37" i="11"/>
  <c r="F37" i="11"/>
  <c r="G34" i="11"/>
  <c r="F34" i="11"/>
  <c r="G33" i="11"/>
  <c r="F33" i="11"/>
  <c r="G32" i="11"/>
  <c r="F32" i="11"/>
  <c r="G31" i="11"/>
  <c r="F31" i="11"/>
  <c r="G30" i="11"/>
  <c r="F30" i="11"/>
  <c r="G29" i="11"/>
  <c r="F29" i="11"/>
  <c r="G28" i="11"/>
  <c r="F28" i="11"/>
  <c r="G27" i="11"/>
  <c r="F27" i="11"/>
  <c r="G26" i="11"/>
  <c r="F26" i="11"/>
  <c r="G25" i="11"/>
  <c r="F25" i="11"/>
  <c r="G24" i="11"/>
  <c r="F24" i="11"/>
  <c r="G23" i="11"/>
  <c r="F23" i="11"/>
  <c r="G22" i="11"/>
  <c r="F22" i="11"/>
  <c r="G21" i="11"/>
  <c r="F21" i="11"/>
  <c r="G20" i="11"/>
  <c r="F20" i="11"/>
  <c r="G19" i="11"/>
  <c r="F19" i="11"/>
  <c r="G18" i="11"/>
  <c r="F18" i="11"/>
  <c r="G17" i="11"/>
  <c r="F17" i="11"/>
  <c r="G16" i="11"/>
  <c r="F16" i="11"/>
  <c r="G15" i="11"/>
  <c r="F15" i="11"/>
  <c r="G14" i="11"/>
  <c r="F14" i="11"/>
  <c r="G13" i="11"/>
  <c r="F13" i="11"/>
  <c r="F12" i="11"/>
  <c r="F11" i="11"/>
  <c r="F10" i="11"/>
  <c r="F9" i="11"/>
  <c r="G40" i="5" l="1"/>
  <c r="I40" i="5" s="1"/>
  <c r="J40" i="5" s="1"/>
  <c r="G48" i="5"/>
  <c r="I48" i="5" s="1"/>
  <c r="G39" i="5"/>
  <c r="I39" i="5" s="1"/>
  <c r="G45" i="5"/>
  <c r="I45" i="5" s="1"/>
  <c r="G51" i="5"/>
  <c r="I51" i="5" s="1"/>
  <c r="G44" i="5"/>
  <c r="I44" i="5" s="1"/>
  <c r="G37" i="5"/>
  <c r="I37" i="5" s="1"/>
  <c r="O40" i="1"/>
  <c r="P40" i="1" s="1"/>
  <c r="N40" i="1"/>
  <c r="P40" i="4"/>
  <c r="Q40" i="4" s="1"/>
  <c r="O40" i="4"/>
  <c r="P47" i="4"/>
  <c r="Q47" i="4" s="1"/>
  <c r="O47" i="4"/>
  <c r="K38" i="1"/>
  <c r="K46" i="1"/>
  <c r="O47" i="1"/>
  <c r="P47" i="1" s="1"/>
  <c r="N47" i="1"/>
  <c r="K38" i="5"/>
  <c r="L38" i="4"/>
  <c r="L46" i="4"/>
  <c r="F32" i="1"/>
  <c r="N153" i="15"/>
  <c r="N152" i="15"/>
  <c r="H162" i="15"/>
  <c r="P38" i="4" l="1"/>
  <c r="Q38" i="4" s="1"/>
  <c r="O38" i="4"/>
  <c r="P46" i="4"/>
  <c r="Q46" i="4" s="1"/>
  <c r="O46" i="4"/>
  <c r="O46" i="1"/>
  <c r="P46" i="1" s="1"/>
  <c r="N46" i="1"/>
  <c r="O38" i="1"/>
  <c r="P38" i="1" s="1"/>
  <c r="N38" i="1"/>
  <c r="H161" i="15" l="1"/>
  <c r="H120" i="15" l="1"/>
  <c r="H119" i="15"/>
  <c r="H118" i="15"/>
  <c r="H117" i="15"/>
  <c r="H116" i="15"/>
  <c r="H112" i="15"/>
  <c r="H111" i="15"/>
  <c r="H110" i="15"/>
  <c r="H109" i="15"/>
  <c r="H107" i="15"/>
  <c r="H108" i="15"/>
  <c r="H106" i="15"/>
  <c r="H105" i="15"/>
  <c r="A38" i="15"/>
  <c r="H92" i="15"/>
  <c r="H102" i="15" l="1"/>
  <c r="J102" i="15" s="1"/>
  <c r="K102" i="15" s="1"/>
  <c r="L102" i="15" s="1"/>
  <c r="H136" i="15"/>
  <c r="H101" i="15"/>
  <c r="H100" i="15"/>
  <c r="J100" i="15" s="1"/>
  <c r="K100" i="15" s="1"/>
  <c r="L100" i="15" s="1"/>
  <c r="J136" i="15"/>
  <c r="K136" i="15" s="1"/>
  <c r="L136" i="15" s="1"/>
  <c r="H140" i="15"/>
  <c r="G82" i="15"/>
  <c r="K94" i="15"/>
  <c r="L94" i="15" s="1"/>
  <c r="K95" i="15"/>
  <c r="L95" i="15" s="1"/>
  <c r="K96" i="15"/>
  <c r="L96" i="15" s="1"/>
  <c r="K97" i="15"/>
  <c r="L97" i="15" s="1"/>
  <c r="K108" i="15"/>
  <c r="L108" i="15" s="1"/>
  <c r="K112" i="15"/>
  <c r="L112" i="15" s="1"/>
  <c r="K117" i="15"/>
  <c r="L117" i="15" s="1"/>
  <c r="K119" i="15"/>
  <c r="L119" i="15" s="1"/>
  <c r="J159" i="15"/>
  <c r="K159" i="15" s="1"/>
  <c r="L159" i="15" s="1"/>
  <c r="M159" i="15" s="1"/>
  <c r="J160" i="15"/>
  <c r="K160" i="15" s="1"/>
  <c r="L160" i="15" s="1"/>
  <c r="M160" i="15" s="1"/>
  <c r="J161" i="15"/>
  <c r="K161" i="15" s="1"/>
  <c r="L161" i="15" s="1"/>
  <c r="M161" i="15" s="1"/>
  <c r="J162" i="15"/>
  <c r="K162" i="15" s="1"/>
  <c r="L162" i="15" s="1"/>
  <c r="M162" i="15" s="1"/>
  <c r="J164" i="15"/>
  <c r="L164" i="15" s="1"/>
  <c r="M164" i="15" s="1"/>
  <c r="J165" i="15"/>
  <c r="J167" i="15"/>
  <c r="J168" i="15"/>
  <c r="J169" i="15"/>
  <c r="K169" i="15" s="1"/>
  <c r="L169" i="15" s="1"/>
  <c r="M169" i="15" s="1"/>
  <c r="J170" i="15"/>
  <c r="K170" i="15" s="1"/>
  <c r="L170" i="15" s="1"/>
  <c r="M170" i="15" s="1"/>
  <c r="J171" i="15"/>
  <c r="K171" i="15" s="1"/>
  <c r="L171" i="15" s="1"/>
  <c r="M171" i="15" s="1"/>
  <c r="J172" i="15"/>
  <c r="K172" i="15" s="1"/>
  <c r="L172" i="15" s="1"/>
  <c r="M172" i="15" s="1"/>
  <c r="J158" i="15"/>
  <c r="J88" i="15"/>
  <c r="K88" i="15" s="1"/>
  <c r="L88" i="15" s="1"/>
  <c r="J92" i="15"/>
  <c r="K92" i="15" s="1"/>
  <c r="L92" i="15" s="1"/>
  <c r="J94" i="15"/>
  <c r="J95" i="15"/>
  <c r="J96" i="15"/>
  <c r="J97" i="15"/>
  <c r="J103" i="15"/>
  <c r="K103" i="15" s="1"/>
  <c r="L103" i="15" s="1"/>
  <c r="J104" i="15"/>
  <c r="K104" i="15" s="1"/>
  <c r="L104" i="15" s="1"/>
  <c r="J105" i="15"/>
  <c r="K105" i="15" s="1"/>
  <c r="L105" i="15" s="1"/>
  <c r="J106" i="15"/>
  <c r="K106" i="15" s="1"/>
  <c r="L106" i="15" s="1"/>
  <c r="J107" i="15"/>
  <c r="K107" i="15" s="1"/>
  <c r="L107" i="15" s="1"/>
  <c r="J108" i="15"/>
  <c r="J109" i="15"/>
  <c r="K109" i="15" s="1"/>
  <c r="L109" i="15" s="1"/>
  <c r="J110" i="15"/>
  <c r="K110" i="15" s="1"/>
  <c r="L110" i="15" s="1"/>
  <c r="J111" i="15"/>
  <c r="K111" i="15" s="1"/>
  <c r="L111" i="15" s="1"/>
  <c r="J112" i="15"/>
  <c r="J116" i="15"/>
  <c r="K116" i="15" s="1"/>
  <c r="L116" i="15" s="1"/>
  <c r="J117" i="15"/>
  <c r="J118" i="15"/>
  <c r="K118" i="15" s="1"/>
  <c r="L118" i="15" s="1"/>
  <c r="J119" i="15"/>
  <c r="J120" i="15"/>
  <c r="K120" i="15" s="1"/>
  <c r="L120" i="15" s="1"/>
  <c r="J121" i="15"/>
  <c r="K121" i="15" s="1"/>
  <c r="L121" i="15" s="1"/>
  <c r="J122" i="15"/>
  <c r="K122" i="15" s="1"/>
  <c r="L122" i="15" s="1"/>
  <c r="A32" i="15"/>
  <c r="A29" i="15"/>
  <c r="A26" i="15"/>
  <c r="A16" i="15"/>
  <c r="A13" i="15"/>
  <c r="H87" i="15" s="1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79" i="15"/>
  <c r="H80" i="15"/>
  <c r="H81" i="15"/>
  <c r="O9" i="15"/>
  <c r="H9" i="15"/>
  <c r="N158" i="15"/>
  <c r="N159" i="15"/>
  <c r="N160" i="15"/>
  <c r="N161" i="15"/>
  <c r="N162" i="15"/>
  <c r="N164" i="15"/>
  <c r="N165" i="15"/>
  <c r="N167" i="15"/>
  <c r="N168" i="15"/>
  <c r="N169" i="15"/>
  <c r="N170" i="15"/>
  <c r="N171" i="15"/>
  <c r="N172" i="15"/>
  <c r="H145" i="15" l="1"/>
  <c r="H126" i="15"/>
  <c r="K167" i="15"/>
  <c r="L167" i="15" s="1"/>
  <c r="K165" i="15"/>
  <c r="L165" i="15" s="1"/>
  <c r="H133" i="15"/>
  <c r="J133" i="15" s="1"/>
  <c r="K133" i="15" s="1"/>
  <c r="L133" i="15" s="1"/>
  <c r="H129" i="15"/>
  <c r="H130" i="15"/>
  <c r="J130" i="15" s="1"/>
  <c r="H135" i="15"/>
  <c r="J135" i="15" s="1"/>
  <c r="J145" i="15"/>
  <c r="K145" i="15" s="1"/>
  <c r="L145" i="15" s="1"/>
  <c r="H131" i="15"/>
  <c r="J131" i="15" s="1"/>
  <c r="H139" i="15"/>
  <c r="J139" i="15" s="1"/>
  <c r="K139" i="15" s="1"/>
  <c r="L139" i="15" s="1"/>
  <c r="H137" i="15"/>
  <c r="J137" i="15" s="1"/>
  <c r="H138" i="15"/>
  <c r="H86" i="15"/>
  <c r="H85" i="15"/>
  <c r="J85" i="15" s="1"/>
  <c r="O136" i="15"/>
  <c r="P136" i="15" s="1"/>
  <c r="N136" i="15"/>
  <c r="O109" i="15"/>
  <c r="P109" i="15" s="1"/>
  <c r="N109" i="15"/>
  <c r="O100" i="15"/>
  <c r="P100" i="15" s="1"/>
  <c r="N100" i="15"/>
  <c r="O117" i="15"/>
  <c r="P117" i="15" s="1"/>
  <c r="N117" i="15"/>
  <c r="O116" i="15"/>
  <c r="P116" i="15" s="1"/>
  <c r="N116" i="15"/>
  <c r="O92" i="15"/>
  <c r="P92" i="15" s="1"/>
  <c r="N92" i="15"/>
  <c r="O122" i="15"/>
  <c r="P122" i="15" s="1"/>
  <c r="N122" i="15"/>
  <c r="O103" i="15"/>
  <c r="P103" i="15" s="1"/>
  <c r="N103" i="15"/>
  <c r="O88" i="15"/>
  <c r="P88" i="15" s="1"/>
  <c r="N88" i="15"/>
  <c r="O119" i="15"/>
  <c r="P119" i="15" s="1"/>
  <c r="N119" i="15"/>
  <c r="O120" i="15"/>
  <c r="P120" i="15" s="1"/>
  <c r="N120" i="15"/>
  <c r="O112" i="15"/>
  <c r="P112" i="15" s="1"/>
  <c r="N112" i="15"/>
  <c r="O105" i="15"/>
  <c r="P105" i="15" s="1"/>
  <c r="N105" i="15"/>
  <c r="O96" i="15"/>
  <c r="P96" i="15" s="1"/>
  <c r="N96" i="15"/>
  <c r="O104" i="15"/>
  <c r="P104" i="15" s="1"/>
  <c r="N104" i="15"/>
  <c r="O95" i="15"/>
  <c r="P95" i="15" s="1"/>
  <c r="N95" i="15"/>
  <c r="O111" i="15"/>
  <c r="P111" i="15" s="1"/>
  <c r="N111" i="15"/>
  <c r="O94" i="15"/>
  <c r="P94" i="15" s="1"/>
  <c r="N94" i="15"/>
  <c r="O121" i="15"/>
  <c r="P121" i="15" s="1"/>
  <c r="N121" i="15"/>
  <c r="O110" i="15"/>
  <c r="P110" i="15" s="1"/>
  <c r="N110" i="15"/>
  <c r="O102" i="15"/>
  <c r="P102" i="15" s="1"/>
  <c r="N102" i="15"/>
  <c r="O118" i="15"/>
  <c r="P118" i="15" s="1"/>
  <c r="N118" i="15"/>
  <c r="O107" i="15"/>
  <c r="P107" i="15" s="1"/>
  <c r="N107" i="15"/>
  <c r="O108" i="15"/>
  <c r="P108" i="15" s="1"/>
  <c r="N108" i="15"/>
  <c r="O106" i="15"/>
  <c r="P106" i="15" s="1"/>
  <c r="N106" i="15"/>
  <c r="O97" i="15"/>
  <c r="P97" i="15" s="1"/>
  <c r="N97" i="15"/>
  <c r="Q170" i="15"/>
  <c r="R170" i="15" s="1"/>
  <c r="P170" i="15"/>
  <c r="Q159" i="15"/>
  <c r="R159" i="15" s="1"/>
  <c r="P159" i="15"/>
  <c r="Q169" i="15"/>
  <c r="R169" i="15" s="1"/>
  <c r="P169" i="15"/>
  <c r="Q172" i="15"/>
  <c r="R172" i="15" s="1"/>
  <c r="P172" i="15"/>
  <c r="Q171" i="15"/>
  <c r="R171" i="15" s="1"/>
  <c r="P171" i="15"/>
  <c r="Q161" i="15"/>
  <c r="R161" i="15" s="1"/>
  <c r="P161" i="15"/>
  <c r="K168" i="15"/>
  <c r="L168" i="15" s="1"/>
  <c r="M168" i="15" s="1"/>
  <c r="Q160" i="15"/>
  <c r="R160" i="15" s="1"/>
  <c r="P160" i="15"/>
  <c r="Q164" i="15"/>
  <c r="R164" i="15" s="1"/>
  <c r="P164" i="15"/>
  <c r="Q162" i="15"/>
  <c r="R162" i="15" s="1"/>
  <c r="P162" i="15"/>
  <c r="K158" i="15"/>
  <c r="L158" i="15" s="1"/>
  <c r="H134" i="15"/>
  <c r="J134" i="15" s="1"/>
  <c r="H132" i="15"/>
  <c r="J132" i="15" s="1"/>
  <c r="K132" i="15" s="1"/>
  <c r="L132" i="15" s="1"/>
  <c r="H128" i="15"/>
  <c r="J128" i="15" s="1"/>
  <c r="J9" i="15"/>
  <c r="J54" i="15"/>
  <c r="J43" i="15"/>
  <c r="K43" i="15" s="1"/>
  <c r="L43" i="15" s="1"/>
  <c r="N43" i="15" s="1"/>
  <c r="J46" i="15"/>
  <c r="K46" i="15" s="1"/>
  <c r="L46" i="15" s="1"/>
  <c r="N46" i="15" s="1"/>
  <c r="J50" i="15"/>
  <c r="J71" i="15"/>
  <c r="J56" i="15"/>
  <c r="J48" i="15"/>
  <c r="J101" i="15"/>
  <c r="K101" i="15" s="1"/>
  <c r="L101" i="15" s="1"/>
  <c r="J26" i="15"/>
  <c r="K26" i="15" s="1"/>
  <c r="L26" i="15" s="1"/>
  <c r="N26" i="15" s="1"/>
  <c r="J140" i="15"/>
  <c r="K140" i="15" s="1"/>
  <c r="L140" i="15" s="1"/>
  <c r="J27" i="15"/>
  <c r="J76" i="15"/>
  <c r="K76" i="15" s="1"/>
  <c r="L76" i="15" s="1"/>
  <c r="N76" i="15" s="1"/>
  <c r="J28" i="15"/>
  <c r="K28" i="15" s="1"/>
  <c r="L28" i="15" s="1"/>
  <c r="N28" i="15" s="1"/>
  <c r="J70" i="15"/>
  <c r="J47" i="15"/>
  <c r="J40" i="15"/>
  <c r="J32" i="15"/>
  <c r="J16" i="15"/>
  <c r="K16" i="15" s="1"/>
  <c r="L16" i="15" s="1"/>
  <c r="N16" i="15" s="1"/>
  <c r="J86" i="15"/>
  <c r="K86" i="15" s="1"/>
  <c r="L86" i="15" s="1"/>
  <c r="H89" i="15"/>
  <c r="J89" i="15" s="1"/>
  <c r="J98" i="15"/>
  <c r="K98" i="15" s="1"/>
  <c r="L98" i="15" s="1"/>
  <c r="J99" i="15"/>
  <c r="K99" i="15" s="1"/>
  <c r="L99" i="15" s="1"/>
  <c r="J29" i="15"/>
  <c r="K29" i="15" s="1"/>
  <c r="L29" i="15" s="1"/>
  <c r="N29" i="15" s="1"/>
  <c r="J25" i="15"/>
  <c r="K25" i="15" s="1"/>
  <c r="L25" i="15" s="1"/>
  <c r="N25" i="15" s="1"/>
  <c r="J21" i="15"/>
  <c r="K21" i="15" s="1"/>
  <c r="L21" i="15" s="1"/>
  <c r="N21" i="15" s="1"/>
  <c r="J18" i="15"/>
  <c r="K18" i="15" s="1"/>
  <c r="L18" i="15" s="1"/>
  <c r="N18" i="15" s="1"/>
  <c r="J15" i="15"/>
  <c r="K15" i="15" s="1"/>
  <c r="L15" i="15" s="1"/>
  <c r="N15" i="15" s="1"/>
  <c r="H141" i="15"/>
  <c r="J141" i="15" s="1"/>
  <c r="K141" i="15" s="1"/>
  <c r="L141" i="15" s="1"/>
  <c r="H127" i="15"/>
  <c r="J127" i="15" s="1"/>
  <c r="J126" i="15"/>
  <c r="K126" i="15" s="1"/>
  <c r="J138" i="15"/>
  <c r="H142" i="15"/>
  <c r="H144" i="15"/>
  <c r="J144" i="15" s="1"/>
  <c r="K144" i="15" s="1"/>
  <c r="L144" i="15" s="1"/>
  <c r="H143" i="15"/>
  <c r="J19" i="15"/>
  <c r="K19" i="15" s="1"/>
  <c r="L19" i="15" s="1"/>
  <c r="N19" i="15" s="1"/>
  <c r="H124" i="15"/>
  <c r="J124" i="15" s="1"/>
  <c r="K124" i="15" s="1"/>
  <c r="L124" i="15" s="1"/>
  <c r="H123" i="15"/>
  <c r="J123" i="15" s="1"/>
  <c r="K123" i="15" s="1"/>
  <c r="L123" i="15" s="1"/>
  <c r="H114" i="15"/>
  <c r="J114" i="15" s="1"/>
  <c r="K114" i="15" s="1"/>
  <c r="L114" i="15" s="1"/>
  <c r="H113" i="15"/>
  <c r="J113" i="15" s="1"/>
  <c r="K113" i="15" s="1"/>
  <c r="L113" i="15" s="1"/>
  <c r="H115" i="15"/>
  <c r="J115" i="15" s="1"/>
  <c r="K115" i="15" s="1"/>
  <c r="L115" i="15" s="1"/>
  <c r="J93" i="15"/>
  <c r="K93" i="15" s="1"/>
  <c r="L93" i="15" s="1"/>
  <c r="H90" i="15"/>
  <c r="J90" i="15" s="1"/>
  <c r="K90" i="15" s="1"/>
  <c r="L90" i="15" s="1"/>
  <c r="H91" i="15"/>
  <c r="J87" i="15"/>
  <c r="K87" i="15" s="1"/>
  <c r="L87" i="15" s="1"/>
  <c r="J129" i="15"/>
  <c r="J79" i="15"/>
  <c r="J75" i="15"/>
  <c r="K75" i="15" s="1"/>
  <c r="L75" i="15" s="1"/>
  <c r="N75" i="15" s="1"/>
  <c r="J72" i="15"/>
  <c r="J69" i="15"/>
  <c r="K69" i="15" s="1"/>
  <c r="L69" i="15" s="1"/>
  <c r="N69" i="15" s="1"/>
  <c r="J61" i="15"/>
  <c r="K61" i="15" s="1"/>
  <c r="L61" i="15" s="1"/>
  <c r="N61" i="15" s="1"/>
  <c r="J53" i="15"/>
  <c r="K53" i="15" s="1"/>
  <c r="L53" i="15" s="1"/>
  <c r="N53" i="15" s="1"/>
  <c r="J38" i="15"/>
  <c r="J67" i="15"/>
  <c r="J63" i="15"/>
  <c r="K63" i="15" s="1"/>
  <c r="L63" i="15" s="1"/>
  <c r="N63" i="15" s="1"/>
  <c r="J52" i="15"/>
  <c r="K52" i="15" s="1"/>
  <c r="L52" i="15" s="1"/>
  <c r="N52" i="15" s="1"/>
  <c r="J17" i="15"/>
  <c r="J77" i="15"/>
  <c r="K77" i="15" s="1"/>
  <c r="L77" i="15" s="1"/>
  <c r="N77" i="15" s="1"/>
  <c r="J10" i="15"/>
  <c r="K10" i="15" s="1"/>
  <c r="L10" i="15" s="1"/>
  <c r="N10" i="15" s="1"/>
  <c r="J66" i="15"/>
  <c r="K66" i="15" s="1"/>
  <c r="L66" i="15" s="1"/>
  <c r="N66" i="15" s="1"/>
  <c r="J49" i="15"/>
  <c r="K38" i="15"/>
  <c r="L38" i="15" s="1"/>
  <c r="N38" i="15" s="1"/>
  <c r="J30" i="15"/>
  <c r="K30" i="15" s="1"/>
  <c r="L30" i="15" s="1"/>
  <c r="N30" i="15" s="1"/>
  <c r="J14" i="15"/>
  <c r="K14" i="15" s="1"/>
  <c r="L14" i="15" s="1"/>
  <c r="N14" i="15" s="1"/>
  <c r="J78" i="15"/>
  <c r="K78" i="15" s="1"/>
  <c r="L78" i="15" s="1"/>
  <c r="N78" i="15" s="1"/>
  <c r="J81" i="15"/>
  <c r="J74" i="15"/>
  <c r="K74" i="15" s="1"/>
  <c r="L74" i="15" s="1"/>
  <c r="N74" i="15" s="1"/>
  <c r="J65" i="15"/>
  <c r="K65" i="15" s="1"/>
  <c r="L65" i="15" s="1"/>
  <c r="N65" i="15" s="1"/>
  <c r="J51" i="15"/>
  <c r="K51" i="15" s="1"/>
  <c r="L51" i="15" s="1"/>
  <c r="N51" i="15" s="1"/>
  <c r="J36" i="15"/>
  <c r="K36" i="15" s="1"/>
  <c r="L36" i="15" s="1"/>
  <c r="N36" i="15" s="1"/>
  <c r="J13" i="15"/>
  <c r="K13" i="15" s="1"/>
  <c r="L13" i="15" s="1"/>
  <c r="N13" i="15" s="1"/>
  <c r="J64" i="15"/>
  <c r="K64" i="15" s="1"/>
  <c r="L64" i="15" s="1"/>
  <c r="N64" i="15" s="1"/>
  <c r="K50" i="15"/>
  <c r="L50" i="15" s="1"/>
  <c r="N50" i="15" s="1"/>
  <c r="J12" i="15"/>
  <c r="K12" i="15" s="1"/>
  <c r="L12" i="15" s="1"/>
  <c r="N12" i="15" s="1"/>
  <c r="J73" i="15"/>
  <c r="K73" i="15" s="1"/>
  <c r="L73" i="15" s="1"/>
  <c r="N73" i="15" s="1"/>
  <c r="J60" i="15"/>
  <c r="K60" i="15" s="1"/>
  <c r="L60" i="15" s="1"/>
  <c r="N60" i="15" s="1"/>
  <c r="J42" i="15"/>
  <c r="K42" i="15" s="1"/>
  <c r="L42" i="15" s="1"/>
  <c r="N42" i="15" s="1"/>
  <c r="J39" i="15"/>
  <c r="K39" i="15" s="1"/>
  <c r="L39" i="15" s="1"/>
  <c r="N39" i="15" s="1"/>
  <c r="J35" i="15"/>
  <c r="K35" i="15" s="1"/>
  <c r="L35" i="15" s="1"/>
  <c r="N35" i="15" s="1"/>
  <c r="J31" i="15"/>
  <c r="K31" i="15" s="1"/>
  <c r="L31" i="15" s="1"/>
  <c r="N31" i="15" s="1"/>
  <c r="K72" i="15"/>
  <c r="L72" i="15" s="1"/>
  <c r="N72" i="15" s="1"/>
  <c r="K17" i="15"/>
  <c r="L17" i="15" s="1"/>
  <c r="N17" i="15" s="1"/>
  <c r="K67" i="15"/>
  <c r="L67" i="15" s="1"/>
  <c r="N67" i="15" s="1"/>
  <c r="J59" i="15"/>
  <c r="K59" i="15" s="1"/>
  <c r="L59" i="15" s="1"/>
  <c r="N59" i="15" s="1"/>
  <c r="J57" i="15"/>
  <c r="K57" i="15" s="1"/>
  <c r="L57" i="15" s="1"/>
  <c r="N57" i="15" s="1"/>
  <c r="K47" i="15"/>
  <c r="L47" i="15" s="1"/>
  <c r="N47" i="15" s="1"/>
  <c r="J45" i="15"/>
  <c r="K45" i="15" s="1"/>
  <c r="L45" i="15" s="1"/>
  <c r="N45" i="15" s="1"/>
  <c r="K27" i="15"/>
  <c r="L27" i="15" s="1"/>
  <c r="N27" i="15" s="1"/>
  <c r="J22" i="15"/>
  <c r="K22" i="15" s="1"/>
  <c r="L22" i="15" s="1"/>
  <c r="N22" i="15" s="1"/>
  <c r="K79" i="15"/>
  <c r="L79" i="15" s="1"/>
  <c r="N79" i="15" s="1"/>
  <c r="K54" i="15"/>
  <c r="L54" i="15" s="1"/>
  <c r="N54" i="15" s="1"/>
  <c r="K71" i="15"/>
  <c r="L71" i="15" s="1"/>
  <c r="N71" i="15" s="1"/>
  <c r="K49" i="15"/>
  <c r="L49" i="15" s="1"/>
  <c r="N49" i="15" s="1"/>
  <c r="K32" i="15"/>
  <c r="L32" i="15" s="1"/>
  <c r="N32" i="15" s="1"/>
  <c r="K40" i="15"/>
  <c r="L40" i="15" s="1"/>
  <c r="N40" i="15" s="1"/>
  <c r="K81" i="15"/>
  <c r="L81" i="15" s="1"/>
  <c r="N81" i="15" s="1"/>
  <c r="J58" i="15"/>
  <c r="K58" i="15" s="1"/>
  <c r="L58" i="15" s="1"/>
  <c r="N58" i="15" s="1"/>
  <c r="J37" i="15"/>
  <c r="K37" i="15" s="1"/>
  <c r="L37" i="15" s="1"/>
  <c r="N37" i="15" s="1"/>
  <c r="J34" i="15"/>
  <c r="K34" i="15" s="1"/>
  <c r="L34" i="15" s="1"/>
  <c r="N34" i="15" s="1"/>
  <c r="J24" i="15"/>
  <c r="K24" i="15" s="1"/>
  <c r="L24" i="15" s="1"/>
  <c r="N24" i="15" s="1"/>
  <c r="K41" i="15"/>
  <c r="L41" i="15" s="1"/>
  <c r="N41" i="15" s="1"/>
  <c r="J62" i="15"/>
  <c r="K62" i="15" s="1"/>
  <c r="L62" i="15" s="1"/>
  <c r="N62" i="15" s="1"/>
  <c r="K56" i="15"/>
  <c r="L56" i="15" s="1"/>
  <c r="N56" i="15" s="1"/>
  <c r="J41" i="15"/>
  <c r="J80" i="15"/>
  <c r="K80" i="15" s="1"/>
  <c r="L80" i="15" s="1"/>
  <c r="N80" i="15" s="1"/>
  <c r="K70" i="15"/>
  <c r="L70" i="15" s="1"/>
  <c r="N70" i="15" s="1"/>
  <c r="J68" i="15"/>
  <c r="K68" i="15" s="1"/>
  <c r="L68" i="15" s="1"/>
  <c r="N68" i="15" s="1"/>
  <c r="J55" i="15"/>
  <c r="K55" i="15" s="1"/>
  <c r="L55" i="15" s="1"/>
  <c r="N55" i="15" s="1"/>
  <c r="K48" i="15"/>
  <c r="L48" i="15" s="1"/>
  <c r="N48" i="15" s="1"/>
  <c r="J44" i="15"/>
  <c r="K44" i="15" s="1"/>
  <c r="L44" i="15" s="1"/>
  <c r="N44" i="15" s="1"/>
  <c r="J33" i="15"/>
  <c r="K33" i="15" s="1"/>
  <c r="L33" i="15" s="1"/>
  <c r="N33" i="15" s="1"/>
  <c r="J23" i="15"/>
  <c r="K23" i="15" s="1"/>
  <c r="L23" i="15" s="1"/>
  <c r="N23" i="15" s="1"/>
  <c r="J20" i="15"/>
  <c r="K20" i="15" s="1"/>
  <c r="L20" i="15" s="1"/>
  <c r="N20" i="15" s="1"/>
  <c r="J11" i="15"/>
  <c r="K11" i="15" s="1"/>
  <c r="L11" i="15" s="1"/>
  <c r="N11" i="15" s="1"/>
  <c r="J84" i="15"/>
  <c r="K84" i="15" s="1"/>
  <c r="L84" i="15" s="1"/>
  <c r="K9" i="15"/>
  <c r="L9" i="15" s="1"/>
  <c r="N9" i="15" s="1"/>
  <c r="G149" i="7"/>
  <c r="I149" i="7" s="1"/>
  <c r="J149" i="7" s="1"/>
  <c r="H146" i="6"/>
  <c r="J151" i="6"/>
  <c r="K151" i="6" s="1"/>
  <c r="J141" i="6"/>
  <c r="K141" i="6" s="1"/>
  <c r="H59" i="1"/>
  <c r="N60" i="1"/>
  <c r="H12" i="9"/>
  <c r="I110" i="9" s="1"/>
  <c r="H13" i="9"/>
  <c r="H15" i="9"/>
  <c r="I177" i="9" s="1"/>
  <c r="H16" i="9"/>
  <c r="I179" i="9" s="1"/>
  <c r="H17" i="9"/>
  <c r="H18" i="9"/>
  <c r="I181" i="9" s="1"/>
  <c r="H20" i="9"/>
  <c r="H21" i="9"/>
  <c r="I170" i="9" s="1"/>
  <c r="H22" i="9"/>
  <c r="H23" i="9"/>
  <c r="I109" i="9" s="1"/>
  <c r="H24" i="9"/>
  <c r="I111" i="9" s="1"/>
  <c r="H25" i="9"/>
  <c r="I112" i="9" s="1"/>
  <c r="H29" i="9"/>
  <c r="I116" i="9" s="1"/>
  <c r="H30" i="9"/>
  <c r="I117" i="9" s="1"/>
  <c r="H31" i="9"/>
  <c r="I186" i="9" s="1"/>
  <c r="H32" i="9"/>
  <c r="H33" i="9"/>
  <c r="I171" i="9" s="1"/>
  <c r="H36" i="9"/>
  <c r="I119" i="9" s="1"/>
  <c r="H37" i="9"/>
  <c r="I120" i="9" s="1"/>
  <c r="H38" i="9"/>
  <c r="I121" i="9" s="1"/>
  <c r="H39" i="9"/>
  <c r="I122" i="9" s="1"/>
  <c r="H40" i="9"/>
  <c r="H41" i="9"/>
  <c r="H43" i="9"/>
  <c r="I43" i="9" s="1"/>
  <c r="H44" i="9"/>
  <c r="I124" i="9" s="1"/>
  <c r="H45" i="9"/>
  <c r="I125" i="9" s="1"/>
  <c r="H46" i="9"/>
  <c r="H47" i="9"/>
  <c r="H48" i="9"/>
  <c r="H50" i="9"/>
  <c r="H51" i="9"/>
  <c r="I131" i="9" s="1"/>
  <c r="H52" i="9"/>
  <c r="I132" i="9" s="1"/>
  <c r="H53" i="9"/>
  <c r="I193" i="9" s="1"/>
  <c r="H54" i="9"/>
  <c r="I194" i="9" s="1"/>
  <c r="H55" i="9"/>
  <c r="H56" i="9"/>
  <c r="I134" i="9" s="1"/>
  <c r="H58" i="9"/>
  <c r="H59" i="9"/>
  <c r="H60" i="9"/>
  <c r="I60" i="9" s="1"/>
  <c r="H61" i="9"/>
  <c r="I61" i="9" s="1"/>
  <c r="H62" i="9"/>
  <c r="I199" i="9" s="1"/>
  <c r="H63" i="9"/>
  <c r="I137" i="9" s="1"/>
  <c r="H64" i="9"/>
  <c r="H66" i="9"/>
  <c r="I140" i="9" s="1"/>
  <c r="H67" i="9"/>
  <c r="I141" i="9" s="1"/>
  <c r="H68" i="9"/>
  <c r="I142" i="9" s="1"/>
  <c r="H69" i="9"/>
  <c r="I143" i="9" s="1"/>
  <c r="H70" i="9"/>
  <c r="I144" i="9" s="1"/>
  <c r="H71" i="9"/>
  <c r="I145" i="9" s="1"/>
  <c r="H72" i="9"/>
  <c r="H75" i="9"/>
  <c r="I148" i="9" s="1"/>
  <c r="H76" i="9"/>
  <c r="I149" i="9" s="1"/>
  <c r="H77" i="9"/>
  <c r="H78" i="9"/>
  <c r="H79" i="9"/>
  <c r="H80" i="9"/>
  <c r="H83" i="9"/>
  <c r="I205" i="9" s="1"/>
  <c r="H84" i="9"/>
  <c r="I84" i="9" s="1"/>
  <c r="H85" i="9"/>
  <c r="I155" i="9" s="1"/>
  <c r="H86" i="9"/>
  <c r="I156" i="9" s="1"/>
  <c r="H87" i="9"/>
  <c r="I157" i="9" s="1"/>
  <c r="H88" i="9"/>
  <c r="H89" i="9"/>
  <c r="H90" i="9"/>
  <c r="H91" i="9"/>
  <c r="I160" i="9" s="1"/>
  <c r="H92" i="9"/>
  <c r="I161" i="9" s="1"/>
  <c r="H93" i="9"/>
  <c r="H94" i="9"/>
  <c r="I94" i="9" s="1"/>
  <c r="H96" i="9"/>
  <c r="I211" i="9" s="1"/>
  <c r="H97" i="9"/>
  <c r="I163" i="9" s="1"/>
  <c r="H98" i="9"/>
  <c r="I164" i="9" s="1"/>
  <c r="H99" i="9"/>
  <c r="I165" i="9" s="1"/>
  <c r="H100" i="9"/>
  <c r="H101" i="9"/>
  <c r="H102" i="9"/>
  <c r="H9" i="9"/>
  <c r="H10" i="9"/>
  <c r="H11" i="9"/>
  <c r="H19" i="9"/>
  <c r="I182" i="9" s="1"/>
  <c r="H26" i="9"/>
  <c r="I113" i="9" s="1"/>
  <c r="H27" i="9"/>
  <c r="H28" i="9"/>
  <c r="H34" i="9"/>
  <c r="H35" i="9"/>
  <c r="I188" i="9" s="1"/>
  <c r="H42" i="9"/>
  <c r="I42" i="9" s="1"/>
  <c r="H49" i="9"/>
  <c r="H57" i="9"/>
  <c r="H65" i="9"/>
  <c r="H73" i="9"/>
  <c r="I73" i="9" s="1"/>
  <c r="H74" i="9"/>
  <c r="H81" i="9"/>
  <c r="H82" i="9"/>
  <c r="I82" i="9" s="1"/>
  <c r="H95" i="9"/>
  <c r="I209" i="9" s="1"/>
  <c r="Q229" i="9"/>
  <c r="O229" i="9"/>
  <c r="L228" i="9"/>
  <c r="M228" i="9" s="1"/>
  <c r="K228" i="9"/>
  <c r="L226" i="9"/>
  <c r="M226" i="9" s="1"/>
  <c r="K226" i="9"/>
  <c r="L225" i="9"/>
  <c r="M225" i="9" s="1"/>
  <c r="K225" i="9"/>
  <c r="L210" i="9"/>
  <c r="M210" i="9" s="1"/>
  <c r="K210" i="9"/>
  <c r="L207" i="9"/>
  <c r="M207" i="9" s="1"/>
  <c r="P207" i="9" s="1"/>
  <c r="Q207" i="9" s="1"/>
  <c r="K207" i="9"/>
  <c r="L206" i="9"/>
  <c r="M206" i="9" s="1"/>
  <c r="K206" i="9"/>
  <c r="L204" i="9"/>
  <c r="M204" i="9" s="1"/>
  <c r="P204" i="9" s="1"/>
  <c r="Q204" i="9" s="1"/>
  <c r="K204" i="9"/>
  <c r="L203" i="9"/>
  <c r="M203" i="9" s="1"/>
  <c r="K203" i="9"/>
  <c r="L201" i="9"/>
  <c r="M201" i="9" s="1"/>
  <c r="K201" i="9"/>
  <c r="L200" i="9"/>
  <c r="M200" i="9" s="1"/>
  <c r="P200" i="9" s="1"/>
  <c r="Q200" i="9" s="1"/>
  <c r="K200" i="9"/>
  <c r="L195" i="9"/>
  <c r="M195" i="9" s="1"/>
  <c r="K195" i="9"/>
  <c r="L191" i="9"/>
  <c r="M191" i="9" s="1"/>
  <c r="O191" i="9" s="1"/>
  <c r="K191" i="9"/>
  <c r="L174" i="9"/>
  <c r="M174" i="9" s="1"/>
  <c r="K174" i="9"/>
  <c r="L172" i="9"/>
  <c r="M172" i="9" s="1"/>
  <c r="K172" i="9"/>
  <c r="P102" i="9"/>
  <c r="P101" i="9"/>
  <c r="P100" i="9"/>
  <c r="P99" i="9"/>
  <c r="P98" i="9"/>
  <c r="P97" i="9"/>
  <c r="P96" i="9"/>
  <c r="P95" i="9"/>
  <c r="P94" i="9"/>
  <c r="P93" i="9"/>
  <c r="P92" i="9"/>
  <c r="P91" i="9"/>
  <c r="P90" i="9"/>
  <c r="P89" i="9"/>
  <c r="P88" i="9"/>
  <c r="P87" i="9"/>
  <c r="P86" i="9"/>
  <c r="P85" i="9"/>
  <c r="P84" i="9"/>
  <c r="P83" i="9"/>
  <c r="P82" i="9"/>
  <c r="P81" i="9"/>
  <c r="P80" i="9"/>
  <c r="P79" i="9"/>
  <c r="P78" i="9"/>
  <c r="P77" i="9"/>
  <c r="P76" i="9"/>
  <c r="P75" i="9"/>
  <c r="P74" i="9"/>
  <c r="P73" i="9"/>
  <c r="P72" i="9"/>
  <c r="P71" i="9"/>
  <c r="P70" i="9"/>
  <c r="P69" i="9"/>
  <c r="P68" i="9"/>
  <c r="P67" i="9"/>
  <c r="P66" i="9"/>
  <c r="P65" i="9"/>
  <c r="P64" i="9"/>
  <c r="P63" i="9"/>
  <c r="P62" i="9"/>
  <c r="P61" i="9"/>
  <c r="P60" i="9"/>
  <c r="P59" i="9"/>
  <c r="P58" i="9"/>
  <c r="P57" i="9"/>
  <c r="P56" i="9"/>
  <c r="P55" i="9"/>
  <c r="P54" i="9"/>
  <c r="P53" i="9"/>
  <c r="P52" i="9"/>
  <c r="P51" i="9"/>
  <c r="P50" i="9"/>
  <c r="P49" i="9"/>
  <c r="P48" i="9"/>
  <c r="P47" i="9"/>
  <c r="P46" i="9"/>
  <c r="P45" i="9"/>
  <c r="P44" i="9"/>
  <c r="P43" i="9"/>
  <c r="P42" i="9"/>
  <c r="P41" i="9"/>
  <c r="P40" i="9"/>
  <c r="P39" i="9"/>
  <c r="P38" i="9"/>
  <c r="P37" i="9"/>
  <c r="P36" i="9"/>
  <c r="P35" i="9"/>
  <c r="P34" i="9"/>
  <c r="P33" i="9"/>
  <c r="P32" i="9"/>
  <c r="P31" i="9"/>
  <c r="P30" i="9"/>
  <c r="P29" i="9"/>
  <c r="P28" i="9"/>
  <c r="P27" i="9"/>
  <c r="P26" i="9"/>
  <c r="P25" i="9"/>
  <c r="P24" i="9"/>
  <c r="P23" i="9"/>
  <c r="P22" i="9"/>
  <c r="P21" i="9"/>
  <c r="P20" i="9"/>
  <c r="P19" i="9"/>
  <c r="P18" i="9"/>
  <c r="P17" i="9"/>
  <c r="P16" i="9"/>
  <c r="P15" i="9"/>
  <c r="P14" i="9"/>
  <c r="P13" i="9"/>
  <c r="P12" i="9"/>
  <c r="P11" i="9"/>
  <c r="P10" i="9"/>
  <c r="P9" i="9"/>
  <c r="O135" i="6"/>
  <c r="P229" i="8"/>
  <c r="I74" i="9" l="1"/>
  <c r="K74" i="9" s="1"/>
  <c r="L74" i="9" s="1"/>
  <c r="M74" i="9" s="1"/>
  <c r="O74" i="9" s="1"/>
  <c r="I147" i="9"/>
  <c r="I101" i="9"/>
  <c r="I167" i="9"/>
  <c r="K167" i="9" s="1"/>
  <c r="L167" i="9" s="1"/>
  <c r="M167" i="9" s="1"/>
  <c r="O167" i="9" s="1"/>
  <c r="I72" i="9"/>
  <c r="L72" i="9" s="1"/>
  <c r="M72" i="9" s="1"/>
  <c r="O72" i="9" s="1"/>
  <c r="I146" i="9"/>
  <c r="I184" i="9"/>
  <c r="I108" i="9"/>
  <c r="I13" i="9"/>
  <c r="I176" i="9"/>
  <c r="I65" i="9"/>
  <c r="I139" i="9"/>
  <c r="I90" i="9"/>
  <c r="I159" i="9"/>
  <c r="I80" i="9"/>
  <c r="I153" i="9"/>
  <c r="K153" i="9" s="1"/>
  <c r="I32" i="9"/>
  <c r="I118" i="9"/>
  <c r="I135" i="9"/>
  <c r="I196" i="9"/>
  <c r="K196" i="9" s="1"/>
  <c r="L196" i="9" s="1"/>
  <c r="M196" i="9" s="1"/>
  <c r="O196" i="9" s="1"/>
  <c r="I89" i="9"/>
  <c r="I158" i="9"/>
  <c r="I41" i="9"/>
  <c r="K41" i="9" s="1"/>
  <c r="L41" i="9" s="1"/>
  <c r="M41" i="9" s="1"/>
  <c r="O41" i="9" s="1"/>
  <c r="I189" i="9"/>
  <c r="I20" i="9"/>
  <c r="I183" i="9"/>
  <c r="I175" i="9"/>
  <c r="I107" i="9"/>
  <c r="I88" i="9"/>
  <c r="I198" i="9"/>
  <c r="I78" i="9"/>
  <c r="I151" i="9"/>
  <c r="K151" i="9" s="1"/>
  <c r="I59" i="9"/>
  <c r="I197" i="9"/>
  <c r="I40" i="9"/>
  <c r="I123" i="9"/>
  <c r="I58" i="9"/>
  <c r="I136" i="9"/>
  <c r="I17" i="9"/>
  <c r="K17" i="9" s="1"/>
  <c r="L17" i="9" s="1"/>
  <c r="M17" i="9" s="1"/>
  <c r="O17" i="9" s="1"/>
  <c r="I180" i="9"/>
  <c r="I105" i="9"/>
  <c r="K105" i="9" s="1"/>
  <c r="L105" i="9" s="1"/>
  <c r="M105" i="9" s="1"/>
  <c r="A9" i="9"/>
  <c r="I202" i="9" s="1"/>
  <c r="I47" i="9"/>
  <c r="I127" i="9"/>
  <c r="A27" i="9"/>
  <c r="I173" i="9" s="1"/>
  <c r="I81" i="9"/>
  <c r="I154" i="9"/>
  <c r="I34" i="9"/>
  <c r="L34" i="9" s="1"/>
  <c r="M34" i="9" s="1"/>
  <c r="O34" i="9" s="1"/>
  <c r="I187" i="9"/>
  <c r="I216" i="9"/>
  <c r="I168" i="9"/>
  <c r="I64" i="9"/>
  <c r="K64" i="9" s="1"/>
  <c r="L64" i="9" s="1"/>
  <c r="M64" i="9" s="1"/>
  <c r="O64" i="9" s="1"/>
  <c r="I138" i="9"/>
  <c r="I55" i="9"/>
  <c r="I133" i="9"/>
  <c r="I126" i="9"/>
  <c r="A15" i="9"/>
  <c r="I215" i="9" s="1"/>
  <c r="I28" i="9"/>
  <c r="I115" i="9"/>
  <c r="I27" i="9"/>
  <c r="I114" i="9"/>
  <c r="I10" i="9"/>
  <c r="I106" i="9"/>
  <c r="I48" i="9"/>
  <c r="K48" i="9" s="1"/>
  <c r="L48" i="9" s="1"/>
  <c r="M48" i="9" s="1"/>
  <c r="O48" i="9" s="1"/>
  <c r="I128" i="9"/>
  <c r="I93" i="9"/>
  <c r="K93" i="9" s="1"/>
  <c r="L93" i="9" s="1"/>
  <c r="M93" i="9" s="1"/>
  <c r="O93" i="9" s="1"/>
  <c r="I162" i="9"/>
  <c r="I79" i="9"/>
  <c r="K79" i="9" s="1"/>
  <c r="L79" i="9" s="1"/>
  <c r="M79" i="9" s="1"/>
  <c r="O79" i="9" s="1"/>
  <c r="I152" i="9"/>
  <c r="I77" i="9"/>
  <c r="I150" i="9"/>
  <c r="K150" i="9" s="1"/>
  <c r="I49" i="9"/>
  <c r="K49" i="9" s="1"/>
  <c r="L49" i="9" s="1"/>
  <c r="M49" i="9" s="1"/>
  <c r="O49" i="9" s="1"/>
  <c r="I129" i="9"/>
  <c r="I50" i="9"/>
  <c r="K50" i="9" s="1"/>
  <c r="L50" i="9" s="1"/>
  <c r="M50" i="9" s="1"/>
  <c r="O50" i="9" s="1"/>
  <c r="I130" i="9"/>
  <c r="K130" i="9" s="1"/>
  <c r="L130" i="9" s="1"/>
  <c r="M130" i="9" s="1"/>
  <c r="I166" i="9"/>
  <c r="A18" i="9"/>
  <c r="I214" i="9" s="1"/>
  <c r="K214" i="9" s="1"/>
  <c r="L214" i="9" s="1"/>
  <c r="M214" i="9" s="1"/>
  <c r="M165" i="15"/>
  <c r="P165" i="15" s="1"/>
  <c r="Q165" i="15"/>
  <c r="R165" i="15" s="1"/>
  <c r="M167" i="15"/>
  <c r="P167" i="15" s="1"/>
  <c r="Q167" i="15"/>
  <c r="R167" i="15" s="1"/>
  <c r="O140" i="15"/>
  <c r="P140" i="15" s="1"/>
  <c r="N140" i="15"/>
  <c r="O115" i="15"/>
  <c r="P115" i="15" s="1"/>
  <c r="N115" i="15"/>
  <c r="O87" i="15"/>
  <c r="P87" i="15" s="1"/>
  <c r="N87" i="15"/>
  <c r="O86" i="15"/>
  <c r="P86" i="15" s="1"/>
  <c r="N86" i="15"/>
  <c r="O101" i="15"/>
  <c r="P101" i="15" s="1"/>
  <c r="N101" i="15"/>
  <c r="O90" i="15"/>
  <c r="P90" i="15" s="1"/>
  <c r="N90" i="15"/>
  <c r="O113" i="15"/>
  <c r="P113" i="15" s="1"/>
  <c r="N113" i="15"/>
  <c r="O114" i="15"/>
  <c r="P114" i="15" s="1"/>
  <c r="N114" i="15"/>
  <c r="O93" i="15"/>
  <c r="P93" i="15" s="1"/>
  <c r="N93" i="15"/>
  <c r="J142" i="15"/>
  <c r="K142" i="15" s="1"/>
  <c r="L142" i="15" s="1"/>
  <c r="O142" i="15" s="1"/>
  <c r="P142" i="15" s="1"/>
  <c r="O99" i="15"/>
  <c r="P99" i="15" s="1"/>
  <c r="N99" i="15"/>
  <c r="J143" i="15"/>
  <c r="K143" i="15" s="1"/>
  <c r="L143" i="15" s="1"/>
  <c r="N143" i="15" s="1"/>
  <c r="O98" i="15"/>
  <c r="P98" i="15" s="1"/>
  <c r="N98" i="15"/>
  <c r="O84" i="15"/>
  <c r="P84" i="15" s="1"/>
  <c r="N84" i="15"/>
  <c r="O141" i="15"/>
  <c r="P141" i="15" s="1"/>
  <c r="N141" i="15"/>
  <c r="O132" i="15"/>
  <c r="P132" i="15" s="1"/>
  <c r="N132" i="15"/>
  <c r="O133" i="15"/>
  <c r="P133" i="15" s="1"/>
  <c r="N133" i="15"/>
  <c r="O123" i="15"/>
  <c r="P123" i="15" s="1"/>
  <c r="N123" i="15"/>
  <c r="O124" i="15"/>
  <c r="P124" i="15" s="1"/>
  <c r="N124" i="15"/>
  <c r="O139" i="15"/>
  <c r="P139" i="15" s="1"/>
  <c r="N139" i="15"/>
  <c r="O145" i="15"/>
  <c r="P145" i="15" s="1"/>
  <c r="N145" i="15"/>
  <c r="O144" i="15"/>
  <c r="P144" i="15" s="1"/>
  <c r="N144" i="15"/>
  <c r="K131" i="15"/>
  <c r="L131" i="15" s="1"/>
  <c r="K135" i="15"/>
  <c r="L135" i="15" s="1"/>
  <c r="K129" i="15"/>
  <c r="L129" i="15" s="1"/>
  <c r="K138" i="15"/>
  <c r="L138" i="15" s="1"/>
  <c r="K130" i="15"/>
  <c r="L130" i="15" s="1"/>
  <c r="L126" i="15"/>
  <c r="N126" i="15" s="1"/>
  <c r="K127" i="15"/>
  <c r="L127" i="15" s="1"/>
  <c r="K137" i="15"/>
  <c r="L137" i="15" s="1"/>
  <c r="K128" i="15"/>
  <c r="L128" i="15" s="1"/>
  <c r="K134" i="15"/>
  <c r="L134" i="15" s="1"/>
  <c r="Q168" i="15"/>
  <c r="R168" i="15" s="1"/>
  <c r="P168" i="15"/>
  <c r="Q158" i="15"/>
  <c r="R158" i="15" s="1"/>
  <c r="M158" i="15"/>
  <c r="P158" i="15" s="1"/>
  <c r="A10" i="8"/>
  <c r="K110" i="9"/>
  <c r="L110" i="9" s="1"/>
  <c r="M110" i="9" s="1"/>
  <c r="K144" i="9"/>
  <c r="K199" i="9"/>
  <c r="L199" i="9" s="1"/>
  <c r="M199" i="9" s="1"/>
  <c r="P199" i="9" s="1"/>
  <c r="Q199" i="9" s="1"/>
  <c r="K142" i="9"/>
  <c r="L142" i="9" s="1"/>
  <c r="M142" i="9" s="1"/>
  <c r="P142" i="9" s="1"/>
  <c r="Q142" i="9" s="1"/>
  <c r="G103" i="9"/>
  <c r="O204" i="9"/>
  <c r="K141" i="9"/>
  <c r="L141" i="9" s="1"/>
  <c r="M141" i="9" s="1"/>
  <c r="P141" i="9" s="1"/>
  <c r="Q141" i="9" s="1"/>
  <c r="I100" i="9"/>
  <c r="K100" i="9" s="1"/>
  <c r="L100" i="9" s="1"/>
  <c r="M100" i="9" s="1"/>
  <c r="O100" i="9" s="1"/>
  <c r="I71" i="9"/>
  <c r="K183" i="9"/>
  <c r="A19" i="8"/>
  <c r="H214" i="8" s="1"/>
  <c r="A28" i="8"/>
  <c r="H173" i="8" s="1"/>
  <c r="A16" i="8"/>
  <c r="H215" i="8" s="1"/>
  <c r="A13" i="8"/>
  <c r="H208" i="8" s="1"/>
  <c r="A43" i="8"/>
  <c r="H227" i="8" s="1"/>
  <c r="A31" i="8"/>
  <c r="H212" i="8" s="1"/>
  <c r="A40" i="8"/>
  <c r="A22" i="8"/>
  <c r="H213" i="8" s="1"/>
  <c r="A37" i="8"/>
  <c r="H192" i="8" s="1"/>
  <c r="A34" i="8"/>
  <c r="H190" i="8" s="1"/>
  <c r="A25" i="8"/>
  <c r="H185" i="8" s="1"/>
  <c r="G103" i="8"/>
  <c r="H220" i="8" s="1"/>
  <c r="I150" i="7"/>
  <c r="J150" i="7" s="1"/>
  <c r="I152" i="7"/>
  <c r="J152" i="7" s="1"/>
  <c r="J150" i="6"/>
  <c r="K150" i="6" s="1"/>
  <c r="L150" i="6" s="1"/>
  <c r="O150" i="6" s="1"/>
  <c r="P150" i="6" s="1"/>
  <c r="L141" i="6"/>
  <c r="O141" i="6" s="1"/>
  <c r="P141" i="6" s="1"/>
  <c r="L151" i="6"/>
  <c r="O151" i="6" s="1"/>
  <c r="P151" i="6" s="1"/>
  <c r="J148" i="6"/>
  <c r="K148" i="6" s="1"/>
  <c r="I141" i="3"/>
  <c r="J141" i="3" s="1"/>
  <c r="K141" i="3" s="1"/>
  <c r="I146" i="7"/>
  <c r="J146" i="7" s="1"/>
  <c r="K146" i="7" s="1"/>
  <c r="J142" i="6"/>
  <c r="K142" i="6" s="1"/>
  <c r="L142" i="6" s="1"/>
  <c r="O142" i="6" s="1"/>
  <c r="P142" i="6" s="1"/>
  <c r="I147" i="3"/>
  <c r="J147" i="3" s="1"/>
  <c r="K147" i="3" s="1"/>
  <c r="I148" i="3"/>
  <c r="J148" i="3" s="1"/>
  <c r="K148" i="3" s="1"/>
  <c r="I150" i="3"/>
  <c r="J150" i="3" s="1"/>
  <c r="K150" i="3" s="1"/>
  <c r="I143" i="7"/>
  <c r="J143" i="7" s="1"/>
  <c r="K143" i="7" s="1"/>
  <c r="I144" i="7"/>
  <c r="J144" i="7" s="1"/>
  <c r="K144" i="7" s="1"/>
  <c r="M144" i="7" s="1"/>
  <c r="I153" i="7"/>
  <c r="J153" i="7" s="1"/>
  <c r="K153" i="7" s="1"/>
  <c r="M153" i="7" s="1"/>
  <c r="G145" i="7"/>
  <c r="I145" i="7" s="1"/>
  <c r="J145" i="7" s="1"/>
  <c r="K145" i="7" s="1"/>
  <c r="J149" i="6"/>
  <c r="K149" i="6" s="1"/>
  <c r="L149" i="6" s="1"/>
  <c r="O149" i="6" s="1"/>
  <c r="P149" i="6" s="1"/>
  <c r="I149" i="3"/>
  <c r="J149" i="3" s="1"/>
  <c r="K149" i="3" s="1"/>
  <c r="I140" i="3"/>
  <c r="J140" i="3" s="1"/>
  <c r="K140" i="3" s="1"/>
  <c r="I151" i="7"/>
  <c r="J151" i="7" s="1"/>
  <c r="K151" i="7" s="1"/>
  <c r="J144" i="6"/>
  <c r="K144" i="6" s="1"/>
  <c r="L144" i="6" s="1"/>
  <c r="O144" i="6" s="1"/>
  <c r="P144" i="6" s="1"/>
  <c r="I143" i="3"/>
  <c r="J143" i="3" s="1"/>
  <c r="K143" i="3" s="1"/>
  <c r="J91" i="15"/>
  <c r="K91" i="15" s="1"/>
  <c r="L91" i="15" s="1"/>
  <c r="K85" i="15"/>
  <c r="L85" i="15" s="1"/>
  <c r="K89" i="15"/>
  <c r="L89" i="15" s="1"/>
  <c r="H147" i="6"/>
  <c r="J147" i="6" s="1"/>
  <c r="K147" i="6" s="1"/>
  <c r="L147" i="6" s="1"/>
  <c r="L148" i="6"/>
  <c r="O148" i="6" s="1"/>
  <c r="P148" i="6" s="1"/>
  <c r="H143" i="6"/>
  <c r="J143" i="6" s="1"/>
  <c r="K143" i="6" s="1"/>
  <c r="L143" i="6" s="1"/>
  <c r="O143" i="6" s="1"/>
  <c r="P143" i="6" s="1"/>
  <c r="H145" i="6"/>
  <c r="J145" i="6" s="1"/>
  <c r="K145" i="6" s="1"/>
  <c r="L145" i="6" s="1"/>
  <c r="G147" i="7"/>
  <c r="I147" i="7" s="1"/>
  <c r="J147" i="7" s="1"/>
  <c r="K147" i="7" s="1"/>
  <c r="G148" i="7"/>
  <c r="I148" i="7" s="1"/>
  <c r="J148" i="7" s="1"/>
  <c r="K148" i="7" s="1"/>
  <c r="K149" i="7"/>
  <c r="K150" i="7"/>
  <c r="K152" i="7"/>
  <c r="N141" i="6"/>
  <c r="J146" i="6"/>
  <c r="K146" i="6" s="1"/>
  <c r="L146" i="6" s="1"/>
  <c r="G142" i="3"/>
  <c r="I142" i="3" s="1"/>
  <c r="J142" i="3" s="1"/>
  <c r="K142" i="3" s="1"/>
  <c r="G146" i="3"/>
  <c r="I146" i="3" s="1"/>
  <c r="J146" i="3" s="1"/>
  <c r="K146" i="3" s="1"/>
  <c r="M146" i="3" s="1"/>
  <c r="G144" i="3"/>
  <c r="I144" i="3" s="1"/>
  <c r="J144" i="3" s="1"/>
  <c r="K144" i="3" s="1"/>
  <c r="G145" i="3"/>
  <c r="I145" i="3" s="1"/>
  <c r="J145" i="3" s="1"/>
  <c r="K145" i="3" s="1"/>
  <c r="I98" i="9"/>
  <c r="I53" i="9"/>
  <c r="I46" i="9"/>
  <c r="K46" i="9" s="1"/>
  <c r="I15" i="9"/>
  <c r="L163" i="9"/>
  <c r="M163" i="9" s="1"/>
  <c r="O163" i="9" s="1"/>
  <c r="A30" i="9"/>
  <c r="I212" i="9" s="1"/>
  <c r="I37" i="9"/>
  <c r="I38" i="9"/>
  <c r="I69" i="9"/>
  <c r="I23" i="9"/>
  <c r="I30" i="9"/>
  <c r="H14" i="9"/>
  <c r="I178" i="9" s="1"/>
  <c r="I99" i="9"/>
  <c r="I70" i="9"/>
  <c r="I63" i="9"/>
  <c r="I31" i="9"/>
  <c r="I92" i="9"/>
  <c r="I62" i="9"/>
  <c r="I39" i="9"/>
  <c r="I85" i="9"/>
  <c r="K85" i="9" s="1"/>
  <c r="I54" i="9"/>
  <c r="I24" i="9"/>
  <c r="K24" i="9" s="1"/>
  <c r="I16" i="9"/>
  <c r="K113" i="9"/>
  <c r="L113" i="9" s="1"/>
  <c r="M113" i="9" s="1"/>
  <c r="O113" i="9" s="1"/>
  <c r="K155" i="9"/>
  <c r="L155" i="9" s="1"/>
  <c r="M155" i="9" s="1"/>
  <c r="P155" i="9" s="1"/>
  <c r="Q155" i="9" s="1"/>
  <c r="K160" i="9"/>
  <c r="L160" i="9" s="1"/>
  <c r="M160" i="9" s="1"/>
  <c r="O160" i="9" s="1"/>
  <c r="K111" i="9"/>
  <c r="L111" i="9" s="1"/>
  <c r="M111" i="9" s="1"/>
  <c r="O111" i="9" s="1"/>
  <c r="L170" i="9"/>
  <c r="M170" i="9" s="1"/>
  <c r="O170" i="9" s="1"/>
  <c r="K170" i="9"/>
  <c r="K101" i="9"/>
  <c r="L101" i="9" s="1"/>
  <c r="M101" i="9" s="1"/>
  <c r="O101" i="9" s="1"/>
  <c r="K128" i="9"/>
  <c r="K59" i="9"/>
  <c r="L59" i="9" s="1"/>
  <c r="M59" i="9" s="1"/>
  <c r="O59" i="9" s="1"/>
  <c r="L144" i="9"/>
  <c r="M144" i="9" s="1"/>
  <c r="P144" i="9" s="1"/>
  <c r="Q144" i="9" s="1"/>
  <c r="K165" i="9"/>
  <c r="L165" i="9" s="1"/>
  <c r="M165" i="9" s="1"/>
  <c r="I91" i="9"/>
  <c r="K91" i="9" s="1"/>
  <c r="I76" i="9"/>
  <c r="I52" i="9"/>
  <c r="I45" i="9"/>
  <c r="K45" i="9" s="1"/>
  <c r="L45" i="9" s="1"/>
  <c r="M45" i="9" s="1"/>
  <c r="O45" i="9" s="1"/>
  <c r="I22" i="9"/>
  <c r="A12" i="9"/>
  <c r="I208" i="9" s="1"/>
  <c r="A36" i="9"/>
  <c r="I192" i="9" s="1"/>
  <c r="K129" i="9"/>
  <c r="L129" i="9" s="1"/>
  <c r="M129" i="9" s="1"/>
  <c r="O129" i="9" s="1"/>
  <c r="K58" i="9"/>
  <c r="L58" i="9" s="1"/>
  <c r="M58" i="9" s="1"/>
  <c r="O58" i="9" s="1"/>
  <c r="K10" i="9"/>
  <c r="K82" i="9"/>
  <c r="L82" i="9" s="1"/>
  <c r="M82" i="9" s="1"/>
  <c r="O82" i="9" s="1"/>
  <c r="I97" i="9"/>
  <c r="L97" i="9" s="1"/>
  <c r="M97" i="9" s="1"/>
  <c r="O97" i="9" s="1"/>
  <c r="I83" i="9"/>
  <c r="I75" i="9"/>
  <c r="I68" i="9"/>
  <c r="K68" i="9" s="1"/>
  <c r="I51" i="9"/>
  <c r="K51" i="9" s="1"/>
  <c r="I44" i="9"/>
  <c r="K44" i="9" s="1"/>
  <c r="L44" i="9" s="1"/>
  <c r="M44" i="9" s="1"/>
  <c r="O44" i="9" s="1"/>
  <c r="I36" i="9"/>
  <c r="I29" i="9"/>
  <c r="K29" i="9" s="1"/>
  <c r="I21" i="9"/>
  <c r="K215" i="9"/>
  <c r="L215" i="9" s="1"/>
  <c r="M215" i="9" s="1"/>
  <c r="L146" i="9"/>
  <c r="M146" i="9" s="1"/>
  <c r="P146" i="9" s="1"/>
  <c r="Q146" i="9" s="1"/>
  <c r="K187" i="9"/>
  <c r="K27" i="9"/>
  <c r="L27" i="9" s="1"/>
  <c r="M27" i="9" s="1"/>
  <c r="O27" i="9" s="1"/>
  <c r="K72" i="9"/>
  <c r="K77" i="9"/>
  <c r="L77" i="9" s="1"/>
  <c r="M77" i="9" s="1"/>
  <c r="O77" i="9" s="1"/>
  <c r="K156" i="9"/>
  <c r="L156" i="9" s="1"/>
  <c r="M156" i="9" s="1"/>
  <c r="K166" i="9"/>
  <c r="L166" i="9" s="1"/>
  <c r="M166" i="9" s="1"/>
  <c r="P166" i="9" s="1"/>
  <c r="Q166" i="9" s="1"/>
  <c r="K205" i="9"/>
  <c r="L205" i="9" s="1"/>
  <c r="M205" i="9" s="1"/>
  <c r="I96" i="9"/>
  <c r="K96" i="9" s="1"/>
  <c r="I67" i="9"/>
  <c r="K67" i="9" s="1"/>
  <c r="L67" i="9" s="1"/>
  <c r="M67" i="9" s="1"/>
  <c r="O67" i="9" s="1"/>
  <c r="I35" i="9"/>
  <c r="K35" i="9" s="1"/>
  <c r="L35" i="9" s="1"/>
  <c r="M35" i="9" s="1"/>
  <c r="O35" i="9" s="1"/>
  <c r="I12" i="9"/>
  <c r="A39" i="9"/>
  <c r="K147" i="9"/>
  <c r="K168" i="9"/>
  <c r="L168" i="9" s="1"/>
  <c r="M168" i="9" s="1"/>
  <c r="O168" i="9" s="1"/>
  <c r="K28" i="9"/>
  <c r="L28" i="9" s="1"/>
  <c r="M28" i="9" s="1"/>
  <c r="O28" i="9" s="1"/>
  <c r="K47" i="9"/>
  <c r="L47" i="9" s="1"/>
  <c r="M47" i="9" s="1"/>
  <c r="O47" i="9" s="1"/>
  <c r="A33" i="9"/>
  <c r="I190" i="9" s="1"/>
  <c r="K43" i="9"/>
  <c r="L43" i="9" s="1"/>
  <c r="M43" i="9" s="1"/>
  <c r="O43" i="9" s="1"/>
  <c r="K88" i="9"/>
  <c r="L88" i="9" s="1"/>
  <c r="M88" i="9" s="1"/>
  <c r="O88" i="9" s="1"/>
  <c r="K122" i="9"/>
  <c r="L122" i="9" s="1"/>
  <c r="M122" i="9" s="1"/>
  <c r="K157" i="9"/>
  <c r="L157" i="9" s="1"/>
  <c r="M157" i="9" s="1"/>
  <c r="I9" i="9"/>
  <c r="I95" i="9"/>
  <c r="K95" i="9" s="1"/>
  <c r="L95" i="9" s="1"/>
  <c r="M95" i="9" s="1"/>
  <c r="O95" i="9" s="1"/>
  <c r="I66" i="9"/>
  <c r="I57" i="9"/>
  <c r="I19" i="9"/>
  <c r="A21" i="9"/>
  <c r="A42" i="9"/>
  <c r="K13" i="9"/>
  <c r="L13" i="9" s="1"/>
  <c r="M13" i="9" s="1"/>
  <c r="O13" i="9" s="1"/>
  <c r="K61" i="9"/>
  <c r="L61" i="9" s="1"/>
  <c r="M61" i="9" s="1"/>
  <c r="O61" i="9" s="1"/>
  <c r="I102" i="9"/>
  <c r="K102" i="9" s="1"/>
  <c r="L102" i="9" s="1"/>
  <c r="M102" i="9" s="1"/>
  <c r="O102" i="9" s="1"/>
  <c r="I87" i="9"/>
  <c r="I56" i="9"/>
  <c r="I33" i="9"/>
  <c r="I26" i="9"/>
  <c r="I18" i="9"/>
  <c r="I11" i="9"/>
  <c r="A24" i="9"/>
  <c r="I185" i="9" s="1"/>
  <c r="I86" i="9"/>
  <c r="I25" i="9"/>
  <c r="K81" i="9"/>
  <c r="L81" i="9" s="1"/>
  <c r="M81" i="9" s="1"/>
  <c r="O81" i="9" s="1"/>
  <c r="K161" i="9"/>
  <c r="L161" i="9" s="1"/>
  <c r="M161" i="9" s="1"/>
  <c r="O161" i="9" s="1"/>
  <c r="K181" i="9"/>
  <c r="L181" i="9" s="1"/>
  <c r="M181" i="9" s="1"/>
  <c r="K194" i="9"/>
  <c r="L194" i="9" s="1"/>
  <c r="M194" i="9" s="1"/>
  <c r="P201" i="9"/>
  <c r="Q201" i="9" s="1"/>
  <c r="O201" i="9"/>
  <c r="K40" i="9"/>
  <c r="L40" i="9" s="1"/>
  <c r="M40" i="9" s="1"/>
  <c r="O40" i="9" s="1"/>
  <c r="P191" i="9"/>
  <c r="Q191" i="9" s="1"/>
  <c r="K182" i="9"/>
  <c r="L182" i="9" s="1"/>
  <c r="M182" i="9" s="1"/>
  <c r="K90" i="9"/>
  <c r="L90" i="9" s="1"/>
  <c r="M90" i="9" s="1"/>
  <c r="O90" i="9" s="1"/>
  <c r="K188" i="9"/>
  <c r="L188" i="9" s="1"/>
  <c r="M188" i="9" s="1"/>
  <c r="K171" i="9"/>
  <c r="L171" i="9" s="1"/>
  <c r="M171" i="9" s="1"/>
  <c r="K186" i="9"/>
  <c r="L186" i="9" s="1"/>
  <c r="M186" i="9" s="1"/>
  <c r="K55" i="9"/>
  <c r="L55" i="9" s="1"/>
  <c r="M55" i="9" s="1"/>
  <c r="O55" i="9" s="1"/>
  <c r="K89" i="9"/>
  <c r="L89" i="9" s="1"/>
  <c r="M89" i="9" s="1"/>
  <c r="O89" i="9" s="1"/>
  <c r="K137" i="9"/>
  <c r="L137" i="9" s="1"/>
  <c r="M137" i="9" s="1"/>
  <c r="K20" i="9"/>
  <c r="L20" i="9" s="1"/>
  <c r="M20" i="9" s="1"/>
  <c r="O20" i="9" s="1"/>
  <c r="K202" i="9"/>
  <c r="L202" i="9" s="1"/>
  <c r="M202" i="9" s="1"/>
  <c r="K32" i="9"/>
  <c r="L32" i="9" s="1"/>
  <c r="M32" i="9" s="1"/>
  <c r="O32" i="9" s="1"/>
  <c r="K60" i="9"/>
  <c r="L60" i="9" s="1"/>
  <c r="M60" i="9" s="1"/>
  <c r="O60" i="9" s="1"/>
  <c r="K78" i="9"/>
  <c r="L78" i="9" s="1"/>
  <c r="M78" i="9" s="1"/>
  <c r="O78" i="9" s="1"/>
  <c r="L116" i="9"/>
  <c r="M116" i="9" s="1"/>
  <c r="K116" i="9"/>
  <c r="K149" i="9"/>
  <c r="L149" i="9" s="1"/>
  <c r="M149" i="9" s="1"/>
  <c r="K211" i="9"/>
  <c r="L211" i="9" s="1"/>
  <c r="M211" i="9" s="1"/>
  <c r="P226" i="9"/>
  <c r="Q226" i="9" s="1"/>
  <c r="O226" i="9"/>
  <c r="K42" i="9"/>
  <c r="L42" i="9" s="1"/>
  <c r="M42" i="9" s="1"/>
  <c r="O42" i="9" s="1"/>
  <c r="K65" i="9"/>
  <c r="L65" i="9" s="1"/>
  <c r="M65" i="9" s="1"/>
  <c r="O65" i="9" s="1"/>
  <c r="K132" i="9"/>
  <c r="L132" i="9" s="1"/>
  <c r="M132" i="9" s="1"/>
  <c r="P172" i="9"/>
  <c r="Q172" i="9" s="1"/>
  <c r="O172" i="9"/>
  <c r="K119" i="9"/>
  <c r="L119" i="9" s="1"/>
  <c r="M119" i="9" s="1"/>
  <c r="K124" i="9"/>
  <c r="L124" i="9" s="1"/>
  <c r="M124" i="9" s="1"/>
  <c r="L134" i="9"/>
  <c r="M134" i="9" s="1"/>
  <c r="K134" i="9"/>
  <c r="K140" i="9"/>
  <c r="L140" i="9" s="1"/>
  <c r="M140" i="9" s="1"/>
  <c r="K73" i="9"/>
  <c r="L73" i="9" s="1"/>
  <c r="M73" i="9" s="1"/>
  <c r="O73" i="9" s="1"/>
  <c r="K125" i="9"/>
  <c r="L125" i="9" s="1"/>
  <c r="M125" i="9" s="1"/>
  <c r="L145" i="9"/>
  <c r="M145" i="9" s="1"/>
  <c r="K145" i="9"/>
  <c r="K112" i="9"/>
  <c r="L112" i="9" s="1"/>
  <c r="M112" i="9" s="1"/>
  <c r="K131" i="9"/>
  <c r="L131" i="9" s="1"/>
  <c r="M131" i="9" s="1"/>
  <c r="K179" i="9"/>
  <c r="L179" i="9" s="1"/>
  <c r="M179" i="9" s="1"/>
  <c r="P225" i="9"/>
  <c r="Q225" i="9" s="1"/>
  <c r="O225" i="9"/>
  <c r="K84" i="9"/>
  <c r="L84" i="9" s="1"/>
  <c r="M84" i="9" s="1"/>
  <c r="O84" i="9" s="1"/>
  <c r="P203" i="9"/>
  <c r="Q203" i="9" s="1"/>
  <c r="O203" i="9"/>
  <c r="O206" i="9"/>
  <c r="P206" i="9"/>
  <c r="Q206" i="9" s="1"/>
  <c r="K80" i="9"/>
  <c r="L80" i="9" s="1"/>
  <c r="M80" i="9" s="1"/>
  <c r="O80" i="9" s="1"/>
  <c r="K94" i="9"/>
  <c r="L94" i="9" s="1"/>
  <c r="M94" i="9" s="1"/>
  <c r="O94" i="9" s="1"/>
  <c r="K148" i="9"/>
  <c r="L148" i="9" s="1"/>
  <c r="M148" i="9" s="1"/>
  <c r="P148" i="9" s="1"/>
  <c r="Q148" i="9" s="1"/>
  <c r="P174" i="9"/>
  <c r="Q174" i="9" s="1"/>
  <c r="O174" i="9"/>
  <c r="K216" i="9"/>
  <c r="L216" i="9" s="1"/>
  <c r="M216" i="9" s="1"/>
  <c r="K175" i="9"/>
  <c r="L175" i="9" s="1"/>
  <c r="M175" i="9" s="1"/>
  <c r="P195" i="9"/>
  <c r="Q195" i="9" s="1"/>
  <c r="O195" i="9"/>
  <c r="P210" i="9"/>
  <c r="Q210" i="9" s="1"/>
  <c r="O210" i="9"/>
  <c r="P228" i="9"/>
  <c r="Q228" i="9" s="1"/>
  <c r="O228" i="9"/>
  <c r="K209" i="9"/>
  <c r="L209" i="9" s="1"/>
  <c r="M209" i="9" s="1"/>
  <c r="O200" i="9"/>
  <c r="O207" i="9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9" i="8"/>
  <c r="N229" i="8"/>
  <c r="K172" i="8"/>
  <c r="L172" i="8" s="1"/>
  <c r="K174" i="8"/>
  <c r="L174" i="8" s="1"/>
  <c r="K191" i="8"/>
  <c r="L191" i="8" s="1"/>
  <c r="K195" i="8"/>
  <c r="L195" i="8" s="1"/>
  <c r="K200" i="8"/>
  <c r="L200" i="8" s="1"/>
  <c r="K201" i="8"/>
  <c r="L201" i="8" s="1"/>
  <c r="K203" i="8"/>
  <c r="L203" i="8" s="1"/>
  <c r="K204" i="8"/>
  <c r="L204" i="8" s="1"/>
  <c r="K206" i="8"/>
  <c r="L206" i="8" s="1"/>
  <c r="K207" i="8"/>
  <c r="L207" i="8" s="1"/>
  <c r="K210" i="8"/>
  <c r="L210" i="8" s="1"/>
  <c r="K225" i="8"/>
  <c r="L225" i="8" s="1"/>
  <c r="K226" i="8"/>
  <c r="L226" i="8" s="1"/>
  <c r="K228" i="8"/>
  <c r="L228" i="8" s="1"/>
  <c r="J203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9" i="8"/>
  <c r="H211" i="8"/>
  <c r="H199" i="8"/>
  <c r="H198" i="8"/>
  <c r="H197" i="8"/>
  <c r="H196" i="8"/>
  <c r="H194" i="8"/>
  <c r="H193" i="8"/>
  <c r="H189" i="8"/>
  <c r="H186" i="8"/>
  <c r="H184" i="8"/>
  <c r="H183" i="8"/>
  <c r="H182" i="8"/>
  <c r="H181" i="8"/>
  <c r="H180" i="8"/>
  <c r="H179" i="8"/>
  <c r="H178" i="8"/>
  <c r="H177" i="8"/>
  <c r="H175" i="8"/>
  <c r="H171" i="8"/>
  <c r="H170" i="8"/>
  <c r="H216" i="8"/>
  <c r="H205" i="8"/>
  <c r="H209" i="8"/>
  <c r="H188" i="8"/>
  <c r="H187" i="8"/>
  <c r="H176" i="8"/>
  <c r="H202" i="8"/>
  <c r="H168" i="8"/>
  <c r="H167" i="8"/>
  <c r="H165" i="8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51" i="8"/>
  <c r="H150" i="8"/>
  <c r="H149" i="8"/>
  <c r="H148" i="8"/>
  <c r="H147" i="8"/>
  <c r="H146" i="8"/>
  <c r="H145" i="8"/>
  <c r="H144" i="8"/>
  <c r="H143" i="8"/>
  <c r="H142" i="8"/>
  <c r="H141" i="8"/>
  <c r="H140" i="8"/>
  <c r="H139" i="8"/>
  <c r="H138" i="8"/>
  <c r="H137" i="8"/>
  <c r="H136" i="8"/>
  <c r="H135" i="8"/>
  <c r="H134" i="8"/>
  <c r="H133" i="8"/>
  <c r="H132" i="8"/>
  <c r="H131" i="8"/>
  <c r="H130" i="8"/>
  <c r="H129" i="8"/>
  <c r="H128" i="8"/>
  <c r="H127" i="8"/>
  <c r="H126" i="8"/>
  <c r="H125" i="8"/>
  <c r="H124" i="8"/>
  <c r="H123" i="8"/>
  <c r="H122" i="8"/>
  <c r="H121" i="8"/>
  <c r="H120" i="8"/>
  <c r="H119" i="8"/>
  <c r="H118" i="8"/>
  <c r="H117" i="8"/>
  <c r="H116" i="8"/>
  <c r="H115" i="8"/>
  <c r="H114" i="8"/>
  <c r="H113" i="8"/>
  <c r="H112" i="8"/>
  <c r="H111" i="8"/>
  <c r="H110" i="8"/>
  <c r="H109" i="8"/>
  <c r="H108" i="8"/>
  <c r="H107" i="8"/>
  <c r="H105" i="8"/>
  <c r="H106" i="8"/>
  <c r="J172" i="8"/>
  <c r="J174" i="8"/>
  <c r="J191" i="8"/>
  <c r="J195" i="8"/>
  <c r="J200" i="8"/>
  <c r="J201" i="8"/>
  <c r="J204" i="8"/>
  <c r="J206" i="8"/>
  <c r="J207" i="8"/>
  <c r="J210" i="8"/>
  <c r="J225" i="8"/>
  <c r="J226" i="8"/>
  <c r="J228" i="8"/>
  <c r="I227" i="9" l="1"/>
  <c r="K227" i="9" s="1"/>
  <c r="L227" i="9" s="1"/>
  <c r="M227" i="9" s="1"/>
  <c r="K34" i="9"/>
  <c r="L10" i="9"/>
  <c r="M10" i="9" s="1"/>
  <c r="O10" i="9" s="1"/>
  <c r="I213" i="9"/>
  <c r="K213" i="9" s="1"/>
  <c r="L213" i="9" s="1"/>
  <c r="M213" i="9" s="1"/>
  <c r="N142" i="15"/>
  <c r="N151" i="6"/>
  <c r="O85" i="15"/>
  <c r="P85" i="15" s="1"/>
  <c r="N85" i="15"/>
  <c r="O91" i="15"/>
  <c r="P91" i="15" s="1"/>
  <c r="N91" i="15"/>
  <c r="O89" i="15"/>
  <c r="P89" i="15" s="1"/>
  <c r="N89" i="15"/>
  <c r="O143" i="15"/>
  <c r="P143" i="15" s="1"/>
  <c r="O138" i="15"/>
  <c r="P138" i="15" s="1"/>
  <c r="N138" i="15"/>
  <c r="O129" i="15"/>
  <c r="P129" i="15" s="1"/>
  <c r="N129" i="15"/>
  <c r="O134" i="15"/>
  <c r="P134" i="15" s="1"/>
  <c r="N134" i="15"/>
  <c r="O135" i="15"/>
  <c r="P135" i="15" s="1"/>
  <c r="N135" i="15"/>
  <c r="O128" i="15"/>
  <c r="P128" i="15" s="1"/>
  <c r="N128" i="15"/>
  <c r="O131" i="15"/>
  <c r="P131" i="15" s="1"/>
  <c r="N131" i="15"/>
  <c r="O137" i="15"/>
  <c r="P137" i="15" s="1"/>
  <c r="N137" i="15"/>
  <c r="O127" i="15"/>
  <c r="P127" i="15" s="1"/>
  <c r="N127" i="15"/>
  <c r="O126" i="15"/>
  <c r="P126" i="15" s="1"/>
  <c r="O130" i="15"/>
  <c r="P130" i="15" s="1"/>
  <c r="N130" i="15"/>
  <c r="O146" i="9"/>
  <c r="K146" i="9"/>
  <c r="P173" i="15"/>
  <c r="P174" i="15" s="1"/>
  <c r="P175" i="15" s="1"/>
  <c r="K163" i="8"/>
  <c r="L163" i="8" s="1"/>
  <c r="N163" i="8" s="1"/>
  <c r="K97" i="8"/>
  <c r="L97" i="8" s="1"/>
  <c r="N97" i="8" s="1"/>
  <c r="L91" i="9"/>
  <c r="M91" i="9" s="1"/>
  <c r="O91" i="9" s="1"/>
  <c r="P179" i="9"/>
  <c r="Q179" i="9" s="1"/>
  <c r="O179" i="9"/>
  <c r="O137" i="9"/>
  <c r="P137" i="9"/>
  <c r="Q137" i="9" s="1"/>
  <c r="P181" i="9"/>
  <c r="Q181" i="9" s="1"/>
  <c r="O181" i="9"/>
  <c r="P156" i="9"/>
  <c r="Q156" i="9" s="1"/>
  <c r="O156" i="9"/>
  <c r="P205" i="9"/>
  <c r="Q205" i="9" s="1"/>
  <c r="O205" i="9"/>
  <c r="O165" i="9"/>
  <c r="P165" i="9"/>
  <c r="Q165" i="9" s="1"/>
  <c r="P182" i="9"/>
  <c r="Q182" i="9" s="1"/>
  <c r="O182" i="9"/>
  <c r="O171" i="9"/>
  <c r="P171" i="9"/>
  <c r="Q171" i="9" s="1"/>
  <c r="O194" i="9"/>
  <c r="P194" i="9"/>
  <c r="Q194" i="9" s="1"/>
  <c r="O132" i="9"/>
  <c r="P132" i="9"/>
  <c r="Q132" i="9" s="1"/>
  <c r="P149" i="9"/>
  <c r="Q149" i="9" s="1"/>
  <c r="O149" i="9"/>
  <c r="P186" i="9"/>
  <c r="Q186" i="9" s="1"/>
  <c r="O186" i="9"/>
  <c r="P157" i="9"/>
  <c r="Q157" i="9" s="1"/>
  <c r="O157" i="9"/>
  <c r="O105" i="9"/>
  <c r="P105" i="9"/>
  <c r="Q105" i="9" s="1"/>
  <c r="P175" i="9"/>
  <c r="Q175" i="9" s="1"/>
  <c r="O175" i="9"/>
  <c r="O122" i="9"/>
  <c r="P122" i="9"/>
  <c r="Q122" i="9" s="1"/>
  <c r="L183" i="9"/>
  <c r="M183" i="9" s="1"/>
  <c r="P183" i="9" s="1"/>
  <c r="Q183" i="9" s="1"/>
  <c r="L24" i="9"/>
  <c r="M24" i="9" s="1"/>
  <c r="O24" i="9" s="1"/>
  <c r="L46" i="9"/>
  <c r="M46" i="9" s="1"/>
  <c r="O46" i="9" s="1"/>
  <c r="P161" i="9"/>
  <c r="Q161" i="9" s="1"/>
  <c r="L153" i="9"/>
  <c r="M153" i="9" s="1"/>
  <c r="P153" i="9" s="1"/>
  <c r="Q153" i="9" s="1"/>
  <c r="O148" i="9"/>
  <c r="K126" i="9"/>
  <c r="L126" i="9" s="1"/>
  <c r="M126" i="9" s="1"/>
  <c r="O126" i="9" s="1"/>
  <c r="L143" i="9"/>
  <c r="M143" i="9" s="1"/>
  <c r="L69" i="9"/>
  <c r="M69" i="9" s="1"/>
  <c r="O69" i="9" s="1"/>
  <c r="K178" i="9"/>
  <c r="L178" i="9" s="1"/>
  <c r="M178" i="9" s="1"/>
  <c r="K143" i="9"/>
  <c r="K173" i="9"/>
  <c r="L173" i="9" s="1"/>
  <c r="M173" i="9" s="1"/>
  <c r="O173" i="9" s="1"/>
  <c r="L96" i="9"/>
  <c r="M96" i="9" s="1"/>
  <c r="O96" i="9" s="1"/>
  <c r="O142" i="9"/>
  <c r="O110" i="9"/>
  <c r="P110" i="9"/>
  <c r="Q110" i="9" s="1"/>
  <c r="K83" i="9"/>
  <c r="L83" i="9" s="1"/>
  <c r="M83" i="9" s="1"/>
  <c r="O83" i="9" s="1"/>
  <c r="K76" i="9"/>
  <c r="L76" i="9" s="1"/>
  <c r="M76" i="9" s="1"/>
  <c r="O76" i="9" s="1"/>
  <c r="K30" i="9"/>
  <c r="L30" i="9" s="1"/>
  <c r="M30" i="9" s="1"/>
  <c r="O30" i="9" s="1"/>
  <c r="K92" i="9"/>
  <c r="L92" i="9" s="1"/>
  <c r="M92" i="9" s="1"/>
  <c r="O92" i="9" s="1"/>
  <c r="K184" i="9"/>
  <c r="L184" i="9" s="1"/>
  <c r="M184" i="9" s="1"/>
  <c r="K212" i="9"/>
  <c r="L212" i="9" s="1"/>
  <c r="M212" i="9" s="1"/>
  <c r="O141" i="9"/>
  <c r="K22" i="9"/>
  <c r="L22" i="9" s="1"/>
  <c r="M22" i="9" s="1"/>
  <c r="O22" i="9" s="1"/>
  <c r="K70" i="9"/>
  <c r="L70" i="9" s="1"/>
  <c r="M70" i="9" s="1"/>
  <c r="O70" i="9" s="1"/>
  <c r="K98" i="9"/>
  <c r="L98" i="9" s="1"/>
  <c r="M98" i="9" s="1"/>
  <c r="O98" i="9" s="1"/>
  <c r="P168" i="9"/>
  <c r="Q168" i="9" s="1"/>
  <c r="K176" i="9"/>
  <c r="L176" i="9" s="1"/>
  <c r="M176" i="9" s="1"/>
  <c r="K69" i="9"/>
  <c r="K52" i="9"/>
  <c r="L52" i="9" s="1"/>
  <c r="M52" i="9" s="1"/>
  <c r="O52" i="9" s="1"/>
  <c r="L128" i="9"/>
  <c r="M128" i="9" s="1"/>
  <c r="O128" i="9" s="1"/>
  <c r="L147" i="9"/>
  <c r="M147" i="9" s="1"/>
  <c r="P147" i="9" s="1"/>
  <c r="Q147" i="9" s="1"/>
  <c r="K31" i="9"/>
  <c r="L31" i="9" s="1"/>
  <c r="M31" i="9" s="1"/>
  <c r="O31" i="9" s="1"/>
  <c r="L150" i="9"/>
  <c r="M150" i="9" s="1"/>
  <c r="P150" i="9" s="1"/>
  <c r="Q150" i="9" s="1"/>
  <c r="K163" i="9"/>
  <c r="L51" i="9"/>
  <c r="M51" i="9" s="1"/>
  <c r="O51" i="9" s="1"/>
  <c r="P111" i="9"/>
  <c r="Q111" i="9" s="1"/>
  <c r="O155" i="9"/>
  <c r="K56" i="9"/>
  <c r="L56" i="9" s="1"/>
  <c r="M56" i="9" s="1"/>
  <c r="O56" i="9" s="1"/>
  <c r="K185" i="9"/>
  <c r="L185" i="9" s="1"/>
  <c r="M185" i="9" s="1"/>
  <c r="K192" i="9"/>
  <c r="L192" i="9" s="1"/>
  <c r="M192" i="9" s="1"/>
  <c r="K26" i="9"/>
  <c r="L26" i="9" s="1"/>
  <c r="M26" i="9" s="1"/>
  <c r="O26" i="9" s="1"/>
  <c r="K123" i="9"/>
  <c r="L123" i="9" s="1"/>
  <c r="M123" i="9" s="1"/>
  <c r="K164" i="9"/>
  <c r="L164" i="9" s="1"/>
  <c r="M164" i="9" s="1"/>
  <c r="K109" i="9"/>
  <c r="L109" i="9" s="1"/>
  <c r="M109" i="9" s="1"/>
  <c r="K62" i="9"/>
  <c r="L62" i="9" s="1"/>
  <c r="M62" i="9" s="1"/>
  <c r="O62" i="9" s="1"/>
  <c r="K36" i="9"/>
  <c r="L36" i="9" s="1"/>
  <c r="M36" i="9" s="1"/>
  <c r="O36" i="9" s="1"/>
  <c r="K193" i="9"/>
  <c r="L193" i="9" s="1"/>
  <c r="M193" i="9" s="1"/>
  <c r="O166" i="9"/>
  <c r="K37" i="9"/>
  <c r="L37" i="9" s="1"/>
  <c r="M37" i="9" s="1"/>
  <c r="O37" i="9" s="1"/>
  <c r="K53" i="9"/>
  <c r="L53" i="9" s="1"/>
  <c r="M53" i="9" s="1"/>
  <c r="O53" i="9" s="1"/>
  <c r="K208" i="9"/>
  <c r="L208" i="9" s="1"/>
  <c r="M208" i="9" s="1"/>
  <c r="K138" i="9"/>
  <c r="L138" i="9" s="1"/>
  <c r="M138" i="9" s="1"/>
  <c r="P113" i="9"/>
  <c r="Q113" i="9" s="1"/>
  <c r="L29" i="9"/>
  <c r="M29" i="9" s="1"/>
  <c r="O29" i="9" s="1"/>
  <c r="K23" i="9"/>
  <c r="L23" i="9" s="1"/>
  <c r="M23" i="9" s="1"/>
  <c r="O23" i="9" s="1"/>
  <c r="K63" i="9"/>
  <c r="L63" i="9" s="1"/>
  <c r="M63" i="9" s="1"/>
  <c r="O63" i="9" s="1"/>
  <c r="L85" i="9"/>
  <c r="M85" i="9" s="1"/>
  <c r="O85" i="9" s="1"/>
  <c r="K71" i="9"/>
  <c r="L71" i="9" s="1"/>
  <c r="M71" i="9" s="1"/>
  <c r="O71" i="9" s="1"/>
  <c r="K162" i="9"/>
  <c r="L162" i="9" s="1"/>
  <c r="M162" i="9" s="1"/>
  <c r="H223" i="8"/>
  <c r="J223" i="8" s="1"/>
  <c r="J215" i="8"/>
  <c r="J156" i="8"/>
  <c r="K156" i="8" s="1"/>
  <c r="L156" i="8" s="1"/>
  <c r="J163" i="8"/>
  <c r="J149" i="8"/>
  <c r="K149" i="8" s="1"/>
  <c r="L149" i="8" s="1"/>
  <c r="J142" i="8"/>
  <c r="K142" i="8" s="1"/>
  <c r="L142" i="8" s="1"/>
  <c r="N142" i="8" s="1"/>
  <c r="J209" i="8"/>
  <c r="K209" i="8" s="1"/>
  <c r="L209" i="8" s="1"/>
  <c r="O209" i="8" s="1"/>
  <c r="P209" i="8" s="1"/>
  <c r="J186" i="8"/>
  <c r="K186" i="8" s="1"/>
  <c r="L186" i="8" s="1"/>
  <c r="J134" i="8"/>
  <c r="K134" i="8" s="1"/>
  <c r="L134" i="8" s="1"/>
  <c r="J119" i="8"/>
  <c r="K119" i="8" s="1"/>
  <c r="L119" i="8" s="1"/>
  <c r="J112" i="8"/>
  <c r="K112" i="8" s="1"/>
  <c r="L112" i="8" s="1"/>
  <c r="J178" i="8"/>
  <c r="K178" i="8" s="1"/>
  <c r="L178" i="8" s="1"/>
  <c r="J166" i="8"/>
  <c r="K166" i="8" s="1"/>
  <c r="L166" i="8" s="1"/>
  <c r="J159" i="8"/>
  <c r="K159" i="8" s="1"/>
  <c r="L159" i="8" s="1"/>
  <c r="J152" i="8"/>
  <c r="K152" i="8" s="1"/>
  <c r="L152" i="8" s="1"/>
  <c r="J145" i="8"/>
  <c r="K145" i="8" s="1"/>
  <c r="L145" i="8" s="1"/>
  <c r="J137" i="8"/>
  <c r="K137" i="8" s="1"/>
  <c r="L137" i="8" s="1"/>
  <c r="J129" i="8"/>
  <c r="J122" i="8"/>
  <c r="K122" i="8" s="1"/>
  <c r="L122" i="8" s="1"/>
  <c r="J115" i="8"/>
  <c r="K115" i="8" s="1"/>
  <c r="L115" i="8" s="1"/>
  <c r="J181" i="8"/>
  <c r="K181" i="8" s="1"/>
  <c r="L181" i="8" s="1"/>
  <c r="J185" i="8"/>
  <c r="K185" i="8" s="1"/>
  <c r="L185" i="8" s="1"/>
  <c r="J216" i="8"/>
  <c r="K216" i="8" s="1"/>
  <c r="L216" i="8" s="1"/>
  <c r="N216" i="8" s="1"/>
  <c r="J208" i="8"/>
  <c r="K208" i="8" s="1"/>
  <c r="L208" i="8" s="1"/>
  <c r="J162" i="8"/>
  <c r="J155" i="8"/>
  <c r="K155" i="8" s="1"/>
  <c r="L155" i="8" s="1"/>
  <c r="J148" i="8"/>
  <c r="K148" i="8" s="1"/>
  <c r="L148" i="8" s="1"/>
  <c r="J141" i="8"/>
  <c r="J133" i="8"/>
  <c r="K133" i="8" s="1"/>
  <c r="L133" i="8" s="1"/>
  <c r="O133" i="8" s="1"/>
  <c r="P133" i="8" s="1"/>
  <c r="J126" i="8"/>
  <c r="K126" i="8" s="1"/>
  <c r="L126" i="8" s="1"/>
  <c r="J118" i="8"/>
  <c r="K118" i="8" s="1"/>
  <c r="L118" i="8" s="1"/>
  <c r="J111" i="8"/>
  <c r="K111" i="8" s="1"/>
  <c r="L111" i="8" s="1"/>
  <c r="J164" i="8"/>
  <c r="K164" i="8" s="1"/>
  <c r="L164" i="8" s="1"/>
  <c r="H221" i="8"/>
  <c r="J105" i="8"/>
  <c r="K105" i="8" s="1"/>
  <c r="L105" i="8" s="1"/>
  <c r="N105" i="8" s="1"/>
  <c r="J189" i="8"/>
  <c r="K189" i="8" s="1"/>
  <c r="L189" i="8" s="1"/>
  <c r="J102" i="8"/>
  <c r="J49" i="8"/>
  <c r="J220" i="8"/>
  <c r="K220" i="8" s="1"/>
  <c r="L220" i="8" s="1"/>
  <c r="N220" i="8" s="1"/>
  <c r="H222" i="8"/>
  <c r="H219" i="8"/>
  <c r="J219" i="8" s="1"/>
  <c r="H224" i="8"/>
  <c r="J224" i="8" s="1"/>
  <c r="K224" i="8" s="1"/>
  <c r="L224" i="8" s="1"/>
  <c r="H218" i="8"/>
  <c r="J218" i="8" s="1"/>
  <c r="N203" i="8"/>
  <c r="O203" i="8"/>
  <c r="P203" i="8" s="1"/>
  <c r="N172" i="8"/>
  <c r="O172" i="8"/>
  <c r="P172" i="8" s="1"/>
  <c r="N228" i="8"/>
  <c r="O228" i="8"/>
  <c r="P228" i="8" s="1"/>
  <c r="N206" i="8"/>
  <c r="O206" i="8"/>
  <c r="P206" i="8" s="1"/>
  <c r="N226" i="8"/>
  <c r="O226" i="8"/>
  <c r="P226" i="8" s="1"/>
  <c r="N201" i="8"/>
  <c r="O201" i="8"/>
  <c r="P201" i="8" s="1"/>
  <c r="O200" i="8"/>
  <c r="P200" i="8" s="1"/>
  <c r="N200" i="8"/>
  <c r="O225" i="8"/>
  <c r="P225" i="8" s="1"/>
  <c r="N225" i="8"/>
  <c r="J188" i="8"/>
  <c r="K188" i="8" s="1"/>
  <c r="L188" i="8" s="1"/>
  <c r="N188" i="8" s="1"/>
  <c r="J95" i="8"/>
  <c r="J66" i="8"/>
  <c r="J43" i="8"/>
  <c r="J28" i="8"/>
  <c r="K28" i="8" s="1"/>
  <c r="L28" i="8" s="1"/>
  <c r="N28" i="8" s="1"/>
  <c r="O210" i="8"/>
  <c r="P210" i="8" s="1"/>
  <c r="N210" i="8"/>
  <c r="O195" i="8"/>
  <c r="P195" i="8" s="1"/>
  <c r="N195" i="8"/>
  <c r="J227" i="8"/>
  <c r="K227" i="8" s="1"/>
  <c r="L227" i="8" s="1"/>
  <c r="N227" i="8" s="1"/>
  <c r="J180" i="8"/>
  <c r="K180" i="8" s="1"/>
  <c r="L180" i="8" s="1"/>
  <c r="O180" i="8" s="1"/>
  <c r="P180" i="8" s="1"/>
  <c r="J147" i="8"/>
  <c r="J176" i="8"/>
  <c r="N207" i="8"/>
  <c r="O207" i="8"/>
  <c r="P207" i="8" s="1"/>
  <c r="N191" i="8"/>
  <c r="O191" i="8"/>
  <c r="P191" i="8" s="1"/>
  <c r="O204" i="8"/>
  <c r="P204" i="8" s="1"/>
  <c r="N204" i="8"/>
  <c r="O174" i="8"/>
  <c r="P174" i="8" s="1"/>
  <c r="N174" i="8"/>
  <c r="M146" i="7"/>
  <c r="O146" i="7"/>
  <c r="P146" i="7" s="1"/>
  <c r="N149" i="6"/>
  <c r="O144" i="7"/>
  <c r="P144" i="7" s="1"/>
  <c r="N146" i="3"/>
  <c r="O146" i="3" s="1"/>
  <c r="O153" i="7"/>
  <c r="P153" i="7" s="1"/>
  <c r="N144" i="6"/>
  <c r="O146" i="6"/>
  <c r="P146" i="6" s="1"/>
  <c r="N146" i="6"/>
  <c r="O145" i="6"/>
  <c r="P145" i="6" s="1"/>
  <c r="N145" i="6"/>
  <c r="O147" i="6"/>
  <c r="P147" i="6" s="1"/>
  <c r="N147" i="6"/>
  <c r="N143" i="6"/>
  <c r="N150" i="6"/>
  <c r="N142" i="6"/>
  <c r="N148" i="6"/>
  <c r="M145" i="7"/>
  <c r="O145" i="7"/>
  <c r="P145" i="7" s="1"/>
  <c r="M143" i="7"/>
  <c r="O143" i="7"/>
  <c r="P143" i="7" s="1"/>
  <c r="O151" i="7"/>
  <c r="P151" i="7" s="1"/>
  <c r="M151" i="7"/>
  <c r="M150" i="7"/>
  <c r="O150" i="7"/>
  <c r="P150" i="7" s="1"/>
  <c r="O149" i="7"/>
  <c r="P149" i="7" s="1"/>
  <c r="M149" i="7"/>
  <c r="M148" i="7"/>
  <c r="O148" i="7"/>
  <c r="P148" i="7" s="1"/>
  <c r="M147" i="7"/>
  <c r="O147" i="7"/>
  <c r="P147" i="7" s="1"/>
  <c r="O152" i="7"/>
  <c r="P152" i="7" s="1"/>
  <c r="M152" i="7"/>
  <c r="M142" i="3"/>
  <c r="N142" i="3"/>
  <c r="O142" i="3" s="1"/>
  <c r="M144" i="3"/>
  <c r="N144" i="3"/>
  <c r="O144" i="3" s="1"/>
  <c r="N140" i="3"/>
  <c r="O140" i="3" s="1"/>
  <c r="M140" i="3"/>
  <c r="M145" i="3"/>
  <c r="N145" i="3"/>
  <c r="O145" i="3" s="1"/>
  <c r="M147" i="3"/>
  <c r="N147" i="3"/>
  <c r="O147" i="3" s="1"/>
  <c r="N149" i="3"/>
  <c r="O149" i="3" s="1"/>
  <c r="M149" i="3"/>
  <c r="M143" i="3"/>
  <c r="N143" i="3"/>
  <c r="O143" i="3" s="1"/>
  <c r="M141" i="3"/>
  <c r="N141" i="3"/>
  <c r="O141" i="3" s="1"/>
  <c r="M148" i="3"/>
  <c r="N148" i="3"/>
  <c r="O148" i="3" s="1"/>
  <c r="N150" i="3"/>
  <c r="O150" i="3" s="1"/>
  <c r="M150" i="3"/>
  <c r="L68" i="9"/>
  <c r="M68" i="9" s="1"/>
  <c r="O68" i="9" s="1"/>
  <c r="K133" i="9"/>
  <c r="L133" i="9" s="1"/>
  <c r="M133" i="9" s="1"/>
  <c r="K121" i="9"/>
  <c r="L121" i="9"/>
  <c r="M121" i="9" s="1"/>
  <c r="K117" i="9"/>
  <c r="L117" i="9" s="1"/>
  <c r="M117" i="9" s="1"/>
  <c r="K120" i="9"/>
  <c r="L120" i="9" s="1"/>
  <c r="M120" i="9" s="1"/>
  <c r="L187" i="9"/>
  <c r="M187" i="9" s="1"/>
  <c r="P187" i="9" s="1"/>
  <c r="Q187" i="9" s="1"/>
  <c r="K180" i="9"/>
  <c r="L180" i="9" s="1"/>
  <c r="M180" i="9" s="1"/>
  <c r="K127" i="9"/>
  <c r="L127" i="9" s="1"/>
  <c r="M127" i="9" s="1"/>
  <c r="H103" i="9"/>
  <c r="K39" i="9"/>
  <c r="L39" i="9" s="1"/>
  <c r="M39" i="9" s="1"/>
  <c r="O39" i="9" s="1"/>
  <c r="K177" i="9"/>
  <c r="L177" i="9" s="1"/>
  <c r="M177" i="9" s="1"/>
  <c r="L151" i="9"/>
  <c r="M151" i="9" s="1"/>
  <c r="P151" i="9" s="1"/>
  <c r="Q151" i="9" s="1"/>
  <c r="K158" i="9"/>
  <c r="L158" i="9" s="1"/>
  <c r="M158" i="9" s="1"/>
  <c r="K21" i="9"/>
  <c r="L21" i="9" s="1"/>
  <c r="M21" i="9" s="1"/>
  <c r="O21" i="9" s="1"/>
  <c r="K197" i="9"/>
  <c r="L197" i="9" s="1"/>
  <c r="M197" i="9" s="1"/>
  <c r="K99" i="9"/>
  <c r="L99" i="9" s="1"/>
  <c r="M99" i="9" s="1"/>
  <c r="O99" i="9" s="1"/>
  <c r="K54" i="9"/>
  <c r="L54" i="9" s="1"/>
  <c r="M54" i="9" s="1"/>
  <c r="O54" i="9" s="1"/>
  <c r="P196" i="9"/>
  <c r="Q196" i="9" s="1"/>
  <c r="K108" i="9"/>
  <c r="L108" i="9" s="1"/>
  <c r="M108" i="9" s="1"/>
  <c r="P170" i="9"/>
  <c r="Q170" i="9" s="1"/>
  <c r="P167" i="9"/>
  <c r="Q167" i="9" s="1"/>
  <c r="P129" i="9"/>
  <c r="Q129" i="9" s="1"/>
  <c r="K16" i="9"/>
  <c r="L16" i="9" s="1"/>
  <c r="M16" i="9" s="1"/>
  <c r="O16" i="9" s="1"/>
  <c r="P160" i="9"/>
  <c r="Q160" i="9" s="1"/>
  <c r="K136" i="9"/>
  <c r="L136" i="9" s="1"/>
  <c r="M136" i="9" s="1"/>
  <c r="I14" i="9"/>
  <c r="K14" i="9" s="1"/>
  <c r="K87" i="9"/>
  <c r="L87" i="9" s="1"/>
  <c r="M87" i="9" s="1"/>
  <c r="O87" i="9" s="1"/>
  <c r="K154" i="9"/>
  <c r="L154" i="9" s="1"/>
  <c r="M154" i="9" s="1"/>
  <c r="K106" i="9"/>
  <c r="L106" i="9" s="1"/>
  <c r="M106" i="9" s="1"/>
  <c r="K135" i="9"/>
  <c r="L135" i="9" s="1"/>
  <c r="M135" i="9" s="1"/>
  <c r="K15" i="9"/>
  <c r="L15" i="9" s="1"/>
  <c r="M15" i="9" s="1"/>
  <c r="O15" i="9" s="1"/>
  <c r="K38" i="9"/>
  <c r="L38" i="9" s="1"/>
  <c r="M38" i="9" s="1"/>
  <c r="O38" i="9" s="1"/>
  <c r="K18" i="9"/>
  <c r="L18" i="9" s="1"/>
  <c r="M18" i="9" s="1"/>
  <c r="O18" i="9" s="1"/>
  <c r="K9" i="9"/>
  <c r="L9" i="9" s="1"/>
  <c r="M9" i="9" s="1"/>
  <c r="O9" i="9" s="1"/>
  <c r="J211" i="8"/>
  <c r="K211" i="8" s="1"/>
  <c r="L211" i="8" s="1"/>
  <c r="O211" i="8" s="1"/>
  <c r="P211" i="8" s="1"/>
  <c r="J158" i="8"/>
  <c r="K158" i="8" s="1"/>
  <c r="L158" i="8" s="1"/>
  <c r="J151" i="8"/>
  <c r="K151" i="8" s="1"/>
  <c r="L151" i="8" s="1"/>
  <c r="J144" i="8"/>
  <c r="K144" i="8" s="1"/>
  <c r="L144" i="8" s="1"/>
  <c r="J136" i="8"/>
  <c r="K136" i="8" s="1"/>
  <c r="L136" i="8" s="1"/>
  <c r="J128" i="8"/>
  <c r="K128" i="8" s="1"/>
  <c r="L128" i="8" s="1"/>
  <c r="N128" i="8" s="1"/>
  <c r="J121" i="8"/>
  <c r="K121" i="8" s="1"/>
  <c r="L121" i="8" s="1"/>
  <c r="J114" i="8"/>
  <c r="K114" i="8" s="1"/>
  <c r="L114" i="8" s="1"/>
  <c r="J107" i="8"/>
  <c r="K107" i="8" s="1"/>
  <c r="L107" i="8" s="1"/>
  <c r="N107" i="8" s="1"/>
  <c r="J165" i="8"/>
  <c r="K165" i="8" s="1"/>
  <c r="L165" i="8" s="1"/>
  <c r="J157" i="8"/>
  <c r="K157" i="8" s="1"/>
  <c r="L157" i="8" s="1"/>
  <c r="J202" i="8"/>
  <c r="K202" i="8" s="1"/>
  <c r="L202" i="8" s="1"/>
  <c r="J196" i="8"/>
  <c r="K196" i="8" s="1"/>
  <c r="L196" i="8" s="1"/>
  <c r="J187" i="8"/>
  <c r="J150" i="8"/>
  <c r="K150" i="8" s="1"/>
  <c r="L150" i="8" s="1"/>
  <c r="J143" i="8"/>
  <c r="K143" i="8" s="1"/>
  <c r="L143" i="8" s="1"/>
  <c r="J135" i="8"/>
  <c r="K135" i="8" s="1"/>
  <c r="L135" i="8" s="1"/>
  <c r="J127" i="8"/>
  <c r="K127" i="8" s="1"/>
  <c r="L127" i="8" s="1"/>
  <c r="J120" i="8"/>
  <c r="K120" i="8" s="1"/>
  <c r="L120" i="8" s="1"/>
  <c r="J113" i="8"/>
  <c r="K113" i="8" s="1"/>
  <c r="L113" i="8" s="1"/>
  <c r="O113" i="8" s="1"/>
  <c r="P113" i="8" s="1"/>
  <c r="J59" i="8"/>
  <c r="K59" i="8" s="1"/>
  <c r="L59" i="8" s="1"/>
  <c r="N59" i="8" s="1"/>
  <c r="J100" i="8"/>
  <c r="K100" i="8" s="1"/>
  <c r="L100" i="8" s="1"/>
  <c r="N100" i="8" s="1"/>
  <c r="J85" i="8"/>
  <c r="K85" i="8" s="1"/>
  <c r="L85" i="8" s="1"/>
  <c r="N85" i="8" s="1"/>
  <c r="J78" i="8"/>
  <c r="K78" i="8" s="1"/>
  <c r="L78" i="8" s="1"/>
  <c r="N78" i="8" s="1"/>
  <c r="J71" i="8"/>
  <c r="K71" i="8" s="1"/>
  <c r="L71" i="8" s="1"/>
  <c r="N71" i="8" s="1"/>
  <c r="J63" i="8"/>
  <c r="K63" i="8" s="1"/>
  <c r="L63" i="8" s="1"/>
  <c r="N63" i="8" s="1"/>
  <c r="J55" i="8"/>
  <c r="K55" i="8" s="1"/>
  <c r="L55" i="8" s="1"/>
  <c r="N55" i="8" s="1"/>
  <c r="J47" i="8"/>
  <c r="K47" i="8" s="1"/>
  <c r="L47" i="8" s="1"/>
  <c r="N47" i="8" s="1"/>
  <c r="J40" i="8"/>
  <c r="K40" i="8" s="1"/>
  <c r="L40" i="8" s="1"/>
  <c r="N40" i="8" s="1"/>
  <c r="J32" i="8"/>
  <c r="K32" i="8" s="1"/>
  <c r="L32" i="8" s="1"/>
  <c r="N32" i="8" s="1"/>
  <c r="J25" i="8"/>
  <c r="K25" i="8" s="1"/>
  <c r="L25" i="8" s="1"/>
  <c r="N25" i="8" s="1"/>
  <c r="J17" i="8"/>
  <c r="K17" i="8" s="1"/>
  <c r="L17" i="8" s="1"/>
  <c r="N17" i="8" s="1"/>
  <c r="J10" i="8"/>
  <c r="K10" i="8" s="1"/>
  <c r="L10" i="8" s="1"/>
  <c r="N10" i="8" s="1"/>
  <c r="J184" i="8"/>
  <c r="K184" i="8" s="1"/>
  <c r="L184" i="8" s="1"/>
  <c r="J51" i="8"/>
  <c r="K51" i="8" s="1"/>
  <c r="L51" i="8" s="1"/>
  <c r="N51" i="8" s="1"/>
  <c r="J106" i="8"/>
  <c r="K106" i="8" s="1"/>
  <c r="L106" i="8" s="1"/>
  <c r="J99" i="8"/>
  <c r="K99" i="8" s="1"/>
  <c r="L99" i="8" s="1"/>
  <c r="N99" i="8" s="1"/>
  <c r="J92" i="8"/>
  <c r="K92" i="8" s="1"/>
  <c r="L92" i="8" s="1"/>
  <c r="N92" i="8" s="1"/>
  <c r="J84" i="8"/>
  <c r="K84" i="8" s="1"/>
  <c r="L84" i="8" s="1"/>
  <c r="N84" i="8" s="1"/>
  <c r="J77" i="8"/>
  <c r="K77" i="8" s="1"/>
  <c r="L77" i="8" s="1"/>
  <c r="N77" i="8" s="1"/>
  <c r="J70" i="8"/>
  <c r="K70" i="8" s="1"/>
  <c r="L70" i="8" s="1"/>
  <c r="N70" i="8" s="1"/>
  <c r="J62" i="8"/>
  <c r="K62" i="8" s="1"/>
  <c r="L62" i="8" s="1"/>
  <c r="N62" i="8" s="1"/>
  <c r="J54" i="8"/>
  <c r="K54" i="8" s="1"/>
  <c r="L54" i="8" s="1"/>
  <c r="N54" i="8" s="1"/>
  <c r="J39" i="8"/>
  <c r="K39" i="8" s="1"/>
  <c r="L39" i="8" s="1"/>
  <c r="N39" i="8" s="1"/>
  <c r="J31" i="8"/>
  <c r="K31" i="8" s="1"/>
  <c r="L31" i="8" s="1"/>
  <c r="N31" i="8" s="1"/>
  <c r="J24" i="8"/>
  <c r="K24" i="8" s="1"/>
  <c r="L24" i="8" s="1"/>
  <c r="N24" i="8" s="1"/>
  <c r="J16" i="8"/>
  <c r="K16" i="8" s="1"/>
  <c r="L16" i="8" s="1"/>
  <c r="N16" i="8" s="1"/>
  <c r="J13" i="8"/>
  <c r="K13" i="8" s="1"/>
  <c r="L13" i="8" s="1"/>
  <c r="N13" i="8" s="1"/>
  <c r="K187" i="8"/>
  <c r="L187" i="8" s="1"/>
  <c r="O187" i="8" s="1"/>
  <c r="P187" i="8" s="1"/>
  <c r="J177" i="8"/>
  <c r="K177" i="8" s="1"/>
  <c r="L177" i="8" s="1"/>
  <c r="J175" i="8"/>
  <c r="K175" i="8" s="1"/>
  <c r="L175" i="8" s="1"/>
  <c r="J140" i="8"/>
  <c r="K140" i="8" s="1"/>
  <c r="L140" i="8" s="1"/>
  <c r="J199" i="8"/>
  <c r="K199" i="8" s="1"/>
  <c r="L199" i="8" s="1"/>
  <c r="J110" i="8"/>
  <c r="K110" i="8" s="1"/>
  <c r="L110" i="8" s="1"/>
  <c r="J198" i="8"/>
  <c r="K198" i="8" s="1"/>
  <c r="L198" i="8" s="1"/>
  <c r="J116" i="8"/>
  <c r="K116" i="8" s="1"/>
  <c r="L116" i="8" s="1"/>
  <c r="J98" i="8"/>
  <c r="K98" i="8" s="1"/>
  <c r="L98" i="8" s="1"/>
  <c r="N98" i="8" s="1"/>
  <c r="J91" i="8"/>
  <c r="K91" i="8" s="1"/>
  <c r="L91" i="8" s="1"/>
  <c r="N91" i="8" s="1"/>
  <c r="J76" i="8"/>
  <c r="K76" i="8" s="1"/>
  <c r="L76" i="8" s="1"/>
  <c r="N76" i="8" s="1"/>
  <c r="J69" i="8"/>
  <c r="K69" i="8" s="1"/>
  <c r="L69" i="8" s="1"/>
  <c r="N69" i="8" s="1"/>
  <c r="J61" i="8"/>
  <c r="K61" i="8" s="1"/>
  <c r="L61" i="8" s="1"/>
  <c r="N61" i="8" s="1"/>
  <c r="J53" i="8"/>
  <c r="K53" i="8" s="1"/>
  <c r="L53" i="8" s="1"/>
  <c r="N53" i="8" s="1"/>
  <c r="J46" i="8"/>
  <c r="K46" i="8" s="1"/>
  <c r="L46" i="8" s="1"/>
  <c r="N46" i="8" s="1"/>
  <c r="J38" i="8"/>
  <c r="K38" i="8" s="1"/>
  <c r="L38" i="8" s="1"/>
  <c r="N38" i="8" s="1"/>
  <c r="J30" i="8"/>
  <c r="K30" i="8" s="1"/>
  <c r="L30" i="8" s="1"/>
  <c r="N30" i="8" s="1"/>
  <c r="J23" i="8"/>
  <c r="K23" i="8" s="1"/>
  <c r="L23" i="8" s="1"/>
  <c r="N23" i="8" s="1"/>
  <c r="J15" i="8"/>
  <c r="K15" i="8" s="1"/>
  <c r="L15" i="8" s="1"/>
  <c r="N15" i="8" s="1"/>
  <c r="J214" i="8"/>
  <c r="K214" i="8" s="1"/>
  <c r="L214" i="8" s="1"/>
  <c r="J197" i="8"/>
  <c r="K197" i="8" s="1"/>
  <c r="L197" i="8" s="1"/>
  <c r="J167" i="8"/>
  <c r="K167" i="8" s="1"/>
  <c r="L167" i="8" s="1"/>
  <c r="J138" i="8"/>
  <c r="K138" i="8" s="1"/>
  <c r="L138" i="8" s="1"/>
  <c r="J108" i="8"/>
  <c r="K108" i="8" s="1"/>
  <c r="L108" i="8" s="1"/>
  <c r="J44" i="8"/>
  <c r="K44" i="8" s="1"/>
  <c r="L44" i="8" s="1"/>
  <c r="N44" i="8" s="1"/>
  <c r="J146" i="8"/>
  <c r="K146" i="8" s="1"/>
  <c r="L146" i="8" s="1"/>
  <c r="J193" i="8"/>
  <c r="K193" i="8" s="1"/>
  <c r="L193" i="8" s="1"/>
  <c r="O193" i="8" s="1"/>
  <c r="P193" i="8" s="1"/>
  <c r="J171" i="8"/>
  <c r="K171" i="8" s="1"/>
  <c r="L171" i="8" s="1"/>
  <c r="J97" i="8"/>
  <c r="J90" i="8"/>
  <c r="K90" i="8" s="1"/>
  <c r="L90" i="8" s="1"/>
  <c r="N90" i="8" s="1"/>
  <c r="J83" i="8"/>
  <c r="K83" i="8" s="1"/>
  <c r="L83" i="8" s="1"/>
  <c r="N83" i="8" s="1"/>
  <c r="J75" i="8"/>
  <c r="K75" i="8" s="1"/>
  <c r="L75" i="8" s="1"/>
  <c r="N75" i="8" s="1"/>
  <c r="J68" i="8"/>
  <c r="K68" i="8" s="1"/>
  <c r="L68" i="8" s="1"/>
  <c r="N68" i="8" s="1"/>
  <c r="J60" i="8"/>
  <c r="K60" i="8" s="1"/>
  <c r="L60" i="8" s="1"/>
  <c r="N60" i="8" s="1"/>
  <c r="J52" i="8"/>
  <c r="K52" i="8" s="1"/>
  <c r="L52" i="8" s="1"/>
  <c r="N52" i="8" s="1"/>
  <c r="J45" i="8"/>
  <c r="K45" i="8" s="1"/>
  <c r="L45" i="8" s="1"/>
  <c r="N45" i="8" s="1"/>
  <c r="J37" i="8"/>
  <c r="K37" i="8" s="1"/>
  <c r="L37" i="8" s="1"/>
  <c r="N37" i="8" s="1"/>
  <c r="J22" i="8"/>
  <c r="K22" i="8" s="1"/>
  <c r="L22" i="8" s="1"/>
  <c r="N22" i="8" s="1"/>
  <c r="J14" i="8"/>
  <c r="K14" i="8" s="1"/>
  <c r="L14" i="8" s="1"/>
  <c r="N14" i="8" s="1"/>
  <c r="J213" i="8"/>
  <c r="K213" i="8" s="1"/>
  <c r="L213" i="8" s="1"/>
  <c r="J192" i="8"/>
  <c r="K192" i="8" s="1"/>
  <c r="L192" i="8" s="1"/>
  <c r="J132" i="8"/>
  <c r="K132" i="8" s="1"/>
  <c r="L132" i="8" s="1"/>
  <c r="J96" i="8"/>
  <c r="K96" i="8" s="1"/>
  <c r="L96" i="8" s="1"/>
  <c r="N96" i="8" s="1"/>
  <c r="J36" i="8"/>
  <c r="K36" i="8" s="1"/>
  <c r="L36" i="8" s="1"/>
  <c r="N36" i="8" s="1"/>
  <c r="J160" i="8"/>
  <c r="K160" i="8" s="1"/>
  <c r="L160" i="8" s="1"/>
  <c r="J130" i="8"/>
  <c r="K130" i="8" s="1"/>
  <c r="L130" i="8" s="1"/>
  <c r="J89" i="8"/>
  <c r="K89" i="8" s="1"/>
  <c r="L89" i="8" s="1"/>
  <c r="N89" i="8" s="1"/>
  <c r="J29" i="8"/>
  <c r="K29" i="8" s="1"/>
  <c r="L29" i="8" s="1"/>
  <c r="N29" i="8" s="1"/>
  <c r="J194" i="8"/>
  <c r="K194" i="8" s="1"/>
  <c r="L194" i="8" s="1"/>
  <c r="J179" i="8"/>
  <c r="K179" i="8" s="1"/>
  <c r="L179" i="8" s="1"/>
  <c r="J205" i="8"/>
  <c r="K205" i="8" s="1"/>
  <c r="L205" i="8" s="1"/>
  <c r="J190" i="8"/>
  <c r="K190" i="8" s="1"/>
  <c r="L190" i="8" s="1"/>
  <c r="J125" i="8"/>
  <c r="K125" i="8" s="1"/>
  <c r="L125" i="8" s="1"/>
  <c r="J82" i="8"/>
  <c r="K82" i="8" s="1"/>
  <c r="L82" i="8" s="1"/>
  <c r="N82" i="8" s="1"/>
  <c r="J21" i="8"/>
  <c r="K21" i="8" s="1"/>
  <c r="L21" i="8" s="1"/>
  <c r="N21" i="8" s="1"/>
  <c r="J153" i="8"/>
  <c r="K153" i="8" s="1"/>
  <c r="L153" i="8" s="1"/>
  <c r="J123" i="8"/>
  <c r="K123" i="8" s="1"/>
  <c r="L123" i="8" s="1"/>
  <c r="J173" i="8"/>
  <c r="K173" i="8" s="1"/>
  <c r="L173" i="8" s="1"/>
  <c r="J182" i="8"/>
  <c r="K182" i="8" s="1"/>
  <c r="L182" i="8" s="1"/>
  <c r="J101" i="8"/>
  <c r="K101" i="8" s="1"/>
  <c r="L101" i="8" s="1"/>
  <c r="N101" i="8" s="1"/>
  <c r="J93" i="8"/>
  <c r="K93" i="8" s="1"/>
  <c r="L93" i="8" s="1"/>
  <c r="N93" i="8" s="1"/>
  <c r="J86" i="8"/>
  <c r="K86" i="8" s="1"/>
  <c r="L86" i="8" s="1"/>
  <c r="N86" i="8" s="1"/>
  <c r="J79" i="8"/>
  <c r="K79" i="8" s="1"/>
  <c r="L79" i="8" s="1"/>
  <c r="N79" i="8" s="1"/>
  <c r="J72" i="8"/>
  <c r="K72" i="8" s="1"/>
  <c r="L72" i="8" s="1"/>
  <c r="N72" i="8" s="1"/>
  <c r="J64" i="8"/>
  <c r="K64" i="8" s="1"/>
  <c r="L64" i="8" s="1"/>
  <c r="N64" i="8" s="1"/>
  <c r="J56" i="8"/>
  <c r="K56" i="8" s="1"/>
  <c r="L56" i="8" s="1"/>
  <c r="N56" i="8" s="1"/>
  <c r="J48" i="8"/>
  <c r="K48" i="8" s="1"/>
  <c r="L48" i="8" s="1"/>
  <c r="N48" i="8" s="1"/>
  <c r="J41" i="8"/>
  <c r="K41" i="8" s="1"/>
  <c r="L41" i="8" s="1"/>
  <c r="N41" i="8" s="1"/>
  <c r="J33" i="8"/>
  <c r="K33" i="8" s="1"/>
  <c r="L33" i="8" s="1"/>
  <c r="N33" i="8" s="1"/>
  <c r="J26" i="8"/>
  <c r="K26" i="8" s="1"/>
  <c r="L26" i="8" s="1"/>
  <c r="N26" i="8" s="1"/>
  <c r="J18" i="8"/>
  <c r="K18" i="8" s="1"/>
  <c r="L18" i="8" s="1"/>
  <c r="N18" i="8" s="1"/>
  <c r="J11" i="8"/>
  <c r="K11" i="8" s="1"/>
  <c r="L11" i="8" s="1"/>
  <c r="N11" i="8" s="1"/>
  <c r="J117" i="8"/>
  <c r="K117" i="8" s="1"/>
  <c r="L117" i="8" s="1"/>
  <c r="J67" i="8"/>
  <c r="K67" i="8" s="1"/>
  <c r="L67" i="8" s="1"/>
  <c r="N67" i="8" s="1"/>
  <c r="K57" i="9"/>
  <c r="L57" i="9" s="1"/>
  <c r="M57" i="9" s="1"/>
  <c r="O57" i="9" s="1"/>
  <c r="K198" i="9"/>
  <c r="L198" i="9" s="1"/>
  <c r="M198" i="9" s="1"/>
  <c r="K19" i="9"/>
  <c r="L19" i="9" s="1"/>
  <c r="M19" i="9" s="1"/>
  <c r="O19" i="9" s="1"/>
  <c r="L159" i="9"/>
  <c r="M159" i="9" s="1"/>
  <c r="K159" i="9"/>
  <c r="K118" i="9"/>
  <c r="L118" i="9" s="1"/>
  <c r="M118" i="9" s="1"/>
  <c r="K12" i="9"/>
  <c r="L12" i="9" s="1"/>
  <c r="M12" i="9" s="1"/>
  <c r="O12" i="9" s="1"/>
  <c r="K152" i="9"/>
  <c r="L152" i="9" s="1"/>
  <c r="M152" i="9" s="1"/>
  <c r="K86" i="9"/>
  <c r="L86" i="9" s="1"/>
  <c r="M86" i="9" s="1"/>
  <c r="O86" i="9" s="1"/>
  <c r="K114" i="9"/>
  <c r="L114" i="9"/>
  <c r="M114" i="9" s="1"/>
  <c r="K75" i="9"/>
  <c r="L75" i="9" s="1"/>
  <c r="M75" i="9" s="1"/>
  <c r="O75" i="9" s="1"/>
  <c r="K97" i="9"/>
  <c r="K189" i="9"/>
  <c r="L189" i="9" s="1"/>
  <c r="M189" i="9" s="1"/>
  <c r="K66" i="9"/>
  <c r="L66" i="9" s="1"/>
  <c r="M66" i="9" s="1"/>
  <c r="O66" i="9" s="1"/>
  <c r="O144" i="9"/>
  <c r="P163" i="9"/>
  <c r="Q163" i="9" s="1"/>
  <c r="K139" i="9"/>
  <c r="L139" i="9" s="1"/>
  <c r="M139" i="9" s="1"/>
  <c r="K33" i="9"/>
  <c r="L33" i="9" s="1"/>
  <c r="M33" i="9" s="1"/>
  <c r="O33" i="9" s="1"/>
  <c r="K25" i="9"/>
  <c r="L25" i="9" s="1"/>
  <c r="M25" i="9" s="1"/>
  <c r="O25" i="9" s="1"/>
  <c r="K115" i="9"/>
  <c r="L115" i="9" s="1"/>
  <c r="M115" i="9" s="1"/>
  <c r="K11" i="9"/>
  <c r="L11" i="9" s="1"/>
  <c r="M11" i="9" s="1"/>
  <c r="O11" i="9" s="1"/>
  <c r="L107" i="9"/>
  <c r="M107" i="9" s="1"/>
  <c r="K107" i="9"/>
  <c r="O199" i="9"/>
  <c r="K190" i="9"/>
  <c r="L190" i="9" s="1"/>
  <c r="M190" i="9" s="1"/>
  <c r="O130" i="9"/>
  <c r="P130" i="9"/>
  <c r="Q130" i="9" s="1"/>
  <c r="O124" i="9"/>
  <c r="P124" i="9"/>
  <c r="Q124" i="9" s="1"/>
  <c r="P216" i="9"/>
  <c r="Q216" i="9" s="1"/>
  <c r="O216" i="9"/>
  <c r="O131" i="9"/>
  <c r="P131" i="9"/>
  <c r="Q131" i="9" s="1"/>
  <c r="P214" i="9"/>
  <c r="Q214" i="9" s="1"/>
  <c r="O214" i="9"/>
  <c r="P211" i="9"/>
  <c r="Q211" i="9" s="1"/>
  <c r="O211" i="9"/>
  <c r="P145" i="9"/>
  <c r="Q145" i="9" s="1"/>
  <c r="O145" i="9"/>
  <c r="P140" i="9"/>
  <c r="Q140" i="9" s="1"/>
  <c r="O140" i="9"/>
  <c r="P202" i="9"/>
  <c r="Q202" i="9" s="1"/>
  <c r="O202" i="9"/>
  <c r="O119" i="9"/>
  <c r="P119" i="9"/>
  <c r="Q119" i="9" s="1"/>
  <c r="P209" i="9"/>
  <c r="Q209" i="9" s="1"/>
  <c r="O209" i="9"/>
  <c r="P134" i="9"/>
  <c r="Q134" i="9" s="1"/>
  <c r="O134" i="9"/>
  <c r="P188" i="9"/>
  <c r="Q188" i="9" s="1"/>
  <c r="O188" i="9"/>
  <c r="O112" i="9"/>
  <c r="P112" i="9"/>
  <c r="Q112" i="9" s="1"/>
  <c r="O153" i="9"/>
  <c r="O125" i="9"/>
  <c r="P125" i="9"/>
  <c r="Q125" i="9" s="1"/>
  <c r="P215" i="9"/>
  <c r="Q215" i="9" s="1"/>
  <c r="O215" i="9"/>
  <c r="O116" i="9"/>
  <c r="P116" i="9"/>
  <c r="Q116" i="9" s="1"/>
  <c r="K141" i="8"/>
  <c r="L141" i="8" s="1"/>
  <c r="K215" i="8"/>
  <c r="L215" i="8" s="1"/>
  <c r="K162" i="8"/>
  <c r="L162" i="8" s="1"/>
  <c r="K212" i="8"/>
  <c r="L212" i="8" s="1"/>
  <c r="J212" i="8"/>
  <c r="K129" i="8"/>
  <c r="L129" i="8" s="1"/>
  <c r="J170" i="8"/>
  <c r="K170" i="8" s="1"/>
  <c r="L170" i="8" s="1"/>
  <c r="J154" i="8"/>
  <c r="K154" i="8" s="1"/>
  <c r="L154" i="8" s="1"/>
  <c r="J124" i="8"/>
  <c r="K124" i="8" s="1"/>
  <c r="L124" i="8" s="1"/>
  <c r="J88" i="8"/>
  <c r="K88" i="8" s="1"/>
  <c r="L88" i="8" s="1"/>
  <c r="N88" i="8" s="1"/>
  <c r="J58" i="8"/>
  <c r="K58" i="8" s="1"/>
  <c r="L58" i="8" s="1"/>
  <c r="N58" i="8" s="1"/>
  <c r="J20" i="8"/>
  <c r="K20" i="8" s="1"/>
  <c r="L20" i="8" s="1"/>
  <c r="N20" i="8" s="1"/>
  <c r="J9" i="8"/>
  <c r="K9" i="8" s="1"/>
  <c r="L9" i="8" s="1"/>
  <c r="N9" i="8" s="1"/>
  <c r="J87" i="8"/>
  <c r="K87" i="8" s="1"/>
  <c r="L87" i="8" s="1"/>
  <c r="N87" i="8" s="1"/>
  <c r="J65" i="8"/>
  <c r="K65" i="8" s="1"/>
  <c r="L65" i="8" s="1"/>
  <c r="N65" i="8" s="1"/>
  <c r="J34" i="8"/>
  <c r="K34" i="8" s="1"/>
  <c r="L34" i="8" s="1"/>
  <c r="N34" i="8" s="1"/>
  <c r="J168" i="8"/>
  <c r="K168" i="8" s="1"/>
  <c r="L168" i="8" s="1"/>
  <c r="J139" i="8"/>
  <c r="K139" i="8" s="1"/>
  <c r="L139" i="8" s="1"/>
  <c r="J109" i="8"/>
  <c r="K109" i="8" s="1"/>
  <c r="L109" i="8" s="1"/>
  <c r="J74" i="8"/>
  <c r="K74" i="8" s="1"/>
  <c r="L74" i="8" s="1"/>
  <c r="N74" i="8" s="1"/>
  <c r="J50" i="8"/>
  <c r="K50" i="8" s="1"/>
  <c r="L50" i="8" s="1"/>
  <c r="N50" i="8" s="1"/>
  <c r="J12" i="8"/>
  <c r="K12" i="8" s="1"/>
  <c r="L12" i="8" s="1"/>
  <c r="N12" i="8" s="1"/>
  <c r="J94" i="8"/>
  <c r="K94" i="8" s="1"/>
  <c r="L94" i="8" s="1"/>
  <c r="N94" i="8" s="1"/>
  <c r="J161" i="8"/>
  <c r="K161" i="8" s="1"/>
  <c r="L161" i="8" s="1"/>
  <c r="J131" i="8"/>
  <c r="K131" i="8" s="1"/>
  <c r="L131" i="8" s="1"/>
  <c r="J81" i="8"/>
  <c r="K81" i="8" s="1"/>
  <c r="L81" i="8" s="1"/>
  <c r="N81" i="8" s="1"/>
  <c r="J35" i="8"/>
  <c r="K35" i="8" s="1"/>
  <c r="L35" i="8" s="1"/>
  <c r="N35" i="8" s="1"/>
  <c r="J183" i="8"/>
  <c r="K183" i="8" s="1"/>
  <c r="L183" i="8" s="1"/>
  <c r="J73" i="8"/>
  <c r="K73" i="8" s="1"/>
  <c r="L73" i="8" s="1"/>
  <c r="N73" i="8" s="1"/>
  <c r="J42" i="8"/>
  <c r="K42" i="8" s="1"/>
  <c r="L42" i="8" s="1"/>
  <c r="N42" i="8" s="1"/>
  <c r="K176" i="8"/>
  <c r="L176" i="8" s="1"/>
  <c r="K147" i="8"/>
  <c r="L147" i="8" s="1"/>
  <c r="K95" i="8"/>
  <c r="L95" i="8" s="1"/>
  <c r="N95" i="8" s="1"/>
  <c r="K66" i="8"/>
  <c r="L66" i="8" s="1"/>
  <c r="N66" i="8" s="1"/>
  <c r="K43" i="8"/>
  <c r="L43" i="8" s="1"/>
  <c r="N43" i="8" s="1"/>
  <c r="J80" i="8"/>
  <c r="K80" i="8" s="1"/>
  <c r="L80" i="8" s="1"/>
  <c r="N80" i="8" s="1"/>
  <c r="J57" i="8"/>
  <c r="K57" i="8" s="1"/>
  <c r="L57" i="8" s="1"/>
  <c r="N57" i="8" s="1"/>
  <c r="J27" i="8"/>
  <c r="K27" i="8" s="1"/>
  <c r="L27" i="8" s="1"/>
  <c r="N27" i="8" s="1"/>
  <c r="J19" i="8"/>
  <c r="K19" i="8" s="1"/>
  <c r="L19" i="8" s="1"/>
  <c r="N19" i="8" s="1"/>
  <c r="K102" i="8"/>
  <c r="L102" i="8" s="1"/>
  <c r="N102" i="8" s="1"/>
  <c r="K49" i="8"/>
  <c r="L49" i="8" s="1"/>
  <c r="N49" i="8" s="1"/>
  <c r="M135" i="7"/>
  <c r="M128" i="7"/>
  <c r="P128" i="7"/>
  <c r="Q128" i="7" s="1"/>
  <c r="I135" i="7"/>
  <c r="J135" i="7" s="1"/>
  <c r="M127" i="7"/>
  <c r="P127" i="7"/>
  <c r="Q127" i="7" s="1"/>
  <c r="P100" i="7"/>
  <c r="Q100" i="7" s="1"/>
  <c r="I100" i="7"/>
  <c r="J100" i="7" s="1"/>
  <c r="K77" i="7"/>
  <c r="P77" i="7" s="1"/>
  <c r="Q77" i="7" s="1"/>
  <c r="I77" i="7"/>
  <c r="J77" i="7" s="1"/>
  <c r="F74" i="7"/>
  <c r="P73" i="7"/>
  <c r="G73" i="7"/>
  <c r="P72" i="7"/>
  <c r="G72" i="7"/>
  <c r="P71" i="7"/>
  <c r="G71" i="7"/>
  <c r="P70" i="7"/>
  <c r="G70" i="7"/>
  <c r="P69" i="7"/>
  <c r="G69" i="7"/>
  <c r="P68" i="7"/>
  <c r="G68" i="7"/>
  <c r="P67" i="7"/>
  <c r="G67" i="7"/>
  <c r="P66" i="7"/>
  <c r="G66" i="7"/>
  <c r="P65" i="7"/>
  <c r="G65" i="7"/>
  <c r="P64" i="7"/>
  <c r="G64" i="7"/>
  <c r="P63" i="7"/>
  <c r="G63" i="7"/>
  <c r="P62" i="7"/>
  <c r="G62" i="7"/>
  <c r="P61" i="7"/>
  <c r="G61" i="7"/>
  <c r="P60" i="7"/>
  <c r="G60" i="7"/>
  <c r="P59" i="7"/>
  <c r="G59" i="7"/>
  <c r="P58" i="7"/>
  <c r="G58" i="7"/>
  <c r="P57" i="7"/>
  <c r="G57" i="7"/>
  <c r="P56" i="7"/>
  <c r="G56" i="7"/>
  <c r="P55" i="7"/>
  <c r="G55" i="7"/>
  <c r="P54" i="7"/>
  <c r="G54" i="7"/>
  <c r="P53" i="7"/>
  <c r="G53" i="7"/>
  <c r="P52" i="7"/>
  <c r="G52" i="7"/>
  <c r="P51" i="7"/>
  <c r="G51" i="7"/>
  <c r="P50" i="7"/>
  <c r="G50" i="7"/>
  <c r="P49" i="7"/>
  <c r="G49" i="7"/>
  <c r="P48" i="7"/>
  <c r="G48" i="7"/>
  <c r="P47" i="7"/>
  <c r="G47" i="7"/>
  <c r="P46" i="7"/>
  <c r="G46" i="7"/>
  <c r="P45" i="7"/>
  <c r="G45" i="7"/>
  <c r="P44" i="7"/>
  <c r="G44" i="7"/>
  <c r="P43" i="7"/>
  <c r="G43" i="7"/>
  <c r="P42" i="7"/>
  <c r="G42" i="7"/>
  <c r="P41" i="7"/>
  <c r="G41" i="7"/>
  <c r="P40" i="7"/>
  <c r="G40" i="7"/>
  <c r="P39" i="7"/>
  <c r="G39" i="7"/>
  <c r="P38" i="7"/>
  <c r="G38" i="7"/>
  <c r="P37" i="7"/>
  <c r="G37" i="7"/>
  <c r="P36" i="7"/>
  <c r="G36" i="7"/>
  <c r="P35" i="7"/>
  <c r="G35" i="7"/>
  <c r="P34" i="7"/>
  <c r="G34" i="7"/>
  <c r="P33" i="7"/>
  <c r="G33" i="7"/>
  <c r="P32" i="7"/>
  <c r="G32" i="7"/>
  <c r="P31" i="7"/>
  <c r="G31" i="7"/>
  <c r="P30" i="7"/>
  <c r="G30" i="7"/>
  <c r="A30" i="7"/>
  <c r="P29" i="7"/>
  <c r="G29" i="7"/>
  <c r="P28" i="7"/>
  <c r="G28" i="7"/>
  <c r="P27" i="7"/>
  <c r="G27" i="7"/>
  <c r="A27" i="7"/>
  <c r="P26" i="7"/>
  <c r="G26" i="7"/>
  <c r="P25" i="7"/>
  <c r="G25" i="7"/>
  <c r="P24" i="7"/>
  <c r="G24" i="7"/>
  <c r="A24" i="7"/>
  <c r="P23" i="7"/>
  <c r="G23" i="7"/>
  <c r="P22" i="7"/>
  <c r="G22" i="7"/>
  <c r="P21" i="7"/>
  <c r="G21" i="7"/>
  <c r="A21" i="7"/>
  <c r="P20" i="7"/>
  <c r="G20" i="7"/>
  <c r="P19" i="7"/>
  <c r="G19" i="7"/>
  <c r="P18" i="7"/>
  <c r="G18" i="7"/>
  <c r="A18" i="7"/>
  <c r="P17" i="7"/>
  <c r="G17" i="7"/>
  <c r="P16" i="7"/>
  <c r="G16" i="7"/>
  <c r="P15" i="7"/>
  <c r="G15" i="7"/>
  <c r="A15" i="7"/>
  <c r="P14" i="7"/>
  <c r="G14" i="7"/>
  <c r="P13" i="7"/>
  <c r="G13" i="7"/>
  <c r="P12" i="7"/>
  <c r="G12" i="7"/>
  <c r="A12" i="7"/>
  <c r="P11" i="7"/>
  <c r="G11" i="7"/>
  <c r="P10" i="7"/>
  <c r="G10" i="7"/>
  <c r="P9" i="7"/>
  <c r="G9" i="7"/>
  <c r="A9" i="7"/>
  <c r="G10" i="6"/>
  <c r="G11" i="6"/>
  <c r="H11" i="6" s="1"/>
  <c r="G12" i="6"/>
  <c r="H12" i="6" s="1"/>
  <c r="G13" i="6"/>
  <c r="H13" i="6" s="1"/>
  <c r="G14" i="6"/>
  <c r="G15" i="6"/>
  <c r="G16" i="6"/>
  <c r="H16" i="6" s="1"/>
  <c r="G17" i="6"/>
  <c r="G18" i="6"/>
  <c r="H18" i="6" s="1"/>
  <c r="G19" i="6"/>
  <c r="H19" i="6" s="1"/>
  <c r="G20" i="6"/>
  <c r="H20" i="6" s="1"/>
  <c r="G21" i="6"/>
  <c r="G22" i="6"/>
  <c r="H22" i="6" s="1"/>
  <c r="G23" i="6"/>
  <c r="H23" i="6" s="1"/>
  <c r="G24" i="6"/>
  <c r="H24" i="6" s="1"/>
  <c r="G25" i="6"/>
  <c r="H25" i="6" s="1"/>
  <c r="G26" i="6"/>
  <c r="H26" i="6" s="1"/>
  <c r="G27" i="6"/>
  <c r="H27" i="6" s="1"/>
  <c r="G28" i="6"/>
  <c r="H28" i="6" s="1"/>
  <c r="G29" i="6"/>
  <c r="H29" i="6" s="1"/>
  <c r="G30" i="6"/>
  <c r="H30" i="6" s="1"/>
  <c r="G31" i="6"/>
  <c r="G32" i="6"/>
  <c r="G33" i="6"/>
  <c r="G34" i="6"/>
  <c r="H34" i="6" s="1"/>
  <c r="G35" i="6"/>
  <c r="H35" i="6" s="1"/>
  <c r="G36" i="6"/>
  <c r="H36" i="6" s="1"/>
  <c r="G37" i="6"/>
  <c r="H37" i="6" s="1"/>
  <c r="G38" i="6"/>
  <c r="G39" i="6"/>
  <c r="H39" i="6" s="1"/>
  <c r="G40" i="6"/>
  <c r="G41" i="6"/>
  <c r="H41" i="6" s="1"/>
  <c r="G42" i="6"/>
  <c r="H42" i="6" s="1"/>
  <c r="G43" i="6"/>
  <c r="H43" i="6" s="1"/>
  <c r="G44" i="6"/>
  <c r="G45" i="6"/>
  <c r="H45" i="6" s="1"/>
  <c r="G46" i="6"/>
  <c r="G47" i="6"/>
  <c r="H47" i="6" s="1"/>
  <c r="G48" i="6"/>
  <c r="H48" i="6" s="1"/>
  <c r="G49" i="6"/>
  <c r="G50" i="6"/>
  <c r="H50" i="6" s="1"/>
  <c r="G51" i="6"/>
  <c r="H51" i="6" s="1"/>
  <c r="G52" i="6"/>
  <c r="H52" i="6" s="1"/>
  <c r="G53" i="6"/>
  <c r="H53" i="6" s="1"/>
  <c r="G54" i="6"/>
  <c r="H54" i="6" s="1"/>
  <c r="G55" i="6"/>
  <c r="H55" i="6" s="1"/>
  <c r="G56" i="6"/>
  <c r="H56" i="6" s="1"/>
  <c r="G57" i="6"/>
  <c r="H57" i="6" s="1"/>
  <c r="G58" i="6"/>
  <c r="H58" i="6" s="1"/>
  <c r="G59" i="6"/>
  <c r="G60" i="6"/>
  <c r="H60" i="6" s="1"/>
  <c r="G61" i="6"/>
  <c r="H61" i="6" s="1"/>
  <c r="G62" i="6"/>
  <c r="H62" i="6" s="1"/>
  <c r="G63" i="6"/>
  <c r="H63" i="6" s="1"/>
  <c r="G64" i="6"/>
  <c r="G65" i="6"/>
  <c r="G66" i="6"/>
  <c r="H66" i="6" s="1"/>
  <c r="G67" i="6"/>
  <c r="H67" i="6" s="1"/>
  <c r="G68" i="6"/>
  <c r="H68" i="6" s="1"/>
  <c r="G69" i="6"/>
  <c r="H69" i="6" s="1"/>
  <c r="G70" i="6"/>
  <c r="H70" i="6" s="1"/>
  <c r="G71" i="6"/>
  <c r="H71" i="6" s="1"/>
  <c r="G72" i="6"/>
  <c r="G73" i="6"/>
  <c r="H73" i="6" s="1"/>
  <c r="G9" i="6"/>
  <c r="L100" i="6"/>
  <c r="P100" i="6" s="1"/>
  <c r="Q100" i="6" s="1"/>
  <c r="J100" i="6"/>
  <c r="K100" i="6" s="1"/>
  <c r="L77" i="6"/>
  <c r="J77" i="6"/>
  <c r="K77" i="6" s="1"/>
  <c r="F74" i="6"/>
  <c r="O137" i="6" s="1"/>
  <c r="O73" i="6"/>
  <c r="O72" i="6"/>
  <c r="O71" i="6"/>
  <c r="P71" i="6" s="1"/>
  <c r="O70" i="6"/>
  <c r="P70" i="6" s="1"/>
  <c r="O69" i="6"/>
  <c r="O68" i="6"/>
  <c r="O67" i="6"/>
  <c r="O66" i="6"/>
  <c r="P66" i="6" s="1"/>
  <c r="O65" i="6"/>
  <c r="O64" i="6"/>
  <c r="O63" i="6"/>
  <c r="P63" i="6" s="1"/>
  <c r="O62" i="6"/>
  <c r="P62" i="6" s="1"/>
  <c r="O61" i="6"/>
  <c r="P61" i="6" s="1"/>
  <c r="O60" i="6"/>
  <c r="P60" i="6" s="1"/>
  <c r="O59" i="6"/>
  <c r="P59" i="6" s="1"/>
  <c r="O58" i="6"/>
  <c r="P58" i="6" s="1"/>
  <c r="O57" i="6"/>
  <c r="P57" i="6" s="1"/>
  <c r="O56" i="6"/>
  <c r="P56" i="6" s="1"/>
  <c r="O55" i="6"/>
  <c r="P55" i="6" s="1"/>
  <c r="O54" i="6"/>
  <c r="P54" i="6" s="1"/>
  <c r="O53" i="6"/>
  <c r="P53" i="6" s="1"/>
  <c r="O52" i="6"/>
  <c r="P52" i="6" s="1"/>
  <c r="O51" i="6"/>
  <c r="P51" i="6" s="1"/>
  <c r="O50" i="6"/>
  <c r="P50" i="6" s="1"/>
  <c r="O49" i="6"/>
  <c r="P49" i="6" s="1"/>
  <c r="O48" i="6"/>
  <c r="P48" i="6" s="1"/>
  <c r="O47" i="6"/>
  <c r="P47" i="6" s="1"/>
  <c r="O46" i="6"/>
  <c r="P46" i="6" s="1"/>
  <c r="O45" i="6"/>
  <c r="P45" i="6" s="1"/>
  <c r="O44" i="6"/>
  <c r="P44" i="6" s="1"/>
  <c r="O43" i="6"/>
  <c r="P43" i="6" s="1"/>
  <c r="O42" i="6"/>
  <c r="P42" i="6" s="1"/>
  <c r="O41" i="6"/>
  <c r="P41" i="6" s="1"/>
  <c r="O40" i="6"/>
  <c r="P40" i="6" s="1"/>
  <c r="O39" i="6"/>
  <c r="P39" i="6" s="1"/>
  <c r="O38" i="6"/>
  <c r="P38" i="6" s="1"/>
  <c r="O37" i="6"/>
  <c r="P37" i="6" s="1"/>
  <c r="O36" i="6"/>
  <c r="P36" i="6" s="1"/>
  <c r="O35" i="6"/>
  <c r="P35" i="6" s="1"/>
  <c r="O34" i="6"/>
  <c r="P34" i="6" s="1"/>
  <c r="O33" i="6"/>
  <c r="P33" i="6" s="1"/>
  <c r="O32" i="6"/>
  <c r="P32" i="6" s="1"/>
  <c r="O31" i="6"/>
  <c r="P31" i="6" s="1"/>
  <c r="O30" i="6"/>
  <c r="P30" i="6" s="1"/>
  <c r="O29" i="6"/>
  <c r="P29" i="6" s="1"/>
  <c r="O28" i="6"/>
  <c r="P28" i="6" s="1"/>
  <c r="O27" i="6"/>
  <c r="P27" i="6" s="1"/>
  <c r="O26" i="6"/>
  <c r="P26" i="6" s="1"/>
  <c r="O25" i="6"/>
  <c r="P25" i="6" s="1"/>
  <c r="O24" i="6"/>
  <c r="P24" i="6" s="1"/>
  <c r="O23" i="6"/>
  <c r="P23" i="6" s="1"/>
  <c r="O22" i="6"/>
  <c r="P22" i="6" s="1"/>
  <c r="O21" i="6"/>
  <c r="P21" i="6" s="1"/>
  <c r="O20" i="6"/>
  <c r="P20" i="6" s="1"/>
  <c r="O19" i="6"/>
  <c r="P19" i="6" s="1"/>
  <c r="O18" i="6"/>
  <c r="P18" i="6" s="1"/>
  <c r="O17" i="6"/>
  <c r="P17" i="6" s="1"/>
  <c r="O16" i="6"/>
  <c r="P16" i="6" s="1"/>
  <c r="O15" i="6"/>
  <c r="P15" i="6" s="1"/>
  <c r="O14" i="6"/>
  <c r="P14" i="6" s="1"/>
  <c r="O13" i="6"/>
  <c r="P13" i="6" s="1"/>
  <c r="O12" i="6"/>
  <c r="P12" i="6" s="1"/>
  <c r="O11" i="6"/>
  <c r="P11" i="6" s="1"/>
  <c r="O10" i="6"/>
  <c r="P10" i="6" s="1"/>
  <c r="O9" i="6"/>
  <c r="P9" i="6" s="1"/>
  <c r="G122" i="3"/>
  <c r="I59" i="4"/>
  <c r="I58" i="4"/>
  <c r="I57" i="4"/>
  <c r="I56" i="4"/>
  <c r="I55" i="4"/>
  <c r="H57" i="1"/>
  <c r="H56" i="1"/>
  <c r="H58" i="1"/>
  <c r="H55" i="1"/>
  <c r="G112" i="3"/>
  <c r="G110" i="3"/>
  <c r="G108" i="3"/>
  <c r="G107" i="3"/>
  <c r="G106" i="3"/>
  <c r="G105" i="3"/>
  <c r="G102" i="3"/>
  <c r="G99" i="3"/>
  <c r="G98" i="3"/>
  <c r="G94" i="3"/>
  <c r="G93" i="3"/>
  <c r="G88" i="3"/>
  <c r="G91" i="3"/>
  <c r="G90" i="3"/>
  <c r="G89" i="3"/>
  <c r="K100" i="3"/>
  <c r="L48" i="4"/>
  <c r="K51" i="1"/>
  <c r="A31" i="3"/>
  <c r="K77" i="3"/>
  <c r="I100" i="3"/>
  <c r="J100" i="3" s="1"/>
  <c r="G86" i="3"/>
  <c r="G85" i="3"/>
  <c r="G84" i="3"/>
  <c r="G81" i="3"/>
  <c r="G80" i="3"/>
  <c r="I77" i="3"/>
  <c r="J77" i="3" s="1"/>
  <c r="F74" i="3"/>
  <c r="G118" i="3" s="1"/>
  <c r="A10" i="1"/>
  <c r="A28" i="3"/>
  <c r="G82" i="3" s="1"/>
  <c r="A25" i="3"/>
  <c r="A22" i="3"/>
  <c r="A19" i="3"/>
  <c r="G76" i="3" s="1"/>
  <c r="A16" i="3"/>
  <c r="G87" i="3" s="1"/>
  <c r="A13" i="3"/>
  <c r="G79" i="3" s="1"/>
  <c r="G121" i="7" l="1"/>
  <c r="G128" i="7"/>
  <c r="G120" i="7"/>
  <c r="G127" i="7"/>
  <c r="G119" i="7"/>
  <c r="G116" i="7"/>
  <c r="G126" i="7"/>
  <c r="G118" i="7"/>
  <c r="I118" i="7" s="1"/>
  <c r="J118" i="7" s="1"/>
  <c r="G124" i="7"/>
  <c r="G125" i="7"/>
  <c r="G117" i="7"/>
  <c r="G123" i="7"/>
  <c r="G115" i="7"/>
  <c r="G114" i="7"/>
  <c r="P68" i="6"/>
  <c r="H21" i="6"/>
  <c r="H98" i="6"/>
  <c r="H85" i="6"/>
  <c r="P69" i="6"/>
  <c r="H44" i="6"/>
  <c r="J44" i="6" s="1"/>
  <c r="K44" i="6" s="1"/>
  <c r="L44" i="6" s="1"/>
  <c r="N44" i="6" s="1"/>
  <c r="H106" i="6"/>
  <c r="H122" i="6"/>
  <c r="J122" i="6" s="1"/>
  <c r="K122" i="6" s="1"/>
  <c r="L122" i="6" s="1"/>
  <c r="P122" i="6" s="1"/>
  <c r="Q122" i="6" s="1"/>
  <c r="H105" i="6"/>
  <c r="H86" i="6"/>
  <c r="P64" i="6"/>
  <c r="P72" i="6"/>
  <c r="H65" i="6"/>
  <c r="H99" i="6"/>
  <c r="J99" i="6" s="1"/>
  <c r="K99" i="6" s="1"/>
  <c r="L99" i="6" s="1"/>
  <c r="O99" i="6" s="1"/>
  <c r="H84" i="6"/>
  <c r="H49" i="6"/>
  <c r="J49" i="6" s="1"/>
  <c r="K49" i="6" s="1"/>
  <c r="L49" i="6" s="1"/>
  <c r="N49" i="6" s="1"/>
  <c r="H81" i="6"/>
  <c r="P65" i="6"/>
  <c r="P73" i="6"/>
  <c r="H72" i="6"/>
  <c r="H89" i="6"/>
  <c r="H64" i="6"/>
  <c r="J64" i="6" s="1"/>
  <c r="K64" i="6" s="1"/>
  <c r="L64" i="6" s="1"/>
  <c r="N64" i="6" s="1"/>
  <c r="H112" i="6"/>
  <c r="H94" i="6"/>
  <c r="J94" i="6" s="1"/>
  <c r="K94" i="6" s="1"/>
  <c r="L94" i="6" s="1"/>
  <c r="P94" i="6" s="1"/>
  <c r="Q94" i="6" s="1"/>
  <c r="H40" i="6"/>
  <c r="H108" i="6"/>
  <c r="H91" i="6"/>
  <c r="H110" i="6"/>
  <c r="H59" i="6"/>
  <c r="H107" i="6"/>
  <c r="J107" i="6" s="1"/>
  <c r="K107" i="6" s="1"/>
  <c r="L107" i="6" s="1"/>
  <c r="P107" i="6" s="1"/>
  <c r="Q107" i="6" s="1"/>
  <c r="H93" i="6"/>
  <c r="H31" i="6"/>
  <c r="J31" i="6" s="1"/>
  <c r="K31" i="6" s="1"/>
  <c r="L31" i="6" s="1"/>
  <c r="N31" i="6" s="1"/>
  <c r="H80" i="6"/>
  <c r="P67" i="6"/>
  <c r="H46" i="6"/>
  <c r="H90" i="6"/>
  <c r="H102" i="6"/>
  <c r="H38" i="6"/>
  <c r="J38" i="6" s="1"/>
  <c r="K38" i="6" s="1"/>
  <c r="L38" i="6" s="1"/>
  <c r="N38" i="6" s="1"/>
  <c r="H88" i="6"/>
  <c r="H101" i="6"/>
  <c r="J101" i="6" s="1"/>
  <c r="K101" i="6" s="1"/>
  <c r="L101" i="6" s="1"/>
  <c r="O101" i="6" s="1"/>
  <c r="P227" i="9"/>
  <c r="Q227" i="9" s="1"/>
  <c r="O227" i="9"/>
  <c r="O106" i="9"/>
  <c r="P106" i="9"/>
  <c r="Q106" i="9" s="1"/>
  <c r="P213" i="9"/>
  <c r="Q213" i="9" s="1"/>
  <c r="O213" i="9"/>
  <c r="I218" i="9"/>
  <c r="K218" i="9" s="1"/>
  <c r="L218" i="9" s="1"/>
  <c r="M218" i="9" s="1"/>
  <c r="I219" i="9"/>
  <c r="K219" i="9" s="1"/>
  <c r="L219" i="9" s="1"/>
  <c r="M219" i="9" s="1"/>
  <c r="I220" i="9"/>
  <c r="K220" i="9" s="1"/>
  <c r="L220" i="9" s="1"/>
  <c r="M220" i="9" s="1"/>
  <c r="O220" i="9" s="1"/>
  <c r="I221" i="9"/>
  <c r="K221" i="9" s="1"/>
  <c r="L221" i="9" s="1"/>
  <c r="M221" i="9" s="1"/>
  <c r="O221" i="9" s="1"/>
  <c r="I222" i="9"/>
  <c r="I224" i="9"/>
  <c r="K224" i="9" s="1"/>
  <c r="I223" i="9"/>
  <c r="K223" i="9" s="1"/>
  <c r="O163" i="8"/>
  <c r="P163" i="8" s="1"/>
  <c r="P212" i="9"/>
  <c r="Q212" i="9" s="1"/>
  <c r="O212" i="9"/>
  <c r="P173" i="9"/>
  <c r="Q173" i="9" s="1"/>
  <c r="O77" i="3"/>
  <c r="P77" i="3" s="1"/>
  <c r="N77" i="3"/>
  <c r="O100" i="3"/>
  <c r="P100" i="3" s="1"/>
  <c r="N100" i="3"/>
  <c r="P48" i="4"/>
  <c r="Q48" i="4" s="1"/>
  <c r="O48" i="4"/>
  <c r="O51" i="1"/>
  <c r="P51" i="1" s="1"/>
  <c r="N51" i="1"/>
  <c r="N154" i="15"/>
  <c r="N155" i="15" s="1"/>
  <c r="G121" i="3"/>
  <c r="O183" i="9"/>
  <c r="O146" i="8"/>
  <c r="P146" i="8" s="1"/>
  <c r="N146" i="8"/>
  <c r="O106" i="8"/>
  <c r="P106" i="8" s="1"/>
  <c r="N106" i="8"/>
  <c r="O182" i="8"/>
  <c r="P182" i="8" s="1"/>
  <c r="N182" i="8"/>
  <c r="O114" i="8"/>
  <c r="P114" i="8" s="1"/>
  <c r="N114" i="8"/>
  <c r="O144" i="8"/>
  <c r="P144" i="8" s="1"/>
  <c r="N144" i="8"/>
  <c r="O170" i="8"/>
  <c r="P170" i="8" s="1"/>
  <c r="N170" i="8"/>
  <c r="O192" i="8"/>
  <c r="P192" i="8" s="1"/>
  <c r="N192" i="8"/>
  <c r="O184" i="8"/>
  <c r="P184" i="8" s="1"/>
  <c r="N184" i="8"/>
  <c r="O196" i="8"/>
  <c r="P196" i="8" s="1"/>
  <c r="N196" i="8"/>
  <c r="O181" i="8"/>
  <c r="P181" i="8" s="1"/>
  <c r="N181" i="8"/>
  <c r="N149" i="8"/>
  <c r="O149" i="8"/>
  <c r="P149" i="8" s="1"/>
  <c r="P190" i="9"/>
  <c r="Q190" i="9" s="1"/>
  <c r="O190" i="9"/>
  <c r="O177" i="8"/>
  <c r="P177" i="8" s="1"/>
  <c r="N177" i="8"/>
  <c r="N136" i="8"/>
  <c r="O136" i="8"/>
  <c r="P136" i="8" s="1"/>
  <c r="P133" i="9"/>
  <c r="Q133" i="9" s="1"/>
  <c r="O133" i="9"/>
  <c r="O189" i="8"/>
  <c r="P189" i="8" s="1"/>
  <c r="N189" i="8"/>
  <c r="O115" i="8"/>
  <c r="P115" i="8" s="1"/>
  <c r="N115" i="8"/>
  <c r="O178" i="8"/>
  <c r="P178" i="8" s="1"/>
  <c r="N178" i="8"/>
  <c r="O192" i="9"/>
  <c r="P192" i="9"/>
  <c r="Q192" i="9" s="1"/>
  <c r="O120" i="8"/>
  <c r="P120" i="8" s="1"/>
  <c r="N120" i="8"/>
  <c r="O202" i="8"/>
  <c r="P202" i="8" s="1"/>
  <c r="N202" i="8"/>
  <c r="P135" i="9"/>
  <c r="Q135" i="9" s="1"/>
  <c r="O135" i="9"/>
  <c r="O105" i="8"/>
  <c r="P105" i="8" s="1"/>
  <c r="O148" i="8"/>
  <c r="P148" i="8" s="1"/>
  <c r="N148" i="8"/>
  <c r="O122" i="8"/>
  <c r="P122" i="8" s="1"/>
  <c r="N122" i="8"/>
  <c r="N112" i="8"/>
  <c r="O112" i="8"/>
  <c r="P112" i="8" s="1"/>
  <c r="N156" i="8"/>
  <c r="O156" i="8"/>
  <c r="P156" i="8" s="1"/>
  <c r="O193" i="9"/>
  <c r="P193" i="9"/>
  <c r="Q193" i="9" s="1"/>
  <c r="P185" i="9"/>
  <c r="Q185" i="9" s="1"/>
  <c r="O185" i="9"/>
  <c r="O178" i="9"/>
  <c r="P178" i="9"/>
  <c r="Q178" i="9" s="1"/>
  <c r="O205" i="8"/>
  <c r="P205" i="8" s="1"/>
  <c r="N205" i="8"/>
  <c r="O138" i="8"/>
  <c r="P138" i="8" s="1"/>
  <c r="N138" i="8"/>
  <c r="O127" i="8"/>
  <c r="P127" i="8" s="1"/>
  <c r="N127" i="8"/>
  <c r="N151" i="8"/>
  <c r="O151" i="8"/>
  <c r="P151" i="8" s="1"/>
  <c r="P180" i="9"/>
  <c r="Q180" i="9" s="1"/>
  <c r="O180" i="9"/>
  <c r="O155" i="8"/>
  <c r="P155" i="8" s="1"/>
  <c r="N155" i="8"/>
  <c r="N119" i="8"/>
  <c r="O119" i="8"/>
  <c r="P119" i="8" s="1"/>
  <c r="O190" i="8"/>
  <c r="P190" i="8" s="1"/>
  <c r="N190" i="8"/>
  <c r="N116" i="8"/>
  <c r="O116" i="8"/>
  <c r="P116" i="8" s="1"/>
  <c r="O183" i="8"/>
  <c r="P183" i="8" s="1"/>
  <c r="N183" i="8"/>
  <c r="O157" i="8"/>
  <c r="P157" i="8" s="1"/>
  <c r="N157" i="8"/>
  <c r="O109" i="8"/>
  <c r="P109" i="8" s="1"/>
  <c r="N109" i="8"/>
  <c r="O173" i="8"/>
  <c r="P173" i="8" s="1"/>
  <c r="N173" i="8"/>
  <c r="N179" i="8"/>
  <c r="O179" i="8"/>
  <c r="P179" i="8" s="1"/>
  <c r="N110" i="8"/>
  <c r="O110" i="8"/>
  <c r="P110" i="8" s="1"/>
  <c r="O135" i="8"/>
  <c r="P135" i="8" s="1"/>
  <c r="N135" i="8"/>
  <c r="N165" i="8"/>
  <c r="O165" i="8"/>
  <c r="P165" i="8" s="1"/>
  <c r="N158" i="8"/>
  <c r="O158" i="8"/>
  <c r="P158" i="8" s="1"/>
  <c r="P154" i="9"/>
  <c r="Q154" i="9" s="1"/>
  <c r="O154" i="9"/>
  <c r="P158" i="9"/>
  <c r="Q158" i="9" s="1"/>
  <c r="O158" i="9"/>
  <c r="N164" i="8"/>
  <c r="O164" i="8"/>
  <c r="P164" i="8" s="1"/>
  <c r="O137" i="8"/>
  <c r="P137" i="8" s="1"/>
  <c r="N137" i="8"/>
  <c r="N134" i="8"/>
  <c r="O134" i="8"/>
  <c r="P134" i="8" s="1"/>
  <c r="P198" i="9"/>
  <c r="Q198" i="9" s="1"/>
  <c r="O198" i="9"/>
  <c r="O127" i="9"/>
  <c r="P127" i="9"/>
  <c r="Q127" i="9" s="1"/>
  <c r="O139" i="8"/>
  <c r="P139" i="8" s="1"/>
  <c r="N139" i="8"/>
  <c r="N117" i="8"/>
  <c r="O117" i="8"/>
  <c r="P117" i="8" s="1"/>
  <c r="O123" i="8"/>
  <c r="P123" i="8" s="1"/>
  <c r="N123" i="8"/>
  <c r="N194" i="8"/>
  <c r="O194" i="8"/>
  <c r="P194" i="8" s="1"/>
  <c r="O171" i="8"/>
  <c r="P171" i="8" s="1"/>
  <c r="N171" i="8"/>
  <c r="O197" i="8"/>
  <c r="P197" i="8" s="1"/>
  <c r="N197" i="8"/>
  <c r="N199" i="8"/>
  <c r="O199" i="8"/>
  <c r="P199" i="8" s="1"/>
  <c r="O143" i="8"/>
  <c r="P143" i="8" s="1"/>
  <c r="N143" i="8"/>
  <c r="O108" i="9"/>
  <c r="P108" i="9"/>
  <c r="Q108" i="9" s="1"/>
  <c r="O120" i="9"/>
  <c r="P120" i="9"/>
  <c r="Q120" i="9" s="1"/>
  <c r="N111" i="8"/>
  <c r="O111" i="8"/>
  <c r="P111" i="8" s="1"/>
  <c r="N208" i="8"/>
  <c r="O208" i="8"/>
  <c r="P208" i="8" s="1"/>
  <c r="N145" i="8"/>
  <c r="O145" i="8"/>
  <c r="P145" i="8" s="1"/>
  <c r="N186" i="8"/>
  <c r="O186" i="8"/>
  <c r="P186" i="8" s="1"/>
  <c r="O162" i="9"/>
  <c r="P162" i="9"/>
  <c r="Q162" i="9" s="1"/>
  <c r="O138" i="9"/>
  <c r="P138" i="9"/>
  <c r="Q138" i="9" s="1"/>
  <c r="O109" i="9"/>
  <c r="P109" i="9"/>
  <c r="Q109" i="9" s="1"/>
  <c r="P184" i="9"/>
  <c r="Q184" i="9" s="1"/>
  <c r="O184" i="9"/>
  <c r="O160" i="8"/>
  <c r="P160" i="8" s="1"/>
  <c r="N160" i="8"/>
  <c r="P189" i="9"/>
  <c r="Q189" i="9" s="1"/>
  <c r="O189" i="9"/>
  <c r="O153" i="8"/>
  <c r="P153" i="8" s="1"/>
  <c r="N153" i="8"/>
  <c r="O140" i="8"/>
  <c r="P140" i="8" s="1"/>
  <c r="N140" i="8"/>
  <c r="N150" i="8"/>
  <c r="O150" i="8"/>
  <c r="P150" i="8" s="1"/>
  <c r="O117" i="9"/>
  <c r="P117" i="9"/>
  <c r="Q117" i="9" s="1"/>
  <c r="O118" i="8"/>
  <c r="P118" i="8" s="1"/>
  <c r="N118" i="8"/>
  <c r="O152" i="8"/>
  <c r="P152" i="8" s="1"/>
  <c r="N152" i="8"/>
  <c r="P208" i="9"/>
  <c r="Q208" i="9" s="1"/>
  <c r="O208" i="9"/>
  <c r="P164" i="9"/>
  <c r="Q164" i="9" s="1"/>
  <c r="O164" i="9"/>
  <c r="O176" i="9"/>
  <c r="P176" i="9"/>
  <c r="Q176" i="9" s="1"/>
  <c r="O108" i="8"/>
  <c r="P108" i="8" s="1"/>
  <c r="N108" i="8"/>
  <c r="N198" i="8"/>
  <c r="O198" i="8"/>
  <c r="P198" i="8" s="1"/>
  <c r="O161" i="8"/>
  <c r="P161" i="8" s="1"/>
  <c r="N161" i="8"/>
  <c r="N154" i="8"/>
  <c r="O154" i="8"/>
  <c r="P154" i="8" s="1"/>
  <c r="P115" i="9"/>
  <c r="Q115" i="9" s="1"/>
  <c r="O115" i="9"/>
  <c r="O132" i="8"/>
  <c r="P132" i="8" s="1"/>
  <c r="N132" i="8"/>
  <c r="O175" i="8"/>
  <c r="P175" i="8" s="1"/>
  <c r="N175" i="8"/>
  <c r="N121" i="8"/>
  <c r="O121" i="8"/>
  <c r="P121" i="8" s="1"/>
  <c r="P136" i="9"/>
  <c r="Q136" i="9" s="1"/>
  <c r="O136" i="9"/>
  <c r="O177" i="9"/>
  <c r="P177" i="9"/>
  <c r="Q177" i="9" s="1"/>
  <c r="O126" i="8"/>
  <c r="P126" i="8" s="1"/>
  <c r="N126" i="8"/>
  <c r="O185" i="8"/>
  <c r="P185" i="8" s="1"/>
  <c r="N185" i="8"/>
  <c r="O159" i="8"/>
  <c r="P159" i="8" s="1"/>
  <c r="N159" i="8"/>
  <c r="O123" i="9"/>
  <c r="P123" i="9"/>
  <c r="Q123" i="9" s="1"/>
  <c r="O107" i="8"/>
  <c r="P107" i="8" s="1"/>
  <c r="N133" i="8"/>
  <c r="P126" i="9"/>
  <c r="Q126" i="9" s="1"/>
  <c r="O143" i="9"/>
  <c r="P143" i="9"/>
  <c r="Q143" i="9" s="1"/>
  <c r="N193" i="8"/>
  <c r="N180" i="8"/>
  <c r="N113" i="8"/>
  <c r="O147" i="9"/>
  <c r="P128" i="9"/>
  <c r="Q128" i="9" s="1"/>
  <c r="O150" i="9"/>
  <c r="K222" i="9"/>
  <c r="L222" i="9" s="1"/>
  <c r="M222" i="9" s="1"/>
  <c r="P222" i="9" s="1"/>
  <c r="Q222" i="9" s="1"/>
  <c r="L14" i="9"/>
  <c r="M14" i="9" s="1"/>
  <c r="O14" i="9" s="1"/>
  <c r="O187" i="9"/>
  <c r="O142" i="8"/>
  <c r="P142" i="8" s="1"/>
  <c r="O216" i="8"/>
  <c r="P216" i="8" s="1"/>
  <c r="K223" i="8"/>
  <c r="L223" i="8" s="1"/>
  <c r="N223" i="8" s="1"/>
  <c r="O227" i="8"/>
  <c r="P227" i="8" s="1"/>
  <c r="O220" i="8"/>
  <c r="P220" i="8" s="1"/>
  <c r="N209" i="8"/>
  <c r="O188" i="8"/>
  <c r="P188" i="8" s="1"/>
  <c r="N224" i="8"/>
  <c r="O224" i="8"/>
  <c r="P224" i="8" s="1"/>
  <c r="O128" i="8"/>
  <c r="P128" i="8" s="1"/>
  <c r="N187" i="8"/>
  <c r="I127" i="7"/>
  <c r="J127" i="7" s="1"/>
  <c r="N152" i="6"/>
  <c r="N153" i="6" s="1"/>
  <c r="M154" i="7"/>
  <c r="M155" i="7" s="1"/>
  <c r="M151" i="3"/>
  <c r="M152" i="3" s="1"/>
  <c r="I98" i="3"/>
  <c r="J98" i="3" s="1"/>
  <c r="K98" i="3" s="1"/>
  <c r="P197" i="9"/>
  <c r="Q197" i="9" s="1"/>
  <c r="O197" i="9"/>
  <c r="O151" i="9"/>
  <c r="O121" i="9"/>
  <c r="P121" i="9"/>
  <c r="Q121" i="9" s="1"/>
  <c r="J84" i="6"/>
  <c r="K84" i="6" s="1"/>
  <c r="L84" i="6" s="1"/>
  <c r="O84" i="6" s="1"/>
  <c r="I102" i="3"/>
  <c r="J102" i="3" s="1"/>
  <c r="K102" i="3" s="1"/>
  <c r="J108" i="6"/>
  <c r="K108" i="6" s="1"/>
  <c r="L108" i="6" s="1"/>
  <c r="P108" i="6" s="1"/>
  <c r="Q108" i="6" s="1"/>
  <c r="I86" i="3"/>
  <c r="J86" i="3" s="1"/>
  <c r="K86" i="3" s="1"/>
  <c r="I106" i="3"/>
  <c r="J106" i="3" s="1"/>
  <c r="K106" i="3" s="1"/>
  <c r="A18" i="6"/>
  <c r="J76" i="6" s="1"/>
  <c r="K76" i="6" s="1"/>
  <c r="L76" i="6" s="1"/>
  <c r="N213" i="8"/>
  <c r="O213" i="8"/>
  <c r="P213" i="8" s="1"/>
  <c r="N125" i="8"/>
  <c r="O125" i="8"/>
  <c r="P125" i="8" s="1"/>
  <c r="O130" i="8"/>
  <c r="P130" i="8" s="1"/>
  <c r="N130" i="8"/>
  <c r="O167" i="8"/>
  <c r="P167" i="8" s="1"/>
  <c r="N167" i="8"/>
  <c r="N214" i="8"/>
  <c r="O214" i="8"/>
  <c r="P214" i="8" s="1"/>
  <c r="N211" i="8"/>
  <c r="O131" i="8"/>
  <c r="P131" i="8" s="1"/>
  <c r="N131" i="8"/>
  <c r="O212" i="8"/>
  <c r="P212" i="8" s="1"/>
  <c r="N212" i="8"/>
  <c r="O124" i="8"/>
  <c r="P124" i="8" s="1"/>
  <c r="N124" i="8"/>
  <c r="O162" i="8"/>
  <c r="P162" i="8" s="1"/>
  <c r="N162" i="8"/>
  <c r="O215" i="8"/>
  <c r="P215" i="8" s="1"/>
  <c r="N215" i="8"/>
  <c r="O141" i="8"/>
  <c r="P141" i="8" s="1"/>
  <c r="N141" i="8"/>
  <c r="O166" i="8"/>
  <c r="P166" i="8" s="1"/>
  <c r="N166" i="8"/>
  <c r="O147" i="8"/>
  <c r="P147" i="8" s="1"/>
  <c r="N147" i="8"/>
  <c r="O168" i="8"/>
  <c r="P168" i="8" s="1"/>
  <c r="N168" i="8"/>
  <c r="O129" i="8"/>
  <c r="P129" i="8" s="1"/>
  <c r="N129" i="8"/>
  <c r="O176" i="8"/>
  <c r="P176" i="8" s="1"/>
  <c r="N176" i="8"/>
  <c r="P114" i="9"/>
  <c r="Q114" i="9" s="1"/>
  <c r="O114" i="9"/>
  <c r="P107" i="9"/>
  <c r="Q107" i="9" s="1"/>
  <c r="O107" i="9"/>
  <c r="O118" i="9"/>
  <c r="P118" i="9"/>
  <c r="Q118" i="9" s="1"/>
  <c r="O159" i="9"/>
  <c r="P159" i="9"/>
  <c r="Q159" i="9" s="1"/>
  <c r="O139" i="9"/>
  <c r="P139" i="9"/>
  <c r="Q139" i="9" s="1"/>
  <c r="P152" i="9"/>
  <c r="Q152" i="9" s="1"/>
  <c r="O152" i="9"/>
  <c r="J59" i="6"/>
  <c r="J27" i="6"/>
  <c r="G103" i="3"/>
  <c r="I103" i="3" s="1"/>
  <c r="J103" i="3" s="1"/>
  <c r="K103" i="3" s="1"/>
  <c r="I88" i="3"/>
  <c r="J88" i="3" s="1"/>
  <c r="K88" i="3" s="1"/>
  <c r="G104" i="3"/>
  <c r="I104" i="3" s="1"/>
  <c r="J104" i="3" s="1"/>
  <c r="K104" i="3" s="1"/>
  <c r="I93" i="3"/>
  <c r="J93" i="3" s="1"/>
  <c r="K93" i="3" s="1"/>
  <c r="I94" i="3"/>
  <c r="J94" i="3" s="1"/>
  <c r="K94" i="3" s="1"/>
  <c r="G124" i="3"/>
  <c r="I124" i="3" s="1"/>
  <c r="J124" i="3" s="1"/>
  <c r="K124" i="3" s="1"/>
  <c r="N124" i="3" s="1"/>
  <c r="G126" i="3"/>
  <c r="I126" i="3" s="1"/>
  <c r="J126" i="3" s="1"/>
  <c r="K126" i="3" s="1"/>
  <c r="N126" i="3" s="1"/>
  <c r="G111" i="3"/>
  <c r="I111" i="3" s="1"/>
  <c r="J111" i="3" s="1"/>
  <c r="K111" i="3" s="1"/>
  <c r="J221" i="8"/>
  <c r="K221" i="8" s="1"/>
  <c r="L221" i="8" s="1"/>
  <c r="N221" i="8" s="1"/>
  <c r="K219" i="8"/>
  <c r="L219" i="8" s="1"/>
  <c r="N219" i="8" s="1"/>
  <c r="J222" i="8"/>
  <c r="K222" i="8" s="1"/>
  <c r="L222" i="8" s="1"/>
  <c r="N222" i="8" s="1"/>
  <c r="K218" i="8"/>
  <c r="L218" i="8" s="1"/>
  <c r="I128" i="7"/>
  <c r="J128" i="7" s="1"/>
  <c r="I85" i="3"/>
  <c r="J85" i="3" s="1"/>
  <c r="K85" i="3" s="1"/>
  <c r="G117" i="3"/>
  <c r="I117" i="3" s="1"/>
  <c r="J117" i="3" s="1"/>
  <c r="K117" i="3" s="1"/>
  <c r="I84" i="3"/>
  <c r="J84" i="3" s="1"/>
  <c r="K84" i="3" s="1"/>
  <c r="G127" i="3"/>
  <c r="I127" i="3" s="1"/>
  <c r="J127" i="3" s="1"/>
  <c r="K127" i="3" s="1"/>
  <c r="I110" i="3"/>
  <c r="J110" i="3" s="1"/>
  <c r="K110" i="3" s="1"/>
  <c r="G128" i="3"/>
  <c r="I128" i="3" s="1"/>
  <c r="J128" i="3" s="1"/>
  <c r="K128" i="3" s="1"/>
  <c r="N128" i="3" s="1"/>
  <c r="I101" i="3"/>
  <c r="J101" i="3" s="1"/>
  <c r="K101" i="3" s="1"/>
  <c r="G109" i="3"/>
  <c r="I109" i="3" s="1"/>
  <c r="J109" i="3" s="1"/>
  <c r="K109" i="3" s="1"/>
  <c r="G123" i="3"/>
  <c r="I123" i="3" s="1"/>
  <c r="J123" i="3" s="1"/>
  <c r="K123" i="3" s="1"/>
  <c r="I122" i="3"/>
  <c r="J122" i="3" s="1"/>
  <c r="K122" i="3" s="1"/>
  <c r="G92" i="3"/>
  <c r="I92" i="3" s="1"/>
  <c r="J92" i="3" s="1"/>
  <c r="K92" i="3" s="1"/>
  <c r="G83" i="3"/>
  <c r="I83" i="3" s="1"/>
  <c r="J83" i="3" s="1"/>
  <c r="K83" i="3" s="1"/>
  <c r="N83" i="3" s="1"/>
  <c r="G78" i="3"/>
  <c r="I78" i="3" s="1"/>
  <c r="J78" i="3" s="1"/>
  <c r="K78" i="3" s="1"/>
  <c r="N78" i="3" s="1"/>
  <c r="I82" i="3"/>
  <c r="J82" i="3" s="1"/>
  <c r="K82" i="3" s="1"/>
  <c r="G97" i="3"/>
  <c r="I97" i="3" s="1"/>
  <c r="J97" i="3" s="1"/>
  <c r="K97" i="3" s="1"/>
  <c r="G96" i="3"/>
  <c r="I96" i="3" s="1"/>
  <c r="J96" i="3" s="1"/>
  <c r="K96" i="3" s="1"/>
  <c r="I76" i="3"/>
  <c r="J76" i="3" s="1"/>
  <c r="K76" i="3" s="1"/>
  <c r="I105" i="3"/>
  <c r="J105" i="3" s="1"/>
  <c r="K105" i="3" s="1"/>
  <c r="I112" i="3"/>
  <c r="J112" i="3" s="1"/>
  <c r="K112" i="3" s="1"/>
  <c r="I80" i="3"/>
  <c r="J80" i="3" s="1"/>
  <c r="K80" i="3" s="1"/>
  <c r="I90" i="3"/>
  <c r="J90" i="3" s="1"/>
  <c r="K90" i="3" s="1"/>
  <c r="I107" i="3"/>
  <c r="J107" i="3" s="1"/>
  <c r="K107" i="3" s="1"/>
  <c r="I79" i="3"/>
  <c r="J79" i="3" s="1"/>
  <c r="I121" i="3"/>
  <c r="J121" i="3" s="1"/>
  <c r="K121" i="3" s="1"/>
  <c r="N121" i="3" s="1"/>
  <c r="I81" i="3"/>
  <c r="J81" i="3" s="1"/>
  <c r="K81" i="3" s="1"/>
  <c r="I87" i="3"/>
  <c r="J87" i="3" s="1"/>
  <c r="K87" i="3" s="1"/>
  <c r="I91" i="3"/>
  <c r="J91" i="3" s="1"/>
  <c r="K91" i="3" s="1"/>
  <c r="I99" i="3"/>
  <c r="J99" i="3" s="1"/>
  <c r="K99" i="3" s="1"/>
  <c r="I108" i="3"/>
  <c r="J108" i="3" s="1"/>
  <c r="K108" i="3" s="1"/>
  <c r="G125" i="3"/>
  <c r="I125" i="3" s="1"/>
  <c r="J125" i="3" s="1"/>
  <c r="K125" i="3" s="1"/>
  <c r="N125" i="3" s="1"/>
  <c r="J90" i="6"/>
  <c r="K90" i="6" s="1"/>
  <c r="L90" i="6" s="1"/>
  <c r="O90" i="6" s="1"/>
  <c r="J105" i="6"/>
  <c r="K105" i="6" s="1"/>
  <c r="L105" i="6" s="1"/>
  <c r="P105" i="6" s="1"/>
  <c r="Q105" i="6" s="1"/>
  <c r="J112" i="6"/>
  <c r="K112" i="6" s="1"/>
  <c r="L112" i="6" s="1"/>
  <c r="P112" i="6" s="1"/>
  <c r="Q112" i="6" s="1"/>
  <c r="A15" i="6"/>
  <c r="J111" i="6" s="1"/>
  <c r="K111" i="6" s="1"/>
  <c r="L111" i="6" s="1"/>
  <c r="J42" i="6"/>
  <c r="K42" i="6" s="1"/>
  <c r="L42" i="6" s="1"/>
  <c r="N42" i="6" s="1"/>
  <c r="J43" i="6"/>
  <c r="K43" i="6" s="1"/>
  <c r="L43" i="6" s="1"/>
  <c r="N43" i="6" s="1"/>
  <c r="J66" i="6"/>
  <c r="K66" i="6" s="1"/>
  <c r="L66" i="6" s="1"/>
  <c r="N66" i="6" s="1"/>
  <c r="A21" i="6"/>
  <c r="J83" i="6" s="1"/>
  <c r="K83" i="6" s="1"/>
  <c r="L83" i="6" s="1"/>
  <c r="A24" i="6"/>
  <c r="J78" i="6" s="1"/>
  <c r="K78" i="6" s="1"/>
  <c r="L78" i="6" s="1"/>
  <c r="J89" i="6"/>
  <c r="K89" i="6" s="1"/>
  <c r="L89" i="6" s="1"/>
  <c r="O89" i="6" s="1"/>
  <c r="A9" i="6"/>
  <c r="J18" i="6"/>
  <c r="K18" i="6" s="1"/>
  <c r="L18" i="6" s="1"/>
  <c r="N18" i="6" s="1"/>
  <c r="A30" i="6"/>
  <c r="A27" i="6"/>
  <c r="J82" i="6" s="1"/>
  <c r="K82" i="6" s="1"/>
  <c r="L82" i="6" s="1"/>
  <c r="J35" i="6"/>
  <c r="K35" i="6" s="1"/>
  <c r="L35" i="6" s="1"/>
  <c r="N35" i="6" s="1"/>
  <c r="J80" i="6"/>
  <c r="K80" i="6" s="1"/>
  <c r="L80" i="6" s="1"/>
  <c r="O80" i="6" s="1"/>
  <c r="J85" i="6"/>
  <c r="K85" i="6" s="1"/>
  <c r="L85" i="6" s="1"/>
  <c r="O85" i="6" s="1"/>
  <c r="H10" i="6"/>
  <c r="J50" i="6"/>
  <c r="K50" i="6" s="1"/>
  <c r="L50" i="6" s="1"/>
  <c r="N50" i="6" s="1"/>
  <c r="J25" i="6"/>
  <c r="K25" i="6"/>
  <c r="L25" i="6" s="1"/>
  <c r="N25" i="6" s="1"/>
  <c r="J29" i="6"/>
  <c r="K29" i="6" s="1"/>
  <c r="L29" i="6" s="1"/>
  <c r="N29" i="6" s="1"/>
  <c r="J54" i="6"/>
  <c r="K54" i="6" s="1"/>
  <c r="L54" i="6" s="1"/>
  <c r="N54" i="6" s="1"/>
  <c r="J60" i="6"/>
  <c r="K60" i="6" s="1"/>
  <c r="L60" i="6" s="1"/>
  <c r="N60" i="6" s="1"/>
  <c r="J70" i="6"/>
  <c r="K70" i="6" s="1"/>
  <c r="L70" i="6" s="1"/>
  <c r="N70" i="6" s="1"/>
  <c r="H9" i="6"/>
  <c r="J30" i="6"/>
  <c r="K30" i="6" s="1"/>
  <c r="L30" i="6" s="1"/>
  <c r="N30" i="6" s="1"/>
  <c r="J61" i="6"/>
  <c r="K61" i="6" s="1"/>
  <c r="L61" i="6" s="1"/>
  <c r="N61" i="6" s="1"/>
  <c r="J98" i="6"/>
  <c r="K98" i="6" s="1"/>
  <c r="L98" i="6" s="1"/>
  <c r="P98" i="6" s="1"/>
  <c r="Q98" i="6" s="1"/>
  <c r="H33" i="6"/>
  <c r="J33" i="6" s="1"/>
  <c r="H17" i="6"/>
  <c r="G74" i="6"/>
  <c r="J34" i="6"/>
  <c r="K34" i="6" s="1"/>
  <c r="L34" i="6" s="1"/>
  <c r="N34" i="6" s="1"/>
  <c r="H14" i="6"/>
  <c r="A12" i="6"/>
  <c r="J104" i="6" s="1"/>
  <c r="K104" i="6" s="1"/>
  <c r="L104" i="6" s="1"/>
  <c r="J62" i="6"/>
  <c r="K62" i="6" s="1"/>
  <c r="L62" i="6" s="1"/>
  <c r="N62" i="6" s="1"/>
  <c r="J36" i="6"/>
  <c r="K36" i="6" s="1"/>
  <c r="L36" i="6" s="1"/>
  <c r="N36" i="6" s="1"/>
  <c r="J46" i="6"/>
  <c r="K46" i="6" s="1"/>
  <c r="L46" i="6" s="1"/>
  <c r="N46" i="6" s="1"/>
  <c r="J40" i="6"/>
  <c r="J22" i="6"/>
  <c r="K22" i="6" s="1"/>
  <c r="L22" i="6" s="1"/>
  <c r="N22" i="6" s="1"/>
  <c r="H32" i="6"/>
  <c r="J32" i="6" s="1"/>
  <c r="J56" i="6"/>
  <c r="K56" i="6" s="1"/>
  <c r="L56" i="6" s="1"/>
  <c r="N56" i="6" s="1"/>
  <c r="H15" i="6"/>
  <c r="J53" i="6"/>
  <c r="K53" i="6" s="1"/>
  <c r="L53" i="6" s="1"/>
  <c r="N53" i="6" s="1"/>
  <c r="J69" i="6"/>
  <c r="K69" i="6" s="1"/>
  <c r="L69" i="6" s="1"/>
  <c r="N69" i="6" s="1"/>
  <c r="J26" i="6"/>
  <c r="K26" i="6" s="1"/>
  <c r="L26" i="6" s="1"/>
  <c r="N26" i="6" s="1"/>
  <c r="I105" i="7"/>
  <c r="J105" i="7" s="1"/>
  <c r="I33" i="7"/>
  <c r="J33" i="7" s="1"/>
  <c r="K33" i="7" s="1"/>
  <c r="M33" i="7" s="1"/>
  <c r="I68" i="7"/>
  <c r="J68" i="7" s="1"/>
  <c r="K68" i="7" s="1"/>
  <c r="M68" i="7" s="1"/>
  <c r="I107" i="7"/>
  <c r="J107" i="7" s="1"/>
  <c r="I23" i="7"/>
  <c r="J23" i="7" s="1"/>
  <c r="K23" i="7" s="1"/>
  <c r="M23" i="7" s="1"/>
  <c r="I15" i="7"/>
  <c r="J15" i="7" s="1"/>
  <c r="K15" i="7" s="1"/>
  <c r="M15" i="7" s="1"/>
  <c r="I64" i="7"/>
  <c r="J64" i="7" s="1"/>
  <c r="K64" i="7" s="1"/>
  <c r="M64" i="7" s="1"/>
  <c r="I63" i="7"/>
  <c r="J63" i="7" s="1"/>
  <c r="K63" i="7" s="1"/>
  <c r="M63" i="7" s="1"/>
  <c r="I73" i="7"/>
  <c r="J73" i="7" s="1"/>
  <c r="K73" i="7" s="1"/>
  <c r="M73" i="7" s="1"/>
  <c r="I25" i="7"/>
  <c r="J25" i="7" s="1"/>
  <c r="K25" i="7" s="1"/>
  <c r="M25" i="7" s="1"/>
  <c r="I40" i="7"/>
  <c r="J40" i="7" s="1"/>
  <c r="K40" i="7" s="1"/>
  <c r="M40" i="7" s="1"/>
  <c r="I56" i="7"/>
  <c r="J56" i="7" s="1"/>
  <c r="K56" i="7" s="1"/>
  <c r="M56" i="7" s="1"/>
  <c r="I101" i="7"/>
  <c r="J101" i="7" s="1"/>
  <c r="I27" i="7"/>
  <c r="J27" i="7" s="1"/>
  <c r="K27" i="7" s="1"/>
  <c r="M27" i="7" s="1"/>
  <c r="I65" i="7"/>
  <c r="J65" i="7" s="1"/>
  <c r="K65" i="7" s="1"/>
  <c r="M65" i="7" s="1"/>
  <c r="M100" i="7"/>
  <c r="I37" i="7"/>
  <c r="J37" i="7" s="1"/>
  <c r="K37" i="7" s="1"/>
  <c r="M37" i="7" s="1"/>
  <c r="I66" i="7"/>
  <c r="J66" i="7" s="1"/>
  <c r="K66" i="7" s="1"/>
  <c r="M66" i="7" s="1"/>
  <c r="I71" i="7"/>
  <c r="J71" i="7" s="1"/>
  <c r="K71" i="7" s="1"/>
  <c r="M71" i="7" s="1"/>
  <c r="I89" i="7"/>
  <c r="J89" i="7" s="1"/>
  <c r="I106" i="7"/>
  <c r="J106" i="7" s="1"/>
  <c r="P106" i="7" s="1"/>
  <c r="Q106" i="7" s="1"/>
  <c r="I67" i="7"/>
  <c r="J67" i="7" s="1"/>
  <c r="K67" i="7" s="1"/>
  <c r="M67" i="7" s="1"/>
  <c r="I19" i="7"/>
  <c r="J19" i="7" s="1"/>
  <c r="K19" i="7" s="1"/>
  <c r="M19" i="7" s="1"/>
  <c r="I45" i="7"/>
  <c r="J45" i="7" s="1"/>
  <c r="K45" i="7" s="1"/>
  <c r="M45" i="7" s="1"/>
  <c r="I57" i="7"/>
  <c r="J57" i="7" s="1"/>
  <c r="K57" i="7" s="1"/>
  <c r="M57" i="7" s="1"/>
  <c r="I69" i="7"/>
  <c r="J69" i="7" s="1"/>
  <c r="K69" i="7" s="1"/>
  <c r="M69" i="7" s="1"/>
  <c r="I90" i="7"/>
  <c r="J90" i="7" s="1"/>
  <c r="M90" i="7" s="1"/>
  <c r="I122" i="7"/>
  <c r="J122" i="7" s="1"/>
  <c r="I112" i="7"/>
  <c r="J112" i="7" s="1"/>
  <c r="M112" i="7" s="1"/>
  <c r="I21" i="7"/>
  <c r="J21" i="7" s="1"/>
  <c r="K21" i="7" s="1"/>
  <c r="M21" i="7" s="1"/>
  <c r="I52" i="7"/>
  <c r="J52" i="7" s="1"/>
  <c r="K52" i="7" s="1"/>
  <c r="M52" i="7" s="1"/>
  <c r="I43" i="7"/>
  <c r="J43" i="7" s="1"/>
  <c r="K43" i="7" s="1"/>
  <c r="M43" i="7" s="1"/>
  <c r="I53" i="7"/>
  <c r="J53" i="7" s="1"/>
  <c r="K53" i="7" s="1"/>
  <c r="M53" i="7" s="1"/>
  <c r="I62" i="7"/>
  <c r="J62" i="7" s="1"/>
  <c r="K62" i="7" s="1"/>
  <c r="M62" i="7" s="1"/>
  <c r="I72" i="7"/>
  <c r="J72" i="7" s="1"/>
  <c r="K72" i="7" s="1"/>
  <c r="M72" i="7" s="1"/>
  <c r="I60" i="7"/>
  <c r="J60" i="7" s="1"/>
  <c r="K60" i="7" s="1"/>
  <c r="M60" i="7" s="1"/>
  <c r="I14" i="7"/>
  <c r="J14" i="7" s="1"/>
  <c r="K14" i="7" s="1"/>
  <c r="M14" i="7" s="1"/>
  <c r="I36" i="7"/>
  <c r="J36" i="7" s="1"/>
  <c r="K36" i="7" s="1"/>
  <c r="M36" i="7" s="1"/>
  <c r="I41" i="7"/>
  <c r="J41" i="7" s="1"/>
  <c r="K41" i="7" s="1"/>
  <c r="M41" i="7" s="1"/>
  <c r="I46" i="7"/>
  <c r="J46" i="7" s="1"/>
  <c r="K46" i="7" s="1"/>
  <c r="M46" i="7" s="1"/>
  <c r="I108" i="7"/>
  <c r="J108" i="7" s="1"/>
  <c r="P108" i="7" s="1"/>
  <c r="Q108" i="7" s="1"/>
  <c r="I47" i="7"/>
  <c r="J47" i="7" s="1"/>
  <c r="K47" i="7" s="1"/>
  <c r="M47" i="7" s="1"/>
  <c r="I49" i="7"/>
  <c r="J49" i="7" s="1"/>
  <c r="K49" i="7" s="1"/>
  <c r="M49" i="7" s="1"/>
  <c r="M77" i="7"/>
  <c r="I81" i="7"/>
  <c r="J81" i="7" s="1"/>
  <c r="M81" i="7" s="1"/>
  <c r="I86" i="7"/>
  <c r="J86" i="7" s="1"/>
  <c r="I94" i="7"/>
  <c r="J94" i="7" s="1"/>
  <c r="I39" i="7"/>
  <c r="J39" i="7" s="1"/>
  <c r="K39" i="7" s="1"/>
  <c r="M39" i="7" s="1"/>
  <c r="I18" i="7"/>
  <c r="J18" i="7" s="1"/>
  <c r="K18" i="7" s="1"/>
  <c r="M18" i="7" s="1"/>
  <c r="I20" i="7"/>
  <c r="J20" i="7" s="1"/>
  <c r="K20" i="7" s="1"/>
  <c r="M20" i="7" s="1"/>
  <c r="I31" i="7"/>
  <c r="J31" i="7" s="1"/>
  <c r="K31" i="7" s="1"/>
  <c r="M31" i="7" s="1"/>
  <c r="I50" i="7"/>
  <c r="J50" i="7" s="1"/>
  <c r="K50" i="7" s="1"/>
  <c r="M50" i="7" s="1"/>
  <c r="I54" i="7"/>
  <c r="J54" i="7" s="1"/>
  <c r="K54" i="7" s="1"/>
  <c r="M54" i="7" s="1"/>
  <c r="I58" i="7"/>
  <c r="J58" i="7" s="1"/>
  <c r="K58" i="7" s="1"/>
  <c r="M58" i="7" s="1"/>
  <c r="I88" i="7"/>
  <c r="J88" i="7" s="1"/>
  <c r="P88" i="7" s="1"/>
  <c r="Q88" i="7" s="1"/>
  <c r="I91" i="7"/>
  <c r="J91" i="7" s="1"/>
  <c r="P91" i="7" s="1"/>
  <c r="Q91" i="7" s="1"/>
  <c r="I16" i="7"/>
  <c r="J16" i="7" s="1"/>
  <c r="K16" i="7" s="1"/>
  <c r="M16" i="7" s="1"/>
  <c r="I22" i="7"/>
  <c r="J22" i="7" s="1"/>
  <c r="K22" i="7" s="1"/>
  <c r="M22" i="7" s="1"/>
  <c r="I26" i="7"/>
  <c r="J26" i="7" s="1"/>
  <c r="K26" i="7" s="1"/>
  <c r="M26" i="7" s="1"/>
  <c r="I48" i="7"/>
  <c r="J48" i="7" s="1"/>
  <c r="K48" i="7" s="1"/>
  <c r="M48" i="7" s="1"/>
  <c r="I84" i="7"/>
  <c r="J84" i="7" s="1"/>
  <c r="I98" i="7"/>
  <c r="J98" i="7" s="1"/>
  <c r="P98" i="7" s="1"/>
  <c r="Q98" i="7" s="1"/>
  <c r="I110" i="7"/>
  <c r="J110" i="7" s="1"/>
  <c r="M110" i="7" s="1"/>
  <c r="I28" i="7"/>
  <c r="J28" i="7" s="1"/>
  <c r="K28" i="7" s="1"/>
  <c r="M28" i="7" s="1"/>
  <c r="I38" i="7"/>
  <c r="I30" i="7"/>
  <c r="J30" i="7" s="1"/>
  <c r="K30" i="7" s="1"/>
  <c r="M30" i="7" s="1"/>
  <c r="I32" i="7"/>
  <c r="J32" i="7" s="1"/>
  <c r="K32" i="7" s="1"/>
  <c r="M32" i="7" s="1"/>
  <c r="I42" i="7"/>
  <c r="J42" i="7" s="1"/>
  <c r="K42" i="7" s="1"/>
  <c r="M42" i="7" s="1"/>
  <c r="I44" i="7"/>
  <c r="J44" i="7" s="1"/>
  <c r="K44" i="7" s="1"/>
  <c r="M44" i="7" s="1"/>
  <c r="I51" i="7"/>
  <c r="J51" i="7" s="1"/>
  <c r="K51" i="7" s="1"/>
  <c r="M51" i="7" s="1"/>
  <c r="I55" i="7"/>
  <c r="J55" i="7" s="1"/>
  <c r="K55" i="7" s="1"/>
  <c r="M55" i="7" s="1"/>
  <c r="I59" i="7"/>
  <c r="J59" i="7" s="1"/>
  <c r="K59" i="7" s="1"/>
  <c r="M59" i="7" s="1"/>
  <c r="I61" i="7"/>
  <c r="J61" i="7" s="1"/>
  <c r="K61" i="7" s="1"/>
  <c r="M61" i="7" s="1"/>
  <c r="I70" i="7"/>
  <c r="J70" i="7" s="1"/>
  <c r="K70" i="7" s="1"/>
  <c r="M70" i="7" s="1"/>
  <c r="I80" i="7"/>
  <c r="J80" i="7" s="1"/>
  <c r="M80" i="7" s="1"/>
  <c r="I85" i="7"/>
  <c r="J85" i="7" s="1"/>
  <c r="P85" i="7" s="1"/>
  <c r="Q85" i="7" s="1"/>
  <c r="I93" i="7"/>
  <c r="J93" i="7" s="1"/>
  <c r="P93" i="7" s="1"/>
  <c r="Q93" i="7" s="1"/>
  <c r="I99" i="7"/>
  <c r="J99" i="7" s="1"/>
  <c r="I102" i="7"/>
  <c r="J102" i="7" s="1"/>
  <c r="I76" i="7"/>
  <c r="J76" i="7" s="1"/>
  <c r="I97" i="7"/>
  <c r="J97" i="7" s="1"/>
  <c r="I96" i="7"/>
  <c r="J96" i="7" s="1"/>
  <c r="I29" i="7"/>
  <c r="J29" i="7" s="1"/>
  <c r="K29" i="7" s="1"/>
  <c r="M29" i="7" s="1"/>
  <c r="M88" i="7"/>
  <c r="I9" i="7"/>
  <c r="J9" i="7" s="1"/>
  <c r="K9" i="7" s="1"/>
  <c r="M9" i="7" s="1"/>
  <c r="I11" i="7"/>
  <c r="J11" i="7" s="1"/>
  <c r="K11" i="7" s="1"/>
  <c r="M11" i="7" s="1"/>
  <c r="I12" i="7"/>
  <c r="J12" i="7" s="1"/>
  <c r="K12" i="7" s="1"/>
  <c r="M12" i="7" s="1"/>
  <c r="I17" i="7"/>
  <c r="J17" i="7" s="1"/>
  <c r="K17" i="7" s="1"/>
  <c r="M17" i="7" s="1"/>
  <c r="I24" i="7"/>
  <c r="J24" i="7" s="1"/>
  <c r="K24" i="7" s="1"/>
  <c r="M24" i="7" s="1"/>
  <c r="I10" i="7"/>
  <c r="J10" i="7" s="1"/>
  <c r="K10" i="7" s="1"/>
  <c r="M10" i="7" s="1"/>
  <c r="I82" i="7"/>
  <c r="J82" i="7" s="1"/>
  <c r="I35" i="7"/>
  <c r="J35" i="7" s="1"/>
  <c r="K35" i="7" s="1"/>
  <c r="M35" i="7" s="1"/>
  <c r="I13" i="7"/>
  <c r="J13" i="7" s="1"/>
  <c r="K13" i="7" s="1"/>
  <c r="M13" i="7" s="1"/>
  <c r="I92" i="7"/>
  <c r="J92" i="7" s="1"/>
  <c r="P80" i="7"/>
  <c r="Q80" i="7" s="1"/>
  <c r="M85" i="7"/>
  <c r="P99" i="7"/>
  <c r="Q99" i="7" s="1"/>
  <c r="M99" i="7"/>
  <c r="P102" i="7"/>
  <c r="Q102" i="7" s="1"/>
  <c r="M102" i="7"/>
  <c r="I109" i="7"/>
  <c r="J109" i="7" s="1"/>
  <c r="I111" i="7"/>
  <c r="J111" i="7" s="1"/>
  <c r="I87" i="7"/>
  <c r="J87" i="7" s="1"/>
  <c r="I34" i="7"/>
  <c r="J34" i="7" s="1"/>
  <c r="K34" i="7" s="1"/>
  <c r="M34" i="7" s="1"/>
  <c r="J38" i="7"/>
  <c r="K38" i="7" s="1"/>
  <c r="M38" i="7" s="1"/>
  <c r="P90" i="7"/>
  <c r="Q90" i="7" s="1"/>
  <c r="I83" i="7"/>
  <c r="J83" i="7" s="1"/>
  <c r="P81" i="7"/>
  <c r="Q81" i="7" s="1"/>
  <c r="M86" i="7"/>
  <c r="P86" i="7"/>
  <c r="Q86" i="7" s="1"/>
  <c r="P94" i="7"/>
  <c r="Q94" i="7" s="1"/>
  <c r="M94" i="7"/>
  <c r="M108" i="7"/>
  <c r="P122" i="7"/>
  <c r="Q122" i="7" s="1"/>
  <c r="M122" i="7"/>
  <c r="I104" i="7"/>
  <c r="J104" i="7" s="1"/>
  <c r="I103" i="7"/>
  <c r="J103" i="7" s="1"/>
  <c r="I79" i="7"/>
  <c r="J79" i="7" s="1"/>
  <c r="I78" i="7"/>
  <c r="J78" i="7" s="1"/>
  <c r="M106" i="7"/>
  <c r="P112" i="7"/>
  <c r="Q112" i="7" s="1"/>
  <c r="M84" i="7"/>
  <c r="P84" i="7"/>
  <c r="Q84" i="7" s="1"/>
  <c r="P101" i="7"/>
  <c r="Q101" i="7" s="1"/>
  <c r="M101" i="7"/>
  <c r="P110" i="7"/>
  <c r="Q110" i="7" s="1"/>
  <c r="M89" i="7"/>
  <c r="P89" i="7"/>
  <c r="Q89" i="7" s="1"/>
  <c r="P107" i="7"/>
  <c r="Q107" i="7" s="1"/>
  <c r="M107" i="7"/>
  <c r="P105" i="7"/>
  <c r="Q105" i="7" s="1"/>
  <c r="M105" i="7"/>
  <c r="I114" i="7"/>
  <c r="J114" i="7" s="1"/>
  <c r="I115" i="7"/>
  <c r="J115" i="7" s="1"/>
  <c r="I116" i="7"/>
  <c r="J116" i="7" s="1"/>
  <c r="I117" i="7"/>
  <c r="J117" i="7" s="1"/>
  <c r="I119" i="7"/>
  <c r="J119" i="7" s="1"/>
  <c r="I120" i="7"/>
  <c r="J120" i="7" s="1"/>
  <c r="I121" i="7"/>
  <c r="J121" i="7" s="1"/>
  <c r="I123" i="7"/>
  <c r="J123" i="7" s="1"/>
  <c r="I124" i="7"/>
  <c r="J124" i="7" s="1"/>
  <c r="I125" i="7"/>
  <c r="J125" i="7" s="1"/>
  <c r="I126" i="7"/>
  <c r="J126" i="7" s="1"/>
  <c r="J39" i="6"/>
  <c r="K39" i="6" s="1"/>
  <c r="L39" i="6" s="1"/>
  <c r="N39" i="6" s="1"/>
  <c r="J71" i="6"/>
  <c r="K71" i="6" s="1"/>
  <c r="L71" i="6" s="1"/>
  <c r="N71" i="6" s="1"/>
  <c r="J57" i="6"/>
  <c r="K57" i="6" s="1"/>
  <c r="L57" i="6" s="1"/>
  <c r="N57" i="6" s="1"/>
  <c r="J24" i="6"/>
  <c r="K24" i="6" s="1"/>
  <c r="L24" i="6" s="1"/>
  <c r="N24" i="6" s="1"/>
  <c r="J47" i="6"/>
  <c r="K47" i="6" s="1"/>
  <c r="L47" i="6" s="1"/>
  <c r="N47" i="6" s="1"/>
  <c r="J55" i="6"/>
  <c r="K55" i="6" s="1"/>
  <c r="L55" i="6" s="1"/>
  <c r="N55" i="6" s="1"/>
  <c r="J63" i="6"/>
  <c r="K63" i="6" s="1"/>
  <c r="L63" i="6" s="1"/>
  <c r="N63" i="6" s="1"/>
  <c r="J73" i="6"/>
  <c r="K73" i="6" s="1"/>
  <c r="L73" i="6" s="1"/>
  <c r="N73" i="6" s="1"/>
  <c r="J11" i="6"/>
  <c r="K11" i="6" s="1"/>
  <c r="L11" i="6" s="1"/>
  <c r="N11" i="6" s="1"/>
  <c r="K27" i="6"/>
  <c r="L27" i="6" s="1"/>
  <c r="N27" i="6" s="1"/>
  <c r="J68" i="6"/>
  <c r="K68" i="6" s="1"/>
  <c r="L68" i="6" s="1"/>
  <c r="N68" i="6" s="1"/>
  <c r="J72" i="6"/>
  <c r="K72" i="6" s="1"/>
  <c r="L72" i="6" s="1"/>
  <c r="N72" i="6" s="1"/>
  <c r="J81" i="6"/>
  <c r="K81" i="6" s="1"/>
  <c r="L81" i="6" s="1"/>
  <c r="J13" i="6"/>
  <c r="K13" i="6" s="1"/>
  <c r="L13" i="6" s="1"/>
  <c r="N13" i="6" s="1"/>
  <c r="J45" i="6"/>
  <c r="K45" i="6" s="1"/>
  <c r="L45" i="6" s="1"/>
  <c r="N45" i="6" s="1"/>
  <c r="J19" i="6"/>
  <c r="K19" i="6" s="1"/>
  <c r="L19" i="6" s="1"/>
  <c r="N19" i="6" s="1"/>
  <c r="J21" i="6"/>
  <c r="K21" i="6" s="1"/>
  <c r="L21" i="6" s="1"/>
  <c r="N21" i="6" s="1"/>
  <c r="J23" i="6"/>
  <c r="K23" i="6" s="1"/>
  <c r="L23" i="6" s="1"/>
  <c r="N23" i="6" s="1"/>
  <c r="J41" i="6"/>
  <c r="K41" i="6" s="1"/>
  <c r="L41" i="6" s="1"/>
  <c r="N41" i="6" s="1"/>
  <c r="J86" i="6"/>
  <c r="K86" i="6" s="1"/>
  <c r="L86" i="6" s="1"/>
  <c r="J91" i="6"/>
  <c r="K91" i="6" s="1"/>
  <c r="L91" i="6" s="1"/>
  <c r="P91" i="6" s="1"/>
  <c r="Q91" i="6" s="1"/>
  <c r="J58" i="6"/>
  <c r="K58" i="6" s="1"/>
  <c r="L58" i="6" s="1"/>
  <c r="N58" i="6" s="1"/>
  <c r="J102" i="6"/>
  <c r="K102" i="6" s="1"/>
  <c r="L102" i="6" s="1"/>
  <c r="O102" i="6" s="1"/>
  <c r="J20" i="6"/>
  <c r="K20" i="6" s="1"/>
  <c r="L20" i="6" s="1"/>
  <c r="N20" i="6" s="1"/>
  <c r="J37" i="6"/>
  <c r="K37" i="6" s="1"/>
  <c r="L37" i="6" s="1"/>
  <c r="N37" i="6" s="1"/>
  <c r="J12" i="6"/>
  <c r="K12" i="6" s="1"/>
  <c r="L12" i="6" s="1"/>
  <c r="N12" i="6" s="1"/>
  <c r="J93" i="6"/>
  <c r="K93" i="6" s="1"/>
  <c r="L93" i="6" s="1"/>
  <c r="P93" i="6" s="1"/>
  <c r="Q93" i="6" s="1"/>
  <c r="K40" i="6"/>
  <c r="L40" i="6" s="1"/>
  <c r="N40" i="6" s="1"/>
  <c r="J48" i="6"/>
  <c r="K48" i="6" s="1"/>
  <c r="L48" i="6" s="1"/>
  <c r="N48" i="6" s="1"/>
  <c r="J52" i="6"/>
  <c r="K52" i="6" s="1"/>
  <c r="L52" i="6" s="1"/>
  <c r="N52" i="6" s="1"/>
  <c r="J88" i="6"/>
  <c r="K88" i="6" s="1"/>
  <c r="L88" i="6" s="1"/>
  <c r="J110" i="6"/>
  <c r="K110" i="6" s="1"/>
  <c r="L110" i="6" s="1"/>
  <c r="O110" i="6" s="1"/>
  <c r="J16" i="6"/>
  <c r="K16" i="6" s="1"/>
  <c r="L16" i="6" s="1"/>
  <c r="N16" i="6" s="1"/>
  <c r="J28" i="6"/>
  <c r="K28" i="6" s="1"/>
  <c r="L28" i="6" s="1"/>
  <c r="N28" i="6" s="1"/>
  <c r="P77" i="6"/>
  <c r="Q77" i="6" s="1"/>
  <c r="O77" i="6"/>
  <c r="J106" i="6"/>
  <c r="K106" i="6" s="1"/>
  <c r="L106" i="6" s="1"/>
  <c r="K59" i="6"/>
  <c r="L59" i="6" s="1"/>
  <c r="N59" i="6" s="1"/>
  <c r="K67" i="6"/>
  <c r="L67" i="6" s="1"/>
  <c r="N67" i="6" s="1"/>
  <c r="J67" i="6"/>
  <c r="J51" i="6"/>
  <c r="K51" i="6" s="1"/>
  <c r="L51" i="6" s="1"/>
  <c r="N51" i="6" s="1"/>
  <c r="J65" i="6"/>
  <c r="K65" i="6" s="1"/>
  <c r="L65" i="6" s="1"/>
  <c r="N65" i="6" s="1"/>
  <c r="O100" i="6"/>
  <c r="G116" i="3"/>
  <c r="I116" i="3" s="1"/>
  <c r="J116" i="3" s="1"/>
  <c r="K116" i="3" s="1"/>
  <c r="N116" i="3" s="1"/>
  <c r="G119" i="3"/>
  <c r="I119" i="3" s="1"/>
  <c r="J119" i="3" s="1"/>
  <c r="K119" i="3" s="1"/>
  <c r="N119" i="3" s="1"/>
  <c r="G114" i="3"/>
  <c r="I114" i="3" s="1"/>
  <c r="J114" i="3" s="1"/>
  <c r="K114" i="3" s="1"/>
  <c r="G120" i="3"/>
  <c r="I120" i="3" s="1"/>
  <c r="J120" i="3" s="1"/>
  <c r="K120" i="3" s="1"/>
  <c r="N120" i="3" s="1"/>
  <c r="G115" i="3"/>
  <c r="I115" i="3" s="1"/>
  <c r="J115" i="3" s="1"/>
  <c r="K115" i="3" s="1"/>
  <c r="N115" i="3" s="1"/>
  <c r="I118" i="3"/>
  <c r="J118" i="3" s="1"/>
  <c r="K118" i="3" s="1"/>
  <c r="N118" i="3" s="1"/>
  <c r="I89" i="3"/>
  <c r="J89" i="3" s="1"/>
  <c r="K89" i="3" s="1"/>
  <c r="N89" i="3" s="1"/>
  <c r="A10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9" i="3"/>
  <c r="G9" i="3"/>
  <c r="M60" i="5"/>
  <c r="F32" i="5"/>
  <c r="P31" i="5"/>
  <c r="G31" i="5"/>
  <c r="P28" i="5"/>
  <c r="G28" i="5"/>
  <c r="J28" i="5" s="1"/>
  <c r="K28" i="5" s="1"/>
  <c r="M28" i="5" s="1"/>
  <c r="P27" i="5"/>
  <c r="G27" i="5"/>
  <c r="P26" i="5"/>
  <c r="G26" i="5"/>
  <c r="P25" i="5"/>
  <c r="G25" i="5"/>
  <c r="P24" i="5"/>
  <c r="G24" i="5"/>
  <c r="J24" i="5" s="1"/>
  <c r="K24" i="5" s="1"/>
  <c r="M24" i="5" s="1"/>
  <c r="P23" i="5"/>
  <c r="G23" i="5"/>
  <c r="P22" i="5"/>
  <c r="G22" i="5"/>
  <c r="J22" i="5" s="1"/>
  <c r="K22" i="5" s="1"/>
  <c r="M22" i="5" s="1"/>
  <c r="P21" i="5"/>
  <c r="G21" i="5"/>
  <c r="J21" i="5" s="1"/>
  <c r="K21" i="5" s="1"/>
  <c r="M21" i="5" s="1"/>
  <c r="P20" i="5"/>
  <c r="G20" i="5"/>
  <c r="J20" i="5" s="1"/>
  <c r="K20" i="5" s="1"/>
  <c r="M20" i="5" s="1"/>
  <c r="P19" i="5"/>
  <c r="G19" i="5"/>
  <c r="J19" i="5" s="1"/>
  <c r="K19" i="5" s="1"/>
  <c r="M19" i="5" s="1"/>
  <c r="P18" i="5"/>
  <c r="G18" i="5"/>
  <c r="P17" i="5"/>
  <c r="G17" i="5"/>
  <c r="J17" i="5" s="1"/>
  <c r="K17" i="5" s="1"/>
  <c r="M17" i="5" s="1"/>
  <c r="P16" i="5"/>
  <c r="G16" i="5"/>
  <c r="J16" i="5" s="1"/>
  <c r="K16" i="5" s="1"/>
  <c r="M16" i="5" s="1"/>
  <c r="P15" i="5"/>
  <c r="G15" i="5"/>
  <c r="P14" i="5"/>
  <c r="G14" i="5"/>
  <c r="A14" i="5"/>
  <c r="P13" i="5"/>
  <c r="G13" i="5"/>
  <c r="P12" i="5"/>
  <c r="G12" i="5"/>
  <c r="P11" i="5"/>
  <c r="G11" i="5"/>
  <c r="P10" i="5"/>
  <c r="G10" i="5"/>
  <c r="P9" i="5"/>
  <c r="G9" i="5"/>
  <c r="P8" i="5"/>
  <c r="G8" i="5"/>
  <c r="P7" i="5"/>
  <c r="G7" i="5"/>
  <c r="P6" i="5"/>
  <c r="G6" i="5"/>
  <c r="P5" i="5"/>
  <c r="G5" i="5"/>
  <c r="P4" i="5"/>
  <c r="G4" i="5"/>
  <c r="A4" i="5"/>
  <c r="G34" i="5" s="1"/>
  <c r="I34" i="5" s="1"/>
  <c r="P3" i="5"/>
  <c r="G3" i="5"/>
  <c r="A3" i="5"/>
  <c r="G4" i="4"/>
  <c r="H4" i="4" s="1"/>
  <c r="G5" i="4"/>
  <c r="H5" i="4" s="1"/>
  <c r="G6" i="4"/>
  <c r="H6" i="4" s="1"/>
  <c r="G7" i="4"/>
  <c r="H7" i="4" s="1"/>
  <c r="G8" i="4"/>
  <c r="H8" i="4" s="1"/>
  <c r="G9" i="4"/>
  <c r="H9" i="4" s="1"/>
  <c r="G10" i="4"/>
  <c r="H10" i="4" s="1"/>
  <c r="G11" i="4"/>
  <c r="H11" i="4" s="1"/>
  <c r="G12" i="4"/>
  <c r="H12" i="4" s="1"/>
  <c r="G13" i="4"/>
  <c r="H13" i="4" s="1"/>
  <c r="G14" i="4"/>
  <c r="G15" i="4"/>
  <c r="H15" i="4" s="1"/>
  <c r="G16" i="4"/>
  <c r="H16" i="4" s="1"/>
  <c r="G17" i="4"/>
  <c r="H17" i="4" s="1"/>
  <c r="G18" i="4"/>
  <c r="H18" i="4" s="1"/>
  <c r="G19" i="4"/>
  <c r="H19" i="4" s="1"/>
  <c r="G20" i="4"/>
  <c r="H20" i="4" s="1"/>
  <c r="G21" i="4"/>
  <c r="H21" i="4" s="1"/>
  <c r="G22" i="4"/>
  <c r="H22" i="4" s="1"/>
  <c r="G23" i="4"/>
  <c r="H23" i="4" s="1"/>
  <c r="G24" i="4"/>
  <c r="H24" i="4" s="1"/>
  <c r="G25" i="4"/>
  <c r="H25" i="4" s="1"/>
  <c r="G26" i="4"/>
  <c r="H36" i="4" s="1"/>
  <c r="G27" i="4"/>
  <c r="H39" i="4" s="1"/>
  <c r="G28" i="4"/>
  <c r="H28" i="4" s="1"/>
  <c r="G31" i="4"/>
  <c r="G3" i="4"/>
  <c r="H3" i="4" s="1"/>
  <c r="H125" i="6" l="1"/>
  <c r="H117" i="6"/>
  <c r="H124" i="6"/>
  <c r="J116" i="6"/>
  <c r="K116" i="6" s="1"/>
  <c r="L116" i="6" s="1"/>
  <c r="P116" i="6" s="1"/>
  <c r="Q116" i="6" s="1"/>
  <c r="H119" i="6"/>
  <c r="J119" i="6" s="1"/>
  <c r="K119" i="6" s="1"/>
  <c r="L119" i="6" s="1"/>
  <c r="O119" i="6" s="1"/>
  <c r="H126" i="6"/>
  <c r="J126" i="6" s="1"/>
  <c r="K126" i="6" s="1"/>
  <c r="L126" i="6" s="1"/>
  <c r="P126" i="6" s="1"/>
  <c r="Q126" i="6" s="1"/>
  <c r="H123" i="6"/>
  <c r="H115" i="6"/>
  <c r="J115" i="6" s="1"/>
  <c r="K115" i="6" s="1"/>
  <c r="L115" i="6" s="1"/>
  <c r="O115" i="6" s="1"/>
  <c r="H121" i="6"/>
  <c r="H128" i="6"/>
  <c r="H120" i="6"/>
  <c r="H127" i="6"/>
  <c r="J127" i="6" s="1"/>
  <c r="K127" i="6" s="1"/>
  <c r="L127" i="6" s="1"/>
  <c r="P127" i="6" s="1"/>
  <c r="Q127" i="6" s="1"/>
  <c r="H118" i="6"/>
  <c r="J118" i="6" s="1"/>
  <c r="K118" i="6" s="1"/>
  <c r="L118" i="6" s="1"/>
  <c r="G50" i="5"/>
  <c r="I50" i="5" s="1"/>
  <c r="G59" i="5"/>
  <c r="I59" i="5" s="1"/>
  <c r="G55" i="5"/>
  <c r="I55" i="5" s="1"/>
  <c r="G58" i="5"/>
  <c r="I58" i="5" s="1"/>
  <c r="G54" i="5"/>
  <c r="I54" i="5" s="1"/>
  <c r="G57" i="5"/>
  <c r="I57" i="5" s="1"/>
  <c r="G56" i="5"/>
  <c r="I56" i="5" s="1"/>
  <c r="P218" i="9"/>
  <c r="Q218" i="9" s="1"/>
  <c r="O218" i="9"/>
  <c r="P10" i="15"/>
  <c r="P18" i="15"/>
  <c r="P26" i="15"/>
  <c r="P34" i="15"/>
  <c r="P42" i="15"/>
  <c r="P49" i="15"/>
  <c r="P57" i="15"/>
  <c r="P65" i="15"/>
  <c r="P73" i="15"/>
  <c r="P81" i="15"/>
  <c r="P11" i="15"/>
  <c r="P19" i="15"/>
  <c r="P27" i="15"/>
  <c r="P35" i="15"/>
  <c r="P43" i="15"/>
  <c r="P50" i="15"/>
  <c r="P58" i="15"/>
  <c r="P66" i="15"/>
  <c r="P74" i="15"/>
  <c r="P9" i="15"/>
  <c r="P12" i="15"/>
  <c r="P36" i="15"/>
  <c r="P51" i="15"/>
  <c r="P67" i="15"/>
  <c r="P60" i="15"/>
  <c r="P13" i="15"/>
  <c r="P21" i="15"/>
  <c r="P52" i="15"/>
  <c r="P76" i="15"/>
  <c r="P14" i="15"/>
  <c r="P22" i="15"/>
  <c r="P30" i="15"/>
  <c r="P38" i="15"/>
  <c r="P45" i="15"/>
  <c r="P53" i="15"/>
  <c r="P61" i="15"/>
  <c r="P69" i="15"/>
  <c r="P77" i="15"/>
  <c r="P44" i="15"/>
  <c r="P29" i="15"/>
  <c r="P15" i="15"/>
  <c r="P23" i="15"/>
  <c r="P31" i="15"/>
  <c r="P39" i="15"/>
  <c r="P46" i="15"/>
  <c r="P54" i="15"/>
  <c r="P62" i="15"/>
  <c r="P70" i="15"/>
  <c r="P78" i="15"/>
  <c r="P17" i="15"/>
  <c r="P25" i="15"/>
  <c r="P33" i="15"/>
  <c r="P41" i="15"/>
  <c r="P48" i="15"/>
  <c r="P56" i="15"/>
  <c r="P64" i="15"/>
  <c r="P80" i="15"/>
  <c r="P20" i="15"/>
  <c r="P28" i="15"/>
  <c r="P59" i="15"/>
  <c r="P75" i="15"/>
  <c r="P37" i="15"/>
  <c r="P68" i="15"/>
  <c r="P16" i="15"/>
  <c r="P24" i="15"/>
  <c r="P32" i="15"/>
  <c r="P40" i="15"/>
  <c r="P47" i="15"/>
  <c r="P55" i="15"/>
  <c r="P63" i="15"/>
  <c r="P71" i="15"/>
  <c r="P79" i="15"/>
  <c r="P72" i="15"/>
  <c r="O81" i="3"/>
  <c r="P81" i="3" s="1"/>
  <c r="N81" i="3"/>
  <c r="O85" i="3"/>
  <c r="P85" i="3" s="1"/>
  <c r="N85" i="3"/>
  <c r="O94" i="3"/>
  <c r="P94" i="3" s="1"/>
  <c r="N94" i="3"/>
  <c r="O123" i="3"/>
  <c r="P123" i="3" s="1"/>
  <c r="N123" i="3"/>
  <c r="O101" i="3"/>
  <c r="P101" i="3" s="1"/>
  <c r="N101" i="3"/>
  <c r="O93" i="3"/>
  <c r="P93" i="3" s="1"/>
  <c r="N93" i="3"/>
  <c r="O107" i="3"/>
  <c r="P107" i="3" s="1"/>
  <c r="N107" i="3"/>
  <c r="O106" i="3"/>
  <c r="P106" i="3" s="1"/>
  <c r="N106" i="3"/>
  <c r="O110" i="3"/>
  <c r="P110" i="3" s="1"/>
  <c r="N110" i="3"/>
  <c r="O88" i="3"/>
  <c r="P88" i="3" s="1"/>
  <c r="N88" i="3"/>
  <c r="O86" i="3"/>
  <c r="P86" i="3" s="1"/>
  <c r="N86" i="3"/>
  <c r="O98" i="3"/>
  <c r="P98" i="3" s="1"/>
  <c r="N98" i="3"/>
  <c r="O90" i="3"/>
  <c r="P90" i="3" s="1"/>
  <c r="N90" i="3"/>
  <c r="O99" i="3"/>
  <c r="P99" i="3" s="1"/>
  <c r="N99" i="3"/>
  <c r="O80" i="3"/>
  <c r="P80" i="3" s="1"/>
  <c r="N80" i="3"/>
  <c r="O127" i="3"/>
  <c r="P127" i="3" s="1"/>
  <c r="N127" i="3"/>
  <c r="O91" i="3"/>
  <c r="P91" i="3" s="1"/>
  <c r="N91" i="3"/>
  <c r="O112" i="3"/>
  <c r="P112" i="3" s="1"/>
  <c r="N112" i="3"/>
  <c r="O84" i="3"/>
  <c r="P84" i="3" s="1"/>
  <c r="N84" i="3"/>
  <c r="O102" i="3"/>
  <c r="P102" i="3" s="1"/>
  <c r="N102" i="3"/>
  <c r="O108" i="3"/>
  <c r="P108" i="3" s="1"/>
  <c r="N108" i="3"/>
  <c r="O105" i="3"/>
  <c r="P105" i="3" s="1"/>
  <c r="N105" i="3"/>
  <c r="O122" i="3"/>
  <c r="P122" i="3" s="1"/>
  <c r="N122" i="3"/>
  <c r="O117" i="3"/>
  <c r="P117" i="3" s="1"/>
  <c r="N117" i="3"/>
  <c r="O103" i="3"/>
  <c r="P103" i="3" s="1"/>
  <c r="N103" i="3"/>
  <c r="O92" i="3"/>
  <c r="P92" i="3" s="1"/>
  <c r="N92" i="3"/>
  <c r="O111" i="3"/>
  <c r="P111" i="3" s="1"/>
  <c r="N111" i="3"/>
  <c r="O87" i="3"/>
  <c r="P87" i="3" s="1"/>
  <c r="N87" i="3"/>
  <c r="O76" i="3"/>
  <c r="P76" i="3" s="1"/>
  <c r="N76" i="3"/>
  <c r="O96" i="3"/>
  <c r="P96" i="3" s="1"/>
  <c r="O109" i="3"/>
  <c r="P109" i="3" s="1"/>
  <c r="N109" i="3"/>
  <c r="O97" i="3"/>
  <c r="P97" i="3" s="1"/>
  <c r="N97" i="3"/>
  <c r="O82" i="3"/>
  <c r="P82" i="3" s="1"/>
  <c r="N82" i="3"/>
  <c r="O104" i="3"/>
  <c r="P104" i="3" s="1"/>
  <c r="N104" i="3"/>
  <c r="H31" i="4"/>
  <c r="H40" i="4"/>
  <c r="J40" i="4" s="1"/>
  <c r="K40" i="4" s="1"/>
  <c r="I23" i="5"/>
  <c r="J23" i="5" s="1"/>
  <c r="K23" i="5" s="1"/>
  <c r="M23" i="5" s="1"/>
  <c r="N60" i="4"/>
  <c r="O60" i="4"/>
  <c r="J42" i="5"/>
  <c r="I6" i="5"/>
  <c r="J6" i="5" s="1"/>
  <c r="K6" i="5" s="1"/>
  <c r="M6" i="5" s="1"/>
  <c r="J35" i="5"/>
  <c r="P221" i="9"/>
  <c r="Q221" i="9" s="1"/>
  <c r="J128" i="6"/>
  <c r="K128" i="6" s="1"/>
  <c r="L128" i="6" s="1"/>
  <c r="O128" i="6" s="1"/>
  <c r="J120" i="6"/>
  <c r="K120" i="6" s="1"/>
  <c r="L120" i="6" s="1"/>
  <c r="P120" i="6" s="1"/>
  <c r="Q120" i="6" s="1"/>
  <c r="J125" i="6"/>
  <c r="K125" i="6" s="1"/>
  <c r="L125" i="6" s="1"/>
  <c r="O125" i="6" s="1"/>
  <c r="J124" i="6"/>
  <c r="K124" i="6" s="1"/>
  <c r="L124" i="6" s="1"/>
  <c r="P124" i="6" s="1"/>
  <c r="Q124" i="6" s="1"/>
  <c r="J123" i="6"/>
  <c r="K123" i="6" s="1"/>
  <c r="L123" i="6" s="1"/>
  <c r="P123" i="6" s="1"/>
  <c r="Q123" i="6" s="1"/>
  <c r="J121" i="6"/>
  <c r="K121" i="6" s="1"/>
  <c r="L121" i="6" s="1"/>
  <c r="P121" i="6" s="1"/>
  <c r="Q121" i="6" s="1"/>
  <c r="J117" i="6"/>
  <c r="K117" i="6" s="1"/>
  <c r="L117" i="6" s="1"/>
  <c r="P117" i="6" s="1"/>
  <c r="Q117" i="6" s="1"/>
  <c r="J114" i="6"/>
  <c r="K114" i="6" s="1"/>
  <c r="L114" i="6" s="1"/>
  <c r="P114" i="6" s="1"/>
  <c r="Q114" i="6" s="1"/>
  <c r="O222" i="9"/>
  <c r="L223" i="9"/>
  <c r="M223" i="9" s="1"/>
  <c r="O223" i="9" s="1"/>
  <c r="P220" i="9"/>
  <c r="Q220" i="9" s="1"/>
  <c r="L224" i="9"/>
  <c r="M224" i="9" s="1"/>
  <c r="O223" i="8"/>
  <c r="P223" i="8" s="1"/>
  <c r="J34" i="5"/>
  <c r="O108" i="6"/>
  <c r="P84" i="6"/>
  <c r="Q84" i="6" s="1"/>
  <c r="P90" i="6"/>
  <c r="Q90" i="6" s="1"/>
  <c r="J96" i="6"/>
  <c r="K96" i="6" s="1"/>
  <c r="L96" i="6" s="1"/>
  <c r="P96" i="6" s="1"/>
  <c r="Q96" i="6" s="1"/>
  <c r="J97" i="6"/>
  <c r="K97" i="6" s="1"/>
  <c r="L97" i="6" s="1"/>
  <c r="P97" i="6" s="1"/>
  <c r="Q97" i="6" s="1"/>
  <c r="P219" i="9"/>
  <c r="Q219" i="9" s="1"/>
  <c r="O219" i="9"/>
  <c r="J109" i="6"/>
  <c r="K109" i="6" s="1"/>
  <c r="L109" i="6" s="1"/>
  <c r="P109" i="6" s="1"/>
  <c r="Q109" i="6" s="1"/>
  <c r="I20" i="5"/>
  <c r="A14" i="4"/>
  <c r="H37" i="4"/>
  <c r="H51" i="4"/>
  <c r="H14" i="4"/>
  <c r="H44" i="4"/>
  <c r="I13" i="5"/>
  <c r="J13" i="5" s="1"/>
  <c r="K13" i="5" s="1"/>
  <c r="M13" i="5" s="1"/>
  <c r="I18" i="5"/>
  <c r="J18" i="5" s="1"/>
  <c r="K18" i="5" s="1"/>
  <c r="M18" i="5" s="1"/>
  <c r="N218" i="8"/>
  <c r="N230" i="8" s="1"/>
  <c r="O218" i="8"/>
  <c r="P218" i="8" s="1"/>
  <c r="O122" i="6"/>
  <c r="O222" i="8"/>
  <c r="P222" i="8" s="1"/>
  <c r="O221" i="8"/>
  <c r="P221" i="8" s="1"/>
  <c r="O219" i="8"/>
  <c r="P219" i="8" s="1"/>
  <c r="O94" i="6"/>
  <c r="O93" i="6"/>
  <c r="P101" i="6"/>
  <c r="Q101" i="6" s="1"/>
  <c r="P110" i="6"/>
  <c r="Q110" i="6" s="1"/>
  <c r="O112" i="6"/>
  <c r="K79" i="3"/>
  <c r="O83" i="3"/>
  <c r="P83" i="3" s="1"/>
  <c r="O78" i="3"/>
  <c r="P78" i="3" s="1"/>
  <c r="O121" i="3"/>
  <c r="P121" i="3" s="1"/>
  <c r="O89" i="3"/>
  <c r="P89" i="3" s="1"/>
  <c r="O98" i="6"/>
  <c r="J92" i="6"/>
  <c r="K92" i="6" s="1"/>
  <c r="L92" i="6" s="1"/>
  <c r="P92" i="6" s="1"/>
  <c r="Q92" i="6" s="1"/>
  <c r="O105" i="6"/>
  <c r="J79" i="6"/>
  <c r="K79" i="6" s="1"/>
  <c r="L79" i="6" s="1"/>
  <c r="O79" i="6" s="1"/>
  <c r="J87" i="6"/>
  <c r="K87" i="6" s="1"/>
  <c r="L87" i="6" s="1"/>
  <c r="O87" i="6" s="1"/>
  <c r="J103" i="6"/>
  <c r="K103" i="6" s="1"/>
  <c r="L103" i="6" s="1"/>
  <c r="P103" i="6" s="1"/>
  <c r="Q103" i="6" s="1"/>
  <c r="J15" i="6"/>
  <c r="K15" i="6" s="1"/>
  <c r="L15" i="6" s="1"/>
  <c r="N15" i="6" s="1"/>
  <c r="J14" i="6"/>
  <c r="K14" i="6" s="1"/>
  <c r="L14" i="6" s="1"/>
  <c r="N14" i="6" s="1"/>
  <c r="P85" i="6"/>
  <c r="Q85" i="6" s="1"/>
  <c r="P89" i="6"/>
  <c r="Q89" i="6" s="1"/>
  <c r="P80" i="6"/>
  <c r="Q80" i="6" s="1"/>
  <c r="P99" i="6"/>
  <c r="Q99" i="6" s="1"/>
  <c r="J10" i="6"/>
  <c r="K10" i="6" s="1"/>
  <c r="L10" i="6" s="1"/>
  <c r="N10" i="6" s="1"/>
  <c r="J9" i="6"/>
  <c r="K9" i="6" s="1"/>
  <c r="L9" i="6" s="1"/>
  <c r="N9" i="6" s="1"/>
  <c r="K33" i="6"/>
  <c r="L33" i="6" s="1"/>
  <c r="N33" i="6" s="1"/>
  <c r="O107" i="6"/>
  <c r="K32" i="6"/>
  <c r="L32" i="6" s="1"/>
  <c r="N32" i="6" s="1"/>
  <c r="J17" i="6"/>
  <c r="K17" i="6" s="1"/>
  <c r="L17" i="6" s="1"/>
  <c r="N17" i="6" s="1"/>
  <c r="M74" i="7"/>
  <c r="L139" i="7" s="1"/>
  <c r="N9" i="7" s="1"/>
  <c r="M93" i="7"/>
  <c r="M91" i="7"/>
  <c r="M98" i="7"/>
  <c r="P126" i="7"/>
  <c r="Q126" i="7" s="1"/>
  <c r="M126" i="7"/>
  <c r="P116" i="7"/>
  <c r="Q116" i="7" s="1"/>
  <c r="M116" i="7"/>
  <c r="P115" i="7"/>
  <c r="Q115" i="7" s="1"/>
  <c r="M115" i="7"/>
  <c r="P124" i="7"/>
  <c r="Q124" i="7" s="1"/>
  <c r="M124" i="7"/>
  <c r="P121" i="7"/>
  <c r="Q121" i="7" s="1"/>
  <c r="M121" i="7"/>
  <c r="M82" i="7"/>
  <c r="P82" i="7"/>
  <c r="Q82" i="7" s="1"/>
  <c r="P104" i="7"/>
  <c r="Q104" i="7" s="1"/>
  <c r="M104" i="7"/>
  <c r="P92" i="7"/>
  <c r="Q92" i="7" s="1"/>
  <c r="M92" i="7"/>
  <c r="P114" i="7"/>
  <c r="Q114" i="7" s="1"/>
  <c r="M114" i="7"/>
  <c r="P119" i="7"/>
  <c r="Q119" i="7" s="1"/>
  <c r="M119" i="7"/>
  <c r="P117" i="7"/>
  <c r="Q117" i="7" s="1"/>
  <c r="M117" i="7"/>
  <c r="M87" i="7"/>
  <c r="P87" i="7"/>
  <c r="Q87" i="7" s="1"/>
  <c r="P111" i="7"/>
  <c r="Q111" i="7" s="1"/>
  <c r="M111" i="7"/>
  <c r="P96" i="7"/>
  <c r="Q96" i="7" s="1"/>
  <c r="M96" i="7"/>
  <c r="M78" i="7"/>
  <c r="P78" i="7"/>
  <c r="Q78" i="7" s="1"/>
  <c r="M79" i="7"/>
  <c r="P79" i="7"/>
  <c r="Q79" i="7" s="1"/>
  <c r="P97" i="7"/>
  <c r="Q97" i="7" s="1"/>
  <c r="M97" i="7"/>
  <c r="P109" i="7"/>
  <c r="Q109" i="7" s="1"/>
  <c r="M109" i="7"/>
  <c r="P76" i="7"/>
  <c r="Q76" i="7" s="1"/>
  <c r="M76" i="7"/>
  <c r="P103" i="7"/>
  <c r="Q103" i="7" s="1"/>
  <c r="M103" i="7"/>
  <c r="P118" i="7"/>
  <c r="Q118" i="7" s="1"/>
  <c r="M118" i="7"/>
  <c r="P123" i="7"/>
  <c r="Q123" i="7" s="1"/>
  <c r="M123" i="7"/>
  <c r="P120" i="7"/>
  <c r="Q120" i="7" s="1"/>
  <c r="M120" i="7"/>
  <c r="M83" i="7"/>
  <c r="P83" i="7"/>
  <c r="Q83" i="7" s="1"/>
  <c r="P125" i="7"/>
  <c r="Q125" i="7" s="1"/>
  <c r="M125" i="7"/>
  <c r="O81" i="6"/>
  <c r="P81" i="6"/>
  <c r="Q81" i="6" s="1"/>
  <c r="O86" i="6"/>
  <c r="P86" i="6"/>
  <c r="Q86" i="6" s="1"/>
  <c r="P102" i="6"/>
  <c r="Q102" i="6" s="1"/>
  <c r="O91" i="6"/>
  <c r="O88" i="6"/>
  <c r="P88" i="6"/>
  <c r="Q88" i="6" s="1"/>
  <c r="O82" i="6"/>
  <c r="P82" i="6"/>
  <c r="Q82" i="6" s="1"/>
  <c r="P106" i="6"/>
  <c r="Q106" i="6" s="1"/>
  <c r="O106" i="6"/>
  <c r="P76" i="6"/>
  <c r="Q76" i="6" s="1"/>
  <c r="O76" i="6"/>
  <c r="O83" i="6"/>
  <c r="P83" i="6"/>
  <c r="Q83" i="6" s="1"/>
  <c r="P104" i="6"/>
  <c r="Q104" i="6" s="1"/>
  <c r="O104" i="6"/>
  <c r="O78" i="6"/>
  <c r="P78" i="6"/>
  <c r="Q78" i="6" s="1"/>
  <c r="P111" i="6"/>
  <c r="Q111" i="6" s="1"/>
  <c r="O111" i="6"/>
  <c r="O114" i="3"/>
  <c r="P114" i="3" s="1"/>
  <c r="O124" i="3"/>
  <c r="P124" i="3" s="1"/>
  <c r="O119" i="3"/>
  <c r="P119" i="3" s="1"/>
  <c r="O115" i="3"/>
  <c r="P115" i="3" s="1"/>
  <c r="O128" i="3"/>
  <c r="P128" i="3" s="1"/>
  <c r="O126" i="3"/>
  <c r="P126" i="3" s="1"/>
  <c r="O120" i="3"/>
  <c r="P120" i="3" s="1"/>
  <c r="O125" i="3"/>
  <c r="P125" i="3" s="1"/>
  <c r="O118" i="3"/>
  <c r="P118" i="3" s="1"/>
  <c r="O116" i="3"/>
  <c r="P116" i="3" s="1"/>
  <c r="I29" i="3"/>
  <c r="J29" i="3" s="1"/>
  <c r="K29" i="3" s="1"/>
  <c r="M29" i="3" s="1"/>
  <c r="I68" i="3"/>
  <c r="J68" i="3" s="1"/>
  <c r="K68" i="3" s="1"/>
  <c r="M68" i="3" s="1"/>
  <c r="I60" i="3"/>
  <c r="J60" i="3" s="1"/>
  <c r="K60" i="3" s="1"/>
  <c r="M60" i="3" s="1"/>
  <c r="I52" i="3"/>
  <c r="J52" i="3" s="1"/>
  <c r="K52" i="3" s="1"/>
  <c r="M52" i="3" s="1"/>
  <c r="I44" i="3"/>
  <c r="J44" i="3" s="1"/>
  <c r="K44" i="3" s="1"/>
  <c r="M44" i="3" s="1"/>
  <c r="I36" i="3"/>
  <c r="J36" i="3" s="1"/>
  <c r="K36" i="3" s="1"/>
  <c r="M36" i="3" s="1"/>
  <c r="I28" i="3"/>
  <c r="J28" i="3" s="1"/>
  <c r="K28" i="3" s="1"/>
  <c r="M28" i="3" s="1"/>
  <c r="I20" i="3"/>
  <c r="J20" i="3" s="1"/>
  <c r="K20" i="3" s="1"/>
  <c r="M20" i="3" s="1"/>
  <c r="I12" i="3"/>
  <c r="J12" i="3" s="1"/>
  <c r="K12" i="3" s="1"/>
  <c r="M12" i="3" s="1"/>
  <c r="I45" i="3"/>
  <c r="J45" i="3" s="1"/>
  <c r="K45" i="3" s="1"/>
  <c r="M45" i="3" s="1"/>
  <c r="I67" i="3"/>
  <c r="J67" i="3" s="1"/>
  <c r="K67" i="3" s="1"/>
  <c r="M67" i="3" s="1"/>
  <c r="I59" i="3"/>
  <c r="J59" i="3" s="1"/>
  <c r="K59" i="3" s="1"/>
  <c r="M59" i="3" s="1"/>
  <c r="I51" i="3"/>
  <c r="J51" i="3" s="1"/>
  <c r="K51" i="3" s="1"/>
  <c r="M51" i="3" s="1"/>
  <c r="I43" i="3"/>
  <c r="J43" i="3" s="1"/>
  <c r="K43" i="3" s="1"/>
  <c r="M43" i="3" s="1"/>
  <c r="I35" i="3"/>
  <c r="J35" i="3" s="1"/>
  <c r="K35" i="3" s="1"/>
  <c r="M35" i="3" s="1"/>
  <c r="I27" i="3"/>
  <c r="J27" i="3" s="1"/>
  <c r="K27" i="3" s="1"/>
  <c r="M27" i="3" s="1"/>
  <c r="I19" i="3"/>
  <c r="J19" i="3" s="1"/>
  <c r="K19" i="3" s="1"/>
  <c r="M19" i="3" s="1"/>
  <c r="I11" i="3"/>
  <c r="J11" i="3" s="1"/>
  <c r="K11" i="3" s="1"/>
  <c r="M11" i="3" s="1"/>
  <c r="I66" i="3"/>
  <c r="J66" i="3" s="1"/>
  <c r="K66" i="3" s="1"/>
  <c r="M66" i="3" s="1"/>
  <c r="I58" i="3"/>
  <c r="J58" i="3" s="1"/>
  <c r="K58" i="3" s="1"/>
  <c r="M58" i="3" s="1"/>
  <c r="I50" i="3"/>
  <c r="J50" i="3" s="1"/>
  <c r="K50" i="3" s="1"/>
  <c r="M50" i="3" s="1"/>
  <c r="I42" i="3"/>
  <c r="J42" i="3" s="1"/>
  <c r="K42" i="3" s="1"/>
  <c r="M42" i="3" s="1"/>
  <c r="I34" i="3"/>
  <c r="J34" i="3" s="1"/>
  <c r="K34" i="3" s="1"/>
  <c r="M34" i="3" s="1"/>
  <c r="I26" i="3"/>
  <c r="J26" i="3" s="1"/>
  <c r="K26" i="3" s="1"/>
  <c r="M26" i="3" s="1"/>
  <c r="I18" i="3"/>
  <c r="J18" i="3" s="1"/>
  <c r="K18" i="3" s="1"/>
  <c r="M18" i="3" s="1"/>
  <c r="I10" i="3"/>
  <c r="J10" i="3" s="1"/>
  <c r="K10" i="3" s="1"/>
  <c r="M10" i="3" s="1"/>
  <c r="I37" i="3"/>
  <c r="J37" i="3" s="1"/>
  <c r="K37" i="3" s="1"/>
  <c r="M37" i="3" s="1"/>
  <c r="I73" i="3"/>
  <c r="J73" i="3" s="1"/>
  <c r="K73" i="3" s="1"/>
  <c r="M73" i="3" s="1"/>
  <c r="I65" i="3"/>
  <c r="J65" i="3" s="1"/>
  <c r="K65" i="3" s="1"/>
  <c r="M65" i="3" s="1"/>
  <c r="I57" i="3"/>
  <c r="J57" i="3" s="1"/>
  <c r="K57" i="3" s="1"/>
  <c r="M57" i="3" s="1"/>
  <c r="I49" i="3"/>
  <c r="J49" i="3" s="1"/>
  <c r="K49" i="3" s="1"/>
  <c r="M49" i="3" s="1"/>
  <c r="I41" i="3"/>
  <c r="J41" i="3" s="1"/>
  <c r="K41" i="3" s="1"/>
  <c r="M41" i="3" s="1"/>
  <c r="I33" i="3"/>
  <c r="J33" i="3" s="1"/>
  <c r="K33" i="3" s="1"/>
  <c r="M33" i="3" s="1"/>
  <c r="I25" i="3"/>
  <c r="J25" i="3" s="1"/>
  <c r="K25" i="3" s="1"/>
  <c r="M25" i="3" s="1"/>
  <c r="I17" i="3"/>
  <c r="J17" i="3" s="1"/>
  <c r="K17" i="3" s="1"/>
  <c r="M17" i="3" s="1"/>
  <c r="I69" i="3"/>
  <c r="J69" i="3" s="1"/>
  <c r="K69" i="3" s="1"/>
  <c r="M69" i="3" s="1"/>
  <c r="I21" i="3"/>
  <c r="J21" i="3" s="1"/>
  <c r="K21" i="3" s="1"/>
  <c r="M21" i="3" s="1"/>
  <c r="I72" i="3"/>
  <c r="J72" i="3" s="1"/>
  <c r="K72" i="3" s="1"/>
  <c r="M72" i="3" s="1"/>
  <c r="I64" i="3"/>
  <c r="J64" i="3" s="1"/>
  <c r="K64" i="3" s="1"/>
  <c r="M64" i="3" s="1"/>
  <c r="I56" i="3"/>
  <c r="J56" i="3" s="1"/>
  <c r="K56" i="3" s="1"/>
  <c r="M56" i="3" s="1"/>
  <c r="I48" i="3"/>
  <c r="J48" i="3" s="1"/>
  <c r="K48" i="3" s="1"/>
  <c r="M48" i="3" s="1"/>
  <c r="I40" i="3"/>
  <c r="J40" i="3" s="1"/>
  <c r="K40" i="3" s="1"/>
  <c r="M40" i="3" s="1"/>
  <c r="I32" i="3"/>
  <c r="J32" i="3" s="1"/>
  <c r="K32" i="3" s="1"/>
  <c r="M32" i="3" s="1"/>
  <c r="I24" i="3"/>
  <c r="J24" i="3" s="1"/>
  <c r="K24" i="3" s="1"/>
  <c r="M24" i="3" s="1"/>
  <c r="I16" i="3"/>
  <c r="J16" i="3" s="1"/>
  <c r="K16" i="3" s="1"/>
  <c r="M16" i="3" s="1"/>
  <c r="I61" i="3"/>
  <c r="J61" i="3" s="1"/>
  <c r="K61" i="3" s="1"/>
  <c r="M61" i="3" s="1"/>
  <c r="I13" i="3"/>
  <c r="J13" i="3" s="1"/>
  <c r="K13" i="3" s="1"/>
  <c r="M13" i="3" s="1"/>
  <c r="I71" i="3"/>
  <c r="J71" i="3" s="1"/>
  <c r="K71" i="3" s="1"/>
  <c r="M71" i="3" s="1"/>
  <c r="I63" i="3"/>
  <c r="J63" i="3" s="1"/>
  <c r="K63" i="3" s="1"/>
  <c r="M63" i="3" s="1"/>
  <c r="I55" i="3"/>
  <c r="J55" i="3" s="1"/>
  <c r="K55" i="3" s="1"/>
  <c r="M55" i="3" s="1"/>
  <c r="I47" i="3"/>
  <c r="J47" i="3" s="1"/>
  <c r="K47" i="3" s="1"/>
  <c r="M47" i="3" s="1"/>
  <c r="I39" i="3"/>
  <c r="J39" i="3" s="1"/>
  <c r="K39" i="3" s="1"/>
  <c r="M39" i="3" s="1"/>
  <c r="I31" i="3"/>
  <c r="J31" i="3" s="1"/>
  <c r="K31" i="3" s="1"/>
  <c r="M31" i="3" s="1"/>
  <c r="I23" i="3"/>
  <c r="J23" i="3" s="1"/>
  <c r="K23" i="3" s="1"/>
  <c r="M23" i="3" s="1"/>
  <c r="I15" i="3"/>
  <c r="J15" i="3" s="1"/>
  <c r="K15" i="3" s="1"/>
  <c r="M15" i="3" s="1"/>
  <c r="I53" i="3"/>
  <c r="J53" i="3" s="1"/>
  <c r="K53" i="3" s="1"/>
  <c r="M53" i="3" s="1"/>
  <c r="I70" i="3"/>
  <c r="J70" i="3" s="1"/>
  <c r="K70" i="3" s="1"/>
  <c r="M70" i="3" s="1"/>
  <c r="I62" i="3"/>
  <c r="J62" i="3" s="1"/>
  <c r="K62" i="3" s="1"/>
  <c r="M62" i="3" s="1"/>
  <c r="I54" i="3"/>
  <c r="J54" i="3" s="1"/>
  <c r="K54" i="3" s="1"/>
  <c r="M54" i="3" s="1"/>
  <c r="I46" i="3"/>
  <c r="J46" i="3" s="1"/>
  <c r="K46" i="3" s="1"/>
  <c r="M46" i="3" s="1"/>
  <c r="I38" i="3"/>
  <c r="J38" i="3" s="1"/>
  <c r="K38" i="3" s="1"/>
  <c r="M38" i="3" s="1"/>
  <c r="I30" i="3"/>
  <c r="J30" i="3" s="1"/>
  <c r="K30" i="3" s="1"/>
  <c r="M30" i="3" s="1"/>
  <c r="I22" i="3"/>
  <c r="J22" i="3" s="1"/>
  <c r="K22" i="3" s="1"/>
  <c r="M22" i="3" s="1"/>
  <c r="I14" i="3"/>
  <c r="J14" i="3" s="1"/>
  <c r="K14" i="3" s="1"/>
  <c r="M14" i="3" s="1"/>
  <c r="I9" i="3"/>
  <c r="J9" i="3" s="1"/>
  <c r="K9" i="3" s="1"/>
  <c r="M9" i="3" s="1"/>
  <c r="J36" i="5"/>
  <c r="I26" i="5"/>
  <c r="J26" i="5" s="1"/>
  <c r="K26" i="5" s="1"/>
  <c r="M26" i="5" s="1"/>
  <c r="I12" i="5"/>
  <c r="J12" i="5" s="1"/>
  <c r="K12" i="5" s="1"/>
  <c r="M12" i="5" s="1"/>
  <c r="I27" i="5"/>
  <c r="J27" i="5" s="1"/>
  <c r="K27" i="5" s="1"/>
  <c r="M27" i="5" s="1"/>
  <c r="I7" i="5"/>
  <c r="J7" i="5" s="1"/>
  <c r="K7" i="5" s="1"/>
  <c r="M7" i="5" s="1"/>
  <c r="I17" i="5"/>
  <c r="I22" i="5"/>
  <c r="I5" i="5"/>
  <c r="J5" i="5" s="1"/>
  <c r="K5" i="5" s="1"/>
  <c r="M5" i="5" s="1"/>
  <c r="I4" i="5"/>
  <c r="I31" i="5"/>
  <c r="J31" i="5" s="1"/>
  <c r="K31" i="5" s="1"/>
  <c r="M31" i="5" s="1"/>
  <c r="J39" i="5"/>
  <c r="J48" i="5"/>
  <c r="I11" i="5"/>
  <c r="J11" i="5" s="1"/>
  <c r="K11" i="5" s="1"/>
  <c r="M11" i="5" s="1"/>
  <c r="I28" i="5"/>
  <c r="G32" i="4"/>
  <c r="A3" i="4"/>
  <c r="H45" i="4"/>
  <c r="A4" i="4"/>
  <c r="H42" i="4" s="1"/>
  <c r="H48" i="4"/>
  <c r="H27" i="4"/>
  <c r="H26" i="4"/>
  <c r="I3" i="5"/>
  <c r="J3" i="5" s="1"/>
  <c r="K3" i="5" s="1"/>
  <c r="M3" i="5" s="1"/>
  <c r="I10" i="5"/>
  <c r="J10" i="5" s="1"/>
  <c r="K10" i="5" s="1"/>
  <c r="M10" i="5" s="1"/>
  <c r="I16" i="5"/>
  <c r="J37" i="5"/>
  <c r="J45" i="5"/>
  <c r="J52" i="5"/>
  <c r="I14" i="5"/>
  <c r="J14" i="5" s="1"/>
  <c r="K14" i="5" s="1"/>
  <c r="M14" i="5" s="1"/>
  <c r="I8" i="5"/>
  <c r="J8" i="5" s="1"/>
  <c r="K8" i="5" s="1"/>
  <c r="M8" i="5" s="1"/>
  <c r="I25" i="5"/>
  <c r="J25" i="5" s="1"/>
  <c r="K25" i="5" s="1"/>
  <c r="M25" i="5" s="1"/>
  <c r="J4" i="5"/>
  <c r="K4" i="5" s="1"/>
  <c r="M4" i="5" s="1"/>
  <c r="I15" i="5"/>
  <c r="I21" i="5"/>
  <c r="I19" i="5"/>
  <c r="I9" i="5"/>
  <c r="J9" i="5" s="1"/>
  <c r="K9" i="5" s="1"/>
  <c r="M9" i="5" s="1"/>
  <c r="J15" i="5"/>
  <c r="K15" i="5" s="1"/>
  <c r="M15" i="5" s="1"/>
  <c r="I24" i="5"/>
  <c r="J44" i="5"/>
  <c r="J51" i="5"/>
  <c r="J43" i="5"/>
  <c r="J50" i="5"/>
  <c r="J54" i="5"/>
  <c r="J53" i="5"/>
  <c r="O126" i="6" l="1"/>
  <c r="P125" i="6"/>
  <c r="Q125" i="6" s="1"/>
  <c r="O127" i="6"/>
  <c r="O121" i="6"/>
  <c r="P119" i="6"/>
  <c r="Q119" i="6" s="1"/>
  <c r="P115" i="6"/>
  <c r="Q115" i="6" s="1"/>
  <c r="O123" i="6"/>
  <c r="O116" i="6"/>
  <c r="P128" i="6"/>
  <c r="Q128" i="6" s="1"/>
  <c r="O120" i="6"/>
  <c r="O79" i="3"/>
  <c r="P79" i="3" s="1"/>
  <c r="N79" i="3"/>
  <c r="O118" i="6"/>
  <c r="P118" i="6"/>
  <c r="Q118" i="6" s="1"/>
  <c r="O114" i="6"/>
  <c r="O124" i="6"/>
  <c r="O117" i="6"/>
  <c r="P223" i="9"/>
  <c r="Q223" i="9" s="1"/>
  <c r="P224" i="9"/>
  <c r="Q224" i="9" s="1"/>
  <c r="O224" i="9"/>
  <c r="O230" i="9" s="1"/>
  <c r="O231" i="9" s="1"/>
  <c r="M136" i="7"/>
  <c r="M137" i="7" s="1"/>
  <c r="J57" i="5"/>
  <c r="O97" i="6"/>
  <c r="N144" i="7"/>
  <c r="N152" i="7"/>
  <c r="N145" i="7"/>
  <c r="N153" i="7"/>
  <c r="N146" i="7"/>
  <c r="N143" i="7"/>
  <c r="N147" i="7"/>
  <c r="N148" i="7"/>
  <c r="N149" i="7"/>
  <c r="N150" i="7"/>
  <c r="N151" i="7"/>
  <c r="N54" i="7"/>
  <c r="O54" i="7" s="1"/>
  <c r="O96" i="6"/>
  <c r="O109" i="6"/>
  <c r="O92" i="6"/>
  <c r="H57" i="4"/>
  <c r="H50" i="4"/>
  <c r="H54" i="4"/>
  <c r="H56" i="4"/>
  <c r="H59" i="4"/>
  <c r="H58" i="4"/>
  <c r="H55" i="4"/>
  <c r="J58" i="5"/>
  <c r="J59" i="5"/>
  <c r="M59" i="5" s="1"/>
  <c r="N120" i="7"/>
  <c r="N231" i="8"/>
  <c r="N110" i="7"/>
  <c r="N103" i="7"/>
  <c r="N121" i="7"/>
  <c r="N97" i="7"/>
  <c r="N84" i="7"/>
  <c r="N81" i="7"/>
  <c r="N77" i="7"/>
  <c r="N66" i="7"/>
  <c r="O66" i="7" s="1"/>
  <c r="O9" i="7"/>
  <c r="N76" i="7"/>
  <c r="N10" i="7"/>
  <c r="O10" i="7" s="1"/>
  <c r="N80" i="7"/>
  <c r="N128" i="7"/>
  <c r="N127" i="7"/>
  <c r="N35" i="7"/>
  <c r="O35" i="7" s="1"/>
  <c r="N72" i="7"/>
  <c r="O72" i="7" s="1"/>
  <c r="N30" i="7"/>
  <c r="O30" i="7" s="1"/>
  <c r="N40" i="7"/>
  <c r="O40" i="7" s="1"/>
  <c r="N111" i="7"/>
  <c r="N32" i="7"/>
  <c r="O32" i="7" s="1"/>
  <c r="N87" i="7"/>
  <c r="N24" i="7"/>
  <c r="O24" i="7" s="1"/>
  <c r="N123" i="7"/>
  <c r="N71" i="7"/>
  <c r="O71" i="7" s="1"/>
  <c r="N38" i="7"/>
  <c r="O38" i="7" s="1"/>
  <c r="N39" i="7"/>
  <c r="O39" i="7" s="1"/>
  <c r="N122" i="7"/>
  <c r="N86" i="7"/>
  <c r="N126" i="7"/>
  <c r="N94" i="7"/>
  <c r="N78" i="7"/>
  <c r="N99" i="7"/>
  <c r="N98" i="7"/>
  <c r="N25" i="7"/>
  <c r="O25" i="7" s="1"/>
  <c r="N124" i="7"/>
  <c r="N79" i="7"/>
  <c r="N17" i="7"/>
  <c r="O17" i="7" s="1"/>
  <c r="N91" i="7"/>
  <c r="N83" i="7"/>
  <c r="N115" i="7"/>
  <c r="P79" i="6"/>
  <c r="Q79" i="6" s="1"/>
  <c r="P87" i="6"/>
  <c r="Q87" i="6" s="1"/>
  <c r="O103" i="6"/>
  <c r="N27" i="7"/>
  <c r="O27" i="7" s="1"/>
  <c r="N58" i="7"/>
  <c r="O58" i="7" s="1"/>
  <c r="N73" i="7"/>
  <c r="O73" i="7" s="1"/>
  <c r="N85" i="7"/>
  <c r="N16" i="7"/>
  <c r="O16" i="7" s="1"/>
  <c r="N31" i="7"/>
  <c r="O31" i="7" s="1"/>
  <c r="N53" i="7"/>
  <c r="O53" i="7" s="1"/>
  <c r="N82" i="7"/>
  <c r="N26" i="7"/>
  <c r="O26" i="7" s="1"/>
  <c r="N23" i="7"/>
  <c r="O23" i="7" s="1"/>
  <c r="N68" i="7"/>
  <c r="O68" i="7" s="1"/>
  <c r="N69" i="7"/>
  <c r="O69" i="7" s="1"/>
  <c r="N19" i="7"/>
  <c r="O19" i="7" s="1"/>
  <c r="N65" i="7"/>
  <c r="O65" i="7" s="1"/>
  <c r="N70" i="7"/>
  <c r="O70" i="7" s="1"/>
  <c r="N21" i="7"/>
  <c r="O21" i="7" s="1"/>
  <c r="N11" i="7"/>
  <c r="O11" i="7" s="1"/>
  <c r="N18" i="7"/>
  <c r="O18" i="7" s="1"/>
  <c r="N57" i="7"/>
  <c r="O57" i="7" s="1"/>
  <c r="N51" i="7"/>
  <c r="O51" i="7" s="1"/>
  <c r="N100" i="7"/>
  <c r="N15" i="7"/>
  <c r="O15" i="7" s="1"/>
  <c r="N62" i="7"/>
  <c r="O62" i="7" s="1"/>
  <c r="N60" i="7"/>
  <c r="O60" i="7" s="1"/>
  <c r="N61" i="7"/>
  <c r="O61" i="7" s="1"/>
  <c r="N67" i="7"/>
  <c r="O67" i="7" s="1"/>
  <c r="N114" i="7"/>
  <c r="N50" i="7"/>
  <c r="O50" i="7" s="1"/>
  <c r="N49" i="7"/>
  <c r="O49" i="7" s="1"/>
  <c r="N108" i="7"/>
  <c r="N64" i="7"/>
  <c r="O64" i="7" s="1"/>
  <c r="N119" i="7"/>
  <c r="N63" i="7"/>
  <c r="O63" i="7" s="1"/>
  <c r="N118" i="7"/>
  <c r="N13" i="7"/>
  <c r="O13" i="7" s="1"/>
  <c r="N22" i="7"/>
  <c r="O22" i="7" s="1"/>
  <c r="N44" i="7"/>
  <c r="O44" i="7" s="1"/>
  <c r="N45" i="7"/>
  <c r="O45" i="7" s="1"/>
  <c r="N59" i="7"/>
  <c r="O59" i="7" s="1"/>
  <c r="N109" i="7"/>
  <c r="N42" i="7"/>
  <c r="O42" i="7" s="1"/>
  <c r="N102" i="7"/>
  <c r="N41" i="7"/>
  <c r="O41" i="7" s="1"/>
  <c r="N101" i="7"/>
  <c r="N56" i="7"/>
  <c r="O56" i="7" s="1"/>
  <c r="N55" i="7"/>
  <c r="O55" i="7" s="1"/>
  <c r="N112" i="7"/>
  <c r="N116" i="7"/>
  <c r="N125" i="7"/>
  <c r="N28" i="7"/>
  <c r="O28" i="7" s="1"/>
  <c r="N37" i="7"/>
  <c r="O37" i="7" s="1"/>
  <c r="N43" i="7"/>
  <c r="O43" i="7" s="1"/>
  <c r="N34" i="7"/>
  <c r="O34" i="7" s="1"/>
  <c r="N93" i="7"/>
  <c r="N33" i="7"/>
  <c r="O33" i="7" s="1"/>
  <c r="N92" i="7"/>
  <c r="N48" i="7"/>
  <c r="O48" i="7" s="1"/>
  <c r="N107" i="7"/>
  <c r="N47" i="7"/>
  <c r="O47" i="7" s="1"/>
  <c r="N106" i="7"/>
  <c r="N89" i="7"/>
  <c r="N117" i="7"/>
  <c r="N12" i="7"/>
  <c r="O12" i="7" s="1"/>
  <c r="N104" i="7"/>
  <c r="N14" i="7"/>
  <c r="O14" i="7" s="1"/>
  <c r="N52" i="7"/>
  <c r="O52" i="7" s="1"/>
  <c r="N88" i="7"/>
  <c r="N29" i="7"/>
  <c r="O29" i="7" s="1"/>
  <c r="N46" i="7"/>
  <c r="O46" i="7" s="1"/>
  <c r="N105" i="7"/>
  <c r="N36" i="7"/>
  <c r="O36" i="7" s="1"/>
  <c r="N96" i="7"/>
  <c r="N90" i="7"/>
  <c r="N20" i="7"/>
  <c r="O20" i="7" s="1"/>
  <c r="J56" i="5"/>
  <c r="J55" i="5"/>
  <c r="Q66" i="9" l="1"/>
  <c r="Q19" i="9"/>
  <c r="Q83" i="9"/>
  <c r="Q36" i="9"/>
  <c r="Q100" i="9"/>
  <c r="Q53" i="9"/>
  <c r="Q97" i="9"/>
  <c r="Q70" i="9"/>
  <c r="Q31" i="9"/>
  <c r="Q95" i="9"/>
  <c r="Q56" i="9"/>
  <c r="Q46" i="9"/>
  <c r="Q79" i="9"/>
  <c r="Q10" i="9"/>
  <c r="Q74" i="9"/>
  <c r="Q27" i="9"/>
  <c r="Q91" i="9"/>
  <c r="Q44" i="9"/>
  <c r="Q57" i="9"/>
  <c r="Q61" i="9"/>
  <c r="Q14" i="9"/>
  <c r="Q78" i="9"/>
  <c r="Q39" i="9"/>
  <c r="Q9" i="9"/>
  <c r="Q64" i="9"/>
  <c r="Q32" i="9"/>
  <c r="Q40" i="9"/>
  <c r="Q18" i="9"/>
  <c r="Q82" i="9"/>
  <c r="Q35" i="9"/>
  <c r="Q99" i="9"/>
  <c r="Q52" i="9"/>
  <c r="Q89" i="9"/>
  <c r="Q69" i="9"/>
  <c r="Q22" i="9"/>
  <c r="Q86" i="9"/>
  <c r="Q47" i="9"/>
  <c r="Q33" i="9"/>
  <c r="Q72" i="9"/>
  <c r="Q65" i="9"/>
  <c r="Q26" i="9"/>
  <c r="Q90" i="9"/>
  <c r="Q43" i="9"/>
  <c r="Q25" i="9"/>
  <c r="Q60" i="9"/>
  <c r="Q13" i="9"/>
  <c r="Q77" i="9"/>
  <c r="Q30" i="9"/>
  <c r="Q94" i="9"/>
  <c r="Q55" i="9"/>
  <c r="Q16" i="9"/>
  <c r="Q80" i="9"/>
  <c r="Q71" i="9"/>
  <c r="Q49" i="9"/>
  <c r="Q34" i="9"/>
  <c r="Q98" i="9"/>
  <c r="Q51" i="9"/>
  <c r="Q81" i="9"/>
  <c r="Q68" i="9"/>
  <c r="Q21" i="9"/>
  <c r="Q85" i="9"/>
  <c r="Q38" i="9"/>
  <c r="Q102" i="9"/>
  <c r="Q63" i="9"/>
  <c r="Q24" i="9"/>
  <c r="Q88" i="9"/>
  <c r="Q96" i="9"/>
  <c r="Q15" i="9"/>
  <c r="Q42" i="9"/>
  <c r="Q17" i="9"/>
  <c r="Q59" i="9"/>
  <c r="Q12" i="9"/>
  <c r="Q76" i="9"/>
  <c r="Q29" i="9"/>
  <c r="Q93" i="9"/>
  <c r="Q50" i="9"/>
  <c r="Q73" i="9"/>
  <c r="Q67" i="9"/>
  <c r="Q20" i="9"/>
  <c r="Q84" i="9"/>
  <c r="Q37" i="9"/>
  <c r="Q101" i="9"/>
  <c r="Q54" i="9"/>
  <c r="Q58" i="9"/>
  <c r="Q11" i="9"/>
  <c r="Q75" i="9"/>
  <c r="Q28" i="9"/>
  <c r="Q92" i="9"/>
  <c r="Q45" i="9"/>
  <c r="Q41" i="9"/>
  <c r="Q62" i="9"/>
  <c r="Q23" i="9"/>
  <c r="Q87" i="9"/>
  <c r="Q48" i="9"/>
  <c r="P17" i="8"/>
  <c r="P25" i="8"/>
  <c r="P33" i="8"/>
  <c r="P41" i="8"/>
  <c r="P49" i="8"/>
  <c r="P57" i="8"/>
  <c r="P65" i="8"/>
  <c r="P73" i="8"/>
  <c r="P81" i="8"/>
  <c r="P89" i="8"/>
  <c r="P97" i="8"/>
  <c r="P55" i="8"/>
  <c r="P87" i="8"/>
  <c r="P10" i="8"/>
  <c r="P18" i="8"/>
  <c r="P26" i="8"/>
  <c r="P34" i="8"/>
  <c r="P42" i="8"/>
  <c r="P50" i="8"/>
  <c r="P58" i="8"/>
  <c r="P66" i="8"/>
  <c r="P74" i="8"/>
  <c r="P82" i="8"/>
  <c r="P90" i="8"/>
  <c r="P98" i="8"/>
  <c r="P63" i="8"/>
  <c r="P79" i="8"/>
  <c r="P40" i="8"/>
  <c r="P96" i="8"/>
  <c r="P11" i="8"/>
  <c r="P19" i="8"/>
  <c r="P27" i="8"/>
  <c r="P35" i="8"/>
  <c r="P43" i="8"/>
  <c r="P51" i="8"/>
  <c r="P59" i="8"/>
  <c r="P67" i="8"/>
  <c r="P75" i="8"/>
  <c r="P83" i="8"/>
  <c r="P91" i="8"/>
  <c r="P99" i="8"/>
  <c r="P47" i="8"/>
  <c r="P9" i="8"/>
  <c r="P32" i="8"/>
  <c r="P56" i="8"/>
  <c r="P12" i="8"/>
  <c r="P20" i="8"/>
  <c r="P28" i="8"/>
  <c r="P36" i="8"/>
  <c r="P44" i="8"/>
  <c r="P52" i="8"/>
  <c r="P60" i="8"/>
  <c r="P68" i="8"/>
  <c r="P76" i="8"/>
  <c r="P84" i="8"/>
  <c r="P92" i="8"/>
  <c r="P100" i="8"/>
  <c r="P39" i="8"/>
  <c r="P24" i="8"/>
  <c r="P88" i="8"/>
  <c r="P13" i="8"/>
  <c r="P21" i="8"/>
  <c r="P29" i="8"/>
  <c r="P37" i="8"/>
  <c r="P45" i="8"/>
  <c r="P53" i="8"/>
  <c r="P61" i="8"/>
  <c r="P69" i="8"/>
  <c r="P77" i="8"/>
  <c r="P85" i="8"/>
  <c r="P93" i="8"/>
  <c r="P101" i="8"/>
  <c r="P23" i="8"/>
  <c r="P71" i="8"/>
  <c r="P16" i="8"/>
  <c r="P72" i="8"/>
  <c r="P14" i="8"/>
  <c r="P22" i="8"/>
  <c r="P30" i="8"/>
  <c r="P38" i="8"/>
  <c r="P46" i="8"/>
  <c r="P54" i="8"/>
  <c r="P62" i="8"/>
  <c r="P70" i="8"/>
  <c r="P78" i="8"/>
  <c r="P86" i="8"/>
  <c r="P94" i="8"/>
  <c r="P102" i="8"/>
  <c r="P31" i="8"/>
  <c r="P95" i="8"/>
  <c r="P48" i="8"/>
  <c r="P64" i="8"/>
  <c r="P15" i="8"/>
  <c r="P80" i="8"/>
  <c r="Q11" i="7"/>
  <c r="Q19" i="7"/>
  <c r="Q27" i="7"/>
  <c r="Q35" i="7"/>
  <c r="Q43" i="7"/>
  <c r="Q51" i="7"/>
  <c r="Q59" i="7"/>
  <c r="Q67" i="7"/>
  <c r="Q49" i="7"/>
  <c r="Q42" i="7"/>
  <c r="Q12" i="7"/>
  <c r="Q20" i="7"/>
  <c r="Q28" i="7"/>
  <c r="Q36" i="7"/>
  <c r="Q44" i="7"/>
  <c r="Q52" i="7"/>
  <c r="Q60" i="7"/>
  <c r="Q68" i="7"/>
  <c r="Q17" i="7"/>
  <c r="Q73" i="7"/>
  <c r="Q18" i="7"/>
  <c r="Q9" i="7"/>
  <c r="Q13" i="7"/>
  <c r="Q21" i="7"/>
  <c r="Q29" i="7"/>
  <c r="Q37" i="7"/>
  <c r="Q45" i="7"/>
  <c r="Q53" i="7"/>
  <c r="Q61" i="7"/>
  <c r="Q69" i="7"/>
  <c r="Q33" i="7"/>
  <c r="Q26" i="7"/>
  <c r="Q58" i="7"/>
  <c r="Q14" i="7"/>
  <c r="Q22" i="7"/>
  <c r="Q30" i="7"/>
  <c r="Q38" i="7"/>
  <c r="Q46" i="7"/>
  <c r="Q54" i="7"/>
  <c r="Q62" i="7"/>
  <c r="Q70" i="7"/>
  <c r="Q57" i="7"/>
  <c r="Q50" i="7"/>
  <c r="Q15" i="7"/>
  <c r="Q23" i="7"/>
  <c r="Q31" i="7"/>
  <c r="Q39" i="7"/>
  <c r="Q47" i="7"/>
  <c r="Q55" i="7"/>
  <c r="Q63" i="7"/>
  <c r="Q71" i="7"/>
  <c r="Q41" i="7"/>
  <c r="Q65" i="7"/>
  <c r="Q10" i="7"/>
  <c r="Q16" i="7"/>
  <c r="Q24" i="7"/>
  <c r="Q32" i="7"/>
  <c r="Q40" i="7"/>
  <c r="Q48" i="7"/>
  <c r="Q56" i="7"/>
  <c r="Q64" i="7"/>
  <c r="Q72" i="7"/>
  <c r="Q25" i="7"/>
  <c r="Q34" i="7"/>
  <c r="Q66" i="7"/>
  <c r="O136" i="6"/>
  <c r="O74" i="7"/>
  <c r="M139" i="7" s="1"/>
  <c r="M61" i="5"/>
  <c r="M62" i="5" l="1"/>
  <c r="Q30" i="5" s="1"/>
  <c r="M32" i="5"/>
  <c r="L65" i="5" s="1"/>
  <c r="N30" i="5" s="1"/>
  <c r="O30" i="5" s="1"/>
  <c r="R30" i="5" l="1"/>
  <c r="S30" i="5"/>
  <c r="T30" i="5" s="1"/>
  <c r="Q4" i="5"/>
  <c r="Q12" i="5"/>
  <c r="Q20" i="5"/>
  <c r="Q28" i="5"/>
  <c r="Q5" i="5"/>
  <c r="Q13" i="5"/>
  <c r="Q21" i="5"/>
  <c r="Q29" i="5"/>
  <c r="Q14" i="5"/>
  <c r="Q22" i="5"/>
  <c r="Q31" i="5"/>
  <c r="Q9" i="5"/>
  <c r="Q10" i="5"/>
  <c r="Q26" i="5"/>
  <c r="Q19" i="5"/>
  <c r="Q6" i="5"/>
  <c r="Q7" i="5"/>
  <c r="Q15" i="5"/>
  <c r="Q23" i="5"/>
  <c r="Q3" i="5"/>
  <c r="Q25" i="5"/>
  <c r="Q18" i="5"/>
  <c r="Q11" i="5"/>
  <c r="Q27" i="5"/>
  <c r="Q8" i="5"/>
  <c r="Q16" i="5"/>
  <c r="Q24" i="5"/>
  <c r="Q17" i="5"/>
  <c r="O42" i="5"/>
  <c r="O50" i="5"/>
  <c r="O58" i="5"/>
  <c r="O47" i="5"/>
  <c r="O41" i="5"/>
  <c r="N41" i="5" s="1"/>
  <c r="O35" i="5"/>
  <c r="O43" i="5"/>
  <c r="O51" i="5"/>
  <c r="O59" i="5"/>
  <c r="O55" i="5"/>
  <c r="O36" i="5"/>
  <c r="O44" i="5"/>
  <c r="O52" i="5"/>
  <c r="O34" i="5"/>
  <c r="O39" i="5"/>
  <c r="O48" i="5"/>
  <c r="O37" i="5"/>
  <c r="O45" i="5"/>
  <c r="O53" i="5"/>
  <c r="O40" i="5"/>
  <c r="O49" i="5"/>
  <c r="N49" i="5" s="1"/>
  <c r="O38" i="5"/>
  <c r="O46" i="5"/>
  <c r="O54" i="5"/>
  <c r="O57" i="5"/>
  <c r="O56" i="5"/>
  <c r="N29" i="5"/>
  <c r="O29" i="5" s="1"/>
  <c r="N8" i="5"/>
  <c r="O8" i="5" s="1"/>
  <c r="N18" i="5"/>
  <c r="O18" i="5" s="1"/>
  <c r="N12" i="5"/>
  <c r="O12" i="5" s="1"/>
  <c r="N6" i="5"/>
  <c r="O6" i="5" s="1"/>
  <c r="N16" i="5"/>
  <c r="O16" i="5" s="1"/>
  <c r="N26" i="5"/>
  <c r="O26" i="5" s="1"/>
  <c r="N20" i="5"/>
  <c r="O20" i="5" s="1"/>
  <c r="N7" i="5"/>
  <c r="O7" i="5" s="1"/>
  <c r="N24" i="5"/>
  <c r="O24" i="5" s="1"/>
  <c r="N22" i="5"/>
  <c r="O22" i="5" s="1"/>
  <c r="N28" i="5"/>
  <c r="O28" i="5" s="1"/>
  <c r="N3" i="5"/>
  <c r="O3" i="5" s="1"/>
  <c r="N11" i="5"/>
  <c r="O11" i="5" s="1"/>
  <c r="N9" i="5"/>
  <c r="O9" i="5" s="1"/>
  <c r="N23" i="5"/>
  <c r="O23" i="5" s="1"/>
  <c r="N14" i="5"/>
  <c r="O14" i="5" s="1"/>
  <c r="N17" i="5"/>
  <c r="O17" i="5" s="1"/>
  <c r="N5" i="5"/>
  <c r="O5" i="5" s="1"/>
  <c r="N25" i="5"/>
  <c r="O25" i="5" s="1"/>
  <c r="N19" i="5"/>
  <c r="O19" i="5" s="1"/>
  <c r="N13" i="5"/>
  <c r="O13" i="5" s="1"/>
  <c r="N10" i="5"/>
  <c r="O10" i="5" s="1"/>
  <c r="N4" i="5"/>
  <c r="O4" i="5" s="1"/>
  <c r="N31" i="5"/>
  <c r="O31" i="5" s="1"/>
  <c r="N15" i="5"/>
  <c r="O15" i="5" s="1"/>
  <c r="N27" i="5"/>
  <c r="O27" i="5" s="1"/>
  <c r="N21" i="5"/>
  <c r="O21" i="5" s="1"/>
  <c r="S27" i="5" l="1"/>
  <c r="T27" i="5" s="1"/>
  <c r="R27" i="5"/>
  <c r="R11" i="5"/>
  <c r="S11" i="5"/>
  <c r="T11" i="5" s="1"/>
  <c r="S19" i="5"/>
  <c r="T19" i="5" s="1"/>
  <c r="R19" i="5"/>
  <c r="R21" i="5"/>
  <c r="S21" i="5"/>
  <c r="T21" i="5" s="1"/>
  <c r="R13" i="5"/>
  <c r="S13" i="5"/>
  <c r="T13" i="5" s="1"/>
  <c r="S25" i="5"/>
  <c r="T25" i="5" s="1"/>
  <c r="R25" i="5"/>
  <c r="R10" i="5"/>
  <c r="S10" i="5"/>
  <c r="T10" i="5" s="1"/>
  <c r="R5" i="5"/>
  <c r="S5" i="5"/>
  <c r="T5" i="5" s="1"/>
  <c r="R29" i="5"/>
  <c r="S29" i="5"/>
  <c r="T29" i="5" s="1"/>
  <c r="S18" i="5"/>
  <c r="T18" i="5" s="1"/>
  <c r="R18" i="5"/>
  <c r="R17" i="5"/>
  <c r="S17" i="5"/>
  <c r="T17" i="5" s="1"/>
  <c r="R9" i="5"/>
  <c r="S9" i="5"/>
  <c r="T9" i="5" s="1"/>
  <c r="S28" i="5"/>
  <c r="T28" i="5" s="1"/>
  <c r="R28" i="5"/>
  <c r="R26" i="5"/>
  <c r="S26" i="5"/>
  <c r="T26" i="5" s="1"/>
  <c r="R24" i="5"/>
  <c r="S24" i="5"/>
  <c r="T24" i="5" s="1"/>
  <c r="R23" i="5"/>
  <c r="S23" i="5"/>
  <c r="T23" i="5" s="1"/>
  <c r="R31" i="5"/>
  <c r="S31" i="5"/>
  <c r="T31" i="5" s="1"/>
  <c r="R20" i="5"/>
  <c r="S20" i="5"/>
  <c r="T20" i="5" s="1"/>
  <c r="R6" i="5"/>
  <c r="S6" i="5"/>
  <c r="T6" i="5" s="1"/>
  <c r="R16" i="5"/>
  <c r="S16" i="5"/>
  <c r="T16" i="5" s="1"/>
  <c r="R15" i="5"/>
  <c r="S15" i="5"/>
  <c r="T15" i="5" s="1"/>
  <c r="R22" i="5"/>
  <c r="S22" i="5"/>
  <c r="T22" i="5" s="1"/>
  <c r="S12" i="5"/>
  <c r="T12" i="5" s="1"/>
  <c r="R12" i="5"/>
  <c r="S8" i="5"/>
  <c r="T8" i="5" s="1"/>
  <c r="R8" i="5"/>
  <c r="R7" i="5"/>
  <c r="S7" i="5"/>
  <c r="T7" i="5" s="1"/>
  <c r="R14" i="5"/>
  <c r="S14" i="5"/>
  <c r="T14" i="5" s="1"/>
  <c r="R4" i="5"/>
  <c r="S4" i="5"/>
  <c r="T4" i="5" s="1"/>
  <c r="N40" i="5"/>
  <c r="P40" i="5"/>
  <c r="N46" i="5"/>
  <c r="P46" i="5"/>
  <c r="P47" i="5"/>
  <c r="N47" i="5"/>
  <c r="P38" i="5"/>
  <c r="N38" i="5"/>
  <c r="P37" i="5"/>
  <c r="N37" i="5"/>
  <c r="P34" i="5"/>
  <c r="N34" i="5"/>
  <c r="P42" i="5"/>
  <c r="N42" i="5"/>
  <c r="P53" i="5"/>
  <c r="N53" i="5"/>
  <c r="P57" i="5"/>
  <c r="N57" i="5"/>
  <c r="P36" i="5"/>
  <c r="N36" i="5"/>
  <c r="P51" i="5"/>
  <c r="N51" i="5"/>
  <c r="P59" i="5"/>
  <c r="N59" i="5"/>
  <c r="P39" i="5"/>
  <c r="N39" i="5"/>
  <c r="P43" i="5"/>
  <c r="N43" i="5"/>
  <c r="P52" i="5"/>
  <c r="N52" i="5"/>
  <c r="P56" i="5"/>
  <c r="N56" i="5"/>
  <c r="P48" i="5"/>
  <c r="N48" i="5"/>
  <c r="P35" i="5"/>
  <c r="N35" i="5"/>
  <c r="P54" i="5"/>
  <c r="N54" i="5"/>
  <c r="P55" i="5"/>
  <c r="N55" i="5"/>
  <c r="P44" i="5"/>
  <c r="N44" i="5"/>
  <c r="P45" i="5"/>
  <c r="N45" i="5"/>
  <c r="P50" i="5"/>
  <c r="N50" i="5"/>
  <c r="P58" i="5"/>
  <c r="N58" i="5"/>
  <c r="J51" i="4"/>
  <c r="K51" i="4" s="1"/>
  <c r="J45" i="4"/>
  <c r="K45" i="4" s="1"/>
  <c r="L45" i="4" s="1"/>
  <c r="O45" i="4" s="1"/>
  <c r="J44" i="4"/>
  <c r="K44" i="4" s="1"/>
  <c r="L44" i="4" s="1"/>
  <c r="O44" i="4" s="1"/>
  <c r="J42" i="4"/>
  <c r="K42" i="4" s="1"/>
  <c r="J39" i="4"/>
  <c r="K39" i="4" s="1"/>
  <c r="L39" i="4" s="1"/>
  <c r="O39" i="4" s="1"/>
  <c r="J37" i="4"/>
  <c r="K37" i="4" s="1"/>
  <c r="L37" i="4" s="1"/>
  <c r="O37" i="4" s="1"/>
  <c r="F32" i="4"/>
  <c r="O31" i="4"/>
  <c r="O28" i="4"/>
  <c r="K28" i="4"/>
  <c r="L28" i="4" s="1"/>
  <c r="N28" i="4" s="1"/>
  <c r="O27" i="4"/>
  <c r="O26" i="4"/>
  <c r="J26" i="4"/>
  <c r="O25" i="4"/>
  <c r="J25" i="4"/>
  <c r="K25" i="4" s="1"/>
  <c r="L25" i="4" s="1"/>
  <c r="N25" i="4" s="1"/>
  <c r="O24" i="4"/>
  <c r="K24" i="4"/>
  <c r="L24" i="4" s="1"/>
  <c r="N24" i="4" s="1"/>
  <c r="O23" i="4"/>
  <c r="O22" i="4"/>
  <c r="K22" i="4"/>
  <c r="L22" i="4" s="1"/>
  <c r="N22" i="4" s="1"/>
  <c r="J22" i="4"/>
  <c r="O21" i="4"/>
  <c r="K21" i="4"/>
  <c r="L21" i="4" s="1"/>
  <c r="N21" i="4" s="1"/>
  <c r="O20" i="4"/>
  <c r="J20" i="4"/>
  <c r="K20" i="4"/>
  <c r="L20" i="4" s="1"/>
  <c r="N20" i="4" s="1"/>
  <c r="O19" i="4"/>
  <c r="K19" i="4"/>
  <c r="L19" i="4" s="1"/>
  <c r="N19" i="4" s="1"/>
  <c r="O18" i="4"/>
  <c r="O17" i="4"/>
  <c r="K17" i="4"/>
  <c r="L17" i="4" s="1"/>
  <c r="N17" i="4" s="1"/>
  <c r="J17" i="4"/>
  <c r="O16" i="4"/>
  <c r="O15" i="4"/>
  <c r="J15" i="4"/>
  <c r="K15" i="4"/>
  <c r="L15" i="4" s="1"/>
  <c r="N15" i="4" s="1"/>
  <c r="O14" i="4"/>
  <c r="H35" i="4"/>
  <c r="O13" i="4"/>
  <c r="O12" i="4"/>
  <c r="J12" i="4"/>
  <c r="O11" i="4"/>
  <c r="J11" i="4"/>
  <c r="O10" i="4"/>
  <c r="O9" i="4"/>
  <c r="O8" i="4"/>
  <c r="J8" i="4"/>
  <c r="K8" i="4" s="1"/>
  <c r="L8" i="4" s="1"/>
  <c r="N8" i="4" s="1"/>
  <c r="O7" i="4"/>
  <c r="J7" i="4"/>
  <c r="O6" i="4"/>
  <c r="O5" i="4"/>
  <c r="O4" i="4"/>
  <c r="J4" i="4"/>
  <c r="K4" i="4" s="1"/>
  <c r="L4" i="4" s="1"/>
  <c r="N4" i="4" s="1"/>
  <c r="O3" i="4"/>
  <c r="H34" i="4"/>
  <c r="N27" i="1"/>
  <c r="N31" i="1"/>
  <c r="G31" i="1"/>
  <c r="L42" i="4" l="1"/>
  <c r="O42" i="4" s="1"/>
  <c r="G59" i="1"/>
  <c r="I59" i="1" s="1"/>
  <c r="J59" i="1" s="1"/>
  <c r="K59" i="1" s="1"/>
  <c r="N59" i="1" s="1"/>
  <c r="J35" i="4"/>
  <c r="K35" i="4" s="1"/>
  <c r="L35" i="4" s="1"/>
  <c r="O35" i="4" s="1"/>
  <c r="G56" i="1"/>
  <c r="K52" i="1"/>
  <c r="G57" i="1"/>
  <c r="G55" i="1"/>
  <c r="P44" i="4"/>
  <c r="Q44" i="4" s="1"/>
  <c r="P45" i="4"/>
  <c r="Q45" i="4" s="1"/>
  <c r="P39" i="4"/>
  <c r="Q39" i="4" s="1"/>
  <c r="P37" i="4"/>
  <c r="Q37" i="4" s="1"/>
  <c r="P60" i="5"/>
  <c r="L51" i="4"/>
  <c r="J34" i="4"/>
  <c r="K34" i="4" s="1"/>
  <c r="L34" i="4" s="1"/>
  <c r="O34" i="4" s="1"/>
  <c r="J52" i="4"/>
  <c r="K52" i="4" s="1"/>
  <c r="L52" i="4" s="1"/>
  <c r="O52" i="4" s="1"/>
  <c r="J56" i="4"/>
  <c r="K56" i="4" s="1"/>
  <c r="L56" i="4" s="1"/>
  <c r="O56" i="4" s="1"/>
  <c r="J6" i="4"/>
  <c r="K6" i="4" s="1"/>
  <c r="L6" i="4" s="1"/>
  <c r="N6" i="4" s="1"/>
  <c r="J9" i="4"/>
  <c r="K9" i="4" s="1"/>
  <c r="L9" i="4" s="1"/>
  <c r="N9" i="4" s="1"/>
  <c r="J16" i="4"/>
  <c r="J31" i="4"/>
  <c r="K31" i="4" s="1"/>
  <c r="L31" i="4" s="1"/>
  <c r="N31" i="4" s="1"/>
  <c r="J14" i="4"/>
  <c r="K14" i="4" s="1"/>
  <c r="L14" i="4" s="1"/>
  <c r="N14" i="4" s="1"/>
  <c r="J27" i="4"/>
  <c r="K27" i="4" s="1"/>
  <c r="L27" i="4" s="1"/>
  <c r="N27" i="4" s="1"/>
  <c r="J10" i="4"/>
  <c r="K10" i="4" s="1"/>
  <c r="L10" i="4" s="1"/>
  <c r="N10" i="4" s="1"/>
  <c r="K12" i="4"/>
  <c r="L12" i="4" s="1"/>
  <c r="N12" i="4" s="1"/>
  <c r="J19" i="4"/>
  <c r="J21" i="4"/>
  <c r="J23" i="4"/>
  <c r="K23" i="4" s="1"/>
  <c r="L23" i="4" s="1"/>
  <c r="N23" i="4" s="1"/>
  <c r="J48" i="4"/>
  <c r="K48" i="4" s="1"/>
  <c r="K26" i="4"/>
  <c r="L26" i="4" s="1"/>
  <c r="N26" i="4" s="1"/>
  <c r="J28" i="4"/>
  <c r="J36" i="4"/>
  <c r="K36" i="4" s="1"/>
  <c r="L36" i="4" s="1"/>
  <c r="O36" i="4" s="1"/>
  <c r="K7" i="4"/>
  <c r="L7" i="4" s="1"/>
  <c r="N7" i="4" s="1"/>
  <c r="J3" i="4"/>
  <c r="K3" i="4" s="1"/>
  <c r="L3" i="4" s="1"/>
  <c r="N3" i="4" s="1"/>
  <c r="J55" i="4"/>
  <c r="K55" i="4" s="1"/>
  <c r="L55" i="4" s="1"/>
  <c r="O55" i="4" s="1"/>
  <c r="J59" i="4"/>
  <c r="K59" i="4" s="1"/>
  <c r="L59" i="4" s="1"/>
  <c r="O59" i="4" s="1"/>
  <c r="H43" i="4"/>
  <c r="J43" i="4" s="1"/>
  <c r="K43" i="4" s="1"/>
  <c r="L43" i="4" s="1"/>
  <c r="O43" i="4" s="1"/>
  <c r="J50" i="4"/>
  <c r="K50" i="4" s="1"/>
  <c r="J54" i="4"/>
  <c r="K54" i="4" s="1"/>
  <c r="L54" i="4" s="1"/>
  <c r="O54" i="4" s="1"/>
  <c r="J58" i="4"/>
  <c r="K58" i="4" s="1"/>
  <c r="L58" i="4" s="1"/>
  <c r="O58" i="4" s="1"/>
  <c r="J5" i="4"/>
  <c r="K5" i="4" s="1"/>
  <c r="L5" i="4" s="1"/>
  <c r="N5" i="4" s="1"/>
  <c r="J13" i="4"/>
  <c r="K13" i="4" s="1"/>
  <c r="L13" i="4" s="1"/>
  <c r="N13" i="4" s="1"/>
  <c r="J18" i="4"/>
  <c r="K18" i="4" s="1"/>
  <c r="L18" i="4" s="1"/>
  <c r="N18" i="4" s="1"/>
  <c r="J53" i="4"/>
  <c r="K53" i="4" s="1"/>
  <c r="L53" i="4" s="1"/>
  <c r="O53" i="4" s="1"/>
  <c r="J24" i="4"/>
  <c r="K11" i="4"/>
  <c r="L11" i="4" s="1"/>
  <c r="N11" i="4" s="1"/>
  <c r="K16" i="4"/>
  <c r="L16" i="4" s="1"/>
  <c r="N16" i="4" s="1"/>
  <c r="I31" i="1"/>
  <c r="J31" i="1"/>
  <c r="K31" i="1" s="1"/>
  <c r="M31" i="1" s="1"/>
  <c r="G51" i="1"/>
  <c r="P51" i="4" l="1"/>
  <c r="Q51" i="4" s="1"/>
  <c r="O51" i="4"/>
  <c r="O52" i="1"/>
  <c r="P52" i="1" s="1"/>
  <c r="N52" i="1"/>
  <c r="P42" i="4"/>
  <c r="Q42" i="4" s="1"/>
  <c r="O59" i="1"/>
  <c r="P59" i="1" s="1"/>
  <c r="P35" i="4"/>
  <c r="Q35" i="4" s="1"/>
  <c r="P43" i="4"/>
  <c r="Q43" i="4" s="1"/>
  <c r="P34" i="4"/>
  <c r="Q34" i="4" s="1"/>
  <c r="P36" i="4"/>
  <c r="Q36" i="4" s="1"/>
  <c r="P54" i="4"/>
  <c r="Q54" i="4" s="1"/>
  <c r="P52" i="4"/>
  <c r="Q52" i="4" s="1"/>
  <c r="L50" i="4"/>
  <c r="P53" i="4"/>
  <c r="Q53" i="4" s="1"/>
  <c r="P55" i="4"/>
  <c r="Q55" i="4" s="1"/>
  <c r="P58" i="4"/>
  <c r="Q58" i="4" s="1"/>
  <c r="N59" i="4"/>
  <c r="P59" i="4"/>
  <c r="Q59" i="4" s="1"/>
  <c r="P56" i="4"/>
  <c r="Q56" i="4" s="1"/>
  <c r="J57" i="4"/>
  <c r="K57" i="4" s="1"/>
  <c r="L57" i="4" s="1"/>
  <c r="O57" i="4" s="1"/>
  <c r="G45" i="1"/>
  <c r="G44" i="1"/>
  <c r="P50" i="4" l="1"/>
  <c r="Q50" i="4" s="1"/>
  <c r="O50" i="4"/>
  <c r="O61" i="4" s="1"/>
  <c r="O62" i="4" s="1"/>
  <c r="P30" i="4" s="1"/>
  <c r="I45" i="1"/>
  <c r="J45" i="1" s="1"/>
  <c r="K45" i="1" s="1"/>
  <c r="N45" i="1" s="1"/>
  <c r="P57" i="4"/>
  <c r="Q57" i="4" s="1"/>
  <c r="Q30" i="4" l="1"/>
  <c r="R30" i="4"/>
  <c r="S30" i="4" s="1"/>
  <c r="P11" i="4"/>
  <c r="P19" i="4"/>
  <c r="P27" i="4"/>
  <c r="P13" i="4"/>
  <c r="P29" i="4"/>
  <c r="P4" i="4"/>
  <c r="P12" i="4"/>
  <c r="P20" i="4"/>
  <c r="P28" i="4"/>
  <c r="P5" i="4"/>
  <c r="P21" i="4"/>
  <c r="P17" i="4"/>
  <c r="P10" i="4"/>
  <c r="P6" i="4"/>
  <c r="P14" i="4"/>
  <c r="P22" i="4"/>
  <c r="P31" i="4"/>
  <c r="P16" i="4"/>
  <c r="P24" i="4"/>
  <c r="P9" i="4"/>
  <c r="P18" i="4"/>
  <c r="P7" i="4"/>
  <c r="P15" i="4"/>
  <c r="P23" i="4"/>
  <c r="P3" i="4"/>
  <c r="P8" i="4"/>
  <c r="P25" i="4"/>
  <c r="P26" i="4"/>
  <c r="O45" i="1"/>
  <c r="P45" i="1" s="1"/>
  <c r="N4" i="1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8" i="1"/>
  <c r="N3" i="1"/>
  <c r="G48" i="1"/>
  <c r="G42" i="1" l="1"/>
  <c r="G43" i="1"/>
  <c r="I43" i="1" s="1"/>
  <c r="J43" i="1" s="1"/>
  <c r="I52" i="1"/>
  <c r="J52" i="1" s="1"/>
  <c r="F126" i="2"/>
  <c r="F127" i="2" s="1"/>
  <c r="I44" i="1"/>
  <c r="J44" i="1" s="1"/>
  <c r="K44" i="1" s="1"/>
  <c r="I48" i="1"/>
  <c r="J48" i="1" s="1"/>
  <c r="K48" i="1" s="1"/>
  <c r="I51" i="1"/>
  <c r="J51" i="1" s="1"/>
  <c r="O48" i="1" l="1"/>
  <c r="P48" i="1" s="1"/>
  <c r="N48" i="1"/>
  <c r="O44" i="1"/>
  <c r="P44" i="1" s="1"/>
  <c r="N44" i="1"/>
  <c r="G39" i="1"/>
  <c r="I39" i="1" s="1"/>
  <c r="J39" i="1" s="1"/>
  <c r="K39" i="1" s="1"/>
  <c r="N39" i="1" s="1"/>
  <c r="G36" i="1"/>
  <c r="G37" i="1"/>
  <c r="I37" i="1" s="1"/>
  <c r="G35" i="1"/>
  <c r="R80" i="15" l="1"/>
  <c r="S80" i="15" s="1"/>
  <c r="Q80" i="15"/>
  <c r="P76" i="19"/>
  <c r="Q76" i="19"/>
  <c r="R76" i="19" s="1"/>
  <c r="P41" i="19"/>
  <c r="Q41" i="19"/>
  <c r="R41" i="19" s="1"/>
  <c r="S79" i="16"/>
  <c r="T79" i="16" s="1"/>
  <c r="R79" i="16"/>
  <c r="S71" i="16"/>
  <c r="T71" i="16" s="1"/>
  <c r="R71" i="16"/>
  <c r="R84" i="20"/>
  <c r="S84" i="20" s="1"/>
  <c r="Q84" i="20"/>
  <c r="R50" i="20"/>
  <c r="S50" i="20" s="1"/>
  <c r="Q50" i="20"/>
  <c r="R103" i="21"/>
  <c r="S103" i="21"/>
  <c r="T103" i="21" s="1"/>
  <c r="S16" i="21"/>
  <c r="T16" i="21" s="1"/>
  <c r="R16" i="21"/>
  <c r="Q74" i="15"/>
  <c r="R74" i="15"/>
  <c r="S74" i="15" s="1"/>
  <c r="R49" i="15"/>
  <c r="S49" i="15" s="1"/>
  <c r="Q49" i="15"/>
  <c r="R53" i="15"/>
  <c r="S53" i="15" s="1"/>
  <c r="Q53" i="15"/>
  <c r="Q64" i="15"/>
  <c r="R64" i="15"/>
  <c r="S64" i="15" s="1"/>
  <c r="Q21" i="15"/>
  <c r="R21" i="15"/>
  <c r="S21" i="15" s="1"/>
  <c r="R65" i="15"/>
  <c r="S65" i="15" s="1"/>
  <c r="Q65" i="15"/>
  <c r="R75" i="15"/>
  <c r="S75" i="15" s="1"/>
  <c r="Q75" i="15"/>
  <c r="Q10" i="15"/>
  <c r="R10" i="15"/>
  <c r="S10" i="15" s="1"/>
  <c r="R78" i="15"/>
  <c r="S78" i="15" s="1"/>
  <c r="Q78" i="15"/>
  <c r="Q80" i="19"/>
  <c r="R80" i="19" s="1"/>
  <c r="P80" i="19"/>
  <c r="P105" i="19"/>
  <c r="Q105" i="19"/>
  <c r="R105" i="19" s="1"/>
  <c r="P29" i="19"/>
  <c r="Q29" i="19"/>
  <c r="R29" i="19" s="1"/>
  <c r="Q11" i="19"/>
  <c r="R11" i="19" s="1"/>
  <c r="P11" i="19"/>
  <c r="P85" i="19"/>
  <c r="Q85" i="19"/>
  <c r="R85" i="19" s="1"/>
  <c r="P14" i="19"/>
  <c r="Q14" i="19"/>
  <c r="R14" i="19" s="1"/>
  <c r="Q54" i="19"/>
  <c r="R54" i="19" s="1"/>
  <c r="P54" i="19"/>
  <c r="P104" i="19"/>
  <c r="Q104" i="19"/>
  <c r="R104" i="19" s="1"/>
  <c r="Q30" i="19"/>
  <c r="R30" i="19" s="1"/>
  <c r="P30" i="19"/>
  <c r="P106" i="19"/>
  <c r="Q106" i="19"/>
  <c r="R106" i="19" s="1"/>
  <c r="Q81" i="19"/>
  <c r="R81" i="19" s="1"/>
  <c r="P81" i="19"/>
  <c r="P96" i="19"/>
  <c r="Q96" i="19"/>
  <c r="R96" i="19" s="1"/>
  <c r="P23" i="19"/>
  <c r="Q23" i="19"/>
  <c r="R23" i="19" s="1"/>
  <c r="R35" i="16"/>
  <c r="S35" i="16"/>
  <c r="T35" i="16" s="1"/>
  <c r="S61" i="17"/>
  <c r="T61" i="17"/>
  <c r="U61" i="17" s="1"/>
  <c r="R54" i="16"/>
  <c r="S54" i="16"/>
  <c r="T54" i="16" s="1"/>
  <c r="T55" i="17"/>
  <c r="U55" i="17" s="1"/>
  <c r="S55" i="17"/>
  <c r="S73" i="16"/>
  <c r="T73" i="16" s="1"/>
  <c r="R73" i="16"/>
  <c r="T71" i="17"/>
  <c r="U71" i="17" s="1"/>
  <c r="S71" i="17"/>
  <c r="S19" i="16"/>
  <c r="T19" i="16" s="1"/>
  <c r="R19" i="16"/>
  <c r="T19" i="17"/>
  <c r="U19" i="17" s="1"/>
  <c r="S19" i="17"/>
  <c r="S51" i="17"/>
  <c r="T51" i="17"/>
  <c r="U51" i="17" s="1"/>
  <c r="S67" i="16"/>
  <c r="T67" i="16" s="1"/>
  <c r="R67" i="16"/>
  <c r="T31" i="17"/>
  <c r="U31" i="17" s="1"/>
  <c r="S31" i="17"/>
  <c r="S77" i="16"/>
  <c r="T77" i="16" s="1"/>
  <c r="R77" i="16"/>
  <c r="S29" i="17"/>
  <c r="T29" i="17"/>
  <c r="U29" i="17" s="1"/>
  <c r="S18" i="17"/>
  <c r="T18" i="17"/>
  <c r="U18" i="17" s="1"/>
  <c r="S64" i="17"/>
  <c r="T64" i="17"/>
  <c r="U64" i="17" s="1"/>
  <c r="R20" i="16"/>
  <c r="S20" i="16"/>
  <c r="T20" i="16" s="1"/>
  <c r="R52" i="16"/>
  <c r="S52" i="16"/>
  <c r="T52" i="16" s="1"/>
  <c r="S47" i="17"/>
  <c r="T47" i="17"/>
  <c r="U47" i="17" s="1"/>
  <c r="T76" i="17"/>
  <c r="U76" i="17" s="1"/>
  <c r="S76" i="17"/>
  <c r="R29" i="20"/>
  <c r="S29" i="20" s="1"/>
  <c r="Q29" i="20"/>
  <c r="R49" i="20"/>
  <c r="S49" i="20" s="1"/>
  <c r="Q49" i="20"/>
  <c r="Q70" i="20"/>
  <c r="R70" i="20"/>
  <c r="S70" i="20" s="1"/>
  <c r="R73" i="20"/>
  <c r="S73" i="20" s="1"/>
  <c r="Q73" i="20"/>
  <c r="R60" i="20"/>
  <c r="S60" i="20" s="1"/>
  <c r="Q60" i="20"/>
  <c r="R89" i="20"/>
  <c r="S89" i="20" s="1"/>
  <c r="Q89" i="20"/>
  <c r="R59" i="20"/>
  <c r="S59" i="20" s="1"/>
  <c r="Q59" i="20"/>
  <c r="Q66" i="20"/>
  <c r="R66" i="20"/>
  <c r="S66" i="20" s="1"/>
  <c r="R69" i="20"/>
  <c r="S69" i="20" s="1"/>
  <c r="Q69" i="20"/>
  <c r="R48" i="20"/>
  <c r="S48" i="20" s="1"/>
  <c r="Q48" i="20"/>
  <c r="Q10" i="20"/>
  <c r="R10" i="20"/>
  <c r="S10" i="20" s="1"/>
  <c r="R45" i="20"/>
  <c r="S45" i="20" s="1"/>
  <c r="Q45" i="20"/>
  <c r="R77" i="21"/>
  <c r="S77" i="21"/>
  <c r="T77" i="21" s="1"/>
  <c r="R29" i="21"/>
  <c r="S29" i="21"/>
  <c r="T29" i="21" s="1"/>
  <c r="R92" i="21"/>
  <c r="S92" i="21"/>
  <c r="T92" i="21" s="1"/>
  <c r="S60" i="21"/>
  <c r="T60" i="21" s="1"/>
  <c r="R60" i="21"/>
  <c r="S56" i="21"/>
  <c r="T56" i="21" s="1"/>
  <c r="R56" i="21"/>
  <c r="R106" i="21"/>
  <c r="S106" i="21"/>
  <c r="T106" i="21" s="1"/>
  <c r="S96" i="21"/>
  <c r="T96" i="21" s="1"/>
  <c r="R96" i="21"/>
  <c r="R26" i="21"/>
  <c r="S26" i="21"/>
  <c r="T26" i="21" s="1"/>
  <c r="S45" i="21"/>
  <c r="T45" i="21" s="1"/>
  <c r="R45" i="21"/>
  <c r="S54" i="21"/>
  <c r="T54" i="21" s="1"/>
  <c r="R54" i="21"/>
  <c r="R89" i="21"/>
  <c r="S89" i="21"/>
  <c r="T89" i="21" s="1"/>
  <c r="R18" i="21"/>
  <c r="S18" i="21"/>
  <c r="T18" i="21" s="1"/>
  <c r="R42" i="21"/>
  <c r="S42" i="21"/>
  <c r="T42" i="21" s="1"/>
  <c r="Q41" i="15"/>
  <c r="R41" i="15"/>
  <c r="S41" i="15" s="1"/>
  <c r="R33" i="15"/>
  <c r="S33" i="15" s="1"/>
  <c r="Q33" i="15"/>
  <c r="Q46" i="19"/>
  <c r="R46" i="19" s="1"/>
  <c r="P46" i="19"/>
  <c r="R48" i="16"/>
  <c r="S48" i="16"/>
  <c r="T48" i="16" s="1"/>
  <c r="S60" i="17"/>
  <c r="T60" i="17"/>
  <c r="U60" i="17" s="1"/>
  <c r="S37" i="16"/>
  <c r="T37" i="16" s="1"/>
  <c r="R37" i="16"/>
  <c r="R61" i="20"/>
  <c r="S61" i="20" s="1"/>
  <c r="Q61" i="20"/>
  <c r="R14" i="20"/>
  <c r="S14" i="20" s="1"/>
  <c r="Q14" i="20"/>
  <c r="R11" i="20"/>
  <c r="S11" i="20" s="1"/>
  <c r="Q11" i="20"/>
  <c r="S32" i="21"/>
  <c r="T32" i="21" s="1"/>
  <c r="R32" i="21"/>
  <c r="R107" i="21"/>
  <c r="S107" i="21"/>
  <c r="T107" i="21" s="1"/>
  <c r="Q29" i="4"/>
  <c r="R29" i="4"/>
  <c r="S29" i="4" s="1"/>
  <c r="R60" i="15"/>
  <c r="S60" i="15" s="1"/>
  <c r="Q60" i="15"/>
  <c r="R45" i="15"/>
  <c r="S45" i="15" s="1"/>
  <c r="Q45" i="15"/>
  <c r="R40" i="15"/>
  <c r="S40" i="15" s="1"/>
  <c r="Q40" i="15"/>
  <c r="Q19" i="15"/>
  <c r="R19" i="15"/>
  <c r="S19" i="15" s="1"/>
  <c r="R59" i="15"/>
  <c r="S59" i="15" s="1"/>
  <c r="Q59" i="15"/>
  <c r="Q17" i="15"/>
  <c r="R17" i="15"/>
  <c r="S17" i="15" s="1"/>
  <c r="Q26" i="15"/>
  <c r="R26" i="15"/>
  <c r="S26" i="15" s="1"/>
  <c r="R47" i="15"/>
  <c r="S47" i="15" s="1"/>
  <c r="Q47" i="15"/>
  <c r="Q72" i="15"/>
  <c r="R72" i="15"/>
  <c r="S72" i="15" s="1"/>
  <c r="Q18" i="19"/>
  <c r="R18" i="19" s="1"/>
  <c r="P18" i="19"/>
  <c r="P100" i="19"/>
  <c r="Q100" i="19"/>
  <c r="R100" i="19" s="1"/>
  <c r="P110" i="19"/>
  <c r="Q110" i="19"/>
  <c r="R110" i="19" s="1"/>
  <c r="Q98" i="19"/>
  <c r="R98" i="19" s="1"/>
  <c r="P98" i="19"/>
  <c r="P66" i="19"/>
  <c r="Q66" i="19"/>
  <c r="R66" i="19" s="1"/>
  <c r="P51" i="19"/>
  <c r="Q51" i="19"/>
  <c r="R51" i="19" s="1"/>
  <c r="P47" i="19"/>
  <c r="Q47" i="19"/>
  <c r="R47" i="19" s="1"/>
  <c r="Q68" i="19"/>
  <c r="R68" i="19" s="1"/>
  <c r="P68" i="19"/>
  <c r="Q24" i="19"/>
  <c r="R24" i="19" s="1"/>
  <c r="P24" i="19"/>
  <c r="Q83" i="19"/>
  <c r="R83" i="19" s="1"/>
  <c r="P83" i="19"/>
  <c r="Q55" i="19"/>
  <c r="R55" i="19" s="1"/>
  <c r="P55" i="19"/>
  <c r="P56" i="19"/>
  <c r="Q56" i="19"/>
  <c r="R56" i="19" s="1"/>
  <c r="Q73" i="19"/>
  <c r="R73" i="19" s="1"/>
  <c r="P73" i="19"/>
  <c r="T68" i="17"/>
  <c r="U68" i="17" s="1"/>
  <c r="S68" i="17"/>
  <c r="S63" i="16"/>
  <c r="T63" i="16" s="1"/>
  <c r="R63" i="16"/>
  <c r="R11" i="16"/>
  <c r="S11" i="16"/>
  <c r="T11" i="16" s="1"/>
  <c r="T36" i="17"/>
  <c r="U36" i="17" s="1"/>
  <c r="S36" i="17"/>
  <c r="R38" i="16"/>
  <c r="S38" i="16"/>
  <c r="T38" i="16" s="1"/>
  <c r="S41" i="17"/>
  <c r="T41" i="17"/>
  <c r="U41" i="17" s="1"/>
  <c r="R47" i="16"/>
  <c r="S47" i="16"/>
  <c r="T47" i="16" s="1"/>
  <c r="T42" i="17"/>
  <c r="U42" i="17" s="1"/>
  <c r="S42" i="17"/>
  <c r="T54" i="17"/>
  <c r="U54" i="17" s="1"/>
  <c r="S54" i="17"/>
  <c r="S17" i="16"/>
  <c r="T17" i="16" s="1"/>
  <c r="R17" i="16"/>
  <c r="S80" i="17"/>
  <c r="T80" i="17"/>
  <c r="U80" i="17" s="1"/>
  <c r="S81" i="16"/>
  <c r="T81" i="16" s="1"/>
  <c r="R81" i="16"/>
  <c r="S32" i="17"/>
  <c r="T32" i="17"/>
  <c r="U32" i="17" s="1"/>
  <c r="S61" i="16"/>
  <c r="T61" i="16" s="1"/>
  <c r="R61" i="16"/>
  <c r="T33" i="17"/>
  <c r="U33" i="17" s="1"/>
  <c r="S33" i="17"/>
  <c r="S72" i="16"/>
  <c r="T72" i="16" s="1"/>
  <c r="R72" i="16"/>
  <c r="S9" i="16"/>
  <c r="T9" i="16" s="1"/>
  <c r="R9" i="16"/>
  <c r="T50" i="17"/>
  <c r="U50" i="17" s="1"/>
  <c r="S50" i="17"/>
  <c r="R63" i="20"/>
  <c r="S63" i="20" s="1"/>
  <c r="Q63" i="20"/>
  <c r="Q96" i="20"/>
  <c r="R96" i="20"/>
  <c r="S96" i="20" s="1"/>
  <c r="R65" i="20"/>
  <c r="S65" i="20" s="1"/>
  <c r="Q65" i="20"/>
  <c r="R42" i="20"/>
  <c r="S42" i="20" s="1"/>
  <c r="Q42" i="20"/>
  <c r="R15" i="20"/>
  <c r="S15" i="20" s="1"/>
  <c r="Q15" i="20"/>
  <c r="Q34" i="20"/>
  <c r="R34" i="20"/>
  <c r="S34" i="20" s="1"/>
  <c r="Q91" i="20"/>
  <c r="R91" i="20"/>
  <c r="S91" i="20" s="1"/>
  <c r="Q72" i="20"/>
  <c r="R72" i="20"/>
  <c r="S72" i="20" s="1"/>
  <c r="R67" i="20"/>
  <c r="S67" i="20" s="1"/>
  <c r="Q67" i="20"/>
  <c r="R71" i="20"/>
  <c r="S71" i="20" s="1"/>
  <c r="Q71" i="20"/>
  <c r="R53" i="20"/>
  <c r="S53" i="20" s="1"/>
  <c r="Q53" i="20"/>
  <c r="R100" i="20"/>
  <c r="S100" i="20" s="1"/>
  <c r="Q100" i="20"/>
  <c r="Q40" i="20"/>
  <c r="R40" i="20"/>
  <c r="S40" i="20" s="1"/>
  <c r="R12" i="21"/>
  <c r="S12" i="21"/>
  <c r="T12" i="21" s="1"/>
  <c r="R34" i="21"/>
  <c r="S34" i="21"/>
  <c r="T34" i="21" s="1"/>
  <c r="S9" i="21"/>
  <c r="T9" i="21" s="1"/>
  <c r="R9" i="21"/>
  <c r="R31" i="21"/>
  <c r="S31" i="21"/>
  <c r="T31" i="21" s="1"/>
  <c r="R13" i="21"/>
  <c r="S13" i="21"/>
  <c r="T13" i="21" s="1"/>
  <c r="S93" i="21"/>
  <c r="T93" i="21" s="1"/>
  <c r="R93" i="21"/>
  <c r="R86" i="21"/>
  <c r="S86" i="21"/>
  <c r="T86" i="21" s="1"/>
  <c r="R110" i="21"/>
  <c r="S110" i="21"/>
  <c r="T110" i="21" s="1"/>
  <c r="S85" i="21"/>
  <c r="T85" i="21" s="1"/>
  <c r="R85" i="21"/>
  <c r="S63" i="21"/>
  <c r="T63" i="21" s="1"/>
  <c r="R63" i="21"/>
  <c r="R30" i="21"/>
  <c r="S30" i="21"/>
  <c r="T30" i="21" s="1"/>
  <c r="R99" i="21"/>
  <c r="S99" i="21"/>
  <c r="T99" i="21" s="1"/>
  <c r="R14" i="21"/>
  <c r="S14" i="21"/>
  <c r="T14" i="21" s="1"/>
  <c r="R34" i="15"/>
  <c r="S34" i="15" s="1"/>
  <c r="Q34" i="15"/>
  <c r="Q9" i="15"/>
  <c r="R9" i="15"/>
  <c r="S9" i="15" s="1"/>
  <c r="P75" i="19"/>
  <c r="Q75" i="19"/>
  <c r="R75" i="19" s="1"/>
  <c r="Q65" i="19"/>
  <c r="R65" i="19" s="1"/>
  <c r="P65" i="19"/>
  <c r="S16" i="17"/>
  <c r="T16" i="17"/>
  <c r="U16" i="17" s="1"/>
  <c r="R36" i="16"/>
  <c r="S36" i="16"/>
  <c r="T36" i="16" s="1"/>
  <c r="S44" i="17"/>
  <c r="T44" i="17"/>
  <c r="U44" i="17" s="1"/>
  <c r="R95" i="20"/>
  <c r="S95" i="20" s="1"/>
  <c r="Q95" i="20"/>
  <c r="Q58" i="20"/>
  <c r="R58" i="20"/>
  <c r="S58" i="20" s="1"/>
  <c r="R33" i="21"/>
  <c r="S33" i="21"/>
  <c r="T33" i="21" s="1"/>
  <c r="R71" i="15"/>
  <c r="S71" i="15" s="1"/>
  <c r="Q71" i="15"/>
  <c r="Q69" i="15"/>
  <c r="R69" i="15"/>
  <c r="S69" i="15" s="1"/>
  <c r="R30" i="15"/>
  <c r="S30" i="15" s="1"/>
  <c r="Q30" i="15"/>
  <c r="Q28" i="15"/>
  <c r="R28" i="15"/>
  <c r="S28" i="15" s="1"/>
  <c r="Q58" i="15"/>
  <c r="R58" i="15"/>
  <c r="S58" i="15" s="1"/>
  <c r="R46" i="15"/>
  <c r="S46" i="15" s="1"/>
  <c r="Q46" i="15"/>
  <c r="R22" i="15"/>
  <c r="S22" i="15" s="1"/>
  <c r="Q22" i="15"/>
  <c r="Q48" i="15"/>
  <c r="R48" i="15"/>
  <c r="S48" i="15" s="1"/>
  <c r="P70" i="19"/>
  <c r="Q70" i="19"/>
  <c r="R70" i="19" s="1"/>
  <c r="Q25" i="19"/>
  <c r="R25" i="19" s="1"/>
  <c r="P25" i="19"/>
  <c r="P42" i="19"/>
  <c r="Q42" i="19"/>
  <c r="R42" i="19" s="1"/>
  <c r="Q77" i="19"/>
  <c r="R77" i="19" s="1"/>
  <c r="P77" i="19"/>
  <c r="P93" i="19"/>
  <c r="Q93" i="19"/>
  <c r="R93" i="19" s="1"/>
  <c r="Q87" i="19"/>
  <c r="R87" i="19" s="1"/>
  <c r="P87" i="19"/>
  <c r="Q39" i="19"/>
  <c r="R39" i="19" s="1"/>
  <c r="P39" i="19"/>
  <c r="P19" i="19"/>
  <c r="Q19" i="19"/>
  <c r="R19" i="19" s="1"/>
  <c r="P94" i="19"/>
  <c r="Q94" i="19"/>
  <c r="R94" i="19" s="1"/>
  <c r="P79" i="19"/>
  <c r="Q79" i="19"/>
  <c r="R79" i="19" s="1"/>
  <c r="Q89" i="19"/>
  <c r="R89" i="19" s="1"/>
  <c r="P89" i="19"/>
  <c r="P69" i="19"/>
  <c r="Q69" i="19"/>
  <c r="R69" i="19" s="1"/>
  <c r="P50" i="19"/>
  <c r="Q50" i="19"/>
  <c r="R50" i="19" s="1"/>
  <c r="T48" i="17"/>
  <c r="U48" i="17" s="1"/>
  <c r="S48" i="17"/>
  <c r="R76" i="16"/>
  <c r="S76" i="16"/>
  <c r="T76" i="16" s="1"/>
  <c r="R30" i="16"/>
  <c r="S30" i="16"/>
  <c r="T30" i="16" s="1"/>
  <c r="T17" i="17"/>
  <c r="U17" i="17" s="1"/>
  <c r="S17" i="17"/>
  <c r="S23" i="16"/>
  <c r="T23" i="16" s="1"/>
  <c r="R23" i="16"/>
  <c r="R49" i="16"/>
  <c r="S49" i="16"/>
  <c r="T49" i="16" s="1"/>
  <c r="R12" i="16"/>
  <c r="S12" i="16"/>
  <c r="T12" i="16" s="1"/>
  <c r="S22" i="17"/>
  <c r="T22" i="17"/>
  <c r="U22" i="17" s="1"/>
  <c r="T35" i="17"/>
  <c r="U35" i="17" s="1"/>
  <c r="S35" i="17"/>
  <c r="R24" i="16"/>
  <c r="S24" i="16"/>
  <c r="T24" i="16" s="1"/>
  <c r="T53" i="17"/>
  <c r="U53" i="17" s="1"/>
  <c r="S53" i="17"/>
  <c r="S14" i="16"/>
  <c r="T14" i="16" s="1"/>
  <c r="R14" i="16"/>
  <c r="T69" i="17"/>
  <c r="U69" i="17" s="1"/>
  <c r="S69" i="17"/>
  <c r="S78" i="16"/>
  <c r="T78" i="16" s="1"/>
  <c r="R78" i="16"/>
  <c r="T43" i="17"/>
  <c r="U43" i="17" s="1"/>
  <c r="S43" i="17"/>
  <c r="R62" i="16"/>
  <c r="S62" i="16"/>
  <c r="T62" i="16" s="1"/>
  <c r="R59" i="16"/>
  <c r="S59" i="16"/>
  <c r="T59" i="16" s="1"/>
  <c r="S59" i="17"/>
  <c r="T59" i="17"/>
  <c r="U59" i="17" s="1"/>
  <c r="R82" i="20"/>
  <c r="S82" i="20" s="1"/>
  <c r="Q82" i="20"/>
  <c r="R21" i="20"/>
  <c r="S21" i="20" s="1"/>
  <c r="Q21" i="20"/>
  <c r="R38" i="20"/>
  <c r="S38" i="20" s="1"/>
  <c r="Q38" i="20"/>
  <c r="Q86" i="20"/>
  <c r="R86" i="20"/>
  <c r="S86" i="20" s="1"/>
  <c r="Q24" i="20"/>
  <c r="R24" i="20"/>
  <c r="S24" i="20" s="1"/>
  <c r="R54" i="20"/>
  <c r="S54" i="20" s="1"/>
  <c r="Q54" i="20"/>
  <c r="R25" i="20"/>
  <c r="S25" i="20" s="1"/>
  <c r="Q25" i="20"/>
  <c r="Q80" i="20"/>
  <c r="R80" i="20"/>
  <c r="S80" i="20" s="1"/>
  <c r="Q51" i="20"/>
  <c r="R51" i="20"/>
  <c r="S51" i="20" s="1"/>
  <c r="Q55" i="20"/>
  <c r="R55" i="20"/>
  <c r="S55" i="20" s="1"/>
  <c r="R97" i="20"/>
  <c r="S97" i="20" s="1"/>
  <c r="Q97" i="20"/>
  <c r="Q109" i="20"/>
  <c r="R109" i="20"/>
  <c r="S109" i="20" s="1"/>
  <c r="R92" i="20"/>
  <c r="S92" i="20" s="1"/>
  <c r="Q92" i="20"/>
  <c r="R44" i="21"/>
  <c r="S44" i="21"/>
  <c r="T44" i="21" s="1"/>
  <c r="R36" i="21"/>
  <c r="S36" i="21"/>
  <c r="T36" i="21" s="1"/>
  <c r="R68" i="21"/>
  <c r="S68" i="21"/>
  <c r="T68" i="21" s="1"/>
  <c r="R25" i="21"/>
  <c r="S25" i="21"/>
  <c r="T25" i="21" s="1"/>
  <c r="S41" i="21"/>
  <c r="T41" i="21" s="1"/>
  <c r="R41" i="21"/>
  <c r="R10" i="21"/>
  <c r="S10" i="21"/>
  <c r="T10" i="21" s="1"/>
  <c r="R58" i="21"/>
  <c r="S58" i="21"/>
  <c r="T58" i="21" s="1"/>
  <c r="S28" i="21"/>
  <c r="T28" i="21" s="1"/>
  <c r="R28" i="21"/>
  <c r="S72" i="21"/>
  <c r="T72" i="21" s="1"/>
  <c r="R72" i="21"/>
  <c r="R76" i="20"/>
  <c r="S76" i="20" s="1"/>
  <c r="Q76" i="20"/>
  <c r="S52" i="21"/>
  <c r="T52" i="21" s="1"/>
  <c r="R52" i="21"/>
  <c r="S82" i="21"/>
  <c r="T82" i="21" s="1"/>
  <c r="R82" i="21"/>
  <c r="R95" i="21"/>
  <c r="S95" i="21"/>
  <c r="T95" i="21" s="1"/>
  <c r="R73" i="15"/>
  <c r="S73" i="15" s="1"/>
  <c r="Q73" i="15"/>
  <c r="P38" i="19"/>
  <c r="Q38" i="19"/>
  <c r="R38" i="19" s="1"/>
  <c r="P52" i="19"/>
  <c r="Q52" i="19"/>
  <c r="R52" i="19" s="1"/>
  <c r="S18" i="16"/>
  <c r="T18" i="16" s="1"/>
  <c r="R18" i="16"/>
  <c r="R58" i="16"/>
  <c r="S58" i="16"/>
  <c r="T58" i="16" s="1"/>
  <c r="T15" i="17"/>
  <c r="U15" i="17" s="1"/>
  <c r="S15" i="17"/>
  <c r="Q105" i="20"/>
  <c r="R105" i="20"/>
  <c r="S105" i="20" s="1"/>
  <c r="R17" i="20"/>
  <c r="S17" i="20" s="1"/>
  <c r="Q17" i="20"/>
  <c r="S105" i="21"/>
  <c r="T105" i="21" s="1"/>
  <c r="R105" i="21"/>
  <c r="R90" i="21"/>
  <c r="S90" i="21"/>
  <c r="T90" i="21" s="1"/>
  <c r="S101" i="21"/>
  <c r="T101" i="21" s="1"/>
  <c r="R101" i="21"/>
  <c r="R59" i="21"/>
  <c r="S59" i="21"/>
  <c r="T59" i="21" s="1"/>
  <c r="Q61" i="15"/>
  <c r="R61" i="15"/>
  <c r="S61" i="15" s="1"/>
  <c r="Q32" i="15"/>
  <c r="R32" i="15"/>
  <c r="S32" i="15" s="1"/>
  <c r="R31" i="15"/>
  <c r="S31" i="15" s="1"/>
  <c r="Q31" i="15"/>
  <c r="Q13" i="15"/>
  <c r="R13" i="15"/>
  <c r="S13" i="15" s="1"/>
  <c r="R35" i="15"/>
  <c r="S35" i="15" s="1"/>
  <c r="Q35" i="15"/>
  <c r="R37" i="15"/>
  <c r="S37" i="15" s="1"/>
  <c r="Q37" i="15"/>
  <c r="R18" i="15"/>
  <c r="S18" i="15" s="1"/>
  <c r="Q18" i="15"/>
  <c r="R81" i="15"/>
  <c r="S81" i="15" s="1"/>
  <c r="Q81" i="15"/>
  <c r="R36" i="15"/>
  <c r="S36" i="15" s="1"/>
  <c r="Q36" i="15"/>
  <c r="P13" i="19"/>
  <c r="Q13" i="19"/>
  <c r="R13" i="19" s="1"/>
  <c r="Q108" i="19"/>
  <c r="R108" i="19" s="1"/>
  <c r="P108" i="19"/>
  <c r="Q107" i="19"/>
  <c r="R107" i="19" s="1"/>
  <c r="P107" i="19"/>
  <c r="Q99" i="19"/>
  <c r="R99" i="19" s="1"/>
  <c r="P99" i="19"/>
  <c r="P86" i="19"/>
  <c r="Q86" i="19"/>
  <c r="R86" i="19" s="1"/>
  <c r="Q33" i="19"/>
  <c r="R33" i="19" s="1"/>
  <c r="P33" i="19"/>
  <c r="Q97" i="19"/>
  <c r="R97" i="19" s="1"/>
  <c r="P97" i="19"/>
  <c r="Q15" i="19"/>
  <c r="R15" i="19" s="1"/>
  <c r="P15" i="19"/>
  <c r="Q17" i="19"/>
  <c r="R17" i="19" s="1"/>
  <c r="P17" i="19"/>
  <c r="P109" i="19"/>
  <c r="Q109" i="19"/>
  <c r="R109" i="19" s="1"/>
  <c r="Q67" i="19"/>
  <c r="R67" i="19" s="1"/>
  <c r="P67" i="19"/>
  <c r="P12" i="19"/>
  <c r="Q12" i="19"/>
  <c r="R12" i="19" s="1"/>
  <c r="P74" i="19"/>
  <c r="Q74" i="19"/>
  <c r="R74" i="19" s="1"/>
  <c r="T38" i="17"/>
  <c r="U38" i="17" s="1"/>
  <c r="S38" i="17"/>
  <c r="S16" i="16"/>
  <c r="T16" i="16" s="1"/>
  <c r="R16" i="16"/>
  <c r="T81" i="17"/>
  <c r="U81" i="17" s="1"/>
  <c r="S81" i="17"/>
  <c r="T24" i="17"/>
  <c r="U24" i="17" s="1"/>
  <c r="S24" i="17"/>
  <c r="S31" i="16"/>
  <c r="T31" i="16" s="1"/>
  <c r="R31" i="16"/>
  <c r="R55" i="16"/>
  <c r="S55" i="16"/>
  <c r="T55" i="16" s="1"/>
  <c r="S14" i="17"/>
  <c r="T14" i="17"/>
  <c r="U14" i="17" s="1"/>
  <c r="S25" i="17"/>
  <c r="T25" i="17"/>
  <c r="U25" i="17" s="1"/>
  <c r="R28" i="16"/>
  <c r="S28" i="16"/>
  <c r="T28" i="16" s="1"/>
  <c r="R50" i="16"/>
  <c r="S50" i="16"/>
  <c r="T50" i="16" s="1"/>
  <c r="S46" i="17"/>
  <c r="T46" i="17"/>
  <c r="U46" i="17" s="1"/>
  <c r="R32" i="16"/>
  <c r="S32" i="16"/>
  <c r="T32" i="16" s="1"/>
  <c r="S39" i="17"/>
  <c r="T39" i="17"/>
  <c r="U39" i="17" s="1"/>
  <c r="R60" i="16"/>
  <c r="S60" i="16"/>
  <c r="T60" i="16" s="1"/>
  <c r="T11" i="17"/>
  <c r="U11" i="17" s="1"/>
  <c r="S11" i="17"/>
  <c r="S27" i="16"/>
  <c r="T27" i="16" s="1"/>
  <c r="R27" i="16"/>
  <c r="S13" i="17"/>
  <c r="T13" i="17"/>
  <c r="U13" i="17" s="1"/>
  <c r="S21" i="16"/>
  <c r="T21" i="16" s="1"/>
  <c r="R21" i="16"/>
  <c r="Q68" i="20"/>
  <c r="R68" i="20"/>
  <c r="S68" i="20" s="1"/>
  <c r="R102" i="20"/>
  <c r="S102" i="20" s="1"/>
  <c r="Q102" i="20"/>
  <c r="R39" i="20"/>
  <c r="S39" i="20" s="1"/>
  <c r="Q39" i="20"/>
  <c r="R30" i="20"/>
  <c r="S30" i="20" s="1"/>
  <c r="Q30" i="20"/>
  <c r="R93" i="20"/>
  <c r="S93" i="20" s="1"/>
  <c r="Q93" i="20"/>
  <c r="R83" i="20"/>
  <c r="S83" i="20" s="1"/>
  <c r="Q83" i="20"/>
  <c r="R56" i="20"/>
  <c r="S56" i="20" s="1"/>
  <c r="Q56" i="20"/>
  <c r="R27" i="20"/>
  <c r="S27" i="20" s="1"/>
  <c r="Q27" i="20"/>
  <c r="R78" i="20"/>
  <c r="S78" i="20" s="1"/>
  <c r="Q78" i="20"/>
  <c r="R44" i="20"/>
  <c r="S44" i="20" s="1"/>
  <c r="Q44" i="20"/>
  <c r="R41" i="20"/>
  <c r="S41" i="20" s="1"/>
  <c r="Q41" i="20"/>
  <c r="Q107" i="20"/>
  <c r="R107" i="20"/>
  <c r="S107" i="20" s="1"/>
  <c r="R77" i="20"/>
  <c r="S77" i="20" s="1"/>
  <c r="Q77" i="20"/>
  <c r="S104" i="21"/>
  <c r="T104" i="21" s="1"/>
  <c r="R104" i="21"/>
  <c r="S97" i="21"/>
  <c r="T97" i="21" s="1"/>
  <c r="R97" i="21"/>
  <c r="S84" i="21"/>
  <c r="T84" i="21" s="1"/>
  <c r="R84" i="21"/>
  <c r="R69" i="21"/>
  <c r="S69" i="21"/>
  <c r="T69" i="21" s="1"/>
  <c r="S50" i="21"/>
  <c r="T50" i="21" s="1"/>
  <c r="R50" i="21"/>
  <c r="S109" i="21"/>
  <c r="T109" i="21" s="1"/>
  <c r="R109" i="21"/>
  <c r="R64" i="21"/>
  <c r="S64" i="21"/>
  <c r="T64" i="21" s="1"/>
  <c r="R91" i="21"/>
  <c r="S91" i="21"/>
  <c r="T91" i="21" s="1"/>
  <c r="S81" i="21"/>
  <c r="T81" i="21" s="1"/>
  <c r="R81" i="21"/>
  <c r="S21" i="21"/>
  <c r="T21" i="21" s="1"/>
  <c r="R21" i="21"/>
  <c r="R46" i="21"/>
  <c r="S46" i="21"/>
  <c r="T46" i="21" s="1"/>
  <c r="R57" i="21"/>
  <c r="S57" i="21"/>
  <c r="T57" i="21" s="1"/>
  <c r="S49" i="21"/>
  <c r="T49" i="21" s="1"/>
  <c r="R49" i="21"/>
  <c r="R23" i="15"/>
  <c r="S23" i="15" s="1"/>
  <c r="Q23" i="15"/>
  <c r="P49" i="19"/>
  <c r="Q49" i="19"/>
  <c r="R49" i="19" s="1"/>
  <c r="P34" i="19"/>
  <c r="Q34" i="19"/>
  <c r="R34" i="19" s="1"/>
  <c r="R66" i="16"/>
  <c r="S66" i="16"/>
  <c r="T66" i="16" s="1"/>
  <c r="R51" i="16"/>
  <c r="S51" i="16"/>
  <c r="T51" i="16" s="1"/>
  <c r="Q88" i="20"/>
  <c r="R88" i="20"/>
  <c r="S88" i="20" s="1"/>
  <c r="R55" i="15"/>
  <c r="S55" i="15" s="1"/>
  <c r="Q55" i="15"/>
  <c r="Q12" i="15"/>
  <c r="R12" i="15"/>
  <c r="S12" i="15" s="1"/>
  <c r="R54" i="15"/>
  <c r="S54" i="15" s="1"/>
  <c r="Q54" i="15"/>
  <c r="R79" i="15"/>
  <c r="S79" i="15" s="1"/>
  <c r="Q79" i="15"/>
  <c r="Q66" i="15"/>
  <c r="R66" i="15"/>
  <c r="S66" i="15" s="1"/>
  <c r="Q51" i="15"/>
  <c r="R51" i="15"/>
  <c r="S51" i="15" s="1"/>
  <c r="Q25" i="15"/>
  <c r="R25" i="15"/>
  <c r="S25" i="15" s="1"/>
  <c r="R56" i="15"/>
  <c r="S56" i="15" s="1"/>
  <c r="Q56" i="15"/>
  <c r="Q77" i="15"/>
  <c r="R77" i="15"/>
  <c r="S77" i="15" s="1"/>
  <c r="R38" i="15"/>
  <c r="S38" i="15" s="1"/>
  <c r="Q38" i="15"/>
  <c r="P35" i="19"/>
  <c r="Q35" i="19"/>
  <c r="R35" i="19" s="1"/>
  <c r="P101" i="19"/>
  <c r="Q101" i="19"/>
  <c r="R101" i="19" s="1"/>
  <c r="Q40" i="19"/>
  <c r="R40" i="19" s="1"/>
  <c r="P40" i="19"/>
  <c r="Q102" i="19"/>
  <c r="R102" i="19" s="1"/>
  <c r="P102" i="19"/>
  <c r="P57" i="19"/>
  <c r="Q57" i="19"/>
  <c r="R57" i="19" s="1"/>
  <c r="P26" i="19"/>
  <c r="Q26" i="19"/>
  <c r="R26" i="19" s="1"/>
  <c r="P62" i="19"/>
  <c r="Q62" i="19"/>
  <c r="R62" i="19" s="1"/>
  <c r="Q44" i="19"/>
  <c r="R44" i="19" s="1"/>
  <c r="P44" i="19"/>
  <c r="Q78" i="19"/>
  <c r="R78" i="19" s="1"/>
  <c r="P78" i="19"/>
  <c r="Q48" i="19"/>
  <c r="R48" i="19" s="1"/>
  <c r="P48" i="19"/>
  <c r="P82" i="19"/>
  <c r="Q82" i="19"/>
  <c r="R82" i="19" s="1"/>
  <c r="Q90" i="19"/>
  <c r="R90" i="19" s="1"/>
  <c r="P90" i="19"/>
  <c r="P58" i="19"/>
  <c r="Q58" i="19"/>
  <c r="R58" i="19" s="1"/>
  <c r="S23" i="17"/>
  <c r="T23" i="17"/>
  <c r="U23" i="17" s="1"/>
  <c r="R39" i="16"/>
  <c r="S39" i="16"/>
  <c r="T39" i="16" s="1"/>
  <c r="T26" i="17"/>
  <c r="U26" i="17" s="1"/>
  <c r="S26" i="17"/>
  <c r="S46" i="16"/>
  <c r="T46" i="16" s="1"/>
  <c r="R46" i="16"/>
  <c r="S56" i="17"/>
  <c r="T56" i="17"/>
  <c r="U56" i="17" s="1"/>
  <c r="R43" i="16"/>
  <c r="S43" i="16"/>
  <c r="T43" i="16" s="1"/>
  <c r="T21" i="17"/>
  <c r="U21" i="17" s="1"/>
  <c r="S21" i="17"/>
  <c r="R33" i="16"/>
  <c r="S33" i="16"/>
  <c r="T33" i="16" s="1"/>
  <c r="R75" i="16"/>
  <c r="S75" i="16"/>
  <c r="T75" i="16" s="1"/>
  <c r="S10" i="16"/>
  <c r="T10" i="16" s="1"/>
  <c r="R10" i="16"/>
  <c r="S72" i="17"/>
  <c r="T72" i="17"/>
  <c r="U72" i="17" s="1"/>
  <c r="R80" i="16"/>
  <c r="S80" i="16"/>
  <c r="T80" i="16" s="1"/>
  <c r="T30" i="17"/>
  <c r="U30" i="17" s="1"/>
  <c r="S30" i="17"/>
  <c r="S45" i="16"/>
  <c r="T45" i="16" s="1"/>
  <c r="R45" i="16"/>
  <c r="T73" i="17"/>
  <c r="U73" i="17" s="1"/>
  <c r="S73" i="17"/>
  <c r="S20" i="17"/>
  <c r="T20" i="17"/>
  <c r="U20" i="17" s="1"/>
  <c r="S78" i="17"/>
  <c r="T78" i="17"/>
  <c r="U78" i="17" s="1"/>
  <c r="R79" i="20"/>
  <c r="S79" i="20" s="1"/>
  <c r="Q79" i="20"/>
  <c r="R108" i="20"/>
  <c r="S108" i="20" s="1"/>
  <c r="Q108" i="20"/>
  <c r="R12" i="20"/>
  <c r="S12" i="20" s="1"/>
  <c r="Q12" i="20"/>
  <c r="Q52" i="20"/>
  <c r="R52" i="20"/>
  <c r="S52" i="20" s="1"/>
  <c r="R32" i="20"/>
  <c r="S32" i="20" s="1"/>
  <c r="Q32" i="20"/>
  <c r="Q37" i="20"/>
  <c r="R37" i="20"/>
  <c r="S37" i="20" s="1"/>
  <c r="R62" i="20"/>
  <c r="S62" i="20" s="1"/>
  <c r="Q62" i="20"/>
  <c r="R35" i="20"/>
  <c r="S35" i="20" s="1"/>
  <c r="Q35" i="20"/>
  <c r="R22" i="20"/>
  <c r="S22" i="20" s="1"/>
  <c r="Q22" i="20"/>
  <c r="R85" i="20"/>
  <c r="S85" i="20" s="1"/>
  <c r="Q85" i="20"/>
  <c r="Q18" i="20"/>
  <c r="R18" i="20"/>
  <c r="S18" i="20" s="1"/>
  <c r="R31" i="20"/>
  <c r="S31" i="20" s="1"/>
  <c r="Q31" i="20"/>
  <c r="R106" i="20"/>
  <c r="S106" i="20" s="1"/>
  <c r="Q106" i="20"/>
  <c r="S111" i="21"/>
  <c r="T111" i="21" s="1"/>
  <c r="R111" i="21"/>
  <c r="S39" i="21"/>
  <c r="T39" i="21" s="1"/>
  <c r="R39" i="21"/>
  <c r="S37" i="21"/>
  <c r="T37" i="21" s="1"/>
  <c r="R37" i="21"/>
  <c r="R19" i="21"/>
  <c r="S19" i="21"/>
  <c r="T19" i="21" s="1"/>
  <c r="R55" i="21"/>
  <c r="S55" i="21"/>
  <c r="T55" i="21" s="1"/>
  <c r="S35" i="21"/>
  <c r="T35" i="21" s="1"/>
  <c r="R35" i="21"/>
  <c r="S87" i="21"/>
  <c r="T87" i="21" s="1"/>
  <c r="R87" i="21"/>
  <c r="R88" i="21"/>
  <c r="S88" i="21"/>
  <c r="T88" i="21" s="1"/>
  <c r="R74" i="21"/>
  <c r="S74" i="21"/>
  <c r="T74" i="21" s="1"/>
  <c r="S53" i="21"/>
  <c r="T53" i="21" s="1"/>
  <c r="R53" i="21"/>
  <c r="R40" i="21"/>
  <c r="S40" i="21"/>
  <c r="T40" i="21" s="1"/>
  <c r="R76" i="21"/>
  <c r="S76" i="21"/>
  <c r="T76" i="21" s="1"/>
  <c r="R15" i="21"/>
  <c r="S15" i="21"/>
  <c r="T15" i="21" s="1"/>
  <c r="Q43" i="15"/>
  <c r="R43" i="15"/>
  <c r="S43" i="15" s="1"/>
  <c r="P20" i="19"/>
  <c r="Q20" i="19"/>
  <c r="R20" i="19" s="1"/>
  <c r="P53" i="19"/>
  <c r="Q53" i="19"/>
  <c r="R53" i="19" s="1"/>
  <c r="R29" i="16"/>
  <c r="S29" i="16"/>
  <c r="T29" i="16" s="1"/>
  <c r="T45" i="17"/>
  <c r="U45" i="17" s="1"/>
  <c r="S45" i="17"/>
  <c r="R47" i="20"/>
  <c r="S47" i="20" s="1"/>
  <c r="Q47" i="20"/>
  <c r="R70" i="15"/>
  <c r="S70" i="15" s="1"/>
  <c r="Q70" i="15"/>
  <c r="R76" i="15"/>
  <c r="S76" i="15" s="1"/>
  <c r="Q76" i="15"/>
  <c r="Q62" i="15"/>
  <c r="R62" i="15"/>
  <c r="S62" i="15" s="1"/>
  <c r="Q57" i="15"/>
  <c r="R57" i="15"/>
  <c r="S57" i="15" s="1"/>
  <c r="Q20" i="15"/>
  <c r="R20" i="15"/>
  <c r="S20" i="15" s="1"/>
  <c r="R14" i="15"/>
  <c r="S14" i="15" s="1"/>
  <c r="Q14" i="15"/>
  <c r="Q67" i="15"/>
  <c r="R67" i="15"/>
  <c r="S67" i="15" s="1"/>
  <c r="Q15" i="15"/>
  <c r="R15" i="15"/>
  <c r="S15" i="15" s="1"/>
  <c r="R11" i="15"/>
  <c r="S11" i="15" s="1"/>
  <c r="Q11" i="15"/>
  <c r="R52" i="15"/>
  <c r="S52" i="15" s="1"/>
  <c r="Q52" i="15"/>
  <c r="P32" i="19"/>
  <c r="Q32" i="19"/>
  <c r="R32" i="19" s="1"/>
  <c r="P60" i="19"/>
  <c r="Q60" i="19"/>
  <c r="R60" i="19" s="1"/>
  <c r="P64" i="19"/>
  <c r="Q64" i="19"/>
  <c r="R64" i="19" s="1"/>
  <c r="Q111" i="19"/>
  <c r="R111" i="19" s="1"/>
  <c r="P111" i="19"/>
  <c r="P72" i="19"/>
  <c r="Q72" i="19"/>
  <c r="R72" i="19" s="1"/>
  <c r="Q84" i="19"/>
  <c r="R84" i="19" s="1"/>
  <c r="P84" i="19"/>
  <c r="Q88" i="19"/>
  <c r="R88" i="19" s="1"/>
  <c r="P88" i="19"/>
  <c r="Q10" i="19"/>
  <c r="R10" i="19" s="1"/>
  <c r="P10" i="19"/>
  <c r="P43" i="19"/>
  <c r="Q43" i="19"/>
  <c r="R43" i="19" s="1"/>
  <c r="P37" i="19"/>
  <c r="Q37" i="19"/>
  <c r="R37" i="19" s="1"/>
  <c r="P16" i="19"/>
  <c r="Q16" i="19"/>
  <c r="R16" i="19" s="1"/>
  <c r="P36" i="19"/>
  <c r="Q36" i="19"/>
  <c r="R36" i="19" s="1"/>
  <c r="S53" i="16"/>
  <c r="T53" i="16" s="1"/>
  <c r="R53" i="16"/>
  <c r="S63" i="17"/>
  <c r="T63" i="17"/>
  <c r="U63" i="17" s="1"/>
  <c r="S15" i="16"/>
  <c r="T15" i="16" s="1"/>
  <c r="R15" i="16"/>
  <c r="T65" i="17"/>
  <c r="U65" i="17" s="1"/>
  <c r="S65" i="17"/>
  <c r="S69" i="16"/>
  <c r="T69" i="16" s="1"/>
  <c r="R69" i="16"/>
  <c r="T12" i="17"/>
  <c r="U12" i="17" s="1"/>
  <c r="S12" i="17"/>
  <c r="S25" i="16"/>
  <c r="T25" i="16" s="1"/>
  <c r="R25" i="16"/>
  <c r="S79" i="17"/>
  <c r="T79" i="17"/>
  <c r="U79" i="17" s="1"/>
  <c r="R64" i="16"/>
  <c r="S64" i="16"/>
  <c r="T64" i="16" s="1"/>
  <c r="S22" i="16"/>
  <c r="T22" i="16" s="1"/>
  <c r="R22" i="16"/>
  <c r="T9" i="17"/>
  <c r="U9" i="17" s="1"/>
  <c r="S9" i="17"/>
  <c r="S66" i="17"/>
  <c r="T66" i="17"/>
  <c r="U66" i="17" s="1"/>
  <c r="R26" i="16"/>
  <c r="S26" i="16"/>
  <c r="T26" i="16" s="1"/>
  <c r="S67" i="17"/>
  <c r="T67" i="17"/>
  <c r="U67" i="17" s="1"/>
  <c r="S70" i="16"/>
  <c r="T70" i="16" s="1"/>
  <c r="R70" i="16"/>
  <c r="T10" i="17"/>
  <c r="U10" i="17" s="1"/>
  <c r="S10" i="17"/>
  <c r="S56" i="16"/>
  <c r="T56" i="16" s="1"/>
  <c r="R56" i="16"/>
  <c r="S57" i="17"/>
  <c r="T57" i="17"/>
  <c r="U57" i="17" s="1"/>
  <c r="S49" i="17"/>
  <c r="T49" i="17"/>
  <c r="U49" i="17" s="1"/>
  <c r="R36" i="20"/>
  <c r="S36" i="20" s="1"/>
  <c r="Q36" i="20"/>
  <c r="R20" i="20"/>
  <c r="S20" i="20" s="1"/>
  <c r="Q20" i="20"/>
  <c r="R9" i="20"/>
  <c r="S9" i="20" s="1"/>
  <c r="Q9" i="20"/>
  <c r="Q94" i="20"/>
  <c r="R94" i="20"/>
  <c r="S94" i="20" s="1"/>
  <c r="Q74" i="20"/>
  <c r="R74" i="20"/>
  <c r="S74" i="20" s="1"/>
  <c r="R46" i="20"/>
  <c r="S46" i="20" s="1"/>
  <c r="Q46" i="20"/>
  <c r="R23" i="20"/>
  <c r="S23" i="20" s="1"/>
  <c r="Q23" i="20"/>
  <c r="R81" i="20"/>
  <c r="S81" i="20" s="1"/>
  <c r="Q81" i="20"/>
  <c r="R19" i="20"/>
  <c r="S19" i="20" s="1"/>
  <c r="Q19" i="20"/>
  <c r="Q28" i="20"/>
  <c r="R28" i="20"/>
  <c r="S28" i="20" s="1"/>
  <c r="Q103" i="20"/>
  <c r="R103" i="20"/>
  <c r="S103" i="20" s="1"/>
  <c r="R98" i="20"/>
  <c r="S98" i="20" s="1"/>
  <c r="Q98" i="20"/>
  <c r="Q104" i="20"/>
  <c r="R104" i="20"/>
  <c r="S104" i="20" s="1"/>
  <c r="R27" i="21"/>
  <c r="S27" i="21"/>
  <c r="T27" i="21" s="1"/>
  <c r="R43" i="21"/>
  <c r="S43" i="21"/>
  <c r="T43" i="21" s="1"/>
  <c r="S94" i="21"/>
  <c r="T94" i="21" s="1"/>
  <c r="R94" i="21"/>
  <c r="R24" i="21"/>
  <c r="S24" i="21"/>
  <c r="T24" i="21" s="1"/>
  <c r="R66" i="21"/>
  <c r="S66" i="21"/>
  <c r="T66" i="21" s="1"/>
  <c r="S108" i="21"/>
  <c r="T108" i="21" s="1"/>
  <c r="R108" i="21"/>
  <c r="R80" i="21"/>
  <c r="S80" i="21"/>
  <c r="T80" i="21" s="1"/>
  <c r="R70" i="21"/>
  <c r="S70" i="21"/>
  <c r="T70" i="21" s="1"/>
  <c r="R71" i="21"/>
  <c r="S71" i="21"/>
  <c r="T71" i="21" s="1"/>
  <c r="S51" i="21"/>
  <c r="T51" i="21" s="1"/>
  <c r="R51" i="21"/>
  <c r="R67" i="21"/>
  <c r="S67" i="21"/>
  <c r="T67" i="21" s="1"/>
  <c r="S47" i="21"/>
  <c r="T47" i="21" s="1"/>
  <c r="R47" i="21"/>
  <c r="S65" i="21"/>
  <c r="T65" i="21" s="1"/>
  <c r="R65" i="21"/>
  <c r="R16" i="15"/>
  <c r="S16" i="15" s="1"/>
  <c r="Q16" i="15"/>
  <c r="P9" i="19"/>
  <c r="Q9" i="19"/>
  <c r="R9" i="19" s="1"/>
  <c r="Q31" i="19"/>
  <c r="R31" i="19" s="1"/>
  <c r="P31" i="19"/>
  <c r="T77" i="17"/>
  <c r="U77" i="17" s="1"/>
  <c r="S77" i="17"/>
  <c r="T37" i="17"/>
  <c r="U37" i="17" s="1"/>
  <c r="S37" i="17"/>
  <c r="T58" i="17"/>
  <c r="U58" i="17" s="1"/>
  <c r="S58" i="17"/>
  <c r="R99" i="20"/>
  <c r="S99" i="20" s="1"/>
  <c r="Q99" i="20"/>
  <c r="Q64" i="20"/>
  <c r="R64" i="20"/>
  <c r="S64" i="20" s="1"/>
  <c r="R62" i="21"/>
  <c r="S62" i="21"/>
  <c r="T62" i="21" s="1"/>
  <c r="S102" i="21"/>
  <c r="T102" i="21" s="1"/>
  <c r="R102" i="21"/>
  <c r="S48" i="21"/>
  <c r="T48" i="21" s="1"/>
  <c r="R48" i="21"/>
  <c r="S79" i="21"/>
  <c r="T79" i="21" s="1"/>
  <c r="R79" i="21"/>
  <c r="Q27" i="15"/>
  <c r="R27" i="15"/>
  <c r="S27" i="15" s="1"/>
  <c r="R42" i="15"/>
  <c r="S42" i="15" s="1"/>
  <c r="Q42" i="15"/>
  <c r="Q44" i="15"/>
  <c r="R44" i="15"/>
  <c r="S44" i="15" s="1"/>
  <c r="Q50" i="15"/>
  <c r="R50" i="15"/>
  <c r="S50" i="15" s="1"/>
  <c r="R24" i="15"/>
  <c r="S24" i="15" s="1"/>
  <c r="Q24" i="15"/>
  <c r="R68" i="15"/>
  <c r="S68" i="15" s="1"/>
  <c r="Q68" i="15"/>
  <c r="Q63" i="15"/>
  <c r="R63" i="15"/>
  <c r="S63" i="15" s="1"/>
  <c r="R29" i="15"/>
  <c r="S29" i="15" s="1"/>
  <c r="Q29" i="15"/>
  <c r="R39" i="15"/>
  <c r="S39" i="15" s="1"/>
  <c r="Q39" i="15"/>
  <c r="P91" i="19"/>
  <c r="Q91" i="19"/>
  <c r="R91" i="19" s="1"/>
  <c r="P95" i="19"/>
  <c r="Q95" i="19"/>
  <c r="R95" i="19" s="1"/>
  <c r="Q27" i="19"/>
  <c r="R27" i="19" s="1"/>
  <c r="P27" i="19"/>
  <c r="Q61" i="19"/>
  <c r="R61" i="19" s="1"/>
  <c r="P61" i="19"/>
  <c r="Q59" i="19"/>
  <c r="R59" i="19" s="1"/>
  <c r="P59" i="19"/>
  <c r="P71" i="19"/>
  <c r="Q71" i="19"/>
  <c r="R71" i="19" s="1"/>
  <c r="P28" i="19"/>
  <c r="Q28" i="19"/>
  <c r="R28" i="19" s="1"/>
  <c r="Q21" i="19"/>
  <c r="R21" i="19" s="1"/>
  <c r="P21" i="19"/>
  <c r="Q92" i="19"/>
  <c r="R92" i="19" s="1"/>
  <c r="P92" i="19"/>
  <c r="Q63" i="19"/>
  <c r="R63" i="19" s="1"/>
  <c r="P63" i="19"/>
  <c r="P103" i="19"/>
  <c r="Q103" i="19"/>
  <c r="R103" i="19" s="1"/>
  <c r="P45" i="19"/>
  <c r="Q45" i="19"/>
  <c r="R45" i="19" s="1"/>
  <c r="P22" i="19"/>
  <c r="Q22" i="19"/>
  <c r="R22" i="19" s="1"/>
  <c r="S57" i="16"/>
  <c r="T57" i="16" s="1"/>
  <c r="R57" i="16"/>
  <c r="T62" i="17"/>
  <c r="U62" i="17" s="1"/>
  <c r="S62" i="17"/>
  <c r="S65" i="16"/>
  <c r="T65" i="16" s="1"/>
  <c r="R65" i="16"/>
  <c r="S27" i="17"/>
  <c r="T27" i="17"/>
  <c r="U27" i="17" s="1"/>
  <c r="R44" i="16"/>
  <c r="S44" i="16"/>
  <c r="T44" i="16" s="1"/>
  <c r="T75" i="17"/>
  <c r="U75" i="17" s="1"/>
  <c r="S75" i="17"/>
  <c r="R74" i="16"/>
  <c r="S74" i="16"/>
  <c r="T74" i="16" s="1"/>
  <c r="T34" i="17"/>
  <c r="U34" i="17" s="1"/>
  <c r="S34" i="17"/>
  <c r="R42" i="16"/>
  <c r="S42" i="16"/>
  <c r="T42" i="16" s="1"/>
  <c r="S40" i="16"/>
  <c r="T40" i="16" s="1"/>
  <c r="R40" i="16"/>
  <c r="T28" i="17"/>
  <c r="U28" i="17" s="1"/>
  <c r="S28" i="17"/>
  <c r="S13" i="16"/>
  <c r="T13" i="16" s="1"/>
  <c r="R13" i="16"/>
  <c r="R34" i="16"/>
  <c r="S34" i="16"/>
  <c r="T34" i="16" s="1"/>
  <c r="S70" i="17"/>
  <c r="T70" i="17"/>
  <c r="U70" i="17" s="1"/>
  <c r="S74" i="17"/>
  <c r="T74" i="17"/>
  <c r="U74" i="17" s="1"/>
  <c r="S41" i="16"/>
  <c r="T41" i="16" s="1"/>
  <c r="R41" i="16"/>
  <c r="S68" i="16"/>
  <c r="T68" i="16" s="1"/>
  <c r="R68" i="16"/>
  <c r="S52" i="17"/>
  <c r="T52" i="17"/>
  <c r="U52" i="17" s="1"/>
  <c r="S40" i="17"/>
  <c r="T40" i="17"/>
  <c r="U40" i="17" s="1"/>
  <c r="R33" i="20"/>
  <c r="S33" i="20" s="1"/>
  <c r="Q33" i="20"/>
  <c r="Q16" i="20"/>
  <c r="R16" i="20"/>
  <c r="S16" i="20" s="1"/>
  <c r="R75" i="20"/>
  <c r="S75" i="20" s="1"/>
  <c r="Q75" i="20"/>
  <c r="Q57" i="20"/>
  <c r="R57" i="20"/>
  <c r="S57" i="20" s="1"/>
  <c r="R43" i="20"/>
  <c r="S43" i="20" s="1"/>
  <c r="Q43" i="20"/>
  <c r="Q90" i="20"/>
  <c r="R90" i="20"/>
  <c r="S90" i="20" s="1"/>
  <c r="Q13" i="20"/>
  <c r="R13" i="20"/>
  <c r="S13" i="20" s="1"/>
  <c r="R87" i="20"/>
  <c r="S87" i="20" s="1"/>
  <c r="Q87" i="20"/>
  <c r="Q111" i="20"/>
  <c r="R111" i="20"/>
  <c r="S111" i="20" s="1"/>
  <c r="R101" i="20"/>
  <c r="S101" i="20" s="1"/>
  <c r="Q101" i="20"/>
  <c r="R26" i="20"/>
  <c r="S26" i="20" s="1"/>
  <c r="Q26" i="20"/>
  <c r="Q110" i="20"/>
  <c r="R110" i="20"/>
  <c r="S110" i="20" s="1"/>
  <c r="R17" i="21"/>
  <c r="S17" i="21"/>
  <c r="T17" i="21" s="1"/>
  <c r="R23" i="21"/>
  <c r="S23" i="21"/>
  <c r="T23" i="21" s="1"/>
  <c r="R22" i="21"/>
  <c r="S22" i="21"/>
  <c r="T22" i="21" s="1"/>
  <c r="R20" i="21"/>
  <c r="S20" i="21"/>
  <c r="T20" i="21" s="1"/>
  <c r="R75" i="21"/>
  <c r="S75" i="21"/>
  <c r="T75" i="21" s="1"/>
  <c r="R61" i="21"/>
  <c r="S61" i="21"/>
  <c r="T61" i="21" s="1"/>
  <c r="S83" i="21"/>
  <c r="T83" i="21" s="1"/>
  <c r="R83" i="21"/>
  <c r="R98" i="21"/>
  <c r="S98" i="21"/>
  <c r="T98" i="21" s="1"/>
  <c r="S11" i="21"/>
  <c r="T11" i="21" s="1"/>
  <c r="R11" i="21"/>
  <c r="S73" i="21"/>
  <c r="T73" i="21" s="1"/>
  <c r="R73" i="21"/>
  <c r="S100" i="21"/>
  <c r="T100" i="21" s="1"/>
  <c r="R100" i="21"/>
  <c r="S78" i="21"/>
  <c r="T78" i="21" s="1"/>
  <c r="R78" i="21"/>
  <c r="R38" i="21"/>
  <c r="S38" i="21"/>
  <c r="T38" i="21" s="1"/>
  <c r="R48" i="7"/>
  <c r="S48" i="7"/>
  <c r="T48" i="7" s="1"/>
  <c r="R70" i="7"/>
  <c r="S70" i="7"/>
  <c r="T70" i="7" s="1"/>
  <c r="R89" i="8"/>
  <c r="S89" i="8" s="1"/>
  <c r="Q89" i="8"/>
  <c r="R18" i="8"/>
  <c r="S18" i="8" s="1"/>
  <c r="Q18" i="8"/>
  <c r="R55" i="8"/>
  <c r="S55" i="8" s="1"/>
  <c r="Q55" i="8"/>
  <c r="R17" i="7"/>
  <c r="S17" i="7"/>
  <c r="T17" i="7" s="1"/>
  <c r="Q82" i="8"/>
  <c r="R82" i="8"/>
  <c r="S82" i="8" s="1"/>
  <c r="R49" i="8"/>
  <c r="S49" i="8" s="1"/>
  <c r="Q49" i="8"/>
  <c r="S69" i="7"/>
  <c r="T69" i="7" s="1"/>
  <c r="R69" i="7"/>
  <c r="R19" i="7"/>
  <c r="S19" i="7"/>
  <c r="T19" i="7" s="1"/>
  <c r="R55" i="6"/>
  <c r="S55" i="6" s="1"/>
  <c r="Q55" i="6"/>
  <c r="Q18" i="6"/>
  <c r="R18" i="6"/>
  <c r="S18" i="6" s="1"/>
  <c r="R53" i="9"/>
  <c r="S53" i="9"/>
  <c r="T53" i="9" s="1"/>
  <c r="R22" i="9"/>
  <c r="S22" i="9"/>
  <c r="T22" i="9" s="1"/>
  <c r="R44" i="9"/>
  <c r="S44" i="9"/>
  <c r="T44" i="9" s="1"/>
  <c r="R56" i="8"/>
  <c r="S56" i="8" s="1"/>
  <c r="Q56" i="8"/>
  <c r="S16" i="7"/>
  <c r="T16" i="7" s="1"/>
  <c r="R16" i="7"/>
  <c r="R19" i="8"/>
  <c r="S19" i="8" s="1"/>
  <c r="Q19" i="8"/>
  <c r="R45" i="8"/>
  <c r="S45" i="8" s="1"/>
  <c r="Q45" i="8"/>
  <c r="S56" i="7"/>
  <c r="T56" i="7" s="1"/>
  <c r="R56" i="7"/>
  <c r="R24" i="8"/>
  <c r="S24" i="8" s="1"/>
  <c r="Q24" i="8"/>
  <c r="R71" i="6"/>
  <c r="S71" i="6" s="1"/>
  <c r="Q71" i="6"/>
  <c r="Q68" i="6"/>
  <c r="R68" i="6"/>
  <c r="S68" i="6" s="1"/>
  <c r="R64" i="8"/>
  <c r="S64" i="8" s="1"/>
  <c r="Q64" i="8"/>
  <c r="R100" i="8"/>
  <c r="S100" i="8" s="1"/>
  <c r="Q100" i="8"/>
  <c r="R67" i="7"/>
  <c r="S67" i="7"/>
  <c r="T67" i="7" s="1"/>
  <c r="Q26" i="6"/>
  <c r="R26" i="6"/>
  <c r="S26" i="6" s="1"/>
  <c r="Q48" i="6"/>
  <c r="R48" i="6"/>
  <c r="S48" i="6" s="1"/>
  <c r="R73" i="6"/>
  <c r="S73" i="6" s="1"/>
  <c r="Q73" i="6"/>
  <c r="R39" i="6"/>
  <c r="S39" i="6" s="1"/>
  <c r="Q39" i="6"/>
  <c r="R23" i="7"/>
  <c r="S23" i="7"/>
  <c r="T23" i="7" s="1"/>
  <c r="Q67" i="8"/>
  <c r="R67" i="8"/>
  <c r="S67" i="8" s="1"/>
  <c r="R49" i="6"/>
  <c r="S49" i="6" s="1"/>
  <c r="Q49" i="6"/>
  <c r="S62" i="7"/>
  <c r="T62" i="7" s="1"/>
  <c r="R62" i="7"/>
  <c r="R12" i="8"/>
  <c r="S12" i="8" s="1"/>
  <c r="Q12" i="8"/>
  <c r="R15" i="7"/>
  <c r="S15" i="7"/>
  <c r="T15" i="7" s="1"/>
  <c r="Q9" i="8"/>
  <c r="R9" i="8"/>
  <c r="S9" i="8" s="1"/>
  <c r="R23" i="6"/>
  <c r="S23" i="6" s="1"/>
  <c r="Q23" i="6"/>
  <c r="R27" i="6"/>
  <c r="S27" i="6" s="1"/>
  <c r="Q27" i="6"/>
  <c r="S21" i="7"/>
  <c r="T21" i="7" s="1"/>
  <c r="R21" i="7"/>
  <c r="R91" i="8"/>
  <c r="S91" i="8" s="1"/>
  <c r="Q91" i="8"/>
  <c r="R17" i="8"/>
  <c r="S17" i="8" s="1"/>
  <c r="Q17" i="8"/>
  <c r="S95" i="9"/>
  <c r="T95" i="9" s="1"/>
  <c r="R95" i="9"/>
  <c r="S31" i="9"/>
  <c r="T31" i="9" s="1"/>
  <c r="R31" i="9"/>
  <c r="S96" i="9"/>
  <c r="T96" i="9" s="1"/>
  <c r="R96" i="9"/>
  <c r="S77" i="9"/>
  <c r="T77" i="9" s="1"/>
  <c r="R77" i="9"/>
  <c r="R55" i="9"/>
  <c r="S55" i="9"/>
  <c r="T55" i="9" s="1"/>
  <c r="S25" i="9"/>
  <c r="T25" i="9" s="1"/>
  <c r="R25" i="9"/>
  <c r="S74" i="9"/>
  <c r="T74" i="9" s="1"/>
  <c r="R74" i="9"/>
  <c r="R75" i="9"/>
  <c r="S75" i="9"/>
  <c r="T75" i="9" s="1"/>
  <c r="S92" i="9"/>
  <c r="T92" i="9" s="1"/>
  <c r="R92" i="9"/>
  <c r="S15" i="9"/>
  <c r="T15" i="9" s="1"/>
  <c r="R15" i="9"/>
  <c r="S50" i="9"/>
  <c r="T50" i="9" s="1"/>
  <c r="R50" i="9"/>
  <c r="S30" i="9"/>
  <c r="T30" i="9" s="1"/>
  <c r="R30" i="9"/>
  <c r="R35" i="8"/>
  <c r="S35" i="8" s="1"/>
  <c r="Q35" i="8"/>
  <c r="S10" i="7"/>
  <c r="T10" i="7" s="1"/>
  <c r="R10" i="7"/>
  <c r="Q84" i="8"/>
  <c r="R84" i="8"/>
  <c r="S84" i="8" s="1"/>
  <c r="R47" i="7"/>
  <c r="S47" i="7"/>
  <c r="T47" i="7" s="1"/>
  <c r="R65" i="9"/>
  <c r="S65" i="9"/>
  <c r="T65" i="9" s="1"/>
  <c r="R52" i="6"/>
  <c r="S52" i="6" s="1"/>
  <c r="Q52" i="6"/>
  <c r="Q11" i="6"/>
  <c r="R11" i="6"/>
  <c r="S11" i="6" s="1"/>
  <c r="R38" i="6"/>
  <c r="S38" i="6" s="1"/>
  <c r="Q38" i="6"/>
  <c r="Q77" i="8"/>
  <c r="R77" i="8"/>
  <c r="S77" i="8" s="1"/>
  <c r="R62" i="6"/>
  <c r="S62" i="6" s="1"/>
  <c r="Q62" i="6"/>
  <c r="R61" i="8"/>
  <c r="S61" i="8" s="1"/>
  <c r="Q61" i="8"/>
  <c r="S36" i="7"/>
  <c r="T36" i="7" s="1"/>
  <c r="R36" i="7"/>
  <c r="R34" i="8"/>
  <c r="S34" i="8" s="1"/>
  <c r="Q34" i="8"/>
  <c r="R67" i="6"/>
  <c r="S67" i="6" s="1"/>
  <c r="Q67" i="6"/>
  <c r="R72" i="8"/>
  <c r="S72" i="8" s="1"/>
  <c r="Q72" i="8"/>
  <c r="S47" i="9"/>
  <c r="T47" i="9" s="1"/>
  <c r="R47" i="9"/>
  <c r="R85" i="9"/>
  <c r="S85" i="9"/>
  <c r="T85" i="9" s="1"/>
  <c r="R99" i="8"/>
  <c r="S99" i="8" s="1"/>
  <c r="Q99" i="8"/>
  <c r="R52" i="8"/>
  <c r="S52" i="8" s="1"/>
  <c r="Q52" i="8"/>
  <c r="Q22" i="6"/>
  <c r="R22" i="6"/>
  <c r="S22" i="6" s="1"/>
  <c r="S71" i="7"/>
  <c r="T71" i="7" s="1"/>
  <c r="R71" i="7"/>
  <c r="R22" i="8"/>
  <c r="S22" i="8" s="1"/>
  <c r="Q22" i="8"/>
  <c r="R95" i="8"/>
  <c r="S95" i="8" s="1"/>
  <c r="Q95" i="8"/>
  <c r="R85" i="8"/>
  <c r="S85" i="8" s="1"/>
  <c r="Q85" i="8"/>
  <c r="R40" i="7"/>
  <c r="S40" i="7"/>
  <c r="T40" i="7" s="1"/>
  <c r="R29" i="8"/>
  <c r="S29" i="8" s="1"/>
  <c r="Q29" i="8"/>
  <c r="R70" i="6"/>
  <c r="S70" i="6" s="1"/>
  <c r="Q70" i="6"/>
  <c r="R24" i="7"/>
  <c r="S24" i="7"/>
  <c r="T24" i="7" s="1"/>
  <c r="R76" i="8"/>
  <c r="S76" i="8" s="1"/>
  <c r="Q76" i="8"/>
  <c r="Q25" i="6"/>
  <c r="R25" i="6"/>
  <c r="S25" i="6" s="1"/>
  <c r="R63" i="6"/>
  <c r="S63" i="6" s="1"/>
  <c r="Q63" i="6"/>
  <c r="Q35" i="6"/>
  <c r="R35" i="6"/>
  <c r="S35" i="6" s="1"/>
  <c r="Q31" i="6"/>
  <c r="R31" i="6"/>
  <c r="S31" i="6" s="1"/>
  <c r="R86" i="8"/>
  <c r="S86" i="8" s="1"/>
  <c r="Q86" i="8"/>
  <c r="R66" i="6"/>
  <c r="S66" i="6" s="1"/>
  <c r="Q66" i="6"/>
  <c r="S65" i="7"/>
  <c r="T65" i="7" s="1"/>
  <c r="R65" i="7"/>
  <c r="R102" i="8"/>
  <c r="S102" i="8" s="1"/>
  <c r="Q102" i="8"/>
  <c r="R40" i="6"/>
  <c r="S40" i="6" s="1"/>
  <c r="Q40" i="6"/>
  <c r="R29" i="7"/>
  <c r="S29" i="7"/>
  <c r="T29" i="7" s="1"/>
  <c r="R70" i="8"/>
  <c r="S70" i="8" s="1"/>
  <c r="Q70" i="8"/>
  <c r="R11" i="8"/>
  <c r="S11" i="8" s="1"/>
  <c r="Q11" i="8"/>
  <c r="R18" i="7"/>
  <c r="S18" i="7"/>
  <c r="T18" i="7" s="1"/>
  <c r="R44" i="8"/>
  <c r="S44" i="8" s="1"/>
  <c r="Q44" i="8"/>
  <c r="R58" i="6"/>
  <c r="S58" i="6" s="1"/>
  <c r="Q58" i="6"/>
  <c r="R64" i="6"/>
  <c r="S64" i="6" s="1"/>
  <c r="Q64" i="6"/>
  <c r="R34" i="7"/>
  <c r="S34" i="7"/>
  <c r="T34" i="7" s="1"/>
  <c r="R68" i="8"/>
  <c r="S68" i="8" s="1"/>
  <c r="Q68" i="8"/>
  <c r="Q30" i="8"/>
  <c r="R30" i="8"/>
  <c r="S30" i="8" s="1"/>
  <c r="S59" i="9"/>
  <c r="T59" i="9" s="1"/>
  <c r="R59" i="9"/>
  <c r="S54" i="9"/>
  <c r="T54" i="9" s="1"/>
  <c r="R54" i="9"/>
  <c r="S99" i="9"/>
  <c r="T99" i="9" s="1"/>
  <c r="R99" i="9"/>
  <c r="S78" i="9"/>
  <c r="T78" i="9" s="1"/>
  <c r="R78" i="9"/>
  <c r="R60" i="9"/>
  <c r="S60" i="9"/>
  <c r="T60" i="9" s="1"/>
  <c r="R49" i="9"/>
  <c r="S49" i="9"/>
  <c r="T49" i="9" s="1"/>
  <c r="R33" i="9"/>
  <c r="S33" i="9"/>
  <c r="T33" i="9" s="1"/>
  <c r="S19" i="9"/>
  <c r="T19" i="9" s="1"/>
  <c r="R19" i="9"/>
  <c r="R26" i="9"/>
  <c r="S26" i="9"/>
  <c r="T26" i="9" s="1"/>
  <c r="R100" i="9"/>
  <c r="S100" i="9"/>
  <c r="T100" i="9" s="1"/>
  <c r="S35" i="9"/>
  <c r="T35" i="9" s="1"/>
  <c r="R35" i="9"/>
  <c r="R46" i="9"/>
  <c r="S46" i="9"/>
  <c r="T46" i="9" s="1"/>
  <c r="S51" i="7"/>
  <c r="T51" i="7" s="1"/>
  <c r="R51" i="7"/>
  <c r="S28" i="7"/>
  <c r="T28" i="7" s="1"/>
  <c r="R28" i="7"/>
  <c r="R16" i="8"/>
  <c r="S16" i="8" s="1"/>
  <c r="Q16" i="8"/>
  <c r="R41" i="7"/>
  <c r="S41" i="7"/>
  <c r="T41" i="7" s="1"/>
  <c r="R15" i="8"/>
  <c r="S15" i="8" s="1"/>
  <c r="Q15" i="8"/>
  <c r="R9" i="6"/>
  <c r="S9" i="6" s="1"/>
  <c r="Q9" i="6"/>
  <c r="R33" i="8"/>
  <c r="S33" i="8" s="1"/>
  <c r="Q33" i="8"/>
  <c r="S58" i="7"/>
  <c r="T58" i="7" s="1"/>
  <c r="R58" i="7"/>
  <c r="R74" i="8"/>
  <c r="S74" i="8" s="1"/>
  <c r="Q74" i="8"/>
  <c r="Q39" i="8"/>
  <c r="R39" i="8"/>
  <c r="S39" i="8" s="1"/>
  <c r="S61" i="7"/>
  <c r="T61" i="7" s="1"/>
  <c r="R61" i="7"/>
  <c r="S16" i="9"/>
  <c r="T16" i="9" s="1"/>
  <c r="R16" i="9"/>
  <c r="S23" i="9"/>
  <c r="T23" i="9" s="1"/>
  <c r="R23" i="9"/>
  <c r="Q17" i="6"/>
  <c r="R17" i="6"/>
  <c r="S17" i="6" s="1"/>
  <c r="Q88" i="8"/>
  <c r="R88" i="8"/>
  <c r="S88" i="8" s="1"/>
  <c r="R20" i="7"/>
  <c r="S20" i="7"/>
  <c r="T20" i="7" s="1"/>
  <c r="R54" i="8"/>
  <c r="S54" i="8" s="1"/>
  <c r="Q54" i="8"/>
  <c r="R20" i="6"/>
  <c r="S20" i="6" s="1"/>
  <c r="Q20" i="6"/>
  <c r="Q61" i="6"/>
  <c r="R61" i="6"/>
  <c r="S61" i="6" s="1"/>
  <c r="Q92" i="8"/>
  <c r="R92" i="8"/>
  <c r="S92" i="8" s="1"/>
  <c r="S46" i="7"/>
  <c r="T46" i="7" s="1"/>
  <c r="R46" i="7"/>
  <c r="R57" i="7"/>
  <c r="S57" i="7"/>
  <c r="T57" i="7" s="1"/>
  <c r="R13" i="8"/>
  <c r="S13" i="8" s="1"/>
  <c r="Q13" i="8"/>
  <c r="S42" i="7"/>
  <c r="T42" i="7" s="1"/>
  <c r="R42" i="7"/>
  <c r="Q51" i="6"/>
  <c r="R51" i="6"/>
  <c r="S51" i="6" s="1"/>
  <c r="R83" i="8"/>
  <c r="S83" i="8" s="1"/>
  <c r="Q83" i="8"/>
  <c r="R10" i="8"/>
  <c r="S10" i="8" s="1"/>
  <c r="Q10" i="8"/>
  <c r="S63" i="7"/>
  <c r="T63" i="7" s="1"/>
  <c r="R63" i="7"/>
  <c r="R21" i="6"/>
  <c r="S21" i="6" s="1"/>
  <c r="Q21" i="6"/>
  <c r="R10" i="6"/>
  <c r="S10" i="6" s="1"/>
  <c r="Q10" i="6"/>
  <c r="R35" i="7"/>
  <c r="S35" i="7"/>
  <c r="T35" i="7" s="1"/>
  <c r="Q94" i="8"/>
  <c r="R94" i="8"/>
  <c r="S94" i="8" s="1"/>
  <c r="Q71" i="8"/>
  <c r="R71" i="8"/>
  <c r="S71" i="8" s="1"/>
  <c r="Q16" i="6"/>
  <c r="R16" i="6"/>
  <c r="S16" i="6" s="1"/>
  <c r="R43" i="7"/>
  <c r="S43" i="7"/>
  <c r="T43" i="7" s="1"/>
  <c r="R38" i="8"/>
  <c r="S38" i="8" s="1"/>
  <c r="Q38" i="8"/>
  <c r="Q57" i="6"/>
  <c r="R57" i="6"/>
  <c r="S57" i="6" s="1"/>
  <c r="R53" i="7"/>
  <c r="S53" i="7"/>
  <c r="T53" i="7" s="1"/>
  <c r="R101" i="8"/>
  <c r="S101" i="8" s="1"/>
  <c r="Q101" i="8"/>
  <c r="Q56" i="6"/>
  <c r="R56" i="6"/>
  <c r="S56" i="6" s="1"/>
  <c r="R53" i="6"/>
  <c r="S53" i="6" s="1"/>
  <c r="Q53" i="6"/>
  <c r="R32" i="7"/>
  <c r="S32" i="7"/>
  <c r="T32" i="7" s="1"/>
  <c r="Q80" i="8"/>
  <c r="R80" i="8"/>
  <c r="S80" i="8" s="1"/>
  <c r="R50" i="8"/>
  <c r="S50" i="8" s="1"/>
  <c r="Q50" i="8"/>
  <c r="S52" i="9"/>
  <c r="T52" i="9" s="1"/>
  <c r="R52" i="9"/>
  <c r="S14" i="9"/>
  <c r="T14" i="9" s="1"/>
  <c r="R14" i="9"/>
  <c r="S88" i="9"/>
  <c r="T88" i="9" s="1"/>
  <c r="R88" i="9"/>
  <c r="R97" i="9"/>
  <c r="S97" i="9"/>
  <c r="T97" i="9" s="1"/>
  <c r="S71" i="9"/>
  <c r="T71" i="9" s="1"/>
  <c r="R71" i="9"/>
  <c r="S93" i="9"/>
  <c r="T93" i="9" s="1"/>
  <c r="R93" i="9"/>
  <c r="S82" i="9"/>
  <c r="T82" i="9" s="1"/>
  <c r="R82" i="9"/>
  <c r="R37" i="9"/>
  <c r="S37" i="9"/>
  <c r="T37" i="9" s="1"/>
  <c r="S69" i="9"/>
  <c r="T69" i="9" s="1"/>
  <c r="R69" i="9"/>
  <c r="S58" i="9"/>
  <c r="T58" i="9" s="1"/>
  <c r="R58" i="9"/>
  <c r="R10" i="9"/>
  <c r="S10" i="9"/>
  <c r="T10" i="9" s="1"/>
  <c r="S56" i="9"/>
  <c r="T56" i="9" s="1"/>
  <c r="R56" i="9"/>
  <c r="S28" i="9"/>
  <c r="T28" i="9" s="1"/>
  <c r="R28" i="9"/>
  <c r="Q65" i="6"/>
  <c r="R65" i="6"/>
  <c r="S65" i="6" s="1"/>
  <c r="S11" i="7"/>
  <c r="T11" i="7" s="1"/>
  <c r="R11" i="7"/>
  <c r="R73" i="8"/>
  <c r="S73" i="8" s="1"/>
  <c r="Q73" i="8"/>
  <c r="R21" i="8"/>
  <c r="S21" i="8" s="1"/>
  <c r="Q21" i="8"/>
  <c r="R46" i="8"/>
  <c r="S46" i="8" s="1"/>
  <c r="Q46" i="8"/>
  <c r="Q29" i="6"/>
  <c r="R29" i="6"/>
  <c r="S29" i="6" s="1"/>
  <c r="S59" i="7"/>
  <c r="T59" i="7" s="1"/>
  <c r="R59" i="7"/>
  <c r="R34" i="6"/>
  <c r="S34" i="6" s="1"/>
  <c r="Q34" i="6"/>
  <c r="S55" i="7"/>
  <c r="T55" i="7" s="1"/>
  <c r="R55" i="7"/>
  <c r="S70" i="9"/>
  <c r="T70" i="9" s="1"/>
  <c r="R70" i="9"/>
  <c r="S36" i="9"/>
  <c r="T36" i="9" s="1"/>
  <c r="R36" i="9"/>
  <c r="S66" i="9"/>
  <c r="T66" i="9" s="1"/>
  <c r="R66" i="9"/>
  <c r="S73" i="9"/>
  <c r="T73" i="9" s="1"/>
  <c r="R73" i="9"/>
  <c r="R48" i="9"/>
  <c r="S48" i="9"/>
  <c r="T48" i="9" s="1"/>
  <c r="R72" i="7"/>
  <c r="S72" i="7"/>
  <c r="T72" i="7" s="1"/>
  <c r="R48" i="8"/>
  <c r="S48" i="8" s="1"/>
  <c r="Q48" i="8"/>
  <c r="R37" i="7"/>
  <c r="S37" i="7"/>
  <c r="T37" i="7" s="1"/>
  <c r="Q51" i="8"/>
  <c r="R51" i="8"/>
  <c r="S51" i="8" s="1"/>
  <c r="Q36" i="6"/>
  <c r="R36" i="6"/>
  <c r="S36" i="6" s="1"/>
  <c r="Q69" i="6"/>
  <c r="R69" i="6"/>
  <c r="S69" i="6" s="1"/>
  <c r="Q43" i="8"/>
  <c r="R43" i="8"/>
  <c r="S43" i="8" s="1"/>
  <c r="S49" i="7"/>
  <c r="T49" i="7" s="1"/>
  <c r="R49" i="7"/>
  <c r="R62" i="8"/>
  <c r="S62" i="8" s="1"/>
  <c r="Q62" i="8"/>
  <c r="R27" i="7"/>
  <c r="S27" i="7"/>
  <c r="T27" i="7" s="1"/>
  <c r="Q78" i="8"/>
  <c r="R78" i="8"/>
  <c r="S78" i="8" s="1"/>
  <c r="Q45" i="6"/>
  <c r="R45" i="6"/>
  <c r="S45" i="6" s="1"/>
  <c r="Q47" i="6"/>
  <c r="R47" i="6"/>
  <c r="S47" i="6" s="1"/>
  <c r="R64" i="7"/>
  <c r="S64" i="7"/>
  <c r="T64" i="7" s="1"/>
  <c r="R15" i="6"/>
  <c r="S15" i="6" s="1"/>
  <c r="Q15" i="6"/>
  <c r="S68" i="7"/>
  <c r="T68" i="7" s="1"/>
  <c r="R68" i="7"/>
  <c r="R97" i="8"/>
  <c r="S97" i="8" s="1"/>
  <c r="Q97" i="8"/>
  <c r="R44" i="6"/>
  <c r="S44" i="6" s="1"/>
  <c r="Q44" i="6"/>
  <c r="R30" i="7"/>
  <c r="S30" i="7"/>
  <c r="T30" i="7" s="1"/>
  <c r="R59" i="8"/>
  <c r="S59" i="8" s="1"/>
  <c r="Q59" i="8"/>
  <c r="Q54" i="6"/>
  <c r="R54" i="6"/>
  <c r="S54" i="6" s="1"/>
  <c r="R79" i="8"/>
  <c r="S79" i="8" s="1"/>
  <c r="Q79" i="8"/>
  <c r="R32" i="8"/>
  <c r="S32" i="8" s="1"/>
  <c r="Q32" i="8"/>
  <c r="Q33" i="6"/>
  <c r="R33" i="6"/>
  <c r="S33" i="6" s="1"/>
  <c r="R30" i="6"/>
  <c r="S30" i="6" s="1"/>
  <c r="Q30" i="6"/>
  <c r="S38" i="7"/>
  <c r="T38" i="7" s="1"/>
  <c r="R38" i="7"/>
  <c r="R40" i="8"/>
  <c r="S40" i="8" s="1"/>
  <c r="Q40" i="8"/>
  <c r="Q42" i="8"/>
  <c r="R42" i="8"/>
  <c r="S42" i="8" s="1"/>
  <c r="S29" i="9"/>
  <c r="T29" i="9" s="1"/>
  <c r="R29" i="9"/>
  <c r="S61" i="9"/>
  <c r="T61" i="9" s="1"/>
  <c r="R61" i="9"/>
  <c r="R86" i="9"/>
  <c r="S86" i="9"/>
  <c r="T86" i="9" s="1"/>
  <c r="S89" i="9"/>
  <c r="T89" i="9" s="1"/>
  <c r="R89" i="9"/>
  <c r="R20" i="9"/>
  <c r="S20" i="9"/>
  <c r="T20" i="9" s="1"/>
  <c r="S91" i="9"/>
  <c r="T91" i="9" s="1"/>
  <c r="R91" i="9"/>
  <c r="S41" i="9"/>
  <c r="T41" i="9" s="1"/>
  <c r="R41" i="9"/>
  <c r="S18" i="9"/>
  <c r="T18" i="9" s="1"/>
  <c r="R18" i="9"/>
  <c r="S17" i="9"/>
  <c r="T17" i="9" s="1"/>
  <c r="R17" i="9"/>
  <c r="S87" i="9"/>
  <c r="T87" i="9" s="1"/>
  <c r="R87" i="9"/>
  <c r="S38" i="9"/>
  <c r="T38" i="9" s="1"/>
  <c r="R38" i="9"/>
  <c r="R76" i="9"/>
  <c r="S76" i="9"/>
  <c r="T76" i="9" s="1"/>
  <c r="Q47" i="8"/>
  <c r="R47" i="8"/>
  <c r="S47" i="8" s="1"/>
  <c r="S44" i="7"/>
  <c r="T44" i="7" s="1"/>
  <c r="R44" i="7"/>
  <c r="R13" i="6"/>
  <c r="S13" i="6" s="1"/>
  <c r="Q13" i="6"/>
  <c r="Q32" i="6"/>
  <c r="R32" i="6"/>
  <c r="S32" i="6" s="1"/>
  <c r="R28" i="8"/>
  <c r="S28" i="8" s="1"/>
  <c r="Q28" i="8"/>
  <c r="S26" i="7"/>
  <c r="T26" i="7" s="1"/>
  <c r="R26" i="7"/>
  <c r="R50" i="6"/>
  <c r="S50" i="6" s="1"/>
  <c r="Q50" i="6"/>
  <c r="R60" i="8"/>
  <c r="S60" i="8" s="1"/>
  <c r="Q60" i="8"/>
  <c r="S33" i="7"/>
  <c r="T33" i="7" s="1"/>
  <c r="R33" i="7"/>
  <c r="Q81" i="8"/>
  <c r="R81" i="8"/>
  <c r="S81" i="8" s="1"/>
  <c r="R59" i="6"/>
  <c r="S59" i="6" s="1"/>
  <c r="Q59" i="6"/>
  <c r="R24" i="6"/>
  <c r="S24" i="6" s="1"/>
  <c r="Q24" i="6"/>
  <c r="S57" i="9"/>
  <c r="T57" i="9" s="1"/>
  <c r="R57" i="9"/>
  <c r="S24" i="9"/>
  <c r="T24" i="9" s="1"/>
  <c r="R24" i="9"/>
  <c r="R81" i="9"/>
  <c r="S81" i="9"/>
  <c r="T81" i="9" s="1"/>
  <c r="Q23" i="8"/>
  <c r="R23" i="8"/>
  <c r="S23" i="8" s="1"/>
  <c r="S39" i="7"/>
  <c r="T39" i="7" s="1"/>
  <c r="R39" i="7"/>
  <c r="S14" i="7"/>
  <c r="T14" i="7" s="1"/>
  <c r="R14" i="7"/>
  <c r="Q72" i="6"/>
  <c r="R72" i="6"/>
  <c r="S72" i="6" s="1"/>
  <c r="R37" i="8"/>
  <c r="S37" i="8" s="1"/>
  <c r="Q37" i="8"/>
  <c r="R43" i="6"/>
  <c r="S43" i="6" s="1"/>
  <c r="Q43" i="6"/>
  <c r="S73" i="7"/>
  <c r="T73" i="7" s="1"/>
  <c r="R73" i="7"/>
  <c r="R65" i="8"/>
  <c r="S65" i="8" s="1"/>
  <c r="Q65" i="8"/>
  <c r="R75" i="8"/>
  <c r="S75" i="8" s="1"/>
  <c r="Q75" i="8"/>
  <c r="Q53" i="8"/>
  <c r="R53" i="8"/>
  <c r="S53" i="8" s="1"/>
  <c r="R12" i="6"/>
  <c r="S12" i="6" s="1"/>
  <c r="Q12" i="6"/>
  <c r="R25" i="7"/>
  <c r="S25" i="7"/>
  <c r="T25" i="7" s="1"/>
  <c r="R31" i="8"/>
  <c r="S31" i="8" s="1"/>
  <c r="Q31" i="8"/>
  <c r="R41" i="8"/>
  <c r="S41" i="8" s="1"/>
  <c r="Q41" i="8"/>
  <c r="S72" i="9"/>
  <c r="T72" i="9" s="1"/>
  <c r="R72" i="9"/>
  <c r="S94" i="9"/>
  <c r="T94" i="9" s="1"/>
  <c r="R94" i="9"/>
  <c r="S42" i="9"/>
  <c r="T42" i="9" s="1"/>
  <c r="R42" i="9"/>
  <c r="S32" i="9"/>
  <c r="T32" i="9" s="1"/>
  <c r="R32" i="9"/>
  <c r="S40" i="9"/>
  <c r="T40" i="9" s="1"/>
  <c r="R40" i="9"/>
  <c r="R13" i="9"/>
  <c r="S13" i="9"/>
  <c r="T13" i="9" s="1"/>
  <c r="R27" i="9"/>
  <c r="S27" i="9"/>
  <c r="T27" i="9" s="1"/>
  <c r="Q37" i="6"/>
  <c r="R37" i="6"/>
  <c r="S37" i="6" s="1"/>
  <c r="R41" i="6"/>
  <c r="S41" i="6" s="1"/>
  <c r="Q41" i="6"/>
  <c r="R66" i="8"/>
  <c r="S66" i="8" s="1"/>
  <c r="Q66" i="8"/>
  <c r="S22" i="7"/>
  <c r="T22" i="7" s="1"/>
  <c r="R22" i="7"/>
  <c r="R60" i="6"/>
  <c r="S60" i="6" s="1"/>
  <c r="Q60" i="6"/>
  <c r="R66" i="7"/>
  <c r="S66" i="7"/>
  <c r="T66" i="7" s="1"/>
  <c r="R93" i="8"/>
  <c r="S93" i="8" s="1"/>
  <c r="Q93" i="8"/>
  <c r="R19" i="6"/>
  <c r="S19" i="6" s="1"/>
  <c r="Q19" i="6"/>
  <c r="R98" i="8"/>
  <c r="S98" i="8" s="1"/>
  <c r="Q98" i="8"/>
  <c r="R45" i="7"/>
  <c r="S45" i="7"/>
  <c r="T45" i="7" s="1"/>
  <c r="R27" i="8"/>
  <c r="S27" i="8" s="1"/>
  <c r="Q27" i="8"/>
  <c r="R28" i="6"/>
  <c r="S28" i="6" s="1"/>
  <c r="Q28" i="6"/>
  <c r="S12" i="7"/>
  <c r="T12" i="7" s="1"/>
  <c r="R12" i="7"/>
  <c r="Q25" i="8"/>
  <c r="R25" i="8"/>
  <c r="S25" i="8" s="1"/>
  <c r="Q42" i="6"/>
  <c r="R42" i="6"/>
  <c r="S42" i="6" s="1"/>
  <c r="R54" i="7"/>
  <c r="S54" i="7"/>
  <c r="T54" i="7" s="1"/>
  <c r="R26" i="8"/>
  <c r="S26" i="8" s="1"/>
  <c r="Q26" i="8"/>
  <c r="R20" i="8"/>
  <c r="S20" i="8" s="1"/>
  <c r="Q20" i="8"/>
  <c r="S13" i="7"/>
  <c r="T13" i="7" s="1"/>
  <c r="R13" i="7"/>
  <c r="R57" i="8"/>
  <c r="S57" i="8" s="1"/>
  <c r="Q57" i="8"/>
  <c r="R63" i="8"/>
  <c r="S63" i="8" s="1"/>
  <c r="Q63" i="8"/>
  <c r="S60" i="7"/>
  <c r="T60" i="7" s="1"/>
  <c r="R60" i="7"/>
  <c r="R14" i="8"/>
  <c r="S14" i="8" s="1"/>
  <c r="Q14" i="8"/>
  <c r="R58" i="8"/>
  <c r="S58" i="8" s="1"/>
  <c r="Q58" i="8"/>
  <c r="S52" i="7"/>
  <c r="T52" i="7" s="1"/>
  <c r="R52" i="7"/>
  <c r="R14" i="6"/>
  <c r="S14" i="6" s="1"/>
  <c r="Q14" i="6"/>
  <c r="S9" i="7"/>
  <c r="T9" i="7" s="1"/>
  <c r="R9" i="7"/>
  <c r="R96" i="8"/>
  <c r="S96" i="8" s="1"/>
  <c r="Q96" i="8"/>
  <c r="R43" i="9"/>
  <c r="S43" i="9"/>
  <c r="T43" i="9" s="1"/>
  <c r="S98" i="9"/>
  <c r="T98" i="9" s="1"/>
  <c r="R98" i="9"/>
  <c r="S102" i="9"/>
  <c r="T102" i="9" s="1"/>
  <c r="R102" i="9"/>
  <c r="S45" i="9"/>
  <c r="T45" i="9" s="1"/>
  <c r="R45" i="9"/>
  <c r="S83" i="9"/>
  <c r="T83" i="9" s="1"/>
  <c r="R83" i="9"/>
  <c r="R80" i="9"/>
  <c r="S80" i="9"/>
  <c r="T80" i="9" s="1"/>
  <c r="S9" i="9"/>
  <c r="T9" i="9" s="1"/>
  <c r="R9" i="9"/>
  <c r="S34" i="9"/>
  <c r="T34" i="9" s="1"/>
  <c r="R34" i="9"/>
  <c r="R84" i="9"/>
  <c r="S84" i="9"/>
  <c r="T84" i="9" s="1"/>
  <c r="R64" i="9"/>
  <c r="S64" i="9"/>
  <c r="T64" i="9" s="1"/>
  <c r="R11" i="9"/>
  <c r="S11" i="9"/>
  <c r="T11" i="9" s="1"/>
  <c r="R46" i="6"/>
  <c r="S46" i="6" s="1"/>
  <c r="Q46" i="6"/>
  <c r="Q69" i="8"/>
  <c r="R69" i="8"/>
  <c r="S69" i="8" s="1"/>
  <c r="S50" i="7"/>
  <c r="T50" i="7" s="1"/>
  <c r="R50" i="7"/>
  <c r="R90" i="8"/>
  <c r="S90" i="8" s="1"/>
  <c r="Q90" i="8"/>
  <c r="R87" i="8"/>
  <c r="S87" i="8" s="1"/>
  <c r="Q87" i="8"/>
  <c r="R31" i="7"/>
  <c r="S31" i="7"/>
  <c r="T31" i="7" s="1"/>
  <c r="R36" i="8"/>
  <c r="S36" i="8" s="1"/>
  <c r="Q36" i="8"/>
  <c r="R62" i="9"/>
  <c r="S62" i="9"/>
  <c r="T62" i="9" s="1"/>
  <c r="S51" i="9"/>
  <c r="T51" i="9" s="1"/>
  <c r="R51" i="9"/>
  <c r="R90" i="9"/>
  <c r="S90" i="9"/>
  <c r="T90" i="9" s="1"/>
  <c r="S21" i="9"/>
  <c r="T21" i="9" s="1"/>
  <c r="R21" i="9"/>
  <c r="R63" i="9"/>
  <c r="S63" i="9"/>
  <c r="T63" i="9" s="1"/>
  <c r="R12" i="9"/>
  <c r="S12" i="9"/>
  <c r="T12" i="9" s="1"/>
  <c r="R79" i="9"/>
  <c r="S79" i="9"/>
  <c r="T79" i="9" s="1"/>
  <c r="S39" i="9"/>
  <c r="T39" i="9" s="1"/>
  <c r="R39" i="9"/>
  <c r="R67" i="9"/>
  <c r="S67" i="9"/>
  <c r="T67" i="9" s="1"/>
  <c r="S68" i="9"/>
  <c r="T68" i="9" s="1"/>
  <c r="R68" i="9"/>
  <c r="R101" i="9"/>
  <c r="S101" i="9"/>
  <c r="T101" i="9" s="1"/>
  <c r="K37" i="1"/>
  <c r="N37" i="1" s="1"/>
  <c r="J37" i="1"/>
  <c r="O39" i="1"/>
  <c r="P39" i="1" s="1"/>
  <c r="R16" i="4"/>
  <c r="S16" i="4" s="1"/>
  <c r="Q16" i="4"/>
  <c r="R6" i="4"/>
  <c r="S6" i="4" s="1"/>
  <c r="Q6" i="4"/>
  <c r="Q11" i="4"/>
  <c r="R11" i="4"/>
  <c r="S11" i="4" s="1"/>
  <c r="R8" i="4"/>
  <c r="S8" i="4" s="1"/>
  <c r="Q8" i="4"/>
  <c r="Q25" i="4"/>
  <c r="R25" i="4"/>
  <c r="S25" i="4" s="1"/>
  <c r="R15" i="4"/>
  <c r="S15" i="4" s="1"/>
  <c r="Q15" i="4"/>
  <c r="Q9" i="4"/>
  <c r="R9" i="4"/>
  <c r="S9" i="4" s="1"/>
  <c r="R31" i="4"/>
  <c r="S31" i="4" s="1"/>
  <c r="Q31" i="4"/>
  <c r="R18" i="4"/>
  <c r="S18" i="4" s="1"/>
  <c r="Q18" i="4"/>
  <c r="R3" i="4"/>
  <c r="S3" i="4" s="1"/>
  <c r="Q3" i="4"/>
  <c r="R4" i="4"/>
  <c r="S4" i="4" s="1"/>
  <c r="Q4" i="4"/>
  <c r="Q23" i="4"/>
  <c r="R23" i="4"/>
  <c r="S23" i="4" s="1"/>
  <c r="R5" i="4"/>
  <c r="S5" i="4" s="1"/>
  <c r="Q5" i="4"/>
  <c r="R28" i="4"/>
  <c r="S28" i="4" s="1"/>
  <c r="Q28" i="4"/>
  <c r="R3" i="5"/>
  <c r="S3" i="5"/>
  <c r="T3" i="5" s="1"/>
  <c r="Q26" i="4"/>
  <c r="R26" i="4"/>
  <c r="S26" i="4" s="1"/>
  <c r="R17" i="4"/>
  <c r="S17" i="4" s="1"/>
  <c r="Q17" i="4"/>
  <c r="R12" i="4"/>
  <c r="S12" i="4" s="1"/>
  <c r="Q12" i="4"/>
  <c r="R14" i="4"/>
  <c r="S14" i="4" s="1"/>
  <c r="Q14" i="4"/>
  <c r="Q20" i="4"/>
  <c r="R20" i="4"/>
  <c r="S20" i="4" s="1"/>
  <c r="Q13" i="4"/>
  <c r="R13" i="4"/>
  <c r="S13" i="4" s="1"/>
  <c r="Q19" i="4"/>
  <c r="R19" i="4"/>
  <c r="S19" i="4" s="1"/>
  <c r="R10" i="4"/>
  <c r="S10" i="4" s="1"/>
  <c r="Q10" i="4"/>
  <c r="R27" i="4"/>
  <c r="S27" i="4" s="1"/>
  <c r="Q27" i="4"/>
  <c r="R24" i="4"/>
  <c r="S24" i="4" s="1"/>
  <c r="Q24" i="4"/>
  <c r="Q21" i="4"/>
  <c r="R21" i="4"/>
  <c r="S21" i="4" s="1"/>
  <c r="Q7" i="4"/>
  <c r="R7" i="4"/>
  <c r="S7" i="4" s="1"/>
  <c r="R22" i="4"/>
  <c r="S22" i="4" s="1"/>
  <c r="Q22" i="4"/>
  <c r="G34" i="1"/>
  <c r="I34" i="1" s="1"/>
  <c r="I42" i="1"/>
  <c r="J42" i="1" s="1"/>
  <c r="I36" i="1"/>
  <c r="J36" i="1" s="1"/>
  <c r="K36" i="1" s="1"/>
  <c r="N36" i="1" s="1"/>
  <c r="G28" i="1"/>
  <c r="G4" i="1"/>
  <c r="G5" i="1"/>
  <c r="G6" i="1"/>
  <c r="G7" i="1"/>
  <c r="G8" i="1"/>
  <c r="G9" i="1"/>
  <c r="G10" i="1"/>
  <c r="G11" i="1"/>
  <c r="G12" i="1"/>
  <c r="G13" i="1"/>
  <c r="G14" i="1"/>
  <c r="G15" i="1"/>
  <c r="J15" i="1" s="1"/>
  <c r="K15" i="1" s="1"/>
  <c r="M15" i="1" s="1"/>
  <c r="G16" i="1"/>
  <c r="J16" i="1" s="1"/>
  <c r="K16" i="1" s="1"/>
  <c r="M16" i="1" s="1"/>
  <c r="G17" i="1"/>
  <c r="G18" i="1"/>
  <c r="G19" i="1"/>
  <c r="G20" i="1"/>
  <c r="J20" i="1" s="1"/>
  <c r="K20" i="1" s="1"/>
  <c r="M20" i="1" s="1"/>
  <c r="G21" i="1"/>
  <c r="G22" i="1"/>
  <c r="J22" i="1" s="1"/>
  <c r="K22" i="1" s="1"/>
  <c r="M22" i="1" s="1"/>
  <c r="G23" i="1"/>
  <c r="G24" i="1"/>
  <c r="G25" i="1"/>
  <c r="G26" i="1"/>
  <c r="G27" i="1"/>
  <c r="G3" i="1"/>
  <c r="V9" i="9" l="1"/>
  <c r="U9" i="9"/>
  <c r="T9" i="8"/>
  <c r="U9" i="8"/>
  <c r="W9" i="17"/>
  <c r="T9" i="15"/>
  <c r="V9" i="17"/>
  <c r="U9" i="15"/>
  <c r="V9" i="16"/>
  <c r="U9" i="16"/>
  <c r="S9" i="19"/>
  <c r="V9" i="21"/>
  <c r="T9" i="19"/>
  <c r="U9" i="21"/>
  <c r="U9" i="20"/>
  <c r="T9" i="20"/>
  <c r="U9" i="7"/>
  <c r="U9" i="6"/>
  <c r="T9" i="6"/>
  <c r="V9" i="7"/>
  <c r="O36" i="1"/>
  <c r="P36" i="1" s="1"/>
  <c r="O37" i="1"/>
  <c r="P37" i="1" s="1"/>
  <c r="U3" i="5"/>
  <c r="V3" i="5"/>
  <c r="U3" i="4"/>
  <c r="T3" i="4"/>
  <c r="I11" i="1"/>
  <c r="G54" i="1"/>
  <c r="I54" i="1" s="1"/>
  <c r="J54" i="1" s="1"/>
  <c r="K54" i="1" s="1"/>
  <c r="N54" i="1" s="1"/>
  <c r="G58" i="1"/>
  <c r="I53" i="1"/>
  <c r="J53" i="1" s="1"/>
  <c r="K53" i="1" s="1"/>
  <c r="N53" i="1" s="1"/>
  <c r="G50" i="1"/>
  <c r="I50" i="1" s="1"/>
  <c r="J50" i="1" s="1"/>
  <c r="K50" i="1" s="1"/>
  <c r="I3" i="1"/>
  <c r="I12" i="1"/>
  <c r="I8" i="1"/>
  <c r="I24" i="1"/>
  <c r="J24" i="1" s="1"/>
  <c r="K24" i="1" s="1"/>
  <c r="M24" i="1" s="1"/>
  <c r="I18" i="1"/>
  <c r="J18" i="1" s="1"/>
  <c r="K18" i="1" s="1"/>
  <c r="M18" i="1" s="1"/>
  <c r="I10" i="1"/>
  <c r="J10" i="1" s="1"/>
  <c r="K10" i="1" s="1"/>
  <c r="M10" i="1" s="1"/>
  <c r="K43" i="1"/>
  <c r="N43" i="1" s="1"/>
  <c r="K42" i="1"/>
  <c r="N42" i="1" s="1"/>
  <c r="I4" i="1"/>
  <c r="J4" i="1" s="1"/>
  <c r="K4" i="1" s="1"/>
  <c r="M4" i="1" s="1"/>
  <c r="I17" i="1"/>
  <c r="J17" i="1" s="1"/>
  <c r="K17" i="1" s="1"/>
  <c r="M17" i="1" s="1"/>
  <c r="I9" i="1"/>
  <c r="J9" i="1" s="1"/>
  <c r="K9" i="1" s="1"/>
  <c r="M9" i="1" s="1"/>
  <c r="J12" i="1"/>
  <c r="K12" i="1" s="1"/>
  <c r="M12" i="1" s="1"/>
  <c r="I25" i="1"/>
  <c r="J25" i="1" s="1"/>
  <c r="K25" i="1" s="1"/>
  <c r="M25" i="1" s="1"/>
  <c r="I16" i="1"/>
  <c r="I15" i="1"/>
  <c r="I6" i="1"/>
  <c r="J6" i="1" s="1"/>
  <c r="K6" i="1" s="1"/>
  <c r="M6" i="1" s="1"/>
  <c r="J11" i="1"/>
  <c r="K11" i="1" s="1"/>
  <c r="M11" i="1" s="1"/>
  <c r="I22" i="1"/>
  <c r="I21" i="1"/>
  <c r="J21" i="1" s="1"/>
  <c r="K21" i="1" s="1"/>
  <c r="M21" i="1" s="1"/>
  <c r="I5" i="1"/>
  <c r="J5" i="1" s="1"/>
  <c r="K5" i="1" s="1"/>
  <c r="M5" i="1" s="1"/>
  <c r="I7" i="1"/>
  <c r="J7" i="1" s="1"/>
  <c r="K7" i="1" s="1"/>
  <c r="M7" i="1" s="1"/>
  <c r="I20" i="1"/>
  <c r="I27" i="1"/>
  <c r="J27" i="1" s="1"/>
  <c r="K27" i="1" s="1"/>
  <c r="M27" i="1" s="1"/>
  <c r="I23" i="1"/>
  <c r="J23" i="1" s="1"/>
  <c r="K23" i="1" s="1"/>
  <c r="M23" i="1" s="1"/>
  <c r="I26" i="1"/>
  <c r="J26" i="1" s="1"/>
  <c r="K26" i="1" s="1"/>
  <c r="M26" i="1" s="1"/>
  <c r="I35" i="1"/>
  <c r="J35" i="1" s="1"/>
  <c r="J34" i="1"/>
  <c r="K34" i="1" s="1"/>
  <c r="N34" i="1" s="1"/>
  <c r="I13" i="1"/>
  <c r="J13" i="1" s="1"/>
  <c r="K13" i="1" s="1"/>
  <c r="M13" i="1" s="1"/>
  <c r="I28" i="1"/>
  <c r="J28" i="1" s="1"/>
  <c r="K28" i="1" s="1"/>
  <c r="M28" i="1" s="1"/>
  <c r="I14" i="1"/>
  <c r="I19" i="1"/>
  <c r="J19" i="1" s="1"/>
  <c r="K19" i="1" s="1"/>
  <c r="M19" i="1" s="1"/>
  <c r="J14" i="1"/>
  <c r="K14" i="1" s="1"/>
  <c r="M14" i="1" s="1"/>
  <c r="J8" i="1"/>
  <c r="K8" i="1" s="1"/>
  <c r="M8" i="1" s="1"/>
  <c r="J3" i="1"/>
  <c r="K3" i="1" s="1"/>
  <c r="M3" i="1" s="1"/>
  <c r="O50" i="1" l="1"/>
  <c r="P50" i="1" s="1"/>
  <c r="N50" i="1"/>
  <c r="O43" i="1"/>
  <c r="P43" i="1" s="1"/>
  <c r="O42" i="1"/>
  <c r="P42" i="1" s="1"/>
  <c r="O54" i="1"/>
  <c r="P54" i="1" s="1"/>
  <c r="O34" i="1"/>
  <c r="P34" i="1" s="1"/>
  <c r="O53" i="1"/>
  <c r="P53" i="1" s="1"/>
  <c r="K35" i="1"/>
  <c r="I56" i="1"/>
  <c r="J56" i="1" s="1"/>
  <c r="K56" i="1" s="1"/>
  <c r="N56" i="1" s="1"/>
  <c r="I55" i="1"/>
  <c r="J55" i="1" s="1"/>
  <c r="K55" i="1" s="1"/>
  <c r="N55" i="1" s="1"/>
  <c r="I58" i="1"/>
  <c r="J58" i="1" s="1"/>
  <c r="K58" i="1" s="1"/>
  <c r="N58" i="1" s="1"/>
  <c r="I57" i="1"/>
  <c r="J57" i="1" s="1"/>
  <c r="K57" i="1" s="1"/>
  <c r="N57" i="1" s="1"/>
  <c r="O35" i="1" l="1"/>
  <c r="P35" i="1" s="1"/>
  <c r="N35" i="1"/>
  <c r="N61" i="1" s="1"/>
  <c r="N62" i="1" s="1"/>
  <c r="O30" i="1" s="1"/>
  <c r="O58" i="1"/>
  <c r="P58" i="1" s="1"/>
  <c r="O55" i="1"/>
  <c r="P55" i="1" s="1"/>
  <c r="O57" i="1"/>
  <c r="P57" i="1" s="1"/>
  <c r="O56" i="1"/>
  <c r="P56" i="1" s="1"/>
  <c r="P30" i="1" l="1"/>
  <c r="Q30" i="1"/>
  <c r="R30" i="1" s="1"/>
  <c r="O11" i="1"/>
  <c r="O19" i="1"/>
  <c r="O27" i="1"/>
  <c r="O4" i="1"/>
  <c r="O12" i="1"/>
  <c r="O20" i="1"/>
  <c r="O28" i="1"/>
  <c r="O5" i="1"/>
  <c r="O13" i="1"/>
  <c r="O21" i="1"/>
  <c r="O29" i="1"/>
  <c r="O6" i="1"/>
  <c r="O14" i="1"/>
  <c r="O22" i="1"/>
  <c r="O31" i="1"/>
  <c r="O7" i="1"/>
  <c r="O15" i="1"/>
  <c r="O23" i="1"/>
  <c r="O3" i="1"/>
  <c r="O26" i="1"/>
  <c r="O8" i="1"/>
  <c r="O16" i="1"/>
  <c r="O24" i="1"/>
  <c r="O10" i="1"/>
  <c r="O9" i="1"/>
  <c r="O17" i="1"/>
  <c r="O25" i="1"/>
  <c r="O18" i="1"/>
  <c r="M59" i="1"/>
  <c r="M60" i="1"/>
  <c r="Q13" i="1" l="1"/>
  <c r="R13" i="1" s="1"/>
  <c r="P21" i="1"/>
  <c r="Q16" i="1"/>
  <c r="R16" i="1" s="1"/>
  <c r="Q6" i="1"/>
  <c r="R6" i="1" s="1"/>
  <c r="P17" i="1"/>
  <c r="P28" i="1"/>
  <c r="Q12" i="1"/>
  <c r="R12" i="1" s="1"/>
  <c r="Q23" i="1"/>
  <c r="R23" i="1" s="1"/>
  <c r="P31" i="1"/>
  <c r="P9" i="1"/>
  <c r="Q22" i="1"/>
  <c r="R22" i="1" s="1"/>
  <c r="P20" i="1"/>
  <c r="Q5" i="1"/>
  <c r="R5" i="1" s="1"/>
  <c r="Q26" i="1"/>
  <c r="R26" i="1" s="1"/>
  <c r="Q8" i="1"/>
  <c r="R8" i="1" s="1"/>
  <c r="P25" i="1"/>
  <c r="Q27" i="1"/>
  <c r="R27" i="1" s="1"/>
  <c r="Q7" i="1"/>
  <c r="R7" i="1" s="1"/>
  <c r="Q15" i="1"/>
  <c r="R15" i="1" s="1"/>
  <c r="P19" i="1"/>
  <c r="P3" i="1"/>
  <c r="Q11" i="1"/>
  <c r="R11" i="1" s="1"/>
  <c r="P14" i="1"/>
  <c r="Q10" i="1"/>
  <c r="R10" i="1" s="1"/>
  <c r="Q18" i="1"/>
  <c r="R18" i="1" s="1"/>
  <c r="Q4" i="1"/>
  <c r="R4" i="1" s="1"/>
  <c r="P27" i="1"/>
  <c r="P18" i="1"/>
  <c r="Q24" i="1"/>
  <c r="R24" i="1" s="1"/>
  <c r="P24" i="1"/>
  <c r="Q17" i="1" l="1"/>
  <c r="R17" i="1" s="1"/>
  <c r="P6" i="1"/>
  <c r="Q9" i="1"/>
  <c r="R9" i="1" s="1"/>
  <c r="Q21" i="1"/>
  <c r="R21" i="1" s="1"/>
  <c r="P16" i="1"/>
  <c r="P23" i="1"/>
  <c r="Q25" i="1"/>
  <c r="R25" i="1" s="1"/>
  <c r="P13" i="1"/>
  <c r="Q28" i="1"/>
  <c r="R28" i="1" s="1"/>
  <c r="P10" i="1"/>
  <c r="P8" i="1"/>
  <c r="P12" i="1"/>
  <c r="Q14" i="1"/>
  <c r="R14" i="1" s="1"/>
  <c r="P29" i="1"/>
  <c r="Q29" i="1"/>
  <c r="R29" i="1" s="1"/>
  <c r="Q3" i="1"/>
  <c r="R3" i="1" s="1"/>
  <c r="S3" i="1" s="1"/>
  <c r="P15" i="1"/>
  <c r="P7" i="1"/>
  <c r="Q31" i="1"/>
  <c r="R31" i="1" s="1"/>
  <c r="P26" i="1"/>
  <c r="P5" i="1"/>
  <c r="Q20" i="1"/>
  <c r="R20" i="1" s="1"/>
  <c r="P11" i="1"/>
  <c r="Q19" i="1"/>
  <c r="R19" i="1" s="1"/>
  <c r="P4" i="1"/>
  <c r="P22" i="1"/>
  <c r="O32" i="5"/>
  <c r="M65" i="5" s="1"/>
  <c r="T3" i="1" l="1"/>
  <c r="L96" i="3"/>
  <c r="N96" i="3" s="1"/>
  <c r="N136" i="3" s="1"/>
  <c r="N137" i="3" s="1"/>
  <c r="L114" i="3"/>
  <c r="N114" i="3" s="1"/>
  <c r="O26" i="3" l="1"/>
  <c r="Q26" i="3" s="1"/>
  <c r="R26" i="3" s="1"/>
  <c r="O34" i="3"/>
  <c r="P34" i="3" s="1"/>
  <c r="O51" i="3"/>
  <c r="Q51" i="3" s="1"/>
  <c r="R51" i="3" s="1"/>
  <c r="O44" i="3"/>
  <c r="Q44" i="3" s="1"/>
  <c r="R44" i="3" s="1"/>
  <c r="O37" i="3"/>
  <c r="P37" i="3" s="1"/>
  <c r="O22" i="3"/>
  <c r="P22" i="3" s="1"/>
  <c r="O15" i="3"/>
  <c r="P15" i="3" s="1"/>
  <c r="O33" i="3"/>
  <c r="Q33" i="3" s="1"/>
  <c r="R33" i="3" s="1"/>
  <c r="O56" i="3"/>
  <c r="Q56" i="3" s="1"/>
  <c r="R56" i="3" s="1"/>
  <c r="O59" i="3"/>
  <c r="P59" i="3" s="1"/>
  <c r="O52" i="3"/>
  <c r="Q52" i="3" s="1"/>
  <c r="R52" i="3" s="1"/>
  <c r="O45" i="3"/>
  <c r="Q45" i="3" s="1"/>
  <c r="R45" i="3" s="1"/>
  <c r="O30" i="3"/>
  <c r="P30" i="3" s="1"/>
  <c r="O23" i="3"/>
  <c r="Q23" i="3" s="1"/>
  <c r="R23" i="3" s="1"/>
  <c r="O65" i="3"/>
  <c r="P65" i="3" s="1"/>
  <c r="O64" i="3"/>
  <c r="Q64" i="3" s="1"/>
  <c r="R64" i="3" s="1"/>
  <c r="O68" i="3"/>
  <c r="Q68" i="3" s="1"/>
  <c r="R68" i="3" s="1"/>
  <c r="O46" i="3"/>
  <c r="P46" i="3" s="1"/>
  <c r="O16" i="3"/>
  <c r="Q16" i="3" s="1"/>
  <c r="R16" i="3" s="1"/>
  <c r="O28" i="3"/>
  <c r="P28" i="3" s="1"/>
  <c r="O40" i="3"/>
  <c r="P40" i="3" s="1"/>
  <c r="O14" i="3"/>
  <c r="P14" i="3" s="1"/>
  <c r="O42" i="3"/>
  <c r="Q42" i="3" s="1"/>
  <c r="R42" i="3" s="1"/>
  <c r="O25" i="3"/>
  <c r="P25" i="3" s="1"/>
  <c r="O50" i="3"/>
  <c r="Q50" i="3" s="1"/>
  <c r="R50" i="3" s="1"/>
  <c r="O67" i="3"/>
  <c r="Q67" i="3" s="1"/>
  <c r="R67" i="3" s="1"/>
  <c r="O60" i="3"/>
  <c r="Q60" i="3" s="1"/>
  <c r="R60" i="3" s="1"/>
  <c r="O53" i="3"/>
  <c r="P53" i="3" s="1"/>
  <c r="O38" i="3"/>
  <c r="P38" i="3" s="1"/>
  <c r="O31" i="3"/>
  <c r="Q31" i="3" s="1"/>
  <c r="R31" i="3" s="1"/>
  <c r="O9" i="3"/>
  <c r="P9" i="3" s="1"/>
  <c r="T9" i="3" s="1"/>
  <c r="O72" i="3"/>
  <c r="P72" i="3" s="1"/>
  <c r="O73" i="3"/>
  <c r="P73" i="3" s="1"/>
  <c r="O61" i="3"/>
  <c r="Q61" i="3" s="1"/>
  <c r="R61" i="3" s="1"/>
  <c r="O39" i="3"/>
  <c r="P39" i="3" s="1"/>
  <c r="O17" i="3"/>
  <c r="P17" i="3" s="1"/>
  <c r="O35" i="3"/>
  <c r="P35" i="3" s="1"/>
  <c r="O70" i="3"/>
  <c r="Q70" i="3" s="1"/>
  <c r="R70" i="3" s="1"/>
  <c r="O43" i="3"/>
  <c r="P43" i="3" s="1"/>
  <c r="O48" i="3"/>
  <c r="Q48" i="3" s="1"/>
  <c r="R48" i="3" s="1"/>
  <c r="O11" i="3"/>
  <c r="Q11" i="3" s="1"/>
  <c r="R11" i="3" s="1"/>
  <c r="O19" i="3"/>
  <c r="P19" i="3" s="1"/>
  <c r="O12" i="3"/>
  <c r="Q12" i="3" s="1"/>
  <c r="R12" i="3" s="1"/>
  <c r="O49" i="3"/>
  <c r="P49" i="3" s="1"/>
  <c r="O69" i="3"/>
  <c r="P69" i="3" s="1"/>
  <c r="O54" i="3"/>
  <c r="P54" i="3" s="1"/>
  <c r="O47" i="3"/>
  <c r="P47" i="3" s="1"/>
  <c r="O24" i="3"/>
  <c r="P24" i="3" s="1"/>
  <c r="O57" i="3"/>
  <c r="Q57" i="3" s="1"/>
  <c r="R57" i="3" s="1"/>
  <c r="O20" i="3"/>
  <c r="P20" i="3" s="1"/>
  <c r="O41" i="3"/>
  <c r="Q41" i="3" s="1"/>
  <c r="R41" i="3" s="1"/>
  <c r="O55" i="3"/>
  <c r="Q55" i="3" s="1"/>
  <c r="R55" i="3" s="1"/>
  <c r="O58" i="3"/>
  <c r="Q58" i="3" s="1"/>
  <c r="R58" i="3" s="1"/>
  <c r="O21" i="3"/>
  <c r="Q21" i="3" s="1"/>
  <c r="R21" i="3" s="1"/>
  <c r="O63" i="3"/>
  <c r="P63" i="3" s="1"/>
  <c r="O29" i="3"/>
  <c r="P29" i="3" s="1"/>
  <c r="O10" i="3"/>
  <c r="P10" i="3" s="1"/>
  <c r="O27" i="3"/>
  <c r="Q27" i="3" s="1"/>
  <c r="R27" i="3" s="1"/>
  <c r="O13" i="3"/>
  <c r="P13" i="3" s="1"/>
  <c r="O62" i="3"/>
  <c r="P62" i="3" s="1"/>
  <c r="O32" i="3"/>
  <c r="P32" i="3" s="1"/>
  <c r="O18" i="3"/>
  <c r="P18" i="3" s="1"/>
  <c r="O66" i="3"/>
  <c r="Q66" i="3" s="1"/>
  <c r="R66" i="3" s="1"/>
  <c r="O36" i="3"/>
  <c r="Q36" i="3" s="1"/>
  <c r="R36" i="3" s="1"/>
  <c r="O71" i="3"/>
  <c r="Q71" i="3" s="1"/>
  <c r="R71" i="3" s="1"/>
  <c r="Q46" i="3"/>
  <c r="R46" i="3" s="1"/>
  <c r="Q37" i="3" l="1"/>
  <c r="R37" i="3" s="1"/>
  <c r="Q54" i="3"/>
  <c r="R54" i="3" s="1"/>
  <c r="P42" i="3"/>
  <c r="P27" i="3"/>
  <c r="Q9" i="3"/>
  <c r="R9" i="3" s="1"/>
  <c r="S9" i="3" s="1"/>
  <c r="Q34" i="3"/>
  <c r="R34" i="3" s="1"/>
  <c r="Q59" i="3"/>
  <c r="R59" i="3" s="1"/>
  <c r="P21" i="3"/>
  <c r="Q22" i="3"/>
  <c r="R22" i="3" s="1"/>
  <c r="P23" i="3"/>
  <c r="Q38" i="3"/>
  <c r="R38" i="3" s="1"/>
  <c r="P45" i="3"/>
  <c r="Q15" i="3"/>
  <c r="R15" i="3" s="1"/>
  <c r="Q35" i="3"/>
  <c r="R35" i="3" s="1"/>
  <c r="Q30" i="3"/>
  <c r="R30" i="3" s="1"/>
  <c r="P11" i="3"/>
  <c r="P50" i="3"/>
  <c r="Q69" i="3"/>
  <c r="R69" i="3" s="1"/>
  <c r="Q40" i="3"/>
  <c r="R40" i="3" s="1"/>
  <c r="P56" i="3"/>
  <c r="P66" i="3"/>
  <c r="Q14" i="3"/>
  <c r="R14" i="3" s="1"/>
  <c r="Q10" i="3"/>
  <c r="R10" i="3" s="1"/>
  <c r="P57" i="3"/>
  <c r="Q62" i="3"/>
  <c r="R62" i="3" s="1"/>
  <c r="P44" i="3"/>
  <c r="P55" i="3"/>
  <c r="Q47" i="3"/>
  <c r="R47" i="3" s="1"/>
  <c r="Q43" i="3"/>
  <c r="R43" i="3" s="1"/>
  <c r="Q63" i="3"/>
  <c r="R63" i="3" s="1"/>
  <c r="Q17" i="3"/>
  <c r="R17" i="3" s="1"/>
  <c r="Q49" i="3"/>
  <c r="R49" i="3" s="1"/>
  <c r="Q65" i="3"/>
  <c r="R65" i="3" s="1"/>
  <c r="Q53" i="3"/>
  <c r="R53" i="3" s="1"/>
  <c r="Q28" i="3"/>
  <c r="R28" i="3" s="1"/>
  <c r="P31" i="3"/>
  <c r="Q73" i="3"/>
  <c r="R73" i="3" s="1"/>
  <c r="P68" i="3"/>
  <c r="P71" i="3"/>
  <c r="P26" i="3"/>
  <c r="Q13" i="3"/>
  <c r="R13" i="3" s="1"/>
  <c r="P60" i="3"/>
  <c r="P12" i="3"/>
  <c r="P67" i="3"/>
  <c r="P52" i="3"/>
  <c r="Q39" i="3"/>
  <c r="R39" i="3" s="1"/>
  <c r="Q20" i="3"/>
  <c r="R20" i="3" s="1"/>
  <c r="Q19" i="3"/>
  <c r="R19" i="3" s="1"/>
  <c r="P41" i="3"/>
  <c r="P61" i="3"/>
  <c r="Q29" i="3"/>
  <c r="R29" i="3" s="1"/>
  <c r="Q24" i="3"/>
  <c r="R24" i="3" s="1"/>
  <c r="P51" i="3"/>
  <c r="P16" i="3"/>
  <c r="Q72" i="3"/>
  <c r="R72" i="3" s="1"/>
  <c r="Q25" i="3"/>
  <c r="R25" i="3" s="1"/>
  <c r="P58" i="3"/>
  <c r="P64" i="3"/>
  <c r="P36" i="3"/>
  <c r="Q18" i="3"/>
  <c r="R18" i="3" s="1"/>
  <c r="P70" i="3"/>
  <c r="P33" i="3"/>
  <c r="Q32" i="3"/>
  <c r="R32" i="3" s="1"/>
  <c r="P48" i="3"/>
</calcChain>
</file>

<file path=xl/sharedStrings.xml><?xml version="1.0" encoding="utf-8"?>
<sst xmlns="http://schemas.openxmlformats.org/spreadsheetml/2006/main" count="5991" uniqueCount="1170">
  <si>
    <t>Tubos eppendorf</t>
  </si>
  <si>
    <t>INS218</t>
  </si>
  <si>
    <t>LAMP HALOGEN 12V/20W ASSY</t>
  </si>
  <si>
    <t>URISYS Thermo-printer paper 5</t>
  </si>
  <si>
    <t>Sample cup    250 St</t>
  </si>
  <si>
    <t>Micro Cuvette Segment</t>
  </si>
  <si>
    <t>Cobas Integra Cleaner</t>
  </si>
  <si>
    <t>ISE CLEANING SOLUTION  5x100ml</t>
  </si>
  <si>
    <t>CONSUMIBLES</t>
  </si>
  <si>
    <t>PreciControl D- Dimer</t>
  </si>
  <si>
    <t>PreciControl HBA1c Norm</t>
  </si>
  <si>
    <t>PreciControl ClinChem Multi 2 4x5ml</t>
  </si>
  <si>
    <t>PreciControl ClinChem Multi 1 4x5ml</t>
  </si>
  <si>
    <t>CONTROL</t>
  </si>
  <si>
    <t>Cfas D- Dimer</t>
  </si>
  <si>
    <t>Cfas HbA1c, 3x2ml</t>
  </si>
  <si>
    <t xml:space="preserve">Cfas Lipids 3x1ML </t>
  </si>
  <si>
    <t>Calibrator f.a.s. 12x3 ml</t>
  </si>
  <si>
    <t>CALIBRADOR</t>
  </si>
  <si>
    <t>TOTAL DET</t>
  </si>
  <si>
    <t>Phosforo</t>
  </si>
  <si>
    <t xml:space="preserve">D-Dimer </t>
  </si>
  <si>
    <t>PCR latex</t>
  </si>
  <si>
    <t>Proteinas totales</t>
  </si>
  <si>
    <t>Hierro</t>
  </si>
  <si>
    <t xml:space="preserve">HbA1c </t>
  </si>
  <si>
    <t>LDH</t>
  </si>
  <si>
    <t>CK</t>
  </si>
  <si>
    <t>Calcio</t>
  </si>
  <si>
    <t>LDL Colesterol</t>
  </si>
  <si>
    <t>Albumina</t>
  </si>
  <si>
    <t>GGT</t>
  </si>
  <si>
    <t>LIPASA</t>
  </si>
  <si>
    <t>AMILASA</t>
  </si>
  <si>
    <t>HDL Colesterol</t>
  </si>
  <si>
    <t>Bilirrubina Directa</t>
  </si>
  <si>
    <t>Bilirrubina Total</t>
  </si>
  <si>
    <t>Fosfatasa alcalina</t>
  </si>
  <si>
    <t>AST - TGO</t>
  </si>
  <si>
    <t>ALT - TGP</t>
  </si>
  <si>
    <t>Triglicéridos</t>
  </si>
  <si>
    <t>Colesterol</t>
  </si>
  <si>
    <t>Acido Úrico</t>
  </si>
  <si>
    <t>Creatinina</t>
  </si>
  <si>
    <t>Urea</t>
  </si>
  <si>
    <t xml:space="preserve">Glucosa </t>
  </si>
  <si>
    <t>VALOR FINAL DEL PROCESO</t>
  </si>
  <si>
    <t>VALOR INICIAL DEL PROCESO</t>
  </si>
  <si>
    <t>TOTAL</t>
  </si>
  <si>
    <t>PVP</t>
  </si>
  <si>
    <t>REDONDEADO A ENTREGAR</t>
  </si>
  <si>
    <t>PRODUCTO A ENTREGAR</t>
  </si>
  <si>
    <t>MINIMOS POR ESTABILIDAD</t>
  </si>
  <si>
    <t>PRODUCTO CALCULADO</t>
  </si>
  <si>
    <t>DIAS ESTABILIDAD</t>
  </si>
  <si>
    <t>DET/KIT</t>
  </si>
  <si>
    <t>ID</t>
  </si>
  <si>
    <t>INFORMACIÓN GENERAL PARA CASO DE NEGOCIO (BC)</t>
  </si>
  <si>
    <t>TIPO DE CLIENTE</t>
  </si>
  <si>
    <t>ENTIDAD CONTRATANTE</t>
  </si>
  <si>
    <t>CLIENTE</t>
  </si>
  <si>
    <t>Código del Proceso</t>
  </si>
  <si>
    <t>Objeto de contratación</t>
  </si>
  <si>
    <t>Provincia /Ciudad</t>
  </si>
  <si>
    <t>* Ambiente de Laboratorio :</t>
  </si>
  <si>
    <t>Número de días por semana que trabaja el laboratorio</t>
  </si>
  <si>
    <t>Turnos por dia</t>
  </si>
  <si>
    <t>Horas por turno</t>
  </si>
  <si>
    <t>Controles de calidad por turno</t>
  </si>
  <si>
    <t>Niveles de Control</t>
  </si>
  <si>
    <t>Frecuencia de controles de calidad semanal (Rutina)</t>
  </si>
  <si>
    <t>Pruebas Especiales</t>
  </si>
  <si>
    <t>Frecuencia de controles de calidad pruebas especiales</t>
  </si>
  <si>
    <t>*Equipamiento</t>
  </si>
  <si>
    <t>Nombre de Equipo Principal</t>
  </si>
  <si>
    <t>Estado de equipo principal (nuevo / usado/ año de fabricación) TDR</t>
  </si>
  <si>
    <t>Imagen reserva de equipo</t>
  </si>
  <si>
    <t>Nombre de Equipo Back up</t>
  </si>
  <si>
    <t xml:space="preserve"> Estado de equipo back up (nuevo / usado/ año de fabricación)</t>
  </si>
  <si>
    <t>Ubicación de los equipos a instalar</t>
  </si>
  <si>
    <t>Permite equipo provisional</t>
  </si>
  <si>
    <t>*LIS</t>
  </si>
  <si>
    <t>Incluye LIS : Si / No</t>
  </si>
  <si>
    <t>Proveedor del sistema a trabajar</t>
  </si>
  <si>
    <t>Incluye Hadware: Si/No</t>
  </si>
  <si>
    <t>Interfaz a sistema actual</t>
  </si>
  <si>
    <t>Nombre del sistema</t>
  </si>
  <si>
    <t>Proveedor</t>
  </si>
  <si>
    <t>Interfaz de equipos</t>
  </si>
  <si>
    <t>Modelo / Proveedor</t>
  </si>
  <si>
    <t>* Requerimiento del BC:</t>
  </si>
  <si>
    <t>Cobro de arriendo del equipamiento: Si / NO (GERENCIA)</t>
  </si>
  <si>
    <t>Plazo</t>
  </si>
  <si>
    <t>Proyección de plazo</t>
  </si>
  <si>
    <t>*Compra</t>
  </si>
  <si>
    <t>Presupuesto Referencial del proceso</t>
  </si>
  <si>
    <t>Porcentaje máximo de canje</t>
  </si>
  <si>
    <t>Compromiso de compra (GERENCIA)</t>
  </si>
  <si>
    <t>*Entregas</t>
  </si>
  <si>
    <t>Total/Parcial - tiempo/Parcial a necesidad del laboratorio</t>
  </si>
  <si>
    <t>Determinacion Efectiva Si/No</t>
  </si>
  <si>
    <t>Observaciones</t>
  </si>
  <si>
    <t>*Inversiones adicionales</t>
  </si>
  <si>
    <t>Características</t>
  </si>
  <si>
    <t>Estado</t>
  </si>
  <si>
    <t>Cantidad</t>
  </si>
  <si>
    <t>Precio</t>
  </si>
  <si>
    <t>Total</t>
  </si>
  <si>
    <t>Control externo de tercera opinión</t>
  </si>
  <si>
    <t>Control interno interlaboratorial</t>
  </si>
  <si>
    <t>Póliza de seguro de equipos</t>
  </si>
  <si>
    <t>Ups equipo</t>
  </si>
  <si>
    <t>Equipo</t>
  </si>
  <si>
    <t>Ups servidor</t>
  </si>
  <si>
    <t>Powest on line 1kva 1000VA</t>
  </si>
  <si>
    <t>LIS</t>
  </si>
  <si>
    <t>Interfaz</t>
  </si>
  <si>
    <t>Lantronix</t>
  </si>
  <si>
    <t>IP publica</t>
  </si>
  <si>
    <t>Punto de consulta web</t>
  </si>
  <si>
    <t>Internet</t>
  </si>
  <si>
    <t>Servidor</t>
  </si>
  <si>
    <t>Monitor + Teclado y mouse</t>
  </si>
  <si>
    <t>Tinta</t>
  </si>
  <si>
    <t>Impresora Zebra Termica ZD230 ETHERNET Y USB</t>
  </si>
  <si>
    <t>Sistema de destilación de agua pequeño</t>
  </si>
  <si>
    <t>Sistema de osmosis</t>
  </si>
  <si>
    <t>Tanque para resina mixta (muerta)</t>
  </si>
  <si>
    <t>Estructura de proteccion para sistema de agua</t>
  </si>
  <si>
    <t>MEMBRANE EQ.OSMOSIS, AG2521TF  2.5 diam</t>
  </si>
  <si>
    <t>RESINA IONICA REGENERADA 20 "</t>
  </si>
  <si>
    <t>RESINA MUERTA 16kilos</t>
  </si>
  <si>
    <t>Sal en grano x quintal</t>
  </si>
  <si>
    <t>Climatizacion del area</t>
  </si>
  <si>
    <t>Rollo de cable UTP CAT5e x 100m</t>
  </si>
  <si>
    <t>Conector RJ45 Delta CAT5E x 50 unds</t>
  </si>
  <si>
    <t>Rack Cerrado POWEST 5UR</t>
  </si>
  <si>
    <t>Soporte para servidor</t>
  </si>
  <si>
    <t>Switch HP Aruba Ion 5 puertos</t>
  </si>
  <si>
    <t>Switch HP Aruba Ion 1430 24 puertos</t>
  </si>
  <si>
    <t>Extensiones y cortapicos</t>
  </si>
  <si>
    <t>Extras (tairas, canaletas, espiral plastico)</t>
  </si>
  <si>
    <t>Etiquetas</t>
  </si>
  <si>
    <t>A4 printer paper</t>
  </si>
  <si>
    <t>Paquete x 500 uds</t>
  </si>
  <si>
    <t>Refrigerador panorámico</t>
  </si>
  <si>
    <t>Refrigerador médico</t>
  </si>
  <si>
    <t>Termometro para refrigerador</t>
  </si>
  <si>
    <t>Termohigrometros</t>
  </si>
  <si>
    <t>Cronometros digitales</t>
  </si>
  <si>
    <t>Centrifuga</t>
  </si>
  <si>
    <t>24 Tubos</t>
  </si>
  <si>
    <t>Servicio Logisticos Proveedores</t>
  </si>
  <si>
    <t>Servicio Logisticos Clientes</t>
  </si>
  <si>
    <t>Ampolla de agua bidestilada</t>
  </si>
  <si>
    <t>Agua destilada por galón</t>
  </si>
  <si>
    <t>Hisopos x 100 uds</t>
  </si>
  <si>
    <t>Mantenimiento</t>
  </si>
  <si>
    <t>Gasas x 100 uds</t>
  </si>
  <si>
    <t>Alcohol prepad 10 x 100 uds</t>
  </si>
  <si>
    <t>Sub total</t>
  </si>
  <si>
    <t>¿Porque es importante ganar este proceso ?</t>
  </si>
  <si>
    <t xml:space="preserve">$ DETERMINACION </t>
  </si>
  <si>
    <t>$DETERMINACION CON CONSUMIBLES Y EXTRAS</t>
  </si>
  <si>
    <t>TOTAL PARA PROCESO</t>
  </si>
  <si>
    <t>TOTAL CON CONSUMIBLES Y EXTRAS</t>
  </si>
  <si>
    <t>MAXIMOS</t>
  </si>
  <si>
    <t>PVP POR UNIDADES</t>
  </si>
  <si>
    <t>VALOR TOTAL</t>
  </si>
  <si>
    <t>$ PARA PROCESO</t>
  </si>
  <si>
    <t>C3C, 100TESTS, COBAS C, INTEGRA</t>
  </si>
  <si>
    <t>C4, 100TESTS, COBAS C, INTEGRA</t>
  </si>
  <si>
    <t>PRECICONTROL HBA1C PATH</t>
  </si>
  <si>
    <t>CANTIDAD PROCESO/AÑO</t>
  </si>
  <si>
    <t>CK-MB</t>
  </si>
  <si>
    <t>PARA PRUEBA EFECTIVA</t>
  </si>
  <si>
    <t>PVP TODO COMPRADO</t>
  </si>
  <si>
    <t>ALQUILER</t>
  </si>
  <si>
    <t>TOTAL PVP TODO COMPRADO</t>
  </si>
  <si>
    <t>PVP TODO COMPRADO CAJA</t>
  </si>
  <si>
    <t>PVP POR UDS</t>
  </si>
  <si>
    <t>PVP TODO COMPRADO POR UDS</t>
  </si>
  <si>
    <t>TOTAL PVP TODO COMPRADO POR UDS</t>
  </si>
  <si>
    <t>PRESENTACION</t>
  </si>
  <si>
    <t>FECHA</t>
  </si>
  <si>
    <t>MODALIDAD</t>
  </si>
  <si>
    <t>PLAZO</t>
  </si>
  <si>
    <t>MESES</t>
  </si>
  <si>
    <t>PROYECCIÓN</t>
  </si>
  <si>
    <t>EQUIPO</t>
  </si>
  <si>
    <t>C311</t>
  </si>
  <si>
    <t>I.D</t>
  </si>
  <si>
    <t>DESCRIPCION</t>
  </si>
  <si>
    <t>DET/AÑO/PROCESO</t>
  </si>
  <si>
    <t>A-1MG TQ GEN.2, 100TEST, COBAS C/INT</t>
  </si>
  <si>
    <t>AAT GEN.2, 100TESTS, COBAS C, INTEGRA</t>
  </si>
  <si>
    <t>ACP HIT 917 LARGE</t>
  </si>
  <si>
    <t>ALB2, 300T, COBAS C, INTEGRA</t>
  </si>
  <si>
    <t>ALB-T TQ GEN.2, 100TESTS, COBAS C, INT</t>
  </si>
  <si>
    <t>ALP2, 200T, COBAS C, INTEGRA</t>
  </si>
  <si>
    <t>ALTL, 500TESTS, COBAS C, INTEGRA</t>
  </si>
  <si>
    <t>AMYL GEN.2, 300TESTS, COBAS C, INTEGRA</t>
  </si>
  <si>
    <t>APOBT, 100TESTS, COBAS C, INTEGRA</t>
  </si>
  <si>
    <t>ASLO TQ, 150TESTS, COBAS C</t>
  </si>
  <si>
    <t>ASTL, 500TESTS, COBAS C, INTEGRA</t>
  </si>
  <si>
    <t>B2MG, 140T, COBAS C 311, COBAS C 501/502</t>
  </si>
  <si>
    <t>BIL-D GEN.2, 350TESTS COBAS C, INTEGRA</t>
  </si>
  <si>
    <t>BIL-T GEN.3, 250TESTS COBAS C,INTEGRA</t>
  </si>
  <si>
    <t>CA, GEN.2, 300TESTS, COBAS C,INTEGRA</t>
  </si>
  <si>
    <t>CERU, 100TESTS, COBAS C, INTEGRA</t>
  </si>
  <si>
    <t>CHE GEN.2, 200TESTS, COBAS C, INTEGRA</t>
  </si>
  <si>
    <t>CHOL HICO GEN.2, 400TESTS, COBAS C, INT.</t>
  </si>
  <si>
    <t>CK 200 TESTS, COBAS C/INTEGRA</t>
  </si>
  <si>
    <t>CK-MB 100TESTS, COBAS C/INTEGRA</t>
  </si>
  <si>
    <t>COBAS INTEGRA CO2-L GEN.2 250 TEST</t>
  </si>
  <si>
    <t>COC2, 200T, COBAS C</t>
  </si>
  <si>
    <t>CREAJ2, 700T, COBAS C, INTEGRA</t>
  </si>
  <si>
    <t>CRP LX HS, 300TESTS, COBAS C, INTEGRA</t>
  </si>
  <si>
    <t>CRP4, 250T, COBAS C 311/501/502,INTEGRA</t>
  </si>
  <si>
    <t>CYSC2, 225T, COBAS INTEGRA</t>
  </si>
  <si>
    <t>D-DIMER GEN.2, 100TEST, COBAS C, INTEGRA</t>
  </si>
  <si>
    <t>ETOH2 , 100T, COBAS INTEGRA</t>
  </si>
  <si>
    <t>FRUC, 150TESTS, COBAS C, INTEGRA</t>
  </si>
  <si>
    <t>GGT-2, 400T, COBAS C, INTEGRA</t>
  </si>
  <si>
    <t>GLUC HK GEN.3, 800TESTS, COBAS C, INT.</t>
  </si>
  <si>
    <t>HAPT GEN.2, 100TESTS, COBAS C, INTEGRA</t>
  </si>
  <si>
    <t>HBA1C TQ GEN.3, 150TESTS,COBAS C501/INT</t>
  </si>
  <si>
    <t>HBDH GEN.2, 100TESTS, COBAS C/INT</t>
  </si>
  <si>
    <t>HCYS, 100T COBAS INTEGRA</t>
  </si>
  <si>
    <t>HDLC4, 350T, COBAS C, INTEGRA</t>
  </si>
  <si>
    <t>IGA GEN.2, 150TESTS, COBAS C</t>
  </si>
  <si>
    <t>IGA-C,150T, COBAS C 501/502, COBAS C 311</t>
  </si>
  <si>
    <t>IGG GEN.2, 150TESTS, COBAS C</t>
  </si>
  <si>
    <t>IGM GEN.2, 150TESTS, COBAS C</t>
  </si>
  <si>
    <t>IRON GEN.2, 200TESTS, COBAS C, INTEGRA</t>
  </si>
  <si>
    <t>KAPPA TQ GEN.2, 100TESTS, COBAS C/INT</t>
  </si>
  <si>
    <t>LACT2, 100T, COBAS C, INTEGRA</t>
  </si>
  <si>
    <t>LAMB TQ GEN.2, 100TESTS, COBAS C/INT</t>
  </si>
  <si>
    <t>LDHI GEN.2 ACC.IFCC, 300T, COBAS C, INT</t>
  </si>
  <si>
    <t>LDL-C GEN.3, 200TESTS, COBAS C,INT</t>
  </si>
  <si>
    <t>LIPC, 200TESTS, COBAS C, INTEGRA</t>
  </si>
  <si>
    <t>LPA GEN.2, 150TESTS COBAS C/INT</t>
  </si>
  <si>
    <t>MG2, 250T, COBAS C,INTEGRA</t>
  </si>
  <si>
    <t>PHOS GEN.2, 250TESTS, COBAS C, INTEGRA</t>
  </si>
  <si>
    <t>PREA, 100TESTS, COBAS C, INTEGRA</t>
  </si>
  <si>
    <t>RFII, 100TESTS, COBAS C, INTEGRA</t>
  </si>
  <si>
    <t>STFR2, 100T,COBAS C, INTEGRA</t>
  </si>
  <si>
    <t>THC2, 200T, COBAS C</t>
  </si>
  <si>
    <t>TP GEN.2, 300TESTS, COBAS C, INTEGRA</t>
  </si>
  <si>
    <t>TPUC3, 150T, COBAS C, INTEGRA</t>
  </si>
  <si>
    <t>TRIGL, 250TESTS, COBAS C, INTEGRA</t>
  </si>
  <si>
    <t>TRSF GEN.2, 100TESTS, COBAS C, INTEGRA</t>
  </si>
  <si>
    <t>UA GEN.2, 400TESTS, COBAS C, INTEGRA</t>
  </si>
  <si>
    <t>UIBC, 100TESTS, COBAS C, INTEGRA</t>
  </si>
  <si>
    <t>UREAL, 500T, COBAS C, INTEGRA</t>
  </si>
  <si>
    <t>CALIBRADORES</t>
  </si>
  <si>
    <t>Ammonia/Ethanol/CO2 Calibrator</t>
  </si>
  <si>
    <t>C.f.a.s. Cystatin C</t>
  </si>
  <si>
    <t>C.f.a.s. Myoglobin</t>
  </si>
  <si>
    <t>C.f.a.s. PAC</t>
  </si>
  <si>
    <t>Calibrator f.a.s.</t>
  </si>
  <si>
    <t xml:space="preserve">Calibrator f.a.s. CK-MB </t>
  </si>
  <si>
    <t>Calibrator f.a.s. IgA/IgM CSF</t>
  </si>
  <si>
    <t xml:space="preserve">Calibrator f.a.s. Lipids </t>
  </si>
  <si>
    <t>Calibrator f.a.s.proteins</t>
  </si>
  <si>
    <t>CALIBRATOR STFR GEN.2</t>
  </si>
  <si>
    <t>Calibrator β2‑Microglobulin</t>
  </si>
  <si>
    <t>Cfas HbA1c</t>
  </si>
  <si>
    <t>Cfas Proteins U</t>
  </si>
  <si>
    <t>D-Dimer Gen.2 Calibrator Set</t>
  </si>
  <si>
    <t>Fe Standard</t>
  </si>
  <si>
    <t>HCYS Calibrator Kit</t>
  </si>
  <si>
    <t>HITACHI I PRECISET TDM 1</t>
  </si>
  <si>
    <t>Precimat Fructosamina</t>
  </si>
  <si>
    <t>PRECISET DAT PLUS I</t>
  </si>
  <si>
    <t>Preciset Lp(a) Gen.2</t>
  </si>
  <si>
    <t>Preciset RF</t>
  </si>
  <si>
    <t>CONTROLES</t>
  </si>
  <si>
    <t xml:space="preserve">Ammonia/Ethanol/CO2 Control  Normal </t>
  </si>
  <si>
    <t>Ammonia/Ethanol/CO2 Control Abnormal</t>
  </si>
  <si>
    <t>Control Set  β2‑Microglobulin (Nivel 1-2)</t>
  </si>
  <si>
    <t xml:space="preserve">CONTROL-SET STFR </t>
  </si>
  <si>
    <t>Cystatin C  Control  Set  Gen.2 (1,2,3)</t>
  </si>
  <si>
    <t>D-Dimer Gen.2 Control I/II</t>
  </si>
  <si>
    <t>HCYS Control Kit Control 1 y 2</t>
  </si>
  <si>
    <t>Myoglobin Control Set (Nivel I, II)</t>
  </si>
  <si>
    <t>PreciControl ClinChem Multi 1, 4x5 ml</t>
  </si>
  <si>
    <t>PreciControl ClinChem Multi 2, 4x5 ml</t>
  </si>
  <si>
    <t>PreciControl HbA1c norm</t>
  </si>
  <si>
    <t>PreciControl HbA1c path</t>
  </si>
  <si>
    <t>PreciControl Lp(a) Gen.2</t>
  </si>
  <si>
    <t>PRECINORM FRUC</t>
  </si>
  <si>
    <t>PRECINORM PUC</t>
  </si>
  <si>
    <t>PRECIPATH FRUC</t>
  </si>
  <si>
    <t>PRECIPATH PUC</t>
  </si>
  <si>
    <t>RF Control Set</t>
  </si>
  <si>
    <t>TDM Control Set</t>
  </si>
  <si>
    <t>Cell Wash Solution I / NaOH-D</t>
  </si>
  <si>
    <t>Cell Wash Solution II / Acid Wash</t>
  </si>
  <si>
    <t>cobas sample cups</t>
  </si>
  <si>
    <t>Cuvettes – reaction cell sets</t>
  </si>
  <si>
    <t>Ecotergent</t>
  </si>
  <si>
    <t>FILTRO DE RESINA IONICA REGENERADA 20"</t>
  </si>
  <si>
    <t>FILTRO NOM. P/SEDIMENTS GX05-20XX (BLANCO)</t>
  </si>
  <si>
    <t>FILTRO NOM. P/SEDIMENTS PX5-20 PURTR (AZUL)</t>
  </si>
  <si>
    <t>HBA1C TQ HAEMOLYZING RGT, COBAS C</t>
  </si>
  <si>
    <t>Lamp, Halogen</t>
  </si>
  <si>
    <t>MEMBRANE EQ.OSMOSIS, AG2521TF 2.5 diam</t>
  </si>
  <si>
    <t>Multiclean, Sample Cleaner 1</t>
  </si>
  <si>
    <t>NaCl 9% Diluent</t>
  </si>
  <si>
    <t>NaOH-D c pack</t>
  </si>
  <si>
    <t>SMS</t>
  </si>
  <si>
    <t>NH3L2, 150T, cobas c 311,cobas c 5</t>
  </si>
  <si>
    <t>CFAS</t>
  </si>
  <si>
    <t>CCLINCHEM</t>
  </si>
  <si>
    <t>PUC</t>
  </si>
  <si>
    <t>AMMONIA</t>
  </si>
  <si>
    <t>CFAS PROTEIN</t>
  </si>
  <si>
    <t>EN KITS</t>
  </si>
  <si>
    <t>EN KITS CERRADO</t>
  </si>
  <si>
    <t>PRUEBA EFECTIVA</t>
  </si>
  <si>
    <t>E411 DISK</t>
  </si>
  <si>
    <t>NOMBRE</t>
  </si>
  <si>
    <t>ACTH ELECSYS COBAS E 100 V2</t>
  </si>
  <si>
    <t>Hormona Adrenocorticotrópica</t>
  </si>
  <si>
    <t>AFP ELECSYS COBAS E 100 V2</t>
  </si>
  <si>
    <t>Alfa1 - Fetoproteína</t>
  </si>
  <si>
    <t xml:space="preserve">Hormona Antimülleriana </t>
  </si>
  <si>
    <t>ANTI TPO</t>
  </si>
  <si>
    <t>Anti-Peroxidasa Tiroidea</t>
  </si>
  <si>
    <t>ANTI-CCP ELECSYS COBAS E 100</t>
  </si>
  <si>
    <t>Anticuerpos Antipéptido Cíclico Citrulinado</t>
  </si>
  <si>
    <t>ANTI-HAV G2 ELECSYS,COBAS E100 (COI)</t>
  </si>
  <si>
    <t>Anticuerpos Hepatitis A</t>
  </si>
  <si>
    <t xml:space="preserve">ANTI-HAV IGM ELECSYS COBAS E 100 </t>
  </si>
  <si>
    <t>Anticuerpos IGM Hepatitis A</t>
  </si>
  <si>
    <t>ANTI-HBC IGM ELECSYS COBAS E 100</t>
  </si>
  <si>
    <t>Anticuerpos IGM Hepatitis B</t>
  </si>
  <si>
    <t>Anti-HBc II ELECSYS COBAS E100</t>
  </si>
  <si>
    <t>Anticuerpos IgG e IgM Hepatitis B</t>
  </si>
  <si>
    <t>ANTI-HBE ELECSYS COBAS E 100</t>
  </si>
  <si>
    <t>Anticuerpo contra antigeno de HBE</t>
  </si>
  <si>
    <t>Anti-HBs G2 Elecsys cobas e 100 V2</t>
  </si>
  <si>
    <t>Anticuerpo contra antigeno de HBs</t>
  </si>
  <si>
    <t>ANTI-HCV G2 ELECSYS COBAS E 100 V2</t>
  </si>
  <si>
    <t>Anticuerpos contra el virus de la hepatitis C</t>
  </si>
  <si>
    <t xml:space="preserve">ANTI-SARS-COV-2 ELECSYS COBAS E 200 </t>
  </si>
  <si>
    <t xml:space="preserve">Antígeno de la nucleocápside del coronavirus 2 </t>
  </si>
  <si>
    <t>ANTI-SARS-COV-2 S ELECSYS COBAS E 200</t>
  </si>
  <si>
    <t>Anticuerpos de proteina espícula S contra el corona virus 2</t>
  </si>
  <si>
    <t>ANTI-TG ELECSYS COBAS E 100 V5</t>
  </si>
  <si>
    <t>Anticuerpos anti-tiroglobulina</t>
  </si>
  <si>
    <t>ANTI-TSHR ELECSYS COBAS E 100 V2</t>
  </si>
  <si>
    <t>Autoanticuerpos antirreceptor del hipertiroidismo</t>
  </si>
  <si>
    <t>B -CROSSLAPS/SERUM ELECSYS COBAS E 100 V2</t>
  </si>
  <si>
    <t xml:space="preserve">Productos de degradación del colágeno tipo </t>
  </si>
  <si>
    <t>CA 125 G2 ELECSYS COBAS E 100</t>
  </si>
  <si>
    <t>Marcador Tumoral 125 cancer de ovario</t>
  </si>
  <si>
    <t>CA 15-3 G2 ELECSYS COBAS E 100</t>
  </si>
  <si>
    <t>Marcador Tumoral 15-3 cancer de mama</t>
  </si>
  <si>
    <t xml:space="preserve">CA 19-9 ELECSYS COBAS E 100 </t>
  </si>
  <si>
    <t>Marcador Tumoral 19-9 cancer de pancreas</t>
  </si>
  <si>
    <t>CA 72-4 ELECSYS COBAS E 100 V2</t>
  </si>
  <si>
    <t>Marcador Tumoral Glicoproteína 72-4</t>
  </si>
  <si>
    <t>CEA ELECSYS COBAS E 100</t>
  </si>
  <si>
    <t>Antígeno carcinoembrionario</t>
  </si>
  <si>
    <t>CHAGAS ELECSYS COBAS E 100 V2</t>
  </si>
  <si>
    <t>Anticuerpos contra Trypanosoma cruzi</t>
  </si>
  <si>
    <t>CK-MB STAT ELECSYS COBAS E 100 V4</t>
  </si>
  <si>
    <t>Isoenzima MB de la creatina quinasa</t>
  </si>
  <si>
    <t>CMV IGG AVIDITY ELECSYS COBAS E 100 V2</t>
  </si>
  <si>
    <t>Avidez de anticuerpos IgG contra citomegalovirus</t>
  </si>
  <si>
    <t>CMV IGG ELECSYS COBAS E 100 V2</t>
  </si>
  <si>
    <t xml:space="preserve">Anticuerpos Inmunoglobinas G contra citomegalovirus  </t>
  </si>
  <si>
    <t>CMV IGM ELECSYS COBAS E 100</t>
  </si>
  <si>
    <t xml:space="preserve">Anticuerpos Inmunoglobinas M contra citomegalovirus  </t>
  </si>
  <si>
    <t>CORTISOL G2 ELECSYS COBAS E 100</t>
  </si>
  <si>
    <t>Cortisol</t>
  </si>
  <si>
    <t>C-PEPTIDE ELECSYS COBAS E 100</t>
  </si>
  <si>
    <t>Péptido C</t>
  </si>
  <si>
    <t>CYFRA 21-1 ELECSYS COBAS E 100</t>
  </si>
  <si>
    <t>Fragmentos de citoqueratina 19</t>
  </si>
  <si>
    <t>DHEA-S ELECSYS COBAS E 100</t>
  </si>
  <si>
    <t>Sulfato de dehidroepiandrosterona</t>
  </si>
  <si>
    <t xml:space="preserve">DIGOXIN ELECSYS COBAS E 100 V2 </t>
  </si>
  <si>
    <t>Digoxina</t>
  </si>
  <si>
    <t>EBV EBNA IGG ELECSYS COBAS E 100</t>
  </si>
  <si>
    <t>Anticuerpos IgG contra el antígeno nuclear 1</t>
  </si>
  <si>
    <t xml:space="preserve">EBV IGM ELECSYS COBAS E 100 </t>
  </si>
  <si>
    <t>Anticuerpos IgM contra el virus de Epstein-Bar</t>
  </si>
  <si>
    <t>EBV VCA IGG ELECSYS COBAS E 100</t>
  </si>
  <si>
    <t>Anticuerpos IgG contra el virus de Epstein-Barr</t>
  </si>
  <si>
    <t>ESTRADIOL G3 ELECSYS COBAS E100</t>
  </si>
  <si>
    <t>Estradiol</t>
  </si>
  <si>
    <t>FERRITIN ELECSYS COBAS E 100 V2</t>
  </si>
  <si>
    <t>Ferritina</t>
  </si>
  <si>
    <t xml:space="preserve">FOLATE G3 ELECSYS COBAS E 100 V2 </t>
  </si>
  <si>
    <t>Ácido Fólico</t>
  </si>
  <si>
    <t xml:space="preserve">FREE HCGBETA ELECSYS COBAS E 100 V2 </t>
  </si>
  <si>
    <t>Subunidad β libre de la gonadotropina coriónica humana</t>
  </si>
  <si>
    <t>FREE PSA ELECSYS COBAS E 100 V3</t>
  </si>
  <si>
    <t>Antigeno Prostatico Especifico Libre</t>
  </si>
  <si>
    <t>FSH ELECSYS COBAS E 100 V2</t>
  </si>
  <si>
    <t>Hormona Folículoestimulant</t>
  </si>
  <si>
    <t>FT3 G3 ELECSYS COBAS E 200 V2</t>
  </si>
  <si>
    <t>Triyodotironina libre</t>
  </si>
  <si>
    <t>FT4 G4 ELECSYS COBAS E 200</t>
  </si>
  <si>
    <t xml:space="preserve">Tiroxina libre </t>
  </si>
  <si>
    <t>GDF-15 ELECSYS COBAS E 100 V2</t>
  </si>
  <si>
    <t xml:space="preserve">Factor de diferenciación de crecimiento </t>
  </si>
  <si>
    <t xml:space="preserve">HBEAG ELECSYS COBAS E 100 </t>
  </si>
  <si>
    <t>Antigeno E Hepatitis B</t>
  </si>
  <si>
    <t>HBSAG G2 ELECSYS COBAS E 100 V2</t>
  </si>
  <si>
    <t>Antigeno de Superficie Hepatitis B</t>
  </si>
  <si>
    <t xml:space="preserve">HCG STAT ELECSYS COBAS E 100 V3 </t>
  </si>
  <si>
    <t>Gonadotropina Coriónica Humana</t>
  </si>
  <si>
    <t>HCG+BETA ELECSYS COBAS E 100 V2</t>
  </si>
  <si>
    <t>Subunidad β Gonadotropina Coriónica Humana</t>
  </si>
  <si>
    <t xml:space="preserve">HE4 ELECSYS COBAS E 100 </t>
  </si>
  <si>
    <t>Proteína Epididimaria Humana</t>
  </si>
  <si>
    <t>HGH ELECSYS COBAS E 100</t>
  </si>
  <si>
    <t>Hormona de Crecimiento Humana</t>
  </si>
  <si>
    <t>HIV COMBI PT ELECSYS COBAS E 100 V2</t>
  </si>
  <si>
    <t>Antigeno y anticuerpo contra VIH</t>
  </si>
  <si>
    <t>HSV-1 IgG Elecsys cobas e 100 V2</t>
  </si>
  <si>
    <t>Anticuerpos IGG contra virus de herpes 1</t>
  </si>
  <si>
    <t>HSV-2 IgG Elecsys cobas e 100 V2</t>
  </si>
  <si>
    <t>Anticuerpos IGG contra virus de herpes 2</t>
  </si>
  <si>
    <t>HTLV I/II ELECSYS COBAS E100 V2</t>
  </si>
  <si>
    <t>Anticuerpos contra virus linfotrópico humano de células T</t>
  </si>
  <si>
    <t>IGE G2 ELECSYS COBAS E 100</t>
  </si>
  <si>
    <t>Inmunoglobulina E</t>
  </si>
  <si>
    <t>IGF-1 ELECSYS COBAS E 100</t>
  </si>
  <si>
    <t xml:space="preserve">Factor de crecimiento </t>
  </si>
  <si>
    <t>IGFBP-3 ELECSYS COBAS E 100</t>
  </si>
  <si>
    <t>Proteína transportadora de factor crecimiento</t>
  </si>
  <si>
    <t>IL 6 ELECSYS COBAS E 100 V2</t>
  </si>
  <si>
    <t>Interleucina-6</t>
  </si>
  <si>
    <t>INSULIN ELECSYS COBAS E 100</t>
  </si>
  <si>
    <t>Insulina</t>
  </si>
  <si>
    <t>LH ELECSYS COBAS E 100</t>
  </si>
  <si>
    <t>Hormona luteinizante</t>
  </si>
  <si>
    <t>MYOGLOBIN STAT ELECSYS COBAS E 100</t>
  </si>
  <si>
    <t xml:space="preserve">Mioglobina </t>
  </si>
  <si>
    <t>N-MID OSTEOCALCIN ELECSYS COBAS E 100</t>
  </si>
  <si>
    <t>Osteocalcina N-MID</t>
  </si>
  <si>
    <t xml:space="preserve">NSE ELECSYS COBAS E 100 </t>
  </si>
  <si>
    <t>Enolasa neuronal específica</t>
  </si>
  <si>
    <t xml:space="preserve">PAPP-A ELECSYS COBAS E 100 V2 </t>
  </si>
  <si>
    <t>Proteina Plasmatica A</t>
  </si>
  <si>
    <t>PCT BRAHMS-ROCHE ELECSYS COBAS E100 V2.1</t>
  </si>
  <si>
    <t>Procalcitonina</t>
  </si>
  <si>
    <t>PIGF ELECSYS COBAS E 100</t>
  </si>
  <si>
    <t>Preeclampsia</t>
  </si>
  <si>
    <t>PROBNP G2 ELECSYS COBAS E 100 V2</t>
  </si>
  <si>
    <t>Péptidos natriuréticos</t>
  </si>
  <si>
    <t>PROBNP G2 STAT ELECSYS COBAS E 100 V2</t>
  </si>
  <si>
    <t>Péptidos natriuréticos STAT</t>
  </si>
  <si>
    <t>PROGESTERONE G3 ELECSYS COBAS E 100</t>
  </si>
  <si>
    <t>Progesterona</t>
  </si>
  <si>
    <t>PROGRP ELECSYS COBAS E 100 V2</t>
  </si>
  <si>
    <t>Péptido liberador de gastrina</t>
  </si>
  <si>
    <t>PROLACTIN G2 ELECSYS COBAS E 100 V2.1</t>
  </si>
  <si>
    <t>Prolactina</t>
  </si>
  <si>
    <t xml:space="preserve">PTH (1-84) ELECSYS COBAS E 100 V2 </t>
  </si>
  <si>
    <t>Parathormona 1-84</t>
  </si>
  <si>
    <t>PTH ELECSYS COBAS E 100</t>
  </si>
  <si>
    <t>Parathormona</t>
  </si>
  <si>
    <t>RUBELLA IGG ELECSYS COBAS E 100</t>
  </si>
  <si>
    <t>Rubéola Inmunoglobina G</t>
  </si>
  <si>
    <t>RUBELLA IGM ELECSYS COBAS E100</t>
  </si>
  <si>
    <t>Rubéola Inmunoglobina M</t>
  </si>
  <si>
    <t>SARS-COV-2 AG ELECSYS COBAS E 200</t>
  </si>
  <si>
    <t>Antigeno corona virus 2</t>
  </si>
  <si>
    <t>SCC ELECSYS COBAS E 100</t>
  </si>
  <si>
    <t>Antígeno del Carcinoma de Células Escamosas</t>
  </si>
  <si>
    <t>SFLT1 ELECSYS COBAS E 100</t>
  </si>
  <si>
    <t>Tirosina quinasa -1</t>
  </si>
  <si>
    <t xml:space="preserve">SHBG ELECSYS COBAS E 100 </t>
  </si>
  <si>
    <t>Globulina Fijadora de Hormonas Sexuales</t>
  </si>
  <si>
    <t>SYPHILIS ELECSYS COBAS E 100 V2</t>
  </si>
  <si>
    <t>Anticuerpos Treponema Pallidum</t>
  </si>
  <si>
    <t>T3 ELECSYS COBAS E 200 V2</t>
  </si>
  <si>
    <t>Triyodotironina</t>
  </si>
  <si>
    <t>T4 ELECSYS COBAS E 200 V3</t>
  </si>
  <si>
    <t xml:space="preserve"> Tiroxina</t>
  </si>
  <si>
    <t>Testosterone</t>
  </si>
  <si>
    <t>Testosterona</t>
  </si>
  <si>
    <t>TG G2 ELECSYS COBAS E 100 V2</t>
  </si>
  <si>
    <t>Tiroglobulina</t>
  </si>
  <si>
    <t>TOTAL PSA ELECSYS COBAS E 100 V3</t>
  </si>
  <si>
    <t>Antigeno Prostatico Especifico Total</t>
  </si>
  <si>
    <t xml:space="preserve">TOXO IGG AVIDITY ELECSYS COBAS E 100 </t>
  </si>
  <si>
    <t>Toxoplasma Inmunoglobinas G Avidity</t>
  </si>
  <si>
    <t>TOXO IGG ELECSYS COBAS E 100</t>
  </si>
  <si>
    <t>Toxoplasma Inmunoglobinas G</t>
  </si>
  <si>
    <t>TOXO IGM ELECSYS COBAS E 100</t>
  </si>
  <si>
    <t>Toxoplasma Inmunoglobinas M</t>
  </si>
  <si>
    <t>TROPONIN I STAT ELECSYS COBAS E 100</t>
  </si>
  <si>
    <t xml:space="preserve">Troponina I Cardiaca </t>
  </si>
  <si>
    <t>TROPONIN T HS ELECSYS COBAS E 200 V2.1</t>
  </si>
  <si>
    <t>Troponina T Cardiaca High Sensitive</t>
  </si>
  <si>
    <t>TROPONIN T HS STAT ELECSYS COBAS E100 V2</t>
  </si>
  <si>
    <t>Troponina T Cardiaca High Sensitive STAT</t>
  </si>
  <si>
    <t>TSH ELECSYS COBAS E 200 V2</t>
  </si>
  <si>
    <t>Hormona Estimulante de Tiroides</t>
  </si>
  <si>
    <t>VITAMIN B12 G2 ELECSYS COBAS E 100</t>
  </si>
  <si>
    <t>Vitamina B12</t>
  </si>
  <si>
    <t>VITAMIN D TOTAL G3 ELECSYS COBAS E 100</t>
  </si>
  <si>
    <t>Vitamina D</t>
  </si>
  <si>
    <t>ACTH CS ELECSYS V2</t>
  </si>
  <si>
    <t>-</t>
  </si>
  <si>
    <t>AFP G2 CS ELECSYS V3</t>
  </si>
  <si>
    <t>AMH PLUS CS ELECSYS</t>
  </si>
  <si>
    <t>Anti SARS-COV-2-S CS</t>
  </si>
  <si>
    <t>ANTI-TG CS ELECSYS</t>
  </si>
  <si>
    <t>ANTI-TPO CS ELECSYS</t>
  </si>
  <si>
    <t>ANTI-TSHR CS</t>
  </si>
  <si>
    <t>B-CrossLaps CS</t>
  </si>
  <si>
    <t>CA 125 CS</t>
  </si>
  <si>
    <t>CA 15-3 G2 CS ELECSYS</t>
  </si>
  <si>
    <t>CA 19-9 CS</t>
  </si>
  <si>
    <t>CA 72-4 CS ELECSYS V2</t>
  </si>
  <si>
    <t>CEA CS</t>
  </si>
  <si>
    <t> 5957656190</t>
  </si>
  <si>
    <t>CK-MB STAT CS</t>
  </si>
  <si>
    <t>Cortisol CS</t>
  </si>
  <si>
    <t>C-PEPTIDE CS ELECSYS</t>
  </si>
  <si>
    <t>CYFRA 21-1 CS</t>
  </si>
  <si>
    <t>DHEA-S CS ELECSYS</t>
  </si>
  <si>
    <t>DIGOXIN CS</t>
  </si>
  <si>
    <t>ESTRADIOL G3 CS ELECYSS</t>
  </si>
  <si>
    <t>Ferritina CS</t>
  </si>
  <si>
    <t>Folate G3 CS</t>
  </si>
  <si>
    <t>FREE B HCG CS</t>
  </si>
  <si>
    <t>Free PSA Calset</t>
  </si>
  <si>
    <t>FT3 Calset</t>
  </si>
  <si>
    <t>FT4 Calset</t>
  </si>
  <si>
    <t> 7125941190</t>
  </si>
  <si>
    <t>GDF-15 CS</t>
  </si>
  <si>
    <t>HCG STAT CS</t>
  </si>
  <si>
    <t>HCG+B CalSet</t>
  </si>
  <si>
    <t> 5950945190</t>
  </si>
  <si>
    <t>HE4 CS</t>
  </si>
  <si>
    <t> 5390133190</t>
  </si>
  <si>
    <t>HGH CS</t>
  </si>
  <si>
    <t>IgE CS</t>
  </si>
  <si>
    <t>IGF-1 CS</t>
  </si>
  <si>
    <t>IGFBP-3 CS</t>
  </si>
  <si>
    <t>IL 6 CS ELECSYS</t>
  </si>
  <si>
    <t>Insulina CS</t>
  </si>
  <si>
    <t>LH Calset</t>
  </si>
  <si>
    <t>MYOGLOBIN STAT CS</t>
  </si>
  <si>
    <t>N-MID OSTEOCALCIN CS</t>
  </si>
  <si>
    <t>NSE CS</t>
  </si>
  <si>
    <t>PAPP-A CS</t>
  </si>
  <si>
    <t>PIGF CS</t>
  </si>
  <si>
    <t>proBNP CS</t>
  </si>
  <si>
    <t>proBNP STAT CS</t>
  </si>
  <si>
    <t>Progesterona Calset</t>
  </si>
  <si>
    <t>ProGRP CS</t>
  </si>
  <si>
    <t>Prolactin CalSet</t>
  </si>
  <si>
    <t>PTH (1-84) CS</t>
  </si>
  <si>
    <t>PTH CS ELECSYS V2</t>
  </si>
  <si>
    <t>SCC CS</t>
  </si>
  <si>
    <t> 5109531190</t>
  </si>
  <si>
    <t>sFLT-1 CS</t>
  </si>
  <si>
    <t>SHBG CS</t>
  </si>
  <si>
    <t>T3 Calset</t>
  </si>
  <si>
    <t>T4 Calset</t>
  </si>
  <si>
    <t>Testosterone Calset</t>
  </si>
  <si>
    <t>TG G2 CS ELECSYS V2</t>
  </si>
  <si>
    <t>Total PSA CalSet</t>
  </si>
  <si>
    <t> 5094801190</t>
  </si>
  <si>
    <t>TROPONIN I STAT CS</t>
  </si>
  <si>
    <t>TROPONIN T HS CS ELECSYS V1.1</t>
  </si>
  <si>
    <t>TROPONIN T HS STAT CS ELECSYS V1.1</t>
  </si>
  <si>
    <t>TSH CalSet</t>
  </si>
  <si>
    <t>VITAMIN B12 G2 CS ELECSYS V2</t>
  </si>
  <si>
    <t>Vitamina D CS</t>
  </si>
  <si>
    <t>ANTI-SARS-COV-2 PC ELECSYS</t>
  </si>
  <si>
    <t>CMV IgG Avidity PC Elecsys</t>
  </si>
  <si>
    <t>HCV Duo PC Elecsys</t>
  </si>
  <si>
    <t>Maternal Care Gen.2 PC Elecsys</t>
  </si>
  <si>
    <t>PreciControl Active B12</t>
  </si>
  <si>
    <t>PreciControl AMH</t>
  </si>
  <si>
    <t>PreciControl AMH Plus</t>
  </si>
  <si>
    <t xml:space="preserve">PreciControl Anti‑CCP  </t>
  </si>
  <si>
    <t>PreciControl Anti‑HAV IgM</t>
  </si>
  <si>
    <t xml:space="preserve">PreciControl Anti‑HAV II  </t>
  </si>
  <si>
    <t>PreciControl Anti‑HBc IgM</t>
  </si>
  <si>
    <t xml:space="preserve">PreciControl Anti‑HBc II  </t>
  </si>
  <si>
    <t>PreciControl Anti‑HBe</t>
  </si>
  <si>
    <t>PreciControl Anti‑HBs</t>
  </si>
  <si>
    <t>PreciControl Anti‑HCV</t>
  </si>
  <si>
    <t>PreciControl Anti‑SARS‑CoV‑2</t>
  </si>
  <si>
    <t xml:space="preserve">PreciControl Cardiac II  </t>
  </si>
  <si>
    <t>PreciControl Chagas</t>
  </si>
  <si>
    <t>PreciControl CMV IgG</t>
  </si>
  <si>
    <t>PreciControl CMV IgM</t>
  </si>
  <si>
    <t xml:space="preserve">PreciControl EBV EBNA IgG </t>
  </si>
  <si>
    <t>PreciControl EBV IgM/VCA IgG</t>
  </si>
  <si>
    <t>PreciControl Everolimus</t>
  </si>
  <si>
    <t>PreciControl Growth</t>
  </si>
  <si>
    <t>PreciControl HBeAg</t>
  </si>
  <si>
    <t xml:space="preserve">PreciControl HBsAg II </t>
  </si>
  <si>
    <t xml:space="preserve">PreciControl HBsAg II quant </t>
  </si>
  <si>
    <t xml:space="preserve">PreciControl HE4 </t>
  </si>
  <si>
    <t>PreciControl HIV Gen II</t>
  </si>
  <si>
    <t xml:space="preserve">PreciControl HSV </t>
  </si>
  <si>
    <t>PreciControl HTLV</t>
  </si>
  <si>
    <t>PreciControl ISD</t>
  </si>
  <si>
    <t xml:space="preserve">PreciControl Lung Cancer  </t>
  </si>
  <si>
    <t>PreciControl Multimarker Elecsys,cobas e</t>
  </si>
  <si>
    <t>PreciControl ProGRP</t>
  </si>
  <si>
    <t>PreciControl Rubella IgG</t>
  </si>
  <si>
    <t>PreciControl Rubella IgM</t>
  </si>
  <si>
    <t>PreciControl SARS‑CoV‑2 Antigen</t>
  </si>
  <si>
    <t>PreciControl Syphilis</t>
  </si>
  <si>
    <t>PreciControl ThyroAB</t>
  </si>
  <si>
    <t xml:space="preserve">PreciControl Toxo IgG </t>
  </si>
  <si>
    <t>PreciControl Toxo IgG Avidity</t>
  </si>
  <si>
    <t>PreciControl Toxo IgM</t>
  </si>
  <si>
    <t>PreciControl Troponin</t>
  </si>
  <si>
    <t>PreciControl Tumor Marker Elec</t>
  </si>
  <si>
    <t>PreciControl Universal</t>
  </si>
  <si>
    <t>PreciControl Varia Elecsys</t>
  </si>
  <si>
    <t xml:space="preserve">PreciControl Vitamin D total III  </t>
  </si>
  <si>
    <t xml:space="preserve">ASSAY CUP </t>
  </si>
  <si>
    <t xml:space="preserve">ASSY TIP </t>
  </si>
  <si>
    <t>Copillas de muestra Hitachi</t>
  </si>
  <si>
    <t>Elecsys Clean-Cell</t>
  </si>
  <si>
    <t>Elecsys ProCell</t>
  </si>
  <si>
    <t>Elecsys Sys Wash</t>
  </si>
  <si>
    <t xml:space="preserve">ISE CLEANING SOLUTION </t>
  </si>
  <si>
    <t>Measuring CELL</t>
  </si>
  <si>
    <t>UNIVERSAL DILUENT 2X16ML ELECSYS,COBAS E</t>
  </si>
  <si>
    <t>UNIVERSAL DILUENT 2X36ML ELECSYS,COBAS E</t>
  </si>
  <si>
    <t>CLEAN-LINER</t>
  </si>
  <si>
    <t>MULTIMARKER</t>
  </si>
  <si>
    <t>AMH plus Elecsys cobas e 100 V3</t>
  </si>
  <si>
    <t>THYRO AB</t>
  </si>
  <si>
    <t>VARIA</t>
  </si>
  <si>
    <t>PC UNIVERSAL</t>
  </si>
  <si>
    <t>PC TUMOR MARKER</t>
  </si>
  <si>
    <t>CARDIAC</t>
  </si>
  <si>
    <t>MATERNAL CARE</t>
  </si>
  <si>
    <t>FSH CS Elecsys V3.1</t>
  </si>
  <si>
    <t>TORCH</t>
  </si>
  <si>
    <t>DIAS ESTABILDAD</t>
  </si>
  <si>
    <t>c 111</t>
  </si>
  <si>
    <t>REACTIVO</t>
  </si>
  <si>
    <t>Cfas Proteins</t>
  </si>
  <si>
    <t>NaCL 9% cobas c 111</t>
  </si>
  <si>
    <t>Activator for cobas c,Integra,c111</t>
  </si>
  <si>
    <t>MICROALBUMINURIA</t>
  </si>
  <si>
    <t>PRODUCTO A ENVIAR</t>
  </si>
  <si>
    <t>ÁCIDO ÚRICO</t>
  </si>
  <si>
    <t>UA2, 1300T, cobas c pack green</t>
  </si>
  <si>
    <t>ALBÚMINA RUTINA</t>
  </si>
  <si>
    <t>ALB2, 750T, cobas c pack green</t>
  </si>
  <si>
    <t>Amilasa Serica</t>
  </si>
  <si>
    <t>AMYL2, 750T, cobas c pack green</t>
  </si>
  <si>
    <t>Amilasa Pancreatica</t>
  </si>
  <si>
    <t>AMY-P, 450T, cobas c pack green</t>
  </si>
  <si>
    <t>BILIRRUBINA TOTAL</t>
  </si>
  <si>
    <t>BILT3, 1050T, cobas c pack green</t>
  </si>
  <si>
    <t>Bilirrubina Directa Alto Rendimiento</t>
  </si>
  <si>
    <t>BILD2, 1000T, cobas c pack green</t>
  </si>
  <si>
    <t>CALCIO</t>
  </si>
  <si>
    <t>CA2, 1500T, cobas c pack green</t>
  </si>
  <si>
    <t>COLESTEROL</t>
  </si>
  <si>
    <t>CHOL2, 2600T, cobas c pack green</t>
  </si>
  <si>
    <t>Colinesterasa Gen 2</t>
  </si>
  <si>
    <t>CHE2, 1050T, cobas c pack green</t>
  </si>
  <si>
    <t>CREATIN KINASA</t>
  </si>
  <si>
    <t>CK, 500T, cobas c pack green</t>
  </si>
  <si>
    <t>FOSFATASA ALCALINA</t>
  </si>
  <si>
    <t>ALP2, 1100T, cobas c pack green</t>
  </si>
  <si>
    <t>FOSFORO TOTAL</t>
  </si>
  <si>
    <t>PHOS2, 750T, cobas c pack green</t>
  </si>
  <si>
    <t>γ-Glutamyltransferasa ver. 2</t>
  </si>
  <si>
    <t>GGT-2, 400T, cobas c pack green</t>
  </si>
  <si>
    <t>GLUCOSA</t>
  </si>
  <si>
    <t>GLUC3, 3300T, cobas c pack green</t>
  </si>
  <si>
    <t>HIERRO SÉRICO</t>
  </si>
  <si>
    <t>IRON2, 700T, cobas c pack green</t>
  </si>
  <si>
    <t>Lactato</t>
  </si>
  <si>
    <t>LACT2, 100T, cobas c pack green</t>
  </si>
  <si>
    <t>LDHI2, 850T, cobas c pack green</t>
  </si>
  <si>
    <t>LIPC, 200T, cobas c pack green</t>
  </si>
  <si>
    <t>MAGNESIO</t>
  </si>
  <si>
    <t>MG2, 690T, cobas c pack green</t>
  </si>
  <si>
    <t>ALT (PYP en el mismo reactivo)</t>
  </si>
  <si>
    <t>ALTP2, 800T, cobas c pack green</t>
  </si>
  <si>
    <t>AST (PYP en el mismo reactivo)</t>
  </si>
  <si>
    <t>ASTP2, 800T, cobas c pack green</t>
  </si>
  <si>
    <t>TRIGLICÉRIDOS</t>
  </si>
  <si>
    <t>TRIGL, 1000T, cobas c pack green</t>
  </si>
  <si>
    <t>UREA</t>
  </si>
  <si>
    <t>UREAL, 600T, cobas c pack green</t>
  </si>
  <si>
    <t>HBDH, 300T, cobas c pack green</t>
  </si>
  <si>
    <t>Albumin BC</t>
  </si>
  <si>
    <t>ALBP, 500T, cobas c pack green</t>
  </si>
  <si>
    <t>PROTEÍNAS TOTALES</t>
  </si>
  <si>
    <t>TP2, 1050T, cobas c pack green</t>
  </si>
  <si>
    <t>Creatinina Enzimatica</t>
  </si>
  <si>
    <t>CREP2, 600T, cobas c pack green</t>
  </si>
  <si>
    <t>Creatinina Jaffe</t>
  </si>
  <si>
    <t>CREAJ2, 2500T, cobas c pack green</t>
  </si>
  <si>
    <t>COLESTEROL HDL</t>
  </si>
  <si>
    <t>HDLC4, 700T, cobas c pack green</t>
  </si>
  <si>
    <t>COLESTEROL LDL</t>
  </si>
  <si>
    <t>LDLC3, 600T, cobas c pack green</t>
  </si>
  <si>
    <t>Apoliproteina A-1</t>
  </si>
  <si>
    <t>APOAT, 250T, cobas c pack green</t>
  </si>
  <si>
    <t>Apoliproteina B</t>
  </si>
  <si>
    <t>APOBT, 250T, cobas c pack green</t>
  </si>
  <si>
    <t>Indices Sericos</t>
  </si>
  <si>
    <t>SI2, 14500T, cobas c pack green</t>
  </si>
  <si>
    <t>Creatinin Kinasa MB</t>
  </si>
  <si>
    <t>CKMB, 150T, cobas c pack green</t>
  </si>
  <si>
    <t>ALBT2, 500T, cobas c pack green</t>
  </si>
  <si>
    <t>Proteinas en Orina y LCR</t>
  </si>
  <si>
    <t>TPUC3, 650T, cobas c pack green</t>
  </si>
  <si>
    <t>IGG-2, 300T, cobas c pack green</t>
  </si>
  <si>
    <t>Anti-Estreptolisina O (ASO)</t>
  </si>
  <si>
    <t>ASLOT, 200T, cobas c pack green</t>
  </si>
  <si>
    <t>Ceruloplasmina</t>
  </si>
  <si>
    <t>CERU, 200T, cobas c pack green</t>
  </si>
  <si>
    <t>Prealbumina</t>
  </si>
  <si>
    <t>PREA, 200T, cobas c pack green</t>
  </si>
  <si>
    <t>IGM-C, 150T, cobas c pack green</t>
  </si>
  <si>
    <t>IGA-C, 150T, cobas c pack green</t>
  </si>
  <si>
    <t>UIBC</t>
  </si>
  <si>
    <t>UIBC, 100T, cobas c pack green</t>
  </si>
  <si>
    <t>CRP CUANTITATIVA*</t>
  </si>
  <si>
    <t>CRP4, 500T, cobas c pack green</t>
  </si>
  <si>
    <t>Complemento C4</t>
  </si>
  <si>
    <t>C4-2, 150T, cobas c pack green</t>
  </si>
  <si>
    <t>Haptoglobina</t>
  </si>
  <si>
    <t>HAPT2, 200T, cobas c pack green</t>
  </si>
  <si>
    <t>Complemento C3</t>
  </si>
  <si>
    <t>C3C-2, 150T, cobas c pack green</t>
  </si>
  <si>
    <t>Cadenas Ligeras Totales Kappa</t>
  </si>
  <si>
    <t>KAPP2, 100T, cobas c pack green</t>
  </si>
  <si>
    <t>Cadenas Ligeras Totales Lambda</t>
  </si>
  <si>
    <t>LAMB2, 100T, cobas c pack green</t>
  </si>
  <si>
    <t>AAT2, 200T, cobas c pack green</t>
  </si>
  <si>
    <t>Transferrina</t>
  </si>
  <si>
    <t>TRSF2, 500T, cobas c pack green</t>
  </si>
  <si>
    <t>FERR4, 400T, cobas c pack green</t>
  </si>
  <si>
    <t>Inmunoglobulina M (Ig M) en suero</t>
  </si>
  <si>
    <t>IGM-2, 300T, cobas c pack green</t>
  </si>
  <si>
    <t>8057915190</t>
  </si>
  <si>
    <t>Inmunoglobulina G (Ig G) en suero</t>
  </si>
  <si>
    <t>Inmunoglobulina A (Ig A) en suero</t>
  </si>
  <si>
    <t>IGA-2, 300T, cobas c pack green</t>
  </si>
  <si>
    <t>Hemoglobina Glicosilada alto rendimiento</t>
  </si>
  <si>
    <t>Hemoglobina Glicosilada bajo rendimiento</t>
  </si>
  <si>
    <t>DIMERO D</t>
  </si>
  <si>
    <t>D-Dimer Gen.2,100Test,cobas c pack green</t>
  </si>
  <si>
    <t>B2-Microglobulina</t>
  </si>
  <si>
    <t>B2MG, 150T, cobas c pack green</t>
  </si>
  <si>
    <t>Lipoproteina A</t>
  </si>
  <si>
    <t>LPA2, 150T, cobas c pack green</t>
  </si>
  <si>
    <t>Cistatina C</t>
  </si>
  <si>
    <t>CYSC2, 250T, cobas c pack green</t>
  </si>
  <si>
    <t>Homocisteina</t>
  </si>
  <si>
    <t>HCYS, 100T, cobas c pack green</t>
  </si>
  <si>
    <t>Bicarbonato</t>
  </si>
  <si>
    <t>CO2-L, 250T, cobas c pack green</t>
  </si>
  <si>
    <t>Amonio Plasmatico</t>
  </si>
  <si>
    <t>NH3L2, 300T cobas c pack green</t>
  </si>
  <si>
    <t>Etanol alto rendimiento</t>
  </si>
  <si>
    <t>ETOH2, 850T, cobas c pack green</t>
  </si>
  <si>
    <t>Etanol bajo rendimiento</t>
  </si>
  <si>
    <t>ETOH2, 150T, cobas c pack green</t>
  </si>
  <si>
    <t>FRUCTOSAMINA</t>
  </si>
  <si>
    <t>FRA, 550T, cobas c pack green</t>
  </si>
  <si>
    <t>MYO2, 200T, cobas c pack green</t>
  </si>
  <si>
    <t>Factor Reumatoideo cuantitativo*</t>
  </si>
  <si>
    <t>RF-II, 400T, cobas c pack green</t>
  </si>
  <si>
    <t>PHNY2, 100T, cobas c pack green</t>
  </si>
  <si>
    <t>Fenobarbital</t>
  </si>
  <si>
    <t>PHNO2, 200T, cobas c pack green</t>
  </si>
  <si>
    <t>CARBAMAZEPINA</t>
  </si>
  <si>
    <t>CARB4, 500T, cobas c pack green</t>
  </si>
  <si>
    <t>Ácido valproico</t>
  </si>
  <si>
    <t>VALP2, 200T, cobas c pack green</t>
  </si>
  <si>
    <t>Vancomicina</t>
  </si>
  <si>
    <t>VANC3, 200T, cobas c pack green</t>
  </si>
  <si>
    <t>CONTROLES Y CALIBRADORES</t>
  </si>
  <si>
    <t>Cfas Lipids 3x1ML</t>
  </si>
  <si>
    <t>Cfas CK.MB 3x1ML</t>
  </si>
  <si>
    <t>C.f.a.s. PUC</t>
  </si>
  <si>
    <t>PreciControl ClinChem Multi 1,20x5ml</t>
  </si>
  <si>
    <t>PreciControl ClinChem Multi 2,20x5ml</t>
  </si>
  <si>
    <t>PreciControl ClinChem Multi 1 QCS,20x5ml</t>
  </si>
  <si>
    <t>PreciControl ClinChem Multi 2 QCS,20x5ml</t>
  </si>
  <si>
    <t>NH3/ETH/CO2 Calibrator</t>
  </si>
  <si>
    <t>NH3/ETH/CO2 Control N</t>
  </si>
  <si>
    <t>NH3/ETH/CO2 Control A</t>
  </si>
  <si>
    <t>PRECIMAT FRUC 3x1ML</t>
  </si>
  <si>
    <t>Reaction Cell for c 503 / c 513*</t>
  </si>
  <si>
    <t>Cassette</t>
  </si>
  <si>
    <t>NACl, cobas c pack green</t>
  </si>
  <si>
    <t>SMS, cobas c pack green</t>
  </si>
  <si>
    <t>Caja por 02 galoneras de 2L</t>
  </si>
  <si>
    <t>SCCS, 50mL, cobas c pack green</t>
  </si>
  <si>
    <t>A1CD, cobas c pack green</t>
  </si>
  <si>
    <t>Antigen Excess  Reagent  (START)</t>
  </si>
  <si>
    <t>START, 1000T, cobas c pack green</t>
  </si>
  <si>
    <t>Barcode Label 2,5x5,1cm</t>
  </si>
  <si>
    <t>A4 PRINTER PAPER</t>
  </si>
  <si>
    <t>RD Standard False Bottom Tube</t>
  </si>
  <si>
    <t>Reaction Cell for c303</t>
  </si>
  <si>
    <t>SISTEMA PARA ELECTROLITOS-ISE</t>
  </si>
  <si>
    <t>ISE Standard low 10x3ML</t>
  </si>
  <si>
    <t>ISE Standard high 10x3ML</t>
  </si>
  <si>
    <t>ISE cleaning solution Sys Clean</t>
  </si>
  <si>
    <t>Activator</t>
  </si>
  <si>
    <t>ISE DEPROTEINIZER cobas integra (6x21ML)</t>
  </si>
  <si>
    <t>ISE Diluent Gen.2, 2x2 Liter</t>
  </si>
  <si>
    <t>ISE Internal Stand Gen.2, 2x2 Liter</t>
  </si>
  <si>
    <t>ISE Reference Electrolyte, 2L</t>
  </si>
  <si>
    <t>ISE Reference Electrolyte 500ML</t>
  </si>
  <si>
    <t>REFERENCE ELECTRODE</t>
  </si>
  <si>
    <t>Electrodo sodio</t>
  </si>
  <si>
    <t>Electrodo potasio</t>
  </si>
  <si>
    <t>Electrodo cloro</t>
  </si>
  <si>
    <t>SISTEMA PARA ELECTROLITOS</t>
  </si>
  <si>
    <t>ISE Reference Electrolyte (5 × 300 mL)</t>
  </si>
  <si>
    <t>ISE Internal Standard Gen.2 (5 × 600 mL)</t>
  </si>
  <si>
    <t>ISE Diluent Gen.2 (5 × 300 mL)</t>
  </si>
  <si>
    <t>CORRIDA</t>
  </si>
  <si>
    <t>Cfas Lipids</t>
  </si>
  <si>
    <t>Cfas PUC</t>
  </si>
  <si>
    <t>ClinChem</t>
  </si>
  <si>
    <t>Cfas PAC</t>
  </si>
  <si>
    <t>Cfas protein</t>
  </si>
  <si>
    <t xml:space="preserve">Ammonia </t>
  </si>
  <si>
    <t>TDM</t>
  </si>
  <si>
    <t>cf.a.s. IgA/IgM CSF</t>
  </si>
  <si>
    <t>COBAS PURE c303</t>
  </si>
  <si>
    <t xml:space="preserve">Caja </t>
  </si>
  <si>
    <t>funda de 250</t>
  </si>
  <si>
    <t>rollo</t>
  </si>
  <si>
    <t>resma</t>
  </si>
  <si>
    <t>ALQUILER 303</t>
  </si>
  <si>
    <t>ALQUILER 503</t>
  </si>
  <si>
    <t>HAEMOLYSE REAGENT 800T COBAS C111</t>
  </si>
  <si>
    <t>ECO-D, 40T, cobas c pack green c303</t>
  </si>
  <si>
    <t>ECO-D, 40T, cobas c pack green c503</t>
  </si>
  <si>
    <t>NaOH-D, cobas c pack green c503</t>
  </si>
  <si>
    <t>Acid Wash 2x2 L c303</t>
  </si>
  <si>
    <t>Acid Wash 2x2 L c503</t>
  </si>
  <si>
    <t>Basic Wash 2x2 L c303</t>
  </si>
  <si>
    <t>Basic Wash 2x2 L c503</t>
  </si>
  <si>
    <t>NaOH-D, cobas c pack green c303</t>
  </si>
  <si>
    <t>COBAS PRO c503</t>
  </si>
  <si>
    <t>TOTAL DEL KIT</t>
  </si>
  <si>
    <t>TOTAL ENTREGA</t>
  </si>
  <si>
    <t>PVP UNITARIO</t>
  </si>
  <si>
    <t>ISE Reference Electrolyte 500ML c303</t>
  </si>
  <si>
    <t>ISE Reference Electrolyte, 2L c503</t>
  </si>
  <si>
    <t>ISE Diluent Gen.2, 2x2 Liter c303</t>
  </si>
  <si>
    <t>ISE Diluent Gen.2, 2x2 Liter c503</t>
  </si>
  <si>
    <t>ISE Internal Stand Gen.2, 2x2 Liter c503</t>
  </si>
  <si>
    <t>ISE Internal Stand Gen.2, 2x2 Liter c303</t>
  </si>
  <si>
    <t>POR ELECTROLITO</t>
  </si>
  <si>
    <t>TSH Elecsys E2G 300 V2</t>
  </si>
  <si>
    <t>T3 Elecsys E2G 300 V2</t>
  </si>
  <si>
    <t>T4 Elecsys E2G 300 V2</t>
  </si>
  <si>
    <t>FT3 G3 Elecsys E2G 300</t>
  </si>
  <si>
    <t>FT4 G3 Elecsys E2G 300</t>
  </si>
  <si>
    <t>TG G2 Elecsys E2G 300 V2</t>
  </si>
  <si>
    <t>Anti-TPO Elecsys E2G 300</t>
  </si>
  <si>
    <t>Anti-TG Elecsys E2G 300</t>
  </si>
  <si>
    <t>Anti-TSHR Elecsys E2G 300 V2</t>
  </si>
  <si>
    <t>LH Elecsys E2G 300</t>
  </si>
  <si>
    <t>FSH Elecsys E2G 300</t>
  </si>
  <si>
    <t>Estradiol G3 Elecsys E2G 300</t>
  </si>
  <si>
    <t>Progesterone G3 Elecsys E2G 300</t>
  </si>
  <si>
    <t>Prolactin G2 Elecsys E2G 300</t>
  </si>
  <si>
    <t>Testosterone G2 Elecsys E2G 300</t>
  </si>
  <si>
    <t>SHBG Elecsys E2G 300</t>
  </si>
  <si>
    <t>DHEA-S Elecsys E2G 100</t>
  </si>
  <si>
    <t>HCG+beta Elecsys E2G 300</t>
  </si>
  <si>
    <t>hCG STAT Elecsys E2G 100 V2</t>
  </si>
  <si>
    <t>Free HCGbeta Elecsys E2G 100 V2</t>
  </si>
  <si>
    <t>PAPP-A Elecsys E2G 100 V2</t>
  </si>
  <si>
    <t>PLGF Elecsys E2G 100</t>
  </si>
  <si>
    <t>sFLT1 Elecsys E2G 100</t>
  </si>
  <si>
    <t>C-Peptide Elecsys E2G 100</t>
  </si>
  <si>
    <t>Insulin Elecsys E2G 100</t>
  </si>
  <si>
    <t>Cortisol G2 Elecsys E2G 300</t>
  </si>
  <si>
    <t>Cortisol III Elecsys E2G 300</t>
  </si>
  <si>
    <t>ACTH Elecsys E2G 100</t>
  </si>
  <si>
    <t>hGH Elecsys E2G 100</t>
  </si>
  <si>
    <t>AMH plus Elecsys E2G 100 V2</t>
  </si>
  <si>
    <t>Total PSA Elecsys E2G 300 V2</t>
  </si>
  <si>
    <t>free PSA Elecsys E2G 300 V2</t>
  </si>
  <si>
    <t>AFP Elecsys E2G 300</t>
  </si>
  <si>
    <t>CEA Elecsys E2G 300</t>
  </si>
  <si>
    <t>CA 125 G2 Elecsys E2G 300</t>
  </si>
  <si>
    <t>CA 15-3 G2 Elecsys E2G 300</t>
  </si>
  <si>
    <t>CA 19-9 Elecsys E2G 300</t>
  </si>
  <si>
    <t>Cyfra 21-1 Elecsys E2G 300</t>
  </si>
  <si>
    <t>CA 72-4 Elecsys E2G 300</t>
  </si>
  <si>
    <t>NSE Elecsys E2G 300</t>
  </si>
  <si>
    <t>S100 Elecsys E2G 100 V2</t>
  </si>
  <si>
    <t>HE4 Elecsys E2G 100</t>
  </si>
  <si>
    <t>PIVKAII Elecsys E2G 300</t>
  </si>
  <si>
    <t>proGRP Elecsys E2G 100 V2</t>
  </si>
  <si>
    <t>SCC Elecsys E2G 100</t>
  </si>
  <si>
    <t>Digoxin Elecsys E2G 100</t>
  </si>
  <si>
    <t>CK-MB Elecsys E2G 100</t>
  </si>
  <si>
    <t>Myoglobin Elecsys E2G 100</t>
  </si>
  <si>
    <t>GDF-15 Elecsys E2G 100 V2</t>
  </si>
  <si>
    <t>Troponin T hs Elecsys E2G 300 V2.1</t>
  </si>
  <si>
    <t>Troponin I Elecsys E2G 300</t>
  </si>
  <si>
    <t>9315284190</t>
  </si>
  <si>
    <t>proBNP G2 Elecsys E2G 300 V2.1</t>
  </si>
  <si>
    <t>Calcitonin Elecsys E2G 100</t>
  </si>
  <si>
    <t>IL 6 Elecsys E2G 100 V2</t>
  </si>
  <si>
    <t>Ferritin Elecsys E2G 300</t>
  </si>
  <si>
    <t>Folate G3 Elecsys E2G 300</t>
  </si>
  <si>
    <t>Vitamin B12 G2 Elecsys E2G 300</t>
  </si>
  <si>
    <t>Active B12 Elecsys cobas E2G 300</t>
  </si>
  <si>
    <t>IgE G2 Elecsys E2G 100</t>
  </si>
  <si>
    <t>PTH Elecsys E2G 300</t>
  </si>
  <si>
    <t>PTH (1-84) Elecsys E2G 100</t>
  </si>
  <si>
    <t>Total P1NP Elecsys E2G 100</t>
  </si>
  <si>
    <t>9005781190</t>
  </si>
  <si>
    <t>B-CrossLaps/serum Elecsys E2G 100</t>
  </si>
  <si>
    <t>N-MID Osteocalcin Elecsys E2G 100</t>
  </si>
  <si>
    <t>7251670190</t>
  </si>
  <si>
    <t>Anti-CCP Elecsys E2G 100 V1</t>
  </si>
  <si>
    <t>9318747190</t>
  </si>
  <si>
    <t>PCT Brahms-Roche Elecsys E2G 300 V</t>
  </si>
  <si>
    <t>Vitamin D total G2 Elecsys E2G 300</t>
  </si>
  <si>
    <t>IGF-1 Elecsys E2G 100</t>
  </si>
  <si>
    <t>IGFBP-3 Elecsys E2G 100</t>
  </si>
  <si>
    <t>HIV duo Elecsys E2G 300 V2</t>
  </si>
  <si>
    <t>HCV Duo Elecsys E2G 300</t>
  </si>
  <si>
    <t>Anti-HAV G2 Elecsys E2G 300</t>
  </si>
  <si>
    <t>Anti-HAV IgM Elecsys E2G 300</t>
  </si>
  <si>
    <t>HBsAg G2 Elecsys E2G 300 V2</t>
  </si>
  <si>
    <t>Anti-HBs G2 Elecsys E2G 300 V2</t>
  </si>
  <si>
    <t>HBeAg Elecsys E2G 300</t>
  </si>
  <si>
    <t>Anti-HBe Elecsys E2G 300</t>
  </si>
  <si>
    <t>Anti-HBc G2 Elecsys E2G 300</t>
  </si>
  <si>
    <t>Anti-HBc IgM Elecsys E2G 300</t>
  </si>
  <si>
    <t>Anti-HCV G2 Elecsys E2G 300 V2</t>
  </si>
  <si>
    <t>Rubella IgG Elecsys E2G 300</t>
  </si>
  <si>
    <t>Rubella IgM Elecsys E2G 300</t>
  </si>
  <si>
    <t>Toxo IgG Elecsys E2G 300</t>
  </si>
  <si>
    <t>Toxo IgG Avidity Elecsys E2G 100</t>
  </si>
  <si>
    <t>Toxo IgM Elecsys E2G 300</t>
  </si>
  <si>
    <t>CMV IgG Elecsys E2G 300 V2</t>
  </si>
  <si>
    <t>CMV IgG Avidity Elecsys E2G 100 V2</t>
  </si>
  <si>
    <t>CMV IgM Elecsys E2G 300</t>
  </si>
  <si>
    <t>HSV-1 IgG Elecsys E2G 100 V2</t>
  </si>
  <si>
    <t>HSV-2 IgG Elecsys E2G 100 V2</t>
  </si>
  <si>
    <t>EBV IGM ELECSYS E2G 300</t>
  </si>
  <si>
    <t>EBV VCA IGG ELECSYS E2G 300</t>
  </si>
  <si>
    <t>EBV EBNA IGG ELECSYS E2G 300</t>
  </si>
  <si>
    <t>HTLV Elecsys E2G 300 V2</t>
  </si>
  <si>
    <t>SYPHILIS ELECSYS E2G 300 V2</t>
  </si>
  <si>
    <t>Chagas Elecsys E2G 300 V2</t>
  </si>
  <si>
    <t>Anti-SARS-CoV-2 Elecsys E2G 300</t>
  </si>
  <si>
    <t>Anti-SARS-CoV-2 S Elecsys E2G 300</t>
  </si>
  <si>
    <t>SARS-CoV-2 Ag Elecsys E2G 300</t>
  </si>
  <si>
    <t>Cyclosporine Elecsys E2G 300</t>
  </si>
  <si>
    <t>Everolimus Elecsys E2G 100</t>
  </si>
  <si>
    <t>Sirolimus Elecsys E2G 100</t>
  </si>
  <si>
    <t>Tacrolimus Elecsys E2G 300</t>
  </si>
  <si>
    <t>T3 CalSet</t>
  </si>
  <si>
    <t>T4 CalSet</t>
  </si>
  <si>
    <t>FT3 III CalSet</t>
  </si>
  <si>
    <t>CalSet FT4 III</t>
  </si>
  <si>
    <t>Tg II CalSet</t>
  </si>
  <si>
    <t xml:space="preserve">Anti‑TPO CalSet </t>
  </si>
  <si>
    <t>Anti‑Tg CalSet</t>
  </si>
  <si>
    <t>CalSet Anti‑TSHR</t>
  </si>
  <si>
    <t>LH CalSet II</t>
  </si>
  <si>
    <t>FSH CS Elecsys V3</t>
  </si>
  <si>
    <t xml:space="preserve">Estradiol III CalSet </t>
  </si>
  <si>
    <t>Progesterone III CalSet</t>
  </si>
  <si>
    <t>Prolactin II CalSet</t>
  </si>
  <si>
    <t xml:space="preserve">Testosterone II CalSet II </t>
  </si>
  <si>
    <t>SHBG CalSet</t>
  </si>
  <si>
    <t xml:space="preserve">DHEA‑S CalSet  </t>
  </si>
  <si>
    <t>HCG+β CalSet</t>
  </si>
  <si>
    <t xml:space="preserve">HCG STAT CalSet  </t>
  </si>
  <si>
    <t xml:space="preserve">free βhCG CalSet  </t>
  </si>
  <si>
    <t>PAPP‑A CalSet</t>
  </si>
  <si>
    <t>PlGF CalSet</t>
  </si>
  <si>
    <t xml:space="preserve">sFlt‑1 CalSet  </t>
  </si>
  <si>
    <t>C‑Peptide CalSet</t>
  </si>
  <si>
    <t>Insulin CalSet</t>
  </si>
  <si>
    <t>Cortisol II CalSet</t>
  </si>
  <si>
    <t>CalSet Cortisol III Urine</t>
  </si>
  <si>
    <t>ACTH CalSet</t>
  </si>
  <si>
    <t>hGH CalSet</t>
  </si>
  <si>
    <t>CalSet AMH Plus</t>
  </si>
  <si>
    <t>total PSA CalSet II</t>
  </si>
  <si>
    <t>free PSA CalSet</t>
  </si>
  <si>
    <t>AFP CalSet II</t>
  </si>
  <si>
    <t>CEA CalSet</t>
  </si>
  <si>
    <t>CA 125 II CalSet</t>
  </si>
  <si>
    <t>CA 15-3 II CalSet</t>
  </si>
  <si>
    <t>CA 19‑9 CalSet</t>
  </si>
  <si>
    <t>CYFRA 21‑1 CalSet</t>
  </si>
  <si>
    <t>CA 72‑4 CalSet</t>
  </si>
  <si>
    <t xml:space="preserve">NSE CalSet  </t>
  </si>
  <si>
    <t xml:space="preserve">S100 CalSet </t>
  </si>
  <si>
    <t>HE4 CalSet</t>
  </si>
  <si>
    <t xml:space="preserve">CalSet PIVKA‑II  </t>
  </si>
  <si>
    <t>ProGRP CalSet</t>
  </si>
  <si>
    <t>SCC CalSet</t>
  </si>
  <si>
    <t>Digoxin CalSet</t>
  </si>
  <si>
    <t>CalSet CK‑MB</t>
  </si>
  <si>
    <t>CalSet Myoglobin</t>
  </si>
  <si>
    <t xml:space="preserve">CalSet GDF‑15 </t>
  </si>
  <si>
    <t>Troponin T hs CS Elecsys E2G V1.1</t>
  </si>
  <si>
    <t xml:space="preserve">CalSet Troponin I  </t>
  </si>
  <si>
    <t>9315314190</t>
  </si>
  <si>
    <t>proBNP G2 CS Elecsys E2G V2.1</t>
  </si>
  <si>
    <t>Calcitonin CalSet</t>
  </si>
  <si>
    <t>Elecsys IL 6 Calset</t>
  </si>
  <si>
    <t>Ferritin CalSet</t>
  </si>
  <si>
    <t>CalSet Folate</t>
  </si>
  <si>
    <t>Vitamin B12 II CalSet</t>
  </si>
  <si>
    <t xml:space="preserve">CalSet Active B12 </t>
  </si>
  <si>
    <t>IgE CalSet</t>
  </si>
  <si>
    <t>CalSet PTH</t>
  </si>
  <si>
    <t>PTH (1‑84) CalSet</t>
  </si>
  <si>
    <t>total P1NP CalSet</t>
  </si>
  <si>
    <t>β‑CrossLaps CalSet</t>
  </si>
  <si>
    <t xml:space="preserve">N‑MID Osteocalcin CalSet  </t>
  </si>
  <si>
    <t>CalSet Vitamin D total III</t>
  </si>
  <si>
    <t>CalSet IGF‑1</t>
  </si>
  <si>
    <t xml:space="preserve">CalSet IGFBP‑3  </t>
  </si>
  <si>
    <t>CalSet Anti‑SARS‑CoV‑2 S</t>
  </si>
  <si>
    <t>Cyclosporine CalSet</t>
  </si>
  <si>
    <t xml:space="preserve">Everolimus CalSet </t>
  </si>
  <si>
    <t xml:space="preserve">Sirolimus CalSet  </t>
  </si>
  <si>
    <t>Tacrolimus CalSet</t>
  </si>
  <si>
    <t>PreciControl Cortisol Urine</t>
  </si>
  <si>
    <t>PreciControl HCC</t>
  </si>
  <si>
    <t>AssayTip/AssayCup tray</t>
  </si>
  <si>
    <t>Diluent MultiAssay E2G</t>
  </si>
  <si>
    <t>Diluent Universal E2G</t>
  </si>
  <si>
    <t>Elecsys Progesteron Diluent</t>
  </si>
  <si>
    <t>PreClean M G2 2x2L Elecsys E2G</t>
  </si>
  <si>
    <t>CleanCell M 2x2 L Elecsys,cobas e</t>
  </si>
  <si>
    <t>ProCell M G2 2x2L Elecsys E2G</t>
  </si>
  <si>
    <t>BlankCell High Elecsys E2G</t>
  </si>
  <si>
    <t>CellCheck Gen2 Elecsys E2G</t>
  </si>
  <si>
    <t>HBQ Sample Set Elecsys,cobas e</t>
  </si>
  <si>
    <t>Cobas sample cup 5000pcs</t>
  </si>
  <si>
    <t>ControlSet Vials Elecsys,cobas e</t>
  </si>
  <si>
    <t>ISD Sample PT Elecsys cobas e 100</t>
  </si>
  <si>
    <t>Folate RBC Hemolyzing Elecsys,cobas e</t>
  </si>
  <si>
    <t>SARS-CoV-2 Extraction Solution</t>
  </si>
  <si>
    <t>SARS-CoV-2 Extraction Solution C</t>
  </si>
  <si>
    <t>HBsAg Confirmatory Elecsys cobas e</t>
  </si>
  <si>
    <t>Reservoir cup Assy</t>
  </si>
  <si>
    <t>PW LFC CUP ASSY</t>
  </si>
  <si>
    <t>ISE CLEANING SOLUTION</t>
  </si>
  <si>
    <t>COBAS PURE e402</t>
  </si>
  <si>
    <t>COBAS PRO e801</t>
  </si>
  <si>
    <t>PC TM</t>
  </si>
  <si>
    <t>PC MATERNAL CARE</t>
  </si>
  <si>
    <t>PC MULTIMARKER</t>
  </si>
  <si>
    <t>PC GROWTH</t>
  </si>
  <si>
    <t>PC CARDIAC</t>
  </si>
  <si>
    <t>PC TROPONIN</t>
  </si>
  <si>
    <t>PC VARIA</t>
  </si>
  <si>
    <t>ISD Sample PT</t>
  </si>
  <si>
    <t xml:space="preserve">PRESENTACION </t>
  </si>
  <si>
    <t>NH3L Ammonia</t>
  </si>
  <si>
    <t>Ammonia/Ethanol/CO2 Control Normal</t>
  </si>
  <si>
    <t>VALOR POR CAJA</t>
  </si>
  <si>
    <t>ALQUILER e402</t>
  </si>
  <si>
    <t>ALQUILER e801</t>
  </si>
  <si>
    <t>PreClean M G2 2x2L Elecsys E2G e801</t>
  </si>
  <si>
    <t>PreClean M G2 2x2L Elecsys E2G e402</t>
  </si>
  <si>
    <t>CleanCell M 2x2 L Elecsys,cobas e801</t>
  </si>
  <si>
    <t>CleanCell M 2x2 L Elecsys,cobas e402</t>
  </si>
  <si>
    <t>ProCell M G2 2x2L Elecsys E2G e801</t>
  </si>
  <si>
    <t>ProCell M G2 2x2L Elecsys E2G e402</t>
  </si>
  <si>
    <t>cfas</t>
  </si>
  <si>
    <t>cfas Lipids</t>
  </si>
  <si>
    <t>Calibrator f.a.s. CK‑MB</t>
  </si>
  <si>
    <t>FECHA MAXIMA PARA CALCULO DE CONSUMIBLES (NO MENOR A 48 HORAS)</t>
  </si>
  <si>
    <t>Actualización: 08 enero 2026. 16:06</t>
  </si>
  <si>
    <t>Estado de equipo: Propio / Alquilado /Nuevo /Reservado/ Serie (FAM)</t>
  </si>
  <si>
    <t>Se debe instalar a la par del equipo principal? SI/NO</t>
  </si>
  <si>
    <t>Requiere equipo complementario) SI/NO</t>
  </si>
  <si>
    <t>Equipo complementario, para que prueba</t>
  </si>
  <si>
    <r>
      <rPr>
        <sz val="8"/>
        <color theme="1"/>
        <rFont val="Calibri"/>
        <family val="2"/>
      </rPr>
      <t xml:space="preserve">Número de pacientes </t>
    </r>
    <r>
      <rPr>
        <b/>
        <sz val="8"/>
        <color theme="1"/>
        <rFont val="Calibri"/>
        <family val="2"/>
      </rPr>
      <t>MENSUAL</t>
    </r>
  </si>
  <si>
    <t>Póliza de Fiel Cumplimiento del Contrato</t>
  </si>
  <si>
    <t>Router para Internet</t>
  </si>
  <si>
    <t>Computadores</t>
  </si>
  <si>
    <t>Mantenimiento Computador</t>
  </si>
  <si>
    <t>Impresora</t>
  </si>
  <si>
    <t>Toner para impresora de equipos (en caso de dejar las impresoras)</t>
  </si>
  <si>
    <t>Lector inalambrico de codigo de barra</t>
  </si>
  <si>
    <t>Mantenimiento sistema de osmosis</t>
  </si>
  <si>
    <t>Sistema de prefiltracion</t>
  </si>
  <si>
    <t>Mantenimiento sistema pre filtración</t>
  </si>
  <si>
    <t>FILTER NOM. P/SEDIMENTS PX10-20XX  PURTR (CARBON - AZUL)</t>
  </si>
  <si>
    <t>FILTER NOM.P/SEDIMENTS GX05-20XX  HYTREX (FIBRA - PAPEL - PAPEL)</t>
  </si>
  <si>
    <t>Modificaciones de espacio fisico - estructura</t>
  </si>
  <si>
    <t>Modificaciones de espacio fisico - mobiliario</t>
  </si>
  <si>
    <t>Rollo x2000 uds</t>
  </si>
  <si>
    <t>Tubos eppendorf X 500 UDS</t>
  </si>
  <si>
    <t xml:space="preserve">Otros </t>
  </si>
  <si>
    <t>capacitacion, tiempo, lugar, dias, break, material, alojamiento, etc</t>
  </si>
  <si>
    <t>Mantenimiento Impresora</t>
  </si>
  <si>
    <t>Mantenimiento Impresora Zebra Termica ZD230 ETHERNET Y USB</t>
  </si>
  <si>
    <t>Mantenimiento Climatizacion</t>
  </si>
  <si>
    <t>Mantenimiento Refrigerador panorámico</t>
  </si>
  <si>
    <t>Mantenimiento Refrigerador médico</t>
  </si>
  <si>
    <t>Mantenimiento Centrifuga</t>
  </si>
  <si>
    <t>x</t>
  </si>
  <si>
    <t>MG2, 100T, COBAS C 111</t>
  </si>
  <si>
    <t>APOAT, 100TESTS, COBAS C, INTEGRA</t>
  </si>
  <si>
    <t>α-Hydroxybutyrate Dehydrogenase Gen.2</t>
  </si>
  <si>
    <t>Tina-quant IgM CSF</t>
  </si>
  <si>
    <t>Tina-quant IgA CSF</t>
  </si>
  <si>
    <t>Tina-quant α1-Antitrypsin ver.2</t>
  </si>
  <si>
    <t>Tina-quant Ferritin Gen.4</t>
  </si>
  <si>
    <t>A1CX4, 500T, cobas c pack green</t>
  </si>
  <si>
    <t>A1CX4, 200T, cobas c pack green</t>
  </si>
  <si>
    <t>Tina-quant Myoglobin Gen.2</t>
  </si>
  <si>
    <t>Fenitoína libre y total</t>
  </si>
  <si>
    <t>1.01E+13</t>
  </si>
  <si>
    <t>PreciControl Cardiac II</t>
  </si>
  <si>
    <t>PreciControl HE4</t>
  </si>
  <si>
    <t>PreciControl Lung Cancer</t>
  </si>
  <si>
    <t>PreciControl Anti‑CCP</t>
  </si>
  <si>
    <t>PreciControl Vitamin D total III</t>
  </si>
  <si>
    <t>PreciControl Anti‑HAV II</t>
  </si>
  <si>
    <t>PreciControl HBsAg II</t>
  </si>
  <si>
    <t>PreciControl Anti‑HBc II</t>
  </si>
  <si>
    <t>PreciControl Toxo IgG</t>
  </si>
  <si>
    <t>PreciControl HSV</t>
  </si>
  <si>
    <t>PreciControl EBV EBNA IgG</t>
  </si>
  <si>
    <t>2.61</t>
  </si>
  <si>
    <t>2.17</t>
  </si>
  <si>
    <t>1.00</t>
  </si>
  <si>
    <t>1.45</t>
  </si>
  <si>
    <t>13.04</t>
  </si>
  <si>
    <t>12.17</t>
  </si>
  <si>
    <t>8.11</t>
  </si>
  <si>
    <t>1.01</t>
  </si>
  <si>
    <t>1.09</t>
  </si>
  <si>
    <t>4.35</t>
  </si>
  <si>
    <t>MEMBRANE EQ.OSMOSIS, AG2521TF 2.5 DIAM</t>
  </si>
  <si>
    <t>FAM154</t>
  </si>
  <si>
    <t>RESINA MIXTA GRANEL X KG</t>
  </si>
  <si>
    <t>FAM00001143</t>
  </si>
  <si>
    <t>SAL EN GRANO X QUINTAL</t>
  </si>
  <si>
    <t>36.5</t>
  </si>
  <si>
    <t>40.56</t>
  </si>
  <si>
    <t>UNITARIO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</si>
</sst>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_(&quot;$&quot;\ * #,##0.00_);_(&quot;$&quot;\ * \(#,##0.00\);_(&quot;$&quot;\ * &quot;-&quot;??_);_(@_)"/>
    <numFmt numFmtId="165" formatCode="_-&quot;$&quot;* #,##0.00_-;\-&quot;$&quot;* #,##0.00_-;_-&quot;$&quot;* &quot;-&quot;??_-;_-@"/>
    <numFmt numFmtId="166" formatCode="0.000000000"/>
    <numFmt numFmtId="167" formatCode="0.0"/>
  </numFmts>
  <fonts count="2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  <scheme val="minor"/>
    </font>
    <font>
      <sz val="11"/>
      <name val="Calibri"/>
      <family val="2"/>
    </font>
    <font>
      <sz val="8"/>
      <color rgb="FF1F1F1F"/>
      <name val="Calibri"/>
      <family val="2"/>
    </font>
    <font>
      <sz val="8"/>
      <color rgb="FF000000"/>
      <name val="Calibri"/>
      <family val="2"/>
    </font>
    <font>
      <sz val="8"/>
      <color rgb="FF222222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sz val="11"/>
      <color theme="1"/>
      <name val="Calibri"/>
      <family val="2"/>
    </font>
    <font>
      <sz val="8"/>
      <color rgb="FF000000"/>
      <name val="Calibri"/>
      <family val="2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  <font>
      <b/>
      <sz val="8"/>
      <name val="Calibri"/>
      <family val="2"/>
    </font>
    <font>
      <vertAlign val="superscript"/>
      <sz val="8"/>
      <color theme="1"/>
      <name val="Calibri"/>
      <family val="2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</fonts>
  <fills count="125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DEEAF6"/>
        <bgColor rgb="FFDEEAF6"/>
      </patternFill>
    </fill>
    <fill>
      <patternFill patternType="solid">
        <fgColor rgb="FFFFFF99"/>
        <bgColor rgb="FFFFFF99"/>
      </patternFill>
    </fill>
    <fill>
      <patternFill patternType="solid">
        <fgColor rgb="FFBDD6EE"/>
        <bgColor rgb="FFBDD6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FFFF99"/>
      </patternFill>
    </fill>
    <fill>
      <patternFill patternType="solid">
        <fgColor rgb="FFFFC000"/>
        <bgColor rgb="FFFFFF9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FFFF9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8CEA1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B098D8"/>
        <bgColor indexed="64"/>
      </patternFill>
    </fill>
    <fill>
      <patternFill patternType="solid">
        <fgColor rgb="FFBCC793"/>
        <bgColor indexed="64"/>
      </patternFill>
    </fill>
    <fill>
      <patternFill patternType="solid">
        <fgColor rgb="FFAA6670"/>
        <bgColor indexed="64"/>
      </patternFill>
    </fill>
    <fill>
      <patternFill patternType="solid">
        <fgColor rgb="FFD993A0"/>
        <bgColor indexed="64"/>
      </patternFill>
    </fill>
    <fill>
      <patternFill patternType="solid">
        <fgColor rgb="FFDDCFA3"/>
        <bgColor indexed="64"/>
      </patternFill>
    </fill>
    <fill>
      <patternFill patternType="solid">
        <fgColor rgb="FFACFAA8"/>
        <bgColor indexed="64"/>
      </patternFill>
    </fill>
    <fill>
      <patternFill patternType="solid">
        <fgColor rgb="FFCF854D"/>
        <bgColor indexed="64"/>
      </patternFill>
    </fill>
    <fill>
      <patternFill patternType="solid">
        <fgColor rgb="FFDBD6E6"/>
        <bgColor indexed="64"/>
      </patternFill>
    </fill>
    <fill>
      <patternFill patternType="solid">
        <fgColor rgb="FFF2C0ED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3493A6"/>
        <bgColor indexed="64"/>
      </patternFill>
    </fill>
    <fill>
      <patternFill patternType="solid">
        <fgColor rgb="FFBE53CD"/>
        <bgColor indexed="64"/>
      </patternFill>
    </fill>
    <fill>
      <patternFill patternType="solid">
        <fgColor rgb="FFC6FEF5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C6C6F2"/>
        <bgColor indexed="64"/>
      </patternFill>
    </fill>
    <fill>
      <patternFill patternType="solid">
        <fgColor rgb="FFD0BAC4"/>
        <bgColor indexed="64"/>
      </patternFill>
    </fill>
    <fill>
      <patternFill patternType="solid">
        <fgColor rgb="FFACC767"/>
        <bgColor indexed="64"/>
      </patternFill>
    </fill>
    <fill>
      <patternFill patternType="solid">
        <fgColor rgb="FFC74567"/>
        <bgColor indexed="64"/>
      </patternFill>
    </fill>
    <fill>
      <patternFill patternType="solid">
        <fgColor rgb="FF71BD7F"/>
        <bgColor indexed="64"/>
      </patternFill>
    </fill>
    <fill>
      <patternFill patternType="solid">
        <fgColor rgb="FF3098C2"/>
        <bgColor indexed="64"/>
      </patternFill>
    </fill>
    <fill>
      <patternFill patternType="solid">
        <fgColor rgb="FFDBAFD1"/>
        <bgColor indexed="64"/>
      </patternFill>
    </fill>
    <fill>
      <patternFill patternType="solid">
        <fgColor rgb="FFD46340"/>
        <bgColor indexed="64"/>
      </patternFill>
    </fill>
    <fill>
      <patternFill patternType="solid">
        <fgColor rgb="FFDCEDD3"/>
        <bgColor indexed="64"/>
      </patternFill>
    </fill>
    <fill>
      <patternFill patternType="solid">
        <fgColor rgb="FFDFD4BF"/>
        <bgColor indexed="64"/>
      </patternFill>
    </fill>
    <fill>
      <patternFill patternType="solid">
        <fgColor rgb="FF724263"/>
        <bgColor indexed="64"/>
      </patternFill>
    </fill>
    <fill>
      <patternFill patternType="solid">
        <fgColor rgb="FF265027"/>
        <bgColor indexed="64"/>
      </patternFill>
    </fill>
    <fill>
      <patternFill patternType="solid">
        <fgColor rgb="FF8A1E75"/>
        <bgColor indexed="64"/>
      </patternFill>
    </fill>
    <fill>
      <patternFill patternType="solid">
        <fgColor theme="1" tint="0.499984740745262"/>
        <bgColor rgb="FFBFBFBF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theme="2" tint="-9.9978637043366805E-2"/>
        <bgColor rgb="FFBFBFBF"/>
      </patternFill>
    </fill>
    <fill>
      <patternFill patternType="solid">
        <fgColor theme="2" tint="-9.9978637043366805E-2"/>
        <bgColor rgb="FFD8D8D8"/>
      </patternFill>
    </fill>
    <fill>
      <patternFill patternType="solid">
        <fgColor rgb="FFD9D9D9"/>
        <bgColor rgb="FFD8D8D8"/>
      </patternFill>
    </fill>
    <fill>
      <patternFill patternType="solid">
        <fgColor rgb="FFD9D9D9"/>
        <bgColor rgb="FFBFBFBF"/>
      </patternFill>
    </fill>
    <fill>
      <patternFill patternType="solid">
        <fgColor rgb="FFD9D9D9"/>
        <bgColor indexed="64"/>
      </patternFill>
    </fill>
    <fill>
      <patternFill patternType="solid">
        <fgColor rgb="FFD9D9D9"/>
        <bgColor rgb="FFFFFF99"/>
      </patternFill>
    </fill>
    <fill>
      <patternFill patternType="solid">
        <fgColor rgb="FFDF6FCC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9933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249977111117893"/>
        <bgColor rgb="FFBFBFBF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rgb="FFFFFF99"/>
      </patternFill>
    </fill>
    <fill>
      <patternFill patternType="solid">
        <fgColor theme="2" tint="-0.249977111117893"/>
        <bgColor rgb="FFA5A5A5"/>
      </patternFill>
    </fill>
    <fill>
      <patternFill patternType="solid">
        <fgColor rgb="FF92D050"/>
        <bgColor rgb="FFD8D8D8"/>
      </patternFill>
    </fill>
    <fill>
      <patternFill patternType="solid">
        <fgColor rgb="FF92D050"/>
        <bgColor rgb="FFBFBFBF"/>
      </patternFill>
    </fill>
    <fill>
      <patternFill patternType="solid">
        <fgColor rgb="FF00FF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3ADD0"/>
        <bgColor indexed="64"/>
      </patternFill>
    </fill>
    <fill>
      <patternFill patternType="solid">
        <fgColor rgb="FFD3EC4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1E0F8"/>
        <bgColor indexed="64"/>
      </patternFill>
    </fill>
    <fill>
      <patternFill patternType="solid">
        <fgColor rgb="FFA9636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4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</borders>
  <cellStyleXfs count="3">
    <xf numFmtId="0" fontId="0" fillId="0" borderId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92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/>
    </xf>
    <xf numFmtId="164" fontId="1" fillId="2" borderId="1" xfId="0" applyNumberFormat="1" applyFont="1" applyFill="1" applyBorder="1"/>
    <xf numFmtId="1" fontId="1" fillId="2" borderId="1" xfId="0" applyNumberFormat="1" applyFont="1" applyFill="1" applyBorder="1" applyAlignment="1">
      <alignment horizontal="center"/>
    </xf>
    <xf numFmtId="1" fontId="1" fillId="2" borderId="2" xfId="0" applyNumberFormat="1" applyFont="1" applyFill="1" applyBorder="1" applyAlignment="1">
      <alignment horizontal="center"/>
    </xf>
    <xf numFmtId="2" fontId="1" fillId="2" borderId="2" xfId="0" applyNumberFormat="1" applyFont="1" applyFill="1" applyBorder="1"/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1" fontId="2" fillId="3" borderId="2" xfId="0" applyNumberFormat="1" applyFont="1" applyFill="1" applyBorder="1"/>
    <xf numFmtId="0" fontId="1" fillId="3" borderId="2" xfId="0" applyFont="1" applyFill="1" applyBorder="1" applyAlignment="1">
      <alignment vertical="top"/>
    </xf>
    <xf numFmtId="0" fontId="1" fillId="3" borderId="2" xfId="0" applyFont="1" applyFill="1" applyBorder="1" applyAlignment="1">
      <alignment horizontal="left" vertical="top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/>
    <xf numFmtId="0" fontId="1" fillId="0" borderId="1" xfId="0" applyFont="1" applyBorder="1" applyAlignment="1">
      <alignment wrapText="1"/>
    </xf>
    <xf numFmtId="0" fontId="2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vertical="center" wrapText="1"/>
    </xf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6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  <xf numFmtId="165" fontId="1" fillId="0" borderId="1" xfId="0" applyNumberFormat="1" applyFont="1" applyBorder="1" applyAlignment="1">
      <alignment horizontal="left" wrapText="1"/>
    </xf>
    <xf numFmtId="0" fontId="1" fillId="6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wrapText="1"/>
    </xf>
    <xf numFmtId="0" fontId="6" fillId="6" borderId="1" xfId="0" applyFont="1" applyFill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7" fillId="0" borderId="0" xfId="0" applyFont="1"/>
    <xf numFmtId="0" fontId="7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wrapText="1"/>
    </xf>
    <xf numFmtId="0" fontId="1" fillId="6" borderId="1" xfId="0" applyFont="1" applyFill="1" applyBorder="1"/>
    <xf numFmtId="166" fontId="1" fillId="0" borderId="1" xfId="0" applyNumberFormat="1" applyFont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2" fillId="4" borderId="23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 wrapText="1"/>
    </xf>
    <xf numFmtId="0" fontId="3" fillId="4" borderId="23" xfId="0" applyFont="1" applyFill="1" applyBorder="1" applyAlignment="1">
      <alignment horizontal="center" vertical="center" wrapText="1"/>
    </xf>
    <xf numFmtId="1" fontId="2" fillId="3" borderId="2" xfId="0" applyNumberFormat="1" applyFont="1" applyFill="1" applyBorder="1" applyAlignment="1">
      <alignment horizontal="center"/>
    </xf>
    <xf numFmtId="1" fontId="1" fillId="3" borderId="2" xfId="0" applyNumberFormat="1" applyFont="1" applyFill="1" applyBorder="1" applyAlignment="1">
      <alignment horizontal="center"/>
    </xf>
    <xf numFmtId="1" fontId="0" fillId="0" borderId="4" xfId="0" applyNumberFormat="1" applyBorder="1"/>
    <xf numFmtId="0" fontId="1" fillId="0" borderId="4" xfId="0" applyFont="1" applyBorder="1"/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1" fontId="1" fillId="0" borderId="4" xfId="0" applyNumberFormat="1" applyFont="1" applyBorder="1" applyAlignment="1">
      <alignment horizontal="center"/>
    </xf>
    <xf numFmtId="1" fontId="1" fillId="8" borderId="4" xfId="0" applyNumberFormat="1" applyFont="1" applyFill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44" fontId="0" fillId="0" borderId="4" xfId="0" applyNumberFormat="1" applyBorder="1"/>
    <xf numFmtId="0" fontId="0" fillId="0" borderId="4" xfId="0" applyBorder="1"/>
    <xf numFmtId="0" fontId="1" fillId="0" borderId="24" xfId="0" applyFont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64" fontId="1" fillId="2" borderId="25" xfId="0" applyNumberFormat="1" applyFont="1" applyFill="1" applyBorder="1"/>
    <xf numFmtId="2" fontId="1" fillId="0" borderId="26" xfId="0" applyNumberFormat="1" applyFont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0" borderId="26" xfId="0" applyFont="1" applyBorder="1" applyAlignment="1">
      <alignment horizontal="center"/>
    </xf>
    <xf numFmtId="44" fontId="0" fillId="9" borderId="4" xfId="0" applyNumberFormat="1" applyFill="1" applyBorder="1"/>
    <xf numFmtId="44" fontId="0" fillId="10" borderId="4" xfId="0" applyNumberFormat="1" applyFill="1" applyBorder="1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44" fontId="0" fillId="0" borderId="0" xfId="0" applyNumberFormat="1"/>
    <xf numFmtId="0" fontId="11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vertical="top"/>
    </xf>
    <xf numFmtId="0" fontId="11" fillId="0" borderId="2" xfId="0" applyFont="1" applyBorder="1" applyAlignment="1">
      <alignment horizontal="center"/>
    </xf>
    <xf numFmtId="44" fontId="0" fillId="0" borderId="29" xfId="0" applyNumberFormat="1" applyBorder="1"/>
    <xf numFmtId="0" fontId="2" fillId="11" borderId="23" xfId="0" applyFont="1" applyFill="1" applyBorder="1" applyAlignment="1">
      <alignment horizontal="center" vertical="center" wrapText="1"/>
    </xf>
    <xf numFmtId="0" fontId="2" fillId="12" borderId="23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1" fillId="0" borderId="3" xfId="0" applyFont="1" applyBorder="1"/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1" fontId="0" fillId="0" borderId="23" xfId="0" applyNumberFormat="1" applyBorder="1" applyAlignment="1">
      <alignment horizontal="center"/>
    </xf>
    <xf numFmtId="44" fontId="0" fillId="0" borderId="23" xfId="0" applyNumberFormat="1" applyBorder="1"/>
    <xf numFmtId="10" fontId="0" fillId="0" borderId="0" xfId="1" applyNumberFormat="1" applyFont="1"/>
    <xf numFmtId="44" fontId="0" fillId="13" borderId="4" xfId="0" applyNumberFormat="1" applyFill="1" applyBorder="1"/>
    <xf numFmtId="0" fontId="2" fillId="14" borderId="23" xfId="0" applyFont="1" applyFill="1" applyBorder="1" applyAlignment="1">
      <alignment horizontal="center" vertical="center" wrapText="1"/>
    </xf>
    <xf numFmtId="44" fontId="0" fillId="9" borderId="0" xfId="0" applyNumberFormat="1" applyFill="1"/>
    <xf numFmtId="0" fontId="12" fillId="0" borderId="0" xfId="0" applyFont="1" applyAlignment="1">
      <alignment wrapText="1"/>
    </xf>
    <xf numFmtId="0" fontId="11" fillId="0" borderId="0" xfId="0" applyFont="1" applyAlignment="1">
      <alignment horizontal="right" wrapText="1"/>
    </xf>
    <xf numFmtId="0" fontId="13" fillId="0" borderId="0" xfId="0" applyFont="1" applyAlignment="1">
      <alignment wrapText="1"/>
    </xf>
    <xf numFmtId="0" fontId="11" fillId="0" borderId="0" xfId="0" applyFont="1"/>
    <xf numFmtId="0" fontId="11" fillId="0" borderId="0" xfId="0" applyFont="1" applyAlignment="1">
      <alignment wrapText="1"/>
    </xf>
    <xf numFmtId="0" fontId="12" fillId="15" borderId="0" xfId="0" applyFont="1" applyFill="1" applyAlignment="1">
      <alignment wrapText="1"/>
    </xf>
    <xf numFmtId="0" fontId="12" fillId="15" borderId="0" xfId="0" applyFont="1" applyFill="1" applyAlignment="1">
      <alignment horizontal="right" wrapText="1"/>
    </xf>
    <xf numFmtId="0" fontId="13" fillId="15" borderId="0" xfId="0" applyFont="1" applyFill="1" applyAlignment="1">
      <alignment wrapText="1"/>
    </xf>
    <xf numFmtId="0" fontId="11" fillId="0" borderId="0" xfId="0" applyFont="1" applyAlignment="1">
      <alignment horizontal="right"/>
    </xf>
    <xf numFmtId="0" fontId="11" fillId="0" borderId="27" xfId="0" applyFont="1" applyBorder="1" applyAlignment="1">
      <alignment horizontal="center"/>
    </xf>
    <xf numFmtId="0" fontId="11" fillId="0" borderId="31" xfId="0" applyFont="1" applyBorder="1" applyAlignment="1">
      <alignment horizontal="center"/>
    </xf>
    <xf numFmtId="0" fontId="11" fillId="0" borderId="28" xfId="0" applyFont="1" applyBorder="1" applyAlignment="1">
      <alignment horizontal="center"/>
    </xf>
    <xf numFmtId="0" fontId="10" fillId="21" borderId="4" xfId="0" applyFont="1" applyFill="1" applyBorder="1"/>
    <xf numFmtId="1" fontId="0" fillId="21" borderId="4" xfId="0" applyNumberFormat="1" applyFill="1" applyBorder="1" applyAlignment="1">
      <alignment horizontal="center"/>
    </xf>
    <xf numFmtId="44" fontId="0" fillId="21" borderId="4" xfId="0" applyNumberFormat="1" applyFill="1" applyBorder="1"/>
    <xf numFmtId="0" fontId="7" fillId="10" borderId="0" xfId="0" applyFont="1" applyFill="1"/>
    <xf numFmtId="0" fontId="11" fillId="13" borderId="27" xfId="0" applyFont="1" applyFill="1" applyBorder="1" applyAlignment="1">
      <alignment horizontal="left"/>
    </xf>
    <xf numFmtId="0" fontId="11" fillId="8" borderId="27" xfId="0" applyFont="1" applyFill="1" applyBorder="1" applyAlignment="1">
      <alignment horizontal="left"/>
    </xf>
    <xf numFmtId="0" fontId="11" fillId="22" borderId="27" xfId="0" applyFont="1" applyFill="1" applyBorder="1" applyAlignment="1">
      <alignment horizontal="left"/>
    </xf>
    <xf numFmtId="0" fontId="11" fillId="23" borderId="27" xfId="0" applyFont="1" applyFill="1" applyBorder="1" applyAlignment="1">
      <alignment horizontal="left"/>
    </xf>
    <xf numFmtId="0" fontId="11" fillId="24" borderId="27" xfId="0" applyFont="1" applyFill="1" applyBorder="1" applyAlignment="1">
      <alignment horizontal="left"/>
    </xf>
    <xf numFmtId="0" fontId="11" fillId="25" borderId="27" xfId="0" applyFont="1" applyFill="1" applyBorder="1" applyAlignment="1">
      <alignment horizontal="left"/>
    </xf>
    <xf numFmtId="0" fontId="11" fillId="9" borderId="27" xfId="0" applyFont="1" applyFill="1" applyBorder="1" applyAlignment="1">
      <alignment horizontal="left"/>
    </xf>
    <xf numFmtId="0" fontId="11" fillId="10" borderId="27" xfId="0" applyFont="1" applyFill="1" applyBorder="1" applyAlignment="1">
      <alignment horizontal="left"/>
    </xf>
    <xf numFmtId="0" fontId="11" fillId="26" borderId="27" xfId="0" applyFont="1" applyFill="1" applyBorder="1" applyAlignment="1">
      <alignment horizontal="left"/>
    </xf>
    <xf numFmtId="0" fontId="11" fillId="27" borderId="27" xfId="0" applyFont="1" applyFill="1" applyBorder="1" applyAlignment="1">
      <alignment horizontal="left"/>
    </xf>
    <xf numFmtId="0" fontId="11" fillId="28" borderId="27" xfId="0" applyFont="1" applyFill="1" applyBorder="1" applyAlignment="1">
      <alignment horizontal="left"/>
    </xf>
    <xf numFmtId="0" fontId="11" fillId="29" borderId="27" xfId="0" applyFont="1" applyFill="1" applyBorder="1" applyAlignment="1">
      <alignment horizontal="left"/>
    </xf>
    <xf numFmtId="0" fontId="11" fillId="30" borderId="27" xfId="0" applyFont="1" applyFill="1" applyBorder="1" applyAlignment="1">
      <alignment horizontal="left"/>
    </xf>
    <xf numFmtId="0" fontId="11" fillId="31" borderId="27" xfId="0" applyFont="1" applyFill="1" applyBorder="1" applyAlignment="1">
      <alignment horizontal="left"/>
    </xf>
    <xf numFmtId="0" fontId="11" fillId="32" borderId="27" xfId="0" applyFont="1" applyFill="1" applyBorder="1" applyAlignment="1">
      <alignment horizontal="left"/>
    </xf>
    <xf numFmtId="0" fontId="11" fillId="33" borderId="27" xfId="0" applyFont="1" applyFill="1" applyBorder="1" applyAlignment="1">
      <alignment horizontal="left"/>
    </xf>
    <xf numFmtId="0" fontId="1" fillId="22" borderId="27" xfId="0" applyFont="1" applyFill="1" applyBorder="1" applyAlignment="1">
      <alignment horizontal="left"/>
    </xf>
    <xf numFmtId="0" fontId="11" fillId="34" borderId="27" xfId="0" applyFont="1" applyFill="1" applyBorder="1" applyAlignment="1">
      <alignment horizontal="left"/>
    </xf>
    <xf numFmtId="0" fontId="11" fillId="35" borderId="27" xfId="0" applyFont="1" applyFill="1" applyBorder="1" applyAlignment="1">
      <alignment horizontal="left"/>
    </xf>
    <xf numFmtId="0" fontId="11" fillId="36" borderId="27" xfId="0" applyFont="1" applyFill="1" applyBorder="1" applyAlignment="1">
      <alignment horizontal="left"/>
    </xf>
    <xf numFmtId="0" fontId="11" fillId="13" borderId="4" xfId="0" applyFont="1" applyFill="1" applyBorder="1" applyAlignment="1">
      <alignment horizontal="center"/>
    </xf>
    <xf numFmtId="0" fontId="11" fillId="22" borderId="4" xfId="0" applyFont="1" applyFill="1" applyBorder="1" applyAlignment="1">
      <alignment horizontal="center"/>
    </xf>
    <xf numFmtId="0" fontId="11" fillId="25" borderId="4" xfId="0" applyFont="1" applyFill="1" applyBorder="1" applyAlignment="1">
      <alignment horizontal="center"/>
    </xf>
    <xf numFmtId="0" fontId="11" fillId="10" borderId="4" xfId="0" applyFont="1" applyFill="1" applyBorder="1" applyAlignment="1">
      <alignment horizontal="center"/>
    </xf>
    <xf numFmtId="0" fontId="11" fillId="26" borderId="4" xfId="0" applyFont="1" applyFill="1" applyBorder="1" applyAlignment="1">
      <alignment horizontal="center"/>
    </xf>
    <xf numFmtId="0" fontId="11" fillId="27" borderId="4" xfId="0" applyFont="1" applyFill="1" applyBorder="1" applyAlignment="1">
      <alignment horizontal="center"/>
    </xf>
    <xf numFmtId="0" fontId="11" fillId="28" borderId="4" xfId="0" applyFont="1" applyFill="1" applyBorder="1" applyAlignment="1">
      <alignment horizontal="center"/>
    </xf>
    <xf numFmtId="0" fontId="11" fillId="29" borderId="4" xfId="0" applyFont="1" applyFill="1" applyBorder="1" applyAlignment="1">
      <alignment horizontal="center"/>
    </xf>
    <xf numFmtId="0" fontId="11" fillId="30" borderId="4" xfId="0" applyFont="1" applyFill="1" applyBorder="1" applyAlignment="1">
      <alignment horizontal="center"/>
    </xf>
    <xf numFmtId="0" fontId="11" fillId="31" borderId="4" xfId="0" applyFont="1" applyFill="1" applyBorder="1" applyAlignment="1">
      <alignment horizontal="center"/>
    </xf>
    <xf numFmtId="0" fontId="1" fillId="33" borderId="4" xfId="0" applyFont="1" applyFill="1" applyBorder="1" applyAlignment="1">
      <alignment horizontal="center"/>
    </xf>
    <xf numFmtId="0" fontId="1" fillId="22" borderId="4" xfId="0" applyFont="1" applyFill="1" applyBorder="1" applyAlignment="1">
      <alignment horizontal="center"/>
    </xf>
    <xf numFmtId="0" fontId="7" fillId="10" borderId="4" xfId="0" applyFont="1" applyFill="1" applyBorder="1" applyAlignment="1">
      <alignment horizontal="center"/>
    </xf>
    <xf numFmtId="0" fontId="11" fillId="34" borderId="4" xfId="0" applyFont="1" applyFill="1" applyBorder="1" applyAlignment="1">
      <alignment horizontal="center"/>
    </xf>
    <xf numFmtId="0" fontId="11" fillId="35" borderId="4" xfId="0" applyFont="1" applyFill="1" applyBorder="1" applyAlignment="1">
      <alignment horizontal="center"/>
    </xf>
    <xf numFmtId="0" fontId="1" fillId="8" borderId="27" xfId="0" applyFont="1" applyFill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1" fillId="15" borderId="0" xfId="0" applyFont="1" applyFill="1" applyAlignment="1">
      <alignment horizontal="center" wrapText="1"/>
    </xf>
    <xf numFmtId="44" fontId="1" fillId="0" borderId="4" xfId="0" applyNumberFormat="1" applyFont="1" applyBorder="1" applyAlignment="1">
      <alignment horizontal="center"/>
    </xf>
    <xf numFmtId="44" fontId="1" fillId="10" borderId="4" xfId="0" applyNumberFormat="1" applyFont="1" applyFill="1" applyBorder="1" applyAlignment="1">
      <alignment horizontal="center"/>
    </xf>
    <xf numFmtId="0" fontId="1" fillId="20" borderId="4" xfId="0" applyFont="1" applyFill="1" applyBorder="1" applyAlignment="1">
      <alignment horizontal="center"/>
    </xf>
    <xf numFmtId="0" fontId="10" fillId="21" borderId="4" xfId="0" applyFont="1" applyFill="1" applyBorder="1" applyAlignment="1">
      <alignment horizontal="center"/>
    </xf>
    <xf numFmtId="0" fontId="15" fillId="4" borderId="23" xfId="0" applyFont="1" applyFill="1" applyBorder="1" applyAlignment="1">
      <alignment horizontal="center" vertical="center"/>
    </xf>
    <xf numFmtId="0" fontId="15" fillId="4" borderId="23" xfId="0" applyFont="1" applyFill="1" applyBorder="1" applyAlignment="1">
      <alignment horizontal="center" vertical="center" wrapText="1"/>
    </xf>
    <xf numFmtId="0" fontId="15" fillId="11" borderId="23" xfId="0" applyFont="1" applyFill="1" applyBorder="1" applyAlignment="1">
      <alignment horizontal="center" vertical="center" wrapText="1"/>
    </xf>
    <xf numFmtId="0" fontId="15" fillId="12" borderId="2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4" fillId="0" borderId="4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1" fontId="4" fillId="8" borderId="4" xfId="0" applyNumberFormat="1" applyFont="1" applyFill="1" applyBorder="1" applyAlignment="1">
      <alignment horizontal="center"/>
    </xf>
    <xf numFmtId="1" fontId="4" fillId="7" borderId="4" xfId="0" applyNumberFormat="1" applyFont="1" applyFill="1" applyBorder="1" applyAlignment="1">
      <alignment horizontal="center"/>
    </xf>
    <xf numFmtId="2" fontId="4" fillId="0" borderId="4" xfId="0" applyNumberFormat="1" applyFont="1" applyBorder="1" applyAlignment="1">
      <alignment horizontal="center"/>
    </xf>
    <xf numFmtId="0" fontId="4" fillId="0" borderId="2" xfId="0" applyFont="1" applyBorder="1" applyAlignment="1">
      <alignment horizontal="left" vertical="top"/>
    </xf>
    <xf numFmtId="0" fontId="4" fillId="0" borderId="2" xfId="0" applyFont="1" applyBorder="1" applyAlignment="1">
      <alignment horizontal="center"/>
    </xf>
    <xf numFmtId="1" fontId="15" fillId="3" borderId="2" xfId="0" applyNumberFormat="1" applyFont="1" applyFill="1" applyBorder="1"/>
    <xf numFmtId="1" fontId="15" fillId="3" borderId="2" xfId="0" applyNumberFormat="1" applyFont="1" applyFill="1" applyBorder="1" applyAlignment="1">
      <alignment horizontal="center"/>
    </xf>
    <xf numFmtId="1" fontId="4" fillId="3" borderId="2" xfId="0" applyNumberFormat="1" applyFont="1" applyFill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64" fontId="4" fillId="2" borderId="25" xfId="0" applyNumberFormat="1" applyFont="1" applyFill="1" applyBorder="1"/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2" fontId="4" fillId="0" borderId="26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2" fontId="4" fillId="2" borderId="1" xfId="0" applyNumberFormat="1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/>
    </xf>
    <xf numFmtId="0" fontId="4" fillId="0" borderId="26" xfId="0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1" fillId="22" borderId="23" xfId="0" applyFont="1" applyFill="1" applyBorder="1" applyAlignment="1">
      <alignment horizontal="center"/>
    </xf>
    <xf numFmtId="0" fontId="11" fillId="22" borderId="31" xfId="0" applyFont="1" applyFill="1" applyBorder="1" applyAlignment="1">
      <alignment horizontal="left"/>
    </xf>
    <xf numFmtId="2" fontId="1" fillId="0" borderId="23" xfId="0" applyNumberFormat="1" applyFont="1" applyBorder="1" applyAlignment="1">
      <alignment horizontal="center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1" fontId="2" fillId="3" borderId="4" xfId="0" applyNumberFormat="1" applyFont="1" applyFill="1" applyBorder="1"/>
    <xf numFmtId="1" fontId="1" fillId="3" borderId="4" xfId="0" applyNumberFormat="1" applyFont="1" applyFill="1" applyBorder="1" applyAlignment="1">
      <alignment horizontal="center"/>
    </xf>
    <xf numFmtId="0" fontId="12" fillId="16" borderId="4" xfId="0" applyFont="1" applyFill="1" applyBorder="1" applyAlignment="1">
      <alignment horizontal="center"/>
    </xf>
    <xf numFmtId="0" fontId="12" fillId="16" borderId="4" xfId="0" applyFont="1" applyFill="1" applyBorder="1" applyAlignment="1">
      <alignment horizontal="left"/>
    </xf>
    <xf numFmtId="0" fontId="1" fillId="16" borderId="4" xfId="0" applyFont="1" applyFill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1" fillId="10" borderId="4" xfId="0" applyFont="1" applyFill="1" applyBorder="1" applyAlignment="1">
      <alignment horizontal="left"/>
    </xf>
    <xf numFmtId="0" fontId="11" fillId="27" borderId="4" xfId="0" applyFont="1" applyFill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1" fillId="24" borderId="4" xfId="0" applyFont="1" applyFill="1" applyBorder="1" applyAlignment="1">
      <alignment horizontal="left"/>
    </xf>
    <xf numFmtId="0" fontId="11" fillId="22" borderId="4" xfId="0" applyFont="1" applyFill="1" applyBorder="1" applyAlignment="1">
      <alignment horizontal="left"/>
    </xf>
    <xf numFmtId="0" fontId="11" fillId="9" borderId="4" xfId="0" applyFont="1" applyFill="1" applyBorder="1" applyAlignment="1">
      <alignment horizontal="left"/>
    </xf>
    <xf numFmtId="0" fontId="11" fillId="32" borderId="4" xfId="0" applyFont="1" applyFill="1" applyBorder="1" applyAlignment="1">
      <alignment horizontal="left"/>
    </xf>
    <xf numFmtId="0" fontId="11" fillId="23" borderId="4" xfId="0" applyFont="1" applyFill="1" applyBorder="1" applyAlignment="1">
      <alignment horizontal="left"/>
    </xf>
    <xf numFmtId="0" fontId="11" fillId="8" borderId="4" xfId="0" applyFont="1" applyFill="1" applyBorder="1" applyAlignment="1">
      <alignment horizontal="left"/>
    </xf>
    <xf numFmtId="0" fontId="11" fillId="35" borderId="4" xfId="0" applyFont="1" applyFill="1" applyBorder="1" applyAlignment="1">
      <alignment horizontal="left"/>
    </xf>
    <xf numFmtId="0" fontId="11" fillId="25" borderId="4" xfId="0" applyFont="1" applyFill="1" applyBorder="1" applyAlignment="1">
      <alignment horizontal="left"/>
    </xf>
    <xf numFmtId="0" fontId="11" fillId="30" borderId="4" xfId="0" applyFont="1" applyFill="1" applyBorder="1" applyAlignment="1">
      <alignment horizontal="left"/>
    </xf>
    <xf numFmtId="0" fontId="11" fillId="13" borderId="4" xfId="0" applyFont="1" applyFill="1" applyBorder="1" applyAlignment="1">
      <alignment horizontal="left"/>
    </xf>
    <xf numFmtId="0" fontId="11" fillId="28" borderId="4" xfId="0" applyFont="1" applyFill="1" applyBorder="1" applyAlignment="1">
      <alignment horizontal="left"/>
    </xf>
    <xf numFmtId="0" fontId="11" fillId="36" borderId="4" xfId="0" applyFont="1" applyFill="1" applyBorder="1" applyAlignment="1">
      <alignment horizontal="left"/>
    </xf>
    <xf numFmtId="44" fontId="1" fillId="0" borderId="4" xfId="2" applyNumberFormat="1" applyFont="1" applyBorder="1" applyAlignment="1">
      <alignment horizontal="center"/>
    </xf>
    <xf numFmtId="0" fontId="11" fillId="31" borderId="4" xfId="0" applyFont="1" applyFill="1" applyBorder="1" applyAlignment="1">
      <alignment horizontal="left"/>
    </xf>
    <xf numFmtId="0" fontId="11" fillId="29" borderId="4" xfId="0" applyFont="1" applyFill="1" applyBorder="1" applyAlignment="1">
      <alignment horizontal="left"/>
    </xf>
    <xf numFmtId="0" fontId="11" fillId="26" borderId="4" xfId="0" applyFont="1" applyFill="1" applyBorder="1" applyAlignment="1">
      <alignment horizontal="left"/>
    </xf>
    <xf numFmtId="0" fontId="11" fillId="33" borderId="4" xfId="0" applyFont="1" applyFill="1" applyBorder="1" applyAlignment="1">
      <alignment horizontal="left"/>
    </xf>
    <xf numFmtId="0" fontId="11" fillId="34" borderId="4" xfId="0" applyFont="1" applyFill="1" applyBorder="1" applyAlignment="1">
      <alignment horizontal="left"/>
    </xf>
    <xf numFmtId="0" fontId="7" fillId="0" borderId="4" xfId="0" applyFont="1" applyBorder="1" applyAlignment="1">
      <alignment horizontal="center"/>
    </xf>
    <xf numFmtId="0" fontId="12" fillId="17" borderId="4" xfId="0" applyFont="1" applyFill="1" applyBorder="1" applyAlignment="1">
      <alignment horizontal="center"/>
    </xf>
    <xf numFmtId="0" fontId="1" fillId="17" borderId="4" xfId="0" applyFont="1" applyFill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4" xfId="0" applyFont="1" applyBorder="1"/>
    <xf numFmtId="44" fontId="2" fillId="0" borderId="4" xfId="0" applyNumberFormat="1" applyFont="1" applyBorder="1" applyAlignment="1">
      <alignment horizontal="center"/>
    </xf>
    <xf numFmtId="44" fontId="1" fillId="10" borderId="4" xfId="0" applyNumberFormat="1" applyFont="1" applyFill="1" applyBorder="1"/>
    <xf numFmtId="44" fontId="1" fillId="9" borderId="4" xfId="0" applyNumberFormat="1" applyFont="1" applyFill="1" applyBorder="1"/>
    <xf numFmtId="44" fontId="1" fillId="9" borderId="32" xfId="0" applyNumberFormat="1" applyFont="1" applyFill="1" applyBorder="1"/>
    <xf numFmtId="44" fontId="2" fillId="9" borderId="4" xfId="0" applyNumberFormat="1" applyFont="1" applyFill="1" applyBorder="1"/>
    <xf numFmtId="44" fontId="2" fillId="10" borderId="4" xfId="0" applyNumberFormat="1" applyFont="1" applyFill="1" applyBorder="1"/>
    <xf numFmtId="0" fontId="2" fillId="15" borderId="4" xfId="0" applyFont="1" applyFill="1" applyBorder="1" applyAlignment="1">
      <alignment horizontal="center" vertical="center"/>
    </xf>
    <xf numFmtId="0" fontId="2" fillId="15" borderId="28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 wrapText="1"/>
    </xf>
    <xf numFmtId="0" fontId="2" fillId="15" borderId="24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8" borderId="0" xfId="0" applyFont="1" applyFill="1" applyAlignment="1">
      <alignment horizontal="center"/>
    </xf>
    <xf numFmtId="0" fontId="2" fillId="19" borderId="23" xfId="0" applyFont="1" applyFill="1" applyBorder="1" applyAlignment="1">
      <alignment horizontal="center" vertical="center" wrapText="1"/>
    </xf>
    <xf numFmtId="0" fontId="2" fillId="0" borderId="0" xfId="0" applyFont="1"/>
    <xf numFmtId="0" fontId="10" fillId="0" borderId="0" xfId="0" applyFont="1"/>
    <xf numFmtId="0" fontId="1" fillId="8" borderId="33" xfId="0" applyFont="1" applyFill="1" applyBorder="1" applyAlignment="1">
      <alignment horizontal="center"/>
    </xf>
    <xf numFmtId="0" fontId="2" fillId="15" borderId="25" xfId="0" applyFont="1" applyFill="1" applyBorder="1" applyAlignment="1">
      <alignment horizontal="center" vertical="center" wrapText="1"/>
    </xf>
    <xf numFmtId="0" fontId="10" fillId="22" borderId="0" xfId="0" applyFont="1" applyFill="1"/>
    <xf numFmtId="0" fontId="0" fillId="22" borderId="0" xfId="0" applyFill="1"/>
    <xf numFmtId="0" fontId="0" fillId="13" borderId="0" xfId="0" applyFill="1"/>
    <xf numFmtId="0" fontId="0" fillId="10" borderId="0" xfId="0" applyFill="1"/>
    <xf numFmtId="0" fontId="0" fillId="8" borderId="0" xfId="0" applyFill="1"/>
    <xf numFmtId="0" fontId="11" fillId="24" borderId="0" xfId="0" applyFont="1" applyFill="1" applyAlignment="1">
      <alignment horizontal="left"/>
    </xf>
    <xf numFmtId="0" fontId="0" fillId="24" borderId="0" xfId="0" applyFill="1"/>
    <xf numFmtId="0" fontId="11" fillId="23" borderId="0" xfId="0" applyFont="1" applyFill="1" applyAlignment="1">
      <alignment horizontal="left"/>
    </xf>
    <xf numFmtId="0" fontId="0" fillId="23" borderId="0" xfId="0" applyFill="1"/>
    <xf numFmtId="0" fontId="11" fillId="26" borderId="0" xfId="0" applyFont="1" applyFill="1" applyAlignment="1">
      <alignment horizontal="left"/>
    </xf>
    <xf numFmtId="0" fontId="0" fillId="26" borderId="0" xfId="0" applyFill="1"/>
    <xf numFmtId="44" fontId="2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44" fontId="1" fillId="3" borderId="4" xfId="0" applyNumberFormat="1" applyFont="1" applyFill="1" applyBorder="1" applyAlignment="1">
      <alignment horizontal="center"/>
    </xf>
    <xf numFmtId="9" fontId="0" fillId="0" borderId="0" xfId="1" applyFont="1"/>
    <xf numFmtId="0" fontId="16" fillId="0" borderId="0" xfId="0" applyFont="1"/>
    <xf numFmtId="0" fontId="17" fillId="0" borderId="0" xfId="0" applyFont="1"/>
    <xf numFmtId="0" fontId="14" fillId="0" borderId="0" xfId="0" applyFont="1"/>
    <xf numFmtId="0" fontId="16" fillId="15" borderId="0" xfId="0" applyFont="1" applyFill="1"/>
    <xf numFmtId="0" fontId="16" fillId="15" borderId="0" xfId="0" applyFont="1" applyFill="1" applyAlignment="1">
      <alignment horizontal="center"/>
    </xf>
    <xf numFmtId="0" fontId="16" fillId="15" borderId="0" xfId="0" applyFont="1" applyFill="1" applyAlignment="1">
      <alignment horizontal="right"/>
    </xf>
    <xf numFmtId="0" fontId="0" fillId="40" borderId="0" xfId="0" applyFill="1"/>
    <xf numFmtId="0" fontId="0" fillId="45" borderId="0" xfId="0" applyFill="1"/>
    <xf numFmtId="0" fontId="0" fillId="51" borderId="0" xfId="0" applyFill="1"/>
    <xf numFmtId="0" fontId="0" fillId="20" borderId="0" xfId="0" applyFill="1"/>
    <xf numFmtId="0" fontId="0" fillId="47" borderId="0" xfId="0" applyFill="1"/>
    <xf numFmtId="0" fontId="0" fillId="39" borderId="0" xfId="0" applyFill="1"/>
    <xf numFmtId="0" fontId="4" fillId="0" borderId="0" xfId="0" applyFont="1"/>
    <xf numFmtId="44" fontId="4" fillId="0" borderId="4" xfId="0" applyNumberFormat="1" applyFont="1" applyBorder="1"/>
    <xf numFmtId="0" fontId="17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7" fillId="15" borderId="0" xfId="0" applyFont="1" applyFill="1" applyAlignment="1">
      <alignment horizontal="center"/>
    </xf>
    <xf numFmtId="0" fontId="14" fillId="71" borderId="0" xfId="0" applyFont="1" applyFill="1"/>
    <xf numFmtId="0" fontId="0" fillId="71" borderId="0" xfId="0" applyFill="1"/>
    <xf numFmtId="0" fontId="14" fillId="53" borderId="0" xfId="0" applyFont="1" applyFill="1"/>
    <xf numFmtId="0" fontId="0" fillId="53" borderId="0" xfId="0" applyFill="1"/>
    <xf numFmtId="0" fontId="14" fillId="57" borderId="0" xfId="0" applyFont="1" applyFill="1"/>
    <xf numFmtId="0" fontId="0" fillId="57" borderId="0" xfId="0" applyFill="1"/>
    <xf numFmtId="0" fontId="0" fillId="0" borderId="0" xfId="0" applyAlignment="1">
      <alignment wrapText="1"/>
    </xf>
    <xf numFmtId="44" fontId="2" fillId="0" borderId="32" xfId="0" applyNumberFormat="1" applyFont="1" applyBorder="1" applyAlignment="1">
      <alignment horizontal="center"/>
    </xf>
    <xf numFmtId="0" fontId="2" fillId="4" borderId="34" xfId="0" applyFont="1" applyFill="1" applyBorder="1" applyAlignment="1">
      <alignment horizontal="center" vertical="center" wrapText="1"/>
    </xf>
    <xf numFmtId="0" fontId="2" fillId="19" borderId="4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right"/>
    </xf>
    <xf numFmtId="0" fontId="14" fillId="20" borderId="4" xfId="0" applyFont="1" applyFill="1" applyBorder="1"/>
    <xf numFmtId="0" fontId="14" fillId="0" borderId="4" xfId="0" applyFont="1" applyBorder="1"/>
    <xf numFmtId="0" fontId="11" fillId="37" borderId="4" xfId="0" applyFont="1" applyFill="1" applyBorder="1" applyAlignment="1">
      <alignment horizontal="center"/>
    </xf>
    <xf numFmtId="0" fontId="11" fillId="0" borderId="4" xfId="0" applyFont="1" applyBorder="1" applyAlignment="1">
      <alignment horizontal="right"/>
    </xf>
    <xf numFmtId="0" fontId="11" fillId="23" borderId="4" xfId="0" applyFont="1" applyFill="1" applyBorder="1"/>
    <xf numFmtId="0" fontId="14" fillId="13" borderId="4" xfId="0" applyFont="1" applyFill="1" applyBorder="1"/>
    <xf numFmtId="0" fontId="11" fillId="40" borderId="4" xfId="0" applyFont="1" applyFill="1" applyBorder="1"/>
    <xf numFmtId="0" fontId="14" fillId="26" borderId="4" xfId="0" applyFont="1" applyFill="1" applyBorder="1"/>
    <xf numFmtId="0" fontId="14" fillId="41" borderId="4" xfId="0" applyFont="1" applyFill="1" applyBorder="1"/>
    <xf numFmtId="0" fontId="14" fillId="25" borderId="4" xfId="0" applyFont="1" applyFill="1" applyBorder="1"/>
    <xf numFmtId="0" fontId="14" fillId="42" borderId="4" xfId="0" applyFont="1" applyFill="1" applyBorder="1"/>
    <xf numFmtId="0" fontId="14" fillId="10" borderId="4" xfId="0" applyFont="1" applyFill="1" applyBorder="1"/>
    <xf numFmtId="0" fontId="14" fillId="35" borderId="4" xfId="0" applyFont="1" applyFill="1" applyBorder="1"/>
    <xf numFmtId="0" fontId="11" fillId="34" borderId="4" xfId="0" applyFont="1" applyFill="1" applyBorder="1"/>
    <xf numFmtId="0" fontId="11" fillId="31" borderId="4" xfId="0" applyFont="1" applyFill="1" applyBorder="1"/>
    <xf numFmtId="0" fontId="14" fillId="43" borderId="4" xfId="0" applyFont="1" applyFill="1" applyBorder="1"/>
    <xf numFmtId="0" fontId="14" fillId="44" borderId="4" xfId="0" applyFont="1" applyFill="1" applyBorder="1"/>
    <xf numFmtId="0" fontId="14" fillId="40" borderId="4" xfId="0" applyFont="1" applyFill="1" applyBorder="1"/>
    <xf numFmtId="0" fontId="14" fillId="30" borderId="4" xfId="0" applyFont="1" applyFill="1" applyBorder="1"/>
    <xf numFmtId="0" fontId="14" fillId="23" borderId="4" xfId="0" applyFont="1" applyFill="1" applyBorder="1"/>
    <xf numFmtId="0" fontId="14" fillId="46" borderId="4" xfId="0" applyFont="1" applyFill="1" applyBorder="1"/>
    <xf numFmtId="0" fontId="14" fillId="47" borderId="4" xfId="0" applyFont="1" applyFill="1" applyBorder="1"/>
    <xf numFmtId="0" fontId="14" fillId="48" borderId="4" xfId="0" applyFont="1" applyFill="1" applyBorder="1"/>
    <xf numFmtId="0" fontId="11" fillId="49" borderId="4" xfId="0" applyFont="1" applyFill="1" applyBorder="1"/>
    <xf numFmtId="0" fontId="11" fillId="50" borderId="4" xfId="0" applyFont="1" applyFill="1" applyBorder="1"/>
    <xf numFmtId="0" fontId="11" fillId="51" borderId="4" xfId="0" applyFont="1" applyFill="1" applyBorder="1"/>
    <xf numFmtId="0" fontId="14" fillId="51" borderId="4" xfId="0" applyFont="1" applyFill="1" applyBorder="1"/>
    <xf numFmtId="0" fontId="14" fillId="52" borderId="4" xfId="0" applyFont="1" applyFill="1" applyBorder="1"/>
    <xf numFmtId="0" fontId="14" fillId="53" borderId="4" xfId="0" applyFont="1" applyFill="1" applyBorder="1"/>
    <xf numFmtId="0" fontId="11" fillId="23" borderId="4" xfId="0" applyFont="1" applyFill="1" applyBorder="1" applyAlignment="1">
      <alignment horizontal="right"/>
    </xf>
    <xf numFmtId="0" fontId="11" fillId="45" borderId="4" xfId="0" applyFont="1" applyFill="1" applyBorder="1"/>
    <xf numFmtId="0" fontId="14" fillId="45" borderId="4" xfId="0" applyFont="1" applyFill="1" applyBorder="1"/>
    <xf numFmtId="0" fontId="14" fillId="39" borderId="4" xfId="0" applyFont="1" applyFill="1" applyBorder="1"/>
    <xf numFmtId="0" fontId="14" fillId="54" borderId="4" xfId="0" applyFont="1" applyFill="1" applyBorder="1"/>
    <xf numFmtId="0" fontId="11" fillId="55" borderId="4" xfId="0" applyFont="1" applyFill="1" applyBorder="1"/>
    <xf numFmtId="0" fontId="14" fillId="56" borderId="4" xfId="0" applyFont="1" applyFill="1" applyBorder="1"/>
    <xf numFmtId="0" fontId="11" fillId="57" borderId="4" xfId="0" applyFont="1" applyFill="1" applyBorder="1" applyAlignment="1">
      <alignment horizontal="right"/>
    </xf>
    <xf numFmtId="0" fontId="11" fillId="58" borderId="4" xfId="0" applyFont="1" applyFill="1" applyBorder="1"/>
    <xf numFmtId="0" fontId="11" fillId="59" borderId="4" xfId="0" applyFont="1" applyFill="1" applyBorder="1"/>
    <xf numFmtId="0" fontId="11" fillId="60" borderId="4" xfId="0" applyFont="1" applyFill="1" applyBorder="1"/>
    <xf numFmtId="0" fontId="14" fillId="57" borderId="4" xfId="0" applyFont="1" applyFill="1" applyBorder="1"/>
    <xf numFmtId="0" fontId="11" fillId="57" borderId="4" xfId="0" applyFont="1" applyFill="1" applyBorder="1" applyAlignment="1">
      <alignment horizontal="left"/>
    </xf>
    <xf numFmtId="0" fontId="11" fillId="20" borderId="4" xfId="0" applyFont="1" applyFill="1" applyBorder="1"/>
    <xf numFmtId="0" fontId="11" fillId="20" borderId="4" xfId="0" applyFont="1" applyFill="1" applyBorder="1" applyAlignment="1">
      <alignment horizontal="right"/>
    </xf>
    <xf numFmtId="0" fontId="11" fillId="47" borderId="4" xfId="0" applyFont="1" applyFill="1" applyBorder="1"/>
    <xf numFmtId="0" fontId="14" fillId="61" borderId="4" xfId="0" applyFont="1" applyFill="1" applyBorder="1"/>
    <xf numFmtId="0" fontId="11" fillId="62" borderId="4" xfId="0" applyFont="1" applyFill="1" applyBorder="1"/>
    <xf numFmtId="0" fontId="11" fillId="63" borderId="4" xfId="0" applyFont="1" applyFill="1" applyBorder="1"/>
    <xf numFmtId="0" fontId="14" fillId="64" borderId="4" xfId="0" applyFont="1" applyFill="1" applyBorder="1"/>
    <xf numFmtId="0" fontId="14" fillId="66" borderId="4" xfId="0" applyFont="1" applyFill="1" applyBorder="1"/>
    <xf numFmtId="0" fontId="14" fillId="67" borderId="4" xfId="0" applyFont="1" applyFill="1" applyBorder="1"/>
    <xf numFmtId="0" fontId="11" fillId="68" borderId="4" xfId="0" applyFont="1" applyFill="1" applyBorder="1" applyAlignment="1">
      <alignment horizontal="right"/>
    </xf>
    <xf numFmtId="0" fontId="14" fillId="69" borderId="4" xfId="0" applyFont="1" applyFill="1" applyBorder="1"/>
    <xf numFmtId="0" fontId="11" fillId="69" borderId="4" xfId="0" applyFont="1" applyFill="1" applyBorder="1"/>
    <xf numFmtId="0" fontId="11" fillId="70" borderId="4" xfId="0" applyFont="1" applyFill="1" applyBorder="1"/>
    <xf numFmtId="0" fontId="14" fillId="71" borderId="4" xfId="0" applyFont="1" applyFill="1" applyBorder="1"/>
    <xf numFmtId="0" fontId="11" fillId="71" borderId="4" xfId="0" applyFont="1" applyFill="1" applyBorder="1"/>
    <xf numFmtId="0" fontId="11" fillId="72" borderId="4" xfId="0" applyFont="1" applyFill="1" applyBorder="1"/>
    <xf numFmtId="0" fontId="12" fillId="73" borderId="4" xfId="0" applyFont="1" applyFill="1" applyBorder="1" applyAlignment="1">
      <alignment horizontal="center"/>
    </xf>
    <xf numFmtId="0" fontId="14" fillId="38" borderId="4" xfId="0" applyFont="1" applyFill="1" applyBorder="1"/>
    <xf numFmtId="0" fontId="11" fillId="38" borderId="4" xfId="0" applyFont="1" applyFill="1" applyBorder="1"/>
    <xf numFmtId="43" fontId="4" fillId="38" borderId="4" xfId="0" applyNumberFormat="1" applyFont="1" applyFill="1" applyBorder="1" applyAlignment="1">
      <alignment horizontal="right" wrapText="1"/>
    </xf>
    <xf numFmtId="0" fontId="14" fillId="37" borderId="4" xfId="0" applyFont="1" applyFill="1" applyBorder="1" applyAlignment="1">
      <alignment horizontal="center"/>
    </xf>
    <xf numFmtId="0" fontId="11" fillId="0" borderId="4" xfId="0" applyFont="1" applyBorder="1" applyAlignment="1">
      <alignment horizontal="right" vertical="top"/>
    </xf>
    <xf numFmtId="0" fontId="11" fillId="37" borderId="4" xfId="0" applyFont="1" applyFill="1" applyBorder="1"/>
    <xf numFmtId="0" fontId="14" fillId="65" borderId="4" xfId="0" applyFont="1" applyFill="1" applyBorder="1"/>
    <xf numFmtId="0" fontId="14" fillId="34" borderId="4" xfId="0" applyFont="1" applyFill="1" applyBorder="1"/>
    <xf numFmtId="0" fontId="14" fillId="31" borderId="4" xfId="0" applyFont="1" applyFill="1" applyBorder="1"/>
    <xf numFmtId="0" fontId="14" fillId="49" borderId="4" xfId="0" applyFont="1" applyFill="1" applyBorder="1"/>
    <xf numFmtId="0" fontId="14" fillId="50" borderId="4" xfId="0" applyFont="1" applyFill="1" applyBorder="1"/>
    <xf numFmtId="0" fontId="14" fillId="55" borderId="4" xfId="0" applyFont="1" applyFill="1" applyBorder="1"/>
    <xf numFmtId="0" fontId="14" fillId="58" borderId="4" xfId="0" applyFont="1" applyFill="1" applyBorder="1"/>
    <xf numFmtId="0" fontId="14" fillId="59" borderId="4" xfId="0" applyFont="1" applyFill="1" applyBorder="1"/>
    <xf numFmtId="0" fontId="14" fillId="60" borderId="4" xfId="0" applyFont="1" applyFill="1" applyBorder="1"/>
    <xf numFmtId="0" fontId="14" fillId="62" borderId="4" xfId="0" applyFont="1" applyFill="1" applyBorder="1"/>
    <xf numFmtId="0" fontId="14" fillId="63" borderId="4" xfId="0" applyFont="1" applyFill="1" applyBorder="1"/>
    <xf numFmtId="0" fontId="14" fillId="68" borderId="4" xfId="0" applyFont="1" applyFill="1" applyBorder="1"/>
    <xf numFmtId="0" fontId="14" fillId="70" borderId="4" xfId="0" applyFont="1" applyFill="1" applyBorder="1"/>
    <xf numFmtId="0" fontId="14" fillId="72" borderId="4" xfId="0" applyFont="1" applyFill="1" applyBorder="1"/>
    <xf numFmtId="0" fontId="7" fillId="0" borderId="4" xfId="0" applyFont="1" applyBorder="1"/>
    <xf numFmtId="44" fontId="4" fillId="0" borderId="4" xfId="2" applyNumberFormat="1" applyFont="1" applyBorder="1"/>
    <xf numFmtId="44" fontId="4" fillId="0" borderId="4" xfId="0" applyNumberFormat="1" applyFont="1" applyBorder="1" applyAlignment="1">
      <alignment horizontal="right" wrapText="1"/>
    </xf>
    <xf numFmtId="44" fontId="11" fillId="0" borderId="4" xfId="0" applyNumberFormat="1" applyFont="1" applyBorder="1"/>
    <xf numFmtId="44" fontId="1" fillId="0" borderId="4" xfId="2" applyNumberFormat="1" applyFont="1" applyBorder="1"/>
    <xf numFmtId="44" fontId="1" fillId="0" borderId="4" xfId="0" applyNumberFormat="1" applyFont="1" applyBorder="1"/>
    <xf numFmtId="44" fontId="1" fillId="0" borderId="4" xfId="0" applyNumberFormat="1" applyFont="1" applyBorder="1" applyAlignment="1">
      <alignment horizontal="right" wrapText="1"/>
    </xf>
    <xf numFmtId="44" fontId="1" fillId="0" borderId="0" xfId="0" applyNumberFormat="1" applyFont="1"/>
    <xf numFmtId="44" fontId="14" fillId="0" borderId="4" xfId="0" applyNumberFormat="1" applyFont="1" applyBorder="1"/>
    <xf numFmtId="44" fontId="14" fillId="0" borderId="0" xfId="0" applyNumberFormat="1" applyFont="1"/>
    <xf numFmtId="44" fontId="11" fillId="0" borderId="0" xfId="0" applyNumberFormat="1" applyFont="1"/>
    <xf numFmtId="44" fontId="14" fillId="10" borderId="4" xfId="0" applyNumberFormat="1" applyFont="1" applyFill="1" applyBorder="1"/>
    <xf numFmtId="44" fontId="14" fillId="9" borderId="4" xfId="0" applyNumberFormat="1" applyFont="1" applyFill="1" applyBorder="1"/>
    <xf numFmtId="0" fontId="0" fillId="20" borderId="0" xfId="0" applyFill="1" applyAlignment="1">
      <alignment wrapText="1"/>
    </xf>
    <xf numFmtId="0" fontId="12" fillId="15" borderId="4" xfId="0" applyFont="1" applyFill="1" applyBorder="1" applyAlignment="1">
      <alignment horizontal="center" wrapText="1"/>
    </xf>
    <xf numFmtId="0" fontId="2" fillId="74" borderId="4" xfId="0" applyFont="1" applyFill="1" applyBorder="1"/>
    <xf numFmtId="0" fontId="2" fillId="75" borderId="4" xfId="0" applyFont="1" applyFill="1" applyBorder="1" applyAlignment="1">
      <alignment horizontal="center"/>
    </xf>
    <xf numFmtId="0" fontId="18" fillId="22" borderId="4" xfId="0" applyFont="1" applyFill="1" applyBorder="1"/>
    <xf numFmtId="0" fontId="2" fillId="22" borderId="4" xfId="0" applyFont="1" applyFill="1" applyBorder="1" applyAlignment="1">
      <alignment horizontal="center"/>
    </xf>
    <xf numFmtId="0" fontId="18" fillId="22" borderId="4" xfId="0" applyFont="1" applyFill="1" applyBorder="1" applyAlignment="1">
      <alignment horizontal="center"/>
    </xf>
    <xf numFmtId="0" fontId="14" fillId="38" borderId="4" xfId="0" applyFont="1" applyFill="1" applyBorder="1" applyAlignment="1">
      <alignment horizontal="center"/>
    </xf>
    <xf numFmtId="0" fontId="2" fillId="76" borderId="4" xfId="0" applyFont="1" applyFill="1" applyBorder="1"/>
    <xf numFmtId="44" fontId="2" fillId="0" borderId="4" xfId="0" applyNumberFormat="1" applyFont="1" applyBorder="1"/>
    <xf numFmtId="0" fontId="0" fillId="8" borderId="4" xfId="0" applyFill="1" applyBorder="1" applyAlignment="1">
      <alignment horizontal="center" wrapText="1"/>
    </xf>
    <xf numFmtId="0" fontId="11" fillId="0" borderId="34" xfId="0" applyFont="1" applyBorder="1" applyAlignment="1">
      <alignment horizontal="right"/>
    </xf>
    <xf numFmtId="0" fontId="14" fillId="59" borderId="0" xfId="0" applyFont="1" applyFill="1"/>
    <xf numFmtId="0" fontId="0" fillId="59" borderId="0" xfId="0" applyFill="1"/>
    <xf numFmtId="0" fontId="0" fillId="30" borderId="0" xfId="0" applyFill="1"/>
    <xf numFmtId="44" fontId="2" fillId="0" borderId="0" xfId="0" applyNumberFormat="1" applyFont="1"/>
    <xf numFmtId="44" fontId="4" fillId="38" borderId="4" xfId="0" applyNumberFormat="1" applyFont="1" applyFill="1" applyBorder="1" applyAlignment="1">
      <alignment horizontal="right" wrapText="1"/>
    </xf>
    <xf numFmtId="44" fontId="1" fillId="9" borderId="4" xfId="0" applyNumberFormat="1" applyFont="1" applyFill="1" applyBorder="1" applyAlignment="1">
      <alignment horizontal="center"/>
    </xf>
    <xf numFmtId="44" fontId="1" fillId="9" borderId="4" xfId="0" applyNumberFormat="1" applyFont="1" applyFill="1" applyBorder="1" applyAlignment="1">
      <alignment horizontal="right" wrapText="1"/>
    </xf>
    <xf numFmtId="0" fontId="11" fillId="0" borderId="1" xfId="0" applyFont="1" applyBorder="1" applyAlignment="1">
      <alignment horizontal="left"/>
    </xf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/>
    </xf>
    <xf numFmtId="0" fontId="11" fillId="0" borderId="1" xfId="0" applyFont="1" applyBorder="1" applyAlignment="1">
      <alignment vertical="top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1" fillId="0" borderId="0" xfId="0" applyFont="1" applyAlignment="1">
      <alignment horizontal="left"/>
    </xf>
    <xf numFmtId="0" fontId="17" fillId="15" borderId="0" xfId="0" applyFont="1" applyFill="1"/>
    <xf numFmtId="0" fontId="11" fillId="0" borderId="1" xfId="0" applyFont="1" applyBorder="1" applyAlignment="1">
      <alignment horizontal="right"/>
    </xf>
    <xf numFmtId="14" fontId="11" fillId="0" borderId="0" xfId="0" applyNumberFormat="1" applyFont="1" applyAlignment="1">
      <alignment horizontal="right" wrapText="1"/>
    </xf>
    <xf numFmtId="0" fontId="11" fillId="16" borderId="0" xfId="0" applyFont="1" applyFill="1" applyAlignment="1">
      <alignment wrapText="1"/>
    </xf>
    <xf numFmtId="43" fontId="11" fillId="0" borderId="1" xfId="0" applyNumberFormat="1" applyFont="1" applyBorder="1" applyAlignment="1">
      <alignment horizontal="center" wrapText="1"/>
    </xf>
    <xf numFmtId="49" fontId="11" fillId="0" borderId="1" xfId="0" applyNumberFormat="1" applyFont="1" applyBorder="1"/>
    <xf numFmtId="0" fontId="19" fillId="0" borderId="1" xfId="0" applyFont="1" applyBorder="1" applyAlignment="1">
      <alignment horizontal="right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right" vertical="center" wrapText="1"/>
    </xf>
    <xf numFmtId="43" fontId="11" fillId="0" borderId="0" xfId="0" applyNumberFormat="1" applyFont="1" applyAlignment="1">
      <alignment horizontal="center" wrapText="1"/>
    </xf>
    <xf numFmtId="0" fontId="1" fillId="78" borderId="1" xfId="0" applyFont="1" applyFill="1" applyBorder="1" applyAlignment="1">
      <alignment horizontal="center" vertical="center"/>
    </xf>
    <xf numFmtId="0" fontId="1" fillId="78" borderId="1" xfId="0" applyFont="1" applyFill="1" applyBorder="1" applyAlignment="1">
      <alignment horizontal="center" vertical="center" wrapText="1"/>
    </xf>
    <xf numFmtId="0" fontId="1" fillId="78" borderId="24" xfId="0" applyFont="1" applyFill="1" applyBorder="1" applyAlignment="1">
      <alignment horizontal="center" vertical="center" wrapText="1"/>
    </xf>
    <xf numFmtId="0" fontId="1" fillId="78" borderId="3" xfId="0" applyFont="1" applyFill="1" applyBorder="1" applyAlignment="1">
      <alignment horizontal="center" vertical="center" wrapText="1"/>
    </xf>
    <xf numFmtId="0" fontId="1" fillId="78" borderId="4" xfId="0" applyFont="1" applyFill="1" applyBorder="1" applyAlignment="1">
      <alignment horizontal="center" vertical="center"/>
    </xf>
    <xf numFmtId="0" fontId="1" fillId="78" borderId="28" xfId="0" applyFont="1" applyFill="1" applyBorder="1" applyAlignment="1">
      <alignment horizontal="center" vertical="center"/>
    </xf>
    <xf numFmtId="0" fontId="1" fillId="80" borderId="23" xfId="0" applyFont="1" applyFill="1" applyBorder="1" applyAlignment="1">
      <alignment horizontal="center" vertical="center" wrapText="1"/>
    </xf>
    <xf numFmtId="0" fontId="1" fillId="17" borderId="4" xfId="0" applyFont="1" applyFill="1" applyBorder="1" applyAlignment="1">
      <alignment horizontal="center" vertical="center"/>
    </xf>
    <xf numFmtId="0" fontId="1" fillId="79" borderId="4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77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0" borderId="4" xfId="0" applyFont="1" applyFill="1" applyBorder="1" applyAlignment="1">
      <alignment horizontal="center" vertical="center"/>
    </xf>
    <xf numFmtId="0" fontId="10" fillId="22" borderId="0" xfId="0" applyFont="1" applyFill="1" applyAlignment="1">
      <alignment horizontal="center" vertical="center"/>
    </xf>
    <xf numFmtId="0" fontId="1" fillId="79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78" borderId="25" xfId="0" applyFont="1" applyFill="1" applyBorder="1" applyAlignment="1">
      <alignment horizontal="center" vertical="center" wrapText="1"/>
    </xf>
    <xf numFmtId="0" fontId="1" fillId="77" borderId="23" xfId="0" applyFont="1" applyFill="1" applyBorder="1" applyAlignment="1">
      <alignment horizontal="center" vertical="center"/>
    </xf>
    <xf numFmtId="0" fontId="1" fillId="79" borderId="2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right"/>
    </xf>
    <xf numFmtId="0" fontId="11" fillId="20" borderId="1" xfId="0" applyFont="1" applyFill="1" applyBorder="1"/>
    <xf numFmtId="0" fontId="11" fillId="20" borderId="0" xfId="0" applyFont="1" applyFill="1"/>
    <xf numFmtId="0" fontId="11" fillId="20" borderId="28" xfId="0" applyFont="1" applyFill="1" applyBorder="1"/>
    <xf numFmtId="0" fontId="11" fillId="45" borderId="1" xfId="0" applyFont="1" applyFill="1" applyBorder="1"/>
    <xf numFmtId="0" fontId="11" fillId="9" borderId="1" xfId="0" applyFont="1" applyFill="1" applyBorder="1"/>
    <xf numFmtId="0" fontId="11" fillId="13" borderId="1" xfId="0" applyFont="1" applyFill="1" applyBorder="1"/>
    <xf numFmtId="0" fontId="11" fillId="10" borderId="1" xfId="0" applyFont="1" applyFill="1" applyBorder="1"/>
    <xf numFmtId="0" fontId="11" fillId="8" borderId="1" xfId="0" applyFont="1" applyFill="1" applyBorder="1"/>
    <xf numFmtId="0" fontId="0" fillId="29" borderId="0" xfId="0" applyFill="1"/>
    <xf numFmtId="0" fontId="11" fillId="29" borderId="1" xfId="0" applyFont="1" applyFill="1" applyBorder="1" applyAlignment="1">
      <alignment horizontal="right"/>
    </xf>
    <xf numFmtId="0" fontId="11" fillId="29" borderId="4" xfId="0" applyFont="1" applyFill="1" applyBorder="1" applyAlignment="1">
      <alignment horizontal="right"/>
    </xf>
    <xf numFmtId="0" fontId="11" fillId="29" borderId="2" xfId="0" applyFont="1" applyFill="1" applyBorder="1" applyAlignment="1">
      <alignment horizontal="right"/>
    </xf>
    <xf numFmtId="0" fontId="11" fillId="29" borderId="1" xfId="0" applyFont="1" applyFill="1" applyBorder="1"/>
    <xf numFmtId="0" fontId="11" fillId="51" borderId="1" xfId="0" applyFont="1" applyFill="1" applyBorder="1"/>
    <xf numFmtId="0" fontId="11" fillId="47" borderId="1" xfId="0" applyFont="1" applyFill="1" applyBorder="1"/>
    <xf numFmtId="0" fontId="11" fillId="27" borderId="1" xfId="0" applyFont="1" applyFill="1" applyBorder="1"/>
    <xf numFmtId="49" fontId="11" fillId="29" borderId="1" xfId="0" applyNumberFormat="1" applyFont="1" applyFill="1" applyBorder="1" applyAlignment="1">
      <alignment horizontal="right"/>
    </xf>
    <xf numFmtId="0" fontId="11" fillId="59" borderId="1" xfId="0" applyFont="1" applyFill="1" applyBorder="1"/>
    <xf numFmtId="0" fontId="11" fillId="79" borderId="1" xfId="0" applyFont="1" applyFill="1" applyBorder="1"/>
    <xf numFmtId="0" fontId="11" fillId="53" borderId="1" xfId="0" applyFont="1" applyFill="1" applyBorder="1"/>
    <xf numFmtId="0" fontId="11" fillId="72" borderId="1" xfId="0" applyFont="1" applyFill="1" applyBorder="1"/>
    <xf numFmtId="0" fontId="11" fillId="23" borderId="1" xfId="0" applyFont="1" applyFill="1" applyBorder="1"/>
    <xf numFmtId="0" fontId="11" fillId="69" borderId="1" xfId="0" applyFont="1" applyFill="1" applyBorder="1"/>
    <xf numFmtId="0" fontId="11" fillId="81" borderId="1" xfId="0" applyFont="1" applyFill="1" applyBorder="1"/>
    <xf numFmtId="0" fontId="11" fillId="24" borderId="1" xfId="0" applyFont="1" applyFill="1" applyBorder="1"/>
    <xf numFmtId="0" fontId="11" fillId="82" borderId="1" xfId="0" applyFont="1" applyFill="1" applyBorder="1"/>
    <xf numFmtId="0" fontId="11" fillId="83" borderId="1" xfId="0" applyFont="1" applyFill="1" applyBorder="1"/>
    <xf numFmtId="0" fontId="11" fillId="84" borderId="1" xfId="0" applyFont="1" applyFill="1" applyBorder="1"/>
    <xf numFmtId="0" fontId="11" fillId="85" borderId="1" xfId="0" applyFont="1" applyFill="1" applyBorder="1"/>
    <xf numFmtId="0" fontId="0" fillId="85" borderId="0" xfId="0" applyFill="1"/>
    <xf numFmtId="0" fontId="11" fillId="0" borderId="3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43" fontId="1" fillId="0" borderId="1" xfId="0" applyNumberFormat="1" applyFont="1" applyBorder="1" applyAlignment="1">
      <alignment horizontal="center" wrapText="1"/>
    </xf>
    <xf numFmtId="0" fontId="12" fillId="86" borderId="3" xfId="0" applyFont="1" applyFill="1" applyBorder="1" applyAlignment="1">
      <alignment horizontal="center" vertical="center"/>
    </xf>
    <xf numFmtId="0" fontId="12" fillId="86" borderId="1" xfId="0" applyFont="1" applyFill="1" applyBorder="1" applyAlignment="1">
      <alignment horizontal="center" vertical="center"/>
    </xf>
    <xf numFmtId="0" fontId="12" fillId="86" borderId="1" xfId="0" applyFont="1" applyFill="1" applyBorder="1" applyAlignment="1">
      <alignment horizontal="center" vertical="center" wrapText="1"/>
    </xf>
    <xf numFmtId="0" fontId="12" fillId="86" borderId="4" xfId="0" applyFont="1" applyFill="1" applyBorder="1" applyAlignment="1">
      <alignment horizontal="center" wrapText="1"/>
    </xf>
    <xf numFmtId="0" fontId="2" fillId="88" borderId="4" xfId="0" applyFont="1" applyFill="1" applyBorder="1" applyAlignment="1">
      <alignment horizontal="center" vertical="center" wrapText="1"/>
    </xf>
    <xf numFmtId="0" fontId="18" fillId="87" borderId="4" xfId="0" applyFont="1" applyFill="1" applyBorder="1"/>
    <xf numFmtId="0" fontId="18" fillId="87" borderId="4" xfId="0" applyFont="1" applyFill="1" applyBorder="1" applyAlignment="1">
      <alignment horizontal="center"/>
    </xf>
    <xf numFmtId="0" fontId="2" fillId="86" borderId="4" xfId="0" applyFont="1" applyFill="1" applyBorder="1" applyAlignment="1">
      <alignment horizontal="center"/>
    </xf>
    <xf numFmtId="0" fontId="2" fillId="87" borderId="4" xfId="0" applyFont="1" applyFill="1" applyBorder="1" applyAlignment="1">
      <alignment horizontal="center"/>
    </xf>
    <xf numFmtId="0" fontId="2" fillId="16" borderId="0" xfId="0" applyFont="1" applyFill="1" applyAlignment="1">
      <alignment wrapText="1"/>
    </xf>
    <xf numFmtId="0" fontId="2" fillId="16" borderId="4" xfId="0" applyFont="1" applyFill="1" applyBorder="1" applyAlignment="1">
      <alignment horizontal="right" wrapText="1"/>
    </xf>
    <xf numFmtId="1" fontId="2" fillId="3" borderId="4" xfId="0" applyNumberFormat="1" applyFont="1" applyFill="1" applyBorder="1" applyAlignment="1">
      <alignment horizontal="right"/>
    </xf>
    <xf numFmtId="1" fontId="2" fillId="3" borderId="4" xfId="0" applyNumberFormat="1" applyFont="1" applyFill="1" applyBorder="1" applyAlignment="1">
      <alignment horizontal="center"/>
    </xf>
    <xf numFmtId="0" fontId="2" fillId="90" borderId="4" xfId="0" applyFont="1" applyFill="1" applyBorder="1" applyAlignment="1">
      <alignment horizontal="center" wrapText="1"/>
    </xf>
    <xf numFmtId="0" fontId="2" fillId="4" borderId="3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horizontal="left" vertical="top"/>
    </xf>
    <xf numFmtId="0" fontId="1" fillId="0" borderId="2" xfId="0" applyFont="1" applyBorder="1" applyAlignment="1">
      <alignment vertical="top"/>
    </xf>
    <xf numFmtId="0" fontId="1" fillId="0" borderId="2" xfId="0" applyFont="1" applyBorder="1" applyAlignment="1">
      <alignment horizontal="center"/>
    </xf>
    <xf numFmtId="1" fontId="1" fillId="3" borderId="36" xfId="0" applyNumberFormat="1" applyFont="1" applyFill="1" applyBorder="1" applyAlignment="1">
      <alignment horizontal="center"/>
    </xf>
    <xf numFmtId="164" fontId="1" fillId="2" borderId="24" xfId="0" applyNumberFormat="1" applyFont="1" applyFill="1" applyBorder="1"/>
    <xf numFmtId="164" fontId="1" fillId="2" borderId="4" xfId="0" applyNumberFormat="1" applyFont="1" applyFill="1" applyBorder="1"/>
    <xf numFmtId="0" fontId="1" fillId="2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43" fontId="4" fillId="0" borderId="4" xfId="2" applyFont="1" applyBorder="1"/>
    <xf numFmtId="44" fontId="11" fillId="0" borderId="4" xfId="0" applyNumberFormat="1" applyFont="1" applyBorder="1" applyAlignment="1">
      <alignment horizontal="center"/>
    </xf>
    <xf numFmtId="44" fontId="4" fillId="0" borderId="4" xfId="2" applyNumberFormat="1" applyFont="1" applyBorder="1" applyAlignment="1">
      <alignment horizontal="center"/>
    </xf>
    <xf numFmtId="2" fontId="11" fillId="0" borderId="4" xfId="0" applyNumberFormat="1" applyFont="1" applyBorder="1" applyAlignment="1">
      <alignment horizontal="center"/>
    </xf>
    <xf numFmtId="2" fontId="14" fillId="0" borderId="4" xfId="0" applyNumberFormat="1" applyFont="1" applyBorder="1" applyAlignment="1">
      <alignment horizontal="center"/>
    </xf>
    <xf numFmtId="2" fontId="11" fillId="0" borderId="4" xfId="0" applyNumberFormat="1" applyFont="1" applyBorder="1" applyAlignment="1">
      <alignment horizontal="center" wrapText="1"/>
    </xf>
    <xf numFmtId="0" fontId="14" fillId="0" borderId="23" xfId="0" applyFont="1" applyBorder="1" applyAlignment="1">
      <alignment horizontal="center"/>
    </xf>
    <xf numFmtId="2" fontId="1" fillId="3" borderId="4" xfId="0" applyNumberFormat="1" applyFont="1" applyFill="1" applyBorder="1" applyAlignment="1">
      <alignment horizontal="center"/>
    </xf>
    <xf numFmtId="2" fontId="2" fillId="86" borderId="4" xfId="0" applyNumberFormat="1" applyFont="1" applyFill="1" applyBorder="1" applyAlignment="1">
      <alignment horizontal="center"/>
    </xf>
    <xf numFmtId="44" fontId="2" fillId="86" borderId="4" xfId="0" applyNumberFormat="1" applyFont="1" applyFill="1" applyBorder="1" applyAlignment="1">
      <alignment horizontal="center"/>
    </xf>
    <xf numFmtId="44" fontId="11" fillId="10" borderId="4" xfId="0" applyNumberFormat="1" applyFont="1" applyFill="1" applyBorder="1"/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15" borderId="4" xfId="0" applyFont="1" applyFill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right"/>
    </xf>
    <xf numFmtId="0" fontId="2" fillId="73" borderId="4" xfId="0" applyFont="1" applyFill="1" applyBorder="1" applyAlignment="1">
      <alignment horizontal="center"/>
    </xf>
    <xf numFmtId="2" fontId="2" fillId="73" borderId="4" xfId="0" applyNumberFormat="1" applyFont="1" applyFill="1" applyBorder="1" applyAlignment="1">
      <alignment horizontal="center"/>
    </xf>
    <xf numFmtId="0" fontId="7" fillId="38" borderId="4" xfId="0" applyFont="1" applyFill="1" applyBorder="1"/>
    <xf numFmtId="2" fontId="2" fillId="75" borderId="4" xfId="0" applyNumberFormat="1" applyFont="1" applyFill="1" applyBorder="1" applyAlignment="1">
      <alignment horizontal="center"/>
    </xf>
    <xf numFmtId="0" fontId="2" fillId="16" borderId="0" xfId="0" applyFont="1" applyFill="1"/>
    <xf numFmtId="0" fontId="2" fillId="16" borderId="4" xfId="0" applyFont="1" applyFill="1" applyBorder="1" applyAlignment="1">
      <alignment horizontal="right"/>
    </xf>
    <xf numFmtId="0" fontId="2" fillId="90" borderId="4" xfId="0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2" fontId="1" fillId="0" borderId="0" xfId="0" applyNumberFormat="1" applyFont="1"/>
    <xf numFmtId="0" fontId="15" fillId="86" borderId="3" xfId="0" applyFont="1" applyFill="1" applyBorder="1" applyAlignment="1">
      <alignment horizontal="center" vertical="center"/>
    </xf>
    <xf numFmtId="0" fontId="15" fillId="86" borderId="1" xfId="0" applyFont="1" applyFill="1" applyBorder="1" applyAlignment="1">
      <alignment horizontal="center" vertical="center"/>
    </xf>
    <xf numFmtId="0" fontId="15" fillId="86" borderId="1" xfId="0" applyFont="1" applyFill="1" applyBorder="1" applyAlignment="1">
      <alignment horizontal="center" vertical="center" wrapText="1"/>
    </xf>
    <xf numFmtId="0" fontId="15" fillId="86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right"/>
    </xf>
    <xf numFmtId="0" fontId="4" fillId="0" borderId="28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24" xfId="0" applyFont="1" applyBorder="1" applyAlignment="1">
      <alignment horizontal="right"/>
    </xf>
    <xf numFmtId="0" fontId="4" fillId="0" borderId="4" xfId="0" applyFont="1" applyBorder="1" applyAlignment="1">
      <alignment horizontal="center" wrapText="1"/>
    </xf>
    <xf numFmtId="2" fontId="20" fillId="0" borderId="4" xfId="0" applyNumberFormat="1" applyFont="1" applyBorder="1" applyAlignment="1">
      <alignment horizontal="center"/>
    </xf>
    <xf numFmtId="0" fontId="4" fillId="0" borderId="2" xfId="0" applyFont="1" applyBorder="1" applyAlignment="1">
      <alignment horizontal="right"/>
    </xf>
    <xf numFmtId="0" fontId="4" fillId="0" borderId="4" xfId="0" applyFont="1" applyBorder="1" applyAlignment="1">
      <alignment wrapText="1"/>
    </xf>
    <xf numFmtId="49" fontId="4" fillId="0" borderId="1" xfId="0" applyNumberFormat="1" applyFont="1" applyBorder="1" applyAlignment="1">
      <alignment horizontal="right"/>
    </xf>
    <xf numFmtId="49" fontId="4" fillId="0" borderId="1" xfId="0" applyNumberFormat="1" applyFont="1" applyBorder="1"/>
    <xf numFmtId="0" fontId="4" fillId="0" borderId="3" xfId="0" applyFont="1" applyBorder="1" applyAlignment="1">
      <alignment horizontal="right"/>
    </xf>
    <xf numFmtId="0" fontId="4" fillId="3" borderId="4" xfId="0" applyFont="1" applyFill="1" applyBorder="1" applyAlignment="1">
      <alignment vertical="top"/>
    </xf>
    <xf numFmtId="0" fontId="4" fillId="3" borderId="4" xfId="0" applyFont="1" applyFill="1" applyBorder="1" applyAlignment="1">
      <alignment horizontal="left" vertical="top"/>
    </xf>
    <xf numFmtId="1" fontId="15" fillId="3" borderId="4" xfId="0" applyNumberFormat="1" applyFont="1" applyFill="1" applyBorder="1"/>
    <xf numFmtId="1" fontId="15" fillId="3" borderId="4" xfId="0" applyNumberFormat="1" applyFont="1" applyFill="1" applyBorder="1" applyAlignment="1">
      <alignment horizontal="right"/>
    </xf>
    <xf numFmtId="1" fontId="15" fillId="3" borderId="4" xfId="0" applyNumberFormat="1" applyFont="1" applyFill="1" applyBorder="1" applyAlignment="1">
      <alignment horizontal="center"/>
    </xf>
    <xf numFmtId="1" fontId="4" fillId="3" borderId="4" xfId="0" applyNumberFormat="1" applyFont="1" applyFill="1" applyBorder="1" applyAlignment="1">
      <alignment horizontal="center"/>
    </xf>
    <xf numFmtId="2" fontId="4" fillId="3" borderId="4" xfId="0" applyNumberFormat="1" applyFont="1" applyFill="1" applyBorder="1" applyAlignment="1">
      <alignment horizontal="center"/>
    </xf>
    <xf numFmtId="0" fontId="21" fillId="87" borderId="4" xfId="0" applyFont="1" applyFill="1" applyBorder="1"/>
    <xf numFmtId="0" fontId="21" fillId="87" borderId="4" xfId="0" applyFont="1" applyFill="1" applyBorder="1" applyAlignment="1">
      <alignment horizontal="center"/>
    </xf>
    <xf numFmtId="0" fontId="15" fillId="86" borderId="4" xfId="0" applyFont="1" applyFill="1" applyBorder="1" applyAlignment="1">
      <alignment horizontal="center"/>
    </xf>
    <xf numFmtId="2" fontId="15" fillId="86" borderId="4" xfId="0" applyNumberFormat="1" applyFont="1" applyFill="1" applyBorder="1" applyAlignment="1">
      <alignment horizontal="center"/>
    </xf>
    <xf numFmtId="43" fontId="4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right" vertical="center" wrapText="1"/>
    </xf>
    <xf numFmtId="2" fontId="4" fillId="0" borderId="4" xfId="0" applyNumberFormat="1" applyFont="1" applyBorder="1" applyAlignment="1">
      <alignment horizontal="center" wrapText="1"/>
    </xf>
    <xf numFmtId="0" fontId="20" fillId="0" borderId="4" xfId="0" applyFont="1" applyBorder="1" applyAlignment="1">
      <alignment horizontal="center"/>
    </xf>
    <xf numFmtId="0" fontId="11" fillId="0" borderId="24" xfId="0" applyFont="1" applyBorder="1" applyAlignment="1">
      <alignment horizontal="right"/>
    </xf>
    <xf numFmtId="0" fontId="12" fillId="86" borderId="3" xfId="0" applyFont="1" applyFill="1" applyBorder="1" applyAlignment="1">
      <alignment horizontal="center" vertical="center" wrapText="1"/>
    </xf>
    <xf numFmtId="0" fontId="15" fillId="86" borderId="4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86" borderId="3" xfId="0" applyFont="1" applyFill="1" applyBorder="1" applyAlignment="1">
      <alignment horizontal="center" vertical="center" wrapText="1"/>
    </xf>
    <xf numFmtId="44" fontId="4" fillId="9" borderId="4" xfId="0" applyNumberFormat="1" applyFont="1" applyFill="1" applyBorder="1"/>
    <xf numFmtId="0" fontId="18" fillId="87" borderId="4" xfId="0" applyFont="1" applyFill="1" applyBorder="1" applyAlignment="1">
      <alignment horizontal="center" vertical="center"/>
    </xf>
    <xf numFmtId="0" fontId="2" fillId="86" borderId="4" xfId="0" applyFont="1" applyFill="1" applyBorder="1" applyAlignment="1">
      <alignment horizontal="center" vertical="center"/>
    </xf>
    <xf numFmtId="0" fontId="2" fillId="87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2" fillId="0" borderId="4" xfId="0" applyFont="1" applyBorder="1"/>
    <xf numFmtId="0" fontId="4" fillId="8" borderId="4" xfId="0" applyFont="1" applyFill="1" applyBorder="1" applyAlignment="1">
      <alignment horizontal="center" wrapText="1"/>
    </xf>
    <xf numFmtId="44" fontId="4" fillId="0" borderId="0" xfId="0" applyNumberFormat="1" applyFont="1"/>
    <xf numFmtId="9" fontId="0" fillId="13" borderId="0" xfId="1" applyFont="1" applyFill="1" applyAlignment="1">
      <alignment horizontal="center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14" fontId="1" fillId="0" borderId="0" xfId="0" applyNumberFormat="1" applyFont="1" applyAlignment="1">
      <alignment horizontal="right" wrapText="1"/>
    </xf>
    <xf numFmtId="49" fontId="1" fillId="0" borderId="1" xfId="0" applyNumberFormat="1" applyFont="1" applyBorder="1" applyAlignment="1">
      <alignment horizontal="right"/>
    </xf>
    <xf numFmtId="49" fontId="1" fillId="0" borderId="1" xfId="0" applyNumberFormat="1" applyFont="1" applyBorder="1" applyAlignment="1">
      <alignment horizontal="right" wrapText="1"/>
    </xf>
    <xf numFmtId="49" fontId="1" fillId="0" borderId="1" xfId="0" applyNumberFormat="1" applyFont="1" applyBorder="1"/>
    <xf numFmtId="0" fontId="2" fillId="15" borderId="1" xfId="0" applyFont="1" applyFill="1" applyBorder="1" applyAlignment="1">
      <alignment horizontal="center"/>
    </xf>
    <xf numFmtId="0" fontId="1" fillId="15" borderId="1" xfId="0" applyFont="1" applyFill="1" applyBorder="1"/>
    <xf numFmtId="0" fontId="2" fillId="15" borderId="1" xfId="0" applyFont="1" applyFill="1" applyBorder="1" applyAlignment="1">
      <alignment horizontal="center" wrapText="1"/>
    </xf>
    <xf numFmtId="0" fontId="2" fillId="15" borderId="4" xfId="0" applyFont="1" applyFill="1" applyBorder="1" applyAlignment="1">
      <alignment wrapText="1"/>
    </xf>
    <xf numFmtId="0" fontId="2" fillId="15" borderId="4" xfId="0" applyFont="1" applyFill="1" applyBorder="1" applyAlignment="1">
      <alignment horizontal="right" wrapText="1"/>
    </xf>
    <xf numFmtId="0" fontId="1" fillId="91" borderId="4" xfId="0" applyFont="1" applyFill="1" applyBorder="1" applyAlignment="1">
      <alignment wrapText="1"/>
    </xf>
    <xf numFmtId="0" fontId="2" fillId="86" borderId="3" xfId="0" applyFont="1" applyFill="1" applyBorder="1" applyAlignment="1">
      <alignment horizontal="center" vertical="center"/>
    </xf>
    <xf numFmtId="0" fontId="1" fillId="9" borderId="1" xfId="0" applyFont="1" applyFill="1" applyBorder="1"/>
    <xf numFmtId="0" fontId="1" fillId="91" borderId="4" xfId="0" applyFont="1" applyFill="1" applyBorder="1" applyAlignment="1">
      <alignment horizontal="center" wrapText="1"/>
    </xf>
    <xf numFmtId="44" fontId="2" fillId="9" borderId="4" xfId="0" applyNumberFormat="1" applyFont="1" applyFill="1" applyBorder="1" applyAlignment="1">
      <alignment horizontal="center"/>
    </xf>
    <xf numFmtId="44" fontId="2" fillId="10" borderId="4" xfId="0" applyNumberFormat="1" applyFont="1" applyFill="1" applyBorder="1" applyAlignment="1">
      <alignment horizontal="center"/>
    </xf>
    <xf numFmtId="0" fontId="1" fillId="13" borderId="1" xfId="0" applyFont="1" applyFill="1" applyBorder="1"/>
    <xf numFmtId="0" fontId="1" fillId="9" borderId="1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vertical="center" wrapText="1"/>
    </xf>
    <xf numFmtId="0" fontId="1" fillId="45" borderId="1" xfId="0" applyFont="1" applyFill="1" applyBorder="1" applyAlignment="1">
      <alignment vertical="center" wrapText="1"/>
    </xf>
    <xf numFmtId="0" fontId="1" fillId="92" borderId="1" xfId="0" applyFont="1" applyFill="1" applyBorder="1" applyAlignment="1">
      <alignment vertical="center" wrapText="1"/>
    </xf>
    <xf numFmtId="0" fontId="1" fillId="45" borderId="1" xfId="0" applyFont="1" applyFill="1" applyBorder="1"/>
    <xf numFmtId="0" fontId="1" fillId="27" borderId="1" xfId="0" applyFont="1" applyFill="1" applyBorder="1"/>
    <xf numFmtId="0" fontId="1" fillId="27" borderId="1" xfId="0" applyFont="1" applyFill="1" applyBorder="1" applyAlignment="1">
      <alignment vertical="center" wrapText="1"/>
    </xf>
    <xf numFmtId="0" fontId="1" fillId="93" borderId="1" xfId="0" applyFont="1" applyFill="1" applyBorder="1" applyAlignment="1">
      <alignment vertical="center" wrapText="1"/>
    </xf>
    <xf numFmtId="0" fontId="1" fillId="92" borderId="1" xfId="0" applyFont="1" applyFill="1" applyBorder="1"/>
    <xf numFmtId="0" fontId="1" fillId="59" borderId="1" xfId="0" applyFont="1" applyFill="1" applyBorder="1" applyAlignment="1">
      <alignment vertical="center" wrapText="1"/>
    </xf>
    <xf numFmtId="0" fontId="1" fillId="59" borderId="1" xfId="0" applyFont="1" applyFill="1" applyBorder="1"/>
    <xf numFmtId="0" fontId="1" fillId="82" borderId="1" xfId="0" applyFont="1" applyFill="1" applyBorder="1" applyAlignment="1">
      <alignment vertical="center" wrapText="1"/>
    </xf>
    <xf numFmtId="0" fontId="1" fillId="82" borderId="1" xfId="0" applyFont="1" applyFill="1" applyBorder="1"/>
    <xf numFmtId="0" fontId="1" fillId="42" borderId="1" xfId="0" applyFont="1" applyFill="1" applyBorder="1" applyAlignment="1">
      <alignment vertical="center" wrapText="1"/>
    </xf>
    <xf numFmtId="0" fontId="1" fillId="42" borderId="1" xfId="0" applyFont="1" applyFill="1" applyBorder="1"/>
    <xf numFmtId="0" fontId="1" fillId="8" borderId="1" xfId="0" applyFont="1" applyFill="1" applyBorder="1"/>
    <xf numFmtId="0" fontId="1" fillId="93" borderId="1" xfId="0" applyFont="1" applyFill="1" applyBorder="1"/>
    <xf numFmtId="0" fontId="1" fillId="47" borderId="1" xfId="0" applyFont="1" applyFill="1" applyBorder="1"/>
    <xf numFmtId="0" fontId="1" fillId="47" borderId="1" xfId="0" applyFont="1" applyFill="1" applyBorder="1" applyAlignment="1">
      <alignment vertical="center" wrapText="1"/>
    </xf>
    <xf numFmtId="0" fontId="1" fillId="94" borderId="1" xfId="0" applyFont="1" applyFill="1" applyBorder="1" applyAlignment="1">
      <alignment vertical="center" wrapText="1"/>
    </xf>
    <xf numFmtId="0" fontId="1" fillId="94" borderId="1" xfId="0" applyFont="1" applyFill="1" applyBorder="1"/>
    <xf numFmtId="0" fontId="1" fillId="95" borderId="1" xfId="0" applyFont="1" applyFill="1" applyBorder="1" applyAlignment="1">
      <alignment vertical="center" wrapText="1"/>
    </xf>
    <xf numFmtId="0" fontId="1" fillId="96" borderId="1" xfId="0" applyFont="1" applyFill="1" applyBorder="1" applyAlignment="1">
      <alignment vertical="center" wrapText="1"/>
    </xf>
    <xf numFmtId="0" fontId="1" fillId="96" borderId="1" xfId="0" applyFont="1" applyFill="1" applyBorder="1"/>
    <xf numFmtId="0" fontId="1" fillId="97" borderId="1" xfId="0" applyFont="1" applyFill="1" applyBorder="1" applyAlignment="1">
      <alignment vertical="center" wrapText="1"/>
    </xf>
    <xf numFmtId="49" fontId="1" fillId="98" borderId="1" xfId="0" applyNumberFormat="1" applyFont="1" applyFill="1" applyBorder="1" applyAlignment="1">
      <alignment vertical="center" wrapText="1"/>
    </xf>
    <xf numFmtId="0" fontId="1" fillId="97" borderId="1" xfId="0" applyFont="1" applyFill="1" applyBorder="1"/>
    <xf numFmtId="0" fontId="1" fillId="99" borderId="1" xfId="0" applyFont="1" applyFill="1" applyBorder="1"/>
    <xf numFmtId="0" fontId="1" fillId="99" borderId="1" xfId="0" applyFont="1" applyFill="1" applyBorder="1" applyAlignment="1">
      <alignment horizontal="left"/>
    </xf>
    <xf numFmtId="0" fontId="1" fillId="100" borderId="1" xfId="0" applyFont="1" applyFill="1" applyBorder="1"/>
    <xf numFmtId="49" fontId="1" fillId="97" borderId="1" xfId="0" applyNumberFormat="1" applyFont="1" applyFill="1" applyBorder="1"/>
    <xf numFmtId="0" fontId="1" fillId="101" borderId="1" xfId="0" applyFont="1" applyFill="1" applyBorder="1"/>
    <xf numFmtId="49" fontId="1" fillId="101" borderId="1" xfId="0" applyNumberFormat="1" applyFont="1" applyFill="1" applyBorder="1"/>
    <xf numFmtId="0" fontId="1" fillId="102" borderId="1" xfId="0" applyFont="1" applyFill="1" applyBorder="1"/>
    <xf numFmtId="0" fontId="1" fillId="103" borderId="1" xfId="0" applyFont="1" applyFill="1" applyBorder="1" applyAlignment="1">
      <alignment wrapText="1"/>
    </xf>
    <xf numFmtId="0" fontId="1" fillId="103" borderId="1" xfId="0" applyFont="1" applyFill="1" applyBorder="1"/>
    <xf numFmtId="0" fontId="1" fillId="104" borderId="1" xfId="0" applyFont="1" applyFill="1" applyBorder="1" applyAlignment="1">
      <alignment wrapText="1"/>
    </xf>
    <xf numFmtId="0" fontId="1" fillId="104" borderId="1" xfId="0" applyFont="1" applyFill="1" applyBorder="1"/>
    <xf numFmtId="0" fontId="1" fillId="36" borderId="1" xfId="0" applyFont="1" applyFill="1" applyBorder="1" applyAlignment="1">
      <alignment wrapText="1"/>
    </xf>
    <xf numFmtId="0" fontId="1" fillId="36" borderId="1" xfId="0" applyFont="1" applyFill="1" applyBorder="1"/>
    <xf numFmtId="0" fontId="1" fillId="105" borderId="1" xfId="0" applyFont="1" applyFill="1" applyBorder="1" applyAlignment="1">
      <alignment wrapText="1"/>
    </xf>
    <xf numFmtId="0" fontId="1" fillId="105" borderId="1" xfId="0" applyFont="1" applyFill="1" applyBorder="1"/>
    <xf numFmtId="0" fontId="1" fillId="106" borderId="1" xfId="0" applyFont="1" applyFill="1" applyBorder="1" applyAlignment="1">
      <alignment wrapText="1"/>
    </xf>
    <xf numFmtId="0" fontId="1" fillId="106" borderId="1" xfId="0" applyFont="1" applyFill="1" applyBorder="1"/>
    <xf numFmtId="0" fontId="1" fillId="107" borderId="1" xfId="0" applyFont="1" applyFill="1" applyBorder="1" applyAlignment="1">
      <alignment wrapText="1"/>
    </xf>
    <xf numFmtId="0" fontId="1" fillId="107" borderId="1" xfId="0" applyFont="1" applyFill="1" applyBorder="1"/>
    <xf numFmtId="0" fontId="1" fillId="108" borderId="1" xfId="0" applyFont="1" applyFill="1" applyBorder="1" applyAlignment="1">
      <alignment wrapText="1"/>
    </xf>
    <xf numFmtId="0" fontId="1" fillId="108" borderId="1" xfId="0" applyFont="1" applyFill="1" applyBorder="1"/>
    <xf numFmtId="0" fontId="1" fillId="109" borderId="1" xfId="0" applyFont="1" applyFill="1" applyBorder="1"/>
    <xf numFmtId="0" fontId="1" fillId="109" borderId="1" xfId="0" applyFont="1" applyFill="1" applyBorder="1" applyAlignment="1">
      <alignment wrapText="1"/>
    </xf>
    <xf numFmtId="0" fontId="1" fillId="29" borderId="1" xfId="0" applyFont="1" applyFill="1" applyBorder="1"/>
    <xf numFmtId="0" fontId="1" fillId="29" borderId="1" xfId="0" applyFont="1" applyFill="1" applyBorder="1" applyAlignment="1">
      <alignment wrapText="1"/>
    </xf>
    <xf numFmtId="0" fontId="1" fillId="22" borderId="1" xfId="0" applyFont="1" applyFill="1" applyBorder="1"/>
    <xf numFmtId="0" fontId="1" fillId="22" borderId="1" xfId="0" applyFont="1" applyFill="1" applyBorder="1" applyAlignment="1">
      <alignment wrapText="1"/>
    </xf>
    <xf numFmtId="0" fontId="1" fillId="110" borderId="1" xfId="0" applyFont="1" applyFill="1" applyBorder="1"/>
    <xf numFmtId="0" fontId="1" fillId="110" borderId="1" xfId="0" applyFont="1" applyFill="1" applyBorder="1" applyAlignment="1">
      <alignment wrapText="1"/>
    </xf>
    <xf numFmtId="0" fontId="1" fillId="111" borderId="1" xfId="0" applyFont="1" applyFill="1" applyBorder="1" applyAlignment="1">
      <alignment horizontal="left"/>
    </xf>
    <xf numFmtId="0" fontId="1" fillId="112" borderId="1" xfId="0" applyFont="1" applyFill="1" applyBorder="1" applyAlignment="1">
      <alignment horizontal="left"/>
    </xf>
    <xf numFmtId="0" fontId="1" fillId="113" borderId="1" xfId="0" applyFont="1" applyFill="1" applyBorder="1" applyAlignment="1">
      <alignment horizontal="left"/>
    </xf>
    <xf numFmtId="0" fontId="1" fillId="114" borderId="1" xfId="0" applyFont="1" applyFill="1" applyBorder="1" applyAlignment="1">
      <alignment horizontal="left"/>
    </xf>
    <xf numFmtId="0" fontId="1" fillId="113" borderId="1" xfId="0" applyFont="1" applyFill="1" applyBorder="1" applyAlignment="1">
      <alignment horizontal="right"/>
    </xf>
    <xf numFmtId="0" fontId="1" fillId="116" borderId="1" xfId="0" applyFont="1" applyFill="1" applyBorder="1" applyAlignment="1">
      <alignment horizontal="left"/>
    </xf>
    <xf numFmtId="0" fontId="1" fillId="85" borderId="1" xfId="0" applyFont="1" applyFill="1" applyBorder="1" applyAlignment="1">
      <alignment horizontal="left"/>
    </xf>
    <xf numFmtId="0" fontId="1" fillId="85" borderId="1" xfId="0" applyFont="1" applyFill="1" applyBorder="1" applyAlignment="1">
      <alignment horizontal="right"/>
    </xf>
    <xf numFmtId="0" fontId="1" fillId="94" borderId="1" xfId="0" applyFont="1" applyFill="1" applyBorder="1" applyAlignment="1">
      <alignment horizontal="left"/>
    </xf>
    <xf numFmtId="0" fontId="1" fillId="31" borderId="1" xfId="0" applyFont="1" applyFill="1" applyBorder="1" applyAlignment="1">
      <alignment horizontal="left"/>
    </xf>
    <xf numFmtId="0" fontId="1" fillId="115" borderId="1" xfId="0" applyFont="1" applyFill="1" applyBorder="1" applyAlignment="1">
      <alignment horizontal="left"/>
    </xf>
    <xf numFmtId="0" fontId="1" fillId="117" borderId="1" xfId="0" applyFont="1" applyFill="1" applyBorder="1" applyAlignment="1">
      <alignment horizontal="left"/>
    </xf>
    <xf numFmtId="0" fontId="1" fillId="118" borderId="1" xfId="0" applyFont="1" applyFill="1" applyBorder="1" applyAlignment="1">
      <alignment horizontal="left"/>
    </xf>
    <xf numFmtId="0" fontId="1" fillId="119" borderId="1" xfId="0" applyFont="1" applyFill="1" applyBorder="1" applyAlignment="1">
      <alignment horizontal="left"/>
    </xf>
    <xf numFmtId="0" fontId="1" fillId="120" borderId="1" xfId="0" applyFont="1" applyFill="1" applyBorder="1" applyAlignment="1">
      <alignment horizontal="left"/>
    </xf>
    <xf numFmtId="0" fontId="1" fillId="105" borderId="1" xfId="0" applyFont="1" applyFill="1" applyBorder="1" applyAlignment="1">
      <alignment horizontal="left"/>
    </xf>
    <xf numFmtId="0" fontId="1" fillId="121" borderId="1" xfId="0" applyFont="1" applyFill="1" applyBorder="1" applyAlignment="1">
      <alignment horizontal="left"/>
    </xf>
    <xf numFmtId="0" fontId="1" fillId="122" borderId="1" xfId="0" applyFont="1" applyFill="1" applyBorder="1" applyAlignment="1">
      <alignment horizontal="left"/>
    </xf>
    <xf numFmtId="0" fontId="1" fillId="122" borderId="1" xfId="0" applyFont="1" applyFill="1" applyBorder="1"/>
    <xf numFmtId="0" fontId="1" fillId="24" borderId="1" xfId="0" applyFont="1" applyFill="1" applyBorder="1" applyAlignment="1">
      <alignment horizontal="left"/>
    </xf>
    <xf numFmtId="0" fontId="1" fillId="123" borderId="1" xfId="0" applyFont="1" applyFill="1" applyBorder="1" applyAlignment="1">
      <alignment horizontal="left"/>
    </xf>
    <xf numFmtId="0" fontId="1" fillId="123" borderId="1" xfId="0" applyFont="1" applyFill="1" applyBorder="1"/>
    <xf numFmtId="0" fontId="1" fillId="124" borderId="1" xfId="0" applyFont="1" applyFill="1" applyBorder="1"/>
    <xf numFmtId="0" fontId="1" fillId="124" borderId="1" xfId="0" applyFont="1" applyFill="1" applyBorder="1" applyAlignment="1">
      <alignment horizontal="left"/>
    </xf>
    <xf numFmtId="0" fontId="1" fillId="0" borderId="28" xfId="0" applyFont="1" applyBorder="1"/>
    <xf numFmtId="0" fontId="1" fillId="92" borderId="28" xfId="0" applyFont="1" applyFill="1" applyBorder="1"/>
    <xf numFmtId="0" fontId="1" fillId="123" borderId="0" xfId="0" applyFont="1" applyFill="1" applyAlignment="1">
      <alignment horizontal="left"/>
    </xf>
    <xf numFmtId="0" fontId="1" fillId="117" borderId="0" xfId="0" applyFont="1" applyFill="1" applyAlignment="1">
      <alignment horizontal="left"/>
    </xf>
    <xf numFmtId="1" fontId="2" fillId="0" borderId="4" xfId="0" applyNumberFormat="1" applyFont="1" applyBorder="1" applyAlignment="1">
      <alignment horizontal="center"/>
    </xf>
    <xf numFmtId="0" fontId="1" fillId="0" borderId="24" xfId="0" applyFont="1" applyBorder="1" applyAlignment="1">
      <alignment vertical="top"/>
    </xf>
    <xf numFmtId="0" fontId="1" fillId="0" borderId="36" xfId="0" applyFont="1" applyBorder="1" applyAlignment="1">
      <alignment vertical="top"/>
    </xf>
    <xf numFmtId="1" fontId="1" fillId="0" borderId="34" xfId="0" applyNumberFormat="1" applyFont="1" applyBorder="1" applyAlignment="1">
      <alignment horizontal="center"/>
    </xf>
    <xf numFmtId="1" fontId="1" fillId="0" borderId="28" xfId="0" applyNumberFormat="1" applyFont="1" applyBorder="1" applyAlignment="1">
      <alignment horizontal="center"/>
    </xf>
    <xf numFmtId="0" fontId="1" fillId="0" borderId="28" xfId="0" applyFont="1" applyBorder="1" applyAlignment="1">
      <alignment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center"/>
    </xf>
    <xf numFmtId="44" fontId="1" fillId="0" borderId="0" xfId="0" applyNumberFormat="1" applyFont="1" applyAlignment="1">
      <alignment horizontal="center"/>
    </xf>
    <xf numFmtId="44" fontId="0" fillId="0" borderId="32" xfId="0" applyNumberFormat="1" applyBorder="1"/>
    <xf numFmtId="0" fontId="1" fillId="0" borderId="4" xfId="0" applyFont="1" applyBorder="1" applyAlignment="1">
      <alignment vertical="center"/>
    </xf>
    <xf numFmtId="0" fontId="11" fillId="8" borderId="38" xfId="0" applyFont="1" applyFill="1" applyBorder="1" applyAlignment="1">
      <alignment vertical="center"/>
    </xf>
    <xf numFmtId="0" fontId="1" fillId="0" borderId="34" xfId="0" applyFont="1" applyBorder="1" applyAlignment="1">
      <alignment horizontal="center"/>
    </xf>
    <xf numFmtId="44" fontId="1" fillId="0" borderId="32" xfId="0" applyNumberFormat="1" applyFont="1" applyBorder="1" applyAlignment="1">
      <alignment horizontal="center"/>
    </xf>
    <xf numFmtId="0" fontId="2" fillId="86" borderId="1" xfId="0" applyFont="1" applyFill="1" applyBorder="1" applyAlignment="1">
      <alignment horizontal="center" vertical="center" wrapText="1"/>
    </xf>
    <xf numFmtId="0" fontId="2" fillId="86" borderId="4" xfId="0" applyFont="1" applyFill="1" applyBorder="1" applyAlignment="1">
      <alignment horizontal="center" wrapText="1"/>
    </xf>
    <xf numFmtId="0" fontId="1" fillId="8" borderId="4" xfId="0" applyFont="1" applyFill="1" applyBorder="1" applyAlignment="1">
      <alignment horizontal="center" wrapText="1"/>
    </xf>
    <xf numFmtId="2" fontId="7" fillId="0" borderId="4" xfId="0" applyNumberFormat="1" applyFont="1" applyBorder="1" applyAlignment="1">
      <alignment horizontal="center"/>
    </xf>
    <xf numFmtId="44" fontId="1" fillId="0" borderId="0" xfId="2" applyNumberFormat="1" applyFont="1"/>
    <xf numFmtId="44" fontId="1" fillId="0" borderId="4" xfId="0" applyNumberFormat="1" applyFont="1" applyBorder="1" applyAlignment="1">
      <alignment horizontal="center" wrapText="1"/>
    </xf>
    <xf numFmtId="44" fontId="7" fillId="0" borderId="4" xfId="0" applyNumberFormat="1" applyFont="1" applyBorder="1" applyAlignment="1">
      <alignment horizontal="center"/>
    </xf>
    <xf numFmtId="44" fontId="7" fillId="10" borderId="4" xfId="0" applyNumberFormat="1" applyFont="1" applyFill="1" applyBorder="1" applyAlignment="1">
      <alignment horizontal="center"/>
    </xf>
    <xf numFmtId="43" fontId="1" fillId="0" borderId="1" xfId="0" applyNumberFormat="1" applyFont="1" applyBorder="1" applyAlignment="1">
      <alignment horizontal="center" vertical="center" wrapText="1"/>
    </xf>
    <xf numFmtId="0" fontId="1" fillId="9" borderId="0" xfId="0" applyFont="1" applyFill="1" applyAlignment="1">
      <alignment wrapText="1"/>
    </xf>
    <xf numFmtId="0" fontId="1" fillId="13" borderId="0" xfId="0" applyFont="1" applyFill="1" applyAlignment="1">
      <alignment wrapText="1"/>
    </xf>
    <xf numFmtId="0" fontId="1" fillId="8" borderId="0" xfId="0" applyFont="1" applyFill="1" applyAlignment="1">
      <alignment wrapText="1"/>
    </xf>
    <xf numFmtId="0" fontId="1" fillId="45" borderId="0" xfId="0" applyFont="1" applyFill="1"/>
    <xf numFmtId="0" fontId="1" fillId="45" borderId="0" xfId="0" applyFont="1" applyFill="1" applyAlignment="1">
      <alignment wrapText="1"/>
    </xf>
    <xf numFmtId="0" fontId="1" fillId="92" borderId="0" xfId="0" applyFont="1" applyFill="1" applyAlignment="1">
      <alignment wrapText="1"/>
    </xf>
    <xf numFmtId="0" fontId="1" fillId="93" borderId="0" xfId="0" applyFont="1" applyFill="1" applyAlignment="1">
      <alignment wrapText="1"/>
    </xf>
    <xf numFmtId="0" fontId="1" fillId="95" borderId="0" xfId="0" applyFont="1" applyFill="1" applyAlignment="1">
      <alignment wrapText="1"/>
    </xf>
    <xf numFmtId="0" fontId="1" fillId="98" borderId="0" xfId="0" applyFont="1" applyFill="1" applyAlignment="1">
      <alignment wrapText="1"/>
    </xf>
    <xf numFmtId="0" fontId="1" fillId="96" borderId="0" xfId="0" applyFont="1" applyFill="1" applyAlignment="1">
      <alignment wrapText="1"/>
    </xf>
    <xf numFmtId="0" fontId="1" fillId="97" borderId="0" xfId="0" applyFont="1" applyFill="1" applyAlignment="1">
      <alignment wrapText="1"/>
    </xf>
    <xf numFmtId="0" fontId="1" fillId="123" borderId="0" xfId="0" applyFont="1" applyFill="1" applyAlignment="1">
      <alignment wrapText="1"/>
    </xf>
    <xf numFmtId="0" fontId="1" fillId="117" borderId="0" xfId="0" applyFont="1" applyFill="1" applyAlignment="1">
      <alignment wrapText="1"/>
    </xf>
    <xf numFmtId="0" fontId="1" fillId="115" borderId="0" xfId="0" applyFont="1" applyFill="1" applyAlignment="1">
      <alignment wrapText="1"/>
    </xf>
    <xf numFmtId="43" fontId="4" fillId="0" borderId="0" xfId="2" applyFont="1"/>
    <xf numFmtId="0" fontId="11" fillId="8" borderId="43" xfId="0" applyFont="1" applyFill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8" borderId="4" xfId="0" applyFont="1" applyFill="1" applyBorder="1" applyAlignment="1">
      <alignment vertical="center"/>
    </xf>
    <xf numFmtId="0" fontId="4" fillId="0" borderId="24" xfId="0" applyFont="1" applyBorder="1"/>
    <xf numFmtId="0" fontId="4" fillId="0" borderId="4" xfId="0" applyFont="1" applyBorder="1" applyAlignment="1">
      <alignment vertical="center"/>
    </xf>
    <xf numFmtId="0" fontId="4" fillId="8" borderId="4" xfId="0" applyFont="1" applyFill="1" applyBorder="1" applyAlignment="1">
      <alignment vertical="center"/>
    </xf>
    <xf numFmtId="0" fontId="11" fillId="0" borderId="24" xfId="0" applyFont="1" applyBorder="1"/>
    <xf numFmtId="0" fontId="1" fillId="0" borderId="24" xfId="0" applyFont="1" applyBorder="1"/>
    <xf numFmtId="0" fontId="0" fillId="0" borderId="4" xfId="0" applyBorder="1" applyAlignment="1">
      <alignment vertical="center"/>
    </xf>
    <xf numFmtId="0" fontId="2" fillId="86" borderId="0" xfId="0" applyFont="1" applyFill="1" applyAlignment="1">
      <alignment horizontal="center" vertical="center" wrapText="1"/>
    </xf>
    <xf numFmtId="1" fontId="2" fillId="3" borderId="26" xfId="0" applyNumberFormat="1" applyFont="1" applyFill="1" applyBorder="1" applyAlignment="1">
      <alignment horizontal="center"/>
    </xf>
    <xf numFmtId="0" fontId="18" fillId="87" borderId="26" xfId="0" applyFont="1" applyFill="1" applyBorder="1" applyAlignment="1">
      <alignment horizontal="center"/>
    </xf>
    <xf numFmtId="1" fontId="2" fillId="3" borderId="34" xfId="0" applyNumberFormat="1" applyFont="1" applyFill="1" applyBorder="1" applyAlignment="1">
      <alignment horizontal="center"/>
    </xf>
    <xf numFmtId="0" fontId="2" fillId="86" borderId="34" xfId="0" applyFont="1" applyFill="1" applyBorder="1" applyAlignment="1">
      <alignment horizontal="center"/>
    </xf>
    <xf numFmtId="43" fontId="1" fillId="0" borderId="28" xfId="0" applyNumberFormat="1" applyFont="1" applyBorder="1" applyAlignment="1">
      <alignment horizontal="center" vertical="center" wrapText="1"/>
    </xf>
    <xf numFmtId="43" fontId="1" fillId="0" borderId="4" xfId="0" applyNumberFormat="1" applyFont="1" applyBorder="1" applyAlignment="1">
      <alignment horizontal="center" vertical="center" wrapText="1"/>
    </xf>
    <xf numFmtId="0" fontId="0" fillId="9" borderId="0" xfId="0" applyFill="1"/>
    <xf numFmtId="1" fontId="0" fillId="9" borderId="4" xfId="0" applyNumberFormat="1" applyFill="1" applyBorder="1"/>
    <xf numFmtId="0" fontId="11" fillId="9" borderId="1" xfId="0" applyFont="1" applyFill="1" applyBorder="1" applyAlignment="1">
      <alignment vertical="center" wrapText="1"/>
    </xf>
    <xf numFmtId="0" fontId="11" fillId="9" borderId="1" xfId="0" applyFont="1" applyFill="1" applyBorder="1" applyAlignment="1">
      <alignment horizontal="left"/>
    </xf>
    <xf numFmtId="0" fontId="11" fillId="9" borderId="3" xfId="0" applyFont="1" applyFill="1" applyBorder="1" applyAlignment="1">
      <alignment horizontal="left"/>
    </xf>
    <xf numFmtId="0" fontId="11" fillId="9" borderId="1" xfId="0" applyFont="1" applyFill="1" applyBorder="1" applyAlignment="1">
      <alignment vertical="top"/>
    </xf>
    <xf numFmtId="1" fontId="0" fillId="10" borderId="4" xfId="0" applyNumberFormat="1" applyFill="1" applyBorder="1"/>
    <xf numFmtId="0" fontId="11" fillId="10" borderId="1" xfId="0" applyFont="1" applyFill="1" applyBorder="1" applyAlignment="1">
      <alignment horizontal="left"/>
    </xf>
    <xf numFmtId="0" fontId="11" fillId="10" borderId="1" xfId="0" applyFont="1" applyFill="1" applyBorder="1" applyAlignment="1">
      <alignment horizontal="left" vertical="top"/>
    </xf>
    <xf numFmtId="0" fontId="11" fillId="10" borderId="1" xfId="0" applyFont="1" applyFill="1" applyBorder="1" applyAlignment="1">
      <alignment horizontal="left" vertical="center" wrapText="1"/>
    </xf>
    <xf numFmtId="0" fontId="11" fillId="10" borderId="3" xfId="0" applyFont="1" applyFill="1" applyBorder="1" applyAlignment="1">
      <alignment horizontal="left" vertical="center" wrapText="1"/>
    </xf>
    <xf numFmtId="0" fontId="0" fillId="117" borderId="4" xfId="0" applyFill="1" applyBorder="1"/>
    <xf numFmtId="1" fontId="0" fillId="117" borderId="4" xfId="0" applyNumberFormat="1" applyFill="1" applyBorder="1"/>
    <xf numFmtId="0" fontId="11" fillId="117" borderId="1" xfId="0" applyFont="1" applyFill="1" applyBorder="1"/>
    <xf numFmtId="0" fontId="11" fillId="29" borderId="1" xfId="0" applyFont="1" applyFill="1" applyBorder="1" applyAlignment="1">
      <alignment vertical="top"/>
    </xf>
    <xf numFmtId="0" fontId="11" fillId="29" borderId="0" xfId="0" applyFont="1" applyFill="1"/>
    <xf numFmtId="0" fontId="1" fillId="29" borderId="1" xfId="0" applyFont="1" applyFill="1" applyBorder="1" applyAlignment="1">
      <alignment vertical="top"/>
    </xf>
    <xf numFmtId="0" fontId="11" fillId="29" borderId="1" xfId="0" applyFont="1" applyFill="1" applyBorder="1" applyAlignment="1">
      <alignment horizontal="left" vertical="top"/>
    </xf>
    <xf numFmtId="0" fontId="11" fillId="120" borderId="1" xfId="0" applyFont="1" applyFill="1" applyBorder="1"/>
    <xf numFmtId="0" fontId="11" fillId="120" borderId="1" xfId="0" applyFont="1" applyFill="1" applyBorder="1" applyAlignment="1">
      <alignment vertical="top"/>
    </xf>
    <xf numFmtId="0" fontId="1" fillId="119" borderId="28" xfId="0" applyFont="1" applyFill="1" applyBorder="1" applyAlignment="1">
      <alignment vertical="top"/>
    </xf>
    <xf numFmtId="0" fontId="1" fillId="119" borderId="36" xfId="0" applyFont="1" applyFill="1" applyBorder="1" applyAlignment="1">
      <alignment vertical="top"/>
    </xf>
    <xf numFmtId="0" fontId="1" fillId="119" borderId="4" xfId="0" applyFont="1" applyFill="1" applyBorder="1"/>
    <xf numFmtId="0" fontId="1" fillId="119" borderId="2" xfId="0" applyFont="1" applyFill="1" applyBorder="1" applyAlignment="1">
      <alignment horizontal="left" vertical="top"/>
    </xf>
    <xf numFmtId="0" fontId="11" fillId="10" borderId="2" xfId="0" applyFont="1" applyFill="1" applyBorder="1" applyAlignment="1">
      <alignment horizontal="left" vertical="top"/>
    </xf>
    <xf numFmtId="0" fontId="11" fillId="27" borderId="2" xfId="0" applyFont="1" applyFill="1" applyBorder="1" applyAlignment="1">
      <alignment vertical="top"/>
    </xf>
    <xf numFmtId="0" fontId="11" fillId="27" borderId="1" xfId="0" applyFont="1" applyFill="1" applyBorder="1" applyAlignment="1">
      <alignment vertical="top"/>
    </xf>
    <xf numFmtId="44" fontId="0" fillId="0" borderId="4" xfId="0" applyNumberFormat="1" applyBorder="1" applyAlignment="1">
      <alignment horizontal="center"/>
    </xf>
    <xf numFmtId="0" fontId="11" fillId="84" borderId="1" xfId="0" applyFont="1" applyFill="1" applyBorder="1" applyAlignment="1">
      <alignment vertical="top"/>
    </xf>
    <xf numFmtId="0" fontId="11" fillId="84" borderId="1" xfId="0" applyFont="1" applyFill="1" applyBorder="1" applyAlignment="1">
      <alignment horizontal="left" vertical="top"/>
    </xf>
    <xf numFmtId="0" fontId="11" fillId="10" borderId="1" xfId="0" applyFont="1" applyFill="1" applyBorder="1" applyAlignment="1">
      <alignment vertical="center"/>
    </xf>
    <xf numFmtId="0" fontId="11" fillId="30" borderId="4" xfId="0" applyFont="1" applyFill="1" applyBorder="1"/>
    <xf numFmtId="0" fontId="1" fillId="0" borderId="4" xfId="0" applyFont="1" applyBorder="1" applyAlignment="1">
      <alignment horizontal="center" wrapText="1"/>
    </xf>
    <xf numFmtId="0" fontId="0" fillId="13" borderId="4" xfId="0" applyFill="1" applyBorder="1"/>
    <xf numFmtId="0" fontId="2" fillId="86" borderId="4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vertical="center" wrapText="1"/>
    </xf>
    <xf numFmtId="0" fontId="1" fillId="5" borderId="7" xfId="0" applyFont="1" applyFill="1" applyBorder="1" applyAlignment="1">
      <alignment horizontal="left"/>
    </xf>
    <xf numFmtId="0" fontId="2" fillId="5" borderId="8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/>
    <xf numFmtId="0" fontId="1" fillId="5" borderId="2" xfId="0" applyFont="1" applyFill="1" applyBorder="1"/>
    <xf numFmtId="0" fontId="2" fillId="5" borderId="1" xfId="0" applyFont="1" applyFill="1" applyBorder="1" applyAlignment="1">
      <alignment vertical="center"/>
    </xf>
    <xf numFmtId="0" fontId="1" fillId="5" borderId="1" xfId="0" applyFont="1" applyFill="1" applyBorder="1"/>
    <xf numFmtId="0" fontId="2" fillId="0" borderId="1" xfId="0" applyFont="1" applyBorder="1" applyAlignment="1">
      <alignment vertical="center"/>
    </xf>
    <xf numFmtId="0" fontId="2" fillId="5" borderId="11" xfId="0" applyFont="1" applyFill="1" applyBorder="1"/>
    <xf numFmtId="0" fontId="2" fillId="5" borderId="12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left"/>
    </xf>
    <xf numFmtId="0" fontId="1" fillId="0" borderId="14" xfId="0" applyFont="1" applyBorder="1"/>
    <xf numFmtId="0" fontId="1" fillId="0" borderId="15" xfId="0" applyFont="1" applyBorder="1"/>
    <xf numFmtId="165" fontId="2" fillId="6" borderId="16" xfId="0" applyNumberFormat="1" applyFont="1" applyFill="1" applyBorder="1" applyAlignment="1">
      <alignment horizontal="left"/>
    </xf>
    <xf numFmtId="0" fontId="1" fillId="0" borderId="17" xfId="0" applyFont="1" applyBorder="1"/>
    <xf numFmtId="0" fontId="1" fillId="0" borderId="18" xfId="0" applyFont="1" applyBorder="1"/>
    <xf numFmtId="165" fontId="2" fillId="6" borderId="19" xfId="0" applyNumberFormat="1" applyFont="1" applyFill="1" applyBorder="1" applyAlignment="1">
      <alignment horizontal="left"/>
    </xf>
    <xf numFmtId="0" fontId="1" fillId="0" borderId="11" xfId="0" applyFont="1" applyBorder="1" applyAlignment="1">
      <alignment vertical="center"/>
    </xf>
    <xf numFmtId="165" fontId="1" fillId="0" borderId="2" xfId="0" applyNumberFormat="1" applyFont="1" applyBorder="1" applyAlignment="1">
      <alignment horizontal="left" wrapText="1"/>
    </xf>
    <xf numFmtId="165" fontId="1" fillId="6" borderId="1" xfId="0" applyNumberFormat="1" applyFont="1" applyFill="1" applyBorder="1" applyAlignment="1">
      <alignment wrapText="1"/>
    </xf>
    <xf numFmtId="165" fontId="1" fillId="0" borderId="3" xfId="0" applyNumberFormat="1" applyFont="1" applyBorder="1" applyAlignment="1">
      <alignment horizontal="left" wrapText="1"/>
    </xf>
    <xf numFmtId="0" fontId="13" fillId="0" borderId="1" xfId="0" applyFont="1" applyBorder="1"/>
    <xf numFmtId="0" fontId="2" fillId="6" borderId="1" xfId="0" applyFont="1" applyFill="1" applyBorder="1" applyAlignment="1">
      <alignment horizontal="left" wrapText="1"/>
    </xf>
    <xf numFmtId="44" fontId="2" fillId="6" borderId="2" xfId="0" applyNumberFormat="1" applyFont="1" applyFill="1" applyBorder="1" applyAlignment="1">
      <alignment horizontal="left" wrapText="1"/>
    </xf>
    <xf numFmtId="0" fontId="1" fillId="10" borderId="4" xfId="0" applyFont="1" applyFill="1" applyBorder="1" applyAlignment="1">
      <alignment horizontal="center"/>
    </xf>
    <xf numFmtId="167" fontId="1" fillId="0" borderId="1" xfId="0" applyNumberFormat="1" applyFont="1" applyBorder="1" applyAlignment="1">
      <alignment horizontal="center"/>
    </xf>
    <xf numFmtId="167" fontId="4" fillId="0" borderId="1" xfId="0" applyNumberFormat="1" applyFont="1" applyBorder="1" applyAlignment="1">
      <alignment horizontal="center"/>
    </xf>
    <xf numFmtId="167" fontId="1" fillId="0" borderId="28" xfId="0" applyNumberFormat="1" applyFont="1" applyBorder="1" applyAlignment="1">
      <alignment horizontal="center"/>
    </xf>
    <xf numFmtId="0" fontId="0" fillId="10" borderId="4" xfId="0" applyFill="1" applyBorder="1"/>
    <xf numFmtId="0" fontId="7" fillId="0" borderId="0" xfId="0" applyFont="1" applyAlignment="1">
      <alignment horizontal="center"/>
    </xf>
    <xf numFmtId="0" fontId="7" fillId="0" borderId="4" xfId="0" applyFont="1" applyBorder="1" applyAlignment="1">
      <alignment horizontal="right"/>
    </xf>
    <xf numFmtId="0" fontId="7" fillId="20" borderId="4" xfId="0" applyFont="1" applyFill="1" applyBorder="1"/>
    <xf numFmtId="44" fontId="7" fillId="0" borderId="4" xfId="0" applyNumberFormat="1" applyFont="1" applyBorder="1"/>
    <xf numFmtId="44" fontId="7" fillId="10" borderId="4" xfId="0" applyNumberFormat="1" applyFont="1" applyFill="1" applyBorder="1"/>
    <xf numFmtId="44" fontId="7" fillId="9" borderId="4" xfId="0" applyNumberFormat="1" applyFont="1" applyFill="1" applyBorder="1"/>
    <xf numFmtId="0" fontId="1" fillId="23" borderId="4" xfId="0" applyFont="1" applyFill="1" applyBorder="1"/>
    <xf numFmtId="0" fontId="7" fillId="13" borderId="4" xfId="0" applyFont="1" applyFill="1" applyBorder="1"/>
    <xf numFmtId="0" fontId="1" fillId="40" borderId="4" xfId="0" applyFont="1" applyFill="1" applyBorder="1"/>
    <xf numFmtId="0" fontId="7" fillId="26" borderId="4" xfId="0" applyFont="1" applyFill="1" applyBorder="1"/>
    <xf numFmtId="44" fontId="7" fillId="0" borderId="0" xfId="0" applyNumberFormat="1" applyFont="1"/>
    <xf numFmtId="0" fontId="7" fillId="41" borderId="4" xfId="0" applyFont="1" applyFill="1" applyBorder="1"/>
    <xf numFmtId="0" fontId="7" fillId="25" borderId="4" xfId="0" applyFont="1" applyFill="1" applyBorder="1"/>
    <xf numFmtId="0" fontId="7" fillId="42" borderId="4" xfId="0" applyFont="1" applyFill="1" applyBorder="1"/>
    <xf numFmtId="0" fontId="7" fillId="10" borderId="4" xfId="0" applyFont="1" applyFill="1" applyBorder="1"/>
    <xf numFmtId="0" fontId="7" fillId="35" borderId="4" xfId="0" applyFont="1" applyFill="1" applyBorder="1"/>
    <xf numFmtId="0" fontId="1" fillId="34" borderId="4" xfId="0" applyFont="1" applyFill="1" applyBorder="1"/>
    <xf numFmtId="0" fontId="1" fillId="31" borderId="4" xfId="0" applyFont="1" applyFill="1" applyBorder="1"/>
    <xf numFmtId="0" fontId="7" fillId="43" borderId="4" xfId="0" applyFont="1" applyFill="1" applyBorder="1"/>
    <xf numFmtId="0" fontId="7" fillId="44" borderId="4" xfId="0" applyFont="1" applyFill="1" applyBorder="1"/>
    <xf numFmtId="0" fontId="7" fillId="40" borderId="4" xfId="0" applyFont="1" applyFill="1" applyBorder="1"/>
    <xf numFmtId="0" fontId="7" fillId="30" borderId="4" xfId="0" applyFont="1" applyFill="1" applyBorder="1"/>
    <xf numFmtId="0" fontId="7" fillId="23" borderId="4" xfId="0" applyFont="1" applyFill="1" applyBorder="1"/>
    <xf numFmtId="0" fontId="7" fillId="71" borderId="0" xfId="0" applyFont="1" applyFill="1"/>
    <xf numFmtId="0" fontId="7" fillId="46" borderId="4" xfId="0" applyFont="1" applyFill="1" applyBorder="1"/>
    <xf numFmtId="0" fontId="7" fillId="47" borderId="4" xfId="0" applyFont="1" applyFill="1" applyBorder="1"/>
    <xf numFmtId="0" fontId="7" fillId="53" borderId="0" xfId="0" applyFont="1" applyFill="1"/>
    <xf numFmtId="0" fontId="7" fillId="48" borderId="4" xfId="0" applyFont="1" applyFill="1" applyBorder="1"/>
    <xf numFmtId="0" fontId="1" fillId="49" borderId="4" xfId="0" applyFont="1" applyFill="1" applyBorder="1"/>
    <xf numFmtId="0" fontId="1" fillId="0" borderId="34" xfId="0" applyFont="1" applyBorder="1" applyAlignment="1">
      <alignment horizontal="right"/>
    </xf>
    <xf numFmtId="0" fontId="1" fillId="50" borderId="4" xfId="0" applyFont="1" applyFill="1" applyBorder="1"/>
    <xf numFmtId="0" fontId="7" fillId="57" borderId="0" xfId="0" applyFont="1" applyFill="1"/>
    <xf numFmtId="0" fontId="1" fillId="51" borderId="4" xfId="0" applyFont="1" applyFill="1" applyBorder="1"/>
    <xf numFmtId="0" fontId="7" fillId="59" borderId="0" xfId="0" applyFont="1" applyFill="1"/>
    <xf numFmtId="0" fontId="7" fillId="51" borderId="4" xfId="0" applyFont="1" applyFill="1" applyBorder="1"/>
    <xf numFmtId="0" fontId="7" fillId="52" borderId="4" xfId="0" applyFont="1" applyFill="1" applyBorder="1"/>
    <xf numFmtId="0" fontId="7" fillId="53" borderId="4" xfId="0" applyFont="1" applyFill="1" applyBorder="1"/>
    <xf numFmtId="0" fontId="1" fillId="23" borderId="4" xfId="0" applyFont="1" applyFill="1" applyBorder="1" applyAlignment="1">
      <alignment horizontal="right"/>
    </xf>
    <xf numFmtId="0" fontId="1" fillId="45" borderId="4" xfId="0" applyFont="1" applyFill="1" applyBorder="1"/>
    <xf numFmtId="0" fontId="7" fillId="45" borderId="4" xfId="0" applyFont="1" applyFill="1" applyBorder="1"/>
    <xf numFmtId="0" fontId="7" fillId="39" borderId="4" xfId="0" applyFont="1" applyFill="1" applyBorder="1"/>
    <xf numFmtId="0" fontId="7" fillId="54" borderId="4" xfId="0" applyFont="1" applyFill="1" applyBorder="1"/>
    <xf numFmtId="0" fontId="1" fillId="55" borderId="4" xfId="0" applyFont="1" applyFill="1" applyBorder="1"/>
    <xf numFmtId="0" fontId="7" fillId="56" borderId="4" xfId="0" applyFont="1" applyFill="1" applyBorder="1"/>
    <xf numFmtId="0" fontId="1" fillId="57" borderId="4" xfId="0" applyFont="1" applyFill="1" applyBorder="1" applyAlignment="1">
      <alignment horizontal="right"/>
    </xf>
    <xf numFmtId="0" fontId="1" fillId="58" borderId="4" xfId="0" applyFont="1" applyFill="1" applyBorder="1"/>
    <xf numFmtId="0" fontId="1" fillId="59" borderId="4" xfId="0" applyFont="1" applyFill="1" applyBorder="1"/>
    <xf numFmtId="0" fontId="1" fillId="60" borderId="4" xfId="0" applyFont="1" applyFill="1" applyBorder="1"/>
    <xf numFmtId="0" fontId="7" fillId="57" borderId="4" xfId="0" applyFont="1" applyFill="1" applyBorder="1"/>
    <xf numFmtId="0" fontId="1" fillId="57" borderId="4" xfId="0" applyFont="1" applyFill="1" applyBorder="1" applyAlignment="1">
      <alignment horizontal="left"/>
    </xf>
    <xf numFmtId="0" fontId="1" fillId="20" borderId="4" xfId="0" applyFont="1" applyFill="1" applyBorder="1"/>
    <xf numFmtId="0" fontId="1" fillId="20" borderId="4" xfId="0" applyFont="1" applyFill="1" applyBorder="1" applyAlignment="1">
      <alignment horizontal="right"/>
    </xf>
    <xf numFmtId="0" fontId="1" fillId="47" borderId="4" xfId="0" applyFont="1" applyFill="1" applyBorder="1"/>
    <xf numFmtId="0" fontId="7" fillId="61" borderId="4" xfId="0" applyFont="1" applyFill="1" applyBorder="1"/>
    <xf numFmtId="0" fontId="1" fillId="62" borderId="4" xfId="0" applyFont="1" applyFill="1" applyBorder="1"/>
    <xf numFmtId="0" fontId="1" fillId="63" borderId="4" xfId="0" applyFont="1" applyFill="1" applyBorder="1"/>
    <xf numFmtId="0" fontId="7" fillId="64" borderId="4" xfId="0" applyFont="1" applyFill="1" applyBorder="1"/>
    <xf numFmtId="0" fontId="7" fillId="66" borderId="4" xfId="0" applyFont="1" applyFill="1" applyBorder="1"/>
    <xf numFmtId="0" fontId="7" fillId="67" borderId="4" xfId="0" applyFont="1" applyFill="1" applyBorder="1"/>
    <xf numFmtId="0" fontId="1" fillId="68" borderId="4" xfId="0" applyFont="1" applyFill="1" applyBorder="1" applyAlignment="1">
      <alignment horizontal="right"/>
    </xf>
    <xf numFmtId="0" fontId="7" fillId="69" borderId="4" xfId="0" applyFont="1" applyFill="1" applyBorder="1"/>
    <xf numFmtId="0" fontId="1" fillId="69" borderId="4" xfId="0" applyFont="1" applyFill="1" applyBorder="1"/>
    <xf numFmtId="0" fontId="1" fillId="70" borderId="4" xfId="0" applyFont="1" applyFill="1" applyBorder="1"/>
    <xf numFmtId="0" fontId="7" fillId="71" borderId="4" xfId="0" applyFont="1" applyFill="1" applyBorder="1"/>
    <xf numFmtId="0" fontId="1" fillId="71" borderId="4" xfId="0" applyFont="1" applyFill="1" applyBorder="1"/>
    <xf numFmtId="0" fontId="1" fillId="72" borderId="4" xfId="0" applyFont="1" applyFill="1" applyBorder="1"/>
    <xf numFmtId="0" fontId="7" fillId="38" borderId="4" xfId="0" applyFont="1" applyFill="1" applyBorder="1" applyAlignment="1">
      <alignment horizontal="center"/>
    </xf>
    <xf numFmtId="0" fontId="1" fillId="38" borderId="4" xfId="0" applyFont="1" applyFill="1" applyBorder="1"/>
    <xf numFmtId="0" fontId="1" fillId="0" borderId="4" xfId="0" applyFont="1" applyBorder="1" applyAlignment="1">
      <alignment horizontal="right" vertical="top"/>
    </xf>
    <xf numFmtId="0" fontId="7" fillId="65" borderId="4" xfId="0" applyFont="1" applyFill="1" applyBorder="1"/>
    <xf numFmtId="0" fontId="7" fillId="34" borderId="4" xfId="0" applyFont="1" applyFill="1" applyBorder="1"/>
    <xf numFmtId="0" fontId="7" fillId="31" borderId="4" xfId="0" applyFont="1" applyFill="1" applyBorder="1"/>
    <xf numFmtId="0" fontId="7" fillId="49" borderId="4" xfId="0" applyFont="1" applyFill="1" applyBorder="1"/>
    <xf numFmtId="0" fontId="7" fillId="50" borderId="4" xfId="0" applyFont="1" applyFill="1" applyBorder="1"/>
    <xf numFmtId="0" fontId="7" fillId="55" borderId="4" xfId="0" applyFont="1" applyFill="1" applyBorder="1"/>
    <xf numFmtId="0" fontId="7" fillId="58" borderId="4" xfId="0" applyFont="1" applyFill="1" applyBorder="1"/>
    <xf numFmtId="0" fontId="7" fillId="59" borderId="4" xfId="0" applyFont="1" applyFill="1" applyBorder="1"/>
    <xf numFmtId="0" fontId="7" fillId="60" borderId="4" xfId="0" applyFont="1" applyFill="1" applyBorder="1"/>
    <xf numFmtId="0" fontId="7" fillId="62" borderId="4" xfId="0" applyFont="1" applyFill="1" applyBorder="1"/>
    <xf numFmtId="0" fontId="7" fillId="63" borderId="4" xfId="0" applyFont="1" applyFill="1" applyBorder="1"/>
    <xf numFmtId="0" fontId="7" fillId="68" borderId="4" xfId="0" applyFont="1" applyFill="1" applyBorder="1"/>
    <xf numFmtId="0" fontId="7" fillId="70" borderId="4" xfId="0" applyFont="1" applyFill="1" applyBorder="1"/>
    <xf numFmtId="0" fontId="7" fillId="72" borderId="4" xfId="0" applyFont="1" applyFill="1" applyBorder="1"/>
    <xf numFmtId="0" fontId="15" fillId="86" borderId="24" xfId="0" applyFont="1" applyFill="1" applyBorder="1" applyAlignment="1">
      <alignment horizontal="center" vertical="center"/>
    </xf>
    <xf numFmtId="0" fontId="12" fillId="86" borderId="24" xfId="0" applyFont="1" applyFill="1" applyBorder="1" applyAlignment="1">
      <alignment horizontal="center" vertical="center"/>
    </xf>
    <xf numFmtId="0" fontId="1" fillId="78" borderId="28" xfId="0" applyFont="1" applyFill="1" applyBorder="1" applyAlignment="1">
      <alignment horizontal="center" vertical="center" wrapText="1"/>
    </xf>
    <xf numFmtId="0" fontId="4" fillId="79" borderId="4" xfId="0" applyFont="1" applyFill="1" applyBorder="1" applyAlignment="1">
      <alignment horizontal="center" vertical="center" wrapText="1"/>
    </xf>
    <xf numFmtId="0" fontId="15" fillId="86" borderId="28" xfId="0" applyFont="1" applyFill="1" applyBorder="1" applyAlignment="1">
      <alignment horizontal="center" vertical="center"/>
    </xf>
    <xf numFmtId="0" fontId="12" fillId="86" borderId="28" xfId="0" applyFont="1" applyFill="1" applyBorder="1" applyAlignment="1">
      <alignment horizontal="center" vertical="center"/>
    </xf>
    <xf numFmtId="0" fontId="7" fillId="0" borderId="23" xfId="0" applyFont="1" applyBorder="1" applyAlignment="1">
      <alignment horizontal="center"/>
    </xf>
    <xf numFmtId="0" fontId="1" fillId="0" borderId="23" xfId="0" applyFont="1" applyBorder="1" applyAlignment="1">
      <alignment horizontal="left"/>
    </xf>
    <xf numFmtId="0" fontId="0" fillId="79" borderId="4" xfId="0" applyFill="1" applyBorder="1" applyAlignment="1">
      <alignment vertical="center" wrapText="1"/>
    </xf>
    <xf numFmtId="0" fontId="4" fillId="79" borderId="4" xfId="0" applyFont="1" applyFill="1" applyBorder="1" applyAlignment="1">
      <alignment horizontal="center" vertical="center"/>
    </xf>
    <xf numFmtId="0" fontId="0" fillId="0" borderId="4" xfId="0" applyBorder="1" applyAlignment="1">
      <alignment wrapText="1"/>
    </xf>
    <xf numFmtId="0" fontId="4" fillId="0" borderId="4" xfId="0" applyFont="1" applyBorder="1" applyAlignment="1">
      <alignment horizontal="right" wrapText="1"/>
    </xf>
    <xf numFmtId="0" fontId="0" fillId="8" borderId="4" xfId="0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5" borderId="5" xfId="0" applyFont="1" applyFill="1" applyBorder="1" applyAlignment="1">
      <alignment horizontal="center" vertical="center"/>
    </xf>
    <xf numFmtId="0" fontId="5" fillId="0" borderId="6" xfId="0" applyFont="1" applyBorder="1"/>
    <xf numFmtId="0" fontId="1" fillId="0" borderId="20" xfId="0" applyFont="1" applyBorder="1" applyAlignment="1">
      <alignment horizontal="left" vertical="center"/>
    </xf>
    <xf numFmtId="0" fontId="5" fillId="0" borderId="21" xfId="0" applyFont="1" applyBorder="1"/>
    <xf numFmtId="0" fontId="5" fillId="0" borderId="22" xfId="0" applyFont="1" applyBorder="1"/>
    <xf numFmtId="0" fontId="11" fillId="0" borderId="0" xfId="0" applyFont="1" applyAlignment="1">
      <alignment wrapText="1"/>
    </xf>
    <xf numFmtId="0" fontId="0" fillId="0" borderId="0" xfId="0"/>
    <xf numFmtId="0" fontId="15" fillId="79" borderId="4" xfId="0" applyFont="1" applyFill="1" applyBorder="1" applyAlignment="1">
      <alignment horizontal="center" wrapText="1"/>
    </xf>
    <xf numFmtId="0" fontId="1" fillId="17" borderId="30" xfId="0" applyFont="1" applyFill="1" applyBorder="1" applyAlignment="1">
      <alignment horizontal="center" vertical="center" wrapText="1"/>
    </xf>
    <xf numFmtId="0" fontId="1" fillId="17" borderId="37" xfId="0" applyFont="1" applyFill="1" applyBorder="1" applyAlignment="1">
      <alignment horizontal="center" vertical="center" wrapText="1"/>
    </xf>
    <xf numFmtId="0" fontId="2" fillId="73" borderId="4" xfId="0" applyFont="1" applyFill="1" applyBorder="1" applyAlignment="1">
      <alignment horizontal="right"/>
    </xf>
    <xf numFmtId="0" fontId="12" fillId="73" borderId="4" xfId="0" applyFont="1" applyFill="1" applyBorder="1" applyAlignment="1">
      <alignment horizontal="right"/>
    </xf>
    <xf numFmtId="0" fontId="15" fillId="89" borderId="24" xfId="0" applyFont="1" applyFill="1" applyBorder="1" applyAlignment="1">
      <alignment horizontal="center"/>
    </xf>
    <xf numFmtId="0" fontId="15" fillId="89" borderId="35" xfId="0" applyFont="1" applyFill="1" applyBorder="1" applyAlignment="1">
      <alignment horizontal="center"/>
    </xf>
    <xf numFmtId="0" fontId="15" fillId="89" borderId="39" xfId="0" applyFont="1" applyFill="1" applyBorder="1" applyAlignment="1">
      <alignment horizontal="center"/>
    </xf>
    <xf numFmtId="0" fontId="15" fillId="89" borderId="40" xfId="0" applyFont="1" applyFill="1" applyBorder="1" applyAlignment="1">
      <alignment horizontal="center"/>
    </xf>
    <xf numFmtId="0" fontId="15" fillId="89" borderId="41" xfId="0" applyFont="1" applyFill="1" applyBorder="1" applyAlignment="1">
      <alignment horizontal="center"/>
    </xf>
    <xf numFmtId="0" fontId="15" fillId="89" borderId="42" xfId="0" applyFont="1" applyFill="1" applyBorder="1" applyAlignment="1">
      <alignment horizontal="center"/>
    </xf>
    <xf numFmtId="0" fontId="12" fillId="89" borderId="39" xfId="0" applyFont="1" applyFill="1" applyBorder="1" applyAlignment="1">
      <alignment horizontal="center"/>
    </xf>
    <xf numFmtId="0" fontId="12" fillId="89" borderId="40" xfId="0" applyFont="1" applyFill="1" applyBorder="1" applyAlignment="1">
      <alignment horizontal="center"/>
    </xf>
    <xf numFmtId="0" fontId="12" fillId="89" borderId="41" xfId="0" applyFont="1" applyFill="1" applyBorder="1" applyAlignment="1">
      <alignment horizontal="center"/>
    </xf>
    <xf numFmtId="0" fontId="12" fillId="89" borderId="24" xfId="0" applyFont="1" applyFill="1" applyBorder="1" applyAlignment="1">
      <alignment horizontal="center"/>
    </xf>
    <xf numFmtId="0" fontId="12" fillId="89" borderId="35" xfId="0" applyFont="1" applyFill="1" applyBorder="1" applyAlignment="1">
      <alignment horizontal="center"/>
    </xf>
    <xf numFmtId="0" fontId="12" fillId="89" borderId="42" xfId="0" applyFont="1" applyFill="1" applyBorder="1" applyAlignment="1">
      <alignment horizontal="center"/>
    </xf>
    <xf numFmtId="0" fontId="12" fillId="89" borderId="24" xfId="0" applyFont="1" applyFill="1" applyBorder="1" applyAlignment="1">
      <alignment horizontal="center" vertical="center"/>
    </xf>
    <xf numFmtId="0" fontId="12" fillId="89" borderId="35" xfId="0" applyFont="1" applyFill="1" applyBorder="1" applyAlignment="1">
      <alignment horizontal="center" vertical="center"/>
    </xf>
  </cellXfs>
  <cellStyles count="3">
    <cellStyle name="Millares" xfId="2" builtinId="3"/>
    <cellStyle name="Normal" xfId="0" builtinId="0"/>
    <cellStyle name="Porcentaje" xfId="1" builtinId="5"/>
  </cellStyles>
  <dxfs count="3"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colors>
    <mruColors>
      <color rgb="FF66FFFF"/>
      <color rgb="FF008000"/>
      <color rgb="FFCC00FF"/>
      <color rgb="FFCCFF33"/>
      <color rgb="FFD3EC40"/>
      <color rgb="FFFF9966"/>
      <color rgb="FFCCFFFF"/>
      <color rgb="FFCC99FF"/>
      <color rgb="FFFFCCFF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026/ASOCIACION%20DE%20DAMAS%20SALECIANAS/PRECIO%20TODO%20COMPRADO%20e411.xlsx" TargetMode="External"/><Relationship Id="rId2" Type="http://schemas.openxmlformats.org/officeDocument/2006/relationships/externalLinkPath" Target="file:///C:\Users\pelus\Desktop\AlexF\Desktop\COORDINACION%20COMERCIAL\2026\ASOCIACION%20DE%20DAMAS%20SALECIANAS\PRECIO%20TODO%20COMPRADO%20e411.xlsx" TargetMode="External"/><Relationship Id="rId1" Type="http://schemas.openxmlformats.org/officeDocument/2006/relationships/externalLinkPath" Target="/Users/pelus/Desktop/AlexF/Desktop/COORDINACION%20COMERCIAL/2026/ASOCIACION%20DE%20DAMAS%20SALECIANAS/PRECIO%20TODO%20COMPRADO%20e4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C"/>
      <sheetName val="c111"/>
      <sheetName val="c111 DETERMIACION"/>
      <sheetName val="c111 PRUEBA EFECTIVA"/>
      <sheetName val="c111 TODO COMPRADO"/>
      <sheetName val="c311"/>
      <sheetName val="c311 DETERMINACION"/>
      <sheetName val="c311 PRUEBA EFECTIVA"/>
      <sheetName val="c311 TODO COMPRADO"/>
      <sheetName val="e411"/>
      <sheetName val="e411 DETERMINACION"/>
      <sheetName val="e411 PRUEBA EFECTIVA"/>
      <sheetName val="e411 TODO COMPRADO"/>
      <sheetName val="c303-c503"/>
      <sheetName val="c303-c503 DETERMINACION"/>
      <sheetName val="c303-c503 PRUEBA EFECTIVA"/>
      <sheetName val="c303-c503 TODO COMPRADO"/>
      <sheetName val="e402-e801"/>
      <sheetName val="e402-e801 DETERMINACION"/>
      <sheetName val="e402-e801 PRUEBA EFECTIVA"/>
      <sheetName val="e402-e801 TODO COMPRADO"/>
    </sheetNames>
    <sheetDataSet>
      <sheetData sheetId="0">
        <row r="47">
          <cell r="B47">
            <v>12</v>
          </cell>
        </row>
        <row r="125">
          <cell r="F12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149C2-47E3-4CBA-A60C-4775FE26EC39}">
  <sheetPr>
    <tabColor rgb="FF92D050"/>
  </sheetPr>
  <dimension ref="A1:Z1016"/>
  <sheetViews>
    <sheetView topLeftCell="A31" workbookViewId="0">
      <selection activeCell="B47" sqref="B47"/>
    </sheetView>
  </sheetViews>
  <sheetFormatPr baseColWidth="10" defaultColWidth="14.46484375" defaultRowHeight="14.25" x14ac:dyDescent="0.45"/>
  <cols>
    <col min="1" max="1" width="45.796875" customWidth="1"/>
    <col min="2" max="2" width="43.06640625" customWidth="1"/>
    <col min="3" max="6" width="11.46484375" customWidth="1"/>
    <col min="7" max="26" width="10.73046875" customWidth="1"/>
  </cols>
  <sheetData>
    <row r="1" spans="1:26" x14ac:dyDescent="0.45">
      <c r="A1" s="902" t="s">
        <v>57</v>
      </c>
      <c r="B1" s="903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ht="14.65" thickBot="1" x14ac:dyDescent="0.5">
      <c r="A2" s="774" t="s">
        <v>1098</v>
      </c>
      <c r="B2" s="775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x14ac:dyDescent="0.45">
      <c r="A3" s="776" t="s">
        <v>1097</v>
      </c>
      <c r="B3" s="777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x14ac:dyDescent="0.45">
      <c r="A4" s="778" t="s">
        <v>58</v>
      </c>
      <c r="B4" s="779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x14ac:dyDescent="0.45">
      <c r="A5" s="503" t="s">
        <v>59</v>
      </c>
      <c r="B5" s="471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x14ac:dyDescent="0.45">
      <c r="A6" s="503" t="s">
        <v>60</v>
      </c>
      <c r="B6" s="471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x14ac:dyDescent="0.45">
      <c r="A7" s="503" t="s">
        <v>61</v>
      </c>
      <c r="B7" s="471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x14ac:dyDescent="0.45">
      <c r="A8" s="503" t="s">
        <v>62</v>
      </c>
      <c r="B8" s="471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x14ac:dyDescent="0.45">
      <c r="A9" s="503" t="s">
        <v>63</v>
      </c>
      <c r="B9" s="471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spans="1:26" x14ac:dyDescent="0.45">
      <c r="A10" s="780" t="s">
        <v>64</v>
      </c>
      <c r="B10" s="781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x14ac:dyDescent="0.45">
      <c r="A11" s="503" t="s">
        <v>65</v>
      </c>
      <c r="B11" s="471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x14ac:dyDescent="0.45">
      <c r="A12" s="503" t="s">
        <v>66</v>
      </c>
      <c r="B12" s="471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x14ac:dyDescent="0.45">
      <c r="A13" s="503" t="s">
        <v>67</v>
      </c>
      <c r="B13" s="471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x14ac:dyDescent="0.45">
      <c r="A14" s="503" t="s">
        <v>68</v>
      </c>
      <c r="B14" s="471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x14ac:dyDescent="0.45">
      <c r="A15" s="503" t="s">
        <v>69</v>
      </c>
      <c r="B15" s="471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x14ac:dyDescent="0.45">
      <c r="A16" s="503" t="s">
        <v>70</v>
      </c>
      <c r="B16" s="471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x14ac:dyDescent="0.45">
      <c r="A17" s="503" t="s">
        <v>71</v>
      </c>
      <c r="B17" s="471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x14ac:dyDescent="0.45">
      <c r="A18" s="503" t="s">
        <v>72</v>
      </c>
      <c r="B18" s="471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x14ac:dyDescent="0.45">
      <c r="A19" s="780" t="s">
        <v>73</v>
      </c>
      <c r="B19" s="781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x14ac:dyDescent="0.45">
      <c r="A20" s="782" t="s">
        <v>74</v>
      </c>
      <c r="B20" s="471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x14ac:dyDescent="0.45">
      <c r="A21" s="503" t="s">
        <v>75</v>
      </c>
      <c r="B21" s="471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ht="15" customHeight="1" x14ac:dyDescent="0.45">
      <c r="A22" s="17" t="s">
        <v>1099</v>
      </c>
      <c r="B22" s="25"/>
      <c r="C22" s="23"/>
      <c r="D22" s="23"/>
      <c r="E22" s="23"/>
      <c r="F22" s="23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x14ac:dyDescent="0.45">
      <c r="A23" s="503" t="s">
        <v>76</v>
      </c>
      <c r="B23" s="471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x14ac:dyDescent="0.45">
      <c r="A24" s="503" t="s">
        <v>77</v>
      </c>
      <c r="B24" s="471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x14ac:dyDescent="0.45">
      <c r="A25" s="503" t="s">
        <v>78</v>
      </c>
      <c r="B25" s="471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13.5" customHeight="1" x14ac:dyDescent="0.45">
      <c r="A26" s="17" t="s">
        <v>1100</v>
      </c>
      <c r="B26" s="25"/>
      <c r="C26" s="23"/>
      <c r="D26" s="23"/>
      <c r="E26" s="23"/>
      <c r="F26" s="23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x14ac:dyDescent="0.45">
      <c r="A27" s="503" t="s">
        <v>79</v>
      </c>
      <c r="B27" s="471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ht="13.5" customHeight="1" x14ac:dyDescent="0.45">
      <c r="A28" s="17" t="s">
        <v>80</v>
      </c>
      <c r="B28" s="25"/>
      <c r="C28" s="23"/>
      <c r="D28" s="23"/>
      <c r="E28" s="23"/>
      <c r="F28" s="23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ht="13.5" customHeight="1" x14ac:dyDescent="0.45">
      <c r="A29" s="17" t="s">
        <v>1101</v>
      </c>
      <c r="B29" s="25"/>
      <c r="C29" s="23"/>
      <c r="D29" s="23"/>
      <c r="E29" s="23"/>
      <c r="F29" s="23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ht="13.5" customHeight="1" x14ac:dyDescent="0.45">
      <c r="A30" s="17" t="s">
        <v>1102</v>
      </c>
      <c r="B30" s="25"/>
      <c r="C30" s="23"/>
      <c r="D30" s="23"/>
      <c r="E30" s="23"/>
      <c r="F30" s="23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x14ac:dyDescent="0.45">
      <c r="A31" s="780" t="s">
        <v>81</v>
      </c>
      <c r="B31" s="781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ht="13.5" customHeight="1" x14ac:dyDescent="0.45">
      <c r="A32" s="17" t="s">
        <v>82</v>
      </c>
      <c r="B32" s="25"/>
      <c r="C32" s="23"/>
      <c r="D32" s="23"/>
      <c r="E32" s="23"/>
      <c r="F32" s="23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ht="13.5" customHeight="1" x14ac:dyDescent="0.45">
      <c r="A33" s="17" t="s">
        <v>83</v>
      </c>
      <c r="B33" s="25"/>
      <c r="C33" s="23"/>
      <c r="D33" s="23"/>
      <c r="E33" s="23"/>
      <c r="F33" s="23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ht="13.5" customHeight="1" x14ac:dyDescent="0.45">
      <c r="A34" s="17" t="s">
        <v>84</v>
      </c>
      <c r="B34" s="25"/>
      <c r="C34" s="23"/>
      <c r="D34" s="23"/>
      <c r="E34" s="23"/>
      <c r="F34" s="23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ht="13.5" customHeight="1" x14ac:dyDescent="0.45">
      <c r="A35" s="17" t="s">
        <v>1103</v>
      </c>
      <c r="B35" s="25"/>
      <c r="C35" s="23"/>
      <c r="D35" s="23"/>
      <c r="E35" s="23"/>
      <c r="F35" s="23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ht="13.5" customHeight="1" x14ac:dyDescent="0.45">
      <c r="A36" s="28" t="s">
        <v>85</v>
      </c>
      <c r="B36" s="25"/>
      <c r="C36" s="23"/>
      <c r="D36" s="23"/>
      <c r="E36" s="23"/>
      <c r="F36" s="23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ht="13.5" customHeight="1" x14ac:dyDescent="0.45">
      <c r="A37" s="17" t="s">
        <v>86</v>
      </c>
      <c r="B37" s="25"/>
      <c r="C37" s="23"/>
      <c r="D37" s="23"/>
      <c r="E37" s="23"/>
      <c r="F37" s="23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ht="13.5" customHeight="1" x14ac:dyDescent="0.45">
      <c r="A38" s="17" t="s">
        <v>87</v>
      </c>
      <c r="B38" s="25"/>
      <c r="C38" s="23"/>
      <c r="D38" s="23"/>
      <c r="E38" s="23"/>
      <c r="F38" s="23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 ht="13.5" customHeight="1" x14ac:dyDescent="0.45">
      <c r="A39" s="17" t="s">
        <v>84</v>
      </c>
      <c r="B39" s="25"/>
      <c r="C39" s="23"/>
      <c r="D39" s="23"/>
      <c r="E39" s="23"/>
      <c r="F39" s="23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ht="13.5" customHeight="1" x14ac:dyDescent="0.45">
      <c r="A40" s="28" t="s">
        <v>88</v>
      </c>
      <c r="B40" s="25"/>
      <c r="C40" s="23"/>
      <c r="D40" s="23"/>
      <c r="E40" s="23"/>
      <c r="F40" s="23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ht="13.5" customHeight="1" x14ac:dyDescent="0.45">
      <c r="A41" s="17" t="s">
        <v>89</v>
      </c>
      <c r="B41" s="25"/>
      <c r="C41" s="23"/>
      <c r="D41" s="23"/>
      <c r="E41" s="23"/>
      <c r="F41" s="23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 ht="13.5" customHeight="1" x14ac:dyDescent="0.45">
      <c r="A42" s="17" t="s">
        <v>89</v>
      </c>
      <c r="B42" s="25"/>
      <c r="C42" s="23"/>
      <c r="D42" s="23"/>
      <c r="E42" s="23"/>
      <c r="F42" s="23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ht="13.5" customHeight="1" x14ac:dyDescent="0.45">
      <c r="A43" s="17" t="s">
        <v>89</v>
      </c>
      <c r="B43" s="25"/>
      <c r="C43" s="23"/>
      <c r="D43" s="23"/>
      <c r="E43" s="23"/>
      <c r="F43" s="23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ht="13.5" customHeight="1" x14ac:dyDescent="0.45">
      <c r="A44" s="26" t="s">
        <v>90</v>
      </c>
      <c r="B44" s="27"/>
      <c r="C44" s="23"/>
      <c r="D44" s="23"/>
      <c r="E44" s="23"/>
      <c r="F44" s="23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ht="13.5" customHeight="1" x14ac:dyDescent="0.45">
      <c r="A45" s="17" t="s">
        <v>91</v>
      </c>
      <c r="B45" s="25"/>
      <c r="C45" s="23"/>
      <c r="D45" s="23"/>
      <c r="E45" s="23"/>
      <c r="F45" s="23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ht="13.5" customHeight="1" x14ac:dyDescent="0.45">
      <c r="A46" s="17" t="s">
        <v>92</v>
      </c>
      <c r="B46" s="25"/>
      <c r="C46" s="23"/>
      <c r="D46" s="23"/>
      <c r="E46" s="23"/>
      <c r="F46" s="23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ht="13.5" customHeight="1" x14ac:dyDescent="0.45">
      <c r="A47" s="17" t="s">
        <v>93</v>
      </c>
      <c r="B47" s="25"/>
      <c r="C47" s="23"/>
      <c r="D47" s="23"/>
      <c r="E47" s="23"/>
      <c r="F47" s="23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ht="13.5" customHeight="1" x14ac:dyDescent="0.45">
      <c r="A48" s="26" t="s">
        <v>94</v>
      </c>
      <c r="B48" s="27"/>
      <c r="C48" s="23"/>
      <c r="D48" s="23"/>
      <c r="E48" s="23"/>
      <c r="F48" s="23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ht="13.5" customHeight="1" x14ac:dyDescent="0.45">
      <c r="A49" s="17" t="s">
        <v>95</v>
      </c>
      <c r="B49" s="25"/>
      <c r="C49" s="23"/>
      <c r="D49" s="23"/>
      <c r="E49" s="23"/>
      <c r="F49" s="23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ht="13.5" customHeight="1" x14ac:dyDescent="0.45">
      <c r="A50" s="17" t="s">
        <v>96</v>
      </c>
      <c r="B50" s="25"/>
      <c r="C50" s="23"/>
      <c r="D50" s="23"/>
      <c r="E50" s="23"/>
      <c r="F50" s="23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ht="13.5" customHeight="1" x14ac:dyDescent="0.45">
      <c r="A51" s="25" t="s">
        <v>97</v>
      </c>
      <c r="B51" s="25"/>
      <c r="C51" s="23"/>
      <c r="D51" s="23"/>
      <c r="E51" s="23"/>
      <c r="F51" s="23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ht="13.5" customHeight="1" x14ac:dyDescent="0.45">
      <c r="A52" s="26" t="s">
        <v>98</v>
      </c>
      <c r="B52" s="27"/>
      <c r="C52" s="23"/>
      <c r="D52" s="23"/>
      <c r="E52" s="23"/>
      <c r="F52" s="23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ht="13.5" customHeight="1" x14ac:dyDescent="0.45">
      <c r="A53" s="17" t="s">
        <v>99</v>
      </c>
      <c r="B53" s="25"/>
      <c r="C53" s="23"/>
      <c r="D53" s="23"/>
      <c r="E53" s="23"/>
      <c r="F53" s="23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ht="13.5" customHeight="1" x14ac:dyDescent="0.45">
      <c r="A54" s="17" t="s">
        <v>100</v>
      </c>
      <c r="B54" s="25"/>
      <c r="C54" s="23"/>
      <c r="D54" s="23"/>
      <c r="E54" s="23"/>
      <c r="F54" s="23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 ht="13.5" customHeight="1" x14ac:dyDescent="0.45">
      <c r="A55" s="25" t="s">
        <v>101</v>
      </c>
      <c r="B55" s="25"/>
      <c r="C55" s="23"/>
      <c r="D55" s="23"/>
      <c r="E55" s="23"/>
      <c r="F55" s="23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 ht="13.5" customHeight="1" thickBot="1" x14ac:dyDescent="0.5">
      <c r="A56" s="29"/>
      <c r="B56" s="30"/>
      <c r="C56" s="23"/>
      <c r="D56" s="31"/>
      <c r="E56" s="32"/>
      <c r="F56" s="32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ht="14.65" thickBot="1" x14ac:dyDescent="0.5">
      <c r="A57" s="783" t="s">
        <v>102</v>
      </c>
      <c r="B57" s="784" t="s">
        <v>103</v>
      </c>
      <c r="C57" s="784" t="s">
        <v>104</v>
      </c>
      <c r="D57" s="784" t="s">
        <v>105</v>
      </c>
      <c r="E57" s="784" t="s">
        <v>106</v>
      </c>
      <c r="F57" s="785" t="s">
        <v>107</v>
      </c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 ht="13.5" customHeight="1" x14ac:dyDescent="0.45">
      <c r="A58" s="33" t="s">
        <v>108</v>
      </c>
      <c r="B58" s="34"/>
      <c r="C58" s="34"/>
      <c r="D58" s="35">
        <v>0</v>
      </c>
      <c r="E58" s="794"/>
      <c r="F58" s="799">
        <f>E58*D58</f>
        <v>0</v>
      </c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 ht="13.5" customHeight="1" x14ac:dyDescent="0.45">
      <c r="A59" s="37" t="s">
        <v>109</v>
      </c>
      <c r="B59" s="38"/>
      <c r="C59" s="38"/>
      <c r="D59" s="39">
        <v>0</v>
      </c>
      <c r="E59" s="36"/>
      <c r="F59" s="799">
        <f t="shared" ref="F59:F122" si="0">E59*D59</f>
        <v>0</v>
      </c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 ht="13.5" customHeight="1" x14ac:dyDescent="0.45">
      <c r="A60" s="37" t="s">
        <v>1104</v>
      </c>
      <c r="B60" s="795">
        <v>72126.03</v>
      </c>
      <c r="C60" s="40"/>
      <c r="D60" s="39">
        <v>0</v>
      </c>
      <c r="E60" s="36"/>
      <c r="F60" s="799">
        <f t="shared" si="0"/>
        <v>0</v>
      </c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 ht="13.5" customHeight="1" x14ac:dyDescent="0.45">
      <c r="A61" s="37" t="s">
        <v>110</v>
      </c>
      <c r="B61" s="40"/>
      <c r="C61" s="40"/>
      <c r="D61" s="39">
        <v>0</v>
      </c>
      <c r="E61" s="36"/>
      <c r="F61" s="799">
        <f t="shared" si="0"/>
        <v>0</v>
      </c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 ht="13.5" customHeight="1" x14ac:dyDescent="0.45">
      <c r="A62" s="37" t="s">
        <v>111</v>
      </c>
      <c r="B62" s="25" t="s">
        <v>112</v>
      </c>
      <c r="C62" s="25"/>
      <c r="D62" s="39">
        <v>0</v>
      </c>
      <c r="E62" s="36"/>
      <c r="F62" s="799">
        <f t="shared" si="0"/>
        <v>0</v>
      </c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 ht="13.5" customHeight="1" x14ac:dyDescent="0.45">
      <c r="A63" s="37" t="s">
        <v>113</v>
      </c>
      <c r="B63" s="41" t="s">
        <v>114</v>
      </c>
      <c r="C63" s="25"/>
      <c r="D63" s="39">
        <v>0</v>
      </c>
      <c r="E63" s="36">
        <v>200</v>
      </c>
      <c r="F63" s="799">
        <f t="shared" si="0"/>
        <v>0</v>
      </c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spans="1:26" ht="13.5" customHeight="1" x14ac:dyDescent="0.45">
      <c r="A64" s="37" t="s">
        <v>115</v>
      </c>
      <c r="B64" s="25"/>
      <c r="C64" s="25"/>
      <c r="D64" s="39">
        <v>0</v>
      </c>
      <c r="E64" s="36"/>
      <c r="F64" s="799">
        <f t="shared" si="0"/>
        <v>0</v>
      </c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 ht="13.5" customHeight="1" x14ac:dyDescent="0.45">
      <c r="A65" s="37" t="s">
        <v>116</v>
      </c>
      <c r="B65" s="25"/>
      <c r="C65" s="25"/>
      <c r="D65" s="39">
        <v>0</v>
      </c>
      <c r="E65" s="36">
        <v>1500</v>
      </c>
      <c r="F65" s="799">
        <f t="shared" si="0"/>
        <v>0</v>
      </c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 ht="13.5" customHeight="1" x14ac:dyDescent="0.45">
      <c r="A66" s="37" t="s">
        <v>117</v>
      </c>
      <c r="B66" s="25"/>
      <c r="C66" s="25"/>
      <c r="D66" s="39">
        <v>0</v>
      </c>
      <c r="E66" s="36"/>
      <c r="F66" s="799">
        <f t="shared" si="0"/>
        <v>0</v>
      </c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ht="13.5" customHeight="1" x14ac:dyDescent="0.45">
      <c r="A67" s="37" t="s">
        <v>118</v>
      </c>
      <c r="B67" s="25"/>
      <c r="C67" s="25"/>
      <c r="D67" s="39">
        <v>0</v>
      </c>
      <c r="E67" s="36"/>
      <c r="F67" s="799">
        <f t="shared" si="0"/>
        <v>0</v>
      </c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ht="13.5" customHeight="1" x14ac:dyDescent="0.45">
      <c r="A68" s="37" t="s">
        <v>119</v>
      </c>
      <c r="B68" s="25"/>
      <c r="C68" s="25"/>
      <c r="D68" s="39">
        <v>0</v>
      </c>
      <c r="E68" s="36"/>
      <c r="F68" s="799">
        <f t="shared" si="0"/>
        <v>0</v>
      </c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ht="13.5" customHeight="1" x14ac:dyDescent="0.45">
      <c r="A69" s="37" t="s">
        <v>120</v>
      </c>
      <c r="B69" s="25"/>
      <c r="C69" s="25"/>
      <c r="D69" s="39">
        <v>0</v>
      </c>
      <c r="E69" s="36"/>
      <c r="F69" s="799">
        <f t="shared" si="0"/>
        <v>0</v>
      </c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ht="13.5" customHeight="1" x14ac:dyDescent="0.45">
      <c r="A70" s="37" t="s">
        <v>1105</v>
      </c>
      <c r="B70" s="25"/>
      <c r="C70" s="25"/>
      <c r="D70" s="39">
        <v>0</v>
      </c>
      <c r="E70" s="36"/>
      <c r="F70" s="799">
        <f t="shared" si="0"/>
        <v>0</v>
      </c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ht="13.5" customHeight="1" x14ac:dyDescent="0.45">
      <c r="A71" s="37" t="s">
        <v>121</v>
      </c>
      <c r="B71" s="25"/>
      <c r="C71" s="25"/>
      <c r="D71" s="39">
        <v>0</v>
      </c>
      <c r="E71" s="36"/>
      <c r="F71" s="799">
        <f t="shared" si="0"/>
        <v>0</v>
      </c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ht="13.5" customHeight="1" x14ac:dyDescent="0.45">
      <c r="A72" s="37" t="s">
        <v>1106</v>
      </c>
      <c r="B72" s="25" t="s">
        <v>122</v>
      </c>
      <c r="C72" s="25"/>
      <c r="D72" s="39">
        <v>0</v>
      </c>
      <c r="E72" s="36">
        <v>900</v>
      </c>
      <c r="F72" s="799">
        <f t="shared" si="0"/>
        <v>0</v>
      </c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ht="13.5" customHeight="1" x14ac:dyDescent="0.45">
      <c r="A73" s="37" t="s">
        <v>1107</v>
      </c>
      <c r="B73" s="25"/>
      <c r="C73" s="25"/>
      <c r="D73" s="39"/>
      <c r="E73" s="36"/>
      <c r="F73" s="799">
        <f t="shared" si="0"/>
        <v>0</v>
      </c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ht="13.5" customHeight="1" x14ac:dyDescent="0.45">
      <c r="A74" s="37" t="s">
        <v>1108</v>
      </c>
      <c r="B74" s="25"/>
      <c r="C74" s="25"/>
      <c r="D74" s="39">
        <v>0</v>
      </c>
      <c r="E74" s="36">
        <v>300</v>
      </c>
      <c r="F74" s="799">
        <f t="shared" si="0"/>
        <v>0</v>
      </c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ht="13.5" customHeight="1" x14ac:dyDescent="0.45">
      <c r="A75" s="37" t="s">
        <v>1122</v>
      </c>
      <c r="B75" s="25"/>
      <c r="C75" s="25"/>
      <c r="D75" s="39"/>
      <c r="E75" s="36"/>
      <c r="F75" s="799">
        <f t="shared" si="0"/>
        <v>0</v>
      </c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ht="13.5" customHeight="1" x14ac:dyDescent="0.45">
      <c r="A76" s="37" t="s">
        <v>123</v>
      </c>
      <c r="B76" s="25"/>
      <c r="C76" s="25"/>
      <c r="D76" s="42">
        <v>0</v>
      </c>
      <c r="E76" s="36"/>
      <c r="F76" s="799">
        <f t="shared" si="0"/>
        <v>0</v>
      </c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ht="13.5" customHeight="1" x14ac:dyDescent="0.45">
      <c r="A77" s="37" t="s">
        <v>1109</v>
      </c>
      <c r="B77" s="25"/>
      <c r="C77" s="25"/>
      <c r="D77" s="42">
        <v>0</v>
      </c>
      <c r="E77" s="36">
        <v>200</v>
      </c>
      <c r="F77" s="799">
        <f t="shared" si="0"/>
        <v>0</v>
      </c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ht="13.5" customHeight="1" x14ac:dyDescent="0.45">
      <c r="A78" s="37" t="s">
        <v>124</v>
      </c>
      <c r="B78" s="25"/>
      <c r="C78" s="25"/>
      <c r="D78" s="42">
        <v>0</v>
      </c>
      <c r="E78" s="36">
        <v>400</v>
      </c>
      <c r="F78" s="799">
        <f t="shared" si="0"/>
        <v>0</v>
      </c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ht="13.5" customHeight="1" x14ac:dyDescent="0.45">
      <c r="A79" s="37" t="s">
        <v>1123</v>
      </c>
      <c r="B79" s="25"/>
      <c r="C79" s="25"/>
      <c r="D79" s="42"/>
      <c r="E79" s="36"/>
      <c r="F79" s="799">
        <f t="shared" si="0"/>
        <v>0</v>
      </c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ht="13.5" customHeight="1" x14ac:dyDescent="0.45">
      <c r="A80" s="37" t="s">
        <v>1110</v>
      </c>
      <c r="B80" s="25"/>
      <c r="C80" s="25"/>
      <c r="D80" s="42">
        <v>0</v>
      </c>
      <c r="E80" s="36"/>
      <c r="F80" s="799">
        <f t="shared" si="0"/>
        <v>0</v>
      </c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ht="13.5" customHeight="1" x14ac:dyDescent="0.45">
      <c r="A81" s="37" t="s">
        <v>125</v>
      </c>
      <c r="B81" s="25"/>
      <c r="C81" s="25"/>
      <c r="D81" s="42">
        <v>0</v>
      </c>
      <c r="E81" s="36"/>
      <c r="F81" s="799">
        <f t="shared" si="0"/>
        <v>0</v>
      </c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ht="13.5" customHeight="1" x14ac:dyDescent="0.45">
      <c r="A82" s="37" t="s">
        <v>126</v>
      </c>
      <c r="B82" s="25"/>
      <c r="C82" s="25"/>
      <c r="D82" s="39">
        <v>0</v>
      </c>
      <c r="E82" s="36"/>
      <c r="F82" s="799">
        <f t="shared" si="0"/>
        <v>0</v>
      </c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ht="13.5" customHeight="1" x14ac:dyDescent="0.45">
      <c r="A83" s="37" t="s">
        <v>1111</v>
      </c>
      <c r="B83" s="25"/>
      <c r="C83" s="25"/>
      <c r="D83" s="39"/>
      <c r="E83" s="36"/>
      <c r="F83" s="799">
        <f t="shared" si="0"/>
        <v>0</v>
      </c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ht="13.5" customHeight="1" x14ac:dyDescent="0.45">
      <c r="A84" s="37" t="s">
        <v>1112</v>
      </c>
      <c r="B84" s="25"/>
      <c r="C84" s="25"/>
      <c r="D84" s="39">
        <v>0</v>
      </c>
      <c r="E84" s="36"/>
      <c r="F84" s="799">
        <f t="shared" si="0"/>
        <v>0</v>
      </c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ht="13.5" customHeight="1" x14ac:dyDescent="0.45">
      <c r="A85" s="37" t="s">
        <v>1113</v>
      </c>
      <c r="B85" s="25"/>
      <c r="C85" s="25"/>
      <c r="D85" s="39"/>
      <c r="E85" s="36"/>
      <c r="F85" s="799">
        <f t="shared" si="0"/>
        <v>0</v>
      </c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ht="13.5" customHeight="1" x14ac:dyDescent="0.45">
      <c r="A86" s="37" t="s">
        <v>127</v>
      </c>
      <c r="B86" s="25"/>
      <c r="C86" s="25"/>
      <c r="D86" s="39">
        <v>0</v>
      </c>
      <c r="E86" s="36"/>
      <c r="F86" s="799">
        <f t="shared" si="0"/>
        <v>0</v>
      </c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ht="13.5" customHeight="1" x14ac:dyDescent="0.45">
      <c r="A87" s="37" t="s">
        <v>128</v>
      </c>
      <c r="B87" s="25"/>
      <c r="C87" s="25"/>
      <c r="D87" s="39">
        <v>0</v>
      </c>
      <c r="E87" s="36"/>
      <c r="F87" s="799">
        <f t="shared" si="0"/>
        <v>0</v>
      </c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ht="13.5" customHeight="1" x14ac:dyDescent="0.45">
      <c r="A88" s="44" t="s">
        <v>129</v>
      </c>
      <c r="B88" s="44"/>
      <c r="C88" s="44"/>
      <c r="D88" s="1">
        <v>0</v>
      </c>
      <c r="E88" s="36"/>
      <c r="F88" s="799">
        <f t="shared" si="0"/>
        <v>0</v>
      </c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ht="13.5" customHeight="1" x14ac:dyDescent="0.45">
      <c r="A89" s="44" t="s">
        <v>1114</v>
      </c>
      <c r="B89" s="44"/>
      <c r="C89" s="44"/>
      <c r="D89" s="1">
        <v>0</v>
      </c>
      <c r="E89" s="36"/>
      <c r="F89" s="799">
        <f t="shared" si="0"/>
        <v>0</v>
      </c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ht="13.5" customHeight="1" x14ac:dyDescent="0.45">
      <c r="A90" s="44" t="s">
        <v>1115</v>
      </c>
      <c r="B90" s="44"/>
      <c r="C90" s="44"/>
      <c r="D90" s="1">
        <v>0</v>
      </c>
      <c r="E90" s="36"/>
      <c r="F90" s="799">
        <f t="shared" si="0"/>
        <v>0</v>
      </c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 ht="13.5" customHeight="1" x14ac:dyDescent="0.45">
      <c r="A91" s="44" t="s">
        <v>130</v>
      </c>
      <c r="B91" s="44"/>
      <c r="C91" s="45"/>
      <c r="D91" s="1">
        <v>0</v>
      </c>
      <c r="E91" s="36"/>
      <c r="F91" s="799">
        <f t="shared" si="0"/>
        <v>0</v>
      </c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 ht="13.5" customHeight="1" x14ac:dyDescent="0.45">
      <c r="A92" s="44" t="s">
        <v>131</v>
      </c>
      <c r="B92" s="44"/>
      <c r="C92" s="46"/>
      <c r="D92" s="1">
        <v>0</v>
      </c>
      <c r="E92" s="36"/>
      <c r="F92" s="799">
        <f t="shared" si="0"/>
        <v>0</v>
      </c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 ht="13.5" customHeight="1" x14ac:dyDescent="0.45">
      <c r="A93" s="37" t="s">
        <v>132</v>
      </c>
      <c r="B93" s="25"/>
      <c r="C93" s="25"/>
      <c r="D93" s="39">
        <v>0</v>
      </c>
      <c r="E93" s="36"/>
      <c r="F93" s="799">
        <f t="shared" si="0"/>
        <v>0</v>
      </c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6" ht="13.5" customHeight="1" x14ac:dyDescent="0.45">
      <c r="A94" s="44" t="s">
        <v>1116</v>
      </c>
      <c r="B94" s="44"/>
      <c r="C94" s="46"/>
      <c r="D94" s="1">
        <v>0</v>
      </c>
      <c r="E94" s="36"/>
      <c r="F94" s="799">
        <f t="shared" si="0"/>
        <v>0</v>
      </c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 ht="13.5" customHeight="1" x14ac:dyDescent="0.45">
      <c r="A95" s="44" t="s">
        <v>1117</v>
      </c>
      <c r="B95" s="44"/>
      <c r="C95" s="46"/>
      <c r="D95" s="1"/>
      <c r="E95" s="36"/>
      <c r="F95" s="799">
        <f t="shared" si="0"/>
        <v>0</v>
      </c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spans="1:26" ht="13.5" customHeight="1" x14ac:dyDescent="0.45">
      <c r="A96" s="37" t="s">
        <v>133</v>
      </c>
      <c r="B96" s="25"/>
      <c r="C96" s="25"/>
      <c r="D96" s="39">
        <v>0</v>
      </c>
      <c r="E96" s="36"/>
      <c r="F96" s="799">
        <f t="shared" si="0"/>
        <v>0</v>
      </c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ht="13.5" customHeight="1" x14ac:dyDescent="0.45">
      <c r="A97" s="37" t="s">
        <v>1124</v>
      </c>
      <c r="B97" s="25"/>
      <c r="C97" s="25"/>
      <c r="D97" s="39"/>
      <c r="E97" s="36"/>
      <c r="F97" s="799">
        <f t="shared" si="0"/>
        <v>0</v>
      </c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 ht="13.5" customHeight="1" x14ac:dyDescent="0.45">
      <c r="A98" s="37" t="s">
        <v>134</v>
      </c>
      <c r="B98" s="25"/>
      <c r="C98" s="25"/>
      <c r="D98" s="39">
        <v>0</v>
      </c>
      <c r="E98" s="36">
        <v>31</v>
      </c>
      <c r="F98" s="799">
        <f t="shared" si="0"/>
        <v>0</v>
      </c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 ht="13.5" customHeight="1" x14ac:dyDescent="0.45">
      <c r="A99" s="37" t="s">
        <v>135</v>
      </c>
      <c r="B99" s="25"/>
      <c r="C99" s="25"/>
      <c r="D99" s="39">
        <v>0</v>
      </c>
      <c r="E99" s="36">
        <v>10</v>
      </c>
      <c r="F99" s="799">
        <f t="shared" si="0"/>
        <v>0</v>
      </c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 ht="13.5" customHeight="1" x14ac:dyDescent="0.45">
      <c r="A100" s="37" t="s">
        <v>136</v>
      </c>
      <c r="B100" s="25" t="s">
        <v>137</v>
      </c>
      <c r="C100" s="25"/>
      <c r="D100" s="39">
        <v>0</v>
      </c>
      <c r="E100" s="36">
        <v>150</v>
      </c>
      <c r="F100" s="799">
        <f t="shared" si="0"/>
        <v>0</v>
      </c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ht="13.5" customHeight="1" x14ac:dyDescent="0.45">
      <c r="A101" s="37" t="s">
        <v>138</v>
      </c>
      <c r="B101" s="25"/>
      <c r="C101" s="25"/>
      <c r="D101" s="39">
        <v>0</v>
      </c>
      <c r="E101" s="36">
        <v>60</v>
      </c>
      <c r="F101" s="799">
        <f t="shared" si="0"/>
        <v>0</v>
      </c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ht="13.5" customHeight="1" x14ac:dyDescent="0.45">
      <c r="A102" s="37" t="s">
        <v>139</v>
      </c>
      <c r="B102" s="25"/>
      <c r="C102" s="25"/>
      <c r="D102" s="39">
        <v>0</v>
      </c>
      <c r="E102" s="36">
        <v>200</v>
      </c>
      <c r="F102" s="799">
        <f t="shared" si="0"/>
        <v>0</v>
      </c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 ht="13.5" customHeight="1" x14ac:dyDescent="0.45">
      <c r="A103" s="37" t="s">
        <v>140</v>
      </c>
      <c r="B103" s="25"/>
      <c r="C103" s="25"/>
      <c r="D103" s="39">
        <v>0</v>
      </c>
      <c r="E103" s="36"/>
      <c r="F103" s="799">
        <f t="shared" si="0"/>
        <v>0</v>
      </c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 ht="13.5" customHeight="1" x14ac:dyDescent="0.45">
      <c r="A104" s="37" t="s">
        <v>141</v>
      </c>
      <c r="B104" s="25"/>
      <c r="C104" s="25"/>
      <c r="D104" s="39">
        <v>0</v>
      </c>
      <c r="E104" s="36"/>
      <c r="F104" s="799">
        <f t="shared" si="0"/>
        <v>0</v>
      </c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ht="13.5" customHeight="1" x14ac:dyDescent="0.45">
      <c r="A105" s="37" t="s">
        <v>142</v>
      </c>
      <c r="B105" s="25" t="s">
        <v>1118</v>
      </c>
      <c r="C105" s="25"/>
      <c r="D105" s="39">
        <v>0</v>
      </c>
      <c r="E105" s="36">
        <v>6.29</v>
      </c>
      <c r="F105" s="799">
        <f t="shared" si="0"/>
        <v>0</v>
      </c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ht="13.5" customHeight="1" x14ac:dyDescent="0.45">
      <c r="A106" s="37" t="s">
        <v>143</v>
      </c>
      <c r="B106" s="25" t="s">
        <v>144</v>
      </c>
      <c r="C106" s="25"/>
      <c r="D106" s="39">
        <v>0</v>
      </c>
      <c r="E106" s="36">
        <v>3.85</v>
      </c>
      <c r="F106" s="799">
        <f t="shared" si="0"/>
        <v>0</v>
      </c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ht="13.5" customHeight="1" x14ac:dyDescent="0.45">
      <c r="A107" s="37" t="s">
        <v>145</v>
      </c>
      <c r="B107" s="25"/>
      <c r="C107" s="25"/>
      <c r="D107" s="42">
        <v>0</v>
      </c>
      <c r="E107" s="36"/>
      <c r="F107" s="799">
        <f t="shared" si="0"/>
        <v>0</v>
      </c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ht="13.5" customHeight="1" x14ac:dyDescent="0.45">
      <c r="A108" s="37" t="s">
        <v>1125</v>
      </c>
      <c r="B108" s="25"/>
      <c r="C108" s="25"/>
      <c r="D108" s="42"/>
      <c r="E108" s="36"/>
      <c r="F108" s="799">
        <f t="shared" si="0"/>
        <v>0</v>
      </c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 ht="13.5" customHeight="1" x14ac:dyDescent="0.45">
      <c r="A109" s="37" t="s">
        <v>146</v>
      </c>
      <c r="B109" s="25"/>
      <c r="C109" s="25"/>
      <c r="D109" s="42">
        <v>0</v>
      </c>
      <c r="E109" s="36"/>
      <c r="F109" s="799">
        <f t="shared" si="0"/>
        <v>0</v>
      </c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ht="13.5" customHeight="1" x14ac:dyDescent="0.45">
      <c r="A110" s="37" t="s">
        <v>1126</v>
      </c>
      <c r="B110" s="25"/>
      <c r="C110" s="25"/>
      <c r="D110" s="42"/>
      <c r="E110" s="36"/>
      <c r="F110" s="799">
        <f t="shared" si="0"/>
        <v>0</v>
      </c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ht="13.5" customHeight="1" x14ac:dyDescent="0.45">
      <c r="A111" s="37" t="s">
        <v>147</v>
      </c>
      <c r="B111" s="25"/>
      <c r="C111" s="25"/>
      <c r="D111" s="42">
        <v>0</v>
      </c>
      <c r="E111" s="36"/>
      <c r="F111" s="799">
        <f t="shared" si="0"/>
        <v>0</v>
      </c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ht="13.5" customHeight="1" x14ac:dyDescent="0.45">
      <c r="A112" s="37" t="s">
        <v>148</v>
      </c>
      <c r="B112" s="25"/>
      <c r="C112" s="25"/>
      <c r="D112" s="42">
        <v>0</v>
      </c>
      <c r="E112" s="36">
        <v>70</v>
      </c>
      <c r="F112" s="799">
        <f t="shared" si="0"/>
        <v>0</v>
      </c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ht="13.5" customHeight="1" x14ac:dyDescent="0.45">
      <c r="A113" s="37" t="s">
        <v>149</v>
      </c>
      <c r="B113" s="25"/>
      <c r="C113" s="25"/>
      <c r="D113" s="42">
        <v>0</v>
      </c>
      <c r="E113" s="36">
        <v>60</v>
      </c>
      <c r="F113" s="799">
        <f t="shared" si="0"/>
        <v>0</v>
      </c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ht="13.5" customHeight="1" x14ac:dyDescent="0.45">
      <c r="A114" s="37" t="s">
        <v>150</v>
      </c>
      <c r="B114" s="25" t="s">
        <v>151</v>
      </c>
      <c r="C114" s="25"/>
      <c r="D114" s="42">
        <v>0</v>
      </c>
      <c r="E114" s="36">
        <v>3800</v>
      </c>
      <c r="F114" s="799">
        <f t="shared" si="0"/>
        <v>0</v>
      </c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ht="13.5" customHeight="1" x14ac:dyDescent="0.45">
      <c r="A115" s="37" t="s">
        <v>1127</v>
      </c>
      <c r="B115" s="25"/>
      <c r="C115" s="25"/>
      <c r="D115" s="42"/>
      <c r="E115" s="36"/>
      <c r="F115" s="799">
        <f t="shared" si="0"/>
        <v>0</v>
      </c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ht="13.5" customHeight="1" x14ac:dyDescent="0.45">
      <c r="A116" s="37" t="s">
        <v>152</v>
      </c>
      <c r="B116" s="25"/>
      <c r="C116" s="25"/>
      <c r="D116" s="39">
        <v>0</v>
      </c>
      <c r="E116" s="36"/>
      <c r="F116" s="799">
        <f t="shared" si="0"/>
        <v>0</v>
      </c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ht="13.5" customHeight="1" x14ac:dyDescent="0.45">
      <c r="A117" s="37" t="s">
        <v>153</v>
      </c>
      <c r="B117" s="25"/>
      <c r="C117" s="25"/>
      <c r="D117" s="39">
        <v>0</v>
      </c>
      <c r="E117" s="36"/>
      <c r="F117" s="799">
        <f t="shared" si="0"/>
        <v>0</v>
      </c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ht="13.5" customHeight="1" x14ac:dyDescent="0.45">
      <c r="A118" s="37" t="s">
        <v>154</v>
      </c>
      <c r="B118" s="25"/>
      <c r="C118" s="25"/>
      <c r="D118" s="39">
        <v>0</v>
      </c>
      <c r="E118" s="36"/>
      <c r="F118" s="799">
        <f t="shared" si="0"/>
        <v>0</v>
      </c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ht="13.5" customHeight="1" x14ac:dyDescent="0.45">
      <c r="A119" s="37" t="s">
        <v>155</v>
      </c>
      <c r="B119" s="25"/>
      <c r="C119" s="25"/>
      <c r="D119" s="39">
        <v>0</v>
      </c>
      <c r="E119" s="36"/>
      <c r="F119" s="799">
        <f t="shared" si="0"/>
        <v>0</v>
      </c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ht="13.5" customHeight="1" x14ac:dyDescent="0.45">
      <c r="A120" s="37" t="s">
        <v>156</v>
      </c>
      <c r="B120" s="25" t="s">
        <v>157</v>
      </c>
      <c r="C120" s="25"/>
      <c r="D120" s="39">
        <v>0</v>
      </c>
      <c r="E120" s="36">
        <v>0.62</v>
      </c>
      <c r="F120" s="799">
        <f t="shared" si="0"/>
        <v>0</v>
      </c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ht="13.5" customHeight="1" x14ac:dyDescent="0.45">
      <c r="A121" s="37" t="s">
        <v>158</v>
      </c>
      <c r="B121" s="25" t="s">
        <v>157</v>
      </c>
      <c r="C121" s="25"/>
      <c r="D121" s="39">
        <v>0</v>
      </c>
      <c r="E121" s="36">
        <v>5.9</v>
      </c>
      <c r="F121" s="799">
        <f t="shared" si="0"/>
        <v>0</v>
      </c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ht="13.5" customHeight="1" x14ac:dyDescent="0.45">
      <c r="A122" s="37" t="s">
        <v>159</v>
      </c>
      <c r="B122" s="25" t="s">
        <v>157</v>
      </c>
      <c r="C122" s="25"/>
      <c r="D122" s="39">
        <v>0</v>
      </c>
      <c r="E122" s="796">
        <v>5</v>
      </c>
      <c r="F122" s="799">
        <f t="shared" si="0"/>
        <v>0</v>
      </c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ht="13.5" customHeight="1" x14ac:dyDescent="0.45">
      <c r="A123" s="471" t="s">
        <v>1119</v>
      </c>
      <c r="B123" s="797"/>
      <c r="C123" s="25"/>
      <c r="D123" s="40"/>
      <c r="E123" s="798"/>
      <c r="F123" s="799">
        <f t="shared" ref="F123:F124" si="1">E123*D123</f>
        <v>0</v>
      </c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ht="13.5" customHeight="1" thickBot="1" x14ac:dyDescent="0.5">
      <c r="A124" s="25" t="s">
        <v>1120</v>
      </c>
      <c r="B124" s="25" t="s">
        <v>1121</v>
      </c>
      <c r="C124" s="25"/>
      <c r="D124" s="40"/>
      <c r="E124" s="798"/>
      <c r="F124" s="799">
        <f t="shared" si="1"/>
        <v>0</v>
      </c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ht="14.65" thickBot="1" x14ac:dyDescent="0.5">
      <c r="A125" s="787"/>
      <c r="B125" s="787"/>
      <c r="C125" s="787"/>
      <c r="D125" s="788"/>
      <c r="E125" s="786" t="s">
        <v>160</v>
      </c>
      <c r="F125" s="789">
        <f>SUM(F58:F124)</f>
        <v>0</v>
      </c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ht="14.65" thickBot="1" x14ac:dyDescent="0.5">
      <c r="A126" s="790"/>
      <c r="B126" s="790"/>
      <c r="C126" s="790"/>
      <c r="D126" s="791"/>
      <c r="E126" s="786">
        <v>0.15</v>
      </c>
      <c r="F126" s="792">
        <f>+F125*0.15</f>
        <v>0</v>
      </c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x14ac:dyDescent="0.45">
      <c r="A127" s="24"/>
      <c r="B127" s="24"/>
      <c r="C127" s="24"/>
      <c r="D127" s="24"/>
      <c r="E127" s="786" t="s">
        <v>107</v>
      </c>
      <c r="F127" s="789">
        <f>F125+F126</f>
        <v>0</v>
      </c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ht="14.65" thickBot="1" x14ac:dyDescent="0.5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ht="14.65" thickBot="1" x14ac:dyDescent="0.5">
      <c r="A129" s="793" t="s">
        <v>161</v>
      </c>
      <c r="B129" s="904"/>
      <c r="C129" s="905"/>
      <c r="D129" s="905"/>
      <c r="E129" s="905"/>
      <c r="F129" s="906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x14ac:dyDescent="0.45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x14ac:dyDescent="0.45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x14ac:dyDescent="0.45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x14ac:dyDescent="0.45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x14ac:dyDescent="0.45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x14ac:dyDescent="0.4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x14ac:dyDescent="0.45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x14ac:dyDescent="0.45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x14ac:dyDescent="0.45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x14ac:dyDescent="0.45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x14ac:dyDescent="0.45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x14ac:dyDescent="0.45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x14ac:dyDescent="0.45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x14ac:dyDescent="0.45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 x14ac:dyDescent="0.45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x14ac:dyDescent="0.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x14ac:dyDescent="0.45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x14ac:dyDescent="0.45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x14ac:dyDescent="0.45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x14ac:dyDescent="0.45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x14ac:dyDescent="0.45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x14ac:dyDescent="0.45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x14ac:dyDescent="0.45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x14ac:dyDescent="0.45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x14ac:dyDescent="0.45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x14ac:dyDescent="0.4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x14ac:dyDescent="0.45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x14ac:dyDescent="0.45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x14ac:dyDescent="0.45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x14ac:dyDescent="0.45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x14ac:dyDescent="0.45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x14ac:dyDescent="0.45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x14ac:dyDescent="0.45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x14ac:dyDescent="0.45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x14ac:dyDescent="0.45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x14ac:dyDescent="0.4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x14ac:dyDescent="0.45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x14ac:dyDescent="0.45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x14ac:dyDescent="0.45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x14ac:dyDescent="0.45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x14ac:dyDescent="0.45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x14ac:dyDescent="0.45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x14ac:dyDescent="0.45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x14ac:dyDescent="0.45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x14ac:dyDescent="0.45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x14ac:dyDescent="0.4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x14ac:dyDescent="0.45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x14ac:dyDescent="0.45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x14ac:dyDescent="0.45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x14ac:dyDescent="0.45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x14ac:dyDescent="0.45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x14ac:dyDescent="0.45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x14ac:dyDescent="0.45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x14ac:dyDescent="0.45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x14ac:dyDescent="0.45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x14ac:dyDescent="0.4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x14ac:dyDescent="0.45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x14ac:dyDescent="0.45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x14ac:dyDescent="0.45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x14ac:dyDescent="0.45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x14ac:dyDescent="0.45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x14ac:dyDescent="0.45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x14ac:dyDescent="0.45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x14ac:dyDescent="0.45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x14ac:dyDescent="0.45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x14ac:dyDescent="0.4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x14ac:dyDescent="0.45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x14ac:dyDescent="0.45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x14ac:dyDescent="0.45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x14ac:dyDescent="0.45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x14ac:dyDescent="0.45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x14ac:dyDescent="0.45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x14ac:dyDescent="0.45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x14ac:dyDescent="0.45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x14ac:dyDescent="0.45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x14ac:dyDescent="0.4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x14ac:dyDescent="0.45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x14ac:dyDescent="0.45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x14ac:dyDescent="0.45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x14ac:dyDescent="0.45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x14ac:dyDescent="0.45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x14ac:dyDescent="0.45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x14ac:dyDescent="0.45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x14ac:dyDescent="0.45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x14ac:dyDescent="0.45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x14ac:dyDescent="0.4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x14ac:dyDescent="0.45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x14ac:dyDescent="0.45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x14ac:dyDescent="0.45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x14ac:dyDescent="0.45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x14ac:dyDescent="0.45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x14ac:dyDescent="0.45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spans="1:26" x14ac:dyDescent="0.45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spans="1:26" x14ac:dyDescent="0.45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spans="1:26" x14ac:dyDescent="0.45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spans="1:26" x14ac:dyDescent="0.4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spans="1:26" x14ac:dyDescent="0.45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spans="1:26" x14ac:dyDescent="0.45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spans="1:26" x14ac:dyDescent="0.45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spans="1:26" x14ac:dyDescent="0.45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 x14ac:dyDescent="0.45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x14ac:dyDescent="0.45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x14ac:dyDescent="0.45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x14ac:dyDescent="0.45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x14ac:dyDescent="0.45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x14ac:dyDescent="0.4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x14ac:dyDescent="0.45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x14ac:dyDescent="0.45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x14ac:dyDescent="0.45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x14ac:dyDescent="0.45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x14ac:dyDescent="0.45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x14ac:dyDescent="0.45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x14ac:dyDescent="0.45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x14ac:dyDescent="0.45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x14ac:dyDescent="0.45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x14ac:dyDescent="0.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x14ac:dyDescent="0.45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x14ac:dyDescent="0.45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x14ac:dyDescent="0.45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x14ac:dyDescent="0.45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x14ac:dyDescent="0.45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x14ac:dyDescent="0.45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x14ac:dyDescent="0.45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x14ac:dyDescent="0.45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spans="1:26" x14ac:dyDescent="0.45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spans="1:26" x14ac:dyDescent="0.4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 x14ac:dyDescent="0.45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spans="1:26" x14ac:dyDescent="0.45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 x14ac:dyDescent="0.45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spans="1:26" x14ac:dyDescent="0.45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 x14ac:dyDescent="0.45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spans="1:26" x14ac:dyDescent="0.45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spans="1:26" x14ac:dyDescent="0.45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x14ac:dyDescent="0.45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 x14ac:dyDescent="0.45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x14ac:dyDescent="0.4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x14ac:dyDescent="0.45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x14ac:dyDescent="0.45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x14ac:dyDescent="0.45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x14ac:dyDescent="0.45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x14ac:dyDescent="0.45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x14ac:dyDescent="0.45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x14ac:dyDescent="0.45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x14ac:dyDescent="0.45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x14ac:dyDescent="0.45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x14ac:dyDescent="0.4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x14ac:dyDescent="0.45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x14ac:dyDescent="0.45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x14ac:dyDescent="0.45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x14ac:dyDescent="0.45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x14ac:dyDescent="0.45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x14ac:dyDescent="0.45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x14ac:dyDescent="0.45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spans="1:26" x14ac:dyDescent="0.45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spans="1:26" x14ac:dyDescent="0.45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spans="1:26" x14ac:dyDescent="0.4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spans="1:26" x14ac:dyDescent="0.45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 x14ac:dyDescent="0.45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spans="1:26" x14ac:dyDescent="0.45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spans="1:26" x14ac:dyDescent="0.45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spans="1:26" x14ac:dyDescent="0.45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spans="1:26" x14ac:dyDescent="0.45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spans="1:26" x14ac:dyDescent="0.45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x14ac:dyDescent="0.45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x14ac:dyDescent="0.45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x14ac:dyDescent="0.4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x14ac:dyDescent="0.45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x14ac:dyDescent="0.45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x14ac:dyDescent="0.45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x14ac:dyDescent="0.45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x14ac:dyDescent="0.45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x14ac:dyDescent="0.45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x14ac:dyDescent="0.45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x14ac:dyDescent="0.45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x14ac:dyDescent="0.45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x14ac:dyDescent="0.4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x14ac:dyDescent="0.45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x14ac:dyDescent="0.45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 x14ac:dyDescent="0.45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spans="1:26" x14ac:dyDescent="0.45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x14ac:dyDescent="0.45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spans="1:26" x14ac:dyDescent="0.45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 x14ac:dyDescent="0.45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spans="1:26" x14ac:dyDescent="0.45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spans="1:26" x14ac:dyDescent="0.45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x14ac:dyDescent="0.4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 x14ac:dyDescent="0.45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spans="1:26" x14ac:dyDescent="0.45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x14ac:dyDescent="0.45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spans="1:26" x14ac:dyDescent="0.45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spans="1:26" x14ac:dyDescent="0.45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spans="1:26" x14ac:dyDescent="0.45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spans="1:26" x14ac:dyDescent="0.45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spans="1:26" x14ac:dyDescent="0.45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spans="1:26" x14ac:dyDescent="0.45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spans="1:26" x14ac:dyDescent="0.4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spans="1:26" x14ac:dyDescent="0.45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 x14ac:dyDescent="0.45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spans="1:26" x14ac:dyDescent="0.45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 x14ac:dyDescent="0.45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x14ac:dyDescent="0.45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spans="1:26" x14ac:dyDescent="0.45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 x14ac:dyDescent="0.45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spans="1:26" x14ac:dyDescent="0.45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spans="1:26" x14ac:dyDescent="0.45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spans="1:26" x14ac:dyDescent="0.4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 x14ac:dyDescent="0.45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 x14ac:dyDescent="0.45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 x14ac:dyDescent="0.45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x14ac:dyDescent="0.45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 x14ac:dyDescent="0.45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spans="1:26" x14ac:dyDescent="0.45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x14ac:dyDescent="0.45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x14ac:dyDescent="0.45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 x14ac:dyDescent="0.45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x14ac:dyDescent="0.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 x14ac:dyDescent="0.45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 x14ac:dyDescent="0.45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 x14ac:dyDescent="0.45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x14ac:dyDescent="0.45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 x14ac:dyDescent="0.45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 x14ac:dyDescent="0.45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x14ac:dyDescent="0.45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 x14ac:dyDescent="0.45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spans="1:26" x14ac:dyDescent="0.45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spans="1:26" x14ac:dyDescent="0.4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x14ac:dyDescent="0.45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x14ac:dyDescent="0.45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spans="1:26" x14ac:dyDescent="0.45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x14ac:dyDescent="0.45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x14ac:dyDescent="0.45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x14ac:dyDescent="0.45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x14ac:dyDescent="0.45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spans="1:26" x14ac:dyDescent="0.45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spans="1:26" x14ac:dyDescent="0.45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 x14ac:dyDescent="0.4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spans="1:26" x14ac:dyDescent="0.45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 x14ac:dyDescent="0.45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spans="1:26" x14ac:dyDescent="0.45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spans="1:26" x14ac:dyDescent="0.45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 x14ac:dyDescent="0.45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 x14ac:dyDescent="0.45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spans="1:26" x14ac:dyDescent="0.45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 x14ac:dyDescent="0.45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spans="1:26" x14ac:dyDescent="0.45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spans="1:26" x14ac:dyDescent="0.4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spans="1:26" x14ac:dyDescent="0.45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 x14ac:dyDescent="0.45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x14ac:dyDescent="0.45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 x14ac:dyDescent="0.45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spans="1:26" x14ac:dyDescent="0.45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spans="1:26" x14ac:dyDescent="0.45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spans="1:26" x14ac:dyDescent="0.45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spans="1:26" x14ac:dyDescent="0.45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spans="1:26" x14ac:dyDescent="0.45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spans="1:26" x14ac:dyDescent="0.4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spans="1:26" x14ac:dyDescent="0.45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spans="1:26" x14ac:dyDescent="0.45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spans="1:26" x14ac:dyDescent="0.45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spans="1:26" x14ac:dyDescent="0.45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spans="1:26" x14ac:dyDescent="0.45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spans="1:26" x14ac:dyDescent="0.45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spans="1:26" x14ac:dyDescent="0.45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spans="1:26" x14ac:dyDescent="0.45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spans="1:26" x14ac:dyDescent="0.45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spans="1:26" x14ac:dyDescent="0.4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spans="1:26" x14ac:dyDescent="0.45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spans="1:26" x14ac:dyDescent="0.45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spans="1:26" x14ac:dyDescent="0.45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spans="1:26" x14ac:dyDescent="0.45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spans="1:26" x14ac:dyDescent="0.45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spans="1:26" x14ac:dyDescent="0.45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spans="1:26" x14ac:dyDescent="0.45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spans="1:26" x14ac:dyDescent="0.45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spans="1:26" x14ac:dyDescent="0.45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spans="1:26" x14ac:dyDescent="0.4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spans="1:26" x14ac:dyDescent="0.45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spans="1:26" x14ac:dyDescent="0.45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spans="1:26" x14ac:dyDescent="0.45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spans="1:26" x14ac:dyDescent="0.45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spans="1:26" x14ac:dyDescent="0.45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spans="1:26" x14ac:dyDescent="0.45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spans="1:26" x14ac:dyDescent="0.45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spans="1:26" x14ac:dyDescent="0.45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spans="1:26" x14ac:dyDescent="0.45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spans="1:26" x14ac:dyDescent="0.4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spans="1:26" x14ac:dyDescent="0.45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spans="1:26" x14ac:dyDescent="0.45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spans="1:26" x14ac:dyDescent="0.45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spans="1:26" x14ac:dyDescent="0.45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spans="1:26" x14ac:dyDescent="0.45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spans="1:26" x14ac:dyDescent="0.45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spans="1:26" x14ac:dyDescent="0.45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spans="1:26" x14ac:dyDescent="0.45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spans="1:26" x14ac:dyDescent="0.45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spans="1:26" x14ac:dyDescent="0.4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spans="1:26" x14ac:dyDescent="0.45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spans="1:26" x14ac:dyDescent="0.45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spans="1:26" x14ac:dyDescent="0.45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spans="1:26" x14ac:dyDescent="0.45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spans="1:26" x14ac:dyDescent="0.45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spans="1:26" x14ac:dyDescent="0.45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spans="1:26" x14ac:dyDescent="0.45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spans="1:26" x14ac:dyDescent="0.45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spans="1:26" x14ac:dyDescent="0.45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spans="1:26" x14ac:dyDescent="0.4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spans="1:26" x14ac:dyDescent="0.45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spans="1:26" x14ac:dyDescent="0.45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spans="1:26" x14ac:dyDescent="0.45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spans="1:26" x14ac:dyDescent="0.45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spans="1:26" x14ac:dyDescent="0.45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spans="1:26" x14ac:dyDescent="0.45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spans="1:26" x14ac:dyDescent="0.45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spans="1:26" x14ac:dyDescent="0.45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spans="1:26" x14ac:dyDescent="0.45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spans="1:26" x14ac:dyDescent="0.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spans="1:26" x14ac:dyDescent="0.45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spans="1:26" x14ac:dyDescent="0.45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spans="1:26" x14ac:dyDescent="0.45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spans="1:26" x14ac:dyDescent="0.45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spans="1:26" x14ac:dyDescent="0.45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spans="1:26" x14ac:dyDescent="0.45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spans="1:26" x14ac:dyDescent="0.45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spans="1:26" x14ac:dyDescent="0.45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spans="1:26" x14ac:dyDescent="0.45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spans="1:26" x14ac:dyDescent="0.4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spans="1:26" x14ac:dyDescent="0.45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spans="1:26" x14ac:dyDescent="0.45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spans="1:26" x14ac:dyDescent="0.45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spans="1:26" x14ac:dyDescent="0.45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spans="1:26" x14ac:dyDescent="0.45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spans="1:26" x14ac:dyDescent="0.45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spans="1:26" x14ac:dyDescent="0.45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spans="1:26" x14ac:dyDescent="0.45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spans="1:26" x14ac:dyDescent="0.45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spans="1:26" x14ac:dyDescent="0.4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spans="1:26" x14ac:dyDescent="0.45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spans="1:26" x14ac:dyDescent="0.45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spans="1:26" x14ac:dyDescent="0.45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spans="1:26" x14ac:dyDescent="0.45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spans="1:26" x14ac:dyDescent="0.45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spans="1:26" x14ac:dyDescent="0.45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spans="1:26" x14ac:dyDescent="0.45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spans="1:26" x14ac:dyDescent="0.45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spans="1:26" x14ac:dyDescent="0.45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spans="1:26" x14ac:dyDescent="0.4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spans="1:26" x14ac:dyDescent="0.45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spans="1:26" x14ac:dyDescent="0.45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spans="1:26" x14ac:dyDescent="0.45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spans="1:26" x14ac:dyDescent="0.45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spans="1:26" x14ac:dyDescent="0.45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spans="1:26" x14ac:dyDescent="0.45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spans="1:26" x14ac:dyDescent="0.45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spans="1:26" x14ac:dyDescent="0.45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spans="1:26" x14ac:dyDescent="0.45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spans="1:26" x14ac:dyDescent="0.4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spans="1:26" x14ac:dyDescent="0.45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spans="1:26" x14ac:dyDescent="0.45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spans="1:26" x14ac:dyDescent="0.45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spans="1:26" x14ac:dyDescent="0.45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spans="1:26" x14ac:dyDescent="0.45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spans="1:26" x14ac:dyDescent="0.45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spans="1:26" x14ac:dyDescent="0.45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spans="1:26" x14ac:dyDescent="0.45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spans="1:26" x14ac:dyDescent="0.45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spans="1:26" x14ac:dyDescent="0.4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spans="1:26" x14ac:dyDescent="0.45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spans="1:26" x14ac:dyDescent="0.45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spans="1:26" x14ac:dyDescent="0.45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spans="1:26" x14ac:dyDescent="0.45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spans="1:26" x14ac:dyDescent="0.45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spans="1:26" x14ac:dyDescent="0.45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spans="1:26" x14ac:dyDescent="0.45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spans="1:26" x14ac:dyDescent="0.45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spans="1:26" x14ac:dyDescent="0.45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spans="1:26" x14ac:dyDescent="0.4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spans="1:26" x14ac:dyDescent="0.45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spans="1:26" x14ac:dyDescent="0.45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spans="1:26" x14ac:dyDescent="0.45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spans="1:26" x14ac:dyDescent="0.45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spans="1:26" x14ac:dyDescent="0.45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spans="1:26" x14ac:dyDescent="0.45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spans="1:26" x14ac:dyDescent="0.45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spans="1:26" x14ac:dyDescent="0.45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spans="1:26" x14ac:dyDescent="0.45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spans="1:26" x14ac:dyDescent="0.4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spans="1:26" x14ac:dyDescent="0.45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spans="1:26" x14ac:dyDescent="0.45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spans="1:26" x14ac:dyDescent="0.45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spans="1:26" x14ac:dyDescent="0.45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spans="1:26" x14ac:dyDescent="0.45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spans="1:26" x14ac:dyDescent="0.45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spans="1:26" x14ac:dyDescent="0.45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spans="1:26" x14ac:dyDescent="0.45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spans="1:26" x14ac:dyDescent="0.45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spans="1:26" x14ac:dyDescent="0.4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spans="1:26" x14ac:dyDescent="0.45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spans="1:26" x14ac:dyDescent="0.45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spans="1:26" x14ac:dyDescent="0.45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spans="1:26" x14ac:dyDescent="0.45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spans="1:26" x14ac:dyDescent="0.45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spans="1:26" x14ac:dyDescent="0.45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spans="1:26" x14ac:dyDescent="0.45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spans="1:26" x14ac:dyDescent="0.45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spans="1:26" x14ac:dyDescent="0.45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spans="1:26" x14ac:dyDescent="0.4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spans="1:26" x14ac:dyDescent="0.45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spans="1:26" x14ac:dyDescent="0.45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spans="1:26" x14ac:dyDescent="0.45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spans="1:26" x14ac:dyDescent="0.45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spans="1:26" x14ac:dyDescent="0.45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spans="1:26" x14ac:dyDescent="0.45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spans="1:26" x14ac:dyDescent="0.45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spans="1:26" x14ac:dyDescent="0.45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spans="1:26" x14ac:dyDescent="0.45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spans="1:26" x14ac:dyDescent="0.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spans="1:26" x14ac:dyDescent="0.45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spans="1:26" x14ac:dyDescent="0.45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spans="1:26" x14ac:dyDescent="0.45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spans="1:26" x14ac:dyDescent="0.45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spans="1:26" x14ac:dyDescent="0.45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spans="1:26" x14ac:dyDescent="0.45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spans="1:26" x14ac:dyDescent="0.45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spans="1:26" x14ac:dyDescent="0.45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spans="1:26" x14ac:dyDescent="0.45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spans="1:26" x14ac:dyDescent="0.4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spans="1:26" x14ac:dyDescent="0.45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spans="1:26" x14ac:dyDescent="0.45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spans="1:26" x14ac:dyDescent="0.45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spans="1:26" x14ac:dyDescent="0.45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spans="1:26" x14ac:dyDescent="0.45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spans="1:26" x14ac:dyDescent="0.45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spans="1:26" x14ac:dyDescent="0.45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spans="1:26" x14ac:dyDescent="0.45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spans="1:26" x14ac:dyDescent="0.45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spans="1:26" x14ac:dyDescent="0.4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spans="1:26" x14ac:dyDescent="0.45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spans="1:26" x14ac:dyDescent="0.45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spans="1:26" x14ac:dyDescent="0.45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spans="1:26" x14ac:dyDescent="0.45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spans="1:26" x14ac:dyDescent="0.45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spans="1:26" x14ac:dyDescent="0.45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spans="1:26" x14ac:dyDescent="0.45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spans="1:26" x14ac:dyDescent="0.45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spans="1:26" x14ac:dyDescent="0.45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spans="1:26" x14ac:dyDescent="0.4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spans="1:26" x14ac:dyDescent="0.45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spans="1:26" x14ac:dyDescent="0.45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spans="1:26" x14ac:dyDescent="0.45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spans="1:26" x14ac:dyDescent="0.45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spans="1:26" x14ac:dyDescent="0.45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spans="1:26" x14ac:dyDescent="0.45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spans="1:26" x14ac:dyDescent="0.45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spans="1:26" x14ac:dyDescent="0.45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spans="1:26" x14ac:dyDescent="0.45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spans="1:26" x14ac:dyDescent="0.4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spans="1:26" x14ac:dyDescent="0.45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spans="1:26" x14ac:dyDescent="0.45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spans="1:26" x14ac:dyDescent="0.45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spans="1:26" x14ac:dyDescent="0.45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spans="1:26" x14ac:dyDescent="0.45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spans="1:26" x14ac:dyDescent="0.45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spans="1:26" x14ac:dyDescent="0.45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spans="1:26" x14ac:dyDescent="0.45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spans="1:26" x14ac:dyDescent="0.45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spans="1:26" x14ac:dyDescent="0.4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spans="1:26" x14ac:dyDescent="0.45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spans="1:26" x14ac:dyDescent="0.45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spans="1:26" x14ac:dyDescent="0.45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spans="1:26" x14ac:dyDescent="0.45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spans="1:26" x14ac:dyDescent="0.45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spans="1:26" x14ac:dyDescent="0.45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spans="1:26" x14ac:dyDescent="0.45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spans="1:26" x14ac:dyDescent="0.45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spans="1:26" x14ac:dyDescent="0.45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spans="1:26" x14ac:dyDescent="0.4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spans="1:26" x14ac:dyDescent="0.45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spans="1:26" x14ac:dyDescent="0.45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spans="1:26" x14ac:dyDescent="0.45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spans="1:26" x14ac:dyDescent="0.45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spans="1:26" x14ac:dyDescent="0.45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spans="1:26" x14ac:dyDescent="0.45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spans="1:26" x14ac:dyDescent="0.45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spans="1:26" x14ac:dyDescent="0.45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spans="1:26" x14ac:dyDescent="0.45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spans="1:26" x14ac:dyDescent="0.4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spans="1:26" x14ac:dyDescent="0.45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spans="1:26" x14ac:dyDescent="0.45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spans="1:26" x14ac:dyDescent="0.45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spans="1:26" x14ac:dyDescent="0.45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spans="1:26" x14ac:dyDescent="0.45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spans="1:26" x14ac:dyDescent="0.45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spans="1:26" x14ac:dyDescent="0.45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spans="1:26" x14ac:dyDescent="0.45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spans="1:26" x14ac:dyDescent="0.45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spans="1:26" x14ac:dyDescent="0.4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spans="1:26" x14ac:dyDescent="0.45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spans="1:26" x14ac:dyDescent="0.45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spans="1:26" x14ac:dyDescent="0.45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spans="1:26" x14ac:dyDescent="0.45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spans="1:26" x14ac:dyDescent="0.45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spans="1:26" x14ac:dyDescent="0.45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spans="1:26" x14ac:dyDescent="0.45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spans="1:26" x14ac:dyDescent="0.45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spans="1:26" x14ac:dyDescent="0.45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spans="1:26" x14ac:dyDescent="0.4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spans="1:26" x14ac:dyDescent="0.45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spans="1:26" x14ac:dyDescent="0.45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spans="1:26" x14ac:dyDescent="0.45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spans="1:26" x14ac:dyDescent="0.45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spans="1:26" x14ac:dyDescent="0.45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spans="1:26" x14ac:dyDescent="0.45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spans="1:26" x14ac:dyDescent="0.45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spans="1:26" x14ac:dyDescent="0.45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spans="1:26" x14ac:dyDescent="0.45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spans="1:26" x14ac:dyDescent="0.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spans="1:26" x14ac:dyDescent="0.45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spans="1:26" x14ac:dyDescent="0.45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spans="1:26" x14ac:dyDescent="0.45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spans="1:26" x14ac:dyDescent="0.45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spans="1:26" x14ac:dyDescent="0.45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spans="1:26" x14ac:dyDescent="0.45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spans="1:26" x14ac:dyDescent="0.45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spans="1:26" x14ac:dyDescent="0.45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spans="1:26" x14ac:dyDescent="0.45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spans="1:26" x14ac:dyDescent="0.4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spans="1:26" x14ac:dyDescent="0.45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spans="1:26" x14ac:dyDescent="0.45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spans="1:26" x14ac:dyDescent="0.45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spans="1:26" x14ac:dyDescent="0.45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spans="1:26" x14ac:dyDescent="0.45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spans="1:26" x14ac:dyDescent="0.45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spans="1:26" x14ac:dyDescent="0.45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spans="1:26" x14ac:dyDescent="0.45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spans="1:26" x14ac:dyDescent="0.45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spans="1:26" x14ac:dyDescent="0.4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spans="1:26" x14ac:dyDescent="0.45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spans="1:26" x14ac:dyDescent="0.45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spans="1:26" x14ac:dyDescent="0.45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spans="1:26" x14ac:dyDescent="0.45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spans="1:26" x14ac:dyDescent="0.45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spans="1:26" x14ac:dyDescent="0.45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spans="1:26" x14ac:dyDescent="0.45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spans="1:26" x14ac:dyDescent="0.45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spans="1:26" x14ac:dyDescent="0.45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spans="1:26" x14ac:dyDescent="0.4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spans="1:26" x14ac:dyDescent="0.45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spans="1:26" x14ac:dyDescent="0.45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spans="1:26" x14ac:dyDescent="0.45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spans="1:26" x14ac:dyDescent="0.45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spans="1:26" x14ac:dyDescent="0.45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spans="1:26" x14ac:dyDescent="0.45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spans="1:26" x14ac:dyDescent="0.45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spans="1:26" x14ac:dyDescent="0.45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spans="1:26" x14ac:dyDescent="0.45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spans="1:26" x14ac:dyDescent="0.4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spans="1:26" x14ac:dyDescent="0.45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spans="1:26" x14ac:dyDescent="0.45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spans="1:26" x14ac:dyDescent="0.45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spans="1:26" x14ac:dyDescent="0.45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spans="1:26" x14ac:dyDescent="0.45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spans="1:26" x14ac:dyDescent="0.45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spans="1:26" x14ac:dyDescent="0.45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spans="1:26" x14ac:dyDescent="0.45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spans="1:26" x14ac:dyDescent="0.45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spans="1:26" x14ac:dyDescent="0.4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spans="1:26" x14ac:dyDescent="0.45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spans="1:26" x14ac:dyDescent="0.45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spans="1:26" x14ac:dyDescent="0.45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spans="1:26" x14ac:dyDescent="0.45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spans="1:26" x14ac:dyDescent="0.45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spans="1:26" x14ac:dyDescent="0.45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spans="1:26" x14ac:dyDescent="0.45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spans="1:26" x14ac:dyDescent="0.45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spans="1:26" x14ac:dyDescent="0.45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spans="1:26" x14ac:dyDescent="0.4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spans="1:26" x14ac:dyDescent="0.45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spans="1:26" x14ac:dyDescent="0.45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spans="1:26" x14ac:dyDescent="0.45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spans="1:26" x14ac:dyDescent="0.45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spans="1:26" x14ac:dyDescent="0.45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spans="1:26" x14ac:dyDescent="0.45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spans="1:26" x14ac:dyDescent="0.45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spans="1:26" x14ac:dyDescent="0.45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spans="1:26" x14ac:dyDescent="0.45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spans="1:26" x14ac:dyDescent="0.4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spans="1:26" x14ac:dyDescent="0.45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spans="1:26" x14ac:dyDescent="0.45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spans="1:26" x14ac:dyDescent="0.45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spans="1:26" x14ac:dyDescent="0.45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spans="1:26" x14ac:dyDescent="0.45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spans="1:26" x14ac:dyDescent="0.45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spans="1:26" x14ac:dyDescent="0.45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spans="1:26" x14ac:dyDescent="0.45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spans="1:26" x14ac:dyDescent="0.45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spans="1:26" x14ac:dyDescent="0.4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spans="1:26" x14ac:dyDescent="0.45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spans="1:26" x14ac:dyDescent="0.45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spans="1:26" x14ac:dyDescent="0.45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spans="1:26" x14ac:dyDescent="0.45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spans="1:26" x14ac:dyDescent="0.45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spans="1:26" x14ac:dyDescent="0.45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spans="1:26" x14ac:dyDescent="0.45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spans="1:26" x14ac:dyDescent="0.45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spans="1:26" x14ac:dyDescent="0.45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spans="1:26" x14ac:dyDescent="0.4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spans="1:26" x14ac:dyDescent="0.45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spans="1:26" x14ac:dyDescent="0.45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spans="1:26" x14ac:dyDescent="0.45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spans="1:26" x14ac:dyDescent="0.45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spans="1:26" x14ac:dyDescent="0.45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spans="1:26" x14ac:dyDescent="0.45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spans="1:26" x14ac:dyDescent="0.45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spans="1:26" x14ac:dyDescent="0.45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spans="1:26" x14ac:dyDescent="0.45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spans="1:26" x14ac:dyDescent="0.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spans="1:26" x14ac:dyDescent="0.45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spans="1:26" x14ac:dyDescent="0.45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spans="1:26" x14ac:dyDescent="0.45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spans="1:26" x14ac:dyDescent="0.45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spans="1:26" x14ac:dyDescent="0.45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spans="1:26" x14ac:dyDescent="0.45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spans="1:26" x14ac:dyDescent="0.45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spans="1:26" x14ac:dyDescent="0.45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spans="1:26" x14ac:dyDescent="0.45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spans="1:26" x14ac:dyDescent="0.4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spans="1:26" x14ac:dyDescent="0.45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spans="1:26" x14ac:dyDescent="0.45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spans="1:26" x14ac:dyDescent="0.45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spans="1:26" x14ac:dyDescent="0.45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spans="1:26" x14ac:dyDescent="0.45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spans="1:26" x14ac:dyDescent="0.45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spans="1:26" x14ac:dyDescent="0.45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spans="1:26" x14ac:dyDescent="0.45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spans="1:26" x14ac:dyDescent="0.45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spans="1:26" x14ac:dyDescent="0.4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spans="1:26" x14ac:dyDescent="0.45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spans="1:26" x14ac:dyDescent="0.45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spans="1:26" x14ac:dyDescent="0.45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spans="1:26" x14ac:dyDescent="0.45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spans="1:26" x14ac:dyDescent="0.45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spans="1:26" x14ac:dyDescent="0.45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spans="1:26" x14ac:dyDescent="0.45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spans="1:26" x14ac:dyDescent="0.45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spans="1:26" x14ac:dyDescent="0.45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spans="1:26" x14ac:dyDescent="0.4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spans="1:26" x14ac:dyDescent="0.45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spans="1:26" x14ac:dyDescent="0.45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spans="1:26" x14ac:dyDescent="0.45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spans="1:26" x14ac:dyDescent="0.45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spans="1:26" x14ac:dyDescent="0.45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spans="1:26" x14ac:dyDescent="0.45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spans="1:26" x14ac:dyDescent="0.45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spans="1:26" x14ac:dyDescent="0.45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spans="1:26" x14ac:dyDescent="0.45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spans="1:26" x14ac:dyDescent="0.4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spans="1:26" x14ac:dyDescent="0.45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spans="1:26" x14ac:dyDescent="0.45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spans="1:26" x14ac:dyDescent="0.45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spans="1:26" x14ac:dyDescent="0.45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spans="1:26" x14ac:dyDescent="0.45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spans="1:26" x14ac:dyDescent="0.45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spans="1:26" x14ac:dyDescent="0.45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spans="1:26" x14ac:dyDescent="0.45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spans="1:26" x14ac:dyDescent="0.45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spans="1:26" x14ac:dyDescent="0.4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spans="1:26" x14ac:dyDescent="0.45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spans="1:26" x14ac:dyDescent="0.45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spans="1:26" x14ac:dyDescent="0.45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spans="1:26" x14ac:dyDescent="0.45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spans="1:26" x14ac:dyDescent="0.45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spans="1:26" x14ac:dyDescent="0.45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spans="1:26" x14ac:dyDescent="0.45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spans="1:26" x14ac:dyDescent="0.45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spans="1:26" x14ac:dyDescent="0.45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spans="1:26" x14ac:dyDescent="0.4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spans="1:26" x14ac:dyDescent="0.45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spans="1:26" x14ac:dyDescent="0.45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spans="1:26" x14ac:dyDescent="0.45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spans="1:26" x14ac:dyDescent="0.45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spans="1:26" x14ac:dyDescent="0.45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spans="1:26" x14ac:dyDescent="0.45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spans="1:26" x14ac:dyDescent="0.45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spans="1:26" x14ac:dyDescent="0.45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spans="1:26" x14ac:dyDescent="0.45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spans="1:26" x14ac:dyDescent="0.4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spans="1:26" x14ac:dyDescent="0.45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spans="1:26" x14ac:dyDescent="0.45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spans="1:26" x14ac:dyDescent="0.45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spans="1:26" x14ac:dyDescent="0.45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spans="1:26" x14ac:dyDescent="0.45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spans="1:26" x14ac:dyDescent="0.45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spans="1:26" x14ac:dyDescent="0.45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spans="1:26" x14ac:dyDescent="0.45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spans="1:26" x14ac:dyDescent="0.45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spans="1:26" x14ac:dyDescent="0.4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spans="1:26" x14ac:dyDescent="0.45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spans="1:26" x14ac:dyDescent="0.45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spans="1:26" x14ac:dyDescent="0.45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spans="1:26" x14ac:dyDescent="0.45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spans="1:26" x14ac:dyDescent="0.45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spans="1:26" x14ac:dyDescent="0.45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spans="1:26" x14ac:dyDescent="0.45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spans="1:26" x14ac:dyDescent="0.45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spans="1:26" x14ac:dyDescent="0.45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spans="1:26" x14ac:dyDescent="0.4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spans="1:26" x14ac:dyDescent="0.45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spans="1:26" x14ac:dyDescent="0.45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spans="1:26" x14ac:dyDescent="0.45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spans="1:26" x14ac:dyDescent="0.45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spans="1:26" x14ac:dyDescent="0.45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spans="1:26" x14ac:dyDescent="0.45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spans="1:26" x14ac:dyDescent="0.45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spans="1:26" x14ac:dyDescent="0.45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spans="1:26" x14ac:dyDescent="0.45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spans="1:26" x14ac:dyDescent="0.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spans="1:26" x14ac:dyDescent="0.45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spans="1:26" x14ac:dyDescent="0.45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spans="1:26" x14ac:dyDescent="0.45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spans="1:26" x14ac:dyDescent="0.45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spans="1:26" x14ac:dyDescent="0.45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spans="1:26" x14ac:dyDescent="0.45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spans="1:26" x14ac:dyDescent="0.45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spans="1:26" x14ac:dyDescent="0.45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spans="1:26" x14ac:dyDescent="0.45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spans="1:26" x14ac:dyDescent="0.4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spans="1:26" x14ac:dyDescent="0.45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spans="1:26" x14ac:dyDescent="0.45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spans="1:26" x14ac:dyDescent="0.45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spans="1:26" x14ac:dyDescent="0.45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spans="1:26" x14ac:dyDescent="0.45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spans="1:26" x14ac:dyDescent="0.45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spans="1:26" x14ac:dyDescent="0.45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spans="1:26" x14ac:dyDescent="0.45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spans="1:26" x14ac:dyDescent="0.45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spans="1:26" x14ac:dyDescent="0.4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spans="1:26" x14ac:dyDescent="0.45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spans="1:26" x14ac:dyDescent="0.45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spans="1:26" x14ac:dyDescent="0.45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spans="1:26" x14ac:dyDescent="0.45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spans="1:26" x14ac:dyDescent="0.45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spans="1:26" x14ac:dyDescent="0.45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spans="1:26" x14ac:dyDescent="0.45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spans="1:26" x14ac:dyDescent="0.45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spans="1:26" x14ac:dyDescent="0.45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spans="1:26" x14ac:dyDescent="0.4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spans="1:26" x14ac:dyDescent="0.45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spans="1:26" x14ac:dyDescent="0.45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spans="1:26" x14ac:dyDescent="0.45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spans="1:26" x14ac:dyDescent="0.45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spans="1:26" x14ac:dyDescent="0.45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spans="1:26" x14ac:dyDescent="0.45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spans="1:26" x14ac:dyDescent="0.45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spans="1:26" x14ac:dyDescent="0.45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spans="1:26" x14ac:dyDescent="0.45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spans="1:26" x14ac:dyDescent="0.4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spans="1:26" x14ac:dyDescent="0.45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spans="1:26" x14ac:dyDescent="0.45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spans="1:26" x14ac:dyDescent="0.45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spans="1:26" x14ac:dyDescent="0.45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spans="1:26" x14ac:dyDescent="0.45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spans="1:26" x14ac:dyDescent="0.45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spans="1:26" x14ac:dyDescent="0.45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spans="1:26" x14ac:dyDescent="0.45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spans="1:26" x14ac:dyDescent="0.45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spans="1:26" x14ac:dyDescent="0.4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spans="1:26" x14ac:dyDescent="0.45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spans="1:26" x14ac:dyDescent="0.45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spans="1:26" x14ac:dyDescent="0.45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spans="1:26" x14ac:dyDescent="0.45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spans="1:26" x14ac:dyDescent="0.45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spans="1:26" x14ac:dyDescent="0.45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spans="1:26" x14ac:dyDescent="0.45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spans="1:26" x14ac:dyDescent="0.45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spans="1:26" x14ac:dyDescent="0.45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spans="1:26" x14ac:dyDescent="0.4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spans="1:26" x14ac:dyDescent="0.45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spans="1:26" x14ac:dyDescent="0.45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spans="1:26" x14ac:dyDescent="0.45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spans="1:26" x14ac:dyDescent="0.45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spans="1:26" x14ac:dyDescent="0.45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spans="1:26" x14ac:dyDescent="0.45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spans="1:26" x14ac:dyDescent="0.45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spans="1:26" x14ac:dyDescent="0.45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spans="1:26" x14ac:dyDescent="0.45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spans="1:26" x14ac:dyDescent="0.4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spans="1:26" x14ac:dyDescent="0.45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spans="1:26" x14ac:dyDescent="0.45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spans="1:26" x14ac:dyDescent="0.45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spans="1:26" x14ac:dyDescent="0.45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spans="1:26" x14ac:dyDescent="0.45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spans="1:26" x14ac:dyDescent="0.45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spans="1:26" x14ac:dyDescent="0.45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spans="1:26" x14ac:dyDescent="0.45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spans="1:26" x14ac:dyDescent="0.45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spans="1:26" x14ac:dyDescent="0.4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spans="1:26" x14ac:dyDescent="0.45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spans="1:26" x14ac:dyDescent="0.45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spans="1:26" x14ac:dyDescent="0.45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spans="1:26" x14ac:dyDescent="0.45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spans="1:26" x14ac:dyDescent="0.45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spans="1:26" x14ac:dyDescent="0.45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spans="1:26" x14ac:dyDescent="0.45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spans="1:26" x14ac:dyDescent="0.45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spans="1:26" x14ac:dyDescent="0.45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spans="1:26" x14ac:dyDescent="0.4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spans="1:26" x14ac:dyDescent="0.45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spans="1:26" x14ac:dyDescent="0.45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spans="1:26" x14ac:dyDescent="0.45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spans="1:26" x14ac:dyDescent="0.45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spans="1:26" x14ac:dyDescent="0.45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spans="1:26" x14ac:dyDescent="0.45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spans="1:26" x14ac:dyDescent="0.45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spans="1:26" x14ac:dyDescent="0.45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spans="1:26" x14ac:dyDescent="0.45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spans="1:26" x14ac:dyDescent="0.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spans="1:26" x14ac:dyDescent="0.45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spans="1:26" x14ac:dyDescent="0.45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spans="1:26" x14ac:dyDescent="0.45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spans="1:26" x14ac:dyDescent="0.45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spans="1:26" x14ac:dyDescent="0.45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spans="1:26" x14ac:dyDescent="0.45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spans="1:26" x14ac:dyDescent="0.45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spans="1:26" x14ac:dyDescent="0.45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spans="1:26" x14ac:dyDescent="0.45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spans="1:26" x14ac:dyDescent="0.4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spans="1:26" x14ac:dyDescent="0.45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spans="1:26" x14ac:dyDescent="0.45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spans="1:26" x14ac:dyDescent="0.45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spans="1:26" x14ac:dyDescent="0.45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spans="1:26" x14ac:dyDescent="0.45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spans="1:26" x14ac:dyDescent="0.45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spans="1:26" x14ac:dyDescent="0.45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spans="1:26" x14ac:dyDescent="0.45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spans="1:26" x14ac:dyDescent="0.45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spans="1:26" x14ac:dyDescent="0.4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spans="1:26" x14ac:dyDescent="0.45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spans="1:26" x14ac:dyDescent="0.45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spans="1:26" x14ac:dyDescent="0.45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spans="1:26" x14ac:dyDescent="0.45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spans="1:26" x14ac:dyDescent="0.45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spans="1:26" x14ac:dyDescent="0.45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spans="1:26" x14ac:dyDescent="0.45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spans="1:26" x14ac:dyDescent="0.45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spans="1:26" x14ac:dyDescent="0.45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spans="1:26" x14ac:dyDescent="0.4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spans="1:26" x14ac:dyDescent="0.45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spans="1:26" x14ac:dyDescent="0.45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spans="1:26" x14ac:dyDescent="0.45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spans="1:26" x14ac:dyDescent="0.45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spans="1:26" x14ac:dyDescent="0.45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spans="1:26" x14ac:dyDescent="0.45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spans="1:26" x14ac:dyDescent="0.45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spans="1:26" x14ac:dyDescent="0.45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spans="1:26" x14ac:dyDescent="0.45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spans="1:26" x14ac:dyDescent="0.4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spans="1:26" x14ac:dyDescent="0.45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spans="1:26" x14ac:dyDescent="0.45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spans="1:26" x14ac:dyDescent="0.45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spans="1:26" x14ac:dyDescent="0.45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spans="1:26" x14ac:dyDescent="0.45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spans="1:26" x14ac:dyDescent="0.45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spans="1:26" x14ac:dyDescent="0.45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spans="1:26" x14ac:dyDescent="0.45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spans="1:26" x14ac:dyDescent="0.45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spans="1:26" x14ac:dyDescent="0.4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spans="1:26" x14ac:dyDescent="0.45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spans="1:26" x14ac:dyDescent="0.45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spans="1:26" x14ac:dyDescent="0.45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spans="1:26" x14ac:dyDescent="0.45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spans="1:26" x14ac:dyDescent="0.45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  <row r="1001" spans="1:26" x14ac:dyDescent="0.45">
      <c r="A1001" s="2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</row>
    <row r="1002" spans="1:26" x14ac:dyDescent="0.45">
      <c r="A1002" s="24"/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/>
    </row>
    <row r="1003" spans="1:26" x14ac:dyDescent="0.45">
      <c r="A1003" s="24"/>
      <c r="B1003" s="24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  <c r="W1003" s="24"/>
      <c r="X1003" s="24"/>
      <c r="Y1003" s="24"/>
      <c r="Z1003" s="24"/>
    </row>
    <row r="1004" spans="1:26" x14ac:dyDescent="0.45">
      <c r="A1004" s="24"/>
      <c r="B1004" s="24"/>
      <c r="C1004" s="24"/>
      <c r="D1004" s="24"/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  <c r="O1004" s="24"/>
      <c r="P1004" s="24"/>
      <c r="Q1004" s="24"/>
      <c r="R1004" s="24"/>
      <c r="S1004" s="24"/>
      <c r="T1004" s="24"/>
      <c r="U1004" s="24"/>
      <c r="V1004" s="24"/>
      <c r="W1004" s="24"/>
      <c r="X1004" s="24"/>
      <c r="Y1004" s="24"/>
      <c r="Z1004" s="24"/>
    </row>
    <row r="1005" spans="1:26" x14ac:dyDescent="0.45">
      <c r="A1005" s="24"/>
      <c r="B1005" s="24"/>
      <c r="C1005" s="24"/>
      <c r="D1005" s="24"/>
      <c r="E1005" s="24"/>
      <c r="F1005" s="24"/>
      <c r="G1005" s="24"/>
      <c r="H1005" s="24"/>
      <c r="I1005" s="24"/>
      <c r="J1005" s="24"/>
      <c r="K1005" s="24"/>
      <c r="L1005" s="24"/>
      <c r="M1005" s="24"/>
      <c r="N1005" s="24"/>
      <c r="O1005" s="24"/>
      <c r="P1005" s="24"/>
      <c r="Q1005" s="24"/>
      <c r="R1005" s="24"/>
      <c r="S1005" s="24"/>
      <c r="T1005" s="24"/>
      <c r="U1005" s="24"/>
      <c r="V1005" s="24"/>
      <c r="W1005" s="24"/>
      <c r="X1005" s="24"/>
      <c r="Y1005" s="24"/>
      <c r="Z1005" s="24"/>
    </row>
    <row r="1006" spans="1:26" x14ac:dyDescent="0.45">
      <c r="A1006" s="24"/>
      <c r="B1006" s="24"/>
      <c r="C1006" s="24"/>
      <c r="D1006" s="24"/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  <c r="O1006" s="24"/>
      <c r="P1006" s="24"/>
      <c r="Q1006" s="24"/>
      <c r="R1006" s="24"/>
      <c r="S1006" s="24"/>
      <c r="T1006" s="24"/>
      <c r="U1006" s="24"/>
      <c r="V1006" s="24"/>
      <c r="W1006" s="24"/>
      <c r="X1006" s="24"/>
      <c r="Y1006" s="24"/>
      <c r="Z1006" s="24"/>
    </row>
    <row r="1007" spans="1:26" x14ac:dyDescent="0.45">
      <c r="A1007" s="24"/>
      <c r="B1007" s="24"/>
      <c r="C1007" s="24"/>
      <c r="D1007" s="24"/>
      <c r="E1007" s="24"/>
      <c r="F1007" s="24"/>
      <c r="G1007" s="24"/>
      <c r="H1007" s="24"/>
      <c r="I1007" s="24"/>
      <c r="J1007" s="24"/>
      <c r="K1007" s="24"/>
      <c r="L1007" s="24"/>
      <c r="M1007" s="24"/>
      <c r="N1007" s="24"/>
      <c r="O1007" s="24"/>
      <c r="P1007" s="24"/>
      <c r="Q1007" s="24"/>
      <c r="R1007" s="24"/>
      <c r="S1007" s="24"/>
      <c r="T1007" s="24"/>
      <c r="U1007" s="24"/>
      <c r="V1007" s="24"/>
      <c r="W1007" s="24"/>
      <c r="X1007" s="24"/>
      <c r="Y1007" s="24"/>
      <c r="Z1007" s="24"/>
    </row>
    <row r="1008" spans="1:26" x14ac:dyDescent="0.45">
      <c r="A1008" s="24"/>
      <c r="B1008" s="24"/>
      <c r="C1008" s="24"/>
      <c r="D1008" s="24"/>
      <c r="E1008" s="24"/>
      <c r="F1008" s="24"/>
      <c r="G1008" s="24"/>
      <c r="H1008" s="24"/>
      <c r="I1008" s="24"/>
      <c r="J1008" s="24"/>
      <c r="K1008" s="24"/>
      <c r="L1008" s="24"/>
      <c r="M1008" s="24"/>
      <c r="N1008" s="24"/>
      <c r="O1008" s="24"/>
      <c r="P1008" s="24"/>
      <c r="Q1008" s="24"/>
      <c r="R1008" s="24"/>
      <c r="S1008" s="24"/>
      <c r="T1008" s="24"/>
      <c r="U1008" s="24"/>
      <c r="V1008" s="24"/>
      <c r="W1008" s="24"/>
      <c r="X1008" s="24"/>
      <c r="Y1008" s="24"/>
      <c r="Z1008" s="24"/>
    </row>
    <row r="1009" spans="1:26" x14ac:dyDescent="0.45">
      <c r="A1009" s="24"/>
      <c r="B1009" s="24"/>
      <c r="C1009" s="24"/>
      <c r="D1009" s="24"/>
      <c r="E1009" s="24"/>
      <c r="F1009" s="24"/>
      <c r="G1009" s="24"/>
      <c r="H1009" s="24"/>
      <c r="I1009" s="24"/>
      <c r="J1009" s="24"/>
      <c r="K1009" s="24"/>
      <c r="L1009" s="24"/>
      <c r="M1009" s="24"/>
      <c r="N1009" s="24"/>
      <c r="O1009" s="24"/>
      <c r="P1009" s="24"/>
      <c r="Q1009" s="24"/>
      <c r="R1009" s="24"/>
      <c r="S1009" s="24"/>
      <c r="T1009" s="24"/>
      <c r="U1009" s="24"/>
      <c r="V1009" s="24"/>
      <c r="W1009" s="24"/>
      <c r="X1009" s="24"/>
      <c r="Y1009" s="24"/>
      <c r="Z1009" s="24"/>
    </row>
    <row r="1010" spans="1:26" x14ac:dyDescent="0.45">
      <c r="A1010" s="24"/>
      <c r="B1010" s="24"/>
      <c r="C1010" s="24"/>
      <c r="D1010" s="24"/>
      <c r="E1010" s="24"/>
      <c r="F1010" s="24"/>
      <c r="G1010" s="24"/>
      <c r="H1010" s="24"/>
      <c r="I1010" s="24"/>
      <c r="J1010" s="24"/>
      <c r="K1010" s="24"/>
      <c r="L1010" s="24"/>
      <c r="M1010" s="24"/>
      <c r="N1010" s="24"/>
      <c r="O1010" s="24"/>
      <c r="P1010" s="24"/>
      <c r="Q1010" s="24"/>
      <c r="R1010" s="24"/>
      <c r="S1010" s="24"/>
      <c r="T1010" s="24"/>
      <c r="U1010" s="24"/>
      <c r="V1010" s="24"/>
      <c r="W1010" s="24"/>
      <c r="X1010" s="24"/>
      <c r="Y1010" s="24"/>
      <c r="Z1010" s="24"/>
    </row>
    <row r="1011" spans="1:26" x14ac:dyDescent="0.45">
      <c r="A1011" s="24"/>
      <c r="B1011" s="24"/>
      <c r="C1011" s="24"/>
      <c r="D1011" s="24"/>
      <c r="E1011" s="24"/>
      <c r="F1011" s="24"/>
      <c r="G1011" s="24"/>
      <c r="H1011" s="24"/>
      <c r="I1011" s="24"/>
      <c r="J1011" s="24"/>
      <c r="K1011" s="24"/>
      <c r="L1011" s="24"/>
      <c r="M1011" s="24"/>
      <c r="N1011" s="24"/>
      <c r="O1011" s="24"/>
      <c r="P1011" s="24"/>
      <c r="Q1011" s="24"/>
      <c r="R1011" s="24"/>
      <c r="S1011" s="24"/>
      <c r="T1011" s="24"/>
      <c r="U1011" s="24"/>
      <c r="V1011" s="24"/>
      <c r="W1011" s="24"/>
      <c r="X1011" s="24"/>
      <c r="Y1011" s="24"/>
      <c r="Z1011" s="24"/>
    </row>
    <row r="1012" spans="1:26" x14ac:dyDescent="0.45">
      <c r="A1012" s="24"/>
      <c r="B1012" s="24"/>
      <c r="C1012" s="24"/>
      <c r="D1012" s="24"/>
      <c r="E1012" s="24"/>
      <c r="F1012" s="24"/>
      <c r="G1012" s="24"/>
      <c r="H1012" s="24"/>
      <c r="I1012" s="24"/>
      <c r="J1012" s="24"/>
      <c r="K1012" s="24"/>
      <c r="L1012" s="24"/>
      <c r="M1012" s="24"/>
      <c r="N1012" s="24"/>
      <c r="O1012" s="24"/>
      <c r="P1012" s="24"/>
      <c r="Q1012" s="24"/>
      <c r="R1012" s="24"/>
      <c r="S1012" s="24"/>
      <c r="T1012" s="24"/>
      <c r="U1012" s="24"/>
      <c r="V1012" s="24"/>
      <c r="W1012" s="24"/>
      <c r="X1012" s="24"/>
      <c r="Y1012" s="24"/>
      <c r="Z1012" s="24"/>
    </row>
    <row r="1013" spans="1:26" x14ac:dyDescent="0.45">
      <c r="A1013" s="24"/>
      <c r="B1013" s="24"/>
      <c r="C1013" s="24"/>
      <c r="D1013" s="24"/>
      <c r="E1013" s="24"/>
      <c r="F1013" s="24"/>
      <c r="G1013" s="24"/>
      <c r="H1013" s="24"/>
      <c r="I1013" s="24"/>
      <c r="J1013" s="24"/>
      <c r="K1013" s="24"/>
      <c r="L1013" s="24"/>
      <c r="M1013" s="24"/>
      <c r="N1013" s="24"/>
      <c r="O1013" s="24"/>
      <c r="P1013" s="24"/>
      <c r="Q1013" s="24"/>
      <c r="R1013" s="24"/>
      <c r="S1013" s="24"/>
      <c r="T1013" s="24"/>
      <c r="U1013" s="24"/>
      <c r="V1013" s="24"/>
      <c r="W1013" s="24"/>
      <c r="X1013" s="24"/>
      <c r="Y1013" s="24"/>
      <c r="Z1013" s="24"/>
    </row>
    <row r="1014" spans="1:26" x14ac:dyDescent="0.45">
      <c r="A1014" s="24"/>
      <c r="B1014" s="24"/>
      <c r="C1014" s="24"/>
      <c r="D1014" s="24"/>
      <c r="E1014" s="24"/>
      <c r="F1014" s="24"/>
      <c r="G1014" s="24"/>
      <c r="H1014" s="24"/>
      <c r="I1014" s="24"/>
      <c r="J1014" s="24"/>
      <c r="K1014" s="24"/>
      <c r="L1014" s="24"/>
      <c r="M1014" s="24"/>
      <c r="N1014" s="24"/>
      <c r="O1014" s="24"/>
      <c r="P1014" s="24"/>
      <c r="Q1014" s="24"/>
      <c r="R1014" s="24"/>
      <c r="S1014" s="24"/>
      <c r="T1014" s="24"/>
      <c r="U1014" s="24"/>
      <c r="V1014" s="24"/>
      <c r="W1014" s="24"/>
      <c r="X1014" s="24"/>
      <c r="Y1014" s="24"/>
      <c r="Z1014" s="24"/>
    </row>
    <row r="1015" spans="1:26" x14ac:dyDescent="0.45">
      <c r="A1015" s="24"/>
      <c r="B1015" s="24"/>
      <c r="C1015" s="24"/>
      <c r="D1015" s="24"/>
      <c r="E1015" s="24"/>
      <c r="F1015" s="24"/>
      <c r="G1015" s="24"/>
      <c r="H1015" s="24"/>
      <c r="I1015" s="24"/>
      <c r="J1015" s="24"/>
      <c r="K1015" s="24"/>
      <c r="L1015" s="24"/>
      <c r="M1015" s="24"/>
      <c r="N1015" s="24"/>
      <c r="O1015" s="24"/>
      <c r="P1015" s="24"/>
      <c r="Q1015" s="24"/>
      <c r="R1015" s="24"/>
      <c r="S1015" s="24"/>
      <c r="T1015" s="24"/>
      <c r="U1015" s="24"/>
      <c r="V1015" s="24"/>
      <c r="W1015" s="24"/>
      <c r="X1015" s="24"/>
      <c r="Y1015" s="24"/>
      <c r="Z1015" s="24"/>
    </row>
    <row r="1016" spans="1:26" x14ac:dyDescent="0.45">
      <c r="A1016" s="24"/>
      <c r="B1016" s="24"/>
      <c r="C1016" s="24"/>
      <c r="D1016" s="24"/>
      <c r="E1016" s="24"/>
      <c r="F1016" s="24"/>
      <c r="G1016" s="24"/>
      <c r="H1016" s="24"/>
      <c r="I1016" s="24"/>
      <c r="J1016" s="24"/>
      <c r="K1016" s="24"/>
      <c r="L1016" s="24"/>
      <c r="M1016" s="24"/>
      <c r="N1016" s="24"/>
      <c r="O1016" s="24"/>
      <c r="P1016" s="24"/>
      <c r="Q1016" s="24"/>
      <c r="R1016" s="24"/>
      <c r="S1016" s="24"/>
      <c r="T1016" s="24"/>
      <c r="U1016" s="24"/>
      <c r="V1016" s="24"/>
      <c r="W1016" s="24"/>
      <c r="X1016" s="24"/>
      <c r="Y1016" s="24"/>
      <c r="Z1016" s="24"/>
    </row>
  </sheetData>
  <mergeCells count="2">
    <mergeCell ref="A1:B1"/>
    <mergeCell ref="B129:F1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CA7FC-1695-41F2-893C-BE6305DBDB09}">
  <dimension ref="A1:H1006"/>
  <sheetViews>
    <sheetView topLeftCell="A16" workbookViewId="0">
      <selection activeCell="E36" sqref="E36"/>
    </sheetView>
  </sheetViews>
  <sheetFormatPr baseColWidth="10" defaultColWidth="14.3984375" defaultRowHeight="14.25" x14ac:dyDescent="0.45"/>
  <cols>
    <col min="2" max="2" width="24.1328125" bestFit="1" customWidth="1"/>
    <col min="3" max="3" width="9.1328125" customWidth="1"/>
    <col min="4" max="4" width="9.53125" customWidth="1"/>
    <col min="5" max="5" width="10.73046875" customWidth="1"/>
    <col min="6" max="6" width="10.53125" customWidth="1"/>
    <col min="7" max="7" width="9.3984375" customWidth="1"/>
  </cols>
  <sheetData>
    <row r="1" spans="1:8" ht="15" customHeight="1" x14ac:dyDescent="0.45">
      <c r="A1" s="94" t="s">
        <v>60</v>
      </c>
      <c r="B1" s="95"/>
      <c r="C1" s="96"/>
      <c r="D1" s="96"/>
      <c r="E1" s="96"/>
    </row>
    <row r="2" spans="1:8" ht="15" customHeight="1" x14ac:dyDescent="0.45">
      <c r="A2" s="94" t="s">
        <v>184</v>
      </c>
      <c r="B2" s="95"/>
      <c r="C2" s="96"/>
      <c r="D2" s="96"/>
      <c r="E2" s="96"/>
    </row>
    <row r="3" spans="1:8" ht="15" customHeight="1" x14ac:dyDescent="0.45">
      <c r="A3" s="94" t="s">
        <v>185</v>
      </c>
      <c r="B3" s="907"/>
      <c r="C3" s="908"/>
      <c r="D3" s="908"/>
      <c r="E3" s="908"/>
    </row>
    <row r="4" spans="1:8" ht="15" customHeight="1" x14ac:dyDescent="0.45">
      <c r="A4" s="94" t="s">
        <v>186</v>
      </c>
      <c r="B4" s="95"/>
      <c r="C4" s="98" t="s">
        <v>187</v>
      </c>
      <c r="D4" s="96"/>
      <c r="E4" s="96"/>
    </row>
    <row r="5" spans="1:8" ht="15" customHeight="1" x14ac:dyDescent="0.45">
      <c r="A5" s="94" t="s">
        <v>188</v>
      </c>
      <c r="B5" s="95"/>
      <c r="C5" s="98" t="s">
        <v>187</v>
      </c>
      <c r="D5" s="96"/>
      <c r="E5" s="96"/>
    </row>
    <row r="6" spans="1:8" ht="15" customHeight="1" x14ac:dyDescent="0.45">
      <c r="A6" s="99" t="s">
        <v>189</v>
      </c>
      <c r="B6" s="100" t="s">
        <v>650</v>
      </c>
      <c r="C6" s="101"/>
      <c r="D6" s="101"/>
      <c r="E6" s="101"/>
    </row>
    <row r="8" spans="1:8" ht="30.75" customHeight="1" x14ac:dyDescent="0.45">
      <c r="A8" s="49" t="s">
        <v>56</v>
      </c>
      <c r="B8" s="49" t="s">
        <v>651</v>
      </c>
      <c r="C8" s="49" t="s">
        <v>55</v>
      </c>
      <c r="D8" s="50" t="s">
        <v>54</v>
      </c>
      <c r="E8" s="50" t="s">
        <v>173</v>
      </c>
      <c r="F8" s="50" t="s">
        <v>53</v>
      </c>
      <c r="G8" s="489" t="s">
        <v>52</v>
      </c>
      <c r="H8" s="19" t="s">
        <v>51</v>
      </c>
    </row>
    <row r="9" spans="1:8" ht="15" customHeight="1" x14ac:dyDescent="0.45">
      <c r="A9" s="490">
        <v>4657527190</v>
      </c>
      <c r="B9" s="471" t="s">
        <v>45</v>
      </c>
      <c r="C9" s="57">
        <v>400</v>
      </c>
      <c r="D9" s="58">
        <v>120</v>
      </c>
      <c r="E9" s="58"/>
      <c r="F9" s="60">
        <f>E9/C9</f>
        <v>0</v>
      </c>
      <c r="G9" s="67">
        <f>365/D9</f>
        <v>3.0416666666666665</v>
      </c>
      <c r="H9" s="60"/>
    </row>
    <row r="10" spans="1:8" ht="15" customHeight="1" x14ac:dyDescent="0.45">
      <c r="A10" s="490">
        <v>4657616190</v>
      </c>
      <c r="B10" s="471" t="s">
        <v>44</v>
      </c>
      <c r="C10" s="57">
        <v>400</v>
      </c>
      <c r="D10" s="58">
        <v>120</v>
      </c>
      <c r="E10" s="58"/>
      <c r="F10" s="60">
        <f t="shared" ref="F10:F37" si="0">E10/C10</f>
        <v>0</v>
      </c>
      <c r="G10" s="67">
        <f t="shared" ref="G10:G37" si="1">365/D10</f>
        <v>3.0416666666666665</v>
      </c>
      <c r="H10" s="60"/>
    </row>
    <row r="11" spans="1:8" ht="15" customHeight="1" x14ac:dyDescent="0.45">
      <c r="A11" s="490">
        <v>5401755190</v>
      </c>
      <c r="B11" s="471" t="s">
        <v>43</v>
      </c>
      <c r="C11" s="57">
        <v>400</v>
      </c>
      <c r="D11" s="58">
        <v>120</v>
      </c>
      <c r="E11" s="58"/>
      <c r="F11" s="60">
        <f t="shared" si="0"/>
        <v>0</v>
      </c>
      <c r="G11" s="67">
        <f t="shared" si="1"/>
        <v>3.0416666666666665</v>
      </c>
      <c r="H11" s="60"/>
    </row>
    <row r="12" spans="1:8" ht="15" customHeight="1" x14ac:dyDescent="0.45">
      <c r="A12" s="490">
        <v>4657608190</v>
      </c>
      <c r="B12" s="471" t="s">
        <v>42</v>
      </c>
      <c r="C12" s="57">
        <v>400</v>
      </c>
      <c r="D12" s="58">
        <v>120</v>
      </c>
      <c r="E12" s="58"/>
      <c r="F12" s="60">
        <f t="shared" si="0"/>
        <v>0</v>
      </c>
      <c r="G12" s="67">
        <f t="shared" si="1"/>
        <v>3.0416666666666665</v>
      </c>
      <c r="H12" s="60"/>
    </row>
    <row r="13" spans="1:8" ht="15" customHeight="1" x14ac:dyDescent="0.45">
      <c r="A13" s="490">
        <v>4718917190</v>
      </c>
      <c r="B13" s="471" t="s">
        <v>41</v>
      </c>
      <c r="C13" s="57">
        <v>400</v>
      </c>
      <c r="D13" s="58">
        <v>120</v>
      </c>
      <c r="E13" s="683"/>
      <c r="F13" s="60">
        <f t="shared" si="0"/>
        <v>0</v>
      </c>
      <c r="G13" s="67">
        <f t="shared" si="1"/>
        <v>3.0416666666666665</v>
      </c>
      <c r="H13" s="60"/>
    </row>
    <row r="14" spans="1:8" ht="15" customHeight="1" x14ac:dyDescent="0.45">
      <c r="A14" s="490">
        <v>4657594190</v>
      </c>
      <c r="B14" s="471" t="s">
        <v>40</v>
      </c>
      <c r="C14" s="57">
        <v>200</v>
      </c>
      <c r="D14" s="58">
        <v>120</v>
      </c>
      <c r="E14" s="58"/>
      <c r="F14" s="60">
        <f t="shared" si="0"/>
        <v>0</v>
      </c>
      <c r="G14" s="67">
        <f t="shared" si="1"/>
        <v>3.0416666666666665</v>
      </c>
      <c r="H14" s="60"/>
    </row>
    <row r="15" spans="1:8" ht="15" customHeight="1" x14ac:dyDescent="0.45">
      <c r="A15" s="490">
        <v>4718569190</v>
      </c>
      <c r="B15" s="471" t="s">
        <v>39</v>
      </c>
      <c r="C15" s="57">
        <v>400</v>
      </c>
      <c r="D15" s="58">
        <v>120</v>
      </c>
      <c r="E15" s="58"/>
      <c r="F15" s="60">
        <f t="shared" si="0"/>
        <v>0</v>
      </c>
      <c r="G15" s="67">
        <f t="shared" si="1"/>
        <v>3.0416666666666665</v>
      </c>
      <c r="H15" s="60"/>
    </row>
    <row r="16" spans="1:8" ht="15" customHeight="1" x14ac:dyDescent="0.45">
      <c r="A16" s="490">
        <v>4657543190</v>
      </c>
      <c r="B16" s="471" t="s">
        <v>38</v>
      </c>
      <c r="C16" s="57">
        <v>400</v>
      </c>
      <c r="D16" s="58">
        <v>120</v>
      </c>
      <c r="E16" s="58"/>
      <c r="F16" s="60">
        <f t="shared" si="0"/>
        <v>0</v>
      </c>
      <c r="G16" s="67">
        <f t="shared" si="1"/>
        <v>3.0416666666666665</v>
      </c>
      <c r="H16" s="60"/>
    </row>
    <row r="17" spans="1:8" ht="15" customHeight="1" x14ac:dyDescent="0.45">
      <c r="A17" s="490">
        <v>4657373190</v>
      </c>
      <c r="B17" s="471" t="s">
        <v>37</v>
      </c>
      <c r="C17" s="57">
        <v>200</v>
      </c>
      <c r="D17" s="58">
        <v>120</v>
      </c>
      <c r="E17" s="58"/>
      <c r="F17" s="60">
        <f t="shared" si="0"/>
        <v>0</v>
      </c>
      <c r="G17" s="67">
        <f t="shared" si="1"/>
        <v>3.0416666666666665</v>
      </c>
      <c r="H17" s="60"/>
    </row>
    <row r="18" spans="1:8" ht="15" customHeight="1" x14ac:dyDescent="0.45">
      <c r="A18" s="491">
        <v>5795648190</v>
      </c>
      <c r="B18" s="471" t="s">
        <v>36</v>
      </c>
      <c r="C18" s="57">
        <v>400</v>
      </c>
      <c r="D18" s="58">
        <v>120</v>
      </c>
      <c r="E18" s="58"/>
      <c r="F18" s="60">
        <f t="shared" si="0"/>
        <v>0</v>
      </c>
      <c r="G18" s="67">
        <f t="shared" si="1"/>
        <v>3.0416666666666665</v>
      </c>
      <c r="H18" s="60"/>
    </row>
    <row r="19" spans="1:8" ht="15" customHeight="1" x14ac:dyDescent="0.45">
      <c r="A19" s="490">
        <v>5589134190</v>
      </c>
      <c r="B19" s="471" t="s">
        <v>35</v>
      </c>
      <c r="C19" s="57">
        <v>100</v>
      </c>
      <c r="D19" s="58">
        <v>60</v>
      </c>
      <c r="E19" s="58"/>
      <c r="F19" s="60">
        <f t="shared" si="0"/>
        <v>0</v>
      </c>
      <c r="G19" s="67">
        <f t="shared" si="1"/>
        <v>6.083333333333333</v>
      </c>
      <c r="H19" s="60"/>
    </row>
    <row r="20" spans="1:8" ht="15" customHeight="1" x14ac:dyDescent="0.45">
      <c r="A20" s="490">
        <v>7528604190</v>
      </c>
      <c r="B20" s="471" t="s">
        <v>34</v>
      </c>
      <c r="C20" s="57">
        <v>200</v>
      </c>
      <c r="D20" s="58">
        <v>60</v>
      </c>
      <c r="E20" s="58"/>
      <c r="F20" s="60">
        <f t="shared" si="0"/>
        <v>0</v>
      </c>
      <c r="G20" s="67">
        <f t="shared" si="1"/>
        <v>6.083333333333333</v>
      </c>
      <c r="H20" s="60"/>
    </row>
    <row r="21" spans="1:8" ht="15" customHeight="1" x14ac:dyDescent="0.45">
      <c r="A21" s="492">
        <v>5401496190</v>
      </c>
      <c r="B21" s="17" t="s">
        <v>33</v>
      </c>
      <c r="C21" s="57">
        <v>200</v>
      </c>
      <c r="D21" s="58">
        <v>60</v>
      </c>
      <c r="E21" s="58"/>
      <c r="F21" s="60">
        <f t="shared" si="0"/>
        <v>0</v>
      </c>
      <c r="G21" s="67">
        <f t="shared" si="1"/>
        <v>6.083333333333333</v>
      </c>
      <c r="H21" s="60"/>
    </row>
    <row r="22" spans="1:8" ht="15" customHeight="1" x14ac:dyDescent="0.45">
      <c r="A22" s="492">
        <v>5401704190</v>
      </c>
      <c r="B22" s="17" t="s">
        <v>32</v>
      </c>
      <c r="C22" s="57">
        <v>100</v>
      </c>
      <c r="D22" s="58">
        <v>60</v>
      </c>
      <c r="E22" s="58"/>
      <c r="F22" s="60">
        <f t="shared" si="0"/>
        <v>0</v>
      </c>
      <c r="G22" s="67">
        <f t="shared" si="1"/>
        <v>6.083333333333333</v>
      </c>
      <c r="H22" s="60"/>
    </row>
    <row r="23" spans="1:8" ht="15" customHeight="1" x14ac:dyDescent="0.45">
      <c r="A23" s="492">
        <v>5401461190</v>
      </c>
      <c r="B23" s="490" t="s">
        <v>31</v>
      </c>
      <c r="C23" s="57">
        <v>200</v>
      </c>
      <c r="D23" s="58">
        <v>60</v>
      </c>
      <c r="E23" s="58"/>
      <c r="F23" s="60">
        <f t="shared" si="0"/>
        <v>0</v>
      </c>
      <c r="G23" s="67">
        <f t="shared" si="1"/>
        <v>6.083333333333333</v>
      </c>
      <c r="H23" s="60"/>
    </row>
    <row r="24" spans="1:8" ht="15" customHeight="1" x14ac:dyDescent="0.45">
      <c r="A24" s="493">
        <v>4657357190</v>
      </c>
      <c r="B24" s="83" t="s">
        <v>30</v>
      </c>
      <c r="C24" s="57">
        <v>400</v>
      </c>
      <c r="D24" s="58">
        <v>120</v>
      </c>
      <c r="E24" s="58"/>
      <c r="F24" s="60">
        <f t="shared" si="0"/>
        <v>0</v>
      </c>
      <c r="G24" s="67">
        <f t="shared" si="1"/>
        <v>3.0416666666666665</v>
      </c>
      <c r="H24" s="60"/>
    </row>
    <row r="25" spans="1:8" ht="15" customHeight="1" x14ac:dyDescent="0.45">
      <c r="A25" s="490">
        <v>7005806190</v>
      </c>
      <c r="B25" s="471" t="s">
        <v>29</v>
      </c>
      <c r="C25" s="57">
        <v>100</v>
      </c>
      <c r="D25" s="58">
        <v>60</v>
      </c>
      <c r="E25" s="58"/>
      <c r="F25" s="60">
        <f t="shared" si="0"/>
        <v>0</v>
      </c>
      <c r="G25" s="67">
        <f t="shared" si="1"/>
        <v>6.083333333333333</v>
      </c>
      <c r="H25" s="60"/>
    </row>
    <row r="26" spans="1:8" ht="15" customHeight="1" x14ac:dyDescent="0.45">
      <c r="A26" s="491">
        <v>5061504190</v>
      </c>
      <c r="B26" s="494" t="s">
        <v>28</v>
      </c>
      <c r="C26" s="57">
        <v>400</v>
      </c>
      <c r="D26" s="58">
        <v>120</v>
      </c>
      <c r="E26" s="58"/>
      <c r="F26" s="60">
        <f t="shared" si="0"/>
        <v>0</v>
      </c>
      <c r="G26" s="67">
        <f t="shared" si="1"/>
        <v>3.0416666666666665</v>
      </c>
      <c r="H26" s="60"/>
    </row>
    <row r="27" spans="1:8" ht="15" customHeight="1" x14ac:dyDescent="0.45">
      <c r="A27" s="491">
        <v>7442017190</v>
      </c>
      <c r="B27" s="494" t="s">
        <v>27</v>
      </c>
      <c r="C27" s="57">
        <v>200</v>
      </c>
      <c r="D27" s="58">
        <v>60</v>
      </c>
      <c r="E27" s="58"/>
      <c r="F27" s="60">
        <f t="shared" si="0"/>
        <v>0</v>
      </c>
      <c r="G27" s="67">
        <f t="shared" si="1"/>
        <v>6.083333333333333</v>
      </c>
      <c r="H27" s="60"/>
    </row>
    <row r="28" spans="1:8" ht="15" customHeight="1" x14ac:dyDescent="0.45">
      <c r="A28" s="491">
        <v>5401674190</v>
      </c>
      <c r="B28" s="494" t="s">
        <v>26</v>
      </c>
      <c r="C28" s="57">
        <v>100</v>
      </c>
      <c r="D28" s="58">
        <v>60</v>
      </c>
      <c r="E28" s="58"/>
      <c r="F28" s="60">
        <f t="shared" si="0"/>
        <v>0</v>
      </c>
      <c r="G28" s="67">
        <f t="shared" si="1"/>
        <v>6.083333333333333</v>
      </c>
      <c r="H28" s="60"/>
    </row>
    <row r="29" spans="1:8" ht="15" customHeight="1" x14ac:dyDescent="0.45">
      <c r="A29" s="491">
        <v>5336180190</v>
      </c>
      <c r="B29" s="494" t="s">
        <v>25</v>
      </c>
      <c r="C29" s="57">
        <v>200</v>
      </c>
      <c r="D29" s="58">
        <v>60</v>
      </c>
      <c r="E29" s="58"/>
      <c r="F29" s="60">
        <f t="shared" si="0"/>
        <v>0</v>
      </c>
      <c r="G29" s="67">
        <f t="shared" si="1"/>
        <v>6.083333333333333</v>
      </c>
      <c r="H29" s="60"/>
    </row>
    <row r="30" spans="1:8" ht="15" customHeight="1" x14ac:dyDescent="0.45">
      <c r="A30" s="491">
        <v>5401658190</v>
      </c>
      <c r="B30" s="494" t="s">
        <v>24</v>
      </c>
      <c r="C30" s="57">
        <v>100</v>
      </c>
      <c r="D30" s="58">
        <v>60</v>
      </c>
      <c r="E30" s="58"/>
      <c r="F30" s="60">
        <f t="shared" si="0"/>
        <v>0</v>
      </c>
      <c r="G30" s="67">
        <f t="shared" si="1"/>
        <v>6.083333333333333</v>
      </c>
      <c r="H30" s="60"/>
    </row>
    <row r="31" spans="1:8" ht="15" customHeight="1" x14ac:dyDescent="0.45">
      <c r="A31" s="491">
        <v>4657586190</v>
      </c>
      <c r="B31" s="494" t="s">
        <v>23</v>
      </c>
      <c r="C31" s="57">
        <v>400</v>
      </c>
      <c r="D31" s="58">
        <v>120</v>
      </c>
      <c r="E31" s="58"/>
      <c r="F31" s="60">
        <f t="shared" si="0"/>
        <v>0</v>
      </c>
      <c r="G31" s="67">
        <f t="shared" si="1"/>
        <v>3.0416666666666665</v>
      </c>
      <c r="H31" s="60"/>
    </row>
    <row r="32" spans="1:8" ht="15" customHeight="1" x14ac:dyDescent="0.45">
      <c r="A32" s="491">
        <v>7876432190</v>
      </c>
      <c r="B32" s="471" t="s">
        <v>22</v>
      </c>
      <c r="C32" s="57">
        <v>200</v>
      </c>
      <c r="D32" s="58">
        <v>60</v>
      </c>
      <c r="E32" s="58"/>
      <c r="F32" s="60">
        <f t="shared" si="0"/>
        <v>0</v>
      </c>
      <c r="G32" s="67">
        <f t="shared" si="1"/>
        <v>6.083333333333333</v>
      </c>
      <c r="H32" s="60"/>
    </row>
    <row r="33" spans="1:8" ht="15" customHeight="1" x14ac:dyDescent="0.45">
      <c r="A33" s="491">
        <v>5077753190</v>
      </c>
      <c r="B33" s="684" t="s">
        <v>21</v>
      </c>
      <c r="C33" s="57">
        <v>200</v>
      </c>
      <c r="D33" s="686">
        <v>120</v>
      </c>
      <c r="E33" s="58"/>
      <c r="F33" s="60">
        <f t="shared" si="0"/>
        <v>0</v>
      </c>
      <c r="G33" s="67">
        <f t="shared" si="1"/>
        <v>3.0416666666666665</v>
      </c>
      <c r="H33" s="60"/>
    </row>
    <row r="34" spans="1:8" ht="15" customHeight="1" x14ac:dyDescent="0.45">
      <c r="A34" s="491">
        <v>5401780190</v>
      </c>
      <c r="B34" s="684" t="s">
        <v>20</v>
      </c>
      <c r="C34" s="57">
        <v>100</v>
      </c>
      <c r="D34" s="686">
        <v>60</v>
      </c>
      <c r="E34" s="58"/>
      <c r="F34" s="60">
        <f t="shared" si="0"/>
        <v>0</v>
      </c>
      <c r="G34" s="67">
        <f t="shared" si="1"/>
        <v>6.083333333333333</v>
      </c>
      <c r="H34" s="60"/>
    </row>
    <row r="35" spans="1:8" ht="15" customHeight="1" x14ac:dyDescent="0.45">
      <c r="A35" s="495">
        <v>5401739190</v>
      </c>
      <c r="B35" s="685" t="s">
        <v>1083</v>
      </c>
      <c r="C35" s="57">
        <v>100</v>
      </c>
      <c r="D35" s="58">
        <v>56</v>
      </c>
      <c r="E35" s="58"/>
      <c r="F35" s="60">
        <f t="shared" si="0"/>
        <v>0</v>
      </c>
      <c r="G35" s="67">
        <f t="shared" si="1"/>
        <v>6.5178571428571432</v>
      </c>
      <c r="H35" s="60"/>
    </row>
    <row r="36" spans="1:8" ht="15" customHeight="1" x14ac:dyDescent="0.45">
      <c r="A36" s="495">
        <v>8900019190</v>
      </c>
      <c r="B36" s="685" t="s">
        <v>1129</v>
      </c>
      <c r="C36" s="57">
        <v>100</v>
      </c>
      <c r="D36" s="58">
        <v>56</v>
      </c>
      <c r="E36" s="58"/>
      <c r="F36" s="60">
        <f t="shared" si="0"/>
        <v>0</v>
      </c>
      <c r="G36" s="67">
        <f t="shared" si="1"/>
        <v>6.5178571428571432</v>
      </c>
      <c r="H36" s="60"/>
    </row>
    <row r="37" spans="1:8" ht="15" customHeight="1" x14ac:dyDescent="0.45">
      <c r="A37" s="495">
        <v>7442050190</v>
      </c>
      <c r="B37" s="685" t="s">
        <v>174</v>
      </c>
      <c r="C37" s="57">
        <v>100</v>
      </c>
      <c r="D37" s="57">
        <v>60</v>
      </c>
      <c r="E37" s="58"/>
      <c r="F37" s="60">
        <f t="shared" si="0"/>
        <v>0</v>
      </c>
      <c r="G37" s="67">
        <f t="shared" si="1"/>
        <v>6.083333333333333</v>
      </c>
      <c r="H37" s="60"/>
    </row>
    <row r="38" spans="1:8" ht="15" customHeight="1" x14ac:dyDescent="0.45">
      <c r="A38" s="14"/>
      <c r="B38" s="15"/>
      <c r="C38" s="13" t="s">
        <v>19</v>
      </c>
      <c r="D38" s="13"/>
      <c r="E38" s="52">
        <f>SUM(E9:E37)</f>
        <v>0</v>
      </c>
      <c r="F38" s="53"/>
      <c r="G38" s="498"/>
      <c r="H38" s="190"/>
    </row>
    <row r="39" spans="1:8" ht="15" customHeight="1" x14ac:dyDescent="0.45">
      <c r="A39" s="11" t="s">
        <v>18</v>
      </c>
      <c r="B39" s="12"/>
      <c r="C39" s="10"/>
      <c r="D39" s="9"/>
      <c r="E39" s="8"/>
      <c r="F39" s="7"/>
      <c r="G39" s="499"/>
      <c r="H39" s="500"/>
    </row>
    <row r="40" spans="1:8" ht="15" customHeight="1" x14ac:dyDescent="0.45">
      <c r="A40" s="490">
        <v>10759350190</v>
      </c>
      <c r="B40" s="471" t="s">
        <v>17</v>
      </c>
      <c r="C40" s="1">
        <v>12</v>
      </c>
      <c r="D40" s="16">
        <v>28</v>
      </c>
      <c r="E40" s="1"/>
      <c r="F40" s="22"/>
      <c r="G40" s="67">
        <f>(365/D40)/C40</f>
        <v>1.0863095238095239</v>
      </c>
      <c r="H40" s="57"/>
    </row>
    <row r="41" spans="1:8" ht="15" customHeight="1" x14ac:dyDescent="0.45">
      <c r="A41" s="490">
        <v>12172623122</v>
      </c>
      <c r="B41" s="471" t="s">
        <v>16</v>
      </c>
      <c r="C41" s="1">
        <v>3</v>
      </c>
      <c r="D41" s="16">
        <v>28</v>
      </c>
      <c r="E41" s="1"/>
      <c r="F41" s="1"/>
      <c r="G41" s="67">
        <f t="shared" ref="G41:G64" si="2">(365/D41)/C41</f>
        <v>4.3452380952380958</v>
      </c>
      <c r="H41" s="57"/>
    </row>
    <row r="42" spans="1:8" ht="15" customHeight="1" x14ac:dyDescent="0.45">
      <c r="A42" s="491">
        <v>11355279216</v>
      </c>
      <c r="B42" s="494" t="s">
        <v>652</v>
      </c>
      <c r="C42" s="1">
        <v>5</v>
      </c>
      <c r="D42" s="16">
        <v>28</v>
      </c>
      <c r="E42" s="1"/>
      <c r="F42" s="1"/>
      <c r="G42" s="67">
        <f t="shared" si="2"/>
        <v>2.6071428571428572</v>
      </c>
      <c r="H42" s="57"/>
    </row>
    <row r="43" spans="1:8" ht="15" customHeight="1" x14ac:dyDescent="0.45">
      <c r="A43" s="689">
        <v>4528417190</v>
      </c>
      <c r="B43" s="494" t="s">
        <v>15</v>
      </c>
      <c r="C43" s="1">
        <v>3</v>
      </c>
      <c r="D43" s="16">
        <v>84</v>
      </c>
      <c r="E43" s="1"/>
      <c r="F43" s="1"/>
      <c r="G43" s="67">
        <f t="shared" si="2"/>
        <v>1.4484126984126984</v>
      </c>
      <c r="H43" s="57"/>
    </row>
    <row r="44" spans="1:8" ht="15" customHeight="1" x14ac:dyDescent="0.45">
      <c r="A44" s="690">
        <v>20751995190</v>
      </c>
      <c r="B44" s="688" t="s">
        <v>256</v>
      </c>
      <c r="C44" s="1">
        <v>2</v>
      </c>
      <c r="D44" s="16">
        <v>56</v>
      </c>
      <c r="E44" s="1"/>
      <c r="F44" s="1"/>
      <c r="G44" s="67">
        <f t="shared" si="2"/>
        <v>3.2589285714285716</v>
      </c>
      <c r="H44" s="57"/>
    </row>
    <row r="45" spans="1:8" ht="15" customHeight="1" x14ac:dyDescent="0.45">
      <c r="A45" s="495">
        <v>5050901190</v>
      </c>
      <c r="B45" s="494" t="s">
        <v>14</v>
      </c>
      <c r="C45" s="1">
        <v>1</v>
      </c>
      <c r="D45" s="16">
        <v>84</v>
      </c>
      <c r="E45" s="1"/>
      <c r="F45" s="1"/>
      <c r="G45" s="67">
        <f t="shared" si="2"/>
        <v>4.3452380952380949</v>
      </c>
      <c r="H45" s="57"/>
    </row>
    <row r="46" spans="1:8" x14ac:dyDescent="0.45">
      <c r="A46" s="398">
        <v>11447394216</v>
      </c>
      <c r="B46" s="403" t="s">
        <v>1096</v>
      </c>
      <c r="C46" s="1">
        <v>3</v>
      </c>
      <c r="D46" s="194">
        <v>28</v>
      </c>
      <c r="E46" s="1"/>
      <c r="F46" s="1"/>
      <c r="G46" s="67">
        <f t="shared" si="2"/>
        <v>4.3452380952380958</v>
      </c>
      <c r="H46" s="63"/>
    </row>
    <row r="47" spans="1:8" ht="15" customHeight="1" x14ac:dyDescent="0.45">
      <c r="A47" s="4" t="s">
        <v>13</v>
      </c>
      <c r="B47" s="5"/>
      <c r="C47" s="3"/>
      <c r="D47" s="20"/>
      <c r="E47" s="3"/>
      <c r="F47" s="3"/>
      <c r="G47" s="64"/>
      <c r="H47" s="501"/>
    </row>
    <row r="48" spans="1:8" ht="15" customHeight="1" x14ac:dyDescent="0.45">
      <c r="A48" s="502">
        <v>5947626190</v>
      </c>
      <c r="B48" s="503" t="s">
        <v>12</v>
      </c>
      <c r="C48" s="1">
        <v>4</v>
      </c>
      <c r="D48" s="16">
        <v>14</v>
      </c>
      <c r="E48" s="1"/>
      <c r="F48" s="1"/>
      <c r="G48" s="67">
        <f t="shared" si="2"/>
        <v>6.5178571428571432</v>
      </c>
      <c r="H48" s="57"/>
    </row>
    <row r="49" spans="1:8" ht="15" customHeight="1" x14ac:dyDescent="0.45">
      <c r="A49" s="502">
        <v>5947774190</v>
      </c>
      <c r="B49" s="503" t="s">
        <v>11</v>
      </c>
      <c r="C49" s="1">
        <v>4</v>
      </c>
      <c r="D49" s="16">
        <v>14</v>
      </c>
      <c r="E49" s="1"/>
      <c r="F49" s="1"/>
      <c r="G49" s="67">
        <f t="shared" si="2"/>
        <v>6.5178571428571432</v>
      </c>
      <c r="H49" s="57"/>
    </row>
    <row r="50" spans="1:8" ht="15" customHeight="1" x14ac:dyDescent="0.45">
      <c r="A50" s="491">
        <v>5479207190</v>
      </c>
      <c r="B50" s="494" t="s">
        <v>10</v>
      </c>
      <c r="C50" s="1">
        <v>4</v>
      </c>
      <c r="D50" s="16">
        <v>28</v>
      </c>
      <c r="E50" s="1"/>
      <c r="F50" s="47"/>
      <c r="G50" s="67">
        <f t="shared" si="2"/>
        <v>3.2589285714285716</v>
      </c>
      <c r="H50" s="57"/>
    </row>
    <row r="51" spans="1:8" ht="15" customHeight="1" x14ac:dyDescent="0.45">
      <c r="A51" s="2">
        <v>5912504190</v>
      </c>
      <c r="B51" s="24" t="s">
        <v>172</v>
      </c>
      <c r="C51" s="84">
        <v>4</v>
      </c>
      <c r="D51" s="16">
        <v>28</v>
      </c>
      <c r="E51" s="1"/>
      <c r="F51" s="47"/>
      <c r="G51" s="67">
        <f t="shared" si="2"/>
        <v>3.2589285714285716</v>
      </c>
      <c r="H51" s="57"/>
    </row>
    <row r="52" spans="1:8" ht="15" customHeight="1" x14ac:dyDescent="0.45">
      <c r="A52" s="56">
        <v>20752401190</v>
      </c>
      <c r="B52" s="55" t="s">
        <v>1084</v>
      </c>
      <c r="C52" s="57">
        <v>5</v>
      </c>
      <c r="D52" s="687">
        <v>56</v>
      </c>
      <c r="E52" s="1"/>
      <c r="F52" s="47"/>
      <c r="G52" s="67">
        <f t="shared" si="2"/>
        <v>1.3035714285714286</v>
      </c>
      <c r="H52" s="57"/>
    </row>
    <row r="53" spans="1:8" ht="15" customHeight="1" x14ac:dyDescent="0.45">
      <c r="A53" s="56">
        <v>20753009190</v>
      </c>
      <c r="B53" s="55" t="s">
        <v>1084</v>
      </c>
      <c r="C53" s="57">
        <v>5</v>
      </c>
      <c r="D53" s="687">
        <v>56</v>
      </c>
      <c r="E53" s="1"/>
      <c r="F53" s="47"/>
      <c r="G53" s="67">
        <f t="shared" si="2"/>
        <v>1.3035714285714286</v>
      </c>
      <c r="H53" s="57"/>
    </row>
    <row r="54" spans="1:8" ht="15" customHeight="1" x14ac:dyDescent="0.45">
      <c r="A54" s="495">
        <v>5050936190</v>
      </c>
      <c r="B54" s="496" t="s">
        <v>9</v>
      </c>
      <c r="C54" s="497">
        <v>2</v>
      </c>
      <c r="D54" s="16">
        <v>84</v>
      </c>
      <c r="E54" s="1"/>
      <c r="F54" s="1"/>
      <c r="G54" s="67">
        <f t="shared" si="2"/>
        <v>2.1726190476190474</v>
      </c>
      <c r="H54" s="57"/>
    </row>
    <row r="55" spans="1:8" ht="15" customHeight="1" x14ac:dyDescent="0.45">
      <c r="A55" s="4" t="s">
        <v>8</v>
      </c>
      <c r="B55" s="5"/>
      <c r="C55" s="3"/>
      <c r="D55" s="7"/>
      <c r="E55" s="3"/>
      <c r="F55" s="3"/>
      <c r="G55" s="64"/>
      <c r="H55" s="501"/>
    </row>
    <row r="56" spans="1:8" ht="15" customHeight="1" x14ac:dyDescent="0.45">
      <c r="A56" s="490">
        <v>4774230190</v>
      </c>
      <c r="B56" s="471" t="s">
        <v>653</v>
      </c>
      <c r="C56" s="1">
        <v>4</v>
      </c>
      <c r="D56" s="16">
        <v>28</v>
      </c>
      <c r="E56" s="1"/>
      <c r="F56" s="1"/>
      <c r="G56" s="67">
        <f t="shared" si="2"/>
        <v>3.2589285714285716</v>
      </c>
      <c r="H56" s="57"/>
    </row>
    <row r="57" spans="1:8" ht="15" customHeight="1" x14ac:dyDescent="0.45">
      <c r="A57" s="491">
        <v>5007232190</v>
      </c>
      <c r="B57" s="494" t="s">
        <v>851</v>
      </c>
      <c r="C57" s="1">
        <v>8</v>
      </c>
      <c r="D57" s="16">
        <v>10</v>
      </c>
      <c r="E57" s="1"/>
      <c r="F57" s="1"/>
      <c r="G57" s="67">
        <f t="shared" si="2"/>
        <v>4.5625</v>
      </c>
      <c r="H57" s="57"/>
    </row>
    <row r="58" spans="1:8" ht="15" customHeight="1" x14ac:dyDescent="0.45">
      <c r="A58" s="490">
        <v>4663632190</v>
      </c>
      <c r="B58" s="471" t="s">
        <v>654</v>
      </c>
      <c r="C58" s="1">
        <v>9</v>
      </c>
      <c r="D58" s="16">
        <v>12</v>
      </c>
      <c r="E58" s="1"/>
      <c r="F58" s="1"/>
      <c r="G58" s="67">
        <f t="shared" si="2"/>
        <v>3.3796296296296298</v>
      </c>
      <c r="H58" s="57"/>
    </row>
    <row r="59" spans="1:8" ht="15" customHeight="1" x14ac:dyDescent="0.45">
      <c r="A59" s="490">
        <v>11298500316</v>
      </c>
      <c r="B59" s="471" t="s">
        <v>7</v>
      </c>
      <c r="C59" s="1">
        <v>5</v>
      </c>
      <c r="D59" s="16">
        <v>73</v>
      </c>
      <c r="E59" s="1"/>
      <c r="F59" s="1"/>
      <c r="G59" s="67">
        <f t="shared" si="2"/>
        <v>1</v>
      </c>
      <c r="H59" s="57"/>
    </row>
    <row r="60" spans="1:8" ht="15" customHeight="1" x14ac:dyDescent="0.45">
      <c r="A60" s="490">
        <v>20754765322</v>
      </c>
      <c r="B60" s="471" t="s">
        <v>6</v>
      </c>
      <c r="C60" s="1">
        <v>1</v>
      </c>
      <c r="D60" s="16">
        <v>84</v>
      </c>
      <c r="E60" s="1"/>
      <c r="F60" s="1"/>
      <c r="G60" s="67">
        <f t="shared" si="2"/>
        <v>4.3452380952380949</v>
      </c>
      <c r="H60" s="57"/>
    </row>
    <row r="61" spans="1:8" ht="15" customHeight="1" x14ac:dyDescent="0.45">
      <c r="A61" s="490">
        <v>4357108001</v>
      </c>
      <c r="B61" s="471" t="s">
        <v>5</v>
      </c>
      <c r="C61" s="1">
        <v>1</v>
      </c>
      <c r="D61" s="16">
        <v>365</v>
      </c>
      <c r="E61" s="1"/>
      <c r="F61" s="1"/>
      <c r="G61" s="67">
        <f t="shared" si="2"/>
        <v>1</v>
      </c>
      <c r="H61" s="57"/>
    </row>
    <row r="62" spans="1:8" ht="15" customHeight="1" x14ac:dyDescent="0.45">
      <c r="A62" s="2">
        <v>4444191001</v>
      </c>
      <c r="B62" s="471" t="s">
        <v>4</v>
      </c>
      <c r="C62" s="1">
        <v>1</v>
      </c>
      <c r="D62" s="16">
        <v>365</v>
      </c>
      <c r="E62" s="1"/>
      <c r="F62" s="48"/>
      <c r="G62" s="67">
        <f t="shared" si="2"/>
        <v>1</v>
      </c>
      <c r="H62" s="57"/>
    </row>
    <row r="63" spans="1:8" ht="15" customHeight="1" x14ac:dyDescent="0.45">
      <c r="A63" s="490">
        <v>4352483001</v>
      </c>
      <c r="B63" s="471" t="s">
        <v>3</v>
      </c>
      <c r="C63" s="1">
        <v>5</v>
      </c>
      <c r="D63" s="16">
        <v>365</v>
      </c>
      <c r="E63" s="1"/>
      <c r="F63" s="1"/>
      <c r="G63" s="67">
        <f t="shared" si="2"/>
        <v>0.2</v>
      </c>
      <c r="H63" s="57"/>
    </row>
    <row r="64" spans="1:8" ht="15" customHeight="1" x14ac:dyDescent="0.45">
      <c r="A64" s="490">
        <v>5344620001</v>
      </c>
      <c r="B64" s="471" t="s">
        <v>2</v>
      </c>
      <c r="C64" s="1">
        <v>1</v>
      </c>
      <c r="D64" s="16">
        <v>365</v>
      </c>
      <c r="E64" s="1"/>
      <c r="F64" s="1"/>
      <c r="G64" s="67">
        <f t="shared" si="2"/>
        <v>1</v>
      </c>
      <c r="H64" s="57"/>
    </row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  <row r="1001" ht="15.75" customHeight="1" x14ac:dyDescent="0.45"/>
    <row r="1002" ht="15.75" customHeight="1" x14ac:dyDescent="0.45"/>
    <row r="1003" ht="15.75" customHeight="1" x14ac:dyDescent="0.45"/>
    <row r="1004" ht="15.75" customHeight="1" x14ac:dyDescent="0.45"/>
    <row r="1005" ht="15.75" customHeight="1" x14ac:dyDescent="0.45"/>
    <row r="1006" ht="15.75" customHeight="1" x14ac:dyDescent="0.45"/>
  </sheetData>
  <mergeCells count="1">
    <mergeCell ref="B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61654-F834-4928-945B-C7D8A1493EE2}">
  <dimension ref="A2:T62"/>
  <sheetViews>
    <sheetView topLeftCell="A10" zoomScaleNormal="100" workbookViewId="0">
      <selection activeCell="A30" sqref="A30:XFD30"/>
    </sheetView>
  </sheetViews>
  <sheetFormatPr baseColWidth="10" defaultRowHeight="14.25" x14ac:dyDescent="0.45"/>
  <cols>
    <col min="1" max="1" width="8.73046875" bestFit="1" customWidth="1"/>
    <col min="2" max="2" width="9.1328125" bestFit="1" customWidth="1"/>
    <col min="3" max="3" width="24.1328125" bestFit="1" customWidth="1"/>
    <col min="4" max="4" width="6.86328125" bestFit="1" customWidth="1"/>
    <col min="5" max="5" width="8.265625" bestFit="1" customWidth="1"/>
    <col min="6" max="6" width="6.796875" bestFit="1" customWidth="1"/>
    <col min="7" max="7" width="8.265625" bestFit="1" customWidth="1"/>
    <col min="8" max="8" width="9.1328125" bestFit="1" customWidth="1"/>
    <col min="9" max="9" width="8.3984375" bestFit="1" customWidth="1"/>
    <col min="10" max="10" width="3.86328125" bestFit="1" customWidth="1"/>
    <col min="11" max="11" width="10.19921875" bestFit="1" customWidth="1"/>
    <col min="12" max="12" width="16.796875" bestFit="1" customWidth="1"/>
    <col min="13" max="13" width="14.6640625" bestFit="1" customWidth="1"/>
    <col min="15" max="15" width="15.1328125" bestFit="1" customWidth="1"/>
    <col min="16" max="16" width="10.19921875" bestFit="1" customWidth="1"/>
    <col min="17" max="17" width="7.33203125" bestFit="1" customWidth="1"/>
    <col min="18" max="18" width="7.9296875" bestFit="1" customWidth="1"/>
    <col min="19" max="19" width="9.265625" bestFit="1" customWidth="1"/>
    <col min="20" max="20" width="10.86328125" bestFit="1" customWidth="1"/>
  </cols>
  <sheetData>
    <row r="2" spans="1:20" ht="31.5" x14ac:dyDescent="0.45">
      <c r="B2" s="49" t="s">
        <v>56</v>
      </c>
      <c r="C2" s="49" t="s">
        <v>651</v>
      </c>
      <c r="D2" s="49" t="s">
        <v>55</v>
      </c>
      <c r="E2" s="50" t="s">
        <v>54</v>
      </c>
      <c r="F2" s="50" t="s">
        <v>173</v>
      </c>
      <c r="G2" s="50" t="s">
        <v>53</v>
      </c>
      <c r="H2" s="50" t="s">
        <v>52</v>
      </c>
      <c r="I2" s="50" t="s">
        <v>51</v>
      </c>
      <c r="J2" s="50"/>
      <c r="K2" s="51" t="s">
        <v>50</v>
      </c>
      <c r="L2" s="51" t="s">
        <v>49</v>
      </c>
      <c r="M2" s="51" t="s">
        <v>48</v>
      </c>
      <c r="N2" s="50" t="s">
        <v>162</v>
      </c>
      <c r="O2" s="79" t="s">
        <v>163</v>
      </c>
      <c r="P2" s="79" t="s">
        <v>165</v>
      </c>
      <c r="Q2" s="80" t="s">
        <v>169</v>
      </c>
      <c r="R2" s="80" t="s">
        <v>164</v>
      </c>
      <c r="S2" s="18" t="s">
        <v>47</v>
      </c>
      <c r="T2" s="19" t="s">
        <v>46</v>
      </c>
    </row>
    <row r="3" spans="1:20" x14ac:dyDescent="0.45">
      <c r="A3" s="738" t="s">
        <v>1094</v>
      </c>
      <c r="B3" s="745">
        <v>4657527190</v>
      </c>
      <c r="C3" s="443" t="s">
        <v>45</v>
      </c>
      <c r="D3" s="57">
        <v>400</v>
      </c>
      <c r="E3" s="58">
        <v>120</v>
      </c>
      <c r="F3" s="59">
        <f>'c111'!E9</f>
        <v>0</v>
      </c>
      <c r="G3" s="60">
        <f>F3/D3</f>
        <v>0</v>
      </c>
      <c r="H3" s="60">
        <f>30*BC!$B$47/E3</f>
        <v>0</v>
      </c>
      <c r="I3" s="60">
        <f>IF(H3&gt;G3,H3,G3)</f>
        <v>0</v>
      </c>
      <c r="J3" s="60">
        <f>IF(G3=0,0,I3)</f>
        <v>0</v>
      </c>
      <c r="K3" s="65">
        <f>ROUNDUP(J3,0)</f>
        <v>0</v>
      </c>
      <c r="L3" s="61">
        <v>50</v>
      </c>
      <c r="M3" s="61">
        <f>L3*K3</f>
        <v>0</v>
      </c>
      <c r="N3" s="61">
        <f>L3/D3</f>
        <v>0.125</v>
      </c>
      <c r="O3" s="804" t="e">
        <f>N3+$N$62+((BC!$F$125)/'c111 DETERMIACION'!$F$32)</f>
        <v>#DIV/0!</v>
      </c>
      <c r="P3" s="71" t="e">
        <f>O3*F3</f>
        <v>#DIV/0!</v>
      </c>
      <c r="Q3" s="70" t="e">
        <f>((O3*0.15)+O3)</f>
        <v>#DIV/0!</v>
      </c>
      <c r="R3" s="70" t="e">
        <f>Q3*F3</f>
        <v>#DIV/0!</v>
      </c>
      <c r="S3" s="70" t="e">
        <f>SUM(R3:R31)</f>
        <v>#DIV/0!</v>
      </c>
      <c r="T3" s="71" t="e">
        <f>SUM(P3:P31)</f>
        <v>#DIV/0!</v>
      </c>
    </row>
    <row r="4" spans="1:20" x14ac:dyDescent="0.45">
      <c r="A4" s="739">
        <f>SUM(F3+F4+F5+F6+F7+F8+F9+F10+F11+F12+F13+F15+F16+F17+F18+F20+F21+F22+F24+F25+F28+F30)</f>
        <v>0</v>
      </c>
      <c r="B4" s="745">
        <v>4657616190</v>
      </c>
      <c r="C4" s="443" t="s">
        <v>44</v>
      </c>
      <c r="D4" s="57">
        <v>400</v>
      </c>
      <c r="E4" s="58">
        <v>120</v>
      </c>
      <c r="F4" s="59">
        <f>'c111'!E10</f>
        <v>0</v>
      </c>
      <c r="G4" s="60">
        <f t="shared" ref="G4:G28" si="0">F4/D4</f>
        <v>0</v>
      </c>
      <c r="H4" s="60">
        <f>30*BC!$B$47/E4</f>
        <v>0</v>
      </c>
      <c r="I4" s="60">
        <f t="shared" ref="I4:I28" si="1">IF(H4&gt;G4,H4,G4)</f>
        <v>0</v>
      </c>
      <c r="J4" s="60">
        <f t="shared" ref="J4:J28" si="2">IF(G4=0,0,I4)</f>
        <v>0</v>
      </c>
      <c r="K4" s="65">
        <f t="shared" ref="K4:K28" si="3">ROUNDUP(J4,0)</f>
        <v>0</v>
      </c>
      <c r="L4" s="61">
        <v>62</v>
      </c>
      <c r="M4" s="61">
        <f t="shared" ref="M4:M31" si="4">L4*K4</f>
        <v>0</v>
      </c>
      <c r="N4" s="61">
        <f t="shared" ref="N4:N31" si="5">L4/D4</f>
        <v>0.155</v>
      </c>
      <c r="O4" s="804" t="e">
        <f>N4+$N$62+((BC!$F$125)/'c111 DETERMIACION'!$F$32)</f>
        <v>#DIV/0!</v>
      </c>
      <c r="P4" s="71" t="e">
        <f t="shared" ref="P4:P28" si="6">O4*F4</f>
        <v>#DIV/0!</v>
      </c>
      <c r="Q4" s="70" t="e">
        <f t="shared" ref="Q4:Q28" si="7">((O4*0.15)+O4)</f>
        <v>#DIV/0!</v>
      </c>
      <c r="R4" s="70" t="e">
        <f t="shared" ref="R4:R28" si="8">Q4*F4</f>
        <v>#DIV/0!</v>
      </c>
    </row>
    <row r="5" spans="1:20" x14ac:dyDescent="0.45">
      <c r="A5" s="62"/>
      <c r="B5" s="745">
        <v>5401755190</v>
      </c>
      <c r="C5" s="443" t="s">
        <v>43</v>
      </c>
      <c r="D5" s="57">
        <v>400</v>
      </c>
      <c r="E5" s="58">
        <v>120</v>
      </c>
      <c r="F5" s="59">
        <f>'c111'!E11</f>
        <v>0</v>
      </c>
      <c r="G5" s="60">
        <f t="shared" si="0"/>
        <v>0</v>
      </c>
      <c r="H5" s="60">
        <f>30*BC!$B$47/E5</f>
        <v>0</v>
      </c>
      <c r="I5" s="60">
        <f t="shared" si="1"/>
        <v>0</v>
      </c>
      <c r="J5" s="60">
        <f t="shared" si="2"/>
        <v>0</v>
      </c>
      <c r="K5" s="65">
        <f t="shared" si="3"/>
        <v>0</v>
      </c>
      <c r="L5" s="61">
        <v>74</v>
      </c>
      <c r="M5" s="61">
        <f t="shared" si="4"/>
        <v>0</v>
      </c>
      <c r="N5" s="61">
        <f t="shared" si="5"/>
        <v>0.185</v>
      </c>
      <c r="O5" s="804" t="e">
        <f>N5+$N$62+((BC!$F$125)/'c111 DETERMIACION'!$F$32)</f>
        <v>#DIV/0!</v>
      </c>
      <c r="P5" s="71" t="e">
        <f t="shared" si="6"/>
        <v>#DIV/0!</v>
      </c>
      <c r="Q5" s="70" t="e">
        <f t="shared" si="7"/>
        <v>#DIV/0!</v>
      </c>
      <c r="R5" s="70" t="e">
        <f t="shared" si="8"/>
        <v>#DIV/0!</v>
      </c>
    </row>
    <row r="6" spans="1:20" x14ac:dyDescent="0.45">
      <c r="A6" s="242" t="s">
        <v>838</v>
      </c>
      <c r="B6" s="745">
        <v>4657608190</v>
      </c>
      <c r="C6" s="443" t="s">
        <v>42</v>
      </c>
      <c r="D6" s="57">
        <v>400</v>
      </c>
      <c r="E6" s="58">
        <v>120</v>
      </c>
      <c r="F6" s="59">
        <f>'c111'!E12</f>
        <v>0</v>
      </c>
      <c r="G6" s="60">
        <f t="shared" si="0"/>
        <v>0</v>
      </c>
      <c r="H6" s="60">
        <f>30*BC!$B$47/E6</f>
        <v>0</v>
      </c>
      <c r="I6" s="60">
        <f t="shared" si="1"/>
        <v>0</v>
      </c>
      <c r="J6" s="60">
        <f t="shared" si="2"/>
        <v>0</v>
      </c>
      <c r="K6" s="65">
        <f t="shared" si="3"/>
        <v>0</v>
      </c>
      <c r="L6" s="61">
        <v>89</v>
      </c>
      <c r="M6" s="61">
        <f t="shared" si="4"/>
        <v>0</v>
      </c>
      <c r="N6" s="61">
        <f t="shared" si="5"/>
        <v>0.2225</v>
      </c>
      <c r="O6" s="804" t="e">
        <f>N6+$N$62+((BC!$F$125)/'c111 DETERMIACION'!$F$32)</f>
        <v>#DIV/0!</v>
      </c>
      <c r="P6" s="71" t="e">
        <f t="shared" si="6"/>
        <v>#DIV/0!</v>
      </c>
      <c r="Q6" s="70" t="e">
        <f t="shared" si="7"/>
        <v>#DIV/0!</v>
      </c>
      <c r="R6" s="70" t="e">
        <f t="shared" si="8"/>
        <v>#DIV/0!</v>
      </c>
    </row>
    <row r="7" spans="1:20" x14ac:dyDescent="0.45">
      <c r="A7" s="744">
        <f>F3+F4+F5+F6+F7+F8+F9+F10+F11+F12+F13+F14+F15+F16+F17+F18+F19+F20+F21+F22+F24+F25+F26+F28+F31+F30</f>
        <v>0</v>
      </c>
      <c r="B7" s="745">
        <v>4718917190</v>
      </c>
      <c r="C7" s="443" t="s">
        <v>41</v>
      </c>
      <c r="D7" s="57">
        <v>400</v>
      </c>
      <c r="E7" s="58">
        <v>120</v>
      </c>
      <c r="F7" s="59">
        <f>'c111'!E13</f>
        <v>0</v>
      </c>
      <c r="G7" s="60">
        <f t="shared" si="0"/>
        <v>0</v>
      </c>
      <c r="H7" s="60">
        <f>30*BC!$B$47/E7</f>
        <v>0</v>
      </c>
      <c r="I7" s="60">
        <f t="shared" si="1"/>
        <v>0</v>
      </c>
      <c r="J7" s="60">
        <f t="shared" si="2"/>
        <v>0</v>
      </c>
      <c r="K7" s="65">
        <f t="shared" si="3"/>
        <v>0</v>
      </c>
      <c r="L7" s="61">
        <v>83</v>
      </c>
      <c r="M7" s="61">
        <f t="shared" si="4"/>
        <v>0</v>
      </c>
      <c r="N7" s="61">
        <f t="shared" si="5"/>
        <v>0.20749999999999999</v>
      </c>
      <c r="O7" s="804" t="e">
        <f>N7+$N$62+((BC!$F$125)/'c111 DETERMIACION'!$F$32)</f>
        <v>#DIV/0!</v>
      </c>
      <c r="P7" s="71" t="e">
        <f t="shared" si="6"/>
        <v>#DIV/0!</v>
      </c>
      <c r="Q7" s="70" t="e">
        <f t="shared" si="7"/>
        <v>#DIV/0!</v>
      </c>
      <c r="R7" s="70" t="e">
        <f t="shared" si="8"/>
        <v>#DIV/0!</v>
      </c>
    </row>
    <row r="8" spans="1:20" x14ac:dyDescent="0.45">
      <c r="A8" s="62"/>
      <c r="B8" s="745">
        <v>4657594190</v>
      </c>
      <c r="C8" s="443" t="s">
        <v>40</v>
      </c>
      <c r="D8" s="57">
        <v>200</v>
      </c>
      <c r="E8" s="58">
        <v>120</v>
      </c>
      <c r="F8" s="59">
        <f>'c111'!E14</f>
        <v>0</v>
      </c>
      <c r="G8" s="60">
        <f t="shared" si="0"/>
        <v>0</v>
      </c>
      <c r="H8" s="60">
        <f>30*BC!$B$47/E8</f>
        <v>0</v>
      </c>
      <c r="I8" s="60">
        <f t="shared" si="1"/>
        <v>0</v>
      </c>
      <c r="J8" s="60">
        <f t="shared" si="2"/>
        <v>0</v>
      </c>
      <c r="K8" s="65">
        <f t="shared" si="3"/>
        <v>0</v>
      </c>
      <c r="L8" s="61">
        <v>63</v>
      </c>
      <c r="M8" s="61">
        <f t="shared" si="4"/>
        <v>0</v>
      </c>
      <c r="N8" s="61">
        <f t="shared" si="5"/>
        <v>0.315</v>
      </c>
      <c r="O8" s="804" t="e">
        <f>N8+$N$62+((BC!$F$125)/'c111 DETERMIACION'!$F$32)</f>
        <v>#DIV/0!</v>
      </c>
      <c r="P8" s="71" t="e">
        <f t="shared" si="6"/>
        <v>#DIV/0!</v>
      </c>
      <c r="Q8" s="70" t="e">
        <f t="shared" si="7"/>
        <v>#DIV/0!</v>
      </c>
      <c r="R8" s="70" t="e">
        <f t="shared" si="8"/>
        <v>#DIV/0!</v>
      </c>
    </row>
    <row r="9" spans="1:20" x14ac:dyDescent="0.45">
      <c r="A9" s="749" t="s">
        <v>1095</v>
      </c>
      <c r="B9" s="745">
        <v>4718569190</v>
      </c>
      <c r="C9" s="443" t="s">
        <v>39</v>
      </c>
      <c r="D9" s="57">
        <v>400</v>
      </c>
      <c r="E9" s="58">
        <v>120</v>
      </c>
      <c r="F9" s="59">
        <f>'c111'!E15</f>
        <v>0</v>
      </c>
      <c r="G9" s="60">
        <f t="shared" si="0"/>
        <v>0</v>
      </c>
      <c r="H9" s="60">
        <f>30*BC!$B$47/E9</f>
        <v>0</v>
      </c>
      <c r="I9" s="60">
        <f t="shared" si="1"/>
        <v>0</v>
      </c>
      <c r="J9" s="60">
        <f t="shared" si="2"/>
        <v>0</v>
      </c>
      <c r="K9" s="65">
        <f t="shared" si="3"/>
        <v>0</v>
      </c>
      <c r="L9" s="61">
        <v>103</v>
      </c>
      <c r="M9" s="61">
        <f t="shared" si="4"/>
        <v>0</v>
      </c>
      <c r="N9" s="61">
        <f t="shared" si="5"/>
        <v>0.25750000000000001</v>
      </c>
      <c r="O9" s="804" t="e">
        <f>N9+$N$62+((BC!$F$125)/'c111 DETERMIACION'!$F$32)</f>
        <v>#DIV/0!</v>
      </c>
      <c r="P9" s="71" t="e">
        <f t="shared" si="6"/>
        <v>#DIV/0!</v>
      </c>
      <c r="Q9" s="70" t="e">
        <f t="shared" si="7"/>
        <v>#DIV/0!</v>
      </c>
      <c r="R9" s="70" t="e">
        <f t="shared" si="8"/>
        <v>#DIV/0!</v>
      </c>
    </row>
    <row r="10" spans="1:20" x14ac:dyDescent="0.45">
      <c r="A10" s="750">
        <f>SUM(F14+F19)</f>
        <v>0</v>
      </c>
      <c r="B10" s="745">
        <v>4657543190</v>
      </c>
      <c r="C10" s="443" t="s">
        <v>38</v>
      </c>
      <c r="D10" s="57">
        <v>400</v>
      </c>
      <c r="E10" s="58">
        <v>120</v>
      </c>
      <c r="F10" s="59">
        <f>'c111'!E16</f>
        <v>0</v>
      </c>
      <c r="G10" s="60">
        <f t="shared" si="0"/>
        <v>0</v>
      </c>
      <c r="H10" s="60">
        <f>30*BC!$B$47/E10</f>
        <v>0</v>
      </c>
      <c r="I10" s="60">
        <f t="shared" si="1"/>
        <v>0</v>
      </c>
      <c r="J10" s="60">
        <f t="shared" si="2"/>
        <v>0</v>
      </c>
      <c r="K10" s="65">
        <f t="shared" si="3"/>
        <v>0</v>
      </c>
      <c r="L10" s="61">
        <v>100</v>
      </c>
      <c r="M10" s="61">
        <f t="shared" si="4"/>
        <v>0</v>
      </c>
      <c r="N10" s="61">
        <f t="shared" si="5"/>
        <v>0.25</v>
      </c>
      <c r="O10" s="804" t="e">
        <f>N10+$N$62+((BC!$F$125)/'c111 DETERMIACION'!$F$32)</f>
        <v>#DIV/0!</v>
      </c>
      <c r="P10" s="71" t="e">
        <f t="shared" si="6"/>
        <v>#DIV/0!</v>
      </c>
      <c r="Q10" s="70" t="e">
        <f t="shared" si="7"/>
        <v>#DIV/0!</v>
      </c>
      <c r="R10" s="70" t="e">
        <f t="shared" si="8"/>
        <v>#DIV/0!</v>
      </c>
    </row>
    <row r="11" spans="1:20" x14ac:dyDescent="0.45">
      <c r="A11" s="62"/>
      <c r="B11" s="745">
        <v>4657373190</v>
      </c>
      <c r="C11" s="443" t="s">
        <v>37</v>
      </c>
      <c r="D11" s="57">
        <v>200</v>
      </c>
      <c r="E11" s="58">
        <v>120</v>
      </c>
      <c r="F11" s="59">
        <f>'c111'!E17</f>
        <v>0</v>
      </c>
      <c r="G11" s="60">
        <f t="shared" si="0"/>
        <v>0</v>
      </c>
      <c r="H11" s="60">
        <f>30*BC!$B$47/E11</f>
        <v>0</v>
      </c>
      <c r="I11" s="60">
        <f t="shared" si="1"/>
        <v>0</v>
      </c>
      <c r="J11" s="60">
        <f t="shared" si="2"/>
        <v>0</v>
      </c>
      <c r="K11" s="65">
        <f t="shared" si="3"/>
        <v>0</v>
      </c>
      <c r="L11" s="61">
        <v>107</v>
      </c>
      <c r="M11" s="61">
        <f t="shared" si="4"/>
        <v>0</v>
      </c>
      <c r="N11" s="61">
        <f t="shared" si="5"/>
        <v>0.53500000000000003</v>
      </c>
      <c r="O11" s="804" t="e">
        <f>N11+$N$62+((BC!$F$125)/'c111 DETERMIACION'!$F$32)</f>
        <v>#DIV/0!</v>
      </c>
      <c r="P11" s="71" t="e">
        <f t="shared" si="6"/>
        <v>#DIV/0!</v>
      </c>
      <c r="Q11" s="70" t="e">
        <f t="shared" si="7"/>
        <v>#DIV/0!</v>
      </c>
      <c r="R11" s="70" t="e">
        <f t="shared" si="8"/>
        <v>#DIV/0!</v>
      </c>
    </row>
    <row r="12" spans="1:20" x14ac:dyDescent="0.45">
      <c r="A12" s="62"/>
      <c r="B12" s="746">
        <v>5795648190</v>
      </c>
      <c r="C12" s="443" t="s">
        <v>36</v>
      </c>
      <c r="D12" s="57">
        <v>400</v>
      </c>
      <c r="E12" s="58">
        <v>120</v>
      </c>
      <c r="F12" s="59">
        <f>'c111'!E18</f>
        <v>0</v>
      </c>
      <c r="G12" s="60">
        <f t="shared" si="0"/>
        <v>0</v>
      </c>
      <c r="H12" s="60">
        <f>30*BC!$B$47/E12</f>
        <v>0</v>
      </c>
      <c r="I12" s="60">
        <f t="shared" si="1"/>
        <v>0</v>
      </c>
      <c r="J12" s="60">
        <f t="shared" si="2"/>
        <v>0</v>
      </c>
      <c r="K12" s="65">
        <f t="shared" si="3"/>
        <v>0</v>
      </c>
      <c r="L12" s="61">
        <v>78</v>
      </c>
      <c r="M12" s="61">
        <f t="shared" si="4"/>
        <v>0</v>
      </c>
      <c r="N12" s="61">
        <f t="shared" si="5"/>
        <v>0.19500000000000001</v>
      </c>
      <c r="O12" s="804" t="e">
        <f>N12+$N$62+((BC!$F$125)/'c111 DETERMIACION'!$F$32)</f>
        <v>#DIV/0!</v>
      </c>
      <c r="P12" s="71" t="e">
        <f t="shared" si="6"/>
        <v>#DIV/0!</v>
      </c>
      <c r="Q12" s="70" t="e">
        <f t="shared" si="7"/>
        <v>#DIV/0!</v>
      </c>
      <c r="R12" s="70" t="e">
        <f t="shared" si="8"/>
        <v>#DIV/0!</v>
      </c>
    </row>
    <row r="13" spans="1:20" x14ac:dyDescent="0.45">
      <c r="B13" s="745">
        <v>5589134190</v>
      </c>
      <c r="C13" s="443" t="s">
        <v>35</v>
      </c>
      <c r="D13" s="57">
        <v>100</v>
      </c>
      <c r="E13" s="58">
        <v>60</v>
      </c>
      <c r="F13" s="59">
        <f>'c111'!E19</f>
        <v>0</v>
      </c>
      <c r="G13" s="60">
        <f t="shared" si="0"/>
        <v>0</v>
      </c>
      <c r="H13" s="60">
        <f>30*BC!$B$47/E13</f>
        <v>0</v>
      </c>
      <c r="I13" s="60">
        <f t="shared" si="1"/>
        <v>0</v>
      </c>
      <c r="J13" s="60">
        <f t="shared" si="2"/>
        <v>0</v>
      </c>
      <c r="K13" s="65">
        <f t="shared" si="3"/>
        <v>0</v>
      </c>
      <c r="L13" s="61">
        <v>58</v>
      </c>
      <c r="M13" s="61">
        <f t="shared" si="4"/>
        <v>0</v>
      </c>
      <c r="N13" s="61">
        <f t="shared" si="5"/>
        <v>0.57999999999999996</v>
      </c>
      <c r="O13" s="804" t="e">
        <f>N13+$N$62+((BC!$F$125)/'c111 DETERMIACION'!$F$32)</f>
        <v>#DIV/0!</v>
      </c>
      <c r="P13" s="71" t="e">
        <f t="shared" si="6"/>
        <v>#DIV/0!</v>
      </c>
      <c r="Q13" s="70" t="e">
        <f t="shared" si="7"/>
        <v>#DIV/0!</v>
      </c>
      <c r="R13" s="70" t="e">
        <f t="shared" si="8"/>
        <v>#DIV/0!</v>
      </c>
    </row>
    <row r="14" spans="1:20" x14ac:dyDescent="0.45">
      <c r="B14" s="745">
        <v>7528604190</v>
      </c>
      <c r="C14" s="751" t="s">
        <v>34</v>
      </c>
      <c r="D14" s="57">
        <v>200</v>
      </c>
      <c r="E14" s="58">
        <v>60</v>
      </c>
      <c r="F14" s="59">
        <f>'c111'!E20</f>
        <v>0</v>
      </c>
      <c r="G14" s="60">
        <f t="shared" si="0"/>
        <v>0</v>
      </c>
      <c r="H14" s="60">
        <f>30*BC!$B$47/E14</f>
        <v>0</v>
      </c>
      <c r="I14" s="60">
        <f t="shared" si="1"/>
        <v>0</v>
      </c>
      <c r="J14" s="60">
        <f t="shared" si="2"/>
        <v>0</v>
      </c>
      <c r="K14" s="65">
        <f t="shared" si="3"/>
        <v>0</v>
      </c>
      <c r="L14" s="61">
        <v>222</v>
      </c>
      <c r="M14" s="61">
        <f t="shared" si="4"/>
        <v>0</v>
      </c>
      <c r="N14" s="61">
        <f t="shared" si="5"/>
        <v>1.1100000000000001</v>
      </c>
      <c r="O14" s="804" t="e">
        <f>N14+$N$62+((BC!$F$125)/'c111 DETERMIACION'!$F$32)</f>
        <v>#DIV/0!</v>
      </c>
      <c r="P14" s="71" t="e">
        <f t="shared" si="6"/>
        <v>#DIV/0!</v>
      </c>
      <c r="Q14" s="70" t="e">
        <f t="shared" si="7"/>
        <v>#DIV/0!</v>
      </c>
      <c r="R14" s="70" t="e">
        <f t="shared" si="8"/>
        <v>#DIV/0!</v>
      </c>
    </row>
    <row r="15" spans="1:20" x14ac:dyDescent="0.45">
      <c r="A15" s="62"/>
      <c r="B15" s="747">
        <v>5401496190</v>
      </c>
      <c r="C15" s="740" t="s">
        <v>33</v>
      </c>
      <c r="D15" s="57">
        <v>200</v>
      </c>
      <c r="E15" s="58">
        <v>60</v>
      </c>
      <c r="F15" s="59">
        <f>'c111'!E21</f>
        <v>0</v>
      </c>
      <c r="G15" s="60">
        <f t="shared" si="0"/>
        <v>0</v>
      </c>
      <c r="H15" s="60">
        <f>30*BC!$B$47/E15</f>
        <v>0</v>
      </c>
      <c r="I15" s="60">
        <f t="shared" si="1"/>
        <v>0</v>
      </c>
      <c r="J15" s="60">
        <f t="shared" si="2"/>
        <v>0</v>
      </c>
      <c r="K15" s="65">
        <f t="shared" si="3"/>
        <v>0</v>
      </c>
      <c r="L15" s="61">
        <v>138</v>
      </c>
      <c r="M15" s="61">
        <f t="shared" si="4"/>
        <v>0</v>
      </c>
      <c r="N15" s="61">
        <f t="shared" si="5"/>
        <v>0.69</v>
      </c>
      <c r="O15" s="804" t="e">
        <f>N15+$N$62+((BC!$F$125)/'c111 DETERMIACION'!$F$32)</f>
        <v>#DIV/0!</v>
      </c>
      <c r="P15" s="71" t="e">
        <f t="shared" si="6"/>
        <v>#DIV/0!</v>
      </c>
      <c r="Q15" s="70" t="e">
        <f t="shared" si="7"/>
        <v>#DIV/0!</v>
      </c>
      <c r="R15" s="70" t="e">
        <f t="shared" si="8"/>
        <v>#DIV/0!</v>
      </c>
    </row>
    <row r="16" spans="1:20" x14ac:dyDescent="0.45">
      <c r="A16" s="62"/>
      <c r="B16" s="747">
        <v>5401704190</v>
      </c>
      <c r="C16" s="740" t="s">
        <v>32</v>
      </c>
      <c r="D16" s="57">
        <v>100</v>
      </c>
      <c r="E16" s="58">
        <v>60</v>
      </c>
      <c r="F16" s="59">
        <f>'c111'!E22</f>
        <v>0</v>
      </c>
      <c r="G16" s="60">
        <f t="shared" si="0"/>
        <v>0</v>
      </c>
      <c r="H16" s="60">
        <f>30*BC!$B$47/E16</f>
        <v>0</v>
      </c>
      <c r="I16" s="60">
        <f t="shared" si="1"/>
        <v>0</v>
      </c>
      <c r="J16" s="60">
        <f t="shared" si="2"/>
        <v>0</v>
      </c>
      <c r="K16" s="65">
        <f t="shared" si="3"/>
        <v>0</v>
      </c>
      <c r="L16" s="61">
        <v>132</v>
      </c>
      <c r="M16" s="61">
        <f t="shared" si="4"/>
        <v>0</v>
      </c>
      <c r="N16" s="61">
        <f t="shared" si="5"/>
        <v>1.32</v>
      </c>
      <c r="O16" s="804" t="e">
        <f>N16+$N$62+((BC!$F$125)/'c111 DETERMIACION'!$F$32)</f>
        <v>#DIV/0!</v>
      </c>
      <c r="P16" s="71" t="e">
        <f t="shared" si="6"/>
        <v>#DIV/0!</v>
      </c>
      <c r="Q16" s="70" t="e">
        <f t="shared" si="7"/>
        <v>#DIV/0!</v>
      </c>
      <c r="R16" s="70" t="e">
        <f t="shared" si="8"/>
        <v>#DIV/0!</v>
      </c>
    </row>
    <row r="17" spans="1:18" x14ac:dyDescent="0.45">
      <c r="A17" s="62"/>
      <c r="B17" s="747">
        <v>5401461190</v>
      </c>
      <c r="C17" s="741" t="s">
        <v>31</v>
      </c>
      <c r="D17" s="57">
        <v>200</v>
      </c>
      <c r="E17" s="58">
        <v>60</v>
      </c>
      <c r="F17" s="59">
        <f>'c111'!E23</f>
        <v>0</v>
      </c>
      <c r="G17" s="60">
        <f t="shared" si="0"/>
        <v>0</v>
      </c>
      <c r="H17" s="60">
        <f>30*BC!$B$47/E17</f>
        <v>0</v>
      </c>
      <c r="I17" s="60">
        <f t="shared" si="1"/>
        <v>0</v>
      </c>
      <c r="J17" s="60">
        <f t="shared" si="2"/>
        <v>0</v>
      </c>
      <c r="K17" s="65">
        <f t="shared" si="3"/>
        <v>0</v>
      </c>
      <c r="L17" s="61">
        <v>67</v>
      </c>
      <c r="M17" s="61">
        <f t="shared" si="4"/>
        <v>0</v>
      </c>
      <c r="N17" s="61">
        <f t="shared" si="5"/>
        <v>0.33500000000000002</v>
      </c>
      <c r="O17" s="804" t="e">
        <f>N17+$N$62+((BC!$F$125)/'c111 DETERMIACION'!$F$32)</f>
        <v>#DIV/0!</v>
      </c>
      <c r="P17" s="71" t="e">
        <f t="shared" si="6"/>
        <v>#DIV/0!</v>
      </c>
      <c r="Q17" s="70" t="e">
        <f t="shared" si="7"/>
        <v>#DIV/0!</v>
      </c>
      <c r="R17" s="70" t="e">
        <f t="shared" si="8"/>
        <v>#DIV/0!</v>
      </c>
    </row>
    <row r="18" spans="1:18" x14ac:dyDescent="0.45">
      <c r="A18" s="62"/>
      <c r="B18" s="748">
        <v>4657357190</v>
      </c>
      <c r="C18" s="742" t="s">
        <v>30</v>
      </c>
      <c r="D18" s="57">
        <v>400</v>
      </c>
      <c r="E18" s="58">
        <v>120</v>
      </c>
      <c r="F18" s="59">
        <f>'c111'!E24</f>
        <v>0</v>
      </c>
      <c r="G18" s="60">
        <f t="shared" si="0"/>
        <v>0</v>
      </c>
      <c r="H18" s="60">
        <f>30*BC!$B$47/E18</f>
        <v>0</v>
      </c>
      <c r="I18" s="60">
        <f t="shared" si="1"/>
        <v>0</v>
      </c>
      <c r="J18" s="60">
        <f t="shared" si="2"/>
        <v>0</v>
      </c>
      <c r="K18" s="65">
        <f t="shared" si="3"/>
        <v>0</v>
      </c>
      <c r="L18" s="61">
        <v>85</v>
      </c>
      <c r="M18" s="61">
        <f t="shared" si="4"/>
        <v>0</v>
      </c>
      <c r="N18" s="61">
        <f t="shared" si="5"/>
        <v>0.21249999999999999</v>
      </c>
      <c r="O18" s="804" t="e">
        <f>N18+$N$62+((BC!$F$125)/'c111 DETERMIACION'!$F$32)</f>
        <v>#DIV/0!</v>
      </c>
      <c r="P18" s="71" t="e">
        <f t="shared" si="6"/>
        <v>#DIV/0!</v>
      </c>
      <c r="Q18" s="70" t="e">
        <f t="shared" si="7"/>
        <v>#DIV/0!</v>
      </c>
      <c r="R18" s="70" t="e">
        <f t="shared" si="8"/>
        <v>#DIV/0!</v>
      </c>
    </row>
    <row r="19" spans="1:18" x14ac:dyDescent="0.45">
      <c r="A19" s="62"/>
      <c r="B19" s="745">
        <v>7005806190</v>
      </c>
      <c r="C19" s="751" t="s">
        <v>29</v>
      </c>
      <c r="D19" s="57">
        <v>100</v>
      </c>
      <c r="E19" s="58">
        <v>60</v>
      </c>
      <c r="F19" s="59">
        <f>'c111'!E25</f>
        <v>0</v>
      </c>
      <c r="G19" s="60">
        <f t="shared" si="0"/>
        <v>0</v>
      </c>
      <c r="H19" s="60">
        <f>30*BC!$B$47/E19</f>
        <v>0</v>
      </c>
      <c r="I19" s="60">
        <f t="shared" si="1"/>
        <v>0</v>
      </c>
      <c r="J19" s="60">
        <f t="shared" si="2"/>
        <v>0</v>
      </c>
      <c r="K19" s="65">
        <f t="shared" si="3"/>
        <v>0</v>
      </c>
      <c r="L19" s="61">
        <v>109</v>
      </c>
      <c r="M19" s="61">
        <f t="shared" si="4"/>
        <v>0</v>
      </c>
      <c r="N19" s="61">
        <f t="shared" si="5"/>
        <v>1.0900000000000001</v>
      </c>
      <c r="O19" s="804" t="e">
        <f>N19+$N$62+((BC!$F$125)/'c111 DETERMIACION'!$F$32)</f>
        <v>#DIV/0!</v>
      </c>
      <c r="P19" s="71" t="e">
        <f t="shared" si="6"/>
        <v>#DIV/0!</v>
      </c>
      <c r="Q19" s="70" t="e">
        <f t="shared" si="7"/>
        <v>#DIV/0!</v>
      </c>
      <c r="R19" s="70" t="e">
        <f t="shared" si="8"/>
        <v>#DIV/0!</v>
      </c>
    </row>
    <row r="20" spans="1:18" x14ac:dyDescent="0.45">
      <c r="A20" s="62"/>
      <c r="B20" s="746">
        <v>5061504190</v>
      </c>
      <c r="C20" s="743" t="s">
        <v>28</v>
      </c>
      <c r="D20" s="57">
        <v>400</v>
      </c>
      <c r="E20" s="58">
        <v>120</v>
      </c>
      <c r="F20" s="59">
        <f>'c111'!E26</f>
        <v>0</v>
      </c>
      <c r="G20" s="60">
        <f t="shared" si="0"/>
        <v>0</v>
      </c>
      <c r="H20" s="60">
        <f>30*BC!$B$47/E20</f>
        <v>0</v>
      </c>
      <c r="I20" s="60">
        <f t="shared" si="1"/>
        <v>0</v>
      </c>
      <c r="J20" s="60">
        <f t="shared" si="2"/>
        <v>0</v>
      </c>
      <c r="K20" s="65">
        <f t="shared" si="3"/>
        <v>0</v>
      </c>
      <c r="L20" s="61">
        <v>169</v>
      </c>
      <c r="M20" s="61">
        <f t="shared" si="4"/>
        <v>0</v>
      </c>
      <c r="N20" s="61">
        <f t="shared" si="5"/>
        <v>0.42249999999999999</v>
      </c>
      <c r="O20" s="804" t="e">
        <f>N20+$N$62+((BC!$F$125)/'c111 DETERMIACION'!$F$32)</f>
        <v>#DIV/0!</v>
      </c>
      <c r="P20" s="71" t="e">
        <f t="shared" si="6"/>
        <v>#DIV/0!</v>
      </c>
      <c r="Q20" s="70" t="e">
        <f t="shared" si="7"/>
        <v>#DIV/0!</v>
      </c>
      <c r="R20" s="70" t="e">
        <f t="shared" si="8"/>
        <v>#DIV/0!</v>
      </c>
    </row>
    <row r="21" spans="1:18" x14ac:dyDescent="0.45">
      <c r="A21" s="62"/>
      <c r="B21" s="746">
        <v>7442017190</v>
      </c>
      <c r="C21" s="743" t="s">
        <v>27</v>
      </c>
      <c r="D21" s="57">
        <v>200</v>
      </c>
      <c r="E21" s="58">
        <v>60</v>
      </c>
      <c r="F21" s="59">
        <f>'c111'!E27</f>
        <v>0</v>
      </c>
      <c r="G21" s="60">
        <f t="shared" si="0"/>
        <v>0</v>
      </c>
      <c r="H21" s="60">
        <f>30*BC!$B$47/E21</f>
        <v>0</v>
      </c>
      <c r="I21" s="60">
        <f t="shared" si="1"/>
        <v>0</v>
      </c>
      <c r="J21" s="60">
        <f t="shared" si="2"/>
        <v>0</v>
      </c>
      <c r="K21" s="65">
        <f t="shared" si="3"/>
        <v>0</v>
      </c>
      <c r="L21" s="61">
        <v>140</v>
      </c>
      <c r="M21" s="61">
        <f t="shared" si="4"/>
        <v>0</v>
      </c>
      <c r="N21" s="61">
        <f t="shared" si="5"/>
        <v>0.7</v>
      </c>
      <c r="O21" s="804" t="e">
        <f>N21+$N$62+((BC!$F$125)/'c111 DETERMIACION'!$F$32)</f>
        <v>#DIV/0!</v>
      </c>
      <c r="P21" s="71" t="e">
        <f t="shared" si="6"/>
        <v>#DIV/0!</v>
      </c>
      <c r="Q21" s="70" t="e">
        <f t="shared" si="7"/>
        <v>#DIV/0!</v>
      </c>
      <c r="R21" s="70" t="e">
        <f t="shared" si="8"/>
        <v>#DIV/0!</v>
      </c>
    </row>
    <row r="22" spans="1:18" x14ac:dyDescent="0.45">
      <c r="A22" s="62"/>
      <c r="B22" s="746">
        <v>5401674190</v>
      </c>
      <c r="C22" s="743" t="s">
        <v>26</v>
      </c>
      <c r="D22" s="57">
        <v>100</v>
      </c>
      <c r="E22" s="58">
        <v>60</v>
      </c>
      <c r="F22" s="59">
        <f>'c111'!E28</f>
        <v>0</v>
      </c>
      <c r="G22" s="60">
        <f t="shared" si="0"/>
        <v>0</v>
      </c>
      <c r="H22" s="60">
        <f>30*BC!$B$47/E22</f>
        <v>0</v>
      </c>
      <c r="I22" s="60">
        <f t="shared" si="1"/>
        <v>0</v>
      </c>
      <c r="J22" s="60">
        <f t="shared" si="2"/>
        <v>0</v>
      </c>
      <c r="K22" s="65">
        <f t="shared" si="3"/>
        <v>0</v>
      </c>
      <c r="L22" s="61">
        <v>128</v>
      </c>
      <c r="M22" s="61">
        <f t="shared" si="4"/>
        <v>0</v>
      </c>
      <c r="N22" s="61">
        <f t="shared" si="5"/>
        <v>1.28</v>
      </c>
      <c r="O22" s="804" t="e">
        <f>N22+$N$62+((BC!$F$125)/'c111 DETERMIACION'!$F$32)</f>
        <v>#DIV/0!</v>
      </c>
      <c r="P22" s="71" t="e">
        <f t="shared" si="6"/>
        <v>#DIV/0!</v>
      </c>
      <c r="Q22" s="70" t="e">
        <f t="shared" si="7"/>
        <v>#DIV/0!</v>
      </c>
      <c r="R22" s="70" t="e">
        <f t="shared" si="8"/>
        <v>#DIV/0!</v>
      </c>
    </row>
    <row r="23" spans="1:18" x14ac:dyDescent="0.45">
      <c r="A23" s="62"/>
      <c r="B23" s="755">
        <v>5336180190</v>
      </c>
      <c r="C23" s="752" t="s">
        <v>25</v>
      </c>
      <c r="D23" s="57">
        <v>200</v>
      </c>
      <c r="E23" s="58">
        <v>60</v>
      </c>
      <c r="F23" s="59">
        <f>'c111'!E29</f>
        <v>0</v>
      </c>
      <c r="G23" s="60">
        <f t="shared" si="0"/>
        <v>0</v>
      </c>
      <c r="H23" s="60">
        <f>30*BC!$B$47/E23</f>
        <v>0</v>
      </c>
      <c r="I23" s="60">
        <f t="shared" si="1"/>
        <v>0</v>
      </c>
      <c r="J23" s="60">
        <f t="shared" si="2"/>
        <v>0</v>
      </c>
      <c r="K23" s="65">
        <f t="shared" si="3"/>
        <v>0</v>
      </c>
      <c r="L23" s="61">
        <v>310</v>
      </c>
      <c r="M23" s="61">
        <f t="shared" si="4"/>
        <v>0</v>
      </c>
      <c r="N23" s="61">
        <f t="shared" si="5"/>
        <v>1.55</v>
      </c>
      <c r="O23" s="804" t="e">
        <f>N23+$N$62+((BC!$F$125)/'c111 DETERMIACION'!$F$32)</f>
        <v>#DIV/0!</v>
      </c>
      <c r="P23" s="71" t="e">
        <f t="shared" si="6"/>
        <v>#DIV/0!</v>
      </c>
      <c r="Q23" s="70" t="e">
        <f t="shared" si="7"/>
        <v>#DIV/0!</v>
      </c>
      <c r="R23" s="70" t="e">
        <f t="shared" si="8"/>
        <v>#DIV/0!</v>
      </c>
    </row>
    <row r="24" spans="1:18" x14ac:dyDescent="0.45">
      <c r="A24" s="62"/>
      <c r="B24" s="746">
        <v>5401658190</v>
      </c>
      <c r="C24" s="743" t="s">
        <v>24</v>
      </c>
      <c r="D24" s="57">
        <v>100</v>
      </c>
      <c r="E24" s="58">
        <v>60</v>
      </c>
      <c r="F24" s="59">
        <f>'c111'!E30</f>
        <v>0</v>
      </c>
      <c r="G24" s="60">
        <f t="shared" si="0"/>
        <v>0</v>
      </c>
      <c r="H24" s="60">
        <f>30*BC!$B$47/E24</f>
        <v>0</v>
      </c>
      <c r="I24" s="60">
        <f t="shared" si="1"/>
        <v>0</v>
      </c>
      <c r="J24" s="60">
        <f t="shared" si="2"/>
        <v>0</v>
      </c>
      <c r="K24" s="65">
        <f t="shared" si="3"/>
        <v>0</v>
      </c>
      <c r="L24" s="61">
        <v>87</v>
      </c>
      <c r="M24" s="61">
        <f t="shared" si="4"/>
        <v>0</v>
      </c>
      <c r="N24" s="61">
        <f t="shared" si="5"/>
        <v>0.87</v>
      </c>
      <c r="O24" s="804" t="e">
        <f>N24+$N$62+((BC!$F$125)/'c111 DETERMIACION'!$F$32)</f>
        <v>#DIV/0!</v>
      </c>
      <c r="P24" s="71" t="e">
        <f t="shared" si="6"/>
        <v>#DIV/0!</v>
      </c>
      <c r="Q24" s="70" t="e">
        <f t="shared" si="7"/>
        <v>#DIV/0!</v>
      </c>
      <c r="R24" s="70" t="e">
        <f t="shared" si="8"/>
        <v>#DIV/0!</v>
      </c>
    </row>
    <row r="25" spans="1:18" x14ac:dyDescent="0.45">
      <c r="A25" s="62"/>
      <c r="B25" s="746">
        <v>4657586190</v>
      </c>
      <c r="C25" s="743" t="s">
        <v>23</v>
      </c>
      <c r="D25" s="57">
        <v>400</v>
      </c>
      <c r="E25" s="58">
        <v>120</v>
      </c>
      <c r="F25" s="59">
        <f>'c111'!E31</f>
        <v>0</v>
      </c>
      <c r="G25" s="60">
        <f t="shared" si="0"/>
        <v>0</v>
      </c>
      <c r="H25" s="60">
        <f>30*BC!$B$47/E25</f>
        <v>0</v>
      </c>
      <c r="I25" s="60">
        <f t="shared" si="1"/>
        <v>0</v>
      </c>
      <c r="J25" s="60">
        <f t="shared" si="2"/>
        <v>0</v>
      </c>
      <c r="K25" s="65">
        <f t="shared" si="3"/>
        <v>0</v>
      </c>
      <c r="L25" s="61">
        <v>80</v>
      </c>
      <c r="M25" s="61">
        <f t="shared" si="4"/>
        <v>0</v>
      </c>
      <c r="N25" s="61">
        <f t="shared" si="5"/>
        <v>0.2</v>
      </c>
      <c r="O25" s="804" t="e">
        <f>N25+$N$62+((BC!$F$125)/'c111 DETERMIACION'!$F$32)</f>
        <v>#DIV/0!</v>
      </c>
      <c r="P25" s="71" t="e">
        <f t="shared" si="6"/>
        <v>#DIV/0!</v>
      </c>
      <c r="Q25" s="70" t="e">
        <f t="shared" si="7"/>
        <v>#DIV/0!</v>
      </c>
      <c r="R25" s="70" t="e">
        <f t="shared" si="8"/>
        <v>#DIV/0!</v>
      </c>
    </row>
    <row r="26" spans="1:18" x14ac:dyDescent="0.45">
      <c r="A26" s="62"/>
      <c r="B26" s="746">
        <v>7876432190</v>
      </c>
      <c r="C26" s="756" t="s">
        <v>22</v>
      </c>
      <c r="D26" s="57">
        <v>200</v>
      </c>
      <c r="E26" s="58">
        <v>60</v>
      </c>
      <c r="F26" s="59">
        <f>'c111'!E32</f>
        <v>0</v>
      </c>
      <c r="G26" s="60">
        <f t="shared" si="0"/>
        <v>0</v>
      </c>
      <c r="H26" s="60">
        <f>30*BC!$B$47/E26</f>
        <v>0</v>
      </c>
      <c r="I26" s="60">
        <f t="shared" si="1"/>
        <v>0</v>
      </c>
      <c r="J26" s="60">
        <f t="shared" si="2"/>
        <v>0</v>
      </c>
      <c r="K26" s="65">
        <f t="shared" si="3"/>
        <v>0</v>
      </c>
      <c r="L26" s="61">
        <v>180</v>
      </c>
      <c r="M26" s="61">
        <f t="shared" si="4"/>
        <v>0</v>
      </c>
      <c r="N26" s="61">
        <f t="shared" si="5"/>
        <v>0.9</v>
      </c>
      <c r="O26" s="804" t="e">
        <f>N26+$N$62+((BC!$F$125)/'c111 DETERMIACION'!$F$32)</f>
        <v>#DIV/0!</v>
      </c>
      <c r="P26" s="71" t="e">
        <f t="shared" si="6"/>
        <v>#DIV/0!</v>
      </c>
      <c r="Q26" s="70" t="e">
        <f t="shared" si="7"/>
        <v>#DIV/0!</v>
      </c>
      <c r="R26" s="70" t="e">
        <f t="shared" si="8"/>
        <v>#DIV/0!</v>
      </c>
    </row>
    <row r="27" spans="1:18" x14ac:dyDescent="0.45">
      <c r="A27" s="62"/>
      <c r="B27" s="767">
        <v>5077753190</v>
      </c>
      <c r="C27" s="766" t="s">
        <v>21</v>
      </c>
      <c r="D27" s="57">
        <v>200</v>
      </c>
      <c r="E27" s="58">
        <v>120</v>
      </c>
      <c r="F27" s="59">
        <f>'c111'!E33</f>
        <v>0</v>
      </c>
      <c r="G27" s="60">
        <f t="shared" si="0"/>
        <v>0</v>
      </c>
      <c r="H27" s="60">
        <f>30*BC!$B$47/E27</f>
        <v>0</v>
      </c>
      <c r="I27" s="60">
        <f t="shared" si="1"/>
        <v>0</v>
      </c>
      <c r="J27" s="60">
        <f t="shared" si="2"/>
        <v>0</v>
      </c>
      <c r="K27" s="65">
        <f t="shared" si="3"/>
        <v>0</v>
      </c>
      <c r="L27" s="61">
        <v>1015</v>
      </c>
      <c r="M27" s="61">
        <f t="shared" si="4"/>
        <v>0</v>
      </c>
      <c r="N27" s="61">
        <f>L27/D27</f>
        <v>5.0750000000000002</v>
      </c>
      <c r="O27" s="804" t="e">
        <f>N27+$N$62+((BC!$F$125)/'c111 DETERMIACION'!$F$32)</f>
        <v>#DIV/0!</v>
      </c>
      <c r="P27" s="71" t="e">
        <f t="shared" si="6"/>
        <v>#DIV/0!</v>
      </c>
      <c r="Q27" s="70" t="e">
        <f t="shared" si="7"/>
        <v>#DIV/0!</v>
      </c>
      <c r="R27" s="70" t="e">
        <f t="shared" si="8"/>
        <v>#DIV/0!</v>
      </c>
    </row>
    <row r="28" spans="1:18" x14ac:dyDescent="0.45">
      <c r="A28" s="62"/>
      <c r="B28" s="746">
        <v>5401780190</v>
      </c>
      <c r="C28" s="743" t="s">
        <v>20</v>
      </c>
      <c r="D28" s="57">
        <v>100</v>
      </c>
      <c r="E28" s="58">
        <v>60</v>
      </c>
      <c r="F28" s="59">
        <f>'c111'!E34</f>
        <v>0</v>
      </c>
      <c r="G28" s="60">
        <f t="shared" si="0"/>
        <v>0</v>
      </c>
      <c r="H28" s="60">
        <f>30*BC!$B$47/E28</f>
        <v>0</v>
      </c>
      <c r="I28" s="60">
        <f t="shared" si="1"/>
        <v>0</v>
      </c>
      <c r="J28" s="60">
        <f t="shared" si="2"/>
        <v>0</v>
      </c>
      <c r="K28" s="65">
        <f t="shared" si="3"/>
        <v>0</v>
      </c>
      <c r="L28" s="61">
        <v>136</v>
      </c>
      <c r="M28" s="61">
        <f t="shared" si="4"/>
        <v>0</v>
      </c>
      <c r="N28" s="61">
        <f t="shared" si="5"/>
        <v>1.36</v>
      </c>
      <c r="O28" s="804" t="e">
        <f>N28+$N$62+((BC!$F$125)/'c111 DETERMIACION'!$F$32)</f>
        <v>#DIV/0!</v>
      </c>
      <c r="P28" s="71" t="e">
        <f t="shared" si="6"/>
        <v>#DIV/0!</v>
      </c>
      <c r="Q28" s="70" t="e">
        <f t="shared" si="7"/>
        <v>#DIV/0!</v>
      </c>
      <c r="R28" s="70" t="e">
        <f t="shared" si="8"/>
        <v>#DIV/0!</v>
      </c>
    </row>
    <row r="29" spans="1:18" ht="15" customHeight="1" x14ac:dyDescent="0.45">
      <c r="B29" s="761">
        <v>5401739190</v>
      </c>
      <c r="C29" s="759" t="s">
        <v>1083</v>
      </c>
      <c r="D29" s="57">
        <v>100</v>
      </c>
      <c r="E29" s="58">
        <v>56</v>
      </c>
      <c r="F29" s="59">
        <f>'c111'!E35</f>
        <v>0</v>
      </c>
      <c r="G29" s="60">
        <f t="shared" ref="G29" si="9">F29/D29</f>
        <v>0</v>
      </c>
      <c r="H29" s="60">
        <f>30*BC!$B$47/E29</f>
        <v>0</v>
      </c>
      <c r="I29" s="60">
        <f t="shared" ref="I29" si="10">IF(H29&gt;G29,H29,G29)</f>
        <v>0</v>
      </c>
      <c r="J29" s="60">
        <f t="shared" ref="J29" si="11">IF(G29=0,0,I29)</f>
        <v>0</v>
      </c>
      <c r="K29" s="65">
        <f t="shared" ref="K29" si="12">ROUNDUP(J29,0)</f>
        <v>0</v>
      </c>
      <c r="L29" s="61">
        <v>221</v>
      </c>
      <c r="M29" s="61">
        <f t="shared" ref="M29" si="13">L29*K29</f>
        <v>0</v>
      </c>
      <c r="N29" s="61">
        <f t="shared" ref="N29" si="14">L29/D29</f>
        <v>2.21</v>
      </c>
      <c r="O29" s="804" t="e">
        <f>N29+$N$62+((BC!$F$125)/'c111 DETERMIACION'!$F$32)</f>
        <v>#DIV/0!</v>
      </c>
      <c r="P29" s="71" t="e">
        <f t="shared" ref="P29" si="15">O29*F29</f>
        <v>#DIV/0!</v>
      </c>
      <c r="Q29" s="70" t="e">
        <f t="shared" ref="Q29" si="16">((O29*0.15)+O29)</f>
        <v>#DIV/0!</v>
      </c>
      <c r="R29" s="70" t="e">
        <f t="shared" ref="R29" si="17">Q29*F29</f>
        <v>#DIV/0!</v>
      </c>
    </row>
    <row r="30" spans="1:18" ht="15" customHeight="1" x14ac:dyDescent="0.45">
      <c r="B30" s="745">
        <v>8900019190</v>
      </c>
      <c r="C30" s="743" t="s">
        <v>1129</v>
      </c>
      <c r="D30" s="57">
        <v>100</v>
      </c>
      <c r="E30" s="58">
        <v>56</v>
      </c>
      <c r="F30" s="59">
        <f>'c111'!E36</f>
        <v>0</v>
      </c>
      <c r="G30" s="60">
        <f t="shared" ref="G30" si="18">F30/D30</f>
        <v>0</v>
      </c>
      <c r="H30" s="60">
        <f>30*BC!$B$47/E30</f>
        <v>0</v>
      </c>
      <c r="I30" s="60">
        <f t="shared" ref="I30" si="19">IF(H30&gt;G30,H30,G30)</f>
        <v>0</v>
      </c>
      <c r="J30" s="60">
        <f t="shared" ref="J30" si="20">IF(G30=0,0,I30)</f>
        <v>0</v>
      </c>
      <c r="K30" s="65">
        <f t="shared" ref="K30" si="21">ROUNDUP(J30,0)</f>
        <v>0</v>
      </c>
      <c r="L30" s="61">
        <v>90</v>
      </c>
      <c r="M30" s="61">
        <f t="shared" ref="M30" si="22">L30*K30</f>
        <v>0</v>
      </c>
      <c r="N30" s="61">
        <f t="shared" ref="N30" si="23">L30/D30</f>
        <v>0.9</v>
      </c>
      <c r="O30" s="804" t="e">
        <f>N30+$N$62+((BC!$F$125)/'c111 DETERMIACION'!$F$32)</f>
        <v>#DIV/0!</v>
      </c>
      <c r="P30" s="71" t="e">
        <f t="shared" ref="P30" si="24">O30*F30</f>
        <v>#DIV/0!</v>
      </c>
      <c r="Q30" s="70" t="e">
        <f t="shared" ref="Q30" si="25">((O30*0.15)+O30)</f>
        <v>#DIV/0!</v>
      </c>
      <c r="R30" s="70" t="e">
        <f t="shared" ref="R30" si="26">Q30*F30</f>
        <v>#DIV/0!</v>
      </c>
    </row>
    <row r="31" spans="1:18" ht="15" customHeight="1" x14ac:dyDescent="0.45">
      <c r="A31" s="75"/>
      <c r="B31" s="762">
        <v>7442050190</v>
      </c>
      <c r="C31" s="763" t="s">
        <v>174</v>
      </c>
      <c r="D31" s="77">
        <v>100</v>
      </c>
      <c r="E31" s="77">
        <v>60</v>
      </c>
      <c r="F31" s="59">
        <f>'c111'!E37</f>
        <v>0</v>
      </c>
      <c r="G31" s="60">
        <f t="shared" ref="G31" si="27">F31/D31</f>
        <v>0</v>
      </c>
      <c r="H31" s="60">
        <f>30*BC!$B$47/E31</f>
        <v>0</v>
      </c>
      <c r="I31" s="60">
        <f t="shared" ref="I31" si="28">IF(H31&gt;G31,H31,G31)</f>
        <v>0</v>
      </c>
      <c r="J31" s="60">
        <f t="shared" ref="J31" si="29">IF(G31=0,0,I31)</f>
        <v>0</v>
      </c>
      <c r="K31" s="65">
        <f t="shared" ref="K31" si="30">ROUNDUP(J31,0)</f>
        <v>0</v>
      </c>
      <c r="L31" s="78">
        <v>164</v>
      </c>
      <c r="M31" s="78">
        <f t="shared" si="4"/>
        <v>0</v>
      </c>
      <c r="N31" s="78">
        <f t="shared" si="5"/>
        <v>1.64</v>
      </c>
      <c r="O31" s="804" t="e">
        <f>N31+$N$62+((BC!$F$125)/'c111 DETERMIACION'!$F$32)</f>
        <v>#DIV/0!</v>
      </c>
      <c r="P31" s="71" t="e">
        <f t="shared" ref="P31" si="31">O31*F31</f>
        <v>#DIV/0!</v>
      </c>
      <c r="Q31" s="70" t="e">
        <f t="shared" ref="Q31" si="32">((O31*0.15)+O31)</f>
        <v>#DIV/0!</v>
      </c>
      <c r="R31" s="70" t="e">
        <f t="shared" ref="R31" si="33">Q31*F31</f>
        <v>#DIV/0!</v>
      </c>
    </row>
    <row r="32" spans="1:18" x14ac:dyDescent="0.45">
      <c r="B32" s="14"/>
      <c r="C32" s="15"/>
      <c r="D32" s="13" t="s">
        <v>19</v>
      </c>
      <c r="E32" s="13"/>
      <c r="F32" s="52">
        <f>SUM(F3:F31)</f>
        <v>0</v>
      </c>
      <c r="G32" s="53"/>
      <c r="H32" s="53"/>
      <c r="I32" s="53"/>
      <c r="J32" s="53"/>
      <c r="K32" s="53"/>
      <c r="L32" s="53"/>
      <c r="M32" s="53"/>
      <c r="N32" s="53"/>
      <c r="O32" s="53"/>
    </row>
    <row r="33" spans="2:16" x14ac:dyDescent="0.45">
      <c r="B33" s="11" t="s">
        <v>18</v>
      </c>
      <c r="C33" s="12"/>
      <c r="D33" s="10"/>
      <c r="E33" s="9"/>
      <c r="F33" s="8"/>
      <c r="G33" s="7"/>
      <c r="H33" s="6"/>
      <c r="I33" s="6"/>
      <c r="J33" s="66"/>
      <c r="K33" s="106" t="s">
        <v>166</v>
      </c>
      <c r="L33" s="106" t="s">
        <v>167</v>
      </c>
      <c r="M33" s="106" t="s">
        <v>1085</v>
      </c>
      <c r="N33" s="106" t="s">
        <v>168</v>
      </c>
      <c r="O33" s="151" t="s">
        <v>318</v>
      </c>
      <c r="P33" s="151" t="s">
        <v>319</v>
      </c>
    </row>
    <row r="34" spans="2:16" x14ac:dyDescent="0.45">
      <c r="B34" s="395">
        <v>10759350190</v>
      </c>
      <c r="C34" s="443" t="s">
        <v>17</v>
      </c>
      <c r="D34" s="1">
        <v>12</v>
      </c>
      <c r="E34" s="16">
        <v>28</v>
      </c>
      <c r="F34" s="1"/>
      <c r="G34" s="22">
        <f>(A4/(0.005*400)/3000)</f>
        <v>0</v>
      </c>
      <c r="H34" s="1">
        <f>30*BC!$B$47/E34</f>
        <v>0</v>
      </c>
      <c r="I34" s="63">
        <f>IF(G34&gt;H34,G34,H34)</f>
        <v>0</v>
      </c>
      <c r="J34" s="67">
        <f>ROUNDUP(I34,0)</f>
        <v>0</v>
      </c>
      <c r="K34" s="65">
        <f>IF(A4&gt;0,J34,0)</f>
        <v>0</v>
      </c>
      <c r="L34" s="61">
        <f>M34/D34</f>
        <v>12</v>
      </c>
      <c r="M34" s="61">
        <v>144</v>
      </c>
      <c r="N34" s="74">
        <f>L34*K34</f>
        <v>0</v>
      </c>
      <c r="O34" s="57">
        <f t="shared" ref="O34:O39" si="34">K34/D34</f>
        <v>0</v>
      </c>
      <c r="P34" s="57">
        <f>ROUNDUP(O34,0)</f>
        <v>0</v>
      </c>
    </row>
    <row r="35" spans="2:16" x14ac:dyDescent="0.45">
      <c r="B35" s="395">
        <v>12172623122</v>
      </c>
      <c r="C35" s="751" t="s">
        <v>16</v>
      </c>
      <c r="D35" s="1">
        <v>3</v>
      </c>
      <c r="E35" s="16">
        <v>28</v>
      </c>
      <c r="F35" s="1"/>
      <c r="G35" s="1">
        <f>(A10*(0.008*(350/1000)))</f>
        <v>0</v>
      </c>
      <c r="H35" s="1">
        <f>30*BC!$B$47/E35</f>
        <v>0</v>
      </c>
      <c r="I35" s="63">
        <f>IF(G35&gt;H35,G35,H35)</f>
        <v>0</v>
      </c>
      <c r="J35" s="67">
        <f>ROUNDUP(I35,0)</f>
        <v>0</v>
      </c>
      <c r="K35" s="65">
        <f>IF(A10&gt;0,J35,0)</f>
        <v>0</v>
      </c>
      <c r="L35" s="61">
        <f t="shared" ref="L35:L40" si="35">M35/D35</f>
        <v>31</v>
      </c>
      <c r="M35" s="61">
        <v>93</v>
      </c>
      <c r="N35" s="74">
        <f t="shared" ref="N35:N60" si="36">L35*K35</f>
        <v>0</v>
      </c>
      <c r="O35" s="57">
        <f t="shared" si="34"/>
        <v>0</v>
      </c>
      <c r="P35" s="57">
        <f t="shared" ref="P35:P59" si="37">ROUNDUP(O35,0)</f>
        <v>0</v>
      </c>
    </row>
    <row r="36" spans="2:16" x14ac:dyDescent="0.45">
      <c r="B36" s="398">
        <v>11355279216</v>
      </c>
      <c r="C36" s="757" t="s">
        <v>652</v>
      </c>
      <c r="D36" s="1">
        <v>5</v>
      </c>
      <c r="E36" s="16">
        <v>28</v>
      </c>
      <c r="F36" s="1"/>
      <c r="G36" s="1">
        <f>(F26*(0.014*(500/2000)))</f>
        <v>0</v>
      </c>
      <c r="H36" s="1">
        <f>30*BC!$B$47/E36</f>
        <v>0</v>
      </c>
      <c r="I36" s="63">
        <f>IF(G36&gt;H36,G36,H36)</f>
        <v>0</v>
      </c>
      <c r="J36" s="67">
        <f>ROUNDUP(I36,0)</f>
        <v>0</v>
      </c>
      <c r="K36" s="65">
        <f>IF(F26&gt;0,J36,0)</f>
        <v>0</v>
      </c>
      <c r="L36" s="61">
        <f t="shared" si="35"/>
        <v>29.8</v>
      </c>
      <c r="M36" s="61">
        <v>149</v>
      </c>
      <c r="N36" s="74">
        <f t="shared" si="36"/>
        <v>0</v>
      </c>
      <c r="O36" s="57">
        <f t="shared" si="34"/>
        <v>0</v>
      </c>
      <c r="P36" s="57">
        <f t="shared" si="37"/>
        <v>0</v>
      </c>
    </row>
    <row r="37" spans="2:16" x14ac:dyDescent="0.45">
      <c r="B37" s="398">
        <v>4528417190</v>
      </c>
      <c r="C37" s="752" t="s">
        <v>15</v>
      </c>
      <c r="D37" s="1">
        <v>3</v>
      </c>
      <c r="E37" s="16">
        <v>84</v>
      </c>
      <c r="F37" s="1"/>
      <c r="G37" s="1">
        <f>(F23*(0.014*(500/2000)))</f>
        <v>0</v>
      </c>
      <c r="H37" s="1">
        <f>30*BC!$B$47/E37</f>
        <v>0</v>
      </c>
      <c r="I37" s="63">
        <f t="shared" ref="I37:I39" si="38">IF(G37&gt;H37,G37,H37)</f>
        <v>0</v>
      </c>
      <c r="J37" s="67">
        <f>ROUNDUP(I37,0)</f>
        <v>0</v>
      </c>
      <c r="K37" s="65">
        <f>IF(F23&gt;0,J37,0)</f>
        <v>0</v>
      </c>
      <c r="L37" s="61">
        <f t="shared" si="35"/>
        <v>150.33333333333334</v>
      </c>
      <c r="M37" s="61">
        <v>451</v>
      </c>
      <c r="N37" s="74">
        <f t="shared" si="36"/>
        <v>0</v>
      </c>
      <c r="O37" s="57">
        <f t="shared" si="34"/>
        <v>0</v>
      </c>
      <c r="P37" s="57">
        <f t="shared" si="37"/>
        <v>0</v>
      </c>
    </row>
    <row r="38" spans="2:16" ht="15" customHeight="1" x14ac:dyDescent="0.45">
      <c r="B38" s="690">
        <v>20751995190</v>
      </c>
      <c r="C38" s="758" t="s">
        <v>256</v>
      </c>
      <c r="D38" s="1">
        <v>2</v>
      </c>
      <c r="E38" s="16">
        <v>56</v>
      </c>
      <c r="F38" s="1"/>
      <c r="G38" s="1">
        <f>(F29*(0.014*(500/2000)))</f>
        <v>0</v>
      </c>
      <c r="H38" s="1">
        <f>30*BC!$B$47/E38</f>
        <v>0</v>
      </c>
      <c r="I38" s="63">
        <f t="shared" ref="I38" si="39">IF(G38&gt;H38,G38,H38)</f>
        <v>0</v>
      </c>
      <c r="J38" s="67">
        <f>ROUNDUP(I38,0)</f>
        <v>0</v>
      </c>
      <c r="K38" s="65">
        <f>IF(F24&gt;0,J38,0)</f>
        <v>0</v>
      </c>
      <c r="L38" s="61">
        <f t="shared" ref="L38" si="40">M38/D38</f>
        <v>313.5</v>
      </c>
      <c r="M38" s="61">
        <v>627</v>
      </c>
      <c r="N38" s="74">
        <f t="shared" si="36"/>
        <v>0</v>
      </c>
      <c r="O38" s="57">
        <f t="shared" si="34"/>
        <v>0</v>
      </c>
      <c r="P38" s="57">
        <f t="shared" ref="P38" si="41">ROUNDUP(O38,0)</f>
        <v>0</v>
      </c>
    </row>
    <row r="39" spans="2:16" x14ac:dyDescent="0.45">
      <c r="B39" s="398">
        <v>5050901190</v>
      </c>
      <c r="C39" s="766" t="s">
        <v>14</v>
      </c>
      <c r="D39" s="1">
        <v>1</v>
      </c>
      <c r="E39" s="16">
        <v>84</v>
      </c>
      <c r="F39" s="1"/>
      <c r="G39" s="1">
        <f>(F27*(0.014*(500/2000)))</f>
        <v>0</v>
      </c>
      <c r="H39" s="1">
        <f>30*BC!$B$47/E39</f>
        <v>0</v>
      </c>
      <c r="I39" s="63">
        <f t="shared" si="38"/>
        <v>0</v>
      </c>
      <c r="J39" s="67">
        <f t="shared" ref="J39" si="42">ROUNDUP(I39,0)</f>
        <v>0</v>
      </c>
      <c r="K39" s="65">
        <f>IF(F27&gt;0,J39,0)</f>
        <v>0</v>
      </c>
      <c r="L39" s="61">
        <f t="shared" si="35"/>
        <v>282</v>
      </c>
      <c r="M39" s="61">
        <v>282</v>
      </c>
      <c r="N39" s="74">
        <f t="shared" si="36"/>
        <v>0</v>
      </c>
      <c r="O39" s="57">
        <f t="shared" si="34"/>
        <v>0</v>
      </c>
      <c r="P39" s="57">
        <f t="shared" si="37"/>
        <v>0</v>
      </c>
    </row>
    <row r="40" spans="2:16" x14ac:dyDescent="0.45">
      <c r="B40" s="398">
        <v>11447394216</v>
      </c>
      <c r="C40" s="764" t="s">
        <v>1096</v>
      </c>
      <c r="D40" s="1">
        <v>3</v>
      </c>
      <c r="E40" s="194">
        <v>28</v>
      </c>
      <c r="F40" s="1"/>
      <c r="G40" s="1">
        <f>(F31*(0.014*(500/2000)))</f>
        <v>0</v>
      </c>
      <c r="H40" s="1">
        <f>30*BC!$B$47/E40</f>
        <v>0</v>
      </c>
      <c r="I40" s="63">
        <f t="shared" ref="I40" si="43">IF(G40&gt;H40,G40,H40)</f>
        <v>0</v>
      </c>
      <c r="J40" s="67">
        <f t="shared" ref="J40" si="44">ROUNDUP(I40,0)</f>
        <v>0</v>
      </c>
      <c r="K40" s="65">
        <f>IF(F28&gt;0,J40,0)</f>
        <v>0</v>
      </c>
      <c r="L40" s="61">
        <f t="shared" si="35"/>
        <v>25.333333333333332</v>
      </c>
      <c r="M40" s="61">
        <v>76</v>
      </c>
      <c r="N40" s="74">
        <f t="shared" ref="N40" si="45">L40*K40</f>
        <v>0</v>
      </c>
      <c r="O40" s="57">
        <f t="shared" ref="O40" si="46">K40/D40</f>
        <v>0</v>
      </c>
      <c r="P40" s="57">
        <f t="shared" ref="P40" si="47">ROUNDUP(O40,0)</f>
        <v>0</v>
      </c>
    </row>
    <row r="41" spans="2:16" x14ac:dyDescent="0.45">
      <c r="B41" s="4" t="s">
        <v>13</v>
      </c>
      <c r="C41" s="5"/>
      <c r="D41" s="3"/>
      <c r="E41" s="20"/>
      <c r="F41" s="3"/>
      <c r="G41" s="3"/>
      <c r="H41" s="3"/>
      <c r="I41" s="64"/>
      <c r="J41" s="68"/>
      <c r="K41" s="107"/>
      <c r="L41" s="108"/>
      <c r="M41" s="108"/>
      <c r="N41" s="108"/>
      <c r="O41" s="108"/>
      <c r="P41" s="108"/>
    </row>
    <row r="42" spans="2:16" x14ac:dyDescent="0.45">
      <c r="B42" s="404">
        <v>5947626190</v>
      </c>
      <c r="C42" s="768" t="s">
        <v>12</v>
      </c>
      <c r="D42" s="1">
        <v>4</v>
      </c>
      <c r="E42" s="16">
        <v>14</v>
      </c>
      <c r="F42" s="1"/>
      <c r="G42" s="1">
        <f>(A7/(0.003*350)/5000)</f>
        <v>0</v>
      </c>
      <c r="H42" s="1">
        <f>30*BC!$B$47/E42</f>
        <v>0</v>
      </c>
      <c r="I42" s="63">
        <f>IF(G42&gt;H42,G42,H42)</f>
        <v>0</v>
      </c>
      <c r="J42" s="69">
        <f>ROUNDUP(I42,0)</f>
        <v>0</v>
      </c>
      <c r="K42" s="65">
        <f t="shared" ref="K42" si="48">IF(F32&gt;0,J42,0)</f>
        <v>0</v>
      </c>
      <c r="L42" s="61">
        <f>M42/D42</f>
        <v>14.25</v>
      </c>
      <c r="M42" s="61">
        <v>57</v>
      </c>
      <c r="N42" s="74">
        <f t="shared" si="36"/>
        <v>0</v>
      </c>
      <c r="O42" s="57">
        <f t="shared" ref="O42:O48" si="49">K42/D42</f>
        <v>0</v>
      </c>
      <c r="P42" s="57">
        <f t="shared" si="37"/>
        <v>0</v>
      </c>
    </row>
    <row r="43" spans="2:16" x14ac:dyDescent="0.45">
      <c r="B43" s="404">
        <v>5947774190</v>
      </c>
      <c r="C43" s="768" t="s">
        <v>11</v>
      </c>
      <c r="D43" s="1">
        <v>4</v>
      </c>
      <c r="E43" s="16">
        <v>14</v>
      </c>
      <c r="F43" s="1"/>
      <c r="G43" s="1">
        <f>(A7/(0.003*350)/5000)</f>
        <v>0</v>
      </c>
      <c r="H43" s="1">
        <f>30*BC!$B$47/E43</f>
        <v>0</v>
      </c>
      <c r="I43" s="63">
        <f>IF(G43&gt;H43,G43,H43)</f>
        <v>0</v>
      </c>
      <c r="J43" s="69">
        <f>ROUNDUP(I43,0)</f>
        <v>0</v>
      </c>
      <c r="K43" s="65">
        <f>IF(F32&gt;0,J43,0)</f>
        <v>0</v>
      </c>
      <c r="L43" s="61">
        <f t="shared" ref="L43:L48" si="50">M43/D43</f>
        <v>22.75</v>
      </c>
      <c r="M43" s="61">
        <v>91</v>
      </c>
      <c r="N43" s="74">
        <f t="shared" si="36"/>
        <v>0</v>
      </c>
      <c r="O43" s="57">
        <f t="shared" si="49"/>
        <v>0</v>
      </c>
      <c r="P43" s="57">
        <f t="shared" si="37"/>
        <v>0</v>
      </c>
    </row>
    <row r="44" spans="2:16" x14ac:dyDescent="0.45">
      <c r="B44" s="398">
        <v>5479207190</v>
      </c>
      <c r="C44" s="752" t="s">
        <v>10</v>
      </c>
      <c r="D44" s="1">
        <v>4</v>
      </c>
      <c r="E44" s="16">
        <v>28</v>
      </c>
      <c r="F44" s="1"/>
      <c r="G44" s="801">
        <f>(F23/(0.0007*150)/1000)</f>
        <v>0</v>
      </c>
      <c r="H44" s="1">
        <f>30*BC!$B$47/E44</f>
        <v>0</v>
      </c>
      <c r="I44" s="63">
        <f>IF(G44&gt;H44,G44,H44)</f>
        <v>0</v>
      </c>
      <c r="J44" s="69">
        <f>ROUNDUP(I44,0)</f>
        <v>0</v>
      </c>
      <c r="K44" s="65">
        <f>IF(F23&gt;0,J44,0)</f>
        <v>0</v>
      </c>
      <c r="L44" s="61">
        <f t="shared" si="50"/>
        <v>77.25</v>
      </c>
      <c r="M44" s="61">
        <v>309</v>
      </c>
      <c r="N44" s="74">
        <f t="shared" si="36"/>
        <v>0</v>
      </c>
      <c r="O44" s="57">
        <f t="shared" si="49"/>
        <v>0</v>
      </c>
      <c r="P44" s="57">
        <f t="shared" si="37"/>
        <v>0</v>
      </c>
    </row>
    <row r="45" spans="2:16" x14ac:dyDescent="0.45">
      <c r="B45" s="406">
        <v>5912504190</v>
      </c>
      <c r="C45" s="753" t="s">
        <v>172</v>
      </c>
      <c r="D45" s="1">
        <v>4</v>
      </c>
      <c r="E45" s="16">
        <v>28</v>
      </c>
      <c r="F45" s="1"/>
      <c r="G45" s="801">
        <f>(F23/(0.0007*150)/1000)</f>
        <v>0</v>
      </c>
      <c r="H45" s="1">
        <f>30*BC!$B$47/E45</f>
        <v>0</v>
      </c>
      <c r="I45" s="63">
        <f>IF(G45&gt;H45,G45,H45)</f>
        <v>0</v>
      </c>
      <c r="J45" s="69">
        <f>ROUNDUP(I45,0)</f>
        <v>0</v>
      </c>
      <c r="K45" s="65">
        <f>IF(F23&gt;0,J45,0)</f>
        <v>0</v>
      </c>
      <c r="L45" s="61">
        <f t="shared" si="50"/>
        <v>154.5</v>
      </c>
      <c r="M45" s="61">
        <v>618</v>
      </c>
      <c r="N45" s="74">
        <f t="shared" si="36"/>
        <v>0</v>
      </c>
      <c r="O45" s="57">
        <f t="shared" si="49"/>
        <v>0</v>
      </c>
      <c r="P45" s="57">
        <f t="shared" si="37"/>
        <v>0</v>
      </c>
    </row>
    <row r="46" spans="2:16" x14ac:dyDescent="0.45">
      <c r="B46" s="56">
        <v>20752401190</v>
      </c>
      <c r="C46" s="760" t="s">
        <v>1084</v>
      </c>
      <c r="D46" s="57">
        <v>5</v>
      </c>
      <c r="E46" s="687">
        <v>56</v>
      </c>
      <c r="F46" s="1"/>
      <c r="G46" s="801">
        <f>(F29/(0.0007*150)/1000)</f>
        <v>0</v>
      </c>
      <c r="H46" s="1">
        <f>30*BC!$B$47/E46</f>
        <v>0</v>
      </c>
      <c r="I46" s="63">
        <f t="shared" ref="I46:I47" si="51">IF(G46&gt;H46,G46,H46)</f>
        <v>0</v>
      </c>
      <c r="J46" s="69">
        <f t="shared" ref="J46:J47" si="52">ROUNDUP(I46,0)</f>
        <v>0</v>
      </c>
      <c r="K46" s="65">
        <f>IF(F24&gt;0,J46,0)</f>
        <v>0</v>
      </c>
      <c r="L46" s="61">
        <f t="shared" ref="L46:L47" si="53">M46/D46</f>
        <v>41.4</v>
      </c>
      <c r="M46" s="61">
        <v>207</v>
      </c>
      <c r="N46" s="74">
        <f t="shared" si="36"/>
        <v>0</v>
      </c>
      <c r="O46" s="57">
        <f t="shared" si="49"/>
        <v>0</v>
      </c>
      <c r="P46" s="57">
        <f t="shared" ref="P46:P47" si="54">ROUNDUP(O46,0)</f>
        <v>0</v>
      </c>
    </row>
    <row r="47" spans="2:16" x14ac:dyDescent="0.45">
      <c r="B47" s="56">
        <v>20753009190</v>
      </c>
      <c r="C47" s="760" t="s">
        <v>1084</v>
      </c>
      <c r="D47" s="57">
        <v>5</v>
      </c>
      <c r="E47" s="687">
        <v>56</v>
      </c>
      <c r="F47" s="1"/>
      <c r="G47" s="801">
        <f>F29/(0.0007*150)/1000</f>
        <v>0</v>
      </c>
      <c r="H47" s="1">
        <f>30*BC!$B$47/E47</f>
        <v>0</v>
      </c>
      <c r="I47" s="63">
        <f t="shared" si="51"/>
        <v>0</v>
      </c>
      <c r="J47" s="69">
        <f t="shared" si="52"/>
        <v>0</v>
      </c>
      <c r="K47" s="65">
        <f>IF(F25&gt;0,J47,0)</f>
        <v>0</v>
      </c>
      <c r="L47" s="61">
        <f t="shared" si="53"/>
        <v>45.4</v>
      </c>
      <c r="M47" s="61">
        <v>227</v>
      </c>
      <c r="N47" s="74">
        <f t="shared" si="36"/>
        <v>0</v>
      </c>
      <c r="O47" s="57">
        <f t="shared" si="49"/>
        <v>0</v>
      </c>
      <c r="P47" s="57">
        <f t="shared" si="54"/>
        <v>0</v>
      </c>
    </row>
    <row r="48" spans="2:16" x14ac:dyDescent="0.45">
      <c r="B48" s="398">
        <v>5050936190</v>
      </c>
      <c r="C48" s="766" t="s">
        <v>9</v>
      </c>
      <c r="D48" s="1">
        <v>2</v>
      </c>
      <c r="E48" s="16">
        <v>84</v>
      </c>
      <c r="F48" s="1"/>
      <c r="G48" s="1">
        <f>(F27/(0.0004*300)/3000)</f>
        <v>0</v>
      </c>
      <c r="H48" s="1">
        <f>30*BC!$B$47/E48</f>
        <v>0</v>
      </c>
      <c r="I48" s="63">
        <f>IF(G48&gt;H48,G48,H48)</f>
        <v>0</v>
      </c>
      <c r="J48" s="69">
        <f>ROUNDUP(I48,0)</f>
        <v>0</v>
      </c>
      <c r="K48" s="65">
        <f>IF(F27&gt;0,J48,0)</f>
        <v>0</v>
      </c>
      <c r="L48" s="61">
        <f t="shared" si="50"/>
        <v>244</v>
      </c>
      <c r="M48" s="61">
        <v>488</v>
      </c>
      <c r="N48" s="74">
        <f t="shared" si="36"/>
        <v>0</v>
      </c>
      <c r="O48" s="57">
        <f t="shared" si="49"/>
        <v>0</v>
      </c>
      <c r="P48" s="57">
        <f t="shared" si="37"/>
        <v>0</v>
      </c>
    </row>
    <row r="49" spans="2:16" x14ac:dyDescent="0.45">
      <c r="B49" s="4" t="s">
        <v>8</v>
      </c>
      <c r="C49" s="5"/>
      <c r="D49" s="3"/>
      <c r="E49" s="7"/>
      <c r="F49" s="3"/>
      <c r="G49" s="3"/>
      <c r="H49" s="3"/>
      <c r="I49" s="64"/>
      <c r="J49" s="68"/>
      <c r="K49" s="107"/>
      <c r="L49" s="108"/>
      <c r="M49" s="108"/>
      <c r="N49" s="108"/>
      <c r="O49" s="108"/>
      <c r="P49" s="108"/>
    </row>
    <row r="50" spans="2:16" x14ac:dyDescent="0.45">
      <c r="B50" s="395">
        <v>4774230190</v>
      </c>
      <c r="C50" s="396" t="s">
        <v>653</v>
      </c>
      <c r="D50" s="1">
        <v>4</v>
      </c>
      <c r="E50" s="16">
        <v>28</v>
      </c>
      <c r="F50" s="1"/>
      <c r="G50" s="1">
        <f>(F32/(0.002*800)/12000)</f>
        <v>0</v>
      </c>
      <c r="H50" s="1">
        <f>30*BC!$B$47/E50</f>
        <v>0</v>
      </c>
      <c r="I50" s="63">
        <f t="shared" ref="I50:I59" si="55">IF(G50&gt;H50,G50,H50)</f>
        <v>0</v>
      </c>
      <c r="J50" s="69">
        <f t="shared" ref="J50:J59" si="56">ROUNDUP(I50,0)</f>
        <v>0</v>
      </c>
      <c r="K50" s="65">
        <f>IF(F32&gt;0,J50,0)</f>
        <v>0</v>
      </c>
      <c r="L50" s="61">
        <f>M50/D50</f>
        <v>17.75</v>
      </c>
      <c r="M50" s="61">
        <v>71</v>
      </c>
      <c r="N50" s="74">
        <f t="shared" si="36"/>
        <v>0</v>
      </c>
      <c r="O50" s="57">
        <f t="shared" ref="O50:O59" si="57">K50/D50</f>
        <v>0</v>
      </c>
      <c r="P50" s="57">
        <f t="shared" si="37"/>
        <v>0</v>
      </c>
    </row>
    <row r="51" spans="2:16" x14ac:dyDescent="0.45">
      <c r="B51" s="491">
        <v>5007232190</v>
      </c>
      <c r="C51" s="754" t="s">
        <v>851</v>
      </c>
      <c r="D51" s="1">
        <v>8</v>
      </c>
      <c r="E51" s="16">
        <v>10</v>
      </c>
      <c r="F51" s="1"/>
      <c r="G51" s="1">
        <f>(F23/(0.00006*800)/6300)</f>
        <v>0</v>
      </c>
      <c r="H51" s="1">
        <f>30*BC!$B$47/E51</f>
        <v>0</v>
      </c>
      <c r="I51" s="63">
        <f t="shared" si="55"/>
        <v>0</v>
      </c>
      <c r="J51" s="69">
        <f t="shared" si="56"/>
        <v>0</v>
      </c>
      <c r="K51" s="65">
        <f>IF(F23&gt;0,J51,0)</f>
        <v>0</v>
      </c>
      <c r="L51" s="61">
        <f t="shared" ref="L51:L58" si="58">M51/D51</f>
        <v>54.875</v>
      </c>
      <c r="M51" s="61">
        <v>439</v>
      </c>
      <c r="N51" s="74">
        <f t="shared" si="36"/>
        <v>0</v>
      </c>
      <c r="O51" s="57">
        <f t="shared" si="57"/>
        <v>0</v>
      </c>
      <c r="P51" s="57">
        <f t="shared" si="37"/>
        <v>0</v>
      </c>
    </row>
    <row r="52" spans="2:16" x14ac:dyDescent="0.45">
      <c r="B52" s="395">
        <v>4663632190</v>
      </c>
      <c r="C52" s="396" t="s">
        <v>654</v>
      </c>
      <c r="D52" s="1">
        <v>9</v>
      </c>
      <c r="E52" s="16">
        <v>12</v>
      </c>
      <c r="F52" s="1"/>
      <c r="G52" s="1">
        <f>30*BCB48/E52</f>
        <v>0</v>
      </c>
      <c r="H52" s="1">
        <f>30*BC!$B$47/E52</f>
        <v>0</v>
      </c>
      <c r="I52" s="63">
        <f t="shared" si="55"/>
        <v>0</v>
      </c>
      <c r="J52" s="69">
        <f t="shared" si="56"/>
        <v>0</v>
      </c>
      <c r="K52" s="65">
        <f>IF(F32&gt;0,J52,0)</f>
        <v>0</v>
      </c>
      <c r="L52" s="61">
        <f t="shared" si="58"/>
        <v>17.222222222222221</v>
      </c>
      <c r="M52" s="61">
        <v>155</v>
      </c>
      <c r="N52" s="74">
        <f t="shared" si="36"/>
        <v>0</v>
      </c>
      <c r="O52" s="57">
        <f t="shared" si="57"/>
        <v>0</v>
      </c>
      <c r="P52" s="57">
        <f t="shared" si="37"/>
        <v>0</v>
      </c>
    </row>
    <row r="53" spans="2:16" x14ac:dyDescent="0.45">
      <c r="B53" s="395">
        <v>11298500316</v>
      </c>
      <c r="C53" s="396" t="s">
        <v>7</v>
      </c>
      <c r="D53" s="1">
        <v>5</v>
      </c>
      <c r="E53" s="16">
        <v>73</v>
      </c>
      <c r="F53" s="1"/>
      <c r="G53" s="1">
        <f>30*BCB48/E53</f>
        <v>0</v>
      </c>
      <c r="H53" s="1">
        <f>30*BC!$B$47/E53</f>
        <v>0</v>
      </c>
      <c r="I53" s="63">
        <f t="shared" si="55"/>
        <v>0</v>
      </c>
      <c r="J53" s="69">
        <f t="shared" si="56"/>
        <v>0</v>
      </c>
      <c r="K53" s="65">
        <f>IF(F32&gt;0,J53,0)</f>
        <v>0</v>
      </c>
      <c r="L53" s="61">
        <f t="shared" si="58"/>
        <v>19.600000000000001</v>
      </c>
      <c r="M53" s="61">
        <v>98</v>
      </c>
      <c r="N53" s="74">
        <f t="shared" si="36"/>
        <v>0</v>
      </c>
      <c r="O53" s="57">
        <f t="shared" si="57"/>
        <v>0</v>
      </c>
      <c r="P53" s="57">
        <f t="shared" si="37"/>
        <v>0</v>
      </c>
    </row>
    <row r="54" spans="2:16" x14ac:dyDescent="0.45">
      <c r="B54" s="395">
        <v>20754765322</v>
      </c>
      <c r="C54" s="396" t="s">
        <v>6</v>
      </c>
      <c r="D54" s="1">
        <v>1</v>
      </c>
      <c r="E54" s="16">
        <v>84</v>
      </c>
      <c r="F54" s="1"/>
      <c r="G54" s="1">
        <f>(F32/(0.005*48)/6300)</f>
        <v>0</v>
      </c>
      <c r="H54" s="1">
        <f>30*BC!$B$47/E54</f>
        <v>0</v>
      </c>
      <c r="I54" s="63">
        <f t="shared" si="55"/>
        <v>0</v>
      </c>
      <c r="J54" s="69">
        <f t="shared" si="56"/>
        <v>0</v>
      </c>
      <c r="K54" s="65">
        <f>IF(F32&gt;0,J54,0)</f>
        <v>0</v>
      </c>
      <c r="L54" s="61">
        <f t="shared" si="58"/>
        <v>46</v>
      </c>
      <c r="M54" s="61">
        <v>46</v>
      </c>
      <c r="N54" s="74">
        <f t="shared" si="36"/>
        <v>0</v>
      </c>
      <c r="O54" s="57">
        <f t="shared" si="57"/>
        <v>0</v>
      </c>
      <c r="P54" s="57">
        <f t="shared" si="37"/>
        <v>0</v>
      </c>
    </row>
    <row r="55" spans="2:16" x14ac:dyDescent="0.45">
      <c r="B55" s="395">
        <v>4357108001</v>
      </c>
      <c r="C55" s="396" t="s">
        <v>5</v>
      </c>
      <c r="D55" s="1">
        <v>1</v>
      </c>
      <c r="E55" s="16">
        <v>365</v>
      </c>
      <c r="F55" s="1"/>
      <c r="G55" s="1">
        <f>((F32+(F32*0.01))/1680)</f>
        <v>0</v>
      </c>
      <c r="H55" s="1">
        <f>((365/E55))</f>
        <v>1</v>
      </c>
      <c r="I55" s="63">
        <f t="shared" si="55"/>
        <v>1</v>
      </c>
      <c r="J55" s="69">
        <f t="shared" si="56"/>
        <v>1</v>
      </c>
      <c r="K55" s="65">
        <f>IF(F32&gt;0,J55,0)</f>
        <v>0</v>
      </c>
      <c r="L55" s="61">
        <f t="shared" si="58"/>
        <v>179</v>
      </c>
      <c r="M55" s="61">
        <v>179</v>
      </c>
      <c r="N55" s="74">
        <f t="shared" si="36"/>
        <v>0</v>
      </c>
      <c r="O55" s="57">
        <f t="shared" si="57"/>
        <v>0</v>
      </c>
      <c r="P55" s="57">
        <f t="shared" si="37"/>
        <v>0</v>
      </c>
    </row>
    <row r="56" spans="2:16" x14ac:dyDescent="0.45">
      <c r="B56" s="406">
        <v>4444191001</v>
      </c>
      <c r="C56" s="396" t="s">
        <v>4</v>
      </c>
      <c r="D56" s="1">
        <v>1</v>
      </c>
      <c r="E56" s="16">
        <v>365</v>
      </c>
      <c r="F56" s="1"/>
      <c r="G56" s="48">
        <f>((F32-(F32*0.9))/E56)</f>
        <v>0</v>
      </c>
      <c r="H56" s="1">
        <f>365/E56</f>
        <v>1</v>
      </c>
      <c r="I56" s="63">
        <f t="shared" si="55"/>
        <v>1</v>
      </c>
      <c r="J56" s="69">
        <f t="shared" si="56"/>
        <v>1</v>
      </c>
      <c r="K56" s="65">
        <f>IF(F32&gt;0,J56,0)</f>
        <v>0</v>
      </c>
      <c r="L56" s="61">
        <f t="shared" si="58"/>
        <v>9</v>
      </c>
      <c r="M56" s="61">
        <v>9</v>
      </c>
      <c r="N56" s="74">
        <f t="shared" si="36"/>
        <v>0</v>
      </c>
      <c r="O56" s="57">
        <f t="shared" si="57"/>
        <v>0</v>
      </c>
      <c r="P56" s="57">
        <f t="shared" si="37"/>
        <v>0</v>
      </c>
    </row>
    <row r="57" spans="2:16" x14ac:dyDescent="0.45">
      <c r="B57" s="395">
        <v>4352483001</v>
      </c>
      <c r="C57" s="396" t="s">
        <v>3</v>
      </c>
      <c r="D57" s="1">
        <v>1</v>
      </c>
      <c r="E57" s="16">
        <v>365</v>
      </c>
      <c r="F57" s="1"/>
      <c r="G57" s="1">
        <f>((F32-(F32*0.97))/E57)</f>
        <v>0</v>
      </c>
      <c r="H57" s="1">
        <f>(365/E56)</f>
        <v>1</v>
      </c>
      <c r="I57" s="63">
        <f t="shared" si="55"/>
        <v>1</v>
      </c>
      <c r="J57" s="69">
        <f t="shared" si="56"/>
        <v>1</v>
      </c>
      <c r="K57" s="65">
        <f>IF(F32&gt;0,J57,0)</f>
        <v>0</v>
      </c>
      <c r="L57" s="61">
        <f t="shared" si="58"/>
        <v>19</v>
      </c>
      <c r="M57" s="61">
        <v>19</v>
      </c>
      <c r="N57" s="74">
        <f t="shared" si="36"/>
        <v>0</v>
      </c>
      <c r="O57" s="57">
        <f t="shared" si="57"/>
        <v>0</v>
      </c>
      <c r="P57" s="57">
        <f t="shared" si="37"/>
        <v>0</v>
      </c>
    </row>
    <row r="58" spans="2:16" x14ac:dyDescent="0.45">
      <c r="B58" s="395">
        <v>5344620001</v>
      </c>
      <c r="C58" s="396" t="s">
        <v>2</v>
      </c>
      <c r="D58" s="1">
        <v>1</v>
      </c>
      <c r="E58" s="16">
        <v>365</v>
      </c>
      <c r="F58" s="1"/>
      <c r="G58" s="1">
        <f>(F32/(0.05*30)/6300)</f>
        <v>0</v>
      </c>
      <c r="H58" s="1">
        <f>365/E58</f>
        <v>1</v>
      </c>
      <c r="I58" s="63">
        <f t="shared" si="55"/>
        <v>1</v>
      </c>
      <c r="J58" s="69">
        <f t="shared" si="56"/>
        <v>1</v>
      </c>
      <c r="K58" s="65">
        <f>IF(F32&gt;0,J58,0)</f>
        <v>0</v>
      </c>
      <c r="L58" s="61">
        <f t="shared" si="58"/>
        <v>105</v>
      </c>
      <c r="M58" s="61">
        <v>105</v>
      </c>
      <c r="N58" s="74">
        <f t="shared" si="36"/>
        <v>0</v>
      </c>
      <c r="O58" s="57">
        <f t="shared" si="57"/>
        <v>0</v>
      </c>
      <c r="P58" s="57">
        <f t="shared" si="37"/>
        <v>0</v>
      </c>
    </row>
    <row r="59" spans="2:16" x14ac:dyDescent="0.45">
      <c r="B59" s="83" t="s">
        <v>1</v>
      </c>
      <c r="C59" s="82" t="s">
        <v>0</v>
      </c>
      <c r="D59" s="84">
        <v>1</v>
      </c>
      <c r="E59" s="85">
        <v>365</v>
      </c>
      <c r="F59" s="84"/>
      <c r="G59" s="84">
        <f>((F32-(F32*0.98))/E59)</f>
        <v>0</v>
      </c>
      <c r="H59" s="84">
        <f>365/E59</f>
        <v>1</v>
      </c>
      <c r="I59" s="86">
        <f t="shared" si="55"/>
        <v>1</v>
      </c>
      <c r="J59" s="87">
        <f t="shared" si="56"/>
        <v>1</v>
      </c>
      <c r="K59" s="88">
        <f>IF(F32&gt;0,J59,0)</f>
        <v>0</v>
      </c>
      <c r="L59" s="89">
        <v>6.5</v>
      </c>
      <c r="M59" s="61">
        <f t="shared" ref="M59:M60" si="59">L59*K59</f>
        <v>0</v>
      </c>
      <c r="N59" s="74">
        <f t="shared" si="36"/>
        <v>0</v>
      </c>
      <c r="O59" s="57">
        <f t="shared" si="57"/>
        <v>0</v>
      </c>
      <c r="P59" s="57">
        <f t="shared" si="37"/>
        <v>0</v>
      </c>
    </row>
    <row r="60" spans="2:16" x14ac:dyDescent="0.45">
      <c r="B60" s="55" t="s">
        <v>177</v>
      </c>
      <c r="C60" s="62"/>
      <c r="D60" s="57"/>
      <c r="E60" s="58"/>
      <c r="F60" s="57"/>
      <c r="G60" s="57"/>
      <c r="H60" s="57"/>
      <c r="I60" s="57"/>
      <c r="J60" s="57"/>
      <c r="K60" s="65">
        <f>BCB48</f>
        <v>0</v>
      </c>
      <c r="L60" s="61">
        <v>390</v>
      </c>
      <c r="M60" s="61">
        <f t="shared" si="59"/>
        <v>0</v>
      </c>
      <c r="N60" s="61">
        <f t="shared" si="36"/>
        <v>0</v>
      </c>
      <c r="O60" s="72"/>
    </row>
    <row r="61" spans="2:16" x14ac:dyDescent="0.45">
      <c r="E61" s="21"/>
      <c r="M61" s="74"/>
      <c r="N61" s="61">
        <f>SUM(N34:N60)</f>
        <v>0</v>
      </c>
    </row>
    <row r="62" spans="2:16" x14ac:dyDescent="0.45">
      <c r="M62" s="74"/>
      <c r="N62" s="62" t="e">
        <f>N61/F32</f>
        <v>#DIV/0!</v>
      </c>
    </row>
  </sheetData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798DB-A318-4C6A-8133-C51628CB16EB}">
  <dimension ref="A2:U62"/>
  <sheetViews>
    <sheetView topLeftCell="C7" workbookViewId="0">
      <selection activeCell="M31" sqref="M31"/>
    </sheetView>
  </sheetViews>
  <sheetFormatPr baseColWidth="10" defaultRowHeight="14.25" x14ac:dyDescent="0.45"/>
  <cols>
    <col min="1" max="1" width="1.73046875" bestFit="1" customWidth="1"/>
    <col min="2" max="2" width="9.1328125" bestFit="1" customWidth="1"/>
    <col min="3" max="3" width="21.796875" bestFit="1" customWidth="1"/>
    <col min="4" max="4" width="9.59765625" bestFit="1" customWidth="1"/>
    <col min="5" max="5" width="8.265625" bestFit="1" customWidth="1"/>
    <col min="6" max="6" width="6.796875" bestFit="1" customWidth="1"/>
    <col min="7" max="7" width="6.06640625" bestFit="1" customWidth="1"/>
    <col min="8" max="8" width="8.265625" bestFit="1" customWidth="1"/>
    <col min="9" max="9" width="9.1328125" bestFit="1" customWidth="1"/>
    <col min="10" max="10" width="8.3984375" bestFit="1" customWidth="1"/>
    <col min="11" max="11" width="3.86328125" bestFit="1" customWidth="1"/>
    <col min="12" max="12" width="10.19921875" bestFit="1" customWidth="1"/>
    <col min="13" max="13" width="16.796875" bestFit="1" customWidth="1"/>
    <col min="14" max="14" width="14.6640625" bestFit="1" customWidth="1"/>
    <col min="15" max="15" width="11.9296875" bestFit="1" customWidth="1"/>
    <col min="16" max="16" width="15.1328125" bestFit="1" customWidth="1"/>
    <col min="17" max="17" width="10.19921875" bestFit="1" customWidth="1"/>
    <col min="18" max="18" width="7.33203125" bestFit="1" customWidth="1"/>
    <col min="19" max="19" width="7.9296875" bestFit="1" customWidth="1"/>
    <col min="20" max="20" width="9.265625" bestFit="1" customWidth="1"/>
    <col min="21" max="21" width="10.86328125" bestFit="1" customWidth="1"/>
  </cols>
  <sheetData>
    <row r="2" spans="1:21" ht="31.5" x14ac:dyDescent="0.45">
      <c r="B2" s="49" t="s">
        <v>56</v>
      </c>
      <c r="C2" s="49" t="s">
        <v>651</v>
      </c>
      <c r="D2" s="152" t="s">
        <v>55</v>
      </c>
      <c r="E2" s="153" t="s">
        <v>54</v>
      </c>
      <c r="F2" s="153" t="s">
        <v>173</v>
      </c>
      <c r="G2" s="153" t="s">
        <v>175</v>
      </c>
      <c r="H2" s="153" t="s">
        <v>53</v>
      </c>
      <c r="I2" s="153" t="s">
        <v>52</v>
      </c>
      <c r="J2" s="153" t="s">
        <v>51</v>
      </c>
      <c r="K2" s="153"/>
      <c r="L2" s="153" t="s">
        <v>50</v>
      </c>
      <c r="M2" s="153" t="s">
        <v>49</v>
      </c>
      <c r="N2" s="153" t="s">
        <v>48</v>
      </c>
      <c r="O2" s="153" t="s">
        <v>162</v>
      </c>
      <c r="P2" s="154" t="s">
        <v>163</v>
      </c>
      <c r="Q2" s="154" t="s">
        <v>165</v>
      </c>
      <c r="R2" s="155" t="s">
        <v>169</v>
      </c>
      <c r="S2" s="155" t="s">
        <v>164</v>
      </c>
      <c r="T2" s="156" t="s">
        <v>47</v>
      </c>
      <c r="U2" s="156" t="s">
        <v>46</v>
      </c>
    </row>
    <row r="3" spans="1:21" x14ac:dyDescent="0.45">
      <c r="A3" s="54">
        <f>SUM(G3+G4+G5+G6+G7+G8+G9+G10+G11+G12+G13+G15+G16+G17+G18+G20+G21+G22+G24+G25+G28)</f>
        <v>0</v>
      </c>
      <c r="B3" s="395">
        <v>4657527190</v>
      </c>
      <c r="C3" s="396" t="s">
        <v>45</v>
      </c>
      <c r="D3" s="159">
        <v>400</v>
      </c>
      <c r="E3" s="160">
        <v>120</v>
      </c>
      <c r="F3" s="161">
        <f>'c111'!E9</f>
        <v>0</v>
      </c>
      <c r="G3" s="162">
        <f>((F3*0.2)+(F3))</f>
        <v>0</v>
      </c>
      <c r="H3" s="163">
        <f>G3/D3</f>
        <v>0</v>
      </c>
      <c r="I3" s="163">
        <f>30*BC!$B$47/E3</f>
        <v>0</v>
      </c>
      <c r="J3" s="163">
        <f>IF(I3&gt;H3,I3,H3)</f>
        <v>0</v>
      </c>
      <c r="K3" s="163">
        <f>IF(H3=0,0,J3)</f>
        <v>0</v>
      </c>
      <c r="L3" s="65">
        <f>ROUNDUP(K3,0)</f>
        <v>0</v>
      </c>
      <c r="M3" s="61">
        <v>50</v>
      </c>
      <c r="N3" s="61">
        <f>M3*L3</f>
        <v>0</v>
      </c>
      <c r="O3" s="61">
        <f>M3/D3</f>
        <v>0.125</v>
      </c>
      <c r="P3" s="71" t="e">
        <f>O3+$O$62+((BC!$F$125)/'c111 DETERMIACION'!$F$32)</f>
        <v>#DIV/0!</v>
      </c>
      <c r="Q3" s="71" t="e">
        <f>P3*F3</f>
        <v>#DIV/0!</v>
      </c>
      <c r="R3" s="70" t="e">
        <f>((P3*0.15)+P3)</f>
        <v>#DIV/0!</v>
      </c>
      <c r="S3" s="70" t="e">
        <f>R3*F3</f>
        <v>#DIV/0!</v>
      </c>
      <c r="T3" s="70" t="e">
        <f>SUM(S3:S31)</f>
        <v>#DIV/0!</v>
      </c>
      <c r="U3" s="71" t="e">
        <f>SUM(Q3:Q31)</f>
        <v>#DIV/0!</v>
      </c>
    </row>
    <row r="4" spans="1:21" x14ac:dyDescent="0.45">
      <c r="A4" s="54">
        <f>G3+G4+G5+G6+G7+G8+G9+G10+G11+G12+G13+G14+G15+G16+G17+G18+G19+G20+G21+G22+G24+G25+G26+G28</f>
        <v>0</v>
      </c>
      <c r="B4" s="395">
        <v>4657616190</v>
      </c>
      <c r="C4" s="396" t="s">
        <v>44</v>
      </c>
      <c r="D4" s="159">
        <v>400</v>
      </c>
      <c r="E4" s="160">
        <v>120</v>
      </c>
      <c r="F4" s="161">
        <f>'c111'!E10</f>
        <v>0</v>
      </c>
      <c r="G4" s="162">
        <f t="shared" ref="G4:G31" si="0">((F4*0.2)+(F4))</f>
        <v>0</v>
      </c>
      <c r="H4" s="163">
        <f t="shared" ref="H4:H31" si="1">G4/D4</f>
        <v>0</v>
      </c>
      <c r="I4" s="163">
        <f>30*BC!$B$47/E4</f>
        <v>0</v>
      </c>
      <c r="J4" s="163">
        <f t="shared" ref="J4:J31" si="2">IF(I4&gt;H4,I4,H4)</f>
        <v>0</v>
      </c>
      <c r="K4" s="163">
        <f t="shared" ref="K4:K31" si="3">IF(H4=0,0,J4)</f>
        <v>0</v>
      </c>
      <c r="L4" s="65">
        <f t="shared" ref="L4:L31" si="4">ROUNDUP(K4,0)</f>
        <v>0</v>
      </c>
      <c r="M4" s="61">
        <v>62</v>
      </c>
      <c r="N4" s="61">
        <f t="shared" ref="N4:N31" si="5">M4*L4</f>
        <v>0</v>
      </c>
      <c r="O4" s="61">
        <f t="shared" ref="O4:O31" si="6">M4/D4</f>
        <v>0.155</v>
      </c>
      <c r="P4" s="71" t="e">
        <f>O4+$O$62+((BC!$F$125)/'c111 DETERMIACION'!$F$32)</f>
        <v>#DIV/0!</v>
      </c>
      <c r="Q4" s="71" t="e">
        <f t="shared" ref="Q4:Q31" si="7">P4*F4</f>
        <v>#DIV/0!</v>
      </c>
      <c r="R4" s="70" t="e">
        <f t="shared" ref="R4:R31" si="8">((P4*0.15)+P4)</f>
        <v>#DIV/0!</v>
      </c>
      <c r="S4" s="70" t="e">
        <f t="shared" ref="S4:S31" si="9">R4*F4</f>
        <v>#DIV/0!</v>
      </c>
    </row>
    <row r="5" spans="1:21" x14ac:dyDescent="0.45">
      <c r="A5" s="62"/>
      <c r="B5" s="395">
        <v>5401755190</v>
      </c>
      <c r="C5" s="396" t="s">
        <v>43</v>
      </c>
      <c r="D5" s="159">
        <v>400</v>
      </c>
      <c r="E5" s="160">
        <v>120</v>
      </c>
      <c r="F5" s="161">
        <f>'c111'!E11</f>
        <v>0</v>
      </c>
      <c r="G5" s="162">
        <f t="shared" si="0"/>
        <v>0</v>
      </c>
      <c r="H5" s="163">
        <f t="shared" si="1"/>
        <v>0</v>
      </c>
      <c r="I5" s="163">
        <f>30*BC!$B$47/E5</f>
        <v>0</v>
      </c>
      <c r="J5" s="163">
        <f t="shared" si="2"/>
        <v>0</v>
      </c>
      <c r="K5" s="163">
        <f t="shared" si="3"/>
        <v>0</v>
      </c>
      <c r="L5" s="65">
        <f t="shared" si="4"/>
        <v>0</v>
      </c>
      <c r="M5" s="61">
        <v>74</v>
      </c>
      <c r="N5" s="61">
        <f t="shared" si="5"/>
        <v>0</v>
      </c>
      <c r="O5" s="61">
        <f t="shared" si="6"/>
        <v>0.185</v>
      </c>
      <c r="P5" s="71" t="e">
        <f>O5+$O$62+((BC!$F$125)/'c111 DETERMIACION'!$F$32)</f>
        <v>#DIV/0!</v>
      </c>
      <c r="Q5" s="71" t="e">
        <f t="shared" si="7"/>
        <v>#DIV/0!</v>
      </c>
      <c r="R5" s="70" t="e">
        <f t="shared" si="8"/>
        <v>#DIV/0!</v>
      </c>
      <c r="S5" s="70" t="e">
        <f t="shared" si="9"/>
        <v>#DIV/0!</v>
      </c>
    </row>
    <row r="6" spans="1:21" x14ac:dyDescent="0.45">
      <c r="A6" s="62"/>
      <c r="B6" s="395">
        <v>4657608190</v>
      </c>
      <c r="C6" s="396" t="s">
        <v>42</v>
      </c>
      <c r="D6" s="159">
        <v>400</v>
      </c>
      <c r="E6" s="160">
        <v>120</v>
      </c>
      <c r="F6" s="161">
        <f>'c111'!E12</f>
        <v>0</v>
      </c>
      <c r="G6" s="162">
        <f t="shared" si="0"/>
        <v>0</v>
      </c>
      <c r="H6" s="163">
        <f t="shared" si="1"/>
        <v>0</v>
      </c>
      <c r="I6" s="163">
        <f>30*BC!$B$47/E6</f>
        <v>0</v>
      </c>
      <c r="J6" s="163">
        <f t="shared" si="2"/>
        <v>0</v>
      </c>
      <c r="K6" s="163">
        <f t="shared" si="3"/>
        <v>0</v>
      </c>
      <c r="L6" s="65">
        <f t="shared" si="4"/>
        <v>0</v>
      </c>
      <c r="M6" s="61">
        <v>89</v>
      </c>
      <c r="N6" s="61">
        <f t="shared" si="5"/>
        <v>0</v>
      </c>
      <c r="O6" s="61">
        <f t="shared" si="6"/>
        <v>0.2225</v>
      </c>
      <c r="P6" s="71" t="e">
        <f>O6+$O$62+((BC!$F$125)/'c111 DETERMIACION'!$F$32)</f>
        <v>#DIV/0!</v>
      </c>
      <c r="Q6" s="71" t="e">
        <f t="shared" si="7"/>
        <v>#DIV/0!</v>
      </c>
      <c r="R6" s="70" t="e">
        <f t="shared" si="8"/>
        <v>#DIV/0!</v>
      </c>
      <c r="S6" s="70" t="e">
        <f t="shared" si="9"/>
        <v>#DIV/0!</v>
      </c>
    </row>
    <row r="7" spans="1:21" x14ac:dyDescent="0.45">
      <c r="A7" s="62"/>
      <c r="B7" s="395">
        <v>4718917190</v>
      </c>
      <c r="C7" s="396" t="s">
        <v>41</v>
      </c>
      <c r="D7" s="159">
        <v>400</v>
      </c>
      <c r="E7" s="160">
        <v>120</v>
      </c>
      <c r="F7" s="161">
        <f>'c111'!E13</f>
        <v>0</v>
      </c>
      <c r="G7" s="162">
        <f t="shared" si="0"/>
        <v>0</v>
      </c>
      <c r="H7" s="163">
        <f t="shared" si="1"/>
        <v>0</v>
      </c>
      <c r="I7" s="163">
        <f>30*BC!$B$47/E7</f>
        <v>0</v>
      </c>
      <c r="J7" s="163">
        <f t="shared" si="2"/>
        <v>0</v>
      </c>
      <c r="K7" s="163">
        <f t="shared" si="3"/>
        <v>0</v>
      </c>
      <c r="L7" s="65">
        <f t="shared" si="4"/>
        <v>0</v>
      </c>
      <c r="M7" s="61">
        <v>83</v>
      </c>
      <c r="N7" s="61">
        <f t="shared" si="5"/>
        <v>0</v>
      </c>
      <c r="O7" s="61">
        <f t="shared" si="6"/>
        <v>0.20749999999999999</v>
      </c>
      <c r="P7" s="71" t="e">
        <f>O7+$O$62+((BC!$F$125)/'c111 DETERMIACION'!$F$32)</f>
        <v>#DIV/0!</v>
      </c>
      <c r="Q7" s="71" t="e">
        <f t="shared" si="7"/>
        <v>#DIV/0!</v>
      </c>
      <c r="R7" s="70" t="e">
        <f t="shared" si="8"/>
        <v>#DIV/0!</v>
      </c>
      <c r="S7" s="70" t="e">
        <f t="shared" si="9"/>
        <v>#DIV/0!</v>
      </c>
    </row>
    <row r="8" spans="1:21" x14ac:dyDescent="0.45">
      <c r="A8" s="62"/>
      <c r="B8" s="395">
        <v>4657594190</v>
      </c>
      <c r="C8" s="396" t="s">
        <v>40</v>
      </c>
      <c r="D8" s="159">
        <v>200</v>
      </c>
      <c r="E8" s="160">
        <v>120</v>
      </c>
      <c r="F8" s="161">
        <f>'c111'!E14</f>
        <v>0</v>
      </c>
      <c r="G8" s="162">
        <f t="shared" si="0"/>
        <v>0</v>
      </c>
      <c r="H8" s="163">
        <f t="shared" si="1"/>
        <v>0</v>
      </c>
      <c r="I8" s="163">
        <f>30*BC!$B$47/E8</f>
        <v>0</v>
      </c>
      <c r="J8" s="163">
        <f t="shared" si="2"/>
        <v>0</v>
      </c>
      <c r="K8" s="163">
        <f t="shared" si="3"/>
        <v>0</v>
      </c>
      <c r="L8" s="65">
        <f t="shared" si="4"/>
        <v>0</v>
      </c>
      <c r="M8" s="61">
        <v>63</v>
      </c>
      <c r="N8" s="61">
        <f t="shared" si="5"/>
        <v>0</v>
      </c>
      <c r="O8" s="61">
        <f t="shared" si="6"/>
        <v>0.315</v>
      </c>
      <c r="P8" s="71" t="e">
        <f>O8+$O$62+((BC!$F$125)/'c111 DETERMIACION'!$F$32)</f>
        <v>#DIV/0!</v>
      </c>
      <c r="Q8" s="71" t="e">
        <f t="shared" si="7"/>
        <v>#DIV/0!</v>
      </c>
      <c r="R8" s="70" t="e">
        <f t="shared" si="8"/>
        <v>#DIV/0!</v>
      </c>
      <c r="S8" s="70" t="e">
        <f t="shared" si="9"/>
        <v>#DIV/0!</v>
      </c>
    </row>
    <row r="9" spans="1:21" x14ac:dyDescent="0.45">
      <c r="A9" s="62"/>
      <c r="B9" s="395">
        <v>4718569190</v>
      </c>
      <c r="C9" s="396" t="s">
        <v>39</v>
      </c>
      <c r="D9" s="159">
        <v>400</v>
      </c>
      <c r="E9" s="160">
        <v>120</v>
      </c>
      <c r="F9" s="161">
        <f>'c111'!E15</f>
        <v>0</v>
      </c>
      <c r="G9" s="162">
        <f t="shared" si="0"/>
        <v>0</v>
      </c>
      <c r="H9" s="163">
        <f t="shared" si="1"/>
        <v>0</v>
      </c>
      <c r="I9" s="163">
        <f>30*BC!$B$47/E9</f>
        <v>0</v>
      </c>
      <c r="J9" s="163">
        <f t="shared" si="2"/>
        <v>0</v>
      </c>
      <c r="K9" s="163">
        <f t="shared" si="3"/>
        <v>0</v>
      </c>
      <c r="L9" s="65">
        <f t="shared" si="4"/>
        <v>0</v>
      </c>
      <c r="M9" s="61">
        <v>103</v>
      </c>
      <c r="N9" s="61">
        <f t="shared" si="5"/>
        <v>0</v>
      </c>
      <c r="O9" s="61">
        <f t="shared" si="6"/>
        <v>0.25750000000000001</v>
      </c>
      <c r="P9" s="71" t="e">
        <f>O9+$O$62+((BC!$F$125)/'c111 DETERMIACION'!$F$32)</f>
        <v>#DIV/0!</v>
      </c>
      <c r="Q9" s="71" t="e">
        <f t="shared" si="7"/>
        <v>#DIV/0!</v>
      </c>
      <c r="R9" s="70" t="e">
        <f t="shared" si="8"/>
        <v>#DIV/0!</v>
      </c>
      <c r="S9" s="70" t="e">
        <f t="shared" si="9"/>
        <v>#DIV/0!</v>
      </c>
    </row>
    <row r="10" spans="1:21" x14ac:dyDescent="0.45">
      <c r="A10" s="62"/>
      <c r="B10" s="395">
        <v>4657543190</v>
      </c>
      <c r="C10" s="396" t="s">
        <v>38</v>
      </c>
      <c r="D10" s="159">
        <v>400</v>
      </c>
      <c r="E10" s="160">
        <v>120</v>
      </c>
      <c r="F10" s="161">
        <f>'c111'!E16</f>
        <v>0</v>
      </c>
      <c r="G10" s="162">
        <f t="shared" si="0"/>
        <v>0</v>
      </c>
      <c r="H10" s="163">
        <f t="shared" si="1"/>
        <v>0</v>
      </c>
      <c r="I10" s="163">
        <f>30*BC!$B$47/E10</f>
        <v>0</v>
      </c>
      <c r="J10" s="163">
        <f t="shared" si="2"/>
        <v>0</v>
      </c>
      <c r="K10" s="163">
        <f t="shared" si="3"/>
        <v>0</v>
      </c>
      <c r="L10" s="65">
        <f t="shared" si="4"/>
        <v>0</v>
      </c>
      <c r="M10" s="61">
        <v>100</v>
      </c>
      <c r="N10" s="61">
        <f t="shared" si="5"/>
        <v>0</v>
      </c>
      <c r="O10" s="61">
        <f t="shared" si="6"/>
        <v>0.25</v>
      </c>
      <c r="P10" s="71" t="e">
        <f>O10+$O$62+((BC!$F$125)/'c111 DETERMIACION'!$F$32)</f>
        <v>#DIV/0!</v>
      </c>
      <c r="Q10" s="71" t="e">
        <f t="shared" si="7"/>
        <v>#DIV/0!</v>
      </c>
      <c r="R10" s="70" t="e">
        <f t="shared" si="8"/>
        <v>#DIV/0!</v>
      </c>
      <c r="S10" s="70" t="e">
        <f t="shared" si="9"/>
        <v>#DIV/0!</v>
      </c>
    </row>
    <row r="11" spans="1:21" x14ac:dyDescent="0.45">
      <c r="A11" s="62"/>
      <c r="B11" s="395">
        <v>4657373190</v>
      </c>
      <c r="C11" s="396" t="s">
        <v>37</v>
      </c>
      <c r="D11" s="159">
        <v>200</v>
      </c>
      <c r="E11" s="160">
        <v>120</v>
      </c>
      <c r="F11" s="161">
        <f>'c111'!E17</f>
        <v>0</v>
      </c>
      <c r="G11" s="162">
        <f t="shared" si="0"/>
        <v>0</v>
      </c>
      <c r="H11" s="163">
        <f t="shared" si="1"/>
        <v>0</v>
      </c>
      <c r="I11" s="163">
        <f>30*BC!$B$47/E11</f>
        <v>0</v>
      </c>
      <c r="J11" s="163">
        <f t="shared" si="2"/>
        <v>0</v>
      </c>
      <c r="K11" s="163">
        <f t="shared" si="3"/>
        <v>0</v>
      </c>
      <c r="L11" s="65">
        <f t="shared" si="4"/>
        <v>0</v>
      </c>
      <c r="M11" s="61">
        <v>107</v>
      </c>
      <c r="N11" s="61">
        <f t="shared" si="5"/>
        <v>0</v>
      </c>
      <c r="O11" s="61">
        <f t="shared" si="6"/>
        <v>0.53500000000000003</v>
      </c>
      <c r="P11" s="71" t="e">
        <f>O11+$O$62+((BC!$F$125)/'c111 DETERMIACION'!$F$32)</f>
        <v>#DIV/0!</v>
      </c>
      <c r="Q11" s="71" t="e">
        <f t="shared" si="7"/>
        <v>#DIV/0!</v>
      </c>
      <c r="R11" s="70" t="e">
        <f t="shared" si="8"/>
        <v>#DIV/0!</v>
      </c>
      <c r="S11" s="70" t="e">
        <f t="shared" si="9"/>
        <v>#DIV/0!</v>
      </c>
    </row>
    <row r="12" spans="1:21" x14ac:dyDescent="0.45">
      <c r="A12" s="62"/>
      <c r="B12" s="398">
        <v>5795648190</v>
      </c>
      <c r="C12" s="396" t="s">
        <v>36</v>
      </c>
      <c r="D12" s="159">
        <v>400</v>
      </c>
      <c r="E12" s="160">
        <v>120</v>
      </c>
      <c r="F12" s="161">
        <f>'c111'!E18</f>
        <v>0</v>
      </c>
      <c r="G12" s="162">
        <f t="shared" si="0"/>
        <v>0</v>
      </c>
      <c r="H12" s="163">
        <f t="shared" si="1"/>
        <v>0</v>
      </c>
      <c r="I12" s="163">
        <f>30*BC!$B$47/E12</f>
        <v>0</v>
      </c>
      <c r="J12" s="163">
        <f t="shared" si="2"/>
        <v>0</v>
      </c>
      <c r="K12" s="163">
        <f t="shared" si="3"/>
        <v>0</v>
      </c>
      <c r="L12" s="65">
        <f t="shared" si="4"/>
        <v>0</v>
      </c>
      <c r="M12" s="61">
        <v>78</v>
      </c>
      <c r="N12" s="61">
        <f t="shared" si="5"/>
        <v>0</v>
      </c>
      <c r="O12" s="61">
        <f t="shared" si="6"/>
        <v>0.19500000000000001</v>
      </c>
      <c r="P12" s="71" t="e">
        <f>O12+$O$62+((BC!$F$125)/'c111 DETERMIACION'!$F$32)</f>
        <v>#DIV/0!</v>
      </c>
      <c r="Q12" s="71" t="e">
        <f t="shared" si="7"/>
        <v>#DIV/0!</v>
      </c>
      <c r="R12" s="70" t="e">
        <f t="shared" si="8"/>
        <v>#DIV/0!</v>
      </c>
      <c r="S12" s="70" t="e">
        <f t="shared" si="9"/>
        <v>#DIV/0!</v>
      </c>
    </row>
    <row r="13" spans="1:21" x14ac:dyDescent="0.45">
      <c r="A13" s="62"/>
      <c r="B13" s="395">
        <v>5589134190</v>
      </c>
      <c r="C13" s="396" t="s">
        <v>35</v>
      </c>
      <c r="D13" s="159">
        <v>100</v>
      </c>
      <c r="E13" s="160">
        <v>60</v>
      </c>
      <c r="F13" s="161">
        <f>'c111'!E19</f>
        <v>0</v>
      </c>
      <c r="G13" s="162">
        <f t="shared" si="0"/>
        <v>0</v>
      </c>
      <c r="H13" s="163">
        <f t="shared" si="1"/>
        <v>0</v>
      </c>
      <c r="I13" s="163">
        <f>30*BC!$B$47/E13</f>
        <v>0</v>
      </c>
      <c r="J13" s="163">
        <f t="shared" si="2"/>
        <v>0</v>
      </c>
      <c r="K13" s="163">
        <f t="shared" si="3"/>
        <v>0</v>
      </c>
      <c r="L13" s="65">
        <f t="shared" si="4"/>
        <v>0</v>
      </c>
      <c r="M13" s="61">
        <v>58</v>
      </c>
      <c r="N13" s="61">
        <f t="shared" si="5"/>
        <v>0</v>
      </c>
      <c r="O13" s="61">
        <f t="shared" si="6"/>
        <v>0.57999999999999996</v>
      </c>
      <c r="P13" s="71" t="e">
        <f>O13+$O$62+((BC!$F$125)/'c111 DETERMIACION'!$F$32)</f>
        <v>#DIV/0!</v>
      </c>
      <c r="Q13" s="71" t="e">
        <f t="shared" si="7"/>
        <v>#DIV/0!</v>
      </c>
      <c r="R13" s="70" t="e">
        <f t="shared" si="8"/>
        <v>#DIV/0!</v>
      </c>
      <c r="S13" s="70" t="e">
        <f t="shared" si="9"/>
        <v>#DIV/0!</v>
      </c>
    </row>
    <row r="14" spans="1:21" x14ac:dyDescent="0.45">
      <c r="A14" s="54">
        <f>SUM(G14+G19)</f>
        <v>0</v>
      </c>
      <c r="B14" s="395">
        <v>7528604190</v>
      </c>
      <c r="C14" s="396" t="s">
        <v>34</v>
      </c>
      <c r="D14" s="159">
        <v>200</v>
      </c>
      <c r="E14" s="160">
        <v>60</v>
      </c>
      <c r="F14" s="161">
        <f>'c111'!E20</f>
        <v>0</v>
      </c>
      <c r="G14" s="162">
        <f t="shared" si="0"/>
        <v>0</v>
      </c>
      <c r="H14" s="163">
        <f t="shared" si="1"/>
        <v>0</v>
      </c>
      <c r="I14" s="163">
        <f>30*BC!$B$47/E14</f>
        <v>0</v>
      </c>
      <c r="J14" s="163">
        <f t="shared" si="2"/>
        <v>0</v>
      </c>
      <c r="K14" s="163">
        <f t="shared" si="3"/>
        <v>0</v>
      </c>
      <c r="L14" s="65">
        <f t="shared" si="4"/>
        <v>0</v>
      </c>
      <c r="M14" s="61">
        <v>222</v>
      </c>
      <c r="N14" s="61">
        <f t="shared" si="5"/>
        <v>0</v>
      </c>
      <c r="O14" s="61">
        <f t="shared" si="6"/>
        <v>1.1100000000000001</v>
      </c>
      <c r="P14" s="71" t="e">
        <f>O14+$O$62+((BC!$F$125)/'c111 DETERMIACION'!$F$32)</f>
        <v>#DIV/0!</v>
      </c>
      <c r="Q14" s="71" t="e">
        <f t="shared" si="7"/>
        <v>#DIV/0!</v>
      </c>
      <c r="R14" s="70" t="e">
        <f t="shared" si="8"/>
        <v>#DIV/0!</v>
      </c>
      <c r="S14" s="70" t="e">
        <f t="shared" si="9"/>
        <v>#DIV/0!</v>
      </c>
    </row>
    <row r="15" spans="1:21" x14ac:dyDescent="0.45">
      <c r="A15" s="62"/>
      <c r="B15" s="399">
        <v>5401496190</v>
      </c>
      <c r="C15" s="400" t="s">
        <v>33</v>
      </c>
      <c r="D15" s="159">
        <v>200</v>
      </c>
      <c r="E15" s="160">
        <v>60</v>
      </c>
      <c r="F15" s="161">
        <f>'c111'!E21</f>
        <v>0</v>
      </c>
      <c r="G15" s="162">
        <f t="shared" si="0"/>
        <v>0</v>
      </c>
      <c r="H15" s="163">
        <f t="shared" si="1"/>
        <v>0</v>
      </c>
      <c r="I15" s="163">
        <f>30*BC!$B$47/E15</f>
        <v>0</v>
      </c>
      <c r="J15" s="163">
        <f t="shared" si="2"/>
        <v>0</v>
      </c>
      <c r="K15" s="163">
        <f t="shared" si="3"/>
        <v>0</v>
      </c>
      <c r="L15" s="65">
        <f t="shared" si="4"/>
        <v>0</v>
      </c>
      <c r="M15" s="61">
        <v>138</v>
      </c>
      <c r="N15" s="61">
        <f t="shared" si="5"/>
        <v>0</v>
      </c>
      <c r="O15" s="61">
        <f t="shared" si="6"/>
        <v>0.69</v>
      </c>
      <c r="P15" s="71" t="e">
        <f>O15+$O$62+((BC!$F$125)/'c111 DETERMIACION'!$F$32)</f>
        <v>#DIV/0!</v>
      </c>
      <c r="Q15" s="71" t="e">
        <f t="shared" si="7"/>
        <v>#DIV/0!</v>
      </c>
      <c r="R15" s="70" t="e">
        <f t="shared" si="8"/>
        <v>#DIV/0!</v>
      </c>
      <c r="S15" s="70" t="e">
        <f t="shared" si="9"/>
        <v>#DIV/0!</v>
      </c>
    </row>
    <row r="16" spans="1:21" x14ac:dyDescent="0.45">
      <c r="A16" s="62"/>
      <c r="B16" s="399">
        <v>5401704190</v>
      </c>
      <c r="C16" s="400" t="s">
        <v>32</v>
      </c>
      <c r="D16" s="159">
        <v>100</v>
      </c>
      <c r="E16" s="160">
        <v>60</v>
      </c>
      <c r="F16" s="161">
        <f>'c111'!E22</f>
        <v>0</v>
      </c>
      <c r="G16" s="162">
        <f t="shared" si="0"/>
        <v>0</v>
      </c>
      <c r="H16" s="163">
        <f t="shared" si="1"/>
        <v>0</v>
      </c>
      <c r="I16" s="163">
        <f>30*BC!$B$47/E16</f>
        <v>0</v>
      </c>
      <c r="J16" s="163">
        <f t="shared" si="2"/>
        <v>0</v>
      </c>
      <c r="K16" s="163">
        <f t="shared" si="3"/>
        <v>0</v>
      </c>
      <c r="L16" s="65">
        <f t="shared" si="4"/>
        <v>0</v>
      </c>
      <c r="M16" s="61">
        <v>132</v>
      </c>
      <c r="N16" s="61">
        <f t="shared" si="5"/>
        <v>0</v>
      </c>
      <c r="O16" s="61">
        <f t="shared" si="6"/>
        <v>1.32</v>
      </c>
      <c r="P16" s="71" t="e">
        <f>O16+$O$62+((BC!$F$125)/'c111 DETERMIACION'!$F$32)</f>
        <v>#DIV/0!</v>
      </c>
      <c r="Q16" s="71" t="e">
        <f t="shared" si="7"/>
        <v>#DIV/0!</v>
      </c>
      <c r="R16" s="70" t="e">
        <f t="shared" si="8"/>
        <v>#DIV/0!</v>
      </c>
      <c r="S16" s="70" t="e">
        <f t="shared" si="9"/>
        <v>#DIV/0!</v>
      </c>
    </row>
    <row r="17" spans="1:19" x14ac:dyDescent="0.45">
      <c r="A17" s="62"/>
      <c r="B17" s="399">
        <v>5401461190</v>
      </c>
      <c r="C17" s="395" t="s">
        <v>31</v>
      </c>
      <c r="D17" s="159">
        <v>200</v>
      </c>
      <c r="E17" s="160">
        <v>60</v>
      </c>
      <c r="F17" s="161">
        <f>'c111'!E23</f>
        <v>0</v>
      </c>
      <c r="G17" s="162">
        <f t="shared" si="0"/>
        <v>0</v>
      </c>
      <c r="H17" s="163">
        <f t="shared" si="1"/>
        <v>0</v>
      </c>
      <c r="I17" s="163">
        <f>30*BC!$B$47/E17</f>
        <v>0</v>
      </c>
      <c r="J17" s="163">
        <f t="shared" si="2"/>
        <v>0</v>
      </c>
      <c r="K17" s="163">
        <f t="shared" si="3"/>
        <v>0</v>
      </c>
      <c r="L17" s="65">
        <f t="shared" si="4"/>
        <v>0</v>
      </c>
      <c r="M17" s="61">
        <v>67</v>
      </c>
      <c r="N17" s="61">
        <f t="shared" si="5"/>
        <v>0</v>
      </c>
      <c r="O17" s="61">
        <f t="shared" si="6"/>
        <v>0.33500000000000002</v>
      </c>
      <c r="P17" s="71" t="e">
        <f>O17+$O$62+((BC!$F$125)/'c111 DETERMIACION'!$F$32)</f>
        <v>#DIV/0!</v>
      </c>
      <c r="Q17" s="71" t="e">
        <f t="shared" si="7"/>
        <v>#DIV/0!</v>
      </c>
      <c r="R17" s="70" t="e">
        <f t="shared" si="8"/>
        <v>#DIV/0!</v>
      </c>
      <c r="S17" s="70" t="e">
        <f t="shared" si="9"/>
        <v>#DIV/0!</v>
      </c>
    </row>
    <row r="18" spans="1:19" x14ac:dyDescent="0.45">
      <c r="A18" s="62"/>
      <c r="B18" s="401">
        <v>4657357190</v>
      </c>
      <c r="C18" s="402" t="s">
        <v>30</v>
      </c>
      <c r="D18" s="159">
        <v>400</v>
      </c>
      <c r="E18" s="160">
        <v>120</v>
      </c>
      <c r="F18" s="161">
        <f>'c111'!E24</f>
        <v>0</v>
      </c>
      <c r="G18" s="162">
        <f t="shared" si="0"/>
        <v>0</v>
      </c>
      <c r="H18" s="163">
        <f t="shared" si="1"/>
        <v>0</v>
      </c>
      <c r="I18" s="163">
        <f>30*BC!$B$47/E18</f>
        <v>0</v>
      </c>
      <c r="J18" s="163">
        <f t="shared" si="2"/>
        <v>0</v>
      </c>
      <c r="K18" s="163">
        <f t="shared" si="3"/>
        <v>0</v>
      </c>
      <c r="L18" s="65">
        <f t="shared" si="4"/>
        <v>0</v>
      </c>
      <c r="M18" s="61">
        <v>85</v>
      </c>
      <c r="N18" s="61">
        <f t="shared" si="5"/>
        <v>0</v>
      </c>
      <c r="O18" s="61">
        <f t="shared" si="6"/>
        <v>0.21249999999999999</v>
      </c>
      <c r="P18" s="71" t="e">
        <f>O18+$O$62+((BC!$F$125)/'c111 DETERMIACION'!$F$32)</f>
        <v>#DIV/0!</v>
      </c>
      <c r="Q18" s="71" t="e">
        <f t="shared" si="7"/>
        <v>#DIV/0!</v>
      </c>
      <c r="R18" s="70" t="e">
        <f t="shared" si="8"/>
        <v>#DIV/0!</v>
      </c>
      <c r="S18" s="70" t="e">
        <f t="shared" si="9"/>
        <v>#DIV/0!</v>
      </c>
    </row>
    <row r="19" spans="1:19" x14ac:dyDescent="0.45">
      <c r="A19" s="62"/>
      <c r="B19" s="395">
        <v>7005806190</v>
      </c>
      <c r="C19" s="396" t="s">
        <v>29</v>
      </c>
      <c r="D19" s="159">
        <v>100</v>
      </c>
      <c r="E19" s="160">
        <v>60</v>
      </c>
      <c r="F19" s="161">
        <f>'c111'!E25</f>
        <v>0</v>
      </c>
      <c r="G19" s="162">
        <f t="shared" si="0"/>
        <v>0</v>
      </c>
      <c r="H19" s="163">
        <f t="shared" si="1"/>
        <v>0</v>
      </c>
      <c r="I19" s="163">
        <f>30*BC!$B$47/E19</f>
        <v>0</v>
      </c>
      <c r="J19" s="163">
        <f t="shared" si="2"/>
        <v>0</v>
      </c>
      <c r="K19" s="163">
        <f t="shared" si="3"/>
        <v>0</v>
      </c>
      <c r="L19" s="65">
        <f t="shared" si="4"/>
        <v>0</v>
      </c>
      <c r="M19" s="61">
        <v>109</v>
      </c>
      <c r="N19" s="61">
        <f t="shared" si="5"/>
        <v>0</v>
      </c>
      <c r="O19" s="61">
        <f t="shared" si="6"/>
        <v>1.0900000000000001</v>
      </c>
      <c r="P19" s="71" t="e">
        <f>O19+$O$62+((BC!$F$125)/'c111 DETERMIACION'!$F$32)</f>
        <v>#DIV/0!</v>
      </c>
      <c r="Q19" s="71" t="e">
        <f t="shared" si="7"/>
        <v>#DIV/0!</v>
      </c>
      <c r="R19" s="70" t="e">
        <f t="shared" si="8"/>
        <v>#DIV/0!</v>
      </c>
      <c r="S19" s="70" t="e">
        <f t="shared" si="9"/>
        <v>#DIV/0!</v>
      </c>
    </row>
    <row r="20" spans="1:19" x14ac:dyDescent="0.45">
      <c r="A20" s="62"/>
      <c r="B20" s="398">
        <v>5061504190</v>
      </c>
      <c r="C20" s="403" t="s">
        <v>28</v>
      </c>
      <c r="D20" s="159">
        <v>400</v>
      </c>
      <c r="E20" s="160">
        <v>120</v>
      </c>
      <c r="F20" s="161">
        <f>'c111'!E26</f>
        <v>0</v>
      </c>
      <c r="G20" s="162">
        <f t="shared" si="0"/>
        <v>0</v>
      </c>
      <c r="H20" s="163">
        <f t="shared" si="1"/>
        <v>0</v>
      </c>
      <c r="I20" s="163">
        <f>30*BC!$B$47/E20</f>
        <v>0</v>
      </c>
      <c r="J20" s="163">
        <f t="shared" si="2"/>
        <v>0</v>
      </c>
      <c r="K20" s="163">
        <f t="shared" si="3"/>
        <v>0</v>
      </c>
      <c r="L20" s="65">
        <f t="shared" si="4"/>
        <v>0</v>
      </c>
      <c r="M20" s="61">
        <v>169</v>
      </c>
      <c r="N20" s="61">
        <f t="shared" si="5"/>
        <v>0</v>
      </c>
      <c r="O20" s="61">
        <f t="shared" si="6"/>
        <v>0.42249999999999999</v>
      </c>
      <c r="P20" s="71" t="e">
        <f>O20+$O$62+((BC!$F$125)/'c111 DETERMIACION'!$F$32)</f>
        <v>#DIV/0!</v>
      </c>
      <c r="Q20" s="71" t="e">
        <f t="shared" si="7"/>
        <v>#DIV/0!</v>
      </c>
      <c r="R20" s="70" t="e">
        <f t="shared" si="8"/>
        <v>#DIV/0!</v>
      </c>
      <c r="S20" s="70" t="e">
        <f t="shared" si="9"/>
        <v>#DIV/0!</v>
      </c>
    </row>
    <row r="21" spans="1:19" x14ac:dyDescent="0.45">
      <c r="A21" s="62"/>
      <c r="B21" s="398">
        <v>7442017190</v>
      </c>
      <c r="C21" s="403" t="s">
        <v>27</v>
      </c>
      <c r="D21" s="159">
        <v>200</v>
      </c>
      <c r="E21" s="160">
        <v>60</v>
      </c>
      <c r="F21" s="161">
        <f>'c111'!E27</f>
        <v>0</v>
      </c>
      <c r="G21" s="162">
        <f t="shared" si="0"/>
        <v>0</v>
      </c>
      <c r="H21" s="163">
        <f t="shared" si="1"/>
        <v>0</v>
      </c>
      <c r="I21" s="163">
        <f>30*BC!$B$47/E21</f>
        <v>0</v>
      </c>
      <c r="J21" s="163">
        <f t="shared" si="2"/>
        <v>0</v>
      </c>
      <c r="K21" s="163">
        <f t="shared" si="3"/>
        <v>0</v>
      </c>
      <c r="L21" s="65">
        <f t="shared" si="4"/>
        <v>0</v>
      </c>
      <c r="M21" s="61">
        <v>140</v>
      </c>
      <c r="N21" s="61">
        <f t="shared" si="5"/>
        <v>0</v>
      </c>
      <c r="O21" s="61">
        <f t="shared" si="6"/>
        <v>0.7</v>
      </c>
      <c r="P21" s="71" t="e">
        <f>O21+$O$62+((BC!$F$125)/'c111 DETERMIACION'!$F$32)</f>
        <v>#DIV/0!</v>
      </c>
      <c r="Q21" s="71" t="e">
        <f t="shared" si="7"/>
        <v>#DIV/0!</v>
      </c>
      <c r="R21" s="70" t="e">
        <f t="shared" si="8"/>
        <v>#DIV/0!</v>
      </c>
      <c r="S21" s="70" t="e">
        <f t="shared" si="9"/>
        <v>#DIV/0!</v>
      </c>
    </row>
    <row r="22" spans="1:19" x14ac:dyDescent="0.45">
      <c r="A22" s="62"/>
      <c r="B22" s="398">
        <v>5401674190</v>
      </c>
      <c r="C22" s="403" t="s">
        <v>26</v>
      </c>
      <c r="D22" s="159">
        <v>100</v>
      </c>
      <c r="E22" s="160">
        <v>60</v>
      </c>
      <c r="F22" s="161">
        <f>'c111'!E28</f>
        <v>0</v>
      </c>
      <c r="G22" s="162">
        <f t="shared" si="0"/>
        <v>0</v>
      </c>
      <c r="H22" s="163">
        <f t="shared" si="1"/>
        <v>0</v>
      </c>
      <c r="I22" s="163">
        <f>30*BC!$B$47/E22</f>
        <v>0</v>
      </c>
      <c r="J22" s="163">
        <f t="shared" si="2"/>
        <v>0</v>
      </c>
      <c r="K22" s="163">
        <f t="shared" si="3"/>
        <v>0</v>
      </c>
      <c r="L22" s="65">
        <f t="shared" si="4"/>
        <v>0</v>
      </c>
      <c r="M22" s="61">
        <v>128</v>
      </c>
      <c r="N22" s="61">
        <f t="shared" si="5"/>
        <v>0</v>
      </c>
      <c r="O22" s="61">
        <f t="shared" si="6"/>
        <v>1.28</v>
      </c>
      <c r="P22" s="71" t="e">
        <f>O22+$O$62+((BC!$F$125)/'c111 DETERMIACION'!$F$32)</f>
        <v>#DIV/0!</v>
      </c>
      <c r="Q22" s="71" t="e">
        <f t="shared" si="7"/>
        <v>#DIV/0!</v>
      </c>
      <c r="R22" s="70" t="e">
        <f t="shared" si="8"/>
        <v>#DIV/0!</v>
      </c>
      <c r="S22" s="70" t="e">
        <f t="shared" si="9"/>
        <v>#DIV/0!</v>
      </c>
    </row>
    <row r="23" spans="1:19" x14ac:dyDescent="0.45">
      <c r="A23" s="62"/>
      <c r="B23" s="398">
        <v>5336180190</v>
      </c>
      <c r="C23" s="403" t="s">
        <v>25</v>
      </c>
      <c r="D23" s="159">
        <v>200</v>
      </c>
      <c r="E23" s="160">
        <v>60</v>
      </c>
      <c r="F23" s="161">
        <f>'c111'!E29</f>
        <v>0</v>
      </c>
      <c r="G23" s="162">
        <f t="shared" si="0"/>
        <v>0</v>
      </c>
      <c r="H23" s="163">
        <f t="shared" si="1"/>
        <v>0</v>
      </c>
      <c r="I23" s="163">
        <f>30*BC!$B$47/E23</f>
        <v>0</v>
      </c>
      <c r="J23" s="163">
        <f t="shared" si="2"/>
        <v>0</v>
      </c>
      <c r="K23" s="163">
        <f t="shared" si="3"/>
        <v>0</v>
      </c>
      <c r="L23" s="65">
        <f t="shared" si="4"/>
        <v>0</v>
      </c>
      <c r="M23" s="61">
        <v>310</v>
      </c>
      <c r="N23" s="61">
        <f t="shared" si="5"/>
        <v>0</v>
      </c>
      <c r="O23" s="61">
        <f t="shared" si="6"/>
        <v>1.55</v>
      </c>
      <c r="P23" s="71" t="e">
        <f>O23+$O$62+((BC!$F$125)/'c111 DETERMIACION'!$F$32)</f>
        <v>#DIV/0!</v>
      </c>
      <c r="Q23" s="71" t="e">
        <f t="shared" si="7"/>
        <v>#DIV/0!</v>
      </c>
      <c r="R23" s="70" t="e">
        <f t="shared" si="8"/>
        <v>#DIV/0!</v>
      </c>
      <c r="S23" s="70" t="e">
        <f t="shared" si="9"/>
        <v>#DIV/0!</v>
      </c>
    </row>
    <row r="24" spans="1:19" x14ac:dyDescent="0.45">
      <c r="A24" s="62"/>
      <c r="B24" s="398">
        <v>5401658190</v>
      </c>
      <c r="C24" s="403" t="s">
        <v>24</v>
      </c>
      <c r="D24" s="159">
        <v>100</v>
      </c>
      <c r="E24" s="160">
        <v>60</v>
      </c>
      <c r="F24" s="161">
        <f>'c111'!E30</f>
        <v>0</v>
      </c>
      <c r="G24" s="162">
        <f t="shared" si="0"/>
        <v>0</v>
      </c>
      <c r="H24" s="163">
        <f t="shared" si="1"/>
        <v>0</v>
      </c>
      <c r="I24" s="163">
        <f>30*BC!$B$47/E24</f>
        <v>0</v>
      </c>
      <c r="J24" s="163">
        <f t="shared" si="2"/>
        <v>0</v>
      </c>
      <c r="K24" s="163">
        <f t="shared" si="3"/>
        <v>0</v>
      </c>
      <c r="L24" s="65">
        <f t="shared" si="4"/>
        <v>0</v>
      </c>
      <c r="M24" s="61">
        <v>87</v>
      </c>
      <c r="N24" s="61">
        <f t="shared" si="5"/>
        <v>0</v>
      </c>
      <c r="O24" s="61">
        <f t="shared" si="6"/>
        <v>0.87</v>
      </c>
      <c r="P24" s="71" t="e">
        <f>O24+$O$62+((BC!$F$125)/'c111 DETERMIACION'!$F$32)</f>
        <v>#DIV/0!</v>
      </c>
      <c r="Q24" s="71" t="e">
        <f t="shared" si="7"/>
        <v>#DIV/0!</v>
      </c>
      <c r="R24" s="70" t="e">
        <f t="shared" si="8"/>
        <v>#DIV/0!</v>
      </c>
      <c r="S24" s="70" t="e">
        <f t="shared" si="9"/>
        <v>#DIV/0!</v>
      </c>
    </row>
    <row r="25" spans="1:19" x14ac:dyDescent="0.45">
      <c r="A25" s="62"/>
      <c r="B25" s="398">
        <v>4657586190</v>
      </c>
      <c r="C25" s="403" t="s">
        <v>23</v>
      </c>
      <c r="D25" s="159">
        <v>400</v>
      </c>
      <c r="E25" s="160">
        <v>120</v>
      </c>
      <c r="F25" s="161">
        <f>'c111'!E31</f>
        <v>0</v>
      </c>
      <c r="G25" s="162">
        <f t="shared" si="0"/>
        <v>0</v>
      </c>
      <c r="H25" s="163">
        <f t="shared" si="1"/>
        <v>0</v>
      </c>
      <c r="I25" s="163">
        <f>30*BC!$B$47/E25</f>
        <v>0</v>
      </c>
      <c r="J25" s="163">
        <f t="shared" si="2"/>
        <v>0</v>
      </c>
      <c r="K25" s="163">
        <f t="shared" si="3"/>
        <v>0</v>
      </c>
      <c r="L25" s="65">
        <f t="shared" si="4"/>
        <v>0</v>
      </c>
      <c r="M25" s="61">
        <v>80</v>
      </c>
      <c r="N25" s="61">
        <f t="shared" si="5"/>
        <v>0</v>
      </c>
      <c r="O25" s="61">
        <f t="shared" si="6"/>
        <v>0.2</v>
      </c>
      <c r="P25" s="71" t="e">
        <f>O25+$O$62+((BC!$F$125)/'c111 DETERMIACION'!$F$32)</f>
        <v>#DIV/0!</v>
      </c>
      <c r="Q25" s="71" t="e">
        <f t="shared" si="7"/>
        <v>#DIV/0!</v>
      </c>
      <c r="R25" s="70" t="e">
        <f t="shared" si="8"/>
        <v>#DIV/0!</v>
      </c>
      <c r="S25" s="70" t="e">
        <f t="shared" si="9"/>
        <v>#DIV/0!</v>
      </c>
    </row>
    <row r="26" spans="1:19" x14ac:dyDescent="0.45">
      <c r="A26" s="62"/>
      <c r="B26" s="398">
        <v>7876432190</v>
      </c>
      <c r="C26" s="396" t="s">
        <v>22</v>
      </c>
      <c r="D26" s="159">
        <v>200</v>
      </c>
      <c r="E26" s="160">
        <v>60</v>
      </c>
      <c r="F26" s="161">
        <f>'c111'!E32</f>
        <v>0</v>
      </c>
      <c r="G26" s="162">
        <f t="shared" si="0"/>
        <v>0</v>
      </c>
      <c r="H26" s="163">
        <f t="shared" si="1"/>
        <v>0</v>
      </c>
      <c r="I26" s="163">
        <f>30*BC!$B$47/E26</f>
        <v>0</v>
      </c>
      <c r="J26" s="163">
        <f t="shared" si="2"/>
        <v>0</v>
      </c>
      <c r="K26" s="163">
        <f t="shared" si="3"/>
        <v>0</v>
      </c>
      <c r="L26" s="65">
        <f t="shared" si="4"/>
        <v>0</v>
      </c>
      <c r="M26" s="61">
        <v>180</v>
      </c>
      <c r="N26" s="61">
        <f t="shared" si="5"/>
        <v>0</v>
      </c>
      <c r="O26" s="61">
        <f t="shared" si="6"/>
        <v>0.9</v>
      </c>
      <c r="P26" s="71" t="e">
        <f>O26+$O$62+((BC!$F$125)/'c111 DETERMIACION'!$F$32)</f>
        <v>#DIV/0!</v>
      </c>
      <c r="Q26" s="71" t="e">
        <f t="shared" si="7"/>
        <v>#DIV/0!</v>
      </c>
      <c r="R26" s="70" t="e">
        <f t="shared" si="8"/>
        <v>#DIV/0!</v>
      </c>
      <c r="S26" s="70" t="e">
        <f t="shared" si="9"/>
        <v>#DIV/0!</v>
      </c>
    </row>
    <row r="27" spans="1:19" x14ac:dyDescent="0.45">
      <c r="A27" s="62"/>
      <c r="B27" s="398">
        <v>5077753190</v>
      </c>
      <c r="C27" s="403" t="s">
        <v>21</v>
      </c>
      <c r="D27" s="159">
        <v>200</v>
      </c>
      <c r="E27" s="160">
        <v>120</v>
      </c>
      <c r="F27" s="161">
        <f>'c111'!E33</f>
        <v>0</v>
      </c>
      <c r="G27" s="162">
        <f t="shared" si="0"/>
        <v>0</v>
      </c>
      <c r="H27" s="163">
        <f t="shared" si="1"/>
        <v>0</v>
      </c>
      <c r="I27" s="163">
        <f>30*BC!$B$47/E27</f>
        <v>0</v>
      </c>
      <c r="J27" s="163">
        <f t="shared" si="2"/>
        <v>0</v>
      </c>
      <c r="K27" s="163">
        <f t="shared" si="3"/>
        <v>0</v>
      </c>
      <c r="L27" s="65">
        <f t="shared" si="4"/>
        <v>0</v>
      </c>
      <c r="M27" s="61">
        <v>1015</v>
      </c>
      <c r="N27" s="61">
        <f t="shared" si="5"/>
        <v>0</v>
      </c>
      <c r="O27" s="61">
        <f>M27/D27</f>
        <v>5.0750000000000002</v>
      </c>
      <c r="P27" s="71" t="e">
        <f>O27+$O$62+((BC!$F$125)/'c111 DETERMIACION'!$F$32)</f>
        <v>#DIV/0!</v>
      </c>
      <c r="Q27" s="71" t="e">
        <f t="shared" si="7"/>
        <v>#DIV/0!</v>
      </c>
      <c r="R27" s="70" t="e">
        <f t="shared" si="8"/>
        <v>#DIV/0!</v>
      </c>
      <c r="S27" s="70" t="e">
        <f t="shared" si="9"/>
        <v>#DIV/0!</v>
      </c>
    </row>
    <row r="28" spans="1:19" x14ac:dyDescent="0.45">
      <c r="A28" s="62"/>
      <c r="B28" s="398">
        <v>5401780190</v>
      </c>
      <c r="C28" s="403" t="s">
        <v>20</v>
      </c>
      <c r="D28" s="159">
        <v>100</v>
      </c>
      <c r="E28" s="160">
        <v>60</v>
      </c>
      <c r="F28" s="161">
        <f>'c111'!E34</f>
        <v>0</v>
      </c>
      <c r="G28" s="162">
        <f t="shared" si="0"/>
        <v>0</v>
      </c>
      <c r="H28" s="163">
        <f t="shared" si="1"/>
        <v>0</v>
      </c>
      <c r="I28" s="163">
        <f>30*BC!$B$47/E28</f>
        <v>0</v>
      </c>
      <c r="J28" s="163">
        <f t="shared" si="2"/>
        <v>0</v>
      </c>
      <c r="K28" s="163">
        <f t="shared" si="3"/>
        <v>0</v>
      </c>
      <c r="L28" s="65">
        <f t="shared" si="4"/>
        <v>0</v>
      </c>
      <c r="M28" s="61">
        <v>136</v>
      </c>
      <c r="N28" s="61">
        <f t="shared" si="5"/>
        <v>0</v>
      </c>
      <c r="O28" s="61">
        <f t="shared" si="6"/>
        <v>1.36</v>
      </c>
      <c r="P28" s="71" t="e">
        <f>O28+$O$62+((BC!$F$125)/'c111 DETERMIACION'!$F$32)</f>
        <v>#DIV/0!</v>
      </c>
      <c r="Q28" s="71" t="e">
        <f t="shared" si="7"/>
        <v>#DIV/0!</v>
      </c>
      <c r="R28" s="70" t="e">
        <f t="shared" si="8"/>
        <v>#DIV/0!</v>
      </c>
      <c r="S28" s="70" t="e">
        <f t="shared" si="9"/>
        <v>#DIV/0!</v>
      </c>
    </row>
    <row r="29" spans="1:19" ht="15" customHeight="1" x14ac:dyDescent="0.45">
      <c r="B29" s="495">
        <v>5401739190</v>
      </c>
      <c r="C29" s="685" t="s">
        <v>1083</v>
      </c>
      <c r="D29" s="57">
        <v>100</v>
      </c>
      <c r="E29" s="58">
        <v>56</v>
      </c>
      <c r="F29" s="59">
        <f>'c111'!E35</f>
        <v>0</v>
      </c>
      <c r="G29" s="162">
        <f t="shared" si="0"/>
        <v>0</v>
      </c>
      <c r="H29" s="60">
        <f>F29/D29</f>
        <v>0</v>
      </c>
      <c r="I29" s="163">
        <f>30*BC!$B$47/E29</f>
        <v>0</v>
      </c>
      <c r="J29" s="60">
        <f t="shared" ref="J29" si="10">IF(I29&gt;H29,I29,H29)</f>
        <v>0</v>
      </c>
      <c r="K29" s="60">
        <f t="shared" ref="K29" si="11">IF(H29=0,0,J29)</f>
        <v>0</v>
      </c>
      <c r="L29" s="65">
        <f t="shared" ref="L29" si="12">ROUNDUP(K29,0)</f>
        <v>0</v>
      </c>
      <c r="M29" s="61">
        <v>221</v>
      </c>
      <c r="N29" s="61">
        <f t="shared" ref="N29" si="13">M29*L29</f>
        <v>0</v>
      </c>
      <c r="O29" s="61">
        <f>M29/D29</f>
        <v>2.21</v>
      </c>
      <c r="P29" s="71" t="e">
        <f>O29+$O$62+((BC!$F$125)/'c111 DETERMIACION'!$F$32)</f>
        <v>#DIV/0!</v>
      </c>
      <c r="Q29" s="71" t="e">
        <f>P29*F29</f>
        <v>#DIV/0!</v>
      </c>
      <c r="R29" s="70" t="e">
        <f t="shared" ref="R29" si="14">((P29*0.15)+P29)</f>
        <v>#DIV/0!</v>
      </c>
      <c r="S29" s="70" t="e">
        <f>R29*F29</f>
        <v>#DIV/0!</v>
      </c>
    </row>
    <row r="30" spans="1:19" ht="15" customHeight="1" x14ac:dyDescent="0.45">
      <c r="B30" s="395">
        <v>8900019190</v>
      </c>
      <c r="C30" s="403" t="s">
        <v>1129</v>
      </c>
      <c r="D30" s="57">
        <v>100</v>
      </c>
      <c r="E30" s="58">
        <v>56</v>
      </c>
      <c r="F30" s="59">
        <f>'c111'!E36</f>
        <v>0</v>
      </c>
      <c r="G30" s="162">
        <f t="shared" ref="G30" si="15">((F30*0.2)+(F30))</f>
        <v>0</v>
      </c>
      <c r="H30" s="60">
        <f>F30/D30</f>
        <v>0</v>
      </c>
      <c r="I30" s="163">
        <f>30*BC!$B$47/E30</f>
        <v>0</v>
      </c>
      <c r="J30" s="60">
        <f t="shared" ref="J30" si="16">IF(I30&gt;H30,I30,H30)</f>
        <v>0</v>
      </c>
      <c r="K30" s="60">
        <f t="shared" ref="K30" si="17">IF(H30=0,0,J30)</f>
        <v>0</v>
      </c>
      <c r="L30" s="65">
        <f t="shared" ref="L30" si="18">ROUNDUP(K30,0)</f>
        <v>0</v>
      </c>
      <c r="M30" s="61">
        <v>90</v>
      </c>
      <c r="N30" s="61">
        <f t="shared" ref="N30" si="19">M30*L30</f>
        <v>0</v>
      </c>
      <c r="O30" s="61">
        <f>M30/D30</f>
        <v>0.9</v>
      </c>
      <c r="P30" s="71" t="e">
        <f>O30+$O$62+((BC!$F$125)/'c111 DETERMIACION'!$F$32)</f>
        <v>#DIV/0!</v>
      </c>
      <c r="Q30" s="71" t="e">
        <f>P30*F30</f>
        <v>#DIV/0!</v>
      </c>
      <c r="R30" s="70" t="e">
        <f t="shared" ref="R30" si="20">((P30*0.15)+P30)</f>
        <v>#DIV/0!</v>
      </c>
      <c r="S30" s="70" t="e">
        <f>R30*F30</f>
        <v>#DIV/0!</v>
      </c>
    </row>
    <row r="31" spans="1:19" ht="15" customHeight="1" x14ac:dyDescent="0.45">
      <c r="A31" s="164"/>
      <c r="B31" s="75">
        <v>7442050190</v>
      </c>
      <c r="C31" s="76" t="s">
        <v>174</v>
      </c>
      <c r="D31" s="165">
        <v>100</v>
      </c>
      <c r="E31" s="165">
        <v>60</v>
      </c>
      <c r="F31" s="161">
        <f>'c111'!E37</f>
        <v>0</v>
      </c>
      <c r="G31" s="162">
        <f t="shared" si="0"/>
        <v>0</v>
      </c>
      <c r="H31" s="163">
        <f t="shared" si="1"/>
        <v>0</v>
      </c>
      <c r="I31" s="163">
        <f>30*BC!$B$47/E31</f>
        <v>0</v>
      </c>
      <c r="J31" s="163">
        <f t="shared" si="2"/>
        <v>0</v>
      </c>
      <c r="K31" s="163">
        <f t="shared" si="3"/>
        <v>0</v>
      </c>
      <c r="L31" s="65">
        <f t="shared" si="4"/>
        <v>0</v>
      </c>
      <c r="M31" s="78">
        <v>164</v>
      </c>
      <c r="N31" s="78">
        <f t="shared" si="5"/>
        <v>0</v>
      </c>
      <c r="O31" s="78">
        <f t="shared" si="6"/>
        <v>1.64</v>
      </c>
      <c r="P31" s="71" t="e">
        <f>O31+$O$62+((BC!$F$125)/'c111 DETERMIACION'!$F$32)</f>
        <v>#DIV/0!</v>
      </c>
      <c r="Q31" s="71" t="e">
        <f t="shared" si="7"/>
        <v>#DIV/0!</v>
      </c>
      <c r="R31" s="70" t="e">
        <f t="shared" si="8"/>
        <v>#DIV/0!</v>
      </c>
      <c r="S31" s="70" t="e">
        <f t="shared" si="9"/>
        <v>#DIV/0!</v>
      </c>
    </row>
    <row r="32" spans="1:19" x14ac:dyDescent="0.45">
      <c r="B32" s="14"/>
      <c r="C32" s="15"/>
      <c r="D32" s="166" t="s">
        <v>19</v>
      </c>
      <c r="E32" s="166"/>
      <c r="F32" s="167">
        <f>SUM(F3:F31)</f>
        <v>0</v>
      </c>
      <c r="G32" s="167">
        <f>SUM(G3:G31)</f>
        <v>0</v>
      </c>
      <c r="H32" s="168"/>
      <c r="I32" s="168"/>
      <c r="J32" s="168"/>
      <c r="K32" s="168"/>
    </row>
    <row r="33" spans="2:17" ht="21" x14ac:dyDescent="0.45">
      <c r="B33" s="11" t="s">
        <v>18</v>
      </c>
      <c r="C33" s="12"/>
      <c r="D33" s="152" t="s">
        <v>183</v>
      </c>
      <c r="E33" s="153" t="s">
        <v>54</v>
      </c>
      <c r="F33" s="169"/>
      <c r="G33" s="169"/>
      <c r="H33" s="153" t="s">
        <v>53</v>
      </c>
      <c r="I33" s="153" t="s">
        <v>52</v>
      </c>
      <c r="J33" s="153" t="s">
        <v>51</v>
      </c>
      <c r="K33" s="170"/>
      <c r="L33" s="106" t="s">
        <v>166</v>
      </c>
      <c r="M33" s="106" t="s">
        <v>167</v>
      </c>
      <c r="N33" s="106" t="s">
        <v>1085</v>
      </c>
      <c r="O33" s="106" t="s">
        <v>168</v>
      </c>
      <c r="P33" s="151" t="s">
        <v>318</v>
      </c>
      <c r="Q33" s="151" t="s">
        <v>319</v>
      </c>
    </row>
    <row r="34" spans="2:17" x14ac:dyDescent="0.45">
      <c r="B34" s="395">
        <v>10759350190</v>
      </c>
      <c r="C34" s="396" t="s">
        <v>17</v>
      </c>
      <c r="D34" s="171">
        <v>12</v>
      </c>
      <c r="E34" s="172">
        <v>28</v>
      </c>
      <c r="F34" s="171"/>
      <c r="G34" s="22"/>
      <c r="H34" s="22">
        <f>(A3/(0.005*400)/3000)</f>
        <v>0</v>
      </c>
      <c r="I34" s="171">
        <f>30*BC!$B$47/E34</f>
        <v>0</v>
      </c>
      <c r="J34" s="173">
        <f>IF(H34&gt;I34,H34,I34)</f>
        <v>0</v>
      </c>
      <c r="K34" s="174">
        <f>ROUNDUP(J34,0)</f>
        <v>0</v>
      </c>
      <c r="L34" s="65">
        <f>IF(A3&gt;0,K34,0)</f>
        <v>0</v>
      </c>
      <c r="M34" s="61">
        <f>N34/D34</f>
        <v>12</v>
      </c>
      <c r="N34" s="61">
        <v>144</v>
      </c>
      <c r="O34" s="74">
        <f>M34*L34</f>
        <v>0</v>
      </c>
      <c r="P34" s="159">
        <f t="shared" ref="P34:P39" si="21">L34/D34</f>
        <v>0</v>
      </c>
      <c r="Q34" s="159">
        <f>ROUNDUP(P34,0)</f>
        <v>0</v>
      </c>
    </row>
    <row r="35" spans="2:17" x14ac:dyDescent="0.45">
      <c r="B35" s="395">
        <v>12172623122</v>
      </c>
      <c r="C35" s="396" t="s">
        <v>16</v>
      </c>
      <c r="D35" s="171">
        <v>3</v>
      </c>
      <c r="E35" s="172">
        <v>28</v>
      </c>
      <c r="F35" s="171"/>
      <c r="G35" s="171"/>
      <c r="H35" s="171">
        <f>(A14*(0.008*(350/1000)))</f>
        <v>0</v>
      </c>
      <c r="I35" s="171">
        <f>30*BC!$B$47/E35</f>
        <v>0</v>
      </c>
      <c r="J35" s="173">
        <f>IF(H35&gt;I35,H35,I35)</f>
        <v>0</v>
      </c>
      <c r="K35" s="174">
        <f>ROUNDUP(J35,0)</f>
        <v>0</v>
      </c>
      <c r="L35" s="65">
        <f>IF(A14&gt;0,K35,0)</f>
        <v>0</v>
      </c>
      <c r="M35" s="61">
        <f t="shared" ref="M35:M58" si="22">N35/D35</f>
        <v>31</v>
      </c>
      <c r="N35" s="61">
        <v>93</v>
      </c>
      <c r="O35" s="74">
        <f t="shared" ref="O35:O60" si="23">M35*L35</f>
        <v>0</v>
      </c>
      <c r="P35" s="159">
        <f t="shared" si="21"/>
        <v>0</v>
      </c>
      <c r="Q35" s="159">
        <f t="shared" ref="Q35:Q59" si="24">ROUNDUP(P35,0)</f>
        <v>0</v>
      </c>
    </row>
    <row r="36" spans="2:17" x14ac:dyDescent="0.45">
      <c r="B36" s="398">
        <v>11355279216</v>
      </c>
      <c r="C36" s="403" t="s">
        <v>652</v>
      </c>
      <c r="D36" s="171">
        <v>5</v>
      </c>
      <c r="E36" s="172">
        <v>28</v>
      </c>
      <c r="F36" s="171"/>
      <c r="G36" s="171"/>
      <c r="H36" s="171">
        <f>(G26*(0.014*(500/2000)))</f>
        <v>0</v>
      </c>
      <c r="I36" s="171">
        <f>30*BC!$B$47/E36</f>
        <v>0</v>
      </c>
      <c r="J36" s="173">
        <f>IF(H36&gt;I36,H36,I36)</f>
        <v>0</v>
      </c>
      <c r="K36" s="174">
        <f>ROUNDUP(J36,0)</f>
        <v>0</v>
      </c>
      <c r="L36" s="65">
        <f>IF(F26&gt;0,K36,0)</f>
        <v>0</v>
      </c>
      <c r="M36" s="61">
        <f t="shared" si="22"/>
        <v>29.8</v>
      </c>
      <c r="N36" s="61">
        <v>149</v>
      </c>
      <c r="O36" s="74">
        <f t="shared" si="23"/>
        <v>0</v>
      </c>
      <c r="P36" s="159">
        <f t="shared" si="21"/>
        <v>0</v>
      </c>
      <c r="Q36" s="159">
        <f t="shared" si="24"/>
        <v>0</v>
      </c>
    </row>
    <row r="37" spans="2:17" x14ac:dyDescent="0.45">
      <c r="B37" s="398">
        <v>4528417190</v>
      </c>
      <c r="C37" s="403" t="s">
        <v>15</v>
      </c>
      <c r="D37" s="171">
        <v>3</v>
      </c>
      <c r="E37" s="172">
        <v>84</v>
      </c>
      <c r="F37" s="171"/>
      <c r="G37" s="171"/>
      <c r="H37" s="171">
        <f>(G23*(0.014*(500/2000)))</f>
        <v>0</v>
      </c>
      <c r="I37" s="171">
        <f>30*BC!$B$47/E37</f>
        <v>0</v>
      </c>
      <c r="J37" s="173">
        <f t="shared" ref="J37:J39" si="25">IF(H37&gt;I37,H37,I37)</f>
        <v>0</v>
      </c>
      <c r="K37" s="174">
        <f t="shared" ref="K37:K39" si="26">ROUNDUP(J37,0)</f>
        <v>0</v>
      </c>
      <c r="L37" s="65">
        <f>IF(F23&gt;0,K37,0)</f>
        <v>0</v>
      </c>
      <c r="M37" s="61">
        <f t="shared" si="22"/>
        <v>150.33333333333334</v>
      </c>
      <c r="N37" s="61">
        <v>451</v>
      </c>
      <c r="O37" s="74">
        <f t="shared" si="23"/>
        <v>0</v>
      </c>
      <c r="P37" s="159">
        <f t="shared" si="21"/>
        <v>0</v>
      </c>
      <c r="Q37" s="159">
        <f t="shared" si="24"/>
        <v>0</v>
      </c>
    </row>
    <row r="38" spans="2:17" ht="15" customHeight="1" x14ac:dyDescent="0.45">
      <c r="B38" s="690">
        <v>20751995190</v>
      </c>
      <c r="C38" s="688" t="s">
        <v>256</v>
      </c>
      <c r="D38" s="1">
        <v>2</v>
      </c>
      <c r="E38" s="16">
        <v>56</v>
      </c>
      <c r="F38" s="1"/>
      <c r="H38" s="1">
        <f>(F29*(0.014*(500/2000)))</f>
        <v>0</v>
      </c>
      <c r="I38" s="171">
        <f>30*BC!$B$47/E38</f>
        <v>0</v>
      </c>
      <c r="J38" s="63">
        <f t="shared" ref="J38" si="27">IF(H38&gt;I38,H38,I38)</f>
        <v>0</v>
      </c>
      <c r="K38" s="67">
        <f>ROUNDUP(J38,0)</f>
        <v>0</v>
      </c>
      <c r="L38" s="65">
        <f>IF(F24&gt;0,K38,0)</f>
        <v>0</v>
      </c>
      <c r="M38" s="61">
        <f>N38/D38</f>
        <v>313.5</v>
      </c>
      <c r="N38" s="61">
        <v>627</v>
      </c>
      <c r="O38" s="74">
        <f t="shared" si="23"/>
        <v>0</v>
      </c>
      <c r="P38" s="57">
        <f t="shared" si="21"/>
        <v>0</v>
      </c>
      <c r="Q38" s="57">
        <f t="shared" ref="Q38" si="28">ROUNDUP(P38,0)</f>
        <v>0</v>
      </c>
    </row>
    <row r="39" spans="2:17" x14ac:dyDescent="0.45">
      <c r="B39" s="398">
        <v>5050901190</v>
      </c>
      <c r="C39" s="403" t="s">
        <v>14</v>
      </c>
      <c r="D39" s="171">
        <v>1</v>
      </c>
      <c r="E39" s="172">
        <v>84</v>
      </c>
      <c r="F39" s="171"/>
      <c r="G39" s="171"/>
      <c r="H39" s="171">
        <f>(G27*(0.014*(500/2000)))</f>
        <v>0</v>
      </c>
      <c r="I39" s="171">
        <f>30*BC!$B$47/E39</f>
        <v>0</v>
      </c>
      <c r="J39" s="173">
        <f t="shared" si="25"/>
        <v>0</v>
      </c>
      <c r="K39" s="174">
        <f t="shared" si="26"/>
        <v>0</v>
      </c>
      <c r="L39" s="65">
        <f>IF(F27&gt;0,K39,0)</f>
        <v>0</v>
      </c>
      <c r="M39" s="61">
        <f t="shared" si="22"/>
        <v>282</v>
      </c>
      <c r="N39" s="61">
        <v>282</v>
      </c>
      <c r="O39" s="74">
        <f t="shared" si="23"/>
        <v>0</v>
      </c>
      <c r="P39" s="159">
        <f t="shared" si="21"/>
        <v>0</v>
      </c>
      <c r="Q39" s="159">
        <f t="shared" si="24"/>
        <v>0</v>
      </c>
    </row>
    <row r="40" spans="2:17" x14ac:dyDescent="0.45">
      <c r="B40" s="398">
        <v>11447394216</v>
      </c>
      <c r="C40" s="403" t="s">
        <v>1096</v>
      </c>
      <c r="D40" s="1">
        <v>3</v>
      </c>
      <c r="E40" s="194">
        <v>28</v>
      </c>
      <c r="F40" s="1"/>
      <c r="H40" s="1">
        <f>(G31*(0.014*(500/2000)))</f>
        <v>0</v>
      </c>
      <c r="I40" s="171">
        <f>30*BC!$B$47/E40</f>
        <v>0</v>
      </c>
      <c r="J40" s="63">
        <f t="shared" ref="J40" si="29">IF(H40&gt;I40,H40,I40)</f>
        <v>0</v>
      </c>
      <c r="K40" s="67">
        <f t="shared" ref="K40" si="30">ROUNDUP(J40,0)</f>
        <v>0</v>
      </c>
      <c r="L40" s="65">
        <f>IF(F28&gt;0,K40,0)</f>
        <v>0</v>
      </c>
      <c r="M40" s="61">
        <f>N40/D40</f>
        <v>25.333333333333332</v>
      </c>
      <c r="N40" s="61">
        <v>76</v>
      </c>
      <c r="O40" s="74">
        <f t="shared" ref="O40" si="31">M40*L40</f>
        <v>0</v>
      </c>
      <c r="P40" s="57">
        <f>L40/D40</f>
        <v>0</v>
      </c>
      <c r="Q40" s="57">
        <f t="shared" ref="Q40" si="32">ROUNDUP(P40,0)</f>
        <v>0</v>
      </c>
    </row>
    <row r="41" spans="2:17" x14ac:dyDescent="0.45">
      <c r="B41" s="4" t="s">
        <v>13</v>
      </c>
      <c r="C41" s="5"/>
      <c r="D41" s="175"/>
      <c r="E41" s="176"/>
      <c r="F41" s="175"/>
      <c r="G41" s="175"/>
      <c r="H41" s="175"/>
      <c r="I41" s="175"/>
      <c r="J41" s="177"/>
      <c r="K41" s="178"/>
      <c r="L41" s="178"/>
      <c r="M41" s="178"/>
      <c r="N41" s="108"/>
      <c r="O41" s="108"/>
      <c r="P41" s="183"/>
      <c r="Q41" s="183"/>
    </row>
    <row r="42" spans="2:17" x14ac:dyDescent="0.45">
      <c r="B42" s="404">
        <v>5947626190</v>
      </c>
      <c r="C42" s="405" t="s">
        <v>12</v>
      </c>
      <c r="D42" s="171">
        <v>4</v>
      </c>
      <c r="E42" s="172">
        <v>14</v>
      </c>
      <c r="F42" s="171"/>
      <c r="G42" s="171"/>
      <c r="H42" s="171">
        <f>(A4/(0.003*350)/5000)</f>
        <v>0</v>
      </c>
      <c r="I42" s="171">
        <f>30*BC!$B$47/E42</f>
        <v>0</v>
      </c>
      <c r="J42" s="173">
        <f>IF(H42&gt;I42,H42,I42)</f>
        <v>0</v>
      </c>
      <c r="K42" s="179">
        <f>ROUNDUP(J42,0)</f>
        <v>0</v>
      </c>
      <c r="L42" s="65">
        <f>IF(F32&gt;0,K42,0)</f>
        <v>0</v>
      </c>
      <c r="M42" s="61">
        <f t="shared" si="22"/>
        <v>14.25</v>
      </c>
      <c r="N42" s="61">
        <v>57</v>
      </c>
      <c r="O42" s="74">
        <f t="shared" si="23"/>
        <v>0</v>
      </c>
      <c r="P42" s="159">
        <f t="shared" ref="P42:P48" si="33">L42/D42</f>
        <v>0</v>
      </c>
      <c r="Q42" s="159">
        <f t="shared" si="24"/>
        <v>0</v>
      </c>
    </row>
    <row r="43" spans="2:17" x14ac:dyDescent="0.45">
      <c r="B43" s="404">
        <v>5947774190</v>
      </c>
      <c r="C43" s="405" t="s">
        <v>11</v>
      </c>
      <c r="D43" s="171">
        <v>4</v>
      </c>
      <c r="E43" s="172">
        <v>14</v>
      </c>
      <c r="F43" s="171"/>
      <c r="G43" s="171"/>
      <c r="H43" s="171">
        <f>(A4/(0.003*350)/5000)</f>
        <v>0</v>
      </c>
      <c r="I43" s="171">
        <f>30*BC!$B$47/E43</f>
        <v>0</v>
      </c>
      <c r="J43" s="173">
        <f>IF(H43&gt;I43,H43,I43)</f>
        <v>0</v>
      </c>
      <c r="K43" s="179">
        <f>ROUNDUP(J43,0)</f>
        <v>0</v>
      </c>
      <c r="L43" s="65">
        <f>IF(F32&gt;0,K43,0)</f>
        <v>0</v>
      </c>
      <c r="M43" s="61">
        <f t="shared" si="22"/>
        <v>22.75</v>
      </c>
      <c r="N43" s="61">
        <v>91</v>
      </c>
      <c r="O43" s="74">
        <f t="shared" si="23"/>
        <v>0</v>
      </c>
      <c r="P43" s="159">
        <f t="shared" si="33"/>
        <v>0</v>
      </c>
      <c r="Q43" s="159">
        <f t="shared" si="24"/>
        <v>0</v>
      </c>
    </row>
    <row r="44" spans="2:17" x14ac:dyDescent="0.45">
      <c r="B44" s="398">
        <v>5479207190</v>
      </c>
      <c r="C44" s="403" t="s">
        <v>10</v>
      </c>
      <c r="D44" s="171">
        <v>4</v>
      </c>
      <c r="E44" s="172">
        <v>28</v>
      </c>
      <c r="F44" s="171"/>
      <c r="G44" s="171"/>
      <c r="H44" s="802">
        <f>(G23/(0.0007*150)/1000)</f>
        <v>0</v>
      </c>
      <c r="I44" s="171">
        <f>30*BC!$B$47/E44</f>
        <v>0</v>
      </c>
      <c r="J44" s="173">
        <f>IF(H44&gt;I44,H44,I44)</f>
        <v>0</v>
      </c>
      <c r="K44" s="179">
        <f>ROUNDUP(J44,0)</f>
        <v>0</v>
      </c>
      <c r="L44" s="65">
        <f>IF(F23&gt;0,K44,0)</f>
        <v>0</v>
      </c>
      <c r="M44" s="61">
        <f t="shared" si="22"/>
        <v>77.25</v>
      </c>
      <c r="N44" s="61">
        <v>309</v>
      </c>
      <c r="O44" s="74">
        <f t="shared" si="23"/>
        <v>0</v>
      </c>
      <c r="P44" s="159">
        <f t="shared" si="33"/>
        <v>0</v>
      </c>
      <c r="Q44" s="159">
        <f t="shared" si="24"/>
        <v>0</v>
      </c>
    </row>
    <row r="45" spans="2:17" x14ac:dyDescent="0.45">
      <c r="B45" s="406">
        <v>5912504190</v>
      </c>
      <c r="C45" s="97" t="s">
        <v>172</v>
      </c>
      <c r="D45" s="171">
        <v>4</v>
      </c>
      <c r="E45" s="172">
        <v>28</v>
      </c>
      <c r="F45" s="171"/>
      <c r="G45" s="691"/>
      <c r="H45" s="802">
        <f>(G23/(0.0007*150)/1000)</f>
        <v>0</v>
      </c>
      <c r="I45" s="171">
        <f>30*BC!$B$47/E45</f>
        <v>0</v>
      </c>
      <c r="J45" s="173">
        <f>IF(H45&gt;I45,H45,I45)</f>
        <v>0</v>
      </c>
      <c r="K45" s="179">
        <f>ROUNDUP(J45,0)</f>
        <v>0</v>
      </c>
      <c r="L45" s="65">
        <f>IF(F23&gt;0,K45,0)</f>
        <v>0</v>
      </c>
      <c r="M45" s="61">
        <f t="shared" si="22"/>
        <v>154.5</v>
      </c>
      <c r="N45" s="61">
        <v>618</v>
      </c>
      <c r="O45" s="74">
        <f t="shared" si="23"/>
        <v>0</v>
      </c>
      <c r="P45" s="159">
        <f t="shared" si="33"/>
        <v>0</v>
      </c>
      <c r="Q45" s="159">
        <f t="shared" si="24"/>
        <v>0</v>
      </c>
    </row>
    <row r="46" spans="2:17" x14ac:dyDescent="0.45">
      <c r="B46" s="56">
        <v>20752401190</v>
      </c>
      <c r="C46" s="55" t="s">
        <v>1084</v>
      </c>
      <c r="D46" s="57">
        <v>5</v>
      </c>
      <c r="E46" s="687">
        <v>56</v>
      </c>
      <c r="F46" s="63"/>
      <c r="G46" s="62"/>
      <c r="H46" s="803">
        <f>(F29/(0.0007*150)/1000)</f>
        <v>0</v>
      </c>
      <c r="I46" s="171">
        <f>30*BC!$B$47/E46</f>
        <v>0</v>
      </c>
      <c r="J46" s="63">
        <f t="shared" ref="J46:J47" si="34">IF(H46&gt;I46,H46,I46)</f>
        <v>0</v>
      </c>
      <c r="K46" s="69">
        <f t="shared" ref="K46:K47" si="35">ROUNDUP(J46,0)</f>
        <v>0</v>
      </c>
      <c r="L46" s="65">
        <f>IF(F24&gt;0,K46,0)</f>
        <v>0</v>
      </c>
      <c r="M46" s="61">
        <f>N46/D46</f>
        <v>41.4</v>
      </c>
      <c r="N46" s="61">
        <v>207</v>
      </c>
      <c r="O46" s="74">
        <f t="shared" si="23"/>
        <v>0</v>
      </c>
      <c r="P46" s="57">
        <f t="shared" si="33"/>
        <v>0</v>
      </c>
      <c r="Q46" s="57">
        <f t="shared" ref="Q46:Q47" si="36">ROUNDUP(P46,0)</f>
        <v>0</v>
      </c>
    </row>
    <row r="47" spans="2:17" x14ac:dyDescent="0.45">
      <c r="B47" s="56">
        <v>20753009190</v>
      </c>
      <c r="C47" s="55" t="s">
        <v>1084</v>
      </c>
      <c r="D47" s="57">
        <v>5</v>
      </c>
      <c r="E47" s="687">
        <v>56</v>
      </c>
      <c r="F47" s="63"/>
      <c r="G47" s="62"/>
      <c r="H47" s="803">
        <f>F29/(0.0007*150)/1000</f>
        <v>0</v>
      </c>
      <c r="I47" s="171">
        <f>30*BC!$B$47/E47</f>
        <v>0</v>
      </c>
      <c r="J47" s="63">
        <f t="shared" si="34"/>
        <v>0</v>
      </c>
      <c r="K47" s="69">
        <f t="shared" si="35"/>
        <v>0</v>
      </c>
      <c r="L47" s="65">
        <f>IF(F25&gt;0,K47,0)</f>
        <v>0</v>
      </c>
      <c r="M47" s="61">
        <f>N47/D47</f>
        <v>45.4</v>
      </c>
      <c r="N47" s="61">
        <v>227</v>
      </c>
      <c r="O47" s="74">
        <f t="shared" si="23"/>
        <v>0</v>
      </c>
      <c r="P47" s="57">
        <f t="shared" si="33"/>
        <v>0</v>
      </c>
      <c r="Q47" s="57">
        <f t="shared" si="36"/>
        <v>0</v>
      </c>
    </row>
    <row r="48" spans="2:17" x14ac:dyDescent="0.45">
      <c r="B48" s="398">
        <v>5050936190</v>
      </c>
      <c r="C48" s="403" t="s">
        <v>9</v>
      </c>
      <c r="D48" s="171">
        <v>2</v>
      </c>
      <c r="E48" s="172">
        <v>84</v>
      </c>
      <c r="F48" s="171"/>
      <c r="G48" s="165"/>
      <c r="H48" s="171">
        <f>(G27/(0.0004*300)/3000)</f>
        <v>0</v>
      </c>
      <c r="I48" s="171">
        <f>30*BC!$B$47/E48</f>
        <v>0</v>
      </c>
      <c r="J48" s="173">
        <f>IF(H48&gt;I48,H48,I48)</f>
        <v>0</v>
      </c>
      <c r="K48" s="179">
        <f>ROUNDUP(J48,0)</f>
        <v>0</v>
      </c>
      <c r="L48" s="65">
        <f>IF(F27&gt;0,K48,0)</f>
        <v>0</v>
      </c>
      <c r="M48" s="61">
        <f t="shared" si="22"/>
        <v>244</v>
      </c>
      <c r="N48" s="61">
        <v>488</v>
      </c>
      <c r="O48" s="74">
        <f t="shared" si="23"/>
        <v>0</v>
      </c>
      <c r="P48" s="159">
        <f t="shared" si="33"/>
        <v>0</v>
      </c>
      <c r="Q48" s="159">
        <f t="shared" si="24"/>
        <v>0</v>
      </c>
    </row>
    <row r="49" spans="2:17" x14ac:dyDescent="0.45">
      <c r="B49" s="4" t="s">
        <v>8</v>
      </c>
      <c r="C49" s="5"/>
      <c r="D49" s="175"/>
      <c r="E49" s="180"/>
      <c r="F49" s="175"/>
      <c r="G49" s="175"/>
      <c r="H49" s="175"/>
      <c r="I49" s="175"/>
      <c r="J49" s="177"/>
      <c r="K49" s="178"/>
      <c r="L49" s="178"/>
      <c r="M49" s="178"/>
      <c r="N49" s="108"/>
      <c r="O49" s="108"/>
      <c r="P49" s="183"/>
      <c r="Q49" s="183"/>
    </row>
    <row r="50" spans="2:17" x14ac:dyDescent="0.45">
      <c r="B50" s="395">
        <v>4774230190</v>
      </c>
      <c r="C50" s="396" t="s">
        <v>653</v>
      </c>
      <c r="D50" s="1">
        <v>4</v>
      </c>
      <c r="E50" s="16">
        <v>28</v>
      </c>
      <c r="F50" s="1"/>
      <c r="G50" s="1"/>
      <c r="H50" s="1">
        <f>(G32/(0.002*800)/12000)</f>
        <v>0</v>
      </c>
      <c r="I50" s="171">
        <f>30*BC!$B$47/E50</f>
        <v>0</v>
      </c>
      <c r="J50" s="173">
        <f t="shared" ref="J50:J59" si="37">IF(H50&gt;I50,H50,I50)</f>
        <v>0</v>
      </c>
      <c r="K50" s="179">
        <f t="shared" ref="K50:K59" si="38">ROUNDUP(J50,0)</f>
        <v>0</v>
      </c>
      <c r="L50" s="65">
        <f>IF(F32&gt;0,K50,0)</f>
        <v>0</v>
      </c>
      <c r="M50" s="61">
        <f t="shared" si="22"/>
        <v>17.75</v>
      </c>
      <c r="N50" s="61">
        <v>71</v>
      </c>
      <c r="O50" s="74">
        <f t="shared" si="23"/>
        <v>0</v>
      </c>
      <c r="P50" s="159">
        <f t="shared" ref="P50:P59" si="39">L50/D50</f>
        <v>0</v>
      </c>
      <c r="Q50" s="159">
        <f t="shared" si="24"/>
        <v>0</v>
      </c>
    </row>
    <row r="51" spans="2:17" x14ac:dyDescent="0.45">
      <c r="B51" s="491">
        <v>5007232190</v>
      </c>
      <c r="C51" s="494" t="s">
        <v>851</v>
      </c>
      <c r="D51" s="1">
        <v>8</v>
      </c>
      <c r="E51" s="16">
        <v>10</v>
      </c>
      <c r="F51" s="1"/>
      <c r="G51" s="1"/>
      <c r="H51" s="1">
        <f>(G23/(0.00006*800)/6300)</f>
        <v>0</v>
      </c>
      <c r="I51" s="171">
        <f>30*BC!$B$47/E51</f>
        <v>0</v>
      </c>
      <c r="J51" s="173">
        <f t="shared" si="37"/>
        <v>0</v>
      </c>
      <c r="K51" s="179">
        <f t="shared" si="38"/>
        <v>0</v>
      </c>
      <c r="L51" s="65">
        <f>IF(F23&gt;0,K51,0)</f>
        <v>0</v>
      </c>
      <c r="M51" s="61">
        <f t="shared" si="22"/>
        <v>54.875</v>
      </c>
      <c r="N51" s="61">
        <v>439</v>
      </c>
      <c r="O51" s="74">
        <f t="shared" si="23"/>
        <v>0</v>
      </c>
      <c r="P51" s="159">
        <f t="shared" si="39"/>
        <v>0</v>
      </c>
      <c r="Q51" s="159">
        <f t="shared" si="24"/>
        <v>0</v>
      </c>
    </row>
    <row r="52" spans="2:17" x14ac:dyDescent="0.45">
      <c r="B52" s="395">
        <v>4663632190</v>
      </c>
      <c r="C52" s="396" t="s">
        <v>654</v>
      </c>
      <c r="D52" s="1">
        <v>9</v>
      </c>
      <c r="E52" s="16">
        <v>12</v>
      </c>
      <c r="F52" s="1"/>
      <c r="G52" s="1"/>
      <c r="H52" s="1">
        <f>30*BCB48/E52</f>
        <v>0</v>
      </c>
      <c r="I52" s="171">
        <f>30*BC!$B$47/E52</f>
        <v>0</v>
      </c>
      <c r="J52" s="173">
        <f t="shared" si="37"/>
        <v>0</v>
      </c>
      <c r="K52" s="179">
        <f t="shared" si="38"/>
        <v>0</v>
      </c>
      <c r="L52" s="65">
        <f>IF(F32&gt;0,K52,0)</f>
        <v>0</v>
      </c>
      <c r="M52" s="61">
        <f t="shared" si="22"/>
        <v>17.222222222222221</v>
      </c>
      <c r="N52" s="61">
        <v>155</v>
      </c>
      <c r="O52" s="74">
        <f t="shared" si="23"/>
        <v>0</v>
      </c>
      <c r="P52" s="159">
        <f t="shared" si="39"/>
        <v>0</v>
      </c>
      <c r="Q52" s="159">
        <f t="shared" si="24"/>
        <v>0</v>
      </c>
    </row>
    <row r="53" spans="2:17" x14ac:dyDescent="0.45">
      <c r="B53" s="395">
        <v>11298500316</v>
      </c>
      <c r="C53" s="396" t="s">
        <v>7</v>
      </c>
      <c r="D53" s="1">
        <v>5</v>
      </c>
      <c r="E53" s="16">
        <v>73</v>
      </c>
      <c r="F53" s="1"/>
      <c r="G53" s="1"/>
      <c r="H53" s="1">
        <f>30*BCB48/E53</f>
        <v>0</v>
      </c>
      <c r="I53" s="171">
        <f>30*BC!$B$47/E53</f>
        <v>0</v>
      </c>
      <c r="J53" s="173">
        <f t="shared" si="37"/>
        <v>0</v>
      </c>
      <c r="K53" s="179">
        <f t="shared" si="38"/>
        <v>0</v>
      </c>
      <c r="L53" s="65">
        <f>IF(F32&gt;0,K53,0)</f>
        <v>0</v>
      </c>
      <c r="M53" s="61">
        <f t="shared" si="22"/>
        <v>19.600000000000001</v>
      </c>
      <c r="N53" s="61">
        <v>98</v>
      </c>
      <c r="O53" s="74">
        <f t="shared" si="23"/>
        <v>0</v>
      </c>
      <c r="P53" s="159">
        <f t="shared" si="39"/>
        <v>0</v>
      </c>
      <c r="Q53" s="159">
        <f t="shared" si="24"/>
        <v>0</v>
      </c>
    </row>
    <row r="54" spans="2:17" x14ac:dyDescent="0.45">
      <c r="B54" s="395">
        <v>20754765322</v>
      </c>
      <c r="C54" s="396" t="s">
        <v>6</v>
      </c>
      <c r="D54" s="1">
        <v>1</v>
      </c>
      <c r="E54" s="16">
        <v>84</v>
      </c>
      <c r="F54" s="1"/>
      <c r="G54" s="1"/>
      <c r="H54" s="1">
        <f>(G32/(0.005*48)/6300)</f>
        <v>0</v>
      </c>
      <c r="I54" s="171">
        <f>30*BC!$B$47/E54</f>
        <v>0</v>
      </c>
      <c r="J54" s="173">
        <f t="shared" si="37"/>
        <v>0</v>
      </c>
      <c r="K54" s="179">
        <f t="shared" si="38"/>
        <v>0</v>
      </c>
      <c r="L54" s="65">
        <f>IF(F32&gt;0,K54,0)</f>
        <v>0</v>
      </c>
      <c r="M54" s="61">
        <f t="shared" si="22"/>
        <v>46</v>
      </c>
      <c r="N54" s="61">
        <v>46</v>
      </c>
      <c r="O54" s="74">
        <f t="shared" si="23"/>
        <v>0</v>
      </c>
      <c r="P54" s="159">
        <f t="shared" si="39"/>
        <v>0</v>
      </c>
      <c r="Q54" s="159">
        <f t="shared" si="24"/>
        <v>0</v>
      </c>
    </row>
    <row r="55" spans="2:17" x14ac:dyDescent="0.45">
      <c r="B55" s="395">
        <v>4357108001</v>
      </c>
      <c r="C55" s="396" t="s">
        <v>5</v>
      </c>
      <c r="D55" s="1">
        <v>1</v>
      </c>
      <c r="E55" s="16">
        <v>365</v>
      </c>
      <c r="F55" s="1"/>
      <c r="G55" s="1"/>
      <c r="H55" s="1">
        <f>((G32+(G32*0.01))/1680)</f>
        <v>0</v>
      </c>
      <c r="I55" s="1">
        <f>((365/E55))</f>
        <v>1</v>
      </c>
      <c r="J55" s="173">
        <f t="shared" si="37"/>
        <v>1</v>
      </c>
      <c r="K55" s="179">
        <f t="shared" si="38"/>
        <v>1</v>
      </c>
      <c r="L55" s="65">
        <f>IF(F32&gt;0,K55,0)</f>
        <v>0</v>
      </c>
      <c r="M55" s="61">
        <f t="shared" si="22"/>
        <v>179</v>
      </c>
      <c r="N55" s="61">
        <v>179</v>
      </c>
      <c r="O55" s="74">
        <f t="shared" si="23"/>
        <v>0</v>
      </c>
      <c r="P55" s="159">
        <f t="shared" si="39"/>
        <v>0</v>
      </c>
      <c r="Q55" s="159">
        <f t="shared" si="24"/>
        <v>0</v>
      </c>
    </row>
    <row r="56" spans="2:17" x14ac:dyDescent="0.45">
      <c r="B56" s="406">
        <v>4444191001</v>
      </c>
      <c r="C56" s="396" t="s">
        <v>4</v>
      </c>
      <c r="D56" s="1">
        <v>1</v>
      </c>
      <c r="E56" s="16">
        <v>365</v>
      </c>
      <c r="F56" s="1"/>
      <c r="G56" s="48"/>
      <c r="H56" s="48">
        <f>((G32-(G32*0.9))/E56)</f>
        <v>0</v>
      </c>
      <c r="I56" s="1">
        <f>365/E56</f>
        <v>1</v>
      </c>
      <c r="J56" s="173">
        <f t="shared" si="37"/>
        <v>1</v>
      </c>
      <c r="K56" s="179">
        <f t="shared" si="38"/>
        <v>1</v>
      </c>
      <c r="L56" s="65">
        <f>IF(F32&gt;0,K56,0)</f>
        <v>0</v>
      </c>
      <c r="M56" s="61">
        <f t="shared" si="22"/>
        <v>9</v>
      </c>
      <c r="N56" s="61">
        <v>9</v>
      </c>
      <c r="O56" s="74">
        <f t="shared" si="23"/>
        <v>0</v>
      </c>
      <c r="P56" s="159">
        <f t="shared" si="39"/>
        <v>0</v>
      </c>
      <c r="Q56" s="159">
        <f t="shared" si="24"/>
        <v>0</v>
      </c>
    </row>
    <row r="57" spans="2:17" x14ac:dyDescent="0.45">
      <c r="B57" s="395">
        <v>4352483001</v>
      </c>
      <c r="C57" s="396" t="s">
        <v>3</v>
      </c>
      <c r="D57" s="1">
        <v>1</v>
      </c>
      <c r="E57" s="16">
        <v>365</v>
      </c>
      <c r="F57" s="1"/>
      <c r="G57" s="1"/>
      <c r="H57" s="1">
        <f>((G32-(G32*0.97))/E57)</f>
        <v>0</v>
      </c>
      <c r="I57" s="1">
        <f>(365/E56)</f>
        <v>1</v>
      </c>
      <c r="J57" s="173">
        <f t="shared" si="37"/>
        <v>1</v>
      </c>
      <c r="K57" s="179">
        <f t="shared" si="38"/>
        <v>1</v>
      </c>
      <c r="L57" s="65">
        <f>IF(F32&gt;0,K57,0)</f>
        <v>0</v>
      </c>
      <c r="M57" s="61">
        <f t="shared" si="22"/>
        <v>19</v>
      </c>
      <c r="N57" s="61">
        <v>19</v>
      </c>
      <c r="O57" s="74">
        <f t="shared" si="23"/>
        <v>0</v>
      </c>
      <c r="P57" s="159">
        <f t="shared" si="39"/>
        <v>0</v>
      </c>
      <c r="Q57" s="159">
        <f t="shared" si="24"/>
        <v>0</v>
      </c>
    </row>
    <row r="58" spans="2:17" x14ac:dyDescent="0.45">
      <c r="B58" s="395">
        <v>5344620001</v>
      </c>
      <c r="C58" s="396" t="s">
        <v>2</v>
      </c>
      <c r="D58" s="1">
        <v>1</v>
      </c>
      <c r="E58" s="16">
        <v>365</v>
      </c>
      <c r="F58" s="1"/>
      <c r="G58" s="1"/>
      <c r="H58" s="1">
        <f>(G32/(0.05*30)/6300)</f>
        <v>0</v>
      </c>
      <c r="I58" s="1">
        <f>365/E58</f>
        <v>1</v>
      </c>
      <c r="J58" s="173">
        <f t="shared" si="37"/>
        <v>1</v>
      </c>
      <c r="K58" s="179">
        <f t="shared" si="38"/>
        <v>1</v>
      </c>
      <c r="L58" s="65">
        <f>IF(F32&gt;0,K58,0)</f>
        <v>0</v>
      </c>
      <c r="M58" s="61">
        <f t="shared" si="22"/>
        <v>105</v>
      </c>
      <c r="N58" s="61">
        <v>105</v>
      </c>
      <c r="O58" s="74">
        <f t="shared" si="23"/>
        <v>0</v>
      </c>
      <c r="P58" s="159">
        <f t="shared" si="39"/>
        <v>0</v>
      </c>
      <c r="Q58" s="159">
        <f t="shared" si="24"/>
        <v>0</v>
      </c>
    </row>
    <row r="59" spans="2:17" x14ac:dyDescent="0.45">
      <c r="B59" s="83" t="s">
        <v>1</v>
      </c>
      <c r="C59" s="82" t="s">
        <v>0</v>
      </c>
      <c r="D59" s="84">
        <v>1</v>
      </c>
      <c r="E59" s="85">
        <v>365</v>
      </c>
      <c r="F59" s="84"/>
      <c r="G59" s="84"/>
      <c r="H59" s="84">
        <f>((G32-(G32*0.98))/E59)</f>
        <v>0</v>
      </c>
      <c r="I59" s="84">
        <f>365/E59</f>
        <v>1</v>
      </c>
      <c r="J59" s="181">
        <f t="shared" si="37"/>
        <v>1</v>
      </c>
      <c r="K59" s="182">
        <f t="shared" si="38"/>
        <v>1</v>
      </c>
      <c r="L59" s="88">
        <f>IF(F32&gt;0,K59,0)</f>
        <v>0</v>
      </c>
      <c r="M59" s="61">
        <v>6.5</v>
      </c>
      <c r="N59" s="61">
        <f t="shared" ref="N59" si="40">M59*L59</f>
        <v>0</v>
      </c>
      <c r="O59" s="74">
        <f t="shared" si="23"/>
        <v>0</v>
      </c>
      <c r="P59" s="159">
        <f t="shared" si="39"/>
        <v>0</v>
      </c>
      <c r="Q59" s="159">
        <f t="shared" si="24"/>
        <v>0</v>
      </c>
    </row>
    <row r="60" spans="2:17" x14ac:dyDescent="0.45">
      <c r="B60" s="157" t="s">
        <v>177</v>
      </c>
      <c r="C60" s="158"/>
      <c r="D60" s="159"/>
      <c r="E60" s="160"/>
      <c r="F60" s="159"/>
      <c r="G60" s="159"/>
      <c r="H60" s="159"/>
      <c r="I60" s="159"/>
      <c r="J60" s="159"/>
      <c r="K60" s="62"/>
      <c r="L60" s="65">
        <f>BCB48</f>
        <v>0</v>
      </c>
      <c r="M60" s="61">
        <v>390</v>
      </c>
      <c r="N60" s="61">
        <f>M60*L60</f>
        <v>0</v>
      </c>
      <c r="O60" s="61">
        <f t="shared" si="23"/>
        <v>0</v>
      </c>
    </row>
    <row r="61" spans="2:17" x14ac:dyDescent="0.45">
      <c r="E61" s="21"/>
      <c r="N61" s="74"/>
      <c r="O61" s="693">
        <f>SUM(O34:O60)</f>
        <v>0</v>
      </c>
    </row>
    <row r="62" spans="2:17" x14ac:dyDescent="0.45">
      <c r="N62" s="74"/>
      <c r="O62" s="62" t="e">
        <f>O61/F32</f>
        <v>#DIV/0!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218A6-433D-447F-9F27-DBA85E9F3615}">
  <dimension ref="A2:V65"/>
  <sheetViews>
    <sheetView topLeftCell="A34" workbookViewId="0">
      <selection activeCell="K46" sqref="K46"/>
    </sheetView>
  </sheetViews>
  <sheetFormatPr baseColWidth="10" defaultRowHeight="14.25" x14ac:dyDescent="0.45"/>
  <cols>
    <col min="1" max="1" width="1.73046875" bestFit="1" customWidth="1"/>
    <col min="2" max="2" width="9.1328125" bestFit="1" customWidth="1"/>
    <col min="3" max="3" width="21.796875" bestFit="1" customWidth="1"/>
    <col min="4" max="4" width="9.59765625" bestFit="1" customWidth="1"/>
    <col min="5" max="5" width="8.265625" bestFit="1" customWidth="1"/>
    <col min="6" max="6" width="6.796875" bestFit="1" customWidth="1"/>
    <col min="7" max="7" width="8.265625" bestFit="1" customWidth="1"/>
    <col min="8" max="8" width="9.1328125" bestFit="1" customWidth="1"/>
    <col min="9" max="9" width="8.3984375" bestFit="1" customWidth="1"/>
    <col min="10" max="10" width="3.86328125" bestFit="1" customWidth="1"/>
    <col min="11" max="11" width="10.19921875" bestFit="1" customWidth="1"/>
    <col min="12" max="13" width="9.59765625" bestFit="1" customWidth="1"/>
    <col min="14" max="14" width="10.46484375" bestFit="1" customWidth="1"/>
    <col min="15" max="15" width="10.6640625" bestFit="1" customWidth="1"/>
    <col min="16" max="16" width="10.9296875" bestFit="1" customWidth="1"/>
    <col min="17" max="17" width="12.06640625" bestFit="1" customWidth="1"/>
    <col min="18" max="18" width="10.19921875" bestFit="1" customWidth="1"/>
    <col min="19" max="19" width="7.33203125" bestFit="1" customWidth="1"/>
    <col min="20" max="20" width="7.9296875" bestFit="1" customWidth="1"/>
    <col min="21" max="21" width="9.265625" bestFit="1" customWidth="1"/>
    <col min="22" max="22" width="10.86328125" bestFit="1" customWidth="1"/>
  </cols>
  <sheetData>
    <row r="2" spans="1:22" ht="31.5" x14ac:dyDescent="0.45">
      <c r="B2" s="49" t="s">
        <v>56</v>
      </c>
      <c r="C2" s="49" t="s">
        <v>651</v>
      </c>
      <c r="D2" s="49" t="s">
        <v>55</v>
      </c>
      <c r="E2" s="50" t="s">
        <v>54</v>
      </c>
      <c r="F2" s="50" t="s">
        <v>173</v>
      </c>
      <c r="G2" s="50" t="s">
        <v>53</v>
      </c>
      <c r="H2" s="50" t="s">
        <v>52</v>
      </c>
      <c r="I2" s="50" t="s">
        <v>51</v>
      </c>
      <c r="J2" s="50"/>
      <c r="K2" s="51" t="s">
        <v>50</v>
      </c>
      <c r="L2" s="51" t="s">
        <v>49</v>
      </c>
      <c r="M2" s="51" t="s">
        <v>48</v>
      </c>
      <c r="N2" s="92" t="s">
        <v>176</v>
      </c>
      <c r="O2" s="50" t="s">
        <v>178</v>
      </c>
      <c r="P2" s="50" t="s">
        <v>162</v>
      </c>
      <c r="Q2" s="79" t="s">
        <v>163</v>
      </c>
      <c r="R2" s="79" t="s">
        <v>165</v>
      </c>
      <c r="S2" s="80" t="s">
        <v>169</v>
      </c>
      <c r="T2" s="80" t="s">
        <v>164</v>
      </c>
      <c r="U2" s="18" t="s">
        <v>47</v>
      </c>
      <c r="V2" s="19" t="s">
        <v>46</v>
      </c>
    </row>
    <row r="3" spans="1:22" x14ac:dyDescent="0.45">
      <c r="A3" s="54">
        <f>SUM(F3+F4+F5+F6+F7+F8+F9+F10+F11+F12+F13+F15+F16+F17+F18+F20+F21+F22+F24+F25+F28)</f>
        <v>0</v>
      </c>
      <c r="B3" s="395">
        <v>4657527190</v>
      </c>
      <c r="C3" s="396" t="s">
        <v>45</v>
      </c>
      <c r="D3" s="57">
        <v>400</v>
      </c>
      <c r="E3" s="58">
        <v>120</v>
      </c>
      <c r="F3" s="59">
        <f>'c111'!E9</f>
        <v>0</v>
      </c>
      <c r="G3" s="60">
        <f>F3/D3</f>
        <v>0</v>
      </c>
      <c r="H3" s="60">
        <f>30*BC!B47/E3</f>
        <v>0</v>
      </c>
      <c r="I3" s="60">
        <f>IF(H3&gt;G3,H3,G3)</f>
        <v>0</v>
      </c>
      <c r="J3" s="60">
        <f>IF(G3=0,0,I3)</f>
        <v>0</v>
      </c>
      <c r="K3" s="65">
        <f>ROUNDUP(J3,0)</f>
        <v>0</v>
      </c>
      <c r="L3" s="61">
        <v>50</v>
      </c>
      <c r="M3" s="61">
        <f>L3*K3</f>
        <v>0</v>
      </c>
      <c r="N3" s="91">
        <f t="shared" ref="N3:N31" si="0">((L3*$L$65)+L3)</f>
        <v>50</v>
      </c>
      <c r="O3" s="61">
        <f>N3*K3</f>
        <v>0</v>
      </c>
      <c r="P3" s="61">
        <f>L3/D3</f>
        <v>0.125</v>
      </c>
      <c r="Q3" s="62" t="e">
        <f>P3+$M$62+((BC!$F$125)/'c111 DETERMIACION'!$F$32)</f>
        <v>#DIV/0!</v>
      </c>
      <c r="R3" s="61" t="e">
        <f>Q3*F3</f>
        <v>#DIV/0!</v>
      </c>
      <c r="S3" s="61" t="e">
        <f>((Q3*0.15)+Q3)</f>
        <v>#DIV/0!</v>
      </c>
      <c r="T3" s="61" t="e">
        <f>S3*F3</f>
        <v>#DIV/0!</v>
      </c>
      <c r="U3" s="61" t="e">
        <f>SUM(T3:T31)</f>
        <v>#DIV/0!</v>
      </c>
      <c r="V3" s="61" t="e">
        <f>SUM(R3:R31)</f>
        <v>#DIV/0!</v>
      </c>
    </row>
    <row r="4" spans="1:22" x14ac:dyDescent="0.45">
      <c r="A4" s="54">
        <f>F3+F4+F5+F6+F7+F8+F9+F10+F11+F12+F13+F14+F15+F16+F17+F18+F19+F20+F21+F22+F24+F25+F26+F28</f>
        <v>0</v>
      </c>
      <c r="B4" s="395">
        <v>4657616190</v>
      </c>
      <c r="C4" s="396" t="s">
        <v>44</v>
      </c>
      <c r="D4" s="57">
        <v>400</v>
      </c>
      <c r="E4" s="58">
        <v>120</v>
      </c>
      <c r="F4" s="59">
        <f>'c111'!E10</f>
        <v>0</v>
      </c>
      <c r="G4" s="60">
        <f t="shared" ref="G4:G31" si="1">F4/D4</f>
        <v>0</v>
      </c>
      <c r="H4" s="60">
        <f>30*BC!B48/E4</f>
        <v>0</v>
      </c>
      <c r="I4" s="60">
        <f t="shared" ref="I4:I31" si="2">IF(H4&gt;G4,H4,G4)</f>
        <v>0</v>
      </c>
      <c r="J4" s="60">
        <f t="shared" ref="J4:J31" si="3">IF(G4=0,0,I4)</f>
        <v>0</v>
      </c>
      <c r="K4" s="65">
        <f t="shared" ref="K4:K31" si="4">ROUNDUP(J4,0)</f>
        <v>0</v>
      </c>
      <c r="L4" s="61">
        <v>62</v>
      </c>
      <c r="M4" s="61">
        <f t="shared" ref="M4:M31" si="5">L4*K4</f>
        <v>0</v>
      </c>
      <c r="N4" s="91">
        <f t="shared" si="0"/>
        <v>62</v>
      </c>
      <c r="O4" s="61">
        <f t="shared" ref="O4:O31" si="6">N4*K4</f>
        <v>0</v>
      </c>
      <c r="P4" s="61">
        <f t="shared" ref="P4:P31" si="7">L4/D4</f>
        <v>0.155</v>
      </c>
      <c r="Q4" s="62" t="e">
        <f>P4+$M$62+((BC!$F$125)/'c111 DETERMIACION'!$F$32)</f>
        <v>#DIV/0!</v>
      </c>
      <c r="R4" s="61" t="e">
        <f t="shared" ref="R4:R31" si="8">Q4*F4</f>
        <v>#DIV/0!</v>
      </c>
      <c r="S4" s="61" t="e">
        <f t="shared" ref="S4:S31" si="9">((Q4*0.15)+Q4)</f>
        <v>#DIV/0!</v>
      </c>
      <c r="T4" s="61" t="e">
        <f t="shared" ref="T4:T31" si="10">S4*F4</f>
        <v>#DIV/0!</v>
      </c>
    </row>
    <row r="5" spans="1:22" x14ac:dyDescent="0.45">
      <c r="A5" s="62"/>
      <c r="B5" s="395">
        <v>5401755190</v>
      </c>
      <c r="C5" s="396" t="s">
        <v>43</v>
      </c>
      <c r="D5" s="57">
        <v>400</v>
      </c>
      <c r="E5" s="58">
        <v>120</v>
      </c>
      <c r="F5" s="59">
        <f>'c111'!E11</f>
        <v>0</v>
      </c>
      <c r="G5" s="60">
        <f t="shared" si="1"/>
        <v>0</v>
      </c>
      <c r="H5" s="60">
        <f>30*BC!B49/E5</f>
        <v>0</v>
      </c>
      <c r="I5" s="60">
        <f t="shared" si="2"/>
        <v>0</v>
      </c>
      <c r="J5" s="60">
        <f t="shared" si="3"/>
        <v>0</v>
      </c>
      <c r="K5" s="65">
        <f t="shared" si="4"/>
        <v>0</v>
      </c>
      <c r="L5" s="61">
        <v>74</v>
      </c>
      <c r="M5" s="61">
        <f t="shared" si="5"/>
        <v>0</v>
      </c>
      <c r="N5" s="91">
        <f t="shared" si="0"/>
        <v>74</v>
      </c>
      <c r="O5" s="61">
        <f t="shared" si="6"/>
        <v>0</v>
      </c>
      <c r="P5" s="61">
        <f t="shared" si="7"/>
        <v>0.185</v>
      </c>
      <c r="Q5" s="62" t="e">
        <f>P5+$M$62+((BC!$F$125)/'c111 DETERMIACION'!$F$32)</f>
        <v>#DIV/0!</v>
      </c>
      <c r="R5" s="61" t="e">
        <f t="shared" si="8"/>
        <v>#DIV/0!</v>
      </c>
      <c r="S5" s="61" t="e">
        <f t="shared" si="9"/>
        <v>#DIV/0!</v>
      </c>
      <c r="T5" s="61" t="e">
        <f t="shared" si="10"/>
        <v>#DIV/0!</v>
      </c>
    </row>
    <row r="6" spans="1:22" x14ac:dyDescent="0.45">
      <c r="A6" s="62"/>
      <c r="B6" s="395">
        <v>4657608190</v>
      </c>
      <c r="C6" s="396" t="s">
        <v>42</v>
      </c>
      <c r="D6" s="57">
        <v>400</v>
      </c>
      <c r="E6" s="58">
        <v>120</v>
      </c>
      <c r="F6" s="59">
        <f>'c111'!E12</f>
        <v>0</v>
      </c>
      <c r="G6" s="60">
        <f t="shared" si="1"/>
        <v>0</v>
      </c>
      <c r="H6" s="60">
        <f>30*BC!B50/E6</f>
        <v>0</v>
      </c>
      <c r="I6" s="60">
        <f t="shared" si="2"/>
        <v>0</v>
      </c>
      <c r="J6" s="60">
        <f t="shared" si="3"/>
        <v>0</v>
      </c>
      <c r="K6" s="65">
        <f t="shared" si="4"/>
        <v>0</v>
      </c>
      <c r="L6" s="61">
        <v>89</v>
      </c>
      <c r="M6" s="61">
        <f t="shared" si="5"/>
        <v>0</v>
      </c>
      <c r="N6" s="91">
        <f t="shared" si="0"/>
        <v>89</v>
      </c>
      <c r="O6" s="61">
        <f t="shared" si="6"/>
        <v>0</v>
      </c>
      <c r="P6" s="61">
        <f t="shared" si="7"/>
        <v>0.2225</v>
      </c>
      <c r="Q6" s="62" t="e">
        <f>P6+$M$62+((BC!$F$125)/'c111 DETERMIACION'!$F$32)</f>
        <v>#DIV/0!</v>
      </c>
      <c r="R6" s="61" t="e">
        <f t="shared" si="8"/>
        <v>#DIV/0!</v>
      </c>
      <c r="S6" s="61" t="e">
        <f t="shared" si="9"/>
        <v>#DIV/0!</v>
      </c>
      <c r="T6" s="61" t="e">
        <f t="shared" si="10"/>
        <v>#DIV/0!</v>
      </c>
    </row>
    <row r="7" spans="1:22" x14ac:dyDescent="0.45">
      <c r="A7" s="62"/>
      <c r="B7" s="395">
        <v>4718917190</v>
      </c>
      <c r="C7" s="396" t="s">
        <v>41</v>
      </c>
      <c r="D7" s="57">
        <v>400</v>
      </c>
      <c r="E7" s="58">
        <v>120</v>
      </c>
      <c r="F7" s="59">
        <f>'c111'!E13</f>
        <v>0</v>
      </c>
      <c r="G7" s="60">
        <f t="shared" si="1"/>
        <v>0</v>
      </c>
      <c r="H7" s="60">
        <f>30*BC!B51/E7</f>
        <v>0</v>
      </c>
      <c r="I7" s="60">
        <f t="shared" si="2"/>
        <v>0</v>
      </c>
      <c r="J7" s="60">
        <f t="shared" si="3"/>
        <v>0</v>
      </c>
      <c r="K7" s="65">
        <f t="shared" si="4"/>
        <v>0</v>
      </c>
      <c r="L7" s="61">
        <v>83</v>
      </c>
      <c r="M7" s="61">
        <f t="shared" si="5"/>
        <v>0</v>
      </c>
      <c r="N7" s="91">
        <f t="shared" si="0"/>
        <v>83</v>
      </c>
      <c r="O7" s="61">
        <f t="shared" si="6"/>
        <v>0</v>
      </c>
      <c r="P7" s="61">
        <f t="shared" si="7"/>
        <v>0.20749999999999999</v>
      </c>
      <c r="Q7" s="62" t="e">
        <f>P7+$M$62+((BC!$F$125)/'c111 DETERMIACION'!$F$32)</f>
        <v>#DIV/0!</v>
      </c>
      <c r="R7" s="61" t="e">
        <f t="shared" si="8"/>
        <v>#DIV/0!</v>
      </c>
      <c r="S7" s="61" t="e">
        <f t="shared" si="9"/>
        <v>#DIV/0!</v>
      </c>
      <c r="T7" s="61" t="e">
        <f t="shared" si="10"/>
        <v>#DIV/0!</v>
      </c>
    </row>
    <row r="8" spans="1:22" x14ac:dyDescent="0.45">
      <c r="A8" s="62"/>
      <c r="B8" s="395">
        <v>4657594190</v>
      </c>
      <c r="C8" s="396" t="s">
        <v>40</v>
      </c>
      <c r="D8" s="57">
        <v>200</v>
      </c>
      <c r="E8" s="58">
        <v>120</v>
      </c>
      <c r="F8" s="59">
        <f>'c111'!E14</f>
        <v>0</v>
      </c>
      <c r="G8" s="60">
        <f t="shared" si="1"/>
        <v>0</v>
      </c>
      <c r="H8" s="60">
        <f>30*BC!B52/E8</f>
        <v>0</v>
      </c>
      <c r="I8" s="60">
        <f t="shared" si="2"/>
        <v>0</v>
      </c>
      <c r="J8" s="60">
        <f t="shared" si="3"/>
        <v>0</v>
      </c>
      <c r="K8" s="65">
        <f t="shared" si="4"/>
        <v>0</v>
      </c>
      <c r="L8" s="61">
        <v>63</v>
      </c>
      <c r="M8" s="61">
        <f t="shared" si="5"/>
        <v>0</v>
      </c>
      <c r="N8" s="91">
        <f t="shared" si="0"/>
        <v>63</v>
      </c>
      <c r="O8" s="61">
        <f t="shared" si="6"/>
        <v>0</v>
      </c>
      <c r="P8" s="61">
        <f t="shared" si="7"/>
        <v>0.315</v>
      </c>
      <c r="Q8" s="62" t="e">
        <f>P8+$M$62+((BC!$F$125)/'c111 DETERMIACION'!$F$32)</f>
        <v>#DIV/0!</v>
      </c>
      <c r="R8" s="61" t="e">
        <f t="shared" si="8"/>
        <v>#DIV/0!</v>
      </c>
      <c r="S8" s="61" t="e">
        <f t="shared" si="9"/>
        <v>#DIV/0!</v>
      </c>
      <c r="T8" s="61" t="e">
        <f t="shared" si="10"/>
        <v>#DIV/0!</v>
      </c>
    </row>
    <row r="9" spans="1:22" x14ac:dyDescent="0.45">
      <c r="A9" s="62"/>
      <c r="B9" s="395">
        <v>4718569190</v>
      </c>
      <c r="C9" s="396" t="s">
        <v>39</v>
      </c>
      <c r="D9" s="57">
        <v>400</v>
      </c>
      <c r="E9" s="58">
        <v>120</v>
      </c>
      <c r="F9" s="59">
        <f>'c111'!E15</f>
        <v>0</v>
      </c>
      <c r="G9" s="60">
        <f t="shared" si="1"/>
        <v>0</v>
      </c>
      <c r="H9" s="60">
        <f>30*BC!B53/E9</f>
        <v>0</v>
      </c>
      <c r="I9" s="60">
        <f t="shared" si="2"/>
        <v>0</v>
      </c>
      <c r="J9" s="60">
        <f t="shared" si="3"/>
        <v>0</v>
      </c>
      <c r="K9" s="65">
        <f t="shared" si="4"/>
        <v>0</v>
      </c>
      <c r="L9" s="61">
        <v>103</v>
      </c>
      <c r="M9" s="61">
        <f t="shared" si="5"/>
        <v>0</v>
      </c>
      <c r="N9" s="91">
        <f t="shared" si="0"/>
        <v>103</v>
      </c>
      <c r="O9" s="61">
        <f t="shared" si="6"/>
        <v>0</v>
      </c>
      <c r="P9" s="61">
        <f t="shared" si="7"/>
        <v>0.25750000000000001</v>
      </c>
      <c r="Q9" s="62" t="e">
        <f>P9+$M$62+((BC!$F$125)/'c111 DETERMIACION'!$F$32)</f>
        <v>#DIV/0!</v>
      </c>
      <c r="R9" s="61" t="e">
        <f t="shared" si="8"/>
        <v>#DIV/0!</v>
      </c>
      <c r="S9" s="61" t="e">
        <f t="shared" si="9"/>
        <v>#DIV/0!</v>
      </c>
      <c r="T9" s="61" t="e">
        <f t="shared" si="10"/>
        <v>#DIV/0!</v>
      </c>
    </row>
    <row r="10" spans="1:22" x14ac:dyDescent="0.45">
      <c r="A10" s="62"/>
      <c r="B10" s="395">
        <v>4657543190</v>
      </c>
      <c r="C10" s="396" t="s">
        <v>38</v>
      </c>
      <c r="D10" s="57">
        <v>400</v>
      </c>
      <c r="E10" s="58">
        <v>120</v>
      </c>
      <c r="F10" s="59">
        <f>'c111'!E16</f>
        <v>0</v>
      </c>
      <c r="G10" s="60">
        <f t="shared" si="1"/>
        <v>0</v>
      </c>
      <c r="H10" s="60">
        <f>30*BC!B54/E10</f>
        <v>0</v>
      </c>
      <c r="I10" s="60">
        <f t="shared" si="2"/>
        <v>0</v>
      </c>
      <c r="J10" s="60">
        <f t="shared" si="3"/>
        <v>0</v>
      </c>
      <c r="K10" s="65">
        <f t="shared" si="4"/>
        <v>0</v>
      </c>
      <c r="L10" s="61">
        <v>100</v>
      </c>
      <c r="M10" s="61">
        <f t="shared" si="5"/>
        <v>0</v>
      </c>
      <c r="N10" s="91">
        <f t="shared" si="0"/>
        <v>100</v>
      </c>
      <c r="O10" s="61">
        <f t="shared" si="6"/>
        <v>0</v>
      </c>
      <c r="P10" s="61">
        <f t="shared" si="7"/>
        <v>0.25</v>
      </c>
      <c r="Q10" s="62" t="e">
        <f>P10+$M$62+((BC!$F$125)/'c111 DETERMIACION'!$F$32)</f>
        <v>#DIV/0!</v>
      </c>
      <c r="R10" s="61" t="e">
        <f t="shared" si="8"/>
        <v>#DIV/0!</v>
      </c>
      <c r="S10" s="61" t="e">
        <f t="shared" si="9"/>
        <v>#DIV/0!</v>
      </c>
      <c r="T10" s="61" t="e">
        <f t="shared" si="10"/>
        <v>#DIV/0!</v>
      </c>
    </row>
    <row r="11" spans="1:22" x14ac:dyDescent="0.45">
      <c r="A11" s="62"/>
      <c r="B11" s="395">
        <v>4657373190</v>
      </c>
      <c r="C11" s="396" t="s">
        <v>37</v>
      </c>
      <c r="D11" s="57">
        <v>200</v>
      </c>
      <c r="E11" s="58">
        <v>120</v>
      </c>
      <c r="F11" s="59">
        <f>'c111'!E17</f>
        <v>0</v>
      </c>
      <c r="G11" s="60">
        <f t="shared" si="1"/>
        <v>0</v>
      </c>
      <c r="H11" s="60">
        <f>30*BC!B55/E11</f>
        <v>0</v>
      </c>
      <c r="I11" s="60">
        <f t="shared" si="2"/>
        <v>0</v>
      </c>
      <c r="J11" s="60">
        <f t="shared" si="3"/>
        <v>0</v>
      </c>
      <c r="K11" s="65">
        <f t="shared" si="4"/>
        <v>0</v>
      </c>
      <c r="L11" s="61">
        <v>107</v>
      </c>
      <c r="M11" s="61">
        <f t="shared" si="5"/>
        <v>0</v>
      </c>
      <c r="N11" s="91">
        <f t="shared" si="0"/>
        <v>107</v>
      </c>
      <c r="O11" s="61">
        <f t="shared" si="6"/>
        <v>0</v>
      </c>
      <c r="P11" s="61">
        <f t="shared" si="7"/>
        <v>0.53500000000000003</v>
      </c>
      <c r="Q11" s="62" t="e">
        <f>P11+$M$62+((BC!$F$125)/'c111 DETERMIACION'!$F$32)</f>
        <v>#DIV/0!</v>
      </c>
      <c r="R11" s="61" t="e">
        <f t="shared" si="8"/>
        <v>#DIV/0!</v>
      </c>
      <c r="S11" s="61" t="e">
        <f t="shared" si="9"/>
        <v>#DIV/0!</v>
      </c>
      <c r="T11" s="61" t="e">
        <f t="shared" si="10"/>
        <v>#DIV/0!</v>
      </c>
    </row>
    <row r="12" spans="1:22" x14ac:dyDescent="0.45">
      <c r="A12" s="62"/>
      <c r="B12" s="398">
        <v>5795648190</v>
      </c>
      <c r="C12" s="396" t="s">
        <v>36</v>
      </c>
      <c r="D12" s="57">
        <v>400</v>
      </c>
      <c r="E12" s="58">
        <v>120</v>
      </c>
      <c r="F12" s="59">
        <f>'c111'!E18</f>
        <v>0</v>
      </c>
      <c r="G12" s="60">
        <f t="shared" si="1"/>
        <v>0</v>
      </c>
      <c r="H12" s="60">
        <f>30*BC!B56/E12</f>
        <v>0</v>
      </c>
      <c r="I12" s="60">
        <f t="shared" si="2"/>
        <v>0</v>
      </c>
      <c r="J12" s="60">
        <f t="shared" si="3"/>
        <v>0</v>
      </c>
      <c r="K12" s="65">
        <f t="shared" si="4"/>
        <v>0</v>
      </c>
      <c r="L12" s="61">
        <v>78</v>
      </c>
      <c r="M12" s="61">
        <f t="shared" si="5"/>
        <v>0</v>
      </c>
      <c r="N12" s="91">
        <f t="shared" si="0"/>
        <v>78</v>
      </c>
      <c r="O12" s="61">
        <f t="shared" si="6"/>
        <v>0</v>
      </c>
      <c r="P12" s="61">
        <f t="shared" si="7"/>
        <v>0.19500000000000001</v>
      </c>
      <c r="Q12" s="62" t="e">
        <f>P12+$M$62+((BC!$F$125)/'c111 DETERMIACION'!$F$32)</f>
        <v>#DIV/0!</v>
      </c>
      <c r="R12" s="61" t="e">
        <f t="shared" si="8"/>
        <v>#DIV/0!</v>
      </c>
      <c r="S12" s="61" t="e">
        <f t="shared" si="9"/>
        <v>#DIV/0!</v>
      </c>
      <c r="T12" s="61" t="e">
        <f t="shared" si="10"/>
        <v>#DIV/0!</v>
      </c>
    </row>
    <row r="13" spans="1:22" x14ac:dyDescent="0.45">
      <c r="A13" s="62"/>
      <c r="B13" s="395">
        <v>5589134190</v>
      </c>
      <c r="C13" s="396" t="s">
        <v>35</v>
      </c>
      <c r="D13" s="57">
        <v>100</v>
      </c>
      <c r="E13" s="58">
        <v>60</v>
      </c>
      <c r="F13" s="59">
        <f>'c111'!E19</f>
        <v>0</v>
      </c>
      <c r="G13" s="60">
        <f t="shared" si="1"/>
        <v>0</v>
      </c>
      <c r="H13" s="60" t="e">
        <f>30*BC!B57/E13</f>
        <v>#VALUE!</v>
      </c>
      <c r="I13" s="60" t="e">
        <f t="shared" si="2"/>
        <v>#VALUE!</v>
      </c>
      <c r="J13" s="60">
        <f t="shared" si="3"/>
        <v>0</v>
      </c>
      <c r="K13" s="65">
        <f t="shared" si="4"/>
        <v>0</v>
      </c>
      <c r="L13" s="61">
        <v>58</v>
      </c>
      <c r="M13" s="61">
        <f t="shared" si="5"/>
        <v>0</v>
      </c>
      <c r="N13" s="91">
        <f t="shared" si="0"/>
        <v>58</v>
      </c>
      <c r="O13" s="61">
        <f t="shared" si="6"/>
        <v>0</v>
      </c>
      <c r="P13" s="61">
        <f t="shared" si="7"/>
        <v>0.57999999999999996</v>
      </c>
      <c r="Q13" s="62" t="e">
        <f>P13+$M$62+((BC!$F$125)/'c111 DETERMIACION'!$F$32)</f>
        <v>#DIV/0!</v>
      </c>
      <c r="R13" s="61" t="e">
        <f t="shared" si="8"/>
        <v>#DIV/0!</v>
      </c>
      <c r="S13" s="61" t="e">
        <f t="shared" si="9"/>
        <v>#DIV/0!</v>
      </c>
      <c r="T13" s="61" t="e">
        <f t="shared" si="10"/>
        <v>#DIV/0!</v>
      </c>
    </row>
    <row r="14" spans="1:22" x14ac:dyDescent="0.45">
      <c r="A14" s="54">
        <f>SUM(F14+F19)</f>
        <v>0</v>
      </c>
      <c r="B14" s="395">
        <v>7528604190</v>
      </c>
      <c r="C14" s="396" t="s">
        <v>34</v>
      </c>
      <c r="D14" s="57">
        <v>200</v>
      </c>
      <c r="E14" s="58">
        <v>60</v>
      </c>
      <c r="F14" s="59">
        <f>'c111'!E20</f>
        <v>0</v>
      </c>
      <c r="G14" s="60">
        <f t="shared" si="1"/>
        <v>0</v>
      </c>
      <c r="H14" s="60">
        <f>30*BC!B58/E14</f>
        <v>0</v>
      </c>
      <c r="I14" s="60">
        <f t="shared" si="2"/>
        <v>0</v>
      </c>
      <c r="J14" s="60">
        <f t="shared" si="3"/>
        <v>0</v>
      </c>
      <c r="K14" s="65">
        <f t="shared" si="4"/>
        <v>0</v>
      </c>
      <c r="L14" s="61">
        <v>222</v>
      </c>
      <c r="M14" s="61">
        <f t="shared" si="5"/>
        <v>0</v>
      </c>
      <c r="N14" s="91">
        <f t="shared" si="0"/>
        <v>222</v>
      </c>
      <c r="O14" s="61">
        <f t="shared" si="6"/>
        <v>0</v>
      </c>
      <c r="P14" s="61">
        <f t="shared" si="7"/>
        <v>1.1100000000000001</v>
      </c>
      <c r="Q14" s="62" t="e">
        <f>P14+$M$62+((BC!$F$125)/'c111 DETERMIACION'!$F$32)</f>
        <v>#DIV/0!</v>
      </c>
      <c r="R14" s="61" t="e">
        <f t="shared" si="8"/>
        <v>#DIV/0!</v>
      </c>
      <c r="S14" s="61" t="e">
        <f t="shared" si="9"/>
        <v>#DIV/0!</v>
      </c>
      <c r="T14" s="61" t="e">
        <f t="shared" si="10"/>
        <v>#DIV/0!</v>
      </c>
    </row>
    <row r="15" spans="1:22" x14ac:dyDescent="0.45">
      <c r="A15" s="62"/>
      <c r="B15" s="399">
        <v>5401496190</v>
      </c>
      <c r="C15" s="400" t="s">
        <v>33</v>
      </c>
      <c r="D15" s="57">
        <v>200</v>
      </c>
      <c r="E15" s="58">
        <v>60</v>
      </c>
      <c r="F15" s="59">
        <f>'c111'!E21</f>
        <v>0</v>
      </c>
      <c r="G15" s="60">
        <f t="shared" si="1"/>
        <v>0</v>
      </c>
      <c r="H15" s="60">
        <f>30*BC!B59/E15</f>
        <v>0</v>
      </c>
      <c r="I15" s="60">
        <f t="shared" si="2"/>
        <v>0</v>
      </c>
      <c r="J15" s="60">
        <f t="shared" si="3"/>
        <v>0</v>
      </c>
      <c r="K15" s="65">
        <f t="shared" si="4"/>
        <v>0</v>
      </c>
      <c r="L15" s="61">
        <v>138</v>
      </c>
      <c r="M15" s="61">
        <f t="shared" si="5"/>
        <v>0</v>
      </c>
      <c r="N15" s="91">
        <f t="shared" si="0"/>
        <v>138</v>
      </c>
      <c r="O15" s="61">
        <f t="shared" si="6"/>
        <v>0</v>
      </c>
      <c r="P15" s="61">
        <f t="shared" si="7"/>
        <v>0.69</v>
      </c>
      <c r="Q15" s="62" t="e">
        <f>P15+$M$62+((BC!$F$125)/'c111 DETERMIACION'!$F$32)</f>
        <v>#DIV/0!</v>
      </c>
      <c r="R15" s="61" t="e">
        <f t="shared" si="8"/>
        <v>#DIV/0!</v>
      </c>
      <c r="S15" s="61" t="e">
        <f t="shared" si="9"/>
        <v>#DIV/0!</v>
      </c>
      <c r="T15" s="61" t="e">
        <f t="shared" si="10"/>
        <v>#DIV/0!</v>
      </c>
    </row>
    <row r="16" spans="1:22" x14ac:dyDescent="0.45">
      <c r="A16" s="62"/>
      <c r="B16" s="399">
        <v>5401704190</v>
      </c>
      <c r="C16" s="400" t="s">
        <v>32</v>
      </c>
      <c r="D16" s="57">
        <v>100</v>
      </c>
      <c r="E16" s="58">
        <v>60</v>
      </c>
      <c r="F16" s="59">
        <f>'c111'!E22</f>
        <v>0</v>
      </c>
      <c r="G16" s="60">
        <f t="shared" si="1"/>
        <v>0</v>
      </c>
      <c r="H16" s="60">
        <f>30*BC!B60/E16</f>
        <v>36063.014999999999</v>
      </c>
      <c r="I16" s="60">
        <f t="shared" si="2"/>
        <v>36063.014999999999</v>
      </c>
      <c r="J16" s="60">
        <f t="shared" si="3"/>
        <v>0</v>
      </c>
      <c r="K16" s="65">
        <f t="shared" si="4"/>
        <v>0</v>
      </c>
      <c r="L16" s="61">
        <v>132</v>
      </c>
      <c r="M16" s="61">
        <f t="shared" si="5"/>
        <v>0</v>
      </c>
      <c r="N16" s="91">
        <f t="shared" si="0"/>
        <v>132</v>
      </c>
      <c r="O16" s="61">
        <f t="shared" si="6"/>
        <v>0</v>
      </c>
      <c r="P16" s="61">
        <f t="shared" si="7"/>
        <v>1.32</v>
      </c>
      <c r="Q16" s="62" t="e">
        <f>P16+$M$62+((BC!$F$125)/'c111 DETERMIACION'!$F$32)</f>
        <v>#DIV/0!</v>
      </c>
      <c r="R16" s="61" t="e">
        <f t="shared" si="8"/>
        <v>#DIV/0!</v>
      </c>
      <c r="S16" s="61" t="e">
        <f t="shared" si="9"/>
        <v>#DIV/0!</v>
      </c>
      <c r="T16" s="61" t="e">
        <f t="shared" si="10"/>
        <v>#DIV/0!</v>
      </c>
    </row>
    <row r="17" spans="1:20" x14ac:dyDescent="0.45">
      <c r="A17" s="62"/>
      <c r="B17" s="399">
        <v>5401461190</v>
      </c>
      <c r="C17" s="395" t="s">
        <v>31</v>
      </c>
      <c r="D17" s="57">
        <v>200</v>
      </c>
      <c r="E17" s="58">
        <v>60</v>
      </c>
      <c r="F17" s="59">
        <f>'c111'!E23</f>
        <v>0</v>
      </c>
      <c r="G17" s="60">
        <f t="shared" si="1"/>
        <v>0</v>
      </c>
      <c r="H17" s="60">
        <f>30*BC!B61/E17</f>
        <v>0</v>
      </c>
      <c r="I17" s="60">
        <f t="shared" si="2"/>
        <v>0</v>
      </c>
      <c r="J17" s="60">
        <f t="shared" si="3"/>
        <v>0</v>
      </c>
      <c r="K17" s="65">
        <f t="shared" si="4"/>
        <v>0</v>
      </c>
      <c r="L17" s="61">
        <v>67</v>
      </c>
      <c r="M17" s="61">
        <f t="shared" si="5"/>
        <v>0</v>
      </c>
      <c r="N17" s="91">
        <f t="shared" si="0"/>
        <v>67</v>
      </c>
      <c r="O17" s="61">
        <f t="shared" si="6"/>
        <v>0</v>
      </c>
      <c r="P17" s="61">
        <f t="shared" si="7"/>
        <v>0.33500000000000002</v>
      </c>
      <c r="Q17" s="62" t="e">
        <f>P17+$M$62+((BC!$F$125)/'c111 DETERMIACION'!$F$32)</f>
        <v>#DIV/0!</v>
      </c>
      <c r="R17" s="61" t="e">
        <f t="shared" si="8"/>
        <v>#DIV/0!</v>
      </c>
      <c r="S17" s="61" t="e">
        <f t="shared" si="9"/>
        <v>#DIV/0!</v>
      </c>
      <c r="T17" s="61" t="e">
        <f t="shared" si="10"/>
        <v>#DIV/0!</v>
      </c>
    </row>
    <row r="18" spans="1:20" x14ac:dyDescent="0.45">
      <c r="A18" s="62"/>
      <c r="B18" s="401">
        <v>4657357190</v>
      </c>
      <c r="C18" s="402" t="s">
        <v>30</v>
      </c>
      <c r="D18" s="57">
        <v>400</v>
      </c>
      <c r="E18" s="58">
        <v>120</v>
      </c>
      <c r="F18" s="59">
        <f>'c111'!E24</f>
        <v>0</v>
      </c>
      <c r="G18" s="60">
        <f t="shared" si="1"/>
        <v>0</v>
      </c>
      <c r="H18" s="60" t="e">
        <f>30*BC!B62/E18</f>
        <v>#VALUE!</v>
      </c>
      <c r="I18" s="60" t="e">
        <f t="shared" si="2"/>
        <v>#VALUE!</v>
      </c>
      <c r="J18" s="60">
        <f t="shared" si="3"/>
        <v>0</v>
      </c>
      <c r="K18" s="65">
        <f t="shared" si="4"/>
        <v>0</v>
      </c>
      <c r="L18" s="61">
        <v>85</v>
      </c>
      <c r="M18" s="61">
        <f t="shared" si="5"/>
        <v>0</v>
      </c>
      <c r="N18" s="91">
        <f t="shared" si="0"/>
        <v>85</v>
      </c>
      <c r="O18" s="61">
        <f t="shared" si="6"/>
        <v>0</v>
      </c>
      <c r="P18" s="61">
        <f t="shared" si="7"/>
        <v>0.21249999999999999</v>
      </c>
      <c r="Q18" s="62" t="e">
        <f>P18+$M$62+((BC!$F$125)/'c111 DETERMIACION'!$F$32)</f>
        <v>#DIV/0!</v>
      </c>
      <c r="R18" s="61" t="e">
        <f t="shared" si="8"/>
        <v>#DIV/0!</v>
      </c>
      <c r="S18" s="61" t="e">
        <f t="shared" si="9"/>
        <v>#DIV/0!</v>
      </c>
      <c r="T18" s="61" t="e">
        <f t="shared" si="10"/>
        <v>#DIV/0!</v>
      </c>
    </row>
    <row r="19" spans="1:20" x14ac:dyDescent="0.45">
      <c r="A19" s="62"/>
      <c r="B19" s="395">
        <v>7005806190</v>
      </c>
      <c r="C19" s="396" t="s">
        <v>29</v>
      </c>
      <c r="D19" s="57">
        <v>100</v>
      </c>
      <c r="E19" s="58">
        <v>60</v>
      </c>
      <c r="F19" s="59">
        <f>'c111'!E25</f>
        <v>0</v>
      </c>
      <c r="G19" s="60">
        <f t="shared" si="1"/>
        <v>0</v>
      </c>
      <c r="H19" s="60" t="e">
        <f>30*BC!B63/E19</f>
        <v>#VALUE!</v>
      </c>
      <c r="I19" s="60" t="e">
        <f t="shared" si="2"/>
        <v>#VALUE!</v>
      </c>
      <c r="J19" s="60">
        <f t="shared" si="3"/>
        <v>0</v>
      </c>
      <c r="K19" s="65">
        <f t="shared" si="4"/>
        <v>0</v>
      </c>
      <c r="L19" s="61">
        <v>109</v>
      </c>
      <c r="M19" s="61">
        <f t="shared" si="5"/>
        <v>0</v>
      </c>
      <c r="N19" s="91">
        <f t="shared" si="0"/>
        <v>109</v>
      </c>
      <c r="O19" s="61">
        <f t="shared" si="6"/>
        <v>0</v>
      </c>
      <c r="P19" s="61">
        <f t="shared" si="7"/>
        <v>1.0900000000000001</v>
      </c>
      <c r="Q19" s="62" t="e">
        <f>P19+$M$62+((BC!$F$125)/'c111 DETERMIACION'!$F$32)</f>
        <v>#DIV/0!</v>
      </c>
      <c r="R19" s="61" t="e">
        <f t="shared" si="8"/>
        <v>#DIV/0!</v>
      </c>
      <c r="S19" s="61" t="e">
        <f t="shared" si="9"/>
        <v>#DIV/0!</v>
      </c>
      <c r="T19" s="61" t="e">
        <f t="shared" si="10"/>
        <v>#DIV/0!</v>
      </c>
    </row>
    <row r="20" spans="1:20" x14ac:dyDescent="0.45">
      <c r="A20" s="62"/>
      <c r="B20" s="398">
        <v>5061504190</v>
      </c>
      <c r="C20" s="403" t="s">
        <v>28</v>
      </c>
      <c r="D20" s="57">
        <v>400</v>
      </c>
      <c r="E20" s="58">
        <v>120</v>
      </c>
      <c r="F20" s="59">
        <f>'c111'!E26</f>
        <v>0</v>
      </c>
      <c r="G20" s="60">
        <f t="shared" si="1"/>
        <v>0</v>
      </c>
      <c r="H20" s="60">
        <f>30*BC!B64/E20</f>
        <v>0</v>
      </c>
      <c r="I20" s="60">
        <f t="shared" si="2"/>
        <v>0</v>
      </c>
      <c r="J20" s="60">
        <f t="shared" si="3"/>
        <v>0</v>
      </c>
      <c r="K20" s="65">
        <f t="shared" si="4"/>
        <v>0</v>
      </c>
      <c r="L20" s="61">
        <v>169</v>
      </c>
      <c r="M20" s="61">
        <f t="shared" si="5"/>
        <v>0</v>
      </c>
      <c r="N20" s="91">
        <f t="shared" si="0"/>
        <v>169</v>
      </c>
      <c r="O20" s="61">
        <f t="shared" si="6"/>
        <v>0</v>
      </c>
      <c r="P20" s="61">
        <f t="shared" si="7"/>
        <v>0.42249999999999999</v>
      </c>
      <c r="Q20" s="62" t="e">
        <f>P20+$M$62+((BC!$F$125)/'c111 DETERMIACION'!$F$32)</f>
        <v>#DIV/0!</v>
      </c>
      <c r="R20" s="61" t="e">
        <f t="shared" si="8"/>
        <v>#DIV/0!</v>
      </c>
      <c r="S20" s="61" t="e">
        <f t="shared" si="9"/>
        <v>#DIV/0!</v>
      </c>
      <c r="T20" s="61" t="e">
        <f t="shared" si="10"/>
        <v>#DIV/0!</v>
      </c>
    </row>
    <row r="21" spans="1:20" x14ac:dyDescent="0.45">
      <c r="A21" s="62"/>
      <c r="B21" s="398">
        <v>7442017190</v>
      </c>
      <c r="C21" s="403" t="s">
        <v>27</v>
      </c>
      <c r="D21" s="57">
        <v>200</v>
      </c>
      <c r="E21" s="58">
        <v>60</v>
      </c>
      <c r="F21" s="59">
        <f>'c111'!E27</f>
        <v>0</v>
      </c>
      <c r="G21" s="60">
        <f t="shared" si="1"/>
        <v>0</v>
      </c>
      <c r="H21" s="60">
        <f>30*BC!B65/E21</f>
        <v>0</v>
      </c>
      <c r="I21" s="60">
        <f t="shared" si="2"/>
        <v>0</v>
      </c>
      <c r="J21" s="60">
        <f t="shared" si="3"/>
        <v>0</v>
      </c>
      <c r="K21" s="65">
        <f t="shared" si="4"/>
        <v>0</v>
      </c>
      <c r="L21" s="61">
        <v>140</v>
      </c>
      <c r="M21" s="61">
        <f t="shared" si="5"/>
        <v>0</v>
      </c>
      <c r="N21" s="91">
        <f t="shared" si="0"/>
        <v>140</v>
      </c>
      <c r="O21" s="61">
        <f t="shared" si="6"/>
        <v>0</v>
      </c>
      <c r="P21" s="61">
        <f t="shared" si="7"/>
        <v>0.7</v>
      </c>
      <c r="Q21" s="62" t="e">
        <f>P21+$M$62+((BC!$F$125)/'c111 DETERMIACION'!$F$32)</f>
        <v>#DIV/0!</v>
      </c>
      <c r="R21" s="61" t="e">
        <f t="shared" si="8"/>
        <v>#DIV/0!</v>
      </c>
      <c r="S21" s="61" t="e">
        <f t="shared" si="9"/>
        <v>#DIV/0!</v>
      </c>
      <c r="T21" s="61" t="e">
        <f t="shared" si="10"/>
        <v>#DIV/0!</v>
      </c>
    </row>
    <row r="22" spans="1:20" x14ac:dyDescent="0.45">
      <c r="A22" s="62"/>
      <c r="B22" s="398">
        <v>5401674190</v>
      </c>
      <c r="C22" s="403" t="s">
        <v>26</v>
      </c>
      <c r="D22" s="57">
        <v>100</v>
      </c>
      <c r="E22" s="58">
        <v>60</v>
      </c>
      <c r="F22" s="59">
        <f>'c111'!E28</f>
        <v>0</v>
      </c>
      <c r="G22" s="60">
        <f t="shared" si="1"/>
        <v>0</v>
      </c>
      <c r="H22" s="60">
        <f>30*BC!B66/E22</f>
        <v>0</v>
      </c>
      <c r="I22" s="60">
        <f t="shared" si="2"/>
        <v>0</v>
      </c>
      <c r="J22" s="60">
        <f t="shared" si="3"/>
        <v>0</v>
      </c>
      <c r="K22" s="65">
        <f t="shared" si="4"/>
        <v>0</v>
      </c>
      <c r="L22" s="61">
        <v>128</v>
      </c>
      <c r="M22" s="61">
        <f t="shared" si="5"/>
        <v>0</v>
      </c>
      <c r="N22" s="91">
        <f t="shared" si="0"/>
        <v>128</v>
      </c>
      <c r="O22" s="61">
        <f t="shared" si="6"/>
        <v>0</v>
      </c>
      <c r="P22" s="61">
        <f t="shared" si="7"/>
        <v>1.28</v>
      </c>
      <c r="Q22" s="62" t="e">
        <f>P22+$M$62+((BC!$F$125)/'c111 DETERMIACION'!$F$32)</f>
        <v>#DIV/0!</v>
      </c>
      <c r="R22" s="61" t="e">
        <f t="shared" si="8"/>
        <v>#DIV/0!</v>
      </c>
      <c r="S22" s="61" t="e">
        <f t="shared" si="9"/>
        <v>#DIV/0!</v>
      </c>
      <c r="T22" s="61" t="e">
        <f t="shared" si="10"/>
        <v>#DIV/0!</v>
      </c>
    </row>
    <row r="23" spans="1:20" x14ac:dyDescent="0.45">
      <c r="A23" s="62"/>
      <c r="B23" s="398">
        <v>5336180190</v>
      </c>
      <c r="C23" s="403" t="s">
        <v>25</v>
      </c>
      <c r="D23" s="57">
        <v>200</v>
      </c>
      <c r="E23" s="58">
        <v>60</v>
      </c>
      <c r="F23" s="59">
        <f>'c111'!E29</f>
        <v>0</v>
      </c>
      <c r="G23" s="60">
        <f t="shared" si="1"/>
        <v>0</v>
      </c>
      <c r="H23" s="60">
        <f>30*BC!B67/E23</f>
        <v>0</v>
      </c>
      <c r="I23" s="60">
        <f t="shared" si="2"/>
        <v>0</v>
      </c>
      <c r="J23" s="60">
        <f t="shared" si="3"/>
        <v>0</v>
      </c>
      <c r="K23" s="65">
        <f t="shared" si="4"/>
        <v>0</v>
      </c>
      <c r="L23" s="61">
        <v>310</v>
      </c>
      <c r="M23" s="61">
        <f t="shared" si="5"/>
        <v>0</v>
      </c>
      <c r="N23" s="91">
        <f t="shared" si="0"/>
        <v>310</v>
      </c>
      <c r="O23" s="61">
        <f t="shared" si="6"/>
        <v>0</v>
      </c>
      <c r="P23" s="61">
        <f t="shared" si="7"/>
        <v>1.55</v>
      </c>
      <c r="Q23" s="62" t="e">
        <f>P23+$M$62+((BC!$F$125)/'c111 DETERMIACION'!$F$32)</f>
        <v>#DIV/0!</v>
      </c>
      <c r="R23" s="61" t="e">
        <f t="shared" si="8"/>
        <v>#DIV/0!</v>
      </c>
      <c r="S23" s="61" t="e">
        <f t="shared" si="9"/>
        <v>#DIV/0!</v>
      </c>
      <c r="T23" s="61" t="e">
        <f t="shared" si="10"/>
        <v>#DIV/0!</v>
      </c>
    </row>
    <row r="24" spans="1:20" x14ac:dyDescent="0.45">
      <c r="A24" s="62"/>
      <c r="B24" s="398">
        <v>5401658190</v>
      </c>
      <c r="C24" s="403" t="s">
        <v>24</v>
      </c>
      <c r="D24" s="57">
        <v>100</v>
      </c>
      <c r="E24" s="58">
        <v>60</v>
      </c>
      <c r="F24" s="59">
        <f>'c111'!E30</f>
        <v>0</v>
      </c>
      <c r="G24" s="60">
        <f t="shared" si="1"/>
        <v>0</v>
      </c>
      <c r="H24" s="60">
        <f>30*BC!B68/E24</f>
        <v>0</v>
      </c>
      <c r="I24" s="60">
        <f t="shared" si="2"/>
        <v>0</v>
      </c>
      <c r="J24" s="60">
        <f t="shared" si="3"/>
        <v>0</v>
      </c>
      <c r="K24" s="65">
        <f t="shared" si="4"/>
        <v>0</v>
      </c>
      <c r="L24" s="61">
        <v>87</v>
      </c>
      <c r="M24" s="61">
        <f t="shared" si="5"/>
        <v>0</v>
      </c>
      <c r="N24" s="91">
        <f t="shared" si="0"/>
        <v>87</v>
      </c>
      <c r="O24" s="61">
        <f t="shared" si="6"/>
        <v>0</v>
      </c>
      <c r="P24" s="61">
        <f t="shared" si="7"/>
        <v>0.87</v>
      </c>
      <c r="Q24" s="62" t="e">
        <f>P24+$M$62+((BC!$F$125)/'c111 DETERMIACION'!$F$32)</f>
        <v>#DIV/0!</v>
      </c>
      <c r="R24" s="61" t="e">
        <f t="shared" si="8"/>
        <v>#DIV/0!</v>
      </c>
      <c r="S24" s="61" t="e">
        <f t="shared" si="9"/>
        <v>#DIV/0!</v>
      </c>
      <c r="T24" s="61" t="e">
        <f t="shared" si="10"/>
        <v>#DIV/0!</v>
      </c>
    </row>
    <row r="25" spans="1:20" x14ac:dyDescent="0.45">
      <c r="A25" s="62"/>
      <c r="B25" s="398">
        <v>4657586190</v>
      </c>
      <c r="C25" s="403" t="s">
        <v>23</v>
      </c>
      <c r="D25" s="57">
        <v>400</v>
      </c>
      <c r="E25" s="58">
        <v>120</v>
      </c>
      <c r="F25" s="59">
        <f>'c111'!E31</f>
        <v>0</v>
      </c>
      <c r="G25" s="60">
        <f t="shared" si="1"/>
        <v>0</v>
      </c>
      <c r="H25" s="60">
        <f>30*BC!B69/E25</f>
        <v>0</v>
      </c>
      <c r="I25" s="60">
        <f t="shared" si="2"/>
        <v>0</v>
      </c>
      <c r="J25" s="60">
        <f t="shared" si="3"/>
        <v>0</v>
      </c>
      <c r="K25" s="65">
        <f t="shared" si="4"/>
        <v>0</v>
      </c>
      <c r="L25" s="61">
        <v>80</v>
      </c>
      <c r="M25" s="61">
        <f t="shared" si="5"/>
        <v>0</v>
      </c>
      <c r="N25" s="91">
        <f t="shared" si="0"/>
        <v>80</v>
      </c>
      <c r="O25" s="61">
        <f t="shared" si="6"/>
        <v>0</v>
      </c>
      <c r="P25" s="61">
        <f t="shared" si="7"/>
        <v>0.2</v>
      </c>
      <c r="Q25" s="62" t="e">
        <f>P25+$M$62+((BC!$F$125)/'c111 DETERMIACION'!$F$32)</f>
        <v>#DIV/0!</v>
      </c>
      <c r="R25" s="61" t="e">
        <f t="shared" si="8"/>
        <v>#DIV/0!</v>
      </c>
      <c r="S25" s="61" t="e">
        <f t="shared" si="9"/>
        <v>#DIV/0!</v>
      </c>
      <c r="T25" s="61" t="e">
        <f t="shared" si="10"/>
        <v>#DIV/0!</v>
      </c>
    </row>
    <row r="26" spans="1:20" x14ac:dyDescent="0.45">
      <c r="A26" s="62"/>
      <c r="B26" s="398">
        <v>7876432190</v>
      </c>
      <c r="C26" s="396" t="s">
        <v>22</v>
      </c>
      <c r="D26" s="57">
        <v>200</v>
      </c>
      <c r="E26" s="58">
        <v>60</v>
      </c>
      <c r="F26" s="59">
        <f>'c111'!E32</f>
        <v>0</v>
      </c>
      <c r="G26" s="60">
        <f t="shared" si="1"/>
        <v>0</v>
      </c>
      <c r="H26" s="60">
        <f>30*BC!B70/E26</f>
        <v>0</v>
      </c>
      <c r="I26" s="60">
        <f t="shared" si="2"/>
        <v>0</v>
      </c>
      <c r="J26" s="60">
        <f t="shared" si="3"/>
        <v>0</v>
      </c>
      <c r="K26" s="65">
        <f t="shared" si="4"/>
        <v>0</v>
      </c>
      <c r="L26" s="61">
        <v>180</v>
      </c>
      <c r="M26" s="61">
        <f t="shared" si="5"/>
        <v>0</v>
      </c>
      <c r="N26" s="91">
        <f t="shared" si="0"/>
        <v>180</v>
      </c>
      <c r="O26" s="61">
        <f t="shared" si="6"/>
        <v>0</v>
      </c>
      <c r="P26" s="61">
        <f t="shared" si="7"/>
        <v>0.9</v>
      </c>
      <c r="Q26" s="62" t="e">
        <f>P26+$M$62+((BC!$F$125)/'c111 DETERMIACION'!$F$32)</f>
        <v>#DIV/0!</v>
      </c>
      <c r="R26" s="61" t="e">
        <f t="shared" si="8"/>
        <v>#DIV/0!</v>
      </c>
      <c r="S26" s="61" t="e">
        <f t="shared" si="9"/>
        <v>#DIV/0!</v>
      </c>
      <c r="T26" s="61" t="e">
        <f t="shared" si="10"/>
        <v>#DIV/0!</v>
      </c>
    </row>
    <row r="27" spans="1:20" x14ac:dyDescent="0.45">
      <c r="A27" s="62"/>
      <c r="B27" s="398">
        <v>5077753190</v>
      </c>
      <c r="C27" s="403" t="s">
        <v>21</v>
      </c>
      <c r="D27" s="57">
        <v>200</v>
      </c>
      <c r="E27" s="58">
        <v>120</v>
      </c>
      <c r="F27" s="59">
        <f>'c111'!E33</f>
        <v>0</v>
      </c>
      <c r="G27" s="60">
        <f t="shared" si="1"/>
        <v>0</v>
      </c>
      <c r="H27" s="60">
        <f>30*BC!B71/E27</f>
        <v>0</v>
      </c>
      <c r="I27" s="60">
        <f t="shared" si="2"/>
        <v>0</v>
      </c>
      <c r="J27" s="60">
        <f t="shared" si="3"/>
        <v>0</v>
      </c>
      <c r="K27" s="65">
        <f t="shared" si="4"/>
        <v>0</v>
      </c>
      <c r="L27" s="61">
        <v>1015</v>
      </c>
      <c r="M27" s="61">
        <f t="shared" si="5"/>
        <v>0</v>
      </c>
      <c r="N27" s="91">
        <f t="shared" si="0"/>
        <v>1015</v>
      </c>
      <c r="O27" s="61">
        <f t="shared" si="6"/>
        <v>0</v>
      </c>
      <c r="P27" s="61">
        <f>L27/D27</f>
        <v>5.0750000000000002</v>
      </c>
      <c r="Q27" s="62" t="e">
        <f>P27+$M$62+((BC!$F$125)/'c111 DETERMIACION'!$F$32)</f>
        <v>#DIV/0!</v>
      </c>
      <c r="R27" s="61" t="e">
        <f t="shared" si="8"/>
        <v>#DIV/0!</v>
      </c>
      <c r="S27" s="61" t="e">
        <f t="shared" si="9"/>
        <v>#DIV/0!</v>
      </c>
      <c r="T27" s="61" t="e">
        <f t="shared" si="10"/>
        <v>#DIV/0!</v>
      </c>
    </row>
    <row r="28" spans="1:20" x14ac:dyDescent="0.45">
      <c r="A28" s="62"/>
      <c r="B28" s="398">
        <v>5401780190</v>
      </c>
      <c r="C28" s="403" t="s">
        <v>20</v>
      </c>
      <c r="D28" s="57">
        <v>100</v>
      </c>
      <c r="E28" s="58">
        <v>60</v>
      </c>
      <c r="F28" s="59">
        <f>'c111'!E34</f>
        <v>0</v>
      </c>
      <c r="G28" s="60">
        <f t="shared" si="1"/>
        <v>0</v>
      </c>
      <c r="H28" s="60" t="e">
        <f>30*BC!B72/E28</f>
        <v>#VALUE!</v>
      </c>
      <c r="I28" s="60" t="e">
        <f t="shared" si="2"/>
        <v>#VALUE!</v>
      </c>
      <c r="J28" s="60">
        <f t="shared" si="3"/>
        <v>0</v>
      </c>
      <c r="K28" s="65">
        <f t="shared" si="4"/>
        <v>0</v>
      </c>
      <c r="L28" s="61">
        <v>136</v>
      </c>
      <c r="M28" s="61">
        <f t="shared" si="5"/>
        <v>0</v>
      </c>
      <c r="N28" s="91">
        <f t="shared" si="0"/>
        <v>136</v>
      </c>
      <c r="O28" s="61">
        <f t="shared" si="6"/>
        <v>0</v>
      </c>
      <c r="P28" s="61">
        <f t="shared" si="7"/>
        <v>1.36</v>
      </c>
      <c r="Q28" s="62" t="e">
        <f>P28+$M$62+((BC!$F$125)/'c111 DETERMIACION'!$F$32)</f>
        <v>#DIV/0!</v>
      </c>
      <c r="R28" s="61" t="e">
        <f t="shared" si="8"/>
        <v>#DIV/0!</v>
      </c>
      <c r="S28" s="61" t="e">
        <f t="shared" si="9"/>
        <v>#DIV/0!</v>
      </c>
      <c r="T28" s="61" t="e">
        <f t="shared" si="10"/>
        <v>#DIV/0!</v>
      </c>
    </row>
    <row r="29" spans="1:20" ht="15" customHeight="1" x14ac:dyDescent="0.45">
      <c r="B29" s="495">
        <v>5401739190</v>
      </c>
      <c r="C29" s="685" t="s">
        <v>1083</v>
      </c>
      <c r="D29" s="57">
        <v>100</v>
      </c>
      <c r="E29" s="58">
        <v>56</v>
      </c>
      <c r="F29" s="59">
        <f>'c111'!E35</f>
        <v>0</v>
      </c>
      <c r="G29" s="60">
        <f t="shared" si="1"/>
        <v>0</v>
      </c>
      <c r="H29" s="60">
        <f>30*BC!B73/E29</f>
        <v>0</v>
      </c>
      <c r="I29" s="60">
        <f t="shared" si="2"/>
        <v>0</v>
      </c>
      <c r="J29" s="60">
        <f t="shared" si="3"/>
        <v>0</v>
      </c>
      <c r="K29" s="65">
        <f t="shared" si="4"/>
        <v>0</v>
      </c>
      <c r="L29" s="61">
        <v>221</v>
      </c>
      <c r="M29" s="61">
        <f t="shared" si="5"/>
        <v>0</v>
      </c>
      <c r="N29" s="91">
        <f t="shared" si="0"/>
        <v>221</v>
      </c>
      <c r="O29" s="61">
        <f t="shared" ref="O29" si="11">N29*K29</f>
        <v>0</v>
      </c>
      <c r="P29" s="61">
        <f>L29/D29</f>
        <v>2.21</v>
      </c>
      <c r="Q29" s="62" t="e">
        <f>P29+$M$62+((BC!$F$125)/'c111 DETERMIACION'!$F$32)</f>
        <v>#DIV/0!</v>
      </c>
      <c r="R29" s="61" t="e">
        <f t="shared" si="8"/>
        <v>#DIV/0!</v>
      </c>
      <c r="S29" s="61" t="e">
        <f t="shared" si="9"/>
        <v>#DIV/0!</v>
      </c>
      <c r="T29" s="61" t="e">
        <f t="shared" si="10"/>
        <v>#DIV/0!</v>
      </c>
    </row>
    <row r="30" spans="1:20" ht="15" customHeight="1" x14ac:dyDescent="0.45">
      <c r="B30" s="395">
        <v>8900019190</v>
      </c>
      <c r="C30" s="403" t="s">
        <v>1129</v>
      </c>
      <c r="D30" s="57">
        <v>100</v>
      </c>
      <c r="E30" s="58">
        <v>56</v>
      </c>
      <c r="F30" s="59">
        <f>'c111'!E36</f>
        <v>0</v>
      </c>
      <c r="G30" s="60">
        <f t="shared" ref="G30" si="12">F30/D30</f>
        <v>0</v>
      </c>
      <c r="H30" s="60">
        <f>30*BC!B74/E30</f>
        <v>0</v>
      </c>
      <c r="I30" s="60">
        <f t="shared" ref="I30" si="13">IF(H30&gt;G30,H30,G30)</f>
        <v>0</v>
      </c>
      <c r="J30" s="60">
        <f t="shared" ref="J30" si="14">IF(G30=0,0,I30)</f>
        <v>0</v>
      </c>
      <c r="K30" s="65">
        <f t="shared" ref="K30" si="15">ROUNDUP(J30,0)</f>
        <v>0</v>
      </c>
      <c r="L30" s="61">
        <v>90</v>
      </c>
      <c r="M30" s="61">
        <f t="shared" ref="M30" si="16">L30*K30</f>
        <v>0</v>
      </c>
      <c r="N30" s="91">
        <f t="shared" ref="N30" si="17">((L30*$L$65)+L30)</f>
        <v>90</v>
      </c>
      <c r="O30" s="61">
        <f t="shared" ref="O30" si="18">N30*K30</f>
        <v>0</v>
      </c>
      <c r="P30" s="61">
        <f>L30/D30</f>
        <v>0.9</v>
      </c>
      <c r="Q30" s="62" t="e">
        <f>P30+$M$62+((BC!$F$125)/'c111 DETERMIACION'!$F$32)</f>
        <v>#DIV/0!</v>
      </c>
      <c r="R30" s="61" t="e">
        <f t="shared" ref="R30" si="19">Q30*F30</f>
        <v>#DIV/0!</v>
      </c>
      <c r="S30" s="61" t="e">
        <f t="shared" ref="S30" si="20">((Q30*0.15)+Q30)</f>
        <v>#DIV/0!</v>
      </c>
      <c r="T30" s="61" t="e">
        <f t="shared" ref="T30" si="21">S30*F30</f>
        <v>#DIV/0!</v>
      </c>
    </row>
    <row r="31" spans="1:20" ht="15" customHeight="1" x14ac:dyDescent="0.45">
      <c r="A31" s="75"/>
      <c r="B31" s="75">
        <v>7442050190</v>
      </c>
      <c r="C31" s="76" t="s">
        <v>174</v>
      </c>
      <c r="D31" s="77">
        <v>100</v>
      </c>
      <c r="E31" s="77">
        <v>60</v>
      </c>
      <c r="F31" s="59">
        <f>'c111'!E37</f>
        <v>0</v>
      </c>
      <c r="G31" s="60">
        <f t="shared" si="1"/>
        <v>0</v>
      </c>
      <c r="H31" s="60">
        <f>30*BC!B74/E31</f>
        <v>0</v>
      </c>
      <c r="I31" s="60">
        <f t="shared" si="2"/>
        <v>0</v>
      </c>
      <c r="J31" s="60">
        <f t="shared" si="3"/>
        <v>0</v>
      </c>
      <c r="K31" s="65">
        <f t="shared" si="4"/>
        <v>0</v>
      </c>
      <c r="L31" s="78">
        <v>164</v>
      </c>
      <c r="M31" s="61">
        <f t="shared" si="5"/>
        <v>0</v>
      </c>
      <c r="N31" s="91">
        <f t="shared" si="0"/>
        <v>164</v>
      </c>
      <c r="O31" s="61">
        <f t="shared" si="6"/>
        <v>0</v>
      </c>
      <c r="P31" s="78">
        <f t="shared" si="7"/>
        <v>1.64</v>
      </c>
      <c r="Q31" s="62" t="e">
        <f>P31+$M$62+((BC!$F$125)/'c111 DETERMIACION'!$F$32)</f>
        <v>#DIV/0!</v>
      </c>
      <c r="R31" s="61" t="e">
        <f t="shared" si="8"/>
        <v>#DIV/0!</v>
      </c>
      <c r="S31" s="61" t="e">
        <f t="shared" si="9"/>
        <v>#DIV/0!</v>
      </c>
      <c r="T31" s="61" t="e">
        <f t="shared" si="10"/>
        <v>#DIV/0!</v>
      </c>
    </row>
    <row r="32" spans="1:20" x14ac:dyDescent="0.45">
      <c r="B32" s="14"/>
      <c r="C32" s="15"/>
      <c r="D32" s="13" t="s">
        <v>19</v>
      </c>
      <c r="E32" s="13"/>
      <c r="F32" s="52">
        <f>SUM(F3:F31)</f>
        <v>0</v>
      </c>
      <c r="G32" s="53"/>
      <c r="H32" s="53"/>
      <c r="I32" s="53"/>
      <c r="J32" s="53"/>
      <c r="M32" s="74">
        <f>SUM(M3:M31)+M61</f>
        <v>4940</v>
      </c>
      <c r="N32" s="61"/>
      <c r="O32" s="74">
        <f>SUM(O3:O31)+P60</f>
        <v>520.37222222222226</v>
      </c>
    </row>
    <row r="33" spans="2:16" ht="31.5" x14ac:dyDescent="0.45">
      <c r="B33" s="11" t="s">
        <v>18</v>
      </c>
      <c r="C33" s="12"/>
      <c r="D33" s="49" t="s">
        <v>183</v>
      </c>
      <c r="E33" s="50" t="s">
        <v>54</v>
      </c>
      <c r="F33" s="8"/>
      <c r="G33" s="50" t="s">
        <v>53</v>
      </c>
      <c r="H33" s="50" t="s">
        <v>52</v>
      </c>
      <c r="I33" s="50" t="s">
        <v>51</v>
      </c>
      <c r="J33" s="66"/>
      <c r="K33" s="50" t="s">
        <v>166</v>
      </c>
      <c r="L33" s="50" t="s">
        <v>180</v>
      </c>
      <c r="M33" s="50" t="s">
        <v>168</v>
      </c>
      <c r="N33" s="92" t="s">
        <v>179</v>
      </c>
      <c r="O33" s="50" t="s">
        <v>181</v>
      </c>
      <c r="P33" s="50" t="s">
        <v>182</v>
      </c>
    </row>
    <row r="34" spans="2:16" x14ac:dyDescent="0.45">
      <c r="B34" s="395">
        <v>10759350190</v>
      </c>
      <c r="C34" s="396" t="s">
        <v>17</v>
      </c>
      <c r="D34" s="1">
        <v>12</v>
      </c>
      <c r="E34" s="16">
        <v>28</v>
      </c>
      <c r="F34" s="1"/>
      <c r="G34" s="22">
        <f>(A4/(0.005*400)/3000)</f>
        <v>0</v>
      </c>
      <c r="H34" s="1">
        <f>30*BC!$B$47/E34</f>
        <v>0</v>
      </c>
      <c r="I34" s="63">
        <f>IF(G34&gt;H34,G34,H34)</f>
        <v>0</v>
      </c>
      <c r="J34" s="67">
        <f>ROUNDUP(I34,0)</f>
        <v>0</v>
      </c>
      <c r="K34" s="65">
        <v>1</v>
      </c>
      <c r="L34" s="61">
        <f>M34/D34</f>
        <v>12</v>
      </c>
      <c r="M34" s="61">
        <v>144</v>
      </c>
      <c r="N34" s="91">
        <f t="shared" ref="N34:N54" si="22">O34*D34</f>
        <v>144</v>
      </c>
      <c r="O34" s="61">
        <f>((L34*$L$65)+L34)</f>
        <v>12</v>
      </c>
      <c r="P34" s="61">
        <f t="shared" ref="P34:P39" si="23">O34*K34</f>
        <v>12</v>
      </c>
    </row>
    <row r="35" spans="2:16" x14ac:dyDescent="0.45">
      <c r="B35" s="395">
        <v>12172623122</v>
      </c>
      <c r="C35" s="396" t="s">
        <v>16</v>
      </c>
      <c r="D35" s="1">
        <v>3</v>
      </c>
      <c r="E35" s="16">
        <v>28</v>
      </c>
      <c r="F35" s="1"/>
      <c r="G35" s="1">
        <f>(A10*(0.008*(350/1000)))</f>
        <v>0</v>
      </c>
      <c r="H35" s="1">
        <f>30*BC!$B$47/E35</f>
        <v>0</v>
      </c>
      <c r="I35" s="63">
        <f>IF(G35&gt;H35,G35,H35)</f>
        <v>0</v>
      </c>
      <c r="J35" s="67">
        <f>ROUNDUP(I35,0)</f>
        <v>0</v>
      </c>
      <c r="K35" s="65">
        <v>1</v>
      </c>
      <c r="L35" s="61">
        <f t="shared" ref="L35:L40" si="24">M35/D35</f>
        <v>31</v>
      </c>
      <c r="M35" s="61">
        <v>93</v>
      </c>
      <c r="N35" s="91">
        <f t="shared" si="22"/>
        <v>93</v>
      </c>
      <c r="O35" s="61">
        <f t="shared" ref="O35:O59" si="25">((L35*$L$65)+L35)</f>
        <v>31</v>
      </c>
      <c r="P35" s="61">
        <f t="shared" si="23"/>
        <v>31</v>
      </c>
    </row>
    <row r="36" spans="2:16" x14ac:dyDescent="0.45">
      <c r="B36" s="398">
        <v>11355279216</v>
      </c>
      <c r="C36" s="403" t="s">
        <v>652</v>
      </c>
      <c r="D36" s="1">
        <v>5</v>
      </c>
      <c r="E36" s="16">
        <v>28</v>
      </c>
      <c r="F36" s="1"/>
      <c r="G36" s="1">
        <f>(F26*(0.014*(500/2000)))</f>
        <v>0</v>
      </c>
      <c r="H36" s="1">
        <f>30*BC!$B$47/E36</f>
        <v>0</v>
      </c>
      <c r="I36" s="63">
        <f>IF(G36&gt;H36,G36,H36)</f>
        <v>0</v>
      </c>
      <c r="J36" s="67">
        <f>ROUNDUP(I36,0)</f>
        <v>0</v>
      </c>
      <c r="K36" s="65">
        <v>1</v>
      </c>
      <c r="L36" s="61">
        <f t="shared" si="24"/>
        <v>29.8</v>
      </c>
      <c r="M36" s="61">
        <v>149</v>
      </c>
      <c r="N36" s="91">
        <f t="shared" si="22"/>
        <v>149</v>
      </c>
      <c r="O36" s="61">
        <f t="shared" si="25"/>
        <v>29.8</v>
      </c>
      <c r="P36" s="61">
        <f t="shared" si="23"/>
        <v>29.8</v>
      </c>
    </row>
    <row r="37" spans="2:16" x14ac:dyDescent="0.45">
      <c r="B37" s="398">
        <v>4528417190</v>
      </c>
      <c r="C37" s="403" t="s">
        <v>15</v>
      </c>
      <c r="D37" s="1">
        <v>3</v>
      </c>
      <c r="E37" s="16">
        <v>84</v>
      </c>
      <c r="F37" s="1"/>
      <c r="G37" s="1">
        <f>(F23*(0.014*(500/2000)))</f>
        <v>0</v>
      </c>
      <c r="H37" s="1">
        <f>30*BC!$B$47/E37</f>
        <v>0</v>
      </c>
      <c r="I37" s="63">
        <f t="shared" ref="I37:I40" si="26">IF(G37&gt;H37,G37,H37)</f>
        <v>0</v>
      </c>
      <c r="J37" s="67">
        <f t="shared" ref="J37:J40" si="27">ROUNDUP(I37,0)</f>
        <v>0</v>
      </c>
      <c r="K37" s="65"/>
      <c r="L37" s="61">
        <f t="shared" si="24"/>
        <v>150.33333333333334</v>
      </c>
      <c r="M37" s="61">
        <v>451</v>
      </c>
      <c r="N37" s="91">
        <f t="shared" si="22"/>
        <v>451</v>
      </c>
      <c r="O37" s="61">
        <f t="shared" si="25"/>
        <v>150.33333333333334</v>
      </c>
      <c r="P37" s="61">
        <f t="shared" si="23"/>
        <v>0</v>
      </c>
    </row>
    <row r="38" spans="2:16" ht="15" customHeight="1" x14ac:dyDescent="0.45">
      <c r="B38" s="690">
        <v>20751995190</v>
      </c>
      <c r="C38" s="688" t="s">
        <v>256</v>
      </c>
      <c r="D38" s="1">
        <v>2</v>
      </c>
      <c r="E38" s="16">
        <v>56</v>
      </c>
      <c r="F38" s="1"/>
      <c r="G38" s="1">
        <f>(F29*(0.014*(500/2000)))</f>
        <v>0</v>
      </c>
      <c r="H38" s="1">
        <f>30*BC!$B$47/E38</f>
        <v>0</v>
      </c>
      <c r="I38" s="63">
        <f t="shared" si="26"/>
        <v>0</v>
      </c>
      <c r="J38" s="67">
        <f>ROUNDUP(I38,0)</f>
        <v>0</v>
      </c>
      <c r="K38" s="65">
        <f>IF(F24&gt;0,J38,0)</f>
        <v>0</v>
      </c>
      <c r="L38" s="61">
        <f t="shared" si="24"/>
        <v>313.5</v>
      </c>
      <c r="M38" s="61">
        <v>627</v>
      </c>
      <c r="N38" s="91">
        <f t="shared" si="22"/>
        <v>627</v>
      </c>
      <c r="O38" s="61">
        <f t="shared" si="25"/>
        <v>313.5</v>
      </c>
      <c r="P38" s="61">
        <f t="shared" si="23"/>
        <v>0</v>
      </c>
    </row>
    <row r="39" spans="2:16" x14ac:dyDescent="0.45">
      <c r="B39" s="398">
        <v>5050901190</v>
      </c>
      <c r="C39" s="403" t="s">
        <v>14</v>
      </c>
      <c r="D39" s="1">
        <v>1</v>
      </c>
      <c r="E39" s="16">
        <v>84</v>
      </c>
      <c r="F39" s="1"/>
      <c r="G39" s="1">
        <f>(F27*(0.014*(500/2000)))</f>
        <v>0</v>
      </c>
      <c r="H39" s="1">
        <f>30*BC!$B$47/E39</f>
        <v>0</v>
      </c>
      <c r="I39" s="63">
        <f t="shared" si="26"/>
        <v>0</v>
      </c>
      <c r="J39" s="67">
        <f t="shared" si="27"/>
        <v>0</v>
      </c>
      <c r="K39" s="65"/>
      <c r="L39" s="61">
        <f t="shared" si="24"/>
        <v>282</v>
      </c>
      <c r="M39" s="61">
        <v>282</v>
      </c>
      <c r="N39" s="91">
        <f t="shared" si="22"/>
        <v>282</v>
      </c>
      <c r="O39" s="61">
        <f t="shared" si="25"/>
        <v>282</v>
      </c>
      <c r="P39" s="61">
        <f t="shared" si="23"/>
        <v>0</v>
      </c>
    </row>
    <row r="40" spans="2:16" x14ac:dyDescent="0.45">
      <c r="B40" s="398">
        <v>11447394216</v>
      </c>
      <c r="C40" s="403" t="s">
        <v>1096</v>
      </c>
      <c r="D40" s="1">
        <v>3</v>
      </c>
      <c r="E40" s="194">
        <v>28</v>
      </c>
      <c r="F40" s="1"/>
      <c r="G40" s="1">
        <f>(F31*(0.014*(500/2000)))</f>
        <v>0</v>
      </c>
      <c r="H40" s="1">
        <f>30*BC!$B$47/E40</f>
        <v>0</v>
      </c>
      <c r="I40" s="63">
        <f t="shared" si="26"/>
        <v>0</v>
      </c>
      <c r="J40" s="67">
        <f t="shared" si="27"/>
        <v>0</v>
      </c>
      <c r="K40" s="65">
        <f>IF(F28&gt;0,J40,0)</f>
        <v>0</v>
      </c>
      <c r="L40" s="61">
        <f t="shared" si="24"/>
        <v>25.333333333333332</v>
      </c>
      <c r="M40" s="61">
        <v>76</v>
      </c>
      <c r="N40" s="91">
        <f t="shared" si="22"/>
        <v>76</v>
      </c>
      <c r="O40" s="61">
        <f t="shared" si="25"/>
        <v>25.333333333333332</v>
      </c>
      <c r="P40" s="765">
        <f t="shared" ref="P40" si="28">ROUNDUP(O40,0)</f>
        <v>26</v>
      </c>
    </row>
    <row r="41" spans="2:16" x14ac:dyDescent="0.45">
      <c r="B41" s="4" t="s">
        <v>13</v>
      </c>
      <c r="C41" s="5"/>
      <c r="D41" s="3"/>
      <c r="E41" s="20"/>
      <c r="F41" s="3"/>
      <c r="G41" s="3"/>
      <c r="H41" s="3"/>
      <c r="I41" s="64"/>
      <c r="J41" s="68"/>
      <c r="K41" s="65"/>
      <c r="L41" s="108"/>
      <c r="M41" s="108"/>
      <c r="N41" s="91">
        <f t="shared" si="22"/>
        <v>0</v>
      </c>
      <c r="O41" s="61">
        <f t="shared" si="25"/>
        <v>0</v>
      </c>
      <c r="P41" s="61"/>
    </row>
    <row r="42" spans="2:16" x14ac:dyDescent="0.45">
      <c r="B42" s="404">
        <v>5947626190</v>
      </c>
      <c r="C42" s="405" t="s">
        <v>12</v>
      </c>
      <c r="D42" s="1">
        <v>4</v>
      </c>
      <c r="E42" s="16">
        <v>14</v>
      </c>
      <c r="F42" s="1"/>
      <c r="G42" s="1">
        <f>(A7/(0.003*350)/5000)</f>
        <v>0</v>
      </c>
      <c r="H42" s="1">
        <f>30*BC!$B$47/E42</f>
        <v>0</v>
      </c>
      <c r="I42" s="63">
        <f>IF(G42&gt;H42,G42,H42)</f>
        <v>0</v>
      </c>
      <c r="J42" s="69">
        <f>ROUNDUP(I42,0)</f>
        <v>0</v>
      </c>
      <c r="K42" s="65">
        <v>1</v>
      </c>
      <c r="L42" s="61">
        <f>M42/D42</f>
        <v>14.25</v>
      </c>
      <c r="M42" s="61">
        <v>57</v>
      </c>
      <c r="N42" s="91">
        <f t="shared" si="22"/>
        <v>57</v>
      </c>
      <c r="O42" s="61">
        <f t="shared" si="25"/>
        <v>14.25</v>
      </c>
      <c r="P42" s="61">
        <f t="shared" ref="P42:P48" si="29">O42*K42</f>
        <v>14.25</v>
      </c>
    </row>
    <row r="43" spans="2:16" x14ac:dyDescent="0.45">
      <c r="B43" s="404">
        <v>5947774190</v>
      </c>
      <c r="C43" s="405" t="s">
        <v>11</v>
      </c>
      <c r="D43" s="1">
        <v>4</v>
      </c>
      <c r="E43" s="16">
        <v>14</v>
      </c>
      <c r="F43" s="1"/>
      <c r="G43" s="1">
        <f>(A7/(0.003*350)/5000)</f>
        <v>0</v>
      </c>
      <c r="H43" s="1">
        <f>30*BC!$B$47/E43</f>
        <v>0</v>
      </c>
      <c r="I43" s="63">
        <f>IF(G43&gt;H43,G43,H43)</f>
        <v>0</v>
      </c>
      <c r="J43" s="69">
        <f>ROUNDUP(I43,0)</f>
        <v>0</v>
      </c>
      <c r="K43" s="65">
        <v>1</v>
      </c>
      <c r="L43" s="61">
        <f t="shared" ref="L43:L48" si="30">M43/D43</f>
        <v>22.75</v>
      </c>
      <c r="M43" s="61">
        <v>91</v>
      </c>
      <c r="N43" s="91">
        <f t="shared" si="22"/>
        <v>91</v>
      </c>
      <c r="O43" s="61">
        <f t="shared" si="25"/>
        <v>22.75</v>
      </c>
      <c r="P43" s="61">
        <f t="shared" si="29"/>
        <v>22.75</v>
      </c>
    </row>
    <row r="44" spans="2:16" x14ac:dyDescent="0.45">
      <c r="B44" s="398">
        <v>5479207190</v>
      </c>
      <c r="C44" s="403" t="s">
        <v>10</v>
      </c>
      <c r="D44" s="1">
        <v>4</v>
      </c>
      <c r="E44" s="16">
        <v>28</v>
      </c>
      <c r="F44" s="1"/>
      <c r="G44" s="801">
        <f>(F23/(0.0007*150)/1000)</f>
        <v>0</v>
      </c>
      <c r="H44" s="1">
        <f>30*BC!$B$47/E44</f>
        <v>0</v>
      </c>
      <c r="I44" s="63">
        <f>IF(G44&gt;H44,G44,H44)</f>
        <v>0</v>
      </c>
      <c r="J44" s="69">
        <f>ROUNDUP(I44,0)</f>
        <v>0</v>
      </c>
      <c r="K44" s="65"/>
      <c r="L44" s="61">
        <f t="shared" si="30"/>
        <v>77.25</v>
      </c>
      <c r="M44" s="61">
        <v>309</v>
      </c>
      <c r="N44" s="91">
        <f t="shared" si="22"/>
        <v>309</v>
      </c>
      <c r="O44" s="61">
        <f t="shared" si="25"/>
        <v>77.25</v>
      </c>
      <c r="P44" s="61">
        <f t="shared" si="29"/>
        <v>0</v>
      </c>
    </row>
    <row r="45" spans="2:16" x14ac:dyDescent="0.45">
      <c r="B45" s="406">
        <v>5912504190</v>
      </c>
      <c r="C45" s="97" t="s">
        <v>172</v>
      </c>
      <c r="D45" s="1">
        <v>4</v>
      </c>
      <c r="E45" s="16">
        <v>28</v>
      </c>
      <c r="F45" s="1"/>
      <c r="G45" s="801">
        <f>(F23/(0.0007*150)/1000)</f>
        <v>0</v>
      </c>
      <c r="H45" s="1">
        <f>30*BC!$B$47/E45</f>
        <v>0</v>
      </c>
      <c r="I45" s="63">
        <f>IF(G45&gt;H45,G45,H45)</f>
        <v>0</v>
      </c>
      <c r="J45" s="69">
        <f>ROUNDUP(I45,0)</f>
        <v>0</v>
      </c>
      <c r="K45" s="65"/>
      <c r="L45" s="61">
        <f t="shared" si="30"/>
        <v>154.5</v>
      </c>
      <c r="M45" s="61">
        <v>618</v>
      </c>
      <c r="N45" s="91">
        <f t="shared" si="22"/>
        <v>618</v>
      </c>
      <c r="O45" s="61">
        <f t="shared" si="25"/>
        <v>154.5</v>
      </c>
      <c r="P45" s="61">
        <f t="shared" si="29"/>
        <v>0</v>
      </c>
    </row>
    <row r="46" spans="2:16" x14ac:dyDescent="0.45">
      <c r="B46" s="56">
        <v>20752401190</v>
      </c>
      <c r="C46" s="55" t="s">
        <v>1084</v>
      </c>
      <c r="D46" s="57">
        <v>5</v>
      </c>
      <c r="E46" s="687">
        <v>56</v>
      </c>
      <c r="F46" s="1"/>
      <c r="G46" s="801">
        <f>(F29/(0.0007*150)/1000)</f>
        <v>0</v>
      </c>
      <c r="H46" s="1">
        <f>30*BC!$B$47/E46</f>
        <v>0</v>
      </c>
      <c r="I46" s="63">
        <f t="shared" ref="I46:I47" si="31">IF(G46&gt;H46,G46,H46)</f>
        <v>0</v>
      </c>
      <c r="J46" s="69">
        <f t="shared" ref="J46:J47" si="32">ROUNDUP(I46,0)</f>
        <v>0</v>
      </c>
      <c r="K46" s="65">
        <f>IF(F24&gt;0,J46,0)</f>
        <v>0</v>
      </c>
      <c r="L46" s="61">
        <f t="shared" si="30"/>
        <v>41.4</v>
      </c>
      <c r="M46" s="61">
        <v>207</v>
      </c>
      <c r="N46" s="91">
        <f t="shared" si="22"/>
        <v>207</v>
      </c>
      <c r="O46" s="61">
        <f t="shared" si="25"/>
        <v>41.4</v>
      </c>
      <c r="P46" s="61">
        <f t="shared" si="29"/>
        <v>0</v>
      </c>
    </row>
    <row r="47" spans="2:16" x14ac:dyDescent="0.45">
      <c r="B47" s="56">
        <v>20753009190</v>
      </c>
      <c r="C47" s="55" t="s">
        <v>1084</v>
      </c>
      <c r="D47" s="57">
        <v>5</v>
      </c>
      <c r="E47" s="687">
        <v>56</v>
      </c>
      <c r="F47" s="1"/>
      <c r="G47" s="801">
        <f>F29/(0.0007*150)/1000</f>
        <v>0</v>
      </c>
      <c r="H47" s="1">
        <f>30*BC!$B$47/E47</f>
        <v>0</v>
      </c>
      <c r="I47" s="63">
        <f t="shared" si="31"/>
        <v>0</v>
      </c>
      <c r="J47" s="69">
        <f t="shared" si="32"/>
        <v>0</v>
      </c>
      <c r="K47" s="65">
        <f>IF(F25&gt;0,J47,0)</f>
        <v>0</v>
      </c>
      <c r="L47" s="61">
        <f t="shared" si="30"/>
        <v>45.4</v>
      </c>
      <c r="M47" s="61">
        <v>227</v>
      </c>
      <c r="N47" s="91">
        <f t="shared" si="22"/>
        <v>227</v>
      </c>
      <c r="O47" s="61">
        <f t="shared" si="25"/>
        <v>45.4</v>
      </c>
      <c r="P47" s="61">
        <f t="shared" si="29"/>
        <v>0</v>
      </c>
    </row>
    <row r="48" spans="2:16" x14ac:dyDescent="0.45">
      <c r="B48" s="398">
        <v>5050936190</v>
      </c>
      <c r="C48" s="403" t="s">
        <v>9</v>
      </c>
      <c r="D48" s="1">
        <v>2</v>
      </c>
      <c r="E48" s="16">
        <v>84</v>
      </c>
      <c r="F48" s="1"/>
      <c r="G48" s="1">
        <f>(F27/(0.0004*300)/3000)</f>
        <v>0</v>
      </c>
      <c r="H48" s="1">
        <f>30*BC!$B$47/E48</f>
        <v>0</v>
      </c>
      <c r="I48" s="63">
        <f>IF(G48&gt;H48,G48,H48)</f>
        <v>0</v>
      </c>
      <c r="J48" s="69">
        <f>ROUNDUP(I48,0)</f>
        <v>0</v>
      </c>
      <c r="K48" s="65"/>
      <c r="L48" s="61">
        <f t="shared" si="30"/>
        <v>244</v>
      </c>
      <c r="M48" s="61">
        <v>488</v>
      </c>
      <c r="N48" s="91">
        <f t="shared" si="22"/>
        <v>488</v>
      </c>
      <c r="O48" s="61">
        <f t="shared" si="25"/>
        <v>244</v>
      </c>
      <c r="P48" s="61">
        <f t="shared" si="29"/>
        <v>0</v>
      </c>
    </row>
    <row r="49" spans="2:16" x14ac:dyDescent="0.45">
      <c r="B49" s="4" t="s">
        <v>8</v>
      </c>
      <c r="C49" s="5"/>
      <c r="D49" s="3"/>
      <c r="E49" s="7"/>
      <c r="F49" s="3"/>
      <c r="G49" s="3"/>
      <c r="H49" s="3"/>
      <c r="I49" s="64"/>
      <c r="J49" s="68"/>
      <c r="K49" s="65"/>
      <c r="L49" s="108"/>
      <c r="M49" s="108"/>
      <c r="N49" s="91">
        <f t="shared" si="22"/>
        <v>0</v>
      </c>
      <c r="O49" s="61">
        <f t="shared" si="25"/>
        <v>0</v>
      </c>
      <c r="P49" s="61"/>
    </row>
    <row r="50" spans="2:16" x14ac:dyDescent="0.45">
      <c r="B50" s="395">
        <v>4774230190</v>
      </c>
      <c r="C50" s="396" t="s">
        <v>653</v>
      </c>
      <c r="D50" s="1">
        <v>4</v>
      </c>
      <c r="E50" s="16">
        <v>28</v>
      </c>
      <c r="F50" s="1"/>
      <c r="G50" s="1">
        <f>(F32/(0.002*800)/12000)</f>
        <v>0</v>
      </c>
      <c r="H50" s="1">
        <f>30*BC!$B$47/E50</f>
        <v>0</v>
      </c>
      <c r="I50" s="63">
        <f t="shared" ref="I50:I59" si="33">IF(G50&gt;H50,G50,H50)</f>
        <v>0</v>
      </c>
      <c r="J50" s="69">
        <f t="shared" ref="J50:J59" si="34">ROUNDUP(I50,0)</f>
        <v>0</v>
      </c>
      <c r="K50" s="65">
        <v>1</v>
      </c>
      <c r="L50" s="61">
        <f>M50/D50</f>
        <v>17.75</v>
      </c>
      <c r="M50" s="61">
        <v>71</v>
      </c>
      <c r="N50" s="91">
        <f t="shared" si="22"/>
        <v>71</v>
      </c>
      <c r="O50" s="61">
        <f t="shared" si="25"/>
        <v>17.75</v>
      </c>
      <c r="P50" s="61">
        <f t="shared" ref="P50:P59" si="35">O50*K50</f>
        <v>17.75</v>
      </c>
    </row>
    <row r="51" spans="2:16" x14ac:dyDescent="0.45">
      <c r="B51" s="491">
        <v>5007232190</v>
      </c>
      <c r="C51" s="494" t="s">
        <v>851</v>
      </c>
      <c r="D51" s="1">
        <v>8</v>
      </c>
      <c r="E51" s="16">
        <v>10</v>
      </c>
      <c r="F51" s="1"/>
      <c r="G51" s="1">
        <f>(F23/(0.00006*800)/6300)</f>
        <v>0</v>
      </c>
      <c r="H51" s="1">
        <f>30*BC!$B$47/E51</f>
        <v>0</v>
      </c>
      <c r="I51" s="63">
        <f t="shared" si="33"/>
        <v>0</v>
      </c>
      <c r="J51" s="69">
        <f t="shared" si="34"/>
        <v>0</v>
      </c>
      <c r="K51" s="65"/>
      <c r="L51" s="61">
        <f t="shared" ref="L51:L58" si="36">M51/D51</f>
        <v>54.875</v>
      </c>
      <c r="M51" s="61">
        <v>439</v>
      </c>
      <c r="N51" s="91">
        <f t="shared" si="22"/>
        <v>439</v>
      </c>
      <c r="O51" s="61">
        <f t="shared" si="25"/>
        <v>54.875</v>
      </c>
      <c r="P51" s="61">
        <f t="shared" si="35"/>
        <v>0</v>
      </c>
    </row>
    <row r="52" spans="2:16" x14ac:dyDescent="0.45">
      <c r="B52" s="395">
        <v>4663632190</v>
      </c>
      <c r="C52" s="396" t="s">
        <v>654</v>
      </c>
      <c r="D52" s="1">
        <v>9</v>
      </c>
      <c r="E52" s="16">
        <v>12</v>
      </c>
      <c r="F52" s="1"/>
      <c r="G52" s="1">
        <f>30*BCB48/E52</f>
        <v>0</v>
      </c>
      <c r="H52" s="1">
        <f>30*BC!$B$47/E52</f>
        <v>0</v>
      </c>
      <c r="I52" s="63">
        <f t="shared" si="33"/>
        <v>0</v>
      </c>
      <c r="J52" s="69">
        <f t="shared" si="34"/>
        <v>0</v>
      </c>
      <c r="K52" s="65">
        <v>1</v>
      </c>
      <c r="L52" s="61">
        <f t="shared" si="36"/>
        <v>17.222222222222221</v>
      </c>
      <c r="M52" s="61">
        <v>155</v>
      </c>
      <c r="N52" s="91">
        <f t="shared" si="22"/>
        <v>155</v>
      </c>
      <c r="O52" s="61">
        <f t="shared" si="25"/>
        <v>17.222222222222221</v>
      </c>
      <c r="P52" s="61">
        <f t="shared" si="35"/>
        <v>17.222222222222221</v>
      </c>
    </row>
    <row r="53" spans="2:16" x14ac:dyDescent="0.45">
      <c r="B53" s="395">
        <v>11298500316</v>
      </c>
      <c r="C53" s="396" t="s">
        <v>7</v>
      </c>
      <c r="D53" s="1">
        <v>5</v>
      </c>
      <c r="E53" s="16">
        <v>73</v>
      </c>
      <c r="F53" s="1"/>
      <c r="G53" s="1">
        <f>30*BCB48/E53</f>
        <v>0</v>
      </c>
      <c r="H53" s="1">
        <f>30*BC!$B$47/E53</f>
        <v>0</v>
      </c>
      <c r="I53" s="63">
        <f t="shared" si="33"/>
        <v>0</v>
      </c>
      <c r="J53" s="69">
        <f t="shared" si="34"/>
        <v>0</v>
      </c>
      <c r="K53" s="65">
        <v>1</v>
      </c>
      <c r="L53" s="61">
        <f t="shared" si="36"/>
        <v>19.600000000000001</v>
      </c>
      <c r="M53" s="61">
        <v>98</v>
      </c>
      <c r="N53" s="91">
        <f t="shared" si="22"/>
        <v>98</v>
      </c>
      <c r="O53" s="61">
        <f t="shared" si="25"/>
        <v>19.600000000000001</v>
      </c>
      <c r="P53" s="61">
        <f t="shared" si="35"/>
        <v>19.600000000000001</v>
      </c>
    </row>
    <row r="54" spans="2:16" x14ac:dyDescent="0.45">
      <c r="B54" s="395">
        <v>20754765322</v>
      </c>
      <c r="C54" s="396" t="s">
        <v>6</v>
      </c>
      <c r="D54" s="1">
        <v>1</v>
      </c>
      <c r="E54" s="16">
        <v>84</v>
      </c>
      <c r="F54" s="1"/>
      <c r="G54" s="1">
        <f>(F32/(0.005*48)/6300)</f>
        <v>0</v>
      </c>
      <c r="H54" s="1">
        <f>30*BC!$B$47/E54</f>
        <v>0</v>
      </c>
      <c r="I54" s="63">
        <f t="shared" si="33"/>
        <v>0</v>
      </c>
      <c r="J54" s="69">
        <f t="shared" si="34"/>
        <v>0</v>
      </c>
      <c r="K54" s="65">
        <v>1</v>
      </c>
      <c r="L54" s="61">
        <f t="shared" si="36"/>
        <v>46</v>
      </c>
      <c r="M54" s="61">
        <v>46</v>
      </c>
      <c r="N54" s="91">
        <f t="shared" si="22"/>
        <v>46</v>
      </c>
      <c r="O54" s="61">
        <f t="shared" si="25"/>
        <v>46</v>
      </c>
      <c r="P54" s="61">
        <f t="shared" si="35"/>
        <v>46</v>
      </c>
    </row>
    <row r="55" spans="2:16" x14ac:dyDescent="0.45">
      <c r="B55" s="395">
        <v>4357108001</v>
      </c>
      <c r="C55" s="396" t="s">
        <v>5</v>
      </c>
      <c r="D55" s="1">
        <v>11</v>
      </c>
      <c r="E55" s="16">
        <v>365</v>
      </c>
      <c r="F55" s="1"/>
      <c r="G55" s="1">
        <f>((F32+(F32*0.01))/1680)</f>
        <v>0</v>
      </c>
      <c r="H55" s="1">
        <f>((365/E55))</f>
        <v>1</v>
      </c>
      <c r="I55" s="63">
        <f t="shared" si="33"/>
        <v>1</v>
      </c>
      <c r="J55" s="69">
        <f t="shared" si="34"/>
        <v>1</v>
      </c>
      <c r="K55" s="65">
        <v>1</v>
      </c>
      <c r="L55" s="61">
        <v>179</v>
      </c>
      <c r="M55" s="61">
        <v>179</v>
      </c>
      <c r="N55" s="91">
        <f>O55*1</f>
        <v>179</v>
      </c>
      <c r="O55" s="61">
        <f t="shared" si="25"/>
        <v>179</v>
      </c>
      <c r="P55" s="61">
        <f t="shared" si="35"/>
        <v>179</v>
      </c>
    </row>
    <row r="56" spans="2:16" x14ac:dyDescent="0.45">
      <c r="B56" s="406">
        <v>4444191001</v>
      </c>
      <c r="C56" s="396" t="s">
        <v>4</v>
      </c>
      <c r="D56" s="1">
        <v>1</v>
      </c>
      <c r="E56" s="16">
        <v>365</v>
      </c>
      <c r="F56" s="1"/>
      <c r="G56" s="48">
        <f>((F32-(F32*0.9))/E56)</f>
        <v>0</v>
      </c>
      <c r="H56" s="1">
        <f>365/E56</f>
        <v>1</v>
      </c>
      <c r="I56" s="63">
        <f t="shared" si="33"/>
        <v>1</v>
      </c>
      <c r="J56" s="69">
        <f t="shared" si="34"/>
        <v>1</v>
      </c>
      <c r="K56" s="65"/>
      <c r="L56" s="61">
        <f t="shared" si="36"/>
        <v>9</v>
      </c>
      <c r="M56" s="61">
        <v>9</v>
      </c>
      <c r="N56" s="91">
        <f>O56*1</f>
        <v>9</v>
      </c>
      <c r="O56" s="61">
        <f t="shared" si="25"/>
        <v>9</v>
      </c>
      <c r="P56" s="61">
        <f t="shared" si="35"/>
        <v>0</v>
      </c>
    </row>
    <row r="57" spans="2:16" x14ac:dyDescent="0.45">
      <c r="B57" s="395">
        <v>4352483001</v>
      </c>
      <c r="C57" s="396" t="s">
        <v>3</v>
      </c>
      <c r="D57" s="1">
        <v>1</v>
      </c>
      <c r="E57" s="16">
        <v>365</v>
      </c>
      <c r="F57" s="1"/>
      <c r="G57" s="1">
        <f>((F32-(F32*0.97))/E57)</f>
        <v>0</v>
      </c>
      <c r="H57" s="1">
        <f>(365/E56)</f>
        <v>1</v>
      </c>
      <c r="I57" s="63">
        <f t="shared" si="33"/>
        <v>1</v>
      </c>
      <c r="J57" s="69">
        <f t="shared" si="34"/>
        <v>1</v>
      </c>
      <c r="K57" s="65"/>
      <c r="L57" s="61">
        <f t="shared" si="36"/>
        <v>19</v>
      </c>
      <c r="M57" s="61">
        <v>19</v>
      </c>
      <c r="N57" s="91">
        <f>O57*D57</f>
        <v>19</v>
      </c>
      <c r="O57" s="61">
        <f t="shared" si="25"/>
        <v>19</v>
      </c>
      <c r="P57" s="61">
        <f t="shared" si="35"/>
        <v>0</v>
      </c>
    </row>
    <row r="58" spans="2:16" x14ac:dyDescent="0.45">
      <c r="B58" s="395">
        <v>5344620001</v>
      </c>
      <c r="C58" s="396" t="s">
        <v>2</v>
      </c>
      <c r="D58" s="1">
        <v>1</v>
      </c>
      <c r="E58" s="16">
        <v>365</v>
      </c>
      <c r="F58" s="1"/>
      <c r="G58" s="1">
        <f>(F32/(0.05*30)/6300)</f>
        <v>0</v>
      </c>
      <c r="H58" s="1">
        <f>365/E58</f>
        <v>1</v>
      </c>
      <c r="I58" s="63">
        <f t="shared" si="33"/>
        <v>1</v>
      </c>
      <c r="J58" s="69">
        <f t="shared" si="34"/>
        <v>1</v>
      </c>
      <c r="K58" s="65">
        <v>1</v>
      </c>
      <c r="L58" s="61">
        <f t="shared" si="36"/>
        <v>105</v>
      </c>
      <c r="M58" s="61">
        <v>105</v>
      </c>
      <c r="N58" s="91">
        <f>O58*D58</f>
        <v>105</v>
      </c>
      <c r="O58" s="61">
        <f t="shared" si="25"/>
        <v>105</v>
      </c>
      <c r="P58" s="61">
        <f t="shared" si="35"/>
        <v>105</v>
      </c>
    </row>
    <row r="59" spans="2:16" x14ac:dyDescent="0.45">
      <c r="B59" s="83" t="s">
        <v>1</v>
      </c>
      <c r="C59" s="82" t="s">
        <v>0</v>
      </c>
      <c r="D59" s="1">
        <v>500</v>
      </c>
      <c r="E59" s="16">
        <v>365</v>
      </c>
      <c r="F59" s="1"/>
      <c r="G59" s="84">
        <f>((F32-(F32*0.98))/E59)</f>
        <v>0</v>
      </c>
      <c r="H59" s="84">
        <f>365/E59</f>
        <v>1</v>
      </c>
      <c r="I59" s="86">
        <f t="shared" si="33"/>
        <v>1</v>
      </c>
      <c r="J59" s="69">
        <f t="shared" si="34"/>
        <v>1</v>
      </c>
      <c r="K59" s="65"/>
      <c r="L59" s="61">
        <v>6.5</v>
      </c>
      <c r="M59" s="61">
        <f t="shared" ref="M59:M60" si="37">L59*K59</f>
        <v>0</v>
      </c>
      <c r="N59" s="91">
        <f>O59*1</f>
        <v>6.5</v>
      </c>
      <c r="O59" s="61">
        <f t="shared" si="25"/>
        <v>6.5</v>
      </c>
      <c r="P59" s="61">
        <f t="shared" si="35"/>
        <v>0</v>
      </c>
    </row>
    <row r="60" spans="2:16" x14ac:dyDescent="0.45">
      <c r="B60" s="24" t="s">
        <v>177</v>
      </c>
      <c r="C60" s="2"/>
      <c r="D60" s="72"/>
      <c r="E60" s="73"/>
      <c r="F60" s="72"/>
      <c r="G60" s="72"/>
      <c r="H60" s="72"/>
      <c r="I60" s="72"/>
      <c r="J60" s="72"/>
      <c r="K60" s="81">
        <f>BCB48</f>
        <v>0</v>
      </c>
      <c r="L60" s="74">
        <v>390</v>
      </c>
      <c r="M60" s="70">
        <f t="shared" si="37"/>
        <v>0</v>
      </c>
      <c r="N60" s="74"/>
      <c r="P60" s="61">
        <f>SUM(P34:P59)</f>
        <v>520.37222222222226</v>
      </c>
    </row>
    <row r="61" spans="2:16" x14ac:dyDescent="0.45">
      <c r="E61" s="21"/>
      <c r="M61" s="61">
        <f>SUM(M34:M59)</f>
        <v>4940</v>
      </c>
      <c r="N61" s="74"/>
      <c r="O61" s="74"/>
    </row>
    <row r="62" spans="2:16" x14ac:dyDescent="0.45">
      <c r="M62" s="61" t="e">
        <f>M61/F32</f>
        <v>#DIV/0!</v>
      </c>
      <c r="N62" s="74"/>
      <c r="O62" s="74"/>
    </row>
    <row r="65" spans="12:13" x14ac:dyDescent="0.45">
      <c r="L65" s="90">
        <f>(L60/M32)*K60</f>
        <v>0</v>
      </c>
      <c r="M65" s="93">
        <f>O32-M32</f>
        <v>-4419.6277777777777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FDDEC-19DF-419F-8E0D-3FC502BDA3E7}">
  <dimension ref="A1:Z988"/>
  <sheetViews>
    <sheetView topLeftCell="A110" workbookViewId="0">
      <selection activeCell="A129" sqref="A129:XFD134"/>
    </sheetView>
  </sheetViews>
  <sheetFormatPr baseColWidth="10" defaultColWidth="14.3984375" defaultRowHeight="14.25" x14ac:dyDescent="0.45"/>
  <cols>
    <col min="1" max="1" width="12.53125" customWidth="1"/>
    <col min="2" max="2" width="33.53125" customWidth="1"/>
    <col min="3" max="3" width="14.73046875" customWidth="1"/>
    <col min="4" max="4" width="12.1328125" customWidth="1"/>
    <col min="5" max="5" width="12.73046875" customWidth="1"/>
    <col min="6" max="6" width="12.86328125" customWidth="1"/>
    <col min="7" max="26" width="10.73046875" customWidth="1"/>
  </cols>
  <sheetData>
    <row r="1" spans="1:26" x14ac:dyDescent="0.45">
      <c r="A1" s="94" t="s">
        <v>60</v>
      </c>
      <c r="B1" s="95"/>
      <c r="C1" s="96"/>
      <c r="D1" s="96"/>
      <c r="E1" s="96"/>
      <c r="F1" s="96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x14ac:dyDescent="0.45">
      <c r="A2" s="94" t="s">
        <v>184</v>
      </c>
      <c r="B2" s="95"/>
      <c r="C2" s="96"/>
      <c r="D2" s="96"/>
      <c r="E2" s="96"/>
      <c r="F2" s="96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 spans="1:26" x14ac:dyDescent="0.45">
      <c r="A3" s="94" t="s">
        <v>185</v>
      </c>
      <c r="B3" s="907"/>
      <c r="C3" s="908"/>
      <c r="D3" s="908"/>
      <c r="E3" s="908"/>
      <c r="F3" s="908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</row>
    <row r="4" spans="1:26" x14ac:dyDescent="0.45">
      <c r="A4" s="94" t="s">
        <v>186</v>
      </c>
      <c r="B4" s="95"/>
      <c r="C4" s="98" t="s">
        <v>187</v>
      </c>
      <c r="D4" s="96"/>
      <c r="E4" s="96"/>
      <c r="F4" s="96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</row>
    <row r="5" spans="1:26" x14ac:dyDescent="0.45">
      <c r="A5" s="94" t="s">
        <v>188</v>
      </c>
      <c r="B5" s="95"/>
      <c r="C5" s="98" t="s">
        <v>187</v>
      </c>
      <c r="D5" s="96"/>
      <c r="E5" s="96"/>
      <c r="F5" s="96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</row>
    <row r="6" spans="1:26" x14ac:dyDescent="0.45">
      <c r="A6" s="99" t="s">
        <v>189</v>
      </c>
      <c r="B6" s="100" t="s">
        <v>190</v>
      </c>
      <c r="C6" s="101"/>
      <c r="D6" s="101"/>
      <c r="E6" s="101"/>
      <c r="F6" s="101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spans="1:26" x14ac:dyDescent="0.45">
      <c r="A7" s="97"/>
      <c r="B7" s="102"/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</row>
    <row r="8" spans="1:26" ht="21" x14ac:dyDescent="0.45">
      <c r="A8" s="891" t="s">
        <v>191</v>
      </c>
      <c r="B8" s="891" t="s">
        <v>192</v>
      </c>
      <c r="C8" s="891" t="s">
        <v>55</v>
      </c>
      <c r="D8" s="891" t="s">
        <v>54</v>
      </c>
      <c r="E8" s="890" t="s">
        <v>193</v>
      </c>
      <c r="F8" s="419" t="s">
        <v>53</v>
      </c>
      <c r="G8" s="419" t="s">
        <v>52</v>
      </c>
      <c r="H8" s="420" t="s">
        <v>51</v>
      </c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</row>
    <row r="9" spans="1:26" x14ac:dyDescent="0.45">
      <c r="A9" s="539">
        <v>6750052190</v>
      </c>
      <c r="B9" s="542" t="s">
        <v>194</v>
      </c>
      <c r="C9" s="539">
        <v>200</v>
      </c>
      <c r="D9" s="539">
        <v>84</v>
      </c>
      <c r="E9" s="515"/>
      <c r="F9" s="60">
        <f>E9/C9</f>
        <v>0</v>
      </c>
      <c r="G9" s="60">
        <f>365/D9</f>
        <v>4.3452380952380949</v>
      </c>
      <c r="H9" s="60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</row>
    <row r="10" spans="1:26" x14ac:dyDescent="0.45">
      <c r="A10" s="539">
        <v>3005771322</v>
      </c>
      <c r="B10" s="542" t="s">
        <v>195</v>
      </c>
      <c r="C10" s="539">
        <v>100</v>
      </c>
      <c r="D10" s="539">
        <v>84</v>
      </c>
      <c r="E10" s="515"/>
      <c r="F10" s="60">
        <f t="shared" ref="F10:F73" si="0">E10/C10</f>
        <v>0</v>
      </c>
      <c r="G10" s="60">
        <f t="shared" ref="G10:G73" si="1">365/D10</f>
        <v>4.3452380952380949</v>
      </c>
      <c r="H10" s="60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</row>
    <row r="11" spans="1:26" x14ac:dyDescent="0.45">
      <c r="A11" s="539">
        <v>4375351190</v>
      </c>
      <c r="B11" s="542" t="s">
        <v>196</v>
      </c>
      <c r="C11" s="539">
        <v>400</v>
      </c>
      <c r="D11" s="539">
        <v>84</v>
      </c>
      <c r="E11" s="515"/>
      <c r="F11" s="60">
        <f t="shared" si="0"/>
        <v>0</v>
      </c>
      <c r="G11" s="60">
        <f t="shared" si="1"/>
        <v>4.3452380952380949</v>
      </c>
      <c r="H11" s="60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 spans="1:26" x14ac:dyDescent="0.45">
      <c r="A12" s="539">
        <v>3183688122</v>
      </c>
      <c r="B12" s="542" t="s">
        <v>197</v>
      </c>
      <c r="C12" s="539">
        <v>300</v>
      </c>
      <c r="D12" s="539">
        <v>84</v>
      </c>
      <c r="E12" s="515"/>
      <c r="F12" s="60">
        <f t="shared" si="0"/>
        <v>0</v>
      </c>
      <c r="G12" s="60">
        <f t="shared" si="1"/>
        <v>4.3452380952380949</v>
      </c>
      <c r="H12" s="60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 spans="1:26" x14ac:dyDescent="0.45">
      <c r="A13" s="539">
        <v>4469658190</v>
      </c>
      <c r="B13" s="542" t="s">
        <v>198</v>
      </c>
      <c r="C13" s="539">
        <v>100</v>
      </c>
      <c r="D13" s="539">
        <v>84</v>
      </c>
      <c r="E13" s="515"/>
      <c r="F13" s="60">
        <f t="shared" si="0"/>
        <v>0</v>
      </c>
      <c r="G13" s="60">
        <f t="shared" si="1"/>
        <v>4.3452380952380949</v>
      </c>
      <c r="H13" s="60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  <row r="14" spans="1:26" x14ac:dyDescent="0.45">
      <c r="A14" s="539">
        <v>3333752190</v>
      </c>
      <c r="B14" s="542" t="s">
        <v>199</v>
      </c>
      <c r="C14" s="539">
        <v>200</v>
      </c>
      <c r="D14" s="539">
        <v>56</v>
      </c>
      <c r="E14" s="515"/>
      <c r="F14" s="60">
        <f t="shared" si="0"/>
        <v>0</v>
      </c>
      <c r="G14" s="60">
        <f t="shared" si="1"/>
        <v>6.5178571428571432</v>
      </c>
      <c r="H14" s="60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</row>
    <row r="15" spans="1:26" x14ac:dyDescent="0.45">
      <c r="A15" s="539">
        <v>20764957322</v>
      </c>
      <c r="B15" s="542" t="s">
        <v>200</v>
      </c>
      <c r="C15" s="539">
        <v>500</v>
      </c>
      <c r="D15" s="539">
        <v>84</v>
      </c>
      <c r="E15" s="515"/>
      <c r="F15" s="60">
        <f t="shared" si="0"/>
        <v>0</v>
      </c>
      <c r="G15" s="60">
        <f t="shared" si="1"/>
        <v>4.3452380952380949</v>
      </c>
      <c r="H15" s="60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</row>
    <row r="16" spans="1:26" x14ac:dyDescent="0.45">
      <c r="A16" s="539">
        <v>3183742122</v>
      </c>
      <c r="B16" s="542" t="s">
        <v>201</v>
      </c>
      <c r="C16" s="539">
        <v>300</v>
      </c>
      <c r="D16" s="539">
        <v>84</v>
      </c>
      <c r="E16" s="515"/>
      <c r="F16" s="60">
        <f t="shared" si="0"/>
        <v>0</v>
      </c>
      <c r="G16" s="60">
        <f t="shared" si="1"/>
        <v>4.3452380952380949</v>
      </c>
      <c r="H16" s="60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 spans="1:26" x14ac:dyDescent="0.45">
      <c r="A17" s="539">
        <v>3032566122</v>
      </c>
      <c r="B17" s="542" t="s">
        <v>1130</v>
      </c>
      <c r="C17" s="539">
        <v>100</v>
      </c>
      <c r="D17" s="539">
        <v>84</v>
      </c>
      <c r="E17" s="515"/>
      <c r="F17" s="60">
        <f t="shared" si="0"/>
        <v>0</v>
      </c>
      <c r="G17" s="60">
        <f t="shared" si="1"/>
        <v>4.3452380952380949</v>
      </c>
      <c r="H17" s="60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</row>
    <row r="18" spans="1:26" x14ac:dyDescent="0.45">
      <c r="A18" s="539">
        <v>3032574122</v>
      </c>
      <c r="B18" s="542" t="s">
        <v>202</v>
      </c>
      <c r="C18" s="539">
        <v>100</v>
      </c>
      <c r="D18" s="539">
        <v>84</v>
      </c>
      <c r="E18" s="515"/>
      <c r="F18" s="60">
        <f t="shared" si="0"/>
        <v>0</v>
      </c>
      <c r="G18" s="60">
        <f t="shared" si="1"/>
        <v>4.3452380952380949</v>
      </c>
      <c r="H18" s="60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 spans="1:26" x14ac:dyDescent="0.45">
      <c r="A19" s="539">
        <v>4489403190</v>
      </c>
      <c r="B19" s="542" t="s">
        <v>203</v>
      </c>
      <c r="C19" s="539">
        <v>150</v>
      </c>
      <c r="D19" s="539">
        <v>84</v>
      </c>
      <c r="E19" s="515"/>
      <c r="F19" s="60">
        <f t="shared" si="0"/>
        <v>0</v>
      </c>
      <c r="G19" s="60">
        <f t="shared" si="1"/>
        <v>4.3452380952380949</v>
      </c>
      <c r="H19" s="60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</row>
    <row r="20" spans="1:26" x14ac:dyDescent="0.45">
      <c r="A20" s="539">
        <v>20764949322</v>
      </c>
      <c r="B20" s="542" t="s">
        <v>204</v>
      </c>
      <c r="C20" s="539">
        <v>500</v>
      </c>
      <c r="D20" s="539">
        <v>84</v>
      </c>
      <c r="E20" s="515"/>
      <c r="F20" s="60">
        <f t="shared" si="0"/>
        <v>0</v>
      </c>
      <c r="G20" s="60">
        <f t="shared" si="1"/>
        <v>4.3452380952380949</v>
      </c>
      <c r="H20" s="60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 spans="1:26" x14ac:dyDescent="0.45">
      <c r="A21" s="539">
        <v>8047430190</v>
      </c>
      <c r="B21" s="542" t="s">
        <v>205</v>
      </c>
      <c r="C21" s="539">
        <v>140</v>
      </c>
      <c r="D21" s="539">
        <v>84</v>
      </c>
      <c r="E21" s="515"/>
      <c r="F21" s="60">
        <f t="shared" si="0"/>
        <v>0</v>
      </c>
      <c r="G21" s="60">
        <f t="shared" si="1"/>
        <v>4.3452380952380949</v>
      </c>
      <c r="H21" s="60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 spans="1:26" x14ac:dyDescent="0.45">
      <c r="A22" s="539">
        <v>5589061190</v>
      </c>
      <c r="B22" s="542" t="s">
        <v>206</v>
      </c>
      <c r="C22" s="539">
        <v>350</v>
      </c>
      <c r="D22" s="539">
        <v>42</v>
      </c>
      <c r="E22" s="515"/>
      <c r="F22" s="60">
        <f t="shared" si="0"/>
        <v>0</v>
      </c>
      <c r="G22" s="60">
        <f t="shared" si="1"/>
        <v>8.6904761904761898</v>
      </c>
      <c r="H22" s="60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</row>
    <row r="23" spans="1:26" x14ac:dyDescent="0.45">
      <c r="A23" s="539">
        <v>5795397190</v>
      </c>
      <c r="B23" s="542" t="s">
        <v>207</v>
      </c>
      <c r="C23" s="539">
        <v>250</v>
      </c>
      <c r="D23" s="539">
        <v>42</v>
      </c>
      <c r="E23" s="515"/>
      <c r="F23" s="60">
        <f t="shared" si="0"/>
        <v>0</v>
      </c>
      <c r="G23" s="60">
        <f t="shared" si="1"/>
        <v>8.6904761904761898</v>
      </c>
      <c r="H23" s="60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 spans="1:26" x14ac:dyDescent="0.45">
      <c r="A24" s="539">
        <v>3001938322</v>
      </c>
      <c r="B24" s="542" t="s">
        <v>170</v>
      </c>
      <c r="C24" s="539">
        <v>100</v>
      </c>
      <c r="D24" s="539">
        <v>42</v>
      </c>
      <c r="E24" s="515"/>
      <c r="F24" s="60">
        <f t="shared" si="0"/>
        <v>0</v>
      </c>
      <c r="G24" s="60">
        <f t="shared" si="1"/>
        <v>8.6904761904761898</v>
      </c>
      <c r="H24" s="60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 spans="1:26" x14ac:dyDescent="0.45">
      <c r="A25" s="539">
        <v>3001962322</v>
      </c>
      <c r="B25" s="542" t="s">
        <v>171</v>
      </c>
      <c r="C25" s="539">
        <v>100</v>
      </c>
      <c r="D25" s="539">
        <v>56</v>
      </c>
      <c r="E25" s="515"/>
      <c r="F25" s="60">
        <f t="shared" si="0"/>
        <v>0</v>
      </c>
      <c r="G25" s="60">
        <f t="shared" si="1"/>
        <v>6.5178571428571432</v>
      </c>
      <c r="H25" s="60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</row>
    <row r="26" spans="1:26" x14ac:dyDescent="0.45">
      <c r="A26" s="539">
        <v>5061482190</v>
      </c>
      <c r="B26" s="542" t="s">
        <v>208</v>
      </c>
      <c r="C26" s="539">
        <v>300</v>
      </c>
      <c r="D26" s="539">
        <v>56</v>
      </c>
      <c r="E26" s="515"/>
      <c r="F26" s="60">
        <f t="shared" si="0"/>
        <v>0</v>
      </c>
      <c r="G26" s="60">
        <f t="shared" si="1"/>
        <v>6.5178571428571432</v>
      </c>
      <c r="H26" s="60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 spans="1:26" x14ac:dyDescent="0.45">
      <c r="A27" s="539">
        <v>20764663322</v>
      </c>
      <c r="B27" s="542" t="s">
        <v>209</v>
      </c>
      <c r="C27" s="539">
        <v>100</v>
      </c>
      <c r="D27" s="539">
        <v>56</v>
      </c>
      <c r="E27" s="515"/>
      <c r="F27" s="60">
        <f t="shared" si="0"/>
        <v>0</v>
      </c>
      <c r="G27" s="60">
        <f t="shared" si="1"/>
        <v>6.5178571428571432</v>
      </c>
      <c r="H27" s="60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 spans="1:26" x14ac:dyDescent="0.45">
      <c r="A28" s="539">
        <v>4498577190</v>
      </c>
      <c r="B28" s="542" t="s">
        <v>210</v>
      </c>
      <c r="C28" s="539">
        <v>200</v>
      </c>
      <c r="D28" s="539">
        <v>28</v>
      </c>
      <c r="E28" s="515"/>
      <c r="F28" s="60">
        <f t="shared" si="0"/>
        <v>0</v>
      </c>
      <c r="G28" s="60">
        <f t="shared" si="1"/>
        <v>13.035714285714286</v>
      </c>
      <c r="H28" s="60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 spans="1:26" x14ac:dyDescent="0.45">
      <c r="A29" s="539">
        <v>3039773190</v>
      </c>
      <c r="B29" s="542" t="s">
        <v>211</v>
      </c>
      <c r="C29" s="539">
        <v>400</v>
      </c>
      <c r="D29" s="539">
        <v>28</v>
      </c>
      <c r="E29" s="515"/>
      <c r="F29" s="60">
        <f t="shared" si="0"/>
        <v>0</v>
      </c>
      <c r="G29" s="60">
        <f t="shared" si="1"/>
        <v>13.035714285714286</v>
      </c>
      <c r="H29" s="60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spans="1:26" x14ac:dyDescent="0.45">
      <c r="A30" s="539">
        <v>7190794190</v>
      </c>
      <c r="B30" s="542" t="s">
        <v>212</v>
      </c>
      <c r="C30" s="539">
        <v>200</v>
      </c>
      <c r="D30" s="539">
        <v>56</v>
      </c>
      <c r="E30" s="515"/>
      <c r="F30" s="60">
        <f t="shared" si="0"/>
        <v>0</v>
      </c>
      <c r="G30" s="60">
        <f t="shared" si="1"/>
        <v>6.5178571428571432</v>
      </c>
      <c r="H30" s="60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spans="1:26" x14ac:dyDescent="0.45">
      <c r="A31" s="539">
        <v>7190808190</v>
      </c>
      <c r="B31" s="542" t="s">
        <v>213</v>
      </c>
      <c r="C31" s="539">
        <v>100</v>
      </c>
      <c r="D31" s="539">
        <v>56</v>
      </c>
      <c r="E31" s="515"/>
      <c r="F31" s="60">
        <f t="shared" si="0"/>
        <v>0</v>
      </c>
      <c r="G31" s="60">
        <f t="shared" si="1"/>
        <v>6.5178571428571432</v>
      </c>
      <c r="H31" s="60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 spans="1:26" x14ac:dyDescent="0.45">
      <c r="A32" s="539">
        <v>3289923190</v>
      </c>
      <c r="B32" s="542" t="s">
        <v>214</v>
      </c>
      <c r="C32" s="539">
        <v>250</v>
      </c>
      <c r="D32" s="539">
        <v>42</v>
      </c>
      <c r="E32" s="515"/>
      <c r="F32" s="60">
        <f t="shared" si="0"/>
        <v>0</v>
      </c>
      <c r="G32" s="60">
        <f t="shared" si="1"/>
        <v>8.6904761904761898</v>
      </c>
      <c r="H32" s="60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 spans="1:26" x14ac:dyDescent="0.45">
      <c r="A33" s="539">
        <v>4490827190</v>
      </c>
      <c r="B33" s="542" t="s">
        <v>215</v>
      </c>
      <c r="C33" s="539">
        <v>200</v>
      </c>
      <c r="D33" s="539">
        <v>56</v>
      </c>
      <c r="E33" s="515"/>
      <c r="F33" s="60">
        <f t="shared" si="0"/>
        <v>0</v>
      </c>
      <c r="G33" s="60">
        <f t="shared" si="1"/>
        <v>6.5178571428571432</v>
      </c>
      <c r="H33" s="60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 spans="1:26" x14ac:dyDescent="0.45">
      <c r="A34" s="539">
        <v>4810716190</v>
      </c>
      <c r="B34" s="542" t="s">
        <v>216</v>
      </c>
      <c r="C34" s="539">
        <v>700</v>
      </c>
      <c r="D34" s="539">
        <v>56</v>
      </c>
      <c r="E34" s="515"/>
      <c r="F34" s="60">
        <f t="shared" si="0"/>
        <v>0</v>
      </c>
      <c r="G34" s="60">
        <f t="shared" si="1"/>
        <v>6.5178571428571432</v>
      </c>
      <c r="H34" s="60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 spans="1:26" x14ac:dyDescent="0.45">
      <c r="A35" s="539">
        <v>4628918190</v>
      </c>
      <c r="B35" s="542" t="s">
        <v>217</v>
      </c>
      <c r="C35" s="539">
        <v>100</v>
      </c>
      <c r="D35" s="539">
        <v>84</v>
      </c>
      <c r="E35" s="515"/>
      <c r="F35" s="60">
        <f t="shared" si="0"/>
        <v>0</v>
      </c>
      <c r="G35" s="60">
        <f t="shared" si="1"/>
        <v>4.3452380952380949</v>
      </c>
      <c r="H35" s="60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 spans="1:26" x14ac:dyDescent="0.45">
      <c r="A36" s="539">
        <v>7876033190</v>
      </c>
      <c r="B36" s="542" t="s">
        <v>218</v>
      </c>
      <c r="C36" s="539">
        <v>250</v>
      </c>
      <c r="D36" s="539">
        <v>84</v>
      </c>
      <c r="E36" s="515"/>
      <c r="F36" s="60">
        <f t="shared" si="0"/>
        <v>0</v>
      </c>
      <c r="G36" s="60">
        <f t="shared" si="1"/>
        <v>4.3452380952380949</v>
      </c>
      <c r="H36" s="60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 spans="1:26" x14ac:dyDescent="0.45">
      <c r="A37" s="539">
        <v>6600239190</v>
      </c>
      <c r="B37" s="542" t="s">
        <v>219</v>
      </c>
      <c r="C37" s="539">
        <v>225</v>
      </c>
      <c r="D37" s="539">
        <v>56</v>
      </c>
      <c r="E37" s="515"/>
      <c r="F37" s="60">
        <f t="shared" si="0"/>
        <v>0</v>
      </c>
      <c r="G37" s="60">
        <f t="shared" si="1"/>
        <v>6.5178571428571432</v>
      </c>
      <c r="H37" s="60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 spans="1:26" x14ac:dyDescent="0.45">
      <c r="A38" s="539">
        <v>4912551190</v>
      </c>
      <c r="B38" s="542" t="s">
        <v>220</v>
      </c>
      <c r="C38" s="539">
        <v>100</v>
      </c>
      <c r="D38" s="539">
        <v>84</v>
      </c>
      <c r="E38" s="515"/>
      <c r="F38" s="60">
        <f t="shared" si="0"/>
        <v>0</v>
      </c>
      <c r="G38" s="60">
        <f t="shared" si="1"/>
        <v>4.3452380952380949</v>
      </c>
      <c r="H38" s="60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 spans="1:26" x14ac:dyDescent="0.45">
      <c r="A39" s="539">
        <v>3183777190</v>
      </c>
      <c r="B39" s="542" t="s">
        <v>221</v>
      </c>
      <c r="C39" s="539">
        <v>100</v>
      </c>
      <c r="D39" s="539">
        <v>84</v>
      </c>
      <c r="E39" s="515"/>
      <c r="F39" s="60">
        <f t="shared" si="0"/>
        <v>0</v>
      </c>
      <c r="G39" s="60">
        <f t="shared" si="1"/>
        <v>4.3452380952380949</v>
      </c>
      <c r="H39" s="60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 spans="1:26" x14ac:dyDescent="0.45">
      <c r="A40" s="539">
        <v>4537939190</v>
      </c>
      <c r="B40" s="542" t="s">
        <v>222</v>
      </c>
      <c r="C40" s="539">
        <v>150</v>
      </c>
      <c r="D40" s="539">
        <v>56</v>
      </c>
      <c r="E40" s="515"/>
      <c r="F40" s="60">
        <f t="shared" si="0"/>
        <v>0</v>
      </c>
      <c r="G40" s="60">
        <f t="shared" si="1"/>
        <v>6.5178571428571432</v>
      </c>
      <c r="H40" s="60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 spans="1:26" x14ac:dyDescent="0.45">
      <c r="A41" s="539">
        <v>3002721122</v>
      </c>
      <c r="B41" s="542" t="s">
        <v>223</v>
      </c>
      <c r="C41" s="539">
        <v>400</v>
      </c>
      <c r="D41" s="539">
        <v>84</v>
      </c>
      <c r="E41" s="515"/>
      <c r="F41" s="60">
        <f t="shared" si="0"/>
        <v>0</v>
      </c>
      <c r="G41" s="60">
        <f t="shared" si="1"/>
        <v>4.3452380952380949</v>
      </c>
      <c r="H41" s="60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 spans="1:26" x14ac:dyDescent="0.45">
      <c r="A42" s="539">
        <v>4404483190</v>
      </c>
      <c r="B42" s="542" t="s">
        <v>224</v>
      </c>
      <c r="C42" s="539">
        <v>800</v>
      </c>
      <c r="D42" s="539">
        <v>56</v>
      </c>
      <c r="E42" s="515"/>
      <c r="F42" s="60">
        <f t="shared" si="0"/>
        <v>0</v>
      </c>
      <c r="G42" s="60">
        <f t="shared" si="1"/>
        <v>6.5178571428571432</v>
      </c>
      <c r="H42" s="60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 spans="1:26" x14ac:dyDescent="0.45">
      <c r="A43" s="539">
        <v>3005593322</v>
      </c>
      <c r="B43" s="542" t="s">
        <v>225</v>
      </c>
      <c r="C43" s="539">
        <v>100</v>
      </c>
      <c r="D43" s="539">
        <v>84</v>
      </c>
      <c r="E43" s="515"/>
      <c r="F43" s="60">
        <f t="shared" si="0"/>
        <v>0</v>
      </c>
      <c r="G43" s="60">
        <f t="shared" si="1"/>
        <v>4.3452380952380949</v>
      </c>
      <c r="H43" s="60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 spans="1:26" x14ac:dyDescent="0.45">
      <c r="A44" s="539">
        <v>5336163190</v>
      </c>
      <c r="B44" s="542" t="s">
        <v>226</v>
      </c>
      <c r="C44" s="539">
        <v>150</v>
      </c>
      <c r="D44" s="539">
        <v>84</v>
      </c>
      <c r="E44" s="515"/>
      <c r="F44" s="60">
        <f t="shared" si="0"/>
        <v>0</v>
      </c>
      <c r="G44" s="60">
        <f t="shared" si="1"/>
        <v>4.3452380952380949</v>
      </c>
      <c r="H44" s="60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 spans="1:26" x14ac:dyDescent="0.45">
      <c r="A45" s="539">
        <v>6750036190</v>
      </c>
      <c r="B45" s="542" t="s">
        <v>227</v>
      </c>
      <c r="C45" s="539">
        <v>100</v>
      </c>
      <c r="D45" s="539">
        <v>84</v>
      </c>
      <c r="E45" s="515"/>
      <c r="F45" s="60">
        <f t="shared" si="0"/>
        <v>0</v>
      </c>
      <c r="G45" s="60">
        <f t="shared" si="1"/>
        <v>4.3452380952380949</v>
      </c>
      <c r="H45" s="60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 spans="1:26" x14ac:dyDescent="0.45">
      <c r="A46" s="539">
        <v>5385415190</v>
      </c>
      <c r="B46" s="542" t="s">
        <v>228</v>
      </c>
      <c r="C46" s="539">
        <v>100</v>
      </c>
      <c r="D46" s="539">
        <v>28</v>
      </c>
      <c r="E46" s="515"/>
      <c r="F46" s="60">
        <f t="shared" si="0"/>
        <v>0</v>
      </c>
      <c r="G46" s="60">
        <f t="shared" si="1"/>
        <v>13.035714285714286</v>
      </c>
      <c r="H46" s="60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 spans="1:26" x14ac:dyDescent="0.45">
      <c r="A47" s="539">
        <v>7528566190</v>
      </c>
      <c r="B47" s="542" t="s">
        <v>229</v>
      </c>
      <c r="C47" s="539">
        <v>350</v>
      </c>
      <c r="D47" s="539">
        <v>84</v>
      </c>
      <c r="E47" s="515"/>
      <c r="F47" s="60">
        <f t="shared" si="0"/>
        <v>0</v>
      </c>
      <c r="G47" s="60">
        <f t="shared" si="1"/>
        <v>4.3452380952380949</v>
      </c>
      <c r="H47" s="60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 spans="1:26" x14ac:dyDescent="0.45">
      <c r="A48" s="539">
        <v>3507343190</v>
      </c>
      <c r="B48" s="542" t="s">
        <v>230</v>
      </c>
      <c r="C48" s="539">
        <v>150</v>
      </c>
      <c r="D48" s="539">
        <v>84</v>
      </c>
      <c r="E48" s="515"/>
      <c r="F48" s="60">
        <f t="shared" si="0"/>
        <v>0</v>
      </c>
      <c r="G48" s="60">
        <f t="shared" si="1"/>
        <v>4.3452380952380949</v>
      </c>
      <c r="H48" s="60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 spans="1:26" x14ac:dyDescent="0.45">
      <c r="A49" s="539">
        <v>5973058190</v>
      </c>
      <c r="B49" s="542" t="s">
        <v>231</v>
      </c>
      <c r="C49" s="539">
        <v>150</v>
      </c>
      <c r="D49" s="539">
        <v>84</v>
      </c>
      <c r="E49" s="515"/>
      <c r="F49" s="60">
        <f t="shared" si="0"/>
        <v>0</v>
      </c>
      <c r="G49" s="60">
        <f t="shared" si="1"/>
        <v>4.3452380952380949</v>
      </c>
      <c r="H49" s="60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 spans="1:26" x14ac:dyDescent="0.45">
      <c r="A50" s="539">
        <v>3507432190</v>
      </c>
      <c r="B50" s="542" t="s">
        <v>232</v>
      </c>
      <c r="C50" s="539">
        <v>150</v>
      </c>
      <c r="D50" s="539">
        <v>84</v>
      </c>
      <c r="E50" s="515"/>
      <c r="F50" s="60">
        <f t="shared" si="0"/>
        <v>0</v>
      </c>
      <c r="G50" s="60">
        <f t="shared" si="1"/>
        <v>4.3452380952380949</v>
      </c>
      <c r="H50" s="60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 spans="1:26" x14ac:dyDescent="0.45">
      <c r="A51" s="539">
        <v>3507190190</v>
      </c>
      <c r="B51" s="542" t="s">
        <v>233</v>
      </c>
      <c r="C51" s="539">
        <v>150</v>
      </c>
      <c r="D51" s="539">
        <v>84</v>
      </c>
      <c r="E51" s="515"/>
      <c r="F51" s="60">
        <f t="shared" si="0"/>
        <v>0</v>
      </c>
      <c r="G51" s="60">
        <f t="shared" si="1"/>
        <v>4.3452380952380949</v>
      </c>
      <c r="H51" s="60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 spans="1:26" x14ac:dyDescent="0.45">
      <c r="A52" s="539">
        <v>3183696122</v>
      </c>
      <c r="B52" s="542" t="s">
        <v>234</v>
      </c>
      <c r="C52" s="539">
        <v>200</v>
      </c>
      <c r="D52" s="539">
        <v>42</v>
      </c>
      <c r="E52" s="515"/>
      <c r="F52" s="60">
        <f t="shared" si="0"/>
        <v>0</v>
      </c>
      <c r="G52" s="60">
        <f t="shared" si="1"/>
        <v>8.6904761904761898</v>
      </c>
      <c r="H52" s="60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 spans="1:26" x14ac:dyDescent="0.45">
      <c r="A53" s="539">
        <v>6749976190</v>
      </c>
      <c r="B53" s="542" t="s">
        <v>235</v>
      </c>
      <c r="C53" s="539">
        <v>100</v>
      </c>
      <c r="D53" s="539">
        <v>84</v>
      </c>
      <c r="E53" s="515"/>
      <c r="F53" s="60">
        <f t="shared" si="0"/>
        <v>0</v>
      </c>
      <c r="G53" s="60">
        <f t="shared" si="1"/>
        <v>4.3452380952380949</v>
      </c>
      <c r="H53" s="60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 spans="1:26" x14ac:dyDescent="0.45">
      <c r="A54" s="539">
        <v>3183700190</v>
      </c>
      <c r="B54" s="542" t="s">
        <v>236</v>
      </c>
      <c r="C54" s="539">
        <v>100</v>
      </c>
      <c r="D54" s="539">
        <v>84</v>
      </c>
      <c r="E54" s="515"/>
      <c r="F54" s="60">
        <f t="shared" si="0"/>
        <v>0</v>
      </c>
      <c r="G54" s="60">
        <f t="shared" si="1"/>
        <v>4.3452380952380949</v>
      </c>
      <c r="H54" s="60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 spans="1:26" x14ac:dyDescent="0.45">
      <c r="A55" s="539">
        <v>6749992190</v>
      </c>
      <c r="B55" s="542" t="s">
        <v>237</v>
      </c>
      <c r="C55" s="539">
        <v>100</v>
      </c>
      <c r="D55" s="539">
        <v>84</v>
      </c>
      <c r="E55" s="515"/>
      <c r="F55" s="60">
        <f t="shared" si="0"/>
        <v>0</v>
      </c>
      <c r="G55" s="60">
        <f t="shared" si="1"/>
        <v>4.3452380952380949</v>
      </c>
      <c r="H55" s="60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 spans="1:26" x14ac:dyDescent="0.45">
      <c r="A56" s="539">
        <v>3004732122</v>
      </c>
      <c r="B56" s="542" t="s">
        <v>238</v>
      </c>
      <c r="C56" s="539">
        <v>300</v>
      </c>
      <c r="D56" s="539">
        <v>84</v>
      </c>
      <c r="E56" s="515"/>
      <c r="F56" s="60">
        <f t="shared" si="0"/>
        <v>0</v>
      </c>
      <c r="G56" s="60">
        <f t="shared" si="1"/>
        <v>4.3452380952380949</v>
      </c>
      <c r="H56" s="60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 spans="1:26" x14ac:dyDescent="0.45">
      <c r="A57" s="539">
        <v>7005717190</v>
      </c>
      <c r="B57" s="542" t="s">
        <v>239</v>
      </c>
      <c r="C57" s="539">
        <v>200</v>
      </c>
      <c r="D57" s="539">
        <v>84</v>
      </c>
      <c r="E57" s="515"/>
      <c r="F57" s="60">
        <f t="shared" si="0"/>
        <v>0</v>
      </c>
      <c r="G57" s="60">
        <f t="shared" si="1"/>
        <v>4.3452380952380949</v>
      </c>
      <c r="H57" s="60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 spans="1:26" x14ac:dyDescent="0.45">
      <c r="A58" s="539">
        <v>3029590322</v>
      </c>
      <c r="B58" s="542" t="s">
        <v>240</v>
      </c>
      <c r="C58" s="539">
        <v>200</v>
      </c>
      <c r="D58" s="539">
        <v>28</v>
      </c>
      <c r="E58" s="515"/>
      <c r="F58" s="60">
        <f t="shared" si="0"/>
        <v>0</v>
      </c>
      <c r="G58" s="60">
        <f t="shared" si="1"/>
        <v>13.035714285714286</v>
      </c>
      <c r="H58" s="60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 spans="1:26" x14ac:dyDescent="0.45">
      <c r="A59" s="539">
        <v>5852625190</v>
      </c>
      <c r="B59" s="542" t="s">
        <v>241</v>
      </c>
      <c r="C59" s="539">
        <v>150</v>
      </c>
      <c r="D59" s="539">
        <v>42</v>
      </c>
      <c r="E59" s="515"/>
      <c r="F59" s="60">
        <f t="shared" si="0"/>
        <v>0</v>
      </c>
      <c r="G59" s="60">
        <f t="shared" si="1"/>
        <v>8.6904761904761898</v>
      </c>
      <c r="H59" s="60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 spans="1:26" x14ac:dyDescent="0.45">
      <c r="A60" s="539">
        <v>6481647190</v>
      </c>
      <c r="B60" s="542" t="s">
        <v>242</v>
      </c>
      <c r="C60" s="539">
        <v>250</v>
      </c>
      <c r="D60" s="539">
        <v>84</v>
      </c>
      <c r="E60" s="515"/>
      <c r="F60" s="60">
        <f t="shared" si="0"/>
        <v>0</v>
      </c>
      <c r="G60" s="60">
        <f t="shared" si="1"/>
        <v>4.3452380952380949</v>
      </c>
      <c r="H60" s="60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 spans="1:26" x14ac:dyDescent="0.45">
      <c r="A61" s="539">
        <v>7229593190</v>
      </c>
      <c r="B61" s="542" t="s">
        <v>312</v>
      </c>
      <c r="C61" s="539">
        <v>150</v>
      </c>
      <c r="D61" s="539">
        <v>56</v>
      </c>
      <c r="E61" s="515"/>
      <c r="F61" s="60">
        <f t="shared" si="0"/>
        <v>0</v>
      </c>
      <c r="G61" s="60">
        <f t="shared" si="1"/>
        <v>6.5178571428571432</v>
      </c>
      <c r="H61" s="60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 spans="1:26" x14ac:dyDescent="0.45">
      <c r="A62" s="539">
        <v>3183793122</v>
      </c>
      <c r="B62" s="542" t="s">
        <v>243</v>
      </c>
      <c r="C62" s="539">
        <v>250</v>
      </c>
      <c r="D62" s="539">
        <v>84</v>
      </c>
      <c r="E62" s="515"/>
      <c r="F62" s="60">
        <f t="shared" si="0"/>
        <v>0</v>
      </c>
      <c r="G62" s="60">
        <f t="shared" si="1"/>
        <v>4.3452380952380949</v>
      </c>
      <c r="H62" s="60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 spans="1:26" x14ac:dyDescent="0.45">
      <c r="A63" s="539">
        <v>20764655322</v>
      </c>
      <c r="B63" s="542" t="s">
        <v>244</v>
      </c>
      <c r="C63" s="539">
        <v>100</v>
      </c>
      <c r="D63" s="539">
        <v>56</v>
      </c>
      <c r="E63" s="515"/>
      <c r="F63" s="60">
        <f t="shared" si="0"/>
        <v>0</v>
      </c>
      <c r="G63" s="60">
        <f t="shared" si="1"/>
        <v>6.5178571428571432</v>
      </c>
      <c r="H63" s="60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 spans="1:26" x14ac:dyDescent="0.45">
      <c r="A64" s="539">
        <v>20764574322</v>
      </c>
      <c r="B64" s="542" t="s">
        <v>245</v>
      </c>
      <c r="C64" s="539">
        <v>100</v>
      </c>
      <c r="D64" s="539">
        <v>56</v>
      </c>
      <c r="E64" s="515"/>
      <c r="F64" s="60">
        <f t="shared" si="0"/>
        <v>0</v>
      </c>
      <c r="G64" s="60">
        <f t="shared" si="1"/>
        <v>6.5178571428571432</v>
      </c>
      <c r="H64" s="60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 spans="1:26" x14ac:dyDescent="0.45">
      <c r="A65" s="539">
        <v>7227841190</v>
      </c>
      <c r="B65" s="542" t="s">
        <v>246</v>
      </c>
      <c r="C65" s="539">
        <v>100</v>
      </c>
      <c r="D65" s="539">
        <v>182</v>
      </c>
      <c r="E65" s="515"/>
      <c r="F65" s="60">
        <f t="shared" si="0"/>
        <v>0</v>
      </c>
      <c r="G65" s="60">
        <f t="shared" si="1"/>
        <v>2.0054945054945055</v>
      </c>
      <c r="H65" s="60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 spans="1:26" x14ac:dyDescent="0.45">
      <c r="A66" s="539">
        <v>4491009190</v>
      </c>
      <c r="B66" s="542" t="s">
        <v>247</v>
      </c>
      <c r="C66" s="539">
        <v>200</v>
      </c>
      <c r="D66" s="539">
        <v>56</v>
      </c>
      <c r="E66" s="515"/>
      <c r="F66" s="60">
        <f t="shared" si="0"/>
        <v>0</v>
      </c>
      <c r="G66" s="60">
        <f t="shared" si="1"/>
        <v>6.5178571428571432</v>
      </c>
      <c r="H66" s="60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 spans="1:26" x14ac:dyDescent="0.45">
      <c r="A67" s="539">
        <v>3183734190</v>
      </c>
      <c r="B67" s="542" t="s">
        <v>248</v>
      </c>
      <c r="C67" s="539">
        <v>300</v>
      </c>
      <c r="D67" s="539">
        <v>28</v>
      </c>
      <c r="E67" s="515"/>
      <c r="F67" s="60">
        <f t="shared" si="0"/>
        <v>0</v>
      </c>
      <c r="G67" s="60">
        <f t="shared" si="1"/>
        <v>13.035714285714286</v>
      </c>
      <c r="H67" s="60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 spans="1:26" x14ac:dyDescent="0.45">
      <c r="A68" s="539">
        <v>3333825190</v>
      </c>
      <c r="B68" s="542" t="s">
        <v>249</v>
      </c>
      <c r="C68" s="539">
        <v>150</v>
      </c>
      <c r="D68" s="539">
        <v>84</v>
      </c>
      <c r="E68" s="515"/>
      <c r="F68" s="60">
        <f t="shared" si="0"/>
        <v>0</v>
      </c>
      <c r="G68" s="60">
        <f t="shared" si="1"/>
        <v>4.3452380952380949</v>
      </c>
      <c r="H68" s="60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 spans="1:26" x14ac:dyDescent="0.45">
      <c r="A69" s="539">
        <v>20767107322</v>
      </c>
      <c r="B69" s="542" t="s">
        <v>250</v>
      </c>
      <c r="C69" s="539">
        <v>250</v>
      </c>
      <c r="D69" s="539">
        <v>56</v>
      </c>
      <c r="E69" s="515"/>
      <c r="F69" s="60">
        <f t="shared" si="0"/>
        <v>0</v>
      </c>
      <c r="G69" s="60">
        <f t="shared" si="1"/>
        <v>6.5178571428571432</v>
      </c>
      <c r="H69" s="60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 spans="1:26" x14ac:dyDescent="0.45">
      <c r="A70" s="539">
        <v>3015050122</v>
      </c>
      <c r="B70" s="542" t="s">
        <v>251</v>
      </c>
      <c r="C70" s="539">
        <v>100</v>
      </c>
      <c r="D70" s="539">
        <v>56</v>
      </c>
      <c r="E70" s="515"/>
      <c r="F70" s="60">
        <f t="shared" si="0"/>
        <v>0</v>
      </c>
      <c r="G70" s="60">
        <f t="shared" si="1"/>
        <v>6.5178571428571432</v>
      </c>
      <c r="H70" s="60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 spans="1:26" x14ac:dyDescent="0.45">
      <c r="A71" s="539">
        <v>3183807190</v>
      </c>
      <c r="B71" s="542" t="s">
        <v>252</v>
      </c>
      <c r="C71" s="539">
        <v>400</v>
      </c>
      <c r="D71" s="539">
        <v>56</v>
      </c>
      <c r="E71" s="515"/>
      <c r="F71" s="60">
        <f t="shared" si="0"/>
        <v>0</v>
      </c>
      <c r="G71" s="60">
        <f t="shared" si="1"/>
        <v>6.5178571428571432</v>
      </c>
      <c r="H71" s="60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 spans="1:26" x14ac:dyDescent="0.45">
      <c r="A72" s="539">
        <v>4536355190</v>
      </c>
      <c r="B72" s="542" t="s">
        <v>253</v>
      </c>
      <c r="C72" s="539">
        <v>100</v>
      </c>
      <c r="D72" s="539">
        <v>56</v>
      </c>
      <c r="E72" s="515"/>
      <c r="F72" s="60">
        <f t="shared" si="0"/>
        <v>0</v>
      </c>
      <c r="G72" s="60">
        <f t="shared" si="1"/>
        <v>6.5178571428571432</v>
      </c>
      <c r="H72" s="60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 spans="1:26" x14ac:dyDescent="0.45">
      <c r="A73" s="539">
        <v>4460715190</v>
      </c>
      <c r="B73" s="542" t="s">
        <v>254</v>
      </c>
      <c r="C73" s="539">
        <v>500</v>
      </c>
      <c r="D73" s="539">
        <v>56</v>
      </c>
      <c r="E73" s="515"/>
      <c r="F73" s="186">
        <f t="shared" si="0"/>
        <v>0</v>
      </c>
      <c r="G73" s="186">
        <f t="shared" si="1"/>
        <v>6.5178571428571432</v>
      </c>
      <c r="H73" s="60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 spans="1:26" x14ac:dyDescent="0.45">
      <c r="A74" s="187"/>
      <c r="B74" s="187"/>
      <c r="C74" s="188"/>
      <c r="D74" s="189" t="s">
        <v>19</v>
      </c>
      <c r="E74" s="190">
        <f>SUM(E9:E73)</f>
        <v>0</v>
      </c>
      <c r="F74" s="190"/>
      <c r="G74" s="190"/>
      <c r="H74" s="190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 spans="1:26" ht="21" x14ac:dyDescent="0.45">
      <c r="A75" s="428"/>
      <c r="B75" s="428" t="s">
        <v>255</v>
      </c>
      <c r="C75" s="428"/>
      <c r="D75" s="417" t="s">
        <v>54</v>
      </c>
      <c r="E75" s="418"/>
      <c r="F75" s="419" t="s">
        <v>53</v>
      </c>
      <c r="G75" s="419" t="s">
        <v>52</v>
      </c>
      <c r="H75" s="420" t="s">
        <v>51</v>
      </c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 spans="1:26" x14ac:dyDescent="0.45">
      <c r="A76" s="216">
        <v>20751995190</v>
      </c>
      <c r="B76" s="56" t="s">
        <v>256</v>
      </c>
      <c r="C76" s="216">
        <v>2</v>
      </c>
      <c r="D76" s="216">
        <v>56</v>
      </c>
      <c r="E76" s="57"/>
      <c r="F76" s="57"/>
      <c r="G76" s="186">
        <f>(365/D76)/C76</f>
        <v>3.2589285714285716</v>
      </c>
      <c r="H76" s="5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 spans="1:26" x14ac:dyDescent="0.45">
      <c r="A77" s="216">
        <v>4975901190</v>
      </c>
      <c r="B77" s="56" t="s">
        <v>257</v>
      </c>
      <c r="C77" s="216">
        <v>1</v>
      </c>
      <c r="D77" s="216"/>
      <c r="E77" s="57"/>
      <c r="F77" s="57"/>
      <c r="G77" s="186" t="e">
        <f t="shared" ref="G77:G112" si="2">(365/D77)/C77</f>
        <v>#DIV/0!</v>
      </c>
      <c r="H77" s="5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 spans="1:26" x14ac:dyDescent="0.45">
      <c r="A78" s="216">
        <v>3555941190</v>
      </c>
      <c r="B78" s="56" t="s">
        <v>259</v>
      </c>
      <c r="C78" s="216">
        <v>3</v>
      </c>
      <c r="D78" s="216">
        <v>14</v>
      </c>
      <c r="E78" s="57"/>
      <c r="F78" s="57"/>
      <c r="G78" s="186">
        <f t="shared" si="2"/>
        <v>8.6904761904761916</v>
      </c>
      <c r="H78" s="5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 spans="1:26" x14ac:dyDescent="0.45">
      <c r="A79" s="216">
        <v>10759350190</v>
      </c>
      <c r="B79" s="56" t="s">
        <v>260</v>
      </c>
      <c r="C79" s="216">
        <v>12</v>
      </c>
      <c r="D79" s="216">
        <v>28</v>
      </c>
      <c r="E79" s="57"/>
      <c r="F79" s="57"/>
      <c r="G79" s="186">
        <f t="shared" si="2"/>
        <v>1.0863095238095239</v>
      </c>
      <c r="H79" s="5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 spans="1:26" x14ac:dyDescent="0.45">
      <c r="A80" s="216">
        <v>11447394216</v>
      </c>
      <c r="B80" s="56" t="s">
        <v>261</v>
      </c>
      <c r="C80" s="216">
        <v>3</v>
      </c>
      <c r="D80" s="216">
        <v>28</v>
      </c>
      <c r="E80" s="57"/>
      <c r="F80" s="57"/>
      <c r="G80" s="186">
        <f t="shared" si="2"/>
        <v>4.3452380952380958</v>
      </c>
      <c r="H80" s="5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 spans="1:26" x14ac:dyDescent="0.45">
      <c r="A81" s="216">
        <v>6533850190</v>
      </c>
      <c r="B81" s="56" t="s">
        <v>262</v>
      </c>
      <c r="C81" s="216">
        <v>3</v>
      </c>
      <c r="D81" s="216">
        <v>14</v>
      </c>
      <c r="E81" s="57"/>
      <c r="F81" s="57"/>
      <c r="G81" s="186">
        <f t="shared" si="2"/>
        <v>8.6904761904761916</v>
      </c>
      <c r="H81" s="5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 spans="1:26" x14ac:dyDescent="0.45">
      <c r="A82" s="216">
        <v>12172623122</v>
      </c>
      <c r="B82" s="56" t="s">
        <v>263</v>
      </c>
      <c r="C82" s="216">
        <v>3</v>
      </c>
      <c r="D82" s="216">
        <v>28</v>
      </c>
      <c r="E82" s="57"/>
      <c r="F82" s="57"/>
      <c r="G82" s="186">
        <f t="shared" si="2"/>
        <v>4.3452380952380958</v>
      </c>
      <c r="H82" s="5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 spans="1:26" x14ac:dyDescent="0.45">
      <c r="A83" s="216">
        <v>11355279216</v>
      </c>
      <c r="B83" s="56" t="s">
        <v>264</v>
      </c>
      <c r="C83" s="216">
        <v>5</v>
      </c>
      <c r="D83" s="216">
        <v>28</v>
      </c>
      <c r="E83" s="57"/>
      <c r="F83" s="57"/>
      <c r="G83" s="186">
        <f t="shared" si="2"/>
        <v>2.6071428571428572</v>
      </c>
      <c r="H83" s="5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 spans="1:26" x14ac:dyDescent="0.45">
      <c r="A84" s="216">
        <v>8753776190</v>
      </c>
      <c r="B84" s="56" t="s">
        <v>265</v>
      </c>
      <c r="C84" s="216">
        <v>3</v>
      </c>
      <c r="D84" s="216">
        <v>28</v>
      </c>
      <c r="E84" s="57"/>
      <c r="F84" s="57"/>
      <c r="G84" s="186">
        <f t="shared" si="2"/>
        <v>4.3452380952380958</v>
      </c>
      <c r="H84" s="5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 spans="1:26" x14ac:dyDescent="0.45">
      <c r="A85" s="216">
        <v>8047545190</v>
      </c>
      <c r="B85" s="56" t="s">
        <v>266</v>
      </c>
      <c r="C85" s="216">
        <v>2</v>
      </c>
      <c r="D85" s="216">
        <v>84</v>
      </c>
      <c r="E85" s="57"/>
      <c r="F85" s="57"/>
      <c r="G85" s="186">
        <f t="shared" si="2"/>
        <v>2.1726190476190474</v>
      </c>
      <c r="H85" s="5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 spans="1:26" x14ac:dyDescent="0.45">
      <c r="A86" s="216">
        <v>4528417190</v>
      </c>
      <c r="B86" s="56" t="s">
        <v>267</v>
      </c>
      <c r="C86" s="216">
        <v>3</v>
      </c>
      <c r="D86" s="216">
        <v>84</v>
      </c>
      <c r="E86" s="57"/>
      <c r="F86" s="57"/>
      <c r="G86" s="186">
        <f t="shared" si="2"/>
        <v>1.4484126984126984</v>
      </c>
      <c r="H86" s="5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 spans="1:26" x14ac:dyDescent="0.45">
      <c r="A87" s="216">
        <v>3121305122</v>
      </c>
      <c r="B87" s="56" t="s">
        <v>268</v>
      </c>
      <c r="C87" s="216">
        <v>5</v>
      </c>
      <c r="D87" s="216">
        <v>28</v>
      </c>
      <c r="E87" s="57"/>
      <c r="F87" s="57"/>
      <c r="G87" s="186">
        <f t="shared" si="2"/>
        <v>2.6071428571428572</v>
      </c>
      <c r="H87" s="5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 spans="1:26" x14ac:dyDescent="0.45">
      <c r="A88" s="216">
        <v>5050901190</v>
      </c>
      <c r="B88" s="56" t="s">
        <v>269</v>
      </c>
      <c r="C88" s="216">
        <v>1</v>
      </c>
      <c r="D88" s="216">
        <v>84</v>
      </c>
      <c r="E88" s="57"/>
      <c r="F88" s="57"/>
      <c r="G88" s="186">
        <f t="shared" si="2"/>
        <v>4.3452380952380949</v>
      </c>
      <c r="H88" s="5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 spans="1:26" x14ac:dyDescent="0.45">
      <c r="A89" s="216">
        <v>12146401216</v>
      </c>
      <c r="B89" s="56" t="s">
        <v>270</v>
      </c>
      <c r="C89" s="216">
        <v>1</v>
      </c>
      <c r="D89" s="216">
        <v>360</v>
      </c>
      <c r="E89" s="57"/>
      <c r="F89" s="57"/>
      <c r="G89" s="186">
        <f t="shared" si="2"/>
        <v>1.0138888888888888</v>
      </c>
      <c r="H89" s="5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 spans="1:26" x14ac:dyDescent="0.45">
      <c r="A90" s="216">
        <v>5385504190</v>
      </c>
      <c r="B90" s="56" t="s">
        <v>271</v>
      </c>
      <c r="C90" s="216">
        <v>2</v>
      </c>
      <c r="D90" s="216">
        <v>28</v>
      </c>
      <c r="E90" s="57"/>
      <c r="F90" s="57"/>
      <c r="G90" s="186">
        <f t="shared" si="2"/>
        <v>6.5178571428571432</v>
      </c>
      <c r="H90" s="5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 spans="1:26" x14ac:dyDescent="0.45">
      <c r="A91" s="216">
        <v>11098993122</v>
      </c>
      <c r="B91" s="56" t="s">
        <v>273</v>
      </c>
      <c r="C91" s="216">
        <v>3</v>
      </c>
      <c r="D91" s="216">
        <v>28</v>
      </c>
      <c r="E91" s="57"/>
      <c r="F91" s="57"/>
      <c r="G91" s="186">
        <f t="shared" si="2"/>
        <v>4.3452380952380958</v>
      </c>
      <c r="H91" s="5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 spans="1:26" x14ac:dyDescent="0.45">
      <c r="A92" s="216">
        <v>3304671190</v>
      </c>
      <c r="B92" s="56" t="s">
        <v>274</v>
      </c>
      <c r="C92" s="216">
        <v>1</v>
      </c>
      <c r="D92" s="216">
        <v>60</v>
      </c>
      <c r="E92" s="57"/>
      <c r="F92" s="57"/>
      <c r="G92" s="186">
        <f t="shared" si="2"/>
        <v>6.083333333333333</v>
      </c>
      <c r="H92" s="5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 spans="1:26" x14ac:dyDescent="0.45">
      <c r="A93" s="216">
        <v>5852641190</v>
      </c>
      <c r="B93" s="56" t="s">
        <v>275</v>
      </c>
      <c r="C93" s="216">
        <v>1</v>
      </c>
      <c r="D93" s="216">
        <v>14</v>
      </c>
      <c r="E93" s="57"/>
      <c r="F93" s="57"/>
      <c r="G93" s="186">
        <f t="shared" si="2"/>
        <v>26.071428571428573</v>
      </c>
      <c r="H93" s="5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 spans="1:26" x14ac:dyDescent="0.45">
      <c r="A94" s="216">
        <v>12172828322</v>
      </c>
      <c r="B94" s="56" t="s">
        <v>276</v>
      </c>
      <c r="C94" s="216">
        <v>1</v>
      </c>
      <c r="D94" s="216">
        <v>30</v>
      </c>
      <c r="E94" s="57"/>
      <c r="F94" s="57"/>
      <c r="G94" s="186">
        <f t="shared" si="2"/>
        <v>12.166666666666666</v>
      </c>
      <c r="H94" s="5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 spans="1:26" ht="21" x14ac:dyDescent="0.45">
      <c r="A95" s="428"/>
      <c r="B95" s="428" t="s">
        <v>277</v>
      </c>
      <c r="C95" s="428" t="s">
        <v>183</v>
      </c>
      <c r="D95" s="417" t="s">
        <v>54</v>
      </c>
      <c r="E95" s="418"/>
      <c r="F95" s="419" t="s">
        <v>53</v>
      </c>
      <c r="G95" s="419" t="s">
        <v>52</v>
      </c>
      <c r="H95" s="420" t="s">
        <v>51</v>
      </c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 spans="1:26" x14ac:dyDescent="0.45">
      <c r="A96" s="216">
        <v>20752401190</v>
      </c>
      <c r="B96" s="56" t="s">
        <v>278</v>
      </c>
      <c r="C96" s="216">
        <v>5</v>
      </c>
      <c r="D96" s="216">
        <v>56</v>
      </c>
      <c r="E96" s="57"/>
      <c r="F96" s="57"/>
      <c r="G96" s="186">
        <f t="shared" si="2"/>
        <v>1.3035714285714286</v>
      </c>
      <c r="H96" s="5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 spans="1:26" x14ac:dyDescent="0.45">
      <c r="A97" s="216">
        <v>20753009190</v>
      </c>
      <c r="B97" s="56" t="s">
        <v>279</v>
      </c>
      <c r="C97" s="216">
        <v>5</v>
      </c>
      <c r="D97" s="216">
        <v>56</v>
      </c>
      <c r="E97" s="57"/>
      <c r="F97" s="57"/>
      <c r="G97" s="186">
        <f t="shared" si="2"/>
        <v>1.3035714285714286</v>
      </c>
      <c r="H97" s="5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 spans="1:26" x14ac:dyDescent="0.45">
      <c r="A98" s="216">
        <v>8362785190</v>
      </c>
      <c r="B98" s="56" t="s">
        <v>280</v>
      </c>
      <c r="C98" s="216">
        <v>2</v>
      </c>
      <c r="D98" s="216">
        <v>84</v>
      </c>
      <c r="E98" s="57"/>
      <c r="F98" s="57"/>
      <c r="G98" s="186">
        <f t="shared" si="2"/>
        <v>2.1726190476190474</v>
      </c>
      <c r="H98" s="5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 spans="1:26" x14ac:dyDescent="0.45">
      <c r="A99" s="216">
        <v>8278202190</v>
      </c>
      <c r="B99" s="56" t="s">
        <v>281</v>
      </c>
      <c r="C99" s="216">
        <v>3</v>
      </c>
      <c r="D99" s="216">
        <v>28</v>
      </c>
      <c r="E99" s="57"/>
      <c r="F99" s="57"/>
      <c r="G99" s="186">
        <f t="shared" si="2"/>
        <v>4.3452380952380958</v>
      </c>
      <c r="H99" s="5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 spans="1:26" x14ac:dyDescent="0.45">
      <c r="A100" s="216">
        <v>6729371190</v>
      </c>
      <c r="B100" s="56" t="s">
        <v>282</v>
      </c>
      <c r="C100" s="216">
        <v>3</v>
      </c>
      <c r="D100" s="216">
        <v>30</v>
      </c>
      <c r="E100" s="57"/>
      <c r="F100" s="57"/>
      <c r="G100" s="186">
        <f t="shared" si="2"/>
        <v>4.0555555555555554</v>
      </c>
      <c r="H100" s="5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 spans="1:26" x14ac:dyDescent="0.45">
      <c r="A101" s="216">
        <v>5050936190</v>
      </c>
      <c r="B101" s="56" t="s">
        <v>283</v>
      </c>
      <c r="C101" s="216">
        <v>2</v>
      </c>
      <c r="D101" s="216">
        <v>84</v>
      </c>
      <c r="E101" s="57"/>
      <c r="F101" s="57"/>
      <c r="G101" s="186">
        <f t="shared" si="2"/>
        <v>2.1726190476190474</v>
      </c>
      <c r="H101" s="5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 spans="1:26" x14ac:dyDescent="0.45">
      <c r="A102" s="216">
        <v>5142423190</v>
      </c>
      <c r="B102" s="56" t="s">
        <v>284</v>
      </c>
      <c r="C102" s="216">
        <v>2</v>
      </c>
      <c r="D102" s="216">
        <v>28</v>
      </c>
      <c r="E102" s="57"/>
      <c r="F102" s="57"/>
      <c r="G102" s="186">
        <f t="shared" si="2"/>
        <v>6.5178571428571432</v>
      </c>
      <c r="H102" s="5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 spans="1:26" x14ac:dyDescent="0.45">
      <c r="A103" s="216">
        <v>5947626190</v>
      </c>
      <c r="B103" s="56" t="s">
        <v>286</v>
      </c>
      <c r="C103" s="216">
        <v>4</v>
      </c>
      <c r="D103" s="216">
        <v>14</v>
      </c>
      <c r="E103" s="57"/>
      <c r="F103" s="57"/>
      <c r="G103" s="186">
        <f t="shared" si="2"/>
        <v>6.5178571428571432</v>
      </c>
      <c r="H103" s="5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</row>
    <row r="104" spans="1:26" x14ac:dyDescent="0.45">
      <c r="A104" s="216">
        <v>5947774190</v>
      </c>
      <c r="B104" s="56" t="s">
        <v>287</v>
      </c>
      <c r="C104" s="216">
        <v>4</v>
      </c>
      <c r="D104" s="216">
        <v>14</v>
      </c>
      <c r="E104" s="57"/>
      <c r="F104" s="57"/>
      <c r="G104" s="186">
        <f t="shared" si="2"/>
        <v>6.5178571428571432</v>
      </c>
      <c r="H104" s="5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 spans="1:26" x14ac:dyDescent="0.45">
      <c r="A105" s="216">
        <v>5479207190</v>
      </c>
      <c r="B105" s="56" t="s">
        <v>288</v>
      </c>
      <c r="C105" s="216">
        <v>4</v>
      </c>
      <c r="D105" s="216">
        <v>28</v>
      </c>
      <c r="E105" s="57"/>
      <c r="F105" s="57"/>
      <c r="G105" s="186">
        <f t="shared" si="2"/>
        <v>3.2589285714285716</v>
      </c>
      <c r="H105" s="5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 spans="1:26" x14ac:dyDescent="0.45">
      <c r="A106" s="216">
        <v>5912504190</v>
      </c>
      <c r="B106" s="56" t="s">
        <v>289</v>
      </c>
      <c r="C106" s="216">
        <v>4</v>
      </c>
      <c r="D106" s="216">
        <v>28</v>
      </c>
      <c r="E106" s="57"/>
      <c r="F106" s="57"/>
      <c r="G106" s="186">
        <f t="shared" si="2"/>
        <v>3.2589285714285716</v>
      </c>
      <c r="H106" s="5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 spans="1:26" x14ac:dyDescent="0.45">
      <c r="A107" s="216">
        <v>5852650190</v>
      </c>
      <c r="B107" s="56" t="s">
        <v>290</v>
      </c>
      <c r="C107" s="216">
        <v>2</v>
      </c>
      <c r="D107" s="216">
        <v>14</v>
      </c>
      <c r="E107" s="57"/>
      <c r="F107" s="57"/>
      <c r="G107" s="186">
        <f t="shared" si="2"/>
        <v>13.035714285714286</v>
      </c>
      <c r="H107" s="5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 spans="1:26" x14ac:dyDescent="0.45">
      <c r="A108" s="216">
        <v>11098985122</v>
      </c>
      <c r="B108" s="56" t="s">
        <v>291</v>
      </c>
      <c r="C108" s="216">
        <v>3</v>
      </c>
      <c r="D108" s="216">
        <v>28</v>
      </c>
      <c r="E108" s="57"/>
      <c r="F108" s="57"/>
      <c r="G108" s="186">
        <f t="shared" si="2"/>
        <v>4.3452380952380958</v>
      </c>
      <c r="H108" s="5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 spans="1:26" x14ac:dyDescent="0.45">
      <c r="A109" s="216">
        <v>3121313122</v>
      </c>
      <c r="B109" s="56" t="s">
        <v>292</v>
      </c>
      <c r="C109" s="216">
        <v>4</v>
      </c>
      <c r="D109" s="216">
        <v>28</v>
      </c>
      <c r="E109" s="57"/>
      <c r="F109" s="57"/>
      <c r="G109" s="186">
        <f t="shared" si="2"/>
        <v>3.2589285714285716</v>
      </c>
      <c r="H109" s="5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 spans="1:26" x14ac:dyDescent="0.45">
      <c r="A110" s="216">
        <v>11174118122</v>
      </c>
      <c r="B110" s="56" t="s">
        <v>293</v>
      </c>
      <c r="C110" s="216">
        <v>3</v>
      </c>
      <c r="D110" s="216">
        <v>28</v>
      </c>
      <c r="E110" s="57"/>
      <c r="F110" s="57"/>
      <c r="G110" s="186">
        <f t="shared" si="2"/>
        <v>4.3452380952380958</v>
      </c>
      <c r="H110" s="5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 spans="1:26" x14ac:dyDescent="0.45">
      <c r="A111" s="216">
        <v>3121291122</v>
      </c>
      <c r="B111" s="56" t="s">
        <v>294</v>
      </c>
      <c r="C111" s="216">
        <v>4</v>
      </c>
      <c r="D111" s="216">
        <v>28</v>
      </c>
      <c r="E111" s="57"/>
      <c r="F111" s="57"/>
      <c r="G111" s="186">
        <f t="shared" si="2"/>
        <v>3.2589285714285716</v>
      </c>
      <c r="H111" s="5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</row>
    <row r="112" spans="1:26" x14ac:dyDescent="0.45">
      <c r="A112" s="894">
        <v>3005496122</v>
      </c>
      <c r="B112" s="895" t="s">
        <v>295</v>
      </c>
      <c r="C112" s="894">
        <v>4</v>
      </c>
      <c r="D112" s="894">
        <v>30</v>
      </c>
      <c r="E112" s="517"/>
      <c r="F112" s="517"/>
      <c r="G112" s="186">
        <f t="shared" si="2"/>
        <v>3.0416666666666665</v>
      </c>
      <c r="H112" s="51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</row>
    <row r="113" spans="1:26" ht="21" x14ac:dyDescent="0.45">
      <c r="A113" s="896"/>
      <c r="B113" s="891" t="s">
        <v>8</v>
      </c>
      <c r="C113" s="891" t="s">
        <v>183</v>
      </c>
      <c r="D113" s="897" t="s">
        <v>54</v>
      </c>
      <c r="E113" s="896"/>
      <c r="F113" s="891" t="s">
        <v>53</v>
      </c>
      <c r="G113" s="891" t="s">
        <v>52</v>
      </c>
      <c r="H113" s="891" t="s">
        <v>51</v>
      </c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</row>
    <row r="114" spans="1:26" x14ac:dyDescent="0.45">
      <c r="A114" s="539">
        <v>4880285190</v>
      </c>
      <c r="B114" s="542" t="s">
        <v>297</v>
      </c>
      <c r="C114" s="539">
        <v>2</v>
      </c>
      <c r="D114" s="539">
        <v>70</v>
      </c>
      <c r="E114" s="898"/>
      <c r="F114" s="898"/>
      <c r="G114" s="539" t="s">
        <v>1152</v>
      </c>
      <c r="H114" s="898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 spans="1:26" x14ac:dyDescent="0.45">
      <c r="A115" s="539">
        <v>4880307190</v>
      </c>
      <c r="B115" s="542" t="s">
        <v>298</v>
      </c>
      <c r="C115" s="539">
        <v>2</v>
      </c>
      <c r="D115" s="539">
        <v>84</v>
      </c>
      <c r="E115" s="898"/>
      <c r="F115" s="898"/>
      <c r="G115" s="539" t="s">
        <v>1153</v>
      </c>
      <c r="H115" s="898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</row>
    <row r="116" spans="1:26" x14ac:dyDescent="0.45">
      <c r="A116" s="539">
        <v>4444191001</v>
      </c>
      <c r="B116" s="542" t="s">
        <v>299</v>
      </c>
      <c r="C116" s="539">
        <v>1</v>
      </c>
      <c r="D116" s="539">
        <v>365</v>
      </c>
      <c r="E116" s="898"/>
      <c r="F116" s="898"/>
      <c r="G116" s="539" t="s">
        <v>1154</v>
      </c>
      <c r="H116" s="898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 spans="1:26" x14ac:dyDescent="0.45">
      <c r="A117" s="539">
        <v>4555040001</v>
      </c>
      <c r="B117" s="542" t="s">
        <v>300</v>
      </c>
      <c r="C117" s="539">
        <v>3</v>
      </c>
      <c r="D117" s="539">
        <v>84</v>
      </c>
      <c r="E117" s="898"/>
      <c r="F117" s="898"/>
      <c r="G117" s="539" t="s">
        <v>1155</v>
      </c>
      <c r="H117" s="898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</row>
    <row r="118" spans="1:26" x14ac:dyDescent="0.45">
      <c r="A118" s="539">
        <v>5422485190</v>
      </c>
      <c r="B118" s="542" t="s">
        <v>301</v>
      </c>
      <c r="C118" s="539">
        <v>1</v>
      </c>
      <c r="D118" s="539">
        <v>28</v>
      </c>
      <c r="E118" s="898"/>
      <c r="F118" s="898"/>
      <c r="G118" s="539" t="s">
        <v>1156</v>
      </c>
      <c r="H118" s="898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 spans="1:26" x14ac:dyDescent="0.45">
      <c r="A119" s="539">
        <v>4554124001</v>
      </c>
      <c r="B119" s="542" t="s">
        <v>302</v>
      </c>
      <c r="C119" s="539">
        <v>1</v>
      </c>
      <c r="D119" s="539">
        <v>30</v>
      </c>
      <c r="E119" s="898"/>
      <c r="F119" s="898"/>
      <c r="G119" s="539" t="s">
        <v>1157</v>
      </c>
      <c r="H119" s="898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</row>
    <row r="120" spans="1:26" x14ac:dyDescent="0.45">
      <c r="A120" s="539">
        <v>4516273001</v>
      </c>
      <c r="B120" s="542" t="s">
        <v>303</v>
      </c>
      <c r="C120" s="539">
        <v>1</v>
      </c>
      <c r="D120" s="539">
        <v>30</v>
      </c>
      <c r="E120" s="898"/>
      <c r="F120" s="898"/>
      <c r="G120" s="539" t="s">
        <v>1157</v>
      </c>
      <c r="H120" s="898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 spans="1:26" x14ac:dyDescent="0.45">
      <c r="A121" s="539">
        <v>4516265001</v>
      </c>
      <c r="B121" s="542" t="s">
        <v>304</v>
      </c>
      <c r="C121" s="539">
        <v>1</v>
      </c>
      <c r="D121" s="539">
        <v>30</v>
      </c>
      <c r="E121" s="898"/>
      <c r="F121" s="898"/>
      <c r="G121" s="539" t="s">
        <v>1157</v>
      </c>
      <c r="H121" s="898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</row>
    <row r="122" spans="1:26" x14ac:dyDescent="0.45">
      <c r="A122" s="539">
        <v>4528182190</v>
      </c>
      <c r="B122" s="542" t="s">
        <v>305</v>
      </c>
      <c r="C122" s="539">
        <v>1</v>
      </c>
      <c r="D122" s="539">
        <v>28</v>
      </c>
      <c r="E122" s="898"/>
      <c r="F122" s="898"/>
      <c r="G122" s="539" t="s">
        <v>1156</v>
      </c>
      <c r="H122" s="898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 spans="1:26" x14ac:dyDescent="0.45">
      <c r="A123" s="539">
        <v>4813707001</v>
      </c>
      <c r="B123" s="542" t="s">
        <v>306</v>
      </c>
      <c r="C123" s="539">
        <v>1</v>
      </c>
      <c r="D123" s="539">
        <v>45</v>
      </c>
      <c r="E123" s="898"/>
      <c r="F123" s="898"/>
      <c r="G123" s="539" t="s">
        <v>1158</v>
      </c>
      <c r="H123" s="898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 spans="1:26" x14ac:dyDescent="0.45">
      <c r="A124" s="539">
        <v>4516303001</v>
      </c>
      <c r="B124" s="542" t="s">
        <v>307</v>
      </c>
      <c r="C124" s="539">
        <v>1</v>
      </c>
      <c r="D124" s="539">
        <v>360</v>
      </c>
      <c r="E124" s="898"/>
      <c r="F124" s="898"/>
      <c r="G124" s="539" t="s">
        <v>1159</v>
      </c>
      <c r="H124" s="898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 spans="1:26" x14ac:dyDescent="0.45">
      <c r="A125" s="539">
        <v>4708725190</v>
      </c>
      <c r="B125" s="542" t="s">
        <v>308</v>
      </c>
      <c r="C125" s="539">
        <v>12</v>
      </c>
      <c r="D125" s="539">
        <v>28</v>
      </c>
      <c r="E125" s="898"/>
      <c r="F125" s="898"/>
      <c r="G125" s="539" t="s">
        <v>1160</v>
      </c>
      <c r="H125" s="898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</row>
    <row r="126" spans="1:26" x14ac:dyDescent="0.45">
      <c r="A126" s="539">
        <v>4489357190</v>
      </c>
      <c r="B126" s="542" t="s">
        <v>309</v>
      </c>
      <c r="C126" s="539">
        <v>1</v>
      </c>
      <c r="D126" s="539">
        <v>84</v>
      </c>
      <c r="E126" s="898"/>
      <c r="F126" s="898"/>
      <c r="G126" s="539" t="s">
        <v>1161</v>
      </c>
      <c r="H126" s="898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 spans="1:26" x14ac:dyDescent="0.45">
      <c r="A127" s="539">
        <v>4489241190</v>
      </c>
      <c r="B127" s="542" t="s">
        <v>310</v>
      </c>
      <c r="C127" s="539">
        <v>1</v>
      </c>
      <c r="D127" s="539">
        <v>84</v>
      </c>
      <c r="E127" s="898"/>
      <c r="F127" s="898"/>
      <c r="G127" s="539" t="s">
        <v>1161</v>
      </c>
      <c r="H127" s="898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</row>
    <row r="128" spans="1:26" x14ac:dyDescent="0.45">
      <c r="A128" s="539">
        <v>4489225190</v>
      </c>
      <c r="B128" s="542" t="s">
        <v>311</v>
      </c>
      <c r="C128" s="539">
        <v>1</v>
      </c>
      <c r="D128" s="539">
        <v>84</v>
      </c>
      <c r="E128" s="898"/>
      <c r="F128" s="898"/>
      <c r="G128" s="539" t="s">
        <v>1161</v>
      </c>
      <c r="H128" s="898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 spans="1:26" x14ac:dyDescent="0.45">
      <c r="A129" s="539">
        <v>4516303001</v>
      </c>
      <c r="B129" s="542" t="s">
        <v>1162</v>
      </c>
      <c r="C129" s="539">
        <v>1</v>
      </c>
      <c r="D129" s="539">
        <v>365</v>
      </c>
      <c r="E129" s="898"/>
      <c r="F129" s="898"/>
      <c r="G129" s="539" t="s">
        <v>1154</v>
      </c>
      <c r="H129" s="898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</row>
    <row r="130" spans="1:26" x14ac:dyDescent="0.45">
      <c r="A130" s="539" t="s">
        <v>1163</v>
      </c>
      <c r="B130" s="542" t="s">
        <v>1164</v>
      </c>
      <c r="C130" s="539">
        <v>1</v>
      </c>
      <c r="D130" s="539">
        <v>365</v>
      </c>
      <c r="E130" s="898"/>
      <c r="F130" s="898"/>
      <c r="G130" s="539" t="s">
        <v>1154</v>
      </c>
      <c r="H130" s="898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 spans="1:26" x14ac:dyDescent="0.45">
      <c r="A131" s="539">
        <v>4516265001</v>
      </c>
      <c r="B131" s="542" t="s">
        <v>304</v>
      </c>
      <c r="C131" s="539">
        <v>1</v>
      </c>
      <c r="D131" s="539">
        <v>365</v>
      </c>
      <c r="E131" s="898"/>
      <c r="F131" s="898"/>
      <c r="G131" s="539" t="s">
        <v>1154</v>
      </c>
      <c r="H131" s="898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 spans="1:26" x14ac:dyDescent="0.45">
      <c r="A132" s="539">
        <v>4516273001</v>
      </c>
      <c r="B132" s="542" t="s">
        <v>303</v>
      </c>
      <c r="C132" s="539">
        <v>1</v>
      </c>
      <c r="D132" s="539">
        <v>365</v>
      </c>
      <c r="E132" s="898"/>
      <c r="F132" s="898"/>
      <c r="G132" s="539" t="s">
        <v>1154</v>
      </c>
      <c r="H132" s="898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 spans="1:26" x14ac:dyDescent="0.45">
      <c r="A133" s="539">
        <v>4554124001</v>
      </c>
      <c r="B133" s="542" t="s">
        <v>302</v>
      </c>
      <c r="C133" s="539">
        <v>1</v>
      </c>
      <c r="D133" s="539">
        <v>365</v>
      </c>
      <c r="E133" s="898"/>
      <c r="F133" s="898"/>
      <c r="G133" s="539" t="s">
        <v>1154</v>
      </c>
      <c r="H133" s="898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 spans="1:26" x14ac:dyDescent="0.45">
      <c r="A134" s="539" t="s">
        <v>1165</v>
      </c>
      <c r="B134" s="542" t="s">
        <v>1166</v>
      </c>
      <c r="C134" s="539">
        <v>1</v>
      </c>
      <c r="D134" s="539">
        <v>365</v>
      </c>
      <c r="E134" s="898"/>
      <c r="F134" s="898"/>
      <c r="G134" s="539" t="s">
        <v>1154</v>
      </c>
      <c r="H134" s="898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 spans="1:26" x14ac:dyDescent="0.45">
      <c r="A135" s="277"/>
      <c r="B135" s="277"/>
      <c r="C135" s="277"/>
      <c r="D135" s="277"/>
      <c r="E135" s="277"/>
      <c r="F135" s="277"/>
      <c r="G135" s="277"/>
      <c r="H135" s="27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</row>
    <row r="136" spans="1:26" ht="21" x14ac:dyDescent="0.45">
      <c r="A136" s="909" t="s">
        <v>831</v>
      </c>
      <c r="B136" s="909"/>
      <c r="C136" s="891" t="s">
        <v>193</v>
      </c>
      <c r="D136" s="891" t="s">
        <v>183</v>
      </c>
      <c r="E136" s="891" t="s">
        <v>54</v>
      </c>
      <c r="F136" s="891" t="s">
        <v>53</v>
      </c>
      <c r="G136" s="891" t="s">
        <v>52</v>
      </c>
      <c r="H136" s="891" t="s">
        <v>51</v>
      </c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</row>
    <row r="137" spans="1:26" x14ac:dyDescent="0.45">
      <c r="A137" s="899">
        <v>11183974216</v>
      </c>
      <c r="B137" s="542" t="s">
        <v>818</v>
      </c>
      <c r="C137" s="900"/>
      <c r="D137" s="539">
        <v>10</v>
      </c>
      <c r="E137" s="539">
        <v>1</v>
      </c>
      <c r="F137" s="898"/>
      <c r="G137" s="539" t="s">
        <v>1167</v>
      </c>
      <c r="H137" s="898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</row>
    <row r="138" spans="1:26" x14ac:dyDescent="0.45">
      <c r="A138" s="899">
        <v>11183982216</v>
      </c>
      <c r="B138" s="542" t="s">
        <v>819</v>
      </c>
      <c r="C138" s="901"/>
      <c r="D138" s="539">
        <v>10</v>
      </c>
      <c r="E138" s="539">
        <v>1</v>
      </c>
      <c r="F138" s="898"/>
      <c r="G138" s="539" t="s">
        <v>1167</v>
      </c>
      <c r="H138" s="898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</row>
    <row r="139" spans="1:26" x14ac:dyDescent="0.45">
      <c r="A139" s="899">
        <v>11298500316</v>
      </c>
      <c r="B139" s="542" t="s">
        <v>820</v>
      </c>
      <c r="C139" s="901"/>
      <c r="D139" s="539">
        <v>5</v>
      </c>
      <c r="E139" s="539">
        <v>74</v>
      </c>
      <c r="F139" s="898"/>
      <c r="G139" s="539">
        <v>73</v>
      </c>
      <c r="H139" s="898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</row>
    <row r="140" spans="1:26" x14ac:dyDescent="0.45">
      <c r="A140" s="899">
        <v>4663632190</v>
      </c>
      <c r="B140" s="542" t="s">
        <v>821</v>
      </c>
      <c r="C140" s="901"/>
      <c r="D140" s="539">
        <v>9</v>
      </c>
      <c r="E140" s="539">
        <v>28</v>
      </c>
      <c r="F140" s="898"/>
      <c r="G140" s="539" t="s">
        <v>1168</v>
      </c>
      <c r="H140" s="898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 spans="1:26" x14ac:dyDescent="0.45">
      <c r="A141" s="899">
        <v>4522630190</v>
      </c>
      <c r="B141" s="542" t="s">
        <v>834</v>
      </c>
      <c r="C141" s="901"/>
      <c r="D141" s="539">
        <v>5</v>
      </c>
      <c r="E141" s="539">
        <v>14</v>
      </c>
      <c r="F141" s="898"/>
      <c r="G141" s="539">
        <v>73</v>
      </c>
      <c r="H141" s="898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</row>
    <row r="142" spans="1:26" x14ac:dyDescent="0.45">
      <c r="A142" s="899">
        <v>4522320190</v>
      </c>
      <c r="B142" s="542" t="s">
        <v>833</v>
      </c>
      <c r="C142" s="901"/>
      <c r="D142" s="539">
        <v>5</v>
      </c>
      <c r="E142" s="539">
        <v>14</v>
      </c>
      <c r="F142" s="898"/>
      <c r="G142" s="539">
        <v>73</v>
      </c>
      <c r="H142" s="898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</row>
    <row r="143" spans="1:26" x14ac:dyDescent="0.45">
      <c r="A143" s="899">
        <v>11360981216</v>
      </c>
      <c r="B143" s="542" t="s">
        <v>832</v>
      </c>
      <c r="C143" s="901"/>
      <c r="D143" s="539">
        <v>5</v>
      </c>
      <c r="E143" s="539">
        <v>28</v>
      </c>
      <c r="F143" s="898"/>
      <c r="G143" s="539">
        <v>73</v>
      </c>
      <c r="H143" s="898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</row>
    <row r="144" spans="1:26" x14ac:dyDescent="0.45">
      <c r="A144" s="899">
        <v>3149501001</v>
      </c>
      <c r="B144" s="542" t="s">
        <v>827</v>
      </c>
      <c r="C144" s="901"/>
      <c r="D144" s="539">
        <v>1</v>
      </c>
      <c r="E144" s="539">
        <v>168</v>
      </c>
      <c r="F144" s="898"/>
      <c r="G144" s="539">
        <v>365</v>
      </c>
      <c r="H144" s="898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 spans="1:26" x14ac:dyDescent="0.45">
      <c r="A145" s="899">
        <v>10825468001</v>
      </c>
      <c r="B145" s="542" t="s">
        <v>828</v>
      </c>
      <c r="C145" s="901"/>
      <c r="D145" s="539">
        <v>1</v>
      </c>
      <c r="E145" s="539">
        <v>56</v>
      </c>
      <c r="F145" s="898"/>
      <c r="G145" s="539">
        <v>365</v>
      </c>
      <c r="H145" s="898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</row>
    <row r="146" spans="1:26" x14ac:dyDescent="0.45">
      <c r="A146" s="899">
        <v>10825441001</v>
      </c>
      <c r="B146" s="542" t="s">
        <v>829</v>
      </c>
      <c r="C146" s="901"/>
      <c r="D146" s="539">
        <v>1</v>
      </c>
      <c r="E146" s="539">
        <v>56</v>
      </c>
      <c r="F146" s="898"/>
      <c r="G146" s="539">
        <v>365</v>
      </c>
      <c r="H146" s="898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 spans="1:26" x14ac:dyDescent="0.45">
      <c r="A147" s="899">
        <v>3246353001</v>
      </c>
      <c r="B147" s="542" t="s">
        <v>830</v>
      </c>
      <c r="C147" s="901"/>
      <c r="D147" s="539">
        <v>1</v>
      </c>
      <c r="E147" s="539">
        <v>56</v>
      </c>
      <c r="F147" s="898"/>
      <c r="G147" s="539">
        <v>365</v>
      </c>
      <c r="H147" s="898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 spans="1:26" x14ac:dyDescent="0.45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 spans="1:26" x14ac:dyDescent="0.45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 spans="1:26" x14ac:dyDescent="0.45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 spans="1:26" x14ac:dyDescent="0.45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 spans="1:26" x14ac:dyDescent="0.45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 spans="1:26" x14ac:dyDescent="0.45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</row>
    <row r="154" spans="1:26" x14ac:dyDescent="0.45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 spans="1:26" x14ac:dyDescent="0.45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 spans="1:26" x14ac:dyDescent="0.45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 spans="1:26" x14ac:dyDescent="0.45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</row>
    <row r="158" spans="1:26" x14ac:dyDescent="0.45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 spans="1:26" x14ac:dyDescent="0.45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 spans="1:26" x14ac:dyDescent="0.45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 spans="1:26" x14ac:dyDescent="0.45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 spans="1:26" x14ac:dyDescent="0.45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 spans="1:26" x14ac:dyDescent="0.45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 spans="1:26" x14ac:dyDescent="0.45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 spans="1:26" x14ac:dyDescent="0.45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 spans="1:26" x14ac:dyDescent="0.45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 spans="1:26" x14ac:dyDescent="0.45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 spans="1:26" x14ac:dyDescent="0.45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 spans="1:26" x14ac:dyDescent="0.45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 spans="1:26" x14ac:dyDescent="0.45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 spans="1:26" x14ac:dyDescent="0.45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 spans="1:26" x14ac:dyDescent="0.45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 spans="1:26" x14ac:dyDescent="0.45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</row>
    <row r="174" spans="1:26" x14ac:dyDescent="0.45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 spans="1:26" x14ac:dyDescent="0.45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 spans="1:26" x14ac:dyDescent="0.45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 spans="1:26" x14ac:dyDescent="0.45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 spans="1:26" x14ac:dyDescent="0.45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 spans="1:26" x14ac:dyDescent="0.45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</row>
    <row r="180" spans="1:26" x14ac:dyDescent="0.45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 spans="1:26" x14ac:dyDescent="0.45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 spans="1:26" x14ac:dyDescent="0.45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 spans="1:26" x14ac:dyDescent="0.45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 spans="1:26" x14ac:dyDescent="0.45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 spans="1:26" x14ac:dyDescent="0.45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 spans="1:26" x14ac:dyDescent="0.45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 spans="1:26" x14ac:dyDescent="0.45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 spans="1:26" x14ac:dyDescent="0.45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 spans="1:26" x14ac:dyDescent="0.45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 spans="1:26" x14ac:dyDescent="0.45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 spans="1:26" x14ac:dyDescent="0.45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 spans="1:26" x14ac:dyDescent="0.45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 spans="1:26" x14ac:dyDescent="0.45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 spans="1:26" x14ac:dyDescent="0.45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 spans="1:26" x14ac:dyDescent="0.45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 spans="1:26" x14ac:dyDescent="0.45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 spans="1:26" x14ac:dyDescent="0.45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 spans="1:26" x14ac:dyDescent="0.45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 spans="1:26" x14ac:dyDescent="0.45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 spans="1:26" x14ac:dyDescent="0.45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 spans="1:26" x14ac:dyDescent="0.45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 spans="1:26" x14ac:dyDescent="0.45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 spans="1:26" x14ac:dyDescent="0.45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</row>
    <row r="204" spans="1:26" x14ac:dyDescent="0.45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</row>
    <row r="205" spans="1:26" x14ac:dyDescent="0.45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</row>
    <row r="206" spans="1:26" x14ac:dyDescent="0.45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 spans="1:26" x14ac:dyDescent="0.45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</row>
    <row r="208" spans="1:26" x14ac:dyDescent="0.45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 spans="1:26" x14ac:dyDescent="0.45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</row>
    <row r="210" spans="1:26" x14ac:dyDescent="0.45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 spans="1:26" x14ac:dyDescent="0.45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</row>
    <row r="212" spans="1:26" x14ac:dyDescent="0.45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</row>
    <row r="213" spans="1:26" x14ac:dyDescent="0.45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</row>
    <row r="214" spans="1:26" x14ac:dyDescent="0.45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</row>
    <row r="215" spans="1:26" x14ac:dyDescent="0.45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</row>
    <row r="216" spans="1:26" x14ac:dyDescent="0.45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</row>
    <row r="217" spans="1:26" x14ac:dyDescent="0.45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</row>
    <row r="218" spans="1:26" x14ac:dyDescent="0.45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</row>
    <row r="219" spans="1:26" x14ac:dyDescent="0.45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</row>
    <row r="220" spans="1:26" x14ac:dyDescent="0.45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</row>
    <row r="221" spans="1:26" x14ac:dyDescent="0.45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</row>
    <row r="222" spans="1:26" x14ac:dyDescent="0.45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</row>
    <row r="223" spans="1:26" x14ac:dyDescent="0.45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</row>
    <row r="224" spans="1:26" x14ac:dyDescent="0.45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</row>
    <row r="225" spans="1:26" x14ac:dyDescent="0.45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</row>
    <row r="226" spans="1:26" x14ac:dyDescent="0.45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</row>
    <row r="227" spans="1:26" x14ac:dyDescent="0.45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</row>
    <row r="228" spans="1:26" x14ac:dyDescent="0.45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</row>
    <row r="229" spans="1:26" x14ac:dyDescent="0.45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</row>
    <row r="230" spans="1:26" x14ac:dyDescent="0.45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</row>
    <row r="231" spans="1:26" x14ac:dyDescent="0.45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</row>
    <row r="232" spans="1:26" x14ac:dyDescent="0.45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</row>
    <row r="233" spans="1:26" x14ac:dyDescent="0.45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</row>
    <row r="234" spans="1:26" x14ac:dyDescent="0.45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</row>
    <row r="235" spans="1:26" x14ac:dyDescent="0.45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</row>
    <row r="236" spans="1:26" x14ac:dyDescent="0.45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</row>
    <row r="237" spans="1:26" x14ac:dyDescent="0.45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</row>
    <row r="238" spans="1:26" x14ac:dyDescent="0.45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</row>
    <row r="239" spans="1:26" x14ac:dyDescent="0.45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</row>
    <row r="240" spans="1:26" x14ac:dyDescent="0.45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</row>
    <row r="241" spans="1:26" x14ac:dyDescent="0.45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</row>
    <row r="242" spans="1:26" x14ac:dyDescent="0.45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</row>
    <row r="243" spans="1:26" x14ac:dyDescent="0.45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</row>
    <row r="244" spans="1:26" x14ac:dyDescent="0.45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</row>
    <row r="245" spans="1:26" x14ac:dyDescent="0.45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</row>
    <row r="246" spans="1:26" x14ac:dyDescent="0.45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</row>
    <row r="247" spans="1:26" x14ac:dyDescent="0.45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</row>
    <row r="248" spans="1:26" x14ac:dyDescent="0.45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</row>
    <row r="249" spans="1:26" x14ac:dyDescent="0.45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</row>
    <row r="250" spans="1:26" x14ac:dyDescent="0.45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</row>
    <row r="251" spans="1:26" x14ac:dyDescent="0.45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</row>
    <row r="252" spans="1:26" x14ac:dyDescent="0.45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</row>
    <row r="253" spans="1:26" x14ac:dyDescent="0.45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</row>
    <row r="254" spans="1:26" x14ac:dyDescent="0.45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</row>
    <row r="255" spans="1:26" x14ac:dyDescent="0.45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</row>
    <row r="256" spans="1:26" x14ac:dyDescent="0.45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</row>
    <row r="257" spans="1:26" x14ac:dyDescent="0.45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</row>
    <row r="258" spans="1:26" x14ac:dyDescent="0.45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</row>
    <row r="259" spans="1:26" x14ac:dyDescent="0.45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</row>
    <row r="260" spans="1:26" x14ac:dyDescent="0.45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</row>
    <row r="261" spans="1:26" x14ac:dyDescent="0.45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</row>
    <row r="262" spans="1:26" x14ac:dyDescent="0.45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</row>
    <row r="263" spans="1:26" x14ac:dyDescent="0.45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</row>
    <row r="264" spans="1:26" x14ac:dyDescent="0.45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</row>
    <row r="265" spans="1:26" x14ac:dyDescent="0.45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</row>
    <row r="266" spans="1:26" x14ac:dyDescent="0.45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</row>
    <row r="267" spans="1:26" x14ac:dyDescent="0.45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</row>
    <row r="268" spans="1:26" x14ac:dyDescent="0.45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</row>
    <row r="269" spans="1:26" x14ac:dyDescent="0.45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</row>
    <row r="270" spans="1:26" x14ac:dyDescent="0.45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</row>
    <row r="271" spans="1:26" x14ac:dyDescent="0.45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</row>
    <row r="272" spans="1:26" x14ac:dyDescent="0.45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</row>
    <row r="273" spans="1:26" x14ac:dyDescent="0.45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</row>
    <row r="274" spans="1:26" x14ac:dyDescent="0.45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</row>
    <row r="275" spans="1:26" x14ac:dyDescent="0.45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</row>
    <row r="276" spans="1:26" x14ac:dyDescent="0.45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</row>
    <row r="277" spans="1:26" x14ac:dyDescent="0.45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</row>
    <row r="278" spans="1:26" x14ac:dyDescent="0.45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</row>
    <row r="279" spans="1:26" x14ac:dyDescent="0.45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</row>
    <row r="280" spans="1:26" x14ac:dyDescent="0.45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</row>
    <row r="281" spans="1:26" x14ac:dyDescent="0.45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</row>
    <row r="282" spans="1:26" x14ac:dyDescent="0.45">
      <c r="A282" s="97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</row>
    <row r="283" spans="1:26" x14ac:dyDescent="0.45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</row>
    <row r="284" spans="1:26" x14ac:dyDescent="0.45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</row>
    <row r="285" spans="1:26" x14ac:dyDescent="0.45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</row>
    <row r="286" spans="1:26" x14ac:dyDescent="0.45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</row>
    <row r="287" spans="1:26" x14ac:dyDescent="0.45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</row>
    <row r="288" spans="1:26" x14ac:dyDescent="0.45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</row>
    <row r="289" spans="1:26" x14ac:dyDescent="0.45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</row>
    <row r="290" spans="1:26" x14ac:dyDescent="0.45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</row>
    <row r="291" spans="1:26" x14ac:dyDescent="0.45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</row>
    <row r="292" spans="1:26" x14ac:dyDescent="0.45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</row>
    <row r="293" spans="1:26" x14ac:dyDescent="0.45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</row>
    <row r="294" spans="1:26" x14ac:dyDescent="0.45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</row>
    <row r="295" spans="1:26" x14ac:dyDescent="0.45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</row>
    <row r="296" spans="1:26" x14ac:dyDescent="0.45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</row>
    <row r="297" spans="1:26" x14ac:dyDescent="0.45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</row>
    <row r="298" spans="1:26" x14ac:dyDescent="0.45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</row>
    <row r="299" spans="1:26" x14ac:dyDescent="0.45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</row>
    <row r="300" spans="1:26" x14ac:dyDescent="0.45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</row>
    <row r="301" spans="1:26" x14ac:dyDescent="0.45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</row>
    <row r="302" spans="1:26" x14ac:dyDescent="0.45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</row>
    <row r="303" spans="1:26" x14ac:dyDescent="0.45">
      <c r="A303" s="97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</row>
    <row r="304" spans="1:26" x14ac:dyDescent="0.45">
      <c r="A304" s="97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</row>
    <row r="305" spans="1:26" x14ac:dyDescent="0.45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</row>
    <row r="306" spans="1:26" x14ac:dyDescent="0.45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</row>
    <row r="307" spans="1:26" x14ac:dyDescent="0.45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</row>
    <row r="308" spans="1:26" x14ac:dyDescent="0.45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</row>
    <row r="309" spans="1:26" x14ac:dyDescent="0.45">
      <c r="A309" s="97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</row>
    <row r="310" spans="1:26" x14ac:dyDescent="0.45">
      <c r="A310" s="97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</row>
    <row r="311" spans="1:26" x14ac:dyDescent="0.45">
      <c r="A311" s="97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</row>
    <row r="312" spans="1:26" x14ac:dyDescent="0.45">
      <c r="A312" s="97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</row>
    <row r="313" spans="1:26" x14ac:dyDescent="0.45">
      <c r="A313" s="97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</row>
    <row r="314" spans="1:26" x14ac:dyDescent="0.45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</row>
    <row r="315" spans="1:26" x14ac:dyDescent="0.45">
      <c r="A315" s="97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</row>
    <row r="316" spans="1:26" x14ac:dyDescent="0.45">
      <c r="A316" s="97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</row>
    <row r="317" spans="1:26" x14ac:dyDescent="0.45">
      <c r="A317" s="97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</row>
    <row r="318" spans="1:26" x14ac:dyDescent="0.45">
      <c r="A318" s="97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</row>
    <row r="319" spans="1:26" x14ac:dyDescent="0.45">
      <c r="A319" s="97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</row>
    <row r="320" spans="1:26" x14ac:dyDescent="0.45">
      <c r="A320" s="97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</row>
    <row r="321" spans="1:26" x14ac:dyDescent="0.45">
      <c r="A321" s="97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</row>
    <row r="322" spans="1:26" x14ac:dyDescent="0.45">
      <c r="A322" s="97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</row>
    <row r="323" spans="1:26" x14ac:dyDescent="0.45">
      <c r="A323" s="97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</row>
    <row r="324" spans="1:26" x14ac:dyDescent="0.45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</row>
    <row r="325" spans="1:26" x14ac:dyDescent="0.45">
      <c r="A325" s="97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</row>
    <row r="326" spans="1:26" x14ac:dyDescent="0.45">
      <c r="A326" s="97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</row>
    <row r="327" spans="1:26" x14ac:dyDescent="0.45">
      <c r="A327" s="97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</row>
    <row r="328" spans="1:26" x14ac:dyDescent="0.45">
      <c r="A328" s="97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</row>
    <row r="329" spans="1:26" x14ac:dyDescent="0.45">
      <c r="A329" s="97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</row>
    <row r="330" spans="1:26" x14ac:dyDescent="0.45">
      <c r="A330" s="97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</row>
    <row r="331" spans="1:26" x14ac:dyDescent="0.45">
      <c r="A331" s="97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</row>
    <row r="332" spans="1:26" x14ac:dyDescent="0.45">
      <c r="A332" s="97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</row>
    <row r="333" spans="1:26" x14ac:dyDescent="0.45">
      <c r="A333" s="97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</row>
    <row r="334" spans="1:26" x14ac:dyDescent="0.45">
      <c r="A334" s="97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</row>
    <row r="335" spans="1:26" x14ac:dyDescent="0.45">
      <c r="A335" s="97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</row>
    <row r="336" spans="1:26" x14ac:dyDescent="0.45">
      <c r="A336" s="97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</row>
    <row r="337" spans="1:26" x14ac:dyDescent="0.45">
      <c r="A337" s="97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</row>
    <row r="338" spans="1:26" x14ac:dyDescent="0.45">
      <c r="A338" s="97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</row>
    <row r="339" spans="1:26" x14ac:dyDescent="0.45">
      <c r="A339" s="97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</row>
    <row r="340" spans="1:26" x14ac:dyDescent="0.45">
      <c r="A340" s="97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</row>
    <row r="341" spans="1:26" x14ac:dyDescent="0.45">
      <c r="A341" s="9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</row>
    <row r="342" spans="1:26" x14ac:dyDescent="0.45">
      <c r="A342" s="97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</row>
    <row r="343" spans="1:26" x14ac:dyDescent="0.45">
      <c r="A343" s="97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</row>
    <row r="344" spans="1:26" x14ac:dyDescent="0.45">
      <c r="A344" s="97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</row>
    <row r="345" spans="1:26" x14ac:dyDescent="0.45">
      <c r="A345" s="97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</row>
    <row r="346" spans="1:26" x14ac:dyDescent="0.45">
      <c r="A346" s="97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</row>
    <row r="347" spans="1:26" x14ac:dyDescent="0.45">
      <c r="A347" s="97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</row>
    <row r="348" spans="1:26" x14ac:dyDescent="0.45">
      <c r="A348" s="97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</row>
    <row r="349" spans="1:26" x14ac:dyDescent="0.45">
      <c r="A349" s="97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</row>
    <row r="350" spans="1:26" x14ac:dyDescent="0.45">
      <c r="A350" s="97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</row>
    <row r="351" spans="1:26" x14ac:dyDescent="0.45">
      <c r="A351" s="97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</row>
    <row r="352" spans="1:26" x14ac:dyDescent="0.45">
      <c r="A352" s="97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</row>
    <row r="353" spans="1:26" x14ac:dyDescent="0.45">
      <c r="A353" s="97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</row>
    <row r="354" spans="1:26" x14ac:dyDescent="0.45">
      <c r="A354" s="97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</row>
    <row r="355" spans="1:26" x14ac:dyDescent="0.45">
      <c r="A355" s="97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</row>
    <row r="356" spans="1:26" x14ac:dyDescent="0.45">
      <c r="A356" s="97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</row>
    <row r="357" spans="1:26" x14ac:dyDescent="0.45">
      <c r="A357" s="97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</row>
    <row r="358" spans="1:26" x14ac:dyDescent="0.45">
      <c r="A358" s="97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</row>
    <row r="359" spans="1:26" x14ac:dyDescent="0.45">
      <c r="A359" s="97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</row>
    <row r="360" spans="1:26" x14ac:dyDescent="0.45">
      <c r="A360" s="97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</row>
    <row r="361" spans="1:26" x14ac:dyDescent="0.45">
      <c r="A361" s="97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</row>
    <row r="362" spans="1:26" x14ac:dyDescent="0.45">
      <c r="A362" s="97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</row>
    <row r="363" spans="1:26" x14ac:dyDescent="0.45">
      <c r="A363" s="97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</row>
    <row r="364" spans="1:26" x14ac:dyDescent="0.45">
      <c r="A364" s="97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</row>
    <row r="365" spans="1:26" x14ac:dyDescent="0.45">
      <c r="A365" s="97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</row>
    <row r="366" spans="1:26" x14ac:dyDescent="0.45">
      <c r="A366" s="97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</row>
    <row r="367" spans="1:26" x14ac:dyDescent="0.45">
      <c r="A367" s="97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</row>
    <row r="368" spans="1:26" x14ac:dyDescent="0.45">
      <c r="A368" s="97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</row>
    <row r="369" spans="1:26" x14ac:dyDescent="0.45">
      <c r="A369" s="97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</row>
    <row r="370" spans="1:26" x14ac:dyDescent="0.45">
      <c r="A370" s="97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</row>
    <row r="371" spans="1:26" x14ac:dyDescent="0.45">
      <c r="A371" s="97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</row>
    <row r="372" spans="1:26" x14ac:dyDescent="0.45">
      <c r="A372" s="97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</row>
    <row r="373" spans="1:26" x14ac:dyDescent="0.45">
      <c r="A373" s="97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</row>
    <row r="374" spans="1:26" x14ac:dyDescent="0.45">
      <c r="A374" s="97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</row>
    <row r="375" spans="1:26" x14ac:dyDescent="0.45">
      <c r="A375" s="97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</row>
    <row r="376" spans="1:26" x14ac:dyDescent="0.45">
      <c r="A376" s="97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</row>
    <row r="377" spans="1:26" x14ac:dyDescent="0.45">
      <c r="A377" s="97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</row>
    <row r="378" spans="1:26" x14ac:dyDescent="0.45">
      <c r="A378" s="97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</row>
    <row r="379" spans="1:26" x14ac:dyDescent="0.45">
      <c r="A379" s="97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</row>
    <row r="380" spans="1:26" x14ac:dyDescent="0.45">
      <c r="A380" s="97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</row>
    <row r="381" spans="1:26" x14ac:dyDescent="0.45">
      <c r="A381" s="97"/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</row>
    <row r="382" spans="1:26" x14ac:dyDescent="0.45">
      <c r="A382" s="97"/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</row>
    <row r="383" spans="1:26" x14ac:dyDescent="0.45">
      <c r="A383" s="97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</row>
    <row r="384" spans="1:26" x14ac:dyDescent="0.45">
      <c r="A384" s="97"/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</row>
    <row r="385" spans="1:26" x14ac:dyDescent="0.45">
      <c r="A385" s="97"/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</row>
    <row r="386" spans="1:26" x14ac:dyDescent="0.45">
      <c r="A386" s="97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</row>
    <row r="387" spans="1:26" x14ac:dyDescent="0.45">
      <c r="A387" s="97"/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</row>
    <row r="388" spans="1:26" x14ac:dyDescent="0.45">
      <c r="A388" s="97"/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</row>
    <row r="389" spans="1:26" x14ac:dyDescent="0.45">
      <c r="A389" s="97"/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</row>
    <row r="390" spans="1:26" x14ac:dyDescent="0.45">
      <c r="A390" s="97"/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</row>
    <row r="391" spans="1:26" x14ac:dyDescent="0.45">
      <c r="A391" s="97"/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</row>
    <row r="392" spans="1:26" x14ac:dyDescent="0.45">
      <c r="A392" s="97"/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</row>
    <row r="393" spans="1:26" x14ac:dyDescent="0.45">
      <c r="A393" s="97"/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</row>
    <row r="394" spans="1:26" x14ac:dyDescent="0.45">
      <c r="A394" s="97"/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</row>
    <row r="395" spans="1:26" x14ac:dyDescent="0.45">
      <c r="A395" s="97"/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</row>
    <row r="396" spans="1:26" x14ac:dyDescent="0.45">
      <c r="A396" s="97"/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</row>
    <row r="397" spans="1:26" x14ac:dyDescent="0.45">
      <c r="A397" s="97"/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</row>
    <row r="398" spans="1:26" x14ac:dyDescent="0.45">
      <c r="A398" s="97"/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</row>
    <row r="399" spans="1:26" x14ac:dyDescent="0.45">
      <c r="A399" s="97"/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</row>
    <row r="400" spans="1:26" x14ac:dyDescent="0.45">
      <c r="A400" s="97"/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</row>
    <row r="401" spans="1:26" x14ac:dyDescent="0.45">
      <c r="A401" s="97"/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</row>
    <row r="402" spans="1:26" x14ac:dyDescent="0.45">
      <c r="A402" s="97"/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</row>
    <row r="403" spans="1:26" x14ac:dyDescent="0.45">
      <c r="A403" s="97"/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</row>
    <row r="404" spans="1:26" x14ac:dyDescent="0.45">
      <c r="A404" s="97"/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</row>
    <row r="405" spans="1:26" x14ac:dyDescent="0.45">
      <c r="A405" s="97"/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</row>
    <row r="406" spans="1:26" x14ac:dyDescent="0.45">
      <c r="A406" s="97"/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</row>
    <row r="407" spans="1:26" x14ac:dyDescent="0.45">
      <c r="A407" s="97"/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</row>
    <row r="408" spans="1:26" x14ac:dyDescent="0.45">
      <c r="A408" s="97"/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</row>
    <row r="409" spans="1:26" x14ac:dyDescent="0.45">
      <c r="A409" s="97"/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</row>
    <row r="410" spans="1:26" x14ac:dyDescent="0.45">
      <c r="A410" s="97"/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</row>
    <row r="411" spans="1:26" x14ac:dyDescent="0.45">
      <c r="A411" s="97"/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</row>
    <row r="412" spans="1:26" x14ac:dyDescent="0.45">
      <c r="A412" s="97"/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</row>
    <row r="413" spans="1:26" x14ac:dyDescent="0.45">
      <c r="A413" s="97"/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</row>
    <row r="414" spans="1:26" x14ac:dyDescent="0.45">
      <c r="A414" s="97"/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</row>
    <row r="415" spans="1:26" x14ac:dyDescent="0.45">
      <c r="A415" s="97"/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</row>
    <row r="416" spans="1:26" x14ac:dyDescent="0.45">
      <c r="A416" s="97"/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</row>
    <row r="417" spans="1:26" x14ac:dyDescent="0.45">
      <c r="A417" s="97"/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</row>
    <row r="418" spans="1:26" x14ac:dyDescent="0.45">
      <c r="A418" s="97"/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</row>
    <row r="419" spans="1:26" x14ac:dyDescent="0.45">
      <c r="A419" s="97"/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</row>
    <row r="420" spans="1:26" x14ac:dyDescent="0.45">
      <c r="A420" s="97"/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</row>
    <row r="421" spans="1:26" x14ac:dyDescent="0.45">
      <c r="A421" s="97"/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</row>
    <row r="422" spans="1:26" x14ac:dyDescent="0.45">
      <c r="A422" s="97"/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</row>
    <row r="423" spans="1:26" x14ac:dyDescent="0.45">
      <c r="A423" s="97"/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</row>
    <row r="424" spans="1:26" x14ac:dyDescent="0.45">
      <c r="A424" s="97"/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</row>
    <row r="425" spans="1:26" x14ac:dyDescent="0.45">
      <c r="A425" s="97"/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</row>
    <row r="426" spans="1:26" x14ac:dyDescent="0.45">
      <c r="A426" s="97"/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</row>
    <row r="427" spans="1:26" x14ac:dyDescent="0.45">
      <c r="A427" s="97"/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</row>
    <row r="428" spans="1:26" x14ac:dyDescent="0.45">
      <c r="A428" s="97"/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</row>
    <row r="429" spans="1:26" x14ac:dyDescent="0.45">
      <c r="A429" s="97"/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</row>
    <row r="430" spans="1:26" x14ac:dyDescent="0.45">
      <c r="A430" s="97"/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</row>
    <row r="431" spans="1:26" x14ac:dyDescent="0.45">
      <c r="A431" s="97"/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</row>
    <row r="432" spans="1:26" x14ac:dyDescent="0.45">
      <c r="A432" s="97"/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</row>
    <row r="433" spans="1:26" x14ac:dyDescent="0.45">
      <c r="A433" s="97"/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</row>
    <row r="434" spans="1:26" x14ac:dyDescent="0.45">
      <c r="A434" s="97"/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</row>
    <row r="435" spans="1:26" x14ac:dyDescent="0.45">
      <c r="A435" s="97"/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</row>
    <row r="436" spans="1:26" x14ac:dyDescent="0.45">
      <c r="A436" s="97"/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</row>
    <row r="437" spans="1:26" x14ac:dyDescent="0.45">
      <c r="A437" s="97"/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</row>
    <row r="438" spans="1:26" x14ac:dyDescent="0.45">
      <c r="A438" s="97"/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</row>
    <row r="439" spans="1:26" x14ac:dyDescent="0.45">
      <c r="A439" s="97"/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</row>
    <row r="440" spans="1:26" x14ac:dyDescent="0.45">
      <c r="A440" s="97"/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</row>
    <row r="441" spans="1:26" x14ac:dyDescent="0.45">
      <c r="A441" s="97"/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</row>
    <row r="442" spans="1:26" x14ac:dyDescent="0.45">
      <c r="A442" s="97"/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</row>
    <row r="443" spans="1:26" x14ac:dyDescent="0.45">
      <c r="A443" s="97"/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</row>
    <row r="444" spans="1:26" x14ac:dyDescent="0.45">
      <c r="A444" s="97"/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</row>
    <row r="445" spans="1:26" x14ac:dyDescent="0.45">
      <c r="A445" s="97"/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</row>
    <row r="446" spans="1:26" x14ac:dyDescent="0.45">
      <c r="A446" s="97"/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</row>
    <row r="447" spans="1:26" x14ac:dyDescent="0.45">
      <c r="A447" s="97"/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</row>
    <row r="448" spans="1:26" x14ac:dyDescent="0.45">
      <c r="A448" s="97"/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</row>
    <row r="449" spans="1:26" x14ac:dyDescent="0.45">
      <c r="A449" s="97"/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</row>
    <row r="450" spans="1:26" x14ac:dyDescent="0.45">
      <c r="A450" s="97"/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</row>
    <row r="451" spans="1:26" x14ac:dyDescent="0.45">
      <c r="A451" s="97"/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</row>
    <row r="452" spans="1:26" x14ac:dyDescent="0.45">
      <c r="A452" s="97"/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</row>
    <row r="453" spans="1:26" x14ac:dyDescent="0.45">
      <c r="A453" s="97"/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</row>
    <row r="454" spans="1:26" x14ac:dyDescent="0.45">
      <c r="A454" s="97"/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</row>
    <row r="455" spans="1:26" x14ac:dyDescent="0.45">
      <c r="A455" s="97"/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</row>
    <row r="456" spans="1:26" x14ac:dyDescent="0.45">
      <c r="A456" s="97"/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</row>
    <row r="457" spans="1:26" x14ac:dyDescent="0.45">
      <c r="A457" s="97"/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</row>
    <row r="458" spans="1:26" x14ac:dyDescent="0.45">
      <c r="A458" s="97"/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</row>
    <row r="459" spans="1:26" x14ac:dyDescent="0.45">
      <c r="A459" s="97"/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</row>
    <row r="460" spans="1:26" x14ac:dyDescent="0.45">
      <c r="A460" s="97"/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</row>
    <row r="461" spans="1:26" x14ac:dyDescent="0.45">
      <c r="A461" s="97"/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</row>
    <row r="462" spans="1:26" x14ac:dyDescent="0.45">
      <c r="A462" s="97"/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</row>
    <row r="463" spans="1:26" x14ac:dyDescent="0.45">
      <c r="A463" s="97"/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</row>
    <row r="464" spans="1:26" x14ac:dyDescent="0.45">
      <c r="A464" s="97"/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</row>
    <row r="465" spans="1:26" x14ac:dyDescent="0.45">
      <c r="A465" s="97"/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</row>
    <row r="466" spans="1:26" x14ac:dyDescent="0.45">
      <c r="A466" s="97"/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</row>
    <row r="467" spans="1:26" x14ac:dyDescent="0.45">
      <c r="A467" s="97"/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</row>
    <row r="468" spans="1:26" x14ac:dyDescent="0.45">
      <c r="A468" s="97"/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</row>
    <row r="469" spans="1:26" x14ac:dyDescent="0.45">
      <c r="A469" s="97"/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</row>
    <row r="470" spans="1:26" x14ac:dyDescent="0.45">
      <c r="A470" s="97"/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</row>
    <row r="471" spans="1:26" x14ac:dyDescent="0.45">
      <c r="A471" s="97"/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</row>
    <row r="472" spans="1:26" x14ac:dyDescent="0.45">
      <c r="A472" s="97"/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</row>
    <row r="473" spans="1:26" x14ac:dyDescent="0.45">
      <c r="A473" s="97"/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</row>
    <row r="474" spans="1:26" x14ac:dyDescent="0.45">
      <c r="A474" s="97"/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</row>
    <row r="475" spans="1:26" x14ac:dyDescent="0.45">
      <c r="A475" s="97"/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</row>
    <row r="476" spans="1:26" x14ac:dyDescent="0.45">
      <c r="A476" s="97"/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</row>
    <row r="477" spans="1:26" x14ac:dyDescent="0.45">
      <c r="A477" s="97"/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</row>
    <row r="478" spans="1:26" x14ac:dyDescent="0.45">
      <c r="A478" s="97"/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</row>
    <row r="479" spans="1:26" x14ac:dyDescent="0.45">
      <c r="A479" s="97"/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</row>
    <row r="480" spans="1:26" x14ac:dyDescent="0.45">
      <c r="A480" s="97"/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</row>
    <row r="481" spans="1:26" x14ac:dyDescent="0.45">
      <c r="A481" s="97"/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</row>
    <row r="482" spans="1:26" x14ac:dyDescent="0.45">
      <c r="A482" s="97"/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</row>
    <row r="483" spans="1:26" x14ac:dyDescent="0.45">
      <c r="A483" s="97"/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</row>
    <row r="484" spans="1:26" x14ac:dyDescent="0.45">
      <c r="A484" s="97"/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</row>
    <row r="485" spans="1:26" x14ac:dyDescent="0.45">
      <c r="A485" s="97"/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</row>
    <row r="486" spans="1:26" x14ac:dyDescent="0.45">
      <c r="A486" s="97"/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</row>
    <row r="487" spans="1:26" x14ac:dyDescent="0.45">
      <c r="A487" s="97"/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</row>
    <row r="488" spans="1:26" x14ac:dyDescent="0.45">
      <c r="A488" s="97"/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</row>
    <row r="489" spans="1:26" x14ac:dyDescent="0.45">
      <c r="A489" s="97"/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</row>
    <row r="490" spans="1:26" x14ac:dyDescent="0.45">
      <c r="A490" s="97"/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</row>
    <row r="491" spans="1:26" x14ac:dyDescent="0.45">
      <c r="A491" s="97"/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</row>
    <row r="492" spans="1:26" x14ac:dyDescent="0.45">
      <c r="A492" s="97"/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</row>
    <row r="493" spans="1:26" x14ac:dyDescent="0.45">
      <c r="A493" s="97"/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</row>
    <row r="494" spans="1:26" x14ac:dyDescent="0.45">
      <c r="A494" s="97"/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</row>
    <row r="495" spans="1:26" x14ac:dyDescent="0.45">
      <c r="A495" s="97"/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</row>
    <row r="496" spans="1:26" x14ac:dyDescent="0.45">
      <c r="A496" s="97"/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</row>
    <row r="497" spans="1:26" x14ac:dyDescent="0.45">
      <c r="A497" s="97"/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</row>
    <row r="498" spans="1:26" x14ac:dyDescent="0.45">
      <c r="A498" s="97"/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</row>
    <row r="499" spans="1:26" x14ac:dyDescent="0.45">
      <c r="A499" s="97"/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</row>
    <row r="500" spans="1:26" x14ac:dyDescent="0.45">
      <c r="A500" s="97"/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</row>
    <row r="501" spans="1:26" x14ac:dyDescent="0.45">
      <c r="A501" s="97"/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</row>
    <row r="502" spans="1:26" x14ac:dyDescent="0.45">
      <c r="A502" s="97"/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</row>
    <row r="503" spans="1:26" x14ac:dyDescent="0.45">
      <c r="A503" s="97"/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</row>
    <row r="504" spans="1:26" x14ac:dyDescent="0.45">
      <c r="A504" s="97"/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</row>
    <row r="505" spans="1:26" x14ac:dyDescent="0.45">
      <c r="A505" s="97"/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</row>
    <row r="506" spans="1:26" x14ac:dyDescent="0.45">
      <c r="A506" s="97"/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</row>
    <row r="507" spans="1:26" x14ac:dyDescent="0.45">
      <c r="A507" s="97"/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</row>
    <row r="508" spans="1:26" x14ac:dyDescent="0.45">
      <c r="A508" s="97"/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</row>
    <row r="509" spans="1:26" x14ac:dyDescent="0.45">
      <c r="A509" s="97"/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</row>
    <row r="510" spans="1:26" x14ac:dyDescent="0.45">
      <c r="A510" s="97"/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</row>
    <row r="511" spans="1:26" x14ac:dyDescent="0.45">
      <c r="A511" s="97"/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</row>
    <row r="512" spans="1:26" x14ac:dyDescent="0.45">
      <c r="A512" s="97"/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</row>
    <row r="513" spans="1:26" x14ac:dyDescent="0.45">
      <c r="A513" s="97"/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</row>
    <row r="514" spans="1:26" x14ac:dyDescent="0.45">
      <c r="A514" s="97"/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</row>
    <row r="515" spans="1:26" x14ac:dyDescent="0.45">
      <c r="A515" s="97"/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</row>
    <row r="516" spans="1:26" x14ac:dyDescent="0.45">
      <c r="A516" s="97"/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</row>
    <row r="517" spans="1:26" x14ac:dyDescent="0.45">
      <c r="A517" s="97"/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</row>
    <row r="518" spans="1:26" x14ac:dyDescent="0.45">
      <c r="A518" s="97"/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</row>
    <row r="519" spans="1:26" x14ac:dyDescent="0.45">
      <c r="A519" s="97"/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</row>
    <row r="520" spans="1:26" x14ac:dyDescent="0.45">
      <c r="A520" s="97"/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</row>
    <row r="521" spans="1:26" x14ac:dyDescent="0.45">
      <c r="A521" s="97"/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</row>
    <row r="522" spans="1:26" x14ac:dyDescent="0.45">
      <c r="A522" s="97"/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</row>
    <row r="523" spans="1:26" x14ac:dyDescent="0.45">
      <c r="A523" s="97"/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</row>
    <row r="524" spans="1:26" x14ac:dyDescent="0.45">
      <c r="A524" s="97"/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</row>
    <row r="525" spans="1:26" x14ac:dyDescent="0.45">
      <c r="A525" s="97"/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</row>
    <row r="526" spans="1:26" x14ac:dyDescent="0.45">
      <c r="A526" s="97"/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</row>
    <row r="527" spans="1:26" x14ac:dyDescent="0.45">
      <c r="A527" s="97"/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</row>
    <row r="528" spans="1:26" x14ac:dyDescent="0.45">
      <c r="A528" s="97"/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</row>
    <row r="529" spans="1:26" x14ac:dyDescent="0.45">
      <c r="A529" s="97"/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</row>
    <row r="530" spans="1:26" x14ac:dyDescent="0.45">
      <c r="A530" s="97"/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</row>
    <row r="531" spans="1:26" x14ac:dyDescent="0.45">
      <c r="A531" s="97"/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</row>
    <row r="532" spans="1:26" x14ac:dyDescent="0.45">
      <c r="A532" s="97"/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</row>
    <row r="533" spans="1:26" x14ac:dyDescent="0.45">
      <c r="A533" s="97"/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</row>
    <row r="534" spans="1:26" x14ac:dyDescent="0.45">
      <c r="A534" s="97"/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</row>
    <row r="535" spans="1:26" x14ac:dyDescent="0.45">
      <c r="A535" s="97"/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</row>
    <row r="536" spans="1:26" x14ac:dyDescent="0.45">
      <c r="A536" s="97"/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</row>
    <row r="537" spans="1:26" x14ac:dyDescent="0.45">
      <c r="A537" s="97"/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</row>
    <row r="538" spans="1:26" x14ac:dyDescent="0.45">
      <c r="A538" s="97"/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</row>
    <row r="539" spans="1:26" x14ac:dyDescent="0.45">
      <c r="A539" s="97"/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</row>
    <row r="540" spans="1:26" x14ac:dyDescent="0.45">
      <c r="A540" s="97"/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</row>
    <row r="541" spans="1:26" x14ac:dyDescent="0.45">
      <c r="A541" s="97"/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</row>
    <row r="542" spans="1:26" x14ac:dyDescent="0.45">
      <c r="A542" s="97"/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</row>
    <row r="543" spans="1:26" x14ac:dyDescent="0.45">
      <c r="A543" s="97"/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</row>
    <row r="544" spans="1:26" x14ac:dyDescent="0.45">
      <c r="A544" s="97"/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</row>
    <row r="545" spans="1:26" x14ac:dyDescent="0.45">
      <c r="A545" s="97"/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</row>
    <row r="546" spans="1:26" x14ac:dyDescent="0.45">
      <c r="A546" s="97"/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</row>
    <row r="547" spans="1:26" x14ac:dyDescent="0.45">
      <c r="A547" s="97"/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</row>
    <row r="548" spans="1:26" x14ac:dyDescent="0.45">
      <c r="A548" s="97"/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</row>
    <row r="549" spans="1:26" x14ac:dyDescent="0.45">
      <c r="A549" s="97"/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</row>
    <row r="550" spans="1:26" x14ac:dyDescent="0.45">
      <c r="A550" s="97"/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</row>
    <row r="551" spans="1:26" x14ac:dyDescent="0.45">
      <c r="A551" s="97"/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</row>
    <row r="552" spans="1:26" x14ac:dyDescent="0.45">
      <c r="A552" s="97"/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</row>
    <row r="553" spans="1:26" x14ac:dyDescent="0.45">
      <c r="A553" s="97"/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</row>
    <row r="554" spans="1:26" x14ac:dyDescent="0.45">
      <c r="A554" s="97"/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</row>
    <row r="555" spans="1:26" x14ac:dyDescent="0.45">
      <c r="A555" s="97"/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</row>
    <row r="556" spans="1:26" x14ac:dyDescent="0.45">
      <c r="A556" s="97"/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</row>
    <row r="557" spans="1:26" x14ac:dyDescent="0.45">
      <c r="A557" s="97"/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</row>
    <row r="558" spans="1:26" x14ac:dyDescent="0.45">
      <c r="A558" s="97"/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</row>
    <row r="559" spans="1:26" x14ac:dyDescent="0.45">
      <c r="A559" s="97"/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</row>
    <row r="560" spans="1:26" x14ac:dyDescent="0.45">
      <c r="A560" s="97"/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</row>
    <row r="561" spans="1:26" x14ac:dyDescent="0.45">
      <c r="A561" s="97"/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</row>
    <row r="562" spans="1:26" x14ac:dyDescent="0.45">
      <c r="A562" s="97"/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</row>
    <row r="563" spans="1:26" x14ac:dyDescent="0.45">
      <c r="A563" s="97"/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</row>
    <row r="564" spans="1:26" x14ac:dyDescent="0.45">
      <c r="A564" s="97"/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</row>
    <row r="565" spans="1:26" x14ac:dyDescent="0.45">
      <c r="A565" s="97"/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</row>
    <row r="566" spans="1:26" x14ac:dyDescent="0.45">
      <c r="A566" s="97"/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</row>
    <row r="567" spans="1:26" x14ac:dyDescent="0.45">
      <c r="A567" s="97"/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</row>
    <row r="568" spans="1:26" x14ac:dyDescent="0.45">
      <c r="A568" s="97"/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</row>
    <row r="569" spans="1:26" x14ac:dyDescent="0.45">
      <c r="A569" s="97"/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</row>
    <row r="570" spans="1:26" x14ac:dyDescent="0.45">
      <c r="A570" s="97"/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</row>
    <row r="571" spans="1:26" x14ac:dyDescent="0.45">
      <c r="A571" s="97"/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</row>
    <row r="572" spans="1:26" x14ac:dyDescent="0.45">
      <c r="A572" s="97"/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</row>
    <row r="573" spans="1:26" x14ac:dyDescent="0.45">
      <c r="A573" s="97"/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</row>
    <row r="574" spans="1:26" x14ac:dyDescent="0.45">
      <c r="A574" s="97"/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</row>
    <row r="575" spans="1:26" x14ac:dyDescent="0.45">
      <c r="A575" s="97"/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</row>
    <row r="576" spans="1:26" x14ac:dyDescent="0.45">
      <c r="A576" s="97"/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</row>
    <row r="577" spans="1:26" x14ac:dyDescent="0.45">
      <c r="A577" s="97"/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</row>
    <row r="578" spans="1:26" x14ac:dyDescent="0.45">
      <c r="A578" s="97"/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</row>
    <row r="579" spans="1:26" x14ac:dyDescent="0.45">
      <c r="A579" s="97"/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</row>
    <row r="580" spans="1:26" x14ac:dyDescent="0.45">
      <c r="A580" s="97"/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</row>
    <row r="581" spans="1:26" x14ac:dyDescent="0.45">
      <c r="A581" s="97"/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</row>
    <row r="582" spans="1:26" x14ac:dyDescent="0.45">
      <c r="A582" s="97"/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</row>
    <row r="583" spans="1:26" x14ac:dyDescent="0.45">
      <c r="A583" s="97"/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</row>
    <row r="584" spans="1:26" x14ac:dyDescent="0.45">
      <c r="A584" s="97"/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</row>
    <row r="585" spans="1:26" x14ac:dyDescent="0.45">
      <c r="A585" s="97"/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</row>
    <row r="586" spans="1:26" x14ac:dyDescent="0.45">
      <c r="A586" s="97"/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</row>
    <row r="587" spans="1:26" x14ac:dyDescent="0.45">
      <c r="A587" s="97"/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</row>
    <row r="588" spans="1:26" x14ac:dyDescent="0.45">
      <c r="A588" s="97"/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</row>
    <row r="589" spans="1:26" x14ac:dyDescent="0.45">
      <c r="A589" s="97"/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</row>
    <row r="590" spans="1:26" x14ac:dyDescent="0.45">
      <c r="A590" s="97"/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</row>
    <row r="591" spans="1:26" x14ac:dyDescent="0.45">
      <c r="A591" s="97"/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</row>
    <row r="592" spans="1:26" x14ac:dyDescent="0.45">
      <c r="A592" s="97"/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</row>
    <row r="593" spans="1:26" x14ac:dyDescent="0.45">
      <c r="A593" s="97"/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</row>
    <row r="594" spans="1:26" x14ac:dyDescent="0.45">
      <c r="A594" s="97"/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</row>
    <row r="595" spans="1:26" x14ac:dyDescent="0.45">
      <c r="A595" s="97"/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</row>
    <row r="596" spans="1:26" x14ac:dyDescent="0.45">
      <c r="A596" s="97"/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</row>
    <row r="597" spans="1:26" x14ac:dyDescent="0.45">
      <c r="A597" s="97"/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</row>
    <row r="598" spans="1:26" x14ac:dyDescent="0.45">
      <c r="A598" s="97"/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</row>
    <row r="599" spans="1:26" x14ac:dyDescent="0.45">
      <c r="A599" s="97"/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</row>
    <row r="600" spans="1:26" x14ac:dyDescent="0.45">
      <c r="A600" s="97"/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</row>
    <row r="601" spans="1:26" x14ac:dyDescent="0.45">
      <c r="A601" s="97"/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</row>
    <row r="602" spans="1:26" x14ac:dyDescent="0.45">
      <c r="A602" s="97"/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</row>
    <row r="603" spans="1:26" x14ac:dyDescent="0.45">
      <c r="A603" s="97"/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</row>
    <row r="604" spans="1:26" x14ac:dyDescent="0.45">
      <c r="A604" s="97"/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</row>
    <row r="605" spans="1:26" x14ac:dyDescent="0.45">
      <c r="A605" s="97"/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</row>
    <row r="606" spans="1:26" x14ac:dyDescent="0.45">
      <c r="A606" s="97"/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</row>
    <row r="607" spans="1:26" x14ac:dyDescent="0.45">
      <c r="A607" s="97"/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</row>
    <row r="608" spans="1:26" x14ac:dyDescent="0.45">
      <c r="A608" s="97"/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</row>
    <row r="609" spans="1:26" x14ac:dyDescent="0.45">
      <c r="A609" s="97"/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</row>
    <row r="610" spans="1:26" x14ac:dyDescent="0.45">
      <c r="A610" s="97"/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</row>
    <row r="611" spans="1:26" x14ac:dyDescent="0.45">
      <c r="A611" s="97"/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</row>
    <row r="612" spans="1:26" x14ac:dyDescent="0.45">
      <c r="A612" s="97"/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</row>
    <row r="613" spans="1:26" x14ac:dyDescent="0.45">
      <c r="A613" s="97"/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</row>
    <row r="614" spans="1:26" x14ac:dyDescent="0.45">
      <c r="A614" s="97"/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</row>
    <row r="615" spans="1:26" x14ac:dyDescent="0.45">
      <c r="A615" s="97"/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</row>
    <row r="616" spans="1:26" x14ac:dyDescent="0.45">
      <c r="A616" s="97"/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</row>
    <row r="617" spans="1:26" x14ac:dyDescent="0.45">
      <c r="A617" s="97"/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</row>
    <row r="618" spans="1:26" x14ac:dyDescent="0.45">
      <c r="A618" s="97"/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</row>
    <row r="619" spans="1:26" x14ac:dyDescent="0.45">
      <c r="A619" s="97"/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</row>
    <row r="620" spans="1:26" x14ac:dyDescent="0.45">
      <c r="A620" s="97"/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</row>
    <row r="621" spans="1:26" x14ac:dyDescent="0.45">
      <c r="A621" s="97"/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</row>
    <row r="622" spans="1:26" x14ac:dyDescent="0.45">
      <c r="A622" s="97"/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</row>
    <row r="623" spans="1:26" x14ac:dyDescent="0.45">
      <c r="A623" s="97"/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</row>
    <row r="624" spans="1:26" x14ac:dyDescent="0.45">
      <c r="A624" s="97"/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</row>
    <row r="625" spans="1:26" x14ac:dyDescent="0.45">
      <c r="A625" s="97"/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</row>
    <row r="626" spans="1:26" x14ac:dyDescent="0.45">
      <c r="A626" s="97"/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</row>
    <row r="627" spans="1:26" x14ac:dyDescent="0.45">
      <c r="A627" s="97"/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</row>
    <row r="628" spans="1:26" x14ac:dyDescent="0.45">
      <c r="A628" s="97"/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</row>
    <row r="629" spans="1:26" x14ac:dyDescent="0.45">
      <c r="A629" s="97"/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</row>
    <row r="630" spans="1:26" x14ac:dyDescent="0.45">
      <c r="A630" s="97"/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</row>
    <row r="631" spans="1:26" x14ac:dyDescent="0.45">
      <c r="A631" s="97"/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</row>
    <row r="632" spans="1:26" x14ac:dyDescent="0.45">
      <c r="A632" s="97"/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</row>
    <row r="633" spans="1:26" x14ac:dyDescent="0.45">
      <c r="A633" s="97"/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</row>
    <row r="634" spans="1:26" x14ac:dyDescent="0.45">
      <c r="A634" s="97"/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</row>
    <row r="635" spans="1:26" x14ac:dyDescent="0.45">
      <c r="A635" s="97"/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</row>
    <row r="636" spans="1:26" x14ac:dyDescent="0.45">
      <c r="A636" s="97"/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</row>
    <row r="637" spans="1:26" x14ac:dyDescent="0.45">
      <c r="A637" s="97"/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</row>
    <row r="638" spans="1:26" x14ac:dyDescent="0.45">
      <c r="A638" s="97"/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</row>
    <row r="639" spans="1:26" x14ac:dyDescent="0.45">
      <c r="A639" s="97"/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</row>
    <row r="640" spans="1:26" x14ac:dyDescent="0.45">
      <c r="A640" s="97"/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</row>
    <row r="641" spans="1:26" x14ac:dyDescent="0.45">
      <c r="A641" s="97"/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</row>
    <row r="642" spans="1:26" x14ac:dyDescent="0.45">
      <c r="A642" s="97"/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</row>
    <row r="643" spans="1:26" x14ac:dyDescent="0.45">
      <c r="A643" s="97"/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</row>
    <row r="644" spans="1:26" x14ac:dyDescent="0.45">
      <c r="A644" s="97"/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</row>
    <row r="645" spans="1:26" x14ac:dyDescent="0.45">
      <c r="A645" s="97"/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</row>
    <row r="646" spans="1:26" x14ac:dyDescent="0.45">
      <c r="A646" s="97"/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</row>
    <row r="647" spans="1:26" x14ac:dyDescent="0.45">
      <c r="A647" s="97"/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</row>
    <row r="648" spans="1:26" x14ac:dyDescent="0.45">
      <c r="A648" s="97"/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</row>
    <row r="649" spans="1:26" x14ac:dyDescent="0.45">
      <c r="A649" s="97"/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</row>
    <row r="650" spans="1:26" x14ac:dyDescent="0.45">
      <c r="A650" s="97"/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</row>
    <row r="651" spans="1:26" x14ac:dyDescent="0.45">
      <c r="A651" s="97"/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</row>
    <row r="652" spans="1:26" x14ac:dyDescent="0.45">
      <c r="A652" s="97"/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</row>
    <row r="653" spans="1:26" x14ac:dyDescent="0.45">
      <c r="A653" s="97"/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</row>
    <row r="654" spans="1:26" x14ac:dyDescent="0.45">
      <c r="A654" s="97"/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</row>
    <row r="655" spans="1:26" x14ac:dyDescent="0.45">
      <c r="A655" s="97"/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</row>
    <row r="656" spans="1:26" x14ac:dyDescent="0.45">
      <c r="A656" s="97"/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</row>
    <row r="657" spans="1:26" x14ac:dyDescent="0.45">
      <c r="A657" s="97"/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</row>
    <row r="658" spans="1:26" x14ac:dyDescent="0.45">
      <c r="A658" s="97"/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</row>
    <row r="659" spans="1:26" x14ac:dyDescent="0.45">
      <c r="A659" s="97"/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</row>
    <row r="660" spans="1:26" x14ac:dyDescent="0.45">
      <c r="A660" s="97"/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</row>
    <row r="661" spans="1:26" x14ac:dyDescent="0.45">
      <c r="A661" s="97"/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</row>
    <row r="662" spans="1:26" x14ac:dyDescent="0.45">
      <c r="A662" s="97"/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</row>
    <row r="663" spans="1:26" x14ac:dyDescent="0.45">
      <c r="A663" s="97"/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</row>
    <row r="664" spans="1:26" x14ac:dyDescent="0.45">
      <c r="A664" s="97"/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</row>
    <row r="665" spans="1:26" x14ac:dyDescent="0.45">
      <c r="A665" s="97"/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</row>
    <row r="666" spans="1:26" x14ac:dyDescent="0.45">
      <c r="A666" s="97"/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</row>
    <row r="667" spans="1:26" x14ac:dyDescent="0.45">
      <c r="A667" s="97"/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</row>
    <row r="668" spans="1:26" x14ac:dyDescent="0.45">
      <c r="A668" s="97"/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</row>
    <row r="669" spans="1:26" x14ac:dyDescent="0.45">
      <c r="A669" s="97"/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</row>
    <row r="670" spans="1:26" x14ac:dyDescent="0.45">
      <c r="A670" s="97"/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</row>
    <row r="671" spans="1:26" x14ac:dyDescent="0.45">
      <c r="A671" s="97"/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</row>
    <row r="672" spans="1:26" x14ac:dyDescent="0.45">
      <c r="A672" s="97"/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</row>
    <row r="673" spans="1:26" x14ac:dyDescent="0.45">
      <c r="A673" s="97"/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</row>
    <row r="674" spans="1:26" x14ac:dyDescent="0.45">
      <c r="A674" s="97"/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</row>
    <row r="675" spans="1:26" x14ac:dyDescent="0.45">
      <c r="A675" s="97"/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</row>
    <row r="676" spans="1:26" x14ac:dyDescent="0.45">
      <c r="A676" s="97"/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</row>
    <row r="677" spans="1:26" x14ac:dyDescent="0.45">
      <c r="A677" s="97"/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</row>
    <row r="678" spans="1:26" x14ac:dyDescent="0.45">
      <c r="A678" s="97"/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</row>
    <row r="679" spans="1:26" x14ac:dyDescent="0.45">
      <c r="A679" s="97"/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</row>
    <row r="680" spans="1:26" x14ac:dyDescent="0.45">
      <c r="A680" s="97"/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</row>
    <row r="681" spans="1:26" x14ac:dyDescent="0.45">
      <c r="A681" s="97"/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</row>
    <row r="682" spans="1:26" x14ac:dyDescent="0.45">
      <c r="A682" s="97"/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</row>
    <row r="683" spans="1:26" x14ac:dyDescent="0.45">
      <c r="A683" s="97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</row>
    <row r="684" spans="1:26" x14ac:dyDescent="0.45">
      <c r="A684" s="97"/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</row>
    <row r="685" spans="1:26" x14ac:dyDescent="0.45">
      <c r="A685" s="97"/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</row>
    <row r="686" spans="1:26" x14ac:dyDescent="0.45">
      <c r="A686" s="97"/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</row>
    <row r="687" spans="1:26" x14ac:dyDescent="0.45">
      <c r="A687" s="97"/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</row>
    <row r="688" spans="1:26" x14ac:dyDescent="0.45">
      <c r="A688" s="97"/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</row>
    <row r="689" spans="1:26" x14ac:dyDescent="0.45">
      <c r="A689" s="97"/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</row>
    <row r="690" spans="1:26" x14ac:dyDescent="0.45">
      <c r="A690" s="97"/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</row>
    <row r="691" spans="1:26" x14ac:dyDescent="0.45">
      <c r="A691" s="97"/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</row>
    <row r="692" spans="1:26" x14ac:dyDescent="0.45">
      <c r="A692" s="97"/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</row>
    <row r="693" spans="1:26" x14ac:dyDescent="0.45">
      <c r="A693" s="97"/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</row>
    <row r="694" spans="1:26" x14ac:dyDescent="0.45">
      <c r="A694" s="97"/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</row>
    <row r="695" spans="1:26" x14ac:dyDescent="0.45">
      <c r="A695" s="97"/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</row>
    <row r="696" spans="1:26" x14ac:dyDescent="0.45">
      <c r="A696" s="97"/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</row>
    <row r="697" spans="1:26" x14ac:dyDescent="0.45">
      <c r="A697" s="97"/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</row>
    <row r="698" spans="1:26" x14ac:dyDescent="0.45">
      <c r="A698" s="97"/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</row>
    <row r="699" spans="1:26" x14ac:dyDescent="0.45">
      <c r="A699" s="97"/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</row>
    <row r="700" spans="1:26" x14ac:dyDescent="0.45">
      <c r="A700" s="97"/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</row>
    <row r="701" spans="1:26" x14ac:dyDescent="0.45">
      <c r="A701" s="97"/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</row>
    <row r="702" spans="1:26" x14ac:dyDescent="0.45">
      <c r="A702" s="97"/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</row>
    <row r="703" spans="1:26" x14ac:dyDescent="0.45">
      <c r="A703" s="97"/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</row>
    <row r="704" spans="1:26" x14ac:dyDescent="0.45">
      <c r="A704" s="97"/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</row>
    <row r="705" spans="1:26" x14ac:dyDescent="0.45">
      <c r="A705" s="97"/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</row>
    <row r="706" spans="1:26" x14ac:dyDescent="0.45">
      <c r="A706" s="97"/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</row>
    <row r="707" spans="1:26" x14ac:dyDescent="0.45">
      <c r="A707" s="97"/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</row>
    <row r="708" spans="1:26" x14ac:dyDescent="0.45">
      <c r="A708" s="97"/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</row>
    <row r="709" spans="1:26" x14ac:dyDescent="0.45">
      <c r="A709" s="97"/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</row>
    <row r="710" spans="1:26" x14ac:dyDescent="0.45">
      <c r="A710" s="97"/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</row>
    <row r="711" spans="1:26" x14ac:dyDescent="0.45">
      <c r="A711" s="97"/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</row>
    <row r="712" spans="1:26" x14ac:dyDescent="0.45">
      <c r="A712" s="97"/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</row>
    <row r="713" spans="1:26" x14ac:dyDescent="0.45">
      <c r="A713" s="97"/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</row>
    <row r="714" spans="1:26" x14ac:dyDescent="0.45">
      <c r="A714" s="97"/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</row>
    <row r="715" spans="1:26" x14ac:dyDescent="0.45">
      <c r="A715" s="97"/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</row>
    <row r="716" spans="1:26" x14ac:dyDescent="0.45">
      <c r="A716" s="97"/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</row>
    <row r="717" spans="1:26" x14ac:dyDescent="0.45">
      <c r="A717" s="97"/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</row>
    <row r="718" spans="1:26" x14ac:dyDescent="0.45">
      <c r="A718" s="97"/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</row>
    <row r="719" spans="1:26" x14ac:dyDescent="0.45">
      <c r="A719" s="97"/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</row>
    <row r="720" spans="1:26" x14ac:dyDescent="0.45">
      <c r="A720" s="97"/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</row>
    <row r="721" spans="1:26" x14ac:dyDescent="0.45">
      <c r="A721" s="97"/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</row>
    <row r="722" spans="1:26" x14ac:dyDescent="0.45">
      <c r="A722" s="97"/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</row>
    <row r="723" spans="1:26" x14ac:dyDescent="0.45">
      <c r="A723" s="97"/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</row>
    <row r="724" spans="1:26" x14ac:dyDescent="0.45">
      <c r="A724" s="97"/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</row>
    <row r="725" spans="1:26" x14ac:dyDescent="0.45">
      <c r="A725" s="97"/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</row>
    <row r="726" spans="1:26" x14ac:dyDescent="0.45">
      <c r="A726" s="97"/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</row>
    <row r="727" spans="1:26" x14ac:dyDescent="0.45">
      <c r="A727" s="97"/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</row>
    <row r="728" spans="1:26" x14ac:dyDescent="0.45">
      <c r="A728" s="97"/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</row>
    <row r="729" spans="1:26" x14ac:dyDescent="0.45">
      <c r="A729" s="97"/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</row>
    <row r="730" spans="1:26" x14ac:dyDescent="0.45">
      <c r="A730" s="97"/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</row>
    <row r="731" spans="1:26" x14ac:dyDescent="0.45">
      <c r="A731" s="97"/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</row>
    <row r="732" spans="1:26" x14ac:dyDescent="0.45">
      <c r="A732" s="97"/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</row>
    <row r="733" spans="1:26" x14ac:dyDescent="0.45">
      <c r="A733" s="97"/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</row>
    <row r="734" spans="1:26" x14ac:dyDescent="0.45">
      <c r="A734" s="97"/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</row>
    <row r="735" spans="1:26" x14ac:dyDescent="0.45">
      <c r="A735" s="97"/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</row>
    <row r="736" spans="1:26" x14ac:dyDescent="0.45">
      <c r="A736" s="97"/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</row>
    <row r="737" spans="1:26" x14ac:dyDescent="0.45">
      <c r="A737" s="97"/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</row>
    <row r="738" spans="1:26" x14ac:dyDescent="0.45">
      <c r="A738" s="97"/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</row>
    <row r="739" spans="1:26" x14ac:dyDescent="0.45">
      <c r="A739" s="97"/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</row>
    <row r="740" spans="1:26" x14ac:dyDescent="0.45">
      <c r="A740" s="97"/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</row>
    <row r="741" spans="1:26" x14ac:dyDescent="0.45">
      <c r="A741" s="97"/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</row>
    <row r="742" spans="1:26" x14ac:dyDescent="0.45">
      <c r="A742" s="97"/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</row>
    <row r="743" spans="1:26" x14ac:dyDescent="0.45">
      <c r="A743" s="97"/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</row>
    <row r="744" spans="1:26" x14ac:dyDescent="0.45">
      <c r="A744" s="97"/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</row>
    <row r="745" spans="1:26" x14ac:dyDescent="0.45">
      <c r="A745" s="97"/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</row>
    <row r="746" spans="1:26" x14ac:dyDescent="0.45">
      <c r="A746" s="97"/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</row>
    <row r="747" spans="1:26" x14ac:dyDescent="0.45">
      <c r="A747" s="97"/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</row>
    <row r="748" spans="1:26" x14ac:dyDescent="0.45">
      <c r="A748" s="97"/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</row>
    <row r="749" spans="1:26" x14ac:dyDescent="0.45">
      <c r="A749" s="97"/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</row>
    <row r="750" spans="1:26" x14ac:dyDescent="0.45">
      <c r="A750" s="97"/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</row>
    <row r="751" spans="1:26" x14ac:dyDescent="0.45">
      <c r="A751" s="97"/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</row>
    <row r="752" spans="1:26" x14ac:dyDescent="0.45">
      <c r="A752" s="97"/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</row>
    <row r="753" spans="1:26" x14ac:dyDescent="0.45">
      <c r="A753" s="97"/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</row>
    <row r="754" spans="1:26" x14ac:dyDescent="0.45">
      <c r="A754" s="97"/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</row>
    <row r="755" spans="1:26" x14ac:dyDescent="0.45">
      <c r="A755" s="97"/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</row>
    <row r="756" spans="1:26" x14ac:dyDescent="0.45">
      <c r="A756" s="97"/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</row>
    <row r="757" spans="1:26" x14ac:dyDescent="0.45">
      <c r="A757" s="97"/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</row>
    <row r="758" spans="1:26" x14ac:dyDescent="0.45">
      <c r="A758" s="97"/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</row>
    <row r="759" spans="1:26" x14ac:dyDescent="0.45">
      <c r="A759" s="97"/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</row>
    <row r="760" spans="1:26" x14ac:dyDescent="0.45">
      <c r="A760" s="97"/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</row>
    <row r="761" spans="1:26" x14ac:dyDescent="0.45">
      <c r="A761" s="97"/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</row>
    <row r="762" spans="1:26" x14ac:dyDescent="0.45">
      <c r="A762" s="97"/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</row>
    <row r="763" spans="1:26" x14ac:dyDescent="0.45">
      <c r="A763" s="97"/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</row>
    <row r="764" spans="1:26" x14ac:dyDescent="0.45">
      <c r="A764" s="97"/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</row>
    <row r="765" spans="1:26" x14ac:dyDescent="0.45">
      <c r="A765" s="97"/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</row>
    <row r="766" spans="1:26" x14ac:dyDescent="0.45">
      <c r="A766" s="97"/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</row>
    <row r="767" spans="1:26" x14ac:dyDescent="0.45">
      <c r="A767" s="97"/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</row>
    <row r="768" spans="1:26" x14ac:dyDescent="0.45">
      <c r="A768" s="97"/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</row>
    <row r="769" spans="1:26" x14ac:dyDescent="0.45">
      <c r="A769" s="97"/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</row>
    <row r="770" spans="1:26" x14ac:dyDescent="0.45">
      <c r="A770" s="97"/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</row>
    <row r="771" spans="1:26" x14ac:dyDescent="0.45">
      <c r="A771" s="97"/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</row>
    <row r="772" spans="1:26" x14ac:dyDescent="0.45">
      <c r="A772" s="97"/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</row>
    <row r="773" spans="1:26" x14ac:dyDescent="0.45">
      <c r="A773" s="97"/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</row>
    <row r="774" spans="1:26" x14ac:dyDescent="0.45">
      <c r="A774" s="97"/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</row>
    <row r="775" spans="1:26" x14ac:dyDescent="0.45">
      <c r="A775" s="97"/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</row>
    <row r="776" spans="1:26" x14ac:dyDescent="0.45">
      <c r="A776" s="97"/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</row>
    <row r="777" spans="1:26" x14ac:dyDescent="0.45">
      <c r="A777" s="97"/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</row>
    <row r="778" spans="1:26" x14ac:dyDescent="0.45">
      <c r="A778" s="97"/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</row>
    <row r="779" spans="1:26" x14ac:dyDescent="0.45">
      <c r="A779" s="97"/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</row>
    <row r="780" spans="1:26" x14ac:dyDescent="0.45">
      <c r="A780" s="97"/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</row>
    <row r="781" spans="1:26" x14ac:dyDescent="0.45">
      <c r="A781" s="97"/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</row>
    <row r="782" spans="1:26" x14ac:dyDescent="0.45">
      <c r="A782" s="97"/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</row>
    <row r="783" spans="1:26" x14ac:dyDescent="0.45">
      <c r="A783" s="97"/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</row>
    <row r="784" spans="1:26" x14ac:dyDescent="0.45">
      <c r="A784" s="97"/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</row>
    <row r="785" spans="1:26" x14ac:dyDescent="0.45">
      <c r="A785" s="97"/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</row>
    <row r="786" spans="1:26" x14ac:dyDescent="0.45">
      <c r="A786" s="97"/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</row>
    <row r="787" spans="1:26" x14ac:dyDescent="0.45">
      <c r="A787" s="97"/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</row>
    <row r="788" spans="1:26" x14ac:dyDescent="0.45">
      <c r="A788" s="97"/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</row>
    <row r="789" spans="1:26" x14ac:dyDescent="0.45">
      <c r="A789" s="97"/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</row>
    <row r="790" spans="1:26" x14ac:dyDescent="0.45">
      <c r="A790" s="97"/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</row>
    <row r="791" spans="1:26" x14ac:dyDescent="0.45">
      <c r="A791" s="97"/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</row>
    <row r="792" spans="1:26" x14ac:dyDescent="0.45">
      <c r="A792" s="97"/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</row>
    <row r="793" spans="1:26" x14ac:dyDescent="0.45">
      <c r="A793" s="97"/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</row>
    <row r="794" spans="1:26" x14ac:dyDescent="0.45">
      <c r="A794" s="97"/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</row>
    <row r="795" spans="1:26" x14ac:dyDescent="0.45">
      <c r="A795" s="97"/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</row>
    <row r="796" spans="1:26" x14ac:dyDescent="0.45">
      <c r="A796" s="97"/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</row>
    <row r="797" spans="1:26" x14ac:dyDescent="0.45">
      <c r="A797" s="97"/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</row>
    <row r="798" spans="1:26" x14ac:dyDescent="0.45">
      <c r="A798" s="97"/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</row>
    <row r="799" spans="1:26" x14ac:dyDescent="0.45">
      <c r="A799" s="97"/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</row>
    <row r="800" spans="1:26" x14ac:dyDescent="0.45">
      <c r="A800" s="97"/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</row>
    <row r="801" spans="1:26" x14ac:dyDescent="0.45">
      <c r="A801" s="97"/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</row>
    <row r="802" spans="1:26" x14ac:dyDescent="0.45">
      <c r="A802" s="97"/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</row>
    <row r="803" spans="1:26" x14ac:dyDescent="0.45">
      <c r="A803" s="97"/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</row>
    <row r="804" spans="1:26" x14ac:dyDescent="0.45">
      <c r="A804" s="97"/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</row>
    <row r="805" spans="1:26" x14ac:dyDescent="0.45">
      <c r="A805" s="97"/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</row>
    <row r="806" spans="1:26" x14ac:dyDescent="0.45">
      <c r="A806" s="97"/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</row>
    <row r="807" spans="1:26" x14ac:dyDescent="0.45">
      <c r="A807" s="97"/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</row>
    <row r="808" spans="1:26" x14ac:dyDescent="0.45">
      <c r="A808" s="97"/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</row>
    <row r="809" spans="1:26" x14ac:dyDescent="0.45">
      <c r="A809" s="97"/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</row>
    <row r="810" spans="1:26" x14ac:dyDescent="0.45">
      <c r="A810" s="97"/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</row>
    <row r="811" spans="1:26" x14ac:dyDescent="0.45">
      <c r="A811" s="97"/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</row>
    <row r="812" spans="1:26" x14ac:dyDescent="0.45">
      <c r="A812" s="97"/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</row>
    <row r="813" spans="1:26" x14ac:dyDescent="0.45">
      <c r="A813" s="97"/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</row>
    <row r="814" spans="1:26" x14ac:dyDescent="0.45">
      <c r="A814" s="97"/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</row>
    <row r="815" spans="1:26" x14ac:dyDescent="0.45">
      <c r="A815" s="97"/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</row>
    <row r="816" spans="1:26" x14ac:dyDescent="0.45">
      <c r="A816" s="97"/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</row>
    <row r="817" spans="1:26" x14ac:dyDescent="0.45">
      <c r="A817" s="97"/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</row>
    <row r="818" spans="1:26" x14ac:dyDescent="0.45">
      <c r="A818" s="97"/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</row>
    <row r="819" spans="1:26" x14ac:dyDescent="0.45">
      <c r="A819" s="97"/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</row>
    <row r="820" spans="1:26" x14ac:dyDescent="0.45">
      <c r="A820" s="97"/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</row>
    <row r="821" spans="1:26" x14ac:dyDescent="0.45">
      <c r="A821" s="97"/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</row>
    <row r="822" spans="1:26" x14ac:dyDescent="0.45">
      <c r="A822" s="97"/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</row>
    <row r="823" spans="1:26" x14ac:dyDescent="0.45">
      <c r="A823" s="97"/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</row>
    <row r="824" spans="1:26" x14ac:dyDescent="0.45">
      <c r="A824" s="97"/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</row>
    <row r="825" spans="1:26" x14ac:dyDescent="0.45">
      <c r="A825" s="97"/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</row>
    <row r="826" spans="1:26" x14ac:dyDescent="0.45">
      <c r="A826" s="97"/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</row>
    <row r="827" spans="1:26" x14ac:dyDescent="0.45">
      <c r="A827" s="97"/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</row>
    <row r="828" spans="1:26" x14ac:dyDescent="0.45">
      <c r="A828" s="97"/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</row>
    <row r="829" spans="1:26" x14ac:dyDescent="0.45">
      <c r="A829" s="97"/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</row>
    <row r="830" spans="1:26" x14ac:dyDescent="0.45">
      <c r="A830" s="97"/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</row>
    <row r="831" spans="1:26" x14ac:dyDescent="0.45">
      <c r="A831" s="97"/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</row>
    <row r="832" spans="1:26" x14ac:dyDescent="0.45">
      <c r="A832" s="97"/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</row>
    <row r="833" spans="1:26" x14ac:dyDescent="0.45">
      <c r="A833" s="97"/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</row>
    <row r="834" spans="1:26" x14ac:dyDescent="0.45">
      <c r="A834" s="97"/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</row>
    <row r="835" spans="1:26" x14ac:dyDescent="0.45">
      <c r="A835" s="97"/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</row>
    <row r="836" spans="1:26" x14ac:dyDescent="0.45">
      <c r="A836" s="97"/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</row>
    <row r="837" spans="1:26" x14ac:dyDescent="0.45">
      <c r="A837" s="97"/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</row>
    <row r="838" spans="1:26" x14ac:dyDescent="0.45">
      <c r="A838" s="97"/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</row>
    <row r="839" spans="1:26" x14ac:dyDescent="0.45">
      <c r="A839" s="97"/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</row>
    <row r="840" spans="1:26" x14ac:dyDescent="0.45">
      <c r="A840" s="97"/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</row>
    <row r="841" spans="1:26" x14ac:dyDescent="0.45">
      <c r="A841" s="97"/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</row>
    <row r="842" spans="1:26" x14ac:dyDescent="0.45">
      <c r="A842" s="97"/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</row>
    <row r="843" spans="1:26" x14ac:dyDescent="0.45">
      <c r="A843" s="97"/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</row>
    <row r="844" spans="1:26" x14ac:dyDescent="0.45">
      <c r="A844" s="97"/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</row>
    <row r="845" spans="1:26" x14ac:dyDescent="0.45">
      <c r="A845" s="97"/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</row>
    <row r="846" spans="1:26" x14ac:dyDescent="0.45">
      <c r="A846" s="97"/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</row>
    <row r="847" spans="1:26" x14ac:dyDescent="0.45">
      <c r="A847" s="97"/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</row>
    <row r="848" spans="1:26" x14ac:dyDescent="0.45">
      <c r="A848" s="97"/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</row>
    <row r="849" spans="1:26" x14ac:dyDescent="0.45">
      <c r="A849" s="97"/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</row>
    <row r="850" spans="1:26" x14ac:dyDescent="0.45">
      <c r="A850" s="97"/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</row>
    <row r="851" spans="1:26" x14ac:dyDescent="0.45">
      <c r="A851" s="97"/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</row>
    <row r="852" spans="1:26" x14ac:dyDescent="0.45">
      <c r="A852" s="97"/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</row>
    <row r="853" spans="1:26" x14ac:dyDescent="0.45">
      <c r="A853" s="97"/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</row>
    <row r="854" spans="1:26" x14ac:dyDescent="0.45">
      <c r="A854" s="97"/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</row>
    <row r="855" spans="1:26" x14ac:dyDescent="0.45">
      <c r="A855" s="97"/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</row>
    <row r="856" spans="1:26" x14ac:dyDescent="0.45">
      <c r="A856" s="97"/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</row>
    <row r="857" spans="1:26" x14ac:dyDescent="0.45">
      <c r="A857" s="97"/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</row>
    <row r="858" spans="1:26" x14ac:dyDescent="0.45">
      <c r="A858" s="97"/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</row>
    <row r="859" spans="1:26" x14ac:dyDescent="0.45">
      <c r="A859" s="97"/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</row>
    <row r="860" spans="1:26" x14ac:dyDescent="0.45">
      <c r="A860" s="97"/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</row>
    <row r="861" spans="1:26" x14ac:dyDescent="0.45">
      <c r="A861" s="97"/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</row>
    <row r="862" spans="1:26" x14ac:dyDescent="0.45">
      <c r="A862" s="97"/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</row>
    <row r="863" spans="1:26" x14ac:dyDescent="0.45">
      <c r="A863" s="97"/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</row>
    <row r="864" spans="1:26" x14ac:dyDescent="0.45">
      <c r="A864" s="97"/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</row>
    <row r="865" spans="1:26" x14ac:dyDescent="0.45">
      <c r="A865" s="97"/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</row>
    <row r="866" spans="1:26" x14ac:dyDescent="0.45">
      <c r="A866" s="97"/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</row>
    <row r="867" spans="1:26" x14ac:dyDescent="0.45">
      <c r="A867" s="97"/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</row>
    <row r="868" spans="1:26" x14ac:dyDescent="0.45">
      <c r="A868" s="97"/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</row>
    <row r="869" spans="1:26" x14ac:dyDescent="0.45">
      <c r="A869" s="97"/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</row>
    <row r="870" spans="1:26" x14ac:dyDescent="0.45">
      <c r="A870" s="97"/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</row>
    <row r="871" spans="1:26" x14ac:dyDescent="0.45">
      <c r="A871" s="97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</row>
    <row r="872" spans="1:26" x14ac:dyDescent="0.45">
      <c r="A872" s="97"/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</row>
    <row r="873" spans="1:26" x14ac:dyDescent="0.45">
      <c r="A873" s="97"/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</row>
    <row r="874" spans="1:26" x14ac:dyDescent="0.45">
      <c r="A874" s="97"/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</row>
    <row r="875" spans="1:26" x14ac:dyDescent="0.45">
      <c r="A875" s="97"/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</row>
    <row r="876" spans="1:26" x14ac:dyDescent="0.45">
      <c r="A876" s="97"/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</row>
    <row r="877" spans="1:26" x14ac:dyDescent="0.45">
      <c r="A877" s="97"/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</row>
    <row r="878" spans="1:26" x14ac:dyDescent="0.45">
      <c r="A878" s="97"/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</row>
    <row r="879" spans="1:26" x14ac:dyDescent="0.45">
      <c r="A879" s="97"/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</row>
    <row r="880" spans="1:26" x14ac:dyDescent="0.45">
      <c r="A880" s="97"/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</row>
    <row r="881" spans="1:26" x14ac:dyDescent="0.45">
      <c r="A881" s="97"/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</row>
    <row r="882" spans="1:26" x14ac:dyDescent="0.45">
      <c r="A882" s="97"/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</row>
    <row r="883" spans="1:26" x14ac:dyDescent="0.45">
      <c r="A883" s="97"/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</row>
    <row r="884" spans="1:26" x14ac:dyDescent="0.45">
      <c r="A884" s="97"/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</row>
    <row r="885" spans="1:26" x14ac:dyDescent="0.45">
      <c r="A885" s="97"/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</row>
    <row r="886" spans="1:26" x14ac:dyDescent="0.45">
      <c r="A886" s="97"/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</row>
    <row r="887" spans="1:26" x14ac:dyDescent="0.45">
      <c r="A887" s="97"/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</row>
    <row r="888" spans="1:26" x14ac:dyDescent="0.45">
      <c r="A888" s="97"/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</row>
    <row r="889" spans="1:26" x14ac:dyDescent="0.45">
      <c r="A889" s="97"/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</row>
    <row r="890" spans="1:26" x14ac:dyDescent="0.45">
      <c r="A890" s="97"/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</row>
    <row r="891" spans="1:26" x14ac:dyDescent="0.45">
      <c r="A891" s="97"/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</row>
    <row r="892" spans="1:26" x14ac:dyDescent="0.45">
      <c r="A892" s="97"/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</row>
    <row r="893" spans="1:26" x14ac:dyDescent="0.45">
      <c r="A893" s="97"/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</row>
    <row r="894" spans="1:26" x14ac:dyDescent="0.45">
      <c r="A894" s="97"/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</row>
    <row r="895" spans="1:26" x14ac:dyDescent="0.45">
      <c r="A895" s="97"/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</row>
    <row r="896" spans="1:26" x14ac:dyDescent="0.45">
      <c r="A896" s="97"/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</row>
    <row r="897" spans="1:26" x14ac:dyDescent="0.45">
      <c r="A897" s="97"/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</row>
    <row r="898" spans="1:26" x14ac:dyDescent="0.45">
      <c r="A898" s="97"/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</row>
    <row r="899" spans="1:26" x14ac:dyDescent="0.45">
      <c r="A899" s="97"/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</row>
    <row r="900" spans="1:26" x14ac:dyDescent="0.45">
      <c r="A900" s="97"/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</row>
    <row r="901" spans="1:26" x14ac:dyDescent="0.45">
      <c r="A901" s="97"/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</row>
    <row r="902" spans="1:26" x14ac:dyDescent="0.45">
      <c r="A902" s="97"/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</row>
    <row r="903" spans="1:26" x14ac:dyDescent="0.45">
      <c r="A903" s="97"/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</row>
    <row r="904" spans="1:26" x14ac:dyDescent="0.45">
      <c r="A904" s="97"/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</row>
    <row r="905" spans="1:26" x14ac:dyDescent="0.45">
      <c r="A905" s="97"/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</row>
    <row r="906" spans="1:26" x14ac:dyDescent="0.45">
      <c r="A906" s="97"/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</row>
    <row r="907" spans="1:26" x14ac:dyDescent="0.45">
      <c r="A907" s="97"/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</row>
    <row r="908" spans="1:26" x14ac:dyDescent="0.45">
      <c r="A908" s="97"/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</row>
    <row r="909" spans="1:26" x14ac:dyDescent="0.45">
      <c r="A909" s="97"/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</row>
    <row r="910" spans="1:26" x14ac:dyDescent="0.45">
      <c r="A910" s="97"/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</row>
    <row r="911" spans="1:26" x14ac:dyDescent="0.45">
      <c r="A911" s="97"/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</row>
    <row r="912" spans="1:26" x14ac:dyDescent="0.45">
      <c r="A912" s="97"/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</row>
    <row r="913" spans="1:26" x14ac:dyDescent="0.45">
      <c r="A913" s="97"/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</row>
    <row r="914" spans="1:26" x14ac:dyDescent="0.45">
      <c r="A914" s="97"/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</row>
    <row r="915" spans="1:26" x14ac:dyDescent="0.45">
      <c r="A915" s="97"/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</row>
    <row r="916" spans="1:26" x14ac:dyDescent="0.45">
      <c r="A916" s="97"/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</row>
    <row r="917" spans="1:26" x14ac:dyDescent="0.45">
      <c r="A917" s="97"/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</row>
    <row r="918" spans="1:26" x14ac:dyDescent="0.45">
      <c r="A918" s="97"/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</row>
    <row r="919" spans="1:26" x14ac:dyDescent="0.45">
      <c r="A919" s="97"/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</row>
    <row r="920" spans="1:26" x14ac:dyDescent="0.45">
      <c r="A920" s="97"/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</row>
    <row r="921" spans="1:26" x14ac:dyDescent="0.45">
      <c r="A921" s="97"/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</row>
    <row r="922" spans="1:26" x14ac:dyDescent="0.45">
      <c r="A922" s="97"/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</row>
    <row r="923" spans="1:26" x14ac:dyDescent="0.45">
      <c r="A923" s="97"/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</row>
    <row r="924" spans="1:26" x14ac:dyDescent="0.45">
      <c r="A924" s="97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</row>
    <row r="925" spans="1:26" x14ac:dyDescent="0.45">
      <c r="A925" s="97"/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</row>
    <row r="926" spans="1:26" x14ac:dyDescent="0.45">
      <c r="A926" s="97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</row>
    <row r="927" spans="1:26" x14ac:dyDescent="0.45">
      <c r="A927" s="97"/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</row>
    <row r="928" spans="1:26" x14ac:dyDescent="0.45">
      <c r="A928" s="97"/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</row>
    <row r="929" spans="1:26" x14ac:dyDescent="0.45">
      <c r="A929" s="97"/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</row>
    <row r="930" spans="1:26" x14ac:dyDescent="0.45">
      <c r="A930" s="97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</row>
    <row r="931" spans="1:26" x14ac:dyDescent="0.45">
      <c r="A931" s="97"/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</row>
    <row r="932" spans="1:26" x14ac:dyDescent="0.45">
      <c r="A932" s="97"/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</row>
    <row r="933" spans="1:26" x14ac:dyDescent="0.45">
      <c r="A933" s="97"/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</row>
    <row r="934" spans="1:26" x14ac:dyDescent="0.45">
      <c r="A934" s="97"/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</row>
    <row r="935" spans="1:26" x14ac:dyDescent="0.45">
      <c r="A935" s="97"/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</row>
    <row r="936" spans="1:26" x14ac:dyDescent="0.45">
      <c r="A936" s="97"/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</row>
    <row r="937" spans="1:26" x14ac:dyDescent="0.45">
      <c r="A937" s="97"/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</row>
    <row r="938" spans="1:26" x14ac:dyDescent="0.45">
      <c r="A938" s="97"/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</row>
    <row r="939" spans="1:26" x14ac:dyDescent="0.45">
      <c r="A939" s="97"/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</row>
    <row r="940" spans="1:26" x14ac:dyDescent="0.45">
      <c r="A940" s="97"/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</row>
    <row r="941" spans="1:26" x14ac:dyDescent="0.45">
      <c r="A941" s="97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</row>
    <row r="942" spans="1:26" x14ac:dyDescent="0.45">
      <c r="A942" s="97"/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</row>
    <row r="943" spans="1:26" x14ac:dyDescent="0.45">
      <c r="A943" s="97"/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</row>
    <row r="944" spans="1:26" x14ac:dyDescent="0.45">
      <c r="A944" s="97"/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</row>
    <row r="945" spans="1:26" x14ac:dyDescent="0.45">
      <c r="A945" s="97"/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</row>
    <row r="946" spans="1:26" x14ac:dyDescent="0.45">
      <c r="A946" s="97"/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</row>
    <row r="947" spans="1:26" x14ac:dyDescent="0.45">
      <c r="A947" s="97"/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</row>
    <row r="948" spans="1:26" x14ac:dyDescent="0.45">
      <c r="A948" s="97"/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</row>
    <row r="949" spans="1:26" x14ac:dyDescent="0.45">
      <c r="A949" s="97"/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</row>
    <row r="950" spans="1:26" x14ac:dyDescent="0.45">
      <c r="A950" s="97"/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</row>
    <row r="951" spans="1:26" x14ac:dyDescent="0.45">
      <c r="A951" s="97"/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</row>
    <row r="952" spans="1:26" x14ac:dyDescent="0.45">
      <c r="A952" s="97"/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</row>
    <row r="953" spans="1:26" x14ac:dyDescent="0.45">
      <c r="A953" s="97"/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</row>
    <row r="954" spans="1:26" x14ac:dyDescent="0.45">
      <c r="A954" s="97"/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</row>
    <row r="955" spans="1:26" x14ac:dyDescent="0.45">
      <c r="A955" s="97"/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</row>
    <row r="956" spans="1:26" x14ac:dyDescent="0.45">
      <c r="A956" s="97"/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</row>
    <row r="957" spans="1:26" x14ac:dyDescent="0.45">
      <c r="A957" s="97"/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</row>
    <row r="958" spans="1:26" x14ac:dyDescent="0.45">
      <c r="A958" s="97"/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</row>
    <row r="959" spans="1:26" x14ac:dyDescent="0.45">
      <c r="A959" s="97"/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</row>
    <row r="960" spans="1:26" x14ac:dyDescent="0.45">
      <c r="A960" s="97"/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</row>
    <row r="961" spans="1:26" x14ac:dyDescent="0.45">
      <c r="A961" s="97"/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</row>
    <row r="962" spans="1:26" x14ac:dyDescent="0.45">
      <c r="A962" s="97"/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</row>
    <row r="963" spans="1:26" x14ac:dyDescent="0.45">
      <c r="A963" s="97"/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</row>
    <row r="964" spans="1:26" x14ac:dyDescent="0.45">
      <c r="A964" s="97"/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</row>
    <row r="965" spans="1:26" x14ac:dyDescent="0.45">
      <c r="A965" s="97"/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</row>
    <row r="966" spans="1:26" x14ac:dyDescent="0.45">
      <c r="A966" s="97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</row>
    <row r="967" spans="1:26" x14ac:dyDescent="0.45">
      <c r="A967" s="97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</row>
    <row r="968" spans="1:26" x14ac:dyDescent="0.45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</row>
    <row r="969" spans="1:26" x14ac:dyDescent="0.45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</row>
    <row r="970" spans="1:26" x14ac:dyDescent="0.45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</row>
    <row r="971" spans="1:26" x14ac:dyDescent="0.45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</row>
    <row r="972" spans="1:26" x14ac:dyDescent="0.45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</row>
    <row r="973" spans="1:26" x14ac:dyDescent="0.45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</row>
    <row r="974" spans="1:26" x14ac:dyDescent="0.45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</row>
    <row r="975" spans="1:26" x14ac:dyDescent="0.45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</row>
    <row r="976" spans="1:26" x14ac:dyDescent="0.45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</row>
    <row r="977" spans="1:26" x14ac:dyDescent="0.45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</row>
    <row r="978" spans="1:26" x14ac:dyDescent="0.45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</row>
    <row r="979" spans="1:26" x14ac:dyDescent="0.45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</row>
    <row r="980" spans="1:26" x14ac:dyDescent="0.45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</row>
    <row r="981" spans="1:26" x14ac:dyDescent="0.45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</row>
    <row r="982" spans="1:26" x14ac:dyDescent="0.45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</row>
    <row r="983" spans="1:26" x14ac:dyDescent="0.45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</row>
    <row r="984" spans="1:26" x14ac:dyDescent="0.45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</row>
    <row r="985" spans="1:26" x14ac:dyDescent="0.45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</row>
    <row r="986" spans="1:26" x14ac:dyDescent="0.45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</row>
    <row r="987" spans="1:26" x14ac:dyDescent="0.45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</row>
    <row r="988" spans="1:26" x14ac:dyDescent="0.45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</row>
  </sheetData>
  <mergeCells count="2">
    <mergeCell ref="B3:F3"/>
    <mergeCell ref="A136:B13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2A350-7DB0-40E6-A9A4-2D742C336AAE}">
  <dimension ref="A1:AC1006"/>
  <sheetViews>
    <sheetView topLeftCell="A101" zoomScaleNormal="100" workbookViewId="0">
      <selection activeCell="A129" sqref="A129:XFD134"/>
    </sheetView>
  </sheetViews>
  <sheetFormatPr baseColWidth="10" defaultColWidth="14.3984375" defaultRowHeight="14.25" x14ac:dyDescent="0.45"/>
  <cols>
    <col min="1" max="1" width="13.46484375" bestFit="1" customWidth="1"/>
    <col min="2" max="2" width="20.46484375" bestFit="1" customWidth="1"/>
    <col min="3" max="3" width="31.86328125" bestFit="1" customWidth="1"/>
    <col min="4" max="4" width="9.73046875" bestFit="1" customWidth="1"/>
    <col min="5" max="5" width="11.3984375" bestFit="1" customWidth="1"/>
    <col min="6" max="6" width="12.46484375" style="72" customWidth="1"/>
    <col min="7" max="7" width="8.6640625" style="72" bestFit="1" customWidth="1"/>
    <col min="8" max="8" width="8.9296875" style="72" bestFit="1" customWidth="1"/>
    <col min="9" max="9" width="8.6640625" style="72" bestFit="1" customWidth="1"/>
    <col min="10" max="10" width="4.59765625" style="72" bestFit="1" customWidth="1"/>
    <col min="11" max="11" width="10" style="72" bestFit="1" customWidth="1"/>
    <col min="12" max="12" width="11.9296875" style="72" bestFit="1" customWidth="1"/>
    <col min="13" max="13" width="10.46484375" style="72" bestFit="1" customWidth="1"/>
    <col min="14" max="14" width="10.796875" style="72" bestFit="1" customWidth="1"/>
    <col min="15" max="15" width="14.53125" style="72" bestFit="1" customWidth="1"/>
    <col min="16" max="16" width="11.59765625" bestFit="1" customWidth="1"/>
    <col min="17" max="17" width="10.73046875" customWidth="1"/>
    <col min="18" max="18" width="11.59765625" bestFit="1" customWidth="1"/>
    <col min="19" max="19" width="9.265625" bestFit="1" customWidth="1"/>
    <col min="20" max="20" width="8.53125" bestFit="1" customWidth="1"/>
    <col min="21" max="29" width="10.73046875" customWidth="1"/>
  </cols>
  <sheetData>
    <row r="1" spans="1:29" ht="11.25" customHeight="1" x14ac:dyDescent="0.45">
      <c r="B1" s="94" t="s">
        <v>60</v>
      </c>
      <c r="C1" s="95"/>
      <c r="D1" s="96"/>
      <c r="E1" s="96"/>
      <c r="F1" s="146"/>
      <c r="G1" s="146"/>
      <c r="H1" s="146"/>
      <c r="I1" s="146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</row>
    <row r="2" spans="1:29" ht="11.25" customHeight="1" x14ac:dyDescent="0.45">
      <c r="B2" s="94" t="s">
        <v>184</v>
      </c>
      <c r="C2" s="95"/>
      <c r="D2" s="96"/>
      <c r="E2" s="96"/>
      <c r="F2" s="146"/>
      <c r="G2" s="146"/>
      <c r="H2" s="146"/>
      <c r="I2" s="146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</row>
    <row r="3" spans="1:29" ht="11.25" customHeight="1" x14ac:dyDescent="0.45">
      <c r="B3" s="94" t="s">
        <v>185</v>
      </c>
      <c r="C3" s="907"/>
      <c r="D3" s="908"/>
      <c r="E3" s="908"/>
      <c r="F3" s="908"/>
      <c r="G3" s="908"/>
      <c r="H3" s="908"/>
      <c r="I3" s="908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</row>
    <row r="4" spans="1:29" ht="11.25" customHeight="1" x14ac:dyDescent="0.45">
      <c r="B4" s="94" t="s">
        <v>186</v>
      </c>
      <c r="C4" s="95"/>
      <c r="D4" s="98" t="s">
        <v>187</v>
      </c>
      <c r="E4" s="98"/>
      <c r="F4" s="146"/>
      <c r="G4" s="146"/>
      <c r="H4" s="146"/>
      <c r="I4" s="146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</row>
    <row r="5" spans="1:29" ht="11.25" customHeight="1" x14ac:dyDescent="0.45">
      <c r="B5" s="94" t="s">
        <v>188</v>
      </c>
      <c r="C5" s="95"/>
      <c r="D5" s="98" t="s">
        <v>187</v>
      </c>
      <c r="E5" s="98"/>
      <c r="F5" s="146"/>
      <c r="G5" s="146"/>
      <c r="H5" s="146"/>
      <c r="I5" s="146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</row>
    <row r="6" spans="1:29" ht="11.25" customHeight="1" x14ac:dyDescent="0.45">
      <c r="B6" s="99" t="s">
        <v>189</v>
      </c>
      <c r="C6" s="100" t="s">
        <v>190</v>
      </c>
      <c r="D6" s="101"/>
      <c r="E6" s="101"/>
      <c r="F6" s="147"/>
      <c r="G6" s="147"/>
      <c r="H6" s="147"/>
      <c r="I6" s="14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</row>
    <row r="7" spans="1:29" ht="11.25" customHeight="1" x14ac:dyDescent="0.45">
      <c r="B7" s="97"/>
      <c r="C7" s="102"/>
      <c r="D7" s="97"/>
      <c r="E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</row>
    <row r="8" spans="1:29" s="434" customFormat="1" ht="31.5" x14ac:dyDescent="0.45">
      <c r="B8" s="421" t="s">
        <v>191</v>
      </c>
      <c r="C8" s="422" t="s">
        <v>192</v>
      </c>
      <c r="D8" s="417" t="s">
        <v>55</v>
      </c>
      <c r="E8" s="417" t="s">
        <v>54</v>
      </c>
      <c r="F8" s="418" t="s">
        <v>193</v>
      </c>
      <c r="G8" s="419" t="s">
        <v>53</v>
      </c>
      <c r="H8" s="419" t="s">
        <v>52</v>
      </c>
      <c r="I8" s="420" t="s">
        <v>51</v>
      </c>
      <c r="J8" s="432"/>
      <c r="K8" s="423" t="s">
        <v>50</v>
      </c>
      <c r="L8" s="423" t="s">
        <v>49</v>
      </c>
      <c r="M8" s="423" t="s">
        <v>48</v>
      </c>
      <c r="N8" s="423" t="s">
        <v>162</v>
      </c>
      <c r="O8" s="79" t="s">
        <v>163</v>
      </c>
      <c r="P8" s="79" t="s">
        <v>165</v>
      </c>
      <c r="Q8" s="80" t="s">
        <v>169</v>
      </c>
      <c r="R8" s="80" t="s">
        <v>164</v>
      </c>
      <c r="S8" s="19" t="s">
        <v>47</v>
      </c>
      <c r="T8" s="19" t="s">
        <v>46</v>
      </c>
      <c r="U8" s="433"/>
      <c r="V8" s="433"/>
      <c r="W8" s="433"/>
      <c r="X8" s="433"/>
      <c r="Y8" s="433"/>
      <c r="Z8" s="433"/>
      <c r="AA8" s="433"/>
      <c r="AB8" s="433"/>
      <c r="AC8" s="433"/>
    </row>
    <row r="9" spans="1:29" ht="11.25" customHeight="1" x14ac:dyDescent="0.45">
      <c r="A9" s="431" t="s">
        <v>313</v>
      </c>
      <c r="B9" s="130">
        <v>6750052190</v>
      </c>
      <c r="C9" s="110" t="s">
        <v>194</v>
      </c>
      <c r="D9" s="103">
        <v>200</v>
      </c>
      <c r="E9" s="103">
        <v>84</v>
      </c>
      <c r="F9" s="145">
        <f>'c311'!E9</f>
        <v>0</v>
      </c>
      <c r="G9" s="60">
        <f>F9/D9</f>
        <v>0</v>
      </c>
      <c r="H9" s="60">
        <f>30*BC!B47/E9</f>
        <v>0</v>
      </c>
      <c r="I9" s="60">
        <f>IF(H9&gt;G9,H9,G9)</f>
        <v>0</v>
      </c>
      <c r="J9" s="60">
        <f>IF(G9=0,0,I9)</f>
        <v>0</v>
      </c>
      <c r="K9" s="58">
        <f>ROUNDUP(J9,0)</f>
        <v>0</v>
      </c>
      <c r="L9" s="210">
        <v>762</v>
      </c>
      <c r="M9" s="148">
        <f>L9*K9</f>
        <v>0</v>
      </c>
      <c r="N9" s="148">
        <f>L9/D9</f>
        <v>3.81</v>
      </c>
      <c r="O9" s="149" t="e">
        <f>N9+$N$137+((BC!$F$125)/$F$74)</f>
        <v>#DIV/0!</v>
      </c>
      <c r="P9" s="222" t="e">
        <f>O9*F9</f>
        <v>#DIV/0!</v>
      </c>
      <c r="Q9" s="223" t="e">
        <f>((O9*0.15)+O9)</f>
        <v>#DIV/0!</v>
      </c>
      <c r="R9" s="223" t="e">
        <f>Q9*F9</f>
        <v>#DIV/0!</v>
      </c>
      <c r="S9" s="225" t="e">
        <f>SUM(R9:R73)</f>
        <v>#DIV/0!</v>
      </c>
      <c r="T9" s="226" t="e">
        <f>SUM(P9:P73)</f>
        <v>#DIV/0!</v>
      </c>
      <c r="U9" s="97"/>
      <c r="V9" s="97"/>
      <c r="W9" s="97"/>
      <c r="X9" s="97"/>
      <c r="Y9" s="97"/>
      <c r="Z9" s="97"/>
      <c r="AA9" s="97"/>
      <c r="AB9" s="97"/>
      <c r="AC9" s="97"/>
    </row>
    <row r="10" spans="1:29" ht="11.25" customHeight="1" x14ac:dyDescent="0.45">
      <c r="A10" s="240">
        <f>F11+F12+F14+F15+F16+F20+F22+F23+F26+F28+F29+F30+F34+F41+F42+F45+F52+F54+F56+F58+F60+F62+F67+F69+F71+F73</f>
        <v>0</v>
      </c>
      <c r="B10" s="131">
        <v>3005771322</v>
      </c>
      <c r="C10" s="111" t="s">
        <v>195</v>
      </c>
      <c r="D10" s="103">
        <v>100</v>
      </c>
      <c r="E10" s="103">
        <v>84</v>
      </c>
      <c r="F10" s="145">
        <f>'c311'!E10</f>
        <v>0</v>
      </c>
      <c r="G10" s="60">
        <f t="shared" ref="G10:G72" si="0">F10/D10</f>
        <v>0</v>
      </c>
      <c r="H10" s="60">
        <f>30*BC!B48/E10</f>
        <v>0</v>
      </c>
      <c r="I10" s="60">
        <f t="shared" ref="I10:I73" si="1">IF(H10&gt;G10,H10,G10)</f>
        <v>0</v>
      </c>
      <c r="J10" s="60">
        <f t="shared" ref="J10:J73" si="2">IF(G10=0,0,I10)</f>
        <v>0</v>
      </c>
      <c r="K10" s="58">
        <f t="shared" ref="K10:K73" si="3">ROUNDUP(J10,0)</f>
        <v>0</v>
      </c>
      <c r="L10" s="210">
        <v>436</v>
      </c>
      <c r="M10" s="148">
        <f t="shared" ref="M10:M72" si="4">L10*K10</f>
        <v>0</v>
      </c>
      <c r="N10" s="148">
        <f t="shared" ref="N10:N72" si="5">L10/D10</f>
        <v>4.3600000000000003</v>
      </c>
      <c r="O10" s="149" t="e">
        <f>N10+$N$137+((BC!$F$125)/$F$74)</f>
        <v>#DIV/0!</v>
      </c>
      <c r="P10" s="222" t="e">
        <f t="shared" ref="P10:P73" si="6">O10*F10</f>
        <v>#DIV/0!</v>
      </c>
      <c r="Q10" s="223" t="e">
        <f t="shared" ref="Q10:Q73" si="7">((O10*0.15)+O10)</f>
        <v>#DIV/0!</v>
      </c>
      <c r="R10" s="224" t="e">
        <f t="shared" ref="R10:R73" si="8">Q10*F10</f>
        <v>#DIV/0!</v>
      </c>
      <c r="S10" s="24"/>
      <c r="T10" s="24"/>
      <c r="U10" s="97"/>
      <c r="V10" s="97"/>
      <c r="W10" s="97"/>
      <c r="X10" s="97"/>
      <c r="Y10" s="97"/>
      <c r="Z10" s="97"/>
      <c r="AA10" s="97"/>
      <c r="AB10" s="97"/>
      <c r="AC10" s="97"/>
    </row>
    <row r="11" spans="1:29" ht="11.25" customHeight="1" x14ac:dyDescent="0.45">
      <c r="B11" s="131">
        <v>4375351190</v>
      </c>
      <c r="C11" s="112" t="s">
        <v>196</v>
      </c>
      <c r="D11" s="103">
        <v>400</v>
      </c>
      <c r="E11" s="103">
        <v>84</v>
      </c>
      <c r="F11" s="145">
        <f>'c311'!E11</f>
        <v>0</v>
      </c>
      <c r="G11" s="60">
        <f t="shared" si="0"/>
        <v>0</v>
      </c>
      <c r="H11" s="60">
        <f>30*BC!B49/E11</f>
        <v>0</v>
      </c>
      <c r="I11" s="60">
        <f t="shared" si="1"/>
        <v>0</v>
      </c>
      <c r="J11" s="60">
        <f t="shared" si="2"/>
        <v>0</v>
      </c>
      <c r="K11" s="58">
        <f t="shared" si="3"/>
        <v>0</v>
      </c>
      <c r="L11" s="210">
        <v>456</v>
      </c>
      <c r="M11" s="148">
        <f t="shared" si="4"/>
        <v>0</v>
      </c>
      <c r="N11" s="148">
        <f t="shared" si="5"/>
        <v>1.1399999999999999</v>
      </c>
      <c r="O11" s="149" t="e">
        <f>N11+$N$137+((BC!$F$125)/$F$74)</f>
        <v>#DIV/0!</v>
      </c>
      <c r="P11" s="222" t="e">
        <f t="shared" si="6"/>
        <v>#DIV/0!</v>
      </c>
      <c r="Q11" s="223" t="e">
        <f t="shared" si="7"/>
        <v>#DIV/0!</v>
      </c>
      <c r="R11" s="223" t="e">
        <f t="shared" si="8"/>
        <v>#DIV/0!</v>
      </c>
      <c r="S11" s="24"/>
      <c r="T11" s="24"/>
      <c r="U11" s="97"/>
      <c r="V11" s="97"/>
      <c r="W11" s="97"/>
      <c r="X11" s="97"/>
      <c r="Y11" s="97"/>
      <c r="Z11" s="97"/>
      <c r="AA11" s="97"/>
      <c r="AB11" s="97"/>
      <c r="AC11" s="97"/>
    </row>
    <row r="12" spans="1:29" ht="11.25" customHeight="1" x14ac:dyDescent="0.45">
      <c r="A12" s="240" t="s">
        <v>314</v>
      </c>
      <c r="B12" s="131">
        <v>3183688122</v>
      </c>
      <c r="C12" s="112" t="s">
        <v>197</v>
      </c>
      <c r="D12" s="103">
        <v>300</v>
      </c>
      <c r="E12" s="103">
        <v>84</v>
      </c>
      <c r="F12" s="145">
        <f>'c311'!E12</f>
        <v>0</v>
      </c>
      <c r="G12" s="60">
        <f t="shared" si="0"/>
        <v>0</v>
      </c>
      <c r="H12" s="60">
        <f>30*BC!B50/E12</f>
        <v>0</v>
      </c>
      <c r="I12" s="60">
        <f t="shared" si="1"/>
        <v>0</v>
      </c>
      <c r="J12" s="60">
        <f t="shared" si="2"/>
        <v>0</v>
      </c>
      <c r="K12" s="58">
        <f t="shared" si="3"/>
        <v>0</v>
      </c>
      <c r="L12" s="210">
        <v>72</v>
      </c>
      <c r="M12" s="148">
        <f t="shared" si="4"/>
        <v>0</v>
      </c>
      <c r="N12" s="148">
        <f t="shared" si="5"/>
        <v>0.24</v>
      </c>
      <c r="O12" s="149" t="e">
        <f>N12+$N$137+((BC!$F$125)/$F$74)</f>
        <v>#DIV/0!</v>
      </c>
      <c r="P12" s="222" t="e">
        <f t="shared" si="6"/>
        <v>#DIV/0!</v>
      </c>
      <c r="Q12" s="223" t="e">
        <f t="shared" si="7"/>
        <v>#DIV/0!</v>
      </c>
      <c r="R12" s="223" t="e">
        <f t="shared" si="8"/>
        <v>#DIV/0!</v>
      </c>
      <c r="S12" s="24"/>
      <c r="T12" s="24"/>
      <c r="U12" s="97"/>
      <c r="V12" s="97"/>
      <c r="W12" s="97"/>
      <c r="X12" s="97"/>
      <c r="Y12" s="97"/>
      <c r="Z12" s="97"/>
      <c r="AA12" s="97"/>
      <c r="AB12" s="97"/>
      <c r="AC12" s="97"/>
    </row>
    <row r="13" spans="1:29" ht="11.25" customHeight="1" x14ac:dyDescent="0.45">
      <c r="A13" s="240">
        <f>F10+F11+F12+F14+F15+F16+F17+F18+F19+F20+F22+F23+F26+F28+F29+F30+F31+F34+F35+F36+F41+F42+F43+F45+F47+F48+F49+F50+F51+F52+F53+F54+F55+F57+F58+F60+F62+F63+F67+F69+F70+F71++F72+F73</f>
        <v>0</v>
      </c>
      <c r="B13" s="130">
        <v>4469658190</v>
      </c>
      <c r="C13" s="110" t="s">
        <v>198</v>
      </c>
      <c r="D13" s="103">
        <v>100</v>
      </c>
      <c r="E13" s="103">
        <v>84</v>
      </c>
      <c r="F13" s="145">
        <f>'c311'!E13</f>
        <v>0</v>
      </c>
      <c r="G13" s="60">
        <f t="shared" si="0"/>
        <v>0</v>
      </c>
      <c r="H13" s="60">
        <f>30*BC!B51/E13</f>
        <v>0</v>
      </c>
      <c r="I13" s="60">
        <f t="shared" si="1"/>
        <v>0</v>
      </c>
      <c r="J13" s="60">
        <f t="shared" si="2"/>
        <v>0</v>
      </c>
      <c r="K13" s="58">
        <f t="shared" si="3"/>
        <v>0</v>
      </c>
      <c r="L13" s="210">
        <v>287</v>
      </c>
      <c r="M13" s="148">
        <f t="shared" si="4"/>
        <v>0</v>
      </c>
      <c r="N13" s="148">
        <f t="shared" si="5"/>
        <v>2.87</v>
      </c>
      <c r="O13" s="149" t="e">
        <f>N13+$N$137+((BC!$F$125)/$F$74)</f>
        <v>#DIV/0!</v>
      </c>
      <c r="P13" s="222" t="e">
        <f t="shared" si="6"/>
        <v>#DIV/0!</v>
      </c>
      <c r="Q13" s="223" t="e">
        <f t="shared" si="7"/>
        <v>#DIV/0!</v>
      </c>
      <c r="R13" s="223" t="e">
        <f t="shared" si="8"/>
        <v>#DIV/0!</v>
      </c>
      <c r="S13" s="24"/>
      <c r="T13" s="24"/>
      <c r="U13" s="97"/>
      <c r="V13" s="97"/>
      <c r="W13" s="97"/>
      <c r="X13" s="97"/>
      <c r="Y13" s="97"/>
      <c r="Z13" s="97"/>
      <c r="AA13" s="97"/>
      <c r="AB13" s="97"/>
      <c r="AC13" s="97"/>
    </row>
    <row r="14" spans="1:29" ht="11.25" customHeight="1" x14ac:dyDescent="0.45">
      <c r="B14" s="131">
        <v>3333752190</v>
      </c>
      <c r="C14" s="112" t="s">
        <v>199</v>
      </c>
      <c r="D14" s="103">
        <v>200</v>
      </c>
      <c r="E14" s="103">
        <v>56</v>
      </c>
      <c r="F14" s="145">
        <f>'c311'!E14</f>
        <v>0</v>
      </c>
      <c r="G14" s="60">
        <f t="shared" si="0"/>
        <v>0</v>
      </c>
      <c r="H14" s="60">
        <f>30*BC!B52/E14</f>
        <v>0</v>
      </c>
      <c r="I14" s="60">
        <f t="shared" si="1"/>
        <v>0</v>
      </c>
      <c r="J14" s="60">
        <f t="shared" si="2"/>
        <v>0</v>
      </c>
      <c r="K14" s="58">
        <f t="shared" si="3"/>
        <v>0</v>
      </c>
      <c r="L14" s="210">
        <v>62</v>
      </c>
      <c r="M14" s="148">
        <f t="shared" si="4"/>
        <v>0</v>
      </c>
      <c r="N14" s="148">
        <f t="shared" si="5"/>
        <v>0.31</v>
      </c>
      <c r="O14" s="149" t="e">
        <f>N14+$N$137+((BC!$F$125)/$F$74)</f>
        <v>#DIV/0!</v>
      </c>
      <c r="P14" s="222" t="e">
        <f t="shared" si="6"/>
        <v>#DIV/0!</v>
      </c>
      <c r="Q14" s="223" t="e">
        <f t="shared" si="7"/>
        <v>#DIV/0!</v>
      </c>
      <c r="R14" s="223" t="e">
        <f t="shared" si="8"/>
        <v>#DIV/0!</v>
      </c>
      <c r="S14" s="24"/>
      <c r="T14" s="24"/>
      <c r="U14" s="97"/>
      <c r="V14" s="97"/>
      <c r="W14" s="97"/>
      <c r="X14" s="97"/>
      <c r="Y14" s="97"/>
      <c r="Z14" s="97"/>
      <c r="AA14" s="97"/>
      <c r="AB14" s="97"/>
      <c r="AC14" s="97"/>
    </row>
    <row r="15" spans="1:29" ht="11.25" customHeight="1" x14ac:dyDescent="0.45">
      <c r="A15" s="241" t="s">
        <v>315</v>
      </c>
      <c r="B15" s="131">
        <v>20764957322</v>
      </c>
      <c r="C15" s="112" t="s">
        <v>200</v>
      </c>
      <c r="D15" s="103">
        <v>500</v>
      </c>
      <c r="E15" s="103">
        <v>84</v>
      </c>
      <c r="F15" s="145">
        <f>'c311'!E15</f>
        <v>0</v>
      </c>
      <c r="G15" s="60">
        <f t="shared" si="0"/>
        <v>0</v>
      </c>
      <c r="H15" s="60">
        <f>30*BC!B53/E15</f>
        <v>0</v>
      </c>
      <c r="I15" s="60">
        <f t="shared" si="1"/>
        <v>0</v>
      </c>
      <c r="J15" s="60">
        <f t="shared" si="2"/>
        <v>0</v>
      </c>
      <c r="K15" s="58">
        <f t="shared" si="3"/>
        <v>0</v>
      </c>
      <c r="L15" s="210">
        <v>145</v>
      </c>
      <c r="M15" s="148">
        <f t="shared" si="4"/>
        <v>0</v>
      </c>
      <c r="N15" s="148">
        <f t="shared" si="5"/>
        <v>0.28999999999999998</v>
      </c>
      <c r="O15" s="149" t="e">
        <f>N15+$N$137+((BC!$F$125)/$F$74)</f>
        <v>#DIV/0!</v>
      </c>
      <c r="P15" s="222" t="e">
        <f t="shared" si="6"/>
        <v>#DIV/0!</v>
      </c>
      <c r="Q15" s="223" t="e">
        <f t="shared" si="7"/>
        <v>#DIV/0!</v>
      </c>
      <c r="R15" s="223" t="e">
        <f t="shared" si="8"/>
        <v>#DIV/0!</v>
      </c>
      <c r="S15" s="24"/>
      <c r="T15" s="24"/>
      <c r="U15" s="97"/>
      <c r="V15" s="97"/>
      <c r="W15" s="97"/>
      <c r="X15" s="97"/>
      <c r="Y15" s="97"/>
      <c r="Z15" s="97"/>
      <c r="AA15" s="97"/>
      <c r="AB15" s="97"/>
      <c r="AC15" s="97"/>
    </row>
    <row r="16" spans="1:29" ht="11.25" customHeight="1" x14ac:dyDescent="0.45">
      <c r="A16" s="241">
        <f>F9+F68</f>
        <v>0</v>
      </c>
      <c r="B16" s="131">
        <v>3183742122</v>
      </c>
      <c r="C16" s="112" t="s">
        <v>201</v>
      </c>
      <c r="D16" s="103">
        <v>300</v>
      </c>
      <c r="E16" s="103">
        <v>84</v>
      </c>
      <c r="F16" s="145">
        <f>'c311'!E16</f>
        <v>0</v>
      </c>
      <c r="G16" s="60">
        <f t="shared" si="0"/>
        <v>0</v>
      </c>
      <c r="H16" s="60">
        <f>30*BC!B54/E16</f>
        <v>0</v>
      </c>
      <c r="I16" s="60">
        <f t="shared" si="1"/>
        <v>0</v>
      </c>
      <c r="J16" s="60">
        <f t="shared" si="2"/>
        <v>0</v>
      </c>
      <c r="K16" s="58">
        <f t="shared" si="3"/>
        <v>0</v>
      </c>
      <c r="L16" s="210">
        <v>198</v>
      </c>
      <c r="M16" s="148">
        <f t="shared" si="4"/>
        <v>0</v>
      </c>
      <c r="N16" s="148">
        <f t="shared" si="5"/>
        <v>0.66</v>
      </c>
      <c r="O16" s="149" t="e">
        <f>N16+$N$137+((BC!$F$125)/$F$74)</f>
        <v>#DIV/0!</v>
      </c>
      <c r="P16" s="222" t="e">
        <f t="shared" si="6"/>
        <v>#DIV/0!</v>
      </c>
      <c r="Q16" s="223" t="e">
        <f t="shared" si="7"/>
        <v>#DIV/0!</v>
      </c>
      <c r="R16" s="223" t="e">
        <f t="shared" si="8"/>
        <v>#DIV/0!</v>
      </c>
      <c r="S16" s="24"/>
      <c r="T16" s="24"/>
      <c r="U16" s="97"/>
      <c r="V16" s="97"/>
      <c r="W16" s="97"/>
      <c r="X16" s="97"/>
      <c r="Y16" s="97"/>
      <c r="Z16" s="97"/>
      <c r="AA16" s="97"/>
      <c r="AB16" s="97"/>
      <c r="AC16" s="97"/>
    </row>
    <row r="17" spans="1:29" ht="11.25" customHeight="1" x14ac:dyDescent="0.45">
      <c r="B17" s="131">
        <v>3032566122</v>
      </c>
      <c r="C17" s="113" t="s">
        <v>1130</v>
      </c>
      <c r="D17" s="104">
        <v>100</v>
      </c>
      <c r="E17" s="104">
        <v>84</v>
      </c>
      <c r="F17" s="145">
        <f>'c311'!E17</f>
        <v>0</v>
      </c>
      <c r="G17" s="60">
        <f t="shared" si="0"/>
        <v>0</v>
      </c>
      <c r="H17" s="60">
        <f>30*BC!B55/E17</f>
        <v>0</v>
      </c>
      <c r="I17" s="60">
        <f t="shared" si="1"/>
        <v>0</v>
      </c>
      <c r="J17" s="60">
        <f t="shared" si="2"/>
        <v>0</v>
      </c>
      <c r="K17" s="58">
        <f t="shared" si="3"/>
        <v>0</v>
      </c>
      <c r="L17" s="210">
        <v>225</v>
      </c>
      <c r="M17" s="148">
        <f t="shared" si="4"/>
        <v>0</v>
      </c>
      <c r="N17" s="148">
        <f t="shared" si="5"/>
        <v>2.25</v>
      </c>
      <c r="O17" s="149" t="e">
        <f>N17+$N$137+((BC!$F$125)/$F$74)</f>
        <v>#DIV/0!</v>
      </c>
      <c r="P17" s="222" t="e">
        <f t="shared" si="6"/>
        <v>#DIV/0!</v>
      </c>
      <c r="Q17" s="223" t="e">
        <f t="shared" si="7"/>
        <v>#DIV/0!</v>
      </c>
      <c r="R17" s="223" t="e">
        <f t="shared" si="8"/>
        <v>#DIV/0!</v>
      </c>
      <c r="S17" s="24"/>
      <c r="T17" s="24"/>
      <c r="U17" s="97"/>
      <c r="V17" s="97"/>
      <c r="W17" s="97"/>
      <c r="X17" s="97"/>
      <c r="Y17" s="97"/>
      <c r="Z17" s="97"/>
      <c r="AA17" s="97"/>
      <c r="AB17" s="97"/>
      <c r="AC17" s="97"/>
    </row>
    <row r="18" spans="1:29" ht="11.25" customHeight="1" x14ac:dyDescent="0.45">
      <c r="A18" s="242" t="s">
        <v>316</v>
      </c>
      <c r="B18" s="131">
        <v>3032574122</v>
      </c>
      <c r="C18" s="113" t="s">
        <v>202</v>
      </c>
      <c r="D18" s="105">
        <v>100</v>
      </c>
      <c r="E18" s="103">
        <v>84</v>
      </c>
      <c r="F18" s="145">
        <f>'c311'!E18</f>
        <v>0</v>
      </c>
      <c r="G18" s="60">
        <f t="shared" si="0"/>
        <v>0</v>
      </c>
      <c r="H18" s="60">
        <f>30*BC!B56/E18</f>
        <v>0</v>
      </c>
      <c r="I18" s="60">
        <f t="shared" si="1"/>
        <v>0</v>
      </c>
      <c r="J18" s="60">
        <f t="shared" si="2"/>
        <v>0</v>
      </c>
      <c r="K18" s="58">
        <f t="shared" si="3"/>
        <v>0</v>
      </c>
      <c r="L18" s="210">
        <v>225</v>
      </c>
      <c r="M18" s="148">
        <f t="shared" si="4"/>
        <v>0</v>
      </c>
      <c r="N18" s="148">
        <f t="shared" si="5"/>
        <v>2.25</v>
      </c>
      <c r="O18" s="149" t="e">
        <f>N18+$N$137+((BC!$F$125)/$F$74)</f>
        <v>#DIV/0!</v>
      </c>
      <c r="P18" s="222" t="e">
        <f t="shared" si="6"/>
        <v>#DIV/0!</v>
      </c>
      <c r="Q18" s="223" t="e">
        <f t="shared" si="7"/>
        <v>#DIV/0!</v>
      </c>
      <c r="R18" s="223" t="e">
        <f t="shared" si="8"/>
        <v>#DIV/0!</v>
      </c>
      <c r="S18" s="24"/>
      <c r="T18" s="24"/>
      <c r="U18" s="97"/>
      <c r="V18" s="97"/>
      <c r="W18" s="97"/>
      <c r="X18" s="97"/>
      <c r="Y18" s="97"/>
      <c r="Z18" s="97"/>
      <c r="AA18" s="97"/>
      <c r="AB18" s="97"/>
      <c r="AC18" s="97"/>
    </row>
    <row r="19" spans="1:29" ht="11.25" customHeight="1" x14ac:dyDescent="0.45">
      <c r="A19" s="242">
        <f>F32+F39+F61</f>
        <v>0</v>
      </c>
      <c r="B19" s="131">
        <v>4489403190</v>
      </c>
      <c r="C19" s="114" t="s">
        <v>203</v>
      </c>
      <c r="D19" s="103">
        <v>150</v>
      </c>
      <c r="E19" s="103">
        <v>84</v>
      </c>
      <c r="F19" s="145">
        <f>'c311'!E19</f>
        <v>0</v>
      </c>
      <c r="G19" s="60">
        <f t="shared" si="0"/>
        <v>0</v>
      </c>
      <c r="H19" s="60" t="e">
        <f>30*BC!B57/E19</f>
        <v>#VALUE!</v>
      </c>
      <c r="I19" s="60" t="e">
        <f t="shared" si="1"/>
        <v>#VALUE!</v>
      </c>
      <c r="J19" s="60">
        <f t="shared" si="2"/>
        <v>0</v>
      </c>
      <c r="K19" s="58">
        <f t="shared" si="3"/>
        <v>0</v>
      </c>
      <c r="L19" s="210">
        <v>494</v>
      </c>
      <c r="M19" s="148">
        <f t="shared" si="4"/>
        <v>0</v>
      </c>
      <c r="N19" s="148">
        <f t="shared" si="5"/>
        <v>3.2933333333333334</v>
      </c>
      <c r="O19" s="149" t="e">
        <f>N19+$N$137+((BC!$F$125)/$F$74)</f>
        <v>#DIV/0!</v>
      </c>
      <c r="P19" s="222" t="e">
        <f t="shared" si="6"/>
        <v>#DIV/0!</v>
      </c>
      <c r="Q19" s="223" t="e">
        <f t="shared" si="7"/>
        <v>#DIV/0!</v>
      </c>
      <c r="R19" s="223" t="e">
        <f t="shared" si="8"/>
        <v>#DIV/0!</v>
      </c>
      <c r="S19" s="24"/>
      <c r="T19" s="24"/>
      <c r="U19" s="97"/>
      <c r="V19" s="97"/>
      <c r="W19" s="97"/>
      <c r="X19" s="97"/>
      <c r="Y19" s="97"/>
      <c r="Z19" s="97"/>
      <c r="AA19" s="97"/>
      <c r="AB19" s="97"/>
      <c r="AC19" s="97"/>
    </row>
    <row r="20" spans="1:29" ht="11.25" customHeight="1" x14ac:dyDescent="0.45">
      <c r="B20" s="131">
        <v>20764949322</v>
      </c>
      <c r="C20" s="112" t="s">
        <v>204</v>
      </c>
      <c r="D20" s="103">
        <v>500</v>
      </c>
      <c r="E20" s="103">
        <v>84</v>
      </c>
      <c r="F20" s="145">
        <f>'c311'!E20</f>
        <v>0</v>
      </c>
      <c r="G20" s="60">
        <f t="shared" si="0"/>
        <v>0</v>
      </c>
      <c r="H20" s="60">
        <f>30*BC!B58/E20</f>
        <v>0</v>
      </c>
      <c r="I20" s="60">
        <f t="shared" si="1"/>
        <v>0</v>
      </c>
      <c r="J20" s="60">
        <f t="shared" si="2"/>
        <v>0</v>
      </c>
      <c r="K20" s="58">
        <f t="shared" si="3"/>
        <v>0</v>
      </c>
      <c r="L20" s="210">
        <v>145</v>
      </c>
      <c r="M20" s="148">
        <f t="shared" si="4"/>
        <v>0</v>
      </c>
      <c r="N20" s="148">
        <f t="shared" si="5"/>
        <v>0.28999999999999998</v>
      </c>
      <c r="O20" s="149" t="e">
        <f>N20+$N$137+((BC!$F$125)/$F$74)</f>
        <v>#DIV/0!</v>
      </c>
      <c r="P20" s="222" t="e">
        <f t="shared" si="6"/>
        <v>#DIV/0!</v>
      </c>
      <c r="Q20" s="223" t="e">
        <f t="shared" si="7"/>
        <v>#DIV/0!</v>
      </c>
      <c r="R20" s="223" t="e">
        <f t="shared" si="8"/>
        <v>#DIV/0!</v>
      </c>
      <c r="S20" s="24"/>
      <c r="T20" s="24"/>
      <c r="U20" s="97"/>
      <c r="V20" s="97"/>
      <c r="W20" s="97"/>
      <c r="X20" s="97"/>
      <c r="Y20" s="97"/>
      <c r="Z20" s="97"/>
      <c r="AA20" s="97"/>
      <c r="AB20" s="97"/>
      <c r="AC20" s="97"/>
    </row>
    <row r="21" spans="1:29" ht="11.25" customHeight="1" x14ac:dyDescent="0.45">
      <c r="A21" s="243" t="s">
        <v>317</v>
      </c>
      <c r="B21" s="132">
        <v>8047430190</v>
      </c>
      <c r="C21" s="115" t="s">
        <v>205</v>
      </c>
      <c r="D21" s="103">
        <v>140</v>
      </c>
      <c r="E21" s="103">
        <v>84</v>
      </c>
      <c r="F21" s="145">
        <f>'c311'!E21</f>
        <v>0</v>
      </c>
      <c r="G21" s="60">
        <f t="shared" si="0"/>
        <v>0</v>
      </c>
      <c r="H21" s="60">
        <f>30*BC!B59/E21</f>
        <v>0</v>
      </c>
      <c r="I21" s="60">
        <f t="shared" si="1"/>
        <v>0</v>
      </c>
      <c r="J21" s="60">
        <f t="shared" si="2"/>
        <v>0</v>
      </c>
      <c r="K21" s="58">
        <f t="shared" si="3"/>
        <v>0</v>
      </c>
      <c r="L21" s="210">
        <v>1169</v>
      </c>
      <c r="M21" s="148">
        <f t="shared" si="4"/>
        <v>0</v>
      </c>
      <c r="N21" s="148">
        <f t="shared" si="5"/>
        <v>8.35</v>
      </c>
      <c r="O21" s="149" t="e">
        <f>N21+$N$137+((BC!$F$125)/$F$74)</f>
        <v>#DIV/0!</v>
      </c>
      <c r="P21" s="222" t="e">
        <f t="shared" si="6"/>
        <v>#DIV/0!</v>
      </c>
      <c r="Q21" s="223" t="e">
        <f t="shared" si="7"/>
        <v>#DIV/0!</v>
      </c>
      <c r="R21" s="223" t="e">
        <f t="shared" si="8"/>
        <v>#DIV/0!</v>
      </c>
      <c r="S21" s="24"/>
      <c r="T21" s="24"/>
      <c r="U21" s="97"/>
      <c r="V21" s="97"/>
      <c r="W21" s="97"/>
      <c r="X21" s="97"/>
      <c r="Y21" s="97"/>
      <c r="Z21" s="97"/>
      <c r="AA21" s="97"/>
      <c r="AB21" s="97"/>
      <c r="AC21" s="97"/>
    </row>
    <row r="22" spans="1:29" ht="11.25" customHeight="1" x14ac:dyDescent="0.45">
      <c r="A22" s="243">
        <f>F10+F24+F25+F35+F36+F43+F48+F50+F51+F53+F55+F70</f>
        <v>0</v>
      </c>
      <c r="B22" s="131">
        <v>5589061190</v>
      </c>
      <c r="C22" s="112" t="s">
        <v>206</v>
      </c>
      <c r="D22" s="103">
        <v>350</v>
      </c>
      <c r="E22" s="103">
        <v>42</v>
      </c>
      <c r="F22" s="145">
        <f>'c311'!E22</f>
        <v>0</v>
      </c>
      <c r="G22" s="60">
        <f t="shared" si="0"/>
        <v>0</v>
      </c>
      <c r="H22" s="60">
        <f>30*BC!B60/E22</f>
        <v>51518.592857142852</v>
      </c>
      <c r="I22" s="60">
        <f t="shared" si="1"/>
        <v>51518.592857142852</v>
      </c>
      <c r="J22" s="60">
        <f t="shared" si="2"/>
        <v>0</v>
      </c>
      <c r="K22" s="58">
        <f t="shared" si="3"/>
        <v>0</v>
      </c>
      <c r="L22" s="210">
        <v>144</v>
      </c>
      <c r="M22" s="148">
        <f t="shared" si="4"/>
        <v>0</v>
      </c>
      <c r="N22" s="148">
        <f t="shared" si="5"/>
        <v>0.41142857142857142</v>
      </c>
      <c r="O22" s="149" t="e">
        <f>N22+$N$137+((BC!$F$125)/$F$74)</f>
        <v>#DIV/0!</v>
      </c>
      <c r="P22" s="222" t="e">
        <f t="shared" si="6"/>
        <v>#DIV/0!</v>
      </c>
      <c r="Q22" s="223" t="e">
        <f t="shared" si="7"/>
        <v>#DIV/0!</v>
      </c>
      <c r="R22" s="223" t="e">
        <f t="shared" si="8"/>
        <v>#DIV/0!</v>
      </c>
      <c r="S22" s="24"/>
      <c r="T22" s="24"/>
      <c r="U22" s="97"/>
      <c r="V22" s="97"/>
      <c r="W22" s="97"/>
      <c r="X22" s="97"/>
      <c r="Y22" s="97"/>
      <c r="Z22" s="97"/>
      <c r="AA22" s="97"/>
      <c r="AB22" s="97"/>
      <c r="AC22" s="97"/>
    </row>
    <row r="23" spans="1:29" ht="11.25" customHeight="1" x14ac:dyDescent="0.45">
      <c r="B23" s="131">
        <v>5795397190</v>
      </c>
      <c r="C23" s="112" t="s">
        <v>207</v>
      </c>
      <c r="D23" s="103">
        <v>250</v>
      </c>
      <c r="E23" s="103">
        <v>42</v>
      </c>
      <c r="F23" s="145">
        <f>'c311'!E23</f>
        <v>0</v>
      </c>
      <c r="G23" s="60">
        <f t="shared" si="0"/>
        <v>0</v>
      </c>
      <c r="H23" s="60">
        <f>30*BC!B61/E23</f>
        <v>0</v>
      </c>
      <c r="I23" s="60">
        <f t="shared" si="1"/>
        <v>0</v>
      </c>
      <c r="J23" s="60">
        <f t="shared" si="2"/>
        <v>0</v>
      </c>
      <c r="K23" s="58">
        <f t="shared" si="3"/>
        <v>0</v>
      </c>
      <c r="L23" s="210">
        <v>85</v>
      </c>
      <c r="M23" s="148">
        <f t="shared" si="4"/>
        <v>0</v>
      </c>
      <c r="N23" s="148">
        <f t="shared" si="5"/>
        <v>0.34</v>
      </c>
      <c r="O23" s="149" t="e">
        <f>N23+$N$137+((BC!$F$125)/$F$74)</f>
        <v>#DIV/0!</v>
      </c>
      <c r="P23" s="222" t="e">
        <f t="shared" si="6"/>
        <v>#DIV/0!</v>
      </c>
      <c r="Q23" s="223" t="e">
        <f t="shared" si="7"/>
        <v>#DIV/0!</v>
      </c>
      <c r="R23" s="223" t="e">
        <f t="shared" si="8"/>
        <v>#DIV/0!</v>
      </c>
      <c r="S23" s="24"/>
      <c r="T23" s="24"/>
      <c r="U23" s="97"/>
      <c r="V23" s="97"/>
      <c r="W23" s="97"/>
      <c r="X23" s="97"/>
      <c r="Y23" s="97"/>
      <c r="Z23" s="97"/>
      <c r="AA23" s="97"/>
      <c r="AB23" s="97"/>
      <c r="AC23" s="97"/>
    </row>
    <row r="24" spans="1:29" ht="11.25" customHeight="1" x14ac:dyDescent="0.45">
      <c r="A24" s="244" t="s">
        <v>259</v>
      </c>
      <c r="B24" s="131">
        <v>3001938322</v>
      </c>
      <c r="C24" s="111" t="s">
        <v>170</v>
      </c>
      <c r="D24" s="103">
        <v>100</v>
      </c>
      <c r="E24" s="103">
        <v>42</v>
      </c>
      <c r="F24" s="145">
        <f>'c311'!E24</f>
        <v>0</v>
      </c>
      <c r="G24" s="60">
        <f t="shared" si="0"/>
        <v>0</v>
      </c>
      <c r="H24" s="60" t="e">
        <f>30*BC!B62/E24</f>
        <v>#VALUE!</v>
      </c>
      <c r="I24" s="60" t="e">
        <f t="shared" si="1"/>
        <v>#VALUE!</v>
      </c>
      <c r="J24" s="60">
        <f t="shared" si="2"/>
        <v>0</v>
      </c>
      <c r="K24" s="58">
        <f t="shared" si="3"/>
        <v>0</v>
      </c>
      <c r="L24" s="210">
        <v>307</v>
      </c>
      <c r="M24" s="148">
        <f t="shared" si="4"/>
        <v>0</v>
      </c>
      <c r="N24" s="148">
        <f t="shared" si="5"/>
        <v>3.07</v>
      </c>
      <c r="O24" s="149" t="e">
        <f>N24+$N$137+((BC!$F$125)/$F$74)</f>
        <v>#DIV/0!</v>
      </c>
      <c r="P24" s="222" t="e">
        <f t="shared" si="6"/>
        <v>#DIV/0!</v>
      </c>
      <c r="Q24" s="223" t="e">
        <f t="shared" si="7"/>
        <v>#DIV/0!</v>
      </c>
      <c r="R24" s="223" t="e">
        <f t="shared" si="8"/>
        <v>#DIV/0!</v>
      </c>
      <c r="S24" s="24"/>
      <c r="T24" s="24"/>
      <c r="U24" s="97"/>
      <c r="V24" s="97"/>
      <c r="W24" s="97"/>
      <c r="X24" s="97"/>
      <c r="Y24" s="97"/>
      <c r="Z24" s="97"/>
      <c r="AA24" s="97"/>
      <c r="AB24" s="97"/>
      <c r="AC24" s="97"/>
    </row>
    <row r="25" spans="1:29" ht="11.25" customHeight="1" x14ac:dyDescent="0.45">
      <c r="A25" s="245">
        <f>F19+F27+F63</f>
        <v>0</v>
      </c>
      <c r="B25" s="131">
        <v>3001962322</v>
      </c>
      <c r="C25" s="111" t="s">
        <v>171</v>
      </c>
      <c r="D25" s="103">
        <v>100</v>
      </c>
      <c r="E25" s="103">
        <v>56</v>
      </c>
      <c r="F25" s="145">
        <f>'c311'!E25</f>
        <v>0</v>
      </c>
      <c r="G25" s="60">
        <f t="shared" si="0"/>
        <v>0</v>
      </c>
      <c r="H25" s="60" t="e">
        <f>30*BC!B63/E25</f>
        <v>#VALUE!</v>
      </c>
      <c r="I25" s="60" t="e">
        <f t="shared" si="1"/>
        <v>#VALUE!</v>
      </c>
      <c r="J25" s="60">
        <f t="shared" si="2"/>
        <v>0</v>
      </c>
      <c r="K25" s="58">
        <f t="shared" si="3"/>
        <v>0</v>
      </c>
      <c r="L25" s="210">
        <v>309</v>
      </c>
      <c r="M25" s="148">
        <f t="shared" si="4"/>
        <v>0</v>
      </c>
      <c r="N25" s="148">
        <f t="shared" si="5"/>
        <v>3.09</v>
      </c>
      <c r="O25" s="149" t="e">
        <f>N25+$N$137+((BC!$F$125)/$F$74)</f>
        <v>#DIV/0!</v>
      </c>
      <c r="P25" s="222" t="e">
        <f t="shared" si="6"/>
        <v>#DIV/0!</v>
      </c>
      <c r="Q25" s="223" t="e">
        <f t="shared" si="7"/>
        <v>#DIV/0!</v>
      </c>
      <c r="R25" s="223" t="e">
        <f t="shared" si="8"/>
        <v>#DIV/0!</v>
      </c>
      <c r="S25" s="24"/>
      <c r="T25" s="24"/>
      <c r="U25" s="97"/>
      <c r="V25" s="97"/>
      <c r="W25" s="97"/>
      <c r="X25" s="97"/>
      <c r="Y25" s="97"/>
      <c r="Z25" s="97"/>
      <c r="AA25" s="97"/>
      <c r="AB25" s="97"/>
      <c r="AC25" s="97"/>
    </row>
    <row r="26" spans="1:29" ht="11.25" customHeight="1" x14ac:dyDescent="0.45">
      <c r="B26" s="131">
        <v>5061482190</v>
      </c>
      <c r="C26" s="112" t="s">
        <v>208</v>
      </c>
      <c r="D26" s="103">
        <v>300</v>
      </c>
      <c r="E26" s="103">
        <v>56</v>
      </c>
      <c r="F26" s="145">
        <f>'c311'!E26</f>
        <v>0</v>
      </c>
      <c r="G26" s="60">
        <f t="shared" si="0"/>
        <v>0</v>
      </c>
      <c r="H26" s="60">
        <f>30*BC!B64/E26</f>
        <v>0</v>
      </c>
      <c r="I26" s="60">
        <f t="shared" si="1"/>
        <v>0</v>
      </c>
      <c r="J26" s="60">
        <f t="shared" si="2"/>
        <v>0</v>
      </c>
      <c r="K26" s="58">
        <f t="shared" si="3"/>
        <v>0</v>
      </c>
      <c r="L26" s="210">
        <v>108</v>
      </c>
      <c r="M26" s="148">
        <f t="shared" si="4"/>
        <v>0</v>
      </c>
      <c r="N26" s="148">
        <f t="shared" si="5"/>
        <v>0.36</v>
      </c>
      <c r="O26" s="149" t="e">
        <f>N26+$N$137+((BC!$F$125)/$F$74)</f>
        <v>#DIV/0!</v>
      </c>
      <c r="P26" s="222" t="e">
        <f t="shared" si="6"/>
        <v>#DIV/0!</v>
      </c>
      <c r="Q26" s="223" t="e">
        <f t="shared" si="7"/>
        <v>#DIV/0!</v>
      </c>
      <c r="R26" s="223" t="e">
        <f t="shared" si="8"/>
        <v>#DIV/0!</v>
      </c>
      <c r="S26" s="24"/>
      <c r="T26" s="24"/>
      <c r="U26" s="97"/>
      <c r="V26" s="97"/>
      <c r="W26" s="97"/>
      <c r="X26" s="97"/>
      <c r="Y26" s="97"/>
      <c r="Z26" s="97"/>
      <c r="AA26" s="97"/>
      <c r="AB26" s="97"/>
      <c r="AC26" s="97"/>
    </row>
    <row r="27" spans="1:29" ht="11.25" customHeight="1" x14ac:dyDescent="0.45">
      <c r="A27" s="246" t="s">
        <v>263</v>
      </c>
      <c r="B27" s="131">
        <v>20764663322</v>
      </c>
      <c r="C27" s="114" t="s">
        <v>209</v>
      </c>
      <c r="D27" s="103">
        <v>100</v>
      </c>
      <c r="E27" s="103">
        <v>56</v>
      </c>
      <c r="F27" s="145">
        <f>'c311'!E27</f>
        <v>0</v>
      </c>
      <c r="G27" s="60">
        <f t="shared" si="0"/>
        <v>0</v>
      </c>
      <c r="H27" s="60">
        <f>30*BC!B65/E27</f>
        <v>0</v>
      </c>
      <c r="I27" s="60">
        <f t="shared" si="1"/>
        <v>0</v>
      </c>
      <c r="J27" s="60">
        <f t="shared" si="2"/>
        <v>0</v>
      </c>
      <c r="K27" s="58">
        <f t="shared" si="3"/>
        <v>0</v>
      </c>
      <c r="L27" s="210">
        <v>259</v>
      </c>
      <c r="M27" s="148">
        <f t="shared" si="4"/>
        <v>0</v>
      </c>
      <c r="N27" s="148">
        <f t="shared" si="5"/>
        <v>2.59</v>
      </c>
      <c r="O27" s="149" t="e">
        <f>N27+$N$137+((BC!$F$125)/$F$74)</f>
        <v>#DIV/0!</v>
      </c>
      <c r="P27" s="222" t="e">
        <f t="shared" si="6"/>
        <v>#DIV/0!</v>
      </c>
      <c r="Q27" s="223" t="e">
        <f t="shared" si="7"/>
        <v>#DIV/0!</v>
      </c>
      <c r="R27" s="223" t="e">
        <f t="shared" si="8"/>
        <v>#DIV/0!</v>
      </c>
      <c r="S27" s="24"/>
      <c r="T27" s="24"/>
      <c r="U27" s="97"/>
      <c r="V27" s="97"/>
      <c r="W27" s="97"/>
      <c r="X27" s="97"/>
      <c r="Y27" s="97"/>
      <c r="Z27" s="97"/>
      <c r="AA27" s="97"/>
      <c r="AB27" s="97"/>
      <c r="AC27" s="97"/>
    </row>
    <row r="28" spans="1:29" ht="11.25" customHeight="1" x14ac:dyDescent="0.45">
      <c r="A28" s="247">
        <f>F17+F18+F47+F57</f>
        <v>0</v>
      </c>
      <c r="B28" s="131">
        <v>4498577190</v>
      </c>
      <c r="C28" s="112" t="s">
        <v>210</v>
      </c>
      <c r="D28" s="103">
        <v>200</v>
      </c>
      <c r="E28" s="103">
        <v>28</v>
      </c>
      <c r="F28" s="145">
        <f>'c311'!E28</f>
        <v>0</v>
      </c>
      <c r="G28" s="60">
        <f t="shared" si="0"/>
        <v>0</v>
      </c>
      <c r="H28" s="60">
        <f>30*BC!B66/E28</f>
        <v>0</v>
      </c>
      <c r="I28" s="60">
        <f t="shared" si="1"/>
        <v>0</v>
      </c>
      <c r="J28" s="60">
        <f t="shared" si="2"/>
        <v>0</v>
      </c>
      <c r="K28" s="58">
        <f t="shared" si="3"/>
        <v>0</v>
      </c>
      <c r="L28" s="210">
        <v>166</v>
      </c>
      <c r="M28" s="148">
        <f t="shared" si="4"/>
        <v>0</v>
      </c>
      <c r="N28" s="148">
        <f t="shared" si="5"/>
        <v>0.83</v>
      </c>
      <c r="O28" s="149" t="e">
        <f>N28+$N$137+((BC!$F$125)/$F$74)</f>
        <v>#DIV/0!</v>
      </c>
      <c r="P28" s="222" t="e">
        <f t="shared" si="6"/>
        <v>#DIV/0!</v>
      </c>
      <c r="Q28" s="223" t="e">
        <f t="shared" si="7"/>
        <v>#DIV/0!</v>
      </c>
      <c r="R28" s="223" t="e">
        <f t="shared" si="8"/>
        <v>#DIV/0!</v>
      </c>
      <c r="S28" s="24"/>
      <c r="T28" s="24"/>
      <c r="U28" s="97"/>
      <c r="V28" s="97"/>
      <c r="W28" s="97"/>
      <c r="X28" s="97"/>
      <c r="Y28" s="97"/>
      <c r="Z28" s="97"/>
      <c r="AA28" s="97"/>
      <c r="AB28" s="97"/>
      <c r="AC28" s="97"/>
    </row>
    <row r="29" spans="1:29" ht="11.25" customHeight="1" x14ac:dyDescent="0.45">
      <c r="B29" s="131">
        <v>3039773190</v>
      </c>
      <c r="C29" s="112" t="s">
        <v>211</v>
      </c>
      <c r="D29" s="103">
        <v>400</v>
      </c>
      <c r="E29" s="103">
        <v>28</v>
      </c>
      <c r="F29" s="145">
        <f>'c311'!E29</f>
        <v>0</v>
      </c>
      <c r="G29" s="60">
        <f t="shared" si="0"/>
        <v>0</v>
      </c>
      <c r="H29" s="60">
        <f>30*BC!B67/E29</f>
        <v>0</v>
      </c>
      <c r="I29" s="60">
        <f t="shared" si="1"/>
        <v>0</v>
      </c>
      <c r="J29" s="60">
        <f t="shared" si="2"/>
        <v>0</v>
      </c>
      <c r="K29" s="58">
        <f t="shared" si="3"/>
        <v>0</v>
      </c>
      <c r="L29" s="210">
        <v>88</v>
      </c>
      <c r="M29" s="148">
        <f t="shared" si="4"/>
        <v>0</v>
      </c>
      <c r="N29" s="148">
        <f t="shared" si="5"/>
        <v>0.22</v>
      </c>
      <c r="O29" s="149" t="e">
        <f>N29+$N$137+((BC!$F$125)/$F$74)</f>
        <v>#DIV/0!</v>
      </c>
      <c r="P29" s="222" t="e">
        <f t="shared" si="6"/>
        <v>#DIV/0!</v>
      </c>
      <c r="Q29" s="223" t="e">
        <f t="shared" si="7"/>
        <v>#DIV/0!</v>
      </c>
      <c r="R29" s="223" t="e">
        <f t="shared" si="8"/>
        <v>#DIV/0!</v>
      </c>
      <c r="S29" s="24"/>
      <c r="T29" s="24"/>
      <c r="U29" s="97"/>
      <c r="V29" s="97"/>
      <c r="W29" s="97"/>
      <c r="X29" s="97"/>
      <c r="Y29" s="97"/>
      <c r="Z29" s="97"/>
      <c r="AA29" s="97"/>
      <c r="AB29" s="97"/>
      <c r="AC29" s="97"/>
    </row>
    <row r="30" spans="1:29" ht="11.25" customHeight="1" x14ac:dyDescent="0.45">
      <c r="A30" s="248" t="s">
        <v>274</v>
      </c>
      <c r="B30" s="131">
        <v>7190794190</v>
      </c>
      <c r="C30" s="112" t="s">
        <v>212</v>
      </c>
      <c r="D30" s="103">
        <v>200</v>
      </c>
      <c r="E30" s="103">
        <v>56</v>
      </c>
      <c r="F30" s="145">
        <f>'c311'!E30</f>
        <v>0</v>
      </c>
      <c r="G30" s="60">
        <f t="shared" si="0"/>
        <v>0</v>
      </c>
      <c r="H30" s="60">
        <f>30*BC!B68/E30</f>
        <v>0</v>
      </c>
      <c r="I30" s="60">
        <f t="shared" si="1"/>
        <v>0</v>
      </c>
      <c r="J30" s="60">
        <f t="shared" si="2"/>
        <v>0</v>
      </c>
      <c r="K30" s="58">
        <f t="shared" si="3"/>
        <v>0</v>
      </c>
      <c r="L30" s="210">
        <v>112</v>
      </c>
      <c r="M30" s="148">
        <f t="shared" si="4"/>
        <v>0</v>
      </c>
      <c r="N30" s="148">
        <f t="shared" si="5"/>
        <v>0.56000000000000005</v>
      </c>
      <c r="O30" s="149" t="e">
        <f>N30+$N$137+((BC!$F$125)/$F$74)</f>
        <v>#DIV/0!</v>
      </c>
      <c r="P30" s="222" t="e">
        <f t="shared" si="6"/>
        <v>#DIV/0!</v>
      </c>
      <c r="Q30" s="223" t="e">
        <f t="shared" si="7"/>
        <v>#DIV/0!</v>
      </c>
      <c r="R30" s="223" t="e">
        <f t="shared" si="8"/>
        <v>#DIV/0!</v>
      </c>
      <c r="S30" s="24"/>
      <c r="T30" s="24"/>
      <c r="U30" s="97"/>
      <c r="V30" s="97"/>
      <c r="W30" s="97"/>
      <c r="X30" s="97"/>
      <c r="Y30" s="97"/>
      <c r="Z30" s="97"/>
      <c r="AA30" s="97"/>
      <c r="AB30" s="97"/>
      <c r="AC30" s="97"/>
    </row>
    <row r="31" spans="1:29" ht="11.25" customHeight="1" x14ac:dyDescent="0.45">
      <c r="A31" s="249">
        <f>F33+F66</f>
        <v>0</v>
      </c>
      <c r="B31" s="131">
        <v>7190808190</v>
      </c>
      <c r="C31" s="116" t="s">
        <v>213</v>
      </c>
      <c r="D31" s="103">
        <v>100</v>
      </c>
      <c r="E31" s="103">
        <v>56</v>
      </c>
      <c r="F31" s="145">
        <f>'c311'!E31</f>
        <v>0</v>
      </c>
      <c r="G31" s="60">
        <f t="shared" si="0"/>
        <v>0</v>
      </c>
      <c r="H31" s="60">
        <f>30*BC!B69/E31</f>
        <v>0</v>
      </c>
      <c r="I31" s="60">
        <f t="shared" si="1"/>
        <v>0</v>
      </c>
      <c r="J31" s="60">
        <f t="shared" si="2"/>
        <v>0</v>
      </c>
      <c r="K31" s="58">
        <f t="shared" si="3"/>
        <v>0</v>
      </c>
      <c r="L31" s="210">
        <v>276</v>
      </c>
      <c r="M31" s="148">
        <f t="shared" si="4"/>
        <v>0</v>
      </c>
      <c r="N31" s="148">
        <f t="shared" si="5"/>
        <v>2.76</v>
      </c>
      <c r="O31" s="149" t="e">
        <f>N31+$N$137+((BC!$F$125)/$F$74)</f>
        <v>#DIV/0!</v>
      </c>
      <c r="P31" s="222" t="e">
        <f t="shared" si="6"/>
        <v>#DIV/0!</v>
      </c>
      <c r="Q31" s="223" t="e">
        <f t="shared" si="7"/>
        <v>#DIV/0!</v>
      </c>
      <c r="R31" s="223" t="e">
        <f t="shared" si="8"/>
        <v>#DIV/0!</v>
      </c>
      <c r="S31" s="24"/>
      <c r="T31" s="24"/>
      <c r="U31" s="97"/>
      <c r="V31" s="97"/>
      <c r="W31" s="97"/>
      <c r="X31" s="97"/>
      <c r="Y31" s="97"/>
      <c r="Z31" s="97"/>
      <c r="AA31" s="97"/>
      <c r="AB31" s="97"/>
      <c r="AC31" s="97"/>
    </row>
    <row r="32" spans="1:29" ht="11.25" customHeight="1" x14ac:dyDescent="0.45">
      <c r="B32" s="133">
        <v>3289923190</v>
      </c>
      <c r="C32" s="117" t="s">
        <v>214</v>
      </c>
      <c r="D32" s="103">
        <v>250</v>
      </c>
      <c r="E32" s="103">
        <v>42</v>
      </c>
      <c r="F32" s="145">
        <f>'c311'!E32</f>
        <v>0</v>
      </c>
      <c r="G32" s="60">
        <f t="shared" si="0"/>
        <v>0</v>
      </c>
      <c r="H32" s="60">
        <f>30*BC!B70/E32</f>
        <v>0</v>
      </c>
      <c r="I32" s="60">
        <f t="shared" si="1"/>
        <v>0</v>
      </c>
      <c r="J32" s="60">
        <f t="shared" si="2"/>
        <v>0</v>
      </c>
      <c r="K32" s="58">
        <f t="shared" si="3"/>
        <v>0</v>
      </c>
      <c r="L32" s="210">
        <v>174</v>
      </c>
      <c r="M32" s="148">
        <f t="shared" si="4"/>
        <v>0</v>
      </c>
      <c r="N32" s="148">
        <f t="shared" si="5"/>
        <v>0.69599999999999995</v>
      </c>
      <c r="O32" s="149" t="e">
        <f>N32+$N$137+((BC!$F$125)/$F$74)</f>
        <v>#DIV/0!</v>
      </c>
      <c r="P32" s="222" t="e">
        <f t="shared" si="6"/>
        <v>#DIV/0!</v>
      </c>
      <c r="Q32" s="223" t="e">
        <f t="shared" si="7"/>
        <v>#DIV/0!</v>
      </c>
      <c r="R32" s="223" t="e">
        <f t="shared" si="8"/>
        <v>#DIV/0!</v>
      </c>
      <c r="S32" s="24"/>
      <c r="T32" s="24"/>
      <c r="U32" s="97"/>
      <c r="V32" s="97"/>
      <c r="W32" s="97"/>
      <c r="X32" s="97"/>
      <c r="Y32" s="97"/>
      <c r="Z32" s="97"/>
      <c r="AA32" s="97"/>
      <c r="AB32" s="97"/>
      <c r="AC32" s="97"/>
    </row>
    <row r="33" spans="2:29" ht="11.25" customHeight="1" x14ac:dyDescent="0.45">
      <c r="B33" s="134">
        <v>4490827190</v>
      </c>
      <c r="C33" s="118" t="s">
        <v>215</v>
      </c>
      <c r="D33" s="103">
        <v>200</v>
      </c>
      <c r="E33" s="103">
        <v>56</v>
      </c>
      <c r="F33" s="145">
        <f>'c311'!E33</f>
        <v>0</v>
      </c>
      <c r="G33" s="60">
        <f t="shared" si="0"/>
        <v>0</v>
      </c>
      <c r="H33" s="60">
        <f>30*BC!B71/E33</f>
        <v>0</v>
      </c>
      <c r="I33" s="60">
        <f t="shared" si="1"/>
        <v>0</v>
      </c>
      <c r="J33" s="60">
        <f t="shared" si="2"/>
        <v>0</v>
      </c>
      <c r="K33" s="58">
        <f t="shared" si="3"/>
        <v>0</v>
      </c>
      <c r="L33" s="210">
        <v>120</v>
      </c>
      <c r="M33" s="148">
        <f t="shared" si="4"/>
        <v>0</v>
      </c>
      <c r="N33" s="148">
        <f t="shared" si="5"/>
        <v>0.6</v>
      </c>
      <c r="O33" s="149" t="e">
        <f>N33+$N$137+((BC!$F$125)/$F$74)</f>
        <v>#DIV/0!</v>
      </c>
      <c r="P33" s="222" t="e">
        <f t="shared" si="6"/>
        <v>#DIV/0!</v>
      </c>
      <c r="Q33" s="223" t="e">
        <f t="shared" si="7"/>
        <v>#DIV/0!</v>
      </c>
      <c r="R33" s="223" t="e">
        <f t="shared" si="8"/>
        <v>#DIV/0!</v>
      </c>
      <c r="S33" s="24"/>
      <c r="T33" s="24"/>
      <c r="U33" s="97"/>
      <c r="V33" s="97"/>
      <c r="W33" s="97"/>
      <c r="X33" s="97"/>
      <c r="Y33" s="97"/>
      <c r="Z33" s="97"/>
      <c r="AA33" s="97"/>
      <c r="AB33" s="97"/>
      <c r="AC33" s="97"/>
    </row>
    <row r="34" spans="2:29" ht="11.25" customHeight="1" x14ac:dyDescent="0.45">
      <c r="B34" s="131">
        <v>4810716190</v>
      </c>
      <c r="C34" s="112" t="s">
        <v>216</v>
      </c>
      <c r="D34" s="103">
        <v>700</v>
      </c>
      <c r="E34" s="103">
        <v>56</v>
      </c>
      <c r="F34" s="145">
        <f>'c311'!E34</f>
        <v>0</v>
      </c>
      <c r="G34" s="60">
        <f t="shared" si="0"/>
        <v>0</v>
      </c>
      <c r="H34" s="60" t="e">
        <f>30*BC!B72/E34</f>
        <v>#VALUE!</v>
      </c>
      <c r="I34" s="60" t="e">
        <f t="shared" si="1"/>
        <v>#VALUE!</v>
      </c>
      <c r="J34" s="60">
        <f t="shared" si="2"/>
        <v>0</v>
      </c>
      <c r="K34" s="58">
        <f t="shared" si="3"/>
        <v>0</v>
      </c>
      <c r="L34" s="210">
        <v>136</v>
      </c>
      <c r="M34" s="148">
        <f t="shared" si="4"/>
        <v>0</v>
      </c>
      <c r="N34" s="148">
        <f t="shared" si="5"/>
        <v>0.19428571428571428</v>
      </c>
      <c r="O34" s="149" t="e">
        <f>N34+$N$137+((BC!$F$125)/$F$74)</f>
        <v>#DIV/0!</v>
      </c>
      <c r="P34" s="222" t="e">
        <f t="shared" si="6"/>
        <v>#DIV/0!</v>
      </c>
      <c r="Q34" s="223" t="e">
        <f t="shared" si="7"/>
        <v>#DIV/0!</v>
      </c>
      <c r="R34" s="223" t="e">
        <f t="shared" si="8"/>
        <v>#DIV/0!</v>
      </c>
      <c r="S34" s="24"/>
      <c r="T34" s="24"/>
      <c r="U34" s="97"/>
      <c r="V34" s="97"/>
      <c r="W34" s="97"/>
      <c r="X34" s="97"/>
      <c r="Y34" s="97"/>
      <c r="Z34" s="97"/>
      <c r="AA34" s="97"/>
      <c r="AB34" s="97"/>
      <c r="AC34" s="97"/>
    </row>
    <row r="35" spans="2:29" ht="11.25" customHeight="1" x14ac:dyDescent="0.45">
      <c r="B35" s="131">
        <v>4628918190</v>
      </c>
      <c r="C35" s="111" t="s">
        <v>217</v>
      </c>
      <c r="D35" s="103">
        <v>100</v>
      </c>
      <c r="E35" s="103">
        <v>84</v>
      </c>
      <c r="F35" s="145">
        <f>'c311'!E35</f>
        <v>0</v>
      </c>
      <c r="G35" s="60">
        <f t="shared" si="0"/>
        <v>0</v>
      </c>
      <c r="H35" s="60">
        <f>30*BC!B73/E35</f>
        <v>0</v>
      </c>
      <c r="I35" s="60">
        <f t="shared" si="1"/>
        <v>0</v>
      </c>
      <c r="J35" s="60">
        <f t="shared" si="2"/>
        <v>0</v>
      </c>
      <c r="K35" s="58">
        <f t="shared" si="3"/>
        <v>0</v>
      </c>
      <c r="L35" s="210">
        <v>750</v>
      </c>
      <c r="M35" s="148">
        <f t="shared" si="4"/>
        <v>0</v>
      </c>
      <c r="N35" s="148">
        <f t="shared" si="5"/>
        <v>7.5</v>
      </c>
      <c r="O35" s="149" t="e">
        <f>N35+$N$137+((BC!$F$125)/$F$74)</f>
        <v>#DIV/0!</v>
      </c>
      <c r="P35" s="222" t="e">
        <f t="shared" si="6"/>
        <v>#DIV/0!</v>
      </c>
      <c r="Q35" s="223" t="e">
        <f t="shared" si="7"/>
        <v>#DIV/0!</v>
      </c>
      <c r="R35" s="223" t="e">
        <f t="shared" si="8"/>
        <v>#DIV/0!</v>
      </c>
      <c r="S35" s="24"/>
      <c r="T35" s="24"/>
      <c r="U35" s="97"/>
      <c r="V35" s="97"/>
      <c r="W35" s="97"/>
      <c r="X35" s="97"/>
      <c r="Y35" s="97"/>
      <c r="Z35" s="97"/>
      <c r="AA35" s="97"/>
      <c r="AB35" s="97"/>
      <c r="AC35" s="97"/>
    </row>
    <row r="36" spans="2:29" ht="11.25" customHeight="1" x14ac:dyDescent="0.45">
      <c r="B36" s="131">
        <v>7876033190</v>
      </c>
      <c r="C36" s="111" t="s">
        <v>218</v>
      </c>
      <c r="D36" s="103">
        <v>250</v>
      </c>
      <c r="E36" s="103">
        <v>84</v>
      </c>
      <c r="F36" s="145">
        <f>'c311'!E36</f>
        <v>0</v>
      </c>
      <c r="G36" s="60">
        <f t="shared" si="0"/>
        <v>0</v>
      </c>
      <c r="H36" s="60">
        <f>30*BC!B74/E36</f>
        <v>0</v>
      </c>
      <c r="I36" s="60">
        <f t="shared" si="1"/>
        <v>0</v>
      </c>
      <c r="J36" s="60">
        <f t="shared" si="2"/>
        <v>0</v>
      </c>
      <c r="K36" s="58">
        <f t="shared" si="3"/>
        <v>0</v>
      </c>
      <c r="L36" s="210">
        <v>643</v>
      </c>
      <c r="M36" s="148">
        <f t="shared" si="4"/>
        <v>0</v>
      </c>
      <c r="N36" s="148">
        <f t="shared" si="5"/>
        <v>2.5720000000000001</v>
      </c>
      <c r="O36" s="149" t="e">
        <f>N36+$N$137+((BC!$F$125)/$F$74)</f>
        <v>#DIV/0!</v>
      </c>
      <c r="P36" s="222" t="e">
        <f t="shared" si="6"/>
        <v>#DIV/0!</v>
      </c>
      <c r="Q36" s="223" t="e">
        <f t="shared" si="7"/>
        <v>#DIV/0!</v>
      </c>
      <c r="R36" s="223" t="e">
        <f t="shared" si="8"/>
        <v>#DIV/0!</v>
      </c>
      <c r="S36" s="24"/>
      <c r="T36" s="24"/>
      <c r="U36" s="97"/>
      <c r="V36" s="97"/>
      <c r="W36" s="97"/>
      <c r="X36" s="97"/>
      <c r="Y36" s="97"/>
      <c r="Z36" s="97"/>
      <c r="AA36" s="97"/>
      <c r="AB36" s="97"/>
      <c r="AC36" s="97"/>
    </row>
    <row r="37" spans="2:29" ht="11.25" customHeight="1" x14ac:dyDescent="0.45">
      <c r="B37" s="135">
        <v>6600239190</v>
      </c>
      <c r="C37" s="119" t="s">
        <v>219</v>
      </c>
      <c r="D37" s="103">
        <v>225</v>
      </c>
      <c r="E37" s="103">
        <v>56</v>
      </c>
      <c r="F37" s="145">
        <f>'c311'!E37</f>
        <v>0</v>
      </c>
      <c r="G37" s="60">
        <f t="shared" si="0"/>
        <v>0</v>
      </c>
      <c r="H37" s="60">
        <f>30*BC!B75/E37</f>
        <v>0</v>
      </c>
      <c r="I37" s="60">
        <f t="shared" si="1"/>
        <v>0</v>
      </c>
      <c r="J37" s="60">
        <f t="shared" si="2"/>
        <v>0</v>
      </c>
      <c r="K37" s="58">
        <f t="shared" si="3"/>
        <v>0</v>
      </c>
      <c r="L37" s="210">
        <v>1282</v>
      </c>
      <c r="M37" s="148">
        <f t="shared" si="4"/>
        <v>0</v>
      </c>
      <c r="N37" s="148">
        <f t="shared" si="5"/>
        <v>5.6977777777777776</v>
      </c>
      <c r="O37" s="149" t="e">
        <f>N37+$N$137+((BC!$F$125)/$F$74)</f>
        <v>#DIV/0!</v>
      </c>
      <c r="P37" s="222" t="e">
        <f t="shared" si="6"/>
        <v>#DIV/0!</v>
      </c>
      <c r="Q37" s="223" t="e">
        <f t="shared" si="7"/>
        <v>#DIV/0!</v>
      </c>
      <c r="R37" s="223" t="e">
        <f t="shared" si="8"/>
        <v>#DIV/0!</v>
      </c>
      <c r="S37" s="24"/>
      <c r="T37" s="24"/>
      <c r="U37" s="97"/>
      <c r="V37" s="97"/>
      <c r="W37" s="97"/>
      <c r="X37" s="97"/>
      <c r="Y37" s="97"/>
      <c r="Z37" s="97"/>
      <c r="AA37" s="97"/>
      <c r="AB37" s="97"/>
      <c r="AC37" s="97"/>
    </row>
    <row r="38" spans="2:29" ht="11.25" customHeight="1" x14ac:dyDescent="0.45">
      <c r="B38" s="136">
        <v>4912551190</v>
      </c>
      <c r="C38" s="120" t="s">
        <v>220</v>
      </c>
      <c r="D38" s="103">
        <v>100</v>
      </c>
      <c r="E38" s="103">
        <v>84</v>
      </c>
      <c r="F38" s="145">
        <f>'c311'!E38</f>
        <v>0</v>
      </c>
      <c r="G38" s="60">
        <f t="shared" si="0"/>
        <v>0</v>
      </c>
      <c r="H38" s="60">
        <f>30*BC!B76/E38</f>
        <v>0</v>
      </c>
      <c r="I38" s="60">
        <f t="shared" si="1"/>
        <v>0</v>
      </c>
      <c r="J38" s="60">
        <f t="shared" si="2"/>
        <v>0</v>
      </c>
      <c r="K38" s="58">
        <f t="shared" si="3"/>
        <v>0</v>
      </c>
      <c r="L38" s="210">
        <v>1066</v>
      </c>
      <c r="M38" s="148">
        <f t="shared" si="4"/>
        <v>0</v>
      </c>
      <c r="N38" s="148">
        <f t="shared" si="5"/>
        <v>10.66</v>
      </c>
      <c r="O38" s="149" t="e">
        <f>N38+$N$137+((BC!$F$125)/$F$74)</f>
        <v>#DIV/0!</v>
      </c>
      <c r="P38" s="222" t="e">
        <f t="shared" si="6"/>
        <v>#DIV/0!</v>
      </c>
      <c r="Q38" s="223" t="e">
        <f t="shared" si="7"/>
        <v>#DIV/0!</v>
      </c>
      <c r="R38" s="223" t="e">
        <f t="shared" si="8"/>
        <v>#DIV/0!</v>
      </c>
      <c r="S38" s="24"/>
      <c r="T38" s="24"/>
      <c r="U38" s="97"/>
      <c r="V38" s="97"/>
      <c r="W38" s="97"/>
      <c r="X38" s="97"/>
      <c r="Y38" s="97"/>
      <c r="Z38" s="97"/>
      <c r="AA38" s="97"/>
      <c r="AB38" s="97"/>
      <c r="AC38" s="97"/>
    </row>
    <row r="39" spans="2:29" ht="11.25" customHeight="1" x14ac:dyDescent="0.45">
      <c r="B39" s="133">
        <v>3183777190</v>
      </c>
      <c r="C39" s="117" t="s">
        <v>221</v>
      </c>
      <c r="D39" s="103">
        <v>100</v>
      </c>
      <c r="E39" s="103">
        <v>84</v>
      </c>
      <c r="F39" s="145">
        <f>'c311'!E39</f>
        <v>0</v>
      </c>
      <c r="G39" s="60">
        <f t="shared" si="0"/>
        <v>0</v>
      </c>
      <c r="H39" s="60">
        <f>30*BC!B77/E39</f>
        <v>0</v>
      </c>
      <c r="I39" s="60">
        <f t="shared" si="1"/>
        <v>0</v>
      </c>
      <c r="J39" s="60">
        <f t="shared" si="2"/>
        <v>0</v>
      </c>
      <c r="K39" s="58">
        <f t="shared" si="3"/>
        <v>0</v>
      </c>
      <c r="L39" s="210">
        <v>341</v>
      </c>
      <c r="M39" s="148">
        <f t="shared" si="4"/>
        <v>0</v>
      </c>
      <c r="N39" s="148">
        <f t="shared" si="5"/>
        <v>3.41</v>
      </c>
      <c r="O39" s="149" t="e">
        <f>N39+$N$137+((BC!$F$125)/$F$74)</f>
        <v>#DIV/0!</v>
      </c>
      <c r="P39" s="222" t="e">
        <f t="shared" si="6"/>
        <v>#DIV/0!</v>
      </c>
      <c r="Q39" s="223" t="e">
        <f t="shared" si="7"/>
        <v>#DIV/0!</v>
      </c>
      <c r="R39" s="223" t="e">
        <f t="shared" si="8"/>
        <v>#DIV/0!</v>
      </c>
      <c r="S39" s="24"/>
      <c r="T39" s="24"/>
      <c r="U39" s="97"/>
      <c r="V39" s="97"/>
      <c r="W39" s="97"/>
      <c r="X39" s="97"/>
      <c r="Y39" s="97"/>
      <c r="Z39" s="97"/>
      <c r="AA39" s="97"/>
      <c r="AB39" s="97"/>
      <c r="AC39" s="97"/>
    </row>
    <row r="40" spans="2:29" ht="11.25" customHeight="1" x14ac:dyDescent="0.45">
      <c r="B40" s="137">
        <v>4537939190</v>
      </c>
      <c r="C40" s="121" t="s">
        <v>222</v>
      </c>
      <c r="D40" s="103">
        <v>150</v>
      </c>
      <c r="E40" s="103">
        <v>56</v>
      </c>
      <c r="F40" s="145">
        <f>'c311'!E40</f>
        <v>0</v>
      </c>
      <c r="G40" s="60">
        <f t="shared" si="0"/>
        <v>0</v>
      </c>
      <c r="H40" s="60">
        <f>30*BC!B78/E40</f>
        <v>0</v>
      </c>
      <c r="I40" s="60">
        <f t="shared" si="1"/>
        <v>0</v>
      </c>
      <c r="J40" s="60">
        <f t="shared" si="2"/>
        <v>0</v>
      </c>
      <c r="K40" s="58">
        <f t="shared" si="3"/>
        <v>0</v>
      </c>
      <c r="L40" s="210">
        <v>126</v>
      </c>
      <c r="M40" s="148">
        <f t="shared" si="4"/>
        <v>0</v>
      </c>
      <c r="N40" s="148">
        <f t="shared" si="5"/>
        <v>0.84</v>
      </c>
      <c r="O40" s="149" t="e">
        <f>N40+$N$137+((BC!$F$125)/$F$74)</f>
        <v>#DIV/0!</v>
      </c>
      <c r="P40" s="222" t="e">
        <f t="shared" si="6"/>
        <v>#DIV/0!</v>
      </c>
      <c r="Q40" s="223" t="e">
        <f t="shared" si="7"/>
        <v>#DIV/0!</v>
      </c>
      <c r="R40" s="223" t="e">
        <f t="shared" si="8"/>
        <v>#DIV/0!</v>
      </c>
      <c r="S40" s="24"/>
      <c r="T40" s="24"/>
      <c r="U40" s="97"/>
      <c r="V40" s="97"/>
      <c r="W40" s="97"/>
      <c r="X40" s="97"/>
      <c r="Y40" s="97"/>
      <c r="Z40" s="97"/>
      <c r="AA40" s="97"/>
      <c r="AB40" s="97"/>
      <c r="AC40" s="97"/>
    </row>
    <row r="41" spans="2:29" ht="11.25" customHeight="1" x14ac:dyDescent="0.45">
      <c r="B41" s="131">
        <v>3002721122</v>
      </c>
      <c r="C41" s="112" t="s">
        <v>223</v>
      </c>
      <c r="D41" s="103">
        <v>400</v>
      </c>
      <c r="E41" s="103">
        <v>84</v>
      </c>
      <c r="F41" s="145">
        <f>'c311'!E41</f>
        <v>0</v>
      </c>
      <c r="G41" s="60">
        <f t="shared" si="0"/>
        <v>0</v>
      </c>
      <c r="H41" s="60">
        <f>30*BC!B79/E41</f>
        <v>0</v>
      </c>
      <c r="I41" s="60">
        <f t="shared" si="1"/>
        <v>0</v>
      </c>
      <c r="J41" s="60">
        <f t="shared" si="2"/>
        <v>0</v>
      </c>
      <c r="K41" s="58">
        <f t="shared" si="3"/>
        <v>0</v>
      </c>
      <c r="L41" s="210">
        <v>192</v>
      </c>
      <c r="M41" s="148">
        <f t="shared" si="4"/>
        <v>0</v>
      </c>
      <c r="N41" s="148">
        <f t="shared" si="5"/>
        <v>0.48</v>
      </c>
      <c r="O41" s="149" t="e">
        <f>N41+$N$137+((BC!$F$125)/$F$74)</f>
        <v>#DIV/0!</v>
      </c>
      <c r="P41" s="222" t="e">
        <f t="shared" si="6"/>
        <v>#DIV/0!</v>
      </c>
      <c r="Q41" s="223" t="e">
        <f t="shared" si="7"/>
        <v>#DIV/0!</v>
      </c>
      <c r="R41" s="223" t="e">
        <f t="shared" si="8"/>
        <v>#DIV/0!</v>
      </c>
      <c r="S41" s="24"/>
      <c r="T41" s="24"/>
      <c r="U41" s="97"/>
      <c r="V41" s="97"/>
      <c r="W41" s="97"/>
      <c r="X41" s="97"/>
      <c r="Y41" s="97"/>
      <c r="Z41" s="97"/>
      <c r="AA41" s="97"/>
      <c r="AB41" s="97"/>
      <c r="AC41" s="97"/>
    </row>
    <row r="42" spans="2:29" ht="11.25" customHeight="1" x14ac:dyDescent="0.45">
      <c r="B42" s="131">
        <v>4404483190</v>
      </c>
      <c r="C42" s="112" t="s">
        <v>224</v>
      </c>
      <c r="D42" s="103">
        <v>800</v>
      </c>
      <c r="E42" s="103">
        <v>56</v>
      </c>
      <c r="F42" s="145">
        <f>'c311'!E42</f>
        <v>0</v>
      </c>
      <c r="G42" s="60">
        <f t="shared" si="0"/>
        <v>0</v>
      </c>
      <c r="H42" s="60">
        <f>30*BC!B80/E42</f>
        <v>0</v>
      </c>
      <c r="I42" s="60">
        <f t="shared" si="1"/>
        <v>0</v>
      </c>
      <c r="J42" s="60">
        <f t="shared" si="2"/>
        <v>0</v>
      </c>
      <c r="K42" s="58">
        <f t="shared" si="3"/>
        <v>0</v>
      </c>
      <c r="L42" s="210">
        <v>176</v>
      </c>
      <c r="M42" s="148">
        <f t="shared" si="4"/>
        <v>0</v>
      </c>
      <c r="N42" s="148">
        <f t="shared" si="5"/>
        <v>0.22</v>
      </c>
      <c r="O42" s="149" t="e">
        <f>N42+$N$137+((BC!$F$125)/$F$74)</f>
        <v>#DIV/0!</v>
      </c>
      <c r="P42" s="222" t="e">
        <f t="shared" si="6"/>
        <v>#DIV/0!</v>
      </c>
      <c r="Q42" s="223" t="e">
        <f t="shared" si="7"/>
        <v>#DIV/0!</v>
      </c>
      <c r="R42" s="223" t="e">
        <f t="shared" si="8"/>
        <v>#DIV/0!</v>
      </c>
      <c r="S42" s="24"/>
      <c r="T42" s="24"/>
      <c r="U42" s="97"/>
      <c r="V42" s="97"/>
      <c r="W42" s="97"/>
      <c r="X42" s="97"/>
      <c r="Y42" s="97"/>
      <c r="Z42" s="97"/>
      <c r="AA42" s="97"/>
      <c r="AB42" s="97"/>
      <c r="AC42" s="97"/>
    </row>
    <row r="43" spans="2:29" ht="11.25" customHeight="1" x14ac:dyDescent="0.45">
      <c r="B43" s="131">
        <v>3005593322</v>
      </c>
      <c r="C43" s="111" t="s">
        <v>225</v>
      </c>
      <c r="D43" s="103">
        <v>100</v>
      </c>
      <c r="E43" s="103">
        <v>84</v>
      </c>
      <c r="F43" s="145">
        <f>'c311'!E43</f>
        <v>0</v>
      </c>
      <c r="G43" s="60">
        <f t="shared" si="0"/>
        <v>0</v>
      </c>
      <c r="H43" s="60">
        <f>30*BC!B81/E43</f>
        <v>0</v>
      </c>
      <c r="I43" s="60">
        <f t="shared" si="1"/>
        <v>0</v>
      </c>
      <c r="J43" s="60">
        <f t="shared" si="2"/>
        <v>0</v>
      </c>
      <c r="K43" s="58">
        <f t="shared" si="3"/>
        <v>0</v>
      </c>
      <c r="L43" s="210">
        <v>301</v>
      </c>
      <c r="M43" s="148">
        <f t="shared" si="4"/>
        <v>0</v>
      </c>
      <c r="N43" s="148">
        <f t="shared" si="5"/>
        <v>3.01</v>
      </c>
      <c r="O43" s="149" t="e">
        <f>N43+$N$137+((BC!$F$125)/$F$74)</f>
        <v>#DIV/0!</v>
      </c>
      <c r="P43" s="222" t="e">
        <f t="shared" si="6"/>
        <v>#DIV/0!</v>
      </c>
      <c r="Q43" s="223" t="e">
        <f t="shared" si="7"/>
        <v>#DIV/0!</v>
      </c>
      <c r="R43" s="223" t="e">
        <f t="shared" si="8"/>
        <v>#DIV/0!</v>
      </c>
      <c r="S43" s="24"/>
      <c r="T43" s="24"/>
      <c r="U43" s="97"/>
      <c r="V43" s="97"/>
      <c r="W43" s="97"/>
      <c r="X43" s="97"/>
      <c r="Y43" s="97"/>
      <c r="Z43" s="97"/>
      <c r="AA43" s="97"/>
      <c r="AB43" s="97"/>
      <c r="AC43" s="97"/>
    </row>
    <row r="44" spans="2:29" ht="11.25" customHeight="1" x14ac:dyDescent="0.45">
      <c r="B44" s="138">
        <v>5336163190</v>
      </c>
      <c r="C44" s="122" t="s">
        <v>226</v>
      </c>
      <c r="D44" s="103">
        <v>150</v>
      </c>
      <c r="E44" s="103">
        <v>84</v>
      </c>
      <c r="F44" s="145">
        <f>'c311'!E44</f>
        <v>0</v>
      </c>
      <c r="G44" s="60">
        <f t="shared" si="0"/>
        <v>0</v>
      </c>
      <c r="H44" s="60">
        <f>30*BC!B82/E44</f>
        <v>0</v>
      </c>
      <c r="I44" s="60">
        <f t="shared" si="1"/>
        <v>0</v>
      </c>
      <c r="J44" s="60">
        <f t="shared" si="2"/>
        <v>0</v>
      </c>
      <c r="K44" s="58">
        <f t="shared" si="3"/>
        <v>0</v>
      </c>
      <c r="L44" s="210">
        <v>731</v>
      </c>
      <c r="M44" s="148">
        <f t="shared" si="4"/>
        <v>0</v>
      </c>
      <c r="N44" s="148">
        <f t="shared" si="5"/>
        <v>4.8733333333333331</v>
      </c>
      <c r="O44" s="149" t="e">
        <f>N44+$N$137+((BC!$F$125)/$F$74)</f>
        <v>#DIV/0!</v>
      </c>
      <c r="P44" s="222" t="e">
        <f t="shared" si="6"/>
        <v>#DIV/0!</v>
      </c>
      <c r="Q44" s="223" t="e">
        <f t="shared" si="7"/>
        <v>#DIV/0!</v>
      </c>
      <c r="R44" s="223" t="e">
        <f t="shared" si="8"/>
        <v>#DIV/0!</v>
      </c>
      <c r="S44" s="24"/>
      <c r="T44" s="24"/>
      <c r="U44" s="97"/>
      <c r="V44" s="97"/>
      <c r="W44" s="97"/>
      <c r="X44" s="97"/>
      <c r="Y44" s="97"/>
      <c r="Z44" s="97"/>
      <c r="AA44" s="97"/>
      <c r="AB44" s="97"/>
      <c r="AC44" s="97"/>
    </row>
    <row r="45" spans="2:29" ht="11.25" customHeight="1" x14ac:dyDescent="0.45">
      <c r="B45" s="131">
        <v>6750036190</v>
      </c>
      <c r="C45" s="112" t="s">
        <v>227</v>
      </c>
      <c r="D45" s="103">
        <v>100</v>
      </c>
      <c r="E45" s="103">
        <v>84</v>
      </c>
      <c r="F45" s="145">
        <f>'c311'!E45</f>
        <v>0</v>
      </c>
      <c r="G45" s="60">
        <f t="shared" si="0"/>
        <v>0</v>
      </c>
      <c r="H45" s="60">
        <f>30*BC!B83/E45</f>
        <v>0</v>
      </c>
      <c r="I45" s="60">
        <f t="shared" si="1"/>
        <v>0</v>
      </c>
      <c r="J45" s="60">
        <f t="shared" si="2"/>
        <v>0</v>
      </c>
      <c r="K45" s="58">
        <f t="shared" si="3"/>
        <v>0</v>
      </c>
      <c r="L45" s="210">
        <v>154</v>
      </c>
      <c r="M45" s="148">
        <f t="shared" si="4"/>
        <v>0</v>
      </c>
      <c r="N45" s="148">
        <f t="shared" si="5"/>
        <v>1.54</v>
      </c>
      <c r="O45" s="149" t="e">
        <f>N45+$N$137+((BC!$F$125)/$F$74)</f>
        <v>#DIV/0!</v>
      </c>
      <c r="P45" s="222" t="e">
        <f t="shared" si="6"/>
        <v>#DIV/0!</v>
      </c>
      <c r="Q45" s="223" t="e">
        <f t="shared" si="7"/>
        <v>#DIV/0!</v>
      </c>
      <c r="R45" s="223" t="e">
        <f t="shared" si="8"/>
        <v>#DIV/0!</v>
      </c>
      <c r="S45" s="24"/>
      <c r="T45" s="24"/>
      <c r="U45" s="97"/>
      <c r="V45" s="97"/>
      <c r="W45" s="97"/>
      <c r="X45" s="97"/>
      <c r="Y45" s="97"/>
      <c r="Z45" s="97"/>
      <c r="AA45" s="97"/>
      <c r="AB45" s="97"/>
      <c r="AC45" s="97"/>
    </row>
    <row r="46" spans="2:29" ht="11.25" customHeight="1" x14ac:dyDescent="0.45">
      <c r="B46" s="139">
        <v>5385415190</v>
      </c>
      <c r="C46" s="123" t="s">
        <v>228</v>
      </c>
      <c r="D46" s="103">
        <v>100</v>
      </c>
      <c r="E46" s="103">
        <v>28</v>
      </c>
      <c r="F46" s="145">
        <f>'c311'!E46</f>
        <v>0</v>
      </c>
      <c r="G46" s="60">
        <f t="shared" si="0"/>
        <v>0</v>
      </c>
      <c r="H46" s="60">
        <f>30*BC!B84/E46</f>
        <v>0</v>
      </c>
      <c r="I46" s="60">
        <f t="shared" si="1"/>
        <v>0</v>
      </c>
      <c r="J46" s="60">
        <f t="shared" si="2"/>
        <v>0</v>
      </c>
      <c r="K46" s="58">
        <f t="shared" si="3"/>
        <v>0</v>
      </c>
      <c r="L46" s="210">
        <v>1054</v>
      </c>
      <c r="M46" s="148">
        <f t="shared" si="4"/>
        <v>0</v>
      </c>
      <c r="N46" s="148">
        <f t="shared" si="5"/>
        <v>10.54</v>
      </c>
      <c r="O46" s="149" t="e">
        <f>N46+$N$137+((BC!$F$125)/$F$74)</f>
        <v>#DIV/0!</v>
      </c>
      <c r="P46" s="222" t="e">
        <f t="shared" si="6"/>
        <v>#DIV/0!</v>
      </c>
      <c r="Q46" s="223" t="e">
        <f t="shared" si="7"/>
        <v>#DIV/0!</v>
      </c>
      <c r="R46" s="223" t="e">
        <f t="shared" si="8"/>
        <v>#DIV/0!</v>
      </c>
      <c r="S46" s="24"/>
      <c r="T46" s="24"/>
      <c r="U46" s="97"/>
      <c r="V46" s="97"/>
      <c r="W46" s="97"/>
      <c r="X46" s="97"/>
      <c r="Y46" s="97"/>
      <c r="Z46" s="97"/>
      <c r="AA46" s="97"/>
      <c r="AB46" s="97"/>
      <c r="AC46" s="97"/>
    </row>
    <row r="47" spans="2:29" ht="11.25" customHeight="1" x14ac:dyDescent="0.45">
      <c r="B47" s="131">
        <v>7528566190</v>
      </c>
      <c r="C47" s="113" t="s">
        <v>229</v>
      </c>
      <c r="D47" s="103">
        <v>350</v>
      </c>
      <c r="E47" s="103">
        <v>84</v>
      </c>
      <c r="F47" s="145">
        <f>'c311'!E47</f>
        <v>0</v>
      </c>
      <c r="G47" s="60">
        <f t="shared" si="0"/>
        <v>0</v>
      </c>
      <c r="H47" s="60">
        <f>30*BC!B85/E47</f>
        <v>0</v>
      </c>
      <c r="I47" s="60">
        <f t="shared" si="1"/>
        <v>0</v>
      </c>
      <c r="J47" s="60">
        <f t="shared" si="2"/>
        <v>0</v>
      </c>
      <c r="K47" s="58">
        <f t="shared" si="3"/>
        <v>0</v>
      </c>
      <c r="L47" s="210">
        <v>536</v>
      </c>
      <c r="M47" s="148">
        <f t="shared" si="4"/>
        <v>0</v>
      </c>
      <c r="N47" s="148">
        <f t="shared" si="5"/>
        <v>1.5314285714285714</v>
      </c>
      <c r="O47" s="149" t="e">
        <f>N47+$N$137+((BC!$F$125)/$F$74)</f>
        <v>#DIV/0!</v>
      </c>
      <c r="P47" s="222" t="e">
        <f t="shared" si="6"/>
        <v>#DIV/0!</v>
      </c>
      <c r="Q47" s="223" t="e">
        <f t="shared" si="7"/>
        <v>#DIV/0!</v>
      </c>
      <c r="R47" s="223" t="e">
        <f t="shared" si="8"/>
        <v>#DIV/0!</v>
      </c>
      <c r="S47" s="24"/>
      <c r="T47" s="24"/>
      <c r="U47" s="97"/>
      <c r="V47" s="97"/>
      <c r="W47" s="97"/>
      <c r="X47" s="97"/>
      <c r="Y47" s="97"/>
      <c r="Z47" s="97"/>
      <c r="AA47" s="97"/>
      <c r="AB47" s="97"/>
      <c r="AC47" s="97"/>
    </row>
    <row r="48" spans="2:29" ht="11.25" customHeight="1" x14ac:dyDescent="0.45">
      <c r="B48" s="131">
        <v>3507343190</v>
      </c>
      <c r="C48" s="111" t="s">
        <v>230</v>
      </c>
      <c r="D48" s="103">
        <v>150</v>
      </c>
      <c r="E48" s="103">
        <v>84</v>
      </c>
      <c r="F48" s="145">
        <f>'c311'!E48</f>
        <v>0</v>
      </c>
      <c r="G48" s="60">
        <f t="shared" si="0"/>
        <v>0</v>
      </c>
      <c r="H48" s="60">
        <f>30*BC!B86/E48</f>
        <v>0</v>
      </c>
      <c r="I48" s="60">
        <f t="shared" si="1"/>
        <v>0</v>
      </c>
      <c r="J48" s="60">
        <f t="shared" si="2"/>
        <v>0</v>
      </c>
      <c r="K48" s="58">
        <f t="shared" si="3"/>
        <v>0</v>
      </c>
      <c r="L48" s="210">
        <v>411</v>
      </c>
      <c r="M48" s="148">
        <f t="shared" si="4"/>
        <v>0</v>
      </c>
      <c r="N48" s="148">
        <f t="shared" si="5"/>
        <v>2.74</v>
      </c>
      <c r="O48" s="149" t="e">
        <f>N48+$N$137+((BC!$F$125)/$F$74)</f>
        <v>#DIV/0!</v>
      </c>
      <c r="P48" s="222" t="e">
        <f t="shared" si="6"/>
        <v>#DIV/0!</v>
      </c>
      <c r="Q48" s="223" t="e">
        <f t="shared" si="7"/>
        <v>#DIV/0!</v>
      </c>
      <c r="R48" s="223" t="e">
        <f t="shared" si="8"/>
        <v>#DIV/0!</v>
      </c>
      <c r="S48" s="24"/>
      <c r="T48" s="24"/>
      <c r="U48" s="97"/>
      <c r="V48" s="97"/>
      <c r="W48" s="97"/>
      <c r="X48" s="97"/>
      <c r="Y48" s="97"/>
      <c r="Z48" s="97"/>
      <c r="AA48" s="97"/>
      <c r="AB48" s="97"/>
      <c r="AC48" s="97"/>
    </row>
    <row r="49" spans="2:29" ht="11.25" customHeight="1" x14ac:dyDescent="0.45">
      <c r="B49" s="131">
        <v>5973058190</v>
      </c>
      <c r="C49" s="124" t="s">
        <v>231</v>
      </c>
      <c r="D49" s="103">
        <v>150</v>
      </c>
      <c r="E49" s="103">
        <v>84</v>
      </c>
      <c r="F49" s="145">
        <f>'c311'!E49</f>
        <v>0</v>
      </c>
      <c r="G49" s="60">
        <f t="shared" si="0"/>
        <v>0</v>
      </c>
      <c r="H49" s="60">
        <f>30*BC!B87/E49</f>
        <v>0</v>
      </c>
      <c r="I49" s="60">
        <f t="shared" si="1"/>
        <v>0</v>
      </c>
      <c r="J49" s="60">
        <f t="shared" si="2"/>
        <v>0</v>
      </c>
      <c r="K49" s="58">
        <f t="shared" si="3"/>
        <v>0</v>
      </c>
      <c r="L49" s="210">
        <v>411</v>
      </c>
      <c r="M49" s="148">
        <f t="shared" si="4"/>
        <v>0</v>
      </c>
      <c r="N49" s="148">
        <f t="shared" si="5"/>
        <v>2.74</v>
      </c>
      <c r="O49" s="149" t="e">
        <f>N49+$N$137+((BC!$F$125)/$F$74)</f>
        <v>#DIV/0!</v>
      </c>
      <c r="P49" s="222" t="e">
        <f t="shared" si="6"/>
        <v>#DIV/0!</v>
      </c>
      <c r="Q49" s="223" t="e">
        <f t="shared" si="7"/>
        <v>#DIV/0!</v>
      </c>
      <c r="R49" s="223" t="e">
        <f t="shared" si="8"/>
        <v>#DIV/0!</v>
      </c>
      <c r="S49" s="24"/>
      <c r="T49" s="24"/>
      <c r="U49" s="97"/>
      <c r="V49" s="97"/>
      <c r="W49" s="97"/>
      <c r="X49" s="97"/>
      <c r="Y49" s="97"/>
      <c r="Z49" s="97"/>
      <c r="AA49" s="97"/>
      <c r="AB49" s="97"/>
      <c r="AC49" s="97"/>
    </row>
    <row r="50" spans="2:29" ht="11.25" customHeight="1" x14ac:dyDescent="0.45">
      <c r="B50" s="131">
        <v>3507432190</v>
      </c>
      <c r="C50" s="111" t="s">
        <v>232</v>
      </c>
      <c r="D50" s="103">
        <v>150</v>
      </c>
      <c r="E50" s="103">
        <v>84</v>
      </c>
      <c r="F50" s="145">
        <f>'c311'!E50</f>
        <v>0</v>
      </c>
      <c r="G50" s="60">
        <f t="shared" si="0"/>
        <v>0</v>
      </c>
      <c r="H50" s="60">
        <f>30*BC!B88/E50</f>
        <v>0</v>
      </c>
      <c r="I50" s="60">
        <f t="shared" si="1"/>
        <v>0</v>
      </c>
      <c r="J50" s="60">
        <f t="shared" si="2"/>
        <v>0</v>
      </c>
      <c r="K50" s="58">
        <f t="shared" si="3"/>
        <v>0</v>
      </c>
      <c r="L50" s="210">
        <v>360</v>
      </c>
      <c r="M50" s="148">
        <f t="shared" si="4"/>
        <v>0</v>
      </c>
      <c r="N50" s="148">
        <f t="shared" si="5"/>
        <v>2.4</v>
      </c>
      <c r="O50" s="149" t="e">
        <f>N50+$N$137+((BC!$F$125)/$F$74)</f>
        <v>#DIV/0!</v>
      </c>
      <c r="P50" s="222" t="e">
        <f t="shared" si="6"/>
        <v>#DIV/0!</v>
      </c>
      <c r="Q50" s="223" t="e">
        <f t="shared" si="7"/>
        <v>#DIV/0!</v>
      </c>
      <c r="R50" s="223" t="e">
        <f t="shared" si="8"/>
        <v>#DIV/0!</v>
      </c>
      <c r="S50" s="24"/>
      <c r="T50" s="24"/>
      <c r="U50" s="97"/>
      <c r="V50" s="97"/>
      <c r="W50" s="97"/>
      <c r="X50" s="97"/>
      <c r="Y50" s="97"/>
      <c r="Z50" s="97"/>
      <c r="AA50" s="97"/>
      <c r="AB50" s="97"/>
      <c r="AC50" s="97"/>
    </row>
    <row r="51" spans="2:29" ht="11.25" customHeight="1" x14ac:dyDescent="0.45">
      <c r="B51" s="131">
        <v>3507190190</v>
      </c>
      <c r="C51" s="111" t="s">
        <v>233</v>
      </c>
      <c r="D51" s="103">
        <v>150</v>
      </c>
      <c r="E51" s="103">
        <v>84</v>
      </c>
      <c r="F51" s="145">
        <f>'c311'!E51</f>
        <v>0</v>
      </c>
      <c r="G51" s="60">
        <f t="shared" si="0"/>
        <v>0</v>
      </c>
      <c r="H51" s="60">
        <f>30*BC!B89/E51</f>
        <v>0</v>
      </c>
      <c r="I51" s="60">
        <f t="shared" si="1"/>
        <v>0</v>
      </c>
      <c r="J51" s="60">
        <f t="shared" si="2"/>
        <v>0</v>
      </c>
      <c r="K51" s="58">
        <f t="shared" si="3"/>
        <v>0</v>
      </c>
      <c r="L51" s="210">
        <v>360</v>
      </c>
      <c r="M51" s="148">
        <f t="shared" si="4"/>
        <v>0</v>
      </c>
      <c r="N51" s="148">
        <f t="shared" si="5"/>
        <v>2.4</v>
      </c>
      <c r="O51" s="149" t="e">
        <f>N51+$N$137+((BC!$F$125)/$F$74)</f>
        <v>#DIV/0!</v>
      </c>
      <c r="P51" s="222" t="e">
        <f t="shared" si="6"/>
        <v>#DIV/0!</v>
      </c>
      <c r="Q51" s="223" t="e">
        <f t="shared" si="7"/>
        <v>#DIV/0!</v>
      </c>
      <c r="R51" s="223" t="e">
        <f t="shared" si="8"/>
        <v>#DIV/0!</v>
      </c>
      <c r="S51" s="24"/>
      <c r="T51" s="24"/>
      <c r="U51" s="97"/>
      <c r="V51" s="97"/>
      <c r="W51" s="97"/>
      <c r="X51" s="97"/>
      <c r="Y51" s="97"/>
      <c r="Z51" s="97"/>
      <c r="AA51" s="97"/>
      <c r="AB51" s="97"/>
      <c r="AC51" s="97"/>
    </row>
    <row r="52" spans="2:29" ht="11.25" customHeight="1" x14ac:dyDescent="0.45">
      <c r="B52" s="131">
        <v>3183696122</v>
      </c>
      <c r="C52" s="112" t="s">
        <v>234</v>
      </c>
      <c r="D52" s="103">
        <v>200</v>
      </c>
      <c r="E52" s="103">
        <v>42</v>
      </c>
      <c r="F52" s="145">
        <f>'c311'!E52</f>
        <v>0</v>
      </c>
      <c r="G52" s="60">
        <f t="shared" si="0"/>
        <v>0</v>
      </c>
      <c r="H52" s="60">
        <f>30*BC!B90/E52</f>
        <v>0</v>
      </c>
      <c r="I52" s="60">
        <f t="shared" si="1"/>
        <v>0</v>
      </c>
      <c r="J52" s="60">
        <f t="shared" si="2"/>
        <v>0</v>
      </c>
      <c r="K52" s="58">
        <f t="shared" si="3"/>
        <v>0</v>
      </c>
      <c r="L52" s="210">
        <v>78</v>
      </c>
      <c r="M52" s="148">
        <f t="shared" si="4"/>
        <v>0</v>
      </c>
      <c r="N52" s="148">
        <f t="shared" si="5"/>
        <v>0.39</v>
      </c>
      <c r="O52" s="149" t="e">
        <f>N52+$N$137+((BC!$F$125)/$F$74)</f>
        <v>#DIV/0!</v>
      </c>
      <c r="P52" s="222" t="e">
        <f t="shared" si="6"/>
        <v>#DIV/0!</v>
      </c>
      <c r="Q52" s="223" t="e">
        <f t="shared" si="7"/>
        <v>#DIV/0!</v>
      </c>
      <c r="R52" s="223" t="e">
        <f t="shared" si="8"/>
        <v>#DIV/0!</v>
      </c>
      <c r="S52" s="24"/>
      <c r="T52" s="24"/>
      <c r="U52" s="97"/>
      <c r="V52" s="97"/>
      <c r="W52" s="97"/>
      <c r="X52" s="97"/>
      <c r="Y52" s="97"/>
      <c r="Z52" s="97"/>
      <c r="AA52" s="97"/>
      <c r="AB52" s="97"/>
      <c r="AC52" s="97"/>
    </row>
    <row r="53" spans="2:29" ht="11.25" customHeight="1" x14ac:dyDescent="0.45">
      <c r="B53" s="131">
        <v>6749976190</v>
      </c>
      <c r="C53" s="111" t="s">
        <v>235</v>
      </c>
      <c r="D53" s="103">
        <v>100</v>
      </c>
      <c r="E53" s="103">
        <v>84</v>
      </c>
      <c r="F53" s="145">
        <f>'c311'!E53</f>
        <v>0</v>
      </c>
      <c r="G53" s="60">
        <f t="shared" si="0"/>
        <v>0</v>
      </c>
      <c r="H53" s="60">
        <f>30*BC!B91/E53</f>
        <v>0</v>
      </c>
      <c r="I53" s="60">
        <f t="shared" si="1"/>
        <v>0</v>
      </c>
      <c r="J53" s="60">
        <f t="shared" si="2"/>
        <v>0</v>
      </c>
      <c r="K53" s="58">
        <f t="shared" si="3"/>
        <v>0</v>
      </c>
      <c r="L53" s="210">
        <v>474</v>
      </c>
      <c r="M53" s="148">
        <f t="shared" si="4"/>
        <v>0</v>
      </c>
      <c r="N53" s="148">
        <f t="shared" si="5"/>
        <v>4.74</v>
      </c>
      <c r="O53" s="149" t="e">
        <f>N53+$N$137+((BC!$F$125)/$F$74)</f>
        <v>#DIV/0!</v>
      </c>
      <c r="P53" s="222" t="e">
        <f t="shared" si="6"/>
        <v>#DIV/0!</v>
      </c>
      <c r="Q53" s="223" t="e">
        <f t="shared" si="7"/>
        <v>#DIV/0!</v>
      </c>
      <c r="R53" s="223" t="e">
        <f t="shared" si="8"/>
        <v>#DIV/0!</v>
      </c>
      <c r="S53" s="24"/>
      <c r="T53" s="24"/>
      <c r="U53" s="97"/>
      <c r="V53" s="97"/>
      <c r="W53" s="97"/>
      <c r="X53" s="97"/>
      <c r="Y53" s="97"/>
      <c r="Z53" s="97"/>
      <c r="AA53" s="97"/>
      <c r="AB53" s="97"/>
      <c r="AC53" s="97"/>
    </row>
    <row r="54" spans="2:29" ht="11.25" customHeight="1" x14ac:dyDescent="0.45">
      <c r="B54" s="131">
        <v>3183700190</v>
      </c>
      <c r="C54" s="112" t="s">
        <v>236</v>
      </c>
      <c r="D54" s="103">
        <v>100</v>
      </c>
      <c r="E54" s="103">
        <v>84</v>
      </c>
      <c r="F54" s="145">
        <f>'c311'!E54</f>
        <v>0</v>
      </c>
      <c r="G54" s="60">
        <f t="shared" si="0"/>
        <v>0</v>
      </c>
      <c r="H54" s="60">
        <f>30*BC!B92/E54</f>
        <v>0</v>
      </c>
      <c r="I54" s="60">
        <f t="shared" si="1"/>
        <v>0</v>
      </c>
      <c r="J54" s="60">
        <f t="shared" si="2"/>
        <v>0</v>
      </c>
      <c r="K54" s="58">
        <f t="shared" si="3"/>
        <v>0</v>
      </c>
      <c r="L54" s="210">
        <v>152</v>
      </c>
      <c r="M54" s="148">
        <f t="shared" si="4"/>
        <v>0</v>
      </c>
      <c r="N54" s="148">
        <f t="shared" si="5"/>
        <v>1.52</v>
      </c>
      <c r="O54" s="149" t="e">
        <f>N54+$N$137+((BC!$F$125)/$F$74)</f>
        <v>#DIV/0!</v>
      </c>
      <c r="P54" s="222" t="e">
        <f t="shared" si="6"/>
        <v>#DIV/0!</v>
      </c>
      <c r="Q54" s="223" t="e">
        <f t="shared" si="7"/>
        <v>#DIV/0!</v>
      </c>
      <c r="R54" s="223" t="e">
        <f t="shared" si="8"/>
        <v>#DIV/0!</v>
      </c>
      <c r="S54" s="24"/>
      <c r="T54" s="24"/>
      <c r="U54" s="97"/>
      <c r="V54" s="97"/>
      <c r="W54" s="97"/>
      <c r="X54" s="97"/>
      <c r="Y54" s="97"/>
      <c r="Z54" s="97"/>
      <c r="AA54" s="97"/>
      <c r="AB54" s="97"/>
      <c r="AC54" s="97"/>
    </row>
    <row r="55" spans="2:29" ht="11.25" customHeight="1" x14ac:dyDescent="0.45">
      <c r="B55" s="131">
        <v>6749992190</v>
      </c>
      <c r="C55" s="111" t="s">
        <v>237</v>
      </c>
      <c r="D55" s="103">
        <v>100</v>
      </c>
      <c r="E55" s="103">
        <v>84</v>
      </c>
      <c r="F55" s="145">
        <f>'c311'!E55</f>
        <v>0</v>
      </c>
      <c r="G55" s="60">
        <f t="shared" si="0"/>
        <v>0</v>
      </c>
      <c r="H55" s="60">
        <f>30*BC!B93/E55</f>
        <v>0</v>
      </c>
      <c r="I55" s="60">
        <f t="shared" si="1"/>
        <v>0</v>
      </c>
      <c r="J55" s="60">
        <f t="shared" si="2"/>
        <v>0</v>
      </c>
      <c r="K55" s="58">
        <f t="shared" si="3"/>
        <v>0</v>
      </c>
      <c r="L55" s="210">
        <v>706</v>
      </c>
      <c r="M55" s="148">
        <f t="shared" si="4"/>
        <v>0</v>
      </c>
      <c r="N55" s="148">
        <f t="shared" si="5"/>
        <v>7.06</v>
      </c>
      <c r="O55" s="149" t="e">
        <f>N55+$N$137+((BC!$F$125)/$F$74)</f>
        <v>#DIV/0!</v>
      </c>
      <c r="P55" s="222" t="e">
        <f t="shared" si="6"/>
        <v>#DIV/0!</v>
      </c>
      <c r="Q55" s="223" t="e">
        <f t="shared" si="7"/>
        <v>#DIV/0!</v>
      </c>
      <c r="R55" s="223" t="e">
        <f t="shared" si="8"/>
        <v>#DIV/0!</v>
      </c>
      <c r="S55" s="24"/>
      <c r="T55" s="24"/>
      <c r="U55" s="97"/>
      <c r="V55" s="97"/>
      <c r="W55" s="97"/>
      <c r="X55" s="97"/>
      <c r="Y55" s="97"/>
      <c r="Z55" s="97"/>
      <c r="AA55" s="97"/>
      <c r="AB55" s="97"/>
      <c r="AC55" s="97"/>
    </row>
    <row r="56" spans="2:29" ht="11.25" customHeight="1" x14ac:dyDescent="0.45">
      <c r="B56" s="131">
        <v>3004732122</v>
      </c>
      <c r="C56" s="112" t="s">
        <v>238</v>
      </c>
      <c r="D56" s="103">
        <v>300</v>
      </c>
      <c r="E56" s="103">
        <v>84</v>
      </c>
      <c r="F56" s="145">
        <f>'c311'!E56</f>
        <v>0</v>
      </c>
      <c r="G56" s="60">
        <f t="shared" si="0"/>
        <v>0</v>
      </c>
      <c r="H56" s="60">
        <f>30*BC!B94/E56</f>
        <v>0</v>
      </c>
      <c r="I56" s="60">
        <f t="shared" si="1"/>
        <v>0</v>
      </c>
      <c r="J56" s="60">
        <f t="shared" si="2"/>
        <v>0</v>
      </c>
      <c r="K56" s="58">
        <f t="shared" si="3"/>
        <v>0</v>
      </c>
      <c r="L56" s="210">
        <v>114</v>
      </c>
      <c r="M56" s="148">
        <f t="shared" si="4"/>
        <v>0</v>
      </c>
      <c r="N56" s="148">
        <f t="shared" si="5"/>
        <v>0.38</v>
      </c>
      <c r="O56" s="149" t="e">
        <f>N56+$N$137+((BC!$F$125)/$F$74)</f>
        <v>#DIV/0!</v>
      </c>
      <c r="P56" s="222" t="e">
        <f t="shared" si="6"/>
        <v>#DIV/0!</v>
      </c>
      <c r="Q56" s="223" t="e">
        <f t="shared" si="7"/>
        <v>#DIV/0!</v>
      </c>
      <c r="R56" s="223" t="e">
        <f t="shared" si="8"/>
        <v>#DIV/0!</v>
      </c>
      <c r="S56" s="24"/>
      <c r="T56" s="24"/>
      <c r="U56" s="97"/>
      <c r="V56" s="97"/>
      <c r="W56" s="97"/>
      <c r="X56" s="97"/>
      <c r="Y56" s="97"/>
      <c r="Z56" s="97"/>
      <c r="AA56" s="97"/>
      <c r="AB56" s="97"/>
      <c r="AC56" s="97"/>
    </row>
    <row r="57" spans="2:29" ht="11.25" customHeight="1" x14ac:dyDescent="0.45">
      <c r="B57" s="131">
        <v>7005717190</v>
      </c>
      <c r="C57" s="113" t="s">
        <v>239</v>
      </c>
      <c r="D57" s="103">
        <v>200</v>
      </c>
      <c r="E57" s="103">
        <v>84</v>
      </c>
      <c r="F57" s="145">
        <f>'c311'!E57</f>
        <v>0</v>
      </c>
      <c r="G57" s="60">
        <f t="shared" si="0"/>
        <v>0</v>
      </c>
      <c r="H57" s="60">
        <f>30*BC!B95/E57</f>
        <v>0</v>
      </c>
      <c r="I57" s="60">
        <f t="shared" si="1"/>
        <v>0</v>
      </c>
      <c r="J57" s="60">
        <f t="shared" si="2"/>
        <v>0</v>
      </c>
      <c r="K57" s="58">
        <f t="shared" si="3"/>
        <v>0</v>
      </c>
      <c r="L57" s="210">
        <v>308</v>
      </c>
      <c r="M57" s="148">
        <f t="shared" si="4"/>
        <v>0</v>
      </c>
      <c r="N57" s="148">
        <f t="shared" si="5"/>
        <v>1.54</v>
      </c>
      <c r="O57" s="149" t="e">
        <f>N57+$N$137+((BC!$F$125)/$F$74)</f>
        <v>#DIV/0!</v>
      </c>
      <c r="P57" s="222" t="e">
        <f t="shared" si="6"/>
        <v>#DIV/0!</v>
      </c>
      <c r="Q57" s="223" t="e">
        <f t="shared" si="7"/>
        <v>#DIV/0!</v>
      </c>
      <c r="R57" s="223" t="e">
        <f t="shared" si="8"/>
        <v>#DIV/0!</v>
      </c>
      <c r="S57" s="24"/>
      <c r="T57" s="24"/>
      <c r="U57" s="97"/>
      <c r="V57" s="97"/>
      <c r="W57" s="97"/>
      <c r="X57" s="97"/>
      <c r="Y57" s="97"/>
      <c r="Z57" s="97"/>
      <c r="AA57" s="97"/>
      <c r="AB57" s="97"/>
      <c r="AC57" s="97"/>
    </row>
    <row r="58" spans="2:29" ht="11.25" customHeight="1" x14ac:dyDescent="0.45">
      <c r="B58" s="131">
        <v>3029590322</v>
      </c>
      <c r="C58" s="112" t="s">
        <v>240</v>
      </c>
      <c r="D58" s="103">
        <v>200</v>
      </c>
      <c r="E58" s="103">
        <v>28</v>
      </c>
      <c r="F58" s="145">
        <f>'c311'!E58</f>
        <v>0</v>
      </c>
      <c r="G58" s="60">
        <f t="shared" si="0"/>
        <v>0</v>
      </c>
      <c r="H58" s="60">
        <f>30*BC!B96/E58</f>
        <v>0</v>
      </c>
      <c r="I58" s="60">
        <f t="shared" si="1"/>
        <v>0</v>
      </c>
      <c r="J58" s="60">
        <f t="shared" si="2"/>
        <v>0</v>
      </c>
      <c r="K58" s="58">
        <f t="shared" si="3"/>
        <v>0</v>
      </c>
      <c r="L58" s="210">
        <v>190</v>
      </c>
      <c r="M58" s="148">
        <f t="shared" si="4"/>
        <v>0</v>
      </c>
      <c r="N58" s="148">
        <f t="shared" si="5"/>
        <v>0.95</v>
      </c>
      <c r="O58" s="149" t="e">
        <f>N58+$N$137+((BC!$F$125)/$F$74)</f>
        <v>#DIV/0!</v>
      </c>
      <c r="P58" s="222" t="e">
        <f t="shared" si="6"/>
        <v>#DIV/0!</v>
      </c>
      <c r="Q58" s="223" t="e">
        <f t="shared" si="7"/>
        <v>#DIV/0!</v>
      </c>
      <c r="R58" s="223" t="e">
        <f t="shared" si="8"/>
        <v>#DIV/0!</v>
      </c>
      <c r="S58" s="24"/>
      <c r="T58" s="24"/>
      <c r="U58" s="97"/>
      <c r="V58" s="97"/>
      <c r="W58" s="97"/>
      <c r="X58" s="97"/>
      <c r="Y58" s="97"/>
      <c r="Z58" s="97"/>
      <c r="AA58" s="97"/>
      <c r="AB58" s="97"/>
      <c r="AC58" s="97"/>
    </row>
    <row r="59" spans="2:29" ht="11.25" customHeight="1" x14ac:dyDescent="0.45">
      <c r="B59" s="140">
        <v>5852625190</v>
      </c>
      <c r="C59" s="125" t="s">
        <v>241</v>
      </c>
      <c r="D59" s="103">
        <v>150</v>
      </c>
      <c r="E59" s="103">
        <v>42</v>
      </c>
      <c r="F59" s="145">
        <f>'c311'!E59</f>
        <v>0</v>
      </c>
      <c r="G59" s="60">
        <f t="shared" si="0"/>
        <v>0</v>
      </c>
      <c r="H59" s="60">
        <f>30*BC!B97/E59</f>
        <v>0</v>
      </c>
      <c r="I59" s="60">
        <f t="shared" si="1"/>
        <v>0</v>
      </c>
      <c r="J59" s="60">
        <f t="shared" si="2"/>
        <v>0</v>
      </c>
      <c r="K59" s="58">
        <f t="shared" si="3"/>
        <v>0</v>
      </c>
      <c r="L59" s="210">
        <v>1479</v>
      </c>
      <c r="M59" s="148">
        <f t="shared" si="4"/>
        <v>0</v>
      </c>
      <c r="N59" s="148">
        <f t="shared" si="5"/>
        <v>9.86</v>
      </c>
      <c r="O59" s="149" t="e">
        <f>N59+$N$137+((BC!$F$125)/$F$74)</f>
        <v>#DIV/0!</v>
      </c>
      <c r="P59" s="222" t="e">
        <f t="shared" si="6"/>
        <v>#DIV/0!</v>
      </c>
      <c r="Q59" s="223" t="e">
        <f t="shared" si="7"/>
        <v>#DIV/0!</v>
      </c>
      <c r="R59" s="223" t="e">
        <f t="shared" si="8"/>
        <v>#DIV/0!</v>
      </c>
      <c r="S59" s="24"/>
      <c r="T59" s="24"/>
      <c r="U59" s="97"/>
      <c r="V59" s="97"/>
      <c r="W59" s="97"/>
      <c r="X59" s="97"/>
      <c r="Y59" s="97"/>
      <c r="Z59" s="97"/>
      <c r="AA59" s="97"/>
      <c r="AB59" s="97"/>
      <c r="AC59" s="97"/>
    </row>
    <row r="60" spans="2:29" ht="11.25" customHeight="1" x14ac:dyDescent="0.45">
      <c r="B60" s="141">
        <v>6481647190</v>
      </c>
      <c r="C60" s="126" t="s">
        <v>242</v>
      </c>
      <c r="D60" s="103">
        <v>250</v>
      </c>
      <c r="E60" s="103">
        <v>84</v>
      </c>
      <c r="F60" s="145">
        <f>'c311'!E60</f>
        <v>0</v>
      </c>
      <c r="G60" s="60">
        <f t="shared" si="0"/>
        <v>0</v>
      </c>
      <c r="H60" s="60">
        <f>30*BC!B98/E60</f>
        <v>0</v>
      </c>
      <c r="I60" s="60">
        <f t="shared" si="1"/>
        <v>0</v>
      </c>
      <c r="J60" s="60">
        <f t="shared" si="2"/>
        <v>0</v>
      </c>
      <c r="K60" s="58">
        <f t="shared" si="3"/>
        <v>0</v>
      </c>
      <c r="L60" s="210">
        <v>165</v>
      </c>
      <c r="M60" s="148">
        <f t="shared" si="4"/>
        <v>0</v>
      </c>
      <c r="N60" s="148">
        <f t="shared" si="5"/>
        <v>0.66</v>
      </c>
      <c r="O60" s="149" t="e">
        <f>N60+$N$137+((BC!$F$125)/$F$74)</f>
        <v>#DIV/0!</v>
      </c>
      <c r="P60" s="222" t="e">
        <f t="shared" si="6"/>
        <v>#DIV/0!</v>
      </c>
      <c r="Q60" s="223" t="e">
        <f t="shared" si="7"/>
        <v>#DIV/0!</v>
      </c>
      <c r="R60" s="223" t="e">
        <f t="shared" si="8"/>
        <v>#DIV/0!</v>
      </c>
      <c r="S60" s="24"/>
      <c r="T60" s="24"/>
      <c r="U60" s="97"/>
      <c r="V60" s="97"/>
      <c r="W60" s="97"/>
      <c r="X60" s="97"/>
      <c r="Y60" s="97"/>
      <c r="Z60" s="97"/>
      <c r="AA60" s="97"/>
      <c r="AB60" s="97"/>
      <c r="AC60" s="97"/>
    </row>
    <row r="61" spans="2:29" ht="11.25" customHeight="1" x14ac:dyDescent="0.45">
      <c r="B61" s="142">
        <v>7229593190</v>
      </c>
      <c r="C61" s="109" t="s">
        <v>312</v>
      </c>
      <c r="D61" s="103">
        <v>150</v>
      </c>
      <c r="E61" s="103">
        <v>56</v>
      </c>
      <c r="F61" s="145">
        <f>'c311'!E61</f>
        <v>0</v>
      </c>
      <c r="G61" s="60">
        <f t="shared" si="0"/>
        <v>0</v>
      </c>
      <c r="H61" s="60">
        <f>30*BC!B99/E61</f>
        <v>0</v>
      </c>
      <c r="I61" s="60">
        <f t="shared" si="1"/>
        <v>0</v>
      </c>
      <c r="J61" s="60">
        <f t="shared" si="2"/>
        <v>0</v>
      </c>
      <c r="K61" s="58">
        <f t="shared" si="3"/>
        <v>0</v>
      </c>
      <c r="L61" s="210">
        <v>348</v>
      </c>
      <c r="M61" s="148">
        <f t="shared" si="4"/>
        <v>0</v>
      </c>
      <c r="N61" s="148">
        <f t="shared" si="5"/>
        <v>2.3199999999999998</v>
      </c>
      <c r="O61" s="149" t="e">
        <f>N61+$N$137+((BC!$F$125)/$F$74)</f>
        <v>#DIV/0!</v>
      </c>
      <c r="P61" s="222" t="e">
        <f t="shared" si="6"/>
        <v>#DIV/0!</v>
      </c>
      <c r="Q61" s="223" t="e">
        <f t="shared" si="7"/>
        <v>#DIV/0!</v>
      </c>
      <c r="R61" s="223" t="e">
        <f t="shared" si="8"/>
        <v>#DIV/0!</v>
      </c>
      <c r="S61" s="24"/>
      <c r="T61" s="24"/>
      <c r="U61" s="97"/>
      <c r="V61" s="97"/>
      <c r="W61" s="97"/>
      <c r="X61" s="97"/>
      <c r="Y61" s="97"/>
      <c r="Z61" s="97"/>
      <c r="AA61" s="97"/>
      <c r="AB61" s="97"/>
      <c r="AC61" s="97"/>
    </row>
    <row r="62" spans="2:29" ht="11.25" customHeight="1" x14ac:dyDescent="0.45">
      <c r="B62" s="141">
        <v>3183793122</v>
      </c>
      <c r="C62" s="126" t="s">
        <v>243</v>
      </c>
      <c r="D62" s="103">
        <v>250</v>
      </c>
      <c r="E62" s="103">
        <v>84</v>
      </c>
      <c r="F62" s="145">
        <f>'c311'!E62</f>
        <v>0</v>
      </c>
      <c r="G62" s="60">
        <f t="shared" si="0"/>
        <v>0</v>
      </c>
      <c r="H62" s="60" t="e">
        <f>30*BC!B100/E62</f>
        <v>#VALUE!</v>
      </c>
      <c r="I62" s="60" t="e">
        <f t="shared" si="1"/>
        <v>#VALUE!</v>
      </c>
      <c r="J62" s="60">
        <f t="shared" si="2"/>
        <v>0</v>
      </c>
      <c r="K62" s="58">
        <f t="shared" si="3"/>
        <v>0</v>
      </c>
      <c r="L62" s="210">
        <v>68</v>
      </c>
      <c r="M62" s="148">
        <f t="shared" si="4"/>
        <v>0</v>
      </c>
      <c r="N62" s="148">
        <f t="shared" si="5"/>
        <v>0.27200000000000002</v>
      </c>
      <c r="O62" s="149" t="e">
        <f>N62+$N$137+((BC!$F$125)/$F$74)</f>
        <v>#DIV/0!</v>
      </c>
      <c r="P62" s="222" t="e">
        <f t="shared" si="6"/>
        <v>#DIV/0!</v>
      </c>
      <c r="Q62" s="223" t="e">
        <f t="shared" si="7"/>
        <v>#DIV/0!</v>
      </c>
      <c r="R62" s="223" t="e">
        <f t="shared" si="8"/>
        <v>#DIV/0!</v>
      </c>
      <c r="S62" s="24"/>
      <c r="T62" s="24"/>
      <c r="U62" s="97"/>
      <c r="V62" s="97"/>
      <c r="W62" s="97"/>
      <c r="X62" s="97"/>
      <c r="Y62" s="97"/>
      <c r="Z62" s="97"/>
      <c r="AA62" s="97"/>
      <c r="AB62" s="97"/>
      <c r="AC62" s="97"/>
    </row>
    <row r="63" spans="2:29" ht="11.25" customHeight="1" x14ac:dyDescent="0.45">
      <c r="B63" s="141">
        <v>20764655322</v>
      </c>
      <c r="C63" s="114" t="s">
        <v>244</v>
      </c>
      <c r="D63" s="103">
        <v>100</v>
      </c>
      <c r="E63" s="103">
        <v>56</v>
      </c>
      <c r="F63" s="145">
        <f>'c311'!E63</f>
        <v>0</v>
      </c>
      <c r="G63" s="60">
        <f t="shared" si="0"/>
        <v>0</v>
      </c>
      <c r="H63" s="60">
        <f>30*BC!B101/E63</f>
        <v>0</v>
      </c>
      <c r="I63" s="60">
        <f t="shared" si="1"/>
        <v>0</v>
      </c>
      <c r="J63" s="60">
        <f t="shared" si="2"/>
        <v>0</v>
      </c>
      <c r="K63" s="58">
        <f t="shared" si="3"/>
        <v>0</v>
      </c>
      <c r="L63" s="210">
        <v>465</v>
      </c>
      <c r="M63" s="148">
        <f t="shared" si="4"/>
        <v>0</v>
      </c>
      <c r="N63" s="148">
        <f t="shared" si="5"/>
        <v>4.6500000000000004</v>
      </c>
      <c r="O63" s="149" t="e">
        <f>N63+$N$137+((BC!$F$125)/$F$74)</f>
        <v>#DIV/0!</v>
      </c>
      <c r="P63" s="222" t="e">
        <f t="shared" si="6"/>
        <v>#DIV/0!</v>
      </c>
      <c r="Q63" s="223" t="e">
        <f t="shared" si="7"/>
        <v>#DIV/0!</v>
      </c>
      <c r="R63" s="223" t="e">
        <f t="shared" si="8"/>
        <v>#DIV/0!</v>
      </c>
      <c r="S63" s="24"/>
      <c r="T63" s="24"/>
      <c r="U63" s="97"/>
      <c r="V63" s="97"/>
      <c r="W63" s="97"/>
      <c r="X63" s="97"/>
      <c r="Y63" s="97"/>
      <c r="Z63" s="97"/>
      <c r="AA63" s="97"/>
      <c r="AB63" s="97"/>
      <c r="AC63" s="97"/>
    </row>
    <row r="64" spans="2:29" ht="11.25" customHeight="1" x14ac:dyDescent="0.45">
      <c r="B64" s="143">
        <v>20764574322</v>
      </c>
      <c r="C64" s="127" t="s">
        <v>245</v>
      </c>
      <c r="D64" s="103">
        <v>100</v>
      </c>
      <c r="E64" s="103">
        <v>56</v>
      </c>
      <c r="F64" s="145">
        <f>'c311'!E64</f>
        <v>0</v>
      </c>
      <c r="G64" s="60">
        <f t="shared" si="0"/>
        <v>0</v>
      </c>
      <c r="H64" s="60">
        <f>30*BC!B102/E64</f>
        <v>0</v>
      </c>
      <c r="I64" s="60">
        <f t="shared" si="1"/>
        <v>0</v>
      </c>
      <c r="J64" s="60">
        <f t="shared" si="2"/>
        <v>0</v>
      </c>
      <c r="K64" s="58">
        <f t="shared" si="3"/>
        <v>0</v>
      </c>
      <c r="L64" s="210">
        <v>311</v>
      </c>
      <c r="M64" s="148">
        <f t="shared" si="4"/>
        <v>0</v>
      </c>
      <c r="N64" s="148">
        <f t="shared" si="5"/>
        <v>3.11</v>
      </c>
      <c r="O64" s="149" t="e">
        <f>N64+$N$137+((BC!$F$125)/$F$74)</f>
        <v>#DIV/0!</v>
      </c>
      <c r="P64" s="222" t="e">
        <f t="shared" si="6"/>
        <v>#DIV/0!</v>
      </c>
      <c r="Q64" s="223" t="e">
        <f t="shared" si="7"/>
        <v>#DIV/0!</v>
      </c>
      <c r="R64" s="223" t="e">
        <f t="shared" si="8"/>
        <v>#DIV/0!</v>
      </c>
      <c r="S64" s="24"/>
      <c r="T64" s="24"/>
      <c r="U64" s="97"/>
      <c r="V64" s="97"/>
      <c r="W64" s="97"/>
      <c r="X64" s="97"/>
      <c r="Y64" s="97"/>
      <c r="Z64" s="97"/>
      <c r="AA64" s="97"/>
      <c r="AB64" s="97"/>
      <c r="AC64" s="97"/>
    </row>
    <row r="65" spans="2:29" ht="11.25" customHeight="1" x14ac:dyDescent="0.45">
      <c r="B65" s="144">
        <v>7227841190</v>
      </c>
      <c r="C65" s="128" t="s">
        <v>246</v>
      </c>
      <c r="D65" s="103">
        <v>100</v>
      </c>
      <c r="E65" s="103">
        <v>182</v>
      </c>
      <c r="F65" s="145">
        <f>'c311'!E65</f>
        <v>0</v>
      </c>
      <c r="G65" s="60">
        <f t="shared" si="0"/>
        <v>0</v>
      </c>
      <c r="H65" s="60">
        <f>30*BC!B103/E65</f>
        <v>0</v>
      </c>
      <c r="I65" s="60">
        <f t="shared" si="1"/>
        <v>0</v>
      </c>
      <c r="J65" s="60">
        <f t="shared" si="2"/>
        <v>0</v>
      </c>
      <c r="K65" s="58">
        <f t="shared" si="3"/>
        <v>0</v>
      </c>
      <c r="L65" s="210">
        <v>445</v>
      </c>
      <c r="M65" s="148">
        <f t="shared" si="4"/>
        <v>0</v>
      </c>
      <c r="N65" s="148">
        <f t="shared" si="5"/>
        <v>4.45</v>
      </c>
      <c r="O65" s="149" t="e">
        <f>N65+$N$137+((BC!$F$125)/$F$74)</f>
        <v>#DIV/0!</v>
      </c>
      <c r="P65" s="222" t="e">
        <f t="shared" si="6"/>
        <v>#DIV/0!</v>
      </c>
      <c r="Q65" s="223" t="e">
        <f t="shared" si="7"/>
        <v>#DIV/0!</v>
      </c>
      <c r="R65" s="223" t="e">
        <f t="shared" si="8"/>
        <v>#DIV/0!</v>
      </c>
      <c r="S65" s="24"/>
      <c r="T65" s="24"/>
      <c r="U65" s="97"/>
      <c r="V65" s="97"/>
      <c r="W65" s="97"/>
      <c r="X65" s="97"/>
      <c r="Y65" s="97"/>
      <c r="Z65" s="97"/>
      <c r="AA65" s="97"/>
      <c r="AB65" s="97"/>
      <c r="AC65" s="97"/>
    </row>
    <row r="66" spans="2:29" ht="11.25" customHeight="1" x14ac:dyDescent="0.45">
      <c r="B66" s="134">
        <v>4491009190</v>
      </c>
      <c r="C66" s="118" t="s">
        <v>247</v>
      </c>
      <c r="D66" s="103">
        <v>200</v>
      </c>
      <c r="E66" s="103">
        <v>56</v>
      </c>
      <c r="F66" s="145">
        <f>'c311'!E66</f>
        <v>0</v>
      </c>
      <c r="G66" s="60">
        <f t="shared" si="0"/>
        <v>0</v>
      </c>
      <c r="H66" s="60">
        <f>30*BC!B104/E66</f>
        <v>0</v>
      </c>
      <c r="I66" s="60">
        <f t="shared" si="1"/>
        <v>0</v>
      </c>
      <c r="J66" s="60">
        <f t="shared" si="2"/>
        <v>0</v>
      </c>
      <c r="K66" s="58">
        <f t="shared" si="3"/>
        <v>0</v>
      </c>
      <c r="L66" s="210">
        <v>130</v>
      </c>
      <c r="M66" s="148">
        <f t="shared" si="4"/>
        <v>0</v>
      </c>
      <c r="N66" s="148">
        <f t="shared" si="5"/>
        <v>0.65</v>
      </c>
      <c r="O66" s="149" t="e">
        <f>N66+$N$137+((BC!$F$125)/$F$74)</f>
        <v>#DIV/0!</v>
      </c>
      <c r="P66" s="222" t="e">
        <f t="shared" si="6"/>
        <v>#DIV/0!</v>
      </c>
      <c r="Q66" s="223" t="e">
        <f t="shared" si="7"/>
        <v>#DIV/0!</v>
      </c>
      <c r="R66" s="223" t="e">
        <f t="shared" si="8"/>
        <v>#DIV/0!</v>
      </c>
      <c r="S66" s="24"/>
      <c r="T66" s="24"/>
      <c r="U66" s="97"/>
      <c r="V66" s="97"/>
      <c r="W66" s="97"/>
      <c r="X66" s="97"/>
      <c r="Y66" s="97"/>
      <c r="Z66" s="97"/>
      <c r="AA66" s="97"/>
      <c r="AB66" s="97"/>
      <c r="AC66" s="97"/>
    </row>
    <row r="67" spans="2:29" ht="11.25" customHeight="1" x14ac:dyDescent="0.45">
      <c r="B67" s="131">
        <v>3183734190</v>
      </c>
      <c r="C67" s="112" t="s">
        <v>248</v>
      </c>
      <c r="D67" s="103">
        <v>300</v>
      </c>
      <c r="E67" s="103">
        <v>28</v>
      </c>
      <c r="F67" s="145">
        <f>'c311'!E67</f>
        <v>0</v>
      </c>
      <c r="G67" s="60">
        <f t="shared" si="0"/>
        <v>0</v>
      </c>
      <c r="H67" s="60" t="e">
        <f>30*BC!B105/E67</f>
        <v>#VALUE!</v>
      </c>
      <c r="I67" s="60" t="e">
        <f t="shared" si="1"/>
        <v>#VALUE!</v>
      </c>
      <c r="J67" s="60">
        <f t="shared" si="2"/>
        <v>0</v>
      </c>
      <c r="K67" s="58">
        <f t="shared" si="3"/>
        <v>0</v>
      </c>
      <c r="L67" s="210">
        <v>57</v>
      </c>
      <c r="M67" s="148">
        <f t="shared" si="4"/>
        <v>0</v>
      </c>
      <c r="N67" s="148">
        <f t="shared" si="5"/>
        <v>0.19</v>
      </c>
      <c r="O67" s="149" t="e">
        <f>N67+$N$137+((BC!$F$125)/$F$74)</f>
        <v>#DIV/0!</v>
      </c>
      <c r="P67" s="222" t="e">
        <f t="shared" si="6"/>
        <v>#DIV/0!</v>
      </c>
      <c r="Q67" s="223" t="e">
        <f t="shared" si="7"/>
        <v>#DIV/0!</v>
      </c>
      <c r="R67" s="223" t="e">
        <f t="shared" si="8"/>
        <v>#DIV/0!</v>
      </c>
      <c r="S67" s="24"/>
      <c r="T67" s="24"/>
      <c r="U67" s="97"/>
      <c r="V67" s="97"/>
      <c r="W67" s="97"/>
      <c r="X67" s="97"/>
      <c r="Y67" s="97"/>
      <c r="Z67" s="97"/>
      <c r="AA67" s="97"/>
      <c r="AB67" s="97"/>
      <c r="AC67" s="97"/>
    </row>
    <row r="68" spans="2:29" ht="11.25" customHeight="1" x14ac:dyDescent="0.45">
      <c r="B68" s="130">
        <v>3333825190</v>
      </c>
      <c r="C68" s="110" t="s">
        <v>249</v>
      </c>
      <c r="D68" s="103">
        <v>150</v>
      </c>
      <c r="E68" s="103">
        <v>84</v>
      </c>
      <c r="F68" s="145">
        <f>'c311'!E68</f>
        <v>0</v>
      </c>
      <c r="G68" s="60">
        <f t="shared" si="0"/>
        <v>0</v>
      </c>
      <c r="H68" s="60" t="e">
        <f>30*BC!B106/E68</f>
        <v>#VALUE!</v>
      </c>
      <c r="I68" s="60" t="e">
        <f t="shared" si="1"/>
        <v>#VALUE!</v>
      </c>
      <c r="J68" s="60">
        <f t="shared" si="2"/>
        <v>0</v>
      </c>
      <c r="K68" s="58">
        <f t="shared" si="3"/>
        <v>0</v>
      </c>
      <c r="L68" s="210">
        <v>213</v>
      </c>
      <c r="M68" s="148">
        <f t="shared" si="4"/>
        <v>0</v>
      </c>
      <c r="N68" s="148">
        <f t="shared" si="5"/>
        <v>1.42</v>
      </c>
      <c r="O68" s="149" t="e">
        <f>N68+$N$137+((BC!$F$125)/$F$74)</f>
        <v>#DIV/0!</v>
      </c>
      <c r="P68" s="222" t="e">
        <f t="shared" si="6"/>
        <v>#DIV/0!</v>
      </c>
      <c r="Q68" s="223" t="e">
        <f t="shared" si="7"/>
        <v>#DIV/0!</v>
      </c>
      <c r="R68" s="223" t="e">
        <f t="shared" si="8"/>
        <v>#DIV/0!</v>
      </c>
      <c r="S68" s="24"/>
      <c r="T68" s="24"/>
      <c r="U68" s="97"/>
      <c r="V68" s="97"/>
      <c r="W68" s="97"/>
      <c r="X68" s="97"/>
      <c r="Y68" s="97"/>
      <c r="Z68" s="97"/>
      <c r="AA68" s="97"/>
      <c r="AB68" s="97"/>
      <c r="AC68" s="97"/>
    </row>
    <row r="69" spans="2:29" ht="11.25" customHeight="1" x14ac:dyDescent="0.45">
      <c r="B69" s="131">
        <v>20767107322</v>
      </c>
      <c r="C69" s="112" t="s">
        <v>250</v>
      </c>
      <c r="D69" s="103">
        <v>250</v>
      </c>
      <c r="E69" s="103">
        <v>56</v>
      </c>
      <c r="F69" s="145">
        <f>'c311'!E69</f>
        <v>0</v>
      </c>
      <c r="G69" s="60">
        <f t="shared" si="0"/>
        <v>0</v>
      </c>
      <c r="H69" s="60">
        <f>30*BC!B107/E69</f>
        <v>0</v>
      </c>
      <c r="I69" s="60">
        <f t="shared" si="1"/>
        <v>0</v>
      </c>
      <c r="J69" s="60">
        <f t="shared" si="2"/>
        <v>0</v>
      </c>
      <c r="K69" s="58">
        <f t="shared" si="3"/>
        <v>0</v>
      </c>
      <c r="L69" s="210">
        <v>83</v>
      </c>
      <c r="M69" s="148">
        <f t="shared" si="4"/>
        <v>0</v>
      </c>
      <c r="N69" s="148">
        <f t="shared" si="5"/>
        <v>0.33200000000000002</v>
      </c>
      <c r="O69" s="149" t="e">
        <f>N69+$N$137+((BC!$F$125)/$F$74)</f>
        <v>#DIV/0!</v>
      </c>
      <c r="P69" s="222" t="e">
        <f t="shared" si="6"/>
        <v>#DIV/0!</v>
      </c>
      <c r="Q69" s="223" t="e">
        <f t="shared" si="7"/>
        <v>#DIV/0!</v>
      </c>
      <c r="R69" s="223" t="e">
        <f t="shared" si="8"/>
        <v>#DIV/0!</v>
      </c>
      <c r="S69" s="24"/>
      <c r="T69" s="24"/>
      <c r="U69" s="97"/>
      <c r="V69" s="97"/>
      <c r="W69" s="97"/>
      <c r="X69" s="97"/>
      <c r="Y69" s="97"/>
      <c r="Z69" s="97"/>
      <c r="AA69" s="97"/>
      <c r="AB69" s="97"/>
      <c r="AC69" s="97"/>
    </row>
    <row r="70" spans="2:29" ht="11.25" customHeight="1" x14ac:dyDescent="0.45">
      <c r="B70" s="131">
        <v>3015050122</v>
      </c>
      <c r="C70" s="111" t="s">
        <v>251</v>
      </c>
      <c r="D70" s="103">
        <v>100</v>
      </c>
      <c r="E70" s="103">
        <v>56</v>
      </c>
      <c r="F70" s="145">
        <f>'c311'!E70</f>
        <v>0</v>
      </c>
      <c r="G70" s="60">
        <f t="shared" si="0"/>
        <v>0</v>
      </c>
      <c r="H70" s="60">
        <f>30*BC!B108/E70</f>
        <v>0</v>
      </c>
      <c r="I70" s="60">
        <f t="shared" si="1"/>
        <v>0</v>
      </c>
      <c r="J70" s="60">
        <f t="shared" si="2"/>
        <v>0</v>
      </c>
      <c r="K70" s="58">
        <f t="shared" si="3"/>
        <v>0</v>
      </c>
      <c r="L70" s="210">
        <v>242</v>
      </c>
      <c r="M70" s="148">
        <f t="shared" si="4"/>
        <v>0</v>
      </c>
      <c r="N70" s="148">
        <f t="shared" si="5"/>
        <v>2.42</v>
      </c>
      <c r="O70" s="149" t="e">
        <f>N70+$N$137+((BC!$F$125)/$F$74)</f>
        <v>#DIV/0!</v>
      </c>
      <c r="P70" s="222" t="e">
        <f t="shared" si="6"/>
        <v>#DIV/0!</v>
      </c>
      <c r="Q70" s="223" t="e">
        <f t="shared" si="7"/>
        <v>#DIV/0!</v>
      </c>
      <c r="R70" s="223" t="e">
        <f t="shared" si="8"/>
        <v>#DIV/0!</v>
      </c>
      <c r="S70" s="24"/>
      <c r="T70" s="24"/>
      <c r="U70" s="97"/>
      <c r="V70" s="97"/>
      <c r="W70" s="97"/>
      <c r="X70" s="97"/>
      <c r="Y70" s="97"/>
      <c r="Z70" s="97"/>
      <c r="AA70" s="97"/>
      <c r="AB70" s="97"/>
      <c r="AC70" s="97"/>
    </row>
    <row r="71" spans="2:29" ht="11.25" customHeight="1" x14ac:dyDescent="0.45">
      <c r="B71" s="131">
        <v>3183807190</v>
      </c>
      <c r="C71" s="112" t="s">
        <v>252</v>
      </c>
      <c r="D71" s="103">
        <v>400</v>
      </c>
      <c r="E71" s="103">
        <v>56</v>
      </c>
      <c r="F71" s="145">
        <f>'c311'!E71</f>
        <v>0</v>
      </c>
      <c r="G71" s="60">
        <f t="shared" si="0"/>
        <v>0</v>
      </c>
      <c r="H71" s="60">
        <f>30*BC!B109/E71</f>
        <v>0</v>
      </c>
      <c r="I71" s="60">
        <f t="shared" si="1"/>
        <v>0</v>
      </c>
      <c r="J71" s="60">
        <f t="shared" si="2"/>
        <v>0</v>
      </c>
      <c r="K71" s="58">
        <f t="shared" si="3"/>
        <v>0</v>
      </c>
      <c r="L71" s="210">
        <v>88</v>
      </c>
      <c r="M71" s="148">
        <f t="shared" si="4"/>
        <v>0</v>
      </c>
      <c r="N71" s="148">
        <f t="shared" si="5"/>
        <v>0.22</v>
      </c>
      <c r="O71" s="149" t="e">
        <f>N71+$N$137+((BC!$F$125)/$F$74)</f>
        <v>#DIV/0!</v>
      </c>
      <c r="P71" s="222" t="e">
        <f t="shared" si="6"/>
        <v>#DIV/0!</v>
      </c>
      <c r="Q71" s="223" t="e">
        <f t="shared" si="7"/>
        <v>#DIV/0!</v>
      </c>
      <c r="R71" s="223" t="e">
        <f t="shared" si="8"/>
        <v>#DIV/0!</v>
      </c>
      <c r="S71" s="24"/>
      <c r="T71" s="24"/>
      <c r="U71" s="97"/>
      <c r="V71" s="97"/>
      <c r="W71" s="97"/>
      <c r="X71" s="97"/>
      <c r="Y71" s="97"/>
      <c r="Z71" s="97"/>
      <c r="AA71" s="97"/>
      <c r="AB71" s="97"/>
      <c r="AC71" s="97"/>
    </row>
    <row r="72" spans="2:29" ht="11.25" customHeight="1" x14ac:dyDescent="0.45">
      <c r="B72" s="131">
        <v>4536355190</v>
      </c>
      <c r="C72" s="129" t="s">
        <v>253</v>
      </c>
      <c r="D72" s="103">
        <v>100</v>
      </c>
      <c r="E72" s="103">
        <v>56</v>
      </c>
      <c r="F72" s="145">
        <f>'c311'!E72</f>
        <v>0</v>
      </c>
      <c r="G72" s="60">
        <f t="shared" si="0"/>
        <v>0</v>
      </c>
      <c r="H72" s="60">
        <f>30*BC!B110/E72</f>
        <v>0</v>
      </c>
      <c r="I72" s="60">
        <f t="shared" si="1"/>
        <v>0</v>
      </c>
      <c r="J72" s="60">
        <f t="shared" si="2"/>
        <v>0</v>
      </c>
      <c r="K72" s="58">
        <f t="shared" si="3"/>
        <v>0</v>
      </c>
      <c r="L72" s="210">
        <v>201</v>
      </c>
      <c r="M72" s="148">
        <f t="shared" si="4"/>
        <v>0</v>
      </c>
      <c r="N72" s="148">
        <f t="shared" si="5"/>
        <v>2.0099999999999998</v>
      </c>
      <c r="O72" s="149" t="e">
        <f>N72+$N$137+((BC!$F$125)/$F$74)</f>
        <v>#DIV/0!</v>
      </c>
      <c r="P72" s="222" t="e">
        <f t="shared" si="6"/>
        <v>#DIV/0!</v>
      </c>
      <c r="Q72" s="223" t="e">
        <f t="shared" si="7"/>
        <v>#DIV/0!</v>
      </c>
      <c r="R72" s="223" t="e">
        <f t="shared" si="8"/>
        <v>#DIV/0!</v>
      </c>
      <c r="S72" s="24"/>
      <c r="T72" s="24"/>
      <c r="U72" s="97"/>
      <c r="V72" s="97"/>
      <c r="W72" s="97"/>
      <c r="X72" s="97"/>
      <c r="Y72" s="97"/>
      <c r="Z72" s="97"/>
      <c r="AA72" s="97"/>
      <c r="AB72" s="97"/>
      <c r="AC72" s="97"/>
    </row>
    <row r="73" spans="2:29" ht="11.25" customHeight="1" x14ac:dyDescent="0.45">
      <c r="B73" s="184">
        <v>4460715190</v>
      </c>
      <c r="C73" s="185" t="s">
        <v>254</v>
      </c>
      <c r="D73" s="104">
        <v>500</v>
      </c>
      <c r="E73" s="104">
        <v>56</v>
      </c>
      <c r="F73" s="145">
        <f>'c311'!E73</f>
        <v>0</v>
      </c>
      <c r="G73" s="186">
        <f t="shared" ref="G73" si="9">F73/D73</f>
        <v>0</v>
      </c>
      <c r="H73" s="60">
        <f>30*BC!B111/E73</f>
        <v>0</v>
      </c>
      <c r="I73" s="60">
        <f t="shared" si="1"/>
        <v>0</v>
      </c>
      <c r="J73" s="60">
        <f t="shared" si="2"/>
        <v>0</v>
      </c>
      <c r="K73" s="58">
        <f t="shared" si="3"/>
        <v>0</v>
      </c>
      <c r="L73" s="210">
        <v>120</v>
      </c>
      <c r="M73" s="148">
        <f t="shared" ref="M73" si="10">L73*K73</f>
        <v>0</v>
      </c>
      <c r="N73" s="148">
        <f t="shared" ref="N73" si="11">L73/D73</f>
        <v>0.24</v>
      </c>
      <c r="O73" s="149" t="e">
        <f>N73+$N$137+((BC!$F$125)/$F$74)</f>
        <v>#DIV/0!</v>
      </c>
      <c r="P73" s="222" t="e">
        <f t="shared" si="6"/>
        <v>#DIV/0!</v>
      </c>
      <c r="Q73" s="223" t="e">
        <f t="shared" si="7"/>
        <v>#DIV/0!</v>
      </c>
      <c r="R73" s="223" t="e">
        <f t="shared" si="8"/>
        <v>#DIV/0!</v>
      </c>
      <c r="S73" s="24"/>
      <c r="T73" s="24"/>
      <c r="U73" s="97"/>
      <c r="V73" s="97"/>
      <c r="W73" s="97"/>
      <c r="X73" s="97"/>
      <c r="Y73" s="97"/>
      <c r="Z73" s="97"/>
      <c r="AA73" s="97"/>
      <c r="AB73" s="97"/>
      <c r="AC73" s="97"/>
    </row>
    <row r="74" spans="2:29" x14ac:dyDescent="0.45">
      <c r="B74" s="62"/>
      <c r="C74" s="187"/>
      <c r="D74" s="188"/>
      <c r="E74" s="189" t="s">
        <v>19</v>
      </c>
      <c r="F74" s="190">
        <f>SUM(F9:F73)</f>
        <v>0</v>
      </c>
      <c r="G74" s="190"/>
      <c r="H74" s="190"/>
      <c r="I74" s="190"/>
      <c r="J74" s="190"/>
      <c r="K74" s="190"/>
      <c r="L74" s="190"/>
      <c r="M74" s="190"/>
      <c r="N74" s="190"/>
      <c r="O74" s="190"/>
      <c r="P74" s="24"/>
      <c r="Q74" s="24"/>
      <c r="R74" s="24"/>
      <c r="S74" s="24"/>
      <c r="T74" s="24"/>
    </row>
    <row r="75" spans="2:29" s="427" customFormat="1" ht="21" x14ac:dyDescent="0.45">
      <c r="B75" s="428"/>
      <c r="C75" s="428" t="s">
        <v>255</v>
      </c>
      <c r="D75" s="428" t="s">
        <v>183</v>
      </c>
      <c r="E75" s="417" t="s">
        <v>54</v>
      </c>
      <c r="F75" s="418"/>
      <c r="G75" s="419" t="s">
        <v>53</v>
      </c>
      <c r="H75" s="419" t="s">
        <v>52</v>
      </c>
      <c r="I75" s="420" t="s">
        <v>51</v>
      </c>
      <c r="J75" s="428"/>
      <c r="K75" s="425" t="s">
        <v>166</v>
      </c>
      <c r="L75" s="425" t="s">
        <v>167</v>
      </c>
      <c r="M75" s="430" t="s">
        <v>1085</v>
      </c>
      <c r="N75" s="430" t="s">
        <v>168</v>
      </c>
      <c r="O75" s="430" t="s">
        <v>318</v>
      </c>
      <c r="P75" s="430" t="s">
        <v>319</v>
      </c>
      <c r="Q75" s="429"/>
      <c r="R75" s="429"/>
      <c r="S75" s="429"/>
      <c r="T75" s="429"/>
      <c r="U75" s="426"/>
      <c r="V75" s="426"/>
      <c r="W75" s="426"/>
      <c r="X75" s="426"/>
      <c r="Y75" s="426"/>
      <c r="Z75" s="426"/>
      <c r="AA75" s="426"/>
      <c r="AB75" s="426"/>
      <c r="AC75" s="426"/>
    </row>
    <row r="76" spans="2:29" ht="11.25" customHeight="1" x14ac:dyDescent="0.45">
      <c r="B76" s="194">
        <v>20751995190</v>
      </c>
      <c r="C76" s="195" t="s">
        <v>256</v>
      </c>
      <c r="D76" s="194">
        <v>2</v>
      </c>
      <c r="E76" s="194">
        <v>56</v>
      </c>
      <c r="F76" s="57"/>
      <c r="G76" s="57">
        <f>(A19*(0.014*(500/2000)))</f>
        <v>0</v>
      </c>
      <c r="H76" s="60">
        <f>30*BC!$B$47/E76</f>
        <v>0</v>
      </c>
      <c r="I76" s="57">
        <f>IF(G76&gt;H76,G76,H76)</f>
        <v>0</v>
      </c>
      <c r="J76" s="60">
        <f>ROUNDUP(I76,0)</f>
        <v>0</v>
      </c>
      <c r="K76" s="57">
        <f>IF(A19&gt;0,J76,0)</f>
        <v>0</v>
      </c>
      <c r="L76" s="148">
        <f>M76/D76</f>
        <v>313.5</v>
      </c>
      <c r="M76" s="504">
        <v>627</v>
      </c>
      <c r="N76" s="148">
        <f>L76*K76</f>
        <v>0</v>
      </c>
      <c r="O76" s="57">
        <f t="shared" ref="O76:O94" si="12">K76/D76</f>
        <v>0</v>
      </c>
      <c r="P76" s="57">
        <f>ROUNDUP(O76,0)</f>
        <v>0</v>
      </c>
      <c r="Q76" s="24"/>
      <c r="R76" s="24"/>
      <c r="S76" s="24"/>
      <c r="T76" s="24"/>
      <c r="U76" s="97"/>
      <c r="V76" s="97"/>
      <c r="W76" s="97"/>
      <c r="X76" s="97"/>
      <c r="Y76" s="97"/>
      <c r="Z76" s="97"/>
      <c r="AA76" s="97"/>
      <c r="AB76" s="97"/>
      <c r="AC76" s="97"/>
    </row>
    <row r="77" spans="2:29" ht="11.25" customHeight="1" x14ac:dyDescent="0.45">
      <c r="B77" s="194">
        <v>4975901190</v>
      </c>
      <c r="C77" s="196" t="s">
        <v>257</v>
      </c>
      <c r="D77" s="194">
        <v>1</v>
      </c>
      <c r="E77" s="194"/>
      <c r="F77" s="57"/>
      <c r="G77" s="57"/>
      <c r="H77" s="60" t="e">
        <f>30*BC!$B$47/E77</f>
        <v>#DIV/0!</v>
      </c>
      <c r="I77" s="57" t="e">
        <f t="shared" ref="I77:I127" si="13">IF(G77&gt;H77,G77,H77)</f>
        <v>#DIV/0!</v>
      </c>
      <c r="J77" s="60" t="e">
        <f t="shared" ref="J77:J127" si="14">ROUNDUP(I77,0)</f>
        <v>#DIV/0!</v>
      </c>
      <c r="K77" s="57">
        <f>IF(F37&gt;0,J77,0)</f>
        <v>0</v>
      </c>
      <c r="L77" s="148"/>
      <c r="M77" s="148"/>
      <c r="N77" s="148">
        <f t="shared" ref="N77:N128" si="15">L77*K77</f>
        <v>0</v>
      </c>
      <c r="O77" s="57">
        <f t="shared" si="12"/>
        <v>0</v>
      </c>
      <c r="P77" s="57">
        <f t="shared" ref="P77:P127" si="16">ROUNDUP(O77,0)</f>
        <v>0</v>
      </c>
      <c r="Q77" s="24"/>
      <c r="R77" s="24"/>
      <c r="S77" s="24"/>
      <c r="T77" s="24"/>
      <c r="U77" s="97"/>
      <c r="V77" s="97"/>
      <c r="W77" s="97"/>
      <c r="X77" s="97"/>
      <c r="Y77" s="97"/>
      <c r="Z77" s="97"/>
      <c r="AA77" s="97"/>
      <c r="AB77" s="97"/>
      <c r="AC77" s="97"/>
    </row>
    <row r="78" spans="2:29" ht="11.25" customHeight="1" x14ac:dyDescent="0.45">
      <c r="B78" s="194">
        <v>3555941190</v>
      </c>
      <c r="C78" s="198" t="s">
        <v>259</v>
      </c>
      <c r="D78" s="194">
        <v>3</v>
      </c>
      <c r="E78" s="194">
        <v>14</v>
      </c>
      <c r="F78" s="57"/>
      <c r="G78" s="57">
        <f>(A25*(0.014*(500/2000)))</f>
        <v>0</v>
      </c>
      <c r="H78" s="60">
        <f>30*BC!$B$47/E78</f>
        <v>0</v>
      </c>
      <c r="I78" s="57">
        <f t="shared" si="13"/>
        <v>0</v>
      </c>
      <c r="J78" s="60">
        <f t="shared" si="14"/>
        <v>0</v>
      </c>
      <c r="K78" s="57">
        <f>IF(A25&gt;0,J78,0)</f>
        <v>0</v>
      </c>
      <c r="L78" s="148">
        <f>M78/D78</f>
        <v>70.666666666666671</v>
      </c>
      <c r="M78" s="504">
        <v>212</v>
      </c>
      <c r="N78" s="148">
        <f t="shared" si="15"/>
        <v>0</v>
      </c>
      <c r="O78" s="57">
        <f t="shared" si="12"/>
        <v>0</v>
      </c>
      <c r="P78" s="57">
        <f t="shared" si="16"/>
        <v>0</v>
      </c>
      <c r="Q78" s="24"/>
      <c r="R78" s="24"/>
      <c r="S78" s="24"/>
      <c r="T78" s="24"/>
      <c r="U78" s="97"/>
      <c r="V78" s="97"/>
      <c r="W78" s="97"/>
      <c r="X78" s="97"/>
      <c r="Y78" s="97"/>
      <c r="Z78" s="97"/>
      <c r="AA78" s="97"/>
      <c r="AB78" s="97"/>
      <c r="AC78" s="97"/>
    </row>
    <row r="79" spans="2:29" ht="11.25" customHeight="1" x14ac:dyDescent="0.45">
      <c r="B79" s="194">
        <v>10759350190</v>
      </c>
      <c r="C79" s="199" t="s">
        <v>260</v>
      </c>
      <c r="D79" s="194">
        <v>12</v>
      </c>
      <c r="E79" s="194">
        <v>28</v>
      </c>
      <c r="F79" s="57"/>
      <c r="G79" s="57">
        <f>(A13/(0.005*400)/3000)</f>
        <v>0</v>
      </c>
      <c r="H79" s="60">
        <f>30*BC!$B$47/E79</f>
        <v>0</v>
      </c>
      <c r="I79" s="57">
        <f t="shared" si="13"/>
        <v>0</v>
      </c>
      <c r="J79" s="60">
        <f t="shared" si="14"/>
        <v>0</v>
      </c>
      <c r="K79" s="57">
        <f>IF(A10&gt;0,J79,0)</f>
        <v>0</v>
      </c>
      <c r="L79" s="148">
        <f t="shared" ref="L79:L135" si="17">M79/D79</f>
        <v>12</v>
      </c>
      <c r="M79" s="504">
        <v>144</v>
      </c>
      <c r="N79" s="148">
        <f t="shared" si="15"/>
        <v>0</v>
      </c>
      <c r="O79" s="57">
        <f t="shared" si="12"/>
        <v>0</v>
      </c>
      <c r="P79" s="57">
        <f t="shared" si="16"/>
        <v>0</v>
      </c>
      <c r="Q79" s="24"/>
      <c r="R79" s="24"/>
      <c r="S79" s="24"/>
      <c r="T79" s="24"/>
      <c r="U79" s="97"/>
      <c r="V79" s="97"/>
      <c r="W79" s="97"/>
      <c r="X79" s="97"/>
      <c r="Y79" s="97"/>
      <c r="Z79" s="97"/>
      <c r="AA79" s="97"/>
      <c r="AB79" s="97"/>
      <c r="AC79" s="97"/>
    </row>
    <row r="80" spans="2:29" ht="11.25" customHeight="1" x14ac:dyDescent="0.45">
      <c r="B80" s="194">
        <v>11447394216</v>
      </c>
      <c r="C80" s="200" t="s">
        <v>261</v>
      </c>
      <c r="D80" s="194">
        <v>3</v>
      </c>
      <c r="E80" s="194">
        <v>28</v>
      </c>
      <c r="F80" s="57"/>
      <c r="G80" s="57">
        <f>(F31*(0.014*(500/2000)))</f>
        <v>0</v>
      </c>
      <c r="H80" s="60">
        <f>30*BC!$B$47/E80</f>
        <v>0</v>
      </c>
      <c r="I80" s="57">
        <f t="shared" si="13"/>
        <v>0</v>
      </c>
      <c r="J80" s="60">
        <f t="shared" si="14"/>
        <v>0</v>
      </c>
      <c r="K80" s="57">
        <f>IF(F31&gt;0,J80,0)</f>
        <v>0</v>
      </c>
      <c r="L80" s="148">
        <f t="shared" si="17"/>
        <v>25.333333333333332</v>
      </c>
      <c r="M80" s="504">
        <v>76</v>
      </c>
      <c r="N80" s="148">
        <f t="shared" si="15"/>
        <v>0</v>
      </c>
      <c r="O80" s="57">
        <f t="shared" si="12"/>
        <v>0</v>
      </c>
      <c r="P80" s="57">
        <f t="shared" si="16"/>
        <v>0</v>
      </c>
      <c r="Q80" s="24"/>
      <c r="R80" s="24"/>
      <c r="S80" s="24"/>
      <c r="T80" s="24"/>
      <c r="U80" s="97"/>
      <c r="V80" s="97"/>
      <c r="W80" s="97"/>
      <c r="X80" s="97"/>
      <c r="Y80" s="97"/>
      <c r="Z80" s="97"/>
      <c r="AA80" s="97"/>
      <c r="AB80" s="97"/>
      <c r="AC80" s="97"/>
    </row>
    <row r="81" spans="2:29" ht="11.25" customHeight="1" x14ac:dyDescent="0.45">
      <c r="B81" s="194">
        <v>6533850190</v>
      </c>
      <c r="C81" s="201" t="s">
        <v>262</v>
      </c>
      <c r="D81" s="194">
        <v>3</v>
      </c>
      <c r="E81" s="194">
        <v>14</v>
      </c>
      <c r="F81" s="57"/>
      <c r="G81" s="57">
        <f>(F49*(0.014*(500/2000)))</f>
        <v>0</v>
      </c>
      <c r="H81" s="60">
        <f>30*BC!$B$47/E81</f>
        <v>0</v>
      </c>
      <c r="I81" s="57">
        <f t="shared" si="13"/>
        <v>0</v>
      </c>
      <c r="J81" s="60">
        <f t="shared" si="14"/>
        <v>0</v>
      </c>
      <c r="K81" s="57">
        <f>IF(F49&gt;0,J81,0)</f>
        <v>0</v>
      </c>
      <c r="L81" s="148">
        <f t="shared" si="17"/>
        <v>323</v>
      </c>
      <c r="M81" s="504">
        <v>969</v>
      </c>
      <c r="N81" s="148">
        <f t="shared" si="15"/>
        <v>0</v>
      </c>
      <c r="O81" s="57">
        <f t="shared" si="12"/>
        <v>0</v>
      </c>
      <c r="P81" s="57">
        <f t="shared" si="16"/>
        <v>0</v>
      </c>
      <c r="Q81" s="24"/>
      <c r="R81" s="24"/>
      <c r="S81" s="24"/>
      <c r="T81" s="24"/>
      <c r="U81" s="97"/>
      <c r="V81" s="97"/>
      <c r="W81" s="97"/>
      <c r="X81" s="97"/>
      <c r="Y81" s="97"/>
      <c r="Z81" s="97"/>
      <c r="AA81" s="97"/>
      <c r="AB81" s="97"/>
      <c r="AC81" s="97"/>
    </row>
    <row r="82" spans="2:29" ht="11.25" customHeight="1" x14ac:dyDescent="0.45">
      <c r="B82" s="194">
        <v>12172623122</v>
      </c>
      <c r="C82" s="202" t="s">
        <v>263</v>
      </c>
      <c r="D82" s="194">
        <v>3</v>
      </c>
      <c r="E82" s="194">
        <v>28</v>
      </c>
      <c r="F82" s="57"/>
      <c r="G82" s="57">
        <f>(A28*(0.008*(350/1000)))</f>
        <v>0</v>
      </c>
      <c r="H82" s="60">
        <f>30*BC!$B$47/E82</f>
        <v>0</v>
      </c>
      <c r="I82" s="57">
        <f t="shared" si="13"/>
        <v>0</v>
      </c>
      <c r="J82" s="60">
        <f t="shared" si="14"/>
        <v>0</v>
      </c>
      <c r="K82" s="57">
        <f>IF(A28&gt;0,J82,0)</f>
        <v>0</v>
      </c>
      <c r="L82" s="148">
        <f t="shared" si="17"/>
        <v>31</v>
      </c>
      <c r="M82" s="504">
        <v>93</v>
      </c>
      <c r="N82" s="148">
        <f t="shared" si="15"/>
        <v>0</v>
      </c>
      <c r="O82" s="57">
        <f t="shared" si="12"/>
        <v>0</v>
      </c>
      <c r="P82" s="57">
        <f t="shared" si="16"/>
        <v>0</v>
      </c>
      <c r="Q82" s="24"/>
      <c r="R82" s="24"/>
      <c r="S82" s="24"/>
      <c r="T82" s="24"/>
      <c r="U82" s="97"/>
      <c r="V82" s="97"/>
      <c r="W82" s="97"/>
      <c r="X82" s="97"/>
      <c r="Y82" s="97"/>
      <c r="Z82" s="97"/>
      <c r="AA82" s="97"/>
      <c r="AB82" s="97"/>
      <c r="AC82" s="97"/>
    </row>
    <row r="83" spans="2:29" ht="11.25" customHeight="1" x14ac:dyDescent="0.45">
      <c r="B83" s="194">
        <v>11355279216</v>
      </c>
      <c r="C83" s="203" t="s">
        <v>264</v>
      </c>
      <c r="D83" s="194">
        <v>5</v>
      </c>
      <c r="E83" s="194">
        <v>28</v>
      </c>
      <c r="F83" s="57"/>
      <c r="G83" s="57">
        <f>(A22*(0.008*(350/1000)))</f>
        <v>0</v>
      </c>
      <c r="H83" s="60">
        <f>30*BC!$B$47/E83</f>
        <v>0</v>
      </c>
      <c r="I83" s="57">
        <f t="shared" si="13"/>
        <v>0</v>
      </c>
      <c r="J83" s="60">
        <f t="shared" si="14"/>
        <v>0</v>
      </c>
      <c r="K83" s="57">
        <f>IF(A22&gt;0,J83,0)</f>
        <v>0</v>
      </c>
      <c r="L83" s="148">
        <f t="shared" si="17"/>
        <v>29.8</v>
      </c>
      <c r="M83" s="504">
        <v>149</v>
      </c>
      <c r="N83" s="148">
        <f t="shared" si="15"/>
        <v>0</v>
      </c>
      <c r="O83" s="57">
        <f t="shared" si="12"/>
        <v>0</v>
      </c>
      <c r="P83" s="57">
        <f t="shared" si="16"/>
        <v>0</v>
      </c>
      <c r="Q83" s="24"/>
      <c r="R83" s="24"/>
      <c r="S83" s="24"/>
      <c r="T83" s="24"/>
      <c r="U83" s="97"/>
      <c r="V83" s="97"/>
      <c r="W83" s="97"/>
      <c r="X83" s="97"/>
      <c r="Y83" s="97"/>
      <c r="Z83" s="97"/>
      <c r="AA83" s="97"/>
      <c r="AB83" s="97"/>
      <c r="AC83" s="97"/>
    </row>
    <row r="84" spans="2:29" ht="11.25" customHeight="1" x14ac:dyDescent="0.45">
      <c r="B84" s="194">
        <v>8753776190</v>
      </c>
      <c r="C84" s="204" t="s">
        <v>265</v>
      </c>
      <c r="D84" s="194">
        <v>3</v>
      </c>
      <c r="E84" s="194">
        <v>28</v>
      </c>
      <c r="F84" s="57"/>
      <c r="G84" s="57">
        <f>(F65*(0.014*(500/2000)))</f>
        <v>0</v>
      </c>
      <c r="H84" s="60">
        <f>30*BC!$B$47/E84</f>
        <v>0</v>
      </c>
      <c r="I84" s="57">
        <f t="shared" si="13"/>
        <v>0</v>
      </c>
      <c r="J84" s="60">
        <f t="shared" si="14"/>
        <v>0</v>
      </c>
      <c r="K84" s="57">
        <f>IF(F65&gt;0,J84,0)</f>
        <v>0</v>
      </c>
      <c r="L84" s="148">
        <f t="shared" si="17"/>
        <v>127</v>
      </c>
      <c r="M84" s="504">
        <v>381</v>
      </c>
      <c r="N84" s="148">
        <f t="shared" si="15"/>
        <v>0</v>
      </c>
      <c r="O84" s="57">
        <f t="shared" si="12"/>
        <v>0</v>
      </c>
      <c r="P84" s="57">
        <f t="shared" si="16"/>
        <v>0</v>
      </c>
      <c r="Q84" s="24"/>
      <c r="R84" s="24"/>
      <c r="S84" s="24"/>
      <c r="T84" s="24"/>
      <c r="U84" s="97"/>
      <c r="V84" s="97"/>
      <c r="W84" s="97"/>
      <c r="X84" s="97"/>
      <c r="Y84" s="97"/>
      <c r="Z84" s="97"/>
      <c r="AA84" s="97"/>
      <c r="AB84" s="97"/>
      <c r="AC84" s="97"/>
    </row>
    <row r="85" spans="2:29" ht="11.25" customHeight="1" x14ac:dyDescent="0.45">
      <c r="B85" s="194">
        <v>8047545190</v>
      </c>
      <c r="C85" s="205" t="s">
        <v>266</v>
      </c>
      <c r="D85" s="194">
        <v>2</v>
      </c>
      <c r="E85" s="194">
        <v>84</v>
      </c>
      <c r="F85" s="57"/>
      <c r="G85" s="57">
        <f>(F21*(0.014*(500/2000)))</f>
        <v>0</v>
      </c>
      <c r="H85" s="60">
        <f>30*BC!$B$47/E85</f>
        <v>0</v>
      </c>
      <c r="I85" s="57">
        <f t="shared" si="13"/>
        <v>0</v>
      </c>
      <c r="J85" s="60">
        <f t="shared" si="14"/>
        <v>0</v>
      </c>
      <c r="K85" s="57">
        <f>IF(F21&gt;0,J85,0)</f>
        <v>0</v>
      </c>
      <c r="L85" s="148">
        <f t="shared" si="17"/>
        <v>25.5</v>
      </c>
      <c r="M85" s="504">
        <v>51</v>
      </c>
      <c r="N85" s="148">
        <f t="shared" si="15"/>
        <v>0</v>
      </c>
      <c r="O85" s="57">
        <f t="shared" si="12"/>
        <v>0</v>
      </c>
      <c r="P85" s="57">
        <f t="shared" si="16"/>
        <v>0</v>
      </c>
      <c r="Q85" s="24"/>
      <c r="R85" s="24"/>
      <c r="S85" s="24"/>
      <c r="T85" s="24"/>
      <c r="U85" s="97"/>
      <c r="V85" s="97"/>
      <c r="W85" s="97"/>
      <c r="X85" s="97"/>
      <c r="Y85" s="97"/>
      <c r="Z85" s="97"/>
      <c r="AA85" s="97"/>
      <c r="AB85" s="97"/>
      <c r="AC85" s="97"/>
    </row>
    <row r="86" spans="2:29" ht="11.25" customHeight="1" x14ac:dyDescent="0.45">
      <c r="B86" s="194">
        <v>4528417190</v>
      </c>
      <c r="C86" s="206" t="s">
        <v>267</v>
      </c>
      <c r="D86" s="194">
        <v>3</v>
      </c>
      <c r="E86" s="194">
        <v>84</v>
      </c>
      <c r="F86" s="57"/>
      <c r="G86" s="57">
        <f>(F44*(0.014*(500/2000)))</f>
        <v>0</v>
      </c>
      <c r="H86" s="60">
        <f>30*BC!$B$47/E86</f>
        <v>0</v>
      </c>
      <c r="I86" s="57">
        <f t="shared" si="13"/>
        <v>0</v>
      </c>
      <c r="J86" s="60">
        <f t="shared" si="14"/>
        <v>0</v>
      </c>
      <c r="K86" s="57">
        <f>IF(F44&gt;0,J86,0)</f>
        <v>0</v>
      </c>
      <c r="L86" s="148">
        <f t="shared" si="17"/>
        <v>150.33333333333334</v>
      </c>
      <c r="M86" s="504">
        <v>451</v>
      </c>
      <c r="N86" s="148">
        <f t="shared" si="15"/>
        <v>0</v>
      </c>
      <c r="O86" s="57">
        <f t="shared" si="12"/>
        <v>0</v>
      </c>
      <c r="P86" s="57">
        <f t="shared" si="16"/>
        <v>0</v>
      </c>
      <c r="Q86" s="24"/>
      <c r="R86" s="24"/>
      <c r="S86" s="24"/>
      <c r="T86" s="24"/>
      <c r="U86" s="97"/>
      <c r="V86" s="97"/>
      <c r="W86" s="97"/>
      <c r="X86" s="97"/>
      <c r="Y86" s="97"/>
      <c r="Z86" s="97"/>
      <c r="AA86" s="97"/>
      <c r="AB86" s="97"/>
      <c r="AC86" s="97"/>
    </row>
    <row r="87" spans="2:29" ht="11.25" customHeight="1" x14ac:dyDescent="0.45">
      <c r="B87" s="194">
        <v>3121305122</v>
      </c>
      <c r="C87" s="207" t="s">
        <v>268</v>
      </c>
      <c r="D87" s="194">
        <v>5</v>
      </c>
      <c r="E87" s="194">
        <v>28</v>
      </c>
      <c r="F87" s="57"/>
      <c r="G87" s="57">
        <f>(A16*(0.008*(350/1000)))</f>
        <v>0</v>
      </c>
      <c r="H87" s="60">
        <f>30*BC!$B$47/E87</f>
        <v>0</v>
      </c>
      <c r="I87" s="57">
        <f t="shared" si="13"/>
        <v>0</v>
      </c>
      <c r="J87" s="60">
        <f t="shared" si="14"/>
        <v>0</v>
      </c>
      <c r="K87" s="57">
        <f>IF(A16&gt;0,J87,0)</f>
        <v>0</v>
      </c>
      <c r="L87" s="148">
        <f t="shared" si="17"/>
        <v>75.2</v>
      </c>
      <c r="M87" s="504">
        <v>376</v>
      </c>
      <c r="N87" s="148">
        <f t="shared" si="15"/>
        <v>0</v>
      </c>
      <c r="O87" s="57">
        <f t="shared" si="12"/>
        <v>0</v>
      </c>
      <c r="P87" s="57">
        <f t="shared" si="16"/>
        <v>0</v>
      </c>
      <c r="Q87" s="24"/>
      <c r="R87" s="24"/>
      <c r="S87" s="24"/>
      <c r="T87" s="24"/>
      <c r="U87" s="97"/>
      <c r="V87" s="97"/>
      <c r="W87" s="97"/>
      <c r="X87" s="97"/>
      <c r="Y87" s="97"/>
      <c r="Z87" s="97"/>
      <c r="AA87" s="97"/>
      <c r="AB87" s="97"/>
      <c r="AC87" s="97"/>
    </row>
    <row r="88" spans="2:29" ht="11.25" customHeight="1" x14ac:dyDescent="0.45">
      <c r="B88" s="194">
        <v>5050901190</v>
      </c>
      <c r="C88" s="208" t="s">
        <v>269</v>
      </c>
      <c r="D88" s="194">
        <v>1</v>
      </c>
      <c r="E88" s="194">
        <v>84</v>
      </c>
      <c r="F88" s="57"/>
      <c r="G88" s="57">
        <f>(F38*(0.04*(350/1000)))</f>
        <v>0</v>
      </c>
      <c r="H88" s="60">
        <f>30*BC!$B$47/E88</f>
        <v>0</v>
      </c>
      <c r="I88" s="57">
        <f t="shared" si="13"/>
        <v>0</v>
      </c>
      <c r="J88" s="60">
        <f t="shared" si="14"/>
        <v>0</v>
      </c>
      <c r="K88" s="57">
        <f>IF(F38&gt;0,J88,0)</f>
        <v>0</v>
      </c>
      <c r="L88" s="148">
        <f t="shared" si="17"/>
        <v>282</v>
      </c>
      <c r="M88" s="504">
        <v>282</v>
      </c>
      <c r="N88" s="148">
        <f t="shared" si="15"/>
        <v>0</v>
      </c>
      <c r="O88" s="57">
        <f t="shared" si="12"/>
        <v>0</v>
      </c>
      <c r="P88" s="57">
        <f t="shared" si="16"/>
        <v>0</v>
      </c>
      <c r="Q88" s="24"/>
      <c r="R88" s="24"/>
      <c r="S88" s="24"/>
      <c r="T88" s="24"/>
      <c r="U88" s="97"/>
      <c r="V88" s="97"/>
      <c r="W88" s="97"/>
      <c r="X88" s="97"/>
      <c r="Y88" s="97"/>
      <c r="Z88" s="97"/>
      <c r="AA88" s="97"/>
      <c r="AB88" s="97"/>
      <c r="AC88" s="97"/>
    </row>
    <row r="89" spans="2:29" ht="11.25" customHeight="1" x14ac:dyDescent="0.45">
      <c r="B89" s="194">
        <v>12146401216</v>
      </c>
      <c r="C89" s="209" t="s">
        <v>270</v>
      </c>
      <c r="D89" s="194">
        <v>1</v>
      </c>
      <c r="E89" s="194">
        <v>360</v>
      </c>
      <c r="F89" s="57"/>
      <c r="G89" s="57">
        <f>(F72*(0.02*(200/1000)))</f>
        <v>0</v>
      </c>
      <c r="H89" s="60">
        <f>30*BC!$B$47/E89</f>
        <v>0</v>
      </c>
      <c r="I89" s="57">
        <f t="shared" si="13"/>
        <v>0</v>
      </c>
      <c r="J89" s="60">
        <f t="shared" si="14"/>
        <v>0</v>
      </c>
      <c r="K89" s="57">
        <f>IF(F72&gt;0,J89,0)</f>
        <v>0</v>
      </c>
      <c r="L89" s="148">
        <f t="shared" si="17"/>
        <v>183</v>
      </c>
      <c r="M89" s="504">
        <v>183</v>
      </c>
      <c r="N89" s="148">
        <f t="shared" si="15"/>
        <v>0</v>
      </c>
      <c r="O89" s="57">
        <f t="shared" si="12"/>
        <v>0</v>
      </c>
      <c r="P89" s="57">
        <f t="shared" si="16"/>
        <v>0</v>
      </c>
      <c r="Q89" s="24"/>
      <c r="R89" s="24"/>
      <c r="S89" s="24"/>
      <c r="T89" s="24"/>
      <c r="U89" s="97"/>
      <c r="V89" s="97"/>
      <c r="W89" s="97"/>
      <c r="X89" s="97"/>
      <c r="Y89" s="97"/>
      <c r="Z89" s="97"/>
      <c r="AA89" s="97"/>
      <c r="AB89" s="97"/>
      <c r="AC89" s="97"/>
    </row>
    <row r="90" spans="2:29" ht="11.25" customHeight="1" x14ac:dyDescent="0.45">
      <c r="B90" s="194">
        <v>5385504190</v>
      </c>
      <c r="C90" s="211" t="s">
        <v>271</v>
      </c>
      <c r="D90" s="194">
        <v>2</v>
      </c>
      <c r="E90" s="194">
        <v>28</v>
      </c>
      <c r="F90" s="57"/>
      <c r="G90" s="57">
        <f>(F46*(0.02*(200/1000)))</f>
        <v>0</v>
      </c>
      <c r="H90" s="60">
        <f>30*BC!$B$47/E90</f>
        <v>0</v>
      </c>
      <c r="I90" s="57">
        <f t="shared" si="13"/>
        <v>0</v>
      </c>
      <c r="J90" s="60">
        <f t="shared" si="14"/>
        <v>0</v>
      </c>
      <c r="K90" s="57">
        <f>IF(F46&gt;0,J90,0)</f>
        <v>0</v>
      </c>
      <c r="L90" s="148">
        <f t="shared" si="17"/>
        <v>40</v>
      </c>
      <c r="M90" s="504">
        <v>80</v>
      </c>
      <c r="N90" s="148">
        <f t="shared" si="15"/>
        <v>0</v>
      </c>
      <c r="O90" s="57">
        <f t="shared" si="12"/>
        <v>0</v>
      </c>
      <c r="P90" s="57">
        <f t="shared" si="16"/>
        <v>0</v>
      </c>
      <c r="Q90" s="24"/>
      <c r="R90" s="24"/>
      <c r="S90" s="24"/>
      <c r="T90" s="24"/>
      <c r="U90" s="97"/>
      <c r="V90" s="97"/>
      <c r="W90" s="97"/>
      <c r="X90" s="97"/>
      <c r="Y90" s="97"/>
      <c r="Z90" s="97"/>
      <c r="AA90" s="97"/>
      <c r="AB90" s="97"/>
      <c r="AC90" s="97"/>
    </row>
    <row r="91" spans="2:29" ht="11.25" customHeight="1" x14ac:dyDescent="0.45">
      <c r="B91" s="194">
        <v>11098993122</v>
      </c>
      <c r="C91" s="212" t="s">
        <v>273</v>
      </c>
      <c r="D91" s="194">
        <v>3</v>
      </c>
      <c r="E91" s="194">
        <v>28</v>
      </c>
      <c r="F91" s="57"/>
      <c r="G91" s="57">
        <f>(F40*(0.02*(200/1000)))</f>
        <v>0</v>
      </c>
      <c r="H91" s="60">
        <f>30*BC!$B$47/E91</f>
        <v>0</v>
      </c>
      <c r="I91" s="57">
        <f t="shared" si="13"/>
        <v>0</v>
      </c>
      <c r="J91" s="60">
        <f t="shared" si="14"/>
        <v>0</v>
      </c>
      <c r="K91" s="57">
        <f>IF(F40&gt;0,J91,0)</f>
        <v>0</v>
      </c>
      <c r="L91" s="148">
        <f t="shared" si="17"/>
        <v>26.666666666666668</v>
      </c>
      <c r="M91" s="504">
        <v>80</v>
      </c>
      <c r="N91" s="148">
        <f t="shared" si="15"/>
        <v>0</v>
      </c>
      <c r="O91" s="57">
        <f t="shared" si="12"/>
        <v>0</v>
      </c>
      <c r="P91" s="57">
        <f t="shared" si="16"/>
        <v>0</v>
      </c>
      <c r="Q91" s="24"/>
      <c r="R91" s="24"/>
      <c r="S91" s="24"/>
      <c r="T91" s="24"/>
      <c r="U91" s="97"/>
      <c r="V91" s="97"/>
      <c r="W91" s="97"/>
      <c r="X91" s="97"/>
      <c r="Y91" s="97"/>
      <c r="Z91" s="97"/>
      <c r="AA91" s="97"/>
      <c r="AB91" s="97"/>
      <c r="AC91" s="97"/>
    </row>
    <row r="92" spans="2:29" ht="11.25" customHeight="1" x14ac:dyDescent="0.45">
      <c r="B92" s="194">
        <v>3304671190</v>
      </c>
      <c r="C92" s="213" t="s">
        <v>274</v>
      </c>
      <c r="D92" s="194">
        <v>1</v>
      </c>
      <c r="E92" s="194">
        <v>60</v>
      </c>
      <c r="F92" s="57"/>
      <c r="G92" s="57">
        <f>(A31*(0.02*(200/1000)))</f>
        <v>0</v>
      </c>
      <c r="H92" s="60">
        <f>30*BC!$B$47/E92</f>
        <v>0</v>
      </c>
      <c r="I92" s="57">
        <f t="shared" si="13"/>
        <v>0</v>
      </c>
      <c r="J92" s="60">
        <f t="shared" si="14"/>
        <v>0</v>
      </c>
      <c r="K92" s="57">
        <f>IF(A31&gt;0,J92,0)</f>
        <v>0</v>
      </c>
      <c r="L92" s="148">
        <f t="shared" si="17"/>
        <v>231</v>
      </c>
      <c r="M92" s="504">
        <v>231</v>
      </c>
      <c r="N92" s="148">
        <f t="shared" si="15"/>
        <v>0</v>
      </c>
      <c r="O92" s="57">
        <f t="shared" si="12"/>
        <v>0</v>
      </c>
      <c r="P92" s="57">
        <f t="shared" si="16"/>
        <v>0</v>
      </c>
      <c r="Q92" s="24"/>
      <c r="R92" s="24"/>
      <c r="S92" s="24"/>
      <c r="T92" s="24"/>
      <c r="U92" s="97"/>
      <c r="V92" s="97"/>
      <c r="W92" s="97"/>
      <c r="X92" s="97"/>
      <c r="Y92" s="97"/>
      <c r="Z92" s="97"/>
      <c r="AA92" s="97"/>
      <c r="AB92" s="97"/>
      <c r="AC92" s="97"/>
    </row>
    <row r="93" spans="2:29" ht="11.25" customHeight="1" x14ac:dyDescent="0.45">
      <c r="B93" s="194">
        <v>5852641190</v>
      </c>
      <c r="C93" s="214" t="s">
        <v>275</v>
      </c>
      <c r="D93" s="194">
        <v>1</v>
      </c>
      <c r="E93" s="194">
        <v>14</v>
      </c>
      <c r="F93" s="57"/>
      <c r="G93" s="57">
        <f>(F59*(0.02*(200/1000)))</f>
        <v>0</v>
      </c>
      <c r="H93" s="60">
        <f>30*BC!$B$47/E93</f>
        <v>0</v>
      </c>
      <c r="I93" s="57">
        <f t="shared" si="13"/>
        <v>0</v>
      </c>
      <c r="J93" s="60">
        <f t="shared" si="14"/>
        <v>0</v>
      </c>
      <c r="K93" s="57">
        <f>IF(F59&gt;0,J93,0)</f>
        <v>0</v>
      </c>
      <c r="L93" s="148">
        <f t="shared" si="17"/>
        <v>384</v>
      </c>
      <c r="M93" s="504">
        <v>384</v>
      </c>
      <c r="N93" s="148">
        <f t="shared" si="15"/>
        <v>0</v>
      </c>
      <c r="O93" s="57">
        <f t="shared" si="12"/>
        <v>0</v>
      </c>
      <c r="P93" s="57">
        <f t="shared" si="16"/>
        <v>0</v>
      </c>
      <c r="Q93" s="24"/>
      <c r="R93" s="24"/>
      <c r="S93" s="24"/>
      <c r="T93" s="24"/>
      <c r="U93" s="97"/>
      <c r="V93" s="97"/>
      <c r="W93" s="97"/>
      <c r="X93" s="97"/>
      <c r="Y93" s="97"/>
      <c r="Z93" s="97"/>
      <c r="AA93" s="97"/>
      <c r="AB93" s="97"/>
      <c r="AC93" s="97"/>
    </row>
    <row r="94" spans="2:29" ht="11.25" customHeight="1" x14ac:dyDescent="0.45">
      <c r="B94" s="194">
        <v>12172828322</v>
      </c>
      <c r="C94" s="215" t="s">
        <v>276</v>
      </c>
      <c r="D94" s="194">
        <v>1</v>
      </c>
      <c r="E94" s="194">
        <v>30</v>
      </c>
      <c r="F94" s="57"/>
      <c r="G94" s="57">
        <f>(F64*(0.04*(350/1000)))</f>
        <v>0</v>
      </c>
      <c r="H94" s="60">
        <f>30*BC!$B$47/E94</f>
        <v>0</v>
      </c>
      <c r="I94" s="57">
        <f t="shared" si="13"/>
        <v>0</v>
      </c>
      <c r="J94" s="60">
        <f t="shared" si="14"/>
        <v>0</v>
      </c>
      <c r="K94" s="57">
        <f>IF(F64&gt;0,J94,0)</f>
        <v>0</v>
      </c>
      <c r="L94" s="148">
        <f t="shared" si="17"/>
        <v>197</v>
      </c>
      <c r="M94" s="504">
        <v>197</v>
      </c>
      <c r="N94" s="148">
        <f t="shared" si="15"/>
        <v>0</v>
      </c>
      <c r="O94" s="57">
        <f t="shared" si="12"/>
        <v>0</v>
      </c>
      <c r="P94" s="57">
        <f t="shared" si="16"/>
        <v>0</v>
      </c>
      <c r="Q94" s="24"/>
      <c r="R94" s="24"/>
      <c r="S94" s="24"/>
      <c r="T94" s="24"/>
      <c r="U94" s="97"/>
      <c r="V94" s="97"/>
      <c r="W94" s="97"/>
      <c r="X94" s="97"/>
      <c r="Y94" s="97"/>
      <c r="Z94" s="97"/>
      <c r="AA94" s="97"/>
      <c r="AB94" s="97"/>
      <c r="AC94" s="97"/>
    </row>
    <row r="95" spans="2:29" s="427" customFormat="1" ht="21" x14ac:dyDescent="0.45">
      <c r="B95" s="428"/>
      <c r="C95" s="428" t="s">
        <v>277</v>
      </c>
      <c r="D95" s="428" t="s">
        <v>183</v>
      </c>
      <c r="E95" s="417" t="s">
        <v>54</v>
      </c>
      <c r="F95" s="418"/>
      <c r="G95" s="419" t="s">
        <v>53</v>
      </c>
      <c r="H95" s="419" t="s">
        <v>52</v>
      </c>
      <c r="I95" s="420" t="s">
        <v>51</v>
      </c>
      <c r="J95" s="428"/>
      <c r="K95" s="425" t="s">
        <v>166</v>
      </c>
      <c r="L95" s="425" t="s">
        <v>167</v>
      </c>
      <c r="M95" s="425" t="s">
        <v>168</v>
      </c>
      <c r="N95" s="430" t="s">
        <v>168</v>
      </c>
      <c r="O95" s="425" t="s">
        <v>318</v>
      </c>
      <c r="P95" s="425" t="s">
        <v>319</v>
      </c>
      <c r="Q95" s="429"/>
      <c r="R95" s="429"/>
      <c r="S95" s="429"/>
      <c r="T95" s="429"/>
      <c r="U95" s="429"/>
      <c r="V95" s="429"/>
      <c r="W95" s="429"/>
      <c r="X95" s="429"/>
      <c r="Y95" s="429"/>
      <c r="Z95" s="429"/>
      <c r="AA95" s="429"/>
      <c r="AB95" s="429"/>
      <c r="AC95" s="429"/>
    </row>
    <row r="96" spans="2:29" ht="11.25" customHeight="1" x14ac:dyDescent="0.45">
      <c r="B96" s="194">
        <v>20752401190</v>
      </c>
      <c r="C96" s="195" t="s">
        <v>278</v>
      </c>
      <c r="D96" s="194">
        <v>5</v>
      </c>
      <c r="E96" s="194">
        <v>56</v>
      </c>
      <c r="F96" s="57"/>
      <c r="G96" s="57">
        <f>(A19*(0.025*(500/2000)))</f>
        <v>0</v>
      </c>
      <c r="H96" s="60">
        <f>30*BC!$B$47/E96</f>
        <v>0</v>
      </c>
      <c r="I96" s="57">
        <f t="shared" si="13"/>
        <v>0</v>
      </c>
      <c r="J96" s="60">
        <f t="shared" si="14"/>
        <v>0</v>
      </c>
      <c r="K96" s="57">
        <f>IF(A19&gt;0,J96,0)</f>
        <v>0</v>
      </c>
      <c r="L96" s="148">
        <f t="shared" si="17"/>
        <v>41.4</v>
      </c>
      <c r="M96" s="504">
        <v>207</v>
      </c>
      <c r="N96" s="148">
        <f t="shared" si="15"/>
        <v>0</v>
      </c>
      <c r="O96" s="57">
        <f t="shared" ref="O96:O112" si="18">K96/D96</f>
        <v>0</v>
      </c>
      <c r="P96" s="57">
        <f t="shared" si="16"/>
        <v>0</v>
      </c>
      <c r="Q96" s="24"/>
      <c r="R96" s="24"/>
      <c r="S96" s="24"/>
      <c r="T96" s="24"/>
      <c r="U96" s="97"/>
      <c r="V96" s="97"/>
      <c r="W96" s="97"/>
      <c r="X96" s="97"/>
      <c r="Y96" s="97"/>
      <c r="Z96" s="97"/>
      <c r="AA96" s="97"/>
      <c r="AB96" s="97"/>
      <c r="AC96" s="97"/>
    </row>
    <row r="97" spans="2:29" ht="11.25" customHeight="1" x14ac:dyDescent="0.45">
      <c r="B97" s="194">
        <v>20753009190</v>
      </c>
      <c r="C97" s="195" t="s">
        <v>279</v>
      </c>
      <c r="D97" s="194">
        <v>5</v>
      </c>
      <c r="E97" s="194">
        <v>56</v>
      </c>
      <c r="F97" s="57"/>
      <c r="G97" s="57">
        <f>(A19*(0.025*(500/2000)))</f>
        <v>0</v>
      </c>
      <c r="H97" s="60">
        <f>30*BC!$B$47/E97</f>
        <v>0</v>
      </c>
      <c r="I97" s="57">
        <f t="shared" si="13"/>
        <v>0</v>
      </c>
      <c r="J97" s="60">
        <f t="shared" si="14"/>
        <v>0</v>
      </c>
      <c r="K97" s="57">
        <f>IF(A19&gt;0,J97,0)</f>
        <v>0</v>
      </c>
      <c r="L97" s="148">
        <f t="shared" si="17"/>
        <v>45.4</v>
      </c>
      <c r="M97" s="504">
        <v>227</v>
      </c>
      <c r="N97" s="148">
        <f t="shared" si="15"/>
        <v>0</v>
      </c>
      <c r="O97" s="57">
        <f t="shared" si="18"/>
        <v>0</v>
      </c>
      <c r="P97" s="57">
        <f t="shared" si="16"/>
        <v>0</v>
      </c>
      <c r="Q97" s="24"/>
      <c r="R97" s="24"/>
      <c r="S97" s="24"/>
      <c r="T97" s="24"/>
      <c r="U97" s="97"/>
      <c r="V97" s="97"/>
      <c r="W97" s="97"/>
      <c r="X97" s="97"/>
      <c r="Y97" s="97"/>
      <c r="Z97" s="97"/>
      <c r="AA97" s="97"/>
      <c r="AB97" s="97"/>
      <c r="AC97" s="97"/>
    </row>
    <row r="98" spans="2:29" ht="11.25" customHeight="1" x14ac:dyDescent="0.45">
      <c r="B98" s="194">
        <v>8362785190</v>
      </c>
      <c r="C98" s="205" t="s">
        <v>280</v>
      </c>
      <c r="D98" s="194">
        <v>2</v>
      </c>
      <c r="E98" s="194">
        <v>84</v>
      </c>
      <c r="F98" s="57"/>
      <c r="G98" s="57">
        <f>(F21*(0.025*(500/2000)))</f>
        <v>0</v>
      </c>
      <c r="H98" s="60">
        <f>30*BC!$B$47/E98</f>
        <v>0</v>
      </c>
      <c r="I98" s="57">
        <f t="shared" si="13"/>
        <v>0</v>
      </c>
      <c r="J98" s="60">
        <f t="shared" si="14"/>
        <v>0</v>
      </c>
      <c r="K98" s="57">
        <f>IF(F21&gt;0,J98,0)</f>
        <v>0</v>
      </c>
      <c r="L98" s="148">
        <f t="shared" si="17"/>
        <v>122</v>
      </c>
      <c r="M98" s="504">
        <v>244</v>
      </c>
      <c r="N98" s="148">
        <f t="shared" si="15"/>
        <v>0</v>
      </c>
      <c r="O98" s="57">
        <f t="shared" si="18"/>
        <v>0</v>
      </c>
      <c r="P98" s="57">
        <f t="shared" si="16"/>
        <v>0</v>
      </c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</row>
    <row r="99" spans="2:29" ht="11.25" customHeight="1" x14ac:dyDescent="0.45">
      <c r="B99" s="194">
        <v>8278202190</v>
      </c>
      <c r="C99" s="204" t="s">
        <v>281</v>
      </c>
      <c r="D99" s="194">
        <v>3</v>
      </c>
      <c r="E99" s="194">
        <v>28</v>
      </c>
      <c r="F99" s="57"/>
      <c r="G99" s="57">
        <f>(F65*(0.025*(500/2000)))</f>
        <v>0</v>
      </c>
      <c r="H99" s="60">
        <f>30*BC!$B$47/E99</f>
        <v>0</v>
      </c>
      <c r="I99" s="57">
        <f t="shared" si="13"/>
        <v>0</v>
      </c>
      <c r="J99" s="60">
        <f t="shared" si="14"/>
        <v>0</v>
      </c>
      <c r="K99" s="57">
        <f>IF(F65&gt;0,J99,0)</f>
        <v>0</v>
      </c>
      <c r="L99" s="148">
        <f t="shared" si="17"/>
        <v>103</v>
      </c>
      <c r="M99" s="504">
        <v>309</v>
      </c>
      <c r="N99" s="148">
        <f t="shared" si="15"/>
        <v>0</v>
      </c>
      <c r="O99" s="57">
        <f t="shared" si="18"/>
        <v>0</v>
      </c>
      <c r="P99" s="57">
        <f t="shared" si="16"/>
        <v>0</v>
      </c>
      <c r="Q99" s="97"/>
      <c r="R99" s="97"/>
      <c r="S99" s="97"/>
      <c r="T99" s="97"/>
      <c r="U99" s="97"/>
      <c r="V99" s="97"/>
      <c r="W99" s="97"/>
      <c r="X99" s="97"/>
      <c r="Y99" s="97"/>
      <c r="Z99" s="97"/>
      <c r="AA99" s="97"/>
      <c r="AB99" s="97"/>
      <c r="AC99" s="97"/>
    </row>
    <row r="100" spans="2:29" ht="11.25" customHeight="1" x14ac:dyDescent="0.45">
      <c r="B100" s="194">
        <v>6729371190</v>
      </c>
      <c r="C100" s="196" t="s">
        <v>282</v>
      </c>
      <c r="D100" s="194">
        <v>3</v>
      </c>
      <c r="E100" s="194">
        <v>30</v>
      </c>
      <c r="F100" s="57"/>
      <c r="G100" s="57"/>
      <c r="H100" s="60">
        <f>30*BC!$B$47/E100</f>
        <v>0</v>
      </c>
      <c r="I100" s="57">
        <f t="shared" si="13"/>
        <v>0</v>
      </c>
      <c r="J100" s="60">
        <f t="shared" si="14"/>
        <v>0</v>
      </c>
      <c r="K100" s="57">
        <f>IF(F37&gt;0,J100,0)</f>
        <v>0</v>
      </c>
      <c r="L100" s="148">
        <f t="shared" si="17"/>
        <v>527</v>
      </c>
      <c r="M100" s="504">
        <v>1581</v>
      </c>
      <c r="N100" s="148">
        <f t="shared" si="15"/>
        <v>0</v>
      </c>
      <c r="O100" s="57">
        <f t="shared" si="18"/>
        <v>0</v>
      </c>
      <c r="P100" s="57">
        <f t="shared" si="16"/>
        <v>0</v>
      </c>
      <c r="Q100" s="97"/>
      <c r="R100" s="97"/>
      <c r="S100" s="97"/>
      <c r="T100" s="97"/>
      <c r="U100" s="97"/>
      <c r="V100" s="97"/>
      <c r="W100" s="97"/>
      <c r="X100" s="97"/>
      <c r="Y100" s="97"/>
      <c r="Z100" s="97"/>
      <c r="AA100" s="97"/>
      <c r="AB100" s="97"/>
      <c r="AC100" s="97"/>
    </row>
    <row r="101" spans="2:29" ht="11.25" customHeight="1" x14ac:dyDescent="0.45">
      <c r="B101" s="194">
        <v>5050936190</v>
      </c>
      <c r="C101" s="208" t="s">
        <v>283</v>
      </c>
      <c r="D101" s="194">
        <v>2</v>
      </c>
      <c r="E101" s="194">
        <v>84</v>
      </c>
      <c r="F101" s="57"/>
      <c r="G101" s="57">
        <f>(F38*(0.5*(350/1000)))</f>
        <v>0</v>
      </c>
      <c r="H101" s="60">
        <f>30*BC!$B$47/E101</f>
        <v>0</v>
      </c>
      <c r="I101" s="57">
        <f t="shared" si="13"/>
        <v>0</v>
      </c>
      <c r="J101" s="60">
        <f t="shared" si="14"/>
        <v>0</v>
      </c>
      <c r="K101" s="57">
        <f>IF(F38&gt;0,J101,0)</f>
        <v>0</v>
      </c>
      <c r="L101" s="148">
        <f t="shared" si="17"/>
        <v>244</v>
      </c>
      <c r="M101" s="504">
        <v>488</v>
      </c>
      <c r="N101" s="148">
        <f t="shared" si="15"/>
        <v>0</v>
      </c>
      <c r="O101" s="57">
        <f t="shared" si="18"/>
        <v>0</v>
      </c>
      <c r="P101" s="57">
        <f t="shared" si="16"/>
        <v>0</v>
      </c>
      <c r="Q101" s="97"/>
      <c r="R101" s="97"/>
      <c r="S101" s="97"/>
      <c r="T101" s="97"/>
      <c r="U101" s="97"/>
      <c r="V101" s="97"/>
      <c r="W101" s="97"/>
      <c r="X101" s="97"/>
      <c r="Y101" s="97"/>
      <c r="Z101" s="97"/>
      <c r="AA101" s="97"/>
      <c r="AB101" s="97"/>
      <c r="AC101" s="97"/>
    </row>
    <row r="102" spans="2:29" ht="11.25" customHeight="1" x14ac:dyDescent="0.45">
      <c r="B102" s="194">
        <v>5142423190</v>
      </c>
      <c r="C102" s="211" t="s">
        <v>284</v>
      </c>
      <c r="D102" s="194">
        <v>2</v>
      </c>
      <c r="E102" s="194">
        <v>28</v>
      </c>
      <c r="F102" s="57"/>
      <c r="G102" s="57">
        <f>(F46*(0.04*(200/1000)))</f>
        <v>0</v>
      </c>
      <c r="H102" s="60">
        <f>30*BC!$B$47/E102</f>
        <v>0</v>
      </c>
      <c r="I102" s="57">
        <f t="shared" si="13"/>
        <v>0</v>
      </c>
      <c r="J102" s="60">
        <f t="shared" si="14"/>
        <v>0</v>
      </c>
      <c r="K102" s="57">
        <f>IF(F46&gt;0,J102,0)</f>
        <v>0</v>
      </c>
      <c r="L102" s="148">
        <f t="shared" si="17"/>
        <v>37</v>
      </c>
      <c r="M102" s="504">
        <v>74</v>
      </c>
      <c r="N102" s="148">
        <f t="shared" si="15"/>
        <v>0</v>
      </c>
      <c r="O102" s="57">
        <f t="shared" si="18"/>
        <v>0</v>
      </c>
      <c r="P102" s="57">
        <f t="shared" si="16"/>
        <v>0</v>
      </c>
      <c r="Q102" s="97"/>
      <c r="R102" s="97"/>
      <c r="S102" s="97"/>
      <c r="T102" s="97"/>
      <c r="U102" s="97"/>
      <c r="V102" s="97"/>
      <c r="W102" s="97"/>
      <c r="X102" s="97"/>
      <c r="Y102" s="97"/>
      <c r="Z102" s="97"/>
      <c r="AA102" s="97"/>
      <c r="AB102" s="97"/>
      <c r="AC102" s="97"/>
    </row>
    <row r="103" spans="2:29" ht="11.25" customHeight="1" x14ac:dyDescent="0.45">
      <c r="B103" s="194">
        <v>5947626190</v>
      </c>
      <c r="C103" s="199" t="s">
        <v>286</v>
      </c>
      <c r="D103" s="194">
        <v>4</v>
      </c>
      <c r="E103" s="194">
        <v>14</v>
      </c>
      <c r="F103" s="57"/>
      <c r="G103" s="57">
        <f>(A13/(0.003*400)/3000)</f>
        <v>0</v>
      </c>
      <c r="H103" s="60">
        <f>30*BC!$B$47/E103</f>
        <v>0</v>
      </c>
      <c r="I103" s="57">
        <f t="shared" si="13"/>
        <v>0</v>
      </c>
      <c r="J103" s="60">
        <f t="shared" si="14"/>
        <v>0</v>
      </c>
      <c r="K103" s="57">
        <f>IF(A13&gt;0,J103,0)</f>
        <v>0</v>
      </c>
      <c r="L103" s="148">
        <f t="shared" si="17"/>
        <v>14.25</v>
      </c>
      <c r="M103" s="504">
        <v>57</v>
      </c>
      <c r="N103" s="148">
        <f t="shared" si="15"/>
        <v>0</v>
      </c>
      <c r="O103" s="57">
        <f t="shared" si="18"/>
        <v>0</v>
      </c>
      <c r="P103" s="57">
        <f t="shared" si="16"/>
        <v>0</v>
      </c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</row>
    <row r="104" spans="2:29" ht="11.25" customHeight="1" x14ac:dyDescent="0.45">
      <c r="B104" s="194">
        <v>5947774190</v>
      </c>
      <c r="C104" s="199" t="s">
        <v>287</v>
      </c>
      <c r="D104" s="194">
        <v>4</v>
      </c>
      <c r="E104" s="194">
        <v>14</v>
      </c>
      <c r="F104" s="57"/>
      <c r="G104" s="57">
        <f>(A13/(0.003*400)/3000)</f>
        <v>0</v>
      </c>
      <c r="H104" s="60">
        <f>30*BC!$B$47/E104</f>
        <v>0</v>
      </c>
      <c r="I104" s="57">
        <f t="shared" si="13"/>
        <v>0</v>
      </c>
      <c r="J104" s="60">
        <f t="shared" si="14"/>
        <v>0</v>
      </c>
      <c r="K104" s="57">
        <f>IF(A13&gt;0,J104,0)</f>
        <v>0</v>
      </c>
      <c r="L104" s="148">
        <f t="shared" si="17"/>
        <v>22.75</v>
      </c>
      <c r="M104" s="504">
        <v>91</v>
      </c>
      <c r="N104" s="148">
        <f t="shared" si="15"/>
        <v>0</v>
      </c>
      <c r="O104" s="57">
        <f t="shared" si="18"/>
        <v>0</v>
      </c>
      <c r="P104" s="57">
        <f t="shared" si="16"/>
        <v>0</v>
      </c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</row>
    <row r="105" spans="2:29" ht="11.25" customHeight="1" x14ac:dyDescent="0.45">
      <c r="B105" s="194">
        <v>5479207190</v>
      </c>
      <c r="C105" s="206" t="s">
        <v>288</v>
      </c>
      <c r="D105" s="194">
        <v>4</v>
      </c>
      <c r="E105" s="194">
        <v>28</v>
      </c>
      <c r="F105" s="57"/>
      <c r="G105" s="57">
        <f>(F44*(0.025*(500/2000)))</f>
        <v>0</v>
      </c>
      <c r="H105" s="60">
        <f>30*BC!$B$47/E105</f>
        <v>0</v>
      </c>
      <c r="I105" s="57">
        <f t="shared" si="13"/>
        <v>0</v>
      </c>
      <c r="J105" s="60">
        <f t="shared" si="14"/>
        <v>0</v>
      </c>
      <c r="K105" s="57">
        <f>IF(F44&gt;0,J105,0)</f>
        <v>0</v>
      </c>
      <c r="L105" s="148">
        <f t="shared" si="17"/>
        <v>77.25</v>
      </c>
      <c r="M105" s="504">
        <v>309</v>
      </c>
      <c r="N105" s="148">
        <f t="shared" si="15"/>
        <v>0</v>
      </c>
      <c r="O105" s="57">
        <f t="shared" si="18"/>
        <v>0</v>
      </c>
      <c r="P105" s="57">
        <f t="shared" si="16"/>
        <v>0</v>
      </c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</row>
    <row r="106" spans="2:29" ht="11.25" customHeight="1" x14ac:dyDescent="0.45">
      <c r="B106" s="194">
        <v>5912504190</v>
      </c>
      <c r="C106" s="206" t="s">
        <v>289</v>
      </c>
      <c r="D106" s="194">
        <v>4</v>
      </c>
      <c r="E106" s="194">
        <v>28</v>
      </c>
      <c r="F106" s="57"/>
      <c r="G106" s="57">
        <f>(F44*(0.025*(500/2000)))</f>
        <v>0</v>
      </c>
      <c r="H106" s="60">
        <f>30*BC!$B$47/E106</f>
        <v>0</v>
      </c>
      <c r="I106" s="57">
        <f t="shared" si="13"/>
        <v>0</v>
      </c>
      <c r="J106" s="60">
        <f t="shared" si="14"/>
        <v>0</v>
      </c>
      <c r="K106" s="57">
        <f>IF(F44&gt;0,J106,0)</f>
        <v>0</v>
      </c>
      <c r="L106" s="148">
        <f t="shared" si="17"/>
        <v>154.5</v>
      </c>
      <c r="M106" s="504">
        <v>618</v>
      </c>
      <c r="N106" s="148">
        <f t="shared" si="15"/>
        <v>0</v>
      </c>
      <c r="O106" s="57">
        <f t="shared" si="18"/>
        <v>0</v>
      </c>
      <c r="P106" s="57">
        <f t="shared" si="16"/>
        <v>0</v>
      </c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</row>
    <row r="107" spans="2:29" ht="11.25" customHeight="1" x14ac:dyDescent="0.45">
      <c r="B107" s="194">
        <v>5852650190</v>
      </c>
      <c r="C107" s="214" t="s">
        <v>290</v>
      </c>
      <c r="D107" s="194">
        <v>2</v>
      </c>
      <c r="E107" s="194">
        <v>14</v>
      </c>
      <c r="F107" s="57"/>
      <c r="G107" s="57">
        <f>(F59*(0.04*(200/1000)))</f>
        <v>0</v>
      </c>
      <c r="H107" s="60">
        <f>30*BC!$B$47/E107</f>
        <v>0</v>
      </c>
      <c r="I107" s="57">
        <f t="shared" si="13"/>
        <v>0</v>
      </c>
      <c r="J107" s="60">
        <f t="shared" si="14"/>
        <v>0</v>
      </c>
      <c r="K107" s="57">
        <f>IF(F59&gt;0,J107,0)</f>
        <v>0</v>
      </c>
      <c r="L107" s="148">
        <f t="shared" si="17"/>
        <v>286</v>
      </c>
      <c r="M107" s="504">
        <v>572</v>
      </c>
      <c r="N107" s="148">
        <f t="shared" si="15"/>
        <v>0</v>
      </c>
      <c r="O107" s="57">
        <f t="shared" si="18"/>
        <v>0</v>
      </c>
      <c r="P107" s="57">
        <f t="shared" si="16"/>
        <v>0</v>
      </c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</row>
    <row r="108" spans="2:29" ht="11.25" customHeight="1" x14ac:dyDescent="0.45">
      <c r="B108" s="194">
        <v>11098985122</v>
      </c>
      <c r="C108" s="212" t="s">
        <v>291</v>
      </c>
      <c r="D108" s="194">
        <v>3</v>
      </c>
      <c r="E108" s="194">
        <v>28</v>
      </c>
      <c r="F108" s="57"/>
      <c r="G108" s="57">
        <f>(F40*(0.04*(200/1000)))</f>
        <v>0</v>
      </c>
      <c r="H108" s="60">
        <f>30*BC!$B$47/E108</f>
        <v>0</v>
      </c>
      <c r="I108" s="57">
        <f t="shared" si="13"/>
        <v>0</v>
      </c>
      <c r="J108" s="60">
        <f t="shared" si="14"/>
        <v>0</v>
      </c>
      <c r="K108" s="57">
        <f>IF(F40&gt;0,J108,0)</f>
        <v>0</v>
      </c>
      <c r="L108" s="148">
        <f t="shared" si="17"/>
        <v>21</v>
      </c>
      <c r="M108" s="504">
        <v>63</v>
      </c>
      <c r="N108" s="148">
        <f t="shared" si="15"/>
        <v>0</v>
      </c>
      <c r="O108" s="57">
        <f t="shared" si="18"/>
        <v>0</v>
      </c>
      <c r="P108" s="57">
        <f t="shared" si="16"/>
        <v>0</v>
      </c>
      <c r="Q108" s="97"/>
      <c r="R108" s="97"/>
      <c r="S108" s="97"/>
      <c r="T108" s="97"/>
      <c r="U108" s="97"/>
      <c r="V108" s="97"/>
      <c r="W108" s="97"/>
      <c r="X108" s="97"/>
      <c r="Y108" s="97"/>
      <c r="Z108" s="97"/>
      <c r="AA108" s="97"/>
      <c r="AB108" s="97"/>
      <c r="AC108" s="97"/>
    </row>
    <row r="109" spans="2:29" ht="11.25" customHeight="1" x14ac:dyDescent="0.45">
      <c r="B109" s="194">
        <v>3121313122</v>
      </c>
      <c r="C109" s="207" t="s">
        <v>292</v>
      </c>
      <c r="D109" s="194">
        <v>4</v>
      </c>
      <c r="E109" s="194">
        <v>28</v>
      </c>
      <c r="F109" s="57"/>
      <c r="G109" s="57">
        <f>(A16*(0.0025*(250/100)))</f>
        <v>0</v>
      </c>
      <c r="H109" s="60">
        <f>30*BC!$B$47/E109</f>
        <v>0</v>
      </c>
      <c r="I109" s="57">
        <f t="shared" si="13"/>
        <v>0</v>
      </c>
      <c r="J109" s="60">
        <f t="shared" si="14"/>
        <v>0</v>
      </c>
      <c r="K109" s="57">
        <f>IF(A16&gt;0,J109,0)</f>
        <v>0</v>
      </c>
      <c r="L109" s="148">
        <f t="shared" si="17"/>
        <v>115</v>
      </c>
      <c r="M109" s="504">
        <v>460</v>
      </c>
      <c r="N109" s="148">
        <f t="shared" si="15"/>
        <v>0</v>
      </c>
      <c r="O109" s="57">
        <f t="shared" si="18"/>
        <v>0</v>
      </c>
      <c r="P109" s="57">
        <f t="shared" si="16"/>
        <v>0</v>
      </c>
      <c r="Q109" s="97"/>
      <c r="R109" s="97"/>
      <c r="S109" s="97"/>
      <c r="T109" s="97"/>
      <c r="U109" s="97"/>
      <c r="V109" s="97"/>
      <c r="W109" s="97"/>
      <c r="X109" s="97"/>
      <c r="Y109" s="97"/>
      <c r="Z109" s="97"/>
      <c r="AA109" s="97"/>
      <c r="AB109" s="97"/>
      <c r="AC109" s="97"/>
    </row>
    <row r="110" spans="2:29" ht="11.25" customHeight="1" x14ac:dyDescent="0.45">
      <c r="B110" s="194">
        <v>11174118122</v>
      </c>
      <c r="C110" s="212" t="s">
        <v>293</v>
      </c>
      <c r="D110" s="194">
        <v>3</v>
      </c>
      <c r="E110" s="194">
        <v>28</v>
      </c>
      <c r="F110" s="57"/>
      <c r="G110" s="57">
        <f>(F40*(0.04*(200/1000)))</f>
        <v>0</v>
      </c>
      <c r="H110" s="60">
        <f>30*BC!$B$47/E110</f>
        <v>0</v>
      </c>
      <c r="I110" s="57">
        <f t="shared" si="13"/>
        <v>0</v>
      </c>
      <c r="J110" s="60">
        <f t="shared" si="14"/>
        <v>0</v>
      </c>
      <c r="K110" s="57">
        <f>IF(F40&gt;0,J110,0)</f>
        <v>0</v>
      </c>
      <c r="L110" s="148">
        <f t="shared" si="17"/>
        <v>23.666666666666668</v>
      </c>
      <c r="M110" s="504">
        <v>71</v>
      </c>
      <c r="N110" s="148">
        <f t="shared" si="15"/>
        <v>0</v>
      </c>
      <c r="O110" s="57">
        <f t="shared" si="18"/>
        <v>0</v>
      </c>
      <c r="P110" s="57">
        <f t="shared" si="16"/>
        <v>0</v>
      </c>
      <c r="Q110" s="97"/>
      <c r="R110" s="97"/>
      <c r="S110" s="97"/>
      <c r="T110" s="97"/>
      <c r="U110" s="97"/>
      <c r="V110" s="97"/>
      <c r="W110" s="97"/>
      <c r="X110" s="97"/>
      <c r="Y110" s="97"/>
      <c r="Z110" s="97"/>
      <c r="AA110" s="97"/>
      <c r="AB110" s="97"/>
      <c r="AC110" s="97"/>
    </row>
    <row r="111" spans="2:29" ht="11.25" customHeight="1" x14ac:dyDescent="0.45">
      <c r="B111" s="194">
        <v>3121291122</v>
      </c>
      <c r="C111" s="207" t="s">
        <v>294</v>
      </c>
      <c r="D111" s="194">
        <v>4</v>
      </c>
      <c r="E111" s="194">
        <v>28</v>
      </c>
      <c r="F111" s="57"/>
      <c r="G111" s="57">
        <f>(A16*(0.0025*(250/100)))</f>
        <v>0</v>
      </c>
      <c r="H111" s="60">
        <f>30*BC!$B$47/E111</f>
        <v>0</v>
      </c>
      <c r="I111" s="57">
        <f t="shared" si="13"/>
        <v>0</v>
      </c>
      <c r="J111" s="60">
        <f t="shared" si="14"/>
        <v>0</v>
      </c>
      <c r="K111" s="57">
        <f>IF(A16&gt;0,J111,0)</f>
        <v>0</v>
      </c>
      <c r="L111" s="148">
        <f t="shared" si="17"/>
        <v>98</v>
      </c>
      <c r="M111" s="504">
        <v>392</v>
      </c>
      <c r="N111" s="148">
        <f t="shared" si="15"/>
        <v>0</v>
      </c>
      <c r="O111" s="57">
        <f t="shared" si="18"/>
        <v>0</v>
      </c>
      <c r="P111" s="57">
        <f t="shared" si="16"/>
        <v>0</v>
      </c>
      <c r="Q111" s="97"/>
      <c r="R111" s="97"/>
      <c r="S111" s="97"/>
      <c r="T111" s="97"/>
      <c r="U111" s="97"/>
      <c r="V111" s="97"/>
      <c r="W111" s="97"/>
      <c r="X111" s="97"/>
      <c r="Y111" s="97"/>
      <c r="Z111" s="97"/>
      <c r="AA111" s="97"/>
      <c r="AB111" s="97"/>
      <c r="AC111" s="97"/>
    </row>
    <row r="112" spans="2:29" ht="11.25" customHeight="1" x14ac:dyDescent="0.45">
      <c r="B112" s="194">
        <v>3005496122</v>
      </c>
      <c r="C112" s="215" t="s">
        <v>295</v>
      </c>
      <c r="D112" s="194">
        <v>4</v>
      </c>
      <c r="E112" s="194">
        <v>30</v>
      </c>
      <c r="F112" s="57"/>
      <c r="G112" s="57">
        <f>(F64*(0.08*(350/1000)))</f>
        <v>0</v>
      </c>
      <c r="H112" s="60">
        <f>30*BC!$B$47/E112</f>
        <v>0</v>
      </c>
      <c r="I112" s="57">
        <f t="shared" si="13"/>
        <v>0</v>
      </c>
      <c r="J112" s="60">
        <f t="shared" si="14"/>
        <v>0</v>
      </c>
      <c r="K112" s="57">
        <f>IF(F64&gt;0,J112,0)</f>
        <v>0</v>
      </c>
      <c r="L112" s="148">
        <f t="shared" si="17"/>
        <v>52.75</v>
      </c>
      <c r="M112" s="504">
        <v>211</v>
      </c>
      <c r="N112" s="148">
        <f t="shared" si="15"/>
        <v>0</v>
      </c>
      <c r="O112" s="57">
        <f t="shared" si="18"/>
        <v>0</v>
      </c>
      <c r="P112" s="57">
        <f t="shared" si="16"/>
        <v>0</v>
      </c>
      <c r="Q112" s="97"/>
      <c r="R112" s="97"/>
      <c r="S112" s="97"/>
      <c r="T112" s="97"/>
      <c r="U112" s="97"/>
      <c r="V112" s="97"/>
      <c r="W112" s="97"/>
      <c r="X112" s="97"/>
      <c r="Y112" s="97"/>
      <c r="Z112" s="97"/>
      <c r="AA112" s="97"/>
      <c r="AB112" s="97"/>
      <c r="AC112" s="97"/>
    </row>
    <row r="113" spans="2:29" s="427" customFormat="1" ht="21" x14ac:dyDescent="0.45">
      <c r="B113" s="424"/>
      <c r="C113" s="424" t="s">
        <v>8</v>
      </c>
      <c r="D113" s="424" t="s">
        <v>183</v>
      </c>
      <c r="E113" s="417" t="s">
        <v>54</v>
      </c>
      <c r="F113" s="418"/>
      <c r="G113" s="419" t="s">
        <v>53</v>
      </c>
      <c r="H113" s="419" t="s">
        <v>52</v>
      </c>
      <c r="I113" s="420" t="s">
        <v>51</v>
      </c>
      <c r="J113" s="424"/>
      <c r="K113" s="425" t="s">
        <v>166</v>
      </c>
      <c r="L113" s="425" t="s">
        <v>167</v>
      </c>
      <c r="M113" s="425" t="s">
        <v>168</v>
      </c>
      <c r="N113" s="430" t="s">
        <v>168</v>
      </c>
      <c r="O113" s="425" t="s">
        <v>318</v>
      </c>
      <c r="P113" s="425" t="s">
        <v>319</v>
      </c>
      <c r="Q113" s="426"/>
      <c r="R113" s="426"/>
      <c r="S113" s="426"/>
      <c r="T113" s="426"/>
      <c r="U113" s="426"/>
      <c r="V113" s="426"/>
      <c r="W113" s="426"/>
      <c r="X113" s="426"/>
      <c r="Y113" s="426"/>
      <c r="Z113" s="426"/>
      <c r="AA113" s="426"/>
      <c r="AB113" s="426"/>
      <c r="AC113" s="426"/>
    </row>
    <row r="114" spans="2:29" ht="11.25" customHeight="1" x14ac:dyDescent="0.45">
      <c r="B114" s="219">
        <v>4880285190</v>
      </c>
      <c r="C114" s="220" t="s">
        <v>297</v>
      </c>
      <c r="D114" s="219">
        <v>2</v>
      </c>
      <c r="E114" s="219">
        <v>70</v>
      </c>
      <c r="F114" s="57"/>
      <c r="G114" s="57">
        <f>(F74/(0.00025*800)/12000)</f>
        <v>0</v>
      </c>
      <c r="H114" s="60">
        <f>30*BC!$B$47/E114</f>
        <v>0</v>
      </c>
      <c r="I114" s="57">
        <f t="shared" si="13"/>
        <v>0</v>
      </c>
      <c r="J114" s="60">
        <f t="shared" si="14"/>
        <v>0</v>
      </c>
      <c r="K114" s="57">
        <f>IF(F74&gt;0,J114,0)</f>
        <v>0</v>
      </c>
      <c r="L114" s="148">
        <f t="shared" si="17"/>
        <v>32.5</v>
      </c>
      <c r="M114" s="504">
        <v>65</v>
      </c>
      <c r="N114" s="148">
        <f t="shared" si="15"/>
        <v>0</v>
      </c>
      <c r="O114" s="57">
        <f t="shared" ref="O114:O128" si="19">K114/D114</f>
        <v>0</v>
      </c>
      <c r="P114" s="57">
        <f t="shared" si="16"/>
        <v>0</v>
      </c>
      <c r="Q114" s="97"/>
      <c r="R114" s="97"/>
      <c r="S114" s="97"/>
      <c r="T114" s="97"/>
      <c r="U114" s="97"/>
      <c r="V114" s="97"/>
      <c r="W114" s="97"/>
      <c r="X114" s="97"/>
      <c r="Y114" s="97"/>
      <c r="Z114" s="97"/>
      <c r="AA114" s="97"/>
      <c r="AB114" s="97"/>
      <c r="AC114" s="97"/>
    </row>
    <row r="115" spans="2:29" ht="11.25" customHeight="1" x14ac:dyDescent="0.45">
      <c r="B115" s="219">
        <v>4880307190</v>
      </c>
      <c r="C115" s="220" t="s">
        <v>298</v>
      </c>
      <c r="D115" s="219">
        <v>2</v>
      </c>
      <c r="E115" s="219">
        <v>84</v>
      </c>
      <c r="F115" s="57"/>
      <c r="G115" s="57">
        <f>(F74/(0.025*800)/12000)</f>
        <v>0</v>
      </c>
      <c r="H115" s="60">
        <f>30*BC!$B$47/E115</f>
        <v>0</v>
      </c>
      <c r="I115" s="57">
        <f t="shared" si="13"/>
        <v>0</v>
      </c>
      <c r="J115" s="60">
        <f t="shared" si="14"/>
        <v>0</v>
      </c>
      <c r="K115" s="57">
        <f>IF(F74&gt;0,J115,0)</f>
        <v>0</v>
      </c>
      <c r="L115" s="148">
        <f t="shared" si="17"/>
        <v>35.5</v>
      </c>
      <c r="M115" s="504">
        <v>71</v>
      </c>
      <c r="N115" s="148">
        <f t="shared" si="15"/>
        <v>0</v>
      </c>
      <c r="O115" s="57">
        <f t="shared" si="19"/>
        <v>0</v>
      </c>
      <c r="P115" s="57">
        <f t="shared" si="16"/>
        <v>0</v>
      </c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</row>
    <row r="116" spans="2:29" ht="11.25" customHeight="1" x14ac:dyDescent="0.45">
      <c r="B116" s="219">
        <v>4444191001</v>
      </c>
      <c r="C116" s="197" t="s">
        <v>299</v>
      </c>
      <c r="D116" s="219">
        <v>1</v>
      </c>
      <c r="E116" s="219">
        <v>365</v>
      </c>
      <c r="F116" s="57"/>
      <c r="G116" s="57">
        <f>((F74-(F74*0.9))/E116)</f>
        <v>0</v>
      </c>
      <c r="H116" s="60">
        <f>30*BC!$B$47/E116</f>
        <v>0</v>
      </c>
      <c r="I116" s="57">
        <f t="shared" si="13"/>
        <v>0</v>
      </c>
      <c r="J116" s="60">
        <f t="shared" si="14"/>
        <v>0</v>
      </c>
      <c r="K116" s="57">
        <f>IF(F74&gt;0,J116,0)</f>
        <v>0</v>
      </c>
      <c r="L116" s="148">
        <f t="shared" si="17"/>
        <v>9</v>
      </c>
      <c r="M116" s="504">
        <v>9</v>
      </c>
      <c r="N116" s="148">
        <f t="shared" si="15"/>
        <v>0</v>
      </c>
      <c r="O116" s="57">
        <f t="shared" si="19"/>
        <v>0</v>
      </c>
      <c r="P116" s="57">
        <f t="shared" si="16"/>
        <v>0</v>
      </c>
      <c r="Q116" s="97"/>
      <c r="R116" s="97"/>
      <c r="S116" s="97"/>
      <c r="T116" s="97"/>
      <c r="U116" s="97"/>
      <c r="V116" s="97"/>
      <c r="W116" s="97"/>
      <c r="X116" s="97"/>
      <c r="Y116" s="97"/>
      <c r="Z116" s="97"/>
      <c r="AA116" s="97"/>
      <c r="AB116" s="97"/>
      <c r="AC116" s="97"/>
    </row>
    <row r="117" spans="2:29" ht="11.25" customHeight="1" x14ac:dyDescent="0.45">
      <c r="B117" s="219">
        <v>4555040001</v>
      </c>
      <c r="C117" s="197" t="s">
        <v>300</v>
      </c>
      <c r="D117" s="219">
        <v>3</v>
      </c>
      <c r="E117" s="219">
        <v>84</v>
      </c>
      <c r="F117" s="57"/>
      <c r="G117" s="57">
        <f>(F74/(0.07*30)/6300)</f>
        <v>0</v>
      </c>
      <c r="H117" s="60">
        <f>30*BC!$B$47/E117</f>
        <v>0</v>
      </c>
      <c r="I117" s="57">
        <f t="shared" si="13"/>
        <v>0</v>
      </c>
      <c r="J117" s="60">
        <f t="shared" si="14"/>
        <v>0</v>
      </c>
      <c r="K117" s="57">
        <f>IF(F74&gt;0,J117,0)</f>
        <v>0</v>
      </c>
      <c r="L117" s="148">
        <f t="shared" si="17"/>
        <v>312</v>
      </c>
      <c r="M117" s="504">
        <v>936</v>
      </c>
      <c r="N117" s="148">
        <f t="shared" si="15"/>
        <v>0</v>
      </c>
      <c r="O117" s="57">
        <f t="shared" si="19"/>
        <v>0</v>
      </c>
      <c r="P117" s="57">
        <f t="shared" si="16"/>
        <v>0</v>
      </c>
      <c r="Q117" s="97"/>
      <c r="R117" s="97"/>
      <c r="S117" s="97"/>
      <c r="T117" s="97"/>
      <c r="U117" s="97"/>
      <c r="V117" s="97"/>
      <c r="W117" s="97"/>
      <c r="X117" s="97"/>
      <c r="Y117" s="97"/>
      <c r="Z117" s="97"/>
      <c r="AA117" s="97"/>
      <c r="AB117" s="97"/>
      <c r="AC117" s="97"/>
    </row>
    <row r="118" spans="2:29" ht="11.25" customHeight="1" x14ac:dyDescent="0.45">
      <c r="B118" s="219">
        <v>5422485190</v>
      </c>
      <c r="C118" s="220" t="s">
        <v>301</v>
      </c>
      <c r="D118" s="219">
        <v>1</v>
      </c>
      <c r="E118" s="219">
        <v>28</v>
      </c>
      <c r="F118" s="57"/>
      <c r="G118" s="57">
        <f>(F74/(1.2*11)/120)</f>
        <v>0</v>
      </c>
      <c r="H118" s="60">
        <f>30*BC!$B$47/E118</f>
        <v>0</v>
      </c>
      <c r="I118" s="57">
        <f t="shared" si="13"/>
        <v>0</v>
      </c>
      <c r="J118" s="60">
        <f t="shared" si="14"/>
        <v>0</v>
      </c>
      <c r="K118" s="57">
        <f>IF(F74&gt;0,J118,0)</f>
        <v>0</v>
      </c>
      <c r="L118" s="148">
        <f t="shared" si="17"/>
        <v>32</v>
      </c>
      <c r="M118" s="504">
        <v>32</v>
      </c>
      <c r="N118" s="148">
        <f t="shared" si="15"/>
        <v>0</v>
      </c>
      <c r="O118" s="57">
        <f t="shared" si="19"/>
        <v>0</v>
      </c>
      <c r="P118" s="57">
        <f t="shared" si="16"/>
        <v>0</v>
      </c>
      <c r="Q118" s="97"/>
      <c r="R118" s="97"/>
      <c r="S118" s="97"/>
      <c r="T118" s="97"/>
      <c r="U118" s="97"/>
      <c r="V118" s="97"/>
      <c r="W118" s="97"/>
      <c r="X118" s="97"/>
      <c r="Y118" s="97"/>
      <c r="Z118" s="97"/>
      <c r="AA118" s="97"/>
      <c r="AB118" s="97"/>
      <c r="AC118" s="97"/>
    </row>
    <row r="119" spans="2:29" ht="11.25" customHeight="1" x14ac:dyDescent="0.45">
      <c r="B119" s="219">
        <v>4554124001</v>
      </c>
      <c r="C119" s="220" t="s">
        <v>302</v>
      </c>
      <c r="D119" s="219">
        <v>1</v>
      </c>
      <c r="E119" s="219">
        <v>30</v>
      </c>
      <c r="F119" s="57"/>
      <c r="G119" s="57">
        <f>(F74/(0.05*30)/6300)</f>
        <v>0</v>
      </c>
      <c r="H119" s="60">
        <f>30*BC!$B$47/E119</f>
        <v>0</v>
      </c>
      <c r="I119" s="57">
        <f t="shared" si="13"/>
        <v>0</v>
      </c>
      <c r="J119" s="60">
        <f t="shared" si="14"/>
        <v>0</v>
      </c>
      <c r="K119" s="57">
        <f>IF(F74&gt;0,J119,0)</f>
        <v>0</v>
      </c>
      <c r="L119" s="148">
        <f t="shared" si="17"/>
        <v>178</v>
      </c>
      <c r="M119" s="504">
        <v>178</v>
      </c>
      <c r="N119" s="148">
        <f t="shared" si="15"/>
        <v>0</v>
      </c>
      <c r="O119" s="57">
        <f t="shared" si="19"/>
        <v>0</v>
      </c>
      <c r="P119" s="57">
        <f t="shared" si="16"/>
        <v>0</v>
      </c>
      <c r="Q119" s="97"/>
      <c r="R119" s="97"/>
      <c r="S119" s="97"/>
      <c r="T119" s="97"/>
      <c r="U119" s="97"/>
      <c r="V119" s="97"/>
      <c r="W119" s="97"/>
      <c r="X119" s="97"/>
      <c r="Y119" s="97"/>
      <c r="Z119" s="97"/>
      <c r="AA119" s="97"/>
      <c r="AB119" s="97"/>
      <c r="AC119" s="97"/>
    </row>
    <row r="120" spans="2:29" ht="11.25" customHeight="1" x14ac:dyDescent="0.45">
      <c r="B120" s="219">
        <v>4516273001</v>
      </c>
      <c r="C120" s="220" t="s">
        <v>303</v>
      </c>
      <c r="D120" s="219">
        <v>1</v>
      </c>
      <c r="E120" s="219">
        <v>30</v>
      </c>
      <c r="F120" s="57"/>
      <c r="G120" s="57">
        <f>(F74/(0.05*30)/6300)</f>
        <v>0</v>
      </c>
      <c r="H120" s="60">
        <f>30*BC!$B$47/E120</f>
        <v>0</v>
      </c>
      <c r="I120" s="57">
        <f t="shared" si="13"/>
        <v>0</v>
      </c>
      <c r="J120" s="60">
        <f t="shared" si="14"/>
        <v>0</v>
      </c>
      <c r="K120" s="57">
        <f>IF(F74&gt;0,J120,0)</f>
        <v>0</v>
      </c>
      <c r="L120" s="148">
        <f t="shared" si="17"/>
        <v>26</v>
      </c>
      <c r="M120" s="504">
        <v>26</v>
      </c>
      <c r="N120" s="148">
        <f t="shared" si="15"/>
        <v>0</v>
      </c>
      <c r="O120" s="57">
        <f t="shared" si="19"/>
        <v>0</v>
      </c>
      <c r="P120" s="57">
        <f t="shared" si="16"/>
        <v>0</v>
      </c>
      <c r="Q120" s="97"/>
      <c r="R120" s="97"/>
      <c r="S120" s="97"/>
      <c r="T120" s="97"/>
      <c r="U120" s="97"/>
      <c r="V120" s="97"/>
      <c r="W120" s="97"/>
      <c r="X120" s="97"/>
      <c r="Y120" s="97"/>
      <c r="Z120" s="97"/>
      <c r="AA120" s="97"/>
      <c r="AB120" s="97"/>
      <c r="AC120" s="97"/>
    </row>
    <row r="121" spans="2:29" ht="11.25" customHeight="1" x14ac:dyDescent="0.45">
      <c r="B121" s="219">
        <v>4516265001</v>
      </c>
      <c r="C121" s="220" t="s">
        <v>304</v>
      </c>
      <c r="D121" s="219">
        <v>1</v>
      </c>
      <c r="E121" s="219">
        <v>30</v>
      </c>
      <c r="F121" s="57"/>
      <c r="G121" s="57">
        <f>(F74/(0.05*30)/6300)</f>
        <v>0</v>
      </c>
      <c r="H121" s="60">
        <f>30*BC!$B$47/E121</f>
        <v>0</v>
      </c>
      <c r="I121" s="57">
        <f t="shared" si="13"/>
        <v>0</v>
      </c>
      <c r="J121" s="60">
        <f t="shared" si="14"/>
        <v>0</v>
      </c>
      <c r="K121" s="57">
        <f>IF(F74&gt;0,J121,0)</f>
        <v>0</v>
      </c>
      <c r="L121" s="148">
        <f t="shared" si="17"/>
        <v>61</v>
      </c>
      <c r="M121" s="504">
        <v>61</v>
      </c>
      <c r="N121" s="148">
        <f t="shared" si="15"/>
        <v>0</v>
      </c>
      <c r="O121" s="57">
        <f t="shared" si="19"/>
        <v>0</v>
      </c>
      <c r="P121" s="57">
        <f t="shared" si="16"/>
        <v>0</v>
      </c>
      <c r="Q121" s="97"/>
      <c r="R121" s="97"/>
      <c r="S121" s="97"/>
      <c r="T121" s="97"/>
      <c r="U121" s="97"/>
      <c r="V121" s="97"/>
      <c r="W121" s="97"/>
      <c r="X121" s="97"/>
      <c r="Y121" s="97"/>
      <c r="Z121" s="97"/>
      <c r="AA121" s="97"/>
      <c r="AB121" s="97"/>
      <c r="AC121" s="97"/>
    </row>
    <row r="122" spans="2:29" ht="11.25" customHeight="1" x14ac:dyDescent="0.45">
      <c r="B122" s="219">
        <v>4528182190</v>
      </c>
      <c r="C122" s="769" t="s">
        <v>305</v>
      </c>
      <c r="D122" s="219">
        <v>1</v>
      </c>
      <c r="E122" s="219">
        <v>28</v>
      </c>
      <c r="F122" s="57"/>
      <c r="G122" s="57">
        <f>(F44/(0.025*500)/100)</f>
        <v>0</v>
      </c>
      <c r="H122" s="60">
        <f>30*BC!$B$47/E122</f>
        <v>0</v>
      </c>
      <c r="I122" s="57">
        <f t="shared" si="13"/>
        <v>0</v>
      </c>
      <c r="J122" s="60">
        <f t="shared" si="14"/>
        <v>0</v>
      </c>
      <c r="K122" s="57">
        <f>IF(F44&gt;0,J122,0)</f>
        <v>0</v>
      </c>
      <c r="L122" s="148">
        <f t="shared" si="17"/>
        <v>26</v>
      </c>
      <c r="M122" s="504">
        <v>26</v>
      </c>
      <c r="N122" s="148">
        <f t="shared" si="15"/>
        <v>0</v>
      </c>
      <c r="O122" s="57">
        <f t="shared" si="19"/>
        <v>0</v>
      </c>
      <c r="P122" s="57">
        <f t="shared" si="16"/>
        <v>0</v>
      </c>
      <c r="Q122" s="97"/>
      <c r="R122" s="97"/>
      <c r="S122" s="97"/>
      <c r="T122" s="97"/>
      <c r="U122" s="97"/>
      <c r="V122" s="97"/>
      <c r="W122" s="97"/>
      <c r="X122" s="97"/>
      <c r="Y122" s="97"/>
      <c r="Z122" s="97"/>
      <c r="AA122" s="97"/>
      <c r="AB122" s="97"/>
      <c r="AC122" s="97"/>
    </row>
    <row r="123" spans="2:29" ht="11.25" customHeight="1" x14ac:dyDescent="0.45">
      <c r="B123" s="219">
        <v>4813707001</v>
      </c>
      <c r="C123" s="220" t="s">
        <v>306</v>
      </c>
      <c r="D123" s="219">
        <v>1</v>
      </c>
      <c r="E123" s="219">
        <v>45</v>
      </c>
      <c r="F123" s="57"/>
      <c r="G123" s="57">
        <f>(F74/(0.07*30)/6300)</f>
        <v>0</v>
      </c>
      <c r="H123" s="60">
        <f>30*BC!$B$47/E123</f>
        <v>0</v>
      </c>
      <c r="I123" s="57">
        <f t="shared" si="13"/>
        <v>0</v>
      </c>
      <c r="J123" s="60">
        <f t="shared" si="14"/>
        <v>0</v>
      </c>
      <c r="K123" s="57">
        <f>IF(F74&gt;0,J123,0)</f>
        <v>0</v>
      </c>
      <c r="L123" s="148">
        <f t="shared" si="17"/>
        <v>402</v>
      </c>
      <c r="M123" s="504">
        <v>402</v>
      </c>
      <c r="N123" s="148">
        <f t="shared" si="15"/>
        <v>0</v>
      </c>
      <c r="O123" s="57">
        <f t="shared" si="19"/>
        <v>0</v>
      </c>
      <c r="P123" s="57">
        <f t="shared" si="16"/>
        <v>0</v>
      </c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</row>
    <row r="124" spans="2:29" ht="11.25" customHeight="1" x14ac:dyDescent="0.45">
      <c r="B124" s="219">
        <v>4516303001</v>
      </c>
      <c r="C124" s="220" t="s">
        <v>307</v>
      </c>
      <c r="D124" s="219">
        <v>1</v>
      </c>
      <c r="E124" s="219">
        <v>360</v>
      </c>
      <c r="F124" s="57"/>
      <c r="G124" s="57">
        <f>(F74/(0.025*500)/12000)</f>
        <v>0</v>
      </c>
      <c r="H124" s="60">
        <f>30*BC!$B$47/E124</f>
        <v>0</v>
      </c>
      <c r="I124" s="57">
        <f t="shared" si="13"/>
        <v>0</v>
      </c>
      <c r="J124" s="60">
        <f t="shared" si="14"/>
        <v>0</v>
      </c>
      <c r="K124" s="57">
        <f>IF(F74&gt;0,J124,0)</f>
        <v>0</v>
      </c>
      <c r="L124" s="148">
        <f t="shared" si="17"/>
        <v>859</v>
      </c>
      <c r="M124" s="504">
        <v>859</v>
      </c>
      <c r="N124" s="148">
        <f t="shared" si="15"/>
        <v>0</v>
      </c>
      <c r="O124" s="57">
        <f t="shared" si="19"/>
        <v>0</v>
      </c>
      <c r="P124" s="57">
        <f t="shared" si="16"/>
        <v>0</v>
      </c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</row>
    <row r="125" spans="2:29" ht="11.25" customHeight="1" x14ac:dyDescent="0.45">
      <c r="B125" s="219">
        <v>4708725190</v>
      </c>
      <c r="C125" s="220" t="s">
        <v>308</v>
      </c>
      <c r="D125" s="219">
        <v>12</v>
      </c>
      <c r="E125" s="219">
        <v>28</v>
      </c>
      <c r="F125" s="57"/>
      <c r="G125" s="57">
        <f>(F74/(0.00025*250)/56000)</f>
        <v>0</v>
      </c>
      <c r="H125" s="60">
        <f>30*BC!$B$47/E125</f>
        <v>0</v>
      </c>
      <c r="I125" s="57">
        <f t="shared" si="13"/>
        <v>0</v>
      </c>
      <c r="J125" s="60">
        <f t="shared" si="14"/>
        <v>0</v>
      </c>
      <c r="K125" s="57">
        <f>IF(F74&gt;0,J125,0)</f>
        <v>0</v>
      </c>
      <c r="L125" s="148">
        <f t="shared" si="17"/>
        <v>4.083333333333333</v>
      </c>
      <c r="M125" s="504">
        <v>49</v>
      </c>
      <c r="N125" s="148">
        <f t="shared" si="15"/>
        <v>0</v>
      </c>
      <c r="O125" s="57">
        <f t="shared" si="19"/>
        <v>0</v>
      </c>
      <c r="P125" s="57">
        <f t="shared" si="16"/>
        <v>0</v>
      </c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</row>
    <row r="126" spans="2:29" ht="11.25" customHeight="1" x14ac:dyDescent="0.45">
      <c r="B126" s="219">
        <v>4489357190</v>
      </c>
      <c r="C126" s="220" t="s">
        <v>309</v>
      </c>
      <c r="D126" s="219">
        <v>1</v>
      </c>
      <c r="E126" s="219">
        <v>84</v>
      </c>
      <c r="F126" s="57"/>
      <c r="G126" s="57">
        <f>(F74/(0.03*200)/12000)</f>
        <v>0</v>
      </c>
      <c r="H126" s="60">
        <f>30*BC!$B$47/E126</f>
        <v>0</v>
      </c>
      <c r="I126" s="57">
        <f t="shared" si="13"/>
        <v>0</v>
      </c>
      <c r="J126" s="60">
        <f t="shared" si="14"/>
        <v>0</v>
      </c>
      <c r="K126" s="57">
        <f>IF(F74&gt;0,J126,0)</f>
        <v>0</v>
      </c>
      <c r="L126" s="148">
        <f t="shared" si="17"/>
        <v>14</v>
      </c>
      <c r="M126" s="504">
        <v>14</v>
      </c>
      <c r="N126" s="148">
        <f t="shared" si="15"/>
        <v>0</v>
      </c>
      <c r="O126" s="57">
        <f t="shared" si="19"/>
        <v>0</v>
      </c>
      <c r="P126" s="57">
        <f t="shared" si="16"/>
        <v>0</v>
      </c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</row>
    <row r="127" spans="2:29" ht="11.25" customHeight="1" x14ac:dyDescent="0.45">
      <c r="B127" s="219">
        <v>4489241190</v>
      </c>
      <c r="C127" s="220" t="s">
        <v>310</v>
      </c>
      <c r="D127" s="219">
        <v>1</v>
      </c>
      <c r="E127" s="219">
        <v>84</v>
      </c>
      <c r="F127" s="57"/>
      <c r="G127" s="57">
        <f>(F74/(0.0003*800)/12000)</f>
        <v>0</v>
      </c>
      <c r="H127" s="60">
        <f>30*BC!$B$47/E127</f>
        <v>0</v>
      </c>
      <c r="I127" s="57">
        <f t="shared" si="13"/>
        <v>0</v>
      </c>
      <c r="J127" s="60">
        <f t="shared" si="14"/>
        <v>0</v>
      </c>
      <c r="K127" s="57">
        <f>IF(F74&gt;0,J127,0)</f>
        <v>0</v>
      </c>
      <c r="L127" s="148">
        <f t="shared" si="17"/>
        <v>5</v>
      </c>
      <c r="M127" s="504">
        <v>5</v>
      </c>
      <c r="N127" s="148">
        <f t="shared" si="15"/>
        <v>0</v>
      </c>
      <c r="O127" s="696">
        <f t="shared" si="19"/>
        <v>0</v>
      </c>
      <c r="P127" s="57">
        <f t="shared" si="16"/>
        <v>0</v>
      </c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</row>
    <row r="128" spans="2:29" ht="11.25" customHeight="1" x14ac:dyDescent="0.45">
      <c r="B128" s="219">
        <v>4489225190</v>
      </c>
      <c r="C128" s="220" t="s">
        <v>311</v>
      </c>
      <c r="D128" s="219">
        <v>1</v>
      </c>
      <c r="E128" s="219">
        <v>84</v>
      </c>
      <c r="F128" s="57"/>
      <c r="G128" s="57">
        <f>(F74/(0.04*300)/12000)</f>
        <v>0</v>
      </c>
      <c r="H128" s="60">
        <f>30*BC!$B$47/E128</f>
        <v>0</v>
      </c>
      <c r="I128" s="57">
        <f>IF(G128&gt;H128,G128,H128)</f>
        <v>0</v>
      </c>
      <c r="J128" s="60">
        <f>ROUNDUP(I128,0)</f>
        <v>0</v>
      </c>
      <c r="K128" s="57">
        <f>IF(F74&gt;0,J128,0)</f>
        <v>0</v>
      </c>
      <c r="L128" s="148">
        <f t="shared" si="17"/>
        <v>7</v>
      </c>
      <c r="M128" s="504">
        <v>7</v>
      </c>
      <c r="N128" s="148">
        <f t="shared" si="15"/>
        <v>0</v>
      </c>
      <c r="O128" s="696">
        <f t="shared" si="19"/>
        <v>0</v>
      </c>
      <c r="P128" s="57">
        <f>ROUNDUP(O128,0)</f>
        <v>0</v>
      </c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</row>
    <row r="129" spans="2:29" x14ac:dyDescent="0.45">
      <c r="B129" s="539">
        <v>4516303001</v>
      </c>
      <c r="C129" s="542" t="s">
        <v>1162</v>
      </c>
      <c r="D129" s="539">
        <v>1</v>
      </c>
      <c r="E129" s="539">
        <v>365</v>
      </c>
      <c r="F129" s="898"/>
      <c r="G129" s="57">
        <f t="shared" ref="G129:G134" si="20">(F75/(0.04*300)/12000)</f>
        <v>0</v>
      </c>
      <c r="H129" s="60">
        <f>30*BC!$B$47/E129</f>
        <v>0</v>
      </c>
      <c r="I129" s="57">
        <f t="shared" ref="I129:I134" si="21">IF(G129&gt;H129,G129,H129)</f>
        <v>0</v>
      </c>
      <c r="J129" s="60">
        <f t="shared" ref="J129:J134" si="22">ROUNDUP(I129,0)</f>
        <v>0</v>
      </c>
      <c r="K129" s="57">
        <f t="shared" ref="K129:K134" si="23">IF(F75&gt;0,J129,0)</f>
        <v>0</v>
      </c>
      <c r="L129" s="148">
        <f t="shared" ref="L129:L134" si="24">M129/D129</f>
        <v>859</v>
      </c>
      <c r="M129" s="504">
        <v>859</v>
      </c>
      <c r="N129" s="148">
        <f t="shared" ref="N129:N134" si="25">L129*K129</f>
        <v>0</v>
      </c>
      <c r="O129" s="696">
        <f t="shared" ref="O129:O134" si="26">K129/D129</f>
        <v>0</v>
      </c>
      <c r="P129" s="57">
        <f t="shared" ref="P129:P134" si="27">ROUNDUP(O129,0)</f>
        <v>0</v>
      </c>
      <c r="Q129" s="97"/>
      <c r="R129" s="97"/>
      <c r="S129" s="97"/>
      <c r="T129" s="97"/>
      <c r="U129" s="97"/>
      <c r="V129" s="97"/>
      <c r="W129" s="97"/>
      <c r="X129" s="97"/>
      <c r="Y129" s="97"/>
      <c r="Z129" s="97"/>
    </row>
    <row r="130" spans="2:29" x14ac:dyDescent="0.45">
      <c r="B130" s="539" t="s">
        <v>1163</v>
      </c>
      <c r="C130" s="542" t="s">
        <v>1164</v>
      </c>
      <c r="D130" s="539">
        <v>1</v>
      </c>
      <c r="E130" s="539">
        <v>365</v>
      </c>
      <c r="F130" s="898"/>
      <c r="G130" s="57">
        <f t="shared" si="20"/>
        <v>0</v>
      </c>
      <c r="H130" s="60">
        <f>30*BC!$B$47/E130</f>
        <v>0</v>
      </c>
      <c r="I130" s="57">
        <f t="shared" si="21"/>
        <v>0</v>
      </c>
      <c r="J130" s="60">
        <f t="shared" si="22"/>
        <v>0</v>
      </c>
      <c r="K130" s="57">
        <f t="shared" si="23"/>
        <v>0</v>
      </c>
      <c r="L130" s="148">
        <f t="shared" si="24"/>
        <v>50</v>
      </c>
      <c r="M130" s="504">
        <v>50</v>
      </c>
      <c r="N130" s="148">
        <f t="shared" si="25"/>
        <v>0</v>
      </c>
      <c r="O130" s="696">
        <f t="shared" si="26"/>
        <v>0</v>
      </c>
      <c r="P130" s="57">
        <f t="shared" si="27"/>
        <v>0</v>
      </c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 spans="2:29" x14ac:dyDescent="0.45">
      <c r="B131" s="539">
        <v>4516265001</v>
      </c>
      <c r="C131" s="542" t="s">
        <v>304</v>
      </c>
      <c r="D131" s="539">
        <v>1</v>
      </c>
      <c r="E131" s="539">
        <v>365</v>
      </c>
      <c r="F131" s="898"/>
      <c r="G131" s="57">
        <f t="shared" si="20"/>
        <v>0</v>
      </c>
      <c r="H131" s="60">
        <f>30*BC!$B$47/E131</f>
        <v>0</v>
      </c>
      <c r="I131" s="57">
        <f t="shared" si="21"/>
        <v>0</v>
      </c>
      <c r="J131" s="60">
        <f t="shared" si="22"/>
        <v>0</v>
      </c>
      <c r="K131" s="57">
        <f t="shared" si="23"/>
        <v>0</v>
      </c>
      <c r="L131" s="148">
        <f t="shared" si="24"/>
        <v>61</v>
      </c>
      <c r="M131" s="504">
        <v>61</v>
      </c>
      <c r="N131" s="148">
        <f t="shared" si="25"/>
        <v>0</v>
      </c>
      <c r="O131" s="696">
        <f t="shared" si="26"/>
        <v>0</v>
      </c>
      <c r="P131" s="57">
        <f t="shared" si="27"/>
        <v>0</v>
      </c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 spans="2:29" x14ac:dyDescent="0.45">
      <c r="B132" s="539">
        <v>4516273001</v>
      </c>
      <c r="C132" s="542" t="s">
        <v>303</v>
      </c>
      <c r="D132" s="539">
        <v>1</v>
      </c>
      <c r="E132" s="539">
        <v>365</v>
      </c>
      <c r="F132" s="898"/>
      <c r="G132" s="57">
        <f t="shared" si="20"/>
        <v>0</v>
      </c>
      <c r="H132" s="60">
        <f>30*BC!$B$47/E132</f>
        <v>0</v>
      </c>
      <c r="I132" s="57">
        <f t="shared" si="21"/>
        <v>0</v>
      </c>
      <c r="J132" s="60">
        <f t="shared" si="22"/>
        <v>0</v>
      </c>
      <c r="K132" s="57">
        <f t="shared" si="23"/>
        <v>0</v>
      </c>
      <c r="L132" s="148">
        <f t="shared" si="24"/>
        <v>26</v>
      </c>
      <c r="M132" s="504">
        <v>26</v>
      </c>
      <c r="N132" s="148">
        <f t="shared" si="25"/>
        <v>0</v>
      </c>
      <c r="O132" s="696">
        <f t="shared" si="26"/>
        <v>0</v>
      </c>
      <c r="P132" s="57">
        <f t="shared" si="27"/>
        <v>0</v>
      </c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 spans="2:29" x14ac:dyDescent="0.45">
      <c r="B133" s="539">
        <v>4554124001</v>
      </c>
      <c r="C133" s="542" t="s">
        <v>302</v>
      </c>
      <c r="D133" s="539">
        <v>1</v>
      </c>
      <c r="E133" s="539">
        <v>365</v>
      </c>
      <c r="F133" s="898"/>
      <c r="G133" s="57">
        <f t="shared" si="20"/>
        <v>0</v>
      </c>
      <c r="H133" s="60">
        <f>30*BC!$B$47/E133</f>
        <v>0</v>
      </c>
      <c r="I133" s="57">
        <f t="shared" si="21"/>
        <v>0</v>
      </c>
      <c r="J133" s="60">
        <f t="shared" si="22"/>
        <v>0</v>
      </c>
      <c r="K133" s="57">
        <f t="shared" si="23"/>
        <v>0</v>
      </c>
      <c r="L133" s="148">
        <f t="shared" si="24"/>
        <v>178</v>
      </c>
      <c r="M133" s="504">
        <v>178</v>
      </c>
      <c r="N133" s="148">
        <f t="shared" si="25"/>
        <v>0</v>
      </c>
      <c r="O133" s="696">
        <f t="shared" si="26"/>
        <v>0</v>
      </c>
      <c r="P133" s="57">
        <f t="shared" si="27"/>
        <v>0</v>
      </c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 spans="2:29" x14ac:dyDescent="0.45">
      <c r="B134" s="539" t="s">
        <v>1165</v>
      </c>
      <c r="C134" s="542" t="s">
        <v>1166</v>
      </c>
      <c r="D134" s="539">
        <v>1</v>
      </c>
      <c r="E134" s="539">
        <v>365</v>
      </c>
      <c r="F134" s="898"/>
      <c r="G134" s="57">
        <f t="shared" si="20"/>
        <v>0</v>
      </c>
      <c r="H134" s="60">
        <f>30*BC!$B$47/E134</f>
        <v>0</v>
      </c>
      <c r="I134" s="57">
        <f t="shared" si="21"/>
        <v>0</v>
      </c>
      <c r="J134" s="60">
        <f t="shared" si="22"/>
        <v>0</v>
      </c>
      <c r="K134" s="57">
        <f t="shared" si="23"/>
        <v>0</v>
      </c>
      <c r="L134" s="148">
        <f t="shared" si="24"/>
        <v>13</v>
      </c>
      <c r="M134" s="504">
        <v>13</v>
      </c>
      <c r="N134" s="148">
        <f t="shared" si="25"/>
        <v>0</v>
      </c>
      <c r="O134" s="696">
        <f t="shared" si="26"/>
        <v>0</v>
      </c>
      <c r="P134" s="57">
        <f t="shared" si="27"/>
        <v>0</v>
      </c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 spans="2:29" s="266" customFormat="1" ht="10.5" x14ac:dyDescent="0.35">
      <c r="B135" s="56"/>
      <c r="C135" s="55" t="s">
        <v>177</v>
      </c>
      <c r="D135" s="57">
        <v>1</v>
      </c>
      <c r="E135" s="58"/>
      <c r="F135" s="57"/>
      <c r="G135" s="57"/>
      <c r="H135" s="57"/>
      <c r="I135" s="57"/>
      <c r="J135" s="57"/>
      <c r="K135" s="160">
        <f>BCB47</f>
        <v>0</v>
      </c>
      <c r="L135" s="148">
        <f t="shared" si="17"/>
        <v>1290</v>
      </c>
      <c r="M135" s="267">
        <v>1290</v>
      </c>
      <c r="N135" s="148">
        <f>L135*K135</f>
        <v>0</v>
      </c>
      <c r="O135" s="72"/>
    </row>
    <row r="136" spans="2:29" ht="11.25" customHeight="1" x14ac:dyDescent="0.45">
      <c r="B136" s="97"/>
      <c r="C136" s="24"/>
      <c r="D136" s="97"/>
      <c r="E136" s="97"/>
      <c r="M136" s="250"/>
      <c r="N136" s="148">
        <f>SUM(N76:N135)</f>
        <v>0</v>
      </c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</row>
    <row r="137" spans="2:29" ht="11.25" customHeight="1" x14ac:dyDescent="0.45">
      <c r="B137" s="97"/>
      <c r="C137" s="97"/>
      <c r="D137" s="97"/>
      <c r="E137" s="97"/>
      <c r="M137" s="250"/>
      <c r="N137" s="57" t="e">
        <f>N136/F74</f>
        <v>#DIV/0!</v>
      </c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</row>
    <row r="138" spans="2:29" ht="11.25" customHeight="1" x14ac:dyDescent="0.45">
      <c r="B138" s="97"/>
      <c r="C138" s="97"/>
      <c r="D138" s="97"/>
      <c r="E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</row>
    <row r="139" spans="2:29" s="427" customFormat="1" ht="21" x14ac:dyDescent="0.45">
      <c r="B139" s="910" t="s">
        <v>831</v>
      </c>
      <c r="C139" s="911"/>
      <c r="D139" s="428" t="s">
        <v>183</v>
      </c>
      <c r="E139" s="417" t="s">
        <v>54</v>
      </c>
      <c r="F139" s="418" t="s">
        <v>193</v>
      </c>
      <c r="G139" s="419" t="s">
        <v>53</v>
      </c>
      <c r="H139" s="435" t="s">
        <v>52</v>
      </c>
      <c r="I139" s="420" t="s">
        <v>51</v>
      </c>
      <c r="J139" s="436"/>
      <c r="K139" s="437" t="s">
        <v>166</v>
      </c>
      <c r="L139" s="437" t="s">
        <v>167</v>
      </c>
      <c r="M139" s="437" t="s">
        <v>168</v>
      </c>
      <c r="N139" s="437" t="s">
        <v>318</v>
      </c>
      <c r="O139" s="437" t="s">
        <v>319</v>
      </c>
      <c r="P139" s="426"/>
      <c r="Q139" s="426"/>
      <c r="R139" s="426"/>
      <c r="S139" s="426"/>
      <c r="T139" s="426"/>
      <c r="U139" s="426"/>
      <c r="V139" s="426"/>
      <c r="W139" s="426"/>
      <c r="X139" s="426"/>
      <c r="Y139" s="426"/>
      <c r="Z139" s="426"/>
      <c r="AA139" s="426"/>
      <c r="AB139" s="426"/>
      <c r="AC139" s="426"/>
    </row>
    <row r="140" spans="2:29" ht="11.25" customHeight="1" x14ac:dyDescent="0.45">
      <c r="B140" s="220">
        <v>11183974216</v>
      </c>
      <c r="C140" s="220" t="s">
        <v>818</v>
      </c>
      <c r="D140" s="219">
        <v>10</v>
      </c>
      <c r="E140" s="219">
        <v>1</v>
      </c>
      <c r="F140" s="695">
        <f>'c311'!C131</f>
        <v>1</v>
      </c>
      <c r="G140" s="219">
        <f>30*BC!$B$47/E140</f>
        <v>0</v>
      </c>
      <c r="H140" s="57">
        <f>30*BC!$B$47/E140</f>
        <v>0</v>
      </c>
      <c r="I140" s="57">
        <f t="shared" ref="I140" si="28">IF(G140&gt;H140,G140,H140)</f>
        <v>0</v>
      </c>
      <c r="J140" s="60">
        <f t="shared" ref="J140" si="29">ROUNDUP(I140,0)</f>
        <v>0</v>
      </c>
      <c r="K140" s="57">
        <f>IF(F140&gt;0,J140,0)</f>
        <v>0</v>
      </c>
      <c r="L140" s="148">
        <v>6.1</v>
      </c>
      <c r="M140" s="148">
        <f t="shared" ref="M140" si="30">L140*K140</f>
        <v>0</v>
      </c>
      <c r="N140" s="57">
        <f t="shared" ref="N140" si="31">K140/D140</f>
        <v>0</v>
      </c>
      <c r="O140" s="57">
        <f t="shared" ref="O140" si="32">ROUNDUP(N140,0)</f>
        <v>0</v>
      </c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</row>
    <row r="141" spans="2:29" ht="11.25" customHeight="1" x14ac:dyDescent="0.45">
      <c r="B141" s="220">
        <v>11183982216</v>
      </c>
      <c r="C141" s="220" t="s">
        <v>819</v>
      </c>
      <c r="D141" s="219">
        <v>10</v>
      </c>
      <c r="E141" s="219">
        <v>1</v>
      </c>
      <c r="F141" s="723"/>
      <c r="G141" s="219">
        <f>30*BC!$B$47/E141</f>
        <v>0</v>
      </c>
      <c r="H141" s="57">
        <f>30*BC!$B$47/E141</f>
        <v>0</v>
      </c>
      <c r="I141" s="57">
        <f t="shared" ref="I141:I150" si="33">IF(G141&gt;H141,G141,H141)</f>
        <v>0</v>
      </c>
      <c r="J141" s="60">
        <f t="shared" ref="J141:J150" si="34">ROUNDUP(I141,0)</f>
        <v>0</v>
      </c>
      <c r="K141" s="57">
        <f>IF(F140&gt;0,J141,0)</f>
        <v>0</v>
      </c>
      <c r="L141" s="148">
        <v>6.1</v>
      </c>
      <c r="M141" s="148">
        <f t="shared" ref="M141:M150" si="35">L141*K141</f>
        <v>0</v>
      </c>
      <c r="N141" s="57">
        <f t="shared" ref="N141:N150" si="36">K141/D141</f>
        <v>0</v>
      </c>
      <c r="O141" s="57">
        <f t="shared" ref="O141:O150" si="37">ROUNDUP(N141,0)</f>
        <v>0</v>
      </c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</row>
    <row r="142" spans="2:29" ht="11.25" customHeight="1" x14ac:dyDescent="0.45">
      <c r="B142" s="220">
        <v>11298500316</v>
      </c>
      <c r="C142" s="220" t="s">
        <v>820</v>
      </c>
      <c r="D142" s="219">
        <v>5</v>
      </c>
      <c r="E142" s="219">
        <v>74</v>
      </c>
      <c r="F142" s="723"/>
      <c r="G142" s="219">
        <f>(F140/(0.02*500)/100)</f>
        <v>1E-3</v>
      </c>
      <c r="H142" s="57">
        <f>30*BC!$B$47/E142</f>
        <v>0</v>
      </c>
      <c r="I142" s="57">
        <f t="shared" si="33"/>
        <v>1E-3</v>
      </c>
      <c r="J142" s="60">
        <f t="shared" si="34"/>
        <v>1</v>
      </c>
      <c r="K142" s="57">
        <f>IF(F140&gt;0,J142,0)</f>
        <v>1</v>
      </c>
      <c r="L142" s="148">
        <v>19.600000000000001</v>
      </c>
      <c r="M142" s="148">
        <f t="shared" si="35"/>
        <v>19.600000000000001</v>
      </c>
      <c r="N142" s="57">
        <f t="shared" si="36"/>
        <v>0.2</v>
      </c>
      <c r="O142" s="57">
        <f t="shared" si="37"/>
        <v>1</v>
      </c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</row>
    <row r="143" spans="2:29" ht="11.25" customHeight="1" x14ac:dyDescent="0.45">
      <c r="B143" s="220">
        <v>4663632190</v>
      </c>
      <c r="C143" s="220" t="s">
        <v>821</v>
      </c>
      <c r="D143" s="219">
        <v>9</v>
      </c>
      <c r="E143" s="219">
        <v>12</v>
      </c>
      <c r="F143" s="723"/>
      <c r="G143" s="219">
        <f>30*BC!B47/E143</f>
        <v>0</v>
      </c>
      <c r="H143" s="57">
        <f>30*BC!$B$47/E143</f>
        <v>0</v>
      </c>
      <c r="I143" s="57">
        <f t="shared" si="33"/>
        <v>0</v>
      </c>
      <c r="J143" s="60">
        <f t="shared" si="34"/>
        <v>0</v>
      </c>
      <c r="K143" s="57">
        <f>IF(F140&gt;0,J143,0)</f>
        <v>0</v>
      </c>
      <c r="L143" s="148">
        <v>19.23</v>
      </c>
      <c r="M143" s="148">
        <f t="shared" si="35"/>
        <v>0</v>
      </c>
      <c r="N143" s="57">
        <f t="shared" si="36"/>
        <v>0</v>
      </c>
      <c r="O143" s="57">
        <f t="shared" si="37"/>
        <v>0</v>
      </c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</row>
    <row r="144" spans="2:29" ht="11.25" customHeight="1" x14ac:dyDescent="0.45">
      <c r="B144" s="220">
        <v>4522630190</v>
      </c>
      <c r="C144" s="220" t="s">
        <v>834</v>
      </c>
      <c r="D144" s="219">
        <v>5</v>
      </c>
      <c r="E144" s="219">
        <v>14</v>
      </c>
      <c r="F144" s="723"/>
      <c r="G144" s="219">
        <f>(F140/(0.015*110)/100)</f>
        <v>6.0606060606060606E-3</v>
      </c>
      <c r="H144" s="57">
        <f>30*BC!$B$47/E144</f>
        <v>0</v>
      </c>
      <c r="I144" s="57">
        <f t="shared" si="33"/>
        <v>6.0606060606060606E-3</v>
      </c>
      <c r="J144" s="60">
        <f t="shared" si="34"/>
        <v>1</v>
      </c>
      <c r="K144" s="57">
        <f>IF(F140&gt;0,J144,0)</f>
        <v>1</v>
      </c>
      <c r="L144" s="148">
        <v>36.200000000000003</v>
      </c>
      <c r="M144" s="148">
        <f t="shared" si="35"/>
        <v>36.200000000000003</v>
      </c>
      <c r="N144" s="57">
        <f t="shared" si="36"/>
        <v>0.2</v>
      </c>
      <c r="O144" s="57">
        <f t="shared" si="37"/>
        <v>1</v>
      </c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</row>
    <row r="145" spans="2:29" ht="11.25" customHeight="1" x14ac:dyDescent="0.45">
      <c r="B145" s="220">
        <v>4522320190</v>
      </c>
      <c r="C145" s="55" t="s">
        <v>833</v>
      </c>
      <c r="D145" s="219">
        <v>5</v>
      </c>
      <c r="E145" s="219">
        <v>14</v>
      </c>
      <c r="F145" s="723"/>
      <c r="G145" s="219">
        <f>(F140/(0.01*40)/100)</f>
        <v>2.5000000000000001E-2</v>
      </c>
      <c r="H145" s="57">
        <f>30*BC!$B$47/E145</f>
        <v>0</v>
      </c>
      <c r="I145" s="57">
        <f t="shared" si="33"/>
        <v>2.5000000000000001E-2</v>
      </c>
      <c r="J145" s="60">
        <f t="shared" si="34"/>
        <v>1</v>
      </c>
      <c r="K145" s="57">
        <f>IF(F140&gt;0,J145,0)</f>
        <v>1</v>
      </c>
      <c r="L145" s="148">
        <v>66.2</v>
      </c>
      <c r="M145" s="148">
        <f t="shared" si="35"/>
        <v>66.2</v>
      </c>
      <c r="N145" s="57">
        <f t="shared" si="36"/>
        <v>0.2</v>
      </c>
      <c r="O145" s="57">
        <f t="shared" si="37"/>
        <v>1</v>
      </c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</row>
    <row r="146" spans="2:29" ht="11.25" customHeight="1" x14ac:dyDescent="0.45">
      <c r="B146" s="220">
        <v>11360981216</v>
      </c>
      <c r="C146" s="220" t="s">
        <v>832</v>
      </c>
      <c r="D146" s="219">
        <v>5</v>
      </c>
      <c r="E146" s="219">
        <v>28</v>
      </c>
      <c r="F146" s="723"/>
      <c r="G146" s="219">
        <f>(F140/(0.02*50)/100)</f>
        <v>0.01</v>
      </c>
      <c r="H146" s="57">
        <f>30*BC!$B$47/E146</f>
        <v>0</v>
      </c>
      <c r="I146" s="57">
        <f t="shared" si="33"/>
        <v>0.01</v>
      </c>
      <c r="J146" s="60">
        <f t="shared" si="34"/>
        <v>1</v>
      </c>
      <c r="K146" s="57">
        <f>IF(F140&gt;0,J146,0)</f>
        <v>1</v>
      </c>
      <c r="L146" s="148">
        <v>51.6</v>
      </c>
      <c r="M146" s="148">
        <f t="shared" si="35"/>
        <v>51.6</v>
      </c>
      <c r="N146" s="57">
        <f t="shared" si="36"/>
        <v>0.2</v>
      </c>
      <c r="O146" s="57">
        <f t="shared" si="37"/>
        <v>1</v>
      </c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</row>
    <row r="147" spans="2:29" ht="11.25" customHeight="1" x14ac:dyDescent="0.45">
      <c r="B147" s="220">
        <v>3149501001</v>
      </c>
      <c r="C147" s="220" t="s">
        <v>827</v>
      </c>
      <c r="D147" s="219">
        <v>1</v>
      </c>
      <c r="E147" s="219">
        <v>168</v>
      </c>
      <c r="F147" s="723"/>
      <c r="G147" s="57">
        <f>30*BC!$B$47/E147</f>
        <v>0</v>
      </c>
      <c r="H147" s="57">
        <f>30*BC!$B$47/E147</f>
        <v>0</v>
      </c>
      <c r="I147" s="57">
        <f t="shared" si="33"/>
        <v>0</v>
      </c>
      <c r="J147" s="60">
        <f t="shared" si="34"/>
        <v>0</v>
      </c>
      <c r="K147" s="57">
        <f>IF(F140&gt;0,J147,0)</f>
        <v>0</v>
      </c>
      <c r="L147" s="148">
        <v>755</v>
      </c>
      <c r="M147" s="148">
        <f t="shared" si="35"/>
        <v>0</v>
      </c>
      <c r="N147" s="57">
        <f t="shared" si="36"/>
        <v>0</v>
      </c>
      <c r="O147" s="57">
        <f t="shared" si="37"/>
        <v>0</v>
      </c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</row>
    <row r="148" spans="2:29" ht="11.25" customHeight="1" x14ac:dyDescent="0.45">
      <c r="B148" s="220">
        <v>10825468001</v>
      </c>
      <c r="C148" s="220" t="s">
        <v>828</v>
      </c>
      <c r="D148" s="219">
        <v>1</v>
      </c>
      <c r="E148" s="219">
        <v>56</v>
      </c>
      <c r="F148" s="723"/>
      <c r="G148" s="57">
        <f>30*BC!$B$47/E148</f>
        <v>0</v>
      </c>
      <c r="H148" s="57">
        <f>30*BC!$B$47/E148</f>
        <v>0</v>
      </c>
      <c r="I148" s="57">
        <f t="shared" si="33"/>
        <v>0</v>
      </c>
      <c r="J148" s="60">
        <f t="shared" si="34"/>
        <v>0</v>
      </c>
      <c r="K148" s="57">
        <f>IF(F140&gt;0,J148,0)</f>
        <v>0</v>
      </c>
      <c r="L148" s="148">
        <v>812</v>
      </c>
      <c r="M148" s="148">
        <f t="shared" si="35"/>
        <v>0</v>
      </c>
      <c r="N148" s="57">
        <f t="shared" si="36"/>
        <v>0</v>
      </c>
      <c r="O148" s="57">
        <f t="shared" si="37"/>
        <v>0</v>
      </c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</row>
    <row r="149" spans="2:29" ht="11.25" customHeight="1" x14ac:dyDescent="0.45">
      <c r="B149" s="220">
        <v>10825441001</v>
      </c>
      <c r="C149" s="220" t="s">
        <v>829</v>
      </c>
      <c r="D149" s="219">
        <v>1</v>
      </c>
      <c r="E149" s="219">
        <v>56</v>
      </c>
      <c r="F149" s="723"/>
      <c r="G149" s="57">
        <f>30*BC!$B$47/E149</f>
        <v>0</v>
      </c>
      <c r="H149" s="57">
        <f>30*BC!$B$47/E149</f>
        <v>0</v>
      </c>
      <c r="I149" s="57">
        <f t="shared" si="33"/>
        <v>0</v>
      </c>
      <c r="J149" s="60">
        <f t="shared" si="34"/>
        <v>0</v>
      </c>
      <c r="K149" s="57">
        <f>IF(F140&gt;0,J149,0)</f>
        <v>0</v>
      </c>
      <c r="L149" s="148">
        <v>812</v>
      </c>
      <c r="M149" s="148">
        <f t="shared" si="35"/>
        <v>0</v>
      </c>
      <c r="N149" s="57">
        <f t="shared" si="36"/>
        <v>0</v>
      </c>
      <c r="O149" s="57">
        <f t="shared" si="37"/>
        <v>0</v>
      </c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</row>
    <row r="150" spans="2:29" ht="11.25" customHeight="1" x14ac:dyDescent="0.45">
      <c r="B150" s="220">
        <v>3246353001</v>
      </c>
      <c r="C150" s="220" t="s">
        <v>830</v>
      </c>
      <c r="D150" s="219">
        <v>1</v>
      </c>
      <c r="E150" s="219">
        <v>56</v>
      </c>
      <c r="F150" s="723"/>
      <c r="G150" s="57">
        <f>30*BC!$B$47/E150</f>
        <v>0</v>
      </c>
      <c r="H150" s="57">
        <f>30*BC!$B$47/E150</f>
        <v>0</v>
      </c>
      <c r="I150" s="57">
        <f t="shared" si="33"/>
        <v>0</v>
      </c>
      <c r="J150" s="60">
        <f t="shared" si="34"/>
        <v>0</v>
      </c>
      <c r="K150" s="57">
        <f>IF(F140&gt;0,J150,0)</f>
        <v>0</v>
      </c>
      <c r="L150" s="148">
        <v>1135</v>
      </c>
      <c r="M150" s="148">
        <f t="shared" si="35"/>
        <v>0</v>
      </c>
      <c r="N150" s="57">
        <f t="shared" si="36"/>
        <v>0</v>
      </c>
      <c r="O150" s="57">
        <f t="shared" si="37"/>
        <v>0</v>
      </c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</row>
    <row r="151" spans="2:29" ht="11.25" customHeight="1" x14ac:dyDescent="0.45">
      <c r="B151" s="97"/>
      <c r="C151" s="97"/>
      <c r="D151" s="97"/>
      <c r="E151" s="97"/>
      <c r="L151" s="438" t="s">
        <v>48</v>
      </c>
      <c r="M151" s="221">
        <f>SUM(M140:M150)</f>
        <v>173.6</v>
      </c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</row>
    <row r="152" spans="2:29" ht="11.25" customHeight="1" x14ac:dyDescent="0.45">
      <c r="B152" s="97"/>
      <c r="C152" s="97"/>
      <c r="D152" s="97"/>
      <c r="E152" s="97"/>
      <c r="L152" s="438" t="s">
        <v>835</v>
      </c>
      <c r="M152" s="221">
        <f>M151/F140</f>
        <v>173.6</v>
      </c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</row>
    <row r="153" spans="2:29" ht="11.25" customHeight="1" x14ac:dyDescent="0.45">
      <c r="B153" s="97"/>
      <c r="C153" s="97"/>
      <c r="D153" s="97"/>
      <c r="E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</row>
    <row r="154" spans="2:29" ht="11.25" customHeight="1" x14ac:dyDescent="0.45">
      <c r="B154" s="97"/>
      <c r="C154" s="97"/>
      <c r="D154" s="97"/>
      <c r="E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</row>
    <row r="155" spans="2:29" ht="11.25" customHeight="1" x14ac:dyDescent="0.45">
      <c r="B155" s="97"/>
      <c r="C155" s="97"/>
      <c r="D155" s="97"/>
      <c r="E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</row>
    <row r="156" spans="2:29" ht="11.25" customHeight="1" x14ac:dyDescent="0.45">
      <c r="B156" s="97"/>
      <c r="C156" s="97"/>
      <c r="D156" s="97"/>
      <c r="E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</row>
    <row r="157" spans="2:29" ht="11.25" customHeight="1" x14ac:dyDescent="0.45">
      <c r="B157" s="97"/>
      <c r="C157" s="97"/>
      <c r="D157" s="97"/>
      <c r="E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</row>
    <row r="158" spans="2:29" ht="11.25" customHeight="1" x14ac:dyDescent="0.45">
      <c r="B158" s="97"/>
      <c r="C158" s="97"/>
      <c r="D158" s="97"/>
      <c r="E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</row>
    <row r="159" spans="2:29" ht="11.25" customHeight="1" x14ac:dyDescent="0.45">
      <c r="B159" s="97"/>
      <c r="C159" s="97"/>
      <c r="D159" s="97"/>
      <c r="E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</row>
    <row r="160" spans="2:29" ht="11.25" customHeight="1" x14ac:dyDescent="0.45">
      <c r="B160" s="97"/>
      <c r="C160" s="97"/>
      <c r="D160" s="97"/>
      <c r="E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</row>
    <row r="161" spans="2:29" ht="11.25" customHeight="1" x14ac:dyDescent="0.45">
      <c r="B161" s="97"/>
      <c r="C161" s="97"/>
      <c r="D161" s="97"/>
      <c r="E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</row>
    <row r="162" spans="2:29" ht="11.25" customHeight="1" x14ac:dyDescent="0.45">
      <c r="B162" s="97"/>
      <c r="C162" s="97"/>
      <c r="D162" s="97"/>
      <c r="E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</row>
    <row r="163" spans="2:29" ht="11.25" customHeight="1" x14ac:dyDescent="0.45">
      <c r="B163" s="97"/>
      <c r="C163" s="97"/>
      <c r="D163" s="97"/>
      <c r="E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</row>
    <row r="164" spans="2:29" ht="11.25" customHeight="1" x14ac:dyDescent="0.45">
      <c r="B164" s="97"/>
      <c r="C164" s="97"/>
      <c r="D164" s="97"/>
      <c r="E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</row>
    <row r="165" spans="2:29" ht="11.25" customHeight="1" x14ac:dyDescent="0.45">
      <c r="B165" s="97"/>
      <c r="C165" s="97"/>
      <c r="D165" s="97"/>
      <c r="E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</row>
    <row r="166" spans="2:29" ht="11.25" customHeight="1" x14ac:dyDescent="0.45">
      <c r="B166" s="97"/>
      <c r="C166" s="97"/>
      <c r="D166" s="97"/>
      <c r="E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</row>
    <row r="167" spans="2:29" ht="11.25" customHeight="1" x14ac:dyDescent="0.45">
      <c r="B167" s="97"/>
      <c r="C167" s="97"/>
      <c r="D167" s="97"/>
      <c r="E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</row>
    <row r="168" spans="2:29" ht="11.25" customHeight="1" x14ac:dyDescent="0.45">
      <c r="B168" s="97"/>
      <c r="C168" s="97"/>
      <c r="D168" s="97"/>
      <c r="E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</row>
    <row r="169" spans="2:29" ht="11.25" customHeight="1" x14ac:dyDescent="0.45">
      <c r="B169" s="97"/>
      <c r="C169" s="97"/>
      <c r="D169" s="97"/>
      <c r="E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</row>
    <row r="170" spans="2:29" ht="11.25" customHeight="1" x14ac:dyDescent="0.45">
      <c r="B170" s="97"/>
      <c r="C170" s="97"/>
      <c r="D170" s="97"/>
      <c r="E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</row>
    <row r="171" spans="2:29" ht="11.25" customHeight="1" x14ac:dyDescent="0.45">
      <c r="B171" s="97"/>
      <c r="C171" s="97"/>
      <c r="D171" s="97"/>
      <c r="E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</row>
    <row r="172" spans="2:29" ht="11.25" customHeight="1" x14ac:dyDescent="0.45">
      <c r="B172" s="97"/>
      <c r="C172" s="97"/>
      <c r="D172" s="97"/>
      <c r="E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97"/>
    </row>
    <row r="173" spans="2:29" ht="11.25" customHeight="1" x14ac:dyDescent="0.45">
      <c r="B173" s="97"/>
      <c r="C173" s="97"/>
      <c r="D173" s="97"/>
      <c r="E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</row>
    <row r="174" spans="2:29" ht="11.25" customHeight="1" x14ac:dyDescent="0.45">
      <c r="B174" s="97"/>
      <c r="C174" s="97"/>
      <c r="D174" s="97"/>
      <c r="E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  <c r="AC174" s="97"/>
    </row>
    <row r="175" spans="2:29" ht="11.25" customHeight="1" x14ac:dyDescent="0.45">
      <c r="B175" s="97"/>
      <c r="C175" s="97"/>
      <c r="D175" s="97"/>
      <c r="E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  <c r="AC175" s="97"/>
    </row>
    <row r="176" spans="2:29" ht="11.25" customHeight="1" x14ac:dyDescent="0.45">
      <c r="B176" s="97"/>
      <c r="C176" s="97"/>
      <c r="D176" s="97"/>
      <c r="E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  <c r="AC176" s="97"/>
    </row>
    <row r="177" spans="2:29" ht="11.25" customHeight="1" x14ac:dyDescent="0.45">
      <c r="B177" s="97"/>
      <c r="C177" s="97"/>
      <c r="D177" s="97"/>
      <c r="E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  <c r="AC177" s="97"/>
    </row>
    <row r="178" spans="2:29" ht="11.25" customHeight="1" x14ac:dyDescent="0.45">
      <c r="B178" s="97"/>
      <c r="C178" s="97"/>
      <c r="D178" s="97"/>
      <c r="E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97"/>
    </row>
    <row r="179" spans="2:29" ht="11.25" customHeight="1" x14ac:dyDescent="0.45">
      <c r="B179" s="97"/>
      <c r="C179" s="97"/>
      <c r="D179" s="97"/>
      <c r="E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  <c r="AB179" s="97"/>
      <c r="AC179" s="97"/>
    </row>
    <row r="180" spans="2:29" ht="11.25" customHeight="1" x14ac:dyDescent="0.45">
      <c r="B180" s="97"/>
      <c r="C180" s="97"/>
      <c r="D180" s="97"/>
      <c r="E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  <c r="AC180" s="97"/>
    </row>
    <row r="181" spans="2:29" ht="11.25" customHeight="1" x14ac:dyDescent="0.45">
      <c r="B181" s="97"/>
      <c r="C181" s="97"/>
      <c r="D181" s="97"/>
      <c r="E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97"/>
    </row>
    <row r="182" spans="2:29" ht="11.25" customHeight="1" x14ac:dyDescent="0.45">
      <c r="B182" s="97"/>
      <c r="C182" s="97"/>
      <c r="D182" s="97"/>
      <c r="E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</row>
    <row r="183" spans="2:29" ht="11.25" customHeight="1" x14ac:dyDescent="0.45">
      <c r="B183" s="97"/>
      <c r="C183" s="97"/>
      <c r="D183" s="97"/>
      <c r="E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</row>
    <row r="184" spans="2:29" ht="11.25" customHeight="1" x14ac:dyDescent="0.45">
      <c r="B184" s="97"/>
      <c r="C184" s="97"/>
      <c r="D184" s="97"/>
      <c r="E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97"/>
    </row>
    <row r="185" spans="2:29" ht="11.25" customHeight="1" x14ac:dyDescent="0.45">
      <c r="B185" s="97"/>
      <c r="C185" s="97"/>
      <c r="D185" s="97"/>
      <c r="E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97"/>
    </row>
    <row r="186" spans="2:29" ht="11.25" customHeight="1" x14ac:dyDescent="0.45">
      <c r="B186" s="97"/>
      <c r="C186" s="97"/>
      <c r="D186" s="97"/>
      <c r="E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97"/>
    </row>
    <row r="187" spans="2:29" ht="11.25" customHeight="1" x14ac:dyDescent="0.45">
      <c r="B187" s="97"/>
      <c r="C187" s="97"/>
      <c r="D187" s="97"/>
      <c r="E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  <c r="AC187" s="97"/>
    </row>
    <row r="188" spans="2:29" ht="11.25" customHeight="1" x14ac:dyDescent="0.45">
      <c r="B188" s="97"/>
      <c r="C188" s="97"/>
      <c r="D188" s="97"/>
      <c r="E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97"/>
    </row>
    <row r="189" spans="2:29" ht="11.25" customHeight="1" x14ac:dyDescent="0.45">
      <c r="B189" s="97"/>
      <c r="C189" s="97"/>
      <c r="D189" s="97"/>
      <c r="E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97"/>
    </row>
    <row r="190" spans="2:29" ht="11.25" customHeight="1" x14ac:dyDescent="0.45">
      <c r="B190" s="97"/>
      <c r="C190" s="97"/>
      <c r="D190" s="97"/>
      <c r="E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</row>
    <row r="191" spans="2:29" ht="11.25" customHeight="1" x14ac:dyDescent="0.45">
      <c r="B191" s="97"/>
      <c r="C191" s="97"/>
      <c r="D191" s="97"/>
      <c r="E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</row>
    <row r="192" spans="2:29" ht="11.25" customHeight="1" x14ac:dyDescent="0.45">
      <c r="B192" s="97"/>
      <c r="C192" s="97"/>
      <c r="D192" s="97"/>
      <c r="E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97"/>
    </row>
    <row r="193" spans="2:29" ht="11.25" customHeight="1" x14ac:dyDescent="0.45">
      <c r="B193" s="97"/>
      <c r="C193" s="97"/>
      <c r="D193" s="97"/>
      <c r="E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  <c r="AC193" s="97"/>
    </row>
    <row r="194" spans="2:29" ht="11.25" customHeight="1" x14ac:dyDescent="0.45">
      <c r="B194" s="97"/>
      <c r="C194" s="97"/>
      <c r="D194" s="97"/>
      <c r="E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97"/>
    </row>
    <row r="195" spans="2:29" ht="11.25" customHeight="1" x14ac:dyDescent="0.45">
      <c r="B195" s="97"/>
      <c r="C195" s="97"/>
      <c r="D195" s="97"/>
      <c r="E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  <c r="AC195" s="97"/>
    </row>
    <row r="196" spans="2:29" ht="11.25" customHeight="1" x14ac:dyDescent="0.45">
      <c r="B196" s="97"/>
      <c r="C196" s="97"/>
      <c r="D196" s="97"/>
      <c r="E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97"/>
    </row>
    <row r="197" spans="2:29" ht="11.25" customHeight="1" x14ac:dyDescent="0.45">
      <c r="B197" s="97"/>
      <c r="C197" s="97"/>
      <c r="D197" s="97"/>
      <c r="E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97"/>
    </row>
    <row r="198" spans="2:29" ht="11.25" customHeight="1" x14ac:dyDescent="0.45">
      <c r="B198" s="97"/>
      <c r="C198" s="97"/>
      <c r="D198" s="97"/>
      <c r="E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  <c r="AC198" s="97"/>
    </row>
    <row r="199" spans="2:29" ht="11.25" customHeight="1" x14ac:dyDescent="0.45">
      <c r="B199" s="97"/>
      <c r="C199" s="97"/>
      <c r="D199" s="97"/>
      <c r="E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  <c r="AC199" s="97"/>
    </row>
    <row r="200" spans="2:29" ht="11.25" customHeight="1" x14ac:dyDescent="0.45">
      <c r="B200" s="97"/>
      <c r="C200" s="97"/>
      <c r="D200" s="97"/>
      <c r="E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97"/>
    </row>
    <row r="201" spans="2:29" ht="11.25" customHeight="1" x14ac:dyDescent="0.45">
      <c r="B201" s="97"/>
      <c r="C201" s="97"/>
      <c r="D201" s="97"/>
      <c r="E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97"/>
    </row>
    <row r="202" spans="2:29" ht="11.25" customHeight="1" x14ac:dyDescent="0.45">
      <c r="B202" s="97"/>
      <c r="C202" s="97"/>
      <c r="D202" s="97"/>
      <c r="E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  <c r="AC202" s="97"/>
    </row>
    <row r="203" spans="2:29" ht="11.25" customHeight="1" x14ac:dyDescent="0.45">
      <c r="B203" s="97"/>
      <c r="C203" s="97"/>
      <c r="D203" s="97"/>
      <c r="E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</row>
    <row r="204" spans="2:29" ht="11.25" customHeight="1" x14ac:dyDescent="0.45">
      <c r="B204" s="97"/>
      <c r="C204" s="97"/>
      <c r="D204" s="97"/>
      <c r="E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97"/>
    </row>
    <row r="205" spans="2:29" ht="11.25" customHeight="1" x14ac:dyDescent="0.45">
      <c r="B205" s="97"/>
      <c r="C205" s="97"/>
      <c r="D205" s="97"/>
      <c r="E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  <c r="AC205" s="97"/>
    </row>
    <row r="206" spans="2:29" ht="11.25" customHeight="1" x14ac:dyDescent="0.45">
      <c r="B206" s="97"/>
      <c r="C206" s="97"/>
      <c r="D206" s="97"/>
      <c r="E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</row>
    <row r="207" spans="2:29" ht="11.25" customHeight="1" x14ac:dyDescent="0.45">
      <c r="B207" s="97"/>
      <c r="C207" s="97"/>
      <c r="D207" s="97"/>
      <c r="E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</row>
    <row r="208" spans="2:29" ht="11.25" customHeight="1" x14ac:dyDescent="0.45">
      <c r="B208" s="97"/>
      <c r="C208" s="97"/>
      <c r="D208" s="97"/>
      <c r="E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</row>
    <row r="209" spans="2:29" ht="11.25" customHeight="1" x14ac:dyDescent="0.45">
      <c r="B209" s="97"/>
      <c r="C209" s="97"/>
      <c r="D209" s="97"/>
      <c r="E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97"/>
    </row>
    <row r="210" spans="2:29" ht="11.25" customHeight="1" x14ac:dyDescent="0.45">
      <c r="B210" s="97"/>
      <c r="C210" s="97"/>
      <c r="D210" s="97"/>
      <c r="E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  <c r="AB210" s="97"/>
      <c r="AC210" s="97"/>
    </row>
    <row r="211" spans="2:29" ht="11.25" customHeight="1" x14ac:dyDescent="0.45">
      <c r="B211" s="97"/>
      <c r="C211" s="97"/>
      <c r="D211" s="97"/>
      <c r="E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  <c r="AA211" s="97"/>
      <c r="AB211" s="97"/>
      <c r="AC211" s="97"/>
    </row>
    <row r="212" spans="2:29" ht="11.25" customHeight="1" x14ac:dyDescent="0.45">
      <c r="B212" s="97"/>
      <c r="C212" s="97"/>
      <c r="D212" s="97"/>
      <c r="E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  <c r="AA212" s="97"/>
      <c r="AB212" s="97"/>
      <c r="AC212" s="97"/>
    </row>
    <row r="213" spans="2:29" ht="11.25" customHeight="1" x14ac:dyDescent="0.45">
      <c r="B213" s="97"/>
      <c r="C213" s="97"/>
      <c r="D213" s="97"/>
      <c r="E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  <c r="AA213" s="97"/>
      <c r="AB213" s="97"/>
      <c r="AC213" s="97"/>
    </row>
    <row r="214" spans="2:29" ht="11.25" customHeight="1" x14ac:dyDescent="0.45">
      <c r="B214" s="97"/>
      <c r="C214" s="97"/>
      <c r="D214" s="97"/>
      <c r="E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  <c r="AA214" s="97"/>
      <c r="AB214" s="97"/>
      <c r="AC214" s="97"/>
    </row>
    <row r="215" spans="2:29" ht="11.25" customHeight="1" x14ac:dyDescent="0.45">
      <c r="B215" s="97"/>
      <c r="C215" s="97"/>
      <c r="D215" s="97"/>
      <c r="E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  <c r="AA215" s="97"/>
      <c r="AB215" s="97"/>
      <c r="AC215" s="97"/>
    </row>
    <row r="216" spans="2:29" ht="11.25" customHeight="1" x14ac:dyDescent="0.45">
      <c r="B216" s="97"/>
      <c r="C216" s="97"/>
      <c r="D216" s="97"/>
      <c r="E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</row>
    <row r="217" spans="2:29" ht="11.25" customHeight="1" x14ac:dyDescent="0.45">
      <c r="B217" s="97"/>
      <c r="C217" s="97"/>
      <c r="D217" s="97"/>
      <c r="E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97"/>
    </row>
    <row r="218" spans="2:29" ht="11.25" customHeight="1" x14ac:dyDescent="0.45">
      <c r="B218" s="97"/>
      <c r="C218" s="97"/>
      <c r="D218" s="97"/>
      <c r="E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</row>
    <row r="219" spans="2:29" ht="11.25" customHeight="1" x14ac:dyDescent="0.45">
      <c r="B219" s="97"/>
      <c r="C219" s="97"/>
      <c r="D219" s="97"/>
      <c r="E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  <c r="AA219" s="97"/>
      <c r="AB219" s="97"/>
      <c r="AC219" s="97"/>
    </row>
    <row r="220" spans="2:29" ht="11.25" customHeight="1" x14ac:dyDescent="0.45">
      <c r="B220" s="97"/>
      <c r="C220" s="97"/>
      <c r="D220" s="97"/>
      <c r="E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  <c r="AA220" s="97"/>
      <c r="AB220" s="97"/>
      <c r="AC220" s="97"/>
    </row>
    <row r="221" spans="2:29" ht="11.25" customHeight="1" x14ac:dyDescent="0.45">
      <c r="B221" s="97"/>
      <c r="C221" s="97"/>
      <c r="D221" s="97"/>
      <c r="E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  <c r="AA221" s="97"/>
      <c r="AB221" s="97"/>
      <c r="AC221" s="97"/>
    </row>
    <row r="222" spans="2:29" ht="11.25" customHeight="1" x14ac:dyDescent="0.45">
      <c r="B222" s="97"/>
      <c r="C222" s="97"/>
      <c r="D222" s="97"/>
      <c r="E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  <c r="AA222" s="97"/>
      <c r="AB222" s="97"/>
      <c r="AC222" s="97"/>
    </row>
    <row r="223" spans="2:29" ht="11.25" customHeight="1" x14ac:dyDescent="0.45">
      <c r="B223" s="97"/>
      <c r="C223" s="97"/>
      <c r="D223" s="97"/>
      <c r="E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  <c r="AA223" s="97"/>
      <c r="AB223" s="97"/>
      <c r="AC223" s="97"/>
    </row>
    <row r="224" spans="2:29" ht="11.25" customHeight="1" x14ac:dyDescent="0.45">
      <c r="B224" s="97"/>
      <c r="C224" s="97"/>
      <c r="D224" s="97"/>
      <c r="E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  <c r="AA224" s="97"/>
      <c r="AB224" s="97"/>
      <c r="AC224" s="97"/>
    </row>
    <row r="225" spans="2:29" ht="11.25" customHeight="1" x14ac:dyDescent="0.45">
      <c r="B225" s="97"/>
      <c r="C225" s="97"/>
      <c r="D225" s="97"/>
      <c r="E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  <c r="AA225" s="97"/>
      <c r="AB225" s="97"/>
      <c r="AC225" s="97"/>
    </row>
    <row r="226" spans="2:29" ht="11.25" customHeight="1" x14ac:dyDescent="0.45">
      <c r="B226" s="97"/>
      <c r="C226" s="97"/>
      <c r="D226" s="97"/>
      <c r="E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  <c r="AA226" s="97"/>
      <c r="AB226" s="97"/>
      <c r="AC226" s="97"/>
    </row>
    <row r="227" spans="2:29" ht="11.25" customHeight="1" x14ac:dyDescent="0.45">
      <c r="B227" s="97"/>
      <c r="C227" s="97"/>
      <c r="D227" s="97"/>
      <c r="E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  <c r="AA227" s="97"/>
      <c r="AB227" s="97"/>
      <c r="AC227" s="97"/>
    </row>
    <row r="228" spans="2:29" ht="11.25" customHeight="1" x14ac:dyDescent="0.45">
      <c r="B228" s="97"/>
      <c r="C228" s="97"/>
      <c r="D228" s="97"/>
      <c r="E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  <c r="AA228" s="97"/>
      <c r="AB228" s="97"/>
      <c r="AC228" s="97"/>
    </row>
    <row r="229" spans="2:29" ht="11.25" customHeight="1" x14ac:dyDescent="0.45">
      <c r="B229" s="97"/>
      <c r="C229" s="97"/>
      <c r="D229" s="97"/>
      <c r="E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  <c r="AA229" s="97"/>
      <c r="AB229" s="97"/>
      <c r="AC229" s="97"/>
    </row>
    <row r="230" spans="2:29" ht="11.25" customHeight="1" x14ac:dyDescent="0.45">
      <c r="B230" s="97"/>
      <c r="C230" s="97"/>
      <c r="D230" s="97"/>
      <c r="E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  <c r="AA230" s="97"/>
      <c r="AB230" s="97"/>
      <c r="AC230" s="97"/>
    </row>
    <row r="231" spans="2:29" ht="11.25" customHeight="1" x14ac:dyDescent="0.45">
      <c r="B231" s="97"/>
      <c r="C231" s="97"/>
      <c r="D231" s="97"/>
      <c r="E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  <c r="AA231" s="97"/>
      <c r="AB231" s="97"/>
      <c r="AC231" s="97"/>
    </row>
    <row r="232" spans="2:29" ht="11.25" customHeight="1" x14ac:dyDescent="0.45">
      <c r="B232" s="97"/>
      <c r="C232" s="97"/>
      <c r="D232" s="97"/>
      <c r="E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  <c r="AA232" s="97"/>
      <c r="AB232" s="97"/>
      <c r="AC232" s="97"/>
    </row>
    <row r="233" spans="2:29" ht="11.25" customHeight="1" x14ac:dyDescent="0.45">
      <c r="B233" s="97"/>
      <c r="C233" s="97"/>
      <c r="D233" s="97"/>
      <c r="E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  <c r="AA233" s="97"/>
      <c r="AB233" s="97"/>
      <c r="AC233" s="97"/>
    </row>
    <row r="234" spans="2:29" ht="11.25" customHeight="1" x14ac:dyDescent="0.45">
      <c r="B234" s="97"/>
      <c r="C234" s="97"/>
      <c r="D234" s="97"/>
      <c r="E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  <c r="AA234" s="97"/>
      <c r="AB234" s="97"/>
      <c r="AC234" s="97"/>
    </row>
    <row r="235" spans="2:29" ht="11.25" customHeight="1" x14ac:dyDescent="0.45">
      <c r="B235" s="97"/>
      <c r="C235" s="97"/>
      <c r="D235" s="97"/>
      <c r="E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  <c r="AA235" s="97"/>
      <c r="AB235" s="97"/>
      <c r="AC235" s="97"/>
    </row>
    <row r="236" spans="2:29" ht="11.25" customHeight="1" x14ac:dyDescent="0.45">
      <c r="B236" s="97"/>
      <c r="C236" s="97"/>
      <c r="D236" s="97"/>
      <c r="E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  <c r="AA236" s="97"/>
      <c r="AB236" s="97"/>
      <c r="AC236" s="97"/>
    </row>
    <row r="237" spans="2:29" ht="11.25" customHeight="1" x14ac:dyDescent="0.45">
      <c r="B237" s="97"/>
      <c r="C237" s="97"/>
      <c r="D237" s="97"/>
      <c r="E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  <c r="AA237" s="97"/>
      <c r="AB237" s="97"/>
      <c r="AC237" s="97"/>
    </row>
    <row r="238" spans="2:29" ht="11.25" customHeight="1" x14ac:dyDescent="0.45">
      <c r="B238" s="97"/>
      <c r="C238" s="97"/>
      <c r="D238" s="97"/>
      <c r="E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  <c r="AA238" s="97"/>
      <c r="AB238" s="97"/>
      <c r="AC238" s="97"/>
    </row>
    <row r="239" spans="2:29" ht="11.25" customHeight="1" x14ac:dyDescent="0.45">
      <c r="B239" s="97"/>
      <c r="C239" s="97"/>
      <c r="D239" s="97"/>
      <c r="E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  <c r="AA239" s="97"/>
      <c r="AB239" s="97"/>
      <c r="AC239" s="97"/>
    </row>
    <row r="240" spans="2:29" ht="11.25" customHeight="1" x14ac:dyDescent="0.45">
      <c r="B240" s="97"/>
      <c r="C240" s="97"/>
      <c r="D240" s="97"/>
      <c r="E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  <c r="AA240" s="97"/>
      <c r="AB240" s="97"/>
      <c r="AC240" s="97"/>
    </row>
    <row r="241" spans="2:29" ht="11.25" customHeight="1" x14ac:dyDescent="0.45">
      <c r="B241" s="97"/>
      <c r="C241" s="97"/>
      <c r="D241" s="97"/>
      <c r="E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  <c r="AA241" s="97"/>
      <c r="AB241" s="97"/>
      <c r="AC241" s="97"/>
    </row>
    <row r="242" spans="2:29" ht="11.25" customHeight="1" x14ac:dyDescent="0.45">
      <c r="B242" s="97"/>
      <c r="C242" s="97"/>
      <c r="D242" s="97"/>
      <c r="E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  <c r="AA242" s="97"/>
      <c r="AB242" s="97"/>
      <c r="AC242" s="97"/>
    </row>
    <row r="243" spans="2:29" ht="11.25" customHeight="1" x14ac:dyDescent="0.45">
      <c r="B243" s="97"/>
      <c r="C243" s="97"/>
      <c r="D243" s="97"/>
      <c r="E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  <c r="AA243" s="97"/>
      <c r="AB243" s="97"/>
      <c r="AC243" s="97"/>
    </row>
    <row r="244" spans="2:29" ht="11.25" customHeight="1" x14ac:dyDescent="0.45">
      <c r="B244" s="97"/>
      <c r="C244" s="97"/>
      <c r="D244" s="97"/>
      <c r="E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  <c r="AA244" s="97"/>
      <c r="AB244" s="97"/>
      <c r="AC244" s="97"/>
    </row>
    <row r="245" spans="2:29" ht="11.25" customHeight="1" x14ac:dyDescent="0.45">
      <c r="B245" s="97"/>
      <c r="C245" s="97"/>
      <c r="D245" s="97"/>
      <c r="E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  <c r="AA245" s="97"/>
      <c r="AB245" s="97"/>
      <c r="AC245" s="97"/>
    </row>
    <row r="246" spans="2:29" ht="11.25" customHeight="1" x14ac:dyDescent="0.45">
      <c r="B246" s="97"/>
      <c r="C246" s="97"/>
      <c r="D246" s="97"/>
      <c r="E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  <c r="AA246" s="97"/>
      <c r="AB246" s="97"/>
      <c r="AC246" s="97"/>
    </row>
    <row r="247" spans="2:29" ht="11.25" customHeight="1" x14ac:dyDescent="0.45">
      <c r="B247" s="97"/>
      <c r="C247" s="97"/>
      <c r="D247" s="97"/>
      <c r="E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  <c r="AA247" s="97"/>
      <c r="AB247" s="97"/>
      <c r="AC247" s="97"/>
    </row>
    <row r="248" spans="2:29" ht="11.25" customHeight="1" x14ac:dyDescent="0.45">
      <c r="B248" s="97"/>
      <c r="C248" s="97"/>
      <c r="D248" s="97"/>
      <c r="E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  <c r="AA248" s="97"/>
      <c r="AB248" s="97"/>
      <c r="AC248" s="97"/>
    </row>
    <row r="249" spans="2:29" ht="11.25" customHeight="1" x14ac:dyDescent="0.45">
      <c r="B249" s="97"/>
      <c r="C249" s="97"/>
      <c r="D249" s="97"/>
      <c r="E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  <c r="AA249" s="97"/>
      <c r="AB249" s="97"/>
      <c r="AC249" s="97"/>
    </row>
    <row r="250" spans="2:29" ht="11.25" customHeight="1" x14ac:dyDescent="0.45">
      <c r="B250" s="97"/>
      <c r="C250" s="97"/>
      <c r="D250" s="97"/>
      <c r="E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  <c r="AA250" s="97"/>
      <c r="AB250" s="97"/>
      <c r="AC250" s="97"/>
    </row>
    <row r="251" spans="2:29" ht="11.25" customHeight="1" x14ac:dyDescent="0.45">
      <c r="B251" s="97"/>
      <c r="C251" s="97"/>
      <c r="D251" s="97"/>
      <c r="E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  <c r="AA251" s="97"/>
      <c r="AB251" s="97"/>
      <c r="AC251" s="97"/>
    </row>
    <row r="252" spans="2:29" ht="11.25" customHeight="1" x14ac:dyDescent="0.45">
      <c r="B252" s="97"/>
      <c r="C252" s="97"/>
      <c r="D252" s="97"/>
      <c r="E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  <c r="AA252" s="97"/>
      <c r="AB252" s="97"/>
      <c r="AC252" s="97"/>
    </row>
    <row r="253" spans="2:29" ht="11.25" customHeight="1" x14ac:dyDescent="0.45">
      <c r="B253" s="97"/>
      <c r="C253" s="97"/>
      <c r="D253" s="97"/>
      <c r="E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  <c r="AA253" s="97"/>
      <c r="AB253" s="97"/>
      <c r="AC253" s="97"/>
    </row>
    <row r="254" spans="2:29" ht="11.25" customHeight="1" x14ac:dyDescent="0.45">
      <c r="B254" s="97"/>
      <c r="C254" s="97"/>
      <c r="D254" s="97"/>
      <c r="E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  <c r="AA254" s="97"/>
      <c r="AB254" s="97"/>
      <c r="AC254" s="97"/>
    </row>
    <row r="255" spans="2:29" ht="11.25" customHeight="1" x14ac:dyDescent="0.45">
      <c r="B255" s="97"/>
      <c r="C255" s="97"/>
      <c r="D255" s="97"/>
      <c r="E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  <c r="AA255" s="97"/>
      <c r="AB255" s="97"/>
      <c r="AC255" s="97"/>
    </row>
    <row r="256" spans="2:29" ht="11.25" customHeight="1" x14ac:dyDescent="0.45">
      <c r="B256" s="97"/>
      <c r="C256" s="97"/>
      <c r="D256" s="97"/>
      <c r="E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  <c r="AA256" s="97"/>
      <c r="AB256" s="97"/>
      <c r="AC256" s="97"/>
    </row>
    <row r="257" spans="2:29" ht="11.25" customHeight="1" x14ac:dyDescent="0.45">
      <c r="B257" s="97"/>
      <c r="C257" s="97"/>
      <c r="D257" s="97"/>
      <c r="E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  <c r="AA257" s="97"/>
      <c r="AB257" s="97"/>
      <c r="AC257" s="97"/>
    </row>
    <row r="258" spans="2:29" ht="11.25" customHeight="1" x14ac:dyDescent="0.45">
      <c r="B258" s="97"/>
      <c r="C258" s="97"/>
      <c r="D258" s="97"/>
      <c r="E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  <c r="AA258" s="97"/>
      <c r="AB258" s="97"/>
      <c r="AC258" s="97"/>
    </row>
    <row r="259" spans="2:29" ht="11.25" customHeight="1" x14ac:dyDescent="0.45">
      <c r="B259" s="97"/>
      <c r="C259" s="97"/>
      <c r="D259" s="97"/>
      <c r="E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  <c r="AA259" s="97"/>
      <c r="AB259" s="97"/>
      <c r="AC259" s="97"/>
    </row>
    <row r="260" spans="2:29" ht="11.25" customHeight="1" x14ac:dyDescent="0.45">
      <c r="B260" s="97"/>
      <c r="C260" s="97"/>
      <c r="D260" s="97"/>
      <c r="E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  <c r="AA260" s="97"/>
      <c r="AB260" s="97"/>
      <c r="AC260" s="97"/>
    </row>
    <row r="261" spans="2:29" ht="11.25" customHeight="1" x14ac:dyDescent="0.45">
      <c r="B261" s="97"/>
      <c r="C261" s="97"/>
      <c r="D261" s="97"/>
      <c r="E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  <c r="AA261" s="97"/>
      <c r="AB261" s="97"/>
      <c r="AC261" s="97"/>
    </row>
    <row r="262" spans="2:29" ht="11.25" customHeight="1" x14ac:dyDescent="0.45">
      <c r="B262" s="97"/>
      <c r="C262" s="97"/>
      <c r="D262" s="97"/>
      <c r="E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  <c r="AA262" s="97"/>
      <c r="AB262" s="97"/>
      <c r="AC262" s="97"/>
    </row>
    <row r="263" spans="2:29" ht="11.25" customHeight="1" x14ac:dyDescent="0.45">
      <c r="B263" s="97"/>
      <c r="C263" s="97"/>
      <c r="D263" s="97"/>
      <c r="E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  <c r="AA263" s="97"/>
      <c r="AB263" s="97"/>
      <c r="AC263" s="97"/>
    </row>
    <row r="264" spans="2:29" ht="11.25" customHeight="1" x14ac:dyDescent="0.45">
      <c r="B264" s="97"/>
      <c r="C264" s="97"/>
      <c r="D264" s="97"/>
      <c r="E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  <c r="AA264" s="97"/>
      <c r="AB264" s="97"/>
      <c r="AC264" s="97"/>
    </row>
    <row r="265" spans="2:29" ht="11.25" customHeight="1" x14ac:dyDescent="0.45">
      <c r="B265" s="97"/>
      <c r="C265" s="97"/>
      <c r="D265" s="97"/>
      <c r="E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  <c r="AA265" s="97"/>
      <c r="AB265" s="97"/>
      <c r="AC265" s="97"/>
    </row>
    <row r="266" spans="2:29" ht="11.25" customHeight="1" x14ac:dyDescent="0.45">
      <c r="B266" s="97"/>
      <c r="C266" s="97"/>
      <c r="D266" s="97"/>
      <c r="E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  <c r="AA266" s="97"/>
      <c r="AB266" s="97"/>
      <c r="AC266" s="97"/>
    </row>
    <row r="267" spans="2:29" ht="11.25" customHeight="1" x14ac:dyDescent="0.45">
      <c r="B267" s="97"/>
      <c r="C267" s="97"/>
      <c r="D267" s="97"/>
      <c r="E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  <c r="AA267" s="97"/>
      <c r="AB267" s="97"/>
      <c r="AC267" s="97"/>
    </row>
    <row r="268" spans="2:29" ht="11.25" customHeight="1" x14ac:dyDescent="0.45">
      <c r="B268" s="97"/>
      <c r="C268" s="97"/>
      <c r="D268" s="97"/>
      <c r="E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  <c r="AA268" s="97"/>
      <c r="AB268" s="97"/>
      <c r="AC268" s="97"/>
    </row>
    <row r="269" spans="2:29" ht="11.25" customHeight="1" x14ac:dyDescent="0.45">
      <c r="B269" s="97"/>
      <c r="C269" s="97"/>
      <c r="D269" s="97"/>
      <c r="E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  <c r="AA269" s="97"/>
      <c r="AB269" s="97"/>
      <c r="AC269" s="97"/>
    </row>
    <row r="270" spans="2:29" ht="11.25" customHeight="1" x14ac:dyDescent="0.45">
      <c r="B270" s="97"/>
      <c r="C270" s="97"/>
      <c r="D270" s="97"/>
      <c r="E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  <c r="AA270" s="97"/>
      <c r="AB270" s="97"/>
      <c r="AC270" s="97"/>
    </row>
    <row r="271" spans="2:29" ht="11.25" customHeight="1" x14ac:dyDescent="0.45">
      <c r="B271" s="97"/>
      <c r="C271" s="97"/>
      <c r="D271" s="97"/>
      <c r="E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  <c r="AA271" s="97"/>
      <c r="AB271" s="97"/>
      <c r="AC271" s="97"/>
    </row>
    <row r="272" spans="2:29" ht="11.25" customHeight="1" x14ac:dyDescent="0.45">
      <c r="B272" s="97"/>
      <c r="C272" s="97"/>
      <c r="D272" s="97"/>
      <c r="E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  <c r="AA272" s="97"/>
      <c r="AB272" s="97"/>
      <c r="AC272" s="97"/>
    </row>
    <row r="273" spans="2:29" ht="11.25" customHeight="1" x14ac:dyDescent="0.45">
      <c r="B273" s="97"/>
      <c r="C273" s="97"/>
      <c r="D273" s="97"/>
      <c r="E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  <c r="AA273" s="97"/>
      <c r="AB273" s="97"/>
      <c r="AC273" s="97"/>
    </row>
    <row r="274" spans="2:29" ht="11.25" customHeight="1" x14ac:dyDescent="0.45">
      <c r="B274" s="97"/>
      <c r="C274" s="97"/>
      <c r="D274" s="97"/>
      <c r="E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  <c r="AA274" s="97"/>
      <c r="AB274" s="97"/>
      <c r="AC274" s="97"/>
    </row>
    <row r="275" spans="2:29" ht="11.25" customHeight="1" x14ac:dyDescent="0.45">
      <c r="B275" s="97"/>
      <c r="C275" s="97"/>
      <c r="D275" s="97"/>
      <c r="E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  <c r="AA275" s="97"/>
      <c r="AB275" s="97"/>
      <c r="AC275" s="97"/>
    </row>
    <row r="276" spans="2:29" ht="11.25" customHeight="1" x14ac:dyDescent="0.45">
      <c r="B276" s="97"/>
      <c r="C276" s="97"/>
      <c r="D276" s="97"/>
      <c r="E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  <c r="AA276" s="97"/>
      <c r="AB276" s="97"/>
      <c r="AC276" s="97"/>
    </row>
    <row r="277" spans="2:29" ht="11.25" customHeight="1" x14ac:dyDescent="0.45">
      <c r="B277" s="97"/>
      <c r="C277" s="97"/>
      <c r="D277" s="97"/>
      <c r="E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  <c r="AA277" s="97"/>
      <c r="AB277" s="97"/>
      <c r="AC277" s="97"/>
    </row>
    <row r="278" spans="2:29" ht="11.25" customHeight="1" x14ac:dyDescent="0.45">
      <c r="B278" s="97"/>
      <c r="C278" s="97"/>
      <c r="D278" s="97"/>
      <c r="E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  <c r="AA278" s="97"/>
      <c r="AB278" s="97"/>
      <c r="AC278" s="97"/>
    </row>
    <row r="279" spans="2:29" ht="11.25" customHeight="1" x14ac:dyDescent="0.45">
      <c r="B279" s="97"/>
      <c r="C279" s="97"/>
      <c r="D279" s="97"/>
      <c r="E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  <c r="AA279" s="97"/>
      <c r="AB279" s="97"/>
      <c r="AC279" s="97"/>
    </row>
    <row r="280" spans="2:29" ht="11.25" customHeight="1" x14ac:dyDescent="0.45">
      <c r="B280" s="97"/>
      <c r="C280" s="97"/>
      <c r="D280" s="97"/>
      <c r="E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  <c r="AA280" s="97"/>
      <c r="AB280" s="97"/>
      <c r="AC280" s="97"/>
    </row>
    <row r="281" spans="2:29" ht="11.25" customHeight="1" x14ac:dyDescent="0.45">
      <c r="B281" s="97"/>
      <c r="C281" s="97"/>
      <c r="D281" s="97"/>
      <c r="E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  <c r="AA281" s="97"/>
      <c r="AB281" s="97"/>
      <c r="AC281" s="97"/>
    </row>
    <row r="282" spans="2:29" ht="11.25" customHeight="1" x14ac:dyDescent="0.45">
      <c r="B282" s="97"/>
      <c r="C282" s="97"/>
      <c r="D282" s="97"/>
      <c r="E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  <c r="AA282" s="97"/>
      <c r="AB282" s="97"/>
      <c r="AC282" s="97"/>
    </row>
    <row r="283" spans="2:29" ht="11.25" customHeight="1" x14ac:dyDescent="0.45">
      <c r="B283" s="97"/>
      <c r="C283" s="97"/>
      <c r="D283" s="97"/>
      <c r="E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  <c r="AA283" s="97"/>
      <c r="AB283" s="97"/>
      <c r="AC283" s="97"/>
    </row>
    <row r="284" spans="2:29" ht="11.25" customHeight="1" x14ac:dyDescent="0.45">
      <c r="B284" s="97"/>
      <c r="C284" s="97"/>
      <c r="D284" s="97"/>
      <c r="E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  <c r="AA284" s="97"/>
      <c r="AB284" s="97"/>
      <c r="AC284" s="97"/>
    </row>
    <row r="285" spans="2:29" ht="11.25" customHeight="1" x14ac:dyDescent="0.45">
      <c r="B285" s="97"/>
      <c r="C285" s="97"/>
      <c r="D285" s="97"/>
      <c r="E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  <c r="AA285" s="97"/>
      <c r="AB285" s="97"/>
      <c r="AC285" s="97"/>
    </row>
    <row r="286" spans="2:29" ht="11.25" customHeight="1" x14ac:dyDescent="0.45">
      <c r="B286" s="97"/>
      <c r="C286" s="97"/>
      <c r="D286" s="97"/>
      <c r="E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  <c r="AA286" s="97"/>
      <c r="AB286" s="97"/>
      <c r="AC286" s="97"/>
    </row>
    <row r="287" spans="2:29" ht="11.25" customHeight="1" x14ac:dyDescent="0.45">
      <c r="B287" s="97"/>
      <c r="C287" s="97"/>
      <c r="D287" s="97"/>
      <c r="E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  <c r="AA287" s="97"/>
      <c r="AB287" s="97"/>
      <c r="AC287" s="97"/>
    </row>
    <row r="288" spans="2:29" ht="11.25" customHeight="1" x14ac:dyDescent="0.45">
      <c r="B288" s="97"/>
      <c r="C288" s="97"/>
      <c r="D288" s="97"/>
      <c r="E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  <c r="AA288" s="97"/>
      <c r="AB288" s="97"/>
      <c r="AC288" s="97"/>
    </row>
    <row r="289" spans="2:29" ht="11.25" customHeight="1" x14ac:dyDescent="0.45">
      <c r="B289" s="97"/>
      <c r="C289" s="97"/>
      <c r="D289" s="97"/>
      <c r="E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  <c r="AA289" s="97"/>
      <c r="AB289" s="97"/>
      <c r="AC289" s="97"/>
    </row>
    <row r="290" spans="2:29" ht="11.25" customHeight="1" x14ac:dyDescent="0.45">
      <c r="B290" s="97"/>
      <c r="C290" s="97"/>
      <c r="D290" s="97"/>
      <c r="E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  <c r="AA290" s="97"/>
      <c r="AB290" s="97"/>
      <c r="AC290" s="97"/>
    </row>
    <row r="291" spans="2:29" ht="11.25" customHeight="1" x14ac:dyDescent="0.45">
      <c r="B291" s="97"/>
      <c r="C291" s="97"/>
      <c r="D291" s="97"/>
      <c r="E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  <c r="AA291" s="97"/>
      <c r="AB291" s="97"/>
      <c r="AC291" s="97"/>
    </row>
    <row r="292" spans="2:29" ht="11.25" customHeight="1" x14ac:dyDescent="0.45">
      <c r="B292" s="97"/>
      <c r="C292" s="97"/>
      <c r="D292" s="97"/>
      <c r="E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  <c r="AA292" s="97"/>
      <c r="AB292" s="97"/>
      <c r="AC292" s="97"/>
    </row>
    <row r="293" spans="2:29" ht="11.25" customHeight="1" x14ac:dyDescent="0.45">
      <c r="B293" s="97"/>
      <c r="C293" s="97"/>
      <c r="D293" s="97"/>
      <c r="E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  <c r="AA293" s="97"/>
      <c r="AB293" s="97"/>
      <c r="AC293" s="97"/>
    </row>
    <row r="294" spans="2:29" ht="11.25" customHeight="1" x14ac:dyDescent="0.45">
      <c r="B294" s="97"/>
      <c r="C294" s="97"/>
      <c r="D294" s="97"/>
      <c r="E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  <c r="AA294" s="97"/>
      <c r="AB294" s="97"/>
      <c r="AC294" s="97"/>
    </row>
    <row r="295" spans="2:29" ht="11.25" customHeight="1" x14ac:dyDescent="0.45">
      <c r="B295" s="97"/>
      <c r="C295" s="97"/>
      <c r="D295" s="97"/>
      <c r="E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  <c r="AA295" s="97"/>
      <c r="AB295" s="97"/>
      <c r="AC295" s="97"/>
    </row>
    <row r="296" spans="2:29" ht="11.25" customHeight="1" x14ac:dyDescent="0.45">
      <c r="B296" s="97"/>
      <c r="C296" s="97"/>
      <c r="D296" s="97"/>
      <c r="E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  <c r="AA296" s="97"/>
      <c r="AB296" s="97"/>
      <c r="AC296" s="97"/>
    </row>
    <row r="297" spans="2:29" ht="11.25" customHeight="1" x14ac:dyDescent="0.45">
      <c r="B297" s="97"/>
      <c r="C297" s="97"/>
      <c r="D297" s="97"/>
      <c r="E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  <c r="AA297" s="97"/>
      <c r="AB297" s="97"/>
      <c r="AC297" s="97"/>
    </row>
    <row r="298" spans="2:29" ht="11.25" customHeight="1" x14ac:dyDescent="0.45">
      <c r="B298" s="97"/>
      <c r="C298" s="97"/>
      <c r="D298" s="97"/>
      <c r="E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  <c r="AA298" s="97"/>
      <c r="AB298" s="97"/>
      <c r="AC298" s="97"/>
    </row>
    <row r="299" spans="2:29" ht="11.25" customHeight="1" x14ac:dyDescent="0.45">
      <c r="B299" s="97"/>
      <c r="C299" s="97"/>
      <c r="D299" s="97"/>
      <c r="E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  <c r="AA299" s="97"/>
      <c r="AB299" s="97"/>
      <c r="AC299" s="97"/>
    </row>
    <row r="300" spans="2:29" ht="11.25" customHeight="1" x14ac:dyDescent="0.45">
      <c r="B300" s="97"/>
      <c r="C300" s="97"/>
      <c r="D300" s="97"/>
      <c r="E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  <c r="AA300" s="97"/>
      <c r="AB300" s="97"/>
      <c r="AC300" s="97"/>
    </row>
    <row r="301" spans="2:29" ht="11.25" customHeight="1" x14ac:dyDescent="0.45">
      <c r="B301" s="97"/>
      <c r="C301" s="97"/>
      <c r="D301" s="97"/>
      <c r="E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  <c r="AA301" s="97"/>
      <c r="AB301" s="97"/>
      <c r="AC301" s="97"/>
    </row>
    <row r="302" spans="2:29" ht="11.25" customHeight="1" x14ac:dyDescent="0.45">
      <c r="B302" s="97"/>
      <c r="C302" s="97"/>
      <c r="D302" s="97"/>
      <c r="E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  <c r="AA302" s="97"/>
      <c r="AB302" s="97"/>
      <c r="AC302" s="97"/>
    </row>
    <row r="303" spans="2:29" ht="11.25" customHeight="1" x14ac:dyDescent="0.45">
      <c r="B303" s="97"/>
      <c r="C303" s="97"/>
      <c r="D303" s="97"/>
      <c r="E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  <c r="AA303" s="97"/>
      <c r="AB303" s="97"/>
      <c r="AC303" s="97"/>
    </row>
    <row r="304" spans="2:29" ht="11.25" customHeight="1" x14ac:dyDescent="0.45">
      <c r="B304" s="97"/>
      <c r="C304" s="97"/>
      <c r="D304" s="97"/>
      <c r="E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  <c r="AA304" s="97"/>
      <c r="AB304" s="97"/>
      <c r="AC304" s="97"/>
    </row>
    <row r="305" spans="2:29" ht="11.25" customHeight="1" x14ac:dyDescent="0.45">
      <c r="B305" s="97"/>
      <c r="C305" s="97"/>
      <c r="D305" s="97"/>
      <c r="E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  <c r="AA305" s="97"/>
      <c r="AB305" s="97"/>
      <c r="AC305" s="97"/>
    </row>
    <row r="306" spans="2:29" ht="11.25" customHeight="1" x14ac:dyDescent="0.45">
      <c r="B306" s="97"/>
      <c r="C306" s="97"/>
      <c r="D306" s="97"/>
      <c r="E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  <c r="AA306" s="97"/>
      <c r="AB306" s="97"/>
      <c r="AC306" s="97"/>
    </row>
    <row r="307" spans="2:29" ht="11.25" customHeight="1" x14ac:dyDescent="0.45">
      <c r="B307" s="97"/>
      <c r="C307" s="97"/>
      <c r="D307" s="97"/>
      <c r="E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  <c r="AA307" s="97"/>
      <c r="AB307" s="97"/>
      <c r="AC307" s="97"/>
    </row>
    <row r="308" spans="2:29" ht="11.25" customHeight="1" x14ac:dyDescent="0.45">
      <c r="B308" s="97"/>
      <c r="C308" s="97"/>
      <c r="D308" s="97"/>
      <c r="E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  <c r="AA308" s="97"/>
      <c r="AB308" s="97"/>
      <c r="AC308" s="97"/>
    </row>
    <row r="309" spans="2:29" ht="11.25" customHeight="1" x14ac:dyDescent="0.45">
      <c r="B309" s="97"/>
      <c r="C309" s="97"/>
      <c r="D309" s="97"/>
      <c r="E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  <c r="AA309" s="97"/>
      <c r="AB309" s="97"/>
      <c r="AC309" s="97"/>
    </row>
    <row r="310" spans="2:29" ht="11.25" customHeight="1" x14ac:dyDescent="0.45">
      <c r="B310" s="97"/>
      <c r="C310" s="97"/>
      <c r="D310" s="97"/>
      <c r="E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  <c r="AA310" s="97"/>
      <c r="AB310" s="97"/>
      <c r="AC310" s="97"/>
    </row>
    <row r="311" spans="2:29" ht="11.25" customHeight="1" x14ac:dyDescent="0.45">
      <c r="B311" s="97"/>
      <c r="C311" s="97"/>
      <c r="D311" s="97"/>
      <c r="E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  <c r="AA311" s="97"/>
      <c r="AB311" s="97"/>
      <c r="AC311" s="97"/>
    </row>
    <row r="312" spans="2:29" ht="11.25" customHeight="1" x14ac:dyDescent="0.45">
      <c r="B312" s="97"/>
      <c r="C312" s="97"/>
      <c r="D312" s="97"/>
      <c r="E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  <c r="AA312" s="97"/>
      <c r="AB312" s="97"/>
      <c r="AC312" s="97"/>
    </row>
    <row r="313" spans="2:29" ht="11.25" customHeight="1" x14ac:dyDescent="0.45">
      <c r="B313" s="97"/>
      <c r="C313" s="97"/>
      <c r="D313" s="97"/>
      <c r="E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  <c r="AA313" s="97"/>
      <c r="AB313" s="97"/>
      <c r="AC313" s="97"/>
    </row>
    <row r="314" spans="2:29" ht="11.25" customHeight="1" x14ac:dyDescent="0.45">
      <c r="B314" s="97"/>
      <c r="C314" s="97"/>
      <c r="D314" s="97"/>
      <c r="E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  <c r="AA314" s="97"/>
      <c r="AB314" s="97"/>
      <c r="AC314" s="97"/>
    </row>
    <row r="315" spans="2:29" ht="11.25" customHeight="1" x14ac:dyDescent="0.45">
      <c r="B315" s="97"/>
      <c r="C315" s="97"/>
      <c r="D315" s="97"/>
      <c r="E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  <c r="AA315" s="97"/>
      <c r="AB315" s="97"/>
      <c r="AC315" s="97"/>
    </row>
    <row r="316" spans="2:29" ht="11.25" customHeight="1" x14ac:dyDescent="0.45">
      <c r="B316" s="97"/>
      <c r="C316" s="97"/>
      <c r="D316" s="97"/>
      <c r="E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  <c r="AA316" s="97"/>
      <c r="AB316" s="97"/>
      <c r="AC316" s="97"/>
    </row>
    <row r="317" spans="2:29" ht="11.25" customHeight="1" x14ac:dyDescent="0.45">
      <c r="B317" s="97"/>
      <c r="C317" s="97"/>
      <c r="D317" s="97"/>
      <c r="E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  <c r="AA317" s="97"/>
      <c r="AB317" s="97"/>
      <c r="AC317" s="97"/>
    </row>
    <row r="318" spans="2:29" ht="11.25" customHeight="1" x14ac:dyDescent="0.45">
      <c r="B318" s="97"/>
      <c r="C318" s="97"/>
      <c r="D318" s="97"/>
      <c r="E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  <c r="AA318" s="97"/>
      <c r="AB318" s="97"/>
      <c r="AC318" s="97"/>
    </row>
    <row r="319" spans="2:29" ht="11.25" customHeight="1" x14ac:dyDescent="0.45">
      <c r="B319" s="97"/>
      <c r="C319" s="97"/>
      <c r="D319" s="97"/>
      <c r="E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  <c r="AA319" s="97"/>
      <c r="AB319" s="97"/>
      <c r="AC319" s="97"/>
    </row>
    <row r="320" spans="2:29" ht="11.25" customHeight="1" x14ac:dyDescent="0.45">
      <c r="B320" s="97"/>
      <c r="C320" s="97"/>
      <c r="D320" s="97"/>
      <c r="E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  <c r="AA320" s="97"/>
      <c r="AB320" s="97"/>
      <c r="AC320" s="97"/>
    </row>
    <row r="321" spans="2:29" ht="11.25" customHeight="1" x14ac:dyDescent="0.45">
      <c r="B321" s="97"/>
      <c r="C321" s="97"/>
      <c r="D321" s="97"/>
      <c r="E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  <c r="AA321" s="97"/>
      <c r="AB321" s="97"/>
      <c r="AC321" s="97"/>
    </row>
    <row r="322" spans="2:29" ht="11.25" customHeight="1" x14ac:dyDescent="0.45">
      <c r="B322" s="97"/>
      <c r="C322" s="97"/>
      <c r="D322" s="97"/>
      <c r="E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  <c r="AA322" s="97"/>
      <c r="AB322" s="97"/>
      <c r="AC322" s="97"/>
    </row>
    <row r="323" spans="2:29" ht="11.25" customHeight="1" x14ac:dyDescent="0.45">
      <c r="B323" s="97"/>
      <c r="C323" s="97"/>
      <c r="D323" s="97"/>
      <c r="E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  <c r="AA323" s="97"/>
      <c r="AB323" s="97"/>
      <c r="AC323" s="97"/>
    </row>
    <row r="324" spans="2:29" ht="11.25" customHeight="1" x14ac:dyDescent="0.45">
      <c r="B324" s="97"/>
      <c r="C324" s="97"/>
      <c r="D324" s="97"/>
      <c r="E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  <c r="AA324" s="97"/>
      <c r="AB324" s="97"/>
      <c r="AC324" s="97"/>
    </row>
    <row r="325" spans="2:29" ht="11.25" customHeight="1" x14ac:dyDescent="0.45">
      <c r="B325" s="97"/>
      <c r="C325" s="97"/>
      <c r="D325" s="97"/>
      <c r="E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  <c r="AA325" s="97"/>
      <c r="AB325" s="97"/>
      <c r="AC325" s="97"/>
    </row>
    <row r="326" spans="2:29" ht="11.25" customHeight="1" x14ac:dyDescent="0.45">
      <c r="B326" s="97"/>
      <c r="C326" s="97"/>
      <c r="D326" s="97"/>
      <c r="E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  <c r="AA326" s="97"/>
      <c r="AB326" s="97"/>
      <c r="AC326" s="97"/>
    </row>
    <row r="327" spans="2:29" ht="11.25" customHeight="1" x14ac:dyDescent="0.45">
      <c r="B327" s="97"/>
      <c r="C327" s="97"/>
      <c r="D327" s="97"/>
      <c r="E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  <c r="AA327" s="97"/>
      <c r="AB327" s="97"/>
      <c r="AC327" s="97"/>
    </row>
    <row r="328" spans="2:29" ht="11.25" customHeight="1" x14ac:dyDescent="0.45">
      <c r="B328" s="97"/>
      <c r="C328" s="97"/>
      <c r="D328" s="97"/>
      <c r="E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  <c r="AA328" s="97"/>
      <c r="AB328" s="97"/>
      <c r="AC328" s="97"/>
    </row>
    <row r="329" spans="2:29" ht="11.25" customHeight="1" x14ac:dyDescent="0.45">
      <c r="B329" s="97"/>
      <c r="C329" s="97"/>
      <c r="D329" s="97"/>
      <c r="E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  <c r="AA329" s="97"/>
      <c r="AB329" s="97"/>
      <c r="AC329" s="97"/>
    </row>
    <row r="330" spans="2:29" ht="11.25" customHeight="1" x14ac:dyDescent="0.45">
      <c r="B330" s="97"/>
      <c r="C330" s="97"/>
      <c r="D330" s="97"/>
      <c r="E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  <c r="AA330" s="97"/>
      <c r="AB330" s="97"/>
      <c r="AC330" s="97"/>
    </row>
    <row r="331" spans="2:29" ht="11.25" customHeight="1" x14ac:dyDescent="0.45">
      <c r="B331" s="97"/>
      <c r="C331" s="97"/>
      <c r="D331" s="97"/>
      <c r="E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  <c r="AA331" s="97"/>
      <c r="AB331" s="97"/>
      <c r="AC331" s="97"/>
    </row>
    <row r="332" spans="2:29" ht="11.25" customHeight="1" x14ac:dyDescent="0.45">
      <c r="B332" s="97"/>
      <c r="C332" s="97"/>
      <c r="D332" s="97"/>
      <c r="E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  <c r="AA332" s="97"/>
      <c r="AB332" s="97"/>
      <c r="AC332" s="97"/>
    </row>
    <row r="333" spans="2:29" ht="11.25" customHeight="1" x14ac:dyDescent="0.45">
      <c r="B333" s="97"/>
      <c r="C333" s="97"/>
      <c r="D333" s="97"/>
      <c r="E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  <c r="AA333" s="97"/>
      <c r="AB333" s="97"/>
      <c r="AC333" s="97"/>
    </row>
    <row r="334" spans="2:29" ht="11.25" customHeight="1" x14ac:dyDescent="0.45">
      <c r="B334" s="97"/>
      <c r="C334" s="97"/>
      <c r="D334" s="97"/>
      <c r="E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  <c r="AA334" s="97"/>
      <c r="AB334" s="97"/>
      <c r="AC334" s="97"/>
    </row>
    <row r="335" spans="2:29" ht="11.25" customHeight="1" x14ac:dyDescent="0.45">
      <c r="B335" s="97"/>
      <c r="C335" s="97"/>
      <c r="D335" s="97"/>
      <c r="E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  <c r="AA335" s="97"/>
      <c r="AB335" s="97"/>
      <c r="AC335" s="97"/>
    </row>
    <row r="336" spans="2:29" ht="11.25" customHeight="1" x14ac:dyDescent="0.45">
      <c r="B336" s="97"/>
      <c r="C336" s="97"/>
      <c r="D336" s="97"/>
      <c r="E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  <c r="AA336" s="97"/>
      <c r="AB336" s="97"/>
      <c r="AC336" s="97"/>
    </row>
    <row r="337" spans="2:29" ht="11.25" customHeight="1" x14ac:dyDescent="0.45">
      <c r="B337" s="97"/>
      <c r="C337" s="97"/>
      <c r="D337" s="97"/>
      <c r="E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  <c r="AA337" s="97"/>
      <c r="AB337" s="97"/>
      <c r="AC337" s="97"/>
    </row>
    <row r="338" spans="2:29" ht="11.25" customHeight="1" x14ac:dyDescent="0.45">
      <c r="B338" s="97"/>
      <c r="C338" s="97"/>
      <c r="D338" s="97"/>
      <c r="E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  <c r="AA338" s="97"/>
      <c r="AB338" s="97"/>
      <c r="AC338" s="97"/>
    </row>
    <row r="339" spans="2:29" ht="11.25" customHeight="1" x14ac:dyDescent="0.45">
      <c r="B339" s="97"/>
      <c r="C339" s="97"/>
      <c r="D339" s="97"/>
      <c r="E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  <c r="AA339" s="97"/>
      <c r="AB339" s="97"/>
      <c r="AC339" s="97"/>
    </row>
    <row r="340" spans="2:29" ht="11.25" customHeight="1" x14ac:dyDescent="0.45">
      <c r="B340" s="97"/>
      <c r="C340" s="97"/>
      <c r="D340" s="97"/>
      <c r="E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  <c r="AA340" s="97"/>
      <c r="AB340" s="97"/>
      <c r="AC340" s="97"/>
    </row>
    <row r="341" spans="2:29" ht="11.25" customHeight="1" x14ac:dyDescent="0.45">
      <c r="B341" s="97"/>
      <c r="C341" s="97"/>
      <c r="D341" s="97"/>
      <c r="E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  <c r="AA341" s="97"/>
      <c r="AB341" s="97"/>
      <c r="AC341" s="97"/>
    </row>
    <row r="342" spans="2:29" ht="11.25" customHeight="1" x14ac:dyDescent="0.45">
      <c r="B342" s="97"/>
      <c r="C342" s="97"/>
      <c r="D342" s="97"/>
      <c r="E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  <c r="AA342" s="97"/>
      <c r="AB342" s="97"/>
      <c r="AC342" s="97"/>
    </row>
    <row r="343" spans="2:29" ht="11.25" customHeight="1" x14ac:dyDescent="0.45">
      <c r="B343" s="97"/>
      <c r="C343" s="97"/>
      <c r="D343" s="97"/>
      <c r="E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  <c r="AA343" s="97"/>
      <c r="AB343" s="97"/>
      <c r="AC343" s="97"/>
    </row>
    <row r="344" spans="2:29" ht="11.25" customHeight="1" x14ac:dyDescent="0.45">
      <c r="B344" s="97"/>
      <c r="C344" s="97"/>
      <c r="D344" s="97"/>
      <c r="E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  <c r="AA344" s="97"/>
      <c r="AB344" s="97"/>
      <c r="AC344" s="97"/>
    </row>
    <row r="345" spans="2:29" ht="11.25" customHeight="1" x14ac:dyDescent="0.45">
      <c r="B345" s="97"/>
      <c r="C345" s="97"/>
      <c r="D345" s="97"/>
      <c r="E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  <c r="AA345" s="97"/>
      <c r="AB345" s="97"/>
      <c r="AC345" s="97"/>
    </row>
    <row r="346" spans="2:29" ht="11.25" customHeight="1" x14ac:dyDescent="0.45">
      <c r="B346" s="97"/>
      <c r="C346" s="97"/>
      <c r="D346" s="97"/>
      <c r="E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  <c r="AA346" s="97"/>
      <c r="AB346" s="97"/>
      <c r="AC346" s="97"/>
    </row>
    <row r="347" spans="2:29" ht="11.25" customHeight="1" x14ac:dyDescent="0.45">
      <c r="B347" s="97"/>
      <c r="C347" s="97"/>
      <c r="D347" s="97"/>
      <c r="E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  <c r="AA347" s="97"/>
      <c r="AB347" s="97"/>
      <c r="AC347" s="97"/>
    </row>
    <row r="348" spans="2:29" ht="11.25" customHeight="1" x14ac:dyDescent="0.45">
      <c r="B348" s="97"/>
      <c r="C348" s="97"/>
      <c r="D348" s="97"/>
      <c r="E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  <c r="AA348" s="97"/>
      <c r="AB348" s="97"/>
      <c r="AC348" s="97"/>
    </row>
    <row r="349" spans="2:29" ht="11.25" customHeight="1" x14ac:dyDescent="0.45">
      <c r="B349" s="97"/>
      <c r="C349" s="97"/>
      <c r="D349" s="97"/>
      <c r="E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  <c r="AA349" s="97"/>
      <c r="AB349" s="97"/>
      <c r="AC349" s="97"/>
    </row>
    <row r="350" spans="2:29" ht="11.25" customHeight="1" x14ac:dyDescent="0.45">
      <c r="B350" s="97"/>
      <c r="C350" s="97"/>
      <c r="D350" s="97"/>
      <c r="E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  <c r="AA350" s="97"/>
      <c r="AB350" s="97"/>
      <c r="AC350" s="97"/>
    </row>
    <row r="351" spans="2:29" ht="11.25" customHeight="1" x14ac:dyDescent="0.45">
      <c r="B351" s="97"/>
      <c r="C351" s="97"/>
      <c r="D351" s="97"/>
      <c r="E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  <c r="AA351" s="97"/>
      <c r="AB351" s="97"/>
      <c r="AC351" s="97"/>
    </row>
    <row r="352" spans="2:29" ht="11.25" customHeight="1" x14ac:dyDescent="0.45">
      <c r="B352" s="97"/>
      <c r="C352" s="97"/>
      <c r="D352" s="97"/>
      <c r="E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  <c r="AA352" s="97"/>
      <c r="AB352" s="97"/>
      <c r="AC352" s="97"/>
    </row>
    <row r="353" spans="2:29" ht="11.25" customHeight="1" x14ac:dyDescent="0.45">
      <c r="B353" s="97"/>
      <c r="C353" s="97"/>
      <c r="D353" s="97"/>
      <c r="E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  <c r="AA353" s="97"/>
      <c r="AB353" s="97"/>
      <c r="AC353" s="97"/>
    </row>
    <row r="354" spans="2:29" ht="11.25" customHeight="1" x14ac:dyDescent="0.45">
      <c r="B354" s="97"/>
      <c r="C354" s="97"/>
      <c r="D354" s="97"/>
      <c r="E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  <c r="AA354" s="97"/>
      <c r="AB354" s="97"/>
      <c r="AC354" s="97"/>
    </row>
    <row r="355" spans="2:29" ht="11.25" customHeight="1" x14ac:dyDescent="0.45">
      <c r="B355" s="97"/>
      <c r="C355" s="97"/>
      <c r="D355" s="97"/>
      <c r="E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  <c r="AA355" s="97"/>
      <c r="AB355" s="97"/>
      <c r="AC355" s="97"/>
    </row>
    <row r="356" spans="2:29" ht="11.25" customHeight="1" x14ac:dyDescent="0.45">
      <c r="B356" s="97"/>
      <c r="C356" s="97"/>
      <c r="D356" s="97"/>
      <c r="E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  <c r="AA356" s="97"/>
      <c r="AB356" s="97"/>
      <c r="AC356" s="97"/>
    </row>
    <row r="357" spans="2:29" ht="11.25" customHeight="1" x14ac:dyDescent="0.45">
      <c r="B357" s="97"/>
      <c r="C357" s="97"/>
      <c r="D357" s="97"/>
      <c r="E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  <c r="AA357" s="97"/>
      <c r="AB357" s="97"/>
      <c r="AC357" s="97"/>
    </row>
    <row r="358" spans="2:29" ht="11.25" customHeight="1" x14ac:dyDescent="0.45">
      <c r="B358" s="97"/>
      <c r="C358" s="97"/>
      <c r="D358" s="97"/>
      <c r="E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  <c r="AA358" s="97"/>
      <c r="AB358" s="97"/>
      <c r="AC358" s="97"/>
    </row>
    <row r="359" spans="2:29" ht="11.25" customHeight="1" x14ac:dyDescent="0.45">
      <c r="B359" s="97"/>
      <c r="C359" s="97"/>
      <c r="D359" s="97"/>
      <c r="E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  <c r="AA359" s="97"/>
      <c r="AB359" s="97"/>
      <c r="AC359" s="97"/>
    </row>
    <row r="360" spans="2:29" ht="11.25" customHeight="1" x14ac:dyDescent="0.45">
      <c r="B360" s="97"/>
      <c r="C360" s="97"/>
      <c r="D360" s="97"/>
      <c r="E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  <c r="AA360" s="97"/>
      <c r="AB360" s="97"/>
      <c r="AC360" s="97"/>
    </row>
    <row r="361" spans="2:29" ht="11.25" customHeight="1" x14ac:dyDescent="0.45">
      <c r="B361" s="97"/>
      <c r="C361" s="97"/>
      <c r="D361" s="97"/>
      <c r="E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  <c r="AA361" s="97"/>
      <c r="AB361" s="97"/>
      <c r="AC361" s="97"/>
    </row>
    <row r="362" spans="2:29" ht="11.25" customHeight="1" x14ac:dyDescent="0.45">
      <c r="B362" s="97"/>
      <c r="C362" s="97"/>
      <c r="D362" s="97"/>
      <c r="E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  <c r="AA362" s="97"/>
      <c r="AB362" s="97"/>
      <c r="AC362" s="97"/>
    </row>
    <row r="363" spans="2:29" ht="11.25" customHeight="1" x14ac:dyDescent="0.45">
      <c r="B363" s="97"/>
      <c r="C363" s="97"/>
      <c r="D363" s="97"/>
      <c r="E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  <c r="AA363" s="97"/>
      <c r="AB363" s="97"/>
      <c r="AC363" s="97"/>
    </row>
    <row r="364" spans="2:29" ht="11.25" customHeight="1" x14ac:dyDescent="0.45">
      <c r="B364" s="97"/>
      <c r="C364" s="97"/>
      <c r="D364" s="97"/>
      <c r="E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  <c r="AA364" s="97"/>
      <c r="AB364" s="97"/>
      <c r="AC364" s="97"/>
    </row>
    <row r="365" spans="2:29" ht="11.25" customHeight="1" x14ac:dyDescent="0.45">
      <c r="B365" s="97"/>
      <c r="C365" s="97"/>
      <c r="D365" s="97"/>
      <c r="E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  <c r="AA365" s="97"/>
      <c r="AB365" s="97"/>
      <c r="AC365" s="97"/>
    </row>
    <row r="366" spans="2:29" ht="11.25" customHeight="1" x14ac:dyDescent="0.45">
      <c r="B366" s="97"/>
      <c r="C366" s="97"/>
      <c r="D366" s="97"/>
      <c r="E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  <c r="AA366" s="97"/>
      <c r="AB366" s="97"/>
      <c r="AC366" s="97"/>
    </row>
    <row r="367" spans="2:29" ht="11.25" customHeight="1" x14ac:dyDescent="0.45">
      <c r="B367" s="97"/>
      <c r="C367" s="97"/>
      <c r="D367" s="97"/>
      <c r="E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  <c r="AA367" s="97"/>
      <c r="AB367" s="97"/>
      <c r="AC367" s="97"/>
    </row>
    <row r="368" spans="2:29" ht="11.25" customHeight="1" x14ac:dyDescent="0.45">
      <c r="B368" s="97"/>
      <c r="C368" s="97"/>
      <c r="D368" s="97"/>
      <c r="E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  <c r="AA368" s="97"/>
      <c r="AB368" s="97"/>
      <c r="AC368" s="97"/>
    </row>
    <row r="369" spans="2:29" ht="11.25" customHeight="1" x14ac:dyDescent="0.45">
      <c r="B369" s="97"/>
      <c r="C369" s="97"/>
      <c r="D369" s="97"/>
      <c r="E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  <c r="AA369" s="97"/>
      <c r="AB369" s="97"/>
      <c r="AC369" s="97"/>
    </row>
    <row r="370" spans="2:29" ht="11.25" customHeight="1" x14ac:dyDescent="0.45">
      <c r="B370" s="97"/>
      <c r="C370" s="97"/>
      <c r="D370" s="97"/>
      <c r="E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  <c r="AA370" s="97"/>
      <c r="AB370" s="97"/>
      <c r="AC370" s="97"/>
    </row>
    <row r="371" spans="2:29" ht="11.25" customHeight="1" x14ac:dyDescent="0.45">
      <c r="B371" s="97"/>
      <c r="C371" s="97"/>
      <c r="D371" s="97"/>
      <c r="E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  <c r="AA371" s="97"/>
      <c r="AB371" s="97"/>
      <c r="AC371" s="97"/>
    </row>
    <row r="372" spans="2:29" ht="11.25" customHeight="1" x14ac:dyDescent="0.45">
      <c r="B372" s="97"/>
      <c r="C372" s="97"/>
      <c r="D372" s="97"/>
      <c r="E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  <c r="AA372" s="97"/>
      <c r="AB372" s="97"/>
      <c r="AC372" s="97"/>
    </row>
    <row r="373" spans="2:29" ht="11.25" customHeight="1" x14ac:dyDescent="0.45">
      <c r="B373" s="97"/>
      <c r="C373" s="97"/>
      <c r="D373" s="97"/>
      <c r="E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  <c r="AA373" s="97"/>
      <c r="AB373" s="97"/>
      <c r="AC373" s="97"/>
    </row>
    <row r="374" spans="2:29" ht="11.25" customHeight="1" x14ac:dyDescent="0.45">
      <c r="B374" s="97"/>
      <c r="C374" s="97"/>
      <c r="D374" s="97"/>
      <c r="E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  <c r="AA374" s="97"/>
      <c r="AB374" s="97"/>
      <c r="AC374" s="97"/>
    </row>
    <row r="375" spans="2:29" ht="11.25" customHeight="1" x14ac:dyDescent="0.45">
      <c r="B375" s="97"/>
      <c r="C375" s="97"/>
      <c r="D375" s="97"/>
      <c r="E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  <c r="AA375" s="97"/>
      <c r="AB375" s="97"/>
      <c r="AC375" s="97"/>
    </row>
    <row r="376" spans="2:29" ht="11.25" customHeight="1" x14ac:dyDescent="0.45">
      <c r="B376" s="97"/>
      <c r="C376" s="97"/>
      <c r="D376" s="97"/>
      <c r="E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  <c r="AA376" s="97"/>
      <c r="AB376" s="97"/>
      <c r="AC376" s="97"/>
    </row>
    <row r="377" spans="2:29" ht="11.25" customHeight="1" x14ac:dyDescent="0.45">
      <c r="B377" s="97"/>
      <c r="C377" s="97"/>
      <c r="D377" s="97"/>
      <c r="E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  <c r="AA377" s="97"/>
      <c r="AB377" s="97"/>
      <c r="AC377" s="97"/>
    </row>
    <row r="378" spans="2:29" ht="11.25" customHeight="1" x14ac:dyDescent="0.45">
      <c r="B378" s="97"/>
      <c r="C378" s="97"/>
      <c r="D378" s="97"/>
      <c r="E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  <c r="AA378" s="97"/>
      <c r="AB378" s="97"/>
      <c r="AC378" s="97"/>
    </row>
    <row r="379" spans="2:29" ht="11.25" customHeight="1" x14ac:dyDescent="0.45">
      <c r="B379" s="97"/>
      <c r="C379" s="97"/>
      <c r="D379" s="97"/>
      <c r="E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  <c r="AA379" s="97"/>
      <c r="AB379" s="97"/>
      <c r="AC379" s="97"/>
    </row>
    <row r="380" spans="2:29" ht="11.25" customHeight="1" x14ac:dyDescent="0.45">
      <c r="B380" s="97"/>
      <c r="C380" s="97"/>
      <c r="D380" s="97"/>
      <c r="E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  <c r="AA380" s="97"/>
      <c r="AB380" s="97"/>
      <c r="AC380" s="97"/>
    </row>
    <row r="381" spans="2:29" ht="11.25" customHeight="1" x14ac:dyDescent="0.45">
      <c r="B381" s="97"/>
      <c r="C381" s="97"/>
      <c r="D381" s="97"/>
      <c r="E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  <c r="AA381" s="97"/>
      <c r="AB381" s="97"/>
      <c r="AC381" s="97"/>
    </row>
    <row r="382" spans="2:29" ht="11.25" customHeight="1" x14ac:dyDescent="0.45">
      <c r="B382" s="97"/>
      <c r="C382" s="97"/>
      <c r="D382" s="97"/>
      <c r="E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  <c r="AA382" s="97"/>
      <c r="AB382" s="97"/>
      <c r="AC382" s="97"/>
    </row>
    <row r="383" spans="2:29" ht="11.25" customHeight="1" x14ac:dyDescent="0.45">
      <c r="B383" s="97"/>
      <c r="C383" s="97"/>
      <c r="D383" s="97"/>
      <c r="E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  <c r="AA383" s="97"/>
      <c r="AB383" s="97"/>
      <c r="AC383" s="97"/>
    </row>
    <row r="384" spans="2:29" ht="11.25" customHeight="1" x14ac:dyDescent="0.45">
      <c r="B384" s="97"/>
      <c r="C384" s="97"/>
      <c r="D384" s="97"/>
      <c r="E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  <c r="AA384" s="97"/>
      <c r="AB384" s="97"/>
      <c r="AC384" s="97"/>
    </row>
    <row r="385" spans="2:29" ht="11.25" customHeight="1" x14ac:dyDescent="0.45">
      <c r="B385" s="97"/>
      <c r="C385" s="97"/>
      <c r="D385" s="97"/>
      <c r="E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  <c r="AA385" s="97"/>
      <c r="AB385" s="97"/>
      <c r="AC385" s="97"/>
    </row>
    <row r="386" spans="2:29" ht="11.25" customHeight="1" x14ac:dyDescent="0.45">
      <c r="B386" s="97"/>
      <c r="C386" s="97"/>
      <c r="D386" s="97"/>
      <c r="E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  <c r="AA386" s="97"/>
      <c r="AB386" s="97"/>
      <c r="AC386" s="97"/>
    </row>
    <row r="387" spans="2:29" ht="11.25" customHeight="1" x14ac:dyDescent="0.45">
      <c r="B387" s="97"/>
      <c r="C387" s="97"/>
      <c r="D387" s="97"/>
      <c r="E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  <c r="AA387" s="97"/>
      <c r="AB387" s="97"/>
      <c r="AC387" s="97"/>
    </row>
    <row r="388" spans="2:29" ht="11.25" customHeight="1" x14ac:dyDescent="0.45">
      <c r="B388" s="97"/>
      <c r="C388" s="97"/>
      <c r="D388" s="97"/>
      <c r="E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  <c r="AA388" s="97"/>
      <c r="AB388" s="97"/>
      <c r="AC388" s="97"/>
    </row>
    <row r="389" spans="2:29" ht="11.25" customHeight="1" x14ac:dyDescent="0.45">
      <c r="B389" s="97"/>
      <c r="C389" s="97"/>
      <c r="D389" s="97"/>
      <c r="E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  <c r="AA389" s="97"/>
      <c r="AB389" s="97"/>
      <c r="AC389" s="97"/>
    </row>
    <row r="390" spans="2:29" ht="11.25" customHeight="1" x14ac:dyDescent="0.45">
      <c r="B390" s="97"/>
      <c r="C390" s="97"/>
      <c r="D390" s="97"/>
      <c r="E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  <c r="AA390" s="97"/>
      <c r="AB390" s="97"/>
      <c r="AC390" s="97"/>
    </row>
    <row r="391" spans="2:29" ht="11.25" customHeight="1" x14ac:dyDescent="0.45">
      <c r="B391" s="97"/>
      <c r="C391" s="97"/>
      <c r="D391" s="97"/>
      <c r="E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  <c r="AA391" s="97"/>
      <c r="AB391" s="97"/>
      <c r="AC391" s="97"/>
    </row>
    <row r="392" spans="2:29" ht="11.25" customHeight="1" x14ac:dyDescent="0.45">
      <c r="B392" s="97"/>
      <c r="C392" s="97"/>
      <c r="D392" s="97"/>
      <c r="E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  <c r="AA392" s="97"/>
      <c r="AB392" s="97"/>
      <c r="AC392" s="97"/>
    </row>
    <row r="393" spans="2:29" ht="11.25" customHeight="1" x14ac:dyDescent="0.45">
      <c r="B393" s="97"/>
      <c r="C393" s="97"/>
      <c r="D393" s="97"/>
      <c r="E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  <c r="AA393" s="97"/>
      <c r="AB393" s="97"/>
      <c r="AC393" s="97"/>
    </row>
    <row r="394" spans="2:29" ht="11.25" customHeight="1" x14ac:dyDescent="0.45">
      <c r="B394" s="97"/>
      <c r="C394" s="97"/>
      <c r="D394" s="97"/>
      <c r="E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  <c r="AA394" s="97"/>
      <c r="AB394" s="97"/>
      <c r="AC394" s="97"/>
    </row>
    <row r="395" spans="2:29" ht="11.25" customHeight="1" x14ac:dyDescent="0.45">
      <c r="B395" s="97"/>
      <c r="C395" s="97"/>
      <c r="D395" s="97"/>
      <c r="E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  <c r="AA395" s="97"/>
      <c r="AB395" s="97"/>
      <c r="AC395" s="97"/>
    </row>
    <row r="396" spans="2:29" ht="11.25" customHeight="1" x14ac:dyDescent="0.45">
      <c r="B396" s="97"/>
      <c r="C396" s="97"/>
      <c r="D396" s="97"/>
      <c r="E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  <c r="AA396" s="97"/>
      <c r="AB396" s="97"/>
      <c r="AC396" s="97"/>
    </row>
    <row r="397" spans="2:29" ht="11.25" customHeight="1" x14ac:dyDescent="0.45">
      <c r="B397" s="97"/>
      <c r="C397" s="97"/>
      <c r="D397" s="97"/>
      <c r="E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  <c r="AA397" s="97"/>
      <c r="AB397" s="97"/>
      <c r="AC397" s="97"/>
    </row>
    <row r="398" spans="2:29" ht="11.25" customHeight="1" x14ac:dyDescent="0.45">
      <c r="B398" s="97"/>
      <c r="C398" s="97"/>
      <c r="D398" s="97"/>
      <c r="E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  <c r="AA398" s="97"/>
      <c r="AB398" s="97"/>
      <c r="AC398" s="97"/>
    </row>
    <row r="399" spans="2:29" ht="11.25" customHeight="1" x14ac:dyDescent="0.45">
      <c r="B399" s="97"/>
      <c r="C399" s="97"/>
      <c r="D399" s="97"/>
      <c r="E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  <c r="AA399" s="97"/>
      <c r="AB399" s="97"/>
      <c r="AC399" s="97"/>
    </row>
    <row r="400" spans="2:29" ht="11.25" customHeight="1" x14ac:dyDescent="0.45">
      <c r="B400" s="97"/>
      <c r="C400" s="97"/>
      <c r="D400" s="97"/>
      <c r="E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  <c r="AA400" s="97"/>
      <c r="AB400" s="97"/>
      <c r="AC400" s="97"/>
    </row>
    <row r="401" spans="2:29" ht="11.25" customHeight="1" x14ac:dyDescent="0.45">
      <c r="B401" s="97"/>
      <c r="C401" s="97"/>
      <c r="D401" s="97"/>
      <c r="E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  <c r="AA401" s="97"/>
      <c r="AB401" s="97"/>
      <c r="AC401" s="97"/>
    </row>
    <row r="402" spans="2:29" ht="11.25" customHeight="1" x14ac:dyDescent="0.45">
      <c r="B402" s="97"/>
      <c r="C402" s="97"/>
      <c r="D402" s="97"/>
      <c r="E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  <c r="AA402" s="97"/>
      <c r="AB402" s="97"/>
      <c r="AC402" s="97"/>
    </row>
    <row r="403" spans="2:29" ht="11.25" customHeight="1" x14ac:dyDescent="0.45">
      <c r="B403" s="97"/>
      <c r="C403" s="97"/>
      <c r="D403" s="97"/>
      <c r="E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  <c r="AA403" s="97"/>
      <c r="AB403" s="97"/>
      <c r="AC403" s="97"/>
    </row>
    <row r="404" spans="2:29" ht="11.25" customHeight="1" x14ac:dyDescent="0.45">
      <c r="B404" s="97"/>
      <c r="C404" s="97"/>
      <c r="D404" s="97"/>
      <c r="E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  <c r="AA404" s="97"/>
      <c r="AB404" s="97"/>
      <c r="AC404" s="97"/>
    </row>
    <row r="405" spans="2:29" ht="11.25" customHeight="1" x14ac:dyDescent="0.45">
      <c r="B405" s="97"/>
      <c r="C405" s="97"/>
      <c r="D405" s="97"/>
      <c r="E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  <c r="AA405" s="97"/>
      <c r="AB405" s="97"/>
      <c r="AC405" s="97"/>
    </row>
    <row r="406" spans="2:29" ht="11.25" customHeight="1" x14ac:dyDescent="0.45">
      <c r="B406" s="97"/>
      <c r="C406" s="97"/>
      <c r="D406" s="97"/>
      <c r="E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  <c r="AA406" s="97"/>
      <c r="AB406" s="97"/>
      <c r="AC406" s="97"/>
    </row>
    <row r="407" spans="2:29" ht="11.25" customHeight="1" x14ac:dyDescent="0.45">
      <c r="B407" s="97"/>
      <c r="C407" s="97"/>
      <c r="D407" s="97"/>
      <c r="E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  <c r="AA407" s="97"/>
      <c r="AB407" s="97"/>
      <c r="AC407" s="97"/>
    </row>
    <row r="408" spans="2:29" ht="11.25" customHeight="1" x14ac:dyDescent="0.45">
      <c r="B408" s="97"/>
      <c r="C408" s="97"/>
      <c r="D408" s="97"/>
      <c r="E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  <c r="AA408" s="97"/>
      <c r="AB408" s="97"/>
      <c r="AC408" s="97"/>
    </row>
    <row r="409" spans="2:29" ht="11.25" customHeight="1" x14ac:dyDescent="0.45">
      <c r="B409" s="97"/>
      <c r="C409" s="97"/>
      <c r="D409" s="97"/>
      <c r="E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  <c r="AA409" s="97"/>
      <c r="AB409" s="97"/>
      <c r="AC409" s="97"/>
    </row>
    <row r="410" spans="2:29" ht="11.25" customHeight="1" x14ac:dyDescent="0.45">
      <c r="B410" s="97"/>
      <c r="C410" s="97"/>
      <c r="D410" s="97"/>
      <c r="E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  <c r="AA410" s="97"/>
      <c r="AB410" s="97"/>
      <c r="AC410" s="97"/>
    </row>
    <row r="411" spans="2:29" ht="11.25" customHeight="1" x14ac:dyDescent="0.45">
      <c r="B411" s="97"/>
      <c r="C411" s="97"/>
      <c r="D411" s="97"/>
      <c r="E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  <c r="AA411" s="97"/>
      <c r="AB411" s="97"/>
      <c r="AC411" s="97"/>
    </row>
    <row r="412" spans="2:29" ht="11.25" customHeight="1" x14ac:dyDescent="0.45">
      <c r="B412" s="97"/>
      <c r="C412" s="97"/>
      <c r="D412" s="97"/>
      <c r="E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  <c r="AA412" s="97"/>
      <c r="AB412" s="97"/>
      <c r="AC412" s="97"/>
    </row>
    <row r="413" spans="2:29" ht="11.25" customHeight="1" x14ac:dyDescent="0.45">
      <c r="B413" s="97"/>
      <c r="C413" s="97"/>
      <c r="D413" s="97"/>
      <c r="E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  <c r="AA413" s="97"/>
      <c r="AB413" s="97"/>
      <c r="AC413" s="97"/>
    </row>
    <row r="414" spans="2:29" ht="11.25" customHeight="1" x14ac:dyDescent="0.45">
      <c r="B414" s="97"/>
      <c r="C414" s="97"/>
      <c r="D414" s="97"/>
      <c r="E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  <c r="AA414" s="97"/>
      <c r="AB414" s="97"/>
      <c r="AC414" s="97"/>
    </row>
    <row r="415" spans="2:29" ht="11.25" customHeight="1" x14ac:dyDescent="0.45">
      <c r="B415" s="97"/>
      <c r="C415" s="97"/>
      <c r="D415" s="97"/>
      <c r="E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  <c r="AA415" s="97"/>
      <c r="AB415" s="97"/>
      <c r="AC415" s="97"/>
    </row>
    <row r="416" spans="2:29" ht="11.25" customHeight="1" x14ac:dyDescent="0.45">
      <c r="B416" s="97"/>
      <c r="C416" s="97"/>
      <c r="D416" s="97"/>
      <c r="E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  <c r="AA416" s="97"/>
      <c r="AB416" s="97"/>
      <c r="AC416" s="97"/>
    </row>
    <row r="417" spans="2:29" ht="11.25" customHeight="1" x14ac:dyDescent="0.45">
      <c r="B417" s="97"/>
      <c r="C417" s="97"/>
      <c r="D417" s="97"/>
      <c r="E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  <c r="AA417" s="97"/>
      <c r="AB417" s="97"/>
      <c r="AC417" s="97"/>
    </row>
    <row r="418" spans="2:29" ht="11.25" customHeight="1" x14ac:dyDescent="0.45">
      <c r="B418" s="97"/>
      <c r="C418" s="97"/>
      <c r="D418" s="97"/>
      <c r="E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  <c r="AA418" s="97"/>
      <c r="AB418" s="97"/>
      <c r="AC418" s="97"/>
    </row>
    <row r="419" spans="2:29" ht="11.25" customHeight="1" x14ac:dyDescent="0.45">
      <c r="B419" s="97"/>
      <c r="C419" s="97"/>
      <c r="D419" s="97"/>
      <c r="E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  <c r="AA419" s="97"/>
      <c r="AB419" s="97"/>
      <c r="AC419" s="97"/>
    </row>
    <row r="420" spans="2:29" ht="11.25" customHeight="1" x14ac:dyDescent="0.45">
      <c r="B420" s="97"/>
      <c r="C420" s="97"/>
      <c r="D420" s="97"/>
      <c r="E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  <c r="AA420" s="97"/>
      <c r="AB420" s="97"/>
      <c r="AC420" s="97"/>
    </row>
    <row r="421" spans="2:29" ht="11.25" customHeight="1" x14ac:dyDescent="0.45">
      <c r="B421" s="97"/>
      <c r="C421" s="97"/>
      <c r="D421" s="97"/>
      <c r="E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  <c r="AA421" s="97"/>
      <c r="AB421" s="97"/>
      <c r="AC421" s="97"/>
    </row>
    <row r="422" spans="2:29" ht="11.25" customHeight="1" x14ac:dyDescent="0.45">
      <c r="B422" s="97"/>
      <c r="C422" s="97"/>
      <c r="D422" s="97"/>
      <c r="E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  <c r="AA422" s="97"/>
      <c r="AB422" s="97"/>
      <c r="AC422" s="97"/>
    </row>
    <row r="423" spans="2:29" ht="11.25" customHeight="1" x14ac:dyDescent="0.45">
      <c r="B423" s="97"/>
      <c r="C423" s="97"/>
      <c r="D423" s="97"/>
      <c r="E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  <c r="AA423" s="97"/>
      <c r="AB423" s="97"/>
      <c r="AC423" s="97"/>
    </row>
    <row r="424" spans="2:29" ht="11.25" customHeight="1" x14ac:dyDescent="0.45">
      <c r="B424" s="97"/>
      <c r="C424" s="97"/>
      <c r="D424" s="97"/>
      <c r="E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  <c r="AA424" s="97"/>
      <c r="AB424" s="97"/>
      <c r="AC424" s="97"/>
    </row>
    <row r="425" spans="2:29" ht="11.25" customHeight="1" x14ac:dyDescent="0.45">
      <c r="B425" s="97"/>
      <c r="C425" s="97"/>
      <c r="D425" s="97"/>
      <c r="E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  <c r="AA425" s="97"/>
      <c r="AB425" s="97"/>
      <c r="AC425" s="97"/>
    </row>
    <row r="426" spans="2:29" ht="11.25" customHeight="1" x14ac:dyDescent="0.45">
      <c r="B426" s="97"/>
      <c r="C426" s="97"/>
      <c r="D426" s="97"/>
      <c r="E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  <c r="AA426" s="97"/>
      <c r="AB426" s="97"/>
      <c r="AC426" s="97"/>
    </row>
    <row r="427" spans="2:29" ht="11.25" customHeight="1" x14ac:dyDescent="0.45">
      <c r="B427" s="97"/>
      <c r="C427" s="97"/>
      <c r="D427" s="97"/>
      <c r="E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  <c r="AA427" s="97"/>
      <c r="AB427" s="97"/>
      <c r="AC427" s="97"/>
    </row>
    <row r="428" spans="2:29" ht="11.25" customHeight="1" x14ac:dyDescent="0.45">
      <c r="B428" s="97"/>
      <c r="C428" s="97"/>
      <c r="D428" s="97"/>
      <c r="E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  <c r="AA428" s="97"/>
      <c r="AB428" s="97"/>
      <c r="AC428" s="97"/>
    </row>
    <row r="429" spans="2:29" ht="11.25" customHeight="1" x14ac:dyDescent="0.45">
      <c r="B429" s="97"/>
      <c r="C429" s="97"/>
      <c r="D429" s="97"/>
      <c r="E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  <c r="AA429" s="97"/>
      <c r="AB429" s="97"/>
      <c r="AC429" s="97"/>
    </row>
    <row r="430" spans="2:29" ht="11.25" customHeight="1" x14ac:dyDescent="0.45">
      <c r="B430" s="97"/>
      <c r="C430" s="97"/>
      <c r="D430" s="97"/>
      <c r="E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  <c r="AA430" s="97"/>
      <c r="AB430" s="97"/>
      <c r="AC430" s="97"/>
    </row>
    <row r="431" spans="2:29" ht="11.25" customHeight="1" x14ac:dyDescent="0.45">
      <c r="B431" s="97"/>
      <c r="C431" s="97"/>
      <c r="D431" s="97"/>
      <c r="E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  <c r="AA431" s="97"/>
      <c r="AB431" s="97"/>
      <c r="AC431" s="97"/>
    </row>
    <row r="432" spans="2:29" ht="11.25" customHeight="1" x14ac:dyDescent="0.45">
      <c r="B432" s="97"/>
      <c r="C432" s="97"/>
      <c r="D432" s="97"/>
      <c r="E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  <c r="AA432" s="97"/>
      <c r="AB432" s="97"/>
      <c r="AC432" s="97"/>
    </row>
    <row r="433" spans="2:29" ht="11.25" customHeight="1" x14ac:dyDescent="0.45">
      <c r="B433" s="97"/>
      <c r="C433" s="97"/>
      <c r="D433" s="97"/>
      <c r="E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  <c r="AA433" s="97"/>
      <c r="AB433" s="97"/>
      <c r="AC433" s="97"/>
    </row>
    <row r="434" spans="2:29" ht="11.25" customHeight="1" x14ac:dyDescent="0.45">
      <c r="B434" s="97"/>
      <c r="C434" s="97"/>
      <c r="D434" s="97"/>
      <c r="E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  <c r="AA434" s="97"/>
      <c r="AB434" s="97"/>
      <c r="AC434" s="97"/>
    </row>
    <row r="435" spans="2:29" ht="11.25" customHeight="1" x14ac:dyDescent="0.45">
      <c r="B435" s="97"/>
      <c r="C435" s="97"/>
      <c r="D435" s="97"/>
      <c r="E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  <c r="AA435" s="97"/>
      <c r="AB435" s="97"/>
      <c r="AC435" s="97"/>
    </row>
    <row r="436" spans="2:29" ht="11.25" customHeight="1" x14ac:dyDescent="0.45">
      <c r="B436" s="97"/>
      <c r="C436" s="97"/>
      <c r="D436" s="97"/>
      <c r="E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  <c r="AA436" s="97"/>
      <c r="AB436" s="97"/>
      <c r="AC436" s="97"/>
    </row>
    <row r="437" spans="2:29" ht="11.25" customHeight="1" x14ac:dyDescent="0.45">
      <c r="B437" s="97"/>
      <c r="C437" s="97"/>
      <c r="D437" s="97"/>
      <c r="E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  <c r="AA437" s="97"/>
      <c r="AB437" s="97"/>
      <c r="AC437" s="97"/>
    </row>
    <row r="438" spans="2:29" ht="11.25" customHeight="1" x14ac:dyDescent="0.45">
      <c r="B438" s="97"/>
      <c r="C438" s="97"/>
      <c r="D438" s="97"/>
      <c r="E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  <c r="AA438" s="97"/>
      <c r="AB438" s="97"/>
      <c r="AC438" s="97"/>
    </row>
    <row r="439" spans="2:29" ht="11.25" customHeight="1" x14ac:dyDescent="0.45">
      <c r="B439" s="97"/>
      <c r="C439" s="97"/>
      <c r="D439" s="97"/>
      <c r="E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  <c r="AA439" s="97"/>
      <c r="AB439" s="97"/>
      <c r="AC439" s="97"/>
    </row>
    <row r="440" spans="2:29" ht="11.25" customHeight="1" x14ac:dyDescent="0.45">
      <c r="B440" s="97"/>
      <c r="C440" s="97"/>
      <c r="D440" s="97"/>
      <c r="E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  <c r="AA440" s="97"/>
      <c r="AB440" s="97"/>
      <c r="AC440" s="97"/>
    </row>
    <row r="441" spans="2:29" ht="11.25" customHeight="1" x14ac:dyDescent="0.45">
      <c r="B441" s="97"/>
      <c r="C441" s="97"/>
      <c r="D441" s="97"/>
      <c r="E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  <c r="AA441" s="97"/>
      <c r="AB441" s="97"/>
      <c r="AC441" s="97"/>
    </row>
    <row r="442" spans="2:29" ht="11.25" customHeight="1" x14ac:dyDescent="0.45">
      <c r="B442" s="97"/>
      <c r="C442" s="97"/>
      <c r="D442" s="97"/>
      <c r="E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  <c r="AA442" s="97"/>
      <c r="AB442" s="97"/>
      <c r="AC442" s="97"/>
    </row>
    <row r="443" spans="2:29" ht="11.25" customHeight="1" x14ac:dyDescent="0.45">
      <c r="B443" s="97"/>
      <c r="C443" s="97"/>
      <c r="D443" s="97"/>
      <c r="E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  <c r="AA443" s="97"/>
      <c r="AB443" s="97"/>
      <c r="AC443" s="97"/>
    </row>
    <row r="444" spans="2:29" ht="11.25" customHeight="1" x14ac:dyDescent="0.45">
      <c r="B444" s="97"/>
      <c r="C444" s="97"/>
      <c r="D444" s="97"/>
      <c r="E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  <c r="AA444" s="97"/>
      <c r="AB444" s="97"/>
      <c r="AC444" s="97"/>
    </row>
    <row r="445" spans="2:29" ht="11.25" customHeight="1" x14ac:dyDescent="0.45">
      <c r="B445" s="97"/>
      <c r="C445" s="97"/>
      <c r="D445" s="97"/>
      <c r="E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  <c r="AA445" s="97"/>
      <c r="AB445" s="97"/>
      <c r="AC445" s="97"/>
    </row>
    <row r="446" spans="2:29" ht="11.25" customHeight="1" x14ac:dyDescent="0.45">
      <c r="B446" s="97"/>
      <c r="C446" s="97"/>
      <c r="D446" s="97"/>
      <c r="E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  <c r="AA446" s="97"/>
      <c r="AB446" s="97"/>
      <c r="AC446" s="97"/>
    </row>
    <row r="447" spans="2:29" ht="11.25" customHeight="1" x14ac:dyDescent="0.45">
      <c r="B447" s="97"/>
      <c r="C447" s="97"/>
      <c r="D447" s="97"/>
      <c r="E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  <c r="AA447" s="97"/>
      <c r="AB447" s="97"/>
      <c r="AC447" s="97"/>
    </row>
    <row r="448" spans="2:29" ht="11.25" customHeight="1" x14ac:dyDescent="0.45">
      <c r="B448" s="97"/>
      <c r="C448" s="97"/>
      <c r="D448" s="97"/>
      <c r="E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  <c r="AA448" s="97"/>
      <c r="AB448" s="97"/>
      <c r="AC448" s="97"/>
    </row>
    <row r="449" spans="2:29" ht="11.25" customHeight="1" x14ac:dyDescent="0.45">
      <c r="B449" s="97"/>
      <c r="C449" s="97"/>
      <c r="D449" s="97"/>
      <c r="E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  <c r="AA449" s="97"/>
      <c r="AB449" s="97"/>
      <c r="AC449" s="97"/>
    </row>
    <row r="450" spans="2:29" ht="11.25" customHeight="1" x14ac:dyDescent="0.45">
      <c r="B450" s="97"/>
      <c r="C450" s="97"/>
      <c r="D450" s="97"/>
      <c r="E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  <c r="AA450" s="97"/>
      <c r="AB450" s="97"/>
      <c r="AC450" s="97"/>
    </row>
    <row r="451" spans="2:29" ht="11.25" customHeight="1" x14ac:dyDescent="0.45">
      <c r="B451" s="97"/>
      <c r="C451" s="97"/>
      <c r="D451" s="97"/>
      <c r="E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  <c r="AA451" s="97"/>
      <c r="AB451" s="97"/>
      <c r="AC451" s="97"/>
    </row>
    <row r="452" spans="2:29" ht="11.25" customHeight="1" x14ac:dyDescent="0.45">
      <c r="B452" s="97"/>
      <c r="C452" s="97"/>
      <c r="D452" s="97"/>
      <c r="E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  <c r="AA452" s="97"/>
      <c r="AB452" s="97"/>
      <c r="AC452" s="97"/>
    </row>
    <row r="453" spans="2:29" ht="11.25" customHeight="1" x14ac:dyDescent="0.45">
      <c r="B453" s="97"/>
      <c r="C453" s="97"/>
      <c r="D453" s="97"/>
      <c r="E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  <c r="AA453" s="97"/>
      <c r="AB453" s="97"/>
      <c r="AC453" s="97"/>
    </row>
    <row r="454" spans="2:29" ht="11.25" customHeight="1" x14ac:dyDescent="0.45">
      <c r="B454" s="97"/>
      <c r="C454" s="97"/>
      <c r="D454" s="97"/>
      <c r="E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  <c r="AA454" s="97"/>
      <c r="AB454" s="97"/>
      <c r="AC454" s="97"/>
    </row>
    <row r="455" spans="2:29" ht="11.25" customHeight="1" x14ac:dyDescent="0.45">
      <c r="B455" s="97"/>
      <c r="C455" s="97"/>
      <c r="D455" s="97"/>
      <c r="E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  <c r="AA455" s="97"/>
      <c r="AB455" s="97"/>
      <c r="AC455" s="97"/>
    </row>
    <row r="456" spans="2:29" ht="11.25" customHeight="1" x14ac:dyDescent="0.45">
      <c r="B456" s="97"/>
      <c r="C456" s="97"/>
      <c r="D456" s="97"/>
      <c r="E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  <c r="AA456" s="97"/>
      <c r="AB456" s="97"/>
      <c r="AC456" s="97"/>
    </row>
    <row r="457" spans="2:29" ht="11.25" customHeight="1" x14ac:dyDescent="0.45">
      <c r="B457" s="97"/>
      <c r="C457" s="97"/>
      <c r="D457" s="97"/>
      <c r="E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  <c r="AA457" s="97"/>
      <c r="AB457" s="97"/>
      <c r="AC457" s="97"/>
    </row>
    <row r="458" spans="2:29" ht="11.25" customHeight="1" x14ac:dyDescent="0.45">
      <c r="B458" s="97"/>
      <c r="C458" s="97"/>
      <c r="D458" s="97"/>
      <c r="E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  <c r="AA458" s="97"/>
      <c r="AB458" s="97"/>
      <c r="AC458" s="97"/>
    </row>
    <row r="459" spans="2:29" ht="11.25" customHeight="1" x14ac:dyDescent="0.45">
      <c r="B459" s="97"/>
      <c r="C459" s="97"/>
      <c r="D459" s="97"/>
      <c r="E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  <c r="AA459" s="97"/>
      <c r="AB459" s="97"/>
      <c r="AC459" s="97"/>
    </row>
    <row r="460" spans="2:29" ht="11.25" customHeight="1" x14ac:dyDescent="0.45">
      <c r="B460" s="97"/>
      <c r="C460" s="97"/>
      <c r="D460" s="97"/>
      <c r="E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  <c r="AA460" s="97"/>
      <c r="AB460" s="97"/>
      <c r="AC460" s="97"/>
    </row>
    <row r="461" spans="2:29" ht="11.25" customHeight="1" x14ac:dyDescent="0.45">
      <c r="B461" s="97"/>
      <c r="C461" s="97"/>
      <c r="D461" s="97"/>
      <c r="E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  <c r="AA461" s="97"/>
      <c r="AB461" s="97"/>
      <c r="AC461" s="97"/>
    </row>
    <row r="462" spans="2:29" ht="11.25" customHeight="1" x14ac:dyDescent="0.45">
      <c r="B462" s="97"/>
      <c r="C462" s="97"/>
      <c r="D462" s="97"/>
      <c r="E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  <c r="AA462" s="97"/>
      <c r="AB462" s="97"/>
      <c r="AC462" s="97"/>
    </row>
    <row r="463" spans="2:29" ht="11.25" customHeight="1" x14ac:dyDescent="0.45">
      <c r="B463" s="97"/>
      <c r="C463" s="97"/>
      <c r="D463" s="97"/>
      <c r="E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  <c r="AA463" s="97"/>
      <c r="AB463" s="97"/>
      <c r="AC463" s="97"/>
    </row>
    <row r="464" spans="2:29" ht="11.25" customHeight="1" x14ac:dyDescent="0.45">
      <c r="B464" s="97"/>
      <c r="C464" s="97"/>
      <c r="D464" s="97"/>
      <c r="E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  <c r="AA464" s="97"/>
      <c r="AB464" s="97"/>
      <c r="AC464" s="97"/>
    </row>
    <row r="465" spans="2:29" ht="11.25" customHeight="1" x14ac:dyDescent="0.45">
      <c r="B465" s="97"/>
      <c r="C465" s="97"/>
      <c r="D465" s="97"/>
      <c r="E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  <c r="AA465" s="97"/>
      <c r="AB465" s="97"/>
      <c r="AC465" s="97"/>
    </row>
    <row r="466" spans="2:29" ht="11.25" customHeight="1" x14ac:dyDescent="0.45">
      <c r="B466" s="97"/>
      <c r="C466" s="97"/>
      <c r="D466" s="97"/>
      <c r="E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  <c r="AA466" s="97"/>
      <c r="AB466" s="97"/>
      <c r="AC466" s="97"/>
    </row>
    <row r="467" spans="2:29" ht="11.25" customHeight="1" x14ac:dyDescent="0.45">
      <c r="B467" s="97"/>
      <c r="C467" s="97"/>
      <c r="D467" s="97"/>
      <c r="E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  <c r="AA467" s="97"/>
      <c r="AB467" s="97"/>
      <c r="AC467" s="97"/>
    </row>
    <row r="468" spans="2:29" ht="11.25" customHeight="1" x14ac:dyDescent="0.45">
      <c r="B468" s="97"/>
      <c r="C468" s="97"/>
      <c r="D468" s="97"/>
      <c r="E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  <c r="AA468" s="97"/>
      <c r="AB468" s="97"/>
      <c r="AC468" s="97"/>
    </row>
    <row r="469" spans="2:29" ht="11.25" customHeight="1" x14ac:dyDescent="0.45">
      <c r="B469" s="97"/>
      <c r="C469" s="97"/>
      <c r="D469" s="97"/>
      <c r="E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  <c r="AA469" s="97"/>
      <c r="AB469" s="97"/>
      <c r="AC469" s="97"/>
    </row>
    <row r="470" spans="2:29" ht="11.25" customHeight="1" x14ac:dyDescent="0.45">
      <c r="B470" s="97"/>
      <c r="C470" s="97"/>
      <c r="D470" s="97"/>
      <c r="E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  <c r="AA470" s="97"/>
      <c r="AB470" s="97"/>
      <c r="AC470" s="97"/>
    </row>
    <row r="471" spans="2:29" ht="11.25" customHeight="1" x14ac:dyDescent="0.45">
      <c r="B471" s="97"/>
      <c r="C471" s="97"/>
      <c r="D471" s="97"/>
      <c r="E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  <c r="AA471" s="97"/>
      <c r="AB471" s="97"/>
      <c r="AC471" s="97"/>
    </row>
    <row r="472" spans="2:29" ht="11.25" customHeight="1" x14ac:dyDescent="0.45">
      <c r="B472" s="97"/>
      <c r="C472" s="97"/>
      <c r="D472" s="97"/>
      <c r="E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  <c r="AA472" s="97"/>
      <c r="AB472" s="97"/>
      <c r="AC472" s="97"/>
    </row>
    <row r="473" spans="2:29" ht="11.25" customHeight="1" x14ac:dyDescent="0.45">
      <c r="B473" s="97"/>
      <c r="C473" s="97"/>
      <c r="D473" s="97"/>
      <c r="E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  <c r="AA473" s="97"/>
      <c r="AB473" s="97"/>
      <c r="AC473" s="97"/>
    </row>
    <row r="474" spans="2:29" ht="11.25" customHeight="1" x14ac:dyDescent="0.45">
      <c r="B474" s="97"/>
      <c r="C474" s="97"/>
      <c r="D474" s="97"/>
      <c r="E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  <c r="AA474" s="97"/>
      <c r="AB474" s="97"/>
      <c r="AC474" s="97"/>
    </row>
    <row r="475" spans="2:29" ht="11.25" customHeight="1" x14ac:dyDescent="0.45">
      <c r="B475" s="97"/>
      <c r="C475" s="97"/>
      <c r="D475" s="97"/>
      <c r="E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  <c r="AA475" s="97"/>
      <c r="AB475" s="97"/>
      <c r="AC475" s="97"/>
    </row>
    <row r="476" spans="2:29" ht="11.25" customHeight="1" x14ac:dyDescent="0.45">
      <c r="B476" s="97"/>
      <c r="C476" s="97"/>
      <c r="D476" s="97"/>
      <c r="E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  <c r="AA476" s="97"/>
      <c r="AB476" s="97"/>
      <c r="AC476" s="97"/>
    </row>
    <row r="477" spans="2:29" ht="11.25" customHeight="1" x14ac:dyDescent="0.45">
      <c r="B477" s="97"/>
      <c r="C477" s="97"/>
      <c r="D477" s="97"/>
      <c r="E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  <c r="AA477" s="97"/>
      <c r="AB477" s="97"/>
      <c r="AC477" s="97"/>
    </row>
    <row r="478" spans="2:29" ht="11.25" customHeight="1" x14ac:dyDescent="0.45">
      <c r="B478" s="97"/>
      <c r="C478" s="97"/>
      <c r="D478" s="97"/>
      <c r="E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  <c r="AA478" s="97"/>
      <c r="AB478" s="97"/>
      <c r="AC478" s="97"/>
    </row>
    <row r="479" spans="2:29" ht="11.25" customHeight="1" x14ac:dyDescent="0.45">
      <c r="B479" s="97"/>
      <c r="C479" s="97"/>
      <c r="D479" s="97"/>
      <c r="E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  <c r="AA479" s="97"/>
      <c r="AB479" s="97"/>
      <c r="AC479" s="97"/>
    </row>
    <row r="480" spans="2:29" ht="11.25" customHeight="1" x14ac:dyDescent="0.45">
      <c r="B480" s="97"/>
      <c r="C480" s="97"/>
      <c r="D480" s="97"/>
      <c r="E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  <c r="AA480" s="97"/>
      <c r="AB480" s="97"/>
      <c r="AC480" s="97"/>
    </row>
    <row r="481" spans="2:29" ht="11.25" customHeight="1" x14ac:dyDescent="0.45">
      <c r="B481" s="97"/>
      <c r="C481" s="97"/>
      <c r="D481" s="97"/>
      <c r="E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  <c r="AA481" s="97"/>
      <c r="AB481" s="97"/>
      <c r="AC481" s="97"/>
    </row>
    <row r="482" spans="2:29" ht="11.25" customHeight="1" x14ac:dyDescent="0.45">
      <c r="B482" s="97"/>
      <c r="C482" s="97"/>
      <c r="D482" s="97"/>
      <c r="E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  <c r="AA482" s="97"/>
      <c r="AB482" s="97"/>
      <c r="AC482" s="97"/>
    </row>
    <row r="483" spans="2:29" ht="11.25" customHeight="1" x14ac:dyDescent="0.45">
      <c r="B483" s="97"/>
      <c r="C483" s="97"/>
      <c r="D483" s="97"/>
      <c r="E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  <c r="AA483" s="97"/>
      <c r="AB483" s="97"/>
      <c r="AC483" s="97"/>
    </row>
    <row r="484" spans="2:29" ht="11.25" customHeight="1" x14ac:dyDescent="0.45">
      <c r="B484" s="97"/>
      <c r="C484" s="97"/>
      <c r="D484" s="97"/>
      <c r="E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  <c r="AA484" s="97"/>
      <c r="AB484" s="97"/>
      <c r="AC484" s="97"/>
    </row>
    <row r="485" spans="2:29" ht="11.25" customHeight="1" x14ac:dyDescent="0.45">
      <c r="B485" s="97"/>
      <c r="C485" s="97"/>
      <c r="D485" s="97"/>
      <c r="E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  <c r="AA485" s="97"/>
      <c r="AB485" s="97"/>
      <c r="AC485" s="97"/>
    </row>
    <row r="486" spans="2:29" ht="11.25" customHeight="1" x14ac:dyDescent="0.45">
      <c r="B486" s="97"/>
      <c r="C486" s="97"/>
      <c r="D486" s="97"/>
      <c r="E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  <c r="AA486" s="97"/>
      <c r="AB486" s="97"/>
      <c r="AC486" s="97"/>
    </row>
    <row r="487" spans="2:29" ht="11.25" customHeight="1" x14ac:dyDescent="0.45">
      <c r="B487" s="97"/>
      <c r="C487" s="97"/>
      <c r="D487" s="97"/>
      <c r="E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  <c r="AA487" s="97"/>
      <c r="AB487" s="97"/>
      <c r="AC487" s="97"/>
    </row>
    <row r="488" spans="2:29" ht="11.25" customHeight="1" x14ac:dyDescent="0.45">
      <c r="B488" s="97"/>
      <c r="C488" s="97"/>
      <c r="D488" s="97"/>
      <c r="E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  <c r="AA488" s="97"/>
      <c r="AB488" s="97"/>
      <c r="AC488" s="97"/>
    </row>
    <row r="489" spans="2:29" ht="11.25" customHeight="1" x14ac:dyDescent="0.45">
      <c r="B489" s="97"/>
      <c r="C489" s="97"/>
      <c r="D489" s="97"/>
      <c r="E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  <c r="AA489" s="97"/>
      <c r="AB489" s="97"/>
      <c r="AC489" s="97"/>
    </row>
    <row r="490" spans="2:29" ht="11.25" customHeight="1" x14ac:dyDescent="0.45">
      <c r="B490" s="97"/>
      <c r="C490" s="97"/>
      <c r="D490" s="97"/>
      <c r="E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  <c r="AA490" s="97"/>
      <c r="AB490" s="97"/>
      <c r="AC490" s="97"/>
    </row>
    <row r="491" spans="2:29" ht="11.25" customHeight="1" x14ac:dyDescent="0.45">
      <c r="B491" s="97"/>
      <c r="C491" s="97"/>
      <c r="D491" s="97"/>
      <c r="E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  <c r="AA491" s="97"/>
      <c r="AB491" s="97"/>
      <c r="AC491" s="97"/>
    </row>
    <row r="492" spans="2:29" ht="11.25" customHeight="1" x14ac:dyDescent="0.45">
      <c r="B492" s="97"/>
      <c r="C492" s="97"/>
      <c r="D492" s="97"/>
      <c r="E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  <c r="AA492" s="97"/>
      <c r="AB492" s="97"/>
      <c r="AC492" s="97"/>
    </row>
    <row r="493" spans="2:29" ht="11.25" customHeight="1" x14ac:dyDescent="0.45">
      <c r="B493" s="97"/>
      <c r="C493" s="97"/>
      <c r="D493" s="97"/>
      <c r="E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  <c r="AA493" s="97"/>
      <c r="AB493" s="97"/>
      <c r="AC493" s="97"/>
    </row>
    <row r="494" spans="2:29" ht="11.25" customHeight="1" x14ac:dyDescent="0.45">
      <c r="B494" s="97"/>
      <c r="C494" s="97"/>
      <c r="D494" s="97"/>
      <c r="E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  <c r="AA494" s="97"/>
      <c r="AB494" s="97"/>
      <c r="AC494" s="97"/>
    </row>
    <row r="495" spans="2:29" ht="11.25" customHeight="1" x14ac:dyDescent="0.45">
      <c r="B495" s="97"/>
      <c r="C495" s="97"/>
      <c r="D495" s="97"/>
      <c r="E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  <c r="AA495" s="97"/>
      <c r="AB495" s="97"/>
      <c r="AC495" s="97"/>
    </row>
    <row r="496" spans="2:29" ht="11.25" customHeight="1" x14ac:dyDescent="0.45">
      <c r="B496" s="97"/>
      <c r="C496" s="97"/>
      <c r="D496" s="97"/>
      <c r="E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  <c r="AA496" s="97"/>
      <c r="AB496" s="97"/>
      <c r="AC496" s="97"/>
    </row>
    <row r="497" spans="2:29" ht="11.25" customHeight="1" x14ac:dyDescent="0.45">
      <c r="B497" s="97"/>
      <c r="C497" s="97"/>
      <c r="D497" s="97"/>
      <c r="E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  <c r="AA497" s="97"/>
      <c r="AB497" s="97"/>
      <c r="AC497" s="97"/>
    </row>
    <row r="498" spans="2:29" ht="11.25" customHeight="1" x14ac:dyDescent="0.45">
      <c r="B498" s="97"/>
      <c r="C498" s="97"/>
      <c r="D498" s="97"/>
      <c r="E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  <c r="AA498" s="97"/>
      <c r="AB498" s="97"/>
      <c r="AC498" s="97"/>
    </row>
    <row r="499" spans="2:29" ht="11.25" customHeight="1" x14ac:dyDescent="0.45">
      <c r="B499" s="97"/>
      <c r="C499" s="97"/>
      <c r="D499" s="97"/>
      <c r="E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  <c r="AA499" s="97"/>
      <c r="AB499" s="97"/>
      <c r="AC499" s="97"/>
    </row>
    <row r="500" spans="2:29" ht="11.25" customHeight="1" x14ac:dyDescent="0.45">
      <c r="B500" s="97"/>
      <c r="C500" s="97"/>
      <c r="D500" s="97"/>
      <c r="E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  <c r="AA500" s="97"/>
      <c r="AB500" s="97"/>
      <c r="AC500" s="97"/>
    </row>
    <row r="501" spans="2:29" ht="11.25" customHeight="1" x14ac:dyDescent="0.45">
      <c r="B501" s="97"/>
      <c r="C501" s="97"/>
      <c r="D501" s="97"/>
      <c r="E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  <c r="AA501" s="97"/>
      <c r="AB501" s="97"/>
      <c r="AC501" s="97"/>
    </row>
    <row r="502" spans="2:29" ht="11.25" customHeight="1" x14ac:dyDescent="0.45">
      <c r="B502" s="97"/>
      <c r="C502" s="97"/>
      <c r="D502" s="97"/>
      <c r="E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  <c r="AA502" s="97"/>
      <c r="AB502" s="97"/>
      <c r="AC502" s="97"/>
    </row>
    <row r="503" spans="2:29" ht="11.25" customHeight="1" x14ac:dyDescent="0.45">
      <c r="B503" s="97"/>
      <c r="C503" s="97"/>
      <c r="D503" s="97"/>
      <c r="E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  <c r="AA503" s="97"/>
      <c r="AB503" s="97"/>
      <c r="AC503" s="97"/>
    </row>
    <row r="504" spans="2:29" ht="11.25" customHeight="1" x14ac:dyDescent="0.45">
      <c r="B504" s="97"/>
      <c r="C504" s="97"/>
      <c r="D504" s="97"/>
      <c r="E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  <c r="AA504" s="97"/>
      <c r="AB504" s="97"/>
      <c r="AC504" s="97"/>
    </row>
    <row r="505" spans="2:29" ht="11.25" customHeight="1" x14ac:dyDescent="0.45">
      <c r="B505" s="97"/>
      <c r="C505" s="97"/>
      <c r="D505" s="97"/>
      <c r="E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  <c r="AA505" s="97"/>
      <c r="AB505" s="97"/>
      <c r="AC505" s="97"/>
    </row>
    <row r="506" spans="2:29" ht="11.25" customHeight="1" x14ac:dyDescent="0.45">
      <c r="B506" s="97"/>
      <c r="C506" s="97"/>
      <c r="D506" s="97"/>
      <c r="E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  <c r="AA506" s="97"/>
      <c r="AB506" s="97"/>
      <c r="AC506" s="97"/>
    </row>
    <row r="507" spans="2:29" ht="11.25" customHeight="1" x14ac:dyDescent="0.45">
      <c r="B507" s="97"/>
      <c r="C507" s="97"/>
      <c r="D507" s="97"/>
      <c r="E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  <c r="AA507" s="97"/>
      <c r="AB507" s="97"/>
      <c r="AC507" s="97"/>
    </row>
    <row r="508" spans="2:29" ht="11.25" customHeight="1" x14ac:dyDescent="0.45">
      <c r="B508" s="97"/>
      <c r="C508" s="97"/>
      <c r="D508" s="97"/>
      <c r="E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  <c r="AA508" s="97"/>
      <c r="AB508" s="97"/>
      <c r="AC508" s="97"/>
    </row>
    <row r="509" spans="2:29" ht="11.25" customHeight="1" x14ac:dyDescent="0.45">
      <c r="B509" s="97"/>
      <c r="C509" s="97"/>
      <c r="D509" s="97"/>
      <c r="E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  <c r="AA509" s="97"/>
      <c r="AB509" s="97"/>
      <c r="AC509" s="97"/>
    </row>
    <row r="510" spans="2:29" ht="11.25" customHeight="1" x14ac:dyDescent="0.45">
      <c r="B510" s="97"/>
      <c r="C510" s="97"/>
      <c r="D510" s="97"/>
      <c r="E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  <c r="AA510" s="97"/>
      <c r="AB510" s="97"/>
      <c r="AC510" s="97"/>
    </row>
    <row r="511" spans="2:29" ht="11.25" customHeight="1" x14ac:dyDescent="0.45">
      <c r="B511" s="97"/>
      <c r="C511" s="97"/>
      <c r="D511" s="97"/>
      <c r="E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  <c r="AA511" s="97"/>
      <c r="AB511" s="97"/>
      <c r="AC511" s="97"/>
    </row>
    <row r="512" spans="2:29" ht="11.25" customHeight="1" x14ac:dyDescent="0.45">
      <c r="B512" s="97"/>
      <c r="C512" s="97"/>
      <c r="D512" s="97"/>
      <c r="E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  <c r="AA512" s="97"/>
      <c r="AB512" s="97"/>
      <c r="AC512" s="97"/>
    </row>
    <row r="513" spans="2:29" ht="11.25" customHeight="1" x14ac:dyDescent="0.45">
      <c r="B513" s="97"/>
      <c r="C513" s="97"/>
      <c r="D513" s="97"/>
      <c r="E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  <c r="AA513" s="97"/>
      <c r="AB513" s="97"/>
      <c r="AC513" s="97"/>
    </row>
    <row r="514" spans="2:29" ht="11.25" customHeight="1" x14ac:dyDescent="0.45">
      <c r="B514" s="97"/>
      <c r="C514" s="97"/>
      <c r="D514" s="97"/>
      <c r="E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  <c r="AA514" s="97"/>
      <c r="AB514" s="97"/>
      <c r="AC514" s="97"/>
    </row>
    <row r="515" spans="2:29" ht="11.25" customHeight="1" x14ac:dyDescent="0.45">
      <c r="B515" s="97"/>
      <c r="C515" s="97"/>
      <c r="D515" s="97"/>
      <c r="E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  <c r="AA515" s="97"/>
      <c r="AB515" s="97"/>
      <c r="AC515" s="97"/>
    </row>
    <row r="516" spans="2:29" ht="11.25" customHeight="1" x14ac:dyDescent="0.45">
      <c r="B516" s="97"/>
      <c r="C516" s="97"/>
      <c r="D516" s="97"/>
      <c r="E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  <c r="AA516" s="97"/>
      <c r="AB516" s="97"/>
      <c r="AC516" s="97"/>
    </row>
    <row r="517" spans="2:29" ht="11.25" customHeight="1" x14ac:dyDescent="0.45">
      <c r="B517" s="97"/>
      <c r="C517" s="97"/>
      <c r="D517" s="97"/>
      <c r="E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  <c r="AA517" s="97"/>
      <c r="AB517" s="97"/>
      <c r="AC517" s="97"/>
    </row>
    <row r="518" spans="2:29" ht="11.25" customHeight="1" x14ac:dyDescent="0.45">
      <c r="B518" s="97"/>
      <c r="C518" s="97"/>
      <c r="D518" s="97"/>
      <c r="E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  <c r="AA518" s="97"/>
      <c r="AB518" s="97"/>
      <c r="AC518" s="97"/>
    </row>
    <row r="519" spans="2:29" ht="11.25" customHeight="1" x14ac:dyDescent="0.45">
      <c r="B519" s="97"/>
      <c r="C519" s="97"/>
      <c r="D519" s="97"/>
      <c r="E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  <c r="AA519" s="97"/>
      <c r="AB519" s="97"/>
      <c r="AC519" s="97"/>
    </row>
    <row r="520" spans="2:29" ht="11.25" customHeight="1" x14ac:dyDescent="0.45">
      <c r="B520" s="97"/>
      <c r="C520" s="97"/>
      <c r="D520" s="97"/>
      <c r="E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  <c r="AA520" s="97"/>
      <c r="AB520" s="97"/>
      <c r="AC520" s="97"/>
    </row>
    <row r="521" spans="2:29" ht="11.25" customHeight="1" x14ac:dyDescent="0.45">
      <c r="B521" s="97"/>
      <c r="C521" s="97"/>
      <c r="D521" s="97"/>
      <c r="E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  <c r="AA521" s="97"/>
      <c r="AB521" s="97"/>
      <c r="AC521" s="97"/>
    </row>
    <row r="522" spans="2:29" ht="11.25" customHeight="1" x14ac:dyDescent="0.45">
      <c r="B522" s="97"/>
      <c r="C522" s="97"/>
      <c r="D522" s="97"/>
      <c r="E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  <c r="AA522" s="97"/>
      <c r="AB522" s="97"/>
      <c r="AC522" s="97"/>
    </row>
    <row r="523" spans="2:29" ht="11.25" customHeight="1" x14ac:dyDescent="0.45">
      <c r="B523" s="97"/>
      <c r="C523" s="97"/>
      <c r="D523" s="97"/>
      <c r="E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  <c r="AA523" s="97"/>
      <c r="AB523" s="97"/>
      <c r="AC523" s="97"/>
    </row>
    <row r="524" spans="2:29" ht="11.25" customHeight="1" x14ac:dyDescent="0.45">
      <c r="B524" s="97"/>
      <c r="C524" s="97"/>
      <c r="D524" s="97"/>
      <c r="E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  <c r="AA524" s="97"/>
      <c r="AB524" s="97"/>
      <c r="AC524" s="97"/>
    </row>
    <row r="525" spans="2:29" ht="11.25" customHeight="1" x14ac:dyDescent="0.45">
      <c r="B525" s="97"/>
      <c r="C525" s="97"/>
      <c r="D525" s="97"/>
      <c r="E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  <c r="AA525" s="97"/>
      <c r="AB525" s="97"/>
      <c r="AC525" s="97"/>
    </row>
    <row r="526" spans="2:29" ht="11.25" customHeight="1" x14ac:dyDescent="0.45">
      <c r="B526" s="97"/>
      <c r="C526" s="97"/>
      <c r="D526" s="97"/>
      <c r="E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  <c r="AA526" s="97"/>
      <c r="AB526" s="97"/>
      <c r="AC526" s="97"/>
    </row>
    <row r="527" spans="2:29" ht="11.25" customHeight="1" x14ac:dyDescent="0.45">
      <c r="B527" s="97"/>
      <c r="C527" s="97"/>
      <c r="D527" s="97"/>
      <c r="E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  <c r="AA527" s="97"/>
      <c r="AB527" s="97"/>
      <c r="AC527" s="97"/>
    </row>
    <row r="528" spans="2:29" ht="11.25" customHeight="1" x14ac:dyDescent="0.45">
      <c r="B528" s="97"/>
      <c r="C528" s="97"/>
      <c r="D528" s="97"/>
      <c r="E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  <c r="AA528" s="97"/>
      <c r="AB528" s="97"/>
      <c r="AC528" s="97"/>
    </row>
    <row r="529" spans="2:29" ht="11.25" customHeight="1" x14ac:dyDescent="0.45">
      <c r="B529" s="97"/>
      <c r="C529" s="97"/>
      <c r="D529" s="97"/>
      <c r="E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  <c r="AA529" s="97"/>
      <c r="AB529" s="97"/>
      <c r="AC529" s="97"/>
    </row>
    <row r="530" spans="2:29" ht="11.25" customHeight="1" x14ac:dyDescent="0.45">
      <c r="B530" s="97"/>
      <c r="C530" s="97"/>
      <c r="D530" s="97"/>
      <c r="E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  <c r="AA530" s="97"/>
      <c r="AB530" s="97"/>
      <c r="AC530" s="97"/>
    </row>
    <row r="531" spans="2:29" ht="11.25" customHeight="1" x14ac:dyDescent="0.45">
      <c r="B531" s="97"/>
      <c r="C531" s="97"/>
      <c r="D531" s="97"/>
      <c r="E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  <c r="AA531" s="97"/>
      <c r="AB531" s="97"/>
      <c r="AC531" s="97"/>
    </row>
    <row r="532" spans="2:29" ht="11.25" customHeight="1" x14ac:dyDescent="0.45">
      <c r="B532" s="97"/>
      <c r="C532" s="97"/>
      <c r="D532" s="97"/>
      <c r="E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  <c r="AA532" s="97"/>
      <c r="AB532" s="97"/>
      <c r="AC532" s="97"/>
    </row>
    <row r="533" spans="2:29" ht="11.25" customHeight="1" x14ac:dyDescent="0.45">
      <c r="B533" s="97"/>
      <c r="C533" s="97"/>
      <c r="D533" s="97"/>
      <c r="E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  <c r="AA533" s="97"/>
      <c r="AB533" s="97"/>
      <c r="AC533" s="97"/>
    </row>
    <row r="534" spans="2:29" ht="11.25" customHeight="1" x14ac:dyDescent="0.45">
      <c r="B534" s="97"/>
      <c r="C534" s="97"/>
      <c r="D534" s="97"/>
      <c r="E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  <c r="AA534" s="97"/>
      <c r="AB534" s="97"/>
      <c r="AC534" s="97"/>
    </row>
    <row r="535" spans="2:29" ht="11.25" customHeight="1" x14ac:dyDescent="0.45">
      <c r="B535" s="97"/>
      <c r="C535" s="97"/>
      <c r="D535" s="97"/>
      <c r="E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  <c r="AA535" s="97"/>
      <c r="AB535" s="97"/>
      <c r="AC535" s="97"/>
    </row>
    <row r="536" spans="2:29" ht="11.25" customHeight="1" x14ac:dyDescent="0.45">
      <c r="B536" s="97"/>
      <c r="C536" s="97"/>
      <c r="D536" s="97"/>
      <c r="E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  <c r="AA536" s="97"/>
      <c r="AB536" s="97"/>
      <c r="AC536" s="97"/>
    </row>
    <row r="537" spans="2:29" ht="11.25" customHeight="1" x14ac:dyDescent="0.45">
      <c r="B537" s="97"/>
      <c r="C537" s="97"/>
      <c r="D537" s="97"/>
      <c r="E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  <c r="AA537" s="97"/>
      <c r="AB537" s="97"/>
      <c r="AC537" s="97"/>
    </row>
    <row r="538" spans="2:29" ht="11.25" customHeight="1" x14ac:dyDescent="0.45">
      <c r="B538" s="97"/>
      <c r="C538" s="97"/>
      <c r="D538" s="97"/>
      <c r="E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  <c r="AA538" s="97"/>
      <c r="AB538" s="97"/>
      <c r="AC538" s="97"/>
    </row>
    <row r="539" spans="2:29" ht="11.25" customHeight="1" x14ac:dyDescent="0.45">
      <c r="B539" s="97"/>
      <c r="C539" s="97"/>
      <c r="D539" s="97"/>
      <c r="E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  <c r="AA539" s="97"/>
      <c r="AB539" s="97"/>
      <c r="AC539" s="97"/>
    </row>
    <row r="540" spans="2:29" ht="11.25" customHeight="1" x14ac:dyDescent="0.45">
      <c r="B540" s="97"/>
      <c r="C540" s="97"/>
      <c r="D540" s="97"/>
      <c r="E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  <c r="AA540" s="97"/>
      <c r="AB540" s="97"/>
      <c r="AC540" s="97"/>
    </row>
    <row r="541" spans="2:29" ht="11.25" customHeight="1" x14ac:dyDescent="0.45">
      <c r="B541" s="97"/>
      <c r="C541" s="97"/>
      <c r="D541" s="97"/>
      <c r="E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  <c r="AA541" s="97"/>
      <c r="AB541" s="97"/>
      <c r="AC541" s="97"/>
    </row>
    <row r="542" spans="2:29" ht="11.25" customHeight="1" x14ac:dyDescent="0.45">
      <c r="B542" s="97"/>
      <c r="C542" s="97"/>
      <c r="D542" s="97"/>
      <c r="E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  <c r="AA542" s="97"/>
      <c r="AB542" s="97"/>
      <c r="AC542" s="97"/>
    </row>
    <row r="543" spans="2:29" ht="11.25" customHeight="1" x14ac:dyDescent="0.45">
      <c r="B543" s="97"/>
      <c r="C543" s="97"/>
      <c r="D543" s="97"/>
      <c r="E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  <c r="AA543" s="97"/>
      <c r="AB543" s="97"/>
      <c r="AC543" s="97"/>
    </row>
    <row r="544" spans="2:29" ht="11.25" customHeight="1" x14ac:dyDescent="0.45">
      <c r="B544" s="97"/>
      <c r="C544" s="97"/>
      <c r="D544" s="97"/>
      <c r="E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  <c r="AA544" s="97"/>
      <c r="AB544" s="97"/>
      <c r="AC544" s="97"/>
    </row>
    <row r="545" spans="2:29" ht="11.25" customHeight="1" x14ac:dyDescent="0.45">
      <c r="B545" s="97"/>
      <c r="C545" s="97"/>
      <c r="D545" s="97"/>
      <c r="E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  <c r="AA545" s="97"/>
      <c r="AB545" s="97"/>
      <c r="AC545" s="97"/>
    </row>
    <row r="546" spans="2:29" ht="11.25" customHeight="1" x14ac:dyDescent="0.45">
      <c r="B546" s="97"/>
      <c r="C546" s="97"/>
      <c r="D546" s="97"/>
      <c r="E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  <c r="AA546" s="97"/>
      <c r="AB546" s="97"/>
      <c r="AC546" s="97"/>
    </row>
    <row r="547" spans="2:29" ht="11.25" customHeight="1" x14ac:dyDescent="0.45">
      <c r="B547" s="97"/>
      <c r="C547" s="97"/>
      <c r="D547" s="97"/>
      <c r="E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  <c r="AA547" s="97"/>
      <c r="AB547" s="97"/>
      <c r="AC547" s="97"/>
    </row>
    <row r="548" spans="2:29" ht="11.25" customHeight="1" x14ac:dyDescent="0.45">
      <c r="B548" s="97"/>
      <c r="C548" s="97"/>
      <c r="D548" s="97"/>
      <c r="E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  <c r="AA548" s="97"/>
      <c r="AB548" s="97"/>
      <c r="AC548" s="97"/>
    </row>
    <row r="549" spans="2:29" ht="11.25" customHeight="1" x14ac:dyDescent="0.45">
      <c r="B549" s="97"/>
      <c r="C549" s="97"/>
      <c r="D549" s="97"/>
      <c r="E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  <c r="AA549" s="97"/>
      <c r="AB549" s="97"/>
      <c r="AC549" s="97"/>
    </row>
    <row r="550" spans="2:29" ht="11.25" customHeight="1" x14ac:dyDescent="0.45">
      <c r="B550" s="97"/>
      <c r="C550" s="97"/>
      <c r="D550" s="97"/>
      <c r="E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  <c r="AA550" s="97"/>
      <c r="AB550" s="97"/>
      <c r="AC550" s="97"/>
    </row>
    <row r="551" spans="2:29" ht="11.25" customHeight="1" x14ac:dyDescent="0.45">
      <c r="B551" s="97"/>
      <c r="C551" s="97"/>
      <c r="D551" s="97"/>
      <c r="E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  <c r="AA551" s="97"/>
      <c r="AB551" s="97"/>
      <c r="AC551" s="97"/>
    </row>
    <row r="552" spans="2:29" ht="11.25" customHeight="1" x14ac:dyDescent="0.45">
      <c r="B552" s="97"/>
      <c r="C552" s="97"/>
      <c r="D552" s="97"/>
      <c r="E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  <c r="AA552" s="97"/>
      <c r="AB552" s="97"/>
      <c r="AC552" s="97"/>
    </row>
    <row r="553" spans="2:29" ht="11.25" customHeight="1" x14ac:dyDescent="0.45">
      <c r="B553" s="97"/>
      <c r="C553" s="97"/>
      <c r="D553" s="97"/>
      <c r="E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  <c r="AA553" s="97"/>
      <c r="AB553" s="97"/>
      <c r="AC553" s="97"/>
    </row>
    <row r="554" spans="2:29" ht="11.25" customHeight="1" x14ac:dyDescent="0.45">
      <c r="B554" s="97"/>
      <c r="C554" s="97"/>
      <c r="D554" s="97"/>
      <c r="E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  <c r="AA554" s="97"/>
      <c r="AB554" s="97"/>
      <c r="AC554" s="97"/>
    </row>
    <row r="555" spans="2:29" ht="11.25" customHeight="1" x14ac:dyDescent="0.45">
      <c r="B555" s="97"/>
      <c r="C555" s="97"/>
      <c r="D555" s="97"/>
      <c r="E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  <c r="AA555" s="97"/>
      <c r="AB555" s="97"/>
      <c r="AC555" s="97"/>
    </row>
    <row r="556" spans="2:29" ht="11.25" customHeight="1" x14ac:dyDescent="0.45">
      <c r="B556" s="97"/>
      <c r="C556" s="97"/>
      <c r="D556" s="97"/>
      <c r="E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  <c r="AA556" s="97"/>
      <c r="AB556" s="97"/>
      <c r="AC556" s="97"/>
    </row>
    <row r="557" spans="2:29" ht="11.25" customHeight="1" x14ac:dyDescent="0.45">
      <c r="B557" s="97"/>
      <c r="C557" s="97"/>
      <c r="D557" s="97"/>
      <c r="E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  <c r="AA557" s="97"/>
      <c r="AB557" s="97"/>
      <c r="AC557" s="97"/>
    </row>
    <row r="558" spans="2:29" ht="11.25" customHeight="1" x14ac:dyDescent="0.45">
      <c r="B558" s="97"/>
      <c r="C558" s="97"/>
      <c r="D558" s="97"/>
      <c r="E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  <c r="AA558" s="97"/>
      <c r="AB558" s="97"/>
      <c r="AC558" s="97"/>
    </row>
    <row r="559" spans="2:29" ht="11.25" customHeight="1" x14ac:dyDescent="0.45">
      <c r="B559" s="97"/>
      <c r="C559" s="97"/>
      <c r="D559" s="97"/>
      <c r="E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  <c r="AA559" s="97"/>
      <c r="AB559" s="97"/>
      <c r="AC559" s="97"/>
    </row>
    <row r="560" spans="2:29" ht="11.25" customHeight="1" x14ac:dyDescent="0.45">
      <c r="B560" s="97"/>
      <c r="C560" s="97"/>
      <c r="D560" s="97"/>
      <c r="E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  <c r="AA560" s="97"/>
      <c r="AB560" s="97"/>
      <c r="AC560" s="97"/>
    </row>
    <row r="561" spans="2:29" ht="11.25" customHeight="1" x14ac:dyDescent="0.45">
      <c r="B561" s="97"/>
      <c r="C561" s="97"/>
      <c r="D561" s="97"/>
      <c r="E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  <c r="AA561" s="97"/>
      <c r="AB561" s="97"/>
      <c r="AC561" s="97"/>
    </row>
    <row r="562" spans="2:29" ht="11.25" customHeight="1" x14ac:dyDescent="0.45">
      <c r="B562" s="97"/>
      <c r="C562" s="97"/>
      <c r="D562" s="97"/>
      <c r="E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  <c r="AA562" s="97"/>
      <c r="AB562" s="97"/>
      <c r="AC562" s="97"/>
    </row>
    <row r="563" spans="2:29" ht="11.25" customHeight="1" x14ac:dyDescent="0.45">
      <c r="B563" s="97"/>
      <c r="C563" s="97"/>
      <c r="D563" s="97"/>
      <c r="E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  <c r="AA563" s="97"/>
      <c r="AB563" s="97"/>
      <c r="AC563" s="97"/>
    </row>
    <row r="564" spans="2:29" ht="11.25" customHeight="1" x14ac:dyDescent="0.45">
      <c r="B564" s="97"/>
      <c r="C564" s="97"/>
      <c r="D564" s="97"/>
      <c r="E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  <c r="AA564" s="97"/>
      <c r="AB564" s="97"/>
      <c r="AC564" s="97"/>
    </row>
    <row r="565" spans="2:29" ht="11.25" customHeight="1" x14ac:dyDescent="0.45">
      <c r="B565" s="97"/>
      <c r="C565" s="97"/>
      <c r="D565" s="97"/>
      <c r="E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  <c r="AA565" s="97"/>
      <c r="AB565" s="97"/>
      <c r="AC565" s="97"/>
    </row>
    <row r="566" spans="2:29" ht="11.25" customHeight="1" x14ac:dyDescent="0.45">
      <c r="B566" s="97"/>
      <c r="C566" s="97"/>
      <c r="D566" s="97"/>
      <c r="E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  <c r="AA566" s="97"/>
      <c r="AB566" s="97"/>
      <c r="AC566" s="97"/>
    </row>
    <row r="567" spans="2:29" ht="11.25" customHeight="1" x14ac:dyDescent="0.45">
      <c r="B567" s="97"/>
      <c r="C567" s="97"/>
      <c r="D567" s="97"/>
      <c r="E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  <c r="AA567" s="97"/>
      <c r="AB567" s="97"/>
      <c r="AC567" s="97"/>
    </row>
    <row r="568" spans="2:29" ht="11.25" customHeight="1" x14ac:dyDescent="0.45">
      <c r="B568" s="97"/>
      <c r="C568" s="97"/>
      <c r="D568" s="97"/>
      <c r="E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  <c r="AA568" s="97"/>
      <c r="AB568" s="97"/>
      <c r="AC568" s="97"/>
    </row>
    <row r="569" spans="2:29" ht="11.25" customHeight="1" x14ac:dyDescent="0.45">
      <c r="B569" s="97"/>
      <c r="C569" s="97"/>
      <c r="D569" s="97"/>
      <c r="E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  <c r="AA569" s="97"/>
      <c r="AB569" s="97"/>
      <c r="AC569" s="97"/>
    </row>
    <row r="570" spans="2:29" ht="11.25" customHeight="1" x14ac:dyDescent="0.45">
      <c r="B570" s="97"/>
      <c r="C570" s="97"/>
      <c r="D570" s="97"/>
      <c r="E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  <c r="AA570" s="97"/>
      <c r="AB570" s="97"/>
      <c r="AC570" s="97"/>
    </row>
    <row r="571" spans="2:29" ht="11.25" customHeight="1" x14ac:dyDescent="0.45">
      <c r="B571" s="97"/>
      <c r="C571" s="97"/>
      <c r="D571" s="97"/>
      <c r="E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  <c r="AA571" s="97"/>
      <c r="AB571" s="97"/>
      <c r="AC571" s="97"/>
    </row>
    <row r="572" spans="2:29" ht="11.25" customHeight="1" x14ac:dyDescent="0.45">
      <c r="B572" s="97"/>
      <c r="C572" s="97"/>
      <c r="D572" s="97"/>
      <c r="E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  <c r="AA572" s="97"/>
      <c r="AB572" s="97"/>
      <c r="AC572" s="97"/>
    </row>
    <row r="573" spans="2:29" ht="11.25" customHeight="1" x14ac:dyDescent="0.45">
      <c r="B573" s="97"/>
      <c r="C573" s="97"/>
      <c r="D573" s="97"/>
      <c r="E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  <c r="AA573" s="97"/>
      <c r="AB573" s="97"/>
      <c r="AC573" s="97"/>
    </row>
    <row r="574" spans="2:29" ht="11.25" customHeight="1" x14ac:dyDescent="0.45">
      <c r="B574" s="97"/>
      <c r="C574" s="97"/>
      <c r="D574" s="97"/>
      <c r="E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  <c r="AA574" s="97"/>
      <c r="AB574" s="97"/>
      <c r="AC574" s="97"/>
    </row>
    <row r="575" spans="2:29" ht="11.25" customHeight="1" x14ac:dyDescent="0.45">
      <c r="B575" s="97"/>
      <c r="C575" s="97"/>
      <c r="D575" s="97"/>
      <c r="E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  <c r="AA575" s="97"/>
      <c r="AB575" s="97"/>
      <c r="AC575" s="97"/>
    </row>
    <row r="576" spans="2:29" ht="11.25" customHeight="1" x14ac:dyDescent="0.45">
      <c r="B576" s="97"/>
      <c r="C576" s="97"/>
      <c r="D576" s="97"/>
      <c r="E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  <c r="AA576" s="97"/>
      <c r="AB576" s="97"/>
      <c r="AC576" s="97"/>
    </row>
    <row r="577" spans="2:29" ht="11.25" customHeight="1" x14ac:dyDescent="0.45">
      <c r="B577" s="97"/>
      <c r="C577" s="97"/>
      <c r="D577" s="97"/>
      <c r="E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  <c r="AA577" s="97"/>
      <c r="AB577" s="97"/>
      <c r="AC577" s="97"/>
    </row>
    <row r="578" spans="2:29" ht="11.25" customHeight="1" x14ac:dyDescent="0.45">
      <c r="B578" s="97"/>
      <c r="C578" s="97"/>
      <c r="D578" s="97"/>
      <c r="E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  <c r="AA578" s="97"/>
      <c r="AB578" s="97"/>
      <c r="AC578" s="97"/>
    </row>
    <row r="579" spans="2:29" ht="11.25" customHeight="1" x14ac:dyDescent="0.45">
      <c r="B579" s="97"/>
      <c r="C579" s="97"/>
      <c r="D579" s="97"/>
      <c r="E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  <c r="AA579" s="97"/>
      <c r="AB579" s="97"/>
      <c r="AC579" s="97"/>
    </row>
    <row r="580" spans="2:29" ht="11.25" customHeight="1" x14ac:dyDescent="0.45">
      <c r="B580" s="97"/>
      <c r="C580" s="97"/>
      <c r="D580" s="97"/>
      <c r="E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  <c r="AA580" s="97"/>
      <c r="AB580" s="97"/>
      <c r="AC580" s="97"/>
    </row>
    <row r="581" spans="2:29" ht="11.25" customHeight="1" x14ac:dyDescent="0.45">
      <c r="B581" s="97"/>
      <c r="C581" s="97"/>
      <c r="D581" s="97"/>
      <c r="E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  <c r="AA581" s="97"/>
      <c r="AB581" s="97"/>
      <c r="AC581" s="97"/>
    </row>
    <row r="582" spans="2:29" ht="11.25" customHeight="1" x14ac:dyDescent="0.45">
      <c r="B582" s="97"/>
      <c r="C582" s="97"/>
      <c r="D582" s="97"/>
      <c r="E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  <c r="AA582" s="97"/>
      <c r="AB582" s="97"/>
      <c r="AC582" s="97"/>
    </row>
    <row r="583" spans="2:29" ht="11.25" customHeight="1" x14ac:dyDescent="0.45">
      <c r="B583" s="97"/>
      <c r="C583" s="97"/>
      <c r="D583" s="97"/>
      <c r="E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  <c r="AA583" s="97"/>
      <c r="AB583" s="97"/>
      <c r="AC583" s="97"/>
    </row>
    <row r="584" spans="2:29" ht="11.25" customHeight="1" x14ac:dyDescent="0.45">
      <c r="B584" s="97"/>
      <c r="C584" s="97"/>
      <c r="D584" s="97"/>
      <c r="E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  <c r="AA584" s="97"/>
      <c r="AB584" s="97"/>
      <c r="AC584" s="97"/>
    </row>
    <row r="585" spans="2:29" ht="11.25" customHeight="1" x14ac:dyDescent="0.45">
      <c r="B585" s="97"/>
      <c r="C585" s="97"/>
      <c r="D585" s="97"/>
      <c r="E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  <c r="AA585" s="97"/>
      <c r="AB585" s="97"/>
      <c r="AC585" s="97"/>
    </row>
    <row r="586" spans="2:29" ht="11.25" customHeight="1" x14ac:dyDescent="0.45">
      <c r="B586" s="97"/>
      <c r="C586" s="97"/>
      <c r="D586" s="97"/>
      <c r="E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  <c r="AA586" s="97"/>
      <c r="AB586" s="97"/>
      <c r="AC586" s="97"/>
    </row>
    <row r="587" spans="2:29" ht="11.25" customHeight="1" x14ac:dyDescent="0.45">
      <c r="B587" s="97"/>
      <c r="C587" s="97"/>
      <c r="D587" s="97"/>
      <c r="E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  <c r="AA587" s="97"/>
      <c r="AB587" s="97"/>
      <c r="AC587" s="97"/>
    </row>
    <row r="588" spans="2:29" ht="11.25" customHeight="1" x14ac:dyDescent="0.45">
      <c r="B588" s="97"/>
      <c r="C588" s="97"/>
      <c r="D588" s="97"/>
      <c r="E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  <c r="AA588" s="97"/>
      <c r="AB588" s="97"/>
      <c r="AC588" s="97"/>
    </row>
    <row r="589" spans="2:29" ht="11.25" customHeight="1" x14ac:dyDescent="0.45">
      <c r="B589" s="97"/>
      <c r="C589" s="97"/>
      <c r="D589" s="97"/>
      <c r="E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  <c r="AA589" s="97"/>
      <c r="AB589" s="97"/>
      <c r="AC589" s="97"/>
    </row>
    <row r="590" spans="2:29" ht="11.25" customHeight="1" x14ac:dyDescent="0.45">
      <c r="B590" s="97"/>
      <c r="C590" s="97"/>
      <c r="D590" s="97"/>
      <c r="E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  <c r="AA590" s="97"/>
      <c r="AB590" s="97"/>
      <c r="AC590" s="97"/>
    </row>
    <row r="591" spans="2:29" ht="11.25" customHeight="1" x14ac:dyDescent="0.45">
      <c r="B591" s="97"/>
      <c r="C591" s="97"/>
      <c r="D591" s="97"/>
      <c r="E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  <c r="AA591" s="97"/>
      <c r="AB591" s="97"/>
      <c r="AC591" s="97"/>
    </row>
    <row r="592" spans="2:29" ht="11.25" customHeight="1" x14ac:dyDescent="0.45">
      <c r="B592" s="97"/>
      <c r="C592" s="97"/>
      <c r="D592" s="97"/>
      <c r="E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  <c r="AA592" s="97"/>
      <c r="AB592" s="97"/>
      <c r="AC592" s="97"/>
    </row>
    <row r="593" spans="2:29" ht="11.25" customHeight="1" x14ac:dyDescent="0.45">
      <c r="B593" s="97"/>
      <c r="C593" s="97"/>
      <c r="D593" s="97"/>
      <c r="E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  <c r="AA593" s="97"/>
      <c r="AB593" s="97"/>
      <c r="AC593" s="97"/>
    </row>
    <row r="594" spans="2:29" ht="11.25" customHeight="1" x14ac:dyDescent="0.45">
      <c r="B594" s="97"/>
      <c r="C594" s="97"/>
      <c r="D594" s="97"/>
      <c r="E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  <c r="AA594" s="97"/>
      <c r="AB594" s="97"/>
      <c r="AC594" s="97"/>
    </row>
    <row r="595" spans="2:29" ht="11.25" customHeight="1" x14ac:dyDescent="0.45">
      <c r="B595" s="97"/>
      <c r="C595" s="97"/>
      <c r="D595" s="97"/>
      <c r="E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  <c r="AA595" s="97"/>
      <c r="AB595" s="97"/>
      <c r="AC595" s="97"/>
    </row>
    <row r="596" spans="2:29" ht="11.25" customHeight="1" x14ac:dyDescent="0.45">
      <c r="B596" s="97"/>
      <c r="C596" s="97"/>
      <c r="D596" s="97"/>
      <c r="E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  <c r="AA596" s="97"/>
      <c r="AB596" s="97"/>
      <c r="AC596" s="97"/>
    </row>
    <row r="597" spans="2:29" ht="11.25" customHeight="1" x14ac:dyDescent="0.45">
      <c r="B597" s="97"/>
      <c r="C597" s="97"/>
      <c r="D597" s="97"/>
      <c r="E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  <c r="AA597" s="97"/>
      <c r="AB597" s="97"/>
      <c r="AC597" s="97"/>
    </row>
    <row r="598" spans="2:29" ht="11.25" customHeight="1" x14ac:dyDescent="0.45">
      <c r="B598" s="97"/>
      <c r="C598" s="97"/>
      <c r="D598" s="97"/>
      <c r="E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  <c r="AA598" s="97"/>
      <c r="AB598" s="97"/>
      <c r="AC598" s="97"/>
    </row>
    <row r="599" spans="2:29" ht="11.25" customHeight="1" x14ac:dyDescent="0.45">
      <c r="B599" s="97"/>
      <c r="C599" s="97"/>
      <c r="D599" s="97"/>
      <c r="E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  <c r="AA599" s="97"/>
      <c r="AB599" s="97"/>
      <c r="AC599" s="97"/>
    </row>
    <row r="600" spans="2:29" ht="11.25" customHeight="1" x14ac:dyDescent="0.45">
      <c r="B600" s="97"/>
      <c r="C600" s="97"/>
      <c r="D600" s="97"/>
      <c r="E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  <c r="AA600" s="97"/>
      <c r="AB600" s="97"/>
      <c r="AC600" s="97"/>
    </row>
    <row r="601" spans="2:29" ht="11.25" customHeight="1" x14ac:dyDescent="0.45">
      <c r="B601" s="97"/>
      <c r="C601" s="97"/>
      <c r="D601" s="97"/>
      <c r="E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  <c r="AA601" s="97"/>
      <c r="AB601" s="97"/>
      <c r="AC601" s="97"/>
    </row>
    <row r="602" spans="2:29" ht="11.25" customHeight="1" x14ac:dyDescent="0.45">
      <c r="B602" s="97"/>
      <c r="C602" s="97"/>
      <c r="D602" s="97"/>
      <c r="E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  <c r="AA602" s="97"/>
      <c r="AB602" s="97"/>
      <c r="AC602" s="97"/>
    </row>
    <row r="603" spans="2:29" ht="11.25" customHeight="1" x14ac:dyDescent="0.45">
      <c r="B603" s="97"/>
      <c r="C603" s="97"/>
      <c r="D603" s="97"/>
      <c r="E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  <c r="AA603" s="97"/>
      <c r="AB603" s="97"/>
      <c r="AC603" s="97"/>
    </row>
    <row r="604" spans="2:29" ht="11.25" customHeight="1" x14ac:dyDescent="0.45">
      <c r="B604" s="97"/>
      <c r="C604" s="97"/>
      <c r="D604" s="97"/>
      <c r="E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  <c r="AA604" s="97"/>
      <c r="AB604" s="97"/>
      <c r="AC604" s="97"/>
    </row>
    <row r="605" spans="2:29" ht="11.25" customHeight="1" x14ac:dyDescent="0.45">
      <c r="B605" s="97"/>
      <c r="C605" s="97"/>
      <c r="D605" s="97"/>
      <c r="E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  <c r="AA605" s="97"/>
      <c r="AB605" s="97"/>
      <c r="AC605" s="97"/>
    </row>
    <row r="606" spans="2:29" ht="11.25" customHeight="1" x14ac:dyDescent="0.45">
      <c r="B606" s="97"/>
      <c r="C606" s="97"/>
      <c r="D606" s="97"/>
      <c r="E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  <c r="AA606" s="97"/>
      <c r="AB606" s="97"/>
      <c r="AC606" s="97"/>
    </row>
    <row r="607" spans="2:29" ht="11.25" customHeight="1" x14ac:dyDescent="0.45">
      <c r="B607" s="97"/>
      <c r="C607" s="97"/>
      <c r="D607" s="97"/>
      <c r="E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  <c r="AA607" s="97"/>
      <c r="AB607" s="97"/>
      <c r="AC607" s="97"/>
    </row>
    <row r="608" spans="2:29" ht="11.25" customHeight="1" x14ac:dyDescent="0.45">
      <c r="B608" s="97"/>
      <c r="C608" s="97"/>
      <c r="D608" s="97"/>
      <c r="E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  <c r="AA608" s="97"/>
      <c r="AB608" s="97"/>
      <c r="AC608" s="97"/>
    </row>
    <row r="609" spans="2:29" ht="11.25" customHeight="1" x14ac:dyDescent="0.45">
      <c r="B609" s="97"/>
      <c r="C609" s="97"/>
      <c r="D609" s="97"/>
      <c r="E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  <c r="AA609" s="97"/>
      <c r="AB609" s="97"/>
      <c r="AC609" s="97"/>
    </row>
    <row r="610" spans="2:29" ht="11.25" customHeight="1" x14ac:dyDescent="0.45">
      <c r="B610" s="97"/>
      <c r="C610" s="97"/>
      <c r="D610" s="97"/>
      <c r="E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  <c r="AA610" s="97"/>
      <c r="AB610" s="97"/>
      <c r="AC610" s="97"/>
    </row>
    <row r="611" spans="2:29" ht="11.25" customHeight="1" x14ac:dyDescent="0.45">
      <c r="B611" s="97"/>
      <c r="C611" s="97"/>
      <c r="D611" s="97"/>
      <c r="E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  <c r="AA611" s="97"/>
      <c r="AB611" s="97"/>
      <c r="AC611" s="97"/>
    </row>
    <row r="612" spans="2:29" ht="11.25" customHeight="1" x14ac:dyDescent="0.45">
      <c r="B612" s="97"/>
      <c r="C612" s="97"/>
      <c r="D612" s="97"/>
      <c r="E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  <c r="AA612" s="97"/>
      <c r="AB612" s="97"/>
      <c r="AC612" s="97"/>
    </row>
    <row r="613" spans="2:29" ht="11.25" customHeight="1" x14ac:dyDescent="0.45">
      <c r="B613" s="97"/>
      <c r="C613" s="97"/>
      <c r="D613" s="97"/>
      <c r="E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  <c r="AA613" s="97"/>
      <c r="AB613" s="97"/>
      <c r="AC613" s="97"/>
    </row>
    <row r="614" spans="2:29" ht="11.25" customHeight="1" x14ac:dyDescent="0.45">
      <c r="B614" s="97"/>
      <c r="C614" s="97"/>
      <c r="D614" s="97"/>
      <c r="E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  <c r="AA614" s="97"/>
      <c r="AB614" s="97"/>
      <c r="AC614" s="97"/>
    </row>
    <row r="615" spans="2:29" ht="11.25" customHeight="1" x14ac:dyDescent="0.45">
      <c r="B615" s="97"/>
      <c r="C615" s="97"/>
      <c r="D615" s="97"/>
      <c r="E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  <c r="AA615" s="97"/>
      <c r="AB615" s="97"/>
      <c r="AC615" s="97"/>
    </row>
    <row r="616" spans="2:29" ht="11.25" customHeight="1" x14ac:dyDescent="0.45">
      <c r="B616" s="97"/>
      <c r="C616" s="97"/>
      <c r="D616" s="97"/>
      <c r="E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  <c r="AA616" s="97"/>
      <c r="AB616" s="97"/>
      <c r="AC616" s="97"/>
    </row>
    <row r="617" spans="2:29" ht="11.25" customHeight="1" x14ac:dyDescent="0.45">
      <c r="B617" s="97"/>
      <c r="C617" s="97"/>
      <c r="D617" s="97"/>
      <c r="E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  <c r="AA617" s="97"/>
      <c r="AB617" s="97"/>
      <c r="AC617" s="97"/>
    </row>
    <row r="618" spans="2:29" ht="11.25" customHeight="1" x14ac:dyDescent="0.45">
      <c r="B618" s="97"/>
      <c r="C618" s="97"/>
      <c r="D618" s="97"/>
      <c r="E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  <c r="AA618" s="97"/>
      <c r="AB618" s="97"/>
      <c r="AC618" s="97"/>
    </row>
    <row r="619" spans="2:29" ht="11.25" customHeight="1" x14ac:dyDescent="0.45">
      <c r="B619" s="97"/>
      <c r="C619" s="97"/>
      <c r="D619" s="97"/>
      <c r="E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  <c r="AA619" s="97"/>
      <c r="AB619" s="97"/>
      <c r="AC619" s="97"/>
    </row>
    <row r="620" spans="2:29" ht="11.25" customHeight="1" x14ac:dyDescent="0.45">
      <c r="B620" s="97"/>
      <c r="C620" s="97"/>
      <c r="D620" s="97"/>
      <c r="E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  <c r="AA620" s="97"/>
      <c r="AB620" s="97"/>
      <c r="AC620" s="97"/>
    </row>
    <row r="621" spans="2:29" ht="11.25" customHeight="1" x14ac:dyDescent="0.45">
      <c r="B621" s="97"/>
      <c r="C621" s="97"/>
      <c r="D621" s="97"/>
      <c r="E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  <c r="AA621" s="97"/>
      <c r="AB621" s="97"/>
      <c r="AC621" s="97"/>
    </row>
    <row r="622" spans="2:29" ht="11.25" customHeight="1" x14ac:dyDescent="0.45">
      <c r="B622" s="97"/>
      <c r="C622" s="97"/>
      <c r="D622" s="97"/>
      <c r="E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  <c r="AA622" s="97"/>
      <c r="AB622" s="97"/>
      <c r="AC622" s="97"/>
    </row>
    <row r="623" spans="2:29" ht="11.25" customHeight="1" x14ac:dyDescent="0.45">
      <c r="B623" s="97"/>
      <c r="C623" s="97"/>
      <c r="D623" s="97"/>
      <c r="E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  <c r="AA623" s="97"/>
      <c r="AB623" s="97"/>
      <c r="AC623" s="97"/>
    </row>
    <row r="624" spans="2:29" ht="11.25" customHeight="1" x14ac:dyDescent="0.45">
      <c r="B624" s="97"/>
      <c r="C624" s="97"/>
      <c r="D624" s="97"/>
      <c r="E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  <c r="AA624" s="97"/>
      <c r="AB624" s="97"/>
      <c r="AC624" s="97"/>
    </row>
    <row r="625" spans="2:29" ht="11.25" customHeight="1" x14ac:dyDescent="0.45">
      <c r="B625" s="97"/>
      <c r="C625" s="97"/>
      <c r="D625" s="97"/>
      <c r="E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  <c r="AA625" s="97"/>
      <c r="AB625" s="97"/>
      <c r="AC625" s="97"/>
    </row>
    <row r="626" spans="2:29" ht="11.25" customHeight="1" x14ac:dyDescent="0.45">
      <c r="B626" s="97"/>
      <c r="C626" s="97"/>
      <c r="D626" s="97"/>
      <c r="E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  <c r="AA626" s="97"/>
      <c r="AB626" s="97"/>
      <c r="AC626" s="97"/>
    </row>
    <row r="627" spans="2:29" ht="11.25" customHeight="1" x14ac:dyDescent="0.45">
      <c r="B627" s="97"/>
      <c r="C627" s="97"/>
      <c r="D627" s="97"/>
      <c r="E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  <c r="AA627" s="97"/>
      <c r="AB627" s="97"/>
      <c r="AC627" s="97"/>
    </row>
    <row r="628" spans="2:29" ht="11.25" customHeight="1" x14ac:dyDescent="0.45">
      <c r="B628" s="97"/>
      <c r="C628" s="97"/>
      <c r="D628" s="97"/>
      <c r="E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  <c r="AA628" s="97"/>
      <c r="AB628" s="97"/>
      <c r="AC628" s="97"/>
    </row>
    <row r="629" spans="2:29" ht="11.25" customHeight="1" x14ac:dyDescent="0.45">
      <c r="B629" s="97"/>
      <c r="C629" s="97"/>
      <c r="D629" s="97"/>
      <c r="E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  <c r="AA629" s="97"/>
      <c r="AB629" s="97"/>
      <c r="AC629" s="97"/>
    </row>
    <row r="630" spans="2:29" ht="11.25" customHeight="1" x14ac:dyDescent="0.45">
      <c r="B630" s="97"/>
      <c r="C630" s="97"/>
      <c r="D630" s="97"/>
      <c r="E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  <c r="AA630" s="97"/>
      <c r="AB630" s="97"/>
      <c r="AC630" s="97"/>
    </row>
    <row r="631" spans="2:29" ht="11.25" customHeight="1" x14ac:dyDescent="0.45">
      <c r="B631" s="97"/>
      <c r="C631" s="97"/>
      <c r="D631" s="97"/>
      <c r="E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  <c r="AA631" s="97"/>
      <c r="AB631" s="97"/>
      <c r="AC631" s="97"/>
    </row>
    <row r="632" spans="2:29" ht="11.25" customHeight="1" x14ac:dyDescent="0.45">
      <c r="B632" s="97"/>
      <c r="C632" s="97"/>
      <c r="D632" s="97"/>
      <c r="E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  <c r="AA632" s="97"/>
      <c r="AB632" s="97"/>
      <c r="AC632" s="97"/>
    </row>
    <row r="633" spans="2:29" ht="11.25" customHeight="1" x14ac:dyDescent="0.45">
      <c r="B633" s="97"/>
      <c r="C633" s="97"/>
      <c r="D633" s="97"/>
      <c r="E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  <c r="AA633" s="97"/>
      <c r="AB633" s="97"/>
      <c r="AC633" s="97"/>
    </row>
    <row r="634" spans="2:29" ht="11.25" customHeight="1" x14ac:dyDescent="0.45">
      <c r="B634" s="97"/>
      <c r="C634" s="97"/>
      <c r="D634" s="97"/>
      <c r="E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  <c r="AA634" s="97"/>
      <c r="AB634" s="97"/>
      <c r="AC634" s="97"/>
    </row>
    <row r="635" spans="2:29" ht="11.25" customHeight="1" x14ac:dyDescent="0.45">
      <c r="B635" s="97"/>
      <c r="C635" s="97"/>
      <c r="D635" s="97"/>
      <c r="E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  <c r="AA635" s="97"/>
      <c r="AB635" s="97"/>
      <c r="AC635" s="97"/>
    </row>
    <row r="636" spans="2:29" ht="11.25" customHeight="1" x14ac:dyDescent="0.45">
      <c r="B636" s="97"/>
      <c r="C636" s="97"/>
      <c r="D636" s="97"/>
      <c r="E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  <c r="AA636" s="97"/>
      <c r="AB636" s="97"/>
      <c r="AC636" s="97"/>
    </row>
    <row r="637" spans="2:29" ht="11.25" customHeight="1" x14ac:dyDescent="0.45">
      <c r="B637" s="97"/>
      <c r="C637" s="97"/>
      <c r="D637" s="97"/>
      <c r="E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  <c r="AA637" s="97"/>
      <c r="AB637" s="97"/>
      <c r="AC637" s="97"/>
    </row>
    <row r="638" spans="2:29" ht="11.25" customHeight="1" x14ac:dyDescent="0.45">
      <c r="B638" s="97"/>
      <c r="C638" s="97"/>
      <c r="D638" s="97"/>
      <c r="E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  <c r="AA638" s="97"/>
      <c r="AB638" s="97"/>
      <c r="AC638" s="97"/>
    </row>
    <row r="639" spans="2:29" ht="11.25" customHeight="1" x14ac:dyDescent="0.45">
      <c r="B639" s="97"/>
      <c r="C639" s="97"/>
      <c r="D639" s="97"/>
      <c r="E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  <c r="AA639" s="97"/>
      <c r="AB639" s="97"/>
      <c r="AC639" s="97"/>
    </row>
    <row r="640" spans="2:29" ht="11.25" customHeight="1" x14ac:dyDescent="0.45">
      <c r="B640" s="97"/>
      <c r="C640" s="97"/>
      <c r="D640" s="97"/>
      <c r="E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  <c r="AA640" s="97"/>
      <c r="AB640" s="97"/>
      <c r="AC640" s="97"/>
    </row>
    <row r="641" spans="2:29" ht="11.25" customHeight="1" x14ac:dyDescent="0.45">
      <c r="B641" s="97"/>
      <c r="C641" s="97"/>
      <c r="D641" s="97"/>
      <c r="E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  <c r="AA641" s="97"/>
      <c r="AB641" s="97"/>
      <c r="AC641" s="97"/>
    </row>
    <row r="642" spans="2:29" ht="11.25" customHeight="1" x14ac:dyDescent="0.45">
      <c r="B642" s="97"/>
      <c r="C642" s="97"/>
      <c r="D642" s="97"/>
      <c r="E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  <c r="AA642" s="97"/>
      <c r="AB642" s="97"/>
      <c r="AC642" s="97"/>
    </row>
    <row r="643" spans="2:29" ht="11.25" customHeight="1" x14ac:dyDescent="0.45">
      <c r="B643" s="97"/>
      <c r="C643" s="97"/>
      <c r="D643" s="97"/>
      <c r="E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  <c r="AA643" s="97"/>
      <c r="AB643" s="97"/>
      <c r="AC643" s="97"/>
    </row>
    <row r="644" spans="2:29" ht="11.25" customHeight="1" x14ac:dyDescent="0.45">
      <c r="B644" s="97"/>
      <c r="C644" s="97"/>
      <c r="D644" s="97"/>
      <c r="E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  <c r="AA644" s="97"/>
      <c r="AB644" s="97"/>
      <c r="AC644" s="97"/>
    </row>
    <row r="645" spans="2:29" ht="11.25" customHeight="1" x14ac:dyDescent="0.45">
      <c r="B645" s="97"/>
      <c r="C645" s="97"/>
      <c r="D645" s="97"/>
      <c r="E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  <c r="AA645" s="97"/>
      <c r="AB645" s="97"/>
      <c r="AC645" s="97"/>
    </row>
    <row r="646" spans="2:29" ht="11.25" customHeight="1" x14ac:dyDescent="0.45">
      <c r="B646" s="97"/>
      <c r="C646" s="97"/>
      <c r="D646" s="97"/>
      <c r="E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  <c r="AA646" s="97"/>
      <c r="AB646" s="97"/>
      <c r="AC646" s="97"/>
    </row>
    <row r="647" spans="2:29" ht="11.25" customHeight="1" x14ac:dyDescent="0.45">
      <c r="B647" s="97"/>
      <c r="C647" s="97"/>
      <c r="D647" s="97"/>
      <c r="E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  <c r="AA647" s="97"/>
      <c r="AB647" s="97"/>
      <c r="AC647" s="97"/>
    </row>
    <row r="648" spans="2:29" ht="11.25" customHeight="1" x14ac:dyDescent="0.45">
      <c r="B648" s="97"/>
      <c r="C648" s="97"/>
      <c r="D648" s="97"/>
      <c r="E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  <c r="AA648" s="97"/>
      <c r="AB648" s="97"/>
      <c r="AC648" s="97"/>
    </row>
    <row r="649" spans="2:29" ht="11.25" customHeight="1" x14ac:dyDescent="0.45">
      <c r="B649" s="97"/>
      <c r="C649" s="97"/>
      <c r="D649" s="97"/>
      <c r="E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  <c r="AA649" s="97"/>
      <c r="AB649" s="97"/>
      <c r="AC649" s="97"/>
    </row>
    <row r="650" spans="2:29" ht="11.25" customHeight="1" x14ac:dyDescent="0.45">
      <c r="B650" s="97"/>
      <c r="C650" s="97"/>
      <c r="D650" s="97"/>
      <c r="E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  <c r="AA650" s="97"/>
      <c r="AB650" s="97"/>
      <c r="AC650" s="97"/>
    </row>
    <row r="651" spans="2:29" ht="11.25" customHeight="1" x14ac:dyDescent="0.45">
      <c r="B651" s="97"/>
      <c r="C651" s="97"/>
      <c r="D651" s="97"/>
      <c r="E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  <c r="AA651" s="97"/>
      <c r="AB651" s="97"/>
      <c r="AC651" s="97"/>
    </row>
    <row r="652" spans="2:29" ht="11.25" customHeight="1" x14ac:dyDescent="0.45">
      <c r="B652" s="97"/>
      <c r="C652" s="97"/>
      <c r="D652" s="97"/>
      <c r="E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  <c r="AA652" s="97"/>
      <c r="AB652" s="97"/>
      <c r="AC652" s="97"/>
    </row>
    <row r="653" spans="2:29" ht="11.25" customHeight="1" x14ac:dyDescent="0.45">
      <c r="B653" s="97"/>
      <c r="C653" s="97"/>
      <c r="D653" s="97"/>
      <c r="E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  <c r="AA653" s="97"/>
      <c r="AB653" s="97"/>
      <c r="AC653" s="97"/>
    </row>
    <row r="654" spans="2:29" ht="11.25" customHeight="1" x14ac:dyDescent="0.45">
      <c r="B654" s="97"/>
      <c r="C654" s="97"/>
      <c r="D654" s="97"/>
      <c r="E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  <c r="AA654" s="97"/>
      <c r="AB654" s="97"/>
      <c r="AC654" s="97"/>
    </row>
    <row r="655" spans="2:29" ht="11.25" customHeight="1" x14ac:dyDescent="0.45">
      <c r="B655" s="97"/>
      <c r="C655" s="97"/>
      <c r="D655" s="97"/>
      <c r="E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  <c r="AA655" s="97"/>
      <c r="AB655" s="97"/>
      <c r="AC655" s="97"/>
    </row>
    <row r="656" spans="2:29" ht="11.25" customHeight="1" x14ac:dyDescent="0.45">
      <c r="B656" s="97"/>
      <c r="C656" s="97"/>
      <c r="D656" s="97"/>
      <c r="E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  <c r="AA656" s="97"/>
      <c r="AB656" s="97"/>
      <c r="AC656" s="97"/>
    </row>
    <row r="657" spans="2:29" ht="11.25" customHeight="1" x14ac:dyDescent="0.45">
      <c r="B657" s="97"/>
      <c r="C657" s="97"/>
      <c r="D657" s="97"/>
      <c r="E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  <c r="AA657" s="97"/>
      <c r="AB657" s="97"/>
      <c r="AC657" s="97"/>
    </row>
    <row r="658" spans="2:29" ht="11.25" customHeight="1" x14ac:dyDescent="0.45">
      <c r="B658" s="97"/>
      <c r="C658" s="97"/>
      <c r="D658" s="97"/>
      <c r="E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  <c r="AA658" s="97"/>
      <c r="AB658" s="97"/>
      <c r="AC658" s="97"/>
    </row>
    <row r="659" spans="2:29" ht="11.25" customHeight="1" x14ac:dyDescent="0.45">
      <c r="B659" s="97"/>
      <c r="C659" s="97"/>
      <c r="D659" s="97"/>
      <c r="E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  <c r="AA659" s="97"/>
      <c r="AB659" s="97"/>
      <c r="AC659" s="97"/>
    </row>
    <row r="660" spans="2:29" ht="11.25" customHeight="1" x14ac:dyDescent="0.45">
      <c r="B660" s="97"/>
      <c r="C660" s="97"/>
      <c r="D660" s="97"/>
      <c r="E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  <c r="AA660" s="97"/>
      <c r="AB660" s="97"/>
      <c r="AC660" s="97"/>
    </row>
    <row r="661" spans="2:29" ht="11.25" customHeight="1" x14ac:dyDescent="0.45">
      <c r="B661" s="97"/>
      <c r="C661" s="97"/>
      <c r="D661" s="97"/>
      <c r="E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  <c r="AA661" s="97"/>
      <c r="AB661" s="97"/>
      <c r="AC661" s="97"/>
    </row>
    <row r="662" spans="2:29" ht="11.25" customHeight="1" x14ac:dyDescent="0.45">
      <c r="B662" s="97"/>
      <c r="C662" s="97"/>
      <c r="D662" s="97"/>
      <c r="E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  <c r="AA662" s="97"/>
      <c r="AB662" s="97"/>
      <c r="AC662" s="97"/>
    </row>
    <row r="663" spans="2:29" ht="11.25" customHeight="1" x14ac:dyDescent="0.45">
      <c r="B663" s="97"/>
      <c r="C663" s="97"/>
      <c r="D663" s="97"/>
      <c r="E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  <c r="AA663" s="97"/>
      <c r="AB663" s="97"/>
      <c r="AC663" s="97"/>
    </row>
    <row r="664" spans="2:29" ht="11.25" customHeight="1" x14ac:dyDescent="0.45">
      <c r="B664" s="97"/>
      <c r="C664" s="97"/>
      <c r="D664" s="97"/>
      <c r="E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  <c r="AA664" s="97"/>
      <c r="AB664" s="97"/>
      <c r="AC664" s="97"/>
    </row>
    <row r="665" spans="2:29" ht="11.25" customHeight="1" x14ac:dyDescent="0.45">
      <c r="B665" s="97"/>
      <c r="C665" s="97"/>
      <c r="D665" s="97"/>
      <c r="E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  <c r="AA665" s="97"/>
      <c r="AB665" s="97"/>
      <c r="AC665" s="97"/>
    </row>
    <row r="666" spans="2:29" ht="11.25" customHeight="1" x14ac:dyDescent="0.45">
      <c r="B666" s="97"/>
      <c r="C666" s="97"/>
      <c r="D666" s="97"/>
      <c r="E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  <c r="AA666" s="97"/>
      <c r="AB666" s="97"/>
      <c r="AC666" s="97"/>
    </row>
    <row r="667" spans="2:29" ht="11.25" customHeight="1" x14ac:dyDescent="0.45">
      <c r="B667" s="97"/>
      <c r="C667" s="97"/>
      <c r="D667" s="97"/>
      <c r="E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  <c r="AA667" s="97"/>
      <c r="AB667" s="97"/>
      <c r="AC667" s="97"/>
    </row>
    <row r="668" spans="2:29" ht="11.25" customHeight="1" x14ac:dyDescent="0.45">
      <c r="B668" s="97"/>
      <c r="C668" s="97"/>
      <c r="D668" s="97"/>
      <c r="E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  <c r="AA668" s="97"/>
      <c r="AB668" s="97"/>
      <c r="AC668" s="97"/>
    </row>
    <row r="669" spans="2:29" ht="11.25" customHeight="1" x14ac:dyDescent="0.45">
      <c r="B669" s="97"/>
      <c r="C669" s="97"/>
      <c r="D669" s="97"/>
      <c r="E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  <c r="AA669" s="97"/>
      <c r="AB669" s="97"/>
      <c r="AC669" s="97"/>
    </row>
    <row r="670" spans="2:29" ht="11.25" customHeight="1" x14ac:dyDescent="0.45">
      <c r="B670" s="97"/>
      <c r="C670" s="97"/>
      <c r="D670" s="97"/>
      <c r="E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  <c r="AA670" s="97"/>
      <c r="AB670" s="97"/>
      <c r="AC670" s="97"/>
    </row>
    <row r="671" spans="2:29" ht="11.25" customHeight="1" x14ac:dyDescent="0.45">
      <c r="B671" s="97"/>
      <c r="C671" s="97"/>
      <c r="D671" s="97"/>
      <c r="E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  <c r="AA671" s="97"/>
      <c r="AB671" s="97"/>
      <c r="AC671" s="97"/>
    </row>
    <row r="672" spans="2:29" ht="11.25" customHeight="1" x14ac:dyDescent="0.45">
      <c r="B672" s="97"/>
      <c r="C672" s="97"/>
      <c r="D672" s="97"/>
      <c r="E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  <c r="AA672" s="97"/>
      <c r="AB672" s="97"/>
      <c r="AC672" s="97"/>
    </row>
    <row r="673" spans="2:29" ht="11.25" customHeight="1" x14ac:dyDescent="0.45">
      <c r="B673" s="97"/>
      <c r="C673" s="97"/>
      <c r="D673" s="97"/>
      <c r="E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  <c r="AA673" s="97"/>
      <c r="AB673" s="97"/>
      <c r="AC673" s="97"/>
    </row>
    <row r="674" spans="2:29" ht="11.25" customHeight="1" x14ac:dyDescent="0.45">
      <c r="B674" s="97"/>
      <c r="C674" s="97"/>
      <c r="D674" s="97"/>
      <c r="E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  <c r="AA674" s="97"/>
      <c r="AB674" s="97"/>
      <c r="AC674" s="97"/>
    </row>
    <row r="675" spans="2:29" ht="11.25" customHeight="1" x14ac:dyDescent="0.45">
      <c r="B675" s="97"/>
      <c r="C675" s="97"/>
      <c r="D675" s="97"/>
      <c r="E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  <c r="AA675" s="97"/>
      <c r="AB675" s="97"/>
      <c r="AC675" s="97"/>
    </row>
    <row r="676" spans="2:29" ht="11.25" customHeight="1" x14ac:dyDescent="0.45">
      <c r="B676" s="97"/>
      <c r="C676" s="97"/>
      <c r="D676" s="97"/>
      <c r="E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  <c r="AA676" s="97"/>
      <c r="AB676" s="97"/>
      <c r="AC676" s="97"/>
    </row>
    <row r="677" spans="2:29" ht="11.25" customHeight="1" x14ac:dyDescent="0.45">
      <c r="B677" s="97"/>
      <c r="C677" s="97"/>
      <c r="D677" s="97"/>
      <c r="E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  <c r="AA677" s="97"/>
      <c r="AB677" s="97"/>
      <c r="AC677" s="97"/>
    </row>
    <row r="678" spans="2:29" ht="11.25" customHeight="1" x14ac:dyDescent="0.45">
      <c r="B678" s="97"/>
      <c r="C678" s="97"/>
      <c r="D678" s="97"/>
      <c r="E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  <c r="AA678" s="97"/>
      <c r="AB678" s="97"/>
      <c r="AC678" s="97"/>
    </row>
    <row r="679" spans="2:29" ht="11.25" customHeight="1" x14ac:dyDescent="0.45">
      <c r="B679" s="97"/>
      <c r="C679" s="97"/>
      <c r="D679" s="97"/>
      <c r="E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  <c r="AA679" s="97"/>
      <c r="AB679" s="97"/>
      <c r="AC679" s="97"/>
    </row>
    <row r="680" spans="2:29" ht="11.25" customHeight="1" x14ac:dyDescent="0.45">
      <c r="B680" s="97"/>
      <c r="C680" s="97"/>
      <c r="D680" s="97"/>
      <c r="E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  <c r="AA680" s="97"/>
      <c r="AB680" s="97"/>
      <c r="AC680" s="97"/>
    </row>
    <row r="681" spans="2:29" ht="11.25" customHeight="1" x14ac:dyDescent="0.45">
      <c r="B681" s="97"/>
      <c r="C681" s="97"/>
      <c r="D681" s="97"/>
      <c r="E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  <c r="AA681" s="97"/>
      <c r="AB681" s="97"/>
      <c r="AC681" s="97"/>
    </row>
    <row r="682" spans="2:29" ht="11.25" customHeight="1" x14ac:dyDescent="0.45">
      <c r="B682" s="97"/>
      <c r="C682" s="97"/>
      <c r="D682" s="97"/>
      <c r="E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  <c r="AA682" s="97"/>
      <c r="AB682" s="97"/>
      <c r="AC682" s="97"/>
    </row>
    <row r="683" spans="2:29" ht="11.25" customHeight="1" x14ac:dyDescent="0.45">
      <c r="B683" s="97"/>
      <c r="C683" s="97"/>
      <c r="D683" s="97"/>
      <c r="E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  <c r="AA683" s="97"/>
      <c r="AB683" s="97"/>
      <c r="AC683" s="97"/>
    </row>
    <row r="684" spans="2:29" ht="11.25" customHeight="1" x14ac:dyDescent="0.45">
      <c r="B684" s="97"/>
      <c r="C684" s="97"/>
      <c r="D684" s="97"/>
      <c r="E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  <c r="AA684" s="97"/>
      <c r="AB684" s="97"/>
      <c r="AC684" s="97"/>
    </row>
    <row r="685" spans="2:29" ht="11.25" customHeight="1" x14ac:dyDescent="0.45">
      <c r="B685" s="97"/>
      <c r="C685" s="97"/>
      <c r="D685" s="97"/>
      <c r="E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  <c r="AA685" s="97"/>
      <c r="AB685" s="97"/>
      <c r="AC685" s="97"/>
    </row>
    <row r="686" spans="2:29" ht="11.25" customHeight="1" x14ac:dyDescent="0.45">
      <c r="B686" s="97"/>
      <c r="C686" s="97"/>
      <c r="D686" s="97"/>
      <c r="E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  <c r="AA686" s="97"/>
      <c r="AB686" s="97"/>
      <c r="AC686" s="97"/>
    </row>
    <row r="687" spans="2:29" ht="11.25" customHeight="1" x14ac:dyDescent="0.45">
      <c r="B687" s="97"/>
      <c r="C687" s="97"/>
      <c r="D687" s="97"/>
      <c r="E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  <c r="AA687" s="97"/>
      <c r="AB687" s="97"/>
      <c r="AC687" s="97"/>
    </row>
    <row r="688" spans="2:29" ht="11.25" customHeight="1" x14ac:dyDescent="0.45">
      <c r="B688" s="97"/>
      <c r="C688" s="97"/>
      <c r="D688" s="97"/>
      <c r="E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  <c r="AA688" s="97"/>
      <c r="AB688" s="97"/>
      <c r="AC688" s="97"/>
    </row>
    <row r="689" spans="2:29" ht="11.25" customHeight="1" x14ac:dyDescent="0.45">
      <c r="B689" s="97"/>
      <c r="C689" s="97"/>
      <c r="D689" s="97"/>
      <c r="E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  <c r="AA689" s="97"/>
      <c r="AB689" s="97"/>
      <c r="AC689" s="97"/>
    </row>
    <row r="690" spans="2:29" ht="11.25" customHeight="1" x14ac:dyDescent="0.45">
      <c r="B690" s="97"/>
      <c r="C690" s="97"/>
      <c r="D690" s="97"/>
      <c r="E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  <c r="AA690" s="97"/>
      <c r="AB690" s="97"/>
      <c r="AC690" s="97"/>
    </row>
    <row r="691" spans="2:29" ht="11.25" customHeight="1" x14ac:dyDescent="0.45">
      <c r="B691" s="97"/>
      <c r="C691" s="97"/>
      <c r="D691" s="97"/>
      <c r="E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  <c r="AA691" s="97"/>
      <c r="AB691" s="97"/>
      <c r="AC691" s="97"/>
    </row>
    <row r="692" spans="2:29" ht="11.25" customHeight="1" x14ac:dyDescent="0.45">
      <c r="B692" s="97"/>
      <c r="C692" s="97"/>
      <c r="D692" s="97"/>
      <c r="E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  <c r="AA692" s="97"/>
      <c r="AB692" s="97"/>
      <c r="AC692" s="97"/>
    </row>
    <row r="693" spans="2:29" ht="11.25" customHeight="1" x14ac:dyDescent="0.45">
      <c r="B693" s="97"/>
      <c r="C693" s="97"/>
      <c r="D693" s="97"/>
      <c r="E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  <c r="AA693" s="97"/>
      <c r="AB693" s="97"/>
      <c r="AC693" s="97"/>
    </row>
    <row r="694" spans="2:29" ht="11.25" customHeight="1" x14ac:dyDescent="0.45">
      <c r="B694" s="97"/>
      <c r="C694" s="97"/>
      <c r="D694" s="97"/>
      <c r="E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  <c r="AA694" s="97"/>
      <c r="AB694" s="97"/>
      <c r="AC694" s="97"/>
    </row>
    <row r="695" spans="2:29" ht="11.25" customHeight="1" x14ac:dyDescent="0.45">
      <c r="B695" s="97"/>
      <c r="C695" s="97"/>
      <c r="D695" s="97"/>
      <c r="E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  <c r="AA695" s="97"/>
      <c r="AB695" s="97"/>
      <c r="AC695" s="97"/>
    </row>
    <row r="696" spans="2:29" ht="11.25" customHeight="1" x14ac:dyDescent="0.45">
      <c r="B696" s="97"/>
      <c r="C696" s="97"/>
      <c r="D696" s="97"/>
      <c r="E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  <c r="AA696" s="97"/>
      <c r="AB696" s="97"/>
      <c r="AC696" s="97"/>
    </row>
    <row r="697" spans="2:29" ht="11.25" customHeight="1" x14ac:dyDescent="0.45">
      <c r="B697" s="97"/>
      <c r="C697" s="97"/>
      <c r="D697" s="97"/>
      <c r="E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  <c r="AA697" s="97"/>
      <c r="AB697" s="97"/>
      <c r="AC697" s="97"/>
    </row>
    <row r="698" spans="2:29" ht="11.25" customHeight="1" x14ac:dyDescent="0.45">
      <c r="B698" s="97"/>
      <c r="C698" s="97"/>
      <c r="D698" s="97"/>
      <c r="E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  <c r="AA698" s="97"/>
      <c r="AB698" s="97"/>
      <c r="AC698" s="97"/>
    </row>
    <row r="699" spans="2:29" ht="11.25" customHeight="1" x14ac:dyDescent="0.45">
      <c r="B699" s="97"/>
      <c r="C699" s="97"/>
      <c r="D699" s="97"/>
      <c r="E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  <c r="AA699" s="97"/>
      <c r="AB699" s="97"/>
      <c r="AC699" s="97"/>
    </row>
    <row r="700" spans="2:29" ht="11.25" customHeight="1" x14ac:dyDescent="0.45">
      <c r="B700" s="97"/>
      <c r="C700" s="97"/>
      <c r="D700" s="97"/>
      <c r="E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  <c r="AA700" s="97"/>
      <c r="AB700" s="97"/>
      <c r="AC700" s="97"/>
    </row>
    <row r="701" spans="2:29" ht="11.25" customHeight="1" x14ac:dyDescent="0.45">
      <c r="B701" s="97"/>
      <c r="C701" s="97"/>
      <c r="D701" s="97"/>
      <c r="E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  <c r="AA701" s="97"/>
      <c r="AB701" s="97"/>
      <c r="AC701" s="97"/>
    </row>
    <row r="702" spans="2:29" ht="11.25" customHeight="1" x14ac:dyDescent="0.45">
      <c r="B702" s="97"/>
      <c r="C702" s="97"/>
      <c r="D702" s="97"/>
      <c r="E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  <c r="AA702" s="97"/>
      <c r="AB702" s="97"/>
      <c r="AC702" s="97"/>
    </row>
    <row r="703" spans="2:29" ht="11.25" customHeight="1" x14ac:dyDescent="0.45">
      <c r="B703" s="97"/>
      <c r="C703" s="97"/>
      <c r="D703" s="97"/>
      <c r="E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  <c r="AA703" s="97"/>
      <c r="AB703" s="97"/>
      <c r="AC703" s="97"/>
    </row>
    <row r="704" spans="2:29" ht="11.25" customHeight="1" x14ac:dyDescent="0.45">
      <c r="B704" s="97"/>
      <c r="C704" s="97"/>
      <c r="D704" s="97"/>
      <c r="E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  <c r="AA704" s="97"/>
      <c r="AB704" s="97"/>
      <c r="AC704" s="97"/>
    </row>
    <row r="705" spans="2:29" ht="11.25" customHeight="1" x14ac:dyDescent="0.45">
      <c r="B705" s="97"/>
      <c r="C705" s="97"/>
      <c r="D705" s="97"/>
      <c r="E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  <c r="AA705" s="97"/>
      <c r="AB705" s="97"/>
      <c r="AC705" s="97"/>
    </row>
    <row r="706" spans="2:29" ht="11.25" customHeight="1" x14ac:dyDescent="0.45">
      <c r="B706" s="97"/>
      <c r="C706" s="97"/>
      <c r="D706" s="97"/>
      <c r="E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  <c r="AA706" s="97"/>
      <c r="AB706" s="97"/>
      <c r="AC706" s="97"/>
    </row>
    <row r="707" spans="2:29" ht="11.25" customHeight="1" x14ac:dyDescent="0.45">
      <c r="B707" s="97"/>
      <c r="C707" s="97"/>
      <c r="D707" s="97"/>
      <c r="E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  <c r="AA707" s="97"/>
      <c r="AB707" s="97"/>
      <c r="AC707" s="97"/>
    </row>
    <row r="708" spans="2:29" ht="11.25" customHeight="1" x14ac:dyDescent="0.45">
      <c r="B708" s="97"/>
      <c r="C708" s="97"/>
      <c r="D708" s="97"/>
      <c r="E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  <c r="AA708" s="97"/>
      <c r="AB708" s="97"/>
      <c r="AC708" s="97"/>
    </row>
    <row r="709" spans="2:29" ht="11.25" customHeight="1" x14ac:dyDescent="0.45">
      <c r="B709" s="97"/>
      <c r="C709" s="97"/>
      <c r="D709" s="97"/>
      <c r="E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  <c r="AA709" s="97"/>
      <c r="AB709" s="97"/>
      <c r="AC709" s="97"/>
    </row>
    <row r="710" spans="2:29" ht="11.25" customHeight="1" x14ac:dyDescent="0.45">
      <c r="B710" s="97"/>
      <c r="C710" s="97"/>
      <c r="D710" s="97"/>
      <c r="E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  <c r="AA710" s="97"/>
      <c r="AB710" s="97"/>
      <c r="AC710" s="97"/>
    </row>
    <row r="711" spans="2:29" ht="11.25" customHeight="1" x14ac:dyDescent="0.45">
      <c r="B711" s="97"/>
      <c r="C711" s="97"/>
      <c r="D711" s="97"/>
      <c r="E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  <c r="AA711" s="97"/>
      <c r="AB711" s="97"/>
      <c r="AC711" s="97"/>
    </row>
    <row r="712" spans="2:29" ht="11.25" customHeight="1" x14ac:dyDescent="0.45">
      <c r="B712" s="97"/>
      <c r="C712" s="97"/>
      <c r="D712" s="97"/>
      <c r="E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  <c r="AA712" s="97"/>
      <c r="AB712" s="97"/>
      <c r="AC712" s="97"/>
    </row>
    <row r="713" spans="2:29" ht="11.25" customHeight="1" x14ac:dyDescent="0.45">
      <c r="B713" s="97"/>
      <c r="C713" s="97"/>
      <c r="D713" s="97"/>
      <c r="E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  <c r="AA713" s="97"/>
      <c r="AB713" s="97"/>
      <c r="AC713" s="97"/>
    </row>
    <row r="714" spans="2:29" ht="11.25" customHeight="1" x14ac:dyDescent="0.45">
      <c r="B714" s="97"/>
      <c r="C714" s="97"/>
      <c r="D714" s="97"/>
      <c r="E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  <c r="AA714" s="97"/>
      <c r="AB714" s="97"/>
      <c r="AC714" s="97"/>
    </row>
    <row r="715" spans="2:29" ht="11.25" customHeight="1" x14ac:dyDescent="0.45">
      <c r="B715" s="97"/>
      <c r="C715" s="97"/>
      <c r="D715" s="97"/>
      <c r="E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  <c r="AA715" s="97"/>
      <c r="AB715" s="97"/>
      <c r="AC715" s="97"/>
    </row>
    <row r="716" spans="2:29" ht="11.25" customHeight="1" x14ac:dyDescent="0.45">
      <c r="B716" s="97"/>
      <c r="C716" s="97"/>
      <c r="D716" s="97"/>
      <c r="E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  <c r="AA716" s="97"/>
      <c r="AB716" s="97"/>
      <c r="AC716" s="97"/>
    </row>
    <row r="717" spans="2:29" ht="11.25" customHeight="1" x14ac:dyDescent="0.45">
      <c r="B717" s="97"/>
      <c r="C717" s="97"/>
      <c r="D717" s="97"/>
      <c r="E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  <c r="AA717" s="97"/>
      <c r="AB717" s="97"/>
      <c r="AC717" s="97"/>
    </row>
    <row r="718" spans="2:29" ht="11.25" customHeight="1" x14ac:dyDescent="0.45">
      <c r="B718" s="97"/>
      <c r="C718" s="97"/>
      <c r="D718" s="97"/>
      <c r="E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  <c r="AA718" s="97"/>
      <c r="AB718" s="97"/>
      <c r="AC718" s="97"/>
    </row>
    <row r="719" spans="2:29" ht="11.25" customHeight="1" x14ac:dyDescent="0.45">
      <c r="B719" s="97"/>
      <c r="C719" s="97"/>
      <c r="D719" s="97"/>
      <c r="E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  <c r="AA719" s="97"/>
      <c r="AB719" s="97"/>
      <c r="AC719" s="97"/>
    </row>
    <row r="720" spans="2:29" ht="11.25" customHeight="1" x14ac:dyDescent="0.45">
      <c r="B720" s="97"/>
      <c r="C720" s="97"/>
      <c r="D720" s="97"/>
      <c r="E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  <c r="AA720" s="97"/>
      <c r="AB720" s="97"/>
      <c r="AC720" s="97"/>
    </row>
    <row r="721" spans="2:29" ht="11.25" customHeight="1" x14ac:dyDescent="0.45">
      <c r="B721" s="97"/>
      <c r="C721" s="97"/>
      <c r="D721" s="97"/>
      <c r="E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  <c r="AA721" s="97"/>
      <c r="AB721" s="97"/>
      <c r="AC721" s="97"/>
    </row>
    <row r="722" spans="2:29" ht="11.25" customHeight="1" x14ac:dyDescent="0.45">
      <c r="B722" s="97"/>
      <c r="C722" s="97"/>
      <c r="D722" s="97"/>
      <c r="E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  <c r="AA722" s="97"/>
      <c r="AB722" s="97"/>
      <c r="AC722" s="97"/>
    </row>
    <row r="723" spans="2:29" ht="11.25" customHeight="1" x14ac:dyDescent="0.45">
      <c r="B723" s="97"/>
      <c r="C723" s="97"/>
      <c r="D723" s="97"/>
      <c r="E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  <c r="AA723" s="97"/>
      <c r="AB723" s="97"/>
      <c r="AC723" s="97"/>
    </row>
    <row r="724" spans="2:29" ht="11.25" customHeight="1" x14ac:dyDescent="0.45">
      <c r="B724" s="97"/>
      <c r="C724" s="97"/>
      <c r="D724" s="97"/>
      <c r="E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  <c r="AA724" s="97"/>
      <c r="AB724" s="97"/>
      <c r="AC724" s="97"/>
    </row>
    <row r="725" spans="2:29" ht="11.25" customHeight="1" x14ac:dyDescent="0.45">
      <c r="B725" s="97"/>
      <c r="C725" s="97"/>
      <c r="D725" s="97"/>
      <c r="E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  <c r="AA725" s="97"/>
      <c r="AB725" s="97"/>
      <c r="AC725" s="97"/>
    </row>
    <row r="726" spans="2:29" ht="11.25" customHeight="1" x14ac:dyDescent="0.45">
      <c r="B726" s="97"/>
      <c r="C726" s="97"/>
      <c r="D726" s="97"/>
      <c r="E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  <c r="AA726" s="97"/>
      <c r="AB726" s="97"/>
      <c r="AC726" s="97"/>
    </row>
    <row r="727" spans="2:29" ht="11.25" customHeight="1" x14ac:dyDescent="0.45">
      <c r="B727" s="97"/>
      <c r="C727" s="97"/>
      <c r="D727" s="97"/>
      <c r="E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  <c r="AA727" s="97"/>
      <c r="AB727" s="97"/>
      <c r="AC727" s="97"/>
    </row>
    <row r="728" spans="2:29" ht="11.25" customHeight="1" x14ac:dyDescent="0.45">
      <c r="B728" s="97"/>
      <c r="C728" s="97"/>
      <c r="D728" s="97"/>
      <c r="E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  <c r="AA728" s="97"/>
      <c r="AB728" s="97"/>
      <c r="AC728" s="97"/>
    </row>
    <row r="729" spans="2:29" ht="11.25" customHeight="1" x14ac:dyDescent="0.45">
      <c r="B729" s="97"/>
      <c r="C729" s="97"/>
      <c r="D729" s="97"/>
      <c r="E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  <c r="AA729" s="97"/>
      <c r="AB729" s="97"/>
      <c r="AC729" s="97"/>
    </row>
    <row r="730" spans="2:29" ht="11.25" customHeight="1" x14ac:dyDescent="0.45">
      <c r="B730" s="97"/>
      <c r="C730" s="97"/>
      <c r="D730" s="97"/>
      <c r="E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  <c r="AA730" s="97"/>
      <c r="AB730" s="97"/>
      <c r="AC730" s="97"/>
    </row>
    <row r="731" spans="2:29" ht="11.25" customHeight="1" x14ac:dyDescent="0.45">
      <c r="B731" s="97"/>
      <c r="C731" s="97"/>
      <c r="D731" s="97"/>
      <c r="E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  <c r="AA731" s="97"/>
      <c r="AB731" s="97"/>
      <c r="AC731" s="97"/>
    </row>
    <row r="732" spans="2:29" ht="11.25" customHeight="1" x14ac:dyDescent="0.45">
      <c r="B732" s="97"/>
      <c r="C732" s="97"/>
      <c r="D732" s="97"/>
      <c r="E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  <c r="AA732" s="97"/>
      <c r="AB732" s="97"/>
      <c r="AC732" s="97"/>
    </row>
    <row r="733" spans="2:29" ht="11.25" customHeight="1" x14ac:dyDescent="0.45">
      <c r="B733" s="97"/>
      <c r="C733" s="97"/>
      <c r="D733" s="97"/>
      <c r="E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  <c r="AA733" s="97"/>
      <c r="AB733" s="97"/>
      <c r="AC733" s="97"/>
    </row>
    <row r="734" spans="2:29" ht="11.25" customHeight="1" x14ac:dyDescent="0.45">
      <c r="B734" s="97"/>
      <c r="C734" s="97"/>
      <c r="D734" s="97"/>
      <c r="E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  <c r="AA734" s="97"/>
      <c r="AB734" s="97"/>
      <c r="AC734" s="97"/>
    </row>
    <row r="735" spans="2:29" ht="11.25" customHeight="1" x14ac:dyDescent="0.45">
      <c r="B735" s="97"/>
      <c r="C735" s="97"/>
      <c r="D735" s="97"/>
      <c r="E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  <c r="AA735" s="97"/>
      <c r="AB735" s="97"/>
      <c r="AC735" s="97"/>
    </row>
    <row r="736" spans="2:29" ht="11.25" customHeight="1" x14ac:dyDescent="0.45">
      <c r="B736" s="97"/>
      <c r="C736" s="97"/>
      <c r="D736" s="97"/>
      <c r="E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  <c r="AA736" s="97"/>
      <c r="AB736" s="97"/>
      <c r="AC736" s="97"/>
    </row>
    <row r="737" spans="2:29" ht="11.25" customHeight="1" x14ac:dyDescent="0.45">
      <c r="B737" s="97"/>
      <c r="C737" s="97"/>
      <c r="D737" s="97"/>
      <c r="E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  <c r="AA737" s="97"/>
      <c r="AB737" s="97"/>
      <c r="AC737" s="97"/>
    </row>
    <row r="738" spans="2:29" ht="11.25" customHeight="1" x14ac:dyDescent="0.45">
      <c r="B738" s="97"/>
      <c r="C738" s="97"/>
      <c r="D738" s="97"/>
      <c r="E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  <c r="AA738" s="97"/>
      <c r="AB738" s="97"/>
      <c r="AC738" s="97"/>
    </row>
    <row r="739" spans="2:29" ht="11.25" customHeight="1" x14ac:dyDescent="0.45">
      <c r="B739" s="97"/>
      <c r="C739" s="97"/>
      <c r="D739" s="97"/>
      <c r="E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  <c r="AA739" s="97"/>
      <c r="AB739" s="97"/>
      <c r="AC739" s="97"/>
    </row>
    <row r="740" spans="2:29" ht="11.25" customHeight="1" x14ac:dyDescent="0.45">
      <c r="B740" s="97"/>
      <c r="C740" s="97"/>
      <c r="D740" s="97"/>
      <c r="E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  <c r="AA740" s="97"/>
      <c r="AB740" s="97"/>
      <c r="AC740" s="97"/>
    </row>
    <row r="741" spans="2:29" ht="11.25" customHeight="1" x14ac:dyDescent="0.45">
      <c r="B741" s="97"/>
      <c r="C741" s="97"/>
      <c r="D741" s="97"/>
      <c r="E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  <c r="AA741" s="97"/>
      <c r="AB741" s="97"/>
      <c r="AC741" s="97"/>
    </row>
    <row r="742" spans="2:29" ht="11.25" customHeight="1" x14ac:dyDescent="0.45">
      <c r="B742" s="97"/>
      <c r="C742" s="97"/>
      <c r="D742" s="97"/>
      <c r="E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  <c r="AA742" s="97"/>
      <c r="AB742" s="97"/>
      <c r="AC742" s="97"/>
    </row>
    <row r="743" spans="2:29" ht="11.25" customHeight="1" x14ac:dyDescent="0.45">
      <c r="B743" s="97"/>
      <c r="C743" s="97"/>
      <c r="D743" s="97"/>
      <c r="E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  <c r="AA743" s="97"/>
      <c r="AB743" s="97"/>
      <c r="AC743" s="97"/>
    </row>
    <row r="744" spans="2:29" ht="11.25" customHeight="1" x14ac:dyDescent="0.45">
      <c r="B744" s="97"/>
      <c r="C744" s="97"/>
      <c r="D744" s="97"/>
      <c r="E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  <c r="AA744" s="97"/>
      <c r="AB744" s="97"/>
      <c r="AC744" s="97"/>
    </row>
    <row r="745" spans="2:29" ht="11.25" customHeight="1" x14ac:dyDescent="0.45">
      <c r="B745" s="97"/>
      <c r="C745" s="97"/>
      <c r="D745" s="97"/>
      <c r="E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  <c r="AA745" s="97"/>
      <c r="AB745" s="97"/>
      <c r="AC745" s="97"/>
    </row>
    <row r="746" spans="2:29" ht="11.25" customHeight="1" x14ac:dyDescent="0.45">
      <c r="B746" s="97"/>
      <c r="C746" s="97"/>
      <c r="D746" s="97"/>
      <c r="E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  <c r="AA746" s="97"/>
      <c r="AB746" s="97"/>
      <c r="AC746" s="97"/>
    </row>
    <row r="747" spans="2:29" ht="11.25" customHeight="1" x14ac:dyDescent="0.45">
      <c r="B747" s="97"/>
      <c r="C747" s="97"/>
      <c r="D747" s="97"/>
      <c r="E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  <c r="AA747" s="97"/>
      <c r="AB747" s="97"/>
      <c r="AC747" s="97"/>
    </row>
    <row r="748" spans="2:29" ht="11.25" customHeight="1" x14ac:dyDescent="0.45">
      <c r="B748" s="97"/>
      <c r="C748" s="97"/>
      <c r="D748" s="97"/>
      <c r="E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  <c r="AA748" s="97"/>
      <c r="AB748" s="97"/>
      <c r="AC748" s="97"/>
    </row>
    <row r="749" spans="2:29" ht="11.25" customHeight="1" x14ac:dyDescent="0.45">
      <c r="B749" s="97"/>
      <c r="C749" s="97"/>
      <c r="D749" s="97"/>
      <c r="E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  <c r="AA749" s="97"/>
      <c r="AB749" s="97"/>
      <c r="AC749" s="97"/>
    </row>
    <row r="750" spans="2:29" ht="11.25" customHeight="1" x14ac:dyDescent="0.45">
      <c r="B750" s="97"/>
      <c r="C750" s="97"/>
      <c r="D750" s="97"/>
      <c r="E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  <c r="AA750" s="97"/>
      <c r="AB750" s="97"/>
      <c r="AC750" s="97"/>
    </row>
    <row r="751" spans="2:29" ht="11.25" customHeight="1" x14ac:dyDescent="0.45">
      <c r="B751" s="97"/>
      <c r="C751" s="97"/>
      <c r="D751" s="97"/>
      <c r="E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  <c r="AA751" s="97"/>
      <c r="AB751" s="97"/>
      <c r="AC751" s="97"/>
    </row>
    <row r="752" spans="2:29" ht="11.25" customHeight="1" x14ac:dyDescent="0.45">
      <c r="B752" s="97"/>
      <c r="C752" s="97"/>
      <c r="D752" s="97"/>
      <c r="E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  <c r="AA752" s="97"/>
      <c r="AB752" s="97"/>
      <c r="AC752" s="97"/>
    </row>
    <row r="753" spans="2:29" ht="11.25" customHeight="1" x14ac:dyDescent="0.45">
      <c r="B753" s="97"/>
      <c r="C753" s="97"/>
      <c r="D753" s="97"/>
      <c r="E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  <c r="AA753" s="97"/>
      <c r="AB753" s="97"/>
      <c r="AC753" s="97"/>
    </row>
    <row r="754" spans="2:29" ht="11.25" customHeight="1" x14ac:dyDescent="0.45">
      <c r="B754" s="97"/>
      <c r="C754" s="97"/>
      <c r="D754" s="97"/>
      <c r="E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  <c r="AA754" s="97"/>
      <c r="AB754" s="97"/>
      <c r="AC754" s="97"/>
    </row>
    <row r="755" spans="2:29" ht="11.25" customHeight="1" x14ac:dyDescent="0.45">
      <c r="B755" s="97"/>
      <c r="C755" s="97"/>
      <c r="D755" s="97"/>
      <c r="E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  <c r="AA755" s="97"/>
      <c r="AB755" s="97"/>
      <c r="AC755" s="97"/>
    </row>
    <row r="756" spans="2:29" ht="11.25" customHeight="1" x14ac:dyDescent="0.45">
      <c r="B756" s="97"/>
      <c r="C756" s="97"/>
      <c r="D756" s="97"/>
      <c r="E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  <c r="AA756" s="97"/>
      <c r="AB756" s="97"/>
      <c r="AC756" s="97"/>
    </row>
    <row r="757" spans="2:29" ht="11.25" customHeight="1" x14ac:dyDescent="0.45">
      <c r="B757" s="97"/>
      <c r="C757" s="97"/>
      <c r="D757" s="97"/>
      <c r="E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  <c r="AA757" s="97"/>
      <c r="AB757" s="97"/>
      <c r="AC757" s="97"/>
    </row>
    <row r="758" spans="2:29" ht="11.25" customHeight="1" x14ac:dyDescent="0.45">
      <c r="B758" s="97"/>
      <c r="C758" s="97"/>
      <c r="D758" s="97"/>
      <c r="E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  <c r="AA758" s="97"/>
      <c r="AB758" s="97"/>
      <c r="AC758" s="97"/>
    </row>
    <row r="759" spans="2:29" ht="11.25" customHeight="1" x14ac:dyDescent="0.45">
      <c r="B759" s="97"/>
      <c r="C759" s="97"/>
      <c r="D759" s="97"/>
      <c r="E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  <c r="AA759" s="97"/>
      <c r="AB759" s="97"/>
      <c r="AC759" s="97"/>
    </row>
    <row r="760" spans="2:29" ht="11.25" customHeight="1" x14ac:dyDescent="0.45">
      <c r="B760" s="97"/>
      <c r="C760" s="97"/>
      <c r="D760" s="97"/>
      <c r="E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  <c r="AA760" s="97"/>
      <c r="AB760" s="97"/>
      <c r="AC760" s="97"/>
    </row>
    <row r="761" spans="2:29" ht="11.25" customHeight="1" x14ac:dyDescent="0.45">
      <c r="B761" s="97"/>
      <c r="C761" s="97"/>
      <c r="D761" s="97"/>
      <c r="E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  <c r="AA761" s="97"/>
      <c r="AB761" s="97"/>
      <c r="AC761" s="97"/>
    </row>
    <row r="762" spans="2:29" ht="11.25" customHeight="1" x14ac:dyDescent="0.45">
      <c r="B762" s="97"/>
      <c r="C762" s="97"/>
      <c r="D762" s="97"/>
      <c r="E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  <c r="AA762" s="97"/>
      <c r="AB762" s="97"/>
      <c r="AC762" s="97"/>
    </row>
    <row r="763" spans="2:29" ht="11.25" customHeight="1" x14ac:dyDescent="0.45">
      <c r="B763" s="97"/>
      <c r="C763" s="97"/>
      <c r="D763" s="97"/>
      <c r="E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  <c r="AA763" s="97"/>
      <c r="AB763" s="97"/>
      <c r="AC763" s="97"/>
    </row>
    <row r="764" spans="2:29" ht="11.25" customHeight="1" x14ac:dyDescent="0.45">
      <c r="B764" s="97"/>
      <c r="C764" s="97"/>
      <c r="D764" s="97"/>
      <c r="E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  <c r="AA764" s="97"/>
      <c r="AB764" s="97"/>
      <c r="AC764" s="97"/>
    </row>
    <row r="765" spans="2:29" ht="11.25" customHeight="1" x14ac:dyDescent="0.45">
      <c r="B765" s="97"/>
      <c r="C765" s="97"/>
      <c r="D765" s="97"/>
      <c r="E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  <c r="AA765" s="97"/>
      <c r="AB765" s="97"/>
      <c r="AC765" s="97"/>
    </row>
    <row r="766" spans="2:29" ht="11.25" customHeight="1" x14ac:dyDescent="0.45">
      <c r="B766" s="97"/>
      <c r="C766" s="97"/>
      <c r="D766" s="97"/>
      <c r="E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  <c r="AA766" s="97"/>
      <c r="AB766" s="97"/>
      <c r="AC766" s="97"/>
    </row>
    <row r="767" spans="2:29" ht="11.25" customHeight="1" x14ac:dyDescent="0.45">
      <c r="B767" s="97"/>
      <c r="C767" s="97"/>
      <c r="D767" s="97"/>
      <c r="E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  <c r="AA767" s="97"/>
      <c r="AB767" s="97"/>
      <c r="AC767" s="97"/>
    </row>
    <row r="768" spans="2:29" ht="11.25" customHeight="1" x14ac:dyDescent="0.45">
      <c r="B768" s="97"/>
      <c r="C768" s="97"/>
      <c r="D768" s="97"/>
      <c r="E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  <c r="AA768" s="97"/>
      <c r="AB768" s="97"/>
      <c r="AC768" s="97"/>
    </row>
    <row r="769" spans="2:29" ht="11.25" customHeight="1" x14ac:dyDescent="0.45">
      <c r="B769" s="97"/>
      <c r="C769" s="97"/>
      <c r="D769" s="97"/>
      <c r="E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  <c r="AA769" s="97"/>
      <c r="AB769" s="97"/>
      <c r="AC769" s="97"/>
    </row>
    <row r="770" spans="2:29" ht="11.25" customHeight="1" x14ac:dyDescent="0.45">
      <c r="B770" s="97"/>
      <c r="C770" s="97"/>
      <c r="D770" s="97"/>
      <c r="E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  <c r="AA770" s="97"/>
      <c r="AB770" s="97"/>
      <c r="AC770" s="97"/>
    </row>
    <row r="771" spans="2:29" ht="11.25" customHeight="1" x14ac:dyDescent="0.45">
      <c r="B771" s="97"/>
      <c r="C771" s="97"/>
      <c r="D771" s="97"/>
      <c r="E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  <c r="AA771" s="97"/>
      <c r="AB771" s="97"/>
      <c r="AC771" s="97"/>
    </row>
    <row r="772" spans="2:29" ht="11.25" customHeight="1" x14ac:dyDescent="0.45">
      <c r="B772" s="97"/>
      <c r="C772" s="97"/>
      <c r="D772" s="97"/>
      <c r="E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  <c r="AA772" s="97"/>
      <c r="AB772" s="97"/>
      <c r="AC772" s="97"/>
    </row>
    <row r="773" spans="2:29" ht="11.25" customHeight="1" x14ac:dyDescent="0.45">
      <c r="B773" s="97"/>
      <c r="C773" s="97"/>
      <c r="D773" s="97"/>
      <c r="E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  <c r="AA773" s="97"/>
      <c r="AB773" s="97"/>
      <c r="AC773" s="97"/>
    </row>
    <row r="774" spans="2:29" ht="11.25" customHeight="1" x14ac:dyDescent="0.45">
      <c r="B774" s="97"/>
      <c r="C774" s="97"/>
      <c r="D774" s="97"/>
      <c r="E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  <c r="AA774" s="97"/>
      <c r="AB774" s="97"/>
      <c r="AC774" s="97"/>
    </row>
    <row r="775" spans="2:29" ht="11.25" customHeight="1" x14ac:dyDescent="0.45">
      <c r="B775" s="97"/>
      <c r="C775" s="97"/>
      <c r="D775" s="97"/>
      <c r="E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  <c r="AA775" s="97"/>
      <c r="AB775" s="97"/>
      <c r="AC775" s="97"/>
    </row>
    <row r="776" spans="2:29" ht="11.25" customHeight="1" x14ac:dyDescent="0.45">
      <c r="B776" s="97"/>
      <c r="C776" s="97"/>
      <c r="D776" s="97"/>
      <c r="E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  <c r="AA776" s="97"/>
      <c r="AB776" s="97"/>
      <c r="AC776" s="97"/>
    </row>
    <row r="777" spans="2:29" ht="11.25" customHeight="1" x14ac:dyDescent="0.45">
      <c r="B777" s="97"/>
      <c r="C777" s="97"/>
      <c r="D777" s="97"/>
      <c r="E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  <c r="AA777" s="97"/>
      <c r="AB777" s="97"/>
      <c r="AC777" s="97"/>
    </row>
    <row r="778" spans="2:29" ht="11.25" customHeight="1" x14ac:dyDescent="0.45">
      <c r="B778" s="97"/>
      <c r="C778" s="97"/>
      <c r="D778" s="97"/>
      <c r="E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  <c r="AA778" s="97"/>
      <c r="AB778" s="97"/>
      <c r="AC778" s="97"/>
    </row>
    <row r="779" spans="2:29" ht="11.25" customHeight="1" x14ac:dyDescent="0.45">
      <c r="B779" s="97"/>
      <c r="C779" s="97"/>
      <c r="D779" s="97"/>
      <c r="E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  <c r="AA779" s="97"/>
      <c r="AB779" s="97"/>
      <c r="AC779" s="97"/>
    </row>
    <row r="780" spans="2:29" ht="11.25" customHeight="1" x14ac:dyDescent="0.45">
      <c r="B780" s="97"/>
      <c r="C780" s="97"/>
      <c r="D780" s="97"/>
      <c r="E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  <c r="AA780" s="97"/>
      <c r="AB780" s="97"/>
      <c r="AC780" s="97"/>
    </row>
    <row r="781" spans="2:29" ht="11.25" customHeight="1" x14ac:dyDescent="0.45">
      <c r="B781" s="97"/>
      <c r="C781" s="97"/>
      <c r="D781" s="97"/>
      <c r="E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  <c r="AA781" s="97"/>
      <c r="AB781" s="97"/>
      <c r="AC781" s="97"/>
    </row>
    <row r="782" spans="2:29" ht="11.25" customHeight="1" x14ac:dyDescent="0.45">
      <c r="B782" s="97"/>
      <c r="C782" s="97"/>
      <c r="D782" s="97"/>
      <c r="E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  <c r="AA782" s="97"/>
      <c r="AB782" s="97"/>
      <c r="AC782" s="97"/>
    </row>
    <row r="783" spans="2:29" ht="11.25" customHeight="1" x14ac:dyDescent="0.45">
      <c r="B783" s="97"/>
      <c r="C783" s="97"/>
      <c r="D783" s="97"/>
      <c r="E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  <c r="AA783" s="97"/>
      <c r="AB783" s="97"/>
      <c r="AC783" s="97"/>
    </row>
    <row r="784" spans="2:29" ht="11.25" customHeight="1" x14ac:dyDescent="0.45">
      <c r="B784" s="97"/>
      <c r="C784" s="97"/>
      <c r="D784" s="97"/>
      <c r="E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  <c r="AA784" s="97"/>
      <c r="AB784" s="97"/>
      <c r="AC784" s="97"/>
    </row>
    <row r="785" spans="2:29" ht="11.25" customHeight="1" x14ac:dyDescent="0.45">
      <c r="B785" s="97"/>
      <c r="C785" s="97"/>
      <c r="D785" s="97"/>
      <c r="E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  <c r="AA785" s="97"/>
      <c r="AB785" s="97"/>
      <c r="AC785" s="97"/>
    </row>
    <row r="786" spans="2:29" ht="11.25" customHeight="1" x14ac:dyDescent="0.45">
      <c r="B786" s="97"/>
      <c r="C786" s="97"/>
      <c r="D786" s="97"/>
      <c r="E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  <c r="AA786" s="97"/>
      <c r="AB786" s="97"/>
      <c r="AC786" s="97"/>
    </row>
    <row r="787" spans="2:29" ht="11.25" customHeight="1" x14ac:dyDescent="0.45">
      <c r="B787" s="97"/>
      <c r="C787" s="97"/>
      <c r="D787" s="97"/>
      <c r="E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  <c r="AA787" s="97"/>
      <c r="AB787" s="97"/>
      <c r="AC787" s="97"/>
    </row>
    <row r="788" spans="2:29" ht="11.25" customHeight="1" x14ac:dyDescent="0.45">
      <c r="B788" s="97"/>
      <c r="C788" s="97"/>
      <c r="D788" s="97"/>
      <c r="E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  <c r="AA788" s="97"/>
      <c r="AB788" s="97"/>
      <c r="AC788" s="97"/>
    </row>
    <row r="789" spans="2:29" ht="11.25" customHeight="1" x14ac:dyDescent="0.45">
      <c r="B789" s="97"/>
      <c r="C789" s="97"/>
      <c r="D789" s="97"/>
      <c r="E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  <c r="AA789" s="97"/>
      <c r="AB789" s="97"/>
      <c r="AC789" s="97"/>
    </row>
    <row r="790" spans="2:29" ht="11.25" customHeight="1" x14ac:dyDescent="0.45">
      <c r="B790" s="97"/>
      <c r="C790" s="97"/>
      <c r="D790" s="97"/>
      <c r="E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  <c r="AA790" s="97"/>
      <c r="AB790" s="97"/>
      <c r="AC790" s="97"/>
    </row>
    <row r="791" spans="2:29" ht="11.25" customHeight="1" x14ac:dyDescent="0.45">
      <c r="B791" s="97"/>
      <c r="C791" s="97"/>
      <c r="D791" s="97"/>
      <c r="E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  <c r="AA791" s="97"/>
      <c r="AB791" s="97"/>
      <c r="AC791" s="97"/>
    </row>
    <row r="792" spans="2:29" ht="11.25" customHeight="1" x14ac:dyDescent="0.45">
      <c r="B792" s="97"/>
      <c r="C792" s="97"/>
      <c r="D792" s="97"/>
      <c r="E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  <c r="AA792" s="97"/>
      <c r="AB792" s="97"/>
      <c r="AC792" s="97"/>
    </row>
    <row r="793" spans="2:29" ht="11.25" customHeight="1" x14ac:dyDescent="0.45">
      <c r="B793" s="97"/>
      <c r="C793" s="97"/>
      <c r="D793" s="97"/>
      <c r="E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  <c r="AA793" s="97"/>
      <c r="AB793" s="97"/>
      <c r="AC793" s="97"/>
    </row>
    <row r="794" spans="2:29" ht="11.25" customHeight="1" x14ac:dyDescent="0.45">
      <c r="B794" s="97"/>
      <c r="C794" s="97"/>
      <c r="D794" s="97"/>
      <c r="E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  <c r="AA794" s="97"/>
      <c r="AB794" s="97"/>
      <c r="AC794" s="97"/>
    </row>
    <row r="795" spans="2:29" ht="11.25" customHeight="1" x14ac:dyDescent="0.45">
      <c r="B795" s="97"/>
      <c r="C795" s="97"/>
      <c r="D795" s="97"/>
      <c r="E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  <c r="AA795" s="97"/>
      <c r="AB795" s="97"/>
      <c r="AC795" s="97"/>
    </row>
    <row r="796" spans="2:29" ht="11.25" customHeight="1" x14ac:dyDescent="0.45">
      <c r="B796" s="97"/>
      <c r="C796" s="97"/>
      <c r="D796" s="97"/>
      <c r="E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  <c r="AA796" s="97"/>
      <c r="AB796" s="97"/>
      <c r="AC796" s="97"/>
    </row>
    <row r="797" spans="2:29" ht="11.25" customHeight="1" x14ac:dyDescent="0.45">
      <c r="B797" s="97"/>
      <c r="C797" s="97"/>
      <c r="D797" s="97"/>
      <c r="E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  <c r="AA797" s="97"/>
      <c r="AB797" s="97"/>
      <c r="AC797" s="97"/>
    </row>
    <row r="798" spans="2:29" ht="11.25" customHeight="1" x14ac:dyDescent="0.45">
      <c r="B798" s="97"/>
      <c r="C798" s="97"/>
      <c r="D798" s="97"/>
      <c r="E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  <c r="AA798" s="97"/>
      <c r="AB798" s="97"/>
      <c r="AC798" s="97"/>
    </row>
    <row r="799" spans="2:29" ht="11.25" customHeight="1" x14ac:dyDescent="0.45">
      <c r="B799" s="97"/>
      <c r="C799" s="97"/>
      <c r="D799" s="97"/>
      <c r="E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  <c r="AA799" s="97"/>
      <c r="AB799" s="97"/>
      <c r="AC799" s="97"/>
    </row>
    <row r="800" spans="2:29" ht="11.25" customHeight="1" x14ac:dyDescent="0.45">
      <c r="B800" s="97"/>
      <c r="C800" s="97"/>
      <c r="D800" s="97"/>
      <c r="E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  <c r="AA800" s="97"/>
      <c r="AB800" s="97"/>
      <c r="AC800" s="97"/>
    </row>
    <row r="801" spans="2:29" ht="11.25" customHeight="1" x14ac:dyDescent="0.45">
      <c r="B801" s="97"/>
      <c r="C801" s="97"/>
      <c r="D801" s="97"/>
      <c r="E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  <c r="AA801" s="97"/>
      <c r="AB801" s="97"/>
      <c r="AC801" s="97"/>
    </row>
    <row r="802" spans="2:29" ht="11.25" customHeight="1" x14ac:dyDescent="0.45">
      <c r="B802" s="97"/>
      <c r="C802" s="97"/>
      <c r="D802" s="97"/>
      <c r="E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  <c r="AA802" s="97"/>
      <c r="AB802" s="97"/>
      <c r="AC802" s="97"/>
    </row>
    <row r="803" spans="2:29" ht="11.25" customHeight="1" x14ac:dyDescent="0.45">
      <c r="B803" s="97"/>
      <c r="C803" s="97"/>
      <c r="D803" s="97"/>
      <c r="E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  <c r="AA803" s="97"/>
      <c r="AB803" s="97"/>
      <c r="AC803" s="97"/>
    </row>
    <row r="804" spans="2:29" ht="11.25" customHeight="1" x14ac:dyDescent="0.45">
      <c r="B804" s="97"/>
      <c r="C804" s="97"/>
      <c r="D804" s="97"/>
      <c r="E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  <c r="AA804" s="97"/>
      <c r="AB804" s="97"/>
      <c r="AC804" s="97"/>
    </row>
    <row r="805" spans="2:29" ht="11.25" customHeight="1" x14ac:dyDescent="0.45">
      <c r="B805" s="97"/>
      <c r="C805" s="97"/>
      <c r="D805" s="97"/>
      <c r="E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  <c r="AA805" s="97"/>
      <c r="AB805" s="97"/>
      <c r="AC805" s="97"/>
    </row>
    <row r="806" spans="2:29" ht="11.25" customHeight="1" x14ac:dyDescent="0.45">
      <c r="B806" s="97"/>
      <c r="C806" s="97"/>
      <c r="D806" s="97"/>
      <c r="E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  <c r="AA806" s="97"/>
      <c r="AB806" s="97"/>
      <c r="AC806" s="97"/>
    </row>
    <row r="807" spans="2:29" ht="11.25" customHeight="1" x14ac:dyDescent="0.45">
      <c r="B807" s="97"/>
      <c r="C807" s="97"/>
      <c r="D807" s="97"/>
      <c r="E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  <c r="AA807" s="97"/>
      <c r="AB807" s="97"/>
      <c r="AC807" s="97"/>
    </row>
    <row r="808" spans="2:29" ht="11.25" customHeight="1" x14ac:dyDescent="0.45">
      <c r="B808" s="97"/>
      <c r="C808" s="97"/>
      <c r="D808" s="97"/>
      <c r="E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  <c r="AA808" s="97"/>
      <c r="AB808" s="97"/>
      <c r="AC808" s="97"/>
    </row>
    <row r="809" spans="2:29" ht="11.25" customHeight="1" x14ac:dyDescent="0.45">
      <c r="B809" s="97"/>
      <c r="C809" s="97"/>
      <c r="D809" s="97"/>
      <c r="E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  <c r="AA809" s="97"/>
      <c r="AB809" s="97"/>
      <c r="AC809" s="97"/>
    </row>
    <row r="810" spans="2:29" ht="11.25" customHeight="1" x14ac:dyDescent="0.45">
      <c r="B810" s="97"/>
      <c r="C810" s="97"/>
      <c r="D810" s="97"/>
      <c r="E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  <c r="AA810" s="97"/>
      <c r="AB810" s="97"/>
      <c r="AC810" s="97"/>
    </row>
    <row r="811" spans="2:29" ht="11.25" customHeight="1" x14ac:dyDescent="0.45">
      <c r="B811" s="97"/>
      <c r="C811" s="97"/>
      <c r="D811" s="97"/>
      <c r="E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  <c r="AA811" s="97"/>
      <c r="AB811" s="97"/>
      <c r="AC811" s="97"/>
    </row>
    <row r="812" spans="2:29" ht="11.25" customHeight="1" x14ac:dyDescent="0.45">
      <c r="B812" s="97"/>
      <c r="C812" s="97"/>
      <c r="D812" s="97"/>
      <c r="E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  <c r="AA812" s="97"/>
      <c r="AB812" s="97"/>
      <c r="AC812" s="97"/>
    </row>
    <row r="813" spans="2:29" ht="11.25" customHeight="1" x14ac:dyDescent="0.45">
      <c r="B813" s="97"/>
      <c r="C813" s="97"/>
      <c r="D813" s="97"/>
      <c r="E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  <c r="AA813" s="97"/>
      <c r="AB813" s="97"/>
      <c r="AC813" s="97"/>
    </row>
    <row r="814" spans="2:29" ht="11.25" customHeight="1" x14ac:dyDescent="0.45">
      <c r="B814" s="97"/>
      <c r="C814" s="97"/>
      <c r="D814" s="97"/>
      <c r="E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  <c r="AA814" s="97"/>
      <c r="AB814" s="97"/>
      <c r="AC814" s="97"/>
    </row>
    <row r="815" spans="2:29" ht="11.25" customHeight="1" x14ac:dyDescent="0.45">
      <c r="B815" s="97"/>
      <c r="C815" s="97"/>
      <c r="D815" s="97"/>
      <c r="E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  <c r="AA815" s="97"/>
      <c r="AB815" s="97"/>
      <c r="AC815" s="97"/>
    </row>
    <row r="816" spans="2:29" ht="11.25" customHeight="1" x14ac:dyDescent="0.45">
      <c r="B816" s="97"/>
      <c r="C816" s="97"/>
      <c r="D816" s="97"/>
      <c r="E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  <c r="AA816" s="97"/>
      <c r="AB816" s="97"/>
      <c r="AC816" s="97"/>
    </row>
    <row r="817" spans="2:29" ht="11.25" customHeight="1" x14ac:dyDescent="0.45">
      <c r="B817" s="97"/>
      <c r="C817" s="97"/>
      <c r="D817" s="97"/>
      <c r="E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  <c r="AA817" s="97"/>
      <c r="AB817" s="97"/>
      <c r="AC817" s="97"/>
    </row>
    <row r="818" spans="2:29" ht="11.25" customHeight="1" x14ac:dyDescent="0.45">
      <c r="B818" s="97"/>
      <c r="C818" s="97"/>
      <c r="D818" s="97"/>
      <c r="E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  <c r="AA818" s="97"/>
      <c r="AB818" s="97"/>
      <c r="AC818" s="97"/>
    </row>
    <row r="819" spans="2:29" ht="11.25" customHeight="1" x14ac:dyDescent="0.45">
      <c r="B819" s="97"/>
      <c r="C819" s="97"/>
      <c r="D819" s="97"/>
      <c r="E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  <c r="AA819" s="97"/>
      <c r="AB819" s="97"/>
      <c r="AC819" s="97"/>
    </row>
    <row r="820" spans="2:29" ht="11.25" customHeight="1" x14ac:dyDescent="0.45">
      <c r="B820" s="97"/>
      <c r="C820" s="97"/>
      <c r="D820" s="97"/>
      <c r="E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  <c r="AA820" s="97"/>
      <c r="AB820" s="97"/>
      <c r="AC820" s="97"/>
    </row>
    <row r="821" spans="2:29" ht="11.25" customHeight="1" x14ac:dyDescent="0.45">
      <c r="B821" s="97"/>
      <c r="C821" s="97"/>
      <c r="D821" s="97"/>
      <c r="E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  <c r="AA821" s="97"/>
      <c r="AB821" s="97"/>
      <c r="AC821" s="97"/>
    </row>
    <row r="822" spans="2:29" ht="11.25" customHeight="1" x14ac:dyDescent="0.45">
      <c r="B822" s="97"/>
      <c r="C822" s="97"/>
      <c r="D822" s="97"/>
      <c r="E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  <c r="AA822" s="97"/>
      <c r="AB822" s="97"/>
      <c r="AC822" s="97"/>
    </row>
    <row r="823" spans="2:29" ht="11.25" customHeight="1" x14ac:dyDescent="0.45">
      <c r="B823" s="97"/>
      <c r="C823" s="97"/>
      <c r="D823" s="97"/>
      <c r="E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  <c r="AA823" s="97"/>
      <c r="AB823" s="97"/>
      <c r="AC823" s="97"/>
    </row>
    <row r="824" spans="2:29" ht="11.25" customHeight="1" x14ac:dyDescent="0.45">
      <c r="B824" s="97"/>
      <c r="C824" s="97"/>
      <c r="D824" s="97"/>
      <c r="E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  <c r="AA824" s="97"/>
      <c r="AB824" s="97"/>
      <c r="AC824" s="97"/>
    </row>
    <row r="825" spans="2:29" ht="11.25" customHeight="1" x14ac:dyDescent="0.45">
      <c r="B825" s="97"/>
      <c r="C825" s="97"/>
      <c r="D825" s="97"/>
      <c r="E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  <c r="AA825" s="97"/>
      <c r="AB825" s="97"/>
      <c r="AC825" s="97"/>
    </row>
    <row r="826" spans="2:29" ht="11.25" customHeight="1" x14ac:dyDescent="0.45">
      <c r="B826" s="97"/>
      <c r="C826" s="97"/>
      <c r="D826" s="97"/>
      <c r="E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  <c r="AA826" s="97"/>
      <c r="AB826" s="97"/>
      <c r="AC826" s="97"/>
    </row>
    <row r="827" spans="2:29" ht="11.25" customHeight="1" x14ac:dyDescent="0.45">
      <c r="B827" s="97"/>
      <c r="C827" s="97"/>
      <c r="D827" s="97"/>
      <c r="E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  <c r="AA827" s="97"/>
      <c r="AB827" s="97"/>
      <c r="AC827" s="97"/>
    </row>
    <row r="828" spans="2:29" ht="11.25" customHeight="1" x14ac:dyDescent="0.45">
      <c r="B828" s="97"/>
      <c r="C828" s="97"/>
      <c r="D828" s="97"/>
      <c r="E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  <c r="AA828" s="97"/>
      <c r="AB828" s="97"/>
      <c r="AC828" s="97"/>
    </row>
    <row r="829" spans="2:29" ht="11.25" customHeight="1" x14ac:dyDescent="0.45">
      <c r="B829" s="97"/>
      <c r="C829" s="97"/>
      <c r="D829" s="97"/>
      <c r="E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  <c r="AA829" s="97"/>
      <c r="AB829" s="97"/>
      <c r="AC829" s="97"/>
    </row>
    <row r="830" spans="2:29" ht="11.25" customHeight="1" x14ac:dyDescent="0.45">
      <c r="B830" s="97"/>
      <c r="C830" s="97"/>
      <c r="D830" s="97"/>
      <c r="E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  <c r="AA830" s="97"/>
      <c r="AB830" s="97"/>
      <c r="AC830" s="97"/>
    </row>
    <row r="831" spans="2:29" ht="11.25" customHeight="1" x14ac:dyDescent="0.45">
      <c r="B831" s="97"/>
      <c r="C831" s="97"/>
      <c r="D831" s="97"/>
      <c r="E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  <c r="AA831" s="97"/>
      <c r="AB831" s="97"/>
      <c r="AC831" s="97"/>
    </row>
    <row r="832" spans="2:29" ht="11.25" customHeight="1" x14ac:dyDescent="0.45">
      <c r="B832" s="97"/>
      <c r="C832" s="97"/>
      <c r="D832" s="97"/>
      <c r="E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  <c r="AA832" s="97"/>
      <c r="AB832" s="97"/>
      <c r="AC832" s="97"/>
    </row>
    <row r="833" spans="2:29" ht="11.25" customHeight="1" x14ac:dyDescent="0.45">
      <c r="B833" s="97"/>
      <c r="C833" s="97"/>
      <c r="D833" s="97"/>
      <c r="E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  <c r="AA833" s="97"/>
      <c r="AB833" s="97"/>
      <c r="AC833" s="97"/>
    </row>
    <row r="834" spans="2:29" ht="11.25" customHeight="1" x14ac:dyDescent="0.45">
      <c r="B834" s="97"/>
      <c r="C834" s="97"/>
      <c r="D834" s="97"/>
      <c r="E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  <c r="AA834" s="97"/>
      <c r="AB834" s="97"/>
      <c r="AC834" s="97"/>
    </row>
    <row r="835" spans="2:29" ht="11.25" customHeight="1" x14ac:dyDescent="0.45">
      <c r="B835" s="97"/>
      <c r="C835" s="97"/>
      <c r="D835" s="97"/>
      <c r="E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  <c r="AA835" s="97"/>
      <c r="AB835" s="97"/>
      <c r="AC835" s="97"/>
    </row>
    <row r="836" spans="2:29" ht="11.25" customHeight="1" x14ac:dyDescent="0.45">
      <c r="B836" s="97"/>
      <c r="C836" s="97"/>
      <c r="D836" s="97"/>
      <c r="E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  <c r="AA836" s="97"/>
      <c r="AB836" s="97"/>
      <c r="AC836" s="97"/>
    </row>
    <row r="837" spans="2:29" ht="11.25" customHeight="1" x14ac:dyDescent="0.45">
      <c r="B837" s="97"/>
      <c r="C837" s="97"/>
      <c r="D837" s="97"/>
      <c r="E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  <c r="AA837" s="97"/>
      <c r="AB837" s="97"/>
      <c r="AC837" s="97"/>
    </row>
    <row r="838" spans="2:29" ht="11.25" customHeight="1" x14ac:dyDescent="0.45">
      <c r="B838" s="97"/>
      <c r="C838" s="97"/>
      <c r="D838" s="97"/>
      <c r="E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  <c r="AA838" s="97"/>
      <c r="AB838" s="97"/>
      <c r="AC838" s="97"/>
    </row>
    <row r="839" spans="2:29" ht="11.25" customHeight="1" x14ac:dyDescent="0.45">
      <c r="B839" s="97"/>
      <c r="C839" s="97"/>
      <c r="D839" s="97"/>
      <c r="E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  <c r="AA839" s="97"/>
      <c r="AB839" s="97"/>
      <c r="AC839" s="97"/>
    </row>
    <row r="840" spans="2:29" ht="11.25" customHeight="1" x14ac:dyDescent="0.45">
      <c r="B840" s="97"/>
      <c r="C840" s="97"/>
      <c r="D840" s="97"/>
      <c r="E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  <c r="AA840" s="97"/>
      <c r="AB840" s="97"/>
      <c r="AC840" s="97"/>
    </row>
    <row r="841" spans="2:29" ht="11.25" customHeight="1" x14ac:dyDescent="0.45">
      <c r="B841" s="97"/>
      <c r="C841" s="97"/>
      <c r="D841" s="97"/>
      <c r="E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  <c r="AA841" s="97"/>
      <c r="AB841" s="97"/>
      <c r="AC841" s="97"/>
    </row>
    <row r="842" spans="2:29" ht="11.25" customHeight="1" x14ac:dyDescent="0.45">
      <c r="B842" s="97"/>
      <c r="C842" s="97"/>
      <c r="D842" s="97"/>
      <c r="E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  <c r="AA842" s="97"/>
      <c r="AB842" s="97"/>
      <c r="AC842" s="97"/>
    </row>
    <row r="843" spans="2:29" ht="11.25" customHeight="1" x14ac:dyDescent="0.45">
      <c r="B843" s="97"/>
      <c r="C843" s="97"/>
      <c r="D843" s="97"/>
      <c r="E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  <c r="AA843" s="97"/>
      <c r="AB843" s="97"/>
      <c r="AC843" s="97"/>
    </row>
    <row r="844" spans="2:29" ht="11.25" customHeight="1" x14ac:dyDescent="0.45">
      <c r="B844" s="97"/>
      <c r="C844" s="97"/>
      <c r="D844" s="97"/>
      <c r="E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  <c r="AA844" s="97"/>
      <c r="AB844" s="97"/>
      <c r="AC844" s="97"/>
    </row>
    <row r="845" spans="2:29" ht="11.25" customHeight="1" x14ac:dyDescent="0.45">
      <c r="B845" s="97"/>
      <c r="C845" s="97"/>
      <c r="D845" s="97"/>
      <c r="E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  <c r="AA845" s="97"/>
      <c r="AB845" s="97"/>
      <c r="AC845" s="97"/>
    </row>
    <row r="846" spans="2:29" ht="11.25" customHeight="1" x14ac:dyDescent="0.45">
      <c r="B846" s="97"/>
      <c r="C846" s="97"/>
      <c r="D846" s="97"/>
      <c r="E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  <c r="AA846" s="97"/>
      <c r="AB846" s="97"/>
      <c r="AC846" s="97"/>
    </row>
    <row r="847" spans="2:29" ht="11.25" customHeight="1" x14ac:dyDescent="0.45">
      <c r="B847" s="97"/>
      <c r="C847" s="97"/>
      <c r="D847" s="97"/>
      <c r="E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  <c r="AA847" s="97"/>
      <c r="AB847" s="97"/>
      <c r="AC847" s="97"/>
    </row>
    <row r="848" spans="2:29" ht="11.25" customHeight="1" x14ac:dyDescent="0.45">
      <c r="B848" s="97"/>
      <c r="C848" s="97"/>
      <c r="D848" s="97"/>
      <c r="E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  <c r="AA848" s="97"/>
      <c r="AB848" s="97"/>
      <c r="AC848" s="97"/>
    </row>
    <row r="849" spans="2:29" ht="11.25" customHeight="1" x14ac:dyDescent="0.45">
      <c r="B849" s="97"/>
      <c r="C849" s="97"/>
      <c r="D849" s="97"/>
      <c r="E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  <c r="AA849" s="97"/>
      <c r="AB849" s="97"/>
      <c r="AC849" s="97"/>
    </row>
    <row r="850" spans="2:29" ht="11.25" customHeight="1" x14ac:dyDescent="0.45">
      <c r="B850" s="97"/>
      <c r="C850" s="97"/>
      <c r="D850" s="97"/>
      <c r="E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  <c r="AA850" s="97"/>
      <c r="AB850" s="97"/>
      <c r="AC850" s="97"/>
    </row>
    <row r="851" spans="2:29" ht="11.25" customHeight="1" x14ac:dyDescent="0.45">
      <c r="B851" s="97"/>
      <c r="C851" s="97"/>
      <c r="D851" s="97"/>
      <c r="E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  <c r="AA851" s="97"/>
      <c r="AB851" s="97"/>
      <c r="AC851" s="97"/>
    </row>
    <row r="852" spans="2:29" ht="11.25" customHeight="1" x14ac:dyDescent="0.45">
      <c r="B852" s="97"/>
      <c r="C852" s="97"/>
      <c r="D852" s="97"/>
      <c r="E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  <c r="AA852" s="97"/>
      <c r="AB852" s="97"/>
      <c r="AC852" s="97"/>
    </row>
    <row r="853" spans="2:29" ht="11.25" customHeight="1" x14ac:dyDescent="0.45">
      <c r="B853" s="97"/>
      <c r="C853" s="97"/>
      <c r="D853" s="97"/>
      <c r="E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  <c r="AA853" s="97"/>
      <c r="AB853" s="97"/>
      <c r="AC853" s="97"/>
    </row>
    <row r="854" spans="2:29" ht="11.25" customHeight="1" x14ac:dyDescent="0.45">
      <c r="B854" s="97"/>
      <c r="C854" s="97"/>
      <c r="D854" s="97"/>
      <c r="E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  <c r="AA854" s="97"/>
      <c r="AB854" s="97"/>
      <c r="AC854" s="97"/>
    </row>
    <row r="855" spans="2:29" ht="11.25" customHeight="1" x14ac:dyDescent="0.45">
      <c r="B855" s="97"/>
      <c r="C855" s="97"/>
      <c r="D855" s="97"/>
      <c r="E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  <c r="AA855" s="97"/>
      <c r="AB855" s="97"/>
      <c r="AC855" s="97"/>
    </row>
    <row r="856" spans="2:29" ht="11.25" customHeight="1" x14ac:dyDescent="0.45">
      <c r="B856" s="97"/>
      <c r="C856" s="97"/>
      <c r="D856" s="97"/>
      <c r="E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  <c r="AA856" s="97"/>
      <c r="AB856" s="97"/>
      <c r="AC856" s="97"/>
    </row>
    <row r="857" spans="2:29" ht="11.25" customHeight="1" x14ac:dyDescent="0.45">
      <c r="B857" s="97"/>
      <c r="C857" s="97"/>
      <c r="D857" s="97"/>
      <c r="E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  <c r="AA857" s="97"/>
      <c r="AB857" s="97"/>
      <c r="AC857" s="97"/>
    </row>
    <row r="858" spans="2:29" ht="11.25" customHeight="1" x14ac:dyDescent="0.45">
      <c r="B858" s="97"/>
      <c r="C858" s="97"/>
      <c r="D858" s="97"/>
      <c r="E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  <c r="AA858" s="97"/>
      <c r="AB858" s="97"/>
      <c r="AC858" s="97"/>
    </row>
    <row r="859" spans="2:29" ht="11.25" customHeight="1" x14ac:dyDescent="0.45">
      <c r="B859" s="97"/>
      <c r="C859" s="97"/>
      <c r="D859" s="97"/>
      <c r="E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  <c r="AA859" s="97"/>
      <c r="AB859" s="97"/>
      <c r="AC859" s="97"/>
    </row>
    <row r="860" spans="2:29" ht="11.25" customHeight="1" x14ac:dyDescent="0.45">
      <c r="B860" s="97"/>
      <c r="C860" s="97"/>
      <c r="D860" s="97"/>
      <c r="E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  <c r="AA860" s="97"/>
      <c r="AB860" s="97"/>
      <c r="AC860" s="97"/>
    </row>
    <row r="861" spans="2:29" ht="11.25" customHeight="1" x14ac:dyDescent="0.45">
      <c r="B861" s="97"/>
      <c r="C861" s="97"/>
      <c r="D861" s="97"/>
      <c r="E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  <c r="AA861" s="97"/>
      <c r="AB861" s="97"/>
      <c r="AC861" s="97"/>
    </row>
    <row r="862" spans="2:29" ht="11.25" customHeight="1" x14ac:dyDescent="0.45">
      <c r="B862" s="97"/>
      <c r="C862" s="97"/>
      <c r="D862" s="97"/>
      <c r="E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  <c r="AA862" s="97"/>
      <c r="AB862" s="97"/>
      <c r="AC862" s="97"/>
    </row>
    <row r="863" spans="2:29" ht="11.25" customHeight="1" x14ac:dyDescent="0.45">
      <c r="B863" s="97"/>
      <c r="C863" s="97"/>
      <c r="D863" s="97"/>
      <c r="E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  <c r="AA863" s="97"/>
      <c r="AB863" s="97"/>
      <c r="AC863" s="97"/>
    </row>
    <row r="864" spans="2:29" ht="11.25" customHeight="1" x14ac:dyDescent="0.45">
      <c r="B864" s="97"/>
      <c r="C864" s="97"/>
      <c r="D864" s="97"/>
      <c r="E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  <c r="AA864" s="97"/>
      <c r="AB864" s="97"/>
      <c r="AC864" s="97"/>
    </row>
    <row r="865" spans="2:29" ht="11.25" customHeight="1" x14ac:dyDescent="0.45">
      <c r="B865" s="97"/>
      <c r="C865" s="97"/>
      <c r="D865" s="97"/>
      <c r="E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  <c r="AA865" s="97"/>
      <c r="AB865" s="97"/>
      <c r="AC865" s="97"/>
    </row>
    <row r="866" spans="2:29" ht="11.25" customHeight="1" x14ac:dyDescent="0.45">
      <c r="B866" s="97"/>
      <c r="C866" s="97"/>
      <c r="D866" s="97"/>
      <c r="E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  <c r="AA866" s="97"/>
      <c r="AB866" s="97"/>
      <c r="AC866" s="97"/>
    </row>
    <row r="867" spans="2:29" ht="11.25" customHeight="1" x14ac:dyDescent="0.45">
      <c r="B867" s="97"/>
      <c r="C867" s="97"/>
      <c r="D867" s="97"/>
      <c r="E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  <c r="AA867" s="97"/>
      <c r="AB867" s="97"/>
      <c r="AC867" s="97"/>
    </row>
    <row r="868" spans="2:29" ht="11.25" customHeight="1" x14ac:dyDescent="0.45">
      <c r="B868" s="97"/>
      <c r="C868" s="97"/>
      <c r="D868" s="97"/>
      <c r="E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  <c r="AA868" s="97"/>
      <c r="AB868" s="97"/>
      <c r="AC868" s="97"/>
    </row>
    <row r="869" spans="2:29" ht="11.25" customHeight="1" x14ac:dyDescent="0.45">
      <c r="B869" s="97"/>
      <c r="C869" s="97"/>
      <c r="D869" s="97"/>
      <c r="E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  <c r="AA869" s="97"/>
      <c r="AB869" s="97"/>
      <c r="AC869" s="97"/>
    </row>
    <row r="870" spans="2:29" ht="11.25" customHeight="1" x14ac:dyDescent="0.45">
      <c r="B870" s="97"/>
      <c r="C870" s="97"/>
      <c r="D870" s="97"/>
      <c r="E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  <c r="AA870" s="97"/>
      <c r="AB870" s="97"/>
      <c r="AC870" s="97"/>
    </row>
    <row r="871" spans="2:29" ht="11.25" customHeight="1" x14ac:dyDescent="0.45">
      <c r="B871" s="97"/>
      <c r="C871" s="97"/>
      <c r="D871" s="97"/>
      <c r="E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  <c r="AA871" s="97"/>
      <c r="AB871" s="97"/>
      <c r="AC871" s="97"/>
    </row>
    <row r="872" spans="2:29" ht="11.25" customHeight="1" x14ac:dyDescent="0.45">
      <c r="B872" s="97"/>
      <c r="C872" s="97"/>
      <c r="D872" s="97"/>
      <c r="E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  <c r="AA872" s="97"/>
      <c r="AB872" s="97"/>
      <c r="AC872" s="97"/>
    </row>
    <row r="873" spans="2:29" ht="11.25" customHeight="1" x14ac:dyDescent="0.45">
      <c r="B873" s="97"/>
      <c r="C873" s="97"/>
      <c r="D873" s="97"/>
      <c r="E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  <c r="AA873" s="97"/>
      <c r="AB873" s="97"/>
      <c r="AC873" s="97"/>
    </row>
    <row r="874" spans="2:29" ht="11.25" customHeight="1" x14ac:dyDescent="0.45">
      <c r="B874" s="97"/>
      <c r="C874" s="97"/>
      <c r="D874" s="97"/>
      <c r="E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  <c r="AA874" s="97"/>
      <c r="AB874" s="97"/>
      <c r="AC874" s="97"/>
    </row>
    <row r="875" spans="2:29" ht="11.25" customHeight="1" x14ac:dyDescent="0.45">
      <c r="B875" s="97"/>
      <c r="C875" s="97"/>
      <c r="D875" s="97"/>
      <c r="E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  <c r="AA875" s="97"/>
      <c r="AB875" s="97"/>
      <c r="AC875" s="97"/>
    </row>
    <row r="876" spans="2:29" ht="11.25" customHeight="1" x14ac:dyDescent="0.45">
      <c r="B876" s="97"/>
      <c r="C876" s="97"/>
      <c r="D876" s="97"/>
      <c r="E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  <c r="AA876" s="97"/>
      <c r="AB876" s="97"/>
      <c r="AC876" s="97"/>
    </row>
    <row r="877" spans="2:29" ht="11.25" customHeight="1" x14ac:dyDescent="0.45">
      <c r="B877" s="97"/>
      <c r="C877" s="97"/>
      <c r="D877" s="97"/>
      <c r="E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  <c r="AA877" s="97"/>
      <c r="AB877" s="97"/>
      <c r="AC877" s="97"/>
    </row>
    <row r="878" spans="2:29" ht="11.25" customHeight="1" x14ac:dyDescent="0.45">
      <c r="B878" s="97"/>
      <c r="C878" s="97"/>
      <c r="D878" s="97"/>
      <c r="E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  <c r="AA878" s="97"/>
      <c r="AB878" s="97"/>
      <c r="AC878" s="97"/>
    </row>
    <row r="879" spans="2:29" ht="11.25" customHeight="1" x14ac:dyDescent="0.45">
      <c r="B879" s="97"/>
      <c r="C879" s="97"/>
      <c r="D879" s="97"/>
      <c r="E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  <c r="AA879" s="97"/>
      <c r="AB879" s="97"/>
      <c r="AC879" s="97"/>
    </row>
    <row r="880" spans="2:29" ht="11.25" customHeight="1" x14ac:dyDescent="0.45">
      <c r="B880" s="97"/>
      <c r="C880" s="97"/>
      <c r="D880" s="97"/>
      <c r="E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  <c r="AA880" s="97"/>
      <c r="AB880" s="97"/>
      <c r="AC880" s="97"/>
    </row>
    <row r="881" spans="2:29" ht="11.25" customHeight="1" x14ac:dyDescent="0.45">
      <c r="B881" s="97"/>
      <c r="C881" s="97"/>
      <c r="D881" s="97"/>
      <c r="E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  <c r="AA881" s="97"/>
      <c r="AB881" s="97"/>
      <c r="AC881" s="97"/>
    </row>
    <row r="882" spans="2:29" ht="11.25" customHeight="1" x14ac:dyDescent="0.45">
      <c r="B882" s="97"/>
      <c r="C882" s="97"/>
      <c r="D882" s="97"/>
      <c r="E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  <c r="AA882" s="97"/>
      <c r="AB882" s="97"/>
      <c r="AC882" s="97"/>
    </row>
    <row r="883" spans="2:29" ht="11.25" customHeight="1" x14ac:dyDescent="0.45">
      <c r="B883" s="97"/>
      <c r="C883" s="97"/>
      <c r="D883" s="97"/>
      <c r="E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  <c r="AA883" s="97"/>
      <c r="AB883" s="97"/>
      <c r="AC883" s="97"/>
    </row>
    <row r="884" spans="2:29" ht="11.25" customHeight="1" x14ac:dyDescent="0.45">
      <c r="B884" s="97"/>
      <c r="C884" s="97"/>
      <c r="D884" s="97"/>
      <c r="E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  <c r="AA884" s="97"/>
      <c r="AB884" s="97"/>
      <c r="AC884" s="97"/>
    </row>
    <row r="885" spans="2:29" ht="11.25" customHeight="1" x14ac:dyDescent="0.45">
      <c r="B885" s="97"/>
      <c r="C885" s="97"/>
      <c r="D885" s="97"/>
      <c r="E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  <c r="AA885" s="97"/>
      <c r="AB885" s="97"/>
      <c r="AC885" s="97"/>
    </row>
    <row r="886" spans="2:29" ht="11.25" customHeight="1" x14ac:dyDescent="0.45">
      <c r="B886" s="97"/>
      <c r="C886" s="97"/>
      <c r="D886" s="97"/>
      <c r="E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  <c r="AA886" s="97"/>
      <c r="AB886" s="97"/>
      <c r="AC886" s="97"/>
    </row>
    <row r="887" spans="2:29" ht="11.25" customHeight="1" x14ac:dyDescent="0.45">
      <c r="B887" s="97"/>
      <c r="C887" s="97"/>
      <c r="D887" s="97"/>
      <c r="E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  <c r="AA887" s="97"/>
      <c r="AB887" s="97"/>
      <c r="AC887" s="97"/>
    </row>
    <row r="888" spans="2:29" ht="11.25" customHeight="1" x14ac:dyDescent="0.45">
      <c r="B888" s="97"/>
      <c r="C888" s="97"/>
      <c r="D888" s="97"/>
      <c r="E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  <c r="AA888" s="97"/>
      <c r="AB888" s="97"/>
      <c r="AC888" s="97"/>
    </row>
    <row r="889" spans="2:29" ht="11.25" customHeight="1" x14ac:dyDescent="0.45">
      <c r="B889" s="97"/>
      <c r="C889" s="97"/>
      <c r="D889" s="97"/>
      <c r="E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  <c r="AA889" s="97"/>
      <c r="AB889" s="97"/>
      <c r="AC889" s="97"/>
    </row>
    <row r="890" spans="2:29" ht="11.25" customHeight="1" x14ac:dyDescent="0.45">
      <c r="B890" s="97"/>
      <c r="C890" s="97"/>
      <c r="D890" s="97"/>
      <c r="E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  <c r="AA890" s="97"/>
      <c r="AB890" s="97"/>
      <c r="AC890" s="97"/>
    </row>
    <row r="891" spans="2:29" ht="11.25" customHeight="1" x14ac:dyDescent="0.45">
      <c r="B891" s="97"/>
      <c r="C891" s="97"/>
      <c r="D891" s="97"/>
      <c r="E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  <c r="AA891" s="97"/>
      <c r="AB891" s="97"/>
      <c r="AC891" s="97"/>
    </row>
    <row r="892" spans="2:29" ht="11.25" customHeight="1" x14ac:dyDescent="0.45">
      <c r="B892" s="97"/>
      <c r="C892" s="97"/>
      <c r="D892" s="97"/>
      <c r="E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  <c r="AA892" s="97"/>
      <c r="AB892" s="97"/>
      <c r="AC892" s="97"/>
    </row>
    <row r="893" spans="2:29" ht="11.25" customHeight="1" x14ac:dyDescent="0.45">
      <c r="B893" s="97"/>
      <c r="C893" s="97"/>
      <c r="D893" s="97"/>
      <c r="E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  <c r="AA893" s="97"/>
      <c r="AB893" s="97"/>
      <c r="AC893" s="97"/>
    </row>
    <row r="894" spans="2:29" ht="11.25" customHeight="1" x14ac:dyDescent="0.45">
      <c r="B894" s="97"/>
      <c r="C894" s="97"/>
      <c r="D894" s="97"/>
      <c r="E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  <c r="AA894" s="97"/>
      <c r="AB894" s="97"/>
      <c r="AC894" s="97"/>
    </row>
    <row r="895" spans="2:29" ht="11.25" customHeight="1" x14ac:dyDescent="0.45">
      <c r="B895" s="97"/>
      <c r="C895" s="97"/>
      <c r="D895" s="97"/>
      <c r="E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  <c r="AA895" s="97"/>
      <c r="AB895" s="97"/>
      <c r="AC895" s="97"/>
    </row>
    <row r="896" spans="2:29" ht="11.25" customHeight="1" x14ac:dyDescent="0.45">
      <c r="B896" s="97"/>
      <c r="C896" s="97"/>
      <c r="D896" s="97"/>
      <c r="E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  <c r="AA896" s="97"/>
      <c r="AB896" s="97"/>
      <c r="AC896" s="97"/>
    </row>
    <row r="897" spans="2:29" ht="11.25" customHeight="1" x14ac:dyDescent="0.45">
      <c r="B897" s="97"/>
      <c r="C897" s="97"/>
      <c r="D897" s="97"/>
      <c r="E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  <c r="AA897" s="97"/>
      <c r="AB897" s="97"/>
      <c r="AC897" s="97"/>
    </row>
    <row r="898" spans="2:29" ht="11.25" customHeight="1" x14ac:dyDescent="0.45">
      <c r="B898" s="97"/>
      <c r="C898" s="97"/>
      <c r="D898" s="97"/>
      <c r="E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  <c r="AA898" s="97"/>
      <c r="AB898" s="97"/>
      <c r="AC898" s="97"/>
    </row>
    <row r="899" spans="2:29" ht="11.25" customHeight="1" x14ac:dyDescent="0.45">
      <c r="B899" s="97"/>
      <c r="C899" s="97"/>
      <c r="D899" s="97"/>
      <c r="E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  <c r="AA899" s="97"/>
      <c r="AB899" s="97"/>
      <c r="AC899" s="97"/>
    </row>
    <row r="900" spans="2:29" ht="11.25" customHeight="1" x14ac:dyDescent="0.45">
      <c r="B900" s="97"/>
      <c r="C900" s="97"/>
      <c r="D900" s="97"/>
      <c r="E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  <c r="AA900" s="97"/>
      <c r="AB900" s="97"/>
      <c r="AC900" s="97"/>
    </row>
    <row r="901" spans="2:29" ht="11.25" customHeight="1" x14ac:dyDescent="0.45">
      <c r="B901" s="97"/>
      <c r="C901" s="97"/>
      <c r="D901" s="97"/>
      <c r="E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  <c r="AA901" s="97"/>
      <c r="AB901" s="97"/>
      <c r="AC901" s="97"/>
    </row>
    <row r="902" spans="2:29" ht="11.25" customHeight="1" x14ac:dyDescent="0.45">
      <c r="B902" s="97"/>
      <c r="C902" s="97"/>
      <c r="D902" s="97"/>
      <c r="E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  <c r="AA902" s="97"/>
      <c r="AB902" s="97"/>
      <c r="AC902" s="97"/>
    </row>
    <row r="903" spans="2:29" ht="11.25" customHeight="1" x14ac:dyDescent="0.45">
      <c r="B903" s="97"/>
      <c r="C903" s="97"/>
      <c r="D903" s="97"/>
      <c r="E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  <c r="AA903" s="97"/>
      <c r="AB903" s="97"/>
      <c r="AC903" s="97"/>
    </row>
    <row r="904" spans="2:29" ht="11.25" customHeight="1" x14ac:dyDescent="0.45">
      <c r="B904" s="97"/>
      <c r="C904" s="97"/>
      <c r="D904" s="97"/>
      <c r="E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  <c r="AA904" s="97"/>
      <c r="AB904" s="97"/>
      <c r="AC904" s="97"/>
    </row>
    <row r="905" spans="2:29" ht="11.25" customHeight="1" x14ac:dyDescent="0.45">
      <c r="B905" s="97"/>
      <c r="C905" s="97"/>
      <c r="D905" s="97"/>
      <c r="E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  <c r="AA905" s="97"/>
      <c r="AB905" s="97"/>
      <c r="AC905" s="97"/>
    </row>
    <row r="906" spans="2:29" ht="11.25" customHeight="1" x14ac:dyDescent="0.45">
      <c r="B906" s="97"/>
      <c r="C906" s="97"/>
      <c r="D906" s="97"/>
      <c r="E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  <c r="AA906" s="97"/>
      <c r="AB906" s="97"/>
      <c r="AC906" s="97"/>
    </row>
    <row r="907" spans="2:29" ht="11.25" customHeight="1" x14ac:dyDescent="0.45">
      <c r="B907" s="97"/>
      <c r="C907" s="97"/>
      <c r="D907" s="97"/>
      <c r="E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  <c r="AA907" s="97"/>
      <c r="AB907" s="97"/>
      <c r="AC907" s="97"/>
    </row>
    <row r="908" spans="2:29" ht="11.25" customHeight="1" x14ac:dyDescent="0.45">
      <c r="B908" s="97"/>
      <c r="C908" s="97"/>
      <c r="D908" s="97"/>
      <c r="E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  <c r="AA908" s="97"/>
      <c r="AB908" s="97"/>
      <c r="AC908" s="97"/>
    </row>
    <row r="909" spans="2:29" ht="11.25" customHeight="1" x14ac:dyDescent="0.45">
      <c r="B909" s="97"/>
      <c r="C909" s="97"/>
      <c r="D909" s="97"/>
      <c r="E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  <c r="AA909" s="97"/>
      <c r="AB909" s="97"/>
      <c r="AC909" s="97"/>
    </row>
    <row r="910" spans="2:29" ht="11.25" customHeight="1" x14ac:dyDescent="0.45">
      <c r="B910" s="97"/>
      <c r="C910" s="97"/>
      <c r="D910" s="97"/>
      <c r="E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  <c r="AA910" s="97"/>
      <c r="AB910" s="97"/>
      <c r="AC910" s="97"/>
    </row>
    <row r="911" spans="2:29" ht="11.25" customHeight="1" x14ac:dyDescent="0.45">
      <c r="B911" s="97"/>
      <c r="C911" s="97"/>
      <c r="D911" s="97"/>
      <c r="E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  <c r="AA911" s="97"/>
      <c r="AB911" s="97"/>
      <c r="AC911" s="97"/>
    </row>
    <row r="912" spans="2:29" ht="11.25" customHeight="1" x14ac:dyDescent="0.45">
      <c r="B912" s="97"/>
      <c r="C912" s="97"/>
      <c r="D912" s="97"/>
      <c r="E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  <c r="AA912" s="97"/>
      <c r="AB912" s="97"/>
      <c r="AC912" s="97"/>
    </row>
    <row r="913" spans="2:29" ht="11.25" customHeight="1" x14ac:dyDescent="0.45">
      <c r="B913" s="97"/>
      <c r="C913" s="97"/>
      <c r="D913" s="97"/>
      <c r="E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  <c r="AA913" s="97"/>
      <c r="AB913" s="97"/>
      <c r="AC913" s="97"/>
    </row>
    <row r="914" spans="2:29" ht="11.25" customHeight="1" x14ac:dyDescent="0.45">
      <c r="B914" s="97"/>
      <c r="C914" s="97"/>
      <c r="D914" s="97"/>
      <c r="E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  <c r="AA914" s="97"/>
      <c r="AB914" s="97"/>
      <c r="AC914" s="97"/>
    </row>
    <row r="915" spans="2:29" ht="11.25" customHeight="1" x14ac:dyDescent="0.45">
      <c r="B915" s="97"/>
      <c r="C915" s="97"/>
      <c r="D915" s="97"/>
      <c r="E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  <c r="AA915" s="97"/>
      <c r="AB915" s="97"/>
      <c r="AC915" s="97"/>
    </row>
    <row r="916" spans="2:29" ht="11.25" customHeight="1" x14ac:dyDescent="0.45">
      <c r="B916" s="97"/>
      <c r="C916" s="97"/>
      <c r="D916" s="97"/>
      <c r="E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  <c r="AA916" s="97"/>
      <c r="AB916" s="97"/>
      <c r="AC916" s="97"/>
    </row>
    <row r="917" spans="2:29" ht="11.25" customHeight="1" x14ac:dyDescent="0.45">
      <c r="B917" s="97"/>
      <c r="C917" s="97"/>
      <c r="D917" s="97"/>
      <c r="E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  <c r="AA917" s="97"/>
      <c r="AB917" s="97"/>
      <c r="AC917" s="97"/>
    </row>
    <row r="918" spans="2:29" ht="11.25" customHeight="1" x14ac:dyDescent="0.45">
      <c r="B918" s="97"/>
      <c r="C918" s="97"/>
      <c r="D918" s="97"/>
      <c r="E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  <c r="AA918" s="97"/>
      <c r="AB918" s="97"/>
      <c r="AC918" s="97"/>
    </row>
    <row r="919" spans="2:29" ht="11.25" customHeight="1" x14ac:dyDescent="0.45">
      <c r="B919" s="97"/>
      <c r="C919" s="97"/>
      <c r="D919" s="97"/>
      <c r="E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  <c r="AA919" s="97"/>
      <c r="AB919" s="97"/>
      <c r="AC919" s="97"/>
    </row>
    <row r="920" spans="2:29" ht="11.25" customHeight="1" x14ac:dyDescent="0.45">
      <c r="B920" s="97"/>
      <c r="C920" s="97"/>
      <c r="D920" s="97"/>
      <c r="E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  <c r="AA920" s="97"/>
      <c r="AB920" s="97"/>
      <c r="AC920" s="97"/>
    </row>
    <row r="921" spans="2:29" ht="11.25" customHeight="1" x14ac:dyDescent="0.45">
      <c r="B921" s="97"/>
      <c r="C921" s="97"/>
      <c r="D921" s="97"/>
      <c r="E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  <c r="AA921" s="97"/>
      <c r="AB921" s="97"/>
      <c r="AC921" s="97"/>
    </row>
    <row r="922" spans="2:29" ht="11.25" customHeight="1" x14ac:dyDescent="0.45">
      <c r="B922" s="97"/>
      <c r="C922" s="97"/>
      <c r="D922" s="97"/>
      <c r="E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  <c r="AA922" s="97"/>
      <c r="AB922" s="97"/>
      <c r="AC922" s="97"/>
    </row>
    <row r="923" spans="2:29" ht="11.25" customHeight="1" x14ac:dyDescent="0.45">
      <c r="B923" s="97"/>
      <c r="C923" s="97"/>
      <c r="D923" s="97"/>
      <c r="E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  <c r="AA923" s="97"/>
      <c r="AB923" s="97"/>
      <c r="AC923" s="97"/>
    </row>
    <row r="924" spans="2:29" ht="11.25" customHeight="1" x14ac:dyDescent="0.45">
      <c r="B924" s="97"/>
      <c r="C924" s="97"/>
      <c r="D924" s="97"/>
      <c r="E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  <c r="AA924" s="97"/>
      <c r="AB924" s="97"/>
      <c r="AC924" s="97"/>
    </row>
    <row r="925" spans="2:29" ht="11.25" customHeight="1" x14ac:dyDescent="0.45">
      <c r="B925" s="97"/>
      <c r="C925" s="97"/>
      <c r="D925" s="97"/>
      <c r="E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  <c r="AA925" s="97"/>
      <c r="AB925" s="97"/>
      <c r="AC925" s="97"/>
    </row>
    <row r="926" spans="2:29" ht="11.25" customHeight="1" x14ac:dyDescent="0.45">
      <c r="B926" s="97"/>
      <c r="C926" s="97"/>
      <c r="D926" s="97"/>
      <c r="E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  <c r="AA926" s="97"/>
      <c r="AB926" s="97"/>
      <c r="AC926" s="97"/>
    </row>
    <row r="927" spans="2:29" ht="11.25" customHeight="1" x14ac:dyDescent="0.45">
      <c r="B927" s="97"/>
      <c r="C927" s="97"/>
      <c r="D927" s="97"/>
      <c r="E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  <c r="AA927" s="97"/>
      <c r="AB927" s="97"/>
      <c r="AC927" s="97"/>
    </row>
    <row r="928" spans="2:29" ht="11.25" customHeight="1" x14ac:dyDescent="0.45">
      <c r="B928" s="97"/>
      <c r="C928" s="97"/>
      <c r="D928" s="97"/>
      <c r="E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  <c r="AA928" s="97"/>
      <c r="AB928" s="97"/>
      <c r="AC928" s="97"/>
    </row>
    <row r="929" spans="2:29" ht="11.25" customHeight="1" x14ac:dyDescent="0.45">
      <c r="B929" s="97"/>
      <c r="C929" s="97"/>
      <c r="D929" s="97"/>
      <c r="E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  <c r="AA929" s="97"/>
      <c r="AB929" s="97"/>
      <c r="AC929" s="97"/>
    </row>
    <row r="930" spans="2:29" ht="11.25" customHeight="1" x14ac:dyDescent="0.45">
      <c r="B930" s="97"/>
      <c r="C930" s="97"/>
      <c r="D930" s="97"/>
      <c r="E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  <c r="AA930" s="97"/>
      <c r="AB930" s="97"/>
      <c r="AC930" s="97"/>
    </row>
    <row r="931" spans="2:29" ht="11.25" customHeight="1" x14ac:dyDescent="0.45">
      <c r="B931" s="97"/>
      <c r="C931" s="97"/>
      <c r="D931" s="97"/>
      <c r="E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  <c r="AA931" s="97"/>
      <c r="AB931" s="97"/>
      <c r="AC931" s="97"/>
    </row>
    <row r="932" spans="2:29" ht="11.25" customHeight="1" x14ac:dyDescent="0.45">
      <c r="B932" s="97"/>
      <c r="C932" s="97"/>
      <c r="D932" s="97"/>
      <c r="E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  <c r="AA932" s="97"/>
      <c r="AB932" s="97"/>
      <c r="AC932" s="97"/>
    </row>
    <row r="933" spans="2:29" ht="11.25" customHeight="1" x14ac:dyDescent="0.45">
      <c r="B933" s="97"/>
      <c r="C933" s="97"/>
      <c r="D933" s="97"/>
      <c r="E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  <c r="AA933" s="97"/>
      <c r="AB933" s="97"/>
      <c r="AC933" s="97"/>
    </row>
    <row r="934" spans="2:29" ht="11.25" customHeight="1" x14ac:dyDescent="0.45">
      <c r="B934" s="97"/>
      <c r="C934" s="97"/>
      <c r="D934" s="97"/>
      <c r="E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  <c r="AA934" s="97"/>
      <c r="AB934" s="97"/>
      <c r="AC934" s="97"/>
    </row>
    <row r="935" spans="2:29" ht="11.25" customHeight="1" x14ac:dyDescent="0.45">
      <c r="B935" s="97"/>
      <c r="C935" s="97"/>
      <c r="D935" s="97"/>
      <c r="E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  <c r="AA935" s="97"/>
      <c r="AB935" s="97"/>
      <c r="AC935" s="97"/>
    </row>
    <row r="936" spans="2:29" ht="11.25" customHeight="1" x14ac:dyDescent="0.45">
      <c r="B936" s="97"/>
      <c r="C936" s="97"/>
      <c r="D936" s="97"/>
      <c r="E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  <c r="AA936" s="97"/>
      <c r="AB936" s="97"/>
      <c r="AC936" s="97"/>
    </row>
    <row r="937" spans="2:29" ht="11.25" customHeight="1" x14ac:dyDescent="0.45">
      <c r="B937" s="97"/>
      <c r="C937" s="97"/>
      <c r="D937" s="97"/>
      <c r="E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  <c r="AA937" s="97"/>
      <c r="AB937" s="97"/>
      <c r="AC937" s="97"/>
    </row>
    <row r="938" spans="2:29" ht="11.25" customHeight="1" x14ac:dyDescent="0.45">
      <c r="B938" s="97"/>
      <c r="C938" s="97"/>
      <c r="D938" s="97"/>
      <c r="E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  <c r="AA938" s="97"/>
      <c r="AB938" s="97"/>
      <c r="AC938" s="97"/>
    </row>
    <row r="939" spans="2:29" ht="11.25" customHeight="1" x14ac:dyDescent="0.45">
      <c r="B939" s="97"/>
      <c r="C939" s="97"/>
      <c r="D939" s="97"/>
      <c r="E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  <c r="AA939" s="97"/>
      <c r="AB939" s="97"/>
      <c r="AC939" s="97"/>
    </row>
    <row r="940" spans="2:29" ht="11.25" customHeight="1" x14ac:dyDescent="0.45">
      <c r="B940" s="97"/>
      <c r="C940" s="97"/>
      <c r="D940" s="97"/>
      <c r="E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  <c r="AA940" s="97"/>
      <c r="AB940" s="97"/>
      <c r="AC940" s="97"/>
    </row>
    <row r="941" spans="2:29" ht="11.25" customHeight="1" x14ac:dyDescent="0.45">
      <c r="B941" s="97"/>
      <c r="C941" s="97"/>
      <c r="D941" s="97"/>
      <c r="E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  <c r="AA941" s="97"/>
      <c r="AB941" s="97"/>
      <c r="AC941" s="97"/>
    </row>
    <row r="942" spans="2:29" ht="11.25" customHeight="1" x14ac:dyDescent="0.45">
      <c r="B942" s="97"/>
      <c r="C942" s="97"/>
      <c r="D942" s="97"/>
      <c r="E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  <c r="AA942" s="97"/>
      <c r="AB942" s="97"/>
      <c r="AC942" s="97"/>
    </row>
    <row r="943" spans="2:29" ht="11.25" customHeight="1" x14ac:dyDescent="0.45">
      <c r="B943" s="97"/>
      <c r="C943" s="97"/>
      <c r="D943" s="97"/>
      <c r="E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  <c r="AA943" s="97"/>
      <c r="AB943" s="97"/>
      <c r="AC943" s="97"/>
    </row>
    <row r="944" spans="2:29" ht="11.25" customHeight="1" x14ac:dyDescent="0.45">
      <c r="B944" s="97"/>
      <c r="C944" s="97"/>
      <c r="D944" s="97"/>
      <c r="E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  <c r="AA944" s="97"/>
      <c r="AB944" s="97"/>
      <c r="AC944" s="97"/>
    </row>
    <row r="945" spans="2:29" ht="11.25" customHeight="1" x14ac:dyDescent="0.45">
      <c r="B945" s="97"/>
      <c r="C945" s="97"/>
      <c r="D945" s="97"/>
      <c r="E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  <c r="AA945" s="97"/>
      <c r="AB945" s="97"/>
      <c r="AC945" s="97"/>
    </row>
    <row r="946" spans="2:29" ht="11.25" customHeight="1" x14ac:dyDescent="0.45">
      <c r="B946" s="97"/>
      <c r="C946" s="97"/>
      <c r="D946" s="97"/>
      <c r="E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  <c r="AA946" s="97"/>
      <c r="AB946" s="97"/>
      <c r="AC946" s="97"/>
    </row>
    <row r="947" spans="2:29" ht="11.25" customHeight="1" x14ac:dyDescent="0.45">
      <c r="B947" s="97"/>
      <c r="C947" s="97"/>
      <c r="D947" s="97"/>
      <c r="E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  <c r="AA947" s="97"/>
      <c r="AB947" s="97"/>
      <c r="AC947" s="97"/>
    </row>
    <row r="948" spans="2:29" ht="11.25" customHeight="1" x14ac:dyDescent="0.45">
      <c r="B948" s="97"/>
      <c r="C948" s="97"/>
      <c r="D948" s="97"/>
      <c r="E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  <c r="AA948" s="97"/>
      <c r="AB948" s="97"/>
      <c r="AC948" s="97"/>
    </row>
    <row r="949" spans="2:29" ht="11.25" customHeight="1" x14ac:dyDescent="0.45">
      <c r="B949" s="97"/>
      <c r="C949" s="97"/>
      <c r="D949" s="97"/>
      <c r="E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  <c r="AA949" s="97"/>
      <c r="AB949" s="97"/>
      <c r="AC949" s="97"/>
    </row>
    <row r="950" spans="2:29" ht="11.25" customHeight="1" x14ac:dyDescent="0.45">
      <c r="B950" s="97"/>
      <c r="C950" s="97"/>
      <c r="D950" s="97"/>
      <c r="E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  <c r="AA950" s="97"/>
      <c r="AB950" s="97"/>
      <c r="AC950" s="97"/>
    </row>
    <row r="951" spans="2:29" ht="11.25" customHeight="1" x14ac:dyDescent="0.45">
      <c r="B951" s="97"/>
      <c r="C951" s="97"/>
      <c r="D951" s="97"/>
      <c r="E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  <c r="AA951" s="97"/>
      <c r="AB951" s="97"/>
      <c r="AC951" s="97"/>
    </row>
    <row r="952" spans="2:29" ht="11.25" customHeight="1" x14ac:dyDescent="0.45">
      <c r="B952" s="97"/>
      <c r="C952" s="97"/>
      <c r="D952" s="97"/>
      <c r="E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  <c r="AA952" s="97"/>
      <c r="AB952" s="97"/>
      <c r="AC952" s="97"/>
    </row>
    <row r="953" spans="2:29" ht="11.25" customHeight="1" x14ac:dyDescent="0.45">
      <c r="B953" s="97"/>
      <c r="C953" s="97"/>
      <c r="D953" s="97"/>
      <c r="E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  <c r="AA953" s="97"/>
      <c r="AB953" s="97"/>
      <c r="AC953" s="97"/>
    </row>
    <row r="954" spans="2:29" ht="11.25" customHeight="1" x14ac:dyDescent="0.45">
      <c r="B954" s="97"/>
      <c r="C954" s="97"/>
      <c r="D954" s="97"/>
      <c r="E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  <c r="AA954" s="97"/>
      <c r="AB954" s="97"/>
      <c r="AC954" s="97"/>
    </row>
    <row r="955" spans="2:29" ht="11.25" customHeight="1" x14ac:dyDescent="0.45">
      <c r="B955" s="97"/>
      <c r="C955" s="97"/>
      <c r="D955" s="97"/>
      <c r="E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  <c r="AA955" s="97"/>
      <c r="AB955" s="97"/>
      <c r="AC955" s="97"/>
    </row>
    <row r="956" spans="2:29" ht="11.25" customHeight="1" x14ac:dyDescent="0.45">
      <c r="B956" s="97"/>
      <c r="C956" s="97"/>
      <c r="D956" s="97"/>
      <c r="E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  <c r="AA956" s="97"/>
      <c r="AB956" s="97"/>
      <c r="AC956" s="97"/>
    </row>
    <row r="957" spans="2:29" ht="11.25" customHeight="1" x14ac:dyDescent="0.45">
      <c r="B957" s="97"/>
      <c r="C957" s="97"/>
      <c r="D957" s="97"/>
      <c r="E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  <c r="AA957" s="97"/>
      <c r="AB957" s="97"/>
      <c r="AC957" s="97"/>
    </row>
    <row r="958" spans="2:29" ht="11.25" customHeight="1" x14ac:dyDescent="0.45">
      <c r="B958" s="97"/>
      <c r="C958" s="97"/>
      <c r="D958" s="97"/>
      <c r="E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  <c r="AA958" s="97"/>
      <c r="AB958" s="97"/>
      <c r="AC958" s="97"/>
    </row>
    <row r="959" spans="2:29" ht="11.25" customHeight="1" x14ac:dyDescent="0.45">
      <c r="B959" s="97"/>
      <c r="C959" s="97"/>
      <c r="D959" s="97"/>
      <c r="E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  <c r="AA959" s="97"/>
      <c r="AB959" s="97"/>
      <c r="AC959" s="97"/>
    </row>
    <row r="960" spans="2:29" ht="11.25" customHeight="1" x14ac:dyDescent="0.45">
      <c r="B960" s="97"/>
      <c r="C960" s="97"/>
      <c r="D960" s="97"/>
      <c r="E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  <c r="AA960" s="97"/>
      <c r="AB960" s="97"/>
      <c r="AC960" s="97"/>
    </row>
    <row r="961" spans="2:29" ht="11.25" customHeight="1" x14ac:dyDescent="0.45">
      <c r="B961" s="97"/>
      <c r="C961" s="97"/>
      <c r="D961" s="97"/>
      <c r="E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  <c r="AA961" s="97"/>
      <c r="AB961" s="97"/>
      <c r="AC961" s="97"/>
    </row>
    <row r="962" spans="2:29" ht="11.25" customHeight="1" x14ac:dyDescent="0.45">
      <c r="B962" s="97"/>
      <c r="C962" s="97"/>
      <c r="D962" s="97"/>
      <c r="E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  <c r="AA962" s="97"/>
      <c r="AB962" s="97"/>
      <c r="AC962" s="97"/>
    </row>
    <row r="963" spans="2:29" ht="11.25" customHeight="1" x14ac:dyDescent="0.45">
      <c r="B963" s="97"/>
      <c r="C963" s="97"/>
      <c r="D963" s="97"/>
      <c r="E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  <c r="AA963" s="97"/>
      <c r="AB963" s="97"/>
      <c r="AC963" s="97"/>
    </row>
    <row r="964" spans="2:29" ht="11.25" customHeight="1" x14ac:dyDescent="0.45">
      <c r="B964" s="97"/>
      <c r="C964" s="97"/>
      <c r="D964" s="97"/>
      <c r="E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  <c r="AA964" s="97"/>
      <c r="AB964" s="97"/>
      <c r="AC964" s="97"/>
    </row>
    <row r="965" spans="2:29" ht="11.25" customHeight="1" x14ac:dyDescent="0.45">
      <c r="B965" s="97"/>
      <c r="C965" s="97"/>
      <c r="D965" s="97"/>
      <c r="E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  <c r="AA965" s="97"/>
      <c r="AB965" s="97"/>
      <c r="AC965" s="97"/>
    </row>
    <row r="966" spans="2:29" ht="11.25" customHeight="1" x14ac:dyDescent="0.45">
      <c r="B966" s="97"/>
      <c r="C966" s="97"/>
      <c r="D966" s="97"/>
      <c r="E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  <c r="AA966" s="97"/>
      <c r="AB966" s="97"/>
      <c r="AC966" s="97"/>
    </row>
    <row r="967" spans="2:29" ht="11.25" customHeight="1" x14ac:dyDescent="0.45">
      <c r="B967" s="97"/>
      <c r="C967" s="97"/>
      <c r="D967" s="97"/>
      <c r="E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  <c r="AA967" s="97"/>
      <c r="AB967" s="97"/>
      <c r="AC967" s="97"/>
    </row>
    <row r="968" spans="2:29" ht="11.25" customHeight="1" x14ac:dyDescent="0.45">
      <c r="B968" s="97"/>
      <c r="C968" s="97"/>
      <c r="D968" s="97"/>
      <c r="E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  <c r="AA968" s="97"/>
      <c r="AB968" s="97"/>
      <c r="AC968" s="97"/>
    </row>
    <row r="969" spans="2:29" ht="11.25" customHeight="1" x14ac:dyDescent="0.45">
      <c r="B969" s="97"/>
      <c r="C969" s="97"/>
      <c r="D969" s="97"/>
      <c r="E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  <c r="AA969" s="97"/>
      <c r="AB969" s="97"/>
      <c r="AC969" s="97"/>
    </row>
    <row r="970" spans="2:29" ht="11.25" customHeight="1" x14ac:dyDescent="0.45">
      <c r="B970" s="97"/>
      <c r="C970" s="97"/>
      <c r="D970" s="97"/>
      <c r="E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  <c r="AA970" s="97"/>
      <c r="AB970" s="97"/>
      <c r="AC970" s="97"/>
    </row>
    <row r="971" spans="2:29" ht="11.25" customHeight="1" x14ac:dyDescent="0.45">
      <c r="B971" s="97"/>
      <c r="C971" s="97"/>
      <c r="D971" s="97"/>
      <c r="E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  <c r="AA971" s="97"/>
      <c r="AB971" s="97"/>
      <c r="AC971" s="97"/>
    </row>
    <row r="972" spans="2:29" ht="11.25" customHeight="1" x14ac:dyDescent="0.45">
      <c r="B972" s="97"/>
      <c r="C972" s="97"/>
      <c r="D972" s="97"/>
      <c r="E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  <c r="AA972" s="97"/>
      <c r="AB972" s="97"/>
      <c r="AC972" s="97"/>
    </row>
    <row r="973" spans="2:29" ht="11.25" customHeight="1" x14ac:dyDescent="0.45">
      <c r="B973" s="97"/>
      <c r="C973" s="97"/>
      <c r="D973" s="97"/>
      <c r="E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  <c r="AA973" s="97"/>
      <c r="AB973" s="97"/>
      <c r="AC973" s="97"/>
    </row>
    <row r="974" spans="2:29" ht="11.25" customHeight="1" x14ac:dyDescent="0.45">
      <c r="B974" s="97"/>
      <c r="C974" s="97"/>
      <c r="D974" s="97"/>
      <c r="E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  <c r="AA974" s="97"/>
      <c r="AB974" s="97"/>
      <c r="AC974" s="97"/>
    </row>
    <row r="975" spans="2:29" ht="11.25" customHeight="1" x14ac:dyDescent="0.45">
      <c r="B975" s="97"/>
      <c r="C975" s="97"/>
      <c r="D975" s="97"/>
      <c r="E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  <c r="AA975" s="97"/>
      <c r="AB975" s="97"/>
      <c r="AC975" s="97"/>
    </row>
    <row r="976" spans="2:29" ht="11.25" customHeight="1" x14ac:dyDescent="0.45">
      <c r="B976" s="97"/>
      <c r="C976" s="97"/>
      <c r="D976" s="97"/>
      <c r="E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  <c r="AA976" s="97"/>
      <c r="AB976" s="97"/>
      <c r="AC976" s="97"/>
    </row>
    <row r="977" spans="2:29" ht="11.25" customHeight="1" x14ac:dyDescent="0.45">
      <c r="B977" s="97"/>
      <c r="C977" s="97"/>
      <c r="D977" s="97"/>
      <c r="E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  <c r="AA977" s="97"/>
      <c r="AB977" s="97"/>
      <c r="AC977" s="97"/>
    </row>
    <row r="978" spans="2:29" ht="11.25" customHeight="1" x14ac:dyDescent="0.45">
      <c r="B978" s="97"/>
      <c r="C978" s="97"/>
      <c r="D978" s="97"/>
      <c r="E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  <c r="AA978" s="97"/>
      <c r="AB978" s="97"/>
      <c r="AC978" s="97"/>
    </row>
    <row r="979" spans="2:29" ht="11.25" customHeight="1" x14ac:dyDescent="0.45">
      <c r="B979" s="97"/>
      <c r="C979" s="97"/>
      <c r="D979" s="97"/>
      <c r="E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  <c r="AA979" s="97"/>
      <c r="AB979" s="97"/>
      <c r="AC979" s="97"/>
    </row>
    <row r="980" spans="2:29" ht="11.25" customHeight="1" x14ac:dyDescent="0.45">
      <c r="B980" s="97"/>
      <c r="C980" s="97"/>
      <c r="D980" s="97"/>
      <c r="E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  <c r="AA980" s="97"/>
      <c r="AB980" s="97"/>
      <c r="AC980" s="97"/>
    </row>
    <row r="981" spans="2:29" ht="11.25" customHeight="1" x14ac:dyDescent="0.45">
      <c r="B981" s="97"/>
      <c r="C981" s="97"/>
      <c r="D981" s="97"/>
      <c r="E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  <c r="AA981" s="97"/>
      <c r="AB981" s="97"/>
      <c r="AC981" s="97"/>
    </row>
    <row r="982" spans="2:29" ht="11.25" customHeight="1" x14ac:dyDescent="0.45">
      <c r="B982" s="97"/>
      <c r="C982" s="97"/>
      <c r="D982" s="97"/>
      <c r="E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  <c r="AA982" s="97"/>
      <c r="AB982" s="97"/>
      <c r="AC982" s="97"/>
    </row>
    <row r="983" spans="2:29" ht="11.25" customHeight="1" x14ac:dyDescent="0.45">
      <c r="B983" s="97"/>
      <c r="C983" s="97"/>
      <c r="D983" s="97"/>
      <c r="E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  <c r="AA983" s="97"/>
      <c r="AB983" s="97"/>
      <c r="AC983" s="97"/>
    </row>
    <row r="984" spans="2:29" ht="11.25" customHeight="1" x14ac:dyDescent="0.45">
      <c r="B984" s="97"/>
      <c r="C984" s="97"/>
      <c r="D984" s="97"/>
      <c r="E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  <c r="AA984" s="97"/>
      <c r="AB984" s="97"/>
      <c r="AC984" s="97"/>
    </row>
    <row r="985" spans="2:29" ht="11.25" customHeight="1" x14ac:dyDescent="0.45">
      <c r="B985" s="97"/>
      <c r="C985" s="97"/>
      <c r="D985" s="97"/>
      <c r="E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  <c r="AA985" s="97"/>
      <c r="AB985" s="97"/>
      <c r="AC985" s="97"/>
    </row>
    <row r="986" spans="2:29" ht="11.25" customHeight="1" x14ac:dyDescent="0.45">
      <c r="B986" s="97"/>
      <c r="C986" s="97"/>
      <c r="D986" s="97"/>
      <c r="E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  <c r="AA986" s="97"/>
      <c r="AB986" s="97"/>
      <c r="AC986" s="97"/>
    </row>
    <row r="987" spans="2:29" ht="11.25" customHeight="1" x14ac:dyDescent="0.45">
      <c r="B987" s="97"/>
      <c r="C987" s="97"/>
      <c r="D987" s="97"/>
      <c r="E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  <c r="AA987" s="97"/>
      <c r="AB987" s="97"/>
      <c r="AC987" s="97"/>
    </row>
    <row r="988" spans="2:29" ht="11.25" customHeight="1" x14ac:dyDescent="0.45">
      <c r="B988" s="97"/>
      <c r="C988" s="97"/>
      <c r="D988" s="97"/>
      <c r="E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  <c r="AA988" s="97"/>
      <c r="AB988" s="97"/>
      <c r="AC988" s="97"/>
    </row>
    <row r="989" spans="2:29" ht="11.25" customHeight="1" x14ac:dyDescent="0.45">
      <c r="B989" s="97"/>
      <c r="C989" s="97"/>
      <c r="D989" s="97"/>
      <c r="E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  <c r="AA989" s="97"/>
      <c r="AB989" s="97"/>
      <c r="AC989" s="97"/>
    </row>
    <row r="990" spans="2:29" ht="11.25" customHeight="1" x14ac:dyDescent="0.45">
      <c r="B990" s="97"/>
      <c r="C990" s="97"/>
      <c r="D990" s="97"/>
      <c r="E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  <c r="AA990" s="97"/>
      <c r="AB990" s="97"/>
      <c r="AC990" s="97"/>
    </row>
    <row r="991" spans="2:29" ht="11.25" customHeight="1" x14ac:dyDescent="0.45">
      <c r="B991" s="97"/>
      <c r="C991" s="97"/>
      <c r="D991" s="97"/>
      <c r="E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  <c r="AA991" s="97"/>
      <c r="AB991" s="97"/>
      <c r="AC991" s="97"/>
    </row>
    <row r="992" spans="2:29" ht="11.25" customHeight="1" x14ac:dyDescent="0.45">
      <c r="B992" s="97"/>
      <c r="C992" s="97"/>
      <c r="D992" s="97"/>
      <c r="E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  <c r="AA992" s="97"/>
      <c r="AB992" s="97"/>
      <c r="AC992" s="97"/>
    </row>
    <row r="993" spans="2:29" ht="11.25" customHeight="1" x14ac:dyDescent="0.45">
      <c r="B993" s="97"/>
      <c r="C993" s="97"/>
      <c r="D993" s="97"/>
      <c r="E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  <c r="AA993" s="97"/>
      <c r="AB993" s="97"/>
      <c r="AC993" s="97"/>
    </row>
    <row r="994" spans="2:29" ht="11.25" customHeight="1" x14ac:dyDescent="0.45">
      <c r="B994" s="97"/>
      <c r="C994" s="97"/>
      <c r="D994" s="97"/>
      <c r="E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  <c r="AA994" s="97"/>
      <c r="AB994" s="97"/>
      <c r="AC994" s="97"/>
    </row>
    <row r="995" spans="2:29" ht="11.25" customHeight="1" x14ac:dyDescent="0.45">
      <c r="B995" s="97"/>
      <c r="C995" s="97"/>
      <c r="D995" s="97"/>
      <c r="E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  <c r="AA995" s="97"/>
      <c r="AB995" s="97"/>
      <c r="AC995" s="97"/>
    </row>
    <row r="996" spans="2:29" ht="11.25" customHeight="1" x14ac:dyDescent="0.45">
      <c r="B996" s="97"/>
      <c r="C996" s="97"/>
      <c r="D996" s="97"/>
      <c r="E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  <c r="AA996" s="97"/>
      <c r="AB996" s="97"/>
      <c r="AC996" s="97"/>
    </row>
    <row r="997" spans="2:29" ht="11.25" customHeight="1" x14ac:dyDescent="0.45">
      <c r="B997" s="97"/>
      <c r="C997" s="97"/>
      <c r="D997" s="97"/>
      <c r="E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  <c r="Z997" s="97"/>
      <c r="AA997" s="97"/>
      <c r="AB997" s="97"/>
      <c r="AC997" s="97"/>
    </row>
    <row r="998" spans="2:29" ht="11.25" customHeight="1" x14ac:dyDescent="0.45">
      <c r="B998" s="97"/>
      <c r="C998" s="97"/>
      <c r="D998" s="97"/>
      <c r="E998" s="97"/>
      <c r="P998" s="97"/>
      <c r="Q998" s="97"/>
      <c r="R998" s="97"/>
      <c r="S998" s="97"/>
      <c r="T998" s="97"/>
      <c r="U998" s="97"/>
      <c r="V998" s="97"/>
      <c r="W998" s="97"/>
      <c r="X998" s="97"/>
      <c r="Y998" s="97"/>
      <c r="Z998" s="97"/>
      <c r="AA998" s="97"/>
      <c r="AB998" s="97"/>
      <c r="AC998" s="97"/>
    </row>
    <row r="999" spans="2:29" ht="11.25" customHeight="1" x14ac:dyDescent="0.45">
      <c r="B999" s="97"/>
      <c r="C999" s="97"/>
      <c r="D999" s="97"/>
      <c r="E999" s="97"/>
      <c r="P999" s="97"/>
      <c r="Q999" s="97"/>
      <c r="R999" s="97"/>
      <c r="S999" s="97"/>
      <c r="T999" s="97"/>
      <c r="U999" s="97"/>
      <c r="V999" s="97"/>
      <c r="W999" s="97"/>
      <c r="X999" s="97"/>
      <c r="Y999" s="97"/>
      <c r="Z999" s="97"/>
      <c r="AA999" s="97"/>
      <c r="AB999" s="97"/>
      <c r="AC999" s="97"/>
    </row>
    <row r="1000" spans="2:29" ht="15" customHeight="1" x14ac:dyDescent="0.45"/>
    <row r="1001" spans="2:29" ht="15" customHeight="1" x14ac:dyDescent="0.45"/>
    <row r="1002" spans="2:29" ht="15" customHeight="1" x14ac:dyDescent="0.45"/>
    <row r="1003" spans="2:29" ht="15" customHeight="1" x14ac:dyDescent="0.45"/>
    <row r="1004" spans="2:29" ht="15" customHeight="1" x14ac:dyDescent="0.45"/>
    <row r="1005" spans="2:29" ht="15" customHeight="1" x14ac:dyDescent="0.45"/>
    <row r="1006" spans="2:29" ht="15" customHeight="1" x14ac:dyDescent="0.45"/>
  </sheetData>
  <mergeCells count="2">
    <mergeCell ref="C3:I3"/>
    <mergeCell ref="B139:C139"/>
  </mergeCells>
  <conditionalFormatting sqref="B61:C61">
    <cfRule type="expression" dxfId="2" priority="1">
      <formula>#REF!&gt;0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33394-3DF9-4120-9DE3-DA1E59DE2D65}">
  <dimension ref="A1:AD1006"/>
  <sheetViews>
    <sheetView topLeftCell="A102" workbookViewId="0">
      <selection activeCell="N129" sqref="N129:N134"/>
    </sheetView>
  </sheetViews>
  <sheetFormatPr baseColWidth="10" defaultColWidth="14.3984375" defaultRowHeight="14.25" x14ac:dyDescent="0.45"/>
  <cols>
    <col min="1" max="1" width="13.06640625" bestFit="1" customWidth="1"/>
    <col min="2" max="2" width="20.46484375" bestFit="1" customWidth="1"/>
    <col min="3" max="3" width="31.86328125" bestFit="1" customWidth="1"/>
    <col min="4" max="4" width="9.3984375" bestFit="1" customWidth="1"/>
    <col min="5" max="5" width="11.3984375" bestFit="1" customWidth="1"/>
    <col min="6" max="6" width="11" style="72" bestFit="1" customWidth="1"/>
    <col min="7" max="7" width="8.6640625" style="72" bestFit="1" customWidth="1"/>
    <col min="8" max="8" width="14.33203125" style="72" bestFit="1" customWidth="1"/>
    <col min="9" max="9" width="16.6640625" style="72" bestFit="1" customWidth="1"/>
    <col min="10" max="10" width="8.6640625" style="72" bestFit="1" customWidth="1"/>
    <col min="11" max="11" width="6.46484375" style="72" bestFit="1" customWidth="1"/>
    <col min="12" max="13" width="11.9296875" style="72" bestFit="1" customWidth="1"/>
    <col min="14" max="14" width="10.33203125" style="72" bestFit="1" customWidth="1"/>
    <col min="15" max="15" width="10.73046875" style="72" bestFit="1" customWidth="1"/>
    <col min="16" max="16" width="14.33203125" style="72" bestFit="1" customWidth="1"/>
    <col min="17" max="17" width="10.19921875" bestFit="1" customWidth="1"/>
    <col min="18" max="18" width="10.73046875" customWidth="1"/>
    <col min="19" max="19" width="7.9296875" bestFit="1" customWidth="1"/>
    <col min="20" max="20" width="9.265625" bestFit="1" customWidth="1"/>
    <col min="21" max="21" width="8.53125" bestFit="1" customWidth="1"/>
    <col min="22" max="30" width="10.73046875" customWidth="1"/>
  </cols>
  <sheetData>
    <row r="1" spans="1:30" ht="11.25" customHeight="1" x14ac:dyDescent="0.45">
      <c r="B1" s="94" t="s">
        <v>60</v>
      </c>
      <c r="C1" s="95"/>
      <c r="D1" s="96"/>
      <c r="E1" s="96"/>
      <c r="F1" s="146"/>
      <c r="G1" s="146"/>
      <c r="H1" s="146"/>
      <c r="I1" s="146"/>
      <c r="J1" s="146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</row>
    <row r="2" spans="1:30" ht="11.25" customHeight="1" x14ac:dyDescent="0.45">
      <c r="B2" s="94" t="s">
        <v>184</v>
      </c>
      <c r="C2" s="95"/>
      <c r="D2" s="96"/>
      <c r="E2" s="96"/>
      <c r="F2" s="146"/>
      <c r="G2" s="146"/>
      <c r="H2" s="146"/>
      <c r="I2" s="146"/>
      <c r="J2" s="146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</row>
    <row r="3" spans="1:30" ht="11.25" customHeight="1" x14ac:dyDescent="0.45">
      <c r="B3" s="94" t="s">
        <v>185</v>
      </c>
      <c r="C3" s="907"/>
      <c r="D3" s="908"/>
      <c r="E3" s="908"/>
      <c r="F3" s="908"/>
      <c r="G3" s="908"/>
      <c r="H3" s="908"/>
      <c r="I3" s="908"/>
      <c r="J3" s="908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</row>
    <row r="4" spans="1:30" ht="11.25" customHeight="1" x14ac:dyDescent="0.45">
      <c r="B4" s="94" t="s">
        <v>186</v>
      </c>
      <c r="C4" s="95"/>
      <c r="D4" s="98" t="s">
        <v>187</v>
      </c>
      <c r="E4" s="98"/>
      <c r="F4" s="146"/>
      <c r="G4" s="146"/>
      <c r="H4" s="146"/>
      <c r="I4" s="146"/>
      <c r="J4" s="146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</row>
    <row r="5" spans="1:30" ht="11.25" customHeight="1" x14ac:dyDescent="0.45">
      <c r="B5" s="94" t="s">
        <v>188</v>
      </c>
      <c r="C5" s="95"/>
      <c r="D5" s="98" t="s">
        <v>187</v>
      </c>
      <c r="E5" s="98"/>
      <c r="F5" s="146"/>
      <c r="G5" s="146"/>
      <c r="H5" s="146"/>
      <c r="I5" s="146"/>
      <c r="J5" s="146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</row>
    <row r="6" spans="1:30" ht="11.25" customHeight="1" x14ac:dyDescent="0.45">
      <c r="B6" s="99" t="s">
        <v>189</v>
      </c>
      <c r="C6" s="100" t="s">
        <v>190</v>
      </c>
      <c r="D6" s="101"/>
      <c r="E6" s="101"/>
      <c r="F6" s="147"/>
      <c r="G6" s="147"/>
      <c r="H6" s="147"/>
      <c r="I6" s="147"/>
      <c r="J6" s="14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</row>
    <row r="7" spans="1:30" ht="11.25" customHeight="1" x14ac:dyDescent="0.45">
      <c r="B7" s="97"/>
      <c r="C7" s="102"/>
      <c r="D7" s="97"/>
      <c r="E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</row>
    <row r="8" spans="1:30" s="236" customFormat="1" ht="31.5" x14ac:dyDescent="0.45">
      <c r="A8" s="239" t="s">
        <v>313</v>
      </c>
      <c r="B8" s="227" t="s">
        <v>191</v>
      </c>
      <c r="C8" s="228" t="s">
        <v>192</v>
      </c>
      <c r="D8" s="229" t="s">
        <v>55</v>
      </c>
      <c r="E8" s="229" t="s">
        <v>54</v>
      </c>
      <c r="F8" s="230" t="s">
        <v>193</v>
      </c>
      <c r="G8" s="238" t="s">
        <v>320</v>
      </c>
      <c r="H8" s="231" t="s">
        <v>53</v>
      </c>
      <c r="I8" s="231" t="s">
        <v>52</v>
      </c>
      <c r="J8" s="232" t="s">
        <v>51</v>
      </c>
      <c r="K8" s="233"/>
      <c r="L8" s="234" t="s">
        <v>50</v>
      </c>
      <c r="M8" s="234" t="s">
        <v>49</v>
      </c>
      <c r="N8" s="234" t="s">
        <v>48</v>
      </c>
      <c r="O8" s="234" t="s">
        <v>162</v>
      </c>
      <c r="P8" s="79" t="s">
        <v>163</v>
      </c>
      <c r="Q8" s="79" t="s">
        <v>165</v>
      </c>
      <c r="R8" s="80" t="s">
        <v>169</v>
      </c>
      <c r="S8" s="80" t="s">
        <v>164</v>
      </c>
      <c r="T8" s="19" t="s">
        <v>47</v>
      </c>
      <c r="U8" s="19" t="s">
        <v>46</v>
      </c>
      <c r="V8" s="235"/>
      <c r="W8" s="235"/>
      <c r="X8" s="235"/>
      <c r="Y8" s="235"/>
      <c r="Z8" s="235"/>
      <c r="AA8" s="235"/>
      <c r="AB8" s="235"/>
      <c r="AC8" s="235"/>
      <c r="AD8" s="235"/>
    </row>
    <row r="9" spans="1:30" ht="11.25" customHeight="1" x14ac:dyDescent="0.45">
      <c r="A9" s="240">
        <f>G11+G12+G14+G15+G16+G20+G22+G23+G26+G28+G29+G30+G34+G41+G42+G45+G52+G54+G56+G58+G60+G62+G67+G69+G71+G73</f>
        <v>0</v>
      </c>
      <c r="B9" s="130">
        <v>6750052190</v>
      </c>
      <c r="C9" s="110" t="s">
        <v>194</v>
      </c>
      <c r="D9" s="103">
        <v>200</v>
      </c>
      <c r="E9" s="103">
        <v>84</v>
      </c>
      <c r="F9" s="237">
        <f>'c311'!E9</f>
        <v>0</v>
      </c>
      <c r="G9" s="57">
        <f>(F9*0.2)+(F9)</f>
        <v>0</v>
      </c>
      <c r="H9" s="60">
        <f>G9/D9</f>
        <v>0</v>
      </c>
      <c r="I9" s="60">
        <f>30*BC!$B$47/E9</f>
        <v>0</v>
      </c>
      <c r="J9" s="60">
        <f>IF(I9&gt;H9,I9,H9)</f>
        <v>0</v>
      </c>
      <c r="K9" s="60">
        <f>IF(H9=0,0,J9)</f>
        <v>0</v>
      </c>
      <c r="L9" s="58">
        <f>ROUNDUP(K9,0)</f>
        <v>0</v>
      </c>
      <c r="M9" s="210">
        <v>762</v>
      </c>
      <c r="N9" s="148">
        <f>M9*L9</f>
        <v>0</v>
      </c>
      <c r="O9" s="148">
        <f>M9/D9</f>
        <v>3.81</v>
      </c>
      <c r="P9" s="800" t="e">
        <f>O9+$O$137+((BC!$F$125)/$F$74)</f>
        <v>#DIV/0!</v>
      </c>
      <c r="Q9" s="222" t="e">
        <f>P9*F9</f>
        <v>#DIV/0!</v>
      </c>
      <c r="R9" s="223" t="e">
        <f>((P9*0.15)+P9)</f>
        <v>#DIV/0!</v>
      </c>
      <c r="S9" s="223" t="e">
        <f>R9*F9</f>
        <v>#DIV/0!</v>
      </c>
      <c r="T9" s="225" t="e">
        <f>SUM(S9:S73)</f>
        <v>#DIV/0!</v>
      </c>
      <c r="U9" s="226" t="e">
        <f>SUM(Q9:Q73)</f>
        <v>#DIV/0!</v>
      </c>
      <c r="V9" s="97"/>
      <c r="W9" s="97"/>
      <c r="X9" s="97"/>
      <c r="Y9" s="97"/>
      <c r="Z9" s="97"/>
      <c r="AA9" s="97"/>
      <c r="AB9" s="97"/>
      <c r="AC9" s="97"/>
      <c r="AD9" s="97"/>
    </row>
    <row r="10" spans="1:30" ht="11.25" customHeight="1" x14ac:dyDescent="0.45">
      <c r="B10" s="131">
        <v>3005771322</v>
      </c>
      <c r="C10" s="111" t="s">
        <v>195</v>
      </c>
      <c r="D10" s="103">
        <v>100</v>
      </c>
      <c r="E10" s="103">
        <v>84</v>
      </c>
      <c r="F10" s="237">
        <f>'c311'!E10</f>
        <v>0</v>
      </c>
      <c r="G10" s="57">
        <f t="shared" ref="G10:G73" si="0">(F10*0.2)+(F10)</f>
        <v>0</v>
      </c>
      <c r="H10" s="60">
        <f t="shared" ref="H10:H73" si="1">G10/D10</f>
        <v>0</v>
      </c>
      <c r="I10" s="60">
        <f>30*BC!$B$47/E10</f>
        <v>0</v>
      </c>
      <c r="J10" s="60">
        <f t="shared" ref="J10:J73" si="2">IF(I10&gt;H10,I10,H10)</f>
        <v>0</v>
      </c>
      <c r="K10" s="60">
        <f t="shared" ref="K10:K73" si="3">IF(H10=0,0,J10)</f>
        <v>0</v>
      </c>
      <c r="L10" s="58">
        <f t="shared" ref="L10:L73" si="4">ROUNDUP(K10,0)</f>
        <v>0</v>
      </c>
      <c r="M10" s="210">
        <v>436</v>
      </c>
      <c r="N10" s="148">
        <f t="shared" ref="N10:N73" si="5">M10*L10</f>
        <v>0</v>
      </c>
      <c r="O10" s="148">
        <f t="shared" ref="O10:O73" si="6">M10/D10</f>
        <v>4.3600000000000003</v>
      </c>
      <c r="P10" s="800" t="e">
        <f>O10+$O$137+((BC!$F$125)/$F$74)</f>
        <v>#DIV/0!</v>
      </c>
      <c r="Q10" s="222" t="e">
        <f t="shared" ref="Q10:Q73" si="7">P10*F10</f>
        <v>#DIV/0!</v>
      </c>
      <c r="R10" s="223" t="e">
        <f t="shared" ref="R10:R73" si="8">((P10*0.15)+P10)</f>
        <v>#DIV/0!</v>
      </c>
      <c r="S10" s="224" t="e">
        <f t="shared" ref="S10:S73" si="9">R10*F10</f>
        <v>#DIV/0!</v>
      </c>
      <c r="T10" s="24"/>
      <c r="U10" s="24"/>
      <c r="V10" s="97"/>
      <c r="W10" s="97"/>
      <c r="X10" s="97"/>
      <c r="Y10" s="97"/>
      <c r="Z10" s="97"/>
      <c r="AA10" s="97"/>
      <c r="AB10" s="97"/>
      <c r="AC10" s="97"/>
      <c r="AD10" s="97"/>
    </row>
    <row r="11" spans="1:30" ht="11.25" customHeight="1" x14ac:dyDescent="0.45">
      <c r="A11" s="240" t="s">
        <v>314</v>
      </c>
      <c r="B11" s="131">
        <v>4375351190</v>
      </c>
      <c r="C11" s="112" t="s">
        <v>196</v>
      </c>
      <c r="D11" s="103">
        <v>400</v>
      </c>
      <c r="E11" s="103">
        <v>84</v>
      </c>
      <c r="F11" s="237">
        <f>'c311'!E11</f>
        <v>0</v>
      </c>
      <c r="G11" s="57">
        <f t="shared" si="0"/>
        <v>0</v>
      </c>
      <c r="H11" s="60">
        <f t="shared" si="1"/>
        <v>0</v>
      </c>
      <c r="I11" s="60">
        <f>30*BC!$B$47/E11</f>
        <v>0</v>
      </c>
      <c r="J11" s="60">
        <f t="shared" si="2"/>
        <v>0</v>
      </c>
      <c r="K11" s="60">
        <f t="shared" si="3"/>
        <v>0</v>
      </c>
      <c r="L11" s="58">
        <f t="shared" si="4"/>
        <v>0</v>
      </c>
      <c r="M11" s="210">
        <v>456</v>
      </c>
      <c r="N11" s="148">
        <f t="shared" si="5"/>
        <v>0</v>
      </c>
      <c r="O11" s="148">
        <f t="shared" si="6"/>
        <v>1.1399999999999999</v>
      </c>
      <c r="P11" s="800" t="e">
        <f>O11+$O$137+((BC!$F$125)/$F$74)</f>
        <v>#DIV/0!</v>
      </c>
      <c r="Q11" s="222" t="e">
        <f t="shared" si="7"/>
        <v>#DIV/0!</v>
      </c>
      <c r="R11" s="223" t="e">
        <f t="shared" si="8"/>
        <v>#DIV/0!</v>
      </c>
      <c r="S11" s="223" t="e">
        <f t="shared" si="9"/>
        <v>#DIV/0!</v>
      </c>
      <c r="T11" s="24"/>
      <c r="U11" s="24"/>
      <c r="V11" s="97"/>
      <c r="W11" s="97"/>
      <c r="X11" s="97"/>
      <c r="Y11" s="97"/>
      <c r="Z11" s="97"/>
      <c r="AA11" s="97"/>
      <c r="AB11" s="97"/>
      <c r="AC11" s="97"/>
      <c r="AD11" s="97"/>
    </row>
    <row r="12" spans="1:30" ht="11.25" customHeight="1" x14ac:dyDescent="0.45">
      <c r="A12" s="240">
        <f>G10+G11+G12+G14+G15+G16+G17+G18+G19+G20+G22+G23+G26+G28+G29+G30+G31+G34+G35+G36+G41+G42+G43+G45+G47+G48+G49+G50+G51+G52+G53+G54+G55+G57+G58+G60+G62+G63+G67+G69+G70+G71+G72+G73</f>
        <v>0</v>
      </c>
      <c r="B12" s="131">
        <v>3183688122</v>
      </c>
      <c r="C12" s="112" t="s">
        <v>197</v>
      </c>
      <c r="D12" s="103">
        <v>300</v>
      </c>
      <c r="E12" s="103">
        <v>84</v>
      </c>
      <c r="F12" s="237">
        <f>'c311'!E12</f>
        <v>0</v>
      </c>
      <c r="G12" s="57">
        <f t="shared" si="0"/>
        <v>0</v>
      </c>
      <c r="H12" s="60">
        <f t="shared" si="1"/>
        <v>0</v>
      </c>
      <c r="I12" s="60">
        <f>30*BC!$B$47/E12</f>
        <v>0</v>
      </c>
      <c r="J12" s="60">
        <f t="shared" si="2"/>
        <v>0</v>
      </c>
      <c r="K12" s="60">
        <f t="shared" si="3"/>
        <v>0</v>
      </c>
      <c r="L12" s="58">
        <f t="shared" si="4"/>
        <v>0</v>
      </c>
      <c r="M12" s="210">
        <v>72</v>
      </c>
      <c r="N12" s="148">
        <f t="shared" si="5"/>
        <v>0</v>
      </c>
      <c r="O12" s="148">
        <f t="shared" si="6"/>
        <v>0.24</v>
      </c>
      <c r="P12" s="800" t="e">
        <f>O12+$O$137+((BC!$F$125)/$F$74)</f>
        <v>#DIV/0!</v>
      </c>
      <c r="Q12" s="222" t="e">
        <f t="shared" si="7"/>
        <v>#DIV/0!</v>
      </c>
      <c r="R12" s="223" t="e">
        <f t="shared" si="8"/>
        <v>#DIV/0!</v>
      </c>
      <c r="S12" s="223" t="e">
        <f t="shared" si="9"/>
        <v>#DIV/0!</v>
      </c>
      <c r="T12" s="24"/>
      <c r="U12" s="24"/>
      <c r="V12" s="97"/>
      <c r="W12" s="97"/>
      <c r="X12" s="97"/>
      <c r="Y12" s="97"/>
      <c r="Z12" s="97"/>
      <c r="AA12" s="97"/>
      <c r="AB12" s="97"/>
      <c r="AC12" s="97"/>
      <c r="AD12" s="97"/>
    </row>
    <row r="13" spans="1:30" ht="11.25" customHeight="1" x14ac:dyDescent="0.45">
      <c r="B13" s="130">
        <v>4469658190</v>
      </c>
      <c r="C13" s="110" t="s">
        <v>198</v>
      </c>
      <c r="D13" s="103">
        <v>100</v>
      </c>
      <c r="E13" s="103">
        <v>84</v>
      </c>
      <c r="F13" s="237">
        <f>'c311'!E13</f>
        <v>0</v>
      </c>
      <c r="G13" s="57">
        <f t="shared" si="0"/>
        <v>0</v>
      </c>
      <c r="H13" s="60">
        <f t="shared" si="1"/>
        <v>0</v>
      </c>
      <c r="I13" s="60">
        <f>30*BC!$B$47/E13</f>
        <v>0</v>
      </c>
      <c r="J13" s="60">
        <f t="shared" si="2"/>
        <v>0</v>
      </c>
      <c r="K13" s="60">
        <f t="shared" si="3"/>
        <v>0</v>
      </c>
      <c r="L13" s="58">
        <f t="shared" si="4"/>
        <v>0</v>
      </c>
      <c r="M13" s="210">
        <v>287</v>
      </c>
      <c r="N13" s="148">
        <f t="shared" si="5"/>
        <v>0</v>
      </c>
      <c r="O13" s="148">
        <f t="shared" si="6"/>
        <v>2.87</v>
      </c>
      <c r="P13" s="800" t="e">
        <f>O13+$O$137+((BC!$F$125)/$F$74)</f>
        <v>#DIV/0!</v>
      </c>
      <c r="Q13" s="222" t="e">
        <f t="shared" si="7"/>
        <v>#DIV/0!</v>
      </c>
      <c r="R13" s="223" t="e">
        <f t="shared" si="8"/>
        <v>#DIV/0!</v>
      </c>
      <c r="S13" s="223" t="e">
        <f t="shared" si="9"/>
        <v>#DIV/0!</v>
      </c>
      <c r="T13" s="24"/>
      <c r="U13" s="24"/>
      <c r="V13" s="97"/>
      <c r="W13" s="97"/>
      <c r="X13" s="97"/>
      <c r="Y13" s="97"/>
      <c r="Z13" s="97"/>
      <c r="AA13" s="97"/>
      <c r="AB13" s="97"/>
      <c r="AC13" s="97"/>
      <c r="AD13" s="97"/>
    </row>
    <row r="14" spans="1:30" ht="11.25" customHeight="1" x14ac:dyDescent="0.45">
      <c r="A14" s="241" t="s">
        <v>315</v>
      </c>
      <c r="B14" s="131">
        <v>3333752190</v>
      </c>
      <c r="C14" s="112" t="s">
        <v>199</v>
      </c>
      <c r="D14" s="103">
        <v>200</v>
      </c>
      <c r="E14" s="103">
        <v>56</v>
      </c>
      <c r="F14" s="237">
        <f>'c311'!E14</f>
        <v>0</v>
      </c>
      <c r="G14" s="57">
        <f t="shared" si="0"/>
        <v>0</v>
      </c>
      <c r="H14" s="60">
        <f t="shared" si="1"/>
        <v>0</v>
      </c>
      <c r="I14" s="60">
        <f>30*BC!$B$47/E14</f>
        <v>0</v>
      </c>
      <c r="J14" s="60">
        <f t="shared" si="2"/>
        <v>0</v>
      </c>
      <c r="K14" s="60">
        <f t="shared" si="3"/>
        <v>0</v>
      </c>
      <c r="L14" s="58">
        <f t="shared" si="4"/>
        <v>0</v>
      </c>
      <c r="M14" s="210">
        <v>62</v>
      </c>
      <c r="N14" s="148">
        <f t="shared" si="5"/>
        <v>0</v>
      </c>
      <c r="O14" s="148">
        <f t="shared" si="6"/>
        <v>0.31</v>
      </c>
      <c r="P14" s="800" t="e">
        <f>O14+$O$137+((BC!$F$125)/$F$74)</f>
        <v>#DIV/0!</v>
      </c>
      <c r="Q14" s="222" t="e">
        <f t="shared" si="7"/>
        <v>#DIV/0!</v>
      </c>
      <c r="R14" s="223" t="e">
        <f t="shared" si="8"/>
        <v>#DIV/0!</v>
      </c>
      <c r="S14" s="223" t="e">
        <f t="shared" si="9"/>
        <v>#DIV/0!</v>
      </c>
      <c r="T14" s="24"/>
      <c r="U14" s="24"/>
      <c r="V14" s="97"/>
      <c r="W14" s="97"/>
      <c r="X14" s="97"/>
      <c r="Y14" s="97"/>
      <c r="Z14" s="97"/>
      <c r="AA14" s="97"/>
      <c r="AB14" s="97"/>
      <c r="AC14" s="97"/>
      <c r="AD14" s="97"/>
    </row>
    <row r="15" spans="1:30" ht="11.25" customHeight="1" x14ac:dyDescent="0.45">
      <c r="A15" s="241">
        <f>G9+G68</f>
        <v>0</v>
      </c>
      <c r="B15" s="131">
        <v>20764957322</v>
      </c>
      <c r="C15" s="112" t="s">
        <v>200</v>
      </c>
      <c r="D15" s="103">
        <v>500</v>
      </c>
      <c r="E15" s="103">
        <v>84</v>
      </c>
      <c r="F15" s="237">
        <f>'c311'!E15</f>
        <v>0</v>
      </c>
      <c r="G15" s="57">
        <f t="shared" si="0"/>
        <v>0</v>
      </c>
      <c r="H15" s="60">
        <f t="shared" si="1"/>
        <v>0</v>
      </c>
      <c r="I15" s="60">
        <f>30*BC!$B$47/E15</f>
        <v>0</v>
      </c>
      <c r="J15" s="60">
        <f t="shared" si="2"/>
        <v>0</v>
      </c>
      <c r="K15" s="60">
        <f t="shared" si="3"/>
        <v>0</v>
      </c>
      <c r="L15" s="58">
        <f t="shared" si="4"/>
        <v>0</v>
      </c>
      <c r="M15" s="210">
        <v>145</v>
      </c>
      <c r="N15" s="148">
        <f t="shared" si="5"/>
        <v>0</v>
      </c>
      <c r="O15" s="148">
        <f t="shared" si="6"/>
        <v>0.28999999999999998</v>
      </c>
      <c r="P15" s="800" t="e">
        <f>O15+$O$137+((BC!$F$125)/$F$74)</f>
        <v>#DIV/0!</v>
      </c>
      <c r="Q15" s="222" t="e">
        <f t="shared" si="7"/>
        <v>#DIV/0!</v>
      </c>
      <c r="R15" s="223" t="e">
        <f t="shared" si="8"/>
        <v>#DIV/0!</v>
      </c>
      <c r="S15" s="223" t="e">
        <f t="shared" si="9"/>
        <v>#DIV/0!</v>
      </c>
      <c r="T15" s="24"/>
      <c r="U15" s="24"/>
      <c r="V15" s="97"/>
      <c r="W15" s="97"/>
      <c r="X15" s="97"/>
      <c r="Y15" s="97"/>
      <c r="Z15" s="97"/>
      <c r="AA15" s="97"/>
      <c r="AB15" s="97"/>
      <c r="AC15" s="97"/>
      <c r="AD15" s="97"/>
    </row>
    <row r="16" spans="1:30" ht="11.25" customHeight="1" x14ac:dyDescent="0.45">
      <c r="B16" s="131">
        <v>3183742122</v>
      </c>
      <c r="C16" s="112" t="s">
        <v>201</v>
      </c>
      <c r="D16" s="103">
        <v>300</v>
      </c>
      <c r="E16" s="103">
        <v>84</v>
      </c>
      <c r="F16" s="237">
        <f>'c311'!E16</f>
        <v>0</v>
      </c>
      <c r="G16" s="57">
        <f t="shared" si="0"/>
        <v>0</v>
      </c>
      <c r="H16" s="60">
        <f t="shared" si="1"/>
        <v>0</v>
      </c>
      <c r="I16" s="60">
        <f>30*BC!$B$47/E16</f>
        <v>0</v>
      </c>
      <c r="J16" s="60">
        <f t="shared" si="2"/>
        <v>0</v>
      </c>
      <c r="K16" s="60">
        <f t="shared" si="3"/>
        <v>0</v>
      </c>
      <c r="L16" s="58">
        <f t="shared" si="4"/>
        <v>0</v>
      </c>
      <c r="M16" s="210">
        <v>198</v>
      </c>
      <c r="N16" s="148">
        <f t="shared" si="5"/>
        <v>0</v>
      </c>
      <c r="O16" s="148">
        <f t="shared" si="6"/>
        <v>0.66</v>
      </c>
      <c r="P16" s="800" t="e">
        <f>O16+$O$137+((BC!$F$125)/$F$74)</f>
        <v>#DIV/0!</v>
      </c>
      <c r="Q16" s="222" t="e">
        <f t="shared" si="7"/>
        <v>#DIV/0!</v>
      </c>
      <c r="R16" s="223" t="e">
        <f t="shared" si="8"/>
        <v>#DIV/0!</v>
      </c>
      <c r="S16" s="223" t="e">
        <f t="shared" si="9"/>
        <v>#DIV/0!</v>
      </c>
      <c r="T16" s="24"/>
      <c r="U16" s="24"/>
      <c r="V16" s="97"/>
      <c r="W16" s="97"/>
      <c r="X16" s="97"/>
      <c r="Y16" s="97"/>
      <c r="Z16" s="97"/>
      <c r="AA16" s="97"/>
      <c r="AB16" s="97"/>
      <c r="AC16" s="97"/>
      <c r="AD16" s="97"/>
    </row>
    <row r="17" spans="1:30" ht="11.25" customHeight="1" x14ac:dyDescent="0.45">
      <c r="A17" s="242" t="s">
        <v>316</v>
      </c>
      <c r="B17" s="131">
        <v>3032566122</v>
      </c>
      <c r="C17" s="113" t="s">
        <v>1130</v>
      </c>
      <c r="D17" s="104">
        <v>100</v>
      </c>
      <c r="E17" s="104">
        <v>84</v>
      </c>
      <c r="F17" s="237">
        <f>'c311'!E17</f>
        <v>0</v>
      </c>
      <c r="G17" s="57">
        <f t="shared" si="0"/>
        <v>0</v>
      </c>
      <c r="H17" s="60">
        <f t="shared" si="1"/>
        <v>0</v>
      </c>
      <c r="I17" s="60">
        <f>30*BC!$B$47/E17</f>
        <v>0</v>
      </c>
      <c r="J17" s="60">
        <f t="shared" si="2"/>
        <v>0</v>
      </c>
      <c r="K17" s="60">
        <f t="shared" si="3"/>
        <v>0</v>
      </c>
      <c r="L17" s="58">
        <f t="shared" si="4"/>
        <v>0</v>
      </c>
      <c r="M17" s="210">
        <v>225</v>
      </c>
      <c r="N17" s="148">
        <f t="shared" si="5"/>
        <v>0</v>
      </c>
      <c r="O17" s="148">
        <f t="shared" si="6"/>
        <v>2.25</v>
      </c>
      <c r="P17" s="800" t="e">
        <f>O17+$O$137+((BC!$F$125)/$F$74)</f>
        <v>#DIV/0!</v>
      </c>
      <c r="Q17" s="222" t="e">
        <f t="shared" si="7"/>
        <v>#DIV/0!</v>
      </c>
      <c r="R17" s="223" t="e">
        <f t="shared" si="8"/>
        <v>#DIV/0!</v>
      </c>
      <c r="S17" s="223" t="e">
        <f t="shared" si="9"/>
        <v>#DIV/0!</v>
      </c>
      <c r="T17" s="24"/>
      <c r="U17" s="24"/>
      <c r="V17" s="97"/>
      <c r="W17" s="97"/>
      <c r="X17" s="97"/>
      <c r="Y17" s="97"/>
      <c r="Z17" s="97"/>
      <c r="AA17" s="97"/>
      <c r="AB17" s="97"/>
      <c r="AC17" s="97"/>
      <c r="AD17" s="97"/>
    </row>
    <row r="18" spans="1:30" ht="11.25" customHeight="1" x14ac:dyDescent="0.45">
      <c r="A18" s="242">
        <f>G32+G39+G61</f>
        <v>0</v>
      </c>
      <c r="B18" s="131">
        <v>3032574122</v>
      </c>
      <c r="C18" s="113" t="s">
        <v>202</v>
      </c>
      <c r="D18" s="105">
        <v>100</v>
      </c>
      <c r="E18" s="103">
        <v>84</v>
      </c>
      <c r="F18" s="237">
        <f>'c311'!E18</f>
        <v>0</v>
      </c>
      <c r="G18" s="57">
        <f t="shared" si="0"/>
        <v>0</v>
      </c>
      <c r="H18" s="60">
        <f t="shared" si="1"/>
        <v>0</v>
      </c>
      <c r="I18" s="60">
        <f>30*BC!$B$47/E18</f>
        <v>0</v>
      </c>
      <c r="J18" s="60">
        <f t="shared" si="2"/>
        <v>0</v>
      </c>
      <c r="K18" s="60">
        <f t="shared" si="3"/>
        <v>0</v>
      </c>
      <c r="L18" s="58">
        <f t="shared" si="4"/>
        <v>0</v>
      </c>
      <c r="M18" s="210">
        <v>225</v>
      </c>
      <c r="N18" s="148">
        <f t="shared" si="5"/>
        <v>0</v>
      </c>
      <c r="O18" s="148">
        <f t="shared" si="6"/>
        <v>2.25</v>
      </c>
      <c r="P18" s="800" t="e">
        <f>O18+$O$137+((BC!$F$125)/$F$74)</f>
        <v>#DIV/0!</v>
      </c>
      <c r="Q18" s="222" t="e">
        <f t="shared" si="7"/>
        <v>#DIV/0!</v>
      </c>
      <c r="R18" s="223" t="e">
        <f t="shared" si="8"/>
        <v>#DIV/0!</v>
      </c>
      <c r="S18" s="223" t="e">
        <f t="shared" si="9"/>
        <v>#DIV/0!</v>
      </c>
      <c r="T18" s="24"/>
      <c r="U18" s="24"/>
      <c r="V18" s="97"/>
      <c r="W18" s="97"/>
      <c r="X18" s="97"/>
      <c r="Y18" s="97"/>
      <c r="Z18" s="97"/>
      <c r="AA18" s="97"/>
      <c r="AB18" s="97"/>
      <c r="AC18" s="97"/>
      <c r="AD18" s="97"/>
    </row>
    <row r="19" spans="1:30" ht="11.25" customHeight="1" x14ac:dyDescent="0.45">
      <c r="B19" s="131">
        <v>4489403190</v>
      </c>
      <c r="C19" s="114" t="s">
        <v>203</v>
      </c>
      <c r="D19" s="103">
        <v>150</v>
      </c>
      <c r="E19" s="103">
        <v>84</v>
      </c>
      <c r="F19" s="237">
        <f>'c311'!E19</f>
        <v>0</v>
      </c>
      <c r="G19" s="57">
        <f t="shared" si="0"/>
        <v>0</v>
      </c>
      <c r="H19" s="60">
        <f t="shared" si="1"/>
        <v>0</v>
      </c>
      <c r="I19" s="60">
        <f>30*BC!$B$47/E19</f>
        <v>0</v>
      </c>
      <c r="J19" s="60">
        <f t="shared" si="2"/>
        <v>0</v>
      </c>
      <c r="K19" s="60">
        <f t="shared" si="3"/>
        <v>0</v>
      </c>
      <c r="L19" s="58">
        <f t="shared" si="4"/>
        <v>0</v>
      </c>
      <c r="M19" s="210">
        <v>494</v>
      </c>
      <c r="N19" s="148">
        <f t="shared" si="5"/>
        <v>0</v>
      </c>
      <c r="O19" s="148">
        <f t="shared" si="6"/>
        <v>3.2933333333333334</v>
      </c>
      <c r="P19" s="800" t="e">
        <f>O19+$O$137+((BC!$F$125)/$F$74)</f>
        <v>#DIV/0!</v>
      </c>
      <c r="Q19" s="222" t="e">
        <f t="shared" si="7"/>
        <v>#DIV/0!</v>
      </c>
      <c r="R19" s="223" t="e">
        <f t="shared" si="8"/>
        <v>#DIV/0!</v>
      </c>
      <c r="S19" s="223" t="e">
        <f t="shared" si="9"/>
        <v>#DIV/0!</v>
      </c>
      <c r="T19" s="24"/>
      <c r="U19" s="24"/>
      <c r="V19" s="97"/>
      <c r="W19" s="97"/>
      <c r="X19" s="97"/>
      <c r="Y19" s="97"/>
      <c r="Z19" s="97"/>
      <c r="AA19" s="97"/>
      <c r="AB19" s="97"/>
      <c r="AC19" s="97"/>
      <c r="AD19" s="97"/>
    </row>
    <row r="20" spans="1:30" ht="11.25" customHeight="1" x14ac:dyDescent="0.45">
      <c r="A20" s="243" t="s">
        <v>317</v>
      </c>
      <c r="B20" s="131">
        <v>20764949322</v>
      </c>
      <c r="C20" s="112" t="s">
        <v>204</v>
      </c>
      <c r="D20" s="103">
        <v>500</v>
      </c>
      <c r="E20" s="103">
        <v>84</v>
      </c>
      <c r="F20" s="237">
        <f>'c311'!E20</f>
        <v>0</v>
      </c>
      <c r="G20" s="57">
        <f t="shared" si="0"/>
        <v>0</v>
      </c>
      <c r="H20" s="60">
        <f t="shared" si="1"/>
        <v>0</v>
      </c>
      <c r="I20" s="60">
        <f>30*BC!$B$47/E20</f>
        <v>0</v>
      </c>
      <c r="J20" s="60">
        <f t="shared" si="2"/>
        <v>0</v>
      </c>
      <c r="K20" s="60">
        <f t="shared" si="3"/>
        <v>0</v>
      </c>
      <c r="L20" s="58">
        <f t="shared" si="4"/>
        <v>0</v>
      </c>
      <c r="M20" s="210">
        <v>145</v>
      </c>
      <c r="N20" s="148">
        <f t="shared" si="5"/>
        <v>0</v>
      </c>
      <c r="O20" s="148">
        <f t="shared" si="6"/>
        <v>0.28999999999999998</v>
      </c>
      <c r="P20" s="800" t="e">
        <f>O20+$O$137+((BC!$F$125)/$F$74)</f>
        <v>#DIV/0!</v>
      </c>
      <c r="Q20" s="222" t="e">
        <f t="shared" si="7"/>
        <v>#DIV/0!</v>
      </c>
      <c r="R20" s="223" t="e">
        <f t="shared" si="8"/>
        <v>#DIV/0!</v>
      </c>
      <c r="S20" s="223" t="e">
        <f t="shared" si="9"/>
        <v>#DIV/0!</v>
      </c>
      <c r="T20" s="24"/>
      <c r="U20" s="24"/>
      <c r="V20" s="97"/>
      <c r="W20" s="97"/>
      <c r="X20" s="97"/>
      <c r="Y20" s="97"/>
      <c r="Z20" s="97"/>
      <c r="AA20" s="97"/>
      <c r="AB20" s="97"/>
      <c r="AC20" s="97"/>
      <c r="AD20" s="97"/>
    </row>
    <row r="21" spans="1:30" ht="11.25" customHeight="1" x14ac:dyDescent="0.45">
      <c r="A21" s="243">
        <f>G10+G24+G25+G35+G36+G43+G48+G50+G51+G53+G55+G70</f>
        <v>0</v>
      </c>
      <c r="B21" s="132">
        <v>8047430190</v>
      </c>
      <c r="C21" s="115" t="s">
        <v>205</v>
      </c>
      <c r="D21" s="103">
        <v>140</v>
      </c>
      <c r="E21" s="103">
        <v>84</v>
      </c>
      <c r="F21" s="237">
        <f>'c311'!E21</f>
        <v>0</v>
      </c>
      <c r="G21" s="57">
        <f t="shared" si="0"/>
        <v>0</v>
      </c>
      <c r="H21" s="60">
        <f t="shared" si="1"/>
        <v>0</v>
      </c>
      <c r="I21" s="60">
        <f>30*BC!$B$47/E21</f>
        <v>0</v>
      </c>
      <c r="J21" s="60">
        <f t="shared" si="2"/>
        <v>0</v>
      </c>
      <c r="K21" s="60">
        <f t="shared" si="3"/>
        <v>0</v>
      </c>
      <c r="L21" s="58">
        <f t="shared" si="4"/>
        <v>0</v>
      </c>
      <c r="M21" s="210">
        <v>1169</v>
      </c>
      <c r="N21" s="148">
        <f t="shared" si="5"/>
        <v>0</v>
      </c>
      <c r="O21" s="148">
        <f t="shared" si="6"/>
        <v>8.35</v>
      </c>
      <c r="P21" s="800" t="e">
        <f>O21+$O$137+((BC!$F$125)/$F$74)</f>
        <v>#DIV/0!</v>
      </c>
      <c r="Q21" s="222" t="e">
        <f t="shared" si="7"/>
        <v>#DIV/0!</v>
      </c>
      <c r="R21" s="223" t="e">
        <f t="shared" si="8"/>
        <v>#DIV/0!</v>
      </c>
      <c r="S21" s="223" t="e">
        <f t="shared" si="9"/>
        <v>#DIV/0!</v>
      </c>
      <c r="T21" s="24"/>
      <c r="U21" s="24"/>
      <c r="V21" s="97"/>
      <c r="W21" s="97"/>
      <c r="X21" s="97"/>
      <c r="Y21" s="97"/>
      <c r="Z21" s="97"/>
      <c r="AA21" s="97"/>
      <c r="AB21" s="97"/>
      <c r="AC21" s="97"/>
      <c r="AD21" s="97"/>
    </row>
    <row r="22" spans="1:30" ht="11.25" customHeight="1" x14ac:dyDescent="0.45">
      <c r="B22" s="131">
        <v>5589061190</v>
      </c>
      <c r="C22" s="112" t="s">
        <v>206</v>
      </c>
      <c r="D22" s="103">
        <v>350</v>
      </c>
      <c r="E22" s="103">
        <v>42</v>
      </c>
      <c r="F22" s="237">
        <f>'c311'!E22</f>
        <v>0</v>
      </c>
      <c r="G22" s="57">
        <f t="shared" si="0"/>
        <v>0</v>
      </c>
      <c r="H22" s="60">
        <f t="shared" si="1"/>
        <v>0</v>
      </c>
      <c r="I22" s="60">
        <f>30*BC!$B$47/E22</f>
        <v>0</v>
      </c>
      <c r="J22" s="60">
        <f t="shared" si="2"/>
        <v>0</v>
      </c>
      <c r="K22" s="60">
        <f t="shared" si="3"/>
        <v>0</v>
      </c>
      <c r="L22" s="58">
        <f t="shared" si="4"/>
        <v>0</v>
      </c>
      <c r="M22" s="210">
        <v>144</v>
      </c>
      <c r="N22" s="148">
        <f t="shared" si="5"/>
        <v>0</v>
      </c>
      <c r="O22" s="148">
        <f t="shared" si="6"/>
        <v>0.41142857142857142</v>
      </c>
      <c r="P22" s="800" t="e">
        <f>O22+$O$137+((BC!$F$125)/$F$74)</f>
        <v>#DIV/0!</v>
      </c>
      <c r="Q22" s="222" t="e">
        <f t="shared" si="7"/>
        <v>#DIV/0!</v>
      </c>
      <c r="R22" s="223" t="e">
        <f t="shared" si="8"/>
        <v>#DIV/0!</v>
      </c>
      <c r="S22" s="223" t="e">
        <f t="shared" si="9"/>
        <v>#DIV/0!</v>
      </c>
      <c r="T22" s="24"/>
      <c r="U22" s="24"/>
      <c r="V22" s="97"/>
      <c r="W22" s="97"/>
      <c r="X22" s="97"/>
      <c r="Y22" s="97"/>
      <c r="Z22" s="97"/>
      <c r="AA22" s="97"/>
      <c r="AB22" s="97"/>
      <c r="AC22" s="97"/>
      <c r="AD22" s="97"/>
    </row>
    <row r="23" spans="1:30" ht="11.25" customHeight="1" x14ac:dyDescent="0.45">
      <c r="A23" s="244" t="s">
        <v>259</v>
      </c>
      <c r="B23" s="131">
        <v>5795397190</v>
      </c>
      <c r="C23" s="112" t="s">
        <v>207</v>
      </c>
      <c r="D23" s="103">
        <v>250</v>
      </c>
      <c r="E23" s="103">
        <v>42</v>
      </c>
      <c r="F23" s="237">
        <f>'c311'!E23</f>
        <v>0</v>
      </c>
      <c r="G23" s="57">
        <f t="shared" si="0"/>
        <v>0</v>
      </c>
      <c r="H23" s="60">
        <f t="shared" si="1"/>
        <v>0</v>
      </c>
      <c r="I23" s="60">
        <f>30*BC!$B$47/E23</f>
        <v>0</v>
      </c>
      <c r="J23" s="60">
        <f t="shared" si="2"/>
        <v>0</v>
      </c>
      <c r="K23" s="60">
        <f t="shared" si="3"/>
        <v>0</v>
      </c>
      <c r="L23" s="58">
        <f t="shared" si="4"/>
        <v>0</v>
      </c>
      <c r="M23" s="210">
        <v>85</v>
      </c>
      <c r="N23" s="148">
        <f t="shared" si="5"/>
        <v>0</v>
      </c>
      <c r="O23" s="148">
        <f t="shared" si="6"/>
        <v>0.34</v>
      </c>
      <c r="P23" s="800" t="e">
        <f>O23+$O$137+((BC!$F$125)/$F$74)</f>
        <v>#DIV/0!</v>
      </c>
      <c r="Q23" s="222" t="e">
        <f t="shared" si="7"/>
        <v>#DIV/0!</v>
      </c>
      <c r="R23" s="223" t="e">
        <f t="shared" si="8"/>
        <v>#DIV/0!</v>
      </c>
      <c r="S23" s="223" t="e">
        <f t="shared" si="9"/>
        <v>#DIV/0!</v>
      </c>
      <c r="T23" s="24"/>
      <c r="U23" s="24"/>
      <c r="V23" s="97"/>
      <c r="W23" s="97"/>
      <c r="X23" s="97"/>
      <c r="Y23" s="97"/>
      <c r="Z23" s="97"/>
      <c r="AA23" s="97"/>
      <c r="AB23" s="97"/>
      <c r="AC23" s="97"/>
      <c r="AD23" s="97"/>
    </row>
    <row r="24" spans="1:30" ht="11.25" customHeight="1" x14ac:dyDescent="0.45">
      <c r="A24" s="245">
        <f>G19+G27+G63</f>
        <v>0</v>
      </c>
      <c r="B24" s="131">
        <v>3001938322</v>
      </c>
      <c r="C24" s="111" t="s">
        <v>170</v>
      </c>
      <c r="D24" s="103">
        <v>100</v>
      </c>
      <c r="E24" s="103">
        <v>42</v>
      </c>
      <c r="F24" s="237">
        <f>'c311'!E24</f>
        <v>0</v>
      </c>
      <c r="G24" s="57">
        <f t="shared" si="0"/>
        <v>0</v>
      </c>
      <c r="H24" s="60">
        <f t="shared" si="1"/>
        <v>0</v>
      </c>
      <c r="I24" s="60">
        <f>30*BC!$B$47/E24</f>
        <v>0</v>
      </c>
      <c r="J24" s="60">
        <f t="shared" si="2"/>
        <v>0</v>
      </c>
      <c r="K24" s="60">
        <f t="shared" si="3"/>
        <v>0</v>
      </c>
      <c r="L24" s="58">
        <f t="shared" si="4"/>
        <v>0</v>
      </c>
      <c r="M24" s="210">
        <v>307</v>
      </c>
      <c r="N24" s="148">
        <f t="shared" si="5"/>
        <v>0</v>
      </c>
      <c r="O24" s="148">
        <f t="shared" si="6"/>
        <v>3.07</v>
      </c>
      <c r="P24" s="800" t="e">
        <f>O24+$O$137+((BC!$F$125)/$F$74)</f>
        <v>#DIV/0!</v>
      </c>
      <c r="Q24" s="222" t="e">
        <f t="shared" si="7"/>
        <v>#DIV/0!</v>
      </c>
      <c r="R24" s="223" t="e">
        <f t="shared" si="8"/>
        <v>#DIV/0!</v>
      </c>
      <c r="S24" s="223" t="e">
        <f t="shared" si="9"/>
        <v>#DIV/0!</v>
      </c>
      <c r="T24" s="24"/>
      <c r="U24" s="24"/>
      <c r="V24" s="97"/>
      <c r="W24" s="97"/>
      <c r="X24" s="97"/>
      <c r="Y24" s="97"/>
      <c r="Z24" s="97"/>
      <c r="AA24" s="97"/>
      <c r="AB24" s="97"/>
      <c r="AC24" s="97"/>
      <c r="AD24" s="97"/>
    </row>
    <row r="25" spans="1:30" ht="11.25" customHeight="1" x14ac:dyDescent="0.45">
      <c r="B25" s="131">
        <v>3001962322</v>
      </c>
      <c r="C25" s="111" t="s">
        <v>171</v>
      </c>
      <c r="D25" s="103">
        <v>100</v>
      </c>
      <c r="E25" s="103">
        <v>56</v>
      </c>
      <c r="F25" s="237">
        <f>'c311'!E25</f>
        <v>0</v>
      </c>
      <c r="G25" s="57">
        <f t="shared" si="0"/>
        <v>0</v>
      </c>
      <c r="H25" s="60">
        <f t="shared" si="1"/>
        <v>0</v>
      </c>
      <c r="I25" s="60">
        <f>30*BC!$B$47/E25</f>
        <v>0</v>
      </c>
      <c r="J25" s="60">
        <f t="shared" si="2"/>
        <v>0</v>
      </c>
      <c r="K25" s="60">
        <f t="shared" si="3"/>
        <v>0</v>
      </c>
      <c r="L25" s="58">
        <f t="shared" si="4"/>
        <v>0</v>
      </c>
      <c r="M25" s="210">
        <v>309</v>
      </c>
      <c r="N25" s="148">
        <f t="shared" si="5"/>
        <v>0</v>
      </c>
      <c r="O25" s="148">
        <f t="shared" si="6"/>
        <v>3.09</v>
      </c>
      <c r="P25" s="800" t="e">
        <f>O25+$O$137+((BC!$F$125)/$F$74)</f>
        <v>#DIV/0!</v>
      </c>
      <c r="Q25" s="222" t="e">
        <f t="shared" si="7"/>
        <v>#DIV/0!</v>
      </c>
      <c r="R25" s="223" t="e">
        <f t="shared" si="8"/>
        <v>#DIV/0!</v>
      </c>
      <c r="S25" s="223" t="e">
        <f t="shared" si="9"/>
        <v>#DIV/0!</v>
      </c>
      <c r="T25" s="24"/>
      <c r="U25" s="24"/>
      <c r="V25" s="97"/>
      <c r="W25" s="97"/>
      <c r="X25" s="97"/>
      <c r="Y25" s="97"/>
      <c r="Z25" s="97"/>
      <c r="AA25" s="97"/>
      <c r="AB25" s="97"/>
      <c r="AC25" s="97"/>
      <c r="AD25" s="97"/>
    </row>
    <row r="26" spans="1:30" ht="11.25" customHeight="1" x14ac:dyDescent="0.45">
      <c r="A26" s="246" t="s">
        <v>263</v>
      </c>
      <c r="B26" s="131">
        <v>5061482190</v>
      </c>
      <c r="C26" s="112" t="s">
        <v>208</v>
      </c>
      <c r="D26" s="103">
        <v>300</v>
      </c>
      <c r="E26" s="103">
        <v>56</v>
      </c>
      <c r="F26" s="237">
        <f>'c311'!E26</f>
        <v>0</v>
      </c>
      <c r="G26" s="57">
        <f t="shared" si="0"/>
        <v>0</v>
      </c>
      <c r="H26" s="60">
        <f t="shared" si="1"/>
        <v>0</v>
      </c>
      <c r="I26" s="60">
        <f>30*BC!$B$47/E26</f>
        <v>0</v>
      </c>
      <c r="J26" s="60">
        <f t="shared" si="2"/>
        <v>0</v>
      </c>
      <c r="K26" s="60">
        <f t="shared" si="3"/>
        <v>0</v>
      </c>
      <c r="L26" s="58">
        <f t="shared" si="4"/>
        <v>0</v>
      </c>
      <c r="M26" s="210">
        <v>108</v>
      </c>
      <c r="N26" s="148">
        <f t="shared" si="5"/>
        <v>0</v>
      </c>
      <c r="O26" s="148">
        <f t="shared" si="6"/>
        <v>0.36</v>
      </c>
      <c r="P26" s="800" t="e">
        <f>O26+$O$137+((BC!$F$125)/$F$74)</f>
        <v>#DIV/0!</v>
      </c>
      <c r="Q26" s="222" t="e">
        <f t="shared" si="7"/>
        <v>#DIV/0!</v>
      </c>
      <c r="R26" s="223" t="e">
        <f t="shared" si="8"/>
        <v>#DIV/0!</v>
      </c>
      <c r="S26" s="223" t="e">
        <f t="shared" si="9"/>
        <v>#DIV/0!</v>
      </c>
      <c r="T26" s="24"/>
      <c r="U26" s="24"/>
      <c r="V26" s="97"/>
      <c r="W26" s="97"/>
      <c r="X26" s="97"/>
      <c r="Y26" s="97"/>
      <c r="Z26" s="97"/>
      <c r="AA26" s="97"/>
      <c r="AB26" s="97"/>
      <c r="AC26" s="97"/>
      <c r="AD26" s="97"/>
    </row>
    <row r="27" spans="1:30" ht="11.25" customHeight="1" x14ac:dyDescent="0.45">
      <c r="A27" s="247">
        <f>G17+G18+G47+G57</f>
        <v>0</v>
      </c>
      <c r="B27" s="131">
        <v>20764663322</v>
      </c>
      <c r="C27" s="114" t="s">
        <v>209</v>
      </c>
      <c r="D27" s="103">
        <v>100</v>
      </c>
      <c r="E27" s="103">
        <v>56</v>
      </c>
      <c r="F27" s="237">
        <f>'c311'!E27</f>
        <v>0</v>
      </c>
      <c r="G27" s="57">
        <f t="shared" si="0"/>
        <v>0</v>
      </c>
      <c r="H27" s="60">
        <f t="shared" si="1"/>
        <v>0</v>
      </c>
      <c r="I27" s="60">
        <f>30*BC!$B$47/E27</f>
        <v>0</v>
      </c>
      <c r="J27" s="60">
        <f t="shared" si="2"/>
        <v>0</v>
      </c>
      <c r="K27" s="60">
        <f t="shared" si="3"/>
        <v>0</v>
      </c>
      <c r="L27" s="58">
        <f t="shared" si="4"/>
        <v>0</v>
      </c>
      <c r="M27" s="210">
        <v>259</v>
      </c>
      <c r="N27" s="148">
        <f t="shared" si="5"/>
        <v>0</v>
      </c>
      <c r="O27" s="148">
        <f t="shared" si="6"/>
        <v>2.59</v>
      </c>
      <c r="P27" s="800" t="e">
        <f>O27+$O$137+((BC!$F$125)/$F$74)</f>
        <v>#DIV/0!</v>
      </c>
      <c r="Q27" s="222" t="e">
        <f t="shared" si="7"/>
        <v>#DIV/0!</v>
      </c>
      <c r="R27" s="223" t="e">
        <f t="shared" si="8"/>
        <v>#DIV/0!</v>
      </c>
      <c r="S27" s="223" t="e">
        <f t="shared" si="9"/>
        <v>#DIV/0!</v>
      </c>
      <c r="T27" s="24"/>
      <c r="U27" s="24"/>
      <c r="V27" s="97"/>
      <c r="W27" s="97"/>
      <c r="X27" s="97"/>
      <c r="Y27" s="97"/>
      <c r="Z27" s="97"/>
      <c r="AA27" s="97"/>
      <c r="AB27" s="97"/>
      <c r="AC27" s="97"/>
      <c r="AD27" s="97"/>
    </row>
    <row r="28" spans="1:30" ht="11.25" customHeight="1" x14ac:dyDescent="0.45">
      <c r="B28" s="131">
        <v>4498577190</v>
      </c>
      <c r="C28" s="112" t="s">
        <v>210</v>
      </c>
      <c r="D28" s="103">
        <v>200</v>
      </c>
      <c r="E28" s="103">
        <v>28</v>
      </c>
      <c r="F28" s="237">
        <f>'c311'!E28</f>
        <v>0</v>
      </c>
      <c r="G28" s="57">
        <f t="shared" si="0"/>
        <v>0</v>
      </c>
      <c r="H28" s="60">
        <f t="shared" si="1"/>
        <v>0</v>
      </c>
      <c r="I28" s="60">
        <f>30*BC!$B$47/E28</f>
        <v>0</v>
      </c>
      <c r="J28" s="60">
        <f t="shared" si="2"/>
        <v>0</v>
      </c>
      <c r="K28" s="60">
        <f t="shared" si="3"/>
        <v>0</v>
      </c>
      <c r="L28" s="58">
        <f t="shared" si="4"/>
        <v>0</v>
      </c>
      <c r="M28" s="210">
        <v>166</v>
      </c>
      <c r="N28" s="148">
        <f t="shared" si="5"/>
        <v>0</v>
      </c>
      <c r="O28" s="148">
        <f t="shared" si="6"/>
        <v>0.83</v>
      </c>
      <c r="P28" s="800" t="e">
        <f>O28+$O$137+((BC!$F$125)/$F$74)</f>
        <v>#DIV/0!</v>
      </c>
      <c r="Q28" s="222" t="e">
        <f t="shared" si="7"/>
        <v>#DIV/0!</v>
      </c>
      <c r="R28" s="223" t="e">
        <f t="shared" si="8"/>
        <v>#DIV/0!</v>
      </c>
      <c r="S28" s="223" t="e">
        <f t="shared" si="9"/>
        <v>#DIV/0!</v>
      </c>
      <c r="T28" s="24"/>
      <c r="U28" s="24"/>
      <c r="V28" s="97"/>
      <c r="W28" s="97"/>
      <c r="X28" s="97"/>
      <c r="Y28" s="97"/>
      <c r="Z28" s="97"/>
      <c r="AA28" s="97"/>
      <c r="AB28" s="97"/>
      <c r="AC28" s="97"/>
      <c r="AD28" s="97"/>
    </row>
    <row r="29" spans="1:30" ht="11.25" customHeight="1" x14ac:dyDescent="0.45">
      <c r="A29" s="248" t="s">
        <v>274</v>
      </c>
      <c r="B29" s="131">
        <v>3039773190</v>
      </c>
      <c r="C29" s="112" t="s">
        <v>211</v>
      </c>
      <c r="D29" s="103">
        <v>400</v>
      </c>
      <c r="E29" s="103">
        <v>28</v>
      </c>
      <c r="F29" s="237">
        <f>'c311'!E29</f>
        <v>0</v>
      </c>
      <c r="G29" s="57">
        <f t="shared" si="0"/>
        <v>0</v>
      </c>
      <c r="H29" s="60">
        <f t="shared" si="1"/>
        <v>0</v>
      </c>
      <c r="I29" s="60">
        <f>30*BC!$B$47/E29</f>
        <v>0</v>
      </c>
      <c r="J29" s="60">
        <f t="shared" si="2"/>
        <v>0</v>
      </c>
      <c r="K29" s="60">
        <f t="shared" si="3"/>
        <v>0</v>
      </c>
      <c r="L29" s="58">
        <f t="shared" si="4"/>
        <v>0</v>
      </c>
      <c r="M29" s="210">
        <v>88</v>
      </c>
      <c r="N29" s="148">
        <f t="shared" si="5"/>
        <v>0</v>
      </c>
      <c r="O29" s="148">
        <f t="shared" si="6"/>
        <v>0.22</v>
      </c>
      <c r="P29" s="800" t="e">
        <f>O29+$O$137+((BC!$F$125)/$F$74)</f>
        <v>#DIV/0!</v>
      </c>
      <c r="Q29" s="222" t="e">
        <f t="shared" si="7"/>
        <v>#DIV/0!</v>
      </c>
      <c r="R29" s="223" t="e">
        <f t="shared" si="8"/>
        <v>#DIV/0!</v>
      </c>
      <c r="S29" s="223" t="e">
        <f t="shared" si="9"/>
        <v>#DIV/0!</v>
      </c>
      <c r="T29" s="24"/>
      <c r="U29" s="24"/>
      <c r="V29" s="97"/>
      <c r="W29" s="97"/>
      <c r="X29" s="97"/>
      <c r="Y29" s="97"/>
      <c r="Z29" s="97"/>
      <c r="AA29" s="97"/>
      <c r="AB29" s="97"/>
      <c r="AC29" s="97"/>
      <c r="AD29" s="97"/>
    </row>
    <row r="30" spans="1:30" ht="11.25" customHeight="1" x14ac:dyDescent="0.45">
      <c r="A30" s="249">
        <f>G33+G66</f>
        <v>0</v>
      </c>
      <c r="B30" s="131">
        <v>7190794190</v>
      </c>
      <c r="C30" s="112" t="s">
        <v>212</v>
      </c>
      <c r="D30" s="103">
        <v>200</v>
      </c>
      <c r="E30" s="103">
        <v>56</v>
      </c>
      <c r="F30" s="237">
        <f>'c311'!E30</f>
        <v>0</v>
      </c>
      <c r="G30" s="57">
        <f t="shared" si="0"/>
        <v>0</v>
      </c>
      <c r="H30" s="60">
        <f t="shared" si="1"/>
        <v>0</v>
      </c>
      <c r="I30" s="60">
        <f>30*BC!$B$47/E30</f>
        <v>0</v>
      </c>
      <c r="J30" s="60">
        <f t="shared" si="2"/>
        <v>0</v>
      </c>
      <c r="K30" s="60">
        <f t="shared" si="3"/>
        <v>0</v>
      </c>
      <c r="L30" s="58">
        <f t="shared" si="4"/>
        <v>0</v>
      </c>
      <c r="M30" s="210">
        <v>112</v>
      </c>
      <c r="N30" s="148">
        <f t="shared" si="5"/>
        <v>0</v>
      </c>
      <c r="O30" s="148">
        <f t="shared" si="6"/>
        <v>0.56000000000000005</v>
      </c>
      <c r="P30" s="800" t="e">
        <f>O30+$O$137+((BC!$F$125)/$F$74)</f>
        <v>#DIV/0!</v>
      </c>
      <c r="Q30" s="222" t="e">
        <f t="shared" si="7"/>
        <v>#DIV/0!</v>
      </c>
      <c r="R30" s="223" t="e">
        <f t="shared" si="8"/>
        <v>#DIV/0!</v>
      </c>
      <c r="S30" s="223" t="e">
        <f t="shared" si="9"/>
        <v>#DIV/0!</v>
      </c>
      <c r="T30" s="24"/>
      <c r="U30" s="24"/>
      <c r="V30" s="97"/>
      <c r="W30" s="97"/>
      <c r="X30" s="97"/>
      <c r="Y30" s="97"/>
      <c r="Z30" s="97"/>
      <c r="AA30" s="97"/>
      <c r="AB30" s="97"/>
      <c r="AC30" s="97"/>
      <c r="AD30" s="97"/>
    </row>
    <row r="31" spans="1:30" ht="11.25" customHeight="1" x14ac:dyDescent="0.45">
      <c r="B31" s="131">
        <v>7190808190</v>
      </c>
      <c r="C31" s="116" t="s">
        <v>213</v>
      </c>
      <c r="D31" s="103">
        <v>100</v>
      </c>
      <c r="E31" s="103">
        <v>56</v>
      </c>
      <c r="F31" s="237">
        <f>'c311'!E31</f>
        <v>0</v>
      </c>
      <c r="G31" s="57">
        <f t="shared" si="0"/>
        <v>0</v>
      </c>
      <c r="H31" s="60">
        <f t="shared" si="1"/>
        <v>0</v>
      </c>
      <c r="I31" s="60">
        <f>30*BC!$B$47/E31</f>
        <v>0</v>
      </c>
      <c r="J31" s="60">
        <f t="shared" si="2"/>
        <v>0</v>
      </c>
      <c r="K31" s="60">
        <f t="shared" si="3"/>
        <v>0</v>
      </c>
      <c r="L31" s="58">
        <f t="shared" si="4"/>
        <v>0</v>
      </c>
      <c r="M31" s="210">
        <v>276</v>
      </c>
      <c r="N31" s="148">
        <f t="shared" si="5"/>
        <v>0</v>
      </c>
      <c r="O31" s="148">
        <f t="shared" si="6"/>
        <v>2.76</v>
      </c>
      <c r="P31" s="800" t="e">
        <f>O31+$O$137+((BC!$F$125)/$F$74)</f>
        <v>#DIV/0!</v>
      </c>
      <c r="Q31" s="222" t="e">
        <f t="shared" si="7"/>
        <v>#DIV/0!</v>
      </c>
      <c r="R31" s="223" t="e">
        <f t="shared" si="8"/>
        <v>#DIV/0!</v>
      </c>
      <c r="S31" s="223" t="e">
        <f t="shared" si="9"/>
        <v>#DIV/0!</v>
      </c>
      <c r="T31" s="24"/>
      <c r="U31" s="24"/>
      <c r="V31" s="97"/>
      <c r="W31" s="97"/>
      <c r="X31" s="97"/>
      <c r="Y31" s="97"/>
      <c r="Z31" s="97"/>
      <c r="AA31" s="97"/>
      <c r="AB31" s="97"/>
      <c r="AC31" s="97"/>
      <c r="AD31" s="97"/>
    </row>
    <row r="32" spans="1:30" ht="11.25" customHeight="1" x14ac:dyDescent="0.45">
      <c r="B32" s="133">
        <v>3289923190</v>
      </c>
      <c r="C32" s="117" t="s">
        <v>214</v>
      </c>
      <c r="D32" s="103">
        <v>250</v>
      </c>
      <c r="E32" s="103">
        <v>42</v>
      </c>
      <c r="F32" s="237">
        <f>'c311'!E32</f>
        <v>0</v>
      </c>
      <c r="G32" s="57">
        <f t="shared" si="0"/>
        <v>0</v>
      </c>
      <c r="H32" s="60">
        <f t="shared" si="1"/>
        <v>0</v>
      </c>
      <c r="I32" s="60">
        <f>30*BC!$B$47/E32</f>
        <v>0</v>
      </c>
      <c r="J32" s="60">
        <f t="shared" si="2"/>
        <v>0</v>
      </c>
      <c r="K32" s="60">
        <f t="shared" si="3"/>
        <v>0</v>
      </c>
      <c r="L32" s="58">
        <f t="shared" si="4"/>
        <v>0</v>
      </c>
      <c r="M32" s="210">
        <v>174</v>
      </c>
      <c r="N32" s="148">
        <f t="shared" si="5"/>
        <v>0</v>
      </c>
      <c r="O32" s="148">
        <f t="shared" si="6"/>
        <v>0.69599999999999995</v>
      </c>
      <c r="P32" s="800" t="e">
        <f>O32+$O$137+((BC!$F$125)/$F$74)</f>
        <v>#DIV/0!</v>
      </c>
      <c r="Q32" s="222" t="e">
        <f t="shared" si="7"/>
        <v>#DIV/0!</v>
      </c>
      <c r="R32" s="223" t="e">
        <f t="shared" si="8"/>
        <v>#DIV/0!</v>
      </c>
      <c r="S32" s="223" t="e">
        <f t="shared" si="9"/>
        <v>#DIV/0!</v>
      </c>
      <c r="T32" s="24"/>
      <c r="U32" s="24"/>
      <c r="V32" s="97"/>
      <c r="W32" s="97"/>
      <c r="X32" s="97"/>
      <c r="Y32" s="97"/>
      <c r="Z32" s="97"/>
      <c r="AA32" s="97"/>
      <c r="AB32" s="97"/>
      <c r="AC32" s="97"/>
      <c r="AD32" s="97"/>
    </row>
    <row r="33" spans="2:30" ht="11.25" customHeight="1" x14ac:dyDescent="0.45">
      <c r="B33" s="134">
        <v>4490827190</v>
      </c>
      <c r="C33" s="118" t="s">
        <v>215</v>
      </c>
      <c r="D33" s="103">
        <v>200</v>
      </c>
      <c r="E33" s="103">
        <v>56</v>
      </c>
      <c r="F33" s="237">
        <f>'c311'!E33</f>
        <v>0</v>
      </c>
      <c r="G33" s="57">
        <f t="shared" si="0"/>
        <v>0</v>
      </c>
      <c r="H33" s="60">
        <f t="shared" si="1"/>
        <v>0</v>
      </c>
      <c r="I33" s="60">
        <f>30*BC!$B$47/E33</f>
        <v>0</v>
      </c>
      <c r="J33" s="60">
        <f t="shared" si="2"/>
        <v>0</v>
      </c>
      <c r="K33" s="60">
        <f t="shared" si="3"/>
        <v>0</v>
      </c>
      <c r="L33" s="58">
        <f t="shared" si="4"/>
        <v>0</v>
      </c>
      <c r="M33" s="210">
        <v>120</v>
      </c>
      <c r="N33" s="148">
        <f t="shared" si="5"/>
        <v>0</v>
      </c>
      <c r="O33" s="148">
        <f t="shared" si="6"/>
        <v>0.6</v>
      </c>
      <c r="P33" s="800" t="e">
        <f>O33+$O$137+((BC!$F$125)/$F$74)</f>
        <v>#DIV/0!</v>
      </c>
      <c r="Q33" s="222" t="e">
        <f t="shared" si="7"/>
        <v>#DIV/0!</v>
      </c>
      <c r="R33" s="223" t="e">
        <f t="shared" si="8"/>
        <v>#DIV/0!</v>
      </c>
      <c r="S33" s="223" t="e">
        <f t="shared" si="9"/>
        <v>#DIV/0!</v>
      </c>
      <c r="T33" s="24"/>
      <c r="U33" s="24"/>
      <c r="V33" s="97"/>
      <c r="W33" s="97"/>
      <c r="X33" s="97"/>
      <c r="Y33" s="97"/>
      <c r="Z33" s="97"/>
      <c r="AA33" s="97"/>
      <c r="AB33" s="97"/>
      <c r="AC33" s="97"/>
      <c r="AD33" s="97"/>
    </row>
    <row r="34" spans="2:30" ht="11.25" customHeight="1" x14ac:dyDescent="0.45">
      <c r="B34" s="131">
        <v>4810716190</v>
      </c>
      <c r="C34" s="112" t="s">
        <v>216</v>
      </c>
      <c r="D34" s="103">
        <v>700</v>
      </c>
      <c r="E34" s="103">
        <v>56</v>
      </c>
      <c r="F34" s="237">
        <f>'c311'!E34</f>
        <v>0</v>
      </c>
      <c r="G34" s="57">
        <f t="shared" si="0"/>
        <v>0</v>
      </c>
      <c r="H34" s="60">
        <f t="shared" si="1"/>
        <v>0</v>
      </c>
      <c r="I34" s="60">
        <f>30*BC!$B$47/E34</f>
        <v>0</v>
      </c>
      <c r="J34" s="60">
        <f t="shared" si="2"/>
        <v>0</v>
      </c>
      <c r="K34" s="60">
        <f t="shared" si="3"/>
        <v>0</v>
      </c>
      <c r="L34" s="58">
        <f t="shared" si="4"/>
        <v>0</v>
      </c>
      <c r="M34" s="210">
        <v>136</v>
      </c>
      <c r="N34" s="148">
        <f t="shared" si="5"/>
        <v>0</v>
      </c>
      <c r="O34" s="148">
        <f t="shared" si="6"/>
        <v>0.19428571428571428</v>
      </c>
      <c r="P34" s="800" t="e">
        <f>O34+$O$137+((BC!$F$125)/$F$74)</f>
        <v>#DIV/0!</v>
      </c>
      <c r="Q34" s="222" t="e">
        <f t="shared" si="7"/>
        <v>#DIV/0!</v>
      </c>
      <c r="R34" s="223" t="e">
        <f t="shared" si="8"/>
        <v>#DIV/0!</v>
      </c>
      <c r="S34" s="223" t="e">
        <f t="shared" si="9"/>
        <v>#DIV/0!</v>
      </c>
      <c r="T34" s="24"/>
      <c r="U34" s="24"/>
      <c r="V34" s="97"/>
      <c r="W34" s="97"/>
      <c r="X34" s="97"/>
      <c r="Y34" s="97"/>
      <c r="Z34" s="97"/>
      <c r="AA34" s="97"/>
      <c r="AB34" s="97"/>
      <c r="AC34" s="97"/>
      <c r="AD34" s="97"/>
    </row>
    <row r="35" spans="2:30" ht="11.25" customHeight="1" x14ac:dyDescent="0.45">
      <c r="B35" s="131">
        <v>4628918190</v>
      </c>
      <c r="C35" s="111" t="s">
        <v>217</v>
      </c>
      <c r="D35" s="103">
        <v>100</v>
      </c>
      <c r="E35" s="103">
        <v>84</v>
      </c>
      <c r="F35" s="237">
        <f>'c311'!E35</f>
        <v>0</v>
      </c>
      <c r="G35" s="57">
        <f t="shared" si="0"/>
        <v>0</v>
      </c>
      <c r="H35" s="60">
        <f t="shared" si="1"/>
        <v>0</v>
      </c>
      <c r="I35" s="60">
        <f>30*BC!$B$47/E35</f>
        <v>0</v>
      </c>
      <c r="J35" s="60">
        <f t="shared" si="2"/>
        <v>0</v>
      </c>
      <c r="K35" s="60">
        <f t="shared" si="3"/>
        <v>0</v>
      </c>
      <c r="L35" s="58">
        <f t="shared" si="4"/>
        <v>0</v>
      </c>
      <c r="M35" s="210">
        <v>750</v>
      </c>
      <c r="N35" s="148">
        <f t="shared" si="5"/>
        <v>0</v>
      </c>
      <c r="O35" s="148">
        <f t="shared" si="6"/>
        <v>7.5</v>
      </c>
      <c r="P35" s="800" t="e">
        <f>O35+$O$137+((BC!$F$125)/$F$74)</f>
        <v>#DIV/0!</v>
      </c>
      <c r="Q35" s="222" t="e">
        <f t="shared" si="7"/>
        <v>#DIV/0!</v>
      </c>
      <c r="R35" s="223" t="e">
        <f t="shared" si="8"/>
        <v>#DIV/0!</v>
      </c>
      <c r="S35" s="223" t="e">
        <f t="shared" si="9"/>
        <v>#DIV/0!</v>
      </c>
      <c r="T35" s="24"/>
      <c r="U35" s="24"/>
      <c r="V35" s="97"/>
      <c r="W35" s="97"/>
      <c r="X35" s="97"/>
      <c r="Y35" s="97"/>
      <c r="Z35" s="97"/>
      <c r="AA35" s="97"/>
      <c r="AB35" s="97"/>
      <c r="AC35" s="97"/>
      <c r="AD35" s="97"/>
    </row>
    <row r="36" spans="2:30" ht="11.25" customHeight="1" x14ac:dyDescent="0.45">
      <c r="B36" s="131">
        <v>7876033190</v>
      </c>
      <c r="C36" s="111" t="s">
        <v>218</v>
      </c>
      <c r="D36" s="103">
        <v>250</v>
      </c>
      <c r="E36" s="103">
        <v>84</v>
      </c>
      <c r="F36" s="237">
        <f>'c311'!E36</f>
        <v>0</v>
      </c>
      <c r="G36" s="57">
        <f t="shared" si="0"/>
        <v>0</v>
      </c>
      <c r="H36" s="60">
        <f t="shared" si="1"/>
        <v>0</v>
      </c>
      <c r="I36" s="60">
        <f>30*BC!$B$47/E36</f>
        <v>0</v>
      </c>
      <c r="J36" s="60">
        <f t="shared" si="2"/>
        <v>0</v>
      </c>
      <c r="K36" s="60">
        <f t="shared" si="3"/>
        <v>0</v>
      </c>
      <c r="L36" s="58">
        <f t="shared" si="4"/>
        <v>0</v>
      </c>
      <c r="M36" s="210">
        <v>643</v>
      </c>
      <c r="N36" s="148">
        <f t="shared" si="5"/>
        <v>0</v>
      </c>
      <c r="O36" s="148">
        <f t="shared" si="6"/>
        <v>2.5720000000000001</v>
      </c>
      <c r="P36" s="800" t="e">
        <f>O36+$O$137+((BC!$F$125)/$F$74)</f>
        <v>#DIV/0!</v>
      </c>
      <c r="Q36" s="222" t="e">
        <f t="shared" si="7"/>
        <v>#DIV/0!</v>
      </c>
      <c r="R36" s="223" t="e">
        <f t="shared" si="8"/>
        <v>#DIV/0!</v>
      </c>
      <c r="S36" s="223" t="e">
        <f t="shared" si="9"/>
        <v>#DIV/0!</v>
      </c>
      <c r="T36" s="24"/>
      <c r="U36" s="24"/>
      <c r="V36" s="97"/>
      <c r="W36" s="97"/>
      <c r="X36" s="97"/>
      <c r="Y36" s="97"/>
      <c r="Z36" s="97"/>
      <c r="AA36" s="97"/>
      <c r="AB36" s="97"/>
      <c r="AC36" s="97"/>
      <c r="AD36" s="97"/>
    </row>
    <row r="37" spans="2:30" ht="11.25" customHeight="1" x14ac:dyDescent="0.45">
      <c r="B37" s="135">
        <v>6600239190</v>
      </c>
      <c r="C37" s="119" t="s">
        <v>219</v>
      </c>
      <c r="D37" s="103">
        <v>225</v>
      </c>
      <c r="E37" s="103">
        <v>56</v>
      </c>
      <c r="F37" s="237">
        <f>'c311'!E37</f>
        <v>0</v>
      </c>
      <c r="G37" s="57">
        <f t="shared" si="0"/>
        <v>0</v>
      </c>
      <c r="H37" s="60">
        <f t="shared" si="1"/>
        <v>0</v>
      </c>
      <c r="I37" s="60">
        <f>30*BC!$B$47/E37</f>
        <v>0</v>
      </c>
      <c r="J37" s="60">
        <f t="shared" si="2"/>
        <v>0</v>
      </c>
      <c r="K37" s="60">
        <f t="shared" si="3"/>
        <v>0</v>
      </c>
      <c r="L37" s="58">
        <f t="shared" si="4"/>
        <v>0</v>
      </c>
      <c r="M37" s="210">
        <v>1282</v>
      </c>
      <c r="N37" s="148">
        <f t="shared" si="5"/>
        <v>0</v>
      </c>
      <c r="O37" s="148">
        <f t="shared" si="6"/>
        <v>5.6977777777777776</v>
      </c>
      <c r="P37" s="800" t="e">
        <f>O37+$O$137+((BC!$F$125)/$F$74)</f>
        <v>#DIV/0!</v>
      </c>
      <c r="Q37" s="222" t="e">
        <f t="shared" si="7"/>
        <v>#DIV/0!</v>
      </c>
      <c r="R37" s="223" t="e">
        <f t="shared" si="8"/>
        <v>#DIV/0!</v>
      </c>
      <c r="S37" s="223" t="e">
        <f t="shared" si="9"/>
        <v>#DIV/0!</v>
      </c>
      <c r="T37" s="24"/>
      <c r="U37" s="24"/>
      <c r="V37" s="97"/>
      <c r="W37" s="97"/>
      <c r="X37" s="97"/>
      <c r="Y37" s="97"/>
      <c r="Z37" s="97"/>
      <c r="AA37" s="97"/>
      <c r="AB37" s="97"/>
      <c r="AC37" s="97"/>
      <c r="AD37" s="97"/>
    </row>
    <row r="38" spans="2:30" ht="11.25" customHeight="1" x14ac:dyDescent="0.45">
      <c r="B38" s="136">
        <v>4912551190</v>
      </c>
      <c r="C38" s="120" t="s">
        <v>220</v>
      </c>
      <c r="D38" s="103">
        <v>100</v>
      </c>
      <c r="E38" s="103">
        <v>84</v>
      </c>
      <c r="F38" s="237">
        <f>'c311'!E38</f>
        <v>0</v>
      </c>
      <c r="G38" s="57">
        <f t="shared" si="0"/>
        <v>0</v>
      </c>
      <c r="H38" s="60">
        <f t="shared" si="1"/>
        <v>0</v>
      </c>
      <c r="I38" s="60">
        <f>30*BC!$B$47/E38</f>
        <v>0</v>
      </c>
      <c r="J38" s="60">
        <f t="shared" si="2"/>
        <v>0</v>
      </c>
      <c r="K38" s="60">
        <f t="shared" si="3"/>
        <v>0</v>
      </c>
      <c r="L38" s="58">
        <f t="shared" si="4"/>
        <v>0</v>
      </c>
      <c r="M38" s="210">
        <v>1066</v>
      </c>
      <c r="N38" s="148">
        <f t="shared" si="5"/>
        <v>0</v>
      </c>
      <c r="O38" s="148">
        <f t="shared" si="6"/>
        <v>10.66</v>
      </c>
      <c r="P38" s="800" t="e">
        <f>O38+$O$137+((BC!$F$125)/$F$74)</f>
        <v>#DIV/0!</v>
      </c>
      <c r="Q38" s="222" t="e">
        <f t="shared" si="7"/>
        <v>#DIV/0!</v>
      </c>
      <c r="R38" s="223" t="e">
        <f t="shared" si="8"/>
        <v>#DIV/0!</v>
      </c>
      <c r="S38" s="223" t="e">
        <f t="shared" si="9"/>
        <v>#DIV/0!</v>
      </c>
      <c r="T38" s="24"/>
      <c r="U38" s="24"/>
      <c r="V38" s="97"/>
      <c r="W38" s="97"/>
      <c r="X38" s="97"/>
      <c r="Y38" s="97"/>
      <c r="Z38" s="97"/>
      <c r="AA38" s="97"/>
      <c r="AB38" s="97"/>
      <c r="AC38" s="97"/>
      <c r="AD38" s="97"/>
    </row>
    <row r="39" spans="2:30" ht="11.25" customHeight="1" x14ac:dyDescent="0.45">
      <c r="B39" s="133">
        <v>3183777190</v>
      </c>
      <c r="C39" s="117" t="s">
        <v>221</v>
      </c>
      <c r="D39" s="103">
        <v>100</v>
      </c>
      <c r="E39" s="103">
        <v>84</v>
      </c>
      <c r="F39" s="237">
        <f>'c311'!E39</f>
        <v>0</v>
      </c>
      <c r="G39" s="57">
        <f t="shared" si="0"/>
        <v>0</v>
      </c>
      <c r="H39" s="60">
        <f t="shared" si="1"/>
        <v>0</v>
      </c>
      <c r="I39" s="60">
        <f>30*BC!$B$47/E39</f>
        <v>0</v>
      </c>
      <c r="J39" s="60">
        <f t="shared" si="2"/>
        <v>0</v>
      </c>
      <c r="K39" s="60">
        <f t="shared" si="3"/>
        <v>0</v>
      </c>
      <c r="L39" s="58">
        <f t="shared" si="4"/>
        <v>0</v>
      </c>
      <c r="M39" s="210">
        <v>341</v>
      </c>
      <c r="N39" s="148">
        <f t="shared" si="5"/>
        <v>0</v>
      </c>
      <c r="O39" s="148">
        <f t="shared" si="6"/>
        <v>3.41</v>
      </c>
      <c r="P39" s="800" t="e">
        <f>O39+$O$137+((BC!$F$125)/$F$74)</f>
        <v>#DIV/0!</v>
      </c>
      <c r="Q39" s="222" t="e">
        <f t="shared" si="7"/>
        <v>#DIV/0!</v>
      </c>
      <c r="R39" s="223" t="e">
        <f t="shared" si="8"/>
        <v>#DIV/0!</v>
      </c>
      <c r="S39" s="223" t="e">
        <f t="shared" si="9"/>
        <v>#DIV/0!</v>
      </c>
      <c r="T39" s="24"/>
      <c r="U39" s="24"/>
      <c r="V39" s="97"/>
      <c r="W39" s="97"/>
      <c r="X39" s="97"/>
      <c r="Y39" s="97"/>
      <c r="Z39" s="97"/>
      <c r="AA39" s="97"/>
      <c r="AB39" s="97"/>
      <c r="AC39" s="97"/>
      <c r="AD39" s="97"/>
    </row>
    <row r="40" spans="2:30" ht="11.25" customHeight="1" x14ac:dyDescent="0.45">
      <c r="B40" s="137">
        <v>4537939190</v>
      </c>
      <c r="C40" s="121" t="s">
        <v>222</v>
      </c>
      <c r="D40" s="103">
        <v>150</v>
      </c>
      <c r="E40" s="103">
        <v>56</v>
      </c>
      <c r="F40" s="237">
        <f>'c311'!E40</f>
        <v>0</v>
      </c>
      <c r="G40" s="57">
        <f t="shared" si="0"/>
        <v>0</v>
      </c>
      <c r="H40" s="60">
        <f t="shared" si="1"/>
        <v>0</v>
      </c>
      <c r="I40" s="60">
        <f>30*BC!$B$47/E40</f>
        <v>0</v>
      </c>
      <c r="J40" s="60">
        <f t="shared" si="2"/>
        <v>0</v>
      </c>
      <c r="K40" s="60">
        <f t="shared" si="3"/>
        <v>0</v>
      </c>
      <c r="L40" s="58">
        <f t="shared" si="4"/>
        <v>0</v>
      </c>
      <c r="M40" s="210">
        <v>126</v>
      </c>
      <c r="N40" s="148">
        <f t="shared" si="5"/>
        <v>0</v>
      </c>
      <c r="O40" s="148">
        <f t="shared" si="6"/>
        <v>0.84</v>
      </c>
      <c r="P40" s="800" t="e">
        <f>O40+$O$137+((BC!$F$125)/$F$74)</f>
        <v>#DIV/0!</v>
      </c>
      <c r="Q40" s="222" t="e">
        <f t="shared" si="7"/>
        <v>#DIV/0!</v>
      </c>
      <c r="R40" s="223" t="e">
        <f t="shared" si="8"/>
        <v>#DIV/0!</v>
      </c>
      <c r="S40" s="223" t="e">
        <f t="shared" si="9"/>
        <v>#DIV/0!</v>
      </c>
      <c r="T40" s="24"/>
      <c r="U40" s="24"/>
      <c r="V40" s="97"/>
      <c r="W40" s="97"/>
      <c r="X40" s="97"/>
      <c r="Y40" s="97"/>
      <c r="Z40" s="97"/>
      <c r="AA40" s="97"/>
      <c r="AB40" s="97"/>
      <c r="AC40" s="97"/>
      <c r="AD40" s="97"/>
    </row>
    <row r="41" spans="2:30" ht="11.25" customHeight="1" x14ac:dyDescent="0.45">
      <c r="B41" s="131">
        <v>3002721122</v>
      </c>
      <c r="C41" s="112" t="s">
        <v>223</v>
      </c>
      <c r="D41" s="103">
        <v>400</v>
      </c>
      <c r="E41" s="103">
        <v>84</v>
      </c>
      <c r="F41" s="237">
        <f>'c311'!E41</f>
        <v>0</v>
      </c>
      <c r="G41" s="57">
        <f t="shared" si="0"/>
        <v>0</v>
      </c>
      <c r="H41" s="60">
        <f t="shared" si="1"/>
        <v>0</v>
      </c>
      <c r="I41" s="60">
        <f>30*BC!$B$47/E41</f>
        <v>0</v>
      </c>
      <c r="J41" s="60">
        <f t="shared" si="2"/>
        <v>0</v>
      </c>
      <c r="K41" s="60">
        <f t="shared" si="3"/>
        <v>0</v>
      </c>
      <c r="L41" s="58">
        <f t="shared" si="4"/>
        <v>0</v>
      </c>
      <c r="M41" s="210">
        <v>192</v>
      </c>
      <c r="N41" s="148">
        <f t="shared" si="5"/>
        <v>0</v>
      </c>
      <c r="O41" s="148">
        <f t="shared" si="6"/>
        <v>0.48</v>
      </c>
      <c r="P41" s="800" t="e">
        <f>O41+$O$137+((BC!$F$125)/$F$74)</f>
        <v>#DIV/0!</v>
      </c>
      <c r="Q41" s="222" t="e">
        <f t="shared" si="7"/>
        <v>#DIV/0!</v>
      </c>
      <c r="R41" s="223" t="e">
        <f t="shared" si="8"/>
        <v>#DIV/0!</v>
      </c>
      <c r="S41" s="223" t="e">
        <f t="shared" si="9"/>
        <v>#DIV/0!</v>
      </c>
      <c r="T41" s="24"/>
      <c r="U41" s="24"/>
      <c r="V41" s="97"/>
      <c r="W41" s="97"/>
      <c r="X41" s="97"/>
      <c r="Y41" s="97"/>
      <c r="Z41" s="97"/>
      <c r="AA41" s="97"/>
      <c r="AB41" s="97"/>
      <c r="AC41" s="97"/>
      <c r="AD41" s="97"/>
    </row>
    <row r="42" spans="2:30" ht="11.25" customHeight="1" x14ac:dyDescent="0.45">
      <c r="B42" s="131">
        <v>4404483190</v>
      </c>
      <c r="C42" s="112" t="s">
        <v>224</v>
      </c>
      <c r="D42" s="103">
        <v>800</v>
      </c>
      <c r="E42" s="103">
        <v>56</v>
      </c>
      <c r="F42" s="237">
        <f>'c311'!E42</f>
        <v>0</v>
      </c>
      <c r="G42" s="57">
        <f t="shared" si="0"/>
        <v>0</v>
      </c>
      <c r="H42" s="60">
        <f t="shared" si="1"/>
        <v>0</v>
      </c>
      <c r="I42" s="60">
        <f>30*BC!$B$47/E42</f>
        <v>0</v>
      </c>
      <c r="J42" s="60">
        <f t="shared" si="2"/>
        <v>0</v>
      </c>
      <c r="K42" s="60">
        <f t="shared" si="3"/>
        <v>0</v>
      </c>
      <c r="L42" s="58">
        <f t="shared" si="4"/>
        <v>0</v>
      </c>
      <c r="M42" s="210">
        <v>176</v>
      </c>
      <c r="N42" s="148">
        <f t="shared" si="5"/>
        <v>0</v>
      </c>
      <c r="O42" s="148">
        <f t="shared" si="6"/>
        <v>0.22</v>
      </c>
      <c r="P42" s="800" t="e">
        <f>O42+$O$137+((BC!$F$125)/$F$74)</f>
        <v>#DIV/0!</v>
      </c>
      <c r="Q42" s="222" t="e">
        <f t="shared" si="7"/>
        <v>#DIV/0!</v>
      </c>
      <c r="R42" s="223" t="e">
        <f t="shared" si="8"/>
        <v>#DIV/0!</v>
      </c>
      <c r="S42" s="223" t="e">
        <f t="shared" si="9"/>
        <v>#DIV/0!</v>
      </c>
      <c r="T42" s="24"/>
      <c r="U42" s="24"/>
      <c r="V42" s="97"/>
      <c r="W42" s="97"/>
      <c r="X42" s="97"/>
      <c r="Y42" s="97"/>
      <c r="Z42" s="97"/>
      <c r="AA42" s="97"/>
      <c r="AB42" s="97"/>
      <c r="AC42" s="97"/>
      <c r="AD42" s="97"/>
    </row>
    <row r="43" spans="2:30" ht="11.25" customHeight="1" x14ac:dyDescent="0.45">
      <c r="B43" s="131">
        <v>3005593322</v>
      </c>
      <c r="C43" s="111" t="s">
        <v>225</v>
      </c>
      <c r="D43" s="103">
        <v>100</v>
      </c>
      <c r="E43" s="103">
        <v>84</v>
      </c>
      <c r="F43" s="237">
        <f>'c311'!E43</f>
        <v>0</v>
      </c>
      <c r="G43" s="57">
        <f t="shared" si="0"/>
        <v>0</v>
      </c>
      <c r="H43" s="60">
        <f t="shared" si="1"/>
        <v>0</v>
      </c>
      <c r="I43" s="60">
        <f>30*BC!$B$47/E43</f>
        <v>0</v>
      </c>
      <c r="J43" s="60">
        <f t="shared" si="2"/>
        <v>0</v>
      </c>
      <c r="K43" s="60">
        <f t="shared" si="3"/>
        <v>0</v>
      </c>
      <c r="L43" s="58">
        <f t="shared" si="4"/>
        <v>0</v>
      </c>
      <c r="M43" s="210">
        <v>301</v>
      </c>
      <c r="N43" s="148">
        <f t="shared" si="5"/>
        <v>0</v>
      </c>
      <c r="O43" s="148">
        <f t="shared" si="6"/>
        <v>3.01</v>
      </c>
      <c r="P43" s="800" t="e">
        <f>O43+$O$137+((BC!$F$125)/$F$74)</f>
        <v>#DIV/0!</v>
      </c>
      <c r="Q43" s="222" t="e">
        <f t="shared" si="7"/>
        <v>#DIV/0!</v>
      </c>
      <c r="R43" s="223" t="e">
        <f t="shared" si="8"/>
        <v>#DIV/0!</v>
      </c>
      <c r="S43" s="223" t="e">
        <f t="shared" si="9"/>
        <v>#DIV/0!</v>
      </c>
      <c r="T43" s="24"/>
      <c r="U43" s="24"/>
      <c r="V43" s="97"/>
      <c r="W43" s="97"/>
      <c r="X43" s="97"/>
      <c r="Y43" s="97"/>
      <c r="Z43" s="97"/>
      <c r="AA43" s="97"/>
      <c r="AB43" s="97"/>
      <c r="AC43" s="97"/>
      <c r="AD43" s="97"/>
    </row>
    <row r="44" spans="2:30" ht="11.25" customHeight="1" x14ac:dyDescent="0.45">
      <c r="B44" s="138">
        <v>5336163190</v>
      </c>
      <c r="C44" s="122" t="s">
        <v>226</v>
      </c>
      <c r="D44" s="103">
        <v>150</v>
      </c>
      <c r="E44" s="103">
        <v>84</v>
      </c>
      <c r="F44" s="237">
        <f>'c311'!E44</f>
        <v>0</v>
      </c>
      <c r="G44" s="57">
        <f t="shared" si="0"/>
        <v>0</v>
      </c>
      <c r="H44" s="60">
        <f t="shared" si="1"/>
        <v>0</v>
      </c>
      <c r="I44" s="60">
        <f>30*BC!$B$47/E44</f>
        <v>0</v>
      </c>
      <c r="J44" s="60">
        <f t="shared" si="2"/>
        <v>0</v>
      </c>
      <c r="K44" s="60">
        <f t="shared" si="3"/>
        <v>0</v>
      </c>
      <c r="L44" s="58">
        <f t="shared" si="4"/>
        <v>0</v>
      </c>
      <c r="M44" s="210">
        <v>731</v>
      </c>
      <c r="N44" s="148">
        <f t="shared" si="5"/>
        <v>0</v>
      </c>
      <c r="O44" s="148">
        <f t="shared" si="6"/>
        <v>4.8733333333333331</v>
      </c>
      <c r="P44" s="800" t="e">
        <f>O44+$O$137+((BC!$F$125)/$F$74)</f>
        <v>#DIV/0!</v>
      </c>
      <c r="Q44" s="222" t="e">
        <f t="shared" si="7"/>
        <v>#DIV/0!</v>
      </c>
      <c r="R44" s="223" t="e">
        <f t="shared" si="8"/>
        <v>#DIV/0!</v>
      </c>
      <c r="S44" s="223" t="e">
        <f t="shared" si="9"/>
        <v>#DIV/0!</v>
      </c>
      <c r="T44" s="24"/>
      <c r="U44" s="24"/>
      <c r="V44" s="97"/>
      <c r="W44" s="97"/>
      <c r="X44" s="97"/>
      <c r="Y44" s="97"/>
      <c r="Z44" s="97"/>
      <c r="AA44" s="97"/>
      <c r="AB44" s="97"/>
      <c r="AC44" s="97"/>
      <c r="AD44" s="97"/>
    </row>
    <row r="45" spans="2:30" ht="11.25" customHeight="1" x14ac:dyDescent="0.45">
      <c r="B45" s="131">
        <v>6750036190</v>
      </c>
      <c r="C45" s="112" t="s">
        <v>227</v>
      </c>
      <c r="D45" s="103">
        <v>100</v>
      </c>
      <c r="E45" s="103">
        <v>84</v>
      </c>
      <c r="F45" s="237">
        <f>'c311'!E45</f>
        <v>0</v>
      </c>
      <c r="G45" s="57">
        <f t="shared" si="0"/>
        <v>0</v>
      </c>
      <c r="H45" s="60">
        <f t="shared" si="1"/>
        <v>0</v>
      </c>
      <c r="I45" s="60">
        <f>30*BC!$B$47/E45</f>
        <v>0</v>
      </c>
      <c r="J45" s="60">
        <f t="shared" si="2"/>
        <v>0</v>
      </c>
      <c r="K45" s="60">
        <f t="shared" si="3"/>
        <v>0</v>
      </c>
      <c r="L45" s="58">
        <f t="shared" si="4"/>
        <v>0</v>
      </c>
      <c r="M45" s="210">
        <v>154</v>
      </c>
      <c r="N45" s="148">
        <f t="shared" si="5"/>
        <v>0</v>
      </c>
      <c r="O45" s="148">
        <f t="shared" si="6"/>
        <v>1.54</v>
      </c>
      <c r="P45" s="800" t="e">
        <f>O45+$O$137+((BC!$F$125)/$F$74)</f>
        <v>#DIV/0!</v>
      </c>
      <c r="Q45" s="222" t="e">
        <f t="shared" si="7"/>
        <v>#DIV/0!</v>
      </c>
      <c r="R45" s="223" t="e">
        <f t="shared" si="8"/>
        <v>#DIV/0!</v>
      </c>
      <c r="S45" s="223" t="e">
        <f t="shared" si="9"/>
        <v>#DIV/0!</v>
      </c>
      <c r="T45" s="24"/>
      <c r="U45" s="24"/>
      <c r="V45" s="97"/>
      <c r="W45" s="97"/>
      <c r="X45" s="97"/>
      <c r="Y45" s="97"/>
      <c r="Z45" s="97"/>
      <c r="AA45" s="97"/>
      <c r="AB45" s="97"/>
      <c r="AC45" s="97"/>
      <c r="AD45" s="97"/>
    </row>
    <row r="46" spans="2:30" ht="11.25" customHeight="1" x14ac:dyDescent="0.45">
      <c r="B46" s="139">
        <v>5385415190</v>
      </c>
      <c r="C46" s="123" t="s">
        <v>228</v>
      </c>
      <c r="D46" s="103">
        <v>100</v>
      </c>
      <c r="E46" s="103">
        <v>28</v>
      </c>
      <c r="F46" s="237">
        <f>'c311'!E46</f>
        <v>0</v>
      </c>
      <c r="G46" s="57">
        <f t="shared" si="0"/>
        <v>0</v>
      </c>
      <c r="H46" s="60">
        <f t="shared" si="1"/>
        <v>0</v>
      </c>
      <c r="I46" s="60">
        <f>30*BC!$B$47/E46</f>
        <v>0</v>
      </c>
      <c r="J46" s="60">
        <f t="shared" si="2"/>
        <v>0</v>
      </c>
      <c r="K46" s="60">
        <f t="shared" si="3"/>
        <v>0</v>
      </c>
      <c r="L46" s="58">
        <f t="shared" si="4"/>
        <v>0</v>
      </c>
      <c r="M46" s="210">
        <v>1054</v>
      </c>
      <c r="N46" s="148">
        <f t="shared" si="5"/>
        <v>0</v>
      </c>
      <c r="O46" s="148">
        <f t="shared" si="6"/>
        <v>10.54</v>
      </c>
      <c r="P46" s="800" t="e">
        <f>O46+$O$137+((BC!$F$125)/$F$74)</f>
        <v>#DIV/0!</v>
      </c>
      <c r="Q46" s="222" t="e">
        <f t="shared" si="7"/>
        <v>#DIV/0!</v>
      </c>
      <c r="R46" s="223" t="e">
        <f t="shared" si="8"/>
        <v>#DIV/0!</v>
      </c>
      <c r="S46" s="223" t="e">
        <f t="shared" si="9"/>
        <v>#DIV/0!</v>
      </c>
      <c r="T46" s="24"/>
      <c r="U46" s="24"/>
      <c r="V46" s="97"/>
      <c r="W46" s="97"/>
      <c r="X46" s="97"/>
      <c r="Y46" s="97"/>
      <c r="Z46" s="97"/>
      <c r="AA46" s="97"/>
      <c r="AB46" s="97"/>
      <c r="AC46" s="97"/>
      <c r="AD46" s="97"/>
    </row>
    <row r="47" spans="2:30" ht="11.25" customHeight="1" x14ac:dyDescent="0.45">
      <c r="B47" s="131">
        <v>7528566190</v>
      </c>
      <c r="C47" s="113" t="s">
        <v>229</v>
      </c>
      <c r="D47" s="103">
        <v>350</v>
      </c>
      <c r="E47" s="103">
        <v>84</v>
      </c>
      <c r="F47" s="237">
        <f>'c311'!E47</f>
        <v>0</v>
      </c>
      <c r="G47" s="57">
        <f t="shared" si="0"/>
        <v>0</v>
      </c>
      <c r="H47" s="60">
        <f t="shared" si="1"/>
        <v>0</v>
      </c>
      <c r="I47" s="60">
        <f>30*BC!$B$47/E47</f>
        <v>0</v>
      </c>
      <c r="J47" s="60">
        <f t="shared" si="2"/>
        <v>0</v>
      </c>
      <c r="K47" s="60">
        <f t="shared" si="3"/>
        <v>0</v>
      </c>
      <c r="L47" s="58">
        <f t="shared" si="4"/>
        <v>0</v>
      </c>
      <c r="M47" s="210">
        <v>536</v>
      </c>
      <c r="N47" s="148">
        <f t="shared" si="5"/>
        <v>0</v>
      </c>
      <c r="O47" s="148">
        <f t="shared" si="6"/>
        <v>1.5314285714285714</v>
      </c>
      <c r="P47" s="800" t="e">
        <f>O47+$O$137+((BC!$F$125)/$F$74)</f>
        <v>#DIV/0!</v>
      </c>
      <c r="Q47" s="222" t="e">
        <f t="shared" si="7"/>
        <v>#DIV/0!</v>
      </c>
      <c r="R47" s="223" t="e">
        <f t="shared" si="8"/>
        <v>#DIV/0!</v>
      </c>
      <c r="S47" s="223" t="e">
        <f t="shared" si="9"/>
        <v>#DIV/0!</v>
      </c>
      <c r="T47" s="24"/>
      <c r="U47" s="24"/>
      <c r="V47" s="97"/>
      <c r="W47" s="97"/>
      <c r="X47" s="97"/>
      <c r="Y47" s="97"/>
      <c r="Z47" s="97"/>
      <c r="AA47" s="97"/>
      <c r="AB47" s="97"/>
      <c r="AC47" s="97"/>
      <c r="AD47" s="97"/>
    </row>
    <row r="48" spans="2:30" ht="11.25" customHeight="1" x14ac:dyDescent="0.45">
      <c r="B48" s="131">
        <v>3507343190</v>
      </c>
      <c r="C48" s="111" t="s">
        <v>230</v>
      </c>
      <c r="D48" s="103">
        <v>150</v>
      </c>
      <c r="E48" s="103">
        <v>84</v>
      </c>
      <c r="F48" s="237">
        <f>'c311'!E48</f>
        <v>0</v>
      </c>
      <c r="G48" s="57">
        <f t="shared" si="0"/>
        <v>0</v>
      </c>
      <c r="H48" s="60">
        <f t="shared" si="1"/>
        <v>0</v>
      </c>
      <c r="I48" s="60">
        <f>30*BC!$B$47/E48</f>
        <v>0</v>
      </c>
      <c r="J48" s="60">
        <f t="shared" si="2"/>
        <v>0</v>
      </c>
      <c r="K48" s="60">
        <f t="shared" si="3"/>
        <v>0</v>
      </c>
      <c r="L48" s="58">
        <f t="shared" si="4"/>
        <v>0</v>
      </c>
      <c r="M48" s="210">
        <v>411</v>
      </c>
      <c r="N48" s="148">
        <f t="shared" si="5"/>
        <v>0</v>
      </c>
      <c r="O48" s="148">
        <f t="shared" si="6"/>
        <v>2.74</v>
      </c>
      <c r="P48" s="800" t="e">
        <f>O48+$O$137+((BC!$F$125)/$F$74)</f>
        <v>#DIV/0!</v>
      </c>
      <c r="Q48" s="222" t="e">
        <f t="shared" si="7"/>
        <v>#DIV/0!</v>
      </c>
      <c r="R48" s="223" t="e">
        <f t="shared" si="8"/>
        <v>#DIV/0!</v>
      </c>
      <c r="S48" s="223" t="e">
        <f t="shared" si="9"/>
        <v>#DIV/0!</v>
      </c>
      <c r="T48" s="24"/>
      <c r="U48" s="24"/>
      <c r="V48" s="97"/>
      <c r="W48" s="97"/>
      <c r="X48" s="97"/>
      <c r="Y48" s="97"/>
      <c r="Z48" s="97"/>
      <c r="AA48" s="97"/>
      <c r="AB48" s="97"/>
      <c r="AC48" s="97"/>
      <c r="AD48" s="97"/>
    </row>
    <row r="49" spans="2:30" ht="11.25" customHeight="1" x14ac:dyDescent="0.45">
      <c r="B49" s="131">
        <v>5973058190</v>
      </c>
      <c r="C49" s="124" t="s">
        <v>231</v>
      </c>
      <c r="D49" s="103">
        <v>150</v>
      </c>
      <c r="E49" s="103">
        <v>84</v>
      </c>
      <c r="F49" s="237">
        <f>'c311'!E49</f>
        <v>0</v>
      </c>
      <c r="G49" s="57">
        <f t="shared" si="0"/>
        <v>0</v>
      </c>
      <c r="H49" s="60">
        <f t="shared" si="1"/>
        <v>0</v>
      </c>
      <c r="I49" s="60">
        <f>30*BC!$B$47/E49</f>
        <v>0</v>
      </c>
      <c r="J49" s="60">
        <f t="shared" si="2"/>
        <v>0</v>
      </c>
      <c r="K49" s="60">
        <f t="shared" si="3"/>
        <v>0</v>
      </c>
      <c r="L49" s="58">
        <f t="shared" si="4"/>
        <v>0</v>
      </c>
      <c r="M49" s="210">
        <v>411</v>
      </c>
      <c r="N49" s="148">
        <f t="shared" si="5"/>
        <v>0</v>
      </c>
      <c r="O49" s="148">
        <f t="shared" si="6"/>
        <v>2.74</v>
      </c>
      <c r="P49" s="800" t="e">
        <f>O49+$O$137+((BC!$F$125)/$F$74)</f>
        <v>#DIV/0!</v>
      </c>
      <c r="Q49" s="222" t="e">
        <f t="shared" si="7"/>
        <v>#DIV/0!</v>
      </c>
      <c r="R49" s="223" t="e">
        <f t="shared" si="8"/>
        <v>#DIV/0!</v>
      </c>
      <c r="S49" s="223" t="e">
        <f t="shared" si="9"/>
        <v>#DIV/0!</v>
      </c>
      <c r="T49" s="24"/>
      <c r="U49" s="24"/>
      <c r="V49" s="97"/>
      <c r="W49" s="97"/>
      <c r="X49" s="97"/>
      <c r="Y49" s="97"/>
      <c r="Z49" s="97"/>
      <c r="AA49" s="97"/>
      <c r="AB49" s="97"/>
      <c r="AC49" s="97"/>
      <c r="AD49" s="97"/>
    </row>
    <row r="50" spans="2:30" ht="11.25" customHeight="1" x14ac:dyDescent="0.45">
      <c r="B50" s="131">
        <v>3507432190</v>
      </c>
      <c r="C50" s="111" t="s">
        <v>232</v>
      </c>
      <c r="D50" s="103">
        <v>150</v>
      </c>
      <c r="E50" s="103">
        <v>84</v>
      </c>
      <c r="F50" s="237">
        <f>'c311'!E50</f>
        <v>0</v>
      </c>
      <c r="G50" s="57">
        <f t="shared" si="0"/>
        <v>0</v>
      </c>
      <c r="H50" s="60">
        <f t="shared" si="1"/>
        <v>0</v>
      </c>
      <c r="I50" s="60">
        <f>30*BC!$B$47/E50</f>
        <v>0</v>
      </c>
      <c r="J50" s="60">
        <f t="shared" si="2"/>
        <v>0</v>
      </c>
      <c r="K50" s="60">
        <f t="shared" si="3"/>
        <v>0</v>
      </c>
      <c r="L50" s="58">
        <f t="shared" si="4"/>
        <v>0</v>
      </c>
      <c r="M50" s="210">
        <v>360</v>
      </c>
      <c r="N50" s="148">
        <f t="shared" si="5"/>
        <v>0</v>
      </c>
      <c r="O50" s="148">
        <f t="shared" si="6"/>
        <v>2.4</v>
      </c>
      <c r="P50" s="800" t="e">
        <f>O50+$O$137+((BC!$F$125)/$F$74)</f>
        <v>#DIV/0!</v>
      </c>
      <c r="Q50" s="222" t="e">
        <f t="shared" si="7"/>
        <v>#DIV/0!</v>
      </c>
      <c r="R50" s="223" t="e">
        <f t="shared" si="8"/>
        <v>#DIV/0!</v>
      </c>
      <c r="S50" s="223" t="e">
        <f t="shared" si="9"/>
        <v>#DIV/0!</v>
      </c>
      <c r="T50" s="24"/>
      <c r="U50" s="24"/>
      <c r="V50" s="97"/>
      <c r="W50" s="97"/>
      <c r="X50" s="97"/>
      <c r="Y50" s="97"/>
      <c r="Z50" s="97"/>
      <c r="AA50" s="97"/>
      <c r="AB50" s="97"/>
      <c r="AC50" s="97"/>
      <c r="AD50" s="97"/>
    </row>
    <row r="51" spans="2:30" ht="11.25" customHeight="1" x14ac:dyDescent="0.45">
      <c r="B51" s="131">
        <v>3507190190</v>
      </c>
      <c r="C51" s="111" t="s">
        <v>233</v>
      </c>
      <c r="D51" s="103">
        <v>150</v>
      </c>
      <c r="E51" s="103">
        <v>84</v>
      </c>
      <c r="F51" s="237">
        <f>'c311'!E51</f>
        <v>0</v>
      </c>
      <c r="G51" s="57">
        <f t="shared" si="0"/>
        <v>0</v>
      </c>
      <c r="H51" s="60">
        <f t="shared" si="1"/>
        <v>0</v>
      </c>
      <c r="I51" s="60">
        <f>30*BC!$B$47/E51</f>
        <v>0</v>
      </c>
      <c r="J51" s="60">
        <f t="shared" si="2"/>
        <v>0</v>
      </c>
      <c r="K51" s="60">
        <f t="shared" si="3"/>
        <v>0</v>
      </c>
      <c r="L51" s="58">
        <f t="shared" si="4"/>
        <v>0</v>
      </c>
      <c r="M51" s="210">
        <v>360</v>
      </c>
      <c r="N51" s="148">
        <f t="shared" si="5"/>
        <v>0</v>
      </c>
      <c r="O51" s="148">
        <f t="shared" si="6"/>
        <v>2.4</v>
      </c>
      <c r="P51" s="800" t="e">
        <f>O51+$O$137+((BC!$F$125)/$F$74)</f>
        <v>#DIV/0!</v>
      </c>
      <c r="Q51" s="222" t="e">
        <f t="shared" si="7"/>
        <v>#DIV/0!</v>
      </c>
      <c r="R51" s="223" t="e">
        <f t="shared" si="8"/>
        <v>#DIV/0!</v>
      </c>
      <c r="S51" s="223" t="e">
        <f t="shared" si="9"/>
        <v>#DIV/0!</v>
      </c>
      <c r="T51" s="24"/>
      <c r="U51" s="24"/>
      <c r="V51" s="97"/>
      <c r="W51" s="97"/>
      <c r="X51" s="97"/>
      <c r="Y51" s="97"/>
      <c r="Z51" s="97"/>
      <c r="AA51" s="97"/>
      <c r="AB51" s="97"/>
      <c r="AC51" s="97"/>
      <c r="AD51" s="97"/>
    </row>
    <row r="52" spans="2:30" ht="11.25" customHeight="1" x14ac:dyDescent="0.45">
      <c r="B52" s="131">
        <v>3183696122</v>
      </c>
      <c r="C52" s="112" t="s">
        <v>234</v>
      </c>
      <c r="D52" s="103">
        <v>200</v>
      </c>
      <c r="E52" s="103">
        <v>42</v>
      </c>
      <c r="F52" s="237">
        <f>'c311'!E52</f>
        <v>0</v>
      </c>
      <c r="G52" s="57">
        <f t="shared" si="0"/>
        <v>0</v>
      </c>
      <c r="H52" s="60">
        <f t="shared" si="1"/>
        <v>0</v>
      </c>
      <c r="I52" s="60">
        <f>30*BC!$B$47/E52</f>
        <v>0</v>
      </c>
      <c r="J52" s="60">
        <f t="shared" si="2"/>
        <v>0</v>
      </c>
      <c r="K52" s="60">
        <f t="shared" si="3"/>
        <v>0</v>
      </c>
      <c r="L52" s="58">
        <f t="shared" si="4"/>
        <v>0</v>
      </c>
      <c r="M52" s="210">
        <v>78</v>
      </c>
      <c r="N52" s="148">
        <f t="shared" si="5"/>
        <v>0</v>
      </c>
      <c r="O52" s="148">
        <f t="shared" si="6"/>
        <v>0.39</v>
      </c>
      <c r="P52" s="800" t="e">
        <f>O52+$O$137+((BC!$F$125)/$F$74)</f>
        <v>#DIV/0!</v>
      </c>
      <c r="Q52" s="222" t="e">
        <f t="shared" si="7"/>
        <v>#DIV/0!</v>
      </c>
      <c r="R52" s="223" t="e">
        <f t="shared" si="8"/>
        <v>#DIV/0!</v>
      </c>
      <c r="S52" s="223" t="e">
        <f t="shared" si="9"/>
        <v>#DIV/0!</v>
      </c>
      <c r="T52" s="24"/>
      <c r="U52" s="24"/>
      <c r="V52" s="97"/>
      <c r="W52" s="97"/>
      <c r="X52" s="97"/>
      <c r="Y52" s="97"/>
      <c r="Z52" s="97"/>
      <c r="AA52" s="97"/>
      <c r="AB52" s="97"/>
      <c r="AC52" s="97"/>
      <c r="AD52" s="97"/>
    </row>
    <row r="53" spans="2:30" ht="11.25" customHeight="1" x14ac:dyDescent="0.45">
      <c r="B53" s="131">
        <v>6749976190</v>
      </c>
      <c r="C53" s="111" t="s">
        <v>235</v>
      </c>
      <c r="D53" s="103">
        <v>100</v>
      </c>
      <c r="E53" s="103">
        <v>84</v>
      </c>
      <c r="F53" s="237">
        <f>'c311'!E53</f>
        <v>0</v>
      </c>
      <c r="G53" s="57">
        <f t="shared" si="0"/>
        <v>0</v>
      </c>
      <c r="H53" s="60">
        <f t="shared" si="1"/>
        <v>0</v>
      </c>
      <c r="I53" s="60">
        <f>30*BC!$B$47/E53</f>
        <v>0</v>
      </c>
      <c r="J53" s="60">
        <f t="shared" si="2"/>
        <v>0</v>
      </c>
      <c r="K53" s="60">
        <f t="shared" si="3"/>
        <v>0</v>
      </c>
      <c r="L53" s="58">
        <f t="shared" si="4"/>
        <v>0</v>
      </c>
      <c r="M53" s="210">
        <v>474</v>
      </c>
      <c r="N53" s="148">
        <f t="shared" si="5"/>
        <v>0</v>
      </c>
      <c r="O53" s="148">
        <f t="shared" si="6"/>
        <v>4.74</v>
      </c>
      <c r="P53" s="800" t="e">
        <f>O53+$O$137+((BC!$F$125)/$F$74)</f>
        <v>#DIV/0!</v>
      </c>
      <c r="Q53" s="222" t="e">
        <f t="shared" si="7"/>
        <v>#DIV/0!</v>
      </c>
      <c r="R53" s="223" t="e">
        <f t="shared" si="8"/>
        <v>#DIV/0!</v>
      </c>
      <c r="S53" s="223" t="e">
        <f t="shared" si="9"/>
        <v>#DIV/0!</v>
      </c>
      <c r="T53" s="24"/>
      <c r="U53" s="24"/>
      <c r="V53" s="97"/>
      <c r="W53" s="97"/>
      <c r="X53" s="97"/>
      <c r="Y53" s="97"/>
      <c r="Z53" s="97"/>
      <c r="AA53" s="97"/>
      <c r="AB53" s="97"/>
      <c r="AC53" s="97"/>
      <c r="AD53" s="97"/>
    </row>
    <row r="54" spans="2:30" ht="11.25" customHeight="1" x14ac:dyDescent="0.45">
      <c r="B54" s="131">
        <v>3183700190</v>
      </c>
      <c r="C54" s="112" t="s">
        <v>236</v>
      </c>
      <c r="D54" s="103">
        <v>100</v>
      </c>
      <c r="E54" s="103">
        <v>84</v>
      </c>
      <c r="F54" s="237">
        <f>'c311'!E54</f>
        <v>0</v>
      </c>
      <c r="G54" s="57">
        <f t="shared" si="0"/>
        <v>0</v>
      </c>
      <c r="H54" s="60">
        <f t="shared" si="1"/>
        <v>0</v>
      </c>
      <c r="I54" s="60">
        <f>30*BC!$B$47/E54</f>
        <v>0</v>
      </c>
      <c r="J54" s="60">
        <f t="shared" si="2"/>
        <v>0</v>
      </c>
      <c r="K54" s="60">
        <f t="shared" si="3"/>
        <v>0</v>
      </c>
      <c r="L54" s="58">
        <f t="shared" si="4"/>
        <v>0</v>
      </c>
      <c r="M54" s="210">
        <v>152</v>
      </c>
      <c r="N54" s="148">
        <f t="shared" si="5"/>
        <v>0</v>
      </c>
      <c r="O54" s="148">
        <f t="shared" si="6"/>
        <v>1.52</v>
      </c>
      <c r="P54" s="800" t="e">
        <f>O54+$O$137+((BC!$F$125)/$F$74)</f>
        <v>#DIV/0!</v>
      </c>
      <c r="Q54" s="222" t="e">
        <f t="shared" si="7"/>
        <v>#DIV/0!</v>
      </c>
      <c r="R54" s="223" t="e">
        <f t="shared" si="8"/>
        <v>#DIV/0!</v>
      </c>
      <c r="S54" s="223" t="e">
        <f t="shared" si="9"/>
        <v>#DIV/0!</v>
      </c>
      <c r="T54" s="24"/>
      <c r="U54" s="24"/>
      <c r="V54" s="97"/>
      <c r="W54" s="97"/>
      <c r="X54" s="97"/>
      <c r="Y54" s="97"/>
      <c r="Z54" s="97"/>
      <c r="AA54" s="97"/>
      <c r="AB54" s="97"/>
      <c r="AC54" s="97"/>
      <c r="AD54" s="97"/>
    </row>
    <row r="55" spans="2:30" ht="11.25" customHeight="1" x14ac:dyDescent="0.45">
      <c r="B55" s="131">
        <v>6749992190</v>
      </c>
      <c r="C55" s="111" t="s">
        <v>237</v>
      </c>
      <c r="D55" s="103">
        <v>100</v>
      </c>
      <c r="E55" s="103">
        <v>84</v>
      </c>
      <c r="F55" s="237">
        <f>'c311'!E55</f>
        <v>0</v>
      </c>
      <c r="G55" s="57">
        <f t="shared" si="0"/>
        <v>0</v>
      </c>
      <c r="H55" s="60">
        <f t="shared" si="1"/>
        <v>0</v>
      </c>
      <c r="I55" s="60">
        <f>30*BC!$B$47/E55</f>
        <v>0</v>
      </c>
      <c r="J55" s="60">
        <f t="shared" si="2"/>
        <v>0</v>
      </c>
      <c r="K55" s="60">
        <f t="shared" si="3"/>
        <v>0</v>
      </c>
      <c r="L55" s="58">
        <f t="shared" si="4"/>
        <v>0</v>
      </c>
      <c r="M55" s="210">
        <v>706</v>
      </c>
      <c r="N55" s="148">
        <f t="shared" si="5"/>
        <v>0</v>
      </c>
      <c r="O55" s="148">
        <f t="shared" si="6"/>
        <v>7.06</v>
      </c>
      <c r="P55" s="800" t="e">
        <f>O55+$O$137+((BC!$F$125)/$F$74)</f>
        <v>#DIV/0!</v>
      </c>
      <c r="Q55" s="222" t="e">
        <f t="shared" si="7"/>
        <v>#DIV/0!</v>
      </c>
      <c r="R55" s="223" t="e">
        <f t="shared" si="8"/>
        <v>#DIV/0!</v>
      </c>
      <c r="S55" s="223" t="e">
        <f t="shared" si="9"/>
        <v>#DIV/0!</v>
      </c>
      <c r="T55" s="24"/>
      <c r="U55" s="24"/>
      <c r="V55" s="97"/>
      <c r="W55" s="97"/>
      <c r="X55" s="97"/>
      <c r="Y55" s="97"/>
      <c r="Z55" s="97"/>
      <c r="AA55" s="97"/>
      <c r="AB55" s="97"/>
      <c r="AC55" s="97"/>
      <c r="AD55" s="97"/>
    </row>
    <row r="56" spans="2:30" ht="11.25" customHeight="1" x14ac:dyDescent="0.45">
      <c r="B56" s="131">
        <v>3004732122</v>
      </c>
      <c r="C56" s="112" t="s">
        <v>238</v>
      </c>
      <c r="D56" s="103">
        <v>300</v>
      </c>
      <c r="E56" s="103">
        <v>84</v>
      </c>
      <c r="F56" s="237">
        <f>'c311'!E56</f>
        <v>0</v>
      </c>
      <c r="G56" s="57">
        <f t="shared" si="0"/>
        <v>0</v>
      </c>
      <c r="H56" s="60">
        <f t="shared" si="1"/>
        <v>0</v>
      </c>
      <c r="I56" s="60">
        <f>30*BC!$B$47/E56</f>
        <v>0</v>
      </c>
      <c r="J56" s="60">
        <f t="shared" si="2"/>
        <v>0</v>
      </c>
      <c r="K56" s="60">
        <f t="shared" si="3"/>
        <v>0</v>
      </c>
      <c r="L56" s="58">
        <f t="shared" si="4"/>
        <v>0</v>
      </c>
      <c r="M56" s="210">
        <v>114</v>
      </c>
      <c r="N56" s="148">
        <f t="shared" si="5"/>
        <v>0</v>
      </c>
      <c r="O56" s="148">
        <f t="shared" si="6"/>
        <v>0.38</v>
      </c>
      <c r="P56" s="800" t="e">
        <f>O56+$O$137+((BC!$F$125)/$F$74)</f>
        <v>#DIV/0!</v>
      </c>
      <c r="Q56" s="222" t="e">
        <f t="shared" si="7"/>
        <v>#DIV/0!</v>
      </c>
      <c r="R56" s="223" t="e">
        <f t="shared" si="8"/>
        <v>#DIV/0!</v>
      </c>
      <c r="S56" s="223" t="e">
        <f t="shared" si="9"/>
        <v>#DIV/0!</v>
      </c>
      <c r="T56" s="24"/>
      <c r="U56" s="24"/>
      <c r="V56" s="97"/>
      <c r="W56" s="97"/>
      <c r="X56" s="97"/>
      <c r="Y56" s="97"/>
      <c r="Z56" s="97"/>
      <c r="AA56" s="97"/>
      <c r="AB56" s="97"/>
      <c r="AC56" s="97"/>
      <c r="AD56" s="97"/>
    </row>
    <row r="57" spans="2:30" ht="11.25" customHeight="1" x14ac:dyDescent="0.45">
      <c r="B57" s="131">
        <v>7005717190</v>
      </c>
      <c r="C57" s="113" t="s">
        <v>239</v>
      </c>
      <c r="D57" s="103">
        <v>200</v>
      </c>
      <c r="E57" s="103">
        <v>84</v>
      </c>
      <c r="F57" s="237">
        <f>'c311'!E57</f>
        <v>0</v>
      </c>
      <c r="G57" s="57">
        <f t="shared" si="0"/>
        <v>0</v>
      </c>
      <c r="H57" s="60">
        <f t="shared" si="1"/>
        <v>0</v>
      </c>
      <c r="I57" s="60">
        <f>30*BC!$B$47/E57</f>
        <v>0</v>
      </c>
      <c r="J57" s="60">
        <f t="shared" si="2"/>
        <v>0</v>
      </c>
      <c r="K57" s="60">
        <f t="shared" si="3"/>
        <v>0</v>
      </c>
      <c r="L57" s="58">
        <f t="shared" si="4"/>
        <v>0</v>
      </c>
      <c r="M57" s="210">
        <v>308</v>
      </c>
      <c r="N57" s="148">
        <f t="shared" si="5"/>
        <v>0</v>
      </c>
      <c r="O57" s="148">
        <f t="shared" si="6"/>
        <v>1.54</v>
      </c>
      <c r="P57" s="800" t="e">
        <f>O57+$O$137+((BC!$F$125)/$F$74)</f>
        <v>#DIV/0!</v>
      </c>
      <c r="Q57" s="222" t="e">
        <f t="shared" si="7"/>
        <v>#DIV/0!</v>
      </c>
      <c r="R57" s="223" t="e">
        <f t="shared" si="8"/>
        <v>#DIV/0!</v>
      </c>
      <c r="S57" s="223" t="e">
        <f t="shared" si="9"/>
        <v>#DIV/0!</v>
      </c>
      <c r="T57" s="24"/>
      <c r="U57" s="24"/>
      <c r="V57" s="97"/>
      <c r="W57" s="97"/>
      <c r="X57" s="97"/>
      <c r="Y57" s="97"/>
      <c r="Z57" s="97"/>
      <c r="AA57" s="97"/>
      <c r="AB57" s="97"/>
      <c r="AC57" s="97"/>
      <c r="AD57" s="97"/>
    </row>
    <row r="58" spans="2:30" ht="11.25" customHeight="1" x14ac:dyDescent="0.45">
      <c r="B58" s="131">
        <v>3029590322</v>
      </c>
      <c r="C58" s="112" t="s">
        <v>240</v>
      </c>
      <c r="D58" s="103">
        <v>200</v>
      </c>
      <c r="E58" s="103">
        <v>28</v>
      </c>
      <c r="F58" s="237">
        <f>'c311'!E58</f>
        <v>0</v>
      </c>
      <c r="G58" s="57">
        <f t="shared" si="0"/>
        <v>0</v>
      </c>
      <c r="H58" s="60">
        <f t="shared" si="1"/>
        <v>0</v>
      </c>
      <c r="I58" s="60">
        <f>30*BC!$B$47/E58</f>
        <v>0</v>
      </c>
      <c r="J58" s="60">
        <f t="shared" si="2"/>
        <v>0</v>
      </c>
      <c r="K58" s="60">
        <f t="shared" si="3"/>
        <v>0</v>
      </c>
      <c r="L58" s="58">
        <f t="shared" si="4"/>
        <v>0</v>
      </c>
      <c r="M58" s="210">
        <v>190</v>
      </c>
      <c r="N58" s="148">
        <f t="shared" si="5"/>
        <v>0</v>
      </c>
      <c r="O58" s="148">
        <f t="shared" si="6"/>
        <v>0.95</v>
      </c>
      <c r="P58" s="800" t="e">
        <f>O58+$O$137+((BC!$F$125)/$F$74)</f>
        <v>#DIV/0!</v>
      </c>
      <c r="Q58" s="222" t="e">
        <f t="shared" si="7"/>
        <v>#DIV/0!</v>
      </c>
      <c r="R58" s="223" t="e">
        <f t="shared" si="8"/>
        <v>#DIV/0!</v>
      </c>
      <c r="S58" s="223" t="e">
        <f t="shared" si="9"/>
        <v>#DIV/0!</v>
      </c>
      <c r="T58" s="24"/>
      <c r="U58" s="24"/>
      <c r="V58" s="97"/>
      <c r="W58" s="97"/>
      <c r="X58" s="97"/>
      <c r="Y58" s="97"/>
      <c r="Z58" s="97"/>
      <c r="AA58" s="97"/>
      <c r="AB58" s="97"/>
      <c r="AC58" s="97"/>
      <c r="AD58" s="97"/>
    </row>
    <row r="59" spans="2:30" ht="11.25" customHeight="1" x14ac:dyDescent="0.45">
      <c r="B59" s="140">
        <v>5852625190</v>
      </c>
      <c r="C59" s="125" t="s">
        <v>241</v>
      </c>
      <c r="D59" s="103">
        <v>150</v>
      </c>
      <c r="E59" s="103">
        <v>42</v>
      </c>
      <c r="F59" s="237">
        <f>'c311'!E59</f>
        <v>0</v>
      </c>
      <c r="G59" s="57">
        <f t="shared" si="0"/>
        <v>0</v>
      </c>
      <c r="H59" s="60">
        <f t="shared" si="1"/>
        <v>0</v>
      </c>
      <c r="I59" s="60">
        <f>30*BC!$B$47/E59</f>
        <v>0</v>
      </c>
      <c r="J59" s="60">
        <f t="shared" si="2"/>
        <v>0</v>
      </c>
      <c r="K59" s="60">
        <f t="shared" si="3"/>
        <v>0</v>
      </c>
      <c r="L59" s="58">
        <f t="shared" si="4"/>
        <v>0</v>
      </c>
      <c r="M59" s="210">
        <v>1479</v>
      </c>
      <c r="N59" s="148">
        <f t="shared" si="5"/>
        <v>0</v>
      </c>
      <c r="O59" s="148">
        <f t="shared" si="6"/>
        <v>9.86</v>
      </c>
      <c r="P59" s="800" t="e">
        <f>O59+$O$137+((BC!$F$125)/$F$74)</f>
        <v>#DIV/0!</v>
      </c>
      <c r="Q59" s="222" t="e">
        <f t="shared" si="7"/>
        <v>#DIV/0!</v>
      </c>
      <c r="R59" s="223" t="e">
        <f t="shared" si="8"/>
        <v>#DIV/0!</v>
      </c>
      <c r="S59" s="223" t="e">
        <f t="shared" si="9"/>
        <v>#DIV/0!</v>
      </c>
      <c r="T59" s="24"/>
      <c r="U59" s="24"/>
      <c r="V59" s="97"/>
      <c r="W59" s="97"/>
      <c r="X59" s="97"/>
      <c r="Y59" s="97"/>
      <c r="Z59" s="97"/>
      <c r="AA59" s="97"/>
      <c r="AB59" s="97"/>
      <c r="AC59" s="97"/>
      <c r="AD59" s="97"/>
    </row>
    <row r="60" spans="2:30" ht="11.25" customHeight="1" x14ac:dyDescent="0.45">
      <c r="B60" s="141">
        <v>6481647190</v>
      </c>
      <c r="C60" s="126" t="s">
        <v>242</v>
      </c>
      <c r="D60" s="103">
        <v>250</v>
      </c>
      <c r="E60" s="103">
        <v>84</v>
      </c>
      <c r="F60" s="237">
        <f>'c311'!E60</f>
        <v>0</v>
      </c>
      <c r="G60" s="57">
        <f t="shared" si="0"/>
        <v>0</v>
      </c>
      <c r="H60" s="60">
        <f t="shared" si="1"/>
        <v>0</v>
      </c>
      <c r="I60" s="60">
        <f>30*BC!$B$47/E60</f>
        <v>0</v>
      </c>
      <c r="J60" s="60">
        <f t="shared" si="2"/>
        <v>0</v>
      </c>
      <c r="K60" s="60">
        <f t="shared" si="3"/>
        <v>0</v>
      </c>
      <c r="L60" s="58">
        <f t="shared" si="4"/>
        <v>0</v>
      </c>
      <c r="M60" s="210">
        <v>165</v>
      </c>
      <c r="N60" s="148">
        <f t="shared" si="5"/>
        <v>0</v>
      </c>
      <c r="O60" s="148">
        <f t="shared" si="6"/>
        <v>0.66</v>
      </c>
      <c r="P60" s="800" t="e">
        <f>O60+$O$137+((BC!$F$125)/$F$74)</f>
        <v>#DIV/0!</v>
      </c>
      <c r="Q60" s="222" t="e">
        <f t="shared" si="7"/>
        <v>#DIV/0!</v>
      </c>
      <c r="R60" s="223" t="e">
        <f t="shared" si="8"/>
        <v>#DIV/0!</v>
      </c>
      <c r="S60" s="223" t="e">
        <f t="shared" si="9"/>
        <v>#DIV/0!</v>
      </c>
      <c r="T60" s="24"/>
      <c r="U60" s="24"/>
      <c r="V60" s="97"/>
      <c r="W60" s="97"/>
      <c r="X60" s="97"/>
      <c r="Y60" s="97"/>
      <c r="Z60" s="97"/>
      <c r="AA60" s="97"/>
      <c r="AB60" s="97"/>
      <c r="AC60" s="97"/>
      <c r="AD60" s="97"/>
    </row>
    <row r="61" spans="2:30" ht="11.25" customHeight="1" x14ac:dyDescent="0.45">
      <c r="B61" s="142">
        <v>7229593190</v>
      </c>
      <c r="C61" s="109" t="s">
        <v>312</v>
      </c>
      <c r="D61" s="103">
        <v>150</v>
      </c>
      <c r="E61" s="103">
        <v>56</v>
      </c>
      <c r="F61" s="237">
        <f>'c311'!E61</f>
        <v>0</v>
      </c>
      <c r="G61" s="57">
        <f t="shared" si="0"/>
        <v>0</v>
      </c>
      <c r="H61" s="60">
        <f t="shared" si="1"/>
        <v>0</v>
      </c>
      <c r="I61" s="60">
        <f>30*BC!$B$47/E61</f>
        <v>0</v>
      </c>
      <c r="J61" s="60">
        <f t="shared" si="2"/>
        <v>0</v>
      </c>
      <c r="K61" s="60">
        <f t="shared" si="3"/>
        <v>0</v>
      </c>
      <c r="L61" s="58">
        <f t="shared" si="4"/>
        <v>0</v>
      </c>
      <c r="M61" s="210">
        <v>348</v>
      </c>
      <c r="N61" s="148">
        <f t="shared" si="5"/>
        <v>0</v>
      </c>
      <c r="O61" s="148">
        <f t="shared" si="6"/>
        <v>2.3199999999999998</v>
      </c>
      <c r="P61" s="800" t="e">
        <f>O61+$O$137+((BC!$F$125)/$F$74)</f>
        <v>#DIV/0!</v>
      </c>
      <c r="Q61" s="222" t="e">
        <f t="shared" si="7"/>
        <v>#DIV/0!</v>
      </c>
      <c r="R61" s="223" t="e">
        <f t="shared" si="8"/>
        <v>#DIV/0!</v>
      </c>
      <c r="S61" s="223" t="e">
        <f t="shared" si="9"/>
        <v>#DIV/0!</v>
      </c>
      <c r="T61" s="24"/>
      <c r="U61" s="24"/>
      <c r="V61" s="97"/>
      <c r="W61" s="97"/>
      <c r="X61" s="97"/>
      <c r="Y61" s="97"/>
      <c r="Z61" s="97"/>
      <c r="AA61" s="97"/>
      <c r="AB61" s="97"/>
      <c r="AC61" s="97"/>
      <c r="AD61" s="97"/>
    </row>
    <row r="62" spans="2:30" ht="11.25" customHeight="1" x14ac:dyDescent="0.45">
      <c r="B62" s="141">
        <v>3183793122</v>
      </c>
      <c r="C62" s="126" t="s">
        <v>243</v>
      </c>
      <c r="D62" s="103">
        <v>250</v>
      </c>
      <c r="E62" s="103">
        <v>84</v>
      </c>
      <c r="F62" s="237">
        <f>'c311'!E62</f>
        <v>0</v>
      </c>
      <c r="G62" s="57">
        <f t="shared" si="0"/>
        <v>0</v>
      </c>
      <c r="H62" s="60">
        <f t="shared" si="1"/>
        <v>0</v>
      </c>
      <c r="I62" s="60">
        <f>30*BC!$B$47/E62</f>
        <v>0</v>
      </c>
      <c r="J62" s="60">
        <f t="shared" si="2"/>
        <v>0</v>
      </c>
      <c r="K62" s="60">
        <f t="shared" si="3"/>
        <v>0</v>
      </c>
      <c r="L62" s="58">
        <f t="shared" si="4"/>
        <v>0</v>
      </c>
      <c r="M62" s="210">
        <v>68</v>
      </c>
      <c r="N62" s="148">
        <f t="shared" si="5"/>
        <v>0</v>
      </c>
      <c r="O62" s="148">
        <f t="shared" si="6"/>
        <v>0.27200000000000002</v>
      </c>
      <c r="P62" s="800" t="e">
        <f>O62+$O$137+((BC!$F$125)/$F$74)</f>
        <v>#DIV/0!</v>
      </c>
      <c r="Q62" s="222" t="e">
        <f t="shared" si="7"/>
        <v>#DIV/0!</v>
      </c>
      <c r="R62" s="223" t="e">
        <f t="shared" si="8"/>
        <v>#DIV/0!</v>
      </c>
      <c r="S62" s="223" t="e">
        <f t="shared" si="9"/>
        <v>#DIV/0!</v>
      </c>
      <c r="T62" s="24"/>
      <c r="U62" s="24"/>
      <c r="V62" s="97"/>
      <c r="W62" s="97"/>
      <c r="X62" s="97"/>
      <c r="Y62" s="97"/>
      <c r="Z62" s="97"/>
      <c r="AA62" s="97"/>
      <c r="AB62" s="97"/>
      <c r="AC62" s="97"/>
      <c r="AD62" s="97"/>
    </row>
    <row r="63" spans="2:30" ht="11.25" customHeight="1" x14ac:dyDescent="0.45">
      <c r="B63" s="141">
        <v>20764655322</v>
      </c>
      <c r="C63" s="114" t="s">
        <v>244</v>
      </c>
      <c r="D63" s="103">
        <v>100</v>
      </c>
      <c r="E63" s="103">
        <v>56</v>
      </c>
      <c r="F63" s="237">
        <f>'c311'!E63</f>
        <v>0</v>
      </c>
      <c r="G63" s="57">
        <f t="shared" si="0"/>
        <v>0</v>
      </c>
      <c r="H63" s="60">
        <f t="shared" si="1"/>
        <v>0</v>
      </c>
      <c r="I63" s="60">
        <f>30*BC!$B$47/E63</f>
        <v>0</v>
      </c>
      <c r="J63" s="60">
        <f t="shared" si="2"/>
        <v>0</v>
      </c>
      <c r="K63" s="60">
        <f t="shared" si="3"/>
        <v>0</v>
      </c>
      <c r="L63" s="58">
        <f t="shared" si="4"/>
        <v>0</v>
      </c>
      <c r="M63" s="210">
        <v>465</v>
      </c>
      <c r="N63" s="148">
        <f t="shared" si="5"/>
        <v>0</v>
      </c>
      <c r="O63" s="148">
        <f t="shared" si="6"/>
        <v>4.6500000000000004</v>
      </c>
      <c r="P63" s="800" t="e">
        <f>O63+$O$137+((BC!$F$125)/$F$74)</f>
        <v>#DIV/0!</v>
      </c>
      <c r="Q63" s="222" t="e">
        <f t="shared" si="7"/>
        <v>#DIV/0!</v>
      </c>
      <c r="R63" s="223" t="e">
        <f t="shared" si="8"/>
        <v>#DIV/0!</v>
      </c>
      <c r="S63" s="223" t="e">
        <f t="shared" si="9"/>
        <v>#DIV/0!</v>
      </c>
      <c r="T63" s="24"/>
      <c r="U63" s="24"/>
      <c r="V63" s="97"/>
      <c r="W63" s="97"/>
      <c r="X63" s="97"/>
      <c r="Y63" s="97"/>
      <c r="Z63" s="97"/>
      <c r="AA63" s="97"/>
      <c r="AB63" s="97"/>
      <c r="AC63" s="97"/>
      <c r="AD63" s="97"/>
    </row>
    <row r="64" spans="2:30" ht="11.25" customHeight="1" x14ac:dyDescent="0.45">
      <c r="B64" s="143">
        <v>20764574322</v>
      </c>
      <c r="C64" s="127" t="s">
        <v>245</v>
      </c>
      <c r="D64" s="103">
        <v>100</v>
      </c>
      <c r="E64" s="103">
        <v>56</v>
      </c>
      <c r="F64" s="237">
        <f>'c311'!E64</f>
        <v>0</v>
      </c>
      <c r="G64" s="57">
        <f t="shared" si="0"/>
        <v>0</v>
      </c>
      <c r="H64" s="60">
        <f t="shared" si="1"/>
        <v>0</v>
      </c>
      <c r="I64" s="60">
        <f>30*BC!$B$47/E64</f>
        <v>0</v>
      </c>
      <c r="J64" s="60">
        <f t="shared" si="2"/>
        <v>0</v>
      </c>
      <c r="K64" s="60">
        <f t="shared" si="3"/>
        <v>0</v>
      </c>
      <c r="L64" s="58">
        <f t="shared" si="4"/>
        <v>0</v>
      </c>
      <c r="M64" s="210">
        <v>311</v>
      </c>
      <c r="N64" s="148">
        <f t="shared" si="5"/>
        <v>0</v>
      </c>
      <c r="O64" s="148">
        <f t="shared" si="6"/>
        <v>3.11</v>
      </c>
      <c r="P64" s="800" t="e">
        <f>O64+$O$137+((BC!$F$125)/$F$74)</f>
        <v>#DIV/0!</v>
      </c>
      <c r="Q64" s="222" t="e">
        <f t="shared" si="7"/>
        <v>#DIV/0!</v>
      </c>
      <c r="R64" s="223" t="e">
        <f t="shared" si="8"/>
        <v>#DIV/0!</v>
      </c>
      <c r="S64" s="223" t="e">
        <f t="shared" si="9"/>
        <v>#DIV/0!</v>
      </c>
      <c r="T64" s="24"/>
      <c r="U64" s="24"/>
      <c r="V64" s="97"/>
      <c r="W64" s="97"/>
      <c r="X64" s="97"/>
      <c r="Y64" s="97"/>
      <c r="Z64" s="97"/>
      <c r="AA64" s="97"/>
      <c r="AB64" s="97"/>
      <c r="AC64" s="97"/>
      <c r="AD64" s="97"/>
    </row>
    <row r="65" spans="2:30" ht="11.25" customHeight="1" x14ac:dyDescent="0.45">
      <c r="B65" s="144">
        <v>7227841190</v>
      </c>
      <c r="C65" s="128" t="s">
        <v>246</v>
      </c>
      <c r="D65" s="103">
        <v>100</v>
      </c>
      <c r="E65" s="103">
        <v>182</v>
      </c>
      <c r="F65" s="237">
        <f>'c311'!E65</f>
        <v>0</v>
      </c>
      <c r="G65" s="57">
        <f t="shared" si="0"/>
        <v>0</v>
      </c>
      <c r="H65" s="60">
        <f t="shared" si="1"/>
        <v>0</v>
      </c>
      <c r="I65" s="60">
        <f>30*BC!$B$47/E65</f>
        <v>0</v>
      </c>
      <c r="J65" s="60">
        <f t="shared" si="2"/>
        <v>0</v>
      </c>
      <c r="K65" s="60">
        <f t="shared" si="3"/>
        <v>0</v>
      </c>
      <c r="L65" s="58">
        <f t="shared" si="4"/>
        <v>0</v>
      </c>
      <c r="M65" s="210">
        <v>445</v>
      </c>
      <c r="N65" s="148">
        <f t="shared" si="5"/>
        <v>0</v>
      </c>
      <c r="O65" s="148">
        <f t="shared" si="6"/>
        <v>4.45</v>
      </c>
      <c r="P65" s="800" t="e">
        <f>O65+$O$137+((BC!$F$125)/$F$74)</f>
        <v>#DIV/0!</v>
      </c>
      <c r="Q65" s="222" t="e">
        <f t="shared" si="7"/>
        <v>#DIV/0!</v>
      </c>
      <c r="R65" s="223" t="e">
        <f t="shared" si="8"/>
        <v>#DIV/0!</v>
      </c>
      <c r="S65" s="223" t="e">
        <f t="shared" si="9"/>
        <v>#DIV/0!</v>
      </c>
      <c r="T65" s="24"/>
      <c r="U65" s="24"/>
      <c r="V65" s="97"/>
      <c r="W65" s="97"/>
      <c r="X65" s="97"/>
      <c r="Y65" s="97"/>
      <c r="Z65" s="97"/>
      <c r="AA65" s="97"/>
      <c r="AB65" s="97"/>
      <c r="AC65" s="97"/>
      <c r="AD65" s="97"/>
    </row>
    <row r="66" spans="2:30" ht="11.25" customHeight="1" x14ac:dyDescent="0.45">
      <c r="B66" s="134">
        <v>4491009190</v>
      </c>
      <c r="C66" s="118" t="s">
        <v>247</v>
      </c>
      <c r="D66" s="103">
        <v>200</v>
      </c>
      <c r="E66" s="103">
        <v>56</v>
      </c>
      <c r="F66" s="237">
        <f>'c311'!E66</f>
        <v>0</v>
      </c>
      <c r="G66" s="57">
        <f t="shared" si="0"/>
        <v>0</v>
      </c>
      <c r="H66" s="60">
        <f t="shared" si="1"/>
        <v>0</v>
      </c>
      <c r="I66" s="60">
        <f>30*BC!$B$47/E66</f>
        <v>0</v>
      </c>
      <c r="J66" s="60">
        <f t="shared" si="2"/>
        <v>0</v>
      </c>
      <c r="K66" s="60">
        <f t="shared" si="3"/>
        <v>0</v>
      </c>
      <c r="L66" s="58">
        <f t="shared" si="4"/>
        <v>0</v>
      </c>
      <c r="M66" s="210">
        <v>130</v>
      </c>
      <c r="N66" s="148">
        <f t="shared" si="5"/>
        <v>0</v>
      </c>
      <c r="O66" s="148">
        <f t="shared" si="6"/>
        <v>0.65</v>
      </c>
      <c r="P66" s="800" t="e">
        <f>O66+$O$137+((BC!$F$125)/$F$74)</f>
        <v>#DIV/0!</v>
      </c>
      <c r="Q66" s="222" t="e">
        <f t="shared" si="7"/>
        <v>#DIV/0!</v>
      </c>
      <c r="R66" s="223" t="e">
        <f t="shared" si="8"/>
        <v>#DIV/0!</v>
      </c>
      <c r="S66" s="223" t="e">
        <f t="shared" si="9"/>
        <v>#DIV/0!</v>
      </c>
      <c r="T66" s="24"/>
      <c r="U66" s="24"/>
      <c r="V66" s="97"/>
      <c r="W66" s="97"/>
      <c r="X66" s="97"/>
      <c r="Y66" s="97"/>
      <c r="Z66" s="97"/>
      <c r="AA66" s="97"/>
      <c r="AB66" s="97"/>
      <c r="AC66" s="97"/>
      <c r="AD66" s="97"/>
    </row>
    <row r="67" spans="2:30" ht="11.25" customHeight="1" x14ac:dyDescent="0.45">
      <c r="B67" s="131">
        <v>3183734190</v>
      </c>
      <c r="C67" s="112" t="s">
        <v>248</v>
      </c>
      <c r="D67" s="103">
        <v>300</v>
      </c>
      <c r="E67" s="103">
        <v>28</v>
      </c>
      <c r="F67" s="237">
        <f>'c311'!E67</f>
        <v>0</v>
      </c>
      <c r="G67" s="57">
        <f t="shared" si="0"/>
        <v>0</v>
      </c>
      <c r="H67" s="60">
        <f t="shared" si="1"/>
        <v>0</v>
      </c>
      <c r="I67" s="60">
        <f>30*BC!$B$47/E67</f>
        <v>0</v>
      </c>
      <c r="J67" s="60">
        <f t="shared" si="2"/>
        <v>0</v>
      </c>
      <c r="K67" s="60">
        <f t="shared" si="3"/>
        <v>0</v>
      </c>
      <c r="L67" s="58">
        <f t="shared" si="4"/>
        <v>0</v>
      </c>
      <c r="M67" s="210">
        <v>57</v>
      </c>
      <c r="N67" s="148">
        <f t="shared" si="5"/>
        <v>0</v>
      </c>
      <c r="O67" s="148">
        <f t="shared" si="6"/>
        <v>0.19</v>
      </c>
      <c r="P67" s="800" t="e">
        <f>O67+$O$137+((BC!$F$125)/$F$74)</f>
        <v>#DIV/0!</v>
      </c>
      <c r="Q67" s="222" t="e">
        <f t="shared" si="7"/>
        <v>#DIV/0!</v>
      </c>
      <c r="R67" s="223" t="e">
        <f t="shared" si="8"/>
        <v>#DIV/0!</v>
      </c>
      <c r="S67" s="223" t="e">
        <f t="shared" si="9"/>
        <v>#DIV/0!</v>
      </c>
      <c r="T67" s="24"/>
      <c r="U67" s="24"/>
      <c r="V67" s="97"/>
      <c r="W67" s="97"/>
      <c r="X67" s="97"/>
      <c r="Y67" s="97"/>
      <c r="Z67" s="97"/>
      <c r="AA67" s="97"/>
      <c r="AB67" s="97"/>
      <c r="AC67" s="97"/>
      <c r="AD67" s="97"/>
    </row>
    <row r="68" spans="2:30" ht="11.25" customHeight="1" x14ac:dyDescent="0.45">
      <c r="B68" s="130">
        <v>3333825190</v>
      </c>
      <c r="C68" s="110" t="s">
        <v>249</v>
      </c>
      <c r="D68" s="103">
        <v>150</v>
      </c>
      <c r="E68" s="103">
        <v>84</v>
      </c>
      <c r="F68" s="237">
        <f>'c311'!E68</f>
        <v>0</v>
      </c>
      <c r="G68" s="57">
        <f t="shared" si="0"/>
        <v>0</v>
      </c>
      <c r="H68" s="60">
        <f t="shared" si="1"/>
        <v>0</v>
      </c>
      <c r="I68" s="60">
        <f>30*BC!$B$47/E68</f>
        <v>0</v>
      </c>
      <c r="J68" s="60">
        <f t="shared" si="2"/>
        <v>0</v>
      </c>
      <c r="K68" s="60">
        <f t="shared" si="3"/>
        <v>0</v>
      </c>
      <c r="L68" s="58">
        <f t="shared" si="4"/>
        <v>0</v>
      </c>
      <c r="M68" s="210">
        <v>213</v>
      </c>
      <c r="N68" s="148">
        <f t="shared" si="5"/>
        <v>0</v>
      </c>
      <c r="O68" s="148">
        <f t="shared" si="6"/>
        <v>1.42</v>
      </c>
      <c r="P68" s="800" t="e">
        <f>O68+$O$137+((BC!$F$125)/$F$74)</f>
        <v>#DIV/0!</v>
      </c>
      <c r="Q68" s="222" t="e">
        <f t="shared" si="7"/>
        <v>#DIV/0!</v>
      </c>
      <c r="R68" s="223" t="e">
        <f t="shared" si="8"/>
        <v>#DIV/0!</v>
      </c>
      <c r="S68" s="223" t="e">
        <f t="shared" si="9"/>
        <v>#DIV/0!</v>
      </c>
      <c r="T68" s="24"/>
      <c r="U68" s="24"/>
      <c r="V68" s="97"/>
      <c r="W68" s="97"/>
      <c r="X68" s="97"/>
      <c r="Y68" s="97"/>
      <c r="Z68" s="97"/>
      <c r="AA68" s="97"/>
      <c r="AB68" s="97"/>
      <c r="AC68" s="97"/>
      <c r="AD68" s="97"/>
    </row>
    <row r="69" spans="2:30" ht="11.25" customHeight="1" x14ac:dyDescent="0.45">
      <c r="B69" s="131">
        <v>20767107322</v>
      </c>
      <c r="C69" s="112" t="s">
        <v>250</v>
      </c>
      <c r="D69" s="103">
        <v>250</v>
      </c>
      <c r="E69" s="103">
        <v>56</v>
      </c>
      <c r="F69" s="237">
        <f>'c311'!E69</f>
        <v>0</v>
      </c>
      <c r="G69" s="57">
        <f t="shared" si="0"/>
        <v>0</v>
      </c>
      <c r="H69" s="60">
        <f t="shared" si="1"/>
        <v>0</v>
      </c>
      <c r="I69" s="60">
        <f>30*BC!$B$47/E69</f>
        <v>0</v>
      </c>
      <c r="J69" s="60">
        <f t="shared" si="2"/>
        <v>0</v>
      </c>
      <c r="K69" s="60">
        <f t="shared" si="3"/>
        <v>0</v>
      </c>
      <c r="L69" s="58">
        <f t="shared" si="4"/>
        <v>0</v>
      </c>
      <c r="M69" s="210">
        <v>83</v>
      </c>
      <c r="N69" s="148">
        <f t="shared" si="5"/>
        <v>0</v>
      </c>
      <c r="O69" s="148">
        <f t="shared" si="6"/>
        <v>0.33200000000000002</v>
      </c>
      <c r="P69" s="800" t="e">
        <f>O69+$O$137+((BC!$F$125)/$F$74)</f>
        <v>#DIV/0!</v>
      </c>
      <c r="Q69" s="222" t="e">
        <f t="shared" si="7"/>
        <v>#DIV/0!</v>
      </c>
      <c r="R69" s="223" t="e">
        <f t="shared" si="8"/>
        <v>#DIV/0!</v>
      </c>
      <c r="S69" s="223" t="e">
        <f t="shared" si="9"/>
        <v>#DIV/0!</v>
      </c>
      <c r="T69" s="24"/>
      <c r="U69" s="24"/>
      <c r="V69" s="97"/>
      <c r="W69" s="97"/>
      <c r="X69" s="97"/>
      <c r="Y69" s="97"/>
      <c r="Z69" s="97"/>
      <c r="AA69" s="97"/>
      <c r="AB69" s="97"/>
      <c r="AC69" s="97"/>
      <c r="AD69" s="97"/>
    </row>
    <row r="70" spans="2:30" ht="11.25" customHeight="1" x14ac:dyDescent="0.45">
      <c r="B70" s="131">
        <v>3015050122</v>
      </c>
      <c r="C70" s="111" t="s">
        <v>251</v>
      </c>
      <c r="D70" s="103">
        <v>100</v>
      </c>
      <c r="E70" s="103">
        <v>56</v>
      </c>
      <c r="F70" s="237">
        <f>'c311'!E70</f>
        <v>0</v>
      </c>
      <c r="G70" s="57">
        <f t="shared" si="0"/>
        <v>0</v>
      </c>
      <c r="H70" s="60">
        <f t="shared" si="1"/>
        <v>0</v>
      </c>
      <c r="I70" s="60">
        <f>30*BC!$B$47/E70</f>
        <v>0</v>
      </c>
      <c r="J70" s="60">
        <f t="shared" si="2"/>
        <v>0</v>
      </c>
      <c r="K70" s="60">
        <f t="shared" si="3"/>
        <v>0</v>
      </c>
      <c r="L70" s="58">
        <f t="shared" si="4"/>
        <v>0</v>
      </c>
      <c r="M70" s="210">
        <v>242</v>
      </c>
      <c r="N70" s="148">
        <f t="shared" si="5"/>
        <v>0</v>
      </c>
      <c r="O70" s="148">
        <f t="shared" si="6"/>
        <v>2.42</v>
      </c>
      <c r="P70" s="800" t="e">
        <f>O70+$O$137+((BC!$F$125)/$F$74)</f>
        <v>#DIV/0!</v>
      </c>
      <c r="Q70" s="222" t="e">
        <f t="shared" si="7"/>
        <v>#DIV/0!</v>
      </c>
      <c r="R70" s="223" t="e">
        <f t="shared" si="8"/>
        <v>#DIV/0!</v>
      </c>
      <c r="S70" s="223" t="e">
        <f t="shared" si="9"/>
        <v>#DIV/0!</v>
      </c>
      <c r="T70" s="24"/>
      <c r="U70" s="24"/>
      <c r="V70" s="97"/>
      <c r="W70" s="97"/>
      <c r="X70" s="97"/>
      <c r="Y70" s="97"/>
      <c r="Z70" s="97"/>
      <c r="AA70" s="97"/>
      <c r="AB70" s="97"/>
      <c r="AC70" s="97"/>
      <c r="AD70" s="97"/>
    </row>
    <row r="71" spans="2:30" ht="11.25" customHeight="1" x14ac:dyDescent="0.45">
      <c r="B71" s="131">
        <v>3183807190</v>
      </c>
      <c r="C71" s="112" t="s">
        <v>252</v>
      </c>
      <c r="D71" s="103">
        <v>400</v>
      </c>
      <c r="E71" s="103">
        <v>56</v>
      </c>
      <c r="F71" s="237">
        <f>'c311'!E71</f>
        <v>0</v>
      </c>
      <c r="G71" s="57">
        <f t="shared" si="0"/>
        <v>0</v>
      </c>
      <c r="H71" s="60">
        <f t="shared" si="1"/>
        <v>0</v>
      </c>
      <c r="I71" s="60">
        <f>30*BC!$B$47/E71</f>
        <v>0</v>
      </c>
      <c r="J71" s="60">
        <f t="shared" si="2"/>
        <v>0</v>
      </c>
      <c r="K71" s="60">
        <f t="shared" si="3"/>
        <v>0</v>
      </c>
      <c r="L71" s="58">
        <f t="shared" si="4"/>
        <v>0</v>
      </c>
      <c r="M71" s="210">
        <v>88</v>
      </c>
      <c r="N71" s="148">
        <f t="shared" si="5"/>
        <v>0</v>
      </c>
      <c r="O71" s="148">
        <f t="shared" si="6"/>
        <v>0.22</v>
      </c>
      <c r="P71" s="800" t="e">
        <f>O71+$O$137+((BC!$F$125)/$F$74)</f>
        <v>#DIV/0!</v>
      </c>
      <c r="Q71" s="222" t="e">
        <f t="shared" si="7"/>
        <v>#DIV/0!</v>
      </c>
      <c r="R71" s="223" t="e">
        <f t="shared" si="8"/>
        <v>#DIV/0!</v>
      </c>
      <c r="S71" s="223" t="e">
        <f t="shared" si="9"/>
        <v>#DIV/0!</v>
      </c>
      <c r="T71" s="24"/>
      <c r="U71" s="24"/>
      <c r="V71" s="97"/>
      <c r="W71" s="97"/>
      <c r="X71" s="97"/>
      <c r="Y71" s="97"/>
      <c r="Z71" s="97"/>
      <c r="AA71" s="97"/>
      <c r="AB71" s="97"/>
      <c r="AC71" s="97"/>
      <c r="AD71" s="97"/>
    </row>
    <row r="72" spans="2:30" ht="11.25" customHeight="1" x14ac:dyDescent="0.45">
      <c r="B72" s="131">
        <v>4536355190</v>
      </c>
      <c r="C72" s="129" t="s">
        <v>253</v>
      </c>
      <c r="D72" s="103">
        <v>100</v>
      </c>
      <c r="E72" s="103">
        <v>56</v>
      </c>
      <c r="F72" s="237">
        <f>'c311'!E72</f>
        <v>0</v>
      </c>
      <c r="G72" s="57">
        <f t="shared" si="0"/>
        <v>0</v>
      </c>
      <c r="H72" s="60">
        <f t="shared" si="1"/>
        <v>0</v>
      </c>
      <c r="I72" s="60">
        <f>30*BC!$B$47/E72</f>
        <v>0</v>
      </c>
      <c r="J72" s="60">
        <f t="shared" si="2"/>
        <v>0</v>
      </c>
      <c r="K72" s="60">
        <f t="shared" si="3"/>
        <v>0</v>
      </c>
      <c r="L72" s="58">
        <f t="shared" si="4"/>
        <v>0</v>
      </c>
      <c r="M72" s="210">
        <v>201</v>
      </c>
      <c r="N72" s="148">
        <f t="shared" si="5"/>
        <v>0</v>
      </c>
      <c r="O72" s="148">
        <f t="shared" si="6"/>
        <v>2.0099999999999998</v>
      </c>
      <c r="P72" s="800" t="e">
        <f>O72+$O$137+((BC!$F$125)/$F$74)</f>
        <v>#DIV/0!</v>
      </c>
      <c r="Q72" s="222" t="e">
        <f t="shared" si="7"/>
        <v>#DIV/0!</v>
      </c>
      <c r="R72" s="223" t="e">
        <f t="shared" si="8"/>
        <v>#DIV/0!</v>
      </c>
      <c r="S72" s="223" t="e">
        <f t="shared" si="9"/>
        <v>#DIV/0!</v>
      </c>
      <c r="T72" s="24"/>
      <c r="U72" s="24"/>
      <c r="V72" s="97"/>
      <c r="W72" s="97"/>
      <c r="X72" s="97"/>
      <c r="Y72" s="97"/>
      <c r="Z72" s="97"/>
      <c r="AA72" s="97"/>
      <c r="AB72" s="97"/>
      <c r="AC72" s="97"/>
      <c r="AD72" s="97"/>
    </row>
    <row r="73" spans="2:30" ht="11.25" customHeight="1" x14ac:dyDescent="0.45">
      <c r="B73" s="184">
        <v>4460715190</v>
      </c>
      <c r="C73" s="185" t="s">
        <v>254</v>
      </c>
      <c r="D73" s="104">
        <v>500</v>
      </c>
      <c r="E73" s="104">
        <v>56</v>
      </c>
      <c r="F73" s="237">
        <f>'c311'!E73</f>
        <v>0</v>
      </c>
      <c r="G73" s="57">
        <f t="shared" si="0"/>
        <v>0</v>
      </c>
      <c r="H73" s="60">
        <f t="shared" si="1"/>
        <v>0</v>
      </c>
      <c r="I73" s="60">
        <f>30*BC!$B$47/E73</f>
        <v>0</v>
      </c>
      <c r="J73" s="60">
        <f t="shared" si="2"/>
        <v>0</v>
      </c>
      <c r="K73" s="60">
        <f t="shared" si="3"/>
        <v>0</v>
      </c>
      <c r="L73" s="58">
        <f t="shared" si="4"/>
        <v>0</v>
      </c>
      <c r="M73" s="210">
        <v>120</v>
      </c>
      <c r="N73" s="148">
        <f t="shared" si="5"/>
        <v>0</v>
      </c>
      <c r="O73" s="148">
        <f t="shared" si="6"/>
        <v>0.24</v>
      </c>
      <c r="P73" s="800" t="e">
        <f>O73+$O$137+((BC!$F$125)/$F$74)</f>
        <v>#DIV/0!</v>
      </c>
      <c r="Q73" s="222" t="e">
        <f t="shared" si="7"/>
        <v>#DIV/0!</v>
      </c>
      <c r="R73" s="223" t="e">
        <f t="shared" si="8"/>
        <v>#DIV/0!</v>
      </c>
      <c r="S73" s="223" t="e">
        <f t="shared" si="9"/>
        <v>#DIV/0!</v>
      </c>
      <c r="T73" s="24"/>
      <c r="U73" s="24"/>
      <c r="V73" s="97"/>
      <c r="W73" s="97"/>
      <c r="X73" s="97"/>
      <c r="Y73" s="97"/>
      <c r="Z73" s="97"/>
      <c r="AA73" s="97"/>
      <c r="AB73" s="97"/>
      <c r="AC73" s="97"/>
      <c r="AD73" s="97"/>
    </row>
    <row r="74" spans="2:30" x14ac:dyDescent="0.45">
      <c r="B74" s="62"/>
      <c r="C74" s="187"/>
      <c r="D74" s="188"/>
      <c r="E74" s="189" t="s">
        <v>19</v>
      </c>
      <c r="F74" s="190">
        <f>SUM(F9:F73)</f>
        <v>0</v>
      </c>
      <c r="G74" s="190">
        <f>SUM(G9:G73)</f>
        <v>0</v>
      </c>
      <c r="H74" s="190"/>
      <c r="I74" s="190"/>
      <c r="J74" s="190"/>
      <c r="K74" s="190"/>
      <c r="L74" s="190"/>
      <c r="M74" s="190"/>
      <c r="N74" s="190"/>
      <c r="O74" s="190"/>
      <c r="P74" s="190"/>
      <c r="Q74" s="24"/>
      <c r="R74" s="24"/>
      <c r="S74" s="24"/>
      <c r="T74" s="24"/>
      <c r="U74" s="24"/>
    </row>
    <row r="75" spans="2:30" ht="11.25" customHeight="1" x14ac:dyDescent="0.45">
      <c r="B75" s="191"/>
      <c r="C75" s="192" t="s">
        <v>255</v>
      </c>
      <c r="D75" s="191"/>
      <c r="E75" s="191"/>
      <c r="F75" s="193"/>
      <c r="G75" s="193"/>
      <c r="H75" s="193"/>
      <c r="I75" s="193"/>
      <c r="J75" s="193"/>
      <c r="K75" s="193"/>
      <c r="L75" s="150" t="s">
        <v>166</v>
      </c>
      <c r="M75" s="150" t="s">
        <v>167</v>
      </c>
      <c r="N75" s="430" t="s">
        <v>1085</v>
      </c>
      <c r="O75" s="150" t="s">
        <v>168</v>
      </c>
      <c r="P75" s="150" t="s">
        <v>318</v>
      </c>
      <c r="Q75" s="150" t="s">
        <v>319</v>
      </c>
      <c r="R75" s="24"/>
      <c r="S75" s="24"/>
      <c r="T75" s="24"/>
      <c r="U75" s="24"/>
      <c r="V75" s="97"/>
      <c r="W75" s="97"/>
      <c r="X75" s="97"/>
      <c r="Y75" s="97"/>
      <c r="Z75" s="97"/>
      <c r="AA75" s="97"/>
      <c r="AB75" s="97"/>
      <c r="AC75" s="97"/>
      <c r="AD75" s="97"/>
    </row>
    <row r="76" spans="2:30" ht="11.25" customHeight="1" x14ac:dyDescent="0.45">
      <c r="B76" s="194">
        <v>20751995190</v>
      </c>
      <c r="C76" s="195" t="s">
        <v>256</v>
      </c>
      <c r="D76" s="194">
        <v>2</v>
      </c>
      <c r="E76" s="194">
        <v>56</v>
      </c>
      <c r="F76" s="57"/>
      <c r="G76" s="57"/>
      <c r="H76" s="57">
        <f>(B19*(0.014*(500/2000)))</f>
        <v>15712911.165000001</v>
      </c>
      <c r="I76" s="60">
        <f>30*BC!$B$47/E76</f>
        <v>0</v>
      </c>
      <c r="J76" s="57">
        <f>IF(H76&gt;I76,H76,I76)</f>
        <v>15712911.165000001</v>
      </c>
      <c r="K76" s="60">
        <f>ROUNDUP(J76,0)</f>
        <v>15712912</v>
      </c>
      <c r="L76" s="57">
        <f>IF(A18&gt;0,K76,0)</f>
        <v>0</v>
      </c>
      <c r="M76" s="148">
        <f>N76/D76</f>
        <v>313.5</v>
      </c>
      <c r="N76" s="504">
        <v>627</v>
      </c>
      <c r="O76" s="148">
        <f t="shared" ref="O76:O94" si="10">M76*L76</f>
        <v>0</v>
      </c>
      <c r="P76" s="57">
        <f t="shared" ref="P76:P94" si="11">L76/D76</f>
        <v>0</v>
      </c>
      <c r="Q76" s="57">
        <f>ROUNDUP(P76,0)</f>
        <v>0</v>
      </c>
      <c r="R76" s="24"/>
      <c r="S76" s="24"/>
      <c r="T76" s="24"/>
      <c r="U76" s="24"/>
      <c r="V76" s="97"/>
      <c r="W76" s="97"/>
      <c r="X76" s="97"/>
      <c r="Y76" s="97"/>
      <c r="Z76" s="97"/>
      <c r="AA76" s="97"/>
      <c r="AB76" s="97"/>
      <c r="AC76" s="97"/>
      <c r="AD76" s="97"/>
    </row>
    <row r="77" spans="2:30" ht="11.25" customHeight="1" x14ac:dyDescent="0.45">
      <c r="B77" s="194">
        <v>4975901190</v>
      </c>
      <c r="C77" s="196" t="s">
        <v>257</v>
      </c>
      <c r="D77" s="194">
        <v>1</v>
      </c>
      <c r="E77" s="194"/>
      <c r="F77" s="57"/>
      <c r="G77" s="57"/>
      <c r="H77" s="57"/>
      <c r="I77" s="60" t="e">
        <f>30*BC!$B$47/E77</f>
        <v>#DIV/0!</v>
      </c>
      <c r="J77" s="57" t="e">
        <f t="shared" ref="J77:J127" si="12">IF(H77&gt;I77,H77,I77)</f>
        <v>#DIV/0!</v>
      </c>
      <c r="K77" s="60" t="e">
        <f t="shared" ref="K77:K127" si="13">ROUNDUP(J77,0)</f>
        <v>#DIV/0!</v>
      </c>
      <c r="L77" s="57">
        <f>IF(F37&gt;0,K77,0)</f>
        <v>0</v>
      </c>
      <c r="M77" s="148">
        <f t="shared" ref="M77:M135" si="14">N77/D77</f>
        <v>0</v>
      </c>
      <c r="N77" s="148"/>
      <c r="O77" s="148">
        <f t="shared" si="10"/>
        <v>0</v>
      </c>
      <c r="P77" s="57">
        <f t="shared" si="11"/>
        <v>0</v>
      </c>
      <c r="Q77" s="57">
        <f t="shared" ref="Q77:Q127" si="15">ROUNDUP(P77,0)</f>
        <v>0</v>
      </c>
      <c r="R77" s="24"/>
      <c r="S77" s="24"/>
      <c r="T77" s="24"/>
      <c r="U77" s="24"/>
      <c r="V77" s="97"/>
      <c r="W77" s="97"/>
      <c r="X77" s="97"/>
      <c r="Y77" s="97"/>
      <c r="Z77" s="97"/>
      <c r="AA77" s="97"/>
      <c r="AB77" s="97"/>
      <c r="AC77" s="97"/>
      <c r="AD77" s="97"/>
    </row>
    <row r="78" spans="2:30" ht="11.25" customHeight="1" x14ac:dyDescent="0.45">
      <c r="B78" s="194">
        <v>3555941190</v>
      </c>
      <c r="C78" s="198" t="s">
        <v>259</v>
      </c>
      <c r="D78" s="194">
        <v>3</v>
      </c>
      <c r="E78" s="194">
        <v>14</v>
      </c>
      <c r="F78" s="57"/>
      <c r="G78" s="57"/>
      <c r="H78" s="57">
        <f>(B25*(0.014*(500/2000)))</f>
        <v>10506868.127</v>
      </c>
      <c r="I78" s="60">
        <f>30*BC!$B$47/E78</f>
        <v>0</v>
      </c>
      <c r="J78" s="57">
        <f t="shared" si="12"/>
        <v>10506868.127</v>
      </c>
      <c r="K78" s="60">
        <f t="shared" si="13"/>
        <v>10506869</v>
      </c>
      <c r="L78" s="57">
        <f>IF(A24&gt;0,K78,0)</f>
        <v>0</v>
      </c>
      <c r="M78" s="148">
        <f t="shared" si="14"/>
        <v>70.666666666666671</v>
      </c>
      <c r="N78" s="504">
        <v>212</v>
      </c>
      <c r="O78" s="148">
        <f t="shared" si="10"/>
        <v>0</v>
      </c>
      <c r="P78" s="57">
        <f t="shared" si="11"/>
        <v>0</v>
      </c>
      <c r="Q78" s="57">
        <f t="shared" si="15"/>
        <v>0</v>
      </c>
      <c r="R78" s="24"/>
      <c r="S78" s="24"/>
      <c r="T78" s="24"/>
      <c r="U78" s="24"/>
      <c r="V78" s="97"/>
      <c r="W78" s="97"/>
      <c r="X78" s="97"/>
      <c r="Y78" s="97"/>
      <c r="Z78" s="97"/>
      <c r="AA78" s="97"/>
      <c r="AB78" s="97"/>
      <c r="AC78" s="97"/>
      <c r="AD78" s="97"/>
    </row>
    <row r="79" spans="2:30" ht="11.25" customHeight="1" x14ac:dyDescent="0.45">
      <c r="B79" s="194">
        <v>10759350190</v>
      </c>
      <c r="C79" s="199" t="s">
        <v>260</v>
      </c>
      <c r="D79" s="194">
        <v>12</v>
      </c>
      <c r="E79" s="194">
        <v>28</v>
      </c>
      <c r="F79" s="57"/>
      <c r="G79" s="57"/>
      <c r="H79" s="57">
        <f>(B13/(0.005*400)/3000)</f>
        <v>744943.03166666662</v>
      </c>
      <c r="I79" s="60">
        <f>30*BC!$B$47/E79</f>
        <v>0</v>
      </c>
      <c r="J79" s="57">
        <f t="shared" si="12"/>
        <v>744943.03166666662</v>
      </c>
      <c r="K79" s="60">
        <f t="shared" si="13"/>
        <v>744944</v>
      </c>
      <c r="L79" s="57">
        <f>IF(A9&gt;0,K79,0)</f>
        <v>0</v>
      </c>
      <c r="M79" s="148">
        <f t="shared" si="14"/>
        <v>12</v>
      </c>
      <c r="N79" s="504">
        <v>144</v>
      </c>
      <c r="O79" s="148">
        <f t="shared" si="10"/>
        <v>0</v>
      </c>
      <c r="P79" s="57">
        <f t="shared" si="11"/>
        <v>0</v>
      </c>
      <c r="Q79" s="57">
        <f t="shared" si="15"/>
        <v>0</v>
      </c>
      <c r="R79" s="24"/>
      <c r="S79" s="24"/>
      <c r="T79" s="24"/>
      <c r="U79" s="24"/>
      <c r="V79" s="97"/>
      <c r="W79" s="97"/>
      <c r="X79" s="97"/>
      <c r="Y79" s="97"/>
      <c r="Z79" s="97"/>
      <c r="AA79" s="97"/>
      <c r="AB79" s="97"/>
      <c r="AC79" s="97"/>
      <c r="AD79" s="97"/>
    </row>
    <row r="80" spans="2:30" ht="11.25" customHeight="1" x14ac:dyDescent="0.45">
      <c r="B80" s="194">
        <v>11447394216</v>
      </c>
      <c r="C80" s="200" t="s">
        <v>261</v>
      </c>
      <c r="D80" s="194">
        <v>3</v>
      </c>
      <c r="E80" s="194">
        <v>28</v>
      </c>
      <c r="F80" s="57"/>
      <c r="G80" s="57"/>
      <c r="H80" s="57">
        <f>(G31*(0.014*(500/2000)))</f>
        <v>0</v>
      </c>
      <c r="I80" s="60">
        <f>30*BC!$B$47/E80</f>
        <v>0</v>
      </c>
      <c r="J80" s="57">
        <f t="shared" si="12"/>
        <v>0</v>
      </c>
      <c r="K80" s="60">
        <f t="shared" si="13"/>
        <v>0</v>
      </c>
      <c r="L80" s="57">
        <f>IF(F31&gt;0,K80,0)</f>
        <v>0</v>
      </c>
      <c r="M80" s="148">
        <f t="shared" si="14"/>
        <v>25.333333333333332</v>
      </c>
      <c r="N80" s="504">
        <v>76</v>
      </c>
      <c r="O80" s="148">
        <f t="shared" si="10"/>
        <v>0</v>
      </c>
      <c r="P80" s="57">
        <f t="shared" si="11"/>
        <v>0</v>
      </c>
      <c r="Q80" s="57">
        <f t="shared" si="15"/>
        <v>0</v>
      </c>
      <c r="R80" s="24"/>
      <c r="S80" s="24"/>
      <c r="T80" s="24"/>
      <c r="U80" s="24"/>
      <c r="V80" s="97"/>
      <c r="W80" s="97"/>
      <c r="X80" s="97"/>
      <c r="Y80" s="97"/>
      <c r="Z80" s="97"/>
      <c r="AA80" s="97"/>
      <c r="AB80" s="97"/>
      <c r="AC80" s="97"/>
      <c r="AD80" s="97"/>
    </row>
    <row r="81" spans="2:30" ht="11.25" customHeight="1" x14ac:dyDescent="0.45">
      <c r="B81" s="194">
        <v>6533850190</v>
      </c>
      <c r="C81" s="201" t="s">
        <v>262</v>
      </c>
      <c r="D81" s="194">
        <v>3</v>
      </c>
      <c r="E81" s="194">
        <v>14</v>
      </c>
      <c r="F81" s="57"/>
      <c r="G81" s="57"/>
      <c r="H81" s="57">
        <f>(G49*(0.014*(500/2000)))</f>
        <v>0</v>
      </c>
      <c r="I81" s="60">
        <f>30*BC!$B$47/E81</f>
        <v>0</v>
      </c>
      <c r="J81" s="57">
        <f t="shared" si="12"/>
        <v>0</v>
      </c>
      <c r="K81" s="60">
        <f t="shared" si="13"/>
        <v>0</v>
      </c>
      <c r="L81" s="57">
        <f>IF(F49&gt;0,K81,0)</f>
        <v>0</v>
      </c>
      <c r="M81" s="148">
        <f t="shared" si="14"/>
        <v>323</v>
      </c>
      <c r="N81" s="504">
        <v>969</v>
      </c>
      <c r="O81" s="148">
        <f t="shared" si="10"/>
        <v>0</v>
      </c>
      <c r="P81" s="57">
        <f t="shared" si="11"/>
        <v>0</v>
      </c>
      <c r="Q81" s="57">
        <f t="shared" si="15"/>
        <v>0</v>
      </c>
      <c r="R81" s="24"/>
      <c r="S81" s="24"/>
      <c r="T81" s="24"/>
      <c r="U81" s="24"/>
      <c r="V81" s="97"/>
      <c r="W81" s="97"/>
      <c r="X81" s="97"/>
      <c r="Y81" s="97"/>
      <c r="Z81" s="97"/>
      <c r="AA81" s="97"/>
      <c r="AB81" s="97"/>
      <c r="AC81" s="97"/>
      <c r="AD81" s="97"/>
    </row>
    <row r="82" spans="2:30" ht="11.25" customHeight="1" x14ac:dyDescent="0.45">
      <c r="B82" s="194">
        <v>12172623122</v>
      </c>
      <c r="C82" s="202" t="s">
        <v>263</v>
      </c>
      <c r="D82" s="194">
        <v>3</v>
      </c>
      <c r="E82" s="194">
        <v>28</v>
      </c>
      <c r="F82" s="57"/>
      <c r="G82" s="57"/>
      <c r="H82" s="57">
        <f>(B28*(0.008*(350/1000)))</f>
        <v>12596016.131999999</v>
      </c>
      <c r="I82" s="60">
        <f>30*BC!$B$47/E82</f>
        <v>0</v>
      </c>
      <c r="J82" s="57">
        <f t="shared" si="12"/>
        <v>12596016.131999999</v>
      </c>
      <c r="K82" s="60">
        <f t="shared" si="13"/>
        <v>12596017</v>
      </c>
      <c r="L82" s="57">
        <f>IF(A27&gt;0,K82,0)</f>
        <v>0</v>
      </c>
      <c r="M82" s="148">
        <f t="shared" si="14"/>
        <v>31</v>
      </c>
      <c r="N82" s="504">
        <v>93</v>
      </c>
      <c r="O82" s="148">
        <f t="shared" si="10"/>
        <v>0</v>
      </c>
      <c r="P82" s="57">
        <f t="shared" si="11"/>
        <v>0</v>
      </c>
      <c r="Q82" s="57">
        <f t="shared" si="15"/>
        <v>0</v>
      </c>
      <c r="R82" s="24"/>
      <c r="S82" s="24"/>
      <c r="T82" s="24"/>
      <c r="U82" s="24"/>
      <c r="V82" s="97"/>
      <c r="W82" s="97"/>
      <c r="X82" s="97"/>
      <c r="Y82" s="97"/>
      <c r="Z82" s="97"/>
      <c r="AA82" s="97"/>
      <c r="AB82" s="97"/>
      <c r="AC82" s="97"/>
      <c r="AD82" s="97"/>
    </row>
    <row r="83" spans="2:30" ht="11.25" customHeight="1" x14ac:dyDescent="0.45">
      <c r="B83" s="194">
        <v>11355279216</v>
      </c>
      <c r="C83" s="203" t="s">
        <v>264</v>
      </c>
      <c r="D83" s="194">
        <v>5</v>
      </c>
      <c r="E83" s="194">
        <v>28</v>
      </c>
      <c r="F83" s="57"/>
      <c r="G83" s="57"/>
      <c r="H83" s="57">
        <f>(B22*(0.008*(350/1000)))</f>
        <v>15649371.332</v>
      </c>
      <c r="I83" s="60">
        <f>30*BC!$B$47/E83</f>
        <v>0</v>
      </c>
      <c r="J83" s="57">
        <f t="shared" si="12"/>
        <v>15649371.332</v>
      </c>
      <c r="K83" s="60">
        <f t="shared" si="13"/>
        <v>15649372</v>
      </c>
      <c r="L83" s="57">
        <f>IF(A21&gt;0,K83,0)</f>
        <v>0</v>
      </c>
      <c r="M83" s="148">
        <f t="shared" si="14"/>
        <v>29.8</v>
      </c>
      <c r="N83" s="504">
        <v>149</v>
      </c>
      <c r="O83" s="148">
        <f t="shared" si="10"/>
        <v>0</v>
      </c>
      <c r="P83" s="57">
        <f t="shared" si="11"/>
        <v>0</v>
      </c>
      <c r="Q83" s="57">
        <f t="shared" si="15"/>
        <v>0</v>
      </c>
      <c r="R83" s="24"/>
      <c r="S83" s="24"/>
      <c r="T83" s="24"/>
      <c r="U83" s="24"/>
      <c r="V83" s="97"/>
      <c r="W83" s="97"/>
      <c r="X83" s="97"/>
      <c r="Y83" s="97"/>
      <c r="Z83" s="97"/>
      <c r="AA83" s="97"/>
      <c r="AB83" s="97"/>
      <c r="AC83" s="97"/>
      <c r="AD83" s="97"/>
    </row>
    <row r="84" spans="2:30" ht="11.25" customHeight="1" x14ac:dyDescent="0.45">
      <c r="B84" s="194">
        <v>8753776190</v>
      </c>
      <c r="C84" s="204" t="s">
        <v>265</v>
      </c>
      <c r="D84" s="194">
        <v>3</v>
      </c>
      <c r="E84" s="194">
        <v>28</v>
      </c>
      <c r="F84" s="57"/>
      <c r="G84" s="57"/>
      <c r="H84" s="57">
        <f>(G65*(0.014*(500/2000)))</f>
        <v>0</v>
      </c>
      <c r="I84" s="60">
        <f>30*BC!$B$47/E84</f>
        <v>0</v>
      </c>
      <c r="J84" s="57">
        <f t="shared" si="12"/>
        <v>0</v>
      </c>
      <c r="K84" s="60">
        <f t="shared" si="13"/>
        <v>0</v>
      </c>
      <c r="L84" s="57">
        <f>IF(F65&gt;0,K84,0)</f>
        <v>0</v>
      </c>
      <c r="M84" s="148">
        <f t="shared" si="14"/>
        <v>127</v>
      </c>
      <c r="N84" s="504">
        <v>381</v>
      </c>
      <c r="O84" s="148">
        <f t="shared" si="10"/>
        <v>0</v>
      </c>
      <c r="P84" s="57">
        <f t="shared" si="11"/>
        <v>0</v>
      </c>
      <c r="Q84" s="57">
        <f t="shared" si="15"/>
        <v>0</v>
      </c>
      <c r="R84" s="24"/>
      <c r="S84" s="24"/>
      <c r="T84" s="24"/>
      <c r="U84" s="24"/>
      <c r="V84" s="97"/>
      <c r="W84" s="97"/>
      <c r="X84" s="97"/>
      <c r="Y84" s="97"/>
      <c r="Z84" s="97"/>
      <c r="AA84" s="97"/>
      <c r="AB84" s="97"/>
      <c r="AC84" s="97"/>
      <c r="AD84" s="97"/>
    </row>
    <row r="85" spans="2:30" ht="11.25" customHeight="1" x14ac:dyDescent="0.45">
      <c r="B85" s="194">
        <v>8047545190</v>
      </c>
      <c r="C85" s="205" t="s">
        <v>266</v>
      </c>
      <c r="D85" s="194">
        <v>2</v>
      </c>
      <c r="E85" s="194">
        <v>84</v>
      </c>
      <c r="F85" s="57"/>
      <c r="G85" s="57"/>
      <c r="H85" s="57">
        <f>(G21*(0.014*(500/2000)))</f>
        <v>0</v>
      </c>
      <c r="I85" s="60">
        <f>30*BC!$B$47/E85</f>
        <v>0</v>
      </c>
      <c r="J85" s="57">
        <f t="shared" si="12"/>
        <v>0</v>
      </c>
      <c r="K85" s="60">
        <f t="shared" si="13"/>
        <v>0</v>
      </c>
      <c r="L85" s="57">
        <f>IF(F21&gt;0,K85,0)</f>
        <v>0</v>
      </c>
      <c r="M85" s="148">
        <f t="shared" si="14"/>
        <v>25.5</v>
      </c>
      <c r="N85" s="504">
        <v>51</v>
      </c>
      <c r="O85" s="148">
        <f t="shared" si="10"/>
        <v>0</v>
      </c>
      <c r="P85" s="57">
        <f t="shared" si="11"/>
        <v>0</v>
      </c>
      <c r="Q85" s="57">
        <f t="shared" si="15"/>
        <v>0</v>
      </c>
      <c r="R85" s="24"/>
      <c r="S85" s="24"/>
      <c r="T85" s="24"/>
      <c r="U85" s="24"/>
      <c r="V85" s="97"/>
      <c r="W85" s="97"/>
      <c r="X85" s="97"/>
      <c r="Y85" s="97"/>
      <c r="Z85" s="97"/>
      <c r="AA85" s="97"/>
      <c r="AB85" s="97"/>
      <c r="AC85" s="97"/>
      <c r="AD85" s="97"/>
    </row>
    <row r="86" spans="2:30" ht="11.25" customHeight="1" x14ac:dyDescent="0.45">
      <c r="B86" s="194">
        <v>4528417190</v>
      </c>
      <c r="C86" s="206" t="s">
        <v>267</v>
      </c>
      <c r="D86" s="194">
        <v>3</v>
      </c>
      <c r="E86" s="194">
        <v>84</v>
      </c>
      <c r="F86" s="57"/>
      <c r="G86" s="57"/>
      <c r="H86" s="57">
        <f>(G44*(0.014*(500/2000)))</f>
        <v>0</v>
      </c>
      <c r="I86" s="60">
        <f>30*BC!$B$47/E86</f>
        <v>0</v>
      </c>
      <c r="J86" s="57">
        <f t="shared" si="12"/>
        <v>0</v>
      </c>
      <c r="K86" s="60">
        <f t="shared" si="13"/>
        <v>0</v>
      </c>
      <c r="L86" s="57">
        <f>IF(F44&gt;0,K86,0)</f>
        <v>0</v>
      </c>
      <c r="M86" s="148">
        <f t="shared" si="14"/>
        <v>150.33333333333334</v>
      </c>
      <c r="N86" s="504">
        <v>451</v>
      </c>
      <c r="O86" s="148">
        <f t="shared" si="10"/>
        <v>0</v>
      </c>
      <c r="P86" s="57">
        <f t="shared" si="11"/>
        <v>0</v>
      </c>
      <c r="Q86" s="57">
        <f t="shared" si="15"/>
        <v>0</v>
      </c>
      <c r="R86" s="24"/>
      <c r="S86" s="24"/>
      <c r="T86" s="24"/>
      <c r="U86" s="24"/>
      <c r="V86" s="97"/>
      <c r="W86" s="97"/>
      <c r="X86" s="97"/>
      <c r="Y86" s="97"/>
      <c r="Z86" s="97"/>
      <c r="AA86" s="97"/>
      <c r="AB86" s="97"/>
      <c r="AC86" s="97"/>
      <c r="AD86" s="97"/>
    </row>
    <row r="87" spans="2:30" ht="11.25" customHeight="1" x14ac:dyDescent="0.45">
      <c r="B87" s="194">
        <v>3121305122</v>
      </c>
      <c r="C87" s="207" t="s">
        <v>268</v>
      </c>
      <c r="D87" s="194">
        <v>5</v>
      </c>
      <c r="E87" s="194">
        <v>28</v>
      </c>
      <c r="F87" s="57"/>
      <c r="G87" s="57"/>
      <c r="H87" s="57">
        <f>(B16*(0.008*(350/1000)))</f>
        <v>8914477.9416000005</v>
      </c>
      <c r="I87" s="60">
        <f>30*BC!$B$47/E87</f>
        <v>0</v>
      </c>
      <c r="J87" s="57">
        <f t="shared" si="12"/>
        <v>8914477.9416000005</v>
      </c>
      <c r="K87" s="60">
        <f t="shared" si="13"/>
        <v>8914478</v>
      </c>
      <c r="L87" s="57">
        <f>IF(A15&gt;0,K87,0)</f>
        <v>0</v>
      </c>
      <c r="M87" s="148">
        <f t="shared" si="14"/>
        <v>75.2</v>
      </c>
      <c r="N87" s="504">
        <v>376</v>
      </c>
      <c r="O87" s="148">
        <f t="shared" si="10"/>
        <v>0</v>
      </c>
      <c r="P87" s="57">
        <f t="shared" si="11"/>
        <v>0</v>
      </c>
      <c r="Q87" s="57">
        <f t="shared" si="15"/>
        <v>0</v>
      </c>
      <c r="R87" s="24"/>
      <c r="S87" s="24"/>
      <c r="T87" s="24"/>
      <c r="U87" s="24"/>
      <c r="V87" s="97"/>
      <c r="W87" s="97"/>
      <c r="X87" s="97"/>
      <c r="Y87" s="97"/>
      <c r="Z87" s="97"/>
      <c r="AA87" s="97"/>
      <c r="AB87" s="97"/>
      <c r="AC87" s="97"/>
      <c r="AD87" s="97"/>
    </row>
    <row r="88" spans="2:30" ht="11.25" customHeight="1" x14ac:dyDescent="0.45">
      <c r="B88" s="194">
        <v>5050901190</v>
      </c>
      <c r="C88" s="208" t="s">
        <v>269</v>
      </c>
      <c r="D88" s="194">
        <v>1</v>
      </c>
      <c r="E88" s="194">
        <v>84</v>
      </c>
      <c r="F88" s="57"/>
      <c r="G88" s="57"/>
      <c r="H88" s="57">
        <f>(G38*(0.04*(350/1000)))</f>
        <v>0</v>
      </c>
      <c r="I88" s="60">
        <f>30*BC!$B$47/E88</f>
        <v>0</v>
      </c>
      <c r="J88" s="57">
        <f t="shared" si="12"/>
        <v>0</v>
      </c>
      <c r="K88" s="60">
        <f t="shared" si="13"/>
        <v>0</v>
      </c>
      <c r="L88" s="57">
        <f>IF(F38&gt;0,K88,0)</f>
        <v>0</v>
      </c>
      <c r="M88" s="148">
        <f t="shared" si="14"/>
        <v>282</v>
      </c>
      <c r="N88" s="504">
        <v>282</v>
      </c>
      <c r="O88" s="148">
        <f t="shared" si="10"/>
        <v>0</v>
      </c>
      <c r="P88" s="57">
        <f t="shared" si="11"/>
        <v>0</v>
      </c>
      <c r="Q88" s="57">
        <f t="shared" si="15"/>
        <v>0</v>
      </c>
      <c r="R88" s="24"/>
      <c r="S88" s="24"/>
      <c r="T88" s="24"/>
      <c r="U88" s="24"/>
      <c r="V88" s="97"/>
      <c r="W88" s="97"/>
      <c r="X88" s="97"/>
      <c r="Y88" s="97"/>
      <c r="Z88" s="97"/>
      <c r="AA88" s="97"/>
      <c r="AB88" s="97"/>
      <c r="AC88" s="97"/>
      <c r="AD88" s="97"/>
    </row>
    <row r="89" spans="2:30" ht="11.25" customHeight="1" x14ac:dyDescent="0.45">
      <c r="B89" s="194">
        <v>12146401216</v>
      </c>
      <c r="C89" s="209" t="s">
        <v>270</v>
      </c>
      <c r="D89" s="194">
        <v>1</v>
      </c>
      <c r="E89" s="194">
        <v>360</v>
      </c>
      <c r="F89" s="57"/>
      <c r="G89" s="57"/>
      <c r="H89" s="57">
        <f>(G72*(0.02*(200/1000)))</f>
        <v>0</v>
      </c>
      <c r="I89" s="60">
        <f>30*BC!$B$47/E89</f>
        <v>0</v>
      </c>
      <c r="J89" s="57">
        <f t="shared" si="12"/>
        <v>0</v>
      </c>
      <c r="K89" s="60">
        <f t="shared" si="13"/>
        <v>0</v>
      </c>
      <c r="L89" s="57">
        <f>IF(F72&gt;0,K89,0)</f>
        <v>0</v>
      </c>
      <c r="M89" s="148">
        <f t="shared" si="14"/>
        <v>183</v>
      </c>
      <c r="N89" s="504">
        <v>183</v>
      </c>
      <c r="O89" s="148">
        <f t="shared" si="10"/>
        <v>0</v>
      </c>
      <c r="P89" s="57">
        <f t="shared" si="11"/>
        <v>0</v>
      </c>
      <c r="Q89" s="57">
        <f t="shared" si="15"/>
        <v>0</v>
      </c>
      <c r="R89" s="24"/>
      <c r="S89" s="24"/>
      <c r="T89" s="24"/>
      <c r="U89" s="24"/>
      <c r="V89" s="97"/>
      <c r="W89" s="97"/>
      <c r="X89" s="97"/>
      <c r="Y89" s="97"/>
      <c r="Z89" s="97"/>
      <c r="AA89" s="97"/>
      <c r="AB89" s="97"/>
      <c r="AC89" s="97"/>
      <c r="AD89" s="97"/>
    </row>
    <row r="90" spans="2:30" ht="11.25" customHeight="1" x14ac:dyDescent="0.45">
      <c r="B90" s="194">
        <v>5385504190</v>
      </c>
      <c r="C90" s="211" t="s">
        <v>271</v>
      </c>
      <c r="D90" s="194">
        <v>2</v>
      </c>
      <c r="E90" s="194">
        <v>28</v>
      </c>
      <c r="F90" s="57"/>
      <c r="G90" s="57"/>
      <c r="H90" s="57">
        <f>(G46*(0.02*(200/1000)))</f>
        <v>0</v>
      </c>
      <c r="I90" s="60">
        <f>30*BC!$B$47/E90</f>
        <v>0</v>
      </c>
      <c r="J90" s="57">
        <f t="shared" si="12"/>
        <v>0</v>
      </c>
      <c r="K90" s="60">
        <f t="shared" si="13"/>
        <v>0</v>
      </c>
      <c r="L90" s="57">
        <f>IF(F46&gt;0,K90,0)</f>
        <v>0</v>
      </c>
      <c r="M90" s="148">
        <f t="shared" si="14"/>
        <v>40</v>
      </c>
      <c r="N90" s="504">
        <v>80</v>
      </c>
      <c r="O90" s="148">
        <f t="shared" si="10"/>
        <v>0</v>
      </c>
      <c r="P90" s="57">
        <f t="shared" si="11"/>
        <v>0</v>
      </c>
      <c r="Q90" s="57">
        <f t="shared" si="15"/>
        <v>0</v>
      </c>
      <c r="R90" s="24"/>
      <c r="S90" s="24"/>
      <c r="T90" s="24"/>
      <c r="U90" s="24"/>
      <c r="V90" s="97"/>
      <c r="W90" s="97"/>
      <c r="X90" s="97"/>
      <c r="Y90" s="97"/>
      <c r="Z90" s="97"/>
      <c r="AA90" s="97"/>
      <c r="AB90" s="97"/>
      <c r="AC90" s="97"/>
      <c r="AD90" s="97"/>
    </row>
    <row r="91" spans="2:30" ht="11.25" customHeight="1" x14ac:dyDescent="0.45">
      <c r="B91" s="194">
        <v>11098993122</v>
      </c>
      <c r="C91" s="212" t="s">
        <v>273</v>
      </c>
      <c r="D91" s="194">
        <v>3</v>
      </c>
      <c r="E91" s="194">
        <v>28</v>
      </c>
      <c r="F91" s="57"/>
      <c r="G91" s="57"/>
      <c r="H91" s="57">
        <f>(G40*(0.02*(200/1000)))</f>
        <v>0</v>
      </c>
      <c r="I91" s="60">
        <f>30*BC!$B$47/E91</f>
        <v>0</v>
      </c>
      <c r="J91" s="57">
        <f t="shared" si="12"/>
        <v>0</v>
      </c>
      <c r="K91" s="60">
        <f t="shared" si="13"/>
        <v>0</v>
      </c>
      <c r="L91" s="57">
        <f>IF(F40&gt;0,K91,0)</f>
        <v>0</v>
      </c>
      <c r="M91" s="148">
        <f t="shared" si="14"/>
        <v>26.666666666666668</v>
      </c>
      <c r="N91" s="504">
        <v>80</v>
      </c>
      <c r="O91" s="148">
        <f t="shared" si="10"/>
        <v>0</v>
      </c>
      <c r="P91" s="57">
        <f t="shared" si="11"/>
        <v>0</v>
      </c>
      <c r="Q91" s="57">
        <f t="shared" si="15"/>
        <v>0</v>
      </c>
      <c r="R91" s="24"/>
      <c r="S91" s="24"/>
      <c r="T91" s="24"/>
      <c r="U91" s="24"/>
      <c r="V91" s="97"/>
      <c r="W91" s="97"/>
      <c r="X91" s="97"/>
      <c r="Y91" s="97"/>
      <c r="Z91" s="97"/>
      <c r="AA91" s="97"/>
      <c r="AB91" s="97"/>
      <c r="AC91" s="97"/>
      <c r="AD91" s="97"/>
    </row>
    <row r="92" spans="2:30" ht="11.25" customHeight="1" x14ac:dyDescent="0.45">
      <c r="B92" s="194">
        <v>3304671190</v>
      </c>
      <c r="C92" s="213" t="s">
        <v>274</v>
      </c>
      <c r="D92" s="194">
        <v>1</v>
      </c>
      <c r="E92" s="194">
        <v>60</v>
      </c>
      <c r="F92" s="57"/>
      <c r="G92" s="57"/>
      <c r="H92" s="57">
        <f>(B31*(0.02*(200/1000)))</f>
        <v>28763232.760000002</v>
      </c>
      <c r="I92" s="60">
        <f>30*BC!$B$47/E92</f>
        <v>0</v>
      </c>
      <c r="J92" s="57">
        <f t="shared" si="12"/>
        <v>28763232.760000002</v>
      </c>
      <c r="K92" s="60">
        <f t="shared" si="13"/>
        <v>28763233</v>
      </c>
      <c r="L92" s="57">
        <f>IF(A30&gt;0,K92,0)</f>
        <v>0</v>
      </c>
      <c r="M92" s="148">
        <f t="shared" si="14"/>
        <v>231</v>
      </c>
      <c r="N92" s="504">
        <v>231</v>
      </c>
      <c r="O92" s="148">
        <f t="shared" si="10"/>
        <v>0</v>
      </c>
      <c r="P92" s="57">
        <f t="shared" si="11"/>
        <v>0</v>
      </c>
      <c r="Q92" s="57">
        <f t="shared" si="15"/>
        <v>0</v>
      </c>
      <c r="R92" s="24"/>
      <c r="S92" s="24"/>
      <c r="T92" s="24"/>
      <c r="U92" s="24"/>
      <c r="V92" s="97"/>
      <c r="W92" s="97"/>
      <c r="X92" s="97"/>
      <c r="Y92" s="97"/>
      <c r="Z92" s="97"/>
      <c r="AA92" s="97"/>
      <c r="AB92" s="97"/>
      <c r="AC92" s="97"/>
      <c r="AD92" s="97"/>
    </row>
    <row r="93" spans="2:30" ht="11.25" customHeight="1" x14ac:dyDescent="0.45">
      <c r="B93" s="194">
        <v>5852641190</v>
      </c>
      <c r="C93" s="214" t="s">
        <v>275</v>
      </c>
      <c r="D93" s="194">
        <v>1</v>
      </c>
      <c r="E93" s="194">
        <v>14</v>
      </c>
      <c r="F93" s="57"/>
      <c r="G93" s="57"/>
      <c r="H93" s="57">
        <f>(G59*(0.02*(200/1000)))</f>
        <v>0</v>
      </c>
      <c r="I93" s="60">
        <f>30*BC!$B$47/E93</f>
        <v>0</v>
      </c>
      <c r="J93" s="57">
        <f t="shared" si="12"/>
        <v>0</v>
      </c>
      <c r="K93" s="60">
        <f t="shared" si="13"/>
        <v>0</v>
      </c>
      <c r="L93" s="57">
        <f>IF(F59&gt;0,K93,0)</f>
        <v>0</v>
      </c>
      <c r="M93" s="148">
        <f t="shared" si="14"/>
        <v>384</v>
      </c>
      <c r="N93" s="504">
        <v>384</v>
      </c>
      <c r="O93" s="148">
        <f t="shared" si="10"/>
        <v>0</v>
      </c>
      <c r="P93" s="57">
        <f t="shared" si="11"/>
        <v>0</v>
      </c>
      <c r="Q93" s="57">
        <f t="shared" si="15"/>
        <v>0</v>
      </c>
      <c r="R93" s="24"/>
      <c r="S93" s="24"/>
      <c r="T93" s="24"/>
      <c r="U93" s="24"/>
      <c r="V93" s="97"/>
      <c r="W93" s="97"/>
      <c r="X93" s="97"/>
      <c r="Y93" s="97"/>
      <c r="Z93" s="97"/>
      <c r="AA93" s="97"/>
      <c r="AB93" s="97"/>
      <c r="AC93" s="97"/>
      <c r="AD93" s="97"/>
    </row>
    <row r="94" spans="2:30" ht="11.25" customHeight="1" x14ac:dyDescent="0.45">
      <c r="B94" s="194">
        <v>12172828322</v>
      </c>
      <c r="C94" s="215" t="s">
        <v>276</v>
      </c>
      <c r="D94" s="194">
        <v>1</v>
      </c>
      <c r="E94" s="194">
        <v>30</v>
      </c>
      <c r="F94" s="57"/>
      <c r="G94" s="57"/>
      <c r="H94" s="57">
        <f>(G64*(0.04*(350/1000)))</f>
        <v>0</v>
      </c>
      <c r="I94" s="60">
        <f>30*BC!$B$47/E94</f>
        <v>0</v>
      </c>
      <c r="J94" s="57">
        <f t="shared" si="12"/>
        <v>0</v>
      </c>
      <c r="K94" s="60">
        <f t="shared" si="13"/>
        <v>0</v>
      </c>
      <c r="L94" s="57">
        <f>IF(F64&gt;0,K94,0)</f>
        <v>0</v>
      </c>
      <c r="M94" s="148">
        <f t="shared" si="14"/>
        <v>197</v>
      </c>
      <c r="N94" s="504">
        <v>197</v>
      </c>
      <c r="O94" s="148">
        <f t="shared" si="10"/>
        <v>0</v>
      </c>
      <c r="P94" s="57">
        <f t="shared" si="11"/>
        <v>0</v>
      </c>
      <c r="Q94" s="57">
        <f t="shared" si="15"/>
        <v>0</v>
      </c>
      <c r="R94" s="24"/>
      <c r="S94" s="24"/>
      <c r="T94" s="24"/>
      <c r="U94" s="24"/>
      <c r="V94" s="97"/>
      <c r="W94" s="97"/>
      <c r="X94" s="97"/>
      <c r="Y94" s="97"/>
      <c r="Z94" s="97"/>
      <c r="AA94" s="97"/>
      <c r="AB94" s="97"/>
      <c r="AC94" s="97"/>
      <c r="AD94" s="97"/>
    </row>
    <row r="95" spans="2:30" ht="11.25" customHeight="1" x14ac:dyDescent="0.45">
      <c r="B95" s="191"/>
      <c r="C95" s="192" t="s">
        <v>277</v>
      </c>
      <c r="D95" s="191"/>
      <c r="E95" s="191"/>
      <c r="F95" s="193"/>
      <c r="G95" s="193"/>
      <c r="H95" s="419" t="s">
        <v>53</v>
      </c>
      <c r="I95" s="419" t="s">
        <v>52</v>
      </c>
      <c r="J95" s="193"/>
      <c r="K95" s="193"/>
      <c r="L95" s="193"/>
      <c r="M95" s="193"/>
      <c r="N95" s="425" t="s">
        <v>168</v>
      </c>
      <c r="O95" s="193"/>
      <c r="P95" s="193"/>
      <c r="Q95" s="193"/>
      <c r="R95" s="24"/>
      <c r="S95" s="24"/>
      <c r="T95" s="24"/>
      <c r="U95" s="24"/>
      <c r="V95" s="97"/>
      <c r="W95" s="97"/>
      <c r="X95" s="97"/>
      <c r="Y95" s="97"/>
      <c r="Z95" s="97"/>
      <c r="AA95" s="97"/>
      <c r="AB95" s="97"/>
      <c r="AC95" s="97"/>
      <c r="AD95" s="97"/>
    </row>
    <row r="96" spans="2:30" ht="11.25" customHeight="1" x14ac:dyDescent="0.45">
      <c r="B96" s="194">
        <v>20752401190</v>
      </c>
      <c r="C96" s="195" t="s">
        <v>278</v>
      </c>
      <c r="D96" s="194">
        <v>5</v>
      </c>
      <c r="E96" s="194">
        <v>56</v>
      </c>
      <c r="F96" s="57"/>
      <c r="G96" s="57"/>
      <c r="H96" s="57">
        <f>(B19*(0.025*(500/2000)))</f>
        <v>28058769.9375</v>
      </c>
      <c r="I96" s="60">
        <f>30*BC!$B$47/E96</f>
        <v>0</v>
      </c>
      <c r="J96" s="57">
        <f t="shared" si="12"/>
        <v>28058769.9375</v>
      </c>
      <c r="K96" s="60">
        <f t="shared" si="13"/>
        <v>28058770</v>
      </c>
      <c r="L96" s="57">
        <f>IF(A18&gt;0,K96,0)</f>
        <v>0</v>
      </c>
      <c r="M96" s="148">
        <f t="shared" si="14"/>
        <v>41.4</v>
      </c>
      <c r="N96" s="504">
        <v>207</v>
      </c>
      <c r="O96" s="148">
        <f t="shared" ref="O96:O112" si="16">M96*L96</f>
        <v>0</v>
      </c>
      <c r="P96" s="57">
        <f t="shared" ref="P96:P112" si="17">L96/D96</f>
        <v>0</v>
      </c>
      <c r="Q96" s="57">
        <f t="shared" si="15"/>
        <v>0</v>
      </c>
      <c r="R96" s="24"/>
      <c r="S96" s="24"/>
      <c r="T96" s="24"/>
      <c r="U96" s="24"/>
      <c r="V96" s="97"/>
      <c r="W96" s="97"/>
      <c r="X96" s="97"/>
      <c r="Y96" s="97"/>
      <c r="Z96" s="97"/>
      <c r="AA96" s="97"/>
      <c r="AB96" s="97"/>
      <c r="AC96" s="97"/>
      <c r="AD96" s="97"/>
    </row>
    <row r="97" spans="2:30" ht="11.25" customHeight="1" x14ac:dyDescent="0.45">
      <c r="B97" s="194">
        <v>20753009190</v>
      </c>
      <c r="C97" s="195" t="s">
        <v>279</v>
      </c>
      <c r="D97" s="194">
        <v>5</v>
      </c>
      <c r="E97" s="194">
        <v>56</v>
      </c>
      <c r="F97" s="57"/>
      <c r="G97" s="57"/>
      <c r="H97" s="57">
        <f>(B19*(0.025*(500/2000)))</f>
        <v>28058769.9375</v>
      </c>
      <c r="I97" s="60">
        <f>30*BC!$B$47/E97</f>
        <v>0</v>
      </c>
      <c r="J97" s="57">
        <f t="shared" si="12"/>
        <v>28058769.9375</v>
      </c>
      <c r="K97" s="60">
        <f t="shared" si="13"/>
        <v>28058770</v>
      </c>
      <c r="L97" s="57">
        <f>IF(A18&gt;0,K97,0)</f>
        <v>0</v>
      </c>
      <c r="M97" s="148">
        <f t="shared" si="14"/>
        <v>45.4</v>
      </c>
      <c r="N97" s="504">
        <v>227</v>
      </c>
      <c r="O97" s="148">
        <f t="shared" si="16"/>
        <v>0</v>
      </c>
      <c r="P97" s="57">
        <f t="shared" si="17"/>
        <v>0</v>
      </c>
      <c r="Q97" s="57">
        <f t="shared" si="15"/>
        <v>0</v>
      </c>
      <c r="R97" s="24"/>
      <c r="S97" s="24"/>
      <c r="T97" s="24"/>
      <c r="U97" s="24"/>
      <c r="V97" s="97"/>
      <c r="W97" s="97"/>
      <c r="X97" s="97"/>
      <c r="Y97" s="97"/>
      <c r="Z97" s="97"/>
      <c r="AA97" s="97"/>
      <c r="AB97" s="97"/>
      <c r="AC97" s="97"/>
      <c r="AD97" s="97"/>
    </row>
    <row r="98" spans="2:30" ht="11.25" customHeight="1" x14ac:dyDescent="0.45">
      <c r="B98" s="194">
        <v>8362785190</v>
      </c>
      <c r="C98" s="205" t="s">
        <v>280</v>
      </c>
      <c r="D98" s="194">
        <v>2</v>
      </c>
      <c r="E98" s="194">
        <v>84</v>
      </c>
      <c r="F98" s="57"/>
      <c r="G98" s="57"/>
      <c r="H98" s="57">
        <f>(G21*(0.025*(500/2000)))</f>
        <v>0</v>
      </c>
      <c r="I98" s="60">
        <f>30*BC!$B$47/E98</f>
        <v>0</v>
      </c>
      <c r="J98" s="57">
        <f t="shared" si="12"/>
        <v>0</v>
      </c>
      <c r="K98" s="60">
        <f t="shared" si="13"/>
        <v>0</v>
      </c>
      <c r="L98" s="57">
        <f>IF(F21&gt;0,K98,0)</f>
        <v>0</v>
      </c>
      <c r="M98" s="148">
        <f t="shared" si="14"/>
        <v>122</v>
      </c>
      <c r="N98" s="504">
        <v>244</v>
      </c>
      <c r="O98" s="148">
        <f t="shared" si="16"/>
        <v>0</v>
      </c>
      <c r="P98" s="57">
        <f t="shared" si="17"/>
        <v>0</v>
      </c>
      <c r="Q98" s="57">
        <f t="shared" si="15"/>
        <v>0</v>
      </c>
      <c r="R98" s="97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  <c r="AD98" s="97"/>
    </row>
    <row r="99" spans="2:30" ht="11.25" customHeight="1" x14ac:dyDescent="0.45">
      <c r="B99" s="194">
        <v>8278202190</v>
      </c>
      <c r="C99" s="204" t="s">
        <v>281</v>
      </c>
      <c r="D99" s="194">
        <v>3</v>
      </c>
      <c r="E99" s="194">
        <v>28</v>
      </c>
      <c r="F99" s="57"/>
      <c r="G99" s="57"/>
      <c r="H99" s="57">
        <f>(G65*(0.025*(500/2000)))</f>
        <v>0</v>
      </c>
      <c r="I99" s="60">
        <f>30*BC!$B$47/E99</f>
        <v>0</v>
      </c>
      <c r="J99" s="57">
        <f t="shared" si="12"/>
        <v>0</v>
      </c>
      <c r="K99" s="60">
        <f t="shared" si="13"/>
        <v>0</v>
      </c>
      <c r="L99" s="57">
        <f>IF(F65&gt;0,K99,0)</f>
        <v>0</v>
      </c>
      <c r="M99" s="148">
        <f t="shared" si="14"/>
        <v>103</v>
      </c>
      <c r="N99" s="504">
        <v>309</v>
      </c>
      <c r="O99" s="148">
        <f t="shared" si="16"/>
        <v>0</v>
      </c>
      <c r="P99" s="57">
        <f t="shared" si="17"/>
        <v>0</v>
      </c>
      <c r="Q99" s="57">
        <f t="shared" si="15"/>
        <v>0</v>
      </c>
      <c r="R99" s="97"/>
      <c r="S99" s="97"/>
      <c r="T99" s="97"/>
      <c r="U99" s="97"/>
      <c r="V99" s="97"/>
      <c r="W99" s="97"/>
      <c r="X99" s="97"/>
      <c r="Y99" s="97"/>
      <c r="Z99" s="97"/>
      <c r="AA99" s="97"/>
      <c r="AB99" s="97"/>
      <c r="AC99" s="97"/>
      <c r="AD99" s="97"/>
    </row>
    <row r="100" spans="2:30" ht="11.25" customHeight="1" x14ac:dyDescent="0.45">
      <c r="B100" s="194">
        <v>6729371190</v>
      </c>
      <c r="C100" s="196" t="s">
        <v>282</v>
      </c>
      <c r="D100" s="194">
        <v>3</v>
      </c>
      <c r="E100" s="194">
        <v>30</v>
      </c>
      <c r="F100" s="57"/>
      <c r="G100" s="57"/>
      <c r="H100" s="57"/>
      <c r="I100" s="60">
        <f>30*BC!$B$47/E100</f>
        <v>0</v>
      </c>
      <c r="J100" s="57">
        <f t="shared" si="12"/>
        <v>0</v>
      </c>
      <c r="K100" s="60">
        <f t="shared" si="13"/>
        <v>0</v>
      </c>
      <c r="L100" s="57">
        <f>IF(F37&gt;0,K100,0)</f>
        <v>0</v>
      </c>
      <c r="M100" s="148">
        <f t="shared" si="14"/>
        <v>527</v>
      </c>
      <c r="N100" s="504">
        <v>1581</v>
      </c>
      <c r="O100" s="148">
        <f t="shared" si="16"/>
        <v>0</v>
      </c>
      <c r="P100" s="57">
        <f t="shared" si="17"/>
        <v>0</v>
      </c>
      <c r="Q100" s="57">
        <f t="shared" si="15"/>
        <v>0</v>
      </c>
      <c r="R100" s="97"/>
      <c r="S100" s="97"/>
      <c r="T100" s="97"/>
      <c r="U100" s="97"/>
      <c r="V100" s="97"/>
      <c r="W100" s="97"/>
      <c r="X100" s="97"/>
      <c r="Y100" s="97"/>
      <c r="Z100" s="97"/>
      <c r="AA100" s="97"/>
      <c r="AB100" s="97"/>
      <c r="AC100" s="97"/>
      <c r="AD100" s="97"/>
    </row>
    <row r="101" spans="2:30" ht="11.25" customHeight="1" x14ac:dyDescent="0.45">
      <c r="B101" s="194">
        <v>5050936190</v>
      </c>
      <c r="C101" s="208" t="s">
        <v>283</v>
      </c>
      <c r="D101" s="194">
        <v>2</v>
      </c>
      <c r="E101" s="194">
        <v>84</v>
      </c>
      <c r="F101" s="57"/>
      <c r="G101" s="57"/>
      <c r="H101" s="57">
        <f>(G38*(0.08*(350/1000)))</f>
        <v>0</v>
      </c>
      <c r="I101" s="60">
        <f>30*BC!$B$47/E101</f>
        <v>0</v>
      </c>
      <c r="J101" s="57">
        <f t="shared" si="12"/>
        <v>0</v>
      </c>
      <c r="K101" s="60">
        <f t="shared" si="13"/>
        <v>0</v>
      </c>
      <c r="L101" s="57">
        <f>IF(F38&gt;0,K101,0)</f>
        <v>0</v>
      </c>
      <c r="M101" s="148">
        <f t="shared" si="14"/>
        <v>244</v>
      </c>
      <c r="N101" s="504">
        <v>488</v>
      </c>
      <c r="O101" s="148">
        <f t="shared" si="16"/>
        <v>0</v>
      </c>
      <c r="P101" s="57">
        <f t="shared" si="17"/>
        <v>0</v>
      </c>
      <c r="Q101" s="57">
        <f t="shared" si="15"/>
        <v>0</v>
      </c>
      <c r="R101" s="97"/>
      <c r="S101" s="97"/>
      <c r="T101" s="97"/>
      <c r="U101" s="97"/>
      <c r="V101" s="97"/>
      <c r="W101" s="97"/>
      <c r="X101" s="97"/>
      <c r="Y101" s="97"/>
      <c r="Z101" s="97"/>
      <c r="AA101" s="97"/>
      <c r="AB101" s="97"/>
      <c r="AC101" s="97"/>
      <c r="AD101" s="97"/>
    </row>
    <row r="102" spans="2:30" ht="11.25" customHeight="1" x14ac:dyDescent="0.45">
      <c r="B102" s="194">
        <v>5142423190</v>
      </c>
      <c r="C102" s="211" t="s">
        <v>284</v>
      </c>
      <c r="D102" s="194">
        <v>2</v>
      </c>
      <c r="E102" s="194">
        <v>28</v>
      </c>
      <c r="F102" s="57"/>
      <c r="G102" s="57"/>
      <c r="H102" s="57">
        <f>(G46*(0.04*(200/1000)))</f>
        <v>0</v>
      </c>
      <c r="I102" s="60">
        <f>30*BC!$B$47/E102</f>
        <v>0</v>
      </c>
      <c r="J102" s="57">
        <f t="shared" si="12"/>
        <v>0</v>
      </c>
      <c r="K102" s="60">
        <f t="shared" si="13"/>
        <v>0</v>
      </c>
      <c r="L102" s="57">
        <f>IF(F46&gt;0,K102,0)</f>
        <v>0</v>
      </c>
      <c r="M102" s="148">
        <f t="shared" si="14"/>
        <v>37</v>
      </c>
      <c r="N102" s="504">
        <v>74</v>
      </c>
      <c r="O102" s="148">
        <f t="shared" si="16"/>
        <v>0</v>
      </c>
      <c r="P102" s="57">
        <f t="shared" si="17"/>
        <v>0</v>
      </c>
      <c r="Q102" s="57">
        <f t="shared" si="15"/>
        <v>0</v>
      </c>
      <c r="R102" s="97"/>
      <c r="S102" s="97"/>
      <c r="T102" s="97"/>
      <c r="U102" s="97"/>
      <c r="V102" s="97"/>
      <c r="W102" s="97"/>
      <c r="X102" s="97"/>
      <c r="Y102" s="97"/>
      <c r="Z102" s="97"/>
      <c r="AA102" s="97"/>
      <c r="AB102" s="97"/>
      <c r="AC102" s="97"/>
      <c r="AD102" s="97"/>
    </row>
    <row r="103" spans="2:30" ht="11.25" customHeight="1" x14ac:dyDescent="0.45">
      <c r="B103" s="194">
        <v>5947626190</v>
      </c>
      <c r="C103" s="199" t="s">
        <v>286</v>
      </c>
      <c r="D103" s="194">
        <v>4</v>
      </c>
      <c r="E103" s="194">
        <v>14</v>
      </c>
      <c r="F103" s="57"/>
      <c r="G103" s="57"/>
      <c r="H103" s="57">
        <f>(B13/(0.003*400)/3000)</f>
        <v>1241571.7194444444</v>
      </c>
      <c r="I103" s="60">
        <f>30*BC!$B$47/E103</f>
        <v>0</v>
      </c>
      <c r="J103" s="57">
        <f t="shared" si="12"/>
        <v>1241571.7194444444</v>
      </c>
      <c r="K103" s="60">
        <f t="shared" si="13"/>
        <v>1241572</v>
      </c>
      <c r="L103" s="57">
        <f>IF(A12&gt;0,K103,0)</f>
        <v>0</v>
      </c>
      <c r="M103" s="148">
        <f t="shared" si="14"/>
        <v>14.25</v>
      </c>
      <c r="N103" s="504">
        <v>57</v>
      </c>
      <c r="O103" s="148">
        <f t="shared" si="16"/>
        <v>0</v>
      </c>
      <c r="P103" s="57">
        <f t="shared" si="17"/>
        <v>0</v>
      </c>
      <c r="Q103" s="57">
        <f t="shared" si="15"/>
        <v>0</v>
      </c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</row>
    <row r="104" spans="2:30" ht="11.25" customHeight="1" x14ac:dyDescent="0.45">
      <c r="B104" s="194">
        <v>5947774190</v>
      </c>
      <c r="C104" s="199" t="s">
        <v>287</v>
      </c>
      <c r="D104" s="194">
        <v>4</v>
      </c>
      <c r="E104" s="194">
        <v>14</v>
      </c>
      <c r="F104" s="57"/>
      <c r="G104" s="57"/>
      <c r="H104" s="57">
        <f>(B13/(0.003*400)/3000)</f>
        <v>1241571.7194444444</v>
      </c>
      <c r="I104" s="60">
        <f>30*BC!$B$47/E104</f>
        <v>0</v>
      </c>
      <c r="J104" s="57">
        <f t="shared" si="12"/>
        <v>1241571.7194444444</v>
      </c>
      <c r="K104" s="60">
        <f t="shared" si="13"/>
        <v>1241572</v>
      </c>
      <c r="L104" s="57">
        <f>IF(A12&gt;0,K104,0)</f>
        <v>0</v>
      </c>
      <c r="M104" s="148">
        <f t="shared" si="14"/>
        <v>22.75</v>
      </c>
      <c r="N104" s="504">
        <v>91</v>
      </c>
      <c r="O104" s="148">
        <f t="shared" si="16"/>
        <v>0</v>
      </c>
      <c r="P104" s="57">
        <f t="shared" si="17"/>
        <v>0</v>
      </c>
      <c r="Q104" s="57">
        <f t="shared" si="15"/>
        <v>0</v>
      </c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</row>
    <row r="105" spans="2:30" ht="11.25" customHeight="1" x14ac:dyDescent="0.45">
      <c r="B105" s="194">
        <v>5479207190</v>
      </c>
      <c r="C105" s="206" t="s">
        <v>288</v>
      </c>
      <c r="D105" s="194">
        <v>4</v>
      </c>
      <c r="E105" s="194">
        <v>28</v>
      </c>
      <c r="F105" s="57"/>
      <c r="G105" s="57"/>
      <c r="H105" s="57">
        <f>(G44*(0.025*(500/2000)))</f>
        <v>0</v>
      </c>
      <c r="I105" s="60">
        <f>30*BC!$B$47/E105</f>
        <v>0</v>
      </c>
      <c r="J105" s="57">
        <f t="shared" si="12"/>
        <v>0</v>
      </c>
      <c r="K105" s="60">
        <f t="shared" si="13"/>
        <v>0</v>
      </c>
      <c r="L105" s="57">
        <f>IF(F44&gt;0,K105,0)</f>
        <v>0</v>
      </c>
      <c r="M105" s="148">
        <f t="shared" si="14"/>
        <v>77.25</v>
      </c>
      <c r="N105" s="504">
        <v>309</v>
      </c>
      <c r="O105" s="148">
        <f t="shared" si="16"/>
        <v>0</v>
      </c>
      <c r="P105" s="57">
        <f t="shared" si="17"/>
        <v>0</v>
      </c>
      <c r="Q105" s="57">
        <f t="shared" si="15"/>
        <v>0</v>
      </c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</row>
    <row r="106" spans="2:30" ht="11.25" customHeight="1" x14ac:dyDescent="0.45">
      <c r="B106" s="194">
        <v>5912504190</v>
      </c>
      <c r="C106" s="206" t="s">
        <v>289</v>
      </c>
      <c r="D106" s="194">
        <v>4</v>
      </c>
      <c r="E106" s="194">
        <v>28</v>
      </c>
      <c r="F106" s="57"/>
      <c r="G106" s="57"/>
      <c r="H106" s="57">
        <f>(G44*(0.025*(500/2000)))</f>
        <v>0</v>
      </c>
      <c r="I106" s="60">
        <f>30*BC!$B$47/E106</f>
        <v>0</v>
      </c>
      <c r="J106" s="57">
        <f t="shared" si="12"/>
        <v>0</v>
      </c>
      <c r="K106" s="60">
        <f t="shared" si="13"/>
        <v>0</v>
      </c>
      <c r="L106" s="57">
        <f>IF(F44&gt;0,K106,0)</f>
        <v>0</v>
      </c>
      <c r="M106" s="148">
        <f t="shared" si="14"/>
        <v>154.5</v>
      </c>
      <c r="N106" s="504">
        <v>618</v>
      </c>
      <c r="O106" s="148">
        <f t="shared" si="16"/>
        <v>0</v>
      </c>
      <c r="P106" s="57">
        <f t="shared" si="17"/>
        <v>0</v>
      </c>
      <c r="Q106" s="57">
        <f t="shared" si="15"/>
        <v>0</v>
      </c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</row>
    <row r="107" spans="2:30" ht="11.25" customHeight="1" x14ac:dyDescent="0.45">
      <c r="B107" s="194">
        <v>5852650190</v>
      </c>
      <c r="C107" s="214" t="s">
        <v>290</v>
      </c>
      <c r="D107" s="194">
        <v>2</v>
      </c>
      <c r="E107" s="194">
        <v>14</v>
      </c>
      <c r="F107" s="57"/>
      <c r="G107" s="57"/>
      <c r="H107" s="57">
        <f>(G59*(0.04*(200/1000)))</f>
        <v>0</v>
      </c>
      <c r="I107" s="60">
        <f>30*BC!$B$47/E107</f>
        <v>0</v>
      </c>
      <c r="J107" s="57">
        <f t="shared" si="12"/>
        <v>0</v>
      </c>
      <c r="K107" s="60">
        <f t="shared" si="13"/>
        <v>0</v>
      </c>
      <c r="L107" s="57">
        <f>IF(F59&gt;0,K107,0)</f>
        <v>0</v>
      </c>
      <c r="M107" s="148">
        <f t="shared" si="14"/>
        <v>286</v>
      </c>
      <c r="N107" s="504">
        <v>572</v>
      </c>
      <c r="O107" s="148">
        <f t="shared" si="16"/>
        <v>0</v>
      </c>
      <c r="P107" s="57">
        <f t="shared" si="17"/>
        <v>0</v>
      </c>
      <c r="Q107" s="57">
        <f t="shared" si="15"/>
        <v>0</v>
      </c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</row>
    <row r="108" spans="2:30" ht="11.25" customHeight="1" x14ac:dyDescent="0.45">
      <c r="B108" s="194">
        <v>11098985122</v>
      </c>
      <c r="C108" s="212" t="s">
        <v>291</v>
      </c>
      <c r="D108" s="194">
        <v>3</v>
      </c>
      <c r="E108" s="194">
        <v>28</v>
      </c>
      <c r="F108" s="57"/>
      <c r="G108" s="57"/>
      <c r="H108" s="57">
        <f>(G40*(0.04*(200/1000)))</f>
        <v>0</v>
      </c>
      <c r="I108" s="60">
        <f>30*BC!$B$47/E108</f>
        <v>0</v>
      </c>
      <c r="J108" s="57">
        <f t="shared" si="12"/>
        <v>0</v>
      </c>
      <c r="K108" s="60">
        <f t="shared" si="13"/>
        <v>0</v>
      </c>
      <c r="L108" s="57">
        <f>IF(F40&gt;0,K108,0)</f>
        <v>0</v>
      </c>
      <c r="M108" s="148">
        <f t="shared" si="14"/>
        <v>21</v>
      </c>
      <c r="N108" s="504">
        <v>63</v>
      </c>
      <c r="O108" s="148">
        <f t="shared" si="16"/>
        <v>0</v>
      </c>
      <c r="P108" s="57">
        <f t="shared" si="17"/>
        <v>0</v>
      </c>
      <c r="Q108" s="57">
        <f t="shared" si="15"/>
        <v>0</v>
      </c>
      <c r="R108" s="97"/>
      <c r="S108" s="97"/>
      <c r="T108" s="97"/>
      <c r="U108" s="97"/>
      <c r="V108" s="97"/>
      <c r="W108" s="97"/>
      <c r="X108" s="97"/>
      <c r="Y108" s="97"/>
      <c r="Z108" s="97"/>
      <c r="AA108" s="97"/>
      <c r="AB108" s="97"/>
      <c r="AC108" s="97"/>
      <c r="AD108" s="97"/>
    </row>
    <row r="109" spans="2:30" ht="11.25" customHeight="1" x14ac:dyDescent="0.45">
      <c r="B109" s="194">
        <v>3121313122</v>
      </c>
      <c r="C109" s="207" t="s">
        <v>292</v>
      </c>
      <c r="D109" s="194">
        <v>4</v>
      </c>
      <c r="E109" s="194">
        <v>28</v>
      </c>
      <c r="F109" s="57"/>
      <c r="G109" s="57"/>
      <c r="H109" s="57">
        <f>(B16*(0.0025*(250/100)))</f>
        <v>19898388.262499999</v>
      </c>
      <c r="I109" s="60">
        <f>30*BC!$B$47/E109</f>
        <v>0</v>
      </c>
      <c r="J109" s="57">
        <f t="shared" si="12"/>
        <v>19898388.262499999</v>
      </c>
      <c r="K109" s="60">
        <f t="shared" si="13"/>
        <v>19898389</v>
      </c>
      <c r="L109" s="57">
        <f>IF(A15&gt;0,K109,0)</f>
        <v>0</v>
      </c>
      <c r="M109" s="148">
        <f t="shared" si="14"/>
        <v>115</v>
      </c>
      <c r="N109" s="504">
        <v>460</v>
      </c>
      <c r="O109" s="148">
        <f t="shared" si="16"/>
        <v>0</v>
      </c>
      <c r="P109" s="57">
        <f t="shared" si="17"/>
        <v>0</v>
      </c>
      <c r="Q109" s="57">
        <f t="shared" si="15"/>
        <v>0</v>
      </c>
      <c r="R109" s="97"/>
      <c r="S109" s="97"/>
      <c r="T109" s="97"/>
      <c r="U109" s="97"/>
      <c r="V109" s="97"/>
      <c r="W109" s="97"/>
      <c r="X109" s="97"/>
      <c r="Y109" s="97"/>
      <c r="Z109" s="97"/>
      <c r="AA109" s="97"/>
      <c r="AB109" s="97"/>
      <c r="AC109" s="97"/>
      <c r="AD109" s="97"/>
    </row>
    <row r="110" spans="2:30" ht="11.25" customHeight="1" x14ac:dyDescent="0.45">
      <c r="B110" s="194">
        <v>11174118122</v>
      </c>
      <c r="C110" s="212" t="s">
        <v>293</v>
      </c>
      <c r="D110" s="194">
        <v>3</v>
      </c>
      <c r="E110" s="194">
        <v>28</v>
      </c>
      <c r="F110" s="57"/>
      <c r="G110" s="57"/>
      <c r="H110" s="57">
        <f>(G40*(0.04*(200/1000)))</f>
        <v>0</v>
      </c>
      <c r="I110" s="60">
        <f>30*BC!$B$47/E110</f>
        <v>0</v>
      </c>
      <c r="J110" s="57">
        <f t="shared" si="12"/>
        <v>0</v>
      </c>
      <c r="K110" s="60">
        <f t="shared" si="13"/>
        <v>0</v>
      </c>
      <c r="L110" s="57">
        <f>IF(F40&gt;0,K110,0)</f>
        <v>0</v>
      </c>
      <c r="M110" s="148">
        <f t="shared" si="14"/>
        <v>23.666666666666668</v>
      </c>
      <c r="N110" s="504">
        <v>71</v>
      </c>
      <c r="O110" s="148">
        <f t="shared" si="16"/>
        <v>0</v>
      </c>
      <c r="P110" s="57">
        <f t="shared" si="17"/>
        <v>0</v>
      </c>
      <c r="Q110" s="57">
        <f t="shared" si="15"/>
        <v>0</v>
      </c>
      <c r="R110" s="97"/>
      <c r="S110" s="97"/>
      <c r="T110" s="97"/>
      <c r="U110" s="97"/>
      <c r="V110" s="97"/>
      <c r="W110" s="97"/>
      <c r="X110" s="97"/>
      <c r="Y110" s="97"/>
      <c r="Z110" s="97"/>
      <c r="AA110" s="97"/>
      <c r="AB110" s="97"/>
      <c r="AC110" s="97"/>
      <c r="AD110" s="97"/>
    </row>
    <row r="111" spans="2:30" ht="11.25" customHeight="1" x14ac:dyDescent="0.45">
      <c r="B111" s="194">
        <v>3121291122</v>
      </c>
      <c r="C111" s="207" t="s">
        <v>294</v>
      </c>
      <c r="D111" s="194">
        <v>4</v>
      </c>
      <c r="E111" s="194">
        <v>28</v>
      </c>
      <c r="F111" s="57"/>
      <c r="G111" s="57"/>
      <c r="H111" s="57">
        <f>(B16*(0.0025*(250/100)))</f>
        <v>19898388.262499999</v>
      </c>
      <c r="I111" s="60">
        <f>30*BC!$B$47/E111</f>
        <v>0</v>
      </c>
      <c r="J111" s="57">
        <f t="shared" si="12"/>
        <v>19898388.262499999</v>
      </c>
      <c r="K111" s="60">
        <f t="shared" si="13"/>
        <v>19898389</v>
      </c>
      <c r="L111" s="57">
        <f>IF(A15&gt;0,K111,0)</f>
        <v>0</v>
      </c>
      <c r="M111" s="148">
        <f t="shared" si="14"/>
        <v>98</v>
      </c>
      <c r="N111" s="504">
        <v>392</v>
      </c>
      <c r="O111" s="148">
        <f t="shared" si="16"/>
        <v>0</v>
      </c>
      <c r="P111" s="57">
        <f t="shared" si="17"/>
        <v>0</v>
      </c>
      <c r="Q111" s="57">
        <f t="shared" si="15"/>
        <v>0</v>
      </c>
      <c r="R111" s="97"/>
      <c r="S111" s="97"/>
      <c r="T111" s="97"/>
      <c r="U111" s="97"/>
      <c r="V111" s="97"/>
      <c r="W111" s="97"/>
      <c r="X111" s="97"/>
      <c r="Y111" s="97"/>
      <c r="Z111" s="97"/>
      <c r="AA111" s="97"/>
      <c r="AB111" s="97"/>
      <c r="AC111" s="97"/>
      <c r="AD111" s="97"/>
    </row>
    <row r="112" spans="2:30" ht="11.25" customHeight="1" x14ac:dyDescent="0.45">
      <c r="B112" s="194">
        <v>3005496122</v>
      </c>
      <c r="C112" s="215" t="s">
        <v>295</v>
      </c>
      <c r="D112" s="194">
        <v>4</v>
      </c>
      <c r="E112" s="194">
        <v>30</v>
      </c>
      <c r="F112" s="57"/>
      <c r="G112" s="57"/>
      <c r="H112" s="57">
        <f>(G64*(0.08*(350/1000)))</f>
        <v>0</v>
      </c>
      <c r="I112" s="60">
        <f>30*BC!$B$47/E112</f>
        <v>0</v>
      </c>
      <c r="J112" s="57">
        <f t="shared" si="12"/>
        <v>0</v>
      </c>
      <c r="K112" s="60">
        <f t="shared" si="13"/>
        <v>0</v>
      </c>
      <c r="L112" s="57">
        <f>IF(F64&gt;0,K112,0)</f>
        <v>0</v>
      </c>
      <c r="M112" s="148">
        <f t="shared" si="14"/>
        <v>52.75</v>
      </c>
      <c r="N112" s="504">
        <v>211</v>
      </c>
      <c r="O112" s="148">
        <f t="shared" si="16"/>
        <v>0</v>
      </c>
      <c r="P112" s="57">
        <f t="shared" si="17"/>
        <v>0</v>
      </c>
      <c r="Q112" s="57">
        <f t="shared" si="15"/>
        <v>0</v>
      </c>
      <c r="R112" s="97"/>
      <c r="S112" s="97"/>
      <c r="T112" s="97"/>
      <c r="U112" s="97"/>
      <c r="V112" s="97"/>
      <c r="W112" s="97"/>
      <c r="X112" s="97"/>
      <c r="Y112" s="97"/>
      <c r="Z112" s="97"/>
      <c r="AA112" s="97"/>
      <c r="AB112" s="97"/>
      <c r="AC112" s="97"/>
      <c r="AD112" s="97"/>
    </row>
    <row r="113" spans="2:30" x14ac:dyDescent="0.45">
      <c r="B113" s="217"/>
      <c r="C113" s="217" t="s">
        <v>8</v>
      </c>
      <c r="D113" s="217"/>
      <c r="E113" s="217"/>
      <c r="F113" s="218"/>
      <c r="G113" s="218"/>
      <c r="H113" s="419" t="s">
        <v>53</v>
      </c>
      <c r="I113" s="419" t="s">
        <v>52</v>
      </c>
      <c r="J113" s="218"/>
      <c r="K113" s="218"/>
      <c r="L113" s="218"/>
      <c r="M113" s="218"/>
      <c r="N113" s="425" t="s">
        <v>168</v>
      </c>
      <c r="O113" s="218"/>
      <c r="P113" s="218"/>
      <c r="Q113" s="218"/>
      <c r="R113" s="97"/>
      <c r="S113" s="97"/>
      <c r="T113" s="97"/>
      <c r="U113" s="97"/>
      <c r="V113" s="97"/>
      <c r="W113" s="97"/>
      <c r="X113" s="97"/>
      <c r="Y113" s="97"/>
      <c r="Z113" s="97"/>
      <c r="AA113" s="97"/>
      <c r="AB113" s="97"/>
      <c r="AC113" s="97"/>
      <c r="AD113" s="97"/>
    </row>
    <row r="114" spans="2:30" ht="11.25" customHeight="1" x14ac:dyDescent="0.45">
      <c r="B114" s="219">
        <v>4880285190</v>
      </c>
      <c r="C114" s="220" t="s">
        <v>297</v>
      </c>
      <c r="D114" s="219">
        <v>2</v>
      </c>
      <c r="E114" s="219">
        <v>70</v>
      </c>
      <c r="F114" s="57"/>
      <c r="G114" s="57"/>
      <c r="H114" s="57">
        <f>(G74/(0.00025*800)/12000)</f>
        <v>0</v>
      </c>
      <c r="I114" s="60">
        <f>30*BC!$B$47/E114</f>
        <v>0</v>
      </c>
      <c r="J114" s="57">
        <f t="shared" si="12"/>
        <v>0</v>
      </c>
      <c r="K114" s="60">
        <f t="shared" si="13"/>
        <v>0</v>
      </c>
      <c r="L114" s="57">
        <f>IF(F74&gt;0,K114,0)</f>
        <v>0</v>
      </c>
      <c r="M114" s="148">
        <f t="shared" si="14"/>
        <v>32.5</v>
      </c>
      <c r="N114" s="504">
        <v>65</v>
      </c>
      <c r="O114" s="148">
        <f t="shared" ref="O114:O135" si="18">M114*L114</f>
        <v>0</v>
      </c>
      <c r="P114" s="57">
        <f t="shared" ref="P114:P128" si="19">L114/D114</f>
        <v>0</v>
      </c>
      <c r="Q114" s="57">
        <f t="shared" si="15"/>
        <v>0</v>
      </c>
      <c r="R114" s="97"/>
      <c r="S114" s="97"/>
      <c r="T114" s="97"/>
      <c r="U114" s="97"/>
      <c r="V114" s="97"/>
      <c r="W114" s="97"/>
      <c r="X114" s="97"/>
      <c r="Y114" s="97"/>
      <c r="Z114" s="97"/>
      <c r="AA114" s="97"/>
      <c r="AB114" s="97"/>
      <c r="AC114" s="97"/>
      <c r="AD114" s="97"/>
    </row>
    <row r="115" spans="2:30" ht="11.25" customHeight="1" x14ac:dyDescent="0.45">
      <c r="B115" s="219">
        <v>4880307190</v>
      </c>
      <c r="C115" s="220" t="s">
        <v>298</v>
      </c>
      <c r="D115" s="219">
        <v>2</v>
      </c>
      <c r="E115" s="219">
        <v>84</v>
      </c>
      <c r="F115" s="57"/>
      <c r="G115" s="57"/>
      <c r="H115" s="57">
        <f>(G74/(0.025*800)/12000)</f>
        <v>0</v>
      </c>
      <c r="I115" s="60">
        <f>30*BC!$B$47/E115</f>
        <v>0</v>
      </c>
      <c r="J115" s="57">
        <f t="shared" si="12"/>
        <v>0</v>
      </c>
      <c r="K115" s="60">
        <f t="shared" si="13"/>
        <v>0</v>
      </c>
      <c r="L115" s="57">
        <f>IF(F74&gt;0,K115,0)</f>
        <v>0</v>
      </c>
      <c r="M115" s="148">
        <f t="shared" si="14"/>
        <v>35.5</v>
      </c>
      <c r="N115" s="504">
        <v>71</v>
      </c>
      <c r="O115" s="148">
        <f t="shared" si="18"/>
        <v>0</v>
      </c>
      <c r="P115" s="57">
        <f t="shared" si="19"/>
        <v>0</v>
      </c>
      <c r="Q115" s="57">
        <f t="shared" si="15"/>
        <v>0</v>
      </c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</row>
    <row r="116" spans="2:30" ht="11.25" customHeight="1" x14ac:dyDescent="0.45">
      <c r="B116" s="219">
        <v>4444191001</v>
      </c>
      <c r="C116" s="197" t="s">
        <v>299</v>
      </c>
      <c r="D116" s="219">
        <v>1</v>
      </c>
      <c r="E116" s="219">
        <v>365</v>
      </c>
      <c r="F116" s="57"/>
      <c r="G116" s="57"/>
      <c r="H116" s="57">
        <f>((G74-(G74*0.9))/E116)</f>
        <v>0</v>
      </c>
      <c r="I116" s="60">
        <f>30*BC!$B$47/E116</f>
        <v>0</v>
      </c>
      <c r="J116" s="57">
        <f t="shared" si="12"/>
        <v>0</v>
      </c>
      <c r="K116" s="60">
        <f t="shared" si="13"/>
        <v>0</v>
      </c>
      <c r="L116" s="57">
        <f>IF(F74&gt;0,K116,0)</f>
        <v>0</v>
      </c>
      <c r="M116" s="148">
        <f t="shared" si="14"/>
        <v>9</v>
      </c>
      <c r="N116" s="504">
        <v>9</v>
      </c>
      <c r="O116" s="148">
        <f t="shared" si="18"/>
        <v>0</v>
      </c>
      <c r="P116" s="57">
        <f t="shared" si="19"/>
        <v>0</v>
      </c>
      <c r="Q116" s="57">
        <f t="shared" si="15"/>
        <v>0</v>
      </c>
      <c r="R116" s="97"/>
      <c r="S116" s="97"/>
      <c r="T116" s="97"/>
      <c r="U116" s="97"/>
      <c r="V116" s="97"/>
      <c r="W116" s="97"/>
      <c r="X116" s="97"/>
      <c r="Y116" s="97"/>
      <c r="Z116" s="97"/>
      <c r="AA116" s="97"/>
      <c r="AB116" s="97"/>
      <c r="AC116" s="97"/>
      <c r="AD116" s="97"/>
    </row>
    <row r="117" spans="2:30" ht="11.25" customHeight="1" x14ac:dyDescent="0.45">
      <c r="B117" s="219">
        <v>4555040001</v>
      </c>
      <c r="C117" s="197" t="s">
        <v>300</v>
      </c>
      <c r="D117" s="219">
        <v>3</v>
      </c>
      <c r="E117" s="219">
        <v>84</v>
      </c>
      <c r="F117" s="57"/>
      <c r="G117" s="57"/>
      <c r="H117" s="57">
        <f>(G74/(0.07*30)/6300)</f>
        <v>0</v>
      </c>
      <c r="I117" s="60">
        <f>30*BC!$B$47/E117</f>
        <v>0</v>
      </c>
      <c r="J117" s="57">
        <f t="shared" si="12"/>
        <v>0</v>
      </c>
      <c r="K117" s="60">
        <f t="shared" si="13"/>
        <v>0</v>
      </c>
      <c r="L117" s="57">
        <f>IF(F74&gt;0,K117,0)</f>
        <v>0</v>
      </c>
      <c r="M117" s="148">
        <f t="shared" si="14"/>
        <v>312</v>
      </c>
      <c r="N117" s="504">
        <v>936</v>
      </c>
      <c r="O117" s="148">
        <f t="shared" si="18"/>
        <v>0</v>
      </c>
      <c r="P117" s="57">
        <f t="shared" si="19"/>
        <v>0</v>
      </c>
      <c r="Q117" s="57">
        <f t="shared" si="15"/>
        <v>0</v>
      </c>
      <c r="R117" s="97"/>
      <c r="S117" s="97"/>
      <c r="T117" s="97"/>
      <c r="U117" s="97"/>
      <c r="V117" s="97"/>
      <c r="W117" s="97"/>
      <c r="X117" s="97"/>
      <c r="Y117" s="97"/>
      <c r="Z117" s="97"/>
      <c r="AA117" s="97"/>
      <c r="AB117" s="97"/>
      <c r="AC117" s="97"/>
      <c r="AD117" s="97"/>
    </row>
    <row r="118" spans="2:30" ht="11.25" customHeight="1" x14ac:dyDescent="0.45">
      <c r="B118" s="219">
        <v>5422485190</v>
      </c>
      <c r="C118" s="220" t="s">
        <v>301</v>
      </c>
      <c r="D118" s="219">
        <v>1</v>
      </c>
      <c r="E118" s="219">
        <v>28</v>
      </c>
      <c r="F118" s="57"/>
      <c r="G118" s="57"/>
      <c r="H118" s="57">
        <f>(G74/(0.7*11)/120)</f>
        <v>0</v>
      </c>
      <c r="I118" s="60">
        <f>30*BC!$B$47/E118</f>
        <v>0</v>
      </c>
      <c r="J118" s="57">
        <f t="shared" si="12"/>
        <v>0</v>
      </c>
      <c r="K118" s="60">
        <f t="shared" si="13"/>
        <v>0</v>
      </c>
      <c r="L118" s="57">
        <f>IF(F74&gt;0,K118,0)</f>
        <v>0</v>
      </c>
      <c r="M118" s="148">
        <f t="shared" si="14"/>
        <v>32</v>
      </c>
      <c r="N118" s="504">
        <v>32</v>
      </c>
      <c r="O118" s="148">
        <f t="shared" si="18"/>
        <v>0</v>
      </c>
      <c r="P118" s="57">
        <f t="shared" si="19"/>
        <v>0</v>
      </c>
      <c r="Q118" s="57">
        <f t="shared" si="15"/>
        <v>0</v>
      </c>
      <c r="R118" s="97"/>
      <c r="S118" s="97"/>
      <c r="T118" s="97"/>
      <c r="U118" s="97"/>
      <c r="V118" s="97"/>
      <c r="W118" s="97"/>
      <c r="X118" s="97"/>
      <c r="Y118" s="97"/>
      <c r="Z118" s="97"/>
      <c r="AA118" s="97"/>
      <c r="AB118" s="97"/>
      <c r="AC118" s="97"/>
      <c r="AD118" s="97"/>
    </row>
    <row r="119" spans="2:30" ht="11.25" customHeight="1" x14ac:dyDescent="0.45">
      <c r="B119" s="219">
        <v>4554124001</v>
      </c>
      <c r="C119" s="220" t="s">
        <v>302</v>
      </c>
      <c r="D119" s="219">
        <v>1</v>
      </c>
      <c r="E119" s="219">
        <v>30</v>
      </c>
      <c r="F119" s="57"/>
      <c r="G119" s="57"/>
      <c r="H119" s="57">
        <f>(G74/(0.05*30)/6300)</f>
        <v>0</v>
      </c>
      <c r="I119" s="60">
        <f>30*BC!$B$47/E119</f>
        <v>0</v>
      </c>
      <c r="J119" s="57">
        <f t="shared" si="12"/>
        <v>0</v>
      </c>
      <c r="K119" s="60">
        <f t="shared" si="13"/>
        <v>0</v>
      </c>
      <c r="L119" s="57">
        <f>IF(F74&gt;0,K119,0)</f>
        <v>0</v>
      </c>
      <c r="M119" s="148">
        <f t="shared" si="14"/>
        <v>178</v>
      </c>
      <c r="N119" s="504">
        <v>178</v>
      </c>
      <c r="O119" s="148">
        <f t="shared" si="18"/>
        <v>0</v>
      </c>
      <c r="P119" s="57">
        <f t="shared" si="19"/>
        <v>0</v>
      </c>
      <c r="Q119" s="57">
        <f t="shared" si="15"/>
        <v>0</v>
      </c>
      <c r="R119" s="97"/>
      <c r="S119" s="97"/>
      <c r="T119" s="97"/>
      <c r="U119" s="97"/>
      <c r="V119" s="97"/>
      <c r="W119" s="97"/>
      <c r="X119" s="97"/>
      <c r="Y119" s="97"/>
      <c r="Z119" s="97"/>
      <c r="AA119" s="97"/>
      <c r="AB119" s="97"/>
      <c r="AC119" s="97"/>
      <c r="AD119" s="97"/>
    </row>
    <row r="120" spans="2:30" ht="11.25" customHeight="1" x14ac:dyDescent="0.45">
      <c r="B120" s="219">
        <v>4516273001</v>
      </c>
      <c r="C120" s="220" t="s">
        <v>303</v>
      </c>
      <c r="D120" s="219">
        <v>1</v>
      </c>
      <c r="E120" s="219">
        <v>30</v>
      </c>
      <c r="F120" s="57"/>
      <c r="G120" s="57"/>
      <c r="H120" s="57">
        <f>(G74/(0.05*30)/6300)</f>
        <v>0</v>
      </c>
      <c r="I120" s="60">
        <f>30*BC!$B$47/E120</f>
        <v>0</v>
      </c>
      <c r="J120" s="57">
        <f t="shared" si="12"/>
        <v>0</v>
      </c>
      <c r="K120" s="60">
        <f t="shared" si="13"/>
        <v>0</v>
      </c>
      <c r="L120" s="57">
        <f>IF(F74&gt;0,K120,0)</f>
        <v>0</v>
      </c>
      <c r="M120" s="148">
        <f t="shared" si="14"/>
        <v>26</v>
      </c>
      <c r="N120" s="504">
        <v>26</v>
      </c>
      <c r="O120" s="148">
        <f t="shared" si="18"/>
        <v>0</v>
      </c>
      <c r="P120" s="57">
        <f t="shared" si="19"/>
        <v>0</v>
      </c>
      <c r="Q120" s="57">
        <f t="shared" si="15"/>
        <v>0</v>
      </c>
      <c r="R120" s="97"/>
      <c r="S120" s="97"/>
      <c r="T120" s="97"/>
      <c r="U120" s="97"/>
      <c r="V120" s="97"/>
      <c r="W120" s="97"/>
      <c r="X120" s="97"/>
      <c r="Y120" s="97"/>
      <c r="Z120" s="97"/>
      <c r="AA120" s="97"/>
      <c r="AB120" s="97"/>
      <c r="AC120" s="97"/>
      <c r="AD120" s="97"/>
    </row>
    <row r="121" spans="2:30" ht="11.25" customHeight="1" x14ac:dyDescent="0.45">
      <c r="B121" s="219">
        <v>4516265001</v>
      </c>
      <c r="C121" s="220" t="s">
        <v>304</v>
      </c>
      <c r="D121" s="219">
        <v>1</v>
      </c>
      <c r="E121" s="219">
        <v>30</v>
      </c>
      <c r="F121" s="57"/>
      <c r="G121" s="57"/>
      <c r="H121" s="57">
        <f>(G74/(0.05*30)/6300)</f>
        <v>0</v>
      </c>
      <c r="I121" s="60">
        <f>30*BC!$B$47/E121</f>
        <v>0</v>
      </c>
      <c r="J121" s="57">
        <f t="shared" si="12"/>
        <v>0</v>
      </c>
      <c r="K121" s="60">
        <f t="shared" si="13"/>
        <v>0</v>
      </c>
      <c r="L121" s="57">
        <f>IF(F74&gt;0,K121,0)</f>
        <v>0</v>
      </c>
      <c r="M121" s="148">
        <f t="shared" si="14"/>
        <v>61</v>
      </c>
      <c r="N121" s="504">
        <v>61</v>
      </c>
      <c r="O121" s="148">
        <f t="shared" si="18"/>
        <v>0</v>
      </c>
      <c r="P121" s="57">
        <f t="shared" si="19"/>
        <v>0</v>
      </c>
      <c r="Q121" s="57">
        <f t="shared" si="15"/>
        <v>0</v>
      </c>
      <c r="R121" s="97"/>
      <c r="S121" s="97"/>
      <c r="T121" s="97"/>
      <c r="U121" s="97"/>
      <c r="V121" s="97"/>
      <c r="W121" s="97"/>
      <c r="X121" s="97"/>
      <c r="Y121" s="97"/>
      <c r="Z121" s="97"/>
      <c r="AA121" s="97"/>
      <c r="AB121" s="97"/>
      <c r="AC121" s="97"/>
      <c r="AD121" s="97"/>
    </row>
    <row r="122" spans="2:30" ht="11.25" customHeight="1" x14ac:dyDescent="0.45">
      <c r="B122" s="219">
        <v>4528182190</v>
      </c>
      <c r="C122" s="220" t="s">
        <v>305</v>
      </c>
      <c r="D122" s="219">
        <v>1</v>
      </c>
      <c r="E122" s="219">
        <v>28</v>
      </c>
      <c r="F122" s="57"/>
      <c r="G122" s="57"/>
      <c r="H122" s="57">
        <f>(G44/(0.025*500)/100)</f>
        <v>0</v>
      </c>
      <c r="I122" s="60">
        <f>30*BC!$B$47/E122</f>
        <v>0</v>
      </c>
      <c r="J122" s="57">
        <f t="shared" si="12"/>
        <v>0</v>
      </c>
      <c r="K122" s="60">
        <f t="shared" si="13"/>
        <v>0</v>
      </c>
      <c r="L122" s="57">
        <f>IF(F44&gt;0,K122,0)</f>
        <v>0</v>
      </c>
      <c r="M122" s="148">
        <f t="shared" si="14"/>
        <v>26</v>
      </c>
      <c r="N122" s="504">
        <v>26</v>
      </c>
      <c r="O122" s="148">
        <f t="shared" si="18"/>
        <v>0</v>
      </c>
      <c r="P122" s="57">
        <f t="shared" si="19"/>
        <v>0</v>
      </c>
      <c r="Q122" s="57">
        <f t="shared" si="15"/>
        <v>0</v>
      </c>
      <c r="R122" s="97"/>
      <c r="S122" s="97"/>
      <c r="T122" s="97"/>
      <c r="U122" s="97"/>
      <c r="V122" s="97"/>
      <c r="W122" s="97"/>
      <c r="X122" s="97"/>
      <c r="Y122" s="97"/>
      <c r="Z122" s="97"/>
      <c r="AA122" s="97"/>
      <c r="AB122" s="97"/>
      <c r="AC122" s="97"/>
      <c r="AD122" s="97"/>
    </row>
    <row r="123" spans="2:30" ht="11.25" customHeight="1" x14ac:dyDescent="0.45">
      <c r="B123" s="219">
        <v>4813707001</v>
      </c>
      <c r="C123" s="220" t="s">
        <v>306</v>
      </c>
      <c r="D123" s="219">
        <v>1</v>
      </c>
      <c r="E123" s="219">
        <v>45</v>
      </c>
      <c r="F123" s="57"/>
      <c r="G123" s="57"/>
      <c r="H123" s="57">
        <f>(G74/(0.07*30)/6300)</f>
        <v>0</v>
      </c>
      <c r="I123" s="60">
        <f>30*BC!$B$47/E123</f>
        <v>0</v>
      </c>
      <c r="J123" s="57">
        <f t="shared" si="12"/>
        <v>0</v>
      </c>
      <c r="K123" s="60">
        <f t="shared" si="13"/>
        <v>0</v>
      </c>
      <c r="L123" s="57">
        <f>IF(F74&gt;0,K123,0)</f>
        <v>0</v>
      </c>
      <c r="M123" s="148">
        <f t="shared" si="14"/>
        <v>402</v>
      </c>
      <c r="N123" s="504">
        <v>402</v>
      </c>
      <c r="O123" s="148">
        <f t="shared" si="18"/>
        <v>0</v>
      </c>
      <c r="P123" s="57">
        <f t="shared" si="19"/>
        <v>0</v>
      </c>
      <c r="Q123" s="57">
        <f t="shared" si="15"/>
        <v>0</v>
      </c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</row>
    <row r="124" spans="2:30" ht="11.25" customHeight="1" x14ac:dyDescent="0.45">
      <c r="B124" s="219">
        <v>4516303001</v>
      </c>
      <c r="C124" s="220" t="s">
        <v>307</v>
      </c>
      <c r="D124" s="219">
        <v>1</v>
      </c>
      <c r="E124" s="219">
        <v>360</v>
      </c>
      <c r="F124" s="57"/>
      <c r="G124" s="57"/>
      <c r="H124" s="57">
        <f>(G74/(0.025*500)/12000)</f>
        <v>0</v>
      </c>
      <c r="I124" s="60">
        <f>30*BC!$B$47/E124</f>
        <v>0</v>
      </c>
      <c r="J124" s="57">
        <f t="shared" si="12"/>
        <v>0</v>
      </c>
      <c r="K124" s="60">
        <f t="shared" si="13"/>
        <v>0</v>
      </c>
      <c r="L124" s="57">
        <f>IF(F74&gt;0,K124,0)</f>
        <v>0</v>
      </c>
      <c r="M124" s="148">
        <f t="shared" si="14"/>
        <v>859</v>
      </c>
      <c r="N124" s="504">
        <v>859</v>
      </c>
      <c r="O124" s="148">
        <f t="shared" si="18"/>
        <v>0</v>
      </c>
      <c r="P124" s="57">
        <f t="shared" si="19"/>
        <v>0</v>
      </c>
      <c r="Q124" s="57">
        <f t="shared" si="15"/>
        <v>0</v>
      </c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</row>
    <row r="125" spans="2:30" ht="11.25" customHeight="1" x14ac:dyDescent="0.45">
      <c r="B125" s="219">
        <v>4708725190</v>
      </c>
      <c r="C125" s="220" t="s">
        <v>308</v>
      </c>
      <c r="D125" s="219">
        <v>12</v>
      </c>
      <c r="E125" s="219">
        <v>28</v>
      </c>
      <c r="F125" s="57"/>
      <c r="G125" s="57"/>
      <c r="H125" s="57">
        <f>(G74/(0.00025*250)/56000)</f>
        <v>0</v>
      </c>
      <c r="I125" s="60">
        <f>30*BC!$B$47/E125</f>
        <v>0</v>
      </c>
      <c r="J125" s="57">
        <f t="shared" si="12"/>
        <v>0</v>
      </c>
      <c r="K125" s="60">
        <f t="shared" si="13"/>
        <v>0</v>
      </c>
      <c r="L125" s="57">
        <f>IF(F74&gt;0,K125,0)</f>
        <v>0</v>
      </c>
      <c r="M125" s="148">
        <f t="shared" si="14"/>
        <v>4.083333333333333</v>
      </c>
      <c r="N125" s="504">
        <v>49</v>
      </c>
      <c r="O125" s="148">
        <f t="shared" si="18"/>
        <v>0</v>
      </c>
      <c r="P125" s="57">
        <f t="shared" si="19"/>
        <v>0</v>
      </c>
      <c r="Q125" s="57">
        <f t="shared" si="15"/>
        <v>0</v>
      </c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</row>
    <row r="126" spans="2:30" ht="11.25" customHeight="1" x14ac:dyDescent="0.45">
      <c r="B126" s="219">
        <v>4489357190</v>
      </c>
      <c r="C126" s="220" t="s">
        <v>309</v>
      </c>
      <c r="D126" s="219">
        <v>1</v>
      </c>
      <c r="E126" s="219">
        <v>84</v>
      </c>
      <c r="F126" s="57"/>
      <c r="G126" s="57"/>
      <c r="H126" s="57">
        <f>(G74/(0.03*200)/12000)</f>
        <v>0</v>
      </c>
      <c r="I126" s="60">
        <f>30*BC!$B$47/E126</f>
        <v>0</v>
      </c>
      <c r="J126" s="57">
        <f t="shared" si="12"/>
        <v>0</v>
      </c>
      <c r="K126" s="60">
        <f t="shared" si="13"/>
        <v>0</v>
      </c>
      <c r="L126" s="57">
        <f>IF(F74&gt;0,K126,0)</f>
        <v>0</v>
      </c>
      <c r="M126" s="148">
        <f t="shared" si="14"/>
        <v>14</v>
      </c>
      <c r="N126" s="504">
        <v>14</v>
      </c>
      <c r="O126" s="148">
        <f t="shared" si="18"/>
        <v>0</v>
      </c>
      <c r="P126" s="57">
        <f t="shared" si="19"/>
        <v>0</v>
      </c>
      <c r="Q126" s="57">
        <f t="shared" si="15"/>
        <v>0</v>
      </c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7"/>
    </row>
    <row r="127" spans="2:30" ht="11.25" customHeight="1" x14ac:dyDescent="0.45">
      <c r="B127" s="219">
        <v>4489241190</v>
      </c>
      <c r="C127" s="220" t="s">
        <v>310</v>
      </c>
      <c r="D127" s="219">
        <v>1</v>
      </c>
      <c r="E127" s="219">
        <v>84</v>
      </c>
      <c r="F127" s="57"/>
      <c r="G127" s="57"/>
      <c r="H127" s="57">
        <f>(G74/(0.0003*800)/12000)</f>
        <v>0</v>
      </c>
      <c r="I127" s="60">
        <f>30*BC!$B$47/E127</f>
        <v>0</v>
      </c>
      <c r="J127" s="57">
        <f t="shared" si="12"/>
        <v>0</v>
      </c>
      <c r="K127" s="60">
        <f t="shared" si="13"/>
        <v>0</v>
      </c>
      <c r="L127" s="57">
        <f>IF(F74&gt;0,K127,0)</f>
        <v>0</v>
      </c>
      <c r="M127" s="148">
        <f t="shared" si="14"/>
        <v>5</v>
      </c>
      <c r="N127" s="504">
        <v>5</v>
      </c>
      <c r="O127" s="148">
        <f t="shared" si="18"/>
        <v>0</v>
      </c>
      <c r="P127" s="57">
        <f t="shared" si="19"/>
        <v>0</v>
      </c>
      <c r="Q127" s="57">
        <f t="shared" si="15"/>
        <v>0</v>
      </c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</row>
    <row r="128" spans="2:30" ht="11.25" customHeight="1" x14ac:dyDescent="0.45">
      <c r="B128" s="219">
        <v>4489225190</v>
      </c>
      <c r="C128" s="220" t="s">
        <v>311</v>
      </c>
      <c r="D128" s="219">
        <v>1</v>
      </c>
      <c r="E128" s="219">
        <v>84</v>
      </c>
      <c r="F128" s="69"/>
      <c r="G128" s="57"/>
      <c r="H128" s="57">
        <f>(G74/(0.04*300)/12000)</f>
        <v>0</v>
      </c>
      <c r="I128" s="60">
        <f>30*BC!$B$47/E128</f>
        <v>0</v>
      </c>
      <c r="J128" s="57">
        <f>IF(H128&gt;I128,H128,I128)</f>
        <v>0</v>
      </c>
      <c r="K128" s="60">
        <f>ROUNDUP(J128,0)</f>
        <v>0</v>
      </c>
      <c r="L128" s="57">
        <f>IF(F74&gt;0,K128,0)</f>
        <v>0</v>
      </c>
      <c r="M128" s="148">
        <f t="shared" si="14"/>
        <v>7</v>
      </c>
      <c r="N128" s="504">
        <v>7</v>
      </c>
      <c r="O128" s="148">
        <f t="shared" si="18"/>
        <v>0</v>
      </c>
      <c r="P128" s="696">
        <f t="shared" si="19"/>
        <v>0</v>
      </c>
      <c r="Q128" s="57">
        <f>ROUNDUP(P128,0)</f>
        <v>0</v>
      </c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</row>
    <row r="129" spans="2:30" x14ac:dyDescent="0.45">
      <c r="B129" s="539">
        <v>4516303001</v>
      </c>
      <c r="C129" s="542" t="s">
        <v>1162</v>
      </c>
      <c r="D129" s="539">
        <v>1</v>
      </c>
      <c r="E129" s="539">
        <v>365</v>
      </c>
      <c r="F129" s="898"/>
      <c r="G129" s="898"/>
      <c r="H129" s="57">
        <f t="shared" ref="H129:H134" si="20">(G75/(0.04*300)/12000)</f>
        <v>0</v>
      </c>
      <c r="I129" s="60">
        <f>30*BC!$B$47/E129</f>
        <v>0</v>
      </c>
      <c r="J129" s="57">
        <f t="shared" ref="J129:J134" si="21">IF(H129&gt;I129,H129,I129)</f>
        <v>0</v>
      </c>
      <c r="K129" s="60">
        <f t="shared" ref="K129:K134" si="22">ROUNDUP(J129,0)</f>
        <v>0</v>
      </c>
      <c r="L129" s="57">
        <f t="shared" ref="L129:L134" si="23">IF(F75&gt;0,K129,0)</f>
        <v>0</v>
      </c>
      <c r="M129" s="148">
        <f t="shared" ref="M129:M134" si="24">N129/D129</f>
        <v>859</v>
      </c>
      <c r="N129" s="504">
        <v>859</v>
      </c>
      <c r="O129" s="148">
        <f t="shared" ref="O129:O134" si="25">M129*L129</f>
        <v>0</v>
      </c>
      <c r="P129" s="696">
        <f t="shared" ref="P129:P134" si="26">L129/D129</f>
        <v>0</v>
      </c>
      <c r="Q129" s="57">
        <f t="shared" ref="Q129:Q134" si="27">ROUNDUP(P129,0)</f>
        <v>0</v>
      </c>
      <c r="R129" s="97"/>
      <c r="S129" s="97"/>
      <c r="T129" s="97"/>
      <c r="U129" s="97"/>
      <c r="V129" s="97"/>
      <c r="W129" s="97"/>
      <c r="X129" s="97"/>
      <c r="Y129" s="97"/>
      <c r="Z129" s="97"/>
    </row>
    <row r="130" spans="2:30" x14ac:dyDescent="0.45">
      <c r="B130" s="539" t="s">
        <v>1163</v>
      </c>
      <c r="C130" s="542" t="s">
        <v>1164</v>
      </c>
      <c r="D130" s="539">
        <v>1</v>
      </c>
      <c r="E130" s="539">
        <v>365</v>
      </c>
      <c r="F130" s="898"/>
      <c r="G130" s="898"/>
      <c r="H130" s="57">
        <f t="shared" si="20"/>
        <v>0</v>
      </c>
      <c r="I130" s="60">
        <f>30*BC!$B$47/E130</f>
        <v>0</v>
      </c>
      <c r="J130" s="57">
        <f t="shared" si="21"/>
        <v>0</v>
      </c>
      <c r="K130" s="60">
        <f t="shared" si="22"/>
        <v>0</v>
      </c>
      <c r="L130" s="57">
        <f t="shared" si="23"/>
        <v>0</v>
      </c>
      <c r="M130" s="148">
        <f t="shared" si="24"/>
        <v>50</v>
      </c>
      <c r="N130" s="504">
        <v>50</v>
      </c>
      <c r="O130" s="148">
        <f t="shared" si="25"/>
        <v>0</v>
      </c>
      <c r="P130" s="696">
        <f t="shared" si="26"/>
        <v>0</v>
      </c>
      <c r="Q130" s="57">
        <f t="shared" si="27"/>
        <v>0</v>
      </c>
      <c r="R130" s="97"/>
      <c r="S130" s="97"/>
      <c r="T130" s="97"/>
      <c r="U130" s="97"/>
      <c r="V130" s="97"/>
      <c r="W130" s="97"/>
      <c r="X130" s="97"/>
      <c r="Y130" s="97"/>
      <c r="Z130" s="97"/>
    </row>
    <row r="131" spans="2:30" x14ac:dyDescent="0.45">
      <c r="B131" s="539">
        <v>4516265001</v>
      </c>
      <c r="C131" s="542" t="s">
        <v>304</v>
      </c>
      <c r="D131" s="539">
        <v>1</v>
      </c>
      <c r="E131" s="539">
        <v>365</v>
      </c>
      <c r="F131" s="898"/>
      <c r="G131" s="898"/>
      <c r="H131" s="57">
        <f t="shared" si="20"/>
        <v>0</v>
      </c>
      <c r="I131" s="60">
        <f>30*BC!$B$47/E131</f>
        <v>0</v>
      </c>
      <c r="J131" s="57">
        <f t="shared" si="21"/>
        <v>0</v>
      </c>
      <c r="K131" s="60">
        <f t="shared" si="22"/>
        <v>0</v>
      </c>
      <c r="L131" s="57">
        <f t="shared" si="23"/>
        <v>0</v>
      </c>
      <c r="M131" s="148">
        <f t="shared" si="24"/>
        <v>61</v>
      </c>
      <c r="N131" s="504">
        <v>61</v>
      </c>
      <c r="O131" s="148">
        <f t="shared" si="25"/>
        <v>0</v>
      </c>
      <c r="P131" s="696">
        <f t="shared" si="26"/>
        <v>0</v>
      </c>
      <c r="Q131" s="57">
        <f t="shared" si="27"/>
        <v>0</v>
      </c>
      <c r="R131" s="97"/>
      <c r="S131" s="97"/>
      <c r="T131" s="97"/>
      <c r="U131" s="97"/>
      <c r="V131" s="97"/>
      <c r="W131" s="97"/>
      <c r="X131" s="97"/>
      <c r="Y131" s="97"/>
      <c r="Z131" s="97"/>
    </row>
    <row r="132" spans="2:30" x14ac:dyDescent="0.45">
      <c r="B132" s="539">
        <v>4516273001</v>
      </c>
      <c r="C132" s="542" t="s">
        <v>303</v>
      </c>
      <c r="D132" s="539">
        <v>1</v>
      </c>
      <c r="E132" s="539">
        <v>365</v>
      </c>
      <c r="F132" s="898"/>
      <c r="G132" s="898"/>
      <c r="H132" s="57">
        <f t="shared" si="20"/>
        <v>0</v>
      </c>
      <c r="I132" s="60">
        <f>30*BC!$B$47/E132</f>
        <v>0</v>
      </c>
      <c r="J132" s="57">
        <f t="shared" si="21"/>
        <v>0</v>
      </c>
      <c r="K132" s="60">
        <f t="shared" si="22"/>
        <v>0</v>
      </c>
      <c r="L132" s="57">
        <f t="shared" si="23"/>
        <v>0</v>
      </c>
      <c r="M132" s="148">
        <f t="shared" si="24"/>
        <v>26</v>
      </c>
      <c r="N132" s="504">
        <v>26</v>
      </c>
      <c r="O132" s="148">
        <f t="shared" si="25"/>
        <v>0</v>
      </c>
      <c r="P132" s="696">
        <f t="shared" si="26"/>
        <v>0</v>
      </c>
      <c r="Q132" s="57">
        <f t="shared" si="27"/>
        <v>0</v>
      </c>
      <c r="R132" s="97"/>
      <c r="S132" s="97"/>
      <c r="T132" s="97"/>
      <c r="U132" s="97"/>
      <c r="V132" s="97"/>
      <c r="W132" s="97"/>
      <c r="X132" s="97"/>
      <c r="Y132" s="97"/>
      <c r="Z132" s="97"/>
    </row>
    <row r="133" spans="2:30" x14ac:dyDescent="0.45">
      <c r="B133" s="539">
        <v>4554124001</v>
      </c>
      <c r="C133" s="542" t="s">
        <v>302</v>
      </c>
      <c r="D133" s="539">
        <v>1</v>
      </c>
      <c r="E133" s="539">
        <v>365</v>
      </c>
      <c r="F133" s="898"/>
      <c r="G133" s="898"/>
      <c r="H133" s="57">
        <f t="shared" si="20"/>
        <v>0</v>
      </c>
      <c r="I133" s="60">
        <f>30*BC!$B$47/E133</f>
        <v>0</v>
      </c>
      <c r="J133" s="57">
        <f t="shared" si="21"/>
        <v>0</v>
      </c>
      <c r="K133" s="60">
        <f t="shared" si="22"/>
        <v>0</v>
      </c>
      <c r="L133" s="57">
        <f t="shared" si="23"/>
        <v>0</v>
      </c>
      <c r="M133" s="148">
        <f t="shared" si="24"/>
        <v>178</v>
      </c>
      <c r="N133" s="504">
        <v>178</v>
      </c>
      <c r="O133" s="148">
        <f t="shared" si="25"/>
        <v>0</v>
      </c>
      <c r="P133" s="696">
        <f t="shared" si="26"/>
        <v>0</v>
      </c>
      <c r="Q133" s="57">
        <f t="shared" si="27"/>
        <v>0</v>
      </c>
      <c r="R133" s="97"/>
      <c r="S133" s="97"/>
      <c r="T133" s="97"/>
      <c r="U133" s="97"/>
      <c r="V133" s="97"/>
      <c r="W133" s="97"/>
      <c r="X133" s="97"/>
      <c r="Y133" s="97"/>
      <c r="Z133" s="97"/>
    </row>
    <row r="134" spans="2:30" x14ac:dyDescent="0.45">
      <c r="B134" s="539" t="s">
        <v>1165</v>
      </c>
      <c r="C134" s="542" t="s">
        <v>1166</v>
      </c>
      <c r="D134" s="539">
        <v>1</v>
      </c>
      <c r="E134" s="539">
        <v>365</v>
      </c>
      <c r="F134" s="898"/>
      <c r="G134" s="898"/>
      <c r="H134" s="57">
        <f t="shared" si="20"/>
        <v>0</v>
      </c>
      <c r="I134" s="60">
        <f>30*BC!$B$47/E134</f>
        <v>0</v>
      </c>
      <c r="J134" s="57">
        <f t="shared" si="21"/>
        <v>0</v>
      </c>
      <c r="K134" s="60">
        <f t="shared" si="22"/>
        <v>0</v>
      </c>
      <c r="L134" s="57">
        <f t="shared" si="23"/>
        <v>0</v>
      </c>
      <c r="M134" s="148">
        <f t="shared" si="24"/>
        <v>13</v>
      </c>
      <c r="N134" s="504">
        <v>13</v>
      </c>
      <c r="O134" s="148">
        <f t="shared" si="25"/>
        <v>0</v>
      </c>
      <c r="P134" s="696">
        <f t="shared" si="26"/>
        <v>0</v>
      </c>
      <c r="Q134" s="57">
        <f t="shared" si="27"/>
        <v>0</v>
      </c>
      <c r="R134" s="97"/>
      <c r="S134" s="97"/>
      <c r="T134" s="97"/>
      <c r="U134" s="97"/>
      <c r="V134" s="97"/>
      <c r="W134" s="97"/>
      <c r="X134" s="97"/>
      <c r="Y134" s="97"/>
      <c r="Z134" s="97"/>
    </row>
    <row r="135" spans="2:30" s="266" customFormat="1" ht="10.5" x14ac:dyDescent="0.35">
      <c r="B135" s="56"/>
      <c r="C135" s="55" t="s">
        <v>177</v>
      </c>
      <c r="D135" s="57">
        <v>1</v>
      </c>
      <c r="E135" s="58"/>
      <c r="F135" s="57"/>
      <c r="G135" s="57"/>
      <c r="H135" s="57"/>
      <c r="I135" s="57"/>
      <c r="J135" s="57"/>
      <c r="K135" s="160"/>
      <c r="L135" s="160">
        <f>BCB47</f>
        <v>0</v>
      </c>
      <c r="M135" s="148">
        <f t="shared" si="14"/>
        <v>1290</v>
      </c>
      <c r="N135" s="267">
        <v>1290</v>
      </c>
      <c r="O135" s="267">
        <f t="shared" si="18"/>
        <v>0</v>
      </c>
      <c r="P135" s="72"/>
    </row>
    <row r="136" spans="2:30" ht="11.25" customHeight="1" x14ac:dyDescent="0.45">
      <c r="B136" s="97"/>
      <c r="C136" s="97"/>
      <c r="D136" s="97"/>
      <c r="E136" s="97"/>
      <c r="N136" s="250"/>
      <c r="O136" s="697">
        <f>SUM(O76:O135)</f>
        <v>0</v>
      </c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</row>
    <row r="137" spans="2:30" ht="11.25" customHeight="1" x14ac:dyDescent="0.45">
      <c r="B137" s="97"/>
      <c r="C137" s="97"/>
      <c r="D137" s="97"/>
      <c r="E137" s="97"/>
      <c r="N137" s="250"/>
      <c r="O137" s="148">
        <f>F74</f>
        <v>0</v>
      </c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</row>
    <row r="138" spans="2:30" ht="11.25" customHeight="1" x14ac:dyDescent="0.45">
      <c r="B138" s="97"/>
      <c r="C138" s="97"/>
      <c r="D138" s="97"/>
      <c r="E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</row>
    <row r="139" spans="2:30" ht="11.25" customHeight="1" x14ac:dyDescent="0.45">
      <c r="B139" s="97"/>
      <c r="C139" s="97"/>
      <c r="D139" s="97"/>
      <c r="E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</row>
    <row r="140" spans="2:30" ht="21" x14ac:dyDescent="0.45">
      <c r="B140" s="910" t="s">
        <v>831</v>
      </c>
      <c r="C140" s="911"/>
      <c r="D140" s="428" t="s">
        <v>183</v>
      </c>
      <c r="E140" s="417" t="s">
        <v>54</v>
      </c>
      <c r="F140" s="420" t="s">
        <v>193</v>
      </c>
      <c r="G140" s="420" t="s">
        <v>175</v>
      </c>
      <c r="H140" s="419" t="s">
        <v>53</v>
      </c>
      <c r="I140" s="435" t="s">
        <v>52</v>
      </c>
      <c r="J140" s="420" t="s">
        <v>51</v>
      </c>
      <c r="K140" s="436"/>
      <c r="L140" s="437" t="s">
        <v>166</v>
      </c>
      <c r="M140" s="437" t="s">
        <v>167</v>
      </c>
      <c r="N140" s="437" t="s">
        <v>168</v>
      </c>
      <c r="O140" s="437" t="s">
        <v>318</v>
      </c>
      <c r="P140" s="437" t="s">
        <v>319</v>
      </c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</row>
    <row r="141" spans="2:30" ht="11.25" customHeight="1" x14ac:dyDescent="0.45">
      <c r="B141" s="220">
        <v>11183974216</v>
      </c>
      <c r="C141" s="220" t="s">
        <v>818</v>
      </c>
      <c r="D141" s="219">
        <v>10</v>
      </c>
      <c r="E141" s="219">
        <v>1</v>
      </c>
      <c r="F141" s="724">
        <f>'c311'!C131</f>
        <v>1</v>
      </c>
      <c r="G141" s="694">
        <f>((F141*0.2)+F141)</f>
        <v>1.2</v>
      </c>
      <c r="H141" s="219">
        <f>30*BC!B47/E141</f>
        <v>0</v>
      </c>
      <c r="I141" s="57">
        <f>30*BC!$B$47/E141</f>
        <v>0</v>
      </c>
      <c r="J141" s="57">
        <f t="shared" ref="J141:J151" si="28">IF(H141&gt;I141,H141,I141)</f>
        <v>0</v>
      </c>
      <c r="K141" s="60">
        <f t="shared" ref="K141:K151" si="29">ROUNDUP(J141,0)</f>
        <v>0</v>
      </c>
      <c r="L141" s="57">
        <f>IF(F141&gt;0,K141,0)</f>
        <v>0</v>
      </c>
      <c r="M141" s="148">
        <v>6.1</v>
      </c>
      <c r="N141" s="148">
        <f t="shared" ref="N141:N151" si="30">M141*L141</f>
        <v>0</v>
      </c>
      <c r="O141" s="57">
        <f t="shared" ref="O141:O151" si="31">L141/D141</f>
        <v>0</v>
      </c>
      <c r="P141" s="57">
        <f t="shared" ref="P141:P151" si="32">ROUNDUP(O141,0)</f>
        <v>0</v>
      </c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</row>
    <row r="142" spans="2:30" ht="11.25" customHeight="1" x14ac:dyDescent="0.45">
      <c r="B142" s="220">
        <v>11183982216</v>
      </c>
      <c r="C142" s="220" t="s">
        <v>819</v>
      </c>
      <c r="D142" s="219">
        <v>10</v>
      </c>
      <c r="E142" s="219">
        <v>1</v>
      </c>
      <c r="F142" s="723"/>
      <c r="G142" s="694"/>
      <c r="H142" s="219">
        <f>30*BC!B47/E142</f>
        <v>0</v>
      </c>
      <c r="I142" s="57">
        <f>30*BC!$B$47/E142</f>
        <v>0</v>
      </c>
      <c r="J142" s="57">
        <f t="shared" si="28"/>
        <v>0</v>
      </c>
      <c r="K142" s="60">
        <f t="shared" si="29"/>
        <v>0</v>
      </c>
      <c r="L142" s="57">
        <f>IF(F141&gt;0,K142,0)</f>
        <v>0</v>
      </c>
      <c r="M142" s="148">
        <v>6.1</v>
      </c>
      <c r="N142" s="148">
        <f t="shared" si="30"/>
        <v>0</v>
      </c>
      <c r="O142" s="57">
        <f t="shared" si="31"/>
        <v>0</v>
      </c>
      <c r="P142" s="57">
        <f t="shared" si="32"/>
        <v>0</v>
      </c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</row>
    <row r="143" spans="2:30" ht="11.25" customHeight="1" x14ac:dyDescent="0.45">
      <c r="B143" s="220">
        <v>11298500316</v>
      </c>
      <c r="C143" s="220" t="s">
        <v>820</v>
      </c>
      <c r="D143" s="219">
        <v>5</v>
      </c>
      <c r="E143" s="219">
        <v>74</v>
      </c>
      <c r="F143" s="723"/>
      <c r="G143" s="694"/>
      <c r="H143" s="219">
        <f>(G141/(0.02*500)/100)</f>
        <v>1.1999999999999999E-3</v>
      </c>
      <c r="I143" s="57">
        <f>30*BC!$B$47/E143</f>
        <v>0</v>
      </c>
      <c r="J143" s="57">
        <f t="shared" si="28"/>
        <v>1.1999999999999999E-3</v>
      </c>
      <c r="K143" s="60">
        <f t="shared" si="29"/>
        <v>1</v>
      </c>
      <c r="L143" s="57">
        <f>IF(F141&gt;0,K143,0)</f>
        <v>1</v>
      </c>
      <c r="M143" s="148">
        <v>19.600000000000001</v>
      </c>
      <c r="N143" s="148">
        <f t="shared" si="30"/>
        <v>19.600000000000001</v>
      </c>
      <c r="O143" s="57">
        <f t="shared" si="31"/>
        <v>0.2</v>
      </c>
      <c r="P143" s="57">
        <f t="shared" si="32"/>
        <v>1</v>
      </c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</row>
    <row r="144" spans="2:30" ht="11.25" customHeight="1" x14ac:dyDescent="0.45">
      <c r="B144" s="220">
        <v>4663632190</v>
      </c>
      <c r="C144" s="220" t="s">
        <v>821</v>
      </c>
      <c r="D144" s="219">
        <v>9</v>
      </c>
      <c r="E144" s="219">
        <v>12</v>
      </c>
      <c r="F144" s="723"/>
      <c r="G144" s="694"/>
      <c r="H144" s="219">
        <f>30*BC!B47/E144</f>
        <v>0</v>
      </c>
      <c r="I144" s="57">
        <f>30*BC!$B$47/E144</f>
        <v>0</v>
      </c>
      <c r="J144" s="57">
        <f t="shared" si="28"/>
        <v>0</v>
      </c>
      <c r="K144" s="60">
        <f t="shared" si="29"/>
        <v>0</v>
      </c>
      <c r="L144" s="57">
        <f>IF(F141&gt;0,K144,0)</f>
        <v>0</v>
      </c>
      <c r="M144" s="148">
        <v>19.23</v>
      </c>
      <c r="N144" s="148">
        <f t="shared" si="30"/>
        <v>0</v>
      </c>
      <c r="O144" s="57">
        <f t="shared" si="31"/>
        <v>0</v>
      </c>
      <c r="P144" s="57">
        <f t="shared" si="32"/>
        <v>0</v>
      </c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7"/>
    </row>
    <row r="145" spans="2:30" ht="11.25" customHeight="1" x14ac:dyDescent="0.45">
      <c r="B145" s="220">
        <v>4522630190</v>
      </c>
      <c r="C145" s="220" t="s">
        <v>834</v>
      </c>
      <c r="D145" s="219">
        <v>5</v>
      </c>
      <c r="E145" s="219">
        <v>14</v>
      </c>
      <c r="F145" s="723"/>
      <c r="G145" s="694"/>
      <c r="H145" s="219">
        <f>(G141/(0.015*110)/100)</f>
        <v>7.2727272727272727E-3</v>
      </c>
      <c r="I145" s="57">
        <f>30*BC!$B$47/E145</f>
        <v>0</v>
      </c>
      <c r="J145" s="57">
        <f t="shared" si="28"/>
        <v>7.2727272727272727E-3</v>
      </c>
      <c r="K145" s="60">
        <f t="shared" si="29"/>
        <v>1</v>
      </c>
      <c r="L145" s="57">
        <f>IF(F141&gt;0,K145,0)</f>
        <v>1</v>
      </c>
      <c r="M145" s="148">
        <v>36.200000000000003</v>
      </c>
      <c r="N145" s="148">
        <f t="shared" si="30"/>
        <v>36.200000000000003</v>
      </c>
      <c r="O145" s="57">
        <f t="shared" si="31"/>
        <v>0.2</v>
      </c>
      <c r="P145" s="57">
        <f t="shared" si="32"/>
        <v>1</v>
      </c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</row>
    <row r="146" spans="2:30" ht="11.25" customHeight="1" x14ac:dyDescent="0.45">
      <c r="B146" s="220">
        <v>4522320190</v>
      </c>
      <c r="C146" s="55" t="s">
        <v>833</v>
      </c>
      <c r="D146" s="219">
        <v>5</v>
      </c>
      <c r="E146" s="219">
        <v>14</v>
      </c>
      <c r="F146" s="723"/>
      <c r="G146" s="694"/>
      <c r="H146" s="219">
        <f>(G141/(0.01*40)/100)</f>
        <v>2.9999999999999995E-2</v>
      </c>
      <c r="I146" s="57">
        <f>30*BC!$B$47/E146</f>
        <v>0</v>
      </c>
      <c r="J146" s="57">
        <f t="shared" si="28"/>
        <v>2.9999999999999995E-2</v>
      </c>
      <c r="K146" s="60">
        <f t="shared" si="29"/>
        <v>1</v>
      </c>
      <c r="L146" s="57">
        <f>IF(F141&gt;0,K146,0)</f>
        <v>1</v>
      </c>
      <c r="M146" s="148">
        <v>66.2</v>
      </c>
      <c r="N146" s="148">
        <f t="shared" si="30"/>
        <v>66.2</v>
      </c>
      <c r="O146" s="57">
        <f t="shared" si="31"/>
        <v>0.2</v>
      </c>
      <c r="P146" s="57">
        <f t="shared" si="32"/>
        <v>1</v>
      </c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</row>
    <row r="147" spans="2:30" ht="11.25" customHeight="1" x14ac:dyDescent="0.45">
      <c r="B147" s="220">
        <v>11360981216</v>
      </c>
      <c r="C147" s="220" t="s">
        <v>832</v>
      </c>
      <c r="D147" s="219">
        <v>5</v>
      </c>
      <c r="E147" s="219">
        <v>28</v>
      </c>
      <c r="F147" s="723"/>
      <c r="G147" s="694"/>
      <c r="H147" s="219">
        <f>(G141/(0.02*50)/100)</f>
        <v>1.2E-2</v>
      </c>
      <c r="I147" s="57">
        <f>30*BC!$B$47/E147</f>
        <v>0</v>
      </c>
      <c r="J147" s="57">
        <f t="shared" si="28"/>
        <v>1.2E-2</v>
      </c>
      <c r="K147" s="60">
        <f t="shared" si="29"/>
        <v>1</v>
      </c>
      <c r="L147" s="57">
        <f>IF(F141&gt;0,K147,0)</f>
        <v>1</v>
      </c>
      <c r="M147" s="148">
        <v>51.6</v>
      </c>
      <c r="N147" s="148">
        <f t="shared" si="30"/>
        <v>51.6</v>
      </c>
      <c r="O147" s="57">
        <f t="shared" si="31"/>
        <v>0.2</v>
      </c>
      <c r="P147" s="57">
        <f t="shared" si="32"/>
        <v>1</v>
      </c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</row>
    <row r="148" spans="2:30" ht="11.25" customHeight="1" x14ac:dyDescent="0.45">
      <c r="B148" s="220">
        <v>3149501001</v>
      </c>
      <c r="C148" s="220" t="s">
        <v>827</v>
      </c>
      <c r="D148" s="219">
        <v>1</v>
      </c>
      <c r="E148" s="219">
        <v>168</v>
      </c>
      <c r="F148" s="723"/>
      <c r="G148" s="694"/>
      <c r="H148" s="57">
        <f>30*BC!$B$47/E148</f>
        <v>0</v>
      </c>
      <c r="I148" s="57">
        <f>30*BC!$B$47/E148</f>
        <v>0</v>
      </c>
      <c r="J148" s="57">
        <f t="shared" si="28"/>
        <v>0</v>
      </c>
      <c r="K148" s="60">
        <f t="shared" si="29"/>
        <v>0</v>
      </c>
      <c r="L148" s="57">
        <f>IF(F141&gt;0,K148,0)</f>
        <v>0</v>
      </c>
      <c r="M148" s="148">
        <v>755</v>
      </c>
      <c r="N148" s="148">
        <f t="shared" si="30"/>
        <v>0</v>
      </c>
      <c r="O148" s="57">
        <f t="shared" si="31"/>
        <v>0</v>
      </c>
      <c r="P148" s="57">
        <f t="shared" si="32"/>
        <v>0</v>
      </c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7"/>
    </row>
    <row r="149" spans="2:30" ht="11.25" customHeight="1" x14ac:dyDescent="0.45">
      <c r="B149" s="220">
        <v>10825468001</v>
      </c>
      <c r="C149" s="220" t="s">
        <v>828</v>
      </c>
      <c r="D149" s="219">
        <v>1</v>
      </c>
      <c r="E149" s="219">
        <v>56</v>
      </c>
      <c r="F149" s="723"/>
      <c r="G149" s="694"/>
      <c r="H149" s="57">
        <f>30*BC!$B$47/E149</f>
        <v>0</v>
      </c>
      <c r="I149" s="57">
        <f>30*BC!$B$47/E149</f>
        <v>0</v>
      </c>
      <c r="J149" s="57">
        <f t="shared" si="28"/>
        <v>0</v>
      </c>
      <c r="K149" s="60">
        <f t="shared" si="29"/>
        <v>0</v>
      </c>
      <c r="L149" s="57">
        <f>IF(F141&gt;0,K149,0)</f>
        <v>0</v>
      </c>
      <c r="M149" s="148">
        <v>812</v>
      </c>
      <c r="N149" s="148">
        <f t="shared" si="30"/>
        <v>0</v>
      </c>
      <c r="O149" s="57">
        <f t="shared" si="31"/>
        <v>0</v>
      </c>
      <c r="P149" s="57">
        <f t="shared" si="32"/>
        <v>0</v>
      </c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</row>
    <row r="150" spans="2:30" ht="11.25" customHeight="1" x14ac:dyDescent="0.45">
      <c r="B150" s="220">
        <v>10825441001</v>
      </c>
      <c r="C150" s="220" t="s">
        <v>829</v>
      </c>
      <c r="D150" s="219">
        <v>1</v>
      </c>
      <c r="E150" s="219">
        <v>56</v>
      </c>
      <c r="F150" s="723"/>
      <c r="G150" s="694"/>
      <c r="H150" s="57">
        <f>30*BC!$B$47/E150</f>
        <v>0</v>
      </c>
      <c r="I150" s="57">
        <f>30*BC!$B$47/E150</f>
        <v>0</v>
      </c>
      <c r="J150" s="57">
        <f t="shared" si="28"/>
        <v>0</v>
      </c>
      <c r="K150" s="60">
        <f t="shared" si="29"/>
        <v>0</v>
      </c>
      <c r="L150" s="57">
        <f>IF(F141&gt;0,K150,0)</f>
        <v>0</v>
      </c>
      <c r="M150" s="148">
        <v>812</v>
      </c>
      <c r="N150" s="148">
        <f t="shared" si="30"/>
        <v>0</v>
      </c>
      <c r="O150" s="57">
        <f t="shared" si="31"/>
        <v>0</v>
      </c>
      <c r="P150" s="57">
        <f t="shared" si="32"/>
        <v>0</v>
      </c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7"/>
    </row>
    <row r="151" spans="2:30" ht="11.25" customHeight="1" x14ac:dyDescent="0.45">
      <c r="B151" s="220">
        <v>3246353001</v>
      </c>
      <c r="C151" s="220" t="s">
        <v>830</v>
      </c>
      <c r="D151" s="219">
        <v>1</v>
      </c>
      <c r="E151" s="219">
        <v>56</v>
      </c>
      <c r="F151" s="723"/>
      <c r="G151" s="694"/>
      <c r="H151" s="57">
        <f>30*BC!$B$47/E151</f>
        <v>0</v>
      </c>
      <c r="I151" s="57">
        <f>30*BC!$B$47/E151</f>
        <v>0</v>
      </c>
      <c r="J151" s="57">
        <f t="shared" si="28"/>
        <v>0</v>
      </c>
      <c r="K151" s="60">
        <f t="shared" si="29"/>
        <v>0</v>
      </c>
      <c r="L151" s="57">
        <f>IF(F141&gt;0,K151,0)</f>
        <v>0</v>
      </c>
      <c r="M151" s="148">
        <v>1135</v>
      </c>
      <c r="N151" s="148">
        <f t="shared" si="30"/>
        <v>0</v>
      </c>
      <c r="O151" s="57">
        <f t="shared" si="31"/>
        <v>0</v>
      </c>
      <c r="P151" s="57">
        <f t="shared" si="32"/>
        <v>0</v>
      </c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7"/>
    </row>
    <row r="152" spans="2:30" ht="11.25" customHeight="1" x14ac:dyDescent="0.45">
      <c r="B152" s="97"/>
      <c r="C152" s="97"/>
      <c r="D152" s="97"/>
      <c r="E152" s="97"/>
      <c r="M152" s="438" t="s">
        <v>48</v>
      </c>
      <c r="N152" s="221">
        <f>SUM(N141:N151)</f>
        <v>173.6</v>
      </c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  <c r="AD152" s="97"/>
    </row>
    <row r="153" spans="2:30" ht="11.25" customHeight="1" x14ac:dyDescent="0.45">
      <c r="B153" s="97"/>
      <c r="C153" s="97"/>
      <c r="D153" s="97"/>
      <c r="E153" s="97"/>
      <c r="M153" s="438" t="s">
        <v>835</v>
      </c>
      <c r="N153" s="221">
        <f>N152/F141</f>
        <v>173.6</v>
      </c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</row>
    <row r="154" spans="2:30" ht="11.25" customHeight="1" x14ac:dyDescent="0.45">
      <c r="B154" s="97"/>
      <c r="C154" s="97"/>
      <c r="D154" s="97"/>
      <c r="E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7"/>
    </row>
    <row r="155" spans="2:30" ht="11.25" customHeight="1" x14ac:dyDescent="0.45">
      <c r="B155" s="97"/>
      <c r="C155" s="97"/>
      <c r="D155" s="97"/>
      <c r="E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</row>
    <row r="156" spans="2:30" ht="11.25" customHeight="1" x14ac:dyDescent="0.45">
      <c r="B156" s="97"/>
      <c r="C156" s="97"/>
      <c r="D156" s="97"/>
      <c r="E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D156" s="97"/>
    </row>
    <row r="157" spans="2:30" ht="11.25" customHeight="1" x14ac:dyDescent="0.45">
      <c r="B157" s="97"/>
      <c r="C157" s="97"/>
      <c r="D157" s="97"/>
      <c r="E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7"/>
    </row>
    <row r="158" spans="2:30" ht="11.25" customHeight="1" x14ac:dyDescent="0.45">
      <c r="B158" s="97"/>
      <c r="C158" s="97"/>
      <c r="D158" s="97"/>
      <c r="E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  <c r="AD158" s="97"/>
    </row>
    <row r="159" spans="2:30" ht="11.25" customHeight="1" x14ac:dyDescent="0.45">
      <c r="B159" s="97"/>
      <c r="C159" s="97"/>
      <c r="D159" s="97"/>
      <c r="E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  <c r="AD159" s="97"/>
    </row>
    <row r="160" spans="2:30" ht="11.25" customHeight="1" x14ac:dyDescent="0.45">
      <c r="B160" s="97"/>
      <c r="C160" s="97"/>
      <c r="D160" s="97"/>
      <c r="E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  <c r="AD160" s="97"/>
    </row>
    <row r="161" spans="2:30" ht="11.25" customHeight="1" x14ac:dyDescent="0.45">
      <c r="B161" s="97"/>
      <c r="C161" s="97"/>
      <c r="D161" s="97"/>
      <c r="E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</row>
    <row r="162" spans="2:30" ht="11.25" customHeight="1" x14ac:dyDescent="0.45">
      <c r="B162" s="97"/>
      <c r="C162" s="97"/>
      <c r="D162" s="97"/>
      <c r="E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  <c r="AD162" s="97"/>
    </row>
    <row r="163" spans="2:30" ht="11.25" customHeight="1" x14ac:dyDescent="0.45">
      <c r="B163" s="97"/>
      <c r="C163" s="97"/>
      <c r="D163" s="97"/>
      <c r="E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</row>
    <row r="164" spans="2:30" ht="11.25" customHeight="1" x14ac:dyDescent="0.45">
      <c r="B164" s="97"/>
      <c r="C164" s="97"/>
      <c r="D164" s="97"/>
      <c r="E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  <c r="AD164" s="97"/>
    </row>
    <row r="165" spans="2:30" ht="11.25" customHeight="1" x14ac:dyDescent="0.45">
      <c r="B165" s="97"/>
      <c r="C165" s="97"/>
      <c r="D165" s="97"/>
      <c r="E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  <c r="AD165" s="97"/>
    </row>
    <row r="166" spans="2:30" ht="11.25" customHeight="1" x14ac:dyDescent="0.45">
      <c r="B166" s="97"/>
      <c r="C166" s="97"/>
      <c r="D166" s="97"/>
      <c r="E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</row>
    <row r="167" spans="2:30" ht="11.25" customHeight="1" x14ac:dyDescent="0.45">
      <c r="B167" s="97"/>
      <c r="C167" s="97"/>
      <c r="D167" s="97"/>
      <c r="E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7"/>
    </row>
    <row r="168" spans="2:30" ht="11.25" customHeight="1" x14ac:dyDescent="0.45">
      <c r="B168" s="97"/>
      <c r="C168" s="97"/>
      <c r="D168" s="97"/>
      <c r="E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  <c r="AD168" s="97"/>
    </row>
    <row r="169" spans="2:30" ht="11.25" customHeight="1" x14ac:dyDescent="0.45">
      <c r="B169" s="97"/>
      <c r="C169" s="97"/>
      <c r="D169" s="97"/>
      <c r="E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</row>
    <row r="170" spans="2:30" ht="11.25" customHeight="1" x14ac:dyDescent="0.45">
      <c r="B170" s="97"/>
      <c r="C170" s="97"/>
      <c r="D170" s="97"/>
      <c r="E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  <c r="AD170" s="97"/>
    </row>
    <row r="171" spans="2:30" ht="11.25" customHeight="1" x14ac:dyDescent="0.45">
      <c r="B171" s="97"/>
      <c r="C171" s="97"/>
      <c r="D171" s="97"/>
      <c r="E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</row>
    <row r="172" spans="2:30" ht="11.25" customHeight="1" x14ac:dyDescent="0.45">
      <c r="B172" s="97"/>
      <c r="C172" s="97"/>
      <c r="D172" s="97"/>
      <c r="E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97"/>
      <c r="AD172" s="97"/>
    </row>
    <row r="173" spans="2:30" ht="11.25" customHeight="1" x14ac:dyDescent="0.45">
      <c r="B173" s="97"/>
      <c r="C173" s="97"/>
      <c r="D173" s="97"/>
      <c r="E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  <c r="AD173" s="97"/>
    </row>
    <row r="174" spans="2:30" ht="11.25" customHeight="1" x14ac:dyDescent="0.45">
      <c r="B174" s="97"/>
      <c r="C174" s="97"/>
      <c r="D174" s="97"/>
      <c r="E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  <c r="AC174" s="97"/>
      <c r="AD174" s="97"/>
    </row>
    <row r="175" spans="2:30" ht="11.25" customHeight="1" x14ac:dyDescent="0.45">
      <c r="B175" s="97"/>
      <c r="C175" s="97"/>
      <c r="D175" s="97"/>
      <c r="E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  <c r="AC175" s="97"/>
      <c r="AD175" s="97"/>
    </row>
    <row r="176" spans="2:30" ht="11.25" customHeight="1" x14ac:dyDescent="0.45">
      <c r="B176" s="97"/>
      <c r="C176" s="97"/>
      <c r="D176" s="97"/>
      <c r="E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  <c r="AC176" s="97"/>
      <c r="AD176" s="97"/>
    </row>
    <row r="177" spans="2:30" ht="11.25" customHeight="1" x14ac:dyDescent="0.45">
      <c r="B177" s="97"/>
      <c r="C177" s="97"/>
      <c r="D177" s="97"/>
      <c r="E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  <c r="AC177" s="97"/>
      <c r="AD177" s="97"/>
    </row>
    <row r="178" spans="2:30" ht="11.25" customHeight="1" x14ac:dyDescent="0.45">
      <c r="B178" s="97"/>
      <c r="C178" s="97"/>
      <c r="D178" s="97"/>
      <c r="E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97"/>
      <c r="AD178" s="97"/>
    </row>
    <row r="179" spans="2:30" ht="11.25" customHeight="1" x14ac:dyDescent="0.45">
      <c r="B179" s="97"/>
      <c r="C179" s="97"/>
      <c r="D179" s="97"/>
      <c r="E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  <c r="AB179" s="97"/>
      <c r="AC179" s="97"/>
      <c r="AD179" s="97"/>
    </row>
    <row r="180" spans="2:30" ht="11.25" customHeight="1" x14ac:dyDescent="0.45">
      <c r="B180" s="97"/>
      <c r="C180" s="97"/>
      <c r="D180" s="97"/>
      <c r="E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  <c r="AC180" s="97"/>
      <c r="AD180" s="97"/>
    </row>
    <row r="181" spans="2:30" ht="11.25" customHeight="1" x14ac:dyDescent="0.45">
      <c r="B181" s="97"/>
      <c r="C181" s="97"/>
      <c r="D181" s="97"/>
      <c r="E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97"/>
      <c r="AD181" s="97"/>
    </row>
    <row r="182" spans="2:30" ht="11.25" customHeight="1" x14ac:dyDescent="0.45">
      <c r="B182" s="97"/>
      <c r="C182" s="97"/>
      <c r="D182" s="97"/>
      <c r="E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</row>
    <row r="183" spans="2:30" ht="11.25" customHeight="1" x14ac:dyDescent="0.45">
      <c r="B183" s="97"/>
      <c r="C183" s="97"/>
      <c r="D183" s="97"/>
      <c r="E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</row>
    <row r="184" spans="2:30" ht="11.25" customHeight="1" x14ac:dyDescent="0.45">
      <c r="B184" s="97"/>
      <c r="C184" s="97"/>
      <c r="D184" s="97"/>
      <c r="E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97"/>
      <c r="AD184" s="97"/>
    </row>
    <row r="185" spans="2:30" ht="11.25" customHeight="1" x14ac:dyDescent="0.45">
      <c r="B185" s="97"/>
      <c r="C185" s="97"/>
      <c r="D185" s="97"/>
      <c r="E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97"/>
      <c r="AD185" s="97"/>
    </row>
    <row r="186" spans="2:30" ht="11.25" customHeight="1" x14ac:dyDescent="0.45">
      <c r="B186" s="97"/>
      <c r="C186" s="97"/>
      <c r="D186" s="97"/>
      <c r="E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97"/>
      <c r="AD186" s="97"/>
    </row>
    <row r="187" spans="2:30" ht="11.25" customHeight="1" x14ac:dyDescent="0.45">
      <c r="B187" s="97"/>
      <c r="C187" s="97"/>
      <c r="D187" s="97"/>
      <c r="E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  <c r="AC187" s="97"/>
      <c r="AD187" s="97"/>
    </row>
    <row r="188" spans="2:30" ht="11.25" customHeight="1" x14ac:dyDescent="0.45">
      <c r="B188" s="97"/>
      <c r="C188" s="97"/>
      <c r="D188" s="97"/>
      <c r="E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97"/>
      <c r="AD188" s="97"/>
    </row>
    <row r="189" spans="2:30" ht="11.25" customHeight="1" x14ac:dyDescent="0.45">
      <c r="B189" s="97"/>
      <c r="C189" s="97"/>
      <c r="D189" s="97"/>
      <c r="E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97"/>
      <c r="AD189" s="97"/>
    </row>
    <row r="190" spans="2:30" ht="11.25" customHeight="1" x14ac:dyDescent="0.45">
      <c r="B190" s="97"/>
      <c r="C190" s="97"/>
      <c r="D190" s="97"/>
      <c r="E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  <c r="AD190" s="97"/>
    </row>
    <row r="191" spans="2:30" ht="11.25" customHeight="1" x14ac:dyDescent="0.45">
      <c r="B191" s="97"/>
      <c r="C191" s="97"/>
      <c r="D191" s="97"/>
      <c r="E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  <c r="AD191" s="97"/>
    </row>
    <row r="192" spans="2:30" ht="11.25" customHeight="1" x14ac:dyDescent="0.45">
      <c r="B192" s="97"/>
      <c r="C192" s="97"/>
      <c r="D192" s="97"/>
      <c r="E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97"/>
      <c r="AD192" s="97"/>
    </row>
    <row r="193" spans="2:30" ht="11.25" customHeight="1" x14ac:dyDescent="0.45">
      <c r="B193" s="97"/>
      <c r="C193" s="97"/>
      <c r="D193" s="97"/>
      <c r="E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  <c r="AC193" s="97"/>
      <c r="AD193" s="97"/>
    </row>
    <row r="194" spans="2:30" ht="11.25" customHeight="1" x14ac:dyDescent="0.45">
      <c r="B194" s="97"/>
      <c r="C194" s="97"/>
      <c r="D194" s="97"/>
      <c r="E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97"/>
      <c r="AD194" s="97"/>
    </row>
    <row r="195" spans="2:30" ht="11.25" customHeight="1" x14ac:dyDescent="0.45">
      <c r="B195" s="97"/>
      <c r="C195" s="97"/>
      <c r="D195" s="97"/>
      <c r="E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  <c r="AC195" s="97"/>
      <c r="AD195" s="97"/>
    </row>
    <row r="196" spans="2:30" ht="11.25" customHeight="1" x14ac:dyDescent="0.45">
      <c r="B196" s="97"/>
      <c r="C196" s="97"/>
      <c r="D196" s="97"/>
      <c r="E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97"/>
      <c r="AD196" s="97"/>
    </row>
    <row r="197" spans="2:30" ht="11.25" customHeight="1" x14ac:dyDescent="0.45">
      <c r="B197" s="97"/>
      <c r="C197" s="97"/>
      <c r="D197" s="97"/>
      <c r="E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97"/>
      <c r="AD197" s="97"/>
    </row>
    <row r="198" spans="2:30" ht="11.25" customHeight="1" x14ac:dyDescent="0.45">
      <c r="B198" s="97"/>
      <c r="C198" s="97"/>
      <c r="D198" s="97"/>
      <c r="E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  <c r="AC198" s="97"/>
      <c r="AD198" s="97"/>
    </row>
    <row r="199" spans="2:30" ht="11.25" customHeight="1" x14ac:dyDescent="0.45">
      <c r="B199" s="97"/>
      <c r="C199" s="97"/>
      <c r="D199" s="97"/>
      <c r="E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  <c r="AC199" s="97"/>
      <c r="AD199" s="97"/>
    </row>
    <row r="200" spans="2:30" ht="11.25" customHeight="1" x14ac:dyDescent="0.45">
      <c r="B200" s="97"/>
      <c r="C200" s="97"/>
      <c r="D200" s="97"/>
      <c r="E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97"/>
      <c r="AD200" s="97"/>
    </row>
    <row r="201" spans="2:30" ht="11.25" customHeight="1" x14ac:dyDescent="0.45">
      <c r="B201" s="97"/>
      <c r="C201" s="97"/>
      <c r="D201" s="97"/>
      <c r="E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97"/>
      <c r="AD201" s="97"/>
    </row>
    <row r="202" spans="2:30" ht="11.25" customHeight="1" x14ac:dyDescent="0.45">
      <c r="B202" s="97"/>
      <c r="C202" s="97"/>
      <c r="D202" s="97"/>
      <c r="E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  <c r="AC202" s="97"/>
      <c r="AD202" s="97"/>
    </row>
    <row r="203" spans="2:30" ht="11.25" customHeight="1" x14ac:dyDescent="0.45">
      <c r="B203" s="97"/>
      <c r="C203" s="97"/>
      <c r="D203" s="97"/>
      <c r="E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  <c r="AD203" s="97"/>
    </row>
    <row r="204" spans="2:30" ht="11.25" customHeight="1" x14ac:dyDescent="0.45">
      <c r="B204" s="97"/>
      <c r="C204" s="97"/>
      <c r="D204" s="97"/>
      <c r="E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97"/>
      <c r="AD204" s="97"/>
    </row>
    <row r="205" spans="2:30" ht="11.25" customHeight="1" x14ac:dyDescent="0.45">
      <c r="B205" s="97"/>
      <c r="C205" s="97"/>
      <c r="D205" s="97"/>
      <c r="E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  <c r="AC205" s="97"/>
      <c r="AD205" s="97"/>
    </row>
    <row r="206" spans="2:30" ht="11.25" customHeight="1" x14ac:dyDescent="0.45">
      <c r="B206" s="97"/>
      <c r="C206" s="97"/>
      <c r="D206" s="97"/>
      <c r="E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  <c r="AD206" s="97"/>
    </row>
    <row r="207" spans="2:30" ht="11.25" customHeight="1" x14ac:dyDescent="0.45">
      <c r="B207" s="97"/>
      <c r="C207" s="97"/>
      <c r="D207" s="97"/>
      <c r="E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</row>
    <row r="208" spans="2:30" ht="11.25" customHeight="1" x14ac:dyDescent="0.45">
      <c r="B208" s="97"/>
      <c r="C208" s="97"/>
      <c r="D208" s="97"/>
      <c r="E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  <c r="AD208" s="97"/>
    </row>
    <row r="209" spans="2:30" ht="11.25" customHeight="1" x14ac:dyDescent="0.45">
      <c r="B209" s="97"/>
      <c r="C209" s="97"/>
      <c r="D209" s="97"/>
      <c r="E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97"/>
      <c r="AD209" s="97"/>
    </row>
    <row r="210" spans="2:30" ht="11.25" customHeight="1" x14ac:dyDescent="0.45">
      <c r="B210" s="97"/>
      <c r="C210" s="97"/>
      <c r="D210" s="97"/>
      <c r="E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  <c r="AB210" s="97"/>
      <c r="AC210" s="97"/>
      <c r="AD210" s="97"/>
    </row>
    <row r="211" spans="2:30" ht="11.25" customHeight="1" x14ac:dyDescent="0.45">
      <c r="B211" s="97"/>
      <c r="C211" s="97"/>
      <c r="D211" s="97"/>
      <c r="E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  <c r="AA211" s="97"/>
      <c r="AB211" s="97"/>
      <c r="AC211" s="97"/>
      <c r="AD211" s="97"/>
    </row>
    <row r="212" spans="2:30" ht="11.25" customHeight="1" x14ac:dyDescent="0.45">
      <c r="B212" s="97"/>
      <c r="C212" s="97"/>
      <c r="D212" s="97"/>
      <c r="E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  <c r="AA212" s="97"/>
      <c r="AB212" s="97"/>
      <c r="AC212" s="97"/>
      <c r="AD212" s="97"/>
    </row>
    <row r="213" spans="2:30" ht="11.25" customHeight="1" x14ac:dyDescent="0.45">
      <c r="B213" s="97"/>
      <c r="C213" s="97"/>
      <c r="D213" s="97"/>
      <c r="E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  <c r="AA213" s="97"/>
      <c r="AB213" s="97"/>
      <c r="AC213" s="97"/>
      <c r="AD213" s="97"/>
    </row>
    <row r="214" spans="2:30" ht="11.25" customHeight="1" x14ac:dyDescent="0.45">
      <c r="B214" s="97"/>
      <c r="C214" s="97"/>
      <c r="D214" s="97"/>
      <c r="E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  <c r="AA214" s="97"/>
      <c r="AB214" s="97"/>
      <c r="AC214" s="97"/>
      <c r="AD214" s="97"/>
    </row>
    <row r="215" spans="2:30" ht="11.25" customHeight="1" x14ac:dyDescent="0.45">
      <c r="B215" s="97"/>
      <c r="C215" s="97"/>
      <c r="D215" s="97"/>
      <c r="E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  <c r="AA215" s="97"/>
      <c r="AB215" s="97"/>
      <c r="AC215" s="97"/>
      <c r="AD215" s="97"/>
    </row>
    <row r="216" spans="2:30" ht="11.25" customHeight="1" x14ac:dyDescent="0.45">
      <c r="B216" s="97"/>
      <c r="C216" s="97"/>
      <c r="D216" s="97"/>
      <c r="E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  <c r="AD216" s="97"/>
    </row>
    <row r="217" spans="2:30" ht="11.25" customHeight="1" x14ac:dyDescent="0.45">
      <c r="B217" s="97"/>
      <c r="C217" s="97"/>
      <c r="D217" s="97"/>
      <c r="E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97"/>
      <c r="AD217" s="97"/>
    </row>
    <row r="218" spans="2:30" ht="11.25" customHeight="1" x14ac:dyDescent="0.45">
      <c r="B218" s="97"/>
      <c r="C218" s="97"/>
      <c r="D218" s="97"/>
      <c r="E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  <c r="AD218" s="97"/>
    </row>
    <row r="219" spans="2:30" ht="11.25" customHeight="1" x14ac:dyDescent="0.45">
      <c r="B219" s="97"/>
      <c r="C219" s="97"/>
      <c r="D219" s="97"/>
      <c r="E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  <c r="AA219" s="97"/>
      <c r="AB219" s="97"/>
      <c r="AC219" s="97"/>
      <c r="AD219" s="97"/>
    </row>
    <row r="220" spans="2:30" ht="11.25" customHeight="1" x14ac:dyDescent="0.45">
      <c r="B220" s="97"/>
      <c r="C220" s="97"/>
      <c r="D220" s="97"/>
      <c r="E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  <c r="AA220" s="97"/>
      <c r="AB220" s="97"/>
      <c r="AC220" s="97"/>
      <c r="AD220" s="97"/>
    </row>
    <row r="221" spans="2:30" ht="11.25" customHeight="1" x14ac:dyDescent="0.45">
      <c r="B221" s="97"/>
      <c r="C221" s="97"/>
      <c r="D221" s="97"/>
      <c r="E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  <c r="AA221" s="97"/>
      <c r="AB221" s="97"/>
      <c r="AC221" s="97"/>
      <c r="AD221" s="97"/>
    </row>
    <row r="222" spans="2:30" ht="11.25" customHeight="1" x14ac:dyDescent="0.45">
      <c r="B222" s="97"/>
      <c r="C222" s="97"/>
      <c r="D222" s="97"/>
      <c r="E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  <c r="AA222" s="97"/>
      <c r="AB222" s="97"/>
      <c r="AC222" s="97"/>
      <c r="AD222" s="97"/>
    </row>
    <row r="223" spans="2:30" ht="11.25" customHeight="1" x14ac:dyDescent="0.45">
      <c r="B223" s="97"/>
      <c r="C223" s="97"/>
      <c r="D223" s="97"/>
      <c r="E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  <c r="AA223" s="97"/>
      <c r="AB223" s="97"/>
      <c r="AC223" s="97"/>
      <c r="AD223" s="97"/>
    </row>
    <row r="224" spans="2:30" ht="11.25" customHeight="1" x14ac:dyDescent="0.45">
      <c r="B224" s="97"/>
      <c r="C224" s="97"/>
      <c r="D224" s="97"/>
      <c r="E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  <c r="AA224" s="97"/>
      <c r="AB224" s="97"/>
      <c r="AC224" s="97"/>
      <c r="AD224" s="97"/>
    </row>
    <row r="225" spans="2:30" ht="11.25" customHeight="1" x14ac:dyDescent="0.45">
      <c r="B225" s="97"/>
      <c r="C225" s="97"/>
      <c r="D225" s="97"/>
      <c r="E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  <c r="AA225" s="97"/>
      <c r="AB225" s="97"/>
      <c r="AC225" s="97"/>
      <c r="AD225" s="97"/>
    </row>
    <row r="226" spans="2:30" ht="11.25" customHeight="1" x14ac:dyDescent="0.45">
      <c r="B226" s="97"/>
      <c r="C226" s="97"/>
      <c r="D226" s="97"/>
      <c r="E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  <c r="AA226" s="97"/>
      <c r="AB226" s="97"/>
      <c r="AC226" s="97"/>
      <c r="AD226" s="97"/>
    </row>
    <row r="227" spans="2:30" ht="11.25" customHeight="1" x14ac:dyDescent="0.45">
      <c r="B227" s="97"/>
      <c r="C227" s="97"/>
      <c r="D227" s="97"/>
      <c r="E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  <c r="AA227" s="97"/>
      <c r="AB227" s="97"/>
      <c r="AC227" s="97"/>
      <c r="AD227" s="97"/>
    </row>
    <row r="228" spans="2:30" ht="11.25" customHeight="1" x14ac:dyDescent="0.45">
      <c r="B228" s="97"/>
      <c r="C228" s="97"/>
      <c r="D228" s="97"/>
      <c r="E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  <c r="AA228" s="97"/>
      <c r="AB228" s="97"/>
      <c r="AC228" s="97"/>
      <c r="AD228" s="97"/>
    </row>
    <row r="229" spans="2:30" ht="11.25" customHeight="1" x14ac:dyDescent="0.45">
      <c r="B229" s="97"/>
      <c r="C229" s="97"/>
      <c r="D229" s="97"/>
      <c r="E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  <c r="AA229" s="97"/>
      <c r="AB229" s="97"/>
      <c r="AC229" s="97"/>
      <c r="AD229" s="97"/>
    </row>
    <row r="230" spans="2:30" ht="11.25" customHeight="1" x14ac:dyDescent="0.45">
      <c r="B230" s="97"/>
      <c r="C230" s="97"/>
      <c r="D230" s="97"/>
      <c r="E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  <c r="AA230" s="97"/>
      <c r="AB230" s="97"/>
      <c r="AC230" s="97"/>
      <c r="AD230" s="97"/>
    </row>
    <row r="231" spans="2:30" ht="11.25" customHeight="1" x14ac:dyDescent="0.45">
      <c r="B231" s="97"/>
      <c r="C231" s="97"/>
      <c r="D231" s="97"/>
      <c r="E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  <c r="AA231" s="97"/>
      <c r="AB231" s="97"/>
      <c r="AC231" s="97"/>
      <c r="AD231" s="97"/>
    </row>
    <row r="232" spans="2:30" ht="11.25" customHeight="1" x14ac:dyDescent="0.45">
      <c r="B232" s="97"/>
      <c r="C232" s="97"/>
      <c r="D232" s="97"/>
      <c r="E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  <c r="AA232" s="97"/>
      <c r="AB232" s="97"/>
      <c r="AC232" s="97"/>
      <c r="AD232" s="97"/>
    </row>
    <row r="233" spans="2:30" ht="11.25" customHeight="1" x14ac:dyDescent="0.45">
      <c r="B233" s="97"/>
      <c r="C233" s="97"/>
      <c r="D233" s="97"/>
      <c r="E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  <c r="AA233" s="97"/>
      <c r="AB233" s="97"/>
      <c r="AC233" s="97"/>
      <c r="AD233" s="97"/>
    </row>
    <row r="234" spans="2:30" ht="11.25" customHeight="1" x14ac:dyDescent="0.45">
      <c r="B234" s="97"/>
      <c r="C234" s="97"/>
      <c r="D234" s="97"/>
      <c r="E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  <c r="AA234" s="97"/>
      <c r="AB234" s="97"/>
      <c r="AC234" s="97"/>
      <c r="AD234" s="97"/>
    </row>
    <row r="235" spans="2:30" ht="11.25" customHeight="1" x14ac:dyDescent="0.45">
      <c r="B235" s="97"/>
      <c r="C235" s="97"/>
      <c r="D235" s="97"/>
      <c r="E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  <c r="AA235" s="97"/>
      <c r="AB235" s="97"/>
      <c r="AC235" s="97"/>
      <c r="AD235" s="97"/>
    </row>
    <row r="236" spans="2:30" ht="11.25" customHeight="1" x14ac:dyDescent="0.45">
      <c r="B236" s="97"/>
      <c r="C236" s="97"/>
      <c r="D236" s="97"/>
      <c r="E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  <c r="AA236" s="97"/>
      <c r="AB236" s="97"/>
      <c r="AC236" s="97"/>
      <c r="AD236" s="97"/>
    </row>
    <row r="237" spans="2:30" ht="11.25" customHeight="1" x14ac:dyDescent="0.45">
      <c r="B237" s="97"/>
      <c r="C237" s="97"/>
      <c r="D237" s="97"/>
      <c r="E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  <c r="AA237" s="97"/>
      <c r="AB237" s="97"/>
      <c r="AC237" s="97"/>
      <c r="AD237" s="97"/>
    </row>
    <row r="238" spans="2:30" ht="11.25" customHeight="1" x14ac:dyDescent="0.45">
      <c r="B238" s="97"/>
      <c r="C238" s="97"/>
      <c r="D238" s="97"/>
      <c r="E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  <c r="AA238" s="97"/>
      <c r="AB238" s="97"/>
      <c r="AC238" s="97"/>
      <c r="AD238" s="97"/>
    </row>
    <row r="239" spans="2:30" ht="11.25" customHeight="1" x14ac:dyDescent="0.45">
      <c r="B239" s="97"/>
      <c r="C239" s="97"/>
      <c r="D239" s="97"/>
      <c r="E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  <c r="AA239" s="97"/>
      <c r="AB239" s="97"/>
      <c r="AC239" s="97"/>
      <c r="AD239" s="97"/>
    </row>
    <row r="240" spans="2:30" ht="11.25" customHeight="1" x14ac:dyDescent="0.45">
      <c r="B240" s="97"/>
      <c r="C240" s="97"/>
      <c r="D240" s="97"/>
      <c r="E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  <c r="AA240" s="97"/>
      <c r="AB240" s="97"/>
      <c r="AC240" s="97"/>
      <c r="AD240" s="97"/>
    </row>
    <row r="241" spans="2:30" ht="11.25" customHeight="1" x14ac:dyDescent="0.45">
      <c r="B241" s="97"/>
      <c r="C241" s="97"/>
      <c r="D241" s="97"/>
      <c r="E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  <c r="AA241" s="97"/>
      <c r="AB241" s="97"/>
      <c r="AC241" s="97"/>
      <c r="AD241" s="97"/>
    </row>
    <row r="242" spans="2:30" ht="11.25" customHeight="1" x14ac:dyDescent="0.45">
      <c r="B242" s="97"/>
      <c r="C242" s="97"/>
      <c r="D242" s="97"/>
      <c r="E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  <c r="AA242" s="97"/>
      <c r="AB242" s="97"/>
      <c r="AC242" s="97"/>
      <c r="AD242" s="97"/>
    </row>
    <row r="243" spans="2:30" ht="11.25" customHeight="1" x14ac:dyDescent="0.45">
      <c r="B243" s="97"/>
      <c r="C243" s="97"/>
      <c r="D243" s="97"/>
      <c r="E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  <c r="AA243" s="97"/>
      <c r="AB243" s="97"/>
      <c r="AC243" s="97"/>
      <c r="AD243" s="97"/>
    </row>
    <row r="244" spans="2:30" ht="11.25" customHeight="1" x14ac:dyDescent="0.45">
      <c r="B244" s="97"/>
      <c r="C244" s="97"/>
      <c r="D244" s="97"/>
      <c r="E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  <c r="AA244" s="97"/>
      <c r="AB244" s="97"/>
      <c r="AC244" s="97"/>
      <c r="AD244" s="97"/>
    </row>
    <row r="245" spans="2:30" ht="11.25" customHeight="1" x14ac:dyDescent="0.45">
      <c r="B245" s="97"/>
      <c r="C245" s="97"/>
      <c r="D245" s="97"/>
      <c r="E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  <c r="AA245" s="97"/>
      <c r="AB245" s="97"/>
      <c r="AC245" s="97"/>
      <c r="AD245" s="97"/>
    </row>
    <row r="246" spans="2:30" ht="11.25" customHeight="1" x14ac:dyDescent="0.45">
      <c r="B246" s="97"/>
      <c r="C246" s="97"/>
      <c r="D246" s="97"/>
      <c r="E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  <c r="AA246" s="97"/>
      <c r="AB246" s="97"/>
      <c r="AC246" s="97"/>
      <c r="AD246" s="97"/>
    </row>
    <row r="247" spans="2:30" ht="11.25" customHeight="1" x14ac:dyDescent="0.45">
      <c r="B247" s="97"/>
      <c r="C247" s="97"/>
      <c r="D247" s="97"/>
      <c r="E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  <c r="AA247" s="97"/>
      <c r="AB247" s="97"/>
      <c r="AC247" s="97"/>
      <c r="AD247" s="97"/>
    </row>
    <row r="248" spans="2:30" ht="11.25" customHeight="1" x14ac:dyDescent="0.45">
      <c r="B248" s="97"/>
      <c r="C248" s="97"/>
      <c r="D248" s="97"/>
      <c r="E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  <c r="AA248" s="97"/>
      <c r="AB248" s="97"/>
      <c r="AC248" s="97"/>
      <c r="AD248" s="97"/>
    </row>
    <row r="249" spans="2:30" ht="11.25" customHeight="1" x14ac:dyDescent="0.45">
      <c r="B249" s="97"/>
      <c r="C249" s="97"/>
      <c r="D249" s="97"/>
      <c r="E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  <c r="AA249" s="97"/>
      <c r="AB249" s="97"/>
      <c r="AC249" s="97"/>
      <c r="AD249" s="97"/>
    </row>
    <row r="250" spans="2:30" ht="11.25" customHeight="1" x14ac:dyDescent="0.45">
      <c r="B250" s="97"/>
      <c r="C250" s="97"/>
      <c r="D250" s="97"/>
      <c r="E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  <c r="AA250" s="97"/>
      <c r="AB250" s="97"/>
      <c r="AC250" s="97"/>
      <c r="AD250" s="97"/>
    </row>
    <row r="251" spans="2:30" ht="11.25" customHeight="1" x14ac:dyDescent="0.45">
      <c r="B251" s="97"/>
      <c r="C251" s="97"/>
      <c r="D251" s="97"/>
      <c r="E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  <c r="AA251" s="97"/>
      <c r="AB251" s="97"/>
      <c r="AC251" s="97"/>
      <c r="AD251" s="97"/>
    </row>
    <row r="252" spans="2:30" ht="11.25" customHeight="1" x14ac:dyDescent="0.45">
      <c r="B252" s="97"/>
      <c r="C252" s="97"/>
      <c r="D252" s="97"/>
      <c r="E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  <c r="AA252" s="97"/>
      <c r="AB252" s="97"/>
      <c r="AC252" s="97"/>
      <c r="AD252" s="97"/>
    </row>
    <row r="253" spans="2:30" ht="11.25" customHeight="1" x14ac:dyDescent="0.45">
      <c r="B253" s="97"/>
      <c r="C253" s="97"/>
      <c r="D253" s="97"/>
      <c r="E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  <c r="AA253" s="97"/>
      <c r="AB253" s="97"/>
      <c r="AC253" s="97"/>
      <c r="AD253" s="97"/>
    </row>
    <row r="254" spans="2:30" ht="11.25" customHeight="1" x14ac:dyDescent="0.45">
      <c r="B254" s="97"/>
      <c r="C254" s="97"/>
      <c r="D254" s="97"/>
      <c r="E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  <c r="AA254" s="97"/>
      <c r="AB254" s="97"/>
      <c r="AC254" s="97"/>
      <c r="AD254" s="97"/>
    </row>
    <row r="255" spans="2:30" ht="11.25" customHeight="1" x14ac:dyDescent="0.45">
      <c r="B255" s="97"/>
      <c r="C255" s="97"/>
      <c r="D255" s="97"/>
      <c r="E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  <c r="AA255" s="97"/>
      <c r="AB255" s="97"/>
      <c r="AC255" s="97"/>
      <c r="AD255" s="97"/>
    </row>
    <row r="256" spans="2:30" ht="11.25" customHeight="1" x14ac:dyDescent="0.45">
      <c r="B256" s="97"/>
      <c r="C256" s="97"/>
      <c r="D256" s="97"/>
      <c r="E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  <c r="AA256" s="97"/>
      <c r="AB256" s="97"/>
      <c r="AC256" s="97"/>
      <c r="AD256" s="97"/>
    </row>
    <row r="257" spans="2:30" ht="11.25" customHeight="1" x14ac:dyDescent="0.45">
      <c r="B257" s="97"/>
      <c r="C257" s="97"/>
      <c r="D257" s="97"/>
      <c r="E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  <c r="AA257" s="97"/>
      <c r="AB257" s="97"/>
      <c r="AC257" s="97"/>
      <c r="AD257" s="97"/>
    </row>
    <row r="258" spans="2:30" ht="11.25" customHeight="1" x14ac:dyDescent="0.45">
      <c r="B258" s="97"/>
      <c r="C258" s="97"/>
      <c r="D258" s="97"/>
      <c r="E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  <c r="AA258" s="97"/>
      <c r="AB258" s="97"/>
      <c r="AC258" s="97"/>
      <c r="AD258" s="97"/>
    </row>
    <row r="259" spans="2:30" ht="11.25" customHeight="1" x14ac:dyDescent="0.45">
      <c r="B259" s="97"/>
      <c r="C259" s="97"/>
      <c r="D259" s="97"/>
      <c r="E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  <c r="AA259" s="97"/>
      <c r="AB259" s="97"/>
      <c r="AC259" s="97"/>
      <c r="AD259" s="97"/>
    </row>
    <row r="260" spans="2:30" ht="11.25" customHeight="1" x14ac:dyDescent="0.45">
      <c r="B260" s="97"/>
      <c r="C260" s="97"/>
      <c r="D260" s="97"/>
      <c r="E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  <c r="AA260" s="97"/>
      <c r="AB260" s="97"/>
      <c r="AC260" s="97"/>
      <c r="AD260" s="97"/>
    </row>
    <row r="261" spans="2:30" ht="11.25" customHeight="1" x14ac:dyDescent="0.45">
      <c r="B261" s="97"/>
      <c r="C261" s="97"/>
      <c r="D261" s="97"/>
      <c r="E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  <c r="AA261" s="97"/>
      <c r="AB261" s="97"/>
      <c r="AC261" s="97"/>
      <c r="AD261" s="97"/>
    </row>
    <row r="262" spans="2:30" ht="11.25" customHeight="1" x14ac:dyDescent="0.45">
      <c r="B262" s="97"/>
      <c r="C262" s="97"/>
      <c r="D262" s="97"/>
      <c r="E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  <c r="AA262" s="97"/>
      <c r="AB262" s="97"/>
      <c r="AC262" s="97"/>
      <c r="AD262" s="97"/>
    </row>
    <row r="263" spans="2:30" ht="11.25" customHeight="1" x14ac:dyDescent="0.45">
      <c r="B263" s="97"/>
      <c r="C263" s="97"/>
      <c r="D263" s="97"/>
      <c r="E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  <c r="AA263" s="97"/>
      <c r="AB263" s="97"/>
      <c r="AC263" s="97"/>
      <c r="AD263" s="97"/>
    </row>
    <row r="264" spans="2:30" ht="11.25" customHeight="1" x14ac:dyDescent="0.45">
      <c r="B264" s="97"/>
      <c r="C264" s="97"/>
      <c r="D264" s="97"/>
      <c r="E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  <c r="AA264" s="97"/>
      <c r="AB264" s="97"/>
      <c r="AC264" s="97"/>
      <c r="AD264" s="97"/>
    </row>
    <row r="265" spans="2:30" ht="11.25" customHeight="1" x14ac:dyDescent="0.45">
      <c r="B265" s="97"/>
      <c r="C265" s="97"/>
      <c r="D265" s="97"/>
      <c r="E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  <c r="AA265" s="97"/>
      <c r="AB265" s="97"/>
      <c r="AC265" s="97"/>
      <c r="AD265" s="97"/>
    </row>
    <row r="266" spans="2:30" ht="11.25" customHeight="1" x14ac:dyDescent="0.45">
      <c r="B266" s="97"/>
      <c r="C266" s="97"/>
      <c r="D266" s="97"/>
      <c r="E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  <c r="AA266" s="97"/>
      <c r="AB266" s="97"/>
      <c r="AC266" s="97"/>
      <c r="AD266" s="97"/>
    </row>
    <row r="267" spans="2:30" ht="11.25" customHeight="1" x14ac:dyDescent="0.45">
      <c r="B267" s="97"/>
      <c r="C267" s="97"/>
      <c r="D267" s="97"/>
      <c r="E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  <c r="AA267" s="97"/>
      <c r="AB267" s="97"/>
      <c r="AC267" s="97"/>
      <c r="AD267" s="97"/>
    </row>
    <row r="268" spans="2:30" ht="11.25" customHeight="1" x14ac:dyDescent="0.45">
      <c r="B268" s="97"/>
      <c r="C268" s="97"/>
      <c r="D268" s="97"/>
      <c r="E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  <c r="AA268" s="97"/>
      <c r="AB268" s="97"/>
      <c r="AC268" s="97"/>
      <c r="AD268" s="97"/>
    </row>
    <row r="269" spans="2:30" ht="11.25" customHeight="1" x14ac:dyDescent="0.45">
      <c r="B269" s="97"/>
      <c r="C269" s="97"/>
      <c r="D269" s="97"/>
      <c r="E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  <c r="AA269" s="97"/>
      <c r="AB269" s="97"/>
      <c r="AC269" s="97"/>
      <c r="AD269" s="97"/>
    </row>
    <row r="270" spans="2:30" ht="11.25" customHeight="1" x14ac:dyDescent="0.45">
      <c r="B270" s="97"/>
      <c r="C270" s="97"/>
      <c r="D270" s="97"/>
      <c r="E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  <c r="AA270" s="97"/>
      <c r="AB270" s="97"/>
      <c r="AC270" s="97"/>
      <c r="AD270" s="97"/>
    </row>
    <row r="271" spans="2:30" ht="11.25" customHeight="1" x14ac:dyDescent="0.45">
      <c r="B271" s="97"/>
      <c r="C271" s="97"/>
      <c r="D271" s="97"/>
      <c r="E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  <c r="AA271" s="97"/>
      <c r="AB271" s="97"/>
      <c r="AC271" s="97"/>
      <c r="AD271" s="97"/>
    </row>
    <row r="272" spans="2:30" ht="11.25" customHeight="1" x14ac:dyDescent="0.45">
      <c r="B272" s="97"/>
      <c r="C272" s="97"/>
      <c r="D272" s="97"/>
      <c r="E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  <c r="AA272" s="97"/>
      <c r="AB272" s="97"/>
      <c r="AC272" s="97"/>
      <c r="AD272" s="97"/>
    </row>
    <row r="273" spans="2:30" ht="11.25" customHeight="1" x14ac:dyDescent="0.45">
      <c r="B273" s="97"/>
      <c r="C273" s="97"/>
      <c r="D273" s="97"/>
      <c r="E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  <c r="AA273" s="97"/>
      <c r="AB273" s="97"/>
      <c r="AC273" s="97"/>
      <c r="AD273" s="97"/>
    </row>
    <row r="274" spans="2:30" ht="11.25" customHeight="1" x14ac:dyDescent="0.45">
      <c r="B274" s="97"/>
      <c r="C274" s="97"/>
      <c r="D274" s="97"/>
      <c r="E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  <c r="AA274" s="97"/>
      <c r="AB274" s="97"/>
      <c r="AC274" s="97"/>
      <c r="AD274" s="97"/>
    </row>
    <row r="275" spans="2:30" ht="11.25" customHeight="1" x14ac:dyDescent="0.45">
      <c r="B275" s="97"/>
      <c r="C275" s="97"/>
      <c r="D275" s="97"/>
      <c r="E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  <c r="AA275" s="97"/>
      <c r="AB275" s="97"/>
      <c r="AC275" s="97"/>
      <c r="AD275" s="97"/>
    </row>
    <row r="276" spans="2:30" ht="11.25" customHeight="1" x14ac:dyDescent="0.45">
      <c r="B276" s="97"/>
      <c r="C276" s="97"/>
      <c r="D276" s="97"/>
      <c r="E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  <c r="AA276" s="97"/>
      <c r="AB276" s="97"/>
      <c r="AC276" s="97"/>
      <c r="AD276" s="97"/>
    </row>
    <row r="277" spans="2:30" ht="11.25" customHeight="1" x14ac:dyDescent="0.45">
      <c r="B277" s="97"/>
      <c r="C277" s="97"/>
      <c r="D277" s="97"/>
      <c r="E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  <c r="AA277" s="97"/>
      <c r="AB277" s="97"/>
      <c r="AC277" s="97"/>
      <c r="AD277" s="97"/>
    </row>
    <row r="278" spans="2:30" ht="11.25" customHeight="1" x14ac:dyDescent="0.45">
      <c r="B278" s="97"/>
      <c r="C278" s="97"/>
      <c r="D278" s="97"/>
      <c r="E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  <c r="AA278" s="97"/>
      <c r="AB278" s="97"/>
      <c r="AC278" s="97"/>
      <c r="AD278" s="97"/>
    </row>
    <row r="279" spans="2:30" ht="11.25" customHeight="1" x14ac:dyDescent="0.45">
      <c r="B279" s="97"/>
      <c r="C279" s="97"/>
      <c r="D279" s="97"/>
      <c r="E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  <c r="AA279" s="97"/>
      <c r="AB279" s="97"/>
      <c r="AC279" s="97"/>
      <c r="AD279" s="97"/>
    </row>
    <row r="280" spans="2:30" ht="11.25" customHeight="1" x14ac:dyDescent="0.45">
      <c r="B280" s="97"/>
      <c r="C280" s="97"/>
      <c r="D280" s="97"/>
      <c r="E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  <c r="AA280" s="97"/>
      <c r="AB280" s="97"/>
      <c r="AC280" s="97"/>
      <c r="AD280" s="97"/>
    </row>
    <row r="281" spans="2:30" ht="11.25" customHeight="1" x14ac:dyDescent="0.45">
      <c r="B281" s="97"/>
      <c r="C281" s="97"/>
      <c r="D281" s="97"/>
      <c r="E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  <c r="AA281" s="97"/>
      <c r="AB281" s="97"/>
      <c r="AC281" s="97"/>
      <c r="AD281" s="97"/>
    </row>
    <row r="282" spans="2:30" ht="11.25" customHeight="1" x14ac:dyDescent="0.45">
      <c r="B282" s="97"/>
      <c r="C282" s="97"/>
      <c r="D282" s="97"/>
      <c r="E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  <c r="AA282" s="97"/>
      <c r="AB282" s="97"/>
      <c r="AC282" s="97"/>
      <c r="AD282" s="97"/>
    </row>
    <row r="283" spans="2:30" ht="11.25" customHeight="1" x14ac:dyDescent="0.45">
      <c r="B283" s="97"/>
      <c r="C283" s="97"/>
      <c r="D283" s="97"/>
      <c r="E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  <c r="AA283" s="97"/>
      <c r="AB283" s="97"/>
      <c r="AC283" s="97"/>
      <c r="AD283" s="97"/>
    </row>
    <row r="284" spans="2:30" ht="11.25" customHeight="1" x14ac:dyDescent="0.45">
      <c r="B284" s="97"/>
      <c r="C284" s="97"/>
      <c r="D284" s="97"/>
      <c r="E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  <c r="AA284" s="97"/>
      <c r="AB284" s="97"/>
      <c r="AC284" s="97"/>
      <c r="AD284" s="97"/>
    </row>
    <row r="285" spans="2:30" ht="11.25" customHeight="1" x14ac:dyDescent="0.45">
      <c r="B285" s="97"/>
      <c r="C285" s="97"/>
      <c r="D285" s="97"/>
      <c r="E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  <c r="AA285" s="97"/>
      <c r="AB285" s="97"/>
      <c r="AC285" s="97"/>
      <c r="AD285" s="97"/>
    </row>
    <row r="286" spans="2:30" ht="11.25" customHeight="1" x14ac:dyDescent="0.45">
      <c r="B286" s="97"/>
      <c r="C286" s="97"/>
      <c r="D286" s="97"/>
      <c r="E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  <c r="AA286" s="97"/>
      <c r="AB286" s="97"/>
      <c r="AC286" s="97"/>
      <c r="AD286" s="97"/>
    </row>
    <row r="287" spans="2:30" ht="11.25" customHeight="1" x14ac:dyDescent="0.45">
      <c r="B287" s="97"/>
      <c r="C287" s="97"/>
      <c r="D287" s="97"/>
      <c r="E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  <c r="AA287" s="97"/>
      <c r="AB287" s="97"/>
      <c r="AC287" s="97"/>
      <c r="AD287" s="97"/>
    </row>
    <row r="288" spans="2:30" ht="11.25" customHeight="1" x14ac:dyDescent="0.45">
      <c r="B288" s="97"/>
      <c r="C288" s="97"/>
      <c r="D288" s="97"/>
      <c r="E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  <c r="AA288" s="97"/>
      <c r="AB288" s="97"/>
      <c r="AC288" s="97"/>
      <c r="AD288" s="97"/>
    </row>
    <row r="289" spans="2:30" ht="11.25" customHeight="1" x14ac:dyDescent="0.45">
      <c r="B289" s="97"/>
      <c r="C289" s="97"/>
      <c r="D289" s="97"/>
      <c r="E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  <c r="AA289" s="97"/>
      <c r="AB289" s="97"/>
      <c r="AC289" s="97"/>
      <c r="AD289" s="97"/>
    </row>
    <row r="290" spans="2:30" ht="11.25" customHeight="1" x14ac:dyDescent="0.45">
      <c r="B290" s="97"/>
      <c r="C290" s="97"/>
      <c r="D290" s="97"/>
      <c r="E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  <c r="AA290" s="97"/>
      <c r="AB290" s="97"/>
      <c r="AC290" s="97"/>
      <c r="AD290" s="97"/>
    </row>
    <row r="291" spans="2:30" ht="11.25" customHeight="1" x14ac:dyDescent="0.45">
      <c r="B291" s="97"/>
      <c r="C291" s="97"/>
      <c r="D291" s="97"/>
      <c r="E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  <c r="AA291" s="97"/>
      <c r="AB291" s="97"/>
      <c r="AC291" s="97"/>
      <c r="AD291" s="97"/>
    </row>
    <row r="292" spans="2:30" ht="11.25" customHeight="1" x14ac:dyDescent="0.45">
      <c r="B292" s="97"/>
      <c r="C292" s="97"/>
      <c r="D292" s="97"/>
      <c r="E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  <c r="AA292" s="97"/>
      <c r="AB292" s="97"/>
      <c r="AC292" s="97"/>
      <c r="AD292" s="97"/>
    </row>
    <row r="293" spans="2:30" ht="11.25" customHeight="1" x14ac:dyDescent="0.45">
      <c r="B293" s="97"/>
      <c r="C293" s="97"/>
      <c r="D293" s="97"/>
      <c r="E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  <c r="AA293" s="97"/>
      <c r="AB293" s="97"/>
      <c r="AC293" s="97"/>
      <c r="AD293" s="97"/>
    </row>
    <row r="294" spans="2:30" ht="11.25" customHeight="1" x14ac:dyDescent="0.45">
      <c r="B294" s="97"/>
      <c r="C294" s="97"/>
      <c r="D294" s="97"/>
      <c r="E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  <c r="AA294" s="97"/>
      <c r="AB294" s="97"/>
      <c r="AC294" s="97"/>
      <c r="AD294" s="97"/>
    </row>
    <row r="295" spans="2:30" ht="11.25" customHeight="1" x14ac:dyDescent="0.45">
      <c r="B295" s="97"/>
      <c r="C295" s="97"/>
      <c r="D295" s="97"/>
      <c r="E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  <c r="AA295" s="97"/>
      <c r="AB295" s="97"/>
      <c r="AC295" s="97"/>
      <c r="AD295" s="97"/>
    </row>
    <row r="296" spans="2:30" ht="11.25" customHeight="1" x14ac:dyDescent="0.45">
      <c r="B296" s="97"/>
      <c r="C296" s="97"/>
      <c r="D296" s="97"/>
      <c r="E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  <c r="AA296" s="97"/>
      <c r="AB296" s="97"/>
      <c r="AC296" s="97"/>
      <c r="AD296" s="97"/>
    </row>
    <row r="297" spans="2:30" ht="11.25" customHeight="1" x14ac:dyDescent="0.45">
      <c r="B297" s="97"/>
      <c r="C297" s="97"/>
      <c r="D297" s="97"/>
      <c r="E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  <c r="AA297" s="97"/>
      <c r="AB297" s="97"/>
      <c r="AC297" s="97"/>
      <c r="AD297" s="97"/>
    </row>
    <row r="298" spans="2:30" ht="11.25" customHeight="1" x14ac:dyDescent="0.45">
      <c r="B298" s="97"/>
      <c r="C298" s="97"/>
      <c r="D298" s="97"/>
      <c r="E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  <c r="AA298" s="97"/>
      <c r="AB298" s="97"/>
      <c r="AC298" s="97"/>
      <c r="AD298" s="97"/>
    </row>
    <row r="299" spans="2:30" ht="11.25" customHeight="1" x14ac:dyDescent="0.45">
      <c r="B299" s="97"/>
      <c r="C299" s="97"/>
      <c r="D299" s="97"/>
      <c r="E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  <c r="AA299" s="97"/>
      <c r="AB299" s="97"/>
      <c r="AC299" s="97"/>
      <c r="AD299" s="97"/>
    </row>
    <row r="300" spans="2:30" ht="11.25" customHeight="1" x14ac:dyDescent="0.45">
      <c r="B300" s="97"/>
      <c r="C300" s="97"/>
      <c r="D300" s="97"/>
      <c r="E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  <c r="AA300" s="97"/>
      <c r="AB300" s="97"/>
      <c r="AC300" s="97"/>
      <c r="AD300" s="97"/>
    </row>
    <row r="301" spans="2:30" ht="11.25" customHeight="1" x14ac:dyDescent="0.45">
      <c r="B301" s="97"/>
      <c r="C301" s="97"/>
      <c r="D301" s="97"/>
      <c r="E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  <c r="AA301" s="97"/>
      <c r="AB301" s="97"/>
      <c r="AC301" s="97"/>
      <c r="AD301" s="97"/>
    </row>
    <row r="302" spans="2:30" ht="11.25" customHeight="1" x14ac:dyDescent="0.45">
      <c r="B302" s="97"/>
      <c r="C302" s="97"/>
      <c r="D302" s="97"/>
      <c r="E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  <c r="AA302" s="97"/>
      <c r="AB302" s="97"/>
      <c r="AC302" s="97"/>
      <c r="AD302" s="97"/>
    </row>
    <row r="303" spans="2:30" ht="11.25" customHeight="1" x14ac:dyDescent="0.45">
      <c r="B303" s="97"/>
      <c r="C303" s="97"/>
      <c r="D303" s="97"/>
      <c r="E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  <c r="AA303" s="97"/>
      <c r="AB303" s="97"/>
      <c r="AC303" s="97"/>
      <c r="AD303" s="97"/>
    </row>
    <row r="304" spans="2:30" ht="11.25" customHeight="1" x14ac:dyDescent="0.45">
      <c r="B304" s="97"/>
      <c r="C304" s="97"/>
      <c r="D304" s="97"/>
      <c r="E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  <c r="AA304" s="97"/>
      <c r="AB304" s="97"/>
      <c r="AC304" s="97"/>
      <c r="AD304" s="97"/>
    </row>
    <row r="305" spans="2:30" ht="11.25" customHeight="1" x14ac:dyDescent="0.45">
      <c r="B305" s="97"/>
      <c r="C305" s="97"/>
      <c r="D305" s="97"/>
      <c r="E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  <c r="AA305" s="97"/>
      <c r="AB305" s="97"/>
      <c r="AC305" s="97"/>
      <c r="AD305" s="97"/>
    </row>
    <row r="306" spans="2:30" ht="11.25" customHeight="1" x14ac:dyDescent="0.45">
      <c r="B306" s="97"/>
      <c r="C306" s="97"/>
      <c r="D306" s="97"/>
      <c r="E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  <c r="AA306" s="97"/>
      <c r="AB306" s="97"/>
      <c r="AC306" s="97"/>
      <c r="AD306" s="97"/>
    </row>
    <row r="307" spans="2:30" ht="11.25" customHeight="1" x14ac:dyDescent="0.45">
      <c r="B307" s="97"/>
      <c r="C307" s="97"/>
      <c r="D307" s="97"/>
      <c r="E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  <c r="AA307" s="97"/>
      <c r="AB307" s="97"/>
      <c r="AC307" s="97"/>
      <c r="AD307" s="97"/>
    </row>
    <row r="308" spans="2:30" ht="11.25" customHeight="1" x14ac:dyDescent="0.45">
      <c r="B308" s="97"/>
      <c r="C308" s="97"/>
      <c r="D308" s="97"/>
      <c r="E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  <c r="AA308" s="97"/>
      <c r="AB308" s="97"/>
      <c r="AC308" s="97"/>
      <c r="AD308" s="97"/>
    </row>
    <row r="309" spans="2:30" ht="11.25" customHeight="1" x14ac:dyDescent="0.45">
      <c r="B309" s="97"/>
      <c r="C309" s="97"/>
      <c r="D309" s="97"/>
      <c r="E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  <c r="AA309" s="97"/>
      <c r="AB309" s="97"/>
      <c r="AC309" s="97"/>
      <c r="AD309" s="97"/>
    </row>
    <row r="310" spans="2:30" ht="11.25" customHeight="1" x14ac:dyDescent="0.45">
      <c r="B310" s="97"/>
      <c r="C310" s="97"/>
      <c r="D310" s="97"/>
      <c r="E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  <c r="AA310" s="97"/>
      <c r="AB310" s="97"/>
      <c r="AC310" s="97"/>
      <c r="AD310" s="97"/>
    </row>
    <row r="311" spans="2:30" ht="11.25" customHeight="1" x14ac:dyDescent="0.45">
      <c r="B311" s="97"/>
      <c r="C311" s="97"/>
      <c r="D311" s="97"/>
      <c r="E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  <c r="AA311" s="97"/>
      <c r="AB311" s="97"/>
      <c r="AC311" s="97"/>
      <c r="AD311" s="97"/>
    </row>
    <row r="312" spans="2:30" ht="11.25" customHeight="1" x14ac:dyDescent="0.45">
      <c r="B312" s="97"/>
      <c r="C312" s="97"/>
      <c r="D312" s="97"/>
      <c r="E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  <c r="AA312" s="97"/>
      <c r="AB312" s="97"/>
      <c r="AC312" s="97"/>
      <c r="AD312" s="97"/>
    </row>
    <row r="313" spans="2:30" ht="11.25" customHeight="1" x14ac:dyDescent="0.45">
      <c r="B313" s="97"/>
      <c r="C313" s="97"/>
      <c r="D313" s="97"/>
      <c r="E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  <c r="AA313" s="97"/>
      <c r="AB313" s="97"/>
      <c r="AC313" s="97"/>
      <c r="AD313" s="97"/>
    </row>
    <row r="314" spans="2:30" ht="11.25" customHeight="1" x14ac:dyDescent="0.45">
      <c r="B314" s="97"/>
      <c r="C314" s="97"/>
      <c r="D314" s="97"/>
      <c r="E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  <c r="AA314" s="97"/>
      <c r="AB314" s="97"/>
      <c r="AC314" s="97"/>
      <c r="AD314" s="97"/>
    </row>
    <row r="315" spans="2:30" ht="11.25" customHeight="1" x14ac:dyDescent="0.45">
      <c r="B315" s="97"/>
      <c r="C315" s="97"/>
      <c r="D315" s="97"/>
      <c r="E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  <c r="AA315" s="97"/>
      <c r="AB315" s="97"/>
      <c r="AC315" s="97"/>
      <c r="AD315" s="97"/>
    </row>
    <row r="316" spans="2:30" ht="11.25" customHeight="1" x14ac:dyDescent="0.45">
      <c r="B316" s="97"/>
      <c r="C316" s="97"/>
      <c r="D316" s="97"/>
      <c r="E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  <c r="AA316" s="97"/>
      <c r="AB316" s="97"/>
      <c r="AC316" s="97"/>
      <c r="AD316" s="97"/>
    </row>
    <row r="317" spans="2:30" ht="11.25" customHeight="1" x14ac:dyDescent="0.45">
      <c r="B317" s="97"/>
      <c r="C317" s="97"/>
      <c r="D317" s="97"/>
      <c r="E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  <c r="AA317" s="97"/>
      <c r="AB317" s="97"/>
      <c r="AC317" s="97"/>
      <c r="AD317" s="97"/>
    </row>
    <row r="318" spans="2:30" ht="11.25" customHeight="1" x14ac:dyDescent="0.45">
      <c r="B318" s="97"/>
      <c r="C318" s="97"/>
      <c r="D318" s="97"/>
      <c r="E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  <c r="AA318" s="97"/>
      <c r="AB318" s="97"/>
      <c r="AC318" s="97"/>
      <c r="AD318" s="97"/>
    </row>
    <row r="319" spans="2:30" ht="11.25" customHeight="1" x14ac:dyDescent="0.45">
      <c r="B319" s="97"/>
      <c r="C319" s="97"/>
      <c r="D319" s="97"/>
      <c r="E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  <c r="AA319" s="97"/>
      <c r="AB319" s="97"/>
      <c r="AC319" s="97"/>
      <c r="AD319" s="97"/>
    </row>
    <row r="320" spans="2:30" ht="11.25" customHeight="1" x14ac:dyDescent="0.45">
      <c r="B320" s="97"/>
      <c r="C320" s="97"/>
      <c r="D320" s="97"/>
      <c r="E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  <c r="AA320" s="97"/>
      <c r="AB320" s="97"/>
      <c r="AC320" s="97"/>
      <c r="AD320" s="97"/>
    </row>
    <row r="321" spans="2:30" ht="11.25" customHeight="1" x14ac:dyDescent="0.45">
      <c r="B321" s="97"/>
      <c r="C321" s="97"/>
      <c r="D321" s="97"/>
      <c r="E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  <c r="AA321" s="97"/>
      <c r="AB321" s="97"/>
      <c r="AC321" s="97"/>
      <c r="AD321" s="97"/>
    </row>
    <row r="322" spans="2:30" ht="11.25" customHeight="1" x14ac:dyDescent="0.45">
      <c r="B322" s="97"/>
      <c r="C322" s="97"/>
      <c r="D322" s="97"/>
      <c r="E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  <c r="AA322" s="97"/>
      <c r="AB322" s="97"/>
      <c r="AC322" s="97"/>
      <c r="AD322" s="97"/>
    </row>
    <row r="323" spans="2:30" ht="11.25" customHeight="1" x14ac:dyDescent="0.45">
      <c r="B323" s="97"/>
      <c r="C323" s="97"/>
      <c r="D323" s="97"/>
      <c r="E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  <c r="AA323" s="97"/>
      <c r="AB323" s="97"/>
      <c r="AC323" s="97"/>
      <c r="AD323" s="97"/>
    </row>
    <row r="324" spans="2:30" ht="11.25" customHeight="1" x14ac:dyDescent="0.45">
      <c r="B324" s="97"/>
      <c r="C324" s="97"/>
      <c r="D324" s="97"/>
      <c r="E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  <c r="AA324" s="97"/>
      <c r="AB324" s="97"/>
      <c r="AC324" s="97"/>
      <c r="AD324" s="97"/>
    </row>
    <row r="325" spans="2:30" ht="11.25" customHeight="1" x14ac:dyDescent="0.45">
      <c r="B325" s="97"/>
      <c r="C325" s="97"/>
      <c r="D325" s="97"/>
      <c r="E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  <c r="AA325" s="97"/>
      <c r="AB325" s="97"/>
      <c r="AC325" s="97"/>
      <c r="AD325" s="97"/>
    </row>
    <row r="326" spans="2:30" ht="11.25" customHeight="1" x14ac:dyDescent="0.45">
      <c r="B326" s="97"/>
      <c r="C326" s="97"/>
      <c r="D326" s="97"/>
      <c r="E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  <c r="AA326" s="97"/>
      <c r="AB326" s="97"/>
      <c r="AC326" s="97"/>
      <c r="AD326" s="97"/>
    </row>
    <row r="327" spans="2:30" ht="11.25" customHeight="1" x14ac:dyDescent="0.45">
      <c r="B327" s="97"/>
      <c r="C327" s="97"/>
      <c r="D327" s="97"/>
      <c r="E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  <c r="AA327" s="97"/>
      <c r="AB327" s="97"/>
      <c r="AC327" s="97"/>
      <c r="AD327" s="97"/>
    </row>
    <row r="328" spans="2:30" ht="11.25" customHeight="1" x14ac:dyDescent="0.45">
      <c r="B328" s="97"/>
      <c r="C328" s="97"/>
      <c r="D328" s="97"/>
      <c r="E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  <c r="AA328" s="97"/>
      <c r="AB328" s="97"/>
      <c r="AC328" s="97"/>
      <c r="AD328" s="97"/>
    </row>
    <row r="329" spans="2:30" ht="11.25" customHeight="1" x14ac:dyDescent="0.45">
      <c r="B329" s="97"/>
      <c r="C329" s="97"/>
      <c r="D329" s="97"/>
      <c r="E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  <c r="AA329" s="97"/>
      <c r="AB329" s="97"/>
      <c r="AC329" s="97"/>
      <c r="AD329" s="97"/>
    </row>
    <row r="330" spans="2:30" ht="11.25" customHeight="1" x14ac:dyDescent="0.45">
      <c r="B330" s="97"/>
      <c r="C330" s="97"/>
      <c r="D330" s="97"/>
      <c r="E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  <c r="AA330" s="97"/>
      <c r="AB330" s="97"/>
      <c r="AC330" s="97"/>
      <c r="AD330" s="97"/>
    </row>
    <row r="331" spans="2:30" ht="11.25" customHeight="1" x14ac:dyDescent="0.45">
      <c r="B331" s="97"/>
      <c r="C331" s="97"/>
      <c r="D331" s="97"/>
      <c r="E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  <c r="AA331" s="97"/>
      <c r="AB331" s="97"/>
      <c r="AC331" s="97"/>
      <c r="AD331" s="97"/>
    </row>
    <row r="332" spans="2:30" ht="11.25" customHeight="1" x14ac:dyDescent="0.45">
      <c r="B332" s="97"/>
      <c r="C332" s="97"/>
      <c r="D332" s="97"/>
      <c r="E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  <c r="AA332" s="97"/>
      <c r="AB332" s="97"/>
      <c r="AC332" s="97"/>
      <c r="AD332" s="97"/>
    </row>
    <row r="333" spans="2:30" ht="11.25" customHeight="1" x14ac:dyDescent="0.45">
      <c r="B333" s="97"/>
      <c r="C333" s="97"/>
      <c r="D333" s="97"/>
      <c r="E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  <c r="AA333" s="97"/>
      <c r="AB333" s="97"/>
      <c r="AC333" s="97"/>
      <c r="AD333" s="97"/>
    </row>
    <row r="334" spans="2:30" ht="11.25" customHeight="1" x14ac:dyDescent="0.45">
      <c r="B334" s="97"/>
      <c r="C334" s="97"/>
      <c r="D334" s="97"/>
      <c r="E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  <c r="AA334" s="97"/>
      <c r="AB334" s="97"/>
      <c r="AC334" s="97"/>
      <c r="AD334" s="97"/>
    </row>
    <row r="335" spans="2:30" ht="11.25" customHeight="1" x14ac:dyDescent="0.45">
      <c r="B335" s="97"/>
      <c r="C335" s="97"/>
      <c r="D335" s="97"/>
      <c r="E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  <c r="AA335" s="97"/>
      <c r="AB335" s="97"/>
      <c r="AC335" s="97"/>
      <c r="AD335" s="97"/>
    </row>
    <row r="336" spans="2:30" ht="11.25" customHeight="1" x14ac:dyDescent="0.45">
      <c r="B336" s="97"/>
      <c r="C336" s="97"/>
      <c r="D336" s="97"/>
      <c r="E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  <c r="AA336" s="97"/>
      <c r="AB336" s="97"/>
      <c r="AC336" s="97"/>
      <c r="AD336" s="97"/>
    </row>
    <row r="337" spans="2:30" ht="11.25" customHeight="1" x14ac:dyDescent="0.45">
      <c r="B337" s="97"/>
      <c r="C337" s="97"/>
      <c r="D337" s="97"/>
      <c r="E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  <c r="AA337" s="97"/>
      <c r="AB337" s="97"/>
      <c r="AC337" s="97"/>
      <c r="AD337" s="97"/>
    </row>
    <row r="338" spans="2:30" ht="11.25" customHeight="1" x14ac:dyDescent="0.45">
      <c r="B338" s="97"/>
      <c r="C338" s="97"/>
      <c r="D338" s="97"/>
      <c r="E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  <c r="AA338" s="97"/>
      <c r="AB338" s="97"/>
      <c r="AC338" s="97"/>
      <c r="AD338" s="97"/>
    </row>
    <row r="339" spans="2:30" ht="11.25" customHeight="1" x14ac:dyDescent="0.45">
      <c r="B339" s="97"/>
      <c r="C339" s="97"/>
      <c r="D339" s="97"/>
      <c r="E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  <c r="AA339" s="97"/>
      <c r="AB339" s="97"/>
      <c r="AC339" s="97"/>
      <c r="AD339" s="97"/>
    </row>
    <row r="340" spans="2:30" ht="11.25" customHeight="1" x14ac:dyDescent="0.45">
      <c r="B340" s="97"/>
      <c r="C340" s="97"/>
      <c r="D340" s="97"/>
      <c r="E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  <c r="AA340" s="97"/>
      <c r="AB340" s="97"/>
      <c r="AC340" s="97"/>
      <c r="AD340" s="97"/>
    </row>
    <row r="341" spans="2:30" ht="11.25" customHeight="1" x14ac:dyDescent="0.45">
      <c r="B341" s="97"/>
      <c r="C341" s="97"/>
      <c r="D341" s="97"/>
      <c r="E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  <c r="AA341" s="97"/>
      <c r="AB341" s="97"/>
      <c r="AC341" s="97"/>
      <c r="AD341" s="97"/>
    </row>
    <row r="342" spans="2:30" ht="11.25" customHeight="1" x14ac:dyDescent="0.45">
      <c r="B342" s="97"/>
      <c r="C342" s="97"/>
      <c r="D342" s="97"/>
      <c r="E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  <c r="AA342" s="97"/>
      <c r="AB342" s="97"/>
      <c r="AC342" s="97"/>
      <c r="AD342" s="97"/>
    </row>
    <row r="343" spans="2:30" ht="11.25" customHeight="1" x14ac:dyDescent="0.45">
      <c r="B343" s="97"/>
      <c r="C343" s="97"/>
      <c r="D343" s="97"/>
      <c r="E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  <c r="AA343" s="97"/>
      <c r="AB343" s="97"/>
      <c r="AC343" s="97"/>
      <c r="AD343" s="97"/>
    </row>
    <row r="344" spans="2:30" ht="11.25" customHeight="1" x14ac:dyDescent="0.45">
      <c r="B344" s="97"/>
      <c r="C344" s="97"/>
      <c r="D344" s="97"/>
      <c r="E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  <c r="AA344" s="97"/>
      <c r="AB344" s="97"/>
      <c r="AC344" s="97"/>
      <c r="AD344" s="97"/>
    </row>
    <row r="345" spans="2:30" ht="11.25" customHeight="1" x14ac:dyDescent="0.45">
      <c r="B345" s="97"/>
      <c r="C345" s="97"/>
      <c r="D345" s="97"/>
      <c r="E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  <c r="AA345" s="97"/>
      <c r="AB345" s="97"/>
      <c r="AC345" s="97"/>
      <c r="AD345" s="97"/>
    </row>
    <row r="346" spans="2:30" ht="11.25" customHeight="1" x14ac:dyDescent="0.45">
      <c r="B346" s="97"/>
      <c r="C346" s="97"/>
      <c r="D346" s="97"/>
      <c r="E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  <c r="AA346" s="97"/>
      <c r="AB346" s="97"/>
      <c r="AC346" s="97"/>
      <c r="AD346" s="97"/>
    </row>
    <row r="347" spans="2:30" ht="11.25" customHeight="1" x14ac:dyDescent="0.45">
      <c r="B347" s="97"/>
      <c r="C347" s="97"/>
      <c r="D347" s="97"/>
      <c r="E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  <c r="AA347" s="97"/>
      <c r="AB347" s="97"/>
      <c r="AC347" s="97"/>
      <c r="AD347" s="97"/>
    </row>
    <row r="348" spans="2:30" ht="11.25" customHeight="1" x14ac:dyDescent="0.45">
      <c r="B348" s="97"/>
      <c r="C348" s="97"/>
      <c r="D348" s="97"/>
      <c r="E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  <c r="AA348" s="97"/>
      <c r="AB348" s="97"/>
      <c r="AC348" s="97"/>
      <c r="AD348" s="97"/>
    </row>
    <row r="349" spans="2:30" ht="11.25" customHeight="1" x14ac:dyDescent="0.45">
      <c r="B349" s="97"/>
      <c r="C349" s="97"/>
      <c r="D349" s="97"/>
      <c r="E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  <c r="AA349" s="97"/>
      <c r="AB349" s="97"/>
      <c r="AC349" s="97"/>
      <c r="AD349" s="97"/>
    </row>
    <row r="350" spans="2:30" ht="11.25" customHeight="1" x14ac:dyDescent="0.45">
      <c r="B350" s="97"/>
      <c r="C350" s="97"/>
      <c r="D350" s="97"/>
      <c r="E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  <c r="AA350" s="97"/>
      <c r="AB350" s="97"/>
      <c r="AC350" s="97"/>
      <c r="AD350" s="97"/>
    </row>
    <row r="351" spans="2:30" ht="11.25" customHeight="1" x14ac:dyDescent="0.45">
      <c r="B351" s="97"/>
      <c r="C351" s="97"/>
      <c r="D351" s="97"/>
      <c r="E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  <c r="AA351" s="97"/>
      <c r="AB351" s="97"/>
      <c r="AC351" s="97"/>
      <c r="AD351" s="97"/>
    </row>
    <row r="352" spans="2:30" ht="11.25" customHeight="1" x14ac:dyDescent="0.45">
      <c r="B352" s="97"/>
      <c r="C352" s="97"/>
      <c r="D352" s="97"/>
      <c r="E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  <c r="AA352" s="97"/>
      <c r="AB352" s="97"/>
      <c r="AC352" s="97"/>
      <c r="AD352" s="97"/>
    </row>
    <row r="353" spans="2:30" ht="11.25" customHeight="1" x14ac:dyDescent="0.45">
      <c r="B353" s="97"/>
      <c r="C353" s="97"/>
      <c r="D353" s="97"/>
      <c r="E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  <c r="AA353" s="97"/>
      <c r="AB353" s="97"/>
      <c r="AC353" s="97"/>
      <c r="AD353" s="97"/>
    </row>
    <row r="354" spans="2:30" ht="11.25" customHeight="1" x14ac:dyDescent="0.45">
      <c r="B354" s="97"/>
      <c r="C354" s="97"/>
      <c r="D354" s="97"/>
      <c r="E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  <c r="AA354" s="97"/>
      <c r="AB354" s="97"/>
      <c r="AC354" s="97"/>
      <c r="AD354" s="97"/>
    </row>
    <row r="355" spans="2:30" ht="11.25" customHeight="1" x14ac:dyDescent="0.45">
      <c r="B355" s="97"/>
      <c r="C355" s="97"/>
      <c r="D355" s="97"/>
      <c r="E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  <c r="AA355" s="97"/>
      <c r="AB355" s="97"/>
      <c r="AC355" s="97"/>
      <c r="AD355" s="97"/>
    </row>
    <row r="356" spans="2:30" ht="11.25" customHeight="1" x14ac:dyDescent="0.45">
      <c r="B356" s="97"/>
      <c r="C356" s="97"/>
      <c r="D356" s="97"/>
      <c r="E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  <c r="AA356" s="97"/>
      <c r="AB356" s="97"/>
      <c r="AC356" s="97"/>
      <c r="AD356" s="97"/>
    </row>
    <row r="357" spans="2:30" ht="11.25" customHeight="1" x14ac:dyDescent="0.45">
      <c r="B357" s="97"/>
      <c r="C357" s="97"/>
      <c r="D357" s="97"/>
      <c r="E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  <c r="AA357" s="97"/>
      <c r="AB357" s="97"/>
      <c r="AC357" s="97"/>
      <c r="AD357" s="97"/>
    </row>
    <row r="358" spans="2:30" ht="11.25" customHeight="1" x14ac:dyDescent="0.45">
      <c r="B358" s="97"/>
      <c r="C358" s="97"/>
      <c r="D358" s="97"/>
      <c r="E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  <c r="AA358" s="97"/>
      <c r="AB358" s="97"/>
      <c r="AC358" s="97"/>
      <c r="AD358" s="97"/>
    </row>
    <row r="359" spans="2:30" ht="11.25" customHeight="1" x14ac:dyDescent="0.45">
      <c r="B359" s="97"/>
      <c r="C359" s="97"/>
      <c r="D359" s="97"/>
      <c r="E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  <c r="AA359" s="97"/>
      <c r="AB359" s="97"/>
      <c r="AC359" s="97"/>
      <c r="AD359" s="97"/>
    </row>
    <row r="360" spans="2:30" ht="11.25" customHeight="1" x14ac:dyDescent="0.45">
      <c r="B360" s="97"/>
      <c r="C360" s="97"/>
      <c r="D360" s="97"/>
      <c r="E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  <c r="AA360" s="97"/>
      <c r="AB360" s="97"/>
      <c r="AC360" s="97"/>
      <c r="AD360" s="97"/>
    </row>
    <row r="361" spans="2:30" ht="11.25" customHeight="1" x14ac:dyDescent="0.45">
      <c r="B361" s="97"/>
      <c r="C361" s="97"/>
      <c r="D361" s="97"/>
      <c r="E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  <c r="AA361" s="97"/>
      <c r="AB361" s="97"/>
      <c r="AC361" s="97"/>
      <c r="AD361" s="97"/>
    </row>
    <row r="362" spans="2:30" ht="11.25" customHeight="1" x14ac:dyDescent="0.45">
      <c r="B362" s="97"/>
      <c r="C362" s="97"/>
      <c r="D362" s="97"/>
      <c r="E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  <c r="AA362" s="97"/>
      <c r="AB362" s="97"/>
      <c r="AC362" s="97"/>
      <c r="AD362" s="97"/>
    </row>
    <row r="363" spans="2:30" ht="11.25" customHeight="1" x14ac:dyDescent="0.45">
      <c r="B363" s="97"/>
      <c r="C363" s="97"/>
      <c r="D363" s="97"/>
      <c r="E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  <c r="AA363" s="97"/>
      <c r="AB363" s="97"/>
      <c r="AC363" s="97"/>
      <c r="AD363" s="97"/>
    </row>
    <row r="364" spans="2:30" ht="11.25" customHeight="1" x14ac:dyDescent="0.45">
      <c r="B364" s="97"/>
      <c r="C364" s="97"/>
      <c r="D364" s="97"/>
      <c r="E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  <c r="AA364" s="97"/>
      <c r="AB364" s="97"/>
      <c r="AC364" s="97"/>
      <c r="AD364" s="97"/>
    </row>
    <row r="365" spans="2:30" ht="11.25" customHeight="1" x14ac:dyDescent="0.45">
      <c r="B365" s="97"/>
      <c r="C365" s="97"/>
      <c r="D365" s="97"/>
      <c r="E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  <c r="AA365" s="97"/>
      <c r="AB365" s="97"/>
      <c r="AC365" s="97"/>
      <c r="AD365" s="97"/>
    </row>
    <row r="366" spans="2:30" ht="11.25" customHeight="1" x14ac:dyDescent="0.45">
      <c r="B366" s="97"/>
      <c r="C366" s="97"/>
      <c r="D366" s="97"/>
      <c r="E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  <c r="AA366" s="97"/>
      <c r="AB366" s="97"/>
      <c r="AC366" s="97"/>
      <c r="AD366" s="97"/>
    </row>
    <row r="367" spans="2:30" ht="11.25" customHeight="1" x14ac:dyDescent="0.45">
      <c r="B367" s="97"/>
      <c r="C367" s="97"/>
      <c r="D367" s="97"/>
      <c r="E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  <c r="AA367" s="97"/>
      <c r="AB367" s="97"/>
      <c r="AC367" s="97"/>
      <c r="AD367" s="97"/>
    </row>
    <row r="368" spans="2:30" ht="11.25" customHeight="1" x14ac:dyDescent="0.45">
      <c r="B368" s="97"/>
      <c r="C368" s="97"/>
      <c r="D368" s="97"/>
      <c r="E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  <c r="AA368" s="97"/>
      <c r="AB368" s="97"/>
      <c r="AC368" s="97"/>
      <c r="AD368" s="97"/>
    </row>
    <row r="369" spans="2:30" ht="11.25" customHeight="1" x14ac:dyDescent="0.45">
      <c r="B369" s="97"/>
      <c r="C369" s="97"/>
      <c r="D369" s="97"/>
      <c r="E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  <c r="AA369" s="97"/>
      <c r="AB369" s="97"/>
      <c r="AC369" s="97"/>
      <c r="AD369" s="97"/>
    </row>
    <row r="370" spans="2:30" ht="11.25" customHeight="1" x14ac:dyDescent="0.45">
      <c r="B370" s="97"/>
      <c r="C370" s="97"/>
      <c r="D370" s="97"/>
      <c r="E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  <c r="AA370" s="97"/>
      <c r="AB370" s="97"/>
      <c r="AC370" s="97"/>
      <c r="AD370" s="97"/>
    </row>
    <row r="371" spans="2:30" ht="11.25" customHeight="1" x14ac:dyDescent="0.45">
      <c r="B371" s="97"/>
      <c r="C371" s="97"/>
      <c r="D371" s="97"/>
      <c r="E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  <c r="AA371" s="97"/>
      <c r="AB371" s="97"/>
      <c r="AC371" s="97"/>
      <c r="AD371" s="97"/>
    </row>
    <row r="372" spans="2:30" ht="11.25" customHeight="1" x14ac:dyDescent="0.45">
      <c r="B372" s="97"/>
      <c r="C372" s="97"/>
      <c r="D372" s="97"/>
      <c r="E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  <c r="AA372" s="97"/>
      <c r="AB372" s="97"/>
      <c r="AC372" s="97"/>
      <c r="AD372" s="97"/>
    </row>
    <row r="373" spans="2:30" ht="11.25" customHeight="1" x14ac:dyDescent="0.45">
      <c r="B373" s="97"/>
      <c r="C373" s="97"/>
      <c r="D373" s="97"/>
      <c r="E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  <c r="AA373" s="97"/>
      <c r="AB373" s="97"/>
      <c r="AC373" s="97"/>
      <c r="AD373" s="97"/>
    </row>
    <row r="374" spans="2:30" ht="11.25" customHeight="1" x14ac:dyDescent="0.45">
      <c r="B374" s="97"/>
      <c r="C374" s="97"/>
      <c r="D374" s="97"/>
      <c r="E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  <c r="AA374" s="97"/>
      <c r="AB374" s="97"/>
      <c r="AC374" s="97"/>
      <c r="AD374" s="97"/>
    </row>
    <row r="375" spans="2:30" ht="11.25" customHeight="1" x14ac:dyDescent="0.45">
      <c r="B375" s="97"/>
      <c r="C375" s="97"/>
      <c r="D375" s="97"/>
      <c r="E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  <c r="AA375" s="97"/>
      <c r="AB375" s="97"/>
      <c r="AC375" s="97"/>
      <c r="AD375" s="97"/>
    </row>
    <row r="376" spans="2:30" ht="11.25" customHeight="1" x14ac:dyDescent="0.45">
      <c r="B376" s="97"/>
      <c r="C376" s="97"/>
      <c r="D376" s="97"/>
      <c r="E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  <c r="AA376" s="97"/>
      <c r="AB376" s="97"/>
      <c r="AC376" s="97"/>
      <c r="AD376" s="97"/>
    </row>
    <row r="377" spans="2:30" ht="11.25" customHeight="1" x14ac:dyDescent="0.45">
      <c r="B377" s="97"/>
      <c r="C377" s="97"/>
      <c r="D377" s="97"/>
      <c r="E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  <c r="AA377" s="97"/>
      <c r="AB377" s="97"/>
      <c r="AC377" s="97"/>
      <c r="AD377" s="97"/>
    </row>
    <row r="378" spans="2:30" ht="11.25" customHeight="1" x14ac:dyDescent="0.45">
      <c r="B378" s="97"/>
      <c r="C378" s="97"/>
      <c r="D378" s="97"/>
      <c r="E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  <c r="AA378" s="97"/>
      <c r="AB378" s="97"/>
      <c r="AC378" s="97"/>
      <c r="AD378" s="97"/>
    </row>
    <row r="379" spans="2:30" ht="11.25" customHeight="1" x14ac:dyDescent="0.45">
      <c r="B379" s="97"/>
      <c r="C379" s="97"/>
      <c r="D379" s="97"/>
      <c r="E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  <c r="AA379" s="97"/>
      <c r="AB379" s="97"/>
      <c r="AC379" s="97"/>
      <c r="AD379" s="97"/>
    </row>
    <row r="380" spans="2:30" ht="11.25" customHeight="1" x14ac:dyDescent="0.45">
      <c r="B380" s="97"/>
      <c r="C380" s="97"/>
      <c r="D380" s="97"/>
      <c r="E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  <c r="AA380" s="97"/>
      <c r="AB380" s="97"/>
      <c r="AC380" s="97"/>
      <c r="AD380" s="97"/>
    </row>
    <row r="381" spans="2:30" ht="11.25" customHeight="1" x14ac:dyDescent="0.45">
      <c r="B381" s="97"/>
      <c r="C381" s="97"/>
      <c r="D381" s="97"/>
      <c r="E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  <c r="AA381" s="97"/>
      <c r="AB381" s="97"/>
      <c r="AC381" s="97"/>
      <c r="AD381" s="97"/>
    </row>
    <row r="382" spans="2:30" ht="11.25" customHeight="1" x14ac:dyDescent="0.45">
      <c r="B382" s="97"/>
      <c r="C382" s="97"/>
      <c r="D382" s="97"/>
      <c r="E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  <c r="AA382" s="97"/>
      <c r="AB382" s="97"/>
      <c r="AC382" s="97"/>
      <c r="AD382" s="97"/>
    </row>
    <row r="383" spans="2:30" ht="11.25" customHeight="1" x14ac:dyDescent="0.45">
      <c r="B383" s="97"/>
      <c r="C383" s="97"/>
      <c r="D383" s="97"/>
      <c r="E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  <c r="AA383" s="97"/>
      <c r="AB383" s="97"/>
      <c r="AC383" s="97"/>
      <c r="AD383" s="97"/>
    </row>
    <row r="384" spans="2:30" ht="11.25" customHeight="1" x14ac:dyDescent="0.45">
      <c r="B384" s="97"/>
      <c r="C384" s="97"/>
      <c r="D384" s="97"/>
      <c r="E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  <c r="AA384" s="97"/>
      <c r="AB384" s="97"/>
      <c r="AC384" s="97"/>
      <c r="AD384" s="97"/>
    </row>
    <row r="385" spans="2:30" ht="11.25" customHeight="1" x14ac:dyDescent="0.45">
      <c r="B385" s="97"/>
      <c r="C385" s="97"/>
      <c r="D385" s="97"/>
      <c r="E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  <c r="AA385" s="97"/>
      <c r="AB385" s="97"/>
      <c r="AC385" s="97"/>
      <c r="AD385" s="97"/>
    </row>
    <row r="386" spans="2:30" ht="11.25" customHeight="1" x14ac:dyDescent="0.45">
      <c r="B386" s="97"/>
      <c r="C386" s="97"/>
      <c r="D386" s="97"/>
      <c r="E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  <c r="AA386" s="97"/>
      <c r="AB386" s="97"/>
      <c r="AC386" s="97"/>
      <c r="AD386" s="97"/>
    </row>
    <row r="387" spans="2:30" ht="11.25" customHeight="1" x14ac:dyDescent="0.45">
      <c r="B387" s="97"/>
      <c r="C387" s="97"/>
      <c r="D387" s="97"/>
      <c r="E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  <c r="AA387" s="97"/>
      <c r="AB387" s="97"/>
      <c r="AC387" s="97"/>
      <c r="AD387" s="97"/>
    </row>
    <row r="388" spans="2:30" ht="11.25" customHeight="1" x14ac:dyDescent="0.45">
      <c r="B388" s="97"/>
      <c r="C388" s="97"/>
      <c r="D388" s="97"/>
      <c r="E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  <c r="AA388" s="97"/>
      <c r="AB388" s="97"/>
      <c r="AC388" s="97"/>
      <c r="AD388" s="97"/>
    </row>
    <row r="389" spans="2:30" ht="11.25" customHeight="1" x14ac:dyDescent="0.45">
      <c r="B389" s="97"/>
      <c r="C389" s="97"/>
      <c r="D389" s="97"/>
      <c r="E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  <c r="AA389" s="97"/>
      <c r="AB389" s="97"/>
      <c r="AC389" s="97"/>
      <c r="AD389" s="97"/>
    </row>
    <row r="390" spans="2:30" ht="11.25" customHeight="1" x14ac:dyDescent="0.45">
      <c r="B390" s="97"/>
      <c r="C390" s="97"/>
      <c r="D390" s="97"/>
      <c r="E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  <c r="AA390" s="97"/>
      <c r="AB390" s="97"/>
      <c r="AC390" s="97"/>
      <c r="AD390" s="97"/>
    </row>
    <row r="391" spans="2:30" ht="11.25" customHeight="1" x14ac:dyDescent="0.45">
      <c r="B391" s="97"/>
      <c r="C391" s="97"/>
      <c r="D391" s="97"/>
      <c r="E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  <c r="AA391" s="97"/>
      <c r="AB391" s="97"/>
      <c r="AC391" s="97"/>
      <c r="AD391" s="97"/>
    </row>
    <row r="392" spans="2:30" ht="11.25" customHeight="1" x14ac:dyDescent="0.45">
      <c r="B392" s="97"/>
      <c r="C392" s="97"/>
      <c r="D392" s="97"/>
      <c r="E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  <c r="AA392" s="97"/>
      <c r="AB392" s="97"/>
      <c r="AC392" s="97"/>
      <c r="AD392" s="97"/>
    </row>
    <row r="393" spans="2:30" ht="11.25" customHeight="1" x14ac:dyDescent="0.45">
      <c r="B393" s="97"/>
      <c r="C393" s="97"/>
      <c r="D393" s="97"/>
      <c r="E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  <c r="AA393" s="97"/>
      <c r="AB393" s="97"/>
      <c r="AC393" s="97"/>
      <c r="AD393" s="97"/>
    </row>
    <row r="394" spans="2:30" ht="11.25" customHeight="1" x14ac:dyDescent="0.45">
      <c r="B394" s="97"/>
      <c r="C394" s="97"/>
      <c r="D394" s="97"/>
      <c r="E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  <c r="AA394" s="97"/>
      <c r="AB394" s="97"/>
      <c r="AC394" s="97"/>
      <c r="AD394" s="97"/>
    </row>
    <row r="395" spans="2:30" ht="11.25" customHeight="1" x14ac:dyDescent="0.45">
      <c r="B395" s="97"/>
      <c r="C395" s="97"/>
      <c r="D395" s="97"/>
      <c r="E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  <c r="AA395" s="97"/>
      <c r="AB395" s="97"/>
      <c r="AC395" s="97"/>
      <c r="AD395" s="97"/>
    </row>
    <row r="396" spans="2:30" ht="11.25" customHeight="1" x14ac:dyDescent="0.45">
      <c r="B396" s="97"/>
      <c r="C396" s="97"/>
      <c r="D396" s="97"/>
      <c r="E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  <c r="AA396" s="97"/>
      <c r="AB396" s="97"/>
      <c r="AC396" s="97"/>
      <c r="AD396" s="97"/>
    </row>
    <row r="397" spans="2:30" ht="11.25" customHeight="1" x14ac:dyDescent="0.45">
      <c r="B397" s="97"/>
      <c r="C397" s="97"/>
      <c r="D397" s="97"/>
      <c r="E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  <c r="AA397" s="97"/>
      <c r="AB397" s="97"/>
      <c r="AC397" s="97"/>
      <c r="AD397" s="97"/>
    </row>
    <row r="398" spans="2:30" ht="11.25" customHeight="1" x14ac:dyDescent="0.45">
      <c r="B398" s="97"/>
      <c r="C398" s="97"/>
      <c r="D398" s="97"/>
      <c r="E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  <c r="AA398" s="97"/>
      <c r="AB398" s="97"/>
      <c r="AC398" s="97"/>
      <c r="AD398" s="97"/>
    </row>
    <row r="399" spans="2:30" ht="11.25" customHeight="1" x14ac:dyDescent="0.45">
      <c r="B399" s="97"/>
      <c r="C399" s="97"/>
      <c r="D399" s="97"/>
      <c r="E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  <c r="AA399" s="97"/>
      <c r="AB399" s="97"/>
      <c r="AC399" s="97"/>
      <c r="AD399" s="97"/>
    </row>
    <row r="400" spans="2:30" ht="11.25" customHeight="1" x14ac:dyDescent="0.45">
      <c r="B400" s="97"/>
      <c r="C400" s="97"/>
      <c r="D400" s="97"/>
      <c r="E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  <c r="AA400" s="97"/>
      <c r="AB400" s="97"/>
      <c r="AC400" s="97"/>
      <c r="AD400" s="97"/>
    </row>
    <row r="401" spans="2:30" ht="11.25" customHeight="1" x14ac:dyDescent="0.45">
      <c r="B401" s="97"/>
      <c r="C401" s="97"/>
      <c r="D401" s="97"/>
      <c r="E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  <c r="AA401" s="97"/>
      <c r="AB401" s="97"/>
      <c r="AC401" s="97"/>
      <c r="AD401" s="97"/>
    </row>
    <row r="402" spans="2:30" ht="11.25" customHeight="1" x14ac:dyDescent="0.45">
      <c r="B402" s="97"/>
      <c r="C402" s="97"/>
      <c r="D402" s="97"/>
      <c r="E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  <c r="AA402" s="97"/>
      <c r="AB402" s="97"/>
      <c r="AC402" s="97"/>
      <c r="AD402" s="97"/>
    </row>
    <row r="403" spans="2:30" ht="11.25" customHeight="1" x14ac:dyDescent="0.45">
      <c r="B403" s="97"/>
      <c r="C403" s="97"/>
      <c r="D403" s="97"/>
      <c r="E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  <c r="AA403" s="97"/>
      <c r="AB403" s="97"/>
      <c r="AC403" s="97"/>
      <c r="AD403" s="97"/>
    </row>
    <row r="404" spans="2:30" ht="11.25" customHeight="1" x14ac:dyDescent="0.45">
      <c r="B404" s="97"/>
      <c r="C404" s="97"/>
      <c r="D404" s="97"/>
      <c r="E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  <c r="AA404" s="97"/>
      <c r="AB404" s="97"/>
      <c r="AC404" s="97"/>
      <c r="AD404" s="97"/>
    </row>
    <row r="405" spans="2:30" ht="11.25" customHeight="1" x14ac:dyDescent="0.45">
      <c r="B405" s="97"/>
      <c r="C405" s="97"/>
      <c r="D405" s="97"/>
      <c r="E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  <c r="AA405" s="97"/>
      <c r="AB405" s="97"/>
      <c r="AC405" s="97"/>
      <c r="AD405" s="97"/>
    </row>
    <row r="406" spans="2:30" ht="11.25" customHeight="1" x14ac:dyDescent="0.45">
      <c r="B406" s="97"/>
      <c r="C406" s="97"/>
      <c r="D406" s="97"/>
      <c r="E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  <c r="AA406" s="97"/>
      <c r="AB406" s="97"/>
      <c r="AC406" s="97"/>
      <c r="AD406" s="97"/>
    </row>
    <row r="407" spans="2:30" ht="11.25" customHeight="1" x14ac:dyDescent="0.45">
      <c r="B407" s="97"/>
      <c r="C407" s="97"/>
      <c r="D407" s="97"/>
      <c r="E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  <c r="AA407" s="97"/>
      <c r="AB407" s="97"/>
      <c r="AC407" s="97"/>
      <c r="AD407" s="97"/>
    </row>
    <row r="408" spans="2:30" ht="11.25" customHeight="1" x14ac:dyDescent="0.45">
      <c r="B408" s="97"/>
      <c r="C408" s="97"/>
      <c r="D408" s="97"/>
      <c r="E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  <c r="AA408" s="97"/>
      <c r="AB408" s="97"/>
      <c r="AC408" s="97"/>
      <c r="AD408" s="97"/>
    </row>
    <row r="409" spans="2:30" ht="11.25" customHeight="1" x14ac:dyDescent="0.45">
      <c r="B409" s="97"/>
      <c r="C409" s="97"/>
      <c r="D409" s="97"/>
      <c r="E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  <c r="AA409" s="97"/>
      <c r="AB409" s="97"/>
      <c r="AC409" s="97"/>
      <c r="AD409" s="97"/>
    </row>
    <row r="410" spans="2:30" ht="11.25" customHeight="1" x14ac:dyDescent="0.45">
      <c r="B410" s="97"/>
      <c r="C410" s="97"/>
      <c r="D410" s="97"/>
      <c r="E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  <c r="AA410" s="97"/>
      <c r="AB410" s="97"/>
      <c r="AC410" s="97"/>
      <c r="AD410" s="97"/>
    </row>
    <row r="411" spans="2:30" ht="11.25" customHeight="1" x14ac:dyDescent="0.45">
      <c r="B411" s="97"/>
      <c r="C411" s="97"/>
      <c r="D411" s="97"/>
      <c r="E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  <c r="AA411" s="97"/>
      <c r="AB411" s="97"/>
      <c r="AC411" s="97"/>
      <c r="AD411" s="97"/>
    </row>
    <row r="412" spans="2:30" ht="11.25" customHeight="1" x14ac:dyDescent="0.45">
      <c r="B412" s="97"/>
      <c r="C412" s="97"/>
      <c r="D412" s="97"/>
      <c r="E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  <c r="AA412" s="97"/>
      <c r="AB412" s="97"/>
      <c r="AC412" s="97"/>
      <c r="AD412" s="97"/>
    </row>
    <row r="413" spans="2:30" ht="11.25" customHeight="1" x14ac:dyDescent="0.45">
      <c r="B413" s="97"/>
      <c r="C413" s="97"/>
      <c r="D413" s="97"/>
      <c r="E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  <c r="AA413" s="97"/>
      <c r="AB413" s="97"/>
      <c r="AC413" s="97"/>
      <c r="AD413" s="97"/>
    </row>
    <row r="414" spans="2:30" ht="11.25" customHeight="1" x14ac:dyDescent="0.45">
      <c r="B414" s="97"/>
      <c r="C414" s="97"/>
      <c r="D414" s="97"/>
      <c r="E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  <c r="AA414" s="97"/>
      <c r="AB414" s="97"/>
      <c r="AC414" s="97"/>
      <c r="AD414" s="97"/>
    </row>
    <row r="415" spans="2:30" ht="11.25" customHeight="1" x14ac:dyDescent="0.45">
      <c r="B415" s="97"/>
      <c r="C415" s="97"/>
      <c r="D415" s="97"/>
      <c r="E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  <c r="AA415" s="97"/>
      <c r="AB415" s="97"/>
      <c r="AC415" s="97"/>
      <c r="AD415" s="97"/>
    </row>
    <row r="416" spans="2:30" ht="11.25" customHeight="1" x14ac:dyDescent="0.45">
      <c r="B416" s="97"/>
      <c r="C416" s="97"/>
      <c r="D416" s="97"/>
      <c r="E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  <c r="AA416" s="97"/>
      <c r="AB416" s="97"/>
      <c r="AC416" s="97"/>
      <c r="AD416" s="97"/>
    </row>
    <row r="417" spans="2:30" ht="11.25" customHeight="1" x14ac:dyDescent="0.45">
      <c r="B417" s="97"/>
      <c r="C417" s="97"/>
      <c r="D417" s="97"/>
      <c r="E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  <c r="AA417" s="97"/>
      <c r="AB417" s="97"/>
      <c r="AC417" s="97"/>
      <c r="AD417" s="97"/>
    </row>
    <row r="418" spans="2:30" ht="11.25" customHeight="1" x14ac:dyDescent="0.45">
      <c r="B418" s="97"/>
      <c r="C418" s="97"/>
      <c r="D418" s="97"/>
      <c r="E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  <c r="AA418" s="97"/>
      <c r="AB418" s="97"/>
      <c r="AC418" s="97"/>
      <c r="AD418" s="97"/>
    </row>
    <row r="419" spans="2:30" ht="11.25" customHeight="1" x14ac:dyDescent="0.45">
      <c r="B419" s="97"/>
      <c r="C419" s="97"/>
      <c r="D419" s="97"/>
      <c r="E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  <c r="AA419" s="97"/>
      <c r="AB419" s="97"/>
      <c r="AC419" s="97"/>
      <c r="AD419" s="97"/>
    </row>
    <row r="420" spans="2:30" ht="11.25" customHeight="1" x14ac:dyDescent="0.45">
      <c r="B420" s="97"/>
      <c r="C420" s="97"/>
      <c r="D420" s="97"/>
      <c r="E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  <c r="AA420" s="97"/>
      <c r="AB420" s="97"/>
      <c r="AC420" s="97"/>
      <c r="AD420" s="97"/>
    </row>
    <row r="421" spans="2:30" ht="11.25" customHeight="1" x14ac:dyDescent="0.45">
      <c r="B421" s="97"/>
      <c r="C421" s="97"/>
      <c r="D421" s="97"/>
      <c r="E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  <c r="AA421" s="97"/>
      <c r="AB421" s="97"/>
      <c r="AC421" s="97"/>
      <c r="AD421" s="97"/>
    </row>
    <row r="422" spans="2:30" ht="11.25" customHeight="1" x14ac:dyDescent="0.45">
      <c r="B422" s="97"/>
      <c r="C422" s="97"/>
      <c r="D422" s="97"/>
      <c r="E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  <c r="AA422" s="97"/>
      <c r="AB422" s="97"/>
      <c r="AC422" s="97"/>
      <c r="AD422" s="97"/>
    </row>
    <row r="423" spans="2:30" ht="11.25" customHeight="1" x14ac:dyDescent="0.45">
      <c r="B423" s="97"/>
      <c r="C423" s="97"/>
      <c r="D423" s="97"/>
      <c r="E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  <c r="AA423" s="97"/>
      <c r="AB423" s="97"/>
      <c r="AC423" s="97"/>
      <c r="AD423" s="97"/>
    </row>
    <row r="424" spans="2:30" ht="11.25" customHeight="1" x14ac:dyDescent="0.45">
      <c r="B424" s="97"/>
      <c r="C424" s="97"/>
      <c r="D424" s="97"/>
      <c r="E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  <c r="AA424" s="97"/>
      <c r="AB424" s="97"/>
      <c r="AC424" s="97"/>
      <c r="AD424" s="97"/>
    </row>
    <row r="425" spans="2:30" ht="11.25" customHeight="1" x14ac:dyDescent="0.45">
      <c r="B425" s="97"/>
      <c r="C425" s="97"/>
      <c r="D425" s="97"/>
      <c r="E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  <c r="AA425" s="97"/>
      <c r="AB425" s="97"/>
      <c r="AC425" s="97"/>
      <c r="AD425" s="97"/>
    </row>
    <row r="426" spans="2:30" ht="11.25" customHeight="1" x14ac:dyDescent="0.45">
      <c r="B426" s="97"/>
      <c r="C426" s="97"/>
      <c r="D426" s="97"/>
      <c r="E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  <c r="AA426" s="97"/>
      <c r="AB426" s="97"/>
      <c r="AC426" s="97"/>
      <c r="AD426" s="97"/>
    </row>
    <row r="427" spans="2:30" ht="11.25" customHeight="1" x14ac:dyDescent="0.45">
      <c r="B427" s="97"/>
      <c r="C427" s="97"/>
      <c r="D427" s="97"/>
      <c r="E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  <c r="AA427" s="97"/>
      <c r="AB427" s="97"/>
      <c r="AC427" s="97"/>
      <c r="AD427" s="97"/>
    </row>
    <row r="428" spans="2:30" ht="11.25" customHeight="1" x14ac:dyDescent="0.45">
      <c r="B428" s="97"/>
      <c r="C428" s="97"/>
      <c r="D428" s="97"/>
      <c r="E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  <c r="AA428" s="97"/>
      <c r="AB428" s="97"/>
      <c r="AC428" s="97"/>
      <c r="AD428" s="97"/>
    </row>
    <row r="429" spans="2:30" ht="11.25" customHeight="1" x14ac:dyDescent="0.45">
      <c r="B429" s="97"/>
      <c r="C429" s="97"/>
      <c r="D429" s="97"/>
      <c r="E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  <c r="AA429" s="97"/>
      <c r="AB429" s="97"/>
      <c r="AC429" s="97"/>
      <c r="AD429" s="97"/>
    </row>
    <row r="430" spans="2:30" ht="11.25" customHeight="1" x14ac:dyDescent="0.45">
      <c r="B430" s="97"/>
      <c r="C430" s="97"/>
      <c r="D430" s="97"/>
      <c r="E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  <c r="AA430" s="97"/>
      <c r="AB430" s="97"/>
      <c r="AC430" s="97"/>
      <c r="AD430" s="97"/>
    </row>
    <row r="431" spans="2:30" ht="11.25" customHeight="1" x14ac:dyDescent="0.45">
      <c r="B431" s="97"/>
      <c r="C431" s="97"/>
      <c r="D431" s="97"/>
      <c r="E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  <c r="AA431" s="97"/>
      <c r="AB431" s="97"/>
      <c r="AC431" s="97"/>
      <c r="AD431" s="97"/>
    </row>
    <row r="432" spans="2:30" ht="11.25" customHeight="1" x14ac:dyDescent="0.45">
      <c r="B432" s="97"/>
      <c r="C432" s="97"/>
      <c r="D432" s="97"/>
      <c r="E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  <c r="AA432" s="97"/>
      <c r="AB432" s="97"/>
      <c r="AC432" s="97"/>
      <c r="AD432" s="97"/>
    </row>
    <row r="433" spans="2:30" ht="11.25" customHeight="1" x14ac:dyDescent="0.45">
      <c r="B433" s="97"/>
      <c r="C433" s="97"/>
      <c r="D433" s="97"/>
      <c r="E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  <c r="AA433" s="97"/>
      <c r="AB433" s="97"/>
      <c r="AC433" s="97"/>
      <c r="AD433" s="97"/>
    </row>
    <row r="434" spans="2:30" ht="11.25" customHeight="1" x14ac:dyDescent="0.45">
      <c r="B434" s="97"/>
      <c r="C434" s="97"/>
      <c r="D434" s="97"/>
      <c r="E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  <c r="AA434" s="97"/>
      <c r="AB434" s="97"/>
      <c r="AC434" s="97"/>
      <c r="AD434" s="97"/>
    </row>
    <row r="435" spans="2:30" ht="11.25" customHeight="1" x14ac:dyDescent="0.45">
      <c r="B435" s="97"/>
      <c r="C435" s="97"/>
      <c r="D435" s="97"/>
      <c r="E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  <c r="AA435" s="97"/>
      <c r="AB435" s="97"/>
      <c r="AC435" s="97"/>
      <c r="AD435" s="97"/>
    </row>
    <row r="436" spans="2:30" ht="11.25" customHeight="1" x14ac:dyDescent="0.45">
      <c r="B436" s="97"/>
      <c r="C436" s="97"/>
      <c r="D436" s="97"/>
      <c r="E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  <c r="AA436" s="97"/>
      <c r="AB436" s="97"/>
      <c r="AC436" s="97"/>
      <c r="AD436" s="97"/>
    </row>
    <row r="437" spans="2:30" ht="11.25" customHeight="1" x14ac:dyDescent="0.45">
      <c r="B437" s="97"/>
      <c r="C437" s="97"/>
      <c r="D437" s="97"/>
      <c r="E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  <c r="AA437" s="97"/>
      <c r="AB437" s="97"/>
      <c r="AC437" s="97"/>
      <c r="AD437" s="97"/>
    </row>
    <row r="438" spans="2:30" ht="11.25" customHeight="1" x14ac:dyDescent="0.45">
      <c r="B438" s="97"/>
      <c r="C438" s="97"/>
      <c r="D438" s="97"/>
      <c r="E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  <c r="AA438" s="97"/>
      <c r="AB438" s="97"/>
      <c r="AC438" s="97"/>
      <c r="AD438" s="97"/>
    </row>
    <row r="439" spans="2:30" ht="11.25" customHeight="1" x14ac:dyDescent="0.45">
      <c r="B439" s="97"/>
      <c r="C439" s="97"/>
      <c r="D439" s="97"/>
      <c r="E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  <c r="AA439" s="97"/>
      <c r="AB439" s="97"/>
      <c r="AC439" s="97"/>
      <c r="AD439" s="97"/>
    </row>
    <row r="440" spans="2:30" ht="11.25" customHeight="1" x14ac:dyDescent="0.45">
      <c r="B440" s="97"/>
      <c r="C440" s="97"/>
      <c r="D440" s="97"/>
      <c r="E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  <c r="AA440" s="97"/>
      <c r="AB440" s="97"/>
      <c r="AC440" s="97"/>
      <c r="AD440" s="97"/>
    </row>
    <row r="441" spans="2:30" ht="11.25" customHeight="1" x14ac:dyDescent="0.45">
      <c r="B441" s="97"/>
      <c r="C441" s="97"/>
      <c r="D441" s="97"/>
      <c r="E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  <c r="AA441" s="97"/>
      <c r="AB441" s="97"/>
      <c r="AC441" s="97"/>
      <c r="AD441" s="97"/>
    </row>
    <row r="442" spans="2:30" ht="11.25" customHeight="1" x14ac:dyDescent="0.45">
      <c r="B442" s="97"/>
      <c r="C442" s="97"/>
      <c r="D442" s="97"/>
      <c r="E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  <c r="AA442" s="97"/>
      <c r="AB442" s="97"/>
      <c r="AC442" s="97"/>
      <c r="AD442" s="97"/>
    </row>
    <row r="443" spans="2:30" ht="11.25" customHeight="1" x14ac:dyDescent="0.45">
      <c r="B443" s="97"/>
      <c r="C443" s="97"/>
      <c r="D443" s="97"/>
      <c r="E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  <c r="AA443" s="97"/>
      <c r="AB443" s="97"/>
      <c r="AC443" s="97"/>
      <c r="AD443" s="97"/>
    </row>
    <row r="444" spans="2:30" ht="11.25" customHeight="1" x14ac:dyDescent="0.45">
      <c r="B444" s="97"/>
      <c r="C444" s="97"/>
      <c r="D444" s="97"/>
      <c r="E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  <c r="AA444" s="97"/>
      <c r="AB444" s="97"/>
      <c r="AC444" s="97"/>
      <c r="AD444" s="97"/>
    </row>
    <row r="445" spans="2:30" ht="11.25" customHeight="1" x14ac:dyDescent="0.45">
      <c r="B445" s="97"/>
      <c r="C445" s="97"/>
      <c r="D445" s="97"/>
      <c r="E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  <c r="AA445" s="97"/>
      <c r="AB445" s="97"/>
      <c r="AC445" s="97"/>
      <c r="AD445" s="97"/>
    </row>
    <row r="446" spans="2:30" ht="11.25" customHeight="1" x14ac:dyDescent="0.45">
      <c r="B446" s="97"/>
      <c r="C446" s="97"/>
      <c r="D446" s="97"/>
      <c r="E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  <c r="AA446" s="97"/>
      <c r="AB446" s="97"/>
      <c r="AC446" s="97"/>
      <c r="AD446" s="97"/>
    </row>
    <row r="447" spans="2:30" ht="11.25" customHeight="1" x14ac:dyDescent="0.45">
      <c r="B447" s="97"/>
      <c r="C447" s="97"/>
      <c r="D447" s="97"/>
      <c r="E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  <c r="AA447" s="97"/>
      <c r="AB447" s="97"/>
      <c r="AC447" s="97"/>
      <c r="AD447" s="97"/>
    </row>
    <row r="448" spans="2:30" ht="11.25" customHeight="1" x14ac:dyDescent="0.45">
      <c r="B448" s="97"/>
      <c r="C448" s="97"/>
      <c r="D448" s="97"/>
      <c r="E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  <c r="AA448" s="97"/>
      <c r="AB448" s="97"/>
      <c r="AC448" s="97"/>
      <c r="AD448" s="97"/>
    </row>
    <row r="449" spans="2:30" ht="11.25" customHeight="1" x14ac:dyDescent="0.45">
      <c r="B449" s="97"/>
      <c r="C449" s="97"/>
      <c r="D449" s="97"/>
      <c r="E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  <c r="AA449" s="97"/>
      <c r="AB449" s="97"/>
      <c r="AC449" s="97"/>
      <c r="AD449" s="97"/>
    </row>
    <row r="450" spans="2:30" ht="11.25" customHeight="1" x14ac:dyDescent="0.45">
      <c r="B450" s="97"/>
      <c r="C450" s="97"/>
      <c r="D450" s="97"/>
      <c r="E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  <c r="AA450" s="97"/>
      <c r="AB450" s="97"/>
      <c r="AC450" s="97"/>
      <c r="AD450" s="97"/>
    </row>
    <row r="451" spans="2:30" ht="11.25" customHeight="1" x14ac:dyDescent="0.45">
      <c r="B451" s="97"/>
      <c r="C451" s="97"/>
      <c r="D451" s="97"/>
      <c r="E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  <c r="AA451" s="97"/>
      <c r="AB451" s="97"/>
      <c r="AC451" s="97"/>
      <c r="AD451" s="97"/>
    </row>
    <row r="452" spans="2:30" ht="11.25" customHeight="1" x14ac:dyDescent="0.45">
      <c r="B452" s="97"/>
      <c r="C452" s="97"/>
      <c r="D452" s="97"/>
      <c r="E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  <c r="AA452" s="97"/>
      <c r="AB452" s="97"/>
      <c r="AC452" s="97"/>
      <c r="AD452" s="97"/>
    </row>
    <row r="453" spans="2:30" ht="11.25" customHeight="1" x14ac:dyDescent="0.45">
      <c r="B453" s="97"/>
      <c r="C453" s="97"/>
      <c r="D453" s="97"/>
      <c r="E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  <c r="AA453" s="97"/>
      <c r="AB453" s="97"/>
      <c r="AC453" s="97"/>
      <c r="AD453" s="97"/>
    </row>
    <row r="454" spans="2:30" ht="11.25" customHeight="1" x14ac:dyDescent="0.45">
      <c r="B454" s="97"/>
      <c r="C454" s="97"/>
      <c r="D454" s="97"/>
      <c r="E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  <c r="AA454" s="97"/>
      <c r="AB454" s="97"/>
      <c r="AC454" s="97"/>
      <c r="AD454" s="97"/>
    </row>
    <row r="455" spans="2:30" ht="11.25" customHeight="1" x14ac:dyDescent="0.45">
      <c r="B455" s="97"/>
      <c r="C455" s="97"/>
      <c r="D455" s="97"/>
      <c r="E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  <c r="AA455" s="97"/>
      <c r="AB455" s="97"/>
      <c r="AC455" s="97"/>
      <c r="AD455" s="97"/>
    </row>
    <row r="456" spans="2:30" ht="11.25" customHeight="1" x14ac:dyDescent="0.45">
      <c r="B456" s="97"/>
      <c r="C456" s="97"/>
      <c r="D456" s="97"/>
      <c r="E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  <c r="AA456" s="97"/>
      <c r="AB456" s="97"/>
      <c r="AC456" s="97"/>
      <c r="AD456" s="97"/>
    </row>
    <row r="457" spans="2:30" ht="11.25" customHeight="1" x14ac:dyDescent="0.45">
      <c r="B457" s="97"/>
      <c r="C457" s="97"/>
      <c r="D457" s="97"/>
      <c r="E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  <c r="AA457" s="97"/>
      <c r="AB457" s="97"/>
      <c r="AC457" s="97"/>
      <c r="AD457" s="97"/>
    </row>
    <row r="458" spans="2:30" ht="11.25" customHeight="1" x14ac:dyDescent="0.45">
      <c r="B458" s="97"/>
      <c r="C458" s="97"/>
      <c r="D458" s="97"/>
      <c r="E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  <c r="AA458" s="97"/>
      <c r="AB458" s="97"/>
      <c r="AC458" s="97"/>
      <c r="AD458" s="97"/>
    </row>
    <row r="459" spans="2:30" ht="11.25" customHeight="1" x14ac:dyDescent="0.45">
      <c r="B459" s="97"/>
      <c r="C459" s="97"/>
      <c r="D459" s="97"/>
      <c r="E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  <c r="AA459" s="97"/>
      <c r="AB459" s="97"/>
      <c r="AC459" s="97"/>
      <c r="AD459" s="97"/>
    </row>
    <row r="460" spans="2:30" ht="11.25" customHeight="1" x14ac:dyDescent="0.45">
      <c r="B460" s="97"/>
      <c r="C460" s="97"/>
      <c r="D460" s="97"/>
      <c r="E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  <c r="AA460" s="97"/>
      <c r="AB460" s="97"/>
      <c r="AC460" s="97"/>
      <c r="AD460" s="97"/>
    </row>
    <row r="461" spans="2:30" ht="11.25" customHeight="1" x14ac:dyDescent="0.45">
      <c r="B461" s="97"/>
      <c r="C461" s="97"/>
      <c r="D461" s="97"/>
      <c r="E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  <c r="AA461" s="97"/>
      <c r="AB461" s="97"/>
      <c r="AC461" s="97"/>
      <c r="AD461" s="97"/>
    </row>
    <row r="462" spans="2:30" ht="11.25" customHeight="1" x14ac:dyDescent="0.45">
      <c r="B462" s="97"/>
      <c r="C462" s="97"/>
      <c r="D462" s="97"/>
      <c r="E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  <c r="AA462" s="97"/>
      <c r="AB462" s="97"/>
      <c r="AC462" s="97"/>
      <c r="AD462" s="97"/>
    </row>
    <row r="463" spans="2:30" ht="11.25" customHeight="1" x14ac:dyDescent="0.45">
      <c r="B463" s="97"/>
      <c r="C463" s="97"/>
      <c r="D463" s="97"/>
      <c r="E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  <c r="AA463" s="97"/>
      <c r="AB463" s="97"/>
      <c r="AC463" s="97"/>
      <c r="AD463" s="97"/>
    </row>
    <row r="464" spans="2:30" ht="11.25" customHeight="1" x14ac:dyDescent="0.45">
      <c r="B464" s="97"/>
      <c r="C464" s="97"/>
      <c r="D464" s="97"/>
      <c r="E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  <c r="AA464" s="97"/>
      <c r="AB464" s="97"/>
      <c r="AC464" s="97"/>
      <c r="AD464" s="97"/>
    </row>
    <row r="465" spans="2:30" ht="11.25" customHeight="1" x14ac:dyDescent="0.45">
      <c r="B465" s="97"/>
      <c r="C465" s="97"/>
      <c r="D465" s="97"/>
      <c r="E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  <c r="AA465" s="97"/>
      <c r="AB465" s="97"/>
      <c r="AC465" s="97"/>
      <c r="AD465" s="97"/>
    </row>
    <row r="466" spans="2:30" ht="11.25" customHeight="1" x14ac:dyDescent="0.45">
      <c r="B466" s="97"/>
      <c r="C466" s="97"/>
      <c r="D466" s="97"/>
      <c r="E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  <c r="AA466" s="97"/>
      <c r="AB466" s="97"/>
      <c r="AC466" s="97"/>
      <c r="AD466" s="97"/>
    </row>
    <row r="467" spans="2:30" ht="11.25" customHeight="1" x14ac:dyDescent="0.45">
      <c r="B467" s="97"/>
      <c r="C467" s="97"/>
      <c r="D467" s="97"/>
      <c r="E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  <c r="AA467" s="97"/>
      <c r="AB467" s="97"/>
      <c r="AC467" s="97"/>
      <c r="AD467" s="97"/>
    </row>
    <row r="468" spans="2:30" ht="11.25" customHeight="1" x14ac:dyDescent="0.45">
      <c r="B468" s="97"/>
      <c r="C468" s="97"/>
      <c r="D468" s="97"/>
      <c r="E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  <c r="AA468" s="97"/>
      <c r="AB468" s="97"/>
      <c r="AC468" s="97"/>
      <c r="AD468" s="97"/>
    </row>
    <row r="469" spans="2:30" ht="11.25" customHeight="1" x14ac:dyDescent="0.45">
      <c r="B469" s="97"/>
      <c r="C469" s="97"/>
      <c r="D469" s="97"/>
      <c r="E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  <c r="AA469" s="97"/>
      <c r="AB469" s="97"/>
      <c r="AC469" s="97"/>
      <c r="AD469" s="97"/>
    </row>
    <row r="470" spans="2:30" ht="11.25" customHeight="1" x14ac:dyDescent="0.45">
      <c r="B470" s="97"/>
      <c r="C470" s="97"/>
      <c r="D470" s="97"/>
      <c r="E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  <c r="AA470" s="97"/>
      <c r="AB470" s="97"/>
      <c r="AC470" s="97"/>
      <c r="AD470" s="97"/>
    </row>
    <row r="471" spans="2:30" ht="11.25" customHeight="1" x14ac:dyDescent="0.45">
      <c r="B471" s="97"/>
      <c r="C471" s="97"/>
      <c r="D471" s="97"/>
      <c r="E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  <c r="AA471" s="97"/>
      <c r="AB471" s="97"/>
      <c r="AC471" s="97"/>
      <c r="AD471" s="97"/>
    </row>
    <row r="472" spans="2:30" ht="11.25" customHeight="1" x14ac:dyDescent="0.45">
      <c r="B472" s="97"/>
      <c r="C472" s="97"/>
      <c r="D472" s="97"/>
      <c r="E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  <c r="AA472" s="97"/>
      <c r="AB472" s="97"/>
      <c r="AC472" s="97"/>
      <c r="AD472" s="97"/>
    </row>
    <row r="473" spans="2:30" ht="11.25" customHeight="1" x14ac:dyDescent="0.45">
      <c r="B473" s="97"/>
      <c r="C473" s="97"/>
      <c r="D473" s="97"/>
      <c r="E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  <c r="AA473" s="97"/>
      <c r="AB473" s="97"/>
      <c r="AC473" s="97"/>
      <c r="AD473" s="97"/>
    </row>
    <row r="474" spans="2:30" ht="11.25" customHeight="1" x14ac:dyDescent="0.45">
      <c r="B474" s="97"/>
      <c r="C474" s="97"/>
      <c r="D474" s="97"/>
      <c r="E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  <c r="AA474" s="97"/>
      <c r="AB474" s="97"/>
      <c r="AC474" s="97"/>
      <c r="AD474" s="97"/>
    </row>
    <row r="475" spans="2:30" ht="11.25" customHeight="1" x14ac:dyDescent="0.45">
      <c r="B475" s="97"/>
      <c r="C475" s="97"/>
      <c r="D475" s="97"/>
      <c r="E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  <c r="AA475" s="97"/>
      <c r="AB475" s="97"/>
      <c r="AC475" s="97"/>
      <c r="AD475" s="97"/>
    </row>
    <row r="476" spans="2:30" ht="11.25" customHeight="1" x14ac:dyDescent="0.45">
      <c r="B476" s="97"/>
      <c r="C476" s="97"/>
      <c r="D476" s="97"/>
      <c r="E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  <c r="AA476" s="97"/>
      <c r="AB476" s="97"/>
      <c r="AC476" s="97"/>
      <c r="AD476" s="97"/>
    </row>
    <row r="477" spans="2:30" ht="11.25" customHeight="1" x14ac:dyDescent="0.45">
      <c r="B477" s="97"/>
      <c r="C477" s="97"/>
      <c r="D477" s="97"/>
      <c r="E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  <c r="AA477" s="97"/>
      <c r="AB477" s="97"/>
      <c r="AC477" s="97"/>
      <c r="AD477" s="97"/>
    </row>
    <row r="478" spans="2:30" ht="11.25" customHeight="1" x14ac:dyDescent="0.45">
      <c r="B478" s="97"/>
      <c r="C478" s="97"/>
      <c r="D478" s="97"/>
      <c r="E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  <c r="AA478" s="97"/>
      <c r="AB478" s="97"/>
      <c r="AC478" s="97"/>
      <c r="AD478" s="97"/>
    </row>
    <row r="479" spans="2:30" ht="11.25" customHeight="1" x14ac:dyDescent="0.45">
      <c r="B479" s="97"/>
      <c r="C479" s="97"/>
      <c r="D479" s="97"/>
      <c r="E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  <c r="AA479" s="97"/>
      <c r="AB479" s="97"/>
      <c r="AC479" s="97"/>
      <c r="AD479" s="97"/>
    </row>
    <row r="480" spans="2:30" ht="11.25" customHeight="1" x14ac:dyDescent="0.45">
      <c r="B480" s="97"/>
      <c r="C480" s="97"/>
      <c r="D480" s="97"/>
      <c r="E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  <c r="AA480" s="97"/>
      <c r="AB480" s="97"/>
      <c r="AC480" s="97"/>
      <c r="AD480" s="97"/>
    </row>
    <row r="481" spans="2:30" ht="11.25" customHeight="1" x14ac:dyDescent="0.45">
      <c r="B481" s="97"/>
      <c r="C481" s="97"/>
      <c r="D481" s="97"/>
      <c r="E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  <c r="AA481" s="97"/>
      <c r="AB481" s="97"/>
      <c r="AC481" s="97"/>
      <c r="AD481" s="97"/>
    </row>
    <row r="482" spans="2:30" ht="11.25" customHeight="1" x14ac:dyDescent="0.45">
      <c r="B482" s="97"/>
      <c r="C482" s="97"/>
      <c r="D482" s="97"/>
      <c r="E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  <c r="AA482" s="97"/>
      <c r="AB482" s="97"/>
      <c r="AC482" s="97"/>
      <c r="AD482" s="97"/>
    </row>
    <row r="483" spans="2:30" ht="11.25" customHeight="1" x14ac:dyDescent="0.45">
      <c r="B483" s="97"/>
      <c r="C483" s="97"/>
      <c r="D483" s="97"/>
      <c r="E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  <c r="AA483" s="97"/>
      <c r="AB483" s="97"/>
      <c r="AC483" s="97"/>
      <c r="AD483" s="97"/>
    </row>
    <row r="484" spans="2:30" ht="11.25" customHeight="1" x14ac:dyDescent="0.45">
      <c r="B484" s="97"/>
      <c r="C484" s="97"/>
      <c r="D484" s="97"/>
      <c r="E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  <c r="AA484" s="97"/>
      <c r="AB484" s="97"/>
      <c r="AC484" s="97"/>
      <c r="AD484" s="97"/>
    </row>
    <row r="485" spans="2:30" ht="11.25" customHeight="1" x14ac:dyDescent="0.45">
      <c r="B485" s="97"/>
      <c r="C485" s="97"/>
      <c r="D485" s="97"/>
      <c r="E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  <c r="AA485" s="97"/>
      <c r="AB485" s="97"/>
      <c r="AC485" s="97"/>
      <c r="AD485" s="97"/>
    </row>
    <row r="486" spans="2:30" ht="11.25" customHeight="1" x14ac:dyDescent="0.45">
      <c r="B486" s="97"/>
      <c r="C486" s="97"/>
      <c r="D486" s="97"/>
      <c r="E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  <c r="AA486" s="97"/>
      <c r="AB486" s="97"/>
      <c r="AC486" s="97"/>
      <c r="AD486" s="97"/>
    </row>
    <row r="487" spans="2:30" ht="11.25" customHeight="1" x14ac:dyDescent="0.45">
      <c r="B487" s="97"/>
      <c r="C487" s="97"/>
      <c r="D487" s="97"/>
      <c r="E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  <c r="AA487" s="97"/>
      <c r="AB487" s="97"/>
      <c r="AC487" s="97"/>
      <c r="AD487" s="97"/>
    </row>
    <row r="488" spans="2:30" ht="11.25" customHeight="1" x14ac:dyDescent="0.45">
      <c r="B488" s="97"/>
      <c r="C488" s="97"/>
      <c r="D488" s="97"/>
      <c r="E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  <c r="AA488" s="97"/>
      <c r="AB488" s="97"/>
      <c r="AC488" s="97"/>
      <c r="AD488" s="97"/>
    </row>
    <row r="489" spans="2:30" ht="11.25" customHeight="1" x14ac:dyDescent="0.45">
      <c r="B489" s="97"/>
      <c r="C489" s="97"/>
      <c r="D489" s="97"/>
      <c r="E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  <c r="AA489" s="97"/>
      <c r="AB489" s="97"/>
      <c r="AC489" s="97"/>
      <c r="AD489" s="97"/>
    </row>
    <row r="490" spans="2:30" ht="11.25" customHeight="1" x14ac:dyDescent="0.45">
      <c r="B490" s="97"/>
      <c r="C490" s="97"/>
      <c r="D490" s="97"/>
      <c r="E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  <c r="AA490" s="97"/>
      <c r="AB490" s="97"/>
      <c r="AC490" s="97"/>
      <c r="AD490" s="97"/>
    </row>
    <row r="491" spans="2:30" ht="11.25" customHeight="1" x14ac:dyDescent="0.45">
      <c r="B491" s="97"/>
      <c r="C491" s="97"/>
      <c r="D491" s="97"/>
      <c r="E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  <c r="AA491" s="97"/>
      <c r="AB491" s="97"/>
      <c r="AC491" s="97"/>
      <c r="AD491" s="97"/>
    </row>
    <row r="492" spans="2:30" ht="11.25" customHeight="1" x14ac:dyDescent="0.45">
      <c r="B492" s="97"/>
      <c r="C492" s="97"/>
      <c r="D492" s="97"/>
      <c r="E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  <c r="AA492" s="97"/>
      <c r="AB492" s="97"/>
      <c r="AC492" s="97"/>
      <c r="AD492" s="97"/>
    </row>
    <row r="493" spans="2:30" ht="11.25" customHeight="1" x14ac:dyDescent="0.45">
      <c r="B493" s="97"/>
      <c r="C493" s="97"/>
      <c r="D493" s="97"/>
      <c r="E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  <c r="AA493" s="97"/>
      <c r="AB493" s="97"/>
      <c r="AC493" s="97"/>
      <c r="AD493" s="97"/>
    </row>
    <row r="494" spans="2:30" ht="11.25" customHeight="1" x14ac:dyDescent="0.45">
      <c r="B494" s="97"/>
      <c r="C494" s="97"/>
      <c r="D494" s="97"/>
      <c r="E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  <c r="AA494" s="97"/>
      <c r="AB494" s="97"/>
      <c r="AC494" s="97"/>
      <c r="AD494" s="97"/>
    </row>
    <row r="495" spans="2:30" ht="11.25" customHeight="1" x14ac:dyDescent="0.45">
      <c r="B495" s="97"/>
      <c r="C495" s="97"/>
      <c r="D495" s="97"/>
      <c r="E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  <c r="AA495" s="97"/>
      <c r="AB495" s="97"/>
      <c r="AC495" s="97"/>
      <c r="AD495" s="97"/>
    </row>
    <row r="496" spans="2:30" ht="11.25" customHeight="1" x14ac:dyDescent="0.45">
      <c r="B496" s="97"/>
      <c r="C496" s="97"/>
      <c r="D496" s="97"/>
      <c r="E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  <c r="AA496" s="97"/>
      <c r="AB496" s="97"/>
      <c r="AC496" s="97"/>
      <c r="AD496" s="97"/>
    </row>
    <row r="497" spans="2:30" ht="11.25" customHeight="1" x14ac:dyDescent="0.45">
      <c r="B497" s="97"/>
      <c r="C497" s="97"/>
      <c r="D497" s="97"/>
      <c r="E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  <c r="AA497" s="97"/>
      <c r="AB497" s="97"/>
      <c r="AC497" s="97"/>
      <c r="AD497" s="97"/>
    </row>
    <row r="498" spans="2:30" ht="11.25" customHeight="1" x14ac:dyDescent="0.45">
      <c r="B498" s="97"/>
      <c r="C498" s="97"/>
      <c r="D498" s="97"/>
      <c r="E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  <c r="AA498" s="97"/>
      <c r="AB498" s="97"/>
      <c r="AC498" s="97"/>
      <c r="AD498" s="97"/>
    </row>
    <row r="499" spans="2:30" ht="11.25" customHeight="1" x14ac:dyDescent="0.45">
      <c r="B499" s="97"/>
      <c r="C499" s="97"/>
      <c r="D499" s="97"/>
      <c r="E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  <c r="AA499" s="97"/>
      <c r="AB499" s="97"/>
      <c r="AC499" s="97"/>
      <c r="AD499" s="97"/>
    </row>
    <row r="500" spans="2:30" ht="11.25" customHeight="1" x14ac:dyDescent="0.45">
      <c r="B500" s="97"/>
      <c r="C500" s="97"/>
      <c r="D500" s="97"/>
      <c r="E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  <c r="AA500" s="97"/>
      <c r="AB500" s="97"/>
      <c r="AC500" s="97"/>
      <c r="AD500" s="97"/>
    </row>
    <row r="501" spans="2:30" ht="11.25" customHeight="1" x14ac:dyDescent="0.45">
      <c r="B501" s="97"/>
      <c r="C501" s="97"/>
      <c r="D501" s="97"/>
      <c r="E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  <c r="AA501" s="97"/>
      <c r="AB501" s="97"/>
      <c r="AC501" s="97"/>
      <c r="AD501" s="97"/>
    </row>
    <row r="502" spans="2:30" ht="11.25" customHeight="1" x14ac:dyDescent="0.45">
      <c r="B502" s="97"/>
      <c r="C502" s="97"/>
      <c r="D502" s="97"/>
      <c r="E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  <c r="AA502" s="97"/>
      <c r="AB502" s="97"/>
      <c r="AC502" s="97"/>
      <c r="AD502" s="97"/>
    </row>
    <row r="503" spans="2:30" ht="11.25" customHeight="1" x14ac:dyDescent="0.45">
      <c r="B503" s="97"/>
      <c r="C503" s="97"/>
      <c r="D503" s="97"/>
      <c r="E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  <c r="AA503" s="97"/>
      <c r="AB503" s="97"/>
      <c r="AC503" s="97"/>
      <c r="AD503" s="97"/>
    </row>
    <row r="504" spans="2:30" ht="11.25" customHeight="1" x14ac:dyDescent="0.45">
      <c r="B504" s="97"/>
      <c r="C504" s="97"/>
      <c r="D504" s="97"/>
      <c r="E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  <c r="AA504" s="97"/>
      <c r="AB504" s="97"/>
      <c r="AC504" s="97"/>
      <c r="AD504" s="97"/>
    </row>
    <row r="505" spans="2:30" ht="11.25" customHeight="1" x14ac:dyDescent="0.45">
      <c r="B505" s="97"/>
      <c r="C505" s="97"/>
      <c r="D505" s="97"/>
      <c r="E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  <c r="AA505" s="97"/>
      <c r="AB505" s="97"/>
      <c r="AC505" s="97"/>
      <c r="AD505" s="97"/>
    </row>
    <row r="506" spans="2:30" ht="11.25" customHeight="1" x14ac:dyDescent="0.45">
      <c r="B506" s="97"/>
      <c r="C506" s="97"/>
      <c r="D506" s="97"/>
      <c r="E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  <c r="AA506" s="97"/>
      <c r="AB506" s="97"/>
      <c r="AC506" s="97"/>
      <c r="AD506" s="97"/>
    </row>
    <row r="507" spans="2:30" ht="11.25" customHeight="1" x14ac:dyDescent="0.45">
      <c r="B507" s="97"/>
      <c r="C507" s="97"/>
      <c r="D507" s="97"/>
      <c r="E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  <c r="AA507" s="97"/>
      <c r="AB507" s="97"/>
      <c r="AC507" s="97"/>
      <c r="AD507" s="97"/>
    </row>
    <row r="508" spans="2:30" ht="11.25" customHeight="1" x14ac:dyDescent="0.45">
      <c r="B508" s="97"/>
      <c r="C508" s="97"/>
      <c r="D508" s="97"/>
      <c r="E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  <c r="AA508" s="97"/>
      <c r="AB508" s="97"/>
      <c r="AC508" s="97"/>
      <c r="AD508" s="97"/>
    </row>
    <row r="509" spans="2:30" ht="11.25" customHeight="1" x14ac:dyDescent="0.45">
      <c r="B509" s="97"/>
      <c r="C509" s="97"/>
      <c r="D509" s="97"/>
      <c r="E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  <c r="AA509" s="97"/>
      <c r="AB509" s="97"/>
      <c r="AC509" s="97"/>
      <c r="AD509" s="97"/>
    </row>
    <row r="510" spans="2:30" ht="11.25" customHeight="1" x14ac:dyDescent="0.45">
      <c r="B510" s="97"/>
      <c r="C510" s="97"/>
      <c r="D510" s="97"/>
      <c r="E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  <c r="AA510" s="97"/>
      <c r="AB510" s="97"/>
      <c r="AC510" s="97"/>
      <c r="AD510" s="97"/>
    </row>
    <row r="511" spans="2:30" ht="11.25" customHeight="1" x14ac:dyDescent="0.45">
      <c r="B511" s="97"/>
      <c r="C511" s="97"/>
      <c r="D511" s="97"/>
      <c r="E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  <c r="AA511" s="97"/>
      <c r="AB511" s="97"/>
      <c r="AC511" s="97"/>
      <c r="AD511" s="97"/>
    </row>
    <row r="512" spans="2:30" ht="11.25" customHeight="1" x14ac:dyDescent="0.45">
      <c r="B512" s="97"/>
      <c r="C512" s="97"/>
      <c r="D512" s="97"/>
      <c r="E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  <c r="AA512" s="97"/>
      <c r="AB512" s="97"/>
      <c r="AC512" s="97"/>
      <c r="AD512" s="97"/>
    </row>
    <row r="513" spans="2:30" ht="11.25" customHeight="1" x14ac:dyDescent="0.45">
      <c r="B513" s="97"/>
      <c r="C513" s="97"/>
      <c r="D513" s="97"/>
      <c r="E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  <c r="AA513" s="97"/>
      <c r="AB513" s="97"/>
      <c r="AC513" s="97"/>
      <c r="AD513" s="97"/>
    </row>
    <row r="514" spans="2:30" ht="11.25" customHeight="1" x14ac:dyDescent="0.45">
      <c r="B514" s="97"/>
      <c r="C514" s="97"/>
      <c r="D514" s="97"/>
      <c r="E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  <c r="AA514" s="97"/>
      <c r="AB514" s="97"/>
      <c r="AC514" s="97"/>
      <c r="AD514" s="97"/>
    </row>
    <row r="515" spans="2:30" ht="11.25" customHeight="1" x14ac:dyDescent="0.45">
      <c r="B515" s="97"/>
      <c r="C515" s="97"/>
      <c r="D515" s="97"/>
      <c r="E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  <c r="AA515" s="97"/>
      <c r="AB515" s="97"/>
      <c r="AC515" s="97"/>
      <c r="AD515" s="97"/>
    </row>
    <row r="516" spans="2:30" ht="11.25" customHeight="1" x14ac:dyDescent="0.45">
      <c r="B516" s="97"/>
      <c r="C516" s="97"/>
      <c r="D516" s="97"/>
      <c r="E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  <c r="AA516" s="97"/>
      <c r="AB516" s="97"/>
      <c r="AC516" s="97"/>
      <c r="AD516" s="97"/>
    </row>
    <row r="517" spans="2:30" ht="11.25" customHeight="1" x14ac:dyDescent="0.45">
      <c r="B517" s="97"/>
      <c r="C517" s="97"/>
      <c r="D517" s="97"/>
      <c r="E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  <c r="AA517" s="97"/>
      <c r="AB517" s="97"/>
      <c r="AC517" s="97"/>
      <c r="AD517" s="97"/>
    </row>
    <row r="518" spans="2:30" ht="11.25" customHeight="1" x14ac:dyDescent="0.45">
      <c r="B518" s="97"/>
      <c r="C518" s="97"/>
      <c r="D518" s="97"/>
      <c r="E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  <c r="AA518" s="97"/>
      <c r="AB518" s="97"/>
      <c r="AC518" s="97"/>
      <c r="AD518" s="97"/>
    </row>
    <row r="519" spans="2:30" ht="11.25" customHeight="1" x14ac:dyDescent="0.45">
      <c r="B519" s="97"/>
      <c r="C519" s="97"/>
      <c r="D519" s="97"/>
      <c r="E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  <c r="AA519" s="97"/>
      <c r="AB519" s="97"/>
      <c r="AC519" s="97"/>
      <c r="AD519" s="97"/>
    </row>
    <row r="520" spans="2:30" ht="11.25" customHeight="1" x14ac:dyDescent="0.45">
      <c r="B520" s="97"/>
      <c r="C520" s="97"/>
      <c r="D520" s="97"/>
      <c r="E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  <c r="AA520" s="97"/>
      <c r="AB520" s="97"/>
      <c r="AC520" s="97"/>
      <c r="AD520" s="97"/>
    </row>
    <row r="521" spans="2:30" ht="11.25" customHeight="1" x14ac:dyDescent="0.45">
      <c r="B521" s="97"/>
      <c r="C521" s="97"/>
      <c r="D521" s="97"/>
      <c r="E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  <c r="AA521" s="97"/>
      <c r="AB521" s="97"/>
      <c r="AC521" s="97"/>
      <c r="AD521" s="97"/>
    </row>
    <row r="522" spans="2:30" ht="11.25" customHeight="1" x14ac:dyDescent="0.45">
      <c r="B522" s="97"/>
      <c r="C522" s="97"/>
      <c r="D522" s="97"/>
      <c r="E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  <c r="AA522" s="97"/>
      <c r="AB522" s="97"/>
      <c r="AC522" s="97"/>
      <c r="AD522" s="97"/>
    </row>
    <row r="523" spans="2:30" ht="11.25" customHeight="1" x14ac:dyDescent="0.45">
      <c r="B523" s="97"/>
      <c r="C523" s="97"/>
      <c r="D523" s="97"/>
      <c r="E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  <c r="AA523" s="97"/>
      <c r="AB523" s="97"/>
      <c r="AC523" s="97"/>
      <c r="AD523" s="97"/>
    </row>
    <row r="524" spans="2:30" ht="11.25" customHeight="1" x14ac:dyDescent="0.45">
      <c r="B524" s="97"/>
      <c r="C524" s="97"/>
      <c r="D524" s="97"/>
      <c r="E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  <c r="AA524" s="97"/>
      <c r="AB524" s="97"/>
      <c r="AC524" s="97"/>
      <c r="AD524" s="97"/>
    </row>
    <row r="525" spans="2:30" ht="11.25" customHeight="1" x14ac:dyDescent="0.45">
      <c r="B525" s="97"/>
      <c r="C525" s="97"/>
      <c r="D525" s="97"/>
      <c r="E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  <c r="AA525" s="97"/>
      <c r="AB525" s="97"/>
      <c r="AC525" s="97"/>
      <c r="AD525" s="97"/>
    </row>
    <row r="526" spans="2:30" ht="11.25" customHeight="1" x14ac:dyDescent="0.45">
      <c r="B526" s="97"/>
      <c r="C526" s="97"/>
      <c r="D526" s="97"/>
      <c r="E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  <c r="AA526" s="97"/>
      <c r="AB526" s="97"/>
      <c r="AC526" s="97"/>
      <c r="AD526" s="97"/>
    </row>
    <row r="527" spans="2:30" ht="11.25" customHeight="1" x14ac:dyDescent="0.45">
      <c r="B527" s="97"/>
      <c r="C527" s="97"/>
      <c r="D527" s="97"/>
      <c r="E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  <c r="AA527" s="97"/>
      <c r="AB527" s="97"/>
      <c r="AC527" s="97"/>
      <c r="AD527" s="97"/>
    </row>
    <row r="528" spans="2:30" ht="11.25" customHeight="1" x14ac:dyDescent="0.45">
      <c r="B528" s="97"/>
      <c r="C528" s="97"/>
      <c r="D528" s="97"/>
      <c r="E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  <c r="AA528" s="97"/>
      <c r="AB528" s="97"/>
      <c r="AC528" s="97"/>
      <c r="AD528" s="97"/>
    </row>
    <row r="529" spans="2:30" ht="11.25" customHeight="1" x14ac:dyDescent="0.45">
      <c r="B529" s="97"/>
      <c r="C529" s="97"/>
      <c r="D529" s="97"/>
      <c r="E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  <c r="AA529" s="97"/>
      <c r="AB529" s="97"/>
      <c r="AC529" s="97"/>
      <c r="AD529" s="97"/>
    </row>
    <row r="530" spans="2:30" ht="11.25" customHeight="1" x14ac:dyDescent="0.45">
      <c r="B530" s="97"/>
      <c r="C530" s="97"/>
      <c r="D530" s="97"/>
      <c r="E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  <c r="AA530" s="97"/>
      <c r="AB530" s="97"/>
      <c r="AC530" s="97"/>
      <c r="AD530" s="97"/>
    </row>
    <row r="531" spans="2:30" ht="11.25" customHeight="1" x14ac:dyDescent="0.45">
      <c r="B531" s="97"/>
      <c r="C531" s="97"/>
      <c r="D531" s="97"/>
      <c r="E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  <c r="AA531" s="97"/>
      <c r="AB531" s="97"/>
      <c r="AC531" s="97"/>
      <c r="AD531" s="97"/>
    </row>
    <row r="532" spans="2:30" ht="11.25" customHeight="1" x14ac:dyDescent="0.45">
      <c r="B532" s="97"/>
      <c r="C532" s="97"/>
      <c r="D532" s="97"/>
      <c r="E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  <c r="AA532" s="97"/>
      <c r="AB532" s="97"/>
      <c r="AC532" s="97"/>
      <c r="AD532" s="97"/>
    </row>
    <row r="533" spans="2:30" ht="11.25" customHeight="1" x14ac:dyDescent="0.45">
      <c r="B533" s="97"/>
      <c r="C533" s="97"/>
      <c r="D533" s="97"/>
      <c r="E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  <c r="AA533" s="97"/>
      <c r="AB533" s="97"/>
      <c r="AC533" s="97"/>
      <c r="AD533" s="97"/>
    </row>
    <row r="534" spans="2:30" ht="11.25" customHeight="1" x14ac:dyDescent="0.45">
      <c r="B534" s="97"/>
      <c r="C534" s="97"/>
      <c r="D534" s="97"/>
      <c r="E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  <c r="AA534" s="97"/>
      <c r="AB534" s="97"/>
      <c r="AC534" s="97"/>
      <c r="AD534" s="97"/>
    </row>
    <row r="535" spans="2:30" ht="11.25" customHeight="1" x14ac:dyDescent="0.45">
      <c r="B535" s="97"/>
      <c r="C535" s="97"/>
      <c r="D535" s="97"/>
      <c r="E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  <c r="AA535" s="97"/>
      <c r="AB535" s="97"/>
      <c r="AC535" s="97"/>
      <c r="AD535" s="97"/>
    </row>
    <row r="536" spans="2:30" ht="11.25" customHeight="1" x14ac:dyDescent="0.45">
      <c r="B536" s="97"/>
      <c r="C536" s="97"/>
      <c r="D536" s="97"/>
      <c r="E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  <c r="AA536" s="97"/>
      <c r="AB536" s="97"/>
      <c r="AC536" s="97"/>
      <c r="AD536" s="97"/>
    </row>
    <row r="537" spans="2:30" ht="11.25" customHeight="1" x14ac:dyDescent="0.45">
      <c r="B537" s="97"/>
      <c r="C537" s="97"/>
      <c r="D537" s="97"/>
      <c r="E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  <c r="AA537" s="97"/>
      <c r="AB537" s="97"/>
      <c r="AC537" s="97"/>
      <c r="AD537" s="97"/>
    </row>
    <row r="538" spans="2:30" ht="11.25" customHeight="1" x14ac:dyDescent="0.45">
      <c r="B538" s="97"/>
      <c r="C538" s="97"/>
      <c r="D538" s="97"/>
      <c r="E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  <c r="AA538" s="97"/>
      <c r="AB538" s="97"/>
      <c r="AC538" s="97"/>
      <c r="AD538" s="97"/>
    </row>
    <row r="539" spans="2:30" ht="11.25" customHeight="1" x14ac:dyDescent="0.45">
      <c r="B539" s="97"/>
      <c r="C539" s="97"/>
      <c r="D539" s="97"/>
      <c r="E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  <c r="AA539" s="97"/>
      <c r="AB539" s="97"/>
      <c r="AC539" s="97"/>
      <c r="AD539" s="97"/>
    </row>
    <row r="540" spans="2:30" ht="11.25" customHeight="1" x14ac:dyDescent="0.45">
      <c r="B540" s="97"/>
      <c r="C540" s="97"/>
      <c r="D540" s="97"/>
      <c r="E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  <c r="AA540" s="97"/>
      <c r="AB540" s="97"/>
      <c r="AC540" s="97"/>
      <c r="AD540" s="97"/>
    </row>
    <row r="541" spans="2:30" ht="11.25" customHeight="1" x14ac:dyDescent="0.45">
      <c r="B541" s="97"/>
      <c r="C541" s="97"/>
      <c r="D541" s="97"/>
      <c r="E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  <c r="AA541" s="97"/>
      <c r="AB541" s="97"/>
      <c r="AC541" s="97"/>
      <c r="AD541" s="97"/>
    </row>
    <row r="542" spans="2:30" ht="11.25" customHeight="1" x14ac:dyDescent="0.45">
      <c r="B542" s="97"/>
      <c r="C542" s="97"/>
      <c r="D542" s="97"/>
      <c r="E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  <c r="AA542" s="97"/>
      <c r="AB542" s="97"/>
      <c r="AC542" s="97"/>
      <c r="AD542" s="97"/>
    </row>
    <row r="543" spans="2:30" ht="11.25" customHeight="1" x14ac:dyDescent="0.45">
      <c r="B543" s="97"/>
      <c r="C543" s="97"/>
      <c r="D543" s="97"/>
      <c r="E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  <c r="AA543" s="97"/>
      <c r="AB543" s="97"/>
      <c r="AC543" s="97"/>
      <c r="AD543" s="97"/>
    </row>
    <row r="544" spans="2:30" ht="11.25" customHeight="1" x14ac:dyDescent="0.45">
      <c r="B544" s="97"/>
      <c r="C544" s="97"/>
      <c r="D544" s="97"/>
      <c r="E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  <c r="AA544" s="97"/>
      <c r="AB544" s="97"/>
      <c r="AC544" s="97"/>
      <c r="AD544" s="97"/>
    </row>
    <row r="545" spans="2:30" ht="11.25" customHeight="1" x14ac:dyDescent="0.45">
      <c r="B545" s="97"/>
      <c r="C545" s="97"/>
      <c r="D545" s="97"/>
      <c r="E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  <c r="AA545" s="97"/>
      <c r="AB545" s="97"/>
      <c r="AC545" s="97"/>
      <c r="AD545" s="97"/>
    </row>
    <row r="546" spans="2:30" ht="11.25" customHeight="1" x14ac:dyDescent="0.45">
      <c r="B546" s="97"/>
      <c r="C546" s="97"/>
      <c r="D546" s="97"/>
      <c r="E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  <c r="AA546" s="97"/>
      <c r="AB546" s="97"/>
      <c r="AC546" s="97"/>
      <c r="AD546" s="97"/>
    </row>
    <row r="547" spans="2:30" ht="11.25" customHeight="1" x14ac:dyDescent="0.45">
      <c r="B547" s="97"/>
      <c r="C547" s="97"/>
      <c r="D547" s="97"/>
      <c r="E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  <c r="AA547" s="97"/>
      <c r="AB547" s="97"/>
      <c r="AC547" s="97"/>
      <c r="AD547" s="97"/>
    </row>
    <row r="548" spans="2:30" ht="11.25" customHeight="1" x14ac:dyDescent="0.45">
      <c r="B548" s="97"/>
      <c r="C548" s="97"/>
      <c r="D548" s="97"/>
      <c r="E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  <c r="AA548" s="97"/>
      <c r="AB548" s="97"/>
      <c r="AC548" s="97"/>
      <c r="AD548" s="97"/>
    </row>
    <row r="549" spans="2:30" ht="11.25" customHeight="1" x14ac:dyDescent="0.45">
      <c r="B549" s="97"/>
      <c r="C549" s="97"/>
      <c r="D549" s="97"/>
      <c r="E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  <c r="AA549" s="97"/>
      <c r="AB549" s="97"/>
      <c r="AC549" s="97"/>
      <c r="AD549" s="97"/>
    </row>
    <row r="550" spans="2:30" ht="11.25" customHeight="1" x14ac:dyDescent="0.45">
      <c r="B550" s="97"/>
      <c r="C550" s="97"/>
      <c r="D550" s="97"/>
      <c r="E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  <c r="AA550" s="97"/>
      <c r="AB550" s="97"/>
      <c r="AC550" s="97"/>
      <c r="AD550" s="97"/>
    </row>
    <row r="551" spans="2:30" ht="11.25" customHeight="1" x14ac:dyDescent="0.45">
      <c r="B551" s="97"/>
      <c r="C551" s="97"/>
      <c r="D551" s="97"/>
      <c r="E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  <c r="AA551" s="97"/>
      <c r="AB551" s="97"/>
      <c r="AC551" s="97"/>
      <c r="AD551" s="97"/>
    </row>
    <row r="552" spans="2:30" ht="11.25" customHeight="1" x14ac:dyDescent="0.45">
      <c r="B552" s="97"/>
      <c r="C552" s="97"/>
      <c r="D552" s="97"/>
      <c r="E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  <c r="AA552" s="97"/>
      <c r="AB552" s="97"/>
      <c r="AC552" s="97"/>
      <c r="AD552" s="97"/>
    </row>
    <row r="553" spans="2:30" ht="11.25" customHeight="1" x14ac:dyDescent="0.45">
      <c r="B553" s="97"/>
      <c r="C553" s="97"/>
      <c r="D553" s="97"/>
      <c r="E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  <c r="AA553" s="97"/>
      <c r="AB553" s="97"/>
      <c r="AC553" s="97"/>
      <c r="AD553" s="97"/>
    </row>
    <row r="554" spans="2:30" ht="11.25" customHeight="1" x14ac:dyDescent="0.45">
      <c r="B554" s="97"/>
      <c r="C554" s="97"/>
      <c r="D554" s="97"/>
      <c r="E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  <c r="AA554" s="97"/>
      <c r="AB554" s="97"/>
      <c r="AC554" s="97"/>
      <c r="AD554" s="97"/>
    </row>
    <row r="555" spans="2:30" ht="11.25" customHeight="1" x14ac:dyDescent="0.45">
      <c r="B555" s="97"/>
      <c r="C555" s="97"/>
      <c r="D555" s="97"/>
      <c r="E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  <c r="AA555" s="97"/>
      <c r="AB555" s="97"/>
      <c r="AC555" s="97"/>
      <c r="AD555" s="97"/>
    </row>
    <row r="556" spans="2:30" ht="11.25" customHeight="1" x14ac:dyDescent="0.45">
      <c r="B556" s="97"/>
      <c r="C556" s="97"/>
      <c r="D556" s="97"/>
      <c r="E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  <c r="AA556" s="97"/>
      <c r="AB556" s="97"/>
      <c r="AC556" s="97"/>
      <c r="AD556" s="97"/>
    </row>
    <row r="557" spans="2:30" ht="11.25" customHeight="1" x14ac:dyDescent="0.45">
      <c r="B557" s="97"/>
      <c r="C557" s="97"/>
      <c r="D557" s="97"/>
      <c r="E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  <c r="AA557" s="97"/>
      <c r="AB557" s="97"/>
      <c r="AC557" s="97"/>
      <c r="AD557" s="97"/>
    </row>
    <row r="558" spans="2:30" ht="11.25" customHeight="1" x14ac:dyDescent="0.45">
      <c r="B558" s="97"/>
      <c r="C558" s="97"/>
      <c r="D558" s="97"/>
      <c r="E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  <c r="AA558" s="97"/>
      <c r="AB558" s="97"/>
      <c r="AC558" s="97"/>
      <c r="AD558" s="97"/>
    </row>
    <row r="559" spans="2:30" ht="11.25" customHeight="1" x14ac:dyDescent="0.45">
      <c r="B559" s="97"/>
      <c r="C559" s="97"/>
      <c r="D559" s="97"/>
      <c r="E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  <c r="AA559" s="97"/>
      <c r="AB559" s="97"/>
      <c r="AC559" s="97"/>
      <c r="AD559" s="97"/>
    </row>
    <row r="560" spans="2:30" ht="11.25" customHeight="1" x14ac:dyDescent="0.45">
      <c r="B560" s="97"/>
      <c r="C560" s="97"/>
      <c r="D560" s="97"/>
      <c r="E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  <c r="AA560" s="97"/>
      <c r="AB560" s="97"/>
      <c r="AC560" s="97"/>
      <c r="AD560" s="97"/>
    </row>
    <row r="561" spans="2:30" ht="11.25" customHeight="1" x14ac:dyDescent="0.45">
      <c r="B561" s="97"/>
      <c r="C561" s="97"/>
      <c r="D561" s="97"/>
      <c r="E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  <c r="AA561" s="97"/>
      <c r="AB561" s="97"/>
      <c r="AC561" s="97"/>
      <c r="AD561" s="97"/>
    </row>
    <row r="562" spans="2:30" ht="11.25" customHeight="1" x14ac:dyDescent="0.45">
      <c r="B562" s="97"/>
      <c r="C562" s="97"/>
      <c r="D562" s="97"/>
      <c r="E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  <c r="AA562" s="97"/>
      <c r="AB562" s="97"/>
      <c r="AC562" s="97"/>
      <c r="AD562" s="97"/>
    </row>
    <row r="563" spans="2:30" ht="11.25" customHeight="1" x14ac:dyDescent="0.45">
      <c r="B563" s="97"/>
      <c r="C563" s="97"/>
      <c r="D563" s="97"/>
      <c r="E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  <c r="AA563" s="97"/>
      <c r="AB563" s="97"/>
      <c r="AC563" s="97"/>
      <c r="AD563" s="97"/>
    </row>
    <row r="564" spans="2:30" ht="11.25" customHeight="1" x14ac:dyDescent="0.45">
      <c r="B564" s="97"/>
      <c r="C564" s="97"/>
      <c r="D564" s="97"/>
      <c r="E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  <c r="AA564" s="97"/>
      <c r="AB564" s="97"/>
      <c r="AC564" s="97"/>
      <c r="AD564" s="97"/>
    </row>
    <row r="565" spans="2:30" ht="11.25" customHeight="1" x14ac:dyDescent="0.45">
      <c r="B565" s="97"/>
      <c r="C565" s="97"/>
      <c r="D565" s="97"/>
      <c r="E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  <c r="AA565" s="97"/>
      <c r="AB565" s="97"/>
      <c r="AC565" s="97"/>
      <c r="AD565" s="97"/>
    </row>
    <row r="566" spans="2:30" ht="11.25" customHeight="1" x14ac:dyDescent="0.45">
      <c r="B566" s="97"/>
      <c r="C566" s="97"/>
      <c r="D566" s="97"/>
      <c r="E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  <c r="AA566" s="97"/>
      <c r="AB566" s="97"/>
      <c r="AC566" s="97"/>
      <c r="AD566" s="97"/>
    </row>
    <row r="567" spans="2:30" ht="11.25" customHeight="1" x14ac:dyDescent="0.45">
      <c r="B567" s="97"/>
      <c r="C567" s="97"/>
      <c r="D567" s="97"/>
      <c r="E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  <c r="AA567" s="97"/>
      <c r="AB567" s="97"/>
      <c r="AC567" s="97"/>
      <c r="AD567" s="97"/>
    </row>
    <row r="568" spans="2:30" ht="11.25" customHeight="1" x14ac:dyDescent="0.45">
      <c r="B568" s="97"/>
      <c r="C568" s="97"/>
      <c r="D568" s="97"/>
      <c r="E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  <c r="AA568" s="97"/>
      <c r="AB568" s="97"/>
      <c r="AC568" s="97"/>
      <c r="AD568" s="97"/>
    </row>
    <row r="569" spans="2:30" ht="11.25" customHeight="1" x14ac:dyDescent="0.45">
      <c r="B569" s="97"/>
      <c r="C569" s="97"/>
      <c r="D569" s="97"/>
      <c r="E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  <c r="AA569" s="97"/>
      <c r="AB569" s="97"/>
      <c r="AC569" s="97"/>
      <c r="AD569" s="97"/>
    </row>
    <row r="570" spans="2:30" ht="11.25" customHeight="1" x14ac:dyDescent="0.45">
      <c r="B570" s="97"/>
      <c r="C570" s="97"/>
      <c r="D570" s="97"/>
      <c r="E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  <c r="AA570" s="97"/>
      <c r="AB570" s="97"/>
      <c r="AC570" s="97"/>
      <c r="AD570" s="97"/>
    </row>
    <row r="571" spans="2:30" ht="11.25" customHeight="1" x14ac:dyDescent="0.45">
      <c r="B571" s="97"/>
      <c r="C571" s="97"/>
      <c r="D571" s="97"/>
      <c r="E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  <c r="AA571" s="97"/>
      <c r="AB571" s="97"/>
      <c r="AC571" s="97"/>
      <c r="AD571" s="97"/>
    </row>
    <row r="572" spans="2:30" ht="11.25" customHeight="1" x14ac:dyDescent="0.45">
      <c r="B572" s="97"/>
      <c r="C572" s="97"/>
      <c r="D572" s="97"/>
      <c r="E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  <c r="AA572" s="97"/>
      <c r="AB572" s="97"/>
      <c r="AC572" s="97"/>
      <c r="AD572" s="97"/>
    </row>
    <row r="573" spans="2:30" ht="11.25" customHeight="1" x14ac:dyDescent="0.45">
      <c r="B573" s="97"/>
      <c r="C573" s="97"/>
      <c r="D573" s="97"/>
      <c r="E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  <c r="AA573" s="97"/>
      <c r="AB573" s="97"/>
      <c r="AC573" s="97"/>
      <c r="AD573" s="97"/>
    </row>
    <row r="574" spans="2:30" ht="11.25" customHeight="1" x14ac:dyDescent="0.45">
      <c r="B574" s="97"/>
      <c r="C574" s="97"/>
      <c r="D574" s="97"/>
      <c r="E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  <c r="AA574" s="97"/>
      <c r="AB574" s="97"/>
      <c r="AC574" s="97"/>
      <c r="AD574" s="97"/>
    </row>
    <row r="575" spans="2:30" ht="11.25" customHeight="1" x14ac:dyDescent="0.45">
      <c r="B575" s="97"/>
      <c r="C575" s="97"/>
      <c r="D575" s="97"/>
      <c r="E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  <c r="AA575" s="97"/>
      <c r="AB575" s="97"/>
      <c r="AC575" s="97"/>
      <c r="AD575" s="97"/>
    </row>
    <row r="576" spans="2:30" ht="11.25" customHeight="1" x14ac:dyDescent="0.45">
      <c r="B576" s="97"/>
      <c r="C576" s="97"/>
      <c r="D576" s="97"/>
      <c r="E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  <c r="AA576" s="97"/>
      <c r="AB576" s="97"/>
      <c r="AC576" s="97"/>
      <c r="AD576" s="97"/>
    </row>
    <row r="577" spans="2:30" ht="11.25" customHeight="1" x14ac:dyDescent="0.45">
      <c r="B577" s="97"/>
      <c r="C577" s="97"/>
      <c r="D577" s="97"/>
      <c r="E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  <c r="AA577" s="97"/>
      <c r="AB577" s="97"/>
      <c r="AC577" s="97"/>
      <c r="AD577" s="97"/>
    </row>
    <row r="578" spans="2:30" ht="11.25" customHeight="1" x14ac:dyDescent="0.45">
      <c r="B578" s="97"/>
      <c r="C578" s="97"/>
      <c r="D578" s="97"/>
      <c r="E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  <c r="AA578" s="97"/>
      <c r="AB578" s="97"/>
      <c r="AC578" s="97"/>
      <c r="AD578" s="97"/>
    </row>
    <row r="579" spans="2:30" ht="11.25" customHeight="1" x14ac:dyDescent="0.45">
      <c r="B579" s="97"/>
      <c r="C579" s="97"/>
      <c r="D579" s="97"/>
      <c r="E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  <c r="AA579" s="97"/>
      <c r="AB579" s="97"/>
      <c r="AC579" s="97"/>
      <c r="AD579" s="97"/>
    </row>
    <row r="580" spans="2:30" ht="11.25" customHeight="1" x14ac:dyDescent="0.45">
      <c r="B580" s="97"/>
      <c r="C580" s="97"/>
      <c r="D580" s="97"/>
      <c r="E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  <c r="AA580" s="97"/>
      <c r="AB580" s="97"/>
      <c r="AC580" s="97"/>
      <c r="AD580" s="97"/>
    </row>
    <row r="581" spans="2:30" ht="11.25" customHeight="1" x14ac:dyDescent="0.45">
      <c r="B581" s="97"/>
      <c r="C581" s="97"/>
      <c r="D581" s="97"/>
      <c r="E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  <c r="AA581" s="97"/>
      <c r="AB581" s="97"/>
      <c r="AC581" s="97"/>
      <c r="AD581" s="97"/>
    </row>
    <row r="582" spans="2:30" ht="11.25" customHeight="1" x14ac:dyDescent="0.45">
      <c r="B582" s="97"/>
      <c r="C582" s="97"/>
      <c r="D582" s="97"/>
      <c r="E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  <c r="AA582" s="97"/>
      <c r="AB582" s="97"/>
      <c r="AC582" s="97"/>
      <c r="AD582" s="97"/>
    </row>
    <row r="583" spans="2:30" ht="11.25" customHeight="1" x14ac:dyDescent="0.45">
      <c r="B583" s="97"/>
      <c r="C583" s="97"/>
      <c r="D583" s="97"/>
      <c r="E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  <c r="AA583" s="97"/>
      <c r="AB583" s="97"/>
      <c r="AC583" s="97"/>
      <c r="AD583" s="97"/>
    </row>
    <row r="584" spans="2:30" ht="11.25" customHeight="1" x14ac:dyDescent="0.45">
      <c r="B584" s="97"/>
      <c r="C584" s="97"/>
      <c r="D584" s="97"/>
      <c r="E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  <c r="AA584" s="97"/>
      <c r="AB584" s="97"/>
      <c r="AC584" s="97"/>
      <c r="AD584" s="97"/>
    </row>
    <row r="585" spans="2:30" ht="11.25" customHeight="1" x14ac:dyDescent="0.45">
      <c r="B585" s="97"/>
      <c r="C585" s="97"/>
      <c r="D585" s="97"/>
      <c r="E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  <c r="AA585" s="97"/>
      <c r="AB585" s="97"/>
      <c r="AC585" s="97"/>
      <c r="AD585" s="97"/>
    </row>
    <row r="586" spans="2:30" ht="11.25" customHeight="1" x14ac:dyDescent="0.45">
      <c r="B586" s="97"/>
      <c r="C586" s="97"/>
      <c r="D586" s="97"/>
      <c r="E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  <c r="AA586" s="97"/>
      <c r="AB586" s="97"/>
      <c r="AC586" s="97"/>
      <c r="AD586" s="97"/>
    </row>
    <row r="587" spans="2:30" ht="11.25" customHeight="1" x14ac:dyDescent="0.45">
      <c r="B587" s="97"/>
      <c r="C587" s="97"/>
      <c r="D587" s="97"/>
      <c r="E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  <c r="AA587" s="97"/>
      <c r="AB587" s="97"/>
      <c r="AC587" s="97"/>
      <c r="AD587" s="97"/>
    </row>
    <row r="588" spans="2:30" ht="11.25" customHeight="1" x14ac:dyDescent="0.45">
      <c r="B588" s="97"/>
      <c r="C588" s="97"/>
      <c r="D588" s="97"/>
      <c r="E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  <c r="AA588" s="97"/>
      <c r="AB588" s="97"/>
      <c r="AC588" s="97"/>
      <c r="AD588" s="97"/>
    </row>
    <row r="589" spans="2:30" ht="11.25" customHeight="1" x14ac:dyDescent="0.45">
      <c r="B589" s="97"/>
      <c r="C589" s="97"/>
      <c r="D589" s="97"/>
      <c r="E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  <c r="AA589" s="97"/>
      <c r="AB589" s="97"/>
      <c r="AC589" s="97"/>
      <c r="AD589" s="97"/>
    </row>
    <row r="590" spans="2:30" ht="11.25" customHeight="1" x14ac:dyDescent="0.45">
      <c r="B590" s="97"/>
      <c r="C590" s="97"/>
      <c r="D590" s="97"/>
      <c r="E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  <c r="AA590" s="97"/>
      <c r="AB590" s="97"/>
      <c r="AC590" s="97"/>
      <c r="AD590" s="97"/>
    </row>
    <row r="591" spans="2:30" ht="11.25" customHeight="1" x14ac:dyDescent="0.45">
      <c r="B591" s="97"/>
      <c r="C591" s="97"/>
      <c r="D591" s="97"/>
      <c r="E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  <c r="AA591" s="97"/>
      <c r="AB591" s="97"/>
      <c r="AC591" s="97"/>
      <c r="AD591" s="97"/>
    </row>
    <row r="592" spans="2:30" ht="11.25" customHeight="1" x14ac:dyDescent="0.45">
      <c r="B592" s="97"/>
      <c r="C592" s="97"/>
      <c r="D592" s="97"/>
      <c r="E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  <c r="AA592" s="97"/>
      <c r="AB592" s="97"/>
      <c r="AC592" s="97"/>
      <c r="AD592" s="97"/>
    </row>
    <row r="593" spans="2:30" ht="11.25" customHeight="1" x14ac:dyDescent="0.45">
      <c r="B593" s="97"/>
      <c r="C593" s="97"/>
      <c r="D593" s="97"/>
      <c r="E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  <c r="AA593" s="97"/>
      <c r="AB593" s="97"/>
      <c r="AC593" s="97"/>
      <c r="AD593" s="97"/>
    </row>
    <row r="594" spans="2:30" ht="11.25" customHeight="1" x14ac:dyDescent="0.45">
      <c r="B594" s="97"/>
      <c r="C594" s="97"/>
      <c r="D594" s="97"/>
      <c r="E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  <c r="AA594" s="97"/>
      <c r="AB594" s="97"/>
      <c r="AC594" s="97"/>
      <c r="AD594" s="97"/>
    </row>
    <row r="595" spans="2:30" ht="11.25" customHeight="1" x14ac:dyDescent="0.45">
      <c r="B595" s="97"/>
      <c r="C595" s="97"/>
      <c r="D595" s="97"/>
      <c r="E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  <c r="AA595" s="97"/>
      <c r="AB595" s="97"/>
      <c r="AC595" s="97"/>
      <c r="AD595" s="97"/>
    </row>
    <row r="596" spans="2:30" ht="11.25" customHeight="1" x14ac:dyDescent="0.45">
      <c r="B596" s="97"/>
      <c r="C596" s="97"/>
      <c r="D596" s="97"/>
      <c r="E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  <c r="AA596" s="97"/>
      <c r="AB596" s="97"/>
      <c r="AC596" s="97"/>
      <c r="AD596" s="97"/>
    </row>
    <row r="597" spans="2:30" ht="11.25" customHeight="1" x14ac:dyDescent="0.45">
      <c r="B597" s="97"/>
      <c r="C597" s="97"/>
      <c r="D597" s="97"/>
      <c r="E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  <c r="AA597" s="97"/>
      <c r="AB597" s="97"/>
      <c r="AC597" s="97"/>
      <c r="AD597" s="97"/>
    </row>
    <row r="598" spans="2:30" ht="11.25" customHeight="1" x14ac:dyDescent="0.45">
      <c r="B598" s="97"/>
      <c r="C598" s="97"/>
      <c r="D598" s="97"/>
      <c r="E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  <c r="AA598" s="97"/>
      <c r="AB598" s="97"/>
      <c r="AC598" s="97"/>
      <c r="AD598" s="97"/>
    </row>
    <row r="599" spans="2:30" ht="11.25" customHeight="1" x14ac:dyDescent="0.45">
      <c r="B599" s="97"/>
      <c r="C599" s="97"/>
      <c r="D599" s="97"/>
      <c r="E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  <c r="AA599" s="97"/>
      <c r="AB599" s="97"/>
      <c r="AC599" s="97"/>
      <c r="AD599" s="97"/>
    </row>
    <row r="600" spans="2:30" ht="11.25" customHeight="1" x14ac:dyDescent="0.45">
      <c r="B600" s="97"/>
      <c r="C600" s="97"/>
      <c r="D600" s="97"/>
      <c r="E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  <c r="AA600" s="97"/>
      <c r="AB600" s="97"/>
      <c r="AC600" s="97"/>
      <c r="AD600" s="97"/>
    </row>
    <row r="601" spans="2:30" ht="11.25" customHeight="1" x14ac:dyDescent="0.45">
      <c r="B601" s="97"/>
      <c r="C601" s="97"/>
      <c r="D601" s="97"/>
      <c r="E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  <c r="AA601" s="97"/>
      <c r="AB601" s="97"/>
      <c r="AC601" s="97"/>
      <c r="AD601" s="97"/>
    </row>
    <row r="602" spans="2:30" ht="11.25" customHeight="1" x14ac:dyDescent="0.45">
      <c r="B602" s="97"/>
      <c r="C602" s="97"/>
      <c r="D602" s="97"/>
      <c r="E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  <c r="AA602" s="97"/>
      <c r="AB602" s="97"/>
      <c r="AC602" s="97"/>
      <c r="AD602" s="97"/>
    </row>
    <row r="603" spans="2:30" ht="11.25" customHeight="1" x14ac:dyDescent="0.45">
      <c r="B603" s="97"/>
      <c r="C603" s="97"/>
      <c r="D603" s="97"/>
      <c r="E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  <c r="AA603" s="97"/>
      <c r="AB603" s="97"/>
      <c r="AC603" s="97"/>
      <c r="AD603" s="97"/>
    </row>
    <row r="604" spans="2:30" ht="11.25" customHeight="1" x14ac:dyDescent="0.45">
      <c r="B604" s="97"/>
      <c r="C604" s="97"/>
      <c r="D604" s="97"/>
      <c r="E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  <c r="AA604" s="97"/>
      <c r="AB604" s="97"/>
      <c r="AC604" s="97"/>
      <c r="AD604" s="97"/>
    </row>
    <row r="605" spans="2:30" ht="11.25" customHeight="1" x14ac:dyDescent="0.45">
      <c r="B605" s="97"/>
      <c r="C605" s="97"/>
      <c r="D605" s="97"/>
      <c r="E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  <c r="AA605" s="97"/>
      <c r="AB605" s="97"/>
      <c r="AC605" s="97"/>
      <c r="AD605" s="97"/>
    </row>
    <row r="606" spans="2:30" ht="11.25" customHeight="1" x14ac:dyDescent="0.45">
      <c r="B606" s="97"/>
      <c r="C606" s="97"/>
      <c r="D606" s="97"/>
      <c r="E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  <c r="AA606" s="97"/>
      <c r="AB606" s="97"/>
      <c r="AC606" s="97"/>
      <c r="AD606" s="97"/>
    </row>
    <row r="607" spans="2:30" ht="11.25" customHeight="1" x14ac:dyDescent="0.45">
      <c r="B607" s="97"/>
      <c r="C607" s="97"/>
      <c r="D607" s="97"/>
      <c r="E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  <c r="AA607" s="97"/>
      <c r="AB607" s="97"/>
      <c r="AC607" s="97"/>
      <c r="AD607" s="97"/>
    </row>
    <row r="608" spans="2:30" ht="11.25" customHeight="1" x14ac:dyDescent="0.45">
      <c r="B608" s="97"/>
      <c r="C608" s="97"/>
      <c r="D608" s="97"/>
      <c r="E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  <c r="AA608" s="97"/>
      <c r="AB608" s="97"/>
      <c r="AC608" s="97"/>
      <c r="AD608" s="97"/>
    </row>
    <row r="609" spans="2:30" ht="11.25" customHeight="1" x14ac:dyDescent="0.45">
      <c r="B609" s="97"/>
      <c r="C609" s="97"/>
      <c r="D609" s="97"/>
      <c r="E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  <c r="AA609" s="97"/>
      <c r="AB609" s="97"/>
      <c r="AC609" s="97"/>
      <c r="AD609" s="97"/>
    </row>
    <row r="610" spans="2:30" ht="11.25" customHeight="1" x14ac:dyDescent="0.45">
      <c r="B610" s="97"/>
      <c r="C610" s="97"/>
      <c r="D610" s="97"/>
      <c r="E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  <c r="AA610" s="97"/>
      <c r="AB610" s="97"/>
      <c r="AC610" s="97"/>
      <c r="AD610" s="97"/>
    </row>
    <row r="611" spans="2:30" ht="11.25" customHeight="1" x14ac:dyDescent="0.45">
      <c r="B611" s="97"/>
      <c r="C611" s="97"/>
      <c r="D611" s="97"/>
      <c r="E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  <c r="AA611" s="97"/>
      <c r="AB611" s="97"/>
      <c r="AC611" s="97"/>
      <c r="AD611" s="97"/>
    </row>
    <row r="612" spans="2:30" ht="11.25" customHeight="1" x14ac:dyDescent="0.45">
      <c r="B612" s="97"/>
      <c r="C612" s="97"/>
      <c r="D612" s="97"/>
      <c r="E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  <c r="AA612" s="97"/>
      <c r="AB612" s="97"/>
      <c r="AC612" s="97"/>
      <c r="AD612" s="97"/>
    </row>
    <row r="613" spans="2:30" ht="11.25" customHeight="1" x14ac:dyDescent="0.45">
      <c r="B613" s="97"/>
      <c r="C613" s="97"/>
      <c r="D613" s="97"/>
      <c r="E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  <c r="AA613" s="97"/>
      <c r="AB613" s="97"/>
      <c r="AC613" s="97"/>
      <c r="AD613" s="97"/>
    </row>
    <row r="614" spans="2:30" ht="11.25" customHeight="1" x14ac:dyDescent="0.45">
      <c r="B614" s="97"/>
      <c r="C614" s="97"/>
      <c r="D614" s="97"/>
      <c r="E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  <c r="AA614" s="97"/>
      <c r="AB614" s="97"/>
      <c r="AC614" s="97"/>
      <c r="AD614" s="97"/>
    </row>
    <row r="615" spans="2:30" ht="11.25" customHeight="1" x14ac:dyDescent="0.45">
      <c r="B615" s="97"/>
      <c r="C615" s="97"/>
      <c r="D615" s="97"/>
      <c r="E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  <c r="AA615" s="97"/>
      <c r="AB615" s="97"/>
      <c r="AC615" s="97"/>
      <c r="AD615" s="97"/>
    </row>
    <row r="616" spans="2:30" ht="11.25" customHeight="1" x14ac:dyDescent="0.45">
      <c r="B616" s="97"/>
      <c r="C616" s="97"/>
      <c r="D616" s="97"/>
      <c r="E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  <c r="AA616" s="97"/>
      <c r="AB616" s="97"/>
      <c r="AC616" s="97"/>
      <c r="AD616" s="97"/>
    </row>
    <row r="617" spans="2:30" ht="11.25" customHeight="1" x14ac:dyDescent="0.45">
      <c r="B617" s="97"/>
      <c r="C617" s="97"/>
      <c r="D617" s="97"/>
      <c r="E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  <c r="AA617" s="97"/>
      <c r="AB617" s="97"/>
      <c r="AC617" s="97"/>
      <c r="AD617" s="97"/>
    </row>
    <row r="618" spans="2:30" ht="11.25" customHeight="1" x14ac:dyDescent="0.45">
      <c r="B618" s="97"/>
      <c r="C618" s="97"/>
      <c r="D618" s="97"/>
      <c r="E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  <c r="AA618" s="97"/>
      <c r="AB618" s="97"/>
      <c r="AC618" s="97"/>
      <c r="AD618" s="97"/>
    </row>
    <row r="619" spans="2:30" ht="11.25" customHeight="1" x14ac:dyDescent="0.45">
      <c r="B619" s="97"/>
      <c r="C619" s="97"/>
      <c r="D619" s="97"/>
      <c r="E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  <c r="AA619" s="97"/>
      <c r="AB619" s="97"/>
      <c r="AC619" s="97"/>
      <c r="AD619" s="97"/>
    </row>
    <row r="620" spans="2:30" ht="11.25" customHeight="1" x14ac:dyDescent="0.45">
      <c r="B620" s="97"/>
      <c r="C620" s="97"/>
      <c r="D620" s="97"/>
      <c r="E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  <c r="AA620" s="97"/>
      <c r="AB620" s="97"/>
      <c r="AC620" s="97"/>
      <c r="AD620" s="97"/>
    </row>
    <row r="621" spans="2:30" ht="11.25" customHeight="1" x14ac:dyDescent="0.45">
      <c r="B621" s="97"/>
      <c r="C621" s="97"/>
      <c r="D621" s="97"/>
      <c r="E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  <c r="AA621" s="97"/>
      <c r="AB621" s="97"/>
      <c r="AC621" s="97"/>
      <c r="AD621" s="97"/>
    </row>
    <row r="622" spans="2:30" ht="11.25" customHeight="1" x14ac:dyDescent="0.45">
      <c r="B622" s="97"/>
      <c r="C622" s="97"/>
      <c r="D622" s="97"/>
      <c r="E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  <c r="AA622" s="97"/>
      <c r="AB622" s="97"/>
      <c r="AC622" s="97"/>
      <c r="AD622" s="97"/>
    </row>
    <row r="623" spans="2:30" ht="11.25" customHeight="1" x14ac:dyDescent="0.45">
      <c r="B623" s="97"/>
      <c r="C623" s="97"/>
      <c r="D623" s="97"/>
      <c r="E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  <c r="AA623" s="97"/>
      <c r="AB623" s="97"/>
      <c r="AC623" s="97"/>
      <c r="AD623" s="97"/>
    </row>
    <row r="624" spans="2:30" ht="11.25" customHeight="1" x14ac:dyDescent="0.45">
      <c r="B624" s="97"/>
      <c r="C624" s="97"/>
      <c r="D624" s="97"/>
      <c r="E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  <c r="AA624" s="97"/>
      <c r="AB624" s="97"/>
      <c r="AC624" s="97"/>
      <c r="AD624" s="97"/>
    </row>
    <row r="625" spans="2:30" ht="11.25" customHeight="1" x14ac:dyDescent="0.45">
      <c r="B625" s="97"/>
      <c r="C625" s="97"/>
      <c r="D625" s="97"/>
      <c r="E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  <c r="AA625" s="97"/>
      <c r="AB625" s="97"/>
      <c r="AC625" s="97"/>
      <c r="AD625" s="97"/>
    </row>
    <row r="626" spans="2:30" ht="11.25" customHeight="1" x14ac:dyDescent="0.45">
      <c r="B626" s="97"/>
      <c r="C626" s="97"/>
      <c r="D626" s="97"/>
      <c r="E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  <c r="AA626" s="97"/>
      <c r="AB626" s="97"/>
      <c r="AC626" s="97"/>
      <c r="AD626" s="97"/>
    </row>
    <row r="627" spans="2:30" ht="11.25" customHeight="1" x14ac:dyDescent="0.45">
      <c r="B627" s="97"/>
      <c r="C627" s="97"/>
      <c r="D627" s="97"/>
      <c r="E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  <c r="AA627" s="97"/>
      <c r="AB627" s="97"/>
      <c r="AC627" s="97"/>
      <c r="AD627" s="97"/>
    </row>
    <row r="628" spans="2:30" ht="11.25" customHeight="1" x14ac:dyDescent="0.45">
      <c r="B628" s="97"/>
      <c r="C628" s="97"/>
      <c r="D628" s="97"/>
      <c r="E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  <c r="AA628" s="97"/>
      <c r="AB628" s="97"/>
      <c r="AC628" s="97"/>
      <c r="AD628" s="97"/>
    </row>
    <row r="629" spans="2:30" ht="11.25" customHeight="1" x14ac:dyDescent="0.45">
      <c r="B629" s="97"/>
      <c r="C629" s="97"/>
      <c r="D629" s="97"/>
      <c r="E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  <c r="AA629" s="97"/>
      <c r="AB629" s="97"/>
      <c r="AC629" s="97"/>
      <c r="AD629" s="97"/>
    </row>
    <row r="630" spans="2:30" ht="11.25" customHeight="1" x14ac:dyDescent="0.45">
      <c r="B630" s="97"/>
      <c r="C630" s="97"/>
      <c r="D630" s="97"/>
      <c r="E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  <c r="AA630" s="97"/>
      <c r="AB630" s="97"/>
      <c r="AC630" s="97"/>
      <c r="AD630" s="97"/>
    </row>
    <row r="631" spans="2:30" ht="11.25" customHeight="1" x14ac:dyDescent="0.45">
      <c r="B631" s="97"/>
      <c r="C631" s="97"/>
      <c r="D631" s="97"/>
      <c r="E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  <c r="AA631" s="97"/>
      <c r="AB631" s="97"/>
      <c r="AC631" s="97"/>
      <c r="AD631" s="97"/>
    </row>
    <row r="632" spans="2:30" ht="11.25" customHeight="1" x14ac:dyDescent="0.45">
      <c r="B632" s="97"/>
      <c r="C632" s="97"/>
      <c r="D632" s="97"/>
      <c r="E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  <c r="AA632" s="97"/>
      <c r="AB632" s="97"/>
      <c r="AC632" s="97"/>
      <c r="AD632" s="97"/>
    </row>
    <row r="633" spans="2:30" ht="11.25" customHeight="1" x14ac:dyDescent="0.45">
      <c r="B633" s="97"/>
      <c r="C633" s="97"/>
      <c r="D633" s="97"/>
      <c r="E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  <c r="AA633" s="97"/>
      <c r="AB633" s="97"/>
      <c r="AC633" s="97"/>
      <c r="AD633" s="97"/>
    </row>
    <row r="634" spans="2:30" ht="11.25" customHeight="1" x14ac:dyDescent="0.45">
      <c r="B634" s="97"/>
      <c r="C634" s="97"/>
      <c r="D634" s="97"/>
      <c r="E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  <c r="AA634" s="97"/>
      <c r="AB634" s="97"/>
      <c r="AC634" s="97"/>
      <c r="AD634" s="97"/>
    </row>
    <row r="635" spans="2:30" ht="11.25" customHeight="1" x14ac:dyDescent="0.45">
      <c r="B635" s="97"/>
      <c r="C635" s="97"/>
      <c r="D635" s="97"/>
      <c r="E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  <c r="AA635" s="97"/>
      <c r="AB635" s="97"/>
      <c r="AC635" s="97"/>
      <c r="AD635" s="97"/>
    </row>
    <row r="636" spans="2:30" ht="11.25" customHeight="1" x14ac:dyDescent="0.45">
      <c r="B636" s="97"/>
      <c r="C636" s="97"/>
      <c r="D636" s="97"/>
      <c r="E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  <c r="AA636" s="97"/>
      <c r="AB636" s="97"/>
      <c r="AC636" s="97"/>
      <c r="AD636" s="97"/>
    </row>
    <row r="637" spans="2:30" ht="11.25" customHeight="1" x14ac:dyDescent="0.45">
      <c r="B637" s="97"/>
      <c r="C637" s="97"/>
      <c r="D637" s="97"/>
      <c r="E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  <c r="AA637" s="97"/>
      <c r="AB637" s="97"/>
      <c r="AC637" s="97"/>
      <c r="AD637" s="97"/>
    </row>
    <row r="638" spans="2:30" ht="11.25" customHeight="1" x14ac:dyDescent="0.45">
      <c r="B638" s="97"/>
      <c r="C638" s="97"/>
      <c r="D638" s="97"/>
      <c r="E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  <c r="AA638" s="97"/>
      <c r="AB638" s="97"/>
      <c r="AC638" s="97"/>
      <c r="AD638" s="97"/>
    </row>
    <row r="639" spans="2:30" ht="11.25" customHeight="1" x14ac:dyDescent="0.45">
      <c r="B639" s="97"/>
      <c r="C639" s="97"/>
      <c r="D639" s="97"/>
      <c r="E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  <c r="AA639" s="97"/>
      <c r="AB639" s="97"/>
      <c r="AC639" s="97"/>
      <c r="AD639" s="97"/>
    </row>
    <row r="640" spans="2:30" ht="11.25" customHeight="1" x14ac:dyDescent="0.45">
      <c r="B640" s="97"/>
      <c r="C640" s="97"/>
      <c r="D640" s="97"/>
      <c r="E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  <c r="AA640" s="97"/>
      <c r="AB640" s="97"/>
      <c r="AC640" s="97"/>
      <c r="AD640" s="97"/>
    </row>
    <row r="641" spans="2:30" ht="11.25" customHeight="1" x14ac:dyDescent="0.45">
      <c r="B641" s="97"/>
      <c r="C641" s="97"/>
      <c r="D641" s="97"/>
      <c r="E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  <c r="AA641" s="97"/>
      <c r="AB641" s="97"/>
      <c r="AC641" s="97"/>
      <c r="AD641" s="97"/>
    </row>
    <row r="642" spans="2:30" ht="11.25" customHeight="1" x14ac:dyDescent="0.45">
      <c r="B642" s="97"/>
      <c r="C642" s="97"/>
      <c r="D642" s="97"/>
      <c r="E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  <c r="AA642" s="97"/>
      <c r="AB642" s="97"/>
      <c r="AC642" s="97"/>
      <c r="AD642" s="97"/>
    </row>
    <row r="643" spans="2:30" ht="11.25" customHeight="1" x14ac:dyDescent="0.45">
      <c r="B643" s="97"/>
      <c r="C643" s="97"/>
      <c r="D643" s="97"/>
      <c r="E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  <c r="AA643" s="97"/>
      <c r="AB643" s="97"/>
      <c r="AC643" s="97"/>
      <c r="AD643" s="97"/>
    </row>
    <row r="644" spans="2:30" ht="11.25" customHeight="1" x14ac:dyDescent="0.45">
      <c r="B644" s="97"/>
      <c r="C644" s="97"/>
      <c r="D644" s="97"/>
      <c r="E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  <c r="AA644" s="97"/>
      <c r="AB644" s="97"/>
      <c r="AC644" s="97"/>
      <c r="AD644" s="97"/>
    </row>
    <row r="645" spans="2:30" ht="11.25" customHeight="1" x14ac:dyDescent="0.45">
      <c r="B645" s="97"/>
      <c r="C645" s="97"/>
      <c r="D645" s="97"/>
      <c r="E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  <c r="AA645" s="97"/>
      <c r="AB645" s="97"/>
      <c r="AC645" s="97"/>
      <c r="AD645" s="97"/>
    </row>
    <row r="646" spans="2:30" ht="11.25" customHeight="1" x14ac:dyDescent="0.45">
      <c r="B646" s="97"/>
      <c r="C646" s="97"/>
      <c r="D646" s="97"/>
      <c r="E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  <c r="AA646" s="97"/>
      <c r="AB646" s="97"/>
      <c r="AC646" s="97"/>
      <c r="AD646" s="97"/>
    </row>
    <row r="647" spans="2:30" ht="11.25" customHeight="1" x14ac:dyDescent="0.45">
      <c r="B647" s="97"/>
      <c r="C647" s="97"/>
      <c r="D647" s="97"/>
      <c r="E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  <c r="AA647" s="97"/>
      <c r="AB647" s="97"/>
      <c r="AC647" s="97"/>
      <c r="AD647" s="97"/>
    </row>
    <row r="648" spans="2:30" ht="11.25" customHeight="1" x14ac:dyDescent="0.45">
      <c r="B648" s="97"/>
      <c r="C648" s="97"/>
      <c r="D648" s="97"/>
      <c r="E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  <c r="AA648" s="97"/>
      <c r="AB648" s="97"/>
      <c r="AC648" s="97"/>
      <c r="AD648" s="97"/>
    </row>
    <row r="649" spans="2:30" ht="11.25" customHeight="1" x14ac:dyDescent="0.45">
      <c r="B649" s="97"/>
      <c r="C649" s="97"/>
      <c r="D649" s="97"/>
      <c r="E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  <c r="AA649" s="97"/>
      <c r="AB649" s="97"/>
      <c r="AC649" s="97"/>
      <c r="AD649" s="97"/>
    </row>
    <row r="650" spans="2:30" ht="11.25" customHeight="1" x14ac:dyDescent="0.45">
      <c r="B650" s="97"/>
      <c r="C650" s="97"/>
      <c r="D650" s="97"/>
      <c r="E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  <c r="AA650" s="97"/>
      <c r="AB650" s="97"/>
      <c r="AC650" s="97"/>
      <c r="AD650" s="97"/>
    </row>
    <row r="651" spans="2:30" ht="11.25" customHeight="1" x14ac:dyDescent="0.45">
      <c r="B651" s="97"/>
      <c r="C651" s="97"/>
      <c r="D651" s="97"/>
      <c r="E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  <c r="AA651" s="97"/>
      <c r="AB651" s="97"/>
      <c r="AC651" s="97"/>
      <c r="AD651" s="97"/>
    </row>
    <row r="652" spans="2:30" ht="11.25" customHeight="1" x14ac:dyDescent="0.45">
      <c r="B652" s="97"/>
      <c r="C652" s="97"/>
      <c r="D652" s="97"/>
      <c r="E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  <c r="AA652" s="97"/>
      <c r="AB652" s="97"/>
      <c r="AC652" s="97"/>
      <c r="AD652" s="97"/>
    </row>
    <row r="653" spans="2:30" ht="11.25" customHeight="1" x14ac:dyDescent="0.45">
      <c r="B653" s="97"/>
      <c r="C653" s="97"/>
      <c r="D653" s="97"/>
      <c r="E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  <c r="AA653" s="97"/>
      <c r="AB653" s="97"/>
      <c r="AC653" s="97"/>
      <c r="AD653" s="97"/>
    </row>
    <row r="654" spans="2:30" ht="11.25" customHeight="1" x14ac:dyDescent="0.45">
      <c r="B654" s="97"/>
      <c r="C654" s="97"/>
      <c r="D654" s="97"/>
      <c r="E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  <c r="AA654" s="97"/>
      <c r="AB654" s="97"/>
      <c r="AC654" s="97"/>
      <c r="AD654" s="97"/>
    </row>
    <row r="655" spans="2:30" ht="11.25" customHeight="1" x14ac:dyDescent="0.45">
      <c r="B655" s="97"/>
      <c r="C655" s="97"/>
      <c r="D655" s="97"/>
      <c r="E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  <c r="AA655" s="97"/>
      <c r="AB655" s="97"/>
      <c r="AC655" s="97"/>
      <c r="AD655" s="97"/>
    </row>
    <row r="656" spans="2:30" ht="11.25" customHeight="1" x14ac:dyDescent="0.45">
      <c r="B656" s="97"/>
      <c r="C656" s="97"/>
      <c r="D656" s="97"/>
      <c r="E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  <c r="AA656" s="97"/>
      <c r="AB656" s="97"/>
      <c r="AC656" s="97"/>
      <c r="AD656" s="97"/>
    </row>
    <row r="657" spans="2:30" ht="11.25" customHeight="1" x14ac:dyDescent="0.45">
      <c r="B657" s="97"/>
      <c r="C657" s="97"/>
      <c r="D657" s="97"/>
      <c r="E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  <c r="AA657" s="97"/>
      <c r="AB657" s="97"/>
      <c r="AC657" s="97"/>
      <c r="AD657" s="97"/>
    </row>
    <row r="658" spans="2:30" ht="11.25" customHeight="1" x14ac:dyDescent="0.45">
      <c r="B658" s="97"/>
      <c r="C658" s="97"/>
      <c r="D658" s="97"/>
      <c r="E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  <c r="AA658" s="97"/>
      <c r="AB658" s="97"/>
      <c r="AC658" s="97"/>
      <c r="AD658" s="97"/>
    </row>
    <row r="659" spans="2:30" ht="11.25" customHeight="1" x14ac:dyDescent="0.45">
      <c r="B659" s="97"/>
      <c r="C659" s="97"/>
      <c r="D659" s="97"/>
      <c r="E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  <c r="AA659" s="97"/>
      <c r="AB659" s="97"/>
      <c r="AC659" s="97"/>
      <c r="AD659" s="97"/>
    </row>
    <row r="660" spans="2:30" ht="11.25" customHeight="1" x14ac:dyDescent="0.45">
      <c r="B660" s="97"/>
      <c r="C660" s="97"/>
      <c r="D660" s="97"/>
      <c r="E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  <c r="AA660" s="97"/>
      <c r="AB660" s="97"/>
      <c r="AC660" s="97"/>
      <c r="AD660" s="97"/>
    </row>
    <row r="661" spans="2:30" ht="11.25" customHeight="1" x14ac:dyDescent="0.45">
      <c r="B661" s="97"/>
      <c r="C661" s="97"/>
      <c r="D661" s="97"/>
      <c r="E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  <c r="AA661" s="97"/>
      <c r="AB661" s="97"/>
      <c r="AC661" s="97"/>
      <c r="AD661" s="97"/>
    </row>
    <row r="662" spans="2:30" ht="11.25" customHeight="1" x14ac:dyDescent="0.45">
      <c r="B662" s="97"/>
      <c r="C662" s="97"/>
      <c r="D662" s="97"/>
      <c r="E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  <c r="AA662" s="97"/>
      <c r="AB662" s="97"/>
      <c r="AC662" s="97"/>
      <c r="AD662" s="97"/>
    </row>
    <row r="663" spans="2:30" ht="11.25" customHeight="1" x14ac:dyDescent="0.45">
      <c r="B663" s="97"/>
      <c r="C663" s="97"/>
      <c r="D663" s="97"/>
      <c r="E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  <c r="AA663" s="97"/>
      <c r="AB663" s="97"/>
      <c r="AC663" s="97"/>
      <c r="AD663" s="97"/>
    </row>
    <row r="664" spans="2:30" ht="11.25" customHeight="1" x14ac:dyDescent="0.45">
      <c r="B664" s="97"/>
      <c r="C664" s="97"/>
      <c r="D664" s="97"/>
      <c r="E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  <c r="AA664" s="97"/>
      <c r="AB664" s="97"/>
      <c r="AC664" s="97"/>
      <c r="AD664" s="97"/>
    </row>
    <row r="665" spans="2:30" ht="11.25" customHeight="1" x14ac:dyDescent="0.45">
      <c r="B665" s="97"/>
      <c r="C665" s="97"/>
      <c r="D665" s="97"/>
      <c r="E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  <c r="AA665" s="97"/>
      <c r="AB665" s="97"/>
      <c r="AC665" s="97"/>
      <c r="AD665" s="97"/>
    </row>
    <row r="666" spans="2:30" ht="11.25" customHeight="1" x14ac:dyDescent="0.45">
      <c r="B666" s="97"/>
      <c r="C666" s="97"/>
      <c r="D666" s="97"/>
      <c r="E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  <c r="AA666" s="97"/>
      <c r="AB666" s="97"/>
      <c r="AC666" s="97"/>
      <c r="AD666" s="97"/>
    </row>
    <row r="667" spans="2:30" ht="11.25" customHeight="1" x14ac:dyDescent="0.45">
      <c r="B667" s="97"/>
      <c r="C667" s="97"/>
      <c r="D667" s="97"/>
      <c r="E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  <c r="AA667" s="97"/>
      <c r="AB667" s="97"/>
      <c r="AC667" s="97"/>
      <c r="AD667" s="97"/>
    </row>
    <row r="668" spans="2:30" ht="11.25" customHeight="1" x14ac:dyDescent="0.45">
      <c r="B668" s="97"/>
      <c r="C668" s="97"/>
      <c r="D668" s="97"/>
      <c r="E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  <c r="AA668" s="97"/>
      <c r="AB668" s="97"/>
      <c r="AC668" s="97"/>
      <c r="AD668" s="97"/>
    </row>
    <row r="669" spans="2:30" ht="11.25" customHeight="1" x14ac:dyDescent="0.45">
      <c r="B669" s="97"/>
      <c r="C669" s="97"/>
      <c r="D669" s="97"/>
      <c r="E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  <c r="AA669" s="97"/>
      <c r="AB669" s="97"/>
      <c r="AC669" s="97"/>
      <c r="AD669" s="97"/>
    </row>
    <row r="670" spans="2:30" ht="11.25" customHeight="1" x14ac:dyDescent="0.45">
      <c r="B670" s="97"/>
      <c r="C670" s="97"/>
      <c r="D670" s="97"/>
      <c r="E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  <c r="AA670" s="97"/>
      <c r="AB670" s="97"/>
      <c r="AC670" s="97"/>
      <c r="AD670" s="97"/>
    </row>
    <row r="671" spans="2:30" ht="11.25" customHeight="1" x14ac:dyDescent="0.45">
      <c r="B671" s="97"/>
      <c r="C671" s="97"/>
      <c r="D671" s="97"/>
      <c r="E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  <c r="AA671" s="97"/>
      <c r="AB671" s="97"/>
      <c r="AC671" s="97"/>
      <c r="AD671" s="97"/>
    </row>
    <row r="672" spans="2:30" ht="11.25" customHeight="1" x14ac:dyDescent="0.45">
      <c r="B672" s="97"/>
      <c r="C672" s="97"/>
      <c r="D672" s="97"/>
      <c r="E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  <c r="AA672" s="97"/>
      <c r="AB672" s="97"/>
      <c r="AC672" s="97"/>
      <c r="AD672" s="97"/>
    </row>
    <row r="673" spans="2:30" ht="11.25" customHeight="1" x14ac:dyDescent="0.45">
      <c r="B673" s="97"/>
      <c r="C673" s="97"/>
      <c r="D673" s="97"/>
      <c r="E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  <c r="AA673" s="97"/>
      <c r="AB673" s="97"/>
      <c r="AC673" s="97"/>
      <c r="AD673" s="97"/>
    </row>
    <row r="674" spans="2:30" ht="11.25" customHeight="1" x14ac:dyDescent="0.45">
      <c r="B674" s="97"/>
      <c r="C674" s="97"/>
      <c r="D674" s="97"/>
      <c r="E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  <c r="AA674" s="97"/>
      <c r="AB674" s="97"/>
      <c r="AC674" s="97"/>
      <c r="AD674" s="97"/>
    </row>
    <row r="675" spans="2:30" ht="11.25" customHeight="1" x14ac:dyDescent="0.45">
      <c r="B675" s="97"/>
      <c r="C675" s="97"/>
      <c r="D675" s="97"/>
      <c r="E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  <c r="AA675" s="97"/>
      <c r="AB675" s="97"/>
      <c r="AC675" s="97"/>
      <c r="AD675" s="97"/>
    </row>
    <row r="676" spans="2:30" ht="11.25" customHeight="1" x14ac:dyDescent="0.45">
      <c r="B676" s="97"/>
      <c r="C676" s="97"/>
      <c r="D676" s="97"/>
      <c r="E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  <c r="AA676" s="97"/>
      <c r="AB676" s="97"/>
      <c r="AC676" s="97"/>
      <c r="AD676" s="97"/>
    </row>
    <row r="677" spans="2:30" ht="11.25" customHeight="1" x14ac:dyDescent="0.45">
      <c r="B677" s="97"/>
      <c r="C677" s="97"/>
      <c r="D677" s="97"/>
      <c r="E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  <c r="AA677" s="97"/>
      <c r="AB677" s="97"/>
      <c r="AC677" s="97"/>
      <c r="AD677" s="97"/>
    </row>
    <row r="678" spans="2:30" ht="11.25" customHeight="1" x14ac:dyDescent="0.45">
      <c r="B678" s="97"/>
      <c r="C678" s="97"/>
      <c r="D678" s="97"/>
      <c r="E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  <c r="AA678" s="97"/>
      <c r="AB678" s="97"/>
      <c r="AC678" s="97"/>
      <c r="AD678" s="97"/>
    </row>
    <row r="679" spans="2:30" ht="11.25" customHeight="1" x14ac:dyDescent="0.45">
      <c r="B679" s="97"/>
      <c r="C679" s="97"/>
      <c r="D679" s="97"/>
      <c r="E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  <c r="AA679" s="97"/>
      <c r="AB679" s="97"/>
      <c r="AC679" s="97"/>
      <c r="AD679" s="97"/>
    </row>
    <row r="680" spans="2:30" ht="11.25" customHeight="1" x14ac:dyDescent="0.45">
      <c r="B680" s="97"/>
      <c r="C680" s="97"/>
      <c r="D680" s="97"/>
      <c r="E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  <c r="AA680" s="97"/>
      <c r="AB680" s="97"/>
      <c r="AC680" s="97"/>
      <c r="AD680" s="97"/>
    </row>
    <row r="681" spans="2:30" ht="11.25" customHeight="1" x14ac:dyDescent="0.45">
      <c r="B681" s="97"/>
      <c r="C681" s="97"/>
      <c r="D681" s="97"/>
      <c r="E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  <c r="AA681" s="97"/>
      <c r="AB681" s="97"/>
      <c r="AC681" s="97"/>
      <c r="AD681" s="97"/>
    </row>
    <row r="682" spans="2:30" ht="11.25" customHeight="1" x14ac:dyDescent="0.45">
      <c r="B682" s="97"/>
      <c r="C682" s="97"/>
      <c r="D682" s="97"/>
      <c r="E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  <c r="AA682" s="97"/>
      <c r="AB682" s="97"/>
      <c r="AC682" s="97"/>
      <c r="AD682" s="97"/>
    </row>
    <row r="683" spans="2:30" ht="11.25" customHeight="1" x14ac:dyDescent="0.45">
      <c r="B683" s="97"/>
      <c r="C683" s="97"/>
      <c r="D683" s="97"/>
      <c r="E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  <c r="AA683" s="97"/>
      <c r="AB683" s="97"/>
      <c r="AC683" s="97"/>
      <c r="AD683" s="97"/>
    </row>
    <row r="684" spans="2:30" ht="11.25" customHeight="1" x14ac:dyDescent="0.45">
      <c r="B684" s="97"/>
      <c r="C684" s="97"/>
      <c r="D684" s="97"/>
      <c r="E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  <c r="AA684" s="97"/>
      <c r="AB684" s="97"/>
      <c r="AC684" s="97"/>
      <c r="AD684" s="97"/>
    </row>
    <row r="685" spans="2:30" ht="11.25" customHeight="1" x14ac:dyDescent="0.45">
      <c r="B685" s="97"/>
      <c r="C685" s="97"/>
      <c r="D685" s="97"/>
      <c r="E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  <c r="AA685" s="97"/>
      <c r="AB685" s="97"/>
      <c r="AC685" s="97"/>
      <c r="AD685" s="97"/>
    </row>
    <row r="686" spans="2:30" ht="11.25" customHeight="1" x14ac:dyDescent="0.45">
      <c r="B686" s="97"/>
      <c r="C686" s="97"/>
      <c r="D686" s="97"/>
      <c r="E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  <c r="AA686" s="97"/>
      <c r="AB686" s="97"/>
      <c r="AC686" s="97"/>
      <c r="AD686" s="97"/>
    </row>
    <row r="687" spans="2:30" ht="11.25" customHeight="1" x14ac:dyDescent="0.45">
      <c r="B687" s="97"/>
      <c r="C687" s="97"/>
      <c r="D687" s="97"/>
      <c r="E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  <c r="AA687" s="97"/>
      <c r="AB687" s="97"/>
      <c r="AC687" s="97"/>
      <c r="AD687" s="97"/>
    </row>
    <row r="688" spans="2:30" ht="11.25" customHeight="1" x14ac:dyDescent="0.45">
      <c r="B688" s="97"/>
      <c r="C688" s="97"/>
      <c r="D688" s="97"/>
      <c r="E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  <c r="AA688" s="97"/>
      <c r="AB688" s="97"/>
      <c r="AC688" s="97"/>
      <c r="AD688" s="97"/>
    </row>
    <row r="689" spans="2:30" ht="11.25" customHeight="1" x14ac:dyDescent="0.45">
      <c r="B689" s="97"/>
      <c r="C689" s="97"/>
      <c r="D689" s="97"/>
      <c r="E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  <c r="AA689" s="97"/>
      <c r="AB689" s="97"/>
      <c r="AC689" s="97"/>
      <c r="AD689" s="97"/>
    </row>
    <row r="690" spans="2:30" ht="11.25" customHeight="1" x14ac:dyDescent="0.45">
      <c r="B690" s="97"/>
      <c r="C690" s="97"/>
      <c r="D690" s="97"/>
      <c r="E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  <c r="AA690" s="97"/>
      <c r="AB690" s="97"/>
      <c r="AC690" s="97"/>
      <c r="AD690" s="97"/>
    </row>
    <row r="691" spans="2:30" ht="11.25" customHeight="1" x14ac:dyDescent="0.45">
      <c r="B691" s="97"/>
      <c r="C691" s="97"/>
      <c r="D691" s="97"/>
      <c r="E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  <c r="AA691" s="97"/>
      <c r="AB691" s="97"/>
      <c r="AC691" s="97"/>
      <c r="AD691" s="97"/>
    </row>
    <row r="692" spans="2:30" ht="11.25" customHeight="1" x14ac:dyDescent="0.45">
      <c r="B692" s="97"/>
      <c r="C692" s="97"/>
      <c r="D692" s="97"/>
      <c r="E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  <c r="AA692" s="97"/>
      <c r="AB692" s="97"/>
      <c r="AC692" s="97"/>
      <c r="AD692" s="97"/>
    </row>
    <row r="693" spans="2:30" ht="11.25" customHeight="1" x14ac:dyDescent="0.45">
      <c r="B693" s="97"/>
      <c r="C693" s="97"/>
      <c r="D693" s="97"/>
      <c r="E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  <c r="AA693" s="97"/>
      <c r="AB693" s="97"/>
      <c r="AC693" s="97"/>
      <c r="AD693" s="97"/>
    </row>
    <row r="694" spans="2:30" ht="11.25" customHeight="1" x14ac:dyDescent="0.45">
      <c r="B694" s="97"/>
      <c r="C694" s="97"/>
      <c r="D694" s="97"/>
      <c r="E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  <c r="AA694" s="97"/>
      <c r="AB694" s="97"/>
      <c r="AC694" s="97"/>
      <c r="AD694" s="97"/>
    </row>
    <row r="695" spans="2:30" ht="11.25" customHeight="1" x14ac:dyDescent="0.45">
      <c r="B695" s="97"/>
      <c r="C695" s="97"/>
      <c r="D695" s="97"/>
      <c r="E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  <c r="AA695" s="97"/>
      <c r="AB695" s="97"/>
      <c r="AC695" s="97"/>
      <c r="AD695" s="97"/>
    </row>
    <row r="696" spans="2:30" ht="11.25" customHeight="1" x14ac:dyDescent="0.45">
      <c r="B696" s="97"/>
      <c r="C696" s="97"/>
      <c r="D696" s="97"/>
      <c r="E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  <c r="AA696" s="97"/>
      <c r="AB696" s="97"/>
      <c r="AC696" s="97"/>
      <c r="AD696" s="97"/>
    </row>
    <row r="697" spans="2:30" ht="11.25" customHeight="1" x14ac:dyDescent="0.45">
      <c r="B697" s="97"/>
      <c r="C697" s="97"/>
      <c r="D697" s="97"/>
      <c r="E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  <c r="AA697" s="97"/>
      <c r="AB697" s="97"/>
      <c r="AC697" s="97"/>
      <c r="AD697" s="97"/>
    </row>
    <row r="698" spans="2:30" ht="11.25" customHeight="1" x14ac:dyDescent="0.45">
      <c r="B698" s="97"/>
      <c r="C698" s="97"/>
      <c r="D698" s="97"/>
      <c r="E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  <c r="AA698" s="97"/>
      <c r="AB698" s="97"/>
      <c r="AC698" s="97"/>
      <c r="AD698" s="97"/>
    </row>
    <row r="699" spans="2:30" ht="11.25" customHeight="1" x14ac:dyDescent="0.45">
      <c r="B699" s="97"/>
      <c r="C699" s="97"/>
      <c r="D699" s="97"/>
      <c r="E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  <c r="AA699" s="97"/>
      <c r="AB699" s="97"/>
      <c r="AC699" s="97"/>
      <c r="AD699" s="97"/>
    </row>
    <row r="700" spans="2:30" ht="11.25" customHeight="1" x14ac:dyDescent="0.45">
      <c r="B700" s="97"/>
      <c r="C700" s="97"/>
      <c r="D700" s="97"/>
      <c r="E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  <c r="AA700" s="97"/>
      <c r="AB700" s="97"/>
      <c r="AC700" s="97"/>
      <c r="AD700" s="97"/>
    </row>
    <row r="701" spans="2:30" ht="11.25" customHeight="1" x14ac:dyDescent="0.45">
      <c r="B701" s="97"/>
      <c r="C701" s="97"/>
      <c r="D701" s="97"/>
      <c r="E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  <c r="AA701" s="97"/>
      <c r="AB701" s="97"/>
      <c r="AC701" s="97"/>
      <c r="AD701" s="97"/>
    </row>
    <row r="702" spans="2:30" ht="11.25" customHeight="1" x14ac:dyDescent="0.45">
      <c r="B702" s="97"/>
      <c r="C702" s="97"/>
      <c r="D702" s="97"/>
      <c r="E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  <c r="AA702" s="97"/>
      <c r="AB702" s="97"/>
      <c r="AC702" s="97"/>
      <c r="AD702" s="97"/>
    </row>
    <row r="703" spans="2:30" ht="11.25" customHeight="1" x14ac:dyDescent="0.45">
      <c r="B703" s="97"/>
      <c r="C703" s="97"/>
      <c r="D703" s="97"/>
      <c r="E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  <c r="AA703" s="97"/>
      <c r="AB703" s="97"/>
      <c r="AC703" s="97"/>
      <c r="AD703" s="97"/>
    </row>
    <row r="704" spans="2:30" ht="11.25" customHeight="1" x14ac:dyDescent="0.45">
      <c r="B704" s="97"/>
      <c r="C704" s="97"/>
      <c r="D704" s="97"/>
      <c r="E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  <c r="AA704" s="97"/>
      <c r="AB704" s="97"/>
      <c r="AC704" s="97"/>
      <c r="AD704" s="97"/>
    </row>
    <row r="705" spans="2:30" ht="11.25" customHeight="1" x14ac:dyDescent="0.45">
      <c r="B705" s="97"/>
      <c r="C705" s="97"/>
      <c r="D705" s="97"/>
      <c r="E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  <c r="AA705" s="97"/>
      <c r="AB705" s="97"/>
      <c r="AC705" s="97"/>
      <c r="AD705" s="97"/>
    </row>
    <row r="706" spans="2:30" ht="11.25" customHeight="1" x14ac:dyDescent="0.45">
      <c r="B706" s="97"/>
      <c r="C706" s="97"/>
      <c r="D706" s="97"/>
      <c r="E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  <c r="AA706" s="97"/>
      <c r="AB706" s="97"/>
      <c r="AC706" s="97"/>
      <c r="AD706" s="97"/>
    </row>
    <row r="707" spans="2:30" ht="11.25" customHeight="1" x14ac:dyDescent="0.45">
      <c r="B707" s="97"/>
      <c r="C707" s="97"/>
      <c r="D707" s="97"/>
      <c r="E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  <c r="AA707" s="97"/>
      <c r="AB707" s="97"/>
      <c r="AC707" s="97"/>
      <c r="AD707" s="97"/>
    </row>
    <row r="708" spans="2:30" ht="11.25" customHeight="1" x14ac:dyDescent="0.45">
      <c r="B708" s="97"/>
      <c r="C708" s="97"/>
      <c r="D708" s="97"/>
      <c r="E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  <c r="AA708" s="97"/>
      <c r="AB708" s="97"/>
      <c r="AC708" s="97"/>
      <c r="AD708" s="97"/>
    </row>
    <row r="709" spans="2:30" ht="11.25" customHeight="1" x14ac:dyDescent="0.45">
      <c r="B709" s="97"/>
      <c r="C709" s="97"/>
      <c r="D709" s="97"/>
      <c r="E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  <c r="AA709" s="97"/>
      <c r="AB709" s="97"/>
      <c r="AC709" s="97"/>
      <c r="AD709" s="97"/>
    </row>
    <row r="710" spans="2:30" ht="11.25" customHeight="1" x14ac:dyDescent="0.45">
      <c r="B710" s="97"/>
      <c r="C710" s="97"/>
      <c r="D710" s="97"/>
      <c r="E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  <c r="AA710" s="97"/>
      <c r="AB710" s="97"/>
      <c r="AC710" s="97"/>
      <c r="AD710" s="97"/>
    </row>
    <row r="711" spans="2:30" ht="11.25" customHeight="1" x14ac:dyDescent="0.45">
      <c r="B711" s="97"/>
      <c r="C711" s="97"/>
      <c r="D711" s="97"/>
      <c r="E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  <c r="AA711" s="97"/>
      <c r="AB711" s="97"/>
      <c r="AC711" s="97"/>
      <c r="AD711" s="97"/>
    </row>
    <row r="712" spans="2:30" ht="11.25" customHeight="1" x14ac:dyDescent="0.45">
      <c r="B712" s="97"/>
      <c r="C712" s="97"/>
      <c r="D712" s="97"/>
      <c r="E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  <c r="AA712" s="97"/>
      <c r="AB712" s="97"/>
      <c r="AC712" s="97"/>
      <c r="AD712" s="97"/>
    </row>
    <row r="713" spans="2:30" ht="11.25" customHeight="1" x14ac:dyDescent="0.45">
      <c r="B713" s="97"/>
      <c r="C713" s="97"/>
      <c r="D713" s="97"/>
      <c r="E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  <c r="AA713" s="97"/>
      <c r="AB713" s="97"/>
      <c r="AC713" s="97"/>
      <c r="AD713" s="97"/>
    </row>
    <row r="714" spans="2:30" ht="11.25" customHeight="1" x14ac:dyDescent="0.45">
      <c r="B714" s="97"/>
      <c r="C714" s="97"/>
      <c r="D714" s="97"/>
      <c r="E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  <c r="AA714" s="97"/>
      <c r="AB714" s="97"/>
      <c r="AC714" s="97"/>
      <c r="AD714" s="97"/>
    </row>
    <row r="715" spans="2:30" ht="11.25" customHeight="1" x14ac:dyDescent="0.45">
      <c r="B715" s="97"/>
      <c r="C715" s="97"/>
      <c r="D715" s="97"/>
      <c r="E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  <c r="AA715" s="97"/>
      <c r="AB715" s="97"/>
      <c r="AC715" s="97"/>
      <c r="AD715" s="97"/>
    </row>
    <row r="716" spans="2:30" ht="11.25" customHeight="1" x14ac:dyDescent="0.45">
      <c r="B716" s="97"/>
      <c r="C716" s="97"/>
      <c r="D716" s="97"/>
      <c r="E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  <c r="AA716" s="97"/>
      <c r="AB716" s="97"/>
      <c r="AC716" s="97"/>
      <c r="AD716" s="97"/>
    </row>
    <row r="717" spans="2:30" ht="11.25" customHeight="1" x14ac:dyDescent="0.45">
      <c r="B717" s="97"/>
      <c r="C717" s="97"/>
      <c r="D717" s="97"/>
      <c r="E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  <c r="AA717" s="97"/>
      <c r="AB717" s="97"/>
      <c r="AC717" s="97"/>
      <c r="AD717" s="97"/>
    </row>
    <row r="718" spans="2:30" ht="11.25" customHeight="1" x14ac:dyDescent="0.45">
      <c r="B718" s="97"/>
      <c r="C718" s="97"/>
      <c r="D718" s="97"/>
      <c r="E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  <c r="AA718" s="97"/>
      <c r="AB718" s="97"/>
      <c r="AC718" s="97"/>
      <c r="AD718" s="97"/>
    </row>
    <row r="719" spans="2:30" ht="11.25" customHeight="1" x14ac:dyDescent="0.45">
      <c r="B719" s="97"/>
      <c r="C719" s="97"/>
      <c r="D719" s="97"/>
      <c r="E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  <c r="AA719" s="97"/>
      <c r="AB719" s="97"/>
      <c r="AC719" s="97"/>
      <c r="AD719" s="97"/>
    </row>
    <row r="720" spans="2:30" ht="11.25" customHeight="1" x14ac:dyDescent="0.45">
      <c r="B720" s="97"/>
      <c r="C720" s="97"/>
      <c r="D720" s="97"/>
      <c r="E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  <c r="AA720" s="97"/>
      <c r="AB720" s="97"/>
      <c r="AC720" s="97"/>
      <c r="AD720" s="97"/>
    </row>
    <row r="721" spans="2:30" ht="11.25" customHeight="1" x14ac:dyDescent="0.45">
      <c r="B721" s="97"/>
      <c r="C721" s="97"/>
      <c r="D721" s="97"/>
      <c r="E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  <c r="AA721" s="97"/>
      <c r="AB721" s="97"/>
      <c r="AC721" s="97"/>
      <c r="AD721" s="97"/>
    </row>
    <row r="722" spans="2:30" ht="11.25" customHeight="1" x14ac:dyDescent="0.45">
      <c r="B722" s="97"/>
      <c r="C722" s="97"/>
      <c r="D722" s="97"/>
      <c r="E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  <c r="AA722" s="97"/>
      <c r="AB722" s="97"/>
      <c r="AC722" s="97"/>
      <c r="AD722" s="97"/>
    </row>
    <row r="723" spans="2:30" ht="11.25" customHeight="1" x14ac:dyDescent="0.45">
      <c r="B723" s="97"/>
      <c r="C723" s="97"/>
      <c r="D723" s="97"/>
      <c r="E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  <c r="AA723" s="97"/>
      <c r="AB723" s="97"/>
      <c r="AC723" s="97"/>
      <c r="AD723" s="97"/>
    </row>
    <row r="724" spans="2:30" ht="11.25" customHeight="1" x14ac:dyDescent="0.45">
      <c r="B724" s="97"/>
      <c r="C724" s="97"/>
      <c r="D724" s="97"/>
      <c r="E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  <c r="AA724" s="97"/>
      <c r="AB724" s="97"/>
      <c r="AC724" s="97"/>
      <c r="AD724" s="97"/>
    </row>
    <row r="725" spans="2:30" ht="11.25" customHeight="1" x14ac:dyDescent="0.45">
      <c r="B725" s="97"/>
      <c r="C725" s="97"/>
      <c r="D725" s="97"/>
      <c r="E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  <c r="AA725" s="97"/>
      <c r="AB725" s="97"/>
      <c r="AC725" s="97"/>
      <c r="AD725" s="97"/>
    </row>
    <row r="726" spans="2:30" ht="11.25" customHeight="1" x14ac:dyDescent="0.45">
      <c r="B726" s="97"/>
      <c r="C726" s="97"/>
      <c r="D726" s="97"/>
      <c r="E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  <c r="AA726" s="97"/>
      <c r="AB726" s="97"/>
      <c r="AC726" s="97"/>
      <c r="AD726" s="97"/>
    </row>
    <row r="727" spans="2:30" ht="11.25" customHeight="1" x14ac:dyDescent="0.45">
      <c r="B727" s="97"/>
      <c r="C727" s="97"/>
      <c r="D727" s="97"/>
      <c r="E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  <c r="AA727" s="97"/>
      <c r="AB727" s="97"/>
      <c r="AC727" s="97"/>
      <c r="AD727" s="97"/>
    </row>
    <row r="728" spans="2:30" ht="11.25" customHeight="1" x14ac:dyDescent="0.45">
      <c r="B728" s="97"/>
      <c r="C728" s="97"/>
      <c r="D728" s="97"/>
      <c r="E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  <c r="AA728" s="97"/>
      <c r="AB728" s="97"/>
      <c r="AC728" s="97"/>
      <c r="AD728" s="97"/>
    </row>
    <row r="729" spans="2:30" ht="11.25" customHeight="1" x14ac:dyDescent="0.45">
      <c r="B729" s="97"/>
      <c r="C729" s="97"/>
      <c r="D729" s="97"/>
      <c r="E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  <c r="AA729" s="97"/>
      <c r="AB729" s="97"/>
      <c r="AC729" s="97"/>
      <c r="AD729" s="97"/>
    </row>
    <row r="730" spans="2:30" ht="11.25" customHeight="1" x14ac:dyDescent="0.45">
      <c r="B730" s="97"/>
      <c r="C730" s="97"/>
      <c r="D730" s="97"/>
      <c r="E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  <c r="AA730" s="97"/>
      <c r="AB730" s="97"/>
      <c r="AC730" s="97"/>
      <c r="AD730" s="97"/>
    </row>
    <row r="731" spans="2:30" ht="11.25" customHeight="1" x14ac:dyDescent="0.45">
      <c r="B731" s="97"/>
      <c r="C731" s="97"/>
      <c r="D731" s="97"/>
      <c r="E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  <c r="AA731" s="97"/>
      <c r="AB731" s="97"/>
      <c r="AC731" s="97"/>
      <c r="AD731" s="97"/>
    </row>
    <row r="732" spans="2:30" ht="11.25" customHeight="1" x14ac:dyDescent="0.45">
      <c r="B732" s="97"/>
      <c r="C732" s="97"/>
      <c r="D732" s="97"/>
      <c r="E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  <c r="AA732" s="97"/>
      <c r="AB732" s="97"/>
      <c r="AC732" s="97"/>
      <c r="AD732" s="97"/>
    </row>
    <row r="733" spans="2:30" ht="11.25" customHeight="1" x14ac:dyDescent="0.45">
      <c r="B733" s="97"/>
      <c r="C733" s="97"/>
      <c r="D733" s="97"/>
      <c r="E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  <c r="AA733" s="97"/>
      <c r="AB733" s="97"/>
      <c r="AC733" s="97"/>
      <c r="AD733" s="97"/>
    </row>
    <row r="734" spans="2:30" ht="11.25" customHeight="1" x14ac:dyDescent="0.45">
      <c r="B734" s="97"/>
      <c r="C734" s="97"/>
      <c r="D734" s="97"/>
      <c r="E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  <c r="AA734" s="97"/>
      <c r="AB734" s="97"/>
      <c r="AC734" s="97"/>
      <c r="AD734" s="97"/>
    </row>
    <row r="735" spans="2:30" ht="11.25" customHeight="1" x14ac:dyDescent="0.45">
      <c r="B735" s="97"/>
      <c r="C735" s="97"/>
      <c r="D735" s="97"/>
      <c r="E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  <c r="AA735" s="97"/>
      <c r="AB735" s="97"/>
      <c r="AC735" s="97"/>
      <c r="AD735" s="97"/>
    </row>
    <row r="736" spans="2:30" ht="11.25" customHeight="1" x14ac:dyDescent="0.45">
      <c r="B736" s="97"/>
      <c r="C736" s="97"/>
      <c r="D736" s="97"/>
      <c r="E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  <c r="AA736" s="97"/>
      <c r="AB736" s="97"/>
      <c r="AC736" s="97"/>
      <c r="AD736" s="97"/>
    </row>
    <row r="737" spans="2:30" ht="11.25" customHeight="1" x14ac:dyDescent="0.45">
      <c r="B737" s="97"/>
      <c r="C737" s="97"/>
      <c r="D737" s="97"/>
      <c r="E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  <c r="AA737" s="97"/>
      <c r="AB737" s="97"/>
      <c r="AC737" s="97"/>
      <c r="AD737" s="97"/>
    </row>
    <row r="738" spans="2:30" ht="11.25" customHeight="1" x14ac:dyDescent="0.45">
      <c r="B738" s="97"/>
      <c r="C738" s="97"/>
      <c r="D738" s="97"/>
      <c r="E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  <c r="AA738" s="97"/>
      <c r="AB738" s="97"/>
      <c r="AC738" s="97"/>
      <c r="AD738" s="97"/>
    </row>
    <row r="739" spans="2:30" ht="11.25" customHeight="1" x14ac:dyDescent="0.45">
      <c r="B739" s="97"/>
      <c r="C739" s="97"/>
      <c r="D739" s="97"/>
      <c r="E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  <c r="AA739" s="97"/>
      <c r="AB739" s="97"/>
      <c r="AC739" s="97"/>
      <c r="AD739" s="97"/>
    </row>
    <row r="740" spans="2:30" ht="11.25" customHeight="1" x14ac:dyDescent="0.45">
      <c r="B740" s="97"/>
      <c r="C740" s="97"/>
      <c r="D740" s="97"/>
      <c r="E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  <c r="AA740" s="97"/>
      <c r="AB740" s="97"/>
      <c r="AC740" s="97"/>
      <c r="AD740" s="97"/>
    </row>
    <row r="741" spans="2:30" ht="11.25" customHeight="1" x14ac:dyDescent="0.45">
      <c r="B741" s="97"/>
      <c r="C741" s="97"/>
      <c r="D741" s="97"/>
      <c r="E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  <c r="AA741" s="97"/>
      <c r="AB741" s="97"/>
      <c r="AC741" s="97"/>
      <c r="AD741" s="97"/>
    </row>
    <row r="742" spans="2:30" ht="11.25" customHeight="1" x14ac:dyDescent="0.45">
      <c r="B742" s="97"/>
      <c r="C742" s="97"/>
      <c r="D742" s="97"/>
      <c r="E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  <c r="AA742" s="97"/>
      <c r="AB742" s="97"/>
      <c r="AC742" s="97"/>
      <c r="AD742" s="97"/>
    </row>
    <row r="743" spans="2:30" ht="11.25" customHeight="1" x14ac:dyDescent="0.45">
      <c r="B743" s="97"/>
      <c r="C743" s="97"/>
      <c r="D743" s="97"/>
      <c r="E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  <c r="AA743" s="97"/>
      <c r="AB743" s="97"/>
      <c r="AC743" s="97"/>
      <c r="AD743" s="97"/>
    </row>
    <row r="744" spans="2:30" ht="11.25" customHeight="1" x14ac:dyDescent="0.45">
      <c r="B744" s="97"/>
      <c r="C744" s="97"/>
      <c r="D744" s="97"/>
      <c r="E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  <c r="AA744" s="97"/>
      <c r="AB744" s="97"/>
      <c r="AC744" s="97"/>
      <c r="AD744" s="97"/>
    </row>
    <row r="745" spans="2:30" ht="11.25" customHeight="1" x14ac:dyDescent="0.45">
      <c r="B745" s="97"/>
      <c r="C745" s="97"/>
      <c r="D745" s="97"/>
      <c r="E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  <c r="AA745" s="97"/>
      <c r="AB745" s="97"/>
      <c r="AC745" s="97"/>
      <c r="AD745" s="97"/>
    </row>
    <row r="746" spans="2:30" ht="11.25" customHeight="1" x14ac:dyDescent="0.45">
      <c r="B746" s="97"/>
      <c r="C746" s="97"/>
      <c r="D746" s="97"/>
      <c r="E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  <c r="AA746" s="97"/>
      <c r="AB746" s="97"/>
      <c r="AC746" s="97"/>
      <c r="AD746" s="97"/>
    </row>
    <row r="747" spans="2:30" ht="11.25" customHeight="1" x14ac:dyDescent="0.45">
      <c r="B747" s="97"/>
      <c r="C747" s="97"/>
      <c r="D747" s="97"/>
      <c r="E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  <c r="AA747" s="97"/>
      <c r="AB747" s="97"/>
      <c r="AC747" s="97"/>
      <c r="AD747" s="97"/>
    </row>
    <row r="748" spans="2:30" ht="11.25" customHeight="1" x14ac:dyDescent="0.45">
      <c r="B748" s="97"/>
      <c r="C748" s="97"/>
      <c r="D748" s="97"/>
      <c r="E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  <c r="AA748" s="97"/>
      <c r="AB748" s="97"/>
      <c r="AC748" s="97"/>
      <c r="AD748" s="97"/>
    </row>
    <row r="749" spans="2:30" ht="11.25" customHeight="1" x14ac:dyDescent="0.45">
      <c r="B749" s="97"/>
      <c r="C749" s="97"/>
      <c r="D749" s="97"/>
      <c r="E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  <c r="AA749" s="97"/>
      <c r="AB749" s="97"/>
      <c r="AC749" s="97"/>
      <c r="AD749" s="97"/>
    </row>
    <row r="750" spans="2:30" ht="11.25" customHeight="1" x14ac:dyDescent="0.45">
      <c r="B750" s="97"/>
      <c r="C750" s="97"/>
      <c r="D750" s="97"/>
      <c r="E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  <c r="AA750" s="97"/>
      <c r="AB750" s="97"/>
      <c r="AC750" s="97"/>
      <c r="AD750" s="97"/>
    </row>
    <row r="751" spans="2:30" ht="11.25" customHeight="1" x14ac:dyDescent="0.45">
      <c r="B751" s="97"/>
      <c r="C751" s="97"/>
      <c r="D751" s="97"/>
      <c r="E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  <c r="AA751" s="97"/>
      <c r="AB751" s="97"/>
      <c r="AC751" s="97"/>
      <c r="AD751" s="97"/>
    </row>
    <row r="752" spans="2:30" ht="11.25" customHeight="1" x14ac:dyDescent="0.45">
      <c r="B752" s="97"/>
      <c r="C752" s="97"/>
      <c r="D752" s="97"/>
      <c r="E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  <c r="AA752" s="97"/>
      <c r="AB752" s="97"/>
      <c r="AC752" s="97"/>
      <c r="AD752" s="97"/>
    </row>
    <row r="753" spans="2:30" ht="11.25" customHeight="1" x14ac:dyDescent="0.45">
      <c r="B753" s="97"/>
      <c r="C753" s="97"/>
      <c r="D753" s="97"/>
      <c r="E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  <c r="AA753" s="97"/>
      <c r="AB753" s="97"/>
      <c r="AC753" s="97"/>
      <c r="AD753" s="97"/>
    </row>
    <row r="754" spans="2:30" ht="11.25" customHeight="1" x14ac:dyDescent="0.45">
      <c r="B754" s="97"/>
      <c r="C754" s="97"/>
      <c r="D754" s="97"/>
      <c r="E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  <c r="AA754" s="97"/>
      <c r="AB754" s="97"/>
      <c r="AC754" s="97"/>
      <c r="AD754" s="97"/>
    </row>
    <row r="755" spans="2:30" ht="11.25" customHeight="1" x14ac:dyDescent="0.45">
      <c r="B755" s="97"/>
      <c r="C755" s="97"/>
      <c r="D755" s="97"/>
      <c r="E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  <c r="AA755" s="97"/>
      <c r="AB755" s="97"/>
      <c r="AC755" s="97"/>
      <c r="AD755" s="97"/>
    </row>
    <row r="756" spans="2:30" ht="11.25" customHeight="1" x14ac:dyDescent="0.45">
      <c r="B756" s="97"/>
      <c r="C756" s="97"/>
      <c r="D756" s="97"/>
      <c r="E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  <c r="AA756" s="97"/>
      <c r="AB756" s="97"/>
      <c r="AC756" s="97"/>
      <c r="AD756" s="97"/>
    </row>
    <row r="757" spans="2:30" ht="11.25" customHeight="1" x14ac:dyDescent="0.45">
      <c r="B757" s="97"/>
      <c r="C757" s="97"/>
      <c r="D757" s="97"/>
      <c r="E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  <c r="AA757" s="97"/>
      <c r="AB757" s="97"/>
      <c r="AC757" s="97"/>
      <c r="AD757" s="97"/>
    </row>
    <row r="758" spans="2:30" ht="11.25" customHeight="1" x14ac:dyDescent="0.45">
      <c r="B758" s="97"/>
      <c r="C758" s="97"/>
      <c r="D758" s="97"/>
      <c r="E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  <c r="AA758" s="97"/>
      <c r="AB758" s="97"/>
      <c r="AC758" s="97"/>
      <c r="AD758" s="97"/>
    </row>
    <row r="759" spans="2:30" ht="11.25" customHeight="1" x14ac:dyDescent="0.45">
      <c r="B759" s="97"/>
      <c r="C759" s="97"/>
      <c r="D759" s="97"/>
      <c r="E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  <c r="AA759" s="97"/>
      <c r="AB759" s="97"/>
      <c r="AC759" s="97"/>
      <c r="AD759" s="97"/>
    </row>
    <row r="760" spans="2:30" ht="11.25" customHeight="1" x14ac:dyDescent="0.45">
      <c r="B760" s="97"/>
      <c r="C760" s="97"/>
      <c r="D760" s="97"/>
      <c r="E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  <c r="AA760" s="97"/>
      <c r="AB760" s="97"/>
      <c r="AC760" s="97"/>
      <c r="AD760" s="97"/>
    </row>
    <row r="761" spans="2:30" ht="11.25" customHeight="1" x14ac:dyDescent="0.45">
      <c r="B761" s="97"/>
      <c r="C761" s="97"/>
      <c r="D761" s="97"/>
      <c r="E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  <c r="AA761" s="97"/>
      <c r="AB761" s="97"/>
      <c r="AC761" s="97"/>
      <c r="AD761" s="97"/>
    </row>
    <row r="762" spans="2:30" ht="11.25" customHeight="1" x14ac:dyDescent="0.45">
      <c r="B762" s="97"/>
      <c r="C762" s="97"/>
      <c r="D762" s="97"/>
      <c r="E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  <c r="AA762" s="97"/>
      <c r="AB762" s="97"/>
      <c r="AC762" s="97"/>
      <c r="AD762" s="97"/>
    </row>
    <row r="763" spans="2:30" ht="11.25" customHeight="1" x14ac:dyDescent="0.45">
      <c r="B763" s="97"/>
      <c r="C763" s="97"/>
      <c r="D763" s="97"/>
      <c r="E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  <c r="AA763" s="97"/>
      <c r="AB763" s="97"/>
      <c r="AC763" s="97"/>
      <c r="AD763" s="97"/>
    </row>
    <row r="764" spans="2:30" ht="11.25" customHeight="1" x14ac:dyDescent="0.45">
      <c r="B764" s="97"/>
      <c r="C764" s="97"/>
      <c r="D764" s="97"/>
      <c r="E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  <c r="AA764" s="97"/>
      <c r="AB764" s="97"/>
      <c r="AC764" s="97"/>
      <c r="AD764" s="97"/>
    </row>
    <row r="765" spans="2:30" ht="11.25" customHeight="1" x14ac:dyDescent="0.45">
      <c r="B765" s="97"/>
      <c r="C765" s="97"/>
      <c r="D765" s="97"/>
      <c r="E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  <c r="AA765" s="97"/>
      <c r="AB765" s="97"/>
      <c r="AC765" s="97"/>
      <c r="AD765" s="97"/>
    </row>
    <row r="766" spans="2:30" ht="11.25" customHeight="1" x14ac:dyDescent="0.45">
      <c r="B766" s="97"/>
      <c r="C766" s="97"/>
      <c r="D766" s="97"/>
      <c r="E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  <c r="AA766" s="97"/>
      <c r="AB766" s="97"/>
      <c r="AC766" s="97"/>
      <c r="AD766" s="97"/>
    </row>
    <row r="767" spans="2:30" ht="11.25" customHeight="1" x14ac:dyDescent="0.45">
      <c r="B767" s="97"/>
      <c r="C767" s="97"/>
      <c r="D767" s="97"/>
      <c r="E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  <c r="AA767" s="97"/>
      <c r="AB767" s="97"/>
      <c r="AC767" s="97"/>
      <c r="AD767" s="97"/>
    </row>
    <row r="768" spans="2:30" ht="11.25" customHeight="1" x14ac:dyDescent="0.45">
      <c r="B768" s="97"/>
      <c r="C768" s="97"/>
      <c r="D768" s="97"/>
      <c r="E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  <c r="AA768" s="97"/>
      <c r="AB768" s="97"/>
      <c r="AC768" s="97"/>
      <c r="AD768" s="97"/>
    </row>
    <row r="769" spans="2:30" ht="11.25" customHeight="1" x14ac:dyDescent="0.45">
      <c r="B769" s="97"/>
      <c r="C769" s="97"/>
      <c r="D769" s="97"/>
      <c r="E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  <c r="AA769" s="97"/>
      <c r="AB769" s="97"/>
      <c r="AC769" s="97"/>
      <c r="AD769" s="97"/>
    </row>
    <row r="770" spans="2:30" ht="11.25" customHeight="1" x14ac:dyDescent="0.45">
      <c r="B770" s="97"/>
      <c r="C770" s="97"/>
      <c r="D770" s="97"/>
      <c r="E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  <c r="AA770" s="97"/>
      <c r="AB770" s="97"/>
      <c r="AC770" s="97"/>
      <c r="AD770" s="97"/>
    </row>
    <row r="771" spans="2:30" ht="11.25" customHeight="1" x14ac:dyDescent="0.45">
      <c r="B771" s="97"/>
      <c r="C771" s="97"/>
      <c r="D771" s="97"/>
      <c r="E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  <c r="AA771" s="97"/>
      <c r="AB771" s="97"/>
      <c r="AC771" s="97"/>
      <c r="AD771" s="97"/>
    </row>
    <row r="772" spans="2:30" ht="11.25" customHeight="1" x14ac:dyDescent="0.45">
      <c r="B772" s="97"/>
      <c r="C772" s="97"/>
      <c r="D772" s="97"/>
      <c r="E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  <c r="AA772" s="97"/>
      <c r="AB772" s="97"/>
      <c r="AC772" s="97"/>
      <c r="AD772" s="97"/>
    </row>
    <row r="773" spans="2:30" ht="11.25" customHeight="1" x14ac:dyDescent="0.45">
      <c r="B773" s="97"/>
      <c r="C773" s="97"/>
      <c r="D773" s="97"/>
      <c r="E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  <c r="AA773" s="97"/>
      <c r="AB773" s="97"/>
      <c r="AC773" s="97"/>
      <c r="AD773" s="97"/>
    </row>
    <row r="774" spans="2:30" ht="11.25" customHeight="1" x14ac:dyDescent="0.45">
      <c r="B774" s="97"/>
      <c r="C774" s="97"/>
      <c r="D774" s="97"/>
      <c r="E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  <c r="AA774" s="97"/>
      <c r="AB774" s="97"/>
      <c r="AC774" s="97"/>
      <c r="AD774" s="97"/>
    </row>
    <row r="775" spans="2:30" ht="11.25" customHeight="1" x14ac:dyDescent="0.45">
      <c r="B775" s="97"/>
      <c r="C775" s="97"/>
      <c r="D775" s="97"/>
      <c r="E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  <c r="AA775" s="97"/>
      <c r="AB775" s="97"/>
      <c r="AC775" s="97"/>
      <c r="AD775" s="97"/>
    </row>
    <row r="776" spans="2:30" ht="11.25" customHeight="1" x14ac:dyDescent="0.45">
      <c r="B776" s="97"/>
      <c r="C776" s="97"/>
      <c r="D776" s="97"/>
      <c r="E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  <c r="AA776" s="97"/>
      <c r="AB776" s="97"/>
      <c r="AC776" s="97"/>
      <c r="AD776" s="97"/>
    </row>
    <row r="777" spans="2:30" ht="11.25" customHeight="1" x14ac:dyDescent="0.45">
      <c r="B777" s="97"/>
      <c r="C777" s="97"/>
      <c r="D777" s="97"/>
      <c r="E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  <c r="AA777" s="97"/>
      <c r="AB777" s="97"/>
      <c r="AC777" s="97"/>
      <c r="AD777" s="97"/>
    </row>
    <row r="778" spans="2:30" ht="11.25" customHeight="1" x14ac:dyDescent="0.45">
      <c r="B778" s="97"/>
      <c r="C778" s="97"/>
      <c r="D778" s="97"/>
      <c r="E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  <c r="AA778" s="97"/>
      <c r="AB778" s="97"/>
      <c r="AC778" s="97"/>
      <c r="AD778" s="97"/>
    </row>
    <row r="779" spans="2:30" ht="11.25" customHeight="1" x14ac:dyDescent="0.45">
      <c r="B779" s="97"/>
      <c r="C779" s="97"/>
      <c r="D779" s="97"/>
      <c r="E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  <c r="AA779" s="97"/>
      <c r="AB779" s="97"/>
      <c r="AC779" s="97"/>
      <c r="AD779" s="97"/>
    </row>
    <row r="780" spans="2:30" ht="11.25" customHeight="1" x14ac:dyDescent="0.45">
      <c r="B780" s="97"/>
      <c r="C780" s="97"/>
      <c r="D780" s="97"/>
      <c r="E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  <c r="AA780" s="97"/>
      <c r="AB780" s="97"/>
      <c r="AC780" s="97"/>
      <c r="AD780" s="97"/>
    </row>
    <row r="781" spans="2:30" ht="11.25" customHeight="1" x14ac:dyDescent="0.45">
      <c r="B781" s="97"/>
      <c r="C781" s="97"/>
      <c r="D781" s="97"/>
      <c r="E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  <c r="AA781" s="97"/>
      <c r="AB781" s="97"/>
      <c r="AC781" s="97"/>
      <c r="AD781" s="97"/>
    </row>
    <row r="782" spans="2:30" ht="11.25" customHeight="1" x14ac:dyDescent="0.45">
      <c r="B782" s="97"/>
      <c r="C782" s="97"/>
      <c r="D782" s="97"/>
      <c r="E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  <c r="AA782" s="97"/>
      <c r="AB782" s="97"/>
      <c r="AC782" s="97"/>
      <c r="AD782" s="97"/>
    </row>
    <row r="783" spans="2:30" ht="11.25" customHeight="1" x14ac:dyDescent="0.45">
      <c r="B783" s="97"/>
      <c r="C783" s="97"/>
      <c r="D783" s="97"/>
      <c r="E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  <c r="AA783" s="97"/>
      <c r="AB783" s="97"/>
      <c r="AC783" s="97"/>
      <c r="AD783" s="97"/>
    </row>
    <row r="784" spans="2:30" ht="11.25" customHeight="1" x14ac:dyDescent="0.45">
      <c r="B784" s="97"/>
      <c r="C784" s="97"/>
      <c r="D784" s="97"/>
      <c r="E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  <c r="AA784" s="97"/>
      <c r="AB784" s="97"/>
      <c r="AC784" s="97"/>
      <c r="AD784" s="97"/>
    </row>
    <row r="785" spans="2:30" ht="11.25" customHeight="1" x14ac:dyDescent="0.45">
      <c r="B785" s="97"/>
      <c r="C785" s="97"/>
      <c r="D785" s="97"/>
      <c r="E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  <c r="AA785" s="97"/>
      <c r="AB785" s="97"/>
      <c r="AC785" s="97"/>
      <c r="AD785" s="97"/>
    </row>
    <row r="786" spans="2:30" ht="11.25" customHeight="1" x14ac:dyDescent="0.45">
      <c r="B786" s="97"/>
      <c r="C786" s="97"/>
      <c r="D786" s="97"/>
      <c r="E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  <c r="AA786" s="97"/>
      <c r="AB786" s="97"/>
      <c r="AC786" s="97"/>
      <c r="AD786" s="97"/>
    </row>
    <row r="787" spans="2:30" ht="11.25" customHeight="1" x14ac:dyDescent="0.45">
      <c r="B787" s="97"/>
      <c r="C787" s="97"/>
      <c r="D787" s="97"/>
      <c r="E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  <c r="AA787" s="97"/>
      <c r="AB787" s="97"/>
      <c r="AC787" s="97"/>
      <c r="AD787" s="97"/>
    </row>
    <row r="788" spans="2:30" ht="11.25" customHeight="1" x14ac:dyDescent="0.45">
      <c r="B788" s="97"/>
      <c r="C788" s="97"/>
      <c r="D788" s="97"/>
      <c r="E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  <c r="AA788" s="97"/>
      <c r="AB788" s="97"/>
      <c r="AC788" s="97"/>
      <c r="AD788" s="97"/>
    </row>
    <row r="789" spans="2:30" ht="11.25" customHeight="1" x14ac:dyDescent="0.45">
      <c r="B789" s="97"/>
      <c r="C789" s="97"/>
      <c r="D789" s="97"/>
      <c r="E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  <c r="AA789" s="97"/>
      <c r="AB789" s="97"/>
      <c r="AC789" s="97"/>
      <c r="AD789" s="97"/>
    </row>
    <row r="790" spans="2:30" ht="11.25" customHeight="1" x14ac:dyDescent="0.45">
      <c r="B790" s="97"/>
      <c r="C790" s="97"/>
      <c r="D790" s="97"/>
      <c r="E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  <c r="AA790" s="97"/>
      <c r="AB790" s="97"/>
      <c r="AC790" s="97"/>
      <c r="AD790" s="97"/>
    </row>
    <row r="791" spans="2:30" ht="11.25" customHeight="1" x14ac:dyDescent="0.45">
      <c r="B791" s="97"/>
      <c r="C791" s="97"/>
      <c r="D791" s="97"/>
      <c r="E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  <c r="AA791" s="97"/>
      <c r="AB791" s="97"/>
      <c r="AC791" s="97"/>
      <c r="AD791" s="97"/>
    </row>
    <row r="792" spans="2:30" ht="11.25" customHeight="1" x14ac:dyDescent="0.45">
      <c r="B792" s="97"/>
      <c r="C792" s="97"/>
      <c r="D792" s="97"/>
      <c r="E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  <c r="AA792" s="97"/>
      <c r="AB792" s="97"/>
      <c r="AC792" s="97"/>
      <c r="AD792" s="97"/>
    </row>
    <row r="793" spans="2:30" ht="11.25" customHeight="1" x14ac:dyDescent="0.45">
      <c r="B793" s="97"/>
      <c r="C793" s="97"/>
      <c r="D793" s="97"/>
      <c r="E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  <c r="AA793" s="97"/>
      <c r="AB793" s="97"/>
      <c r="AC793" s="97"/>
      <c r="AD793" s="97"/>
    </row>
    <row r="794" spans="2:30" ht="11.25" customHeight="1" x14ac:dyDescent="0.45">
      <c r="B794" s="97"/>
      <c r="C794" s="97"/>
      <c r="D794" s="97"/>
      <c r="E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  <c r="AA794" s="97"/>
      <c r="AB794" s="97"/>
      <c r="AC794" s="97"/>
      <c r="AD794" s="97"/>
    </row>
    <row r="795" spans="2:30" ht="11.25" customHeight="1" x14ac:dyDescent="0.45">
      <c r="B795" s="97"/>
      <c r="C795" s="97"/>
      <c r="D795" s="97"/>
      <c r="E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  <c r="AA795" s="97"/>
      <c r="AB795" s="97"/>
      <c r="AC795" s="97"/>
      <c r="AD795" s="97"/>
    </row>
    <row r="796" spans="2:30" ht="11.25" customHeight="1" x14ac:dyDescent="0.45">
      <c r="B796" s="97"/>
      <c r="C796" s="97"/>
      <c r="D796" s="97"/>
      <c r="E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  <c r="AA796" s="97"/>
      <c r="AB796" s="97"/>
      <c r="AC796" s="97"/>
      <c r="AD796" s="97"/>
    </row>
    <row r="797" spans="2:30" ht="11.25" customHeight="1" x14ac:dyDescent="0.45">
      <c r="B797" s="97"/>
      <c r="C797" s="97"/>
      <c r="D797" s="97"/>
      <c r="E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  <c r="AA797" s="97"/>
      <c r="AB797" s="97"/>
      <c r="AC797" s="97"/>
      <c r="AD797" s="97"/>
    </row>
    <row r="798" spans="2:30" ht="11.25" customHeight="1" x14ac:dyDescent="0.45">
      <c r="B798" s="97"/>
      <c r="C798" s="97"/>
      <c r="D798" s="97"/>
      <c r="E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  <c r="AA798" s="97"/>
      <c r="AB798" s="97"/>
      <c r="AC798" s="97"/>
      <c r="AD798" s="97"/>
    </row>
    <row r="799" spans="2:30" ht="11.25" customHeight="1" x14ac:dyDescent="0.45">
      <c r="B799" s="97"/>
      <c r="C799" s="97"/>
      <c r="D799" s="97"/>
      <c r="E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  <c r="AA799" s="97"/>
      <c r="AB799" s="97"/>
      <c r="AC799" s="97"/>
      <c r="AD799" s="97"/>
    </row>
    <row r="800" spans="2:30" ht="11.25" customHeight="1" x14ac:dyDescent="0.45">
      <c r="B800" s="97"/>
      <c r="C800" s="97"/>
      <c r="D800" s="97"/>
      <c r="E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  <c r="AA800" s="97"/>
      <c r="AB800" s="97"/>
      <c r="AC800" s="97"/>
      <c r="AD800" s="97"/>
    </row>
    <row r="801" spans="2:30" ht="11.25" customHeight="1" x14ac:dyDescent="0.45">
      <c r="B801" s="97"/>
      <c r="C801" s="97"/>
      <c r="D801" s="97"/>
      <c r="E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  <c r="AA801" s="97"/>
      <c r="AB801" s="97"/>
      <c r="AC801" s="97"/>
      <c r="AD801" s="97"/>
    </row>
    <row r="802" spans="2:30" ht="11.25" customHeight="1" x14ac:dyDescent="0.45">
      <c r="B802" s="97"/>
      <c r="C802" s="97"/>
      <c r="D802" s="97"/>
      <c r="E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  <c r="AA802" s="97"/>
      <c r="AB802" s="97"/>
      <c r="AC802" s="97"/>
      <c r="AD802" s="97"/>
    </row>
    <row r="803" spans="2:30" ht="11.25" customHeight="1" x14ac:dyDescent="0.45">
      <c r="B803" s="97"/>
      <c r="C803" s="97"/>
      <c r="D803" s="97"/>
      <c r="E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  <c r="AA803" s="97"/>
      <c r="AB803" s="97"/>
      <c r="AC803" s="97"/>
      <c r="AD803" s="97"/>
    </row>
    <row r="804" spans="2:30" ht="11.25" customHeight="1" x14ac:dyDescent="0.45">
      <c r="B804" s="97"/>
      <c r="C804" s="97"/>
      <c r="D804" s="97"/>
      <c r="E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  <c r="AA804" s="97"/>
      <c r="AB804" s="97"/>
      <c r="AC804" s="97"/>
      <c r="AD804" s="97"/>
    </row>
    <row r="805" spans="2:30" ht="11.25" customHeight="1" x14ac:dyDescent="0.45">
      <c r="B805" s="97"/>
      <c r="C805" s="97"/>
      <c r="D805" s="97"/>
      <c r="E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  <c r="AA805" s="97"/>
      <c r="AB805" s="97"/>
      <c r="AC805" s="97"/>
      <c r="AD805" s="97"/>
    </row>
    <row r="806" spans="2:30" ht="11.25" customHeight="1" x14ac:dyDescent="0.45">
      <c r="B806" s="97"/>
      <c r="C806" s="97"/>
      <c r="D806" s="97"/>
      <c r="E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  <c r="AA806" s="97"/>
      <c r="AB806" s="97"/>
      <c r="AC806" s="97"/>
      <c r="AD806" s="97"/>
    </row>
    <row r="807" spans="2:30" ht="11.25" customHeight="1" x14ac:dyDescent="0.45">
      <c r="B807" s="97"/>
      <c r="C807" s="97"/>
      <c r="D807" s="97"/>
      <c r="E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  <c r="AA807" s="97"/>
      <c r="AB807" s="97"/>
      <c r="AC807" s="97"/>
      <c r="AD807" s="97"/>
    </row>
    <row r="808" spans="2:30" ht="11.25" customHeight="1" x14ac:dyDescent="0.45">
      <c r="B808" s="97"/>
      <c r="C808" s="97"/>
      <c r="D808" s="97"/>
      <c r="E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  <c r="AA808" s="97"/>
      <c r="AB808" s="97"/>
      <c r="AC808" s="97"/>
      <c r="AD808" s="97"/>
    </row>
    <row r="809" spans="2:30" ht="11.25" customHeight="1" x14ac:dyDescent="0.45">
      <c r="B809" s="97"/>
      <c r="C809" s="97"/>
      <c r="D809" s="97"/>
      <c r="E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  <c r="AA809" s="97"/>
      <c r="AB809" s="97"/>
      <c r="AC809" s="97"/>
      <c r="AD809" s="97"/>
    </row>
    <row r="810" spans="2:30" ht="11.25" customHeight="1" x14ac:dyDescent="0.45">
      <c r="B810" s="97"/>
      <c r="C810" s="97"/>
      <c r="D810" s="97"/>
      <c r="E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  <c r="AA810" s="97"/>
      <c r="AB810" s="97"/>
      <c r="AC810" s="97"/>
      <c r="AD810" s="97"/>
    </row>
    <row r="811" spans="2:30" ht="11.25" customHeight="1" x14ac:dyDescent="0.45">
      <c r="B811" s="97"/>
      <c r="C811" s="97"/>
      <c r="D811" s="97"/>
      <c r="E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  <c r="AA811" s="97"/>
      <c r="AB811" s="97"/>
      <c r="AC811" s="97"/>
      <c r="AD811" s="97"/>
    </row>
    <row r="812" spans="2:30" ht="11.25" customHeight="1" x14ac:dyDescent="0.45">
      <c r="B812" s="97"/>
      <c r="C812" s="97"/>
      <c r="D812" s="97"/>
      <c r="E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  <c r="AA812" s="97"/>
      <c r="AB812" s="97"/>
      <c r="AC812" s="97"/>
      <c r="AD812" s="97"/>
    </row>
    <row r="813" spans="2:30" ht="11.25" customHeight="1" x14ac:dyDescent="0.45">
      <c r="B813" s="97"/>
      <c r="C813" s="97"/>
      <c r="D813" s="97"/>
      <c r="E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  <c r="AA813" s="97"/>
      <c r="AB813" s="97"/>
      <c r="AC813" s="97"/>
      <c r="AD813" s="97"/>
    </row>
    <row r="814" spans="2:30" ht="11.25" customHeight="1" x14ac:dyDescent="0.45">
      <c r="B814" s="97"/>
      <c r="C814" s="97"/>
      <c r="D814" s="97"/>
      <c r="E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  <c r="AA814" s="97"/>
      <c r="AB814" s="97"/>
      <c r="AC814" s="97"/>
      <c r="AD814" s="97"/>
    </row>
    <row r="815" spans="2:30" ht="11.25" customHeight="1" x14ac:dyDescent="0.45">
      <c r="B815" s="97"/>
      <c r="C815" s="97"/>
      <c r="D815" s="97"/>
      <c r="E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  <c r="AA815" s="97"/>
      <c r="AB815" s="97"/>
      <c r="AC815" s="97"/>
      <c r="AD815" s="97"/>
    </row>
    <row r="816" spans="2:30" ht="11.25" customHeight="1" x14ac:dyDescent="0.45">
      <c r="B816" s="97"/>
      <c r="C816" s="97"/>
      <c r="D816" s="97"/>
      <c r="E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  <c r="AA816" s="97"/>
      <c r="AB816" s="97"/>
      <c r="AC816" s="97"/>
      <c r="AD816" s="97"/>
    </row>
    <row r="817" spans="2:30" ht="11.25" customHeight="1" x14ac:dyDescent="0.45">
      <c r="B817" s="97"/>
      <c r="C817" s="97"/>
      <c r="D817" s="97"/>
      <c r="E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  <c r="AA817" s="97"/>
      <c r="AB817" s="97"/>
      <c r="AC817" s="97"/>
      <c r="AD817" s="97"/>
    </row>
    <row r="818" spans="2:30" ht="11.25" customHeight="1" x14ac:dyDescent="0.45">
      <c r="B818" s="97"/>
      <c r="C818" s="97"/>
      <c r="D818" s="97"/>
      <c r="E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  <c r="AA818" s="97"/>
      <c r="AB818" s="97"/>
      <c r="AC818" s="97"/>
      <c r="AD818" s="97"/>
    </row>
    <row r="819" spans="2:30" ht="11.25" customHeight="1" x14ac:dyDescent="0.45">
      <c r="B819" s="97"/>
      <c r="C819" s="97"/>
      <c r="D819" s="97"/>
      <c r="E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  <c r="AA819" s="97"/>
      <c r="AB819" s="97"/>
      <c r="AC819" s="97"/>
      <c r="AD819" s="97"/>
    </row>
    <row r="820" spans="2:30" ht="11.25" customHeight="1" x14ac:dyDescent="0.45">
      <c r="B820" s="97"/>
      <c r="C820" s="97"/>
      <c r="D820" s="97"/>
      <c r="E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  <c r="AA820" s="97"/>
      <c r="AB820" s="97"/>
      <c r="AC820" s="97"/>
      <c r="AD820" s="97"/>
    </row>
    <row r="821" spans="2:30" ht="11.25" customHeight="1" x14ac:dyDescent="0.45">
      <c r="B821" s="97"/>
      <c r="C821" s="97"/>
      <c r="D821" s="97"/>
      <c r="E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  <c r="AA821" s="97"/>
      <c r="AB821" s="97"/>
      <c r="AC821" s="97"/>
      <c r="AD821" s="97"/>
    </row>
    <row r="822" spans="2:30" ht="11.25" customHeight="1" x14ac:dyDescent="0.45">
      <c r="B822" s="97"/>
      <c r="C822" s="97"/>
      <c r="D822" s="97"/>
      <c r="E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  <c r="AA822" s="97"/>
      <c r="AB822" s="97"/>
      <c r="AC822" s="97"/>
      <c r="AD822" s="97"/>
    </row>
    <row r="823" spans="2:30" ht="11.25" customHeight="1" x14ac:dyDescent="0.45">
      <c r="B823" s="97"/>
      <c r="C823" s="97"/>
      <c r="D823" s="97"/>
      <c r="E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  <c r="AA823" s="97"/>
      <c r="AB823" s="97"/>
      <c r="AC823" s="97"/>
      <c r="AD823" s="97"/>
    </row>
    <row r="824" spans="2:30" ht="11.25" customHeight="1" x14ac:dyDescent="0.45">
      <c r="B824" s="97"/>
      <c r="C824" s="97"/>
      <c r="D824" s="97"/>
      <c r="E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  <c r="AA824" s="97"/>
      <c r="AB824" s="97"/>
      <c r="AC824" s="97"/>
      <c r="AD824" s="97"/>
    </row>
    <row r="825" spans="2:30" ht="11.25" customHeight="1" x14ac:dyDescent="0.45">
      <c r="B825" s="97"/>
      <c r="C825" s="97"/>
      <c r="D825" s="97"/>
      <c r="E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  <c r="AA825" s="97"/>
      <c r="AB825" s="97"/>
      <c r="AC825" s="97"/>
      <c r="AD825" s="97"/>
    </row>
    <row r="826" spans="2:30" ht="11.25" customHeight="1" x14ac:dyDescent="0.45">
      <c r="B826" s="97"/>
      <c r="C826" s="97"/>
      <c r="D826" s="97"/>
      <c r="E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  <c r="AA826" s="97"/>
      <c r="AB826" s="97"/>
      <c r="AC826" s="97"/>
      <c r="AD826" s="97"/>
    </row>
    <row r="827" spans="2:30" ht="11.25" customHeight="1" x14ac:dyDescent="0.45">
      <c r="B827" s="97"/>
      <c r="C827" s="97"/>
      <c r="D827" s="97"/>
      <c r="E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  <c r="AA827" s="97"/>
      <c r="AB827" s="97"/>
      <c r="AC827" s="97"/>
      <c r="AD827" s="97"/>
    </row>
    <row r="828" spans="2:30" ht="11.25" customHeight="1" x14ac:dyDescent="0.45">
      <c r="B828" s="97"/>
      <c r="C828" s="97"/>
      <c r="D828" s="97"/>
      <c r="E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  <c r="AA828" s="97"/>
      <c r="AB828" s="97"/>
      <c r="AC828" s="97"/>
      <c r="AD828" s="97"/>
    </row>
    <row r="829" spans="2:30" ht="11.25" customHeight="1" x14ac:dyDescent="0.45">
      <c r="B829" s="97"/>
      <c r="C829" s="97"/>
      <c r="D829" s="97"/>
      <c r="E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  <c r="AA829" s="97"/>
      <c r="AB829" s="97"/>
      <c r="AC829" s="97"/>
      <c r="AD829" s="97"/>
    </row>
    <row r="830" spans="2:30" ht="11.25" customHeight="1" x14ac:dyDescent="0.45">
      <c r="B830" s="97"/>
      <c r="C830" s="97"/>
      <c r="D830" s="97"/>
      <c r="E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  <c r="AA830" s="97"/>
      <c r="AB830" s="97"/>
      <c r="AC830" s="97"/>
      <c r="AD830" s="97"/>
    </row>
    <row r="831" spans="2:30" ht="11.25" customHeight="1" x14ac:dyDescent="0.45">
      <c r="B831" s="97"/>
      <c r="C831" s="97"/>
      <c r="D831" s="97"/>
      <c r="E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  <c r="AA831" s="97"/>
      <c r="AB831" s="97"/>
      <c r="AC831" s="97"/>
      <c r="AD831" s="97"/>
    </row>
    <row r="832" spans="2:30" ht="11.25" customHeight="1" x14ac:dyDescent="0.45">
      <c r="B832" s="97"/>
      <c r="C832" s="97"/>
      <c r="D832" s="97"/>
      <c r="E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  <c r="AA832" s="97"/>
      <c r="AB832" s="97"/>
      <c r="AC832" s="97"/>
      <c r="AD832" s="97"/>
    </row>
    <row r="833" spans="2:30" ht="11.25" customHeight="1" x14ac:dyDescent="0.45">
      <c r="B833" s="97"/>
      <c r="C833" s="97"/>
      <c r="D833" s="97"/>
      <c r="E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  <c r="AA833" s="97"/>
      <c r="AB833" s="97"/>
      <c r="AC833" s="97"/>
      <c r="AD833" s="97"/>
    </row>
    <row r="834" spans="2:30" ht="11.25" customHeight="1" x14ac:dyDescent="0.45">
      <c r="B834" s="97"/>
      <c r="C834" s="97"/>
      <c r="D834" s="97"/>
      <c r="E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  <c r="AA834" s="97"/>
      <c r="AB834" s="97"/>
      <c r="AC834" s="97"/>
      <c r="AD834" s="97"/>
    </row>
    <row r="835" spans="2:30" ht="11.25" customHeight="1" x14ac:dyDescent="0.45">
      <c r="B835" s="97"/>
      <c r="C835" s="97"/>
      <c r="D835" s="97"/>
      <c r="E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  <c r="AA835" s="97"/>
      <c r="AB835" s="97"/>
      <c r="AC835" s="97"/>
      <c r="AD835" s="97"/>
    </row>
    <row r="836" spans="2:30" ht="11.25" customHeight="1" x14ac:dyDescent="0.45">
      <c r="B836" s="97"/>
      <c r="C836" s="97"/>
      <c r="D836" s="97"/>
      <c r="E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  <c r="AA836" s="97"/>
      <c r="AB836" s="97"/>
      <c r="AC836" s="97"/>
      <c r="AD836" s="97"/>
    </row>
    <row r="837" spans="2:30" ht="11.25" customHeight="1" x14ac:dyDescent="0.45">
      <c r="B837" s="97"/>
      <c r="C837" s="97"/>
      <c r="D837" s="97"/>
      <c r="E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  <c r="AA837" s="97"/>
      <c r="AB837" s="97"/>
      <c r="AC837" s="97"/>
      <c r="AD837" s="97"/>
    </row>
    <row r="838" spans="2:30" ht="11.25" customHeight="1" x14ac:dyDescent="0.45">
      <c r="B838" s="97"/>
      <c r="C838" s="97"/>
      <c r="D838" s="97"/>
      <c r="E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  <c r="AA838" s="97"/>
      <c r="AB838" s="97"/>
      <c r="AC838" s="97"/>
      <c r="AD838" s="97"/>
    </row>
    <row r="839" spans="2:30" ht="11.25" customHeight="1" x14ac:dyDescent="0.45">
      <c r="B839" s="97"/>
      <c r="C839" s="97"/>
      <c r="D839" s="97"/>
      <c r="E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  <c r="AA839" s="97"/>
      <c r="AB839" s="97"/>
      <c r="AC839" s="97"/>
      <c r="AD839" s="97"/>
    </row>
    <row r="840" spans="2:30" ht="11.25" customHeight="1" x14ac:dyDescent="0.45">
      <c r="B840" s="97"/>
      <c r="C840" s="97"/>
      <c r="D840" s="97"/>
      <c r="E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  <c r="AA840" s="97"/>
      <c r="AB840" s="97"/>
      <c r="AC840" s="97"/>
      <c r="AD840" s="97"/>
    </row>
    <row r="841" spans="2:30" ht="11.25" customHeight="1" x14ac:dyDescent="0.45">
      <c r="B841" s="97"/>
      <c r="C841" s="97"/>
      <c r="D841" s="97"/>
      <c r="E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  <c r="AA841" s="97"/>
      <c r="AB841" s="97"/>
      <c r="AC841" s="97"/>
      <c r="AD841" s="97"/>
    </row>
    <row r="842" spans="2:30" ht="11.25" customHeight="1" x14ac:dyDescent="0.45">
      <c r="B842" s="97"/>
      <c r="C842" s="97"/>
      <c r="D842" s="97"/>
      <c r="E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  <c r="AA842" s="97"/>
      <c r="AB842" s="97"/>
      <c r="AC842" s="97"/>
      <c r="AD842" s="97"/>
    </row>
    <row r="843" spans="2:30" ht="11.25" customHeight="1" x14ac:dyDescent="0.45">
      <c r="B843" s="97"/>
      <c r="C843" s="97"/>
      <c r="D843" s="97"/>
      <c r="E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  <c r="AA843" s="97"/>
      <c r="AB843" s="97"/>
      <c r="AC843" s="97"/>
      <c r="AD843" s="97"/>
    </row>
    <row r="844" spans="2:30" ht="11.25" customHeight="1" x14ac:dyDescent="0.45">
      <c r="B844" s="97"/>
      <c r="C844" s="97"/>
      <c r="D844" s="97"/>
      <c r="E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  <c r="AA844" s="97"/>
      <c r="AB844" s="97"/>
      <c r="AC844" s="97"/>
      <c r="AD844" s="97"/>
    </row>
    <row r="845" spans="2:30" ht="11.25" customHeight="1" x14ac:dyDescent="0.45">
      <c r="B845" s="97"/>
      <c r="C845" s="97"/>
      <c r="D845" s="97"/>
      <c r="E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  <c r="AA845" s="97"/>
      <c r="AB845" s="97"/>
      <c r="AC845" s="97"/>
      <c r="AD845" s="97"/>
    </row>
    <row r="846" spans="2:30" ht="11.25" customHeight="1" x14ac:dyDescent="0.45">
      <c r="B846" s="97"/>
      <c r="C846" s="97"/>
      <c r="D846" s="97"/>
      <c r="E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  <c r="AA846" s="97"/>
      <c r="AB846" s="97"/>
      <c r="AC846" s="97"/>
      <c r="AD846" s="97"/>
    </row>
    <row r="847" spans="2:30" ht="11.25" customHeight="1" x14ac:dyDescent="0.45">
      <c r="B847" s="97"/>
      <c r="C847" s="97"/>
      <c r="D847" s="97"/>
      <c r="E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  <c r="AA847" s="97"/>
      <c r="AB847" s="97"/>
      <c r="AC847" s="97"/>
      <c r="AD847" s="97"/>
    </row>
    <row r="848" spans="2:30" ht="11.25" customHeight="1" x14ac:dyDescent="0.45">
      <c r="B848" s="97"/>
      <c r="C848" s="97"/>
      <c r="D848" s="97"/>
      <c r="E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  <c r="AA848" s="97"/>
      <c r="AB848" s="97"/>
      <c r="AC848" s="97"/>
      <c r="AD848" s="97"/>
    </row>
    <row r="849" spans="2:30" ht="11.25" customHeight="1" x14ac:dyDescent="0.45">
      <c r="B849" s="97"/>
      <c r="C849" s="97"/>
      <c r="D849" s="97"/>
      <c r="E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  <c r="AA849" s="97"/>
      <c r="AB849" s="97"/>
      <c r="AC849" s="97"/>
      <c r="AD849" s="97"/>
    </row>
    <row r="850" spans="2:30" ht="11.25" customHeight="1" x14ac:dyDescent="0.45">
      <c r="B850" s="97"/>
      <c r="C850" s="97"/>
      <c r="D850" s="97"/>
      <c r="E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  <c r="AA850" s="97"/>
      <c r="AB850" s="97"/>
      <c r="AC850" s="97"/>
      <c r="AD850" s="97"/>
    </row>
    <row r="851" spans="2:30" ht="11.25" customHeight="1" x14ac:dyDescent="0.45">
      <c r="B851" s="97"/>
      <c r="C851" s="97"/>
      <c r="D851" s="97"/>
      <c r="E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  <c r="AA851" s="97"/>
      <c r="AB851" s="97"/>
      <c r="AC851" s="97"/>
      <c r="AD851" s="97"/>
    </row>
    <row r="852" spans="2:30" ht="11.25" customHeight="1" x14ac:dyDescent="0.45">
      <c r="B852" s="97"/>
      <c r="C852" s="97"/>
      <c r="D852" s="97"/>
      <c r="E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  <c r="AA852" s="97"/>
      <c r="AB852" s="97"/>
      <c r="AC852" s="97"/>
      <c r="AD852" s="97"/>
    </row>
    <row r="853" spans="2:30" ht="11.25" customHeight="1" x14ac:dyDescent="0.45">
      <c r="B853" s="97"/>
      <c r="C853" s="97"/>
      <c r="D853" s="97"/>
      <c r="E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  <c r="AA853" s="97"/>
      <c r="AB853" s="97"/>
      <c r="AC853" s="97"/>
      <c r="AD853" s="97"/>
    </row>
    <row r="854" spans="2:30" ht="11.25" customHeight="1" x14ac:dyDescent="0.45">
      <c r="B854" s="97"/>
      <c r="C854" s="97"/>
      <c r="D854" s="97"/>
      <c r="E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  <c r="AA854" s="97"/>
      <c r="AB854" s="97"/>
      <c r="AC854" s="97"/>
      <c r="AD854" s="97"/>
    </row>
    <row r="855" spans="2:30" ht="11.25" customHeight="1" x14ac:dyDescent="0.45">
      <c r="B855" s="97"/>
      <c r="C855" s="97"/>
      <c r="D855" s="97"/>
      <c r="E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  <c r="AA855" s="97"/>
      <c r="AB855" s="97"/>
      <c r="AC855" s="97"/>
      <c r="AD855" s="97"/>
    </row>
    <row r="856" spans="2:30" ht="11.25" customHeight="1" x14ac:dyDescent="0.45">
      <c r="B856" s="97"/>
      <c r="C856" s="97"/>
      <c r="D856" s="97"/>
      <c r="E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  <c r="AA856" s="97"/>
      <c r="AB856" s="97"/>
      <c r="AC856" s="97"/>
      <c r="AD856" s="97"/>
    </row>
    <row r="857" spans="2:30" ht="11.25" customHeight="1" x14ac:dyDescent="0.45">
      <c r="B857" s="97"/>
      <c r="C857" s="97"/>
      <c r="D857" s="97"/>
      <c r="E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  <c r="AA857" s="97"/>
      <c r="AB857" s="97"/>
      <c r="AC857" s="97"/>
      <c r="AD857" s="97"/>
    </row>
    <row r="858" spans="2:30" ht="11.25" customHeight="1" x14ac:dyDescent="0.45">
      <c r="B858" s="97"/>
      <c r="C858" s="97"/>
      <c r="D858" s="97"/>
      <c r="E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  <c r="AA858" s="97"/>
      <c r="AB858" s="97"/>
      <c r="AC858" s="97"/>
      <c r="AD858" s="97"/>
    </row>
    <row r="859" spans="2:30" ht="11.25" customHeight="1" x14ac:dyDescent="0.45">
      <c r="B859" s="97"/>
      <c r="C859" s="97"/>
      <c r="D859" s="97"/>
      <c r="E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  <c r="AA859" s="97"/>
      <c r="AB859" s="97"/>
      <c r="AC859" s="97"/>
      <c r="AD859" s="97"/>
    </row>
    <row r="860" spans="2:30" ht="11.25" customHeight="1" x14ac:dyDescent="0.45">
      <c r="B860" s="97"/>
      <c r="C860" s="97"/>
      <c r="D860" s="97"/>
      <c r="E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  <c r="AA860" s="97"/>
      <c r="AB860" s="97"/>
      <c r="AC860" s="97"/>
      <c r="AD860" s="97"/>
    </row>
    <row r="861" spans="2:30" ht="11.25" customHeight="1" x14ac:dyDescent="0.45">
      <c r="B861" s="97"/>
      <c r="C861" s="97"/>
      <c r="D861" s="97"/>
      <c r="E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  <c r="AA861" s="97"/>
      <c r="AB861" s="97"/>
      <c r="AC861" s="97"/>
      <c r="AD861" s="97"/>
    </row>
    <row r="862" spans="2:30" ht="11.25" customHeight="1" x14ac:dyDescent="0.45">
      <c r="B862" s="97"/>
      <c r="C862" s="97"/>
      <c r="D862" s="97"/>
      <c r="E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  <c r="AA862" s="97"/>
      <c r="AB862" s="97"/>
      <c r="AC862" s="97"/>
      <c r="AD862" s="97"/>
    </row>
    <row r="863" spans="2:30" ht="11.25" customHeight="1" x14ac:dyDescent="0.45">
      <c r="B863" s="97"/>
      <c r="C863" s="97"/>
      <c r="D863" s="97"/>
      <c r="E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  <c r="AA863" s="97"/>
      <c r="AB863" s="97"/>
      <c r="AC863" s="97"/>
      <c r="AD863" s="97"/>
    </row>
    <row r="864" spans="2:30" ht="11.25" customHeight="1" x14ac:dyDescent="0.45">
      <c r="B864" s="97"/>
      <c r="C864" s="97"/>
      <c r="D864" s="97"/>
      <c r="E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  <c r="AA864" s="97"/>
      <c r="AB864" s="97"/>
      <c r="AC864" s="97"/>
      <c r="AD864" s="97"/>
    </row>
    <row r="865" spans="2:30" ht="11.25" customHeight="1" x14ac:dyDescent="0.45">
      <c r="B865" s="97"/>
      <c r="C865" s="97"/>
      <c r="D865" s="97"/>
      <c r="E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  <c r="AA865" s="97"/>
      <c r="AB865" s="97"/>
      <c r="AC865" s="97"/>
      <c r="AD865" s="97"/>
    </row>
    <row r="866" spans="2:30" ht="11.25" customHeight="1" x14ac:dyDescent="0.45">
      <c r="B866" s="97"/>
      <c r="C866" s="97"/>
      <c r="D866" s="97"/>
      <c r="E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  <c r="AA866" s="97"/>
      <c r="AB866" s="97"/>
      <c r="AC866" s="97"/>
      <c r="AD866" s="97"/>
    </row>
    <row r="867" spans="2:30" ht="11.25" customHeight="1" x14ac:dyDescent="0.45">
      <c r="B867" s="97"/>
      <c r="C867" s="97"/>
      <c r="D867" s="97"/>
      <c r="E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  <c r="AA867" s="97"/>
      <c r="AB867" s="97"/>
      <c r="AC867" s="97"/>
      <c r="AD867" s="97"/>
    </row>
    <row r="868" spans="2:30" ht="11.25" customHeight="1" x14ac:dyDescent="0.45">
      <c r="B868" s="97"/>
      <c r="C868" s="97"/>
      <c r="D868" s="97"/>
      <c r="E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  <c r="AA868" s="97"/>
      <c r="AB868" s="97"/>
      <c r="AC868" s="97"/>
      <c r="AD868" s="97"/>
    </row>
    <row r="869" spans="2:30" ht="11.25" customHeight="1" x14ac:dyDescent="0.45">
      <c r="B869" s="97"/>
      <c r="C869" s="97"/>
      <c r="D869" s="97"/>
      <c r="E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  <c r="AA869" s="97"/>
      <c r="AB869" s="97"/>
      <c r="AC869" s="97"/>
      <c r="AD869" s="97"/>
    </row>
    <row r="870" spans="2:30" ht="11.25" customHeight="1" x14ac:dyDescent="0.45">
      <c r="B870" s="97"/>
      <c r="C870" s="97"/>
      <c r="D870" s="97"/>
      <c r="E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  <c r="AA870" s="97"/>
      <c r="AB870" s="97"/>
      <c r="AC870" s="97"/>
      <c r="AD870" s="97"/>
    </row>
    <row r="871" spans="2:30" ht="11.25" customHeight="1" x14ac:dyDescent="0.45">
      <c r="B871" s="97"/>
      <c r="C871" s="97"/>
      <c r="D871" s="97"/>
      <c r="E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  <c r="AA871" s="97"/>
      <c r="AB871" s="97"/>
      <c r="AC871" s="97"/>
      <c r="AD871" s="97"/>
    </row>
    <row r="872" spans="2:30" ht="11.25" customHeight="1" x14ac:dyDescent="0.45">
      <c r="B872" s="97"/>
      <c r="C872" s="97"/>
      <c r="D872" s="97"/>
      <c r="E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  <c r="AA872" s="97"/>
      <c r="AB872" s="97"/>
      <c r="AC872" s="97"/>
      <c r="AD872" s="97"/>
    </row>
    <row r="873" spans="2:30" ht="11.25" customHeight="1" x14ac:dyDescent="0.45">
      <c r="B873" s="97"/>
      <c r="C873" s="97"/>
      <c r="D873" s="97"/>
      <c r="E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  <c r="AA873" s="97"/>
      <c r="AB873" s="97"/>
      <c r="AC873" s="97"/>
      <c r="AD873" s="97"/>
    </row>
    <row r="874" spans="2:30" ht="11.25" customHeight="1" x14ac:dyDescent="0.45">
      <c r="B874" s="97"/>
      <c r="C874" s="97"/>
      <c r="D874" s="97"/>
      <c r="E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  <c r="AA874" s="97"/>
      <c r="AB874" s="97"/>
      <c r="AC874" s="97"/>
      <c r="AD874" s="97"/>
    </row>
    <row r="875" spans="2:30" ht="11.25" customHeight="1" x14ac:dyDescent="0.45">
      <c r="B875" s="97"/>
      <c r="C875" s="97"/>
      <c r="D875" s="97"/>
      <c r="E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  <c r="AA875" s="97"/>
      <c r="AB875" s="97"/>
      <c r="AC875" s="97"/>
      <c r="AD875" s="97"/>
    </row>
    <row r="876" spans="2:30" ht="11.25" customHeight="1" x14ac:dyDescent="0.45">
      <c r="B876" s="97"/>
      <c r="C876" s="97"/>
      <c r="D876" s="97"/>
      <c r="E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  <c r="AA876" s="97"/>
      <c r="AB876" s="97"/>
      <c r="AC876" s="97"/>
      <c r="AD876" s="97"/>
    </row>
    <row r="877" spans="2:30" ht="11.25" customHeight="1" x14ac:dyDescent="0.45">
      <c r="B877" s="97"/>
      <c r="C877" s="97"/>
      <c r="D877" s="97"/>
      <c r="E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  <c r="AA877" s="97"/>
      <c r="AB877" s="97"/>
      <c r="AC877" s="97"/>
      <c r="AD877" s="97"/>
    </row>
    <row r="878" spans="2:30" ht="11.25" customHeight="1" x14ac:dyDescent="0.45">
      <c r="B878" s="97"/>
      <c r="C878" s="97"/>
      <c r="D878" s="97"/>
      <c r="E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  <c r="AA878" s="97"/>
      <c r="AB878" s="97"/>
      <c r="AC878" s="97"/>
      <c r="AD878" s="97"/>
    </row>
    <row r="879" spans="2:30" ht="11.25" customHeight="1" x14ac:dyDescent="0.45">
      <c r="B879" s="97"/>
      <c r="C879" s="97"/>
      <c r="D879" s="97"/>
      <c r="E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  <c r="AA879" s="97"/>
      <c r="AB879" s="97"/>
      <c r="AC879" s="97"/>
      <c r="AD879" s="97"/>
    </row>
    <row r="880" spans="2:30" ht="11.25" customHeight="1" x14ac:dyDescent="0.45">
      <c r="B880" s="97"/>
      <c r="C880" s="97"/>
      <c r="D880" s="97"/>
      <c r="E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  <c r="AA880" s="97"/>
      <c r="AB880" s="97"/>
      <c r="AC880" s="97"/>
      <c r="AD880" s="97"/>
    </row>
    <row r="881" spans="2:30" ht="11.25" customHeight="1" x14ac:dyDescent="0.45">
      <c r="B881" s="97"/>
      <c r="C881" s="97"/>
      <c r="D881" s="97"/>
      <c r="E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  <c r="AA881" s="97"/>
      <c r="AB881" s="97"/>
      <c r="AC881" s="97"/>
      <c r="AD881" s="97"/>
    </row>
    <row r="882" spans="2:30" ht="11.25" customHeight="1" x14ac:dyDescent="0.45">
      <c r="B882" s="97"/>
      <c r="C882" s="97"/>
      <c r="D882" s="97"/>
      <c r="E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  <c r="AA882" s="97"/>
      <c r="AB882" s="97"/>
      <c r="AC882" s="97"/>
      <c r="AD882" s="97"/>
    </row>
    <row r="883" spans="2:30" ht="11.25" customHeight="1" x14ac:dyDescent="0.45">
      <c r="B883" s="97"/>
      <c r="C883" s="97"/>
      <c r="D883" s="97"/>
      <c r="E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  <c r="AA883" s="97"/>
      <c r="AB883" s="97"/>
      <c r="AC883" s="97"/>
      <c r="AD883" s="97"/>
    </row>
    <row r="884" spans="2:30" ht="11.25" customHeight="1" x14ac:dyDescent="0.45">
      <c r="B884" s="97"/>
      <c r="C884" s="97"/>
      <c r="D884" s="97"/>
      <c r="E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  <c r="AA884" s="97"/>
      <c r="AB884" s="97"/>
      <c r="AC884" s="97"/>
      <c r="AD884" s="97"/>
    </row>
    <row r="885" spans="2:30" ht="11.25" customHeight="1" x14ac:dyDescent="0.45">
      <c r="B885" s="97"/>
      <c r="C885" s="97"/>
      <c r="D885" s="97"/>
      <c r="E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  <c r="AA885" s="97"/>
      <c r="AB885" s="97"/>
      <c r="AC885" s="97"/>
      <c r="AD885" s="97"/>
    </row>
    <row r="886" spans="2:30" ht="11.25" customHeight="1" x14ac:dyDescent="0.45">
      <c r="B886" s="97"/>
      <c r="C886" s="97"/>
      <c r="D886" s="97"/>
      <c r="E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  <c r="AA886" s="97"/>
      <c r="AB886" s="97"/>
      <c r="AC886" s="97"/>
      <c r="AD886" s="97"/>
    </row>
    <row r="887" spans="2:30" ht="11.25" customHeight="1" x14ac:dyDescent="0.45">
      <c r="B887" s="97"/>
      <c r="C887" s="97"/>
      <c r="D887" s="97"/>
      <c r="E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  <c r="AA887" s="97"/>
      <c r="AB887" s="97"/>
      <c r="AC887" s="97"/>
      <c r="AD887" s="97"/>
    </row>
    <row r="888" spans="2:30" ht="11.25" customHeight="1" x14ac:dyDescent="0.45">
      <c r="B888" s="97"/>
      <c r="C888" s="97"/>
      <c r="D888" s="97"/>
      <c r="E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  <c r="AA888" s="97"/>
      <c r="AB888" s="97"/>
      <c r="AC888" s="97"/>
      <c r="AD888" s="97"/>
    </row>
    <row r="889" spans="2:30" ht="11.25" customHeight="1" x14ac:dyDescent="0.45">
      <c r="B889" s="97"/>
      <c r="C889" s="97"/>
      <c r="D889" s="97"/>
      <c r="E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  <c r="AA889" s="97"/>
      <c r="AB889" s="97"/>
      <c r="AC889" s="97"/>
      <c r="AD889" s="97"/>
    </row>
    <row r="890" spans="2:30" ht="11.25" customHeight="1" x14ac:dyDescent="0.45">
      <c r="B890" s="97"/>
      <c r="C890" s="97"/>
      <c r="D890" s="97"/>
      <c r="E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  <c r="AA890" s="97"/>
      <c r="AB890" s="97"/>
      <c r="AC890" s="97"/>
      <c r="AD890" s="97"/>
    </row>
    <row r="891" spans="2:30" ht="11.25" customHeight="1" x14ac:dyDescent="0.45">
      <c r="B891" s="97"/>
      <c r="C891" s="97"/>
      <c r="D891" s="97"/>
      <c r="E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  <c r="AA891" s="97"/>
      <c r="AB891" s="97"/>
      <c r="AC891" s="97"/>
      <c r="AD891" s="97"/>
    </row>
    <row r="892" spans="2:30" ht="11.25" customHeight="1" x14ac:dyDescent="0.45">
      <c r="B892" s="97"/>
      <c r="C892" s="97"/>
      <c r="D892" s="97"/>
      <c r="E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  <c r="AA892" s="97"/>
      <c r="AB892" s="97"/>
      <c r="AC892" s="97"/>
      <c r="AD892" s="97"/>
    </row>
    <row r="893" spans="2:30" ht="11.25" customHeight="1" x14ac:dyDescent="0.45">
      <c r="B893" s="97"/>
      <c r="C893" s="97"/>
      <c r="D893" s="97"/>
      <c r="E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  <c r="AA893" s="97"/>
      <c r="AB893" s="97"/>
      <c r="AC893" s="97"/>
      <c r="AD893" s="97"/>
    </row>
    <row r="894" spans="2:30" ht="11.25" customHeight="1" x14ac:dyDescent="0.45">
      <c r="B894" s="97"/>
      <c r="C894" s="97"/>
      <c r="D894" s="97"/>
      <c r="E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  <c r="AA894" s="97"/>
      <c r="AB894" s="97"/>
      <c r="AC894" s="97"/>
      <c r="AD894" s="97"/>
    </row>
    <row r="895" spans="2:30" ht="11.25" customHeight="1" x14ac:dyDescent="0.45">
      <c r="B895" s="97"/>
      <c r="C895" s="97"/>
      <c r="D895" s="97"/>
      <c r="E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  <c r="AA895" s="97"/>
      <c r="AB895" s="97"/>
      <c r="AC895" s="97"/>
      <c r="AD895" s="97"/>
    </row>
    <row r="896" spans="2:30" ht="11.25" customHeight="1" x14ac:dyDescent="0.45">
      <c r="B896" s="97"/>
      <c r="C896" s="97"/>
      <c r="D896" s="97"/>
      <c r="E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  <c r="AA896" s="97"/>
      <c r="AB896" s="97"/>
      <c r="AC896" s="97"/>
      <c r="AD896" s="97"/>
    </row>
    <row r="897" spans="2:30" ht="11.25" customHeight="1" x14ac:dyDescent="0.45">
      <c r="B897" s="97"/>
      <c r="C897" s="97"/>
      <c r="D897" s="97"/>
      <c r="E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  <c r="AA897" s="97"/>
      <c r="AB897" s="97"/>
      <c r="AC897" s="97"/>
      <c r="AD897" s="97"/>
    </row>
    <row r="898" spans="2:30" ht="11.25" customHeight="1" x14ac:dyDescent="0.45">
      <c r="B898" s="97"/>
      <c r="C898" s="97"/>
      <c r="D898" s="97"/>
      <c r="E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  <c r="AA898" s="97"/>
      <c r="AB898" s="97"/>
      <c r="AC898" s="97"/>
      <c r="AD898" s="97"/>
    </row>
    <row r="899" spans="2:30" ht="11.25" customHeight="1" x14ac:dyDescent="0.45">
      <c r="B899" s="97"/>
      <c r="C899" s="97"/>
      <c r="D899" s="97"/>
      <c r="E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  <c r="AA899" s="97"/>
      <c r="AB899" s="97"/>
      <c r="AC899" s="97"/>
      <c r="AD899" s="97"/>
    </row>
    <row r="900" spans="2:30" ht="11.25" customHeight="1" x14ac:dyDescent="0.45">
      <c r="B900" s="97"/>
      <c r="C900" s="97"/>
      <c r="D900" s="97"/>
      <c r="E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  <c r="AA900" s="97"/>
      <c r="AB900" s="97"/>
      <c r="AC900" s="97"/>
      <c r="AD900" s="97"/>
    </row>
    <row r="901" spans="2:30" ht="11.25" customHeight="1" x14ac:dyDescent="0.45">
      <c r="B901" s="97"/>
      <c r="C901" s="97"/>
      <c r="D901" s="97"/>
      <c r="E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  <c r="AA901" s="97"/>
      <c r="AB901" s="97"/>
      <c r="AC901" s="97"/>
      <c r="AD901" s="97"/>
    </row>
    <row r="902" spans="2:30" ht="11.25" customHeight="1" x14ac:dyDescent="0.45">
      <c r="B902" s="97"/>
      <c r="C902" s="97"/>
      <c r="D902" s="97"/>
      <c r="E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  <c r="AA902" s="97"/>
      <c r="AB902" s="97"/>
      <c r="AC902" s="97"/>
      <c r="AD902" s="97"/>
    </row>
    <row r="903" spans="2:30" ht="11.25" customHeight="1" x14ac:dyDescent="0.45">
      <c r="B903" s="97"/>
      <c r="C903" s="97"/>
      <c r="D903" s="97"/>
      <c r="E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  <c r="AA903" s="97"/>
      <c r="AB903" s="97"/>
      <c r="AC903" s="97"/>
      <c r="AD903" s="97"/>
    </row>
    <row r="904" spans="2:30" ht="11.25" customHeight="1" x14ac:dyDescent="0.45">
      <c r="B904" s="97"/>
      <c r="C904" s="97"/>
      <c r="D904" s="97"/>
      <c r="E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  <c r="AA904" s="97"/>
      <c r="AB904" s="97"/>
      <c r="AC904" s="97"/>
      <c r="AD904" s="97"/>
    </row>
    <row r="905" spans="2:30" ht="11.25" customHeight="1" x14ac:dyDescent="0.45">
      <c r="B905" s="97"/>
      <c r="C905" s="97"/>
      <c r="D905" s="97"/>
      <c r="E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  <c r="AA905" s="97"/>
      <c r="AB905" s="97"/>
      <c r="AC905" s="97"/>
      <c r="AD905" s="97"/>
    </row>
    <row r="906" spans="2:30" ht="11.25" customHeight="1" x14ac:dyDescent="0.45">
      <c r="B906" s="97"/>
      <c r="C906" s="97"/>
      <c r="D906" s="97"/>
      <c r="E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  <c r="AA906" s="97"/>
      <c r="AB906" s="97"/>
      <c r="AC906" s="97"/>
      <c r="AD906" s="97"/>
    </row>
    <row r="907" spans="2:30" ht="11.25" customHeight="1" x14ac:dyDescent="0.45">
      <c r="B907" s="97"/>
      <c r="C907" s="97"/>
      <c r="D907" s="97"/>
      <c r="E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  <c r="AA907" s="97"/>
      <c r="AB907" s="97"/>
      <c r="AC907" s="97"/>
      <c r="AD907" s="97"/>
    </row>
    <row r="908" spans="2:30" ht="11.25" customHeight="1" x14ac:dyDescent="0.45">
      <c r="B908" s="97"/>
      <c r="C908" s="97"/>
      <c r="D908" s="97"/>
      <c r="E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  <c r="AA908" s="97"/>
      <c r="AB908" s="97"/>
      <c r="AC908" s="97"/>
      <c r="AD908" s="97"/>
    </row>
    <row r="909" spans="2:30" ht="11.25" customHeight="1" x14ac:dyDescent="0.45">
      <c r="B909" s="97"/>
      <c r="C909" s="97"/>
      <c r="D909" s="97"/>
      <c r="E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  <c r="AA909" s="97"/>
      <c r="AB909" s="97"/>
      <c r="AC909" s="97"/>
      <c r="AD909" s="97"/>
    </row>
    <row r="910" spans="2:30" ht="11.25" customHeight="1" x14ac:dyDescent="0.45">
      <c r="B910" s="97"/>
      <c r="C910" s="97"/>
      <c r="D910" s="97"/>
      <c r="E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  <c r="AA910" s="97"/>
      <c r="AB910" s="97"/>
      <c r="AC910" s="97"/>
      <c r="AD910" s="97"/>
    </row>
    <row r="911" spans="2:30" ht="11.25" customHeight="1" x14ac:dyDescent="0.45">
      <c r="B911" s="97"/>
      <c r="C911" s="97"/>
      <c r="D911" s="97"/>
      <c r="E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  <c r="AA911" s="97"/>
      <c r="AB911" s="97"/>
      <c r="AC911" s="97"/>
      <c r="AD911" s="97"/>
    </row>
    <row r="912" spans="2:30" ht="11.25" customHeight="1" x14ac:dyDescent="0.45">
      <c r="B912" s="97"/>
      <c r="C912" s="97"/>
      <c r="D912" s="97"/>
      <c r="E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  <c r="AA912" s="97"/>
      <c r="AB912" s="97"/>
      <c r="AC912" s="97"/>
      <c r="AD912" s="97"/>
    </row>
    <row r="913" spans="2:30" ht="11.25" customHeight="1" x14ac:dyDescent="0.45">
      <c r="B913" s="97"/>
      <c r="C913" s="97"/>
      <c r="D913" s="97"/>
      <c r="E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  <c r="AA913" s="97"/>
      <c r="AB913" s="97"/>
      <c r="AC913" s="97"/>
      <c r="AD913" s="97"/>
    </row>
    <row r="914" spans="2:30" ht="11.25" customHeight="1" x14ac:dyDescent="0.45">
      <c r="B914" s="97"/>
      <c r="C914" s="97"/>
      <c r="D914" s="97"/>
      <c r="E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  <c r="AA914" s="97"/>
      <c r="AB914" s="97"/>
      <c r="AC914" s="97"/>
      <c r="AD914" s="97"/>
    </row>
    <row r="915" spans="2:30" ht="11.25" customHeight="1" x14ac:dyDescent="0.45">
      <c r="B915" s="97"/>
      <c r="C915" s="97"/>
      <c r="D915" s="97"/>
      <c r="E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  <c r="AA915" s="97"/>
      <c r="AB915" s="97"/>
      <c r="AC915" s="97"/>
      <c r="AD915" s="97"/>
    </row>
    <row r="916" spans="2:30" ht="11.25" customHeight="1" x14ac:dyDescent="0.45">
      <c r="B916" s="97"/>
      <c r="C916" s="97"/>
      <c r="D916" s="97"/>
      <c r="E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  <c r="AA916" s="97"/>
      <c r="AB916" s="97"/>
      <c r="AC916" s="97"/>
      <c r="AD916" s="97"/>
    </row>
    <row r="917" spans="2:30" ht="11.25" customHeight="1" x14ac:dyDescent="0.45">
      <c r="B917" s="97"/>
      <c r="C917" s="97"/>
      <c r="D917" s="97"/>
      <c r="E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  <c r="AA917" s="97"/>
      <c r="AB917" s="97"/>
      <c r="AC917" s="97"/>
      <c r="AD917" s="97"/>
    </row>
    <row r="918" spans="2:30" ht="11.25" customHeight="1" x14ac:dyDescent="0.45">
      <c r="B918" s="97"/>
      <c r="C918" s="97"/>
      <c r="D918" s="97"/>
      <c r="E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  <c r="AA918" s="97"/>
      <c r="AB918" s="97"/>
      <c r="AC918" s="97"/>
      <c r="AD918" s="97"/>
    </row>
    <row r="919" spans="2:30" ht="11.25" customHeight="1" x14ac:dyDescent="0.45">
      <c r="B919" s="97"/>
      <c r="C919" s="97"/>
      <c r="D919" s="97"/>
      <c r="E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  <c r="AA919" s="97"/>
      <c r="AB919" s="97"/>
      <c r="AC919" s="97"/>
      <c r="AD919" s="97"/>
    </row>
    <row r="920" spans="2:30" ht="11.25" customHeight="1" x14ac:dyDescent="0.45">
      <c r="B920" s="97"/>
      <c r="C920" s="97"/>
      <c r="D920" s="97"/>
      <c r="E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  <c r="AA920" s="97"/>
      <c r="AB920" s="97"/>
      <c r="AC920" s="97"/>
      <c r="AD920" s="97"/>
    </row>
    <row r="921" spans="2:30" ht="11.25" customHeight="1" x14ac:dyDescent="0.45">
      <c r="B921" s="97"/>
      <c r="C921" s="97"/>
      <c r="D921" s="97"/>
      <c r="E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  <c r="AA921" s="97"/>
      <c r="AB921" s="97"/>
      <c r="AC921" s="97"/>
      <c r="AD921" s="97"/>
    </row>
    <row r="922" spans="2:30" ht="11.25" customHeight="1" x14ac:dyDescent="0.45">
      <c r="B922" s="97"/>
      <c r="C922" s="97"/>
      <c r="D922" s="97"/>
      <c r="E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  <c r="AA922" s="97"/>
      <c r="AB922" s="97"/>
      <c r="AC922" s="97"/>
      <c r="AD922" s="97"/>
    </row>
    <row r="923" spans="2:30" ht="11.25" customHeight="1" x14ac:dyDescent="0.45">
      <c r="B923" s="97"/>
      <c r="C923" s="97"/>
      <c r="D923" s="97"/>
      <c r="E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  <c r="AA923" s="97"/>
      <c r="AB923" s="97"/>
      <c r="AC923" s="97"/>
      <c r="AD923" s="97"/>
    </row>
    <row r="924" spans="2:30" ht="11.25" customHeight="1" x14ac:dyDescent="0.45">
      <c r="B924" s="97"/>
      <c r="C924" s="97"/>
      <c r="D924" s="97"/>
      <c r="E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  <c r="AA924" s="97"/>
      <c r="AB924" s="97"/>
      <c r="AC924" s="97"/>
      <c r="AD924" s="97"/>
    </row>
    <row r="925" spans="2:30" ht="11.25" customHeight="1" x14ac:dyDescent="0.45">
      <c r="B925" s="97"/>
      <c r="C925" s="97"/>
      <c r="D925" s="97"/>
      <c r="E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  <c r="AA925" s="97"/>
      <c r="AB925" s="97"/>
      <c r="AC925" s="97"/>
      <c r="AD925" s="97"/>
    </row>
    <row r="926" spans="2:30" ht="11.25" customHeight="1" x14ac:dyDescent="0.45">
      <c r="B926" s="97"/>
      <c r="C926" s="97"/>
      <c r="D926" s="97"/>
      <c r="E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  <c r="AA926" s="97"/>
      <c r="AB926" s="97"/>
      <c r="AC926" s="97"/>
      <c r="AD926" s="97"/>
    </row>
    <row r="927" spans="2:30" ht="11.25" customHeight="1" x14ac:dyDescent="0.45">
      <c r="B927" s="97"/>
      <c r="C927" s="97"/>
      <c r="D927" s="97"/>
      <c r="E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  <c r="AA927" s="97"/>
      <c r="AB927" s="97"/>
      <c r="AC927" s="97"/>
      <c r="AD927" s="97"/>
    </row>
    <row r="928" spans="2:30" ht="11.25" customHeight="1" x14ac:dyDescent="0.45">
      <c r="B928" s="97"/>
      <c r="C928" s="97"/>
      <c r="D928" s="97"/>
      <c r="E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  <c r="AA928" s="97"/>
      <c r="AB928" s="97"/>
      <c r="AC928" s="97"/>
      <c r="AD928" s="97"/>
    </row>
    <row r="929" spans="2:30" ht="11.25" customHeight="1" x14ac:dyDescent="0.45">
      <c r="B929" s="97"/>
      <c r="C929" s="97"/>
      <c r="D929" s="97"/>
      <c r="E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  <c r="AA929" s="97"/>
      <c r="AB929" s="97"/>
      <c r="AC929" s="97"/>
      <c r="AD929" s="97"/>
    </row>
    <row r="930" spans="2:30" ht="11.25" customHeight="1" x14ac:dyDescent="0.45">
      <c r="B930" s="97"/>
      <c r="C930" s="97"/>
      <c r="D930" s="97"/>
      <c r="E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  <c r="AA930" s="97"/>
      <c r="AB930" s="97"/>
      <c r="AC930" s="97"/>
      <c r="AD930" s="97"/>
    </row>
    <row r="931" spans="2:30" ht="11.25" customHeight="1" x14ac:dyDescent="0.45">
      <c r="B931" s="97"/>
      <c r="C931" s="97"/>
      <c r="D931" s="97"/>
      <c r="E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  <c r="AA931" s="97"/>
      <c r="AB931" s="97"/>
      <c r="AC931" s="97"/>
      <c r="AD931" s="97"/>
    </row>
    <row r="932" spans="2:30" ht="11.25" customHeight="1" x14ac:dyDescent="0.45">
      <c r="B932" s="97"/>
      <c r="C932" s="97"/>
      <c r="D932" s="97"/>
      <c r="E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  <c r="AA932" s="97"/>
      <c r="AB932" s="97"/>
      <c r="AC932" s="97"/>
      <c r="AD932" s="97"/>
    </row>
    <row r="933" spans="2:30" ht="11.25" customHeight="1" x14ac:dyDescent="0.45">
      <c r="B933" s="97"/>
      <c r="C933" s="97"/>
      <c r="D933" s="97"/>
      <c r="E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  <c r="AA933" s="97"/>
      <c r="AB933" s="97"/>
      <c r="AC933" s="97"/>
      <c r="AD933" s="97"/>
    </row>
    <row r="934" spans="2:30" ht="11.25" customHeight="1" x14ac:dyDescent="0.45">
      <c r="B934" s="97"/>
      <c r="C934" s="97"/>
      <c r="D934" s="97"/>
      <c r="E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  <c r="AA934" s="97"/>
      <c r="AB934" s="97"/>
      <c r="AC934" s="97"/>
      <c r="AD934" s="97"/>
    </row>
    <row r="935" spans="2:30" ht="11.25" customHeight="1" x14ac:dyDescent="0.45">
      <c r="B935" s="97"/>
      <c r="C935" s="97"/>
      <c r="D935" s="97"/>
      <c r="E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  <c r="AA935" s="97"/>
      <c r="AB935" s="97"/>
      <c r="AC935" s="97"/>
      <c r="AD935" s="97"/>
    </row>
    <row r="936" spans="2:30" ht="11.25" customHeight="1" x14ac:dyDescent="0.45">
      <c r="B936" s="97"/>
      <c r="C936" s="97"/>
      <c r="D936" s="97"/>
      <c r="E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  <c r="AA936" s="97"/>
      <c r="AB936" s="97"/>
      <c r="AC936" s="97"/>
      <c r="AD936" s="97"/>
    </row>
    <row r="937" spans="2:30" ht="11.25" customHeight="1" x14ac:dyDescent="0.45">
      <c r="B937" s="97"/>
      <c r="C937" s="97"/>
      <c r="D937" s="97"/>
      <c r="E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  <c r="AA937" s="97"/>
      <c r="AB937" s="97"/>
      <c r="AC937" s="97"/>
      <c r="AD937" s="97"/>
    </row>
    <row r="938" spans="2:30" ht="11.25" customHeight="1" x14ac:dyDescent="0.45">
      <c r="B938" s="97"/>
      <c r="C938" s="97"/>
      <c r="D938" s="97"/>
      <c r="E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  <c r="AA938" s="97"/>
      <c r="AB938" s="97"/>
      <c r="AC938" s="97"/>
      <c r="AD938" s="97"/>
    </row>
    <row r="939" spans="2:30" ht="11.25" customHeight="1" x14ac:dyDescent="0.45">
      <c r="B939" s="97"/>
      <c r="C939" s="97"/>
      <c r="D939" s="97"/>
      <c r="E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  <c r="AA939" s="97"/>
      <c r="AB939" s="97"/>
      <c r="AC939" s="97"/>
      <c r="AD939" s="97"/>
    </row>
    <row r="940" spans="2:30" ht="11.25" customHeight="1" x14ac:dyDescent="0.45">
      <c r="B940" s="97"/>
      <c r="C940" s="97"/>
      <c r="D940" s="97"/>
      <c r="E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  <c r="AA940" s="97"/>
      <c r="AB940" s="97"/>
      <c r="AC940" s="97"/>
      <c r="AD940" s="97"/>
    </row>
    <row r="941" spans="2:30" ht="11.25" customHeight="1" x14ac:dyDescent="0.45">
      <c r="B941" s="97"/>
      <c r="C941" s="97"/>
      <c r="D941" s="97"/>
      <c r="E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  <c r="AA941" s="97"/>
      <c r="AB941" s="97"/>
      <c r="AC941" s="97"/>
      <c r="AD941" s="97"/>
    </row>
    <row r="942" spans="2:30" ht="11.25" customHeight="1" x14ac:dyDescent="0.45">
      <c r="B942" s="97"/>
      <c r="C942" s="97"/>
      <c r="D942" s="97"/>
      <c r="E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  <c r="AA942" s="97"/>
      <c r="AB942" s="97"/>
      <c r="AC942" s="97"/>
      <c r="AD942" s="97"/>
    </row>
    <row r="943" spans="2:30" ht="11.25" customHeight="1" x14ac:dyDescent="0.45">
      <c r="B943" s="97"/>
      <c r="C943" s="97"/>
      <c r="D943" s="97"/>
      <c r="E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  <c r="AA943" s="97"/>
      <c r="AB943" s="97"/>
      <c r="AC943" s="97"/>
      <c r="AD943" s="97"/>
    </row>
    <row r="944" spans="2:30" ht="11.25" customHeight="1" x14ac:dyDescent="0.45">
      <c r="B944" s="97"/>
      <c r="C944" s="97"/>
      <c r="D944" s="97"/>
      <c r="E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  <c r="AA944" s="97"/>
      <c r="AB944" s="97"/>
      <c r="AC944" s="97"/>
      <c r="AD944" s="97"/>
    </row>
    <row r="945" spans="2:30" ht="11.25" customHeight="1" x14ac:dyDescent="0.45">
      <c r="B945" s="97"/>
      <c r="C945" s="97"/>
      <c r="D945" s="97"/>
      <c r="E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  <c r="AA945" s="97"/>
      <c r="AB945" s="97"/>
      <c r="AC945" s="97"/>
      <c r="AD945" s="97"/>
    </row>
    <row r="946" spans="2:30" ht="11.25" customHeight="1" x14ac:dyDescent="0.45">
      <c r="B946" s="97"/>
      <c r="C946" s="97"/>
      <c r="D946" s="97"/>
      <c r="E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  <c r="AA946" s="97"/>
      <c r="AB946" s="97"/>
      <c r="AC946" s="97"/>
      <c r="AD946" s="97"/>
    </row>
    <row r="947" spans="2:30" ht="11.25" customHeight="1" x14ac:dyDescent="0.45">
      <c r="B947" s="97"/>
      <c r="C947" s="97"/>
      <c r="D947" s="97"/>
      <c r="E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  <c r="AA947" s="97"/>
      <c r="AB947" s="97"/>
      <c r="AC947" s="97"/>
      <c r="AD947" s="97"/>
    </row>
    <row r="948" spans="2:30" ht="11.25" customHeight="1" x14ac:dyDescent="0.45">
      <c r="B948" s="97"/>
      <c r="C948" s="97"/>
      <c r="D948" s="97"/>
      <c r="E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  <c r="AA948" s="97"/>
      <c r="AB948" s="97"/>
      <c r="AC948" s="97"/>
      <c r="AD948" s="97"/>
    </row>
    <row r="949" spans="2:30" ht="11.25" customHeight="1" x14ac:dyDescent="0.45">
      <c r="B949" s="97"/>
      <c r="C949" s="97"/>
      <c r="D949" s="97"/>
      <c r="E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  <c r="AA949" s="97"/>
      <c r="AB949" s="97"/>
      <c r="AC949" s="97"/>
      <c r="AD949" s="97"/>
    </row>
    <row r="950" spans="2:30" ht="11.25" customHeight="1" x14ac:dyDescent="0.45">
      <c r="B950" s="97"/>
      <c r="C950" s="97"/>
      <c r="D950" s="97"/>
      <c r="E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  <c r="AA950" s="97"/>
      <c r="AB950" s="97"/>
      <c r="AC950" s="97"/>
      <c r="AD950" s="97"/>
    </row>
    <row r="951" spans="2:30" ht="11.25" customHeight="1" x14ac:dyDescent="0.45">
      <c r="B951" s="97"/>
      <c r="C951" s="97"/>
      <c r="D951" s="97"/>
      <c r="E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  <c r="AA951" s="97"/>
      <c r="AB951" s="97"/>
      <c r="AC951" s="97"/>
      <c r="AD951" s="97"/>
    </row>
    <row r="952" spans="2:30" ht="11.25" customHeight="1" x14ac:dyDescent="0.45">
      <c r="B952" s="97"/>
      <c r="C952" s="97"/>
      <c r="D952" s="97"/>
      <c r="E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  <c r="AA952" s="97"/>
      <c r="AB952" s="97"/>
      <c r="AC952" s="97"/>
      <c r="AD952" s="97"/>
    </row>
    <row r="953" spans="2:30" ht="11.25" customHeight="1" x14ac:dyDescent="0.45">
      <c r="B953" s="97"/>
      <c r="C953" s="97"/>
      <c r="D953" s="97"/>
      <c r="E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  <c r="AA953" s="97"/>
      <c r="AB953" s="97"/>
      <c r="AC953" s="97"/>
      <c r="AD953" s="97"/>
    </row>
    <row r="954" spans="2:30" ht="11.25" customHeight="1" x14ac:dyDescent="0.45">
      <c r="B954" s="97"/>
      <c r="C954" s="97"/>
      <c r="D954" s="97"/>
      <c r="E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  <c r="AA954" s="97"/>
      <c r="AB954" s="97"/>
      <c r="AC954" s="97"/>
      <c r="AD954" s="97"/>
    </row>
    <row r="955" spans="2:30" ht="11.25" customHeight="1" x14ac:dyDescent="0.45">
      <c r="B955" s="97"/>
      <c r="C955" s="97"/>
      <c r="D955" s="97"/>
      <c r="E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  <c r="AA955" s="97"/>
      <c r="AB955" s="97"/>
      <c r="AC955" s="97"/>
      <c r="AD955" s="97"/>
    </row>
    <row r="956" spans="2:30" ht="11.25" customHeight="1" x14ac:dyDescent="0.45">
      <c r="B956" s="97"/>
      <c r="C956" s="97"/>
      <c r="D956" s="97"/>
      <c r="E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  <c r="AA956" s="97"/>
      <c r="AB956" s="97"/>
      <c r="AC956" s="97"/>
      <c r="AD956" s="97"/>
    </row>
    <row r="957" spans="2:30" ht="11.25" customHeight="1" x14ac:dyDescent="0.45">
      <c r="B957" s="97"/>
      <c r="C957" s="97"/>
      <c r="D957" s="97"/>
      <c r="E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  <c r="AA957" s="97"/>
      <c r="AB957" s="97"/>
      <c r="AC957" s="97"/>
      <c r="AD957" s="97"/>
    </row>
    <row r="958" spans="2:30" ht="11.25" customHeight="1" x14ac:dyDescent="0.45">
      <c r="B958" s="97"/>
      <c r="C958" s="97"/>
      <c r="D958" s="97"/>
      <c r="E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  <c r="AA958" s="97"/>
      <c r="AB958" s="97"/>
      <c r="AC958" s="97"/>
      <c r="AD958" s="97"/>
    </row>
    <row r="959" spans="2:30" ht="11.25" customHeight="1" x14ac:dyDescent="0.45">
      <c r="B959" s="97"/>
      <c r="C959" s="97"/>
      <c r="D959" s="97"/>
      <c r="E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  <c r="AA959" s="97"/>
      <c r="AB959" s="97"/>
      <c r="AC959" s="97"/>
      <c r="AD959" s="97"/>
    </row>
    <row r="960" spans="2:30" ht="11.25" customHeight="1" x14ac:dyDescent="0.45">
      <c r="B960" s="97"/>
      <c r="C960" s="97"/>
      <c r="D960" s="97"/>
      <c r="E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  <c r="AA960" s="97"/>
      <c r="AB960" s="97"/>
      <c r="AC960" s="97"/>
      <c r="AD960" s="97"/>
    </row>
    <row r="961" spans="2:30" ht="11.25" customHeight="1" x14ac:dyDescent="0.45">
      <c r="B961" s="97"/>
      <c r="C961" s="97"/>
      <c r="D961" s="97"/>
      <c r="E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  <c r="AA961" s="97"/>
      <c r="AB961" s="97"/>
      <c r="AC961" s="97"/>
      <c r="AD961" s="97"/>
    </row>
    <row r="962" spans="2:30" ht="11.25" customHeight="1" x14ac:dyDescent="0.45">
      <c r="B962" s="97"/>
      <c r="C962" s="97"/>
      <c r="D962" s="97"/>
      <c r="E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  <c r="AA962" s="97"/>
      <c r="AB962" s="97"/>
      <c r="AC962" s="97"/>
      <c r="AD962" s="97"/>
    </row>
    <row r="963" spans="2:30" ht="11.25" customHeight="1" x14ac:dyDescent="0.45">
      <c r="B963" s="97"/>
      <c r="C963" s="97"/>
      <c r="D963" s="97"/>
      <c r="E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  <c r="AA963" s="97"/>
      <c r="AB963" s="97"/>
      <c r="AC963" s="97"/>
      <c r="AD963" s="97"/>
    </row>
    <row r="964" spans="2:30" ht="11.25" customHeight="1" x14ac:dyDescent="0.45">
      <c r="B964" s="97"/>
      <c r="C964" s="97"/>
      <c r="D964" s="97"/>
      <c r="E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  <c r="AA964" s="97"/>
      <c r="AB964" s="97"/>
      <c r="AC964" s="97"/>
      <c r="AD964" s="97"/>
    </row>
    <row r="965" spans="2:30" ht="11.25" customHeight="1" x14ac:dyDescent="0.45">
      <c r="B965" s="97"/>
      <c r="C965" s="97"/>
      <c r="D965" s="97"/>
      <c r="E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  <c r="AA965" s="97"/>
      <c r="AB965" s="97"/>
      <c r="AC965" s="97"/>
      <c r="AD965" s="97"/>
    </row>
    <row r="966" spans="2:30" ht="11.25" customHeight="1" x14ac:dyDescent="0.45">
      <c r="B966" s="97"/>
      <c r="C966" s="97"/>
      <c r="D966" s="97"/>
      <c r="E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  <c r="AA966" s="97"/>
      <c r="AB966" s="97"/>
      <c r="AC966" s="97"/>
      <c r="AD966" s="97"/>
    </row>
    <row r="967" spans="2:30" ht="11.25" customHeight="1" x14ac:dyDescent="0.45">
      <c r="B967" s="97"/>
      <c r="C967" s="97"/>
      <c r="D967" s="97"/>
      <c r="E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  <c r="AA967" s="97"/>
      <c r="AB967" s="97"/>
      <c r="AC967" s="97"/>
      <c r="AD967" s="97"/>
    </row>
    <row r="968" spans="2:30" ht="11.25" customHeight="1" x14ac:dyDescent="0.45">
      <c r="B968" s="97"/>
      <c r="C968" s="97"/>
      <c r="D968" s="97"/>
      <c r="E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  <c r="AA968" s="97"/>
      <c r="AB968" s="97"/>
      <c r="AC968" s="97"/>
      <c r="AD968" s="97"/>
    </row>
    <row r="969" spans="2:30" ht="11.25" customHeight="1" x14ac:dyDescent="0.45">
      <c r="B969" s="97"/>
      <c r="C969" s="97"/>
      <c r="D969" s="97"/>
      <c r="E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  <c r="AA969" s="97"/>
      <c r="AB969" s="97"/>
      <c r="AC969" s="97"/>
      <c r="AD969" s="97"/>
    </row>
    <row r="970" spans="2:30" ht="11.25" customHeight="1" x14ac:dyDescent="0.45">
      <c r="B970" s="97"/>
      <c r="C970" s="97"/>
      <c r="D970" s="97"/>
      <c r="E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  <c r="AA970" s="97"/>
      <c r="AB970" s="97"/>
      <c r="AC970" s="97"/>
      <c r="AD970" s="97"/>
    </row>
    <row r="971" spans="2:30" ht="11.25" customHeight="1" x14ac:dyDescent="0.45">
      <c r="B971" s="97"/>
      <c r="C971" s="97"/>
      <c r="D971" s="97"/>
      <c r="E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  <c r="AA971" s="97"/>
      <c r="AB971" s="97"/>
      <c r="AC971" s="97"/>
      <c r="AD971" s="97"/>
    </row>
    <row r="972" spans="2:30" ht="11.25" customHeight="1" x14ac:dyDescent="0.45">
      <c r="B972" s="97"/>
      <c r="C972" s="97"/>
      <c r="D972" s="97"/>
      <c r="E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  <c r="AA972" s="97"/>
      <c r="AB972" s="97"/>
      <c r="AC972" s="97"/>
      <c r="AD972" s="97"/>
    </row>
    <row r="973" spans="2:30" ht="11.25" customHeight="1" x14ac:dyDescent="0.45">
      <c r="B973" s="97"/>
      <c r="C973" s="97"/>
      <c r="D973" s="97"/>
      <c r="E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  <c r="AA973" s="97"/>
      <c r="AB973" s="97"/>
      <c r="AC973" s="97"/>
      <c r="AD973" s="97"/>
    </row>
    <row r="974" spans="2:30" ht="11.25" customHeight="1" x14ac:dyDescent="0.45">
      <c r="B974" s="97"/>
      <c r="C974" s="97"/>
      <c r="D974" s="97"/>
      <c r="E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  <c r="AA974" s="97"/>
      <c r="AB974" s="97"/>
      <c r="AC974" s="97"/>
      <c r="AD974" s="97"/>
    </row>
    <row r="975" spans="2:30" ht="11.25" customHeight="1" x14ac:dyDescent="0.45">
      <c r="B975" s="97"/>
      <c r="C975" s="97"/>
      <c r="D975" s="97"/>
      <c r="E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  <c r="AA975" s="97"/>
      <c r="AB975" s="97"/>
      <c r="AC975" s="97"/>
      <c r="AD975" s="97"/>
    </row>
    <row r="976" spans="2:30" ht="11.25" customHeight="1" x14ac:dyDescent="0.45">
      <c r="B976" s="97"/>
      <c r="C976" s="97"/>
      <c r="D976" s="97"/>
      <c r="E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  <c r="AA976" s="97"/>
      <c r="AB976" s="97"/>
      <c r="AC976" s="97"/>
      <c r="AD976" s="97"/>
    </row>
    <row r="977" spans="2:30" ht="11.25" customHeight="1" x14ac:dyDescent="0.45">
      <c r="B977" s="97"/>
      <c r="C977" s="97"/>
      <c r="D977" s="97"/>
      <c r="E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  <c r="AA977" s="97"/>
      <c r="AB977" s="97"/>
      <c r="AC977" s="97"/>
      <c r="AD977" s="97"/>
    </row>
    <row r="978" spans="2:30" ht="11.25" customHeight="1" x14ac:dyDescent="0.45">
      <c r="B978" s="97"/>
      <c r="C978" s="97"/>
      <c r="D978" s="97"/>
      <c r="E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  <c r="AA978" s="97"/>
      <c r="AB978" s="97"/>
      <c r="AC978" s="97"/>
      <c r="AD978" s="97"/>
    </row>
    <row r="979" spans="2:30" ht="11.25" customHeight="1" x14ac:dyDescent="0.45">
      <c r="B979" s="97"/>
      <c r="C979" s="97"/>
      <c r="D979" s="97"/>
      <c r="E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  <c r="AA979" s="97"/>
      <c r="AB979" s="97"/>
      <c r="AC979" s="97"/>
      <c r="AD979" s="97"/>
    </row>
    <row r="980" spans="2:30" ht="11.25" customHeight="1" x14ac:dyDescent="0.45">
      <c r="B980" s="97"/>
      <c r="C980" s="97"/>
      <c r="D980" s="97"/>
      <c r="E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  <c r="AA980" s="97"/>
      <c r="AB980" s="97"/>
      <c r="AC980" s="97"/>
      <c r="AD980" s="97"/>
    </row>
    <row r="981" spans="2:30" ht="11.25" customHeight="1" x14ac:dyDescent="0.45">
      <c r="B981" s="97"/>
      <c r="C981" s="97"/>
      <c r="D981" s="97"/>
      <c r="E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  <c r="AA981" s="97"/>
      <c r="AB981" s="97"/>
      <c r="AC981" s="97"/>
      <c r="AD981" s="97"/>
    </row>
    <row r="982" spans="2:30" ht="11.25" customHeight="1" x14ac:dyDescent="0.45">
      <c r="B982" s="97"/>
      <c r="C982" s="97"/>
      <c r="D982" s="97"/>
      <c r="E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  <c r="AA982" s="97"/>
      <c r="AB982" s="97"/>
      <c r="AC982" s="97"/>
      <c r="AD982" s="97"/>
    </row>
    <row r="983" spans="2:30" ht="11.25" customHeight="1" x14ac:dyDescent="0.45">
      <c r="B983" s="97"/>
      <c r="C983" s="97"/>
      <c r="D983" s="97"/>
      <c r="E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  <c r="AA983" s="97"/>
      <c r="AB983" s="97"/>
      <c r="AC983" s="97"/>
      <c r="AD983" s="97"/>
    </row>
    <row r="984" spans="2:30" ht="11.25" customHeight="1" x14ac:dyDescent="0.45">
      <c r="B984" s="97"/>
      <c r="C984" s="97"/>
      <c r="D984" s="97"/>
      <c r="E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  <c r="AA984" s="97"/>
      <c r="AB984" s="97"/>
      <c r="AC984" s="97"/>
      <c r="AD984" s="97"/>
    </row>
    <row r="985" spans="2:30" ht="11.25" customHeight="1" x14ac:dyDescent="0.45">
      <c r="B985" s="97"/>
      <c r="C985" s="97"/>
      <c r="D985" s="97"/>
      <c r="E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  <c r="AA985" s="97"/>
      <c r="AB985" s="97"/>
      <c r="AC985" s="97"/>
      <c r="AD985" s="97"/>
    </row>
    <row r="986" spans="2:30" ht="11.25" customHeight="1" x14ac:dyDescent="0.45">
      <c r="B986" s="97"/>
      <c r="C986" s="97"/>
      <c r="D986" s="97"/>
      <c r="E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  <c r="AA986" s="97"/>
      <c r="AB986" s="97"/>
      <c r="AC986" s="97"/>
      <c r="AD986" s="97"/>
    </row>
    <row r="987" spans="2:30" ht="11.25" customHeight="1" x14ac:dyDescent="0.45">
      <c r="B987" s="97"/>
      <c r="C987" s="97"/>
      <c r="D987" s="97"/>
      <c r="E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  <c r="AA987" s="97"/>
      <c r="AB987" s="97"/>
      <c r="AC987" s="97"/>
      <c r="AD987" s="97"/>
    </row>
    <row r="988" spans="2:30" ht="11.25" customHeight="1" x14ac:dyDescent="0.45">
      <c r="B988" s="97"/>
      <c r="C988" s="97"/>
      <c r="D988" s="97"/>
      <c r="E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  <c r="AA988" s="97"/>
      <c r="AB988" s="97"/>
      <c r="AC988" s="97"/>
      <c r="AD988" s="97"/>
    </row>
    <row r="989" spans="2:30" ht="11.25" customHeight="1" x14ac:dyDescent="0.45">
      <c r="B989" s="97"/>
      <c r="C989" s="97"/>
      <c r="D989" s="97"/>
      <c r="E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  <c r="AA989" s="97"/>
      <c r="AB989" s="97"/>
      <c r="AC989" s="97"/>
      <c r="AD989" s="97"/>
    </row>
    <row r="990" spans="2:30" ht="11.25" customHeight="1" x14ac:dyDescent="0.45">
      <c r="B990" s="97"/>
      <c r="C990" s="97"/>
      <c r="D990" s="97"/>
      <c r="E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  <c r="AA990" s="97"/>
      <c r="AB990" s="97"/>
      <c r="AC990" s="97"/>
      <c r="AD990" s="97"/>
    </row>
    <row r="991" spans="2:30" ht="11.25" customHeight="1" x14ac:dyDescent="0.45">
      <c r="B991" s="97"/>
      <c r="C991" s="97"/>
      <c r="D991" s="97"/>
      <c r="E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  <c r="AA991" s="97"/>
      <c r="AB991" s="97"/>
      <c r="AC991" s="97"/>
      <c r="AD991" s="97"/>
    </row>
    <row r="992" spans="2:30" ht="11.25" customHeight="1" x14ac:dyDescent="0.45">
      <c r="B992" s="97"/>
      <c r="C992" s="97"/>
      <c r="D992" s="97"/>
      <c r="E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  <c r="AA992" s="97"/>
      <c r="AB992" s="97"/>
      <c r="AC992" s="97"/>
      <c r="AD992" s="97"/>
    </row>
    <row r="993" spans="2:30" ht="11.25" customHeight="1" x14ac:dyDescent="0.45">
      <c r="B993" s="97"/>
      <c r="C993" s="97"/>
      <c r="D993" s="97"/>
      <c r="E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  <c r="AA993" s="97"/>
      <c r="AB993" s="97"/>
      <c r="AC993" s="97"/>
      <c r="AD993" s="97"/>
    </row>
    <row r="994" spans="2:30" ht="11.25" customHeight="1" x14ac:dyDescent="0.45">
      <c r="B994" s="97"/>
      <c r="C994" s="97"/>
      <c r="D994" s="97"/>
      <c r="E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  <c r="AA994" s="97"/>
      <c r="AB994" s="97"/>
      <c r="AC994" s="97"/>
      <c r="AD994" s="97"/>
    </row>
    <row r="995" spans="2:30" ht="11.25" customHeight="1" x14ac:dyDescent="0.45">
      <c r="B995" s="97"/>
      <c r="C995" s="97"/>
      <c r="D995" s="97"/>
      <c r="E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  <c r="AA995" s="97"/>
      <c r="AB995" s="97"/>
      <c r="AC995" s="97"/>
      <c r="AD995" s="97"/>
    </row>
    <row r="996" spans="2:30" ht="11.25" customHeight="1" x14ac:dyDescent="0.45">
      <c r="B996" s="97"/>
      <c r="C996" s="97"/>
      <c r="D996" s="97"/>
      <c r="E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  <c r="AA996" s="97"/>
      <c r="AB996" s="97"/>
      <c r="AC996" s="97"/>
      <c r="AD996" s="97"/>
    </row>
    <row r="997" spans="2:30" ht="11.25" customHeight="1" x14ac:dyDescent="0.45">
      <c r="B997" s="97"/>
      <c r="C997" s="97"/>
      <c r="D997" s="97"/>
      <c r="E997" s="97"/>
      <c r="Q997" s="97"/>
      <c r="R997" s="97"/>
      <c r="S997" s="97"/>
      <c r="T997" s="97"/>
      <c r="U997" s="97"/>
      <c r="V997" s="97"/>
      <c r="W997" s="97"/>
      <c r="X997" s="97"/>
      <c r="Y997" s="97"/>
      <c r="Z997" s="97"/>
      <c r="AA997" s="97"/>
      <c r="AB997" s="97"/>
      <c r="AC997" s="97"/>
      <c r="AD997" s="97"/>
    </row>
    <row r="998" spans="2:30" ht="11.25" customHeight="1" x14ac:dyDescent="0.45">
      <c r="B998" s="97"/>
      <c r="C998" s="97"/>
      <c r="D998" s="97"/>
      <c r="E998" s="97"/>
      <c r="Q998" s="97"/>
      <c r="R998" s="97"/>
      <c r="S998" s="97"/>
      <c r="T998" s="97"/>
      <c r="U998" s="97"/>
      <c r="V998" s="97"/>
      <c r="W998" s="97"/>
      <c r="X998" s="97"/>
      <c r="Y998" s="97"/>
      <c r="Z998" s="97"/>
      <c r="AA998" s="97"/>
      <c r="AB998" s="97"/>
      <c r="AC998" s="97"/>
      <c r="AD998" s="97"/>
    </row>
    <row r="999" spans="2:30" ht="11.25" customHeight="1" x14ac:dyDescent="0.45">
      <c r="B999" s="97"/>
      <c r="C999" s="97"/>
      <c r="D999" s="97"/>
      <c r="E999" s="97"/>
      <c r="Q999" s="97"/>
      <c r="R999" s="97"/>
      <c r="S999" s="97"/>
      <c r="T999" s="97"/>
      <c r="U999" s="97"/>
      <c r="V999" s="97"/>
      <c r="W999" s="97"/>
      <c r="X999" s="97"/>
      <c r="Y999" s="97"/>
      <c r="Z999" s="97"/>
      <c r="AA999" s="97"/>
      <c r="AB999" s="97"/>
      <c r="AC999" s="97"/>
      <c r="AD999" s="97"/>
    </row>
    <row r="1000" spans="2:30" ht="15" customHeight="1" x14ac:dyDescent="0.45"/>
    <row r="1001" spans="2:30" ht="15" customHeight="1" x14ac:dyDescent="0.45"/>
    <row r="1002" spans="2:30" ht="15" customHeight="1" x14ac:dyDescent="0.45"/>
    <row r="1003" spans="2:30" ht="15" customHeight="1" x14ac:dyDescent="0.45"/>
    <row r="1004" spans="2:30" ht="15" customHeight="1" x14ac:dyDescent="0.45"/>
    <row r="1005" spans="2:30" ht="15" customHeight="1" x14ac:dyDescent="0.45"/>
    <row r="1006" spans="2:30" ht="15" customHeight="1" x14ac:dyDescent="0.45"/>
  </sheetData>
  <mergeCells count="2">
    <mergeCell ref="C3:J3"/>
    <mergeCell ref="B140:C140"/>
  </mergeCells>
  <conditionalFormatting sqref="B61:C61">
    <cfRule type="expression" dxfId="1" priority="1">
      <formula>#REF!&gt;0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402B5-837C-455B-8391-F0902D0BE5C3}">
  <dimension ref="A1:AE999"/>
  <sheetViews>
    <sheetView topLeftCell="D110" workbookViewId="0">
      <selection activeCell="O129" sqref="O129:O134"/>
    </sheetView>
  </sheetViews>
  <sheetFormatPr baseColWidth="10" defaultColWidth="14.3984375" defaultRowHeight="14.25" x14ac:dyDescent="0.45"/>
  <cols>
    <col min="1" max="1" width="13.06640625" bestFit="1" customWidth="1"/>
    <col min="2" max="2" width="20.46484375" bestFit="1" customWidth="1"/>
    <col min="3" max="3" width="31.86328125" bestFit="1" customWidth="1"/>
    <col min="4" max="4" width="9.3984375" bestFit="1" customWidth="1"/>
    <col min="5" max="5" width="11.3984375" bestFit="1" customWidth="1"/>
    <col min="6" max="6" width="11" style="72" bestFit="1" customWidth="1"/>
    <col min="7" max="7" width="8.6640625" style="72" bestFit="1" customWidth="1"/>
    <col min="8" max="8" width="8.9296875" style="72" bestFit="1" customWidth="1"/>
    <col min="9" max="9" width="8.6640625" style="72" bestFit="1" customWidth="1"/>
    <col min="10" max="10" width="5.46484375" style="72" bestFit="1" customWidth="1"/>
    <col min="11" max="11" width="9" style="72" bestFit="1" customWidth="1"/>
    <col min="12" max="12" width="11.9296875" style="72" bestFit="1" customWidth="1"/>
    <col min="13" max="13" width="8.46484375" style="72" bestFit="1" customWidth="1"/>
    <col min="14" max="14" width="9.59765625" style="72" bestFit="1" customWidth="1"/>
    <col min="15" max="15" width="10.73046875" style="72" bestFit="1" customWidth="1"/>
    <col min="16" max="16" width="9.73046875" style="72" bestFit="1" customWidth="1"/>
    <col min="17" max="17" width="14.33203125" style="72" bestFit="1" customWidth="1"/>
    <col min="18" max="18" width="10.19921875" bestFit="1" customWidth="1"/>
    <col min="19" max="19" width="10.73046875" customWidth="1"/>
    <col min="20" max="20" width="7.9296875" bestFit="1" customWidth="1"/>
    <col min="21" max="21" width="9.265625" bestFit="1" customWidth="1"/>
    <col min="22" max="22" width="8.53125" bestFit="1" customWidth="1"/>
    <col min="23" max="31" width="10.73046875" customWidth="1"/>
  </cols>
  <sheetData>
    <row r="1" spans="1:31" x14ac:dyDescent="0.45">
      <c r="B1" s="94" t="s">
        <v>60</v>
      </c>
      <c r="C1" s="95"/>
      <c r="D1" s="96"/>
      <c r="E1" s="96"/>
      <c r="F1" s="146"/>
      <c r="G1" s="146"/>
      <c r="H1" s="146"/>
      <c r="I1" s="146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</row>
    <row r="2" spans="1:31" x14ac:dyDescent="0.45">
      <c r="B2" s="94" t="s">
        <v>184</v>
      </c>
      <c r="C2" s="95"/>
      <c r="D2" s="96"/>
      <c r="E2" s="96"/>
      <c r="F2" s="146"/>
      <c r="G2" s="146"/>
      <c r="H2" s="146"/>
      <c r="I2" s="146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</row>
    <row r="3" spans="1:31" x14ac:dyDescent="0.45">
      <c r="B3" s="94" t="s">
        <v>185</v>
      </c>
      <c r="C3" s="907"/>
      <c r="D3" s="908"/>
      <c r="E3" s="908"/>
      <c r="F3" s="908"/>
      <c r="G3" s="908"/>
      <c r="H3" s="908"/>
      <c r="I3" s="908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</row>
    <row r="4" spans="1:31" x14ac:dyDescent="0.45">
      <c r="B4" s="94" t="s">
        <v>186</v>
      </c>
      <c r="C4" s="95"/>
      <c r="D4" s="98" t="s">
        <v>187</v>
      </c>
      <c r="E4" s="98"/>
      <c r="F4" s="146"/>
      <c r="G4" s="146"/>
      <c r="H4" s="146"/>
      <c r="I4" s="146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</row>
    <row r="5" spans="1:31" x14ac:dyDescent="0.45">
      <c r="B5" s="94" t="s">
        <v>188</v>
      </c>
      <c r="C5" s="95"/>
      <c r="D5" s="98" t="s">
        <v>187</v>
      </c>
      <c r="E5" s="98"/>
      <c r="F5" s="146"/>
      <c r="G5" s="146"/>
      <c r="H5" s="146"/>
      <c r="I5" s="146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</row>
    <row r="6" spans="1:31" x14ac:dyDescent="0.45">
      <c r="B6" s="99" t="s">
        <v>189</v>
      </c>
      <c r="C6" s="100" t="s">
        <v>190</v>
      </c>
      <c r="D6" s="101"/>
      <c r="E6" s="101"/>
      <c r="F6" s="147"/>
      <c r="G6" s="147"/>
      <c r="H6" s="147"/>
      <c r="I6" s="14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</row>
    <row r="7" spans="1:31" x14ac:dyDescent="0.45">
      <c r="B7" s="97"/>
      <c r="C7" s="102"/>
      <c r="D7" s="97"/>
      <c r="E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</row>
    <row r="8" spans="1:31" s="236" customFormat="1" ht="31.5" x14ac:dyDescent="0.45">
      <c r="A8" s="239" t="s">
        <v>313</v>
      </c>
      <c r="B8" s="227" t="s">
        <v>191</v>
      </c>
      <c r="C8" s="228" t="s">
        <v>192</v>
      </c>
      <c r="D8" s="229" t="s">
        <v>55</v>
      </c>
      <c r="E8" s="229" t="s">
        <v>54</v>
      </c>
      <c r="F8" s="230" t="s">
        <v>193</v>
      </c>
      <c r="G8" s="231" t="s">
        <v>53</v>
      </c>
      <c r="H8" s="231" t="s">
        <v>52</v>
      </c>
      <c r="I8" s="232" t="s">
        <v>51</v>
      </c>
      <c r="J8" s="233"/>
      <c r="K8" s="234" t="s">
        <v>50</v>
      </c>
      <c r="L8" s="234" t="s">
        <v>49</v>
      </c>
      <c r="M8" s="234" t="s">
        <v>48</v>
      </c>
      <c r="N8" s="92" t="s">
        <v>176</v>
      </c>
      <c r="O8" s="234" t="s">
        <v>178</v>
      </c>
      <c r="P8" s="234" t="s">
        <v>162</v>
      </c>
      <c r="Q8" s="79" t="s">
        <v>163</v>
      </c>
      <c r="R8" s="79" t="s">
        <v>165</v>
      </c>
      <c r="S8" s="80" t="s">
        <v>169</v>
      </c>
      <c r="T8" s="80" t="s">
        <v>164</v>
      </c>
      <c r="U8" s="19" t="s">
        <v>47</v>
      </c>
      <c r="V8" s="19" t="s">
        <v>46</v>
      </c>
      <c r="W8" s="235"/>
      <c r="X8" s="235"/>
      <c r="Y8" s="235"/>
      <c r="Z8" s="235"/>
      <c r="AA8" s="235"/>
      <c r="AB8" s="235"/>
      <c r="AC8" s="235"/>
      <c r="AD8" s="235"/>
      <c r="AE8" s="235"/>
    </row>
    <row r="9" spans="1:31" x14ac:dyDescent="0.45">
      <c r="A9" s="240">
        <f>F11+F12+F14+F15+F16+F20+F22+F23+F26+F28+F29+F30+F34+F41+F42+F45+F52+F54+F56+F58+F60+F62+F67+F69+F71+F73</f>
        <v>0</v>
      </c>
      <c r="B9" s="130">
        <v>6750052190</v>
      </c>
      <c r="C9" s="110" t="s">
        <v>194</v>
      </c>
      <c r="D9" s="103">
        <v>200</v>
      </c>
      <c r="E9" s="103">
        <v>84</v>
      </c>
      <c r="F9" s="237">
        <f>'c311'!E9</f>
        <v>0</v>
      </c>
      <c r="G9" s="60">
        <f t="shared" ref="G9:G40" si="0">F9/D9</f>
        <v>0</v>
      </c>
      <c r="H9" s="60">
        <f>30*BC!$B$47/E9</f>
        <v>0</v>
      </c>
      <c r="I9" s="60">
        <f t="shared" ref="I9:I40" si="1">IF(H9&gt;G9,H9,G9)</f>
        <v>0</v>
      </c>
      <c r="J9" s="60">
        <f t="shared" ref="J9:J40" si="2">IF(G9=0,0,I9)</f>
        <v>0</v>
      </c>
      <c r="K9" s="58">
        <f t="shared" ref="K9:K40" si="3">ROUNDUP(J9,0)</f>
        <v>0</v>
      </c>
      <c r="L9" s="210">
        <v>762</v>
      </c>
      <c r="M9" s="148">
        <f t="shared" ref="M9:M40" si="4">L9*K9</f>
        <v>0</v>
      </c>
      <c r="N9" s="771" t="e">
        <f>((L9*$L$139)+L9)</f>
        <v>#DIV/0!</v>
      </c>
      <c r="O9" s="148" t="e">
        <f t="shared" ref="O9:O40" si="5">N9*K9</f>
        <v>#DIV/0!</v>
      </c>
      <c r="P9" s="148">
        <f t="shared" ref="P9:P40" si="6">L9/D9</f>
        <v>3.81</v>
      </c>
      <c r="Q9" s="800" t="e">
        <f>P9+$M$137+((BC!$F$125)/$F$74)</f>
        <v>#DIV/0!</v>
      </c>
      <c r="R9" s="222" t="e">
        <f t="shared" ref="R9:R40" si="7">Q9*F9</f>
        <v>#DIV/0!</v>
      </c>
      <c r="S9" s="223" t="e">
        <f t="shared" ref="S9:S40" si="8">((Q9*0.15)+Q9)</f>
        <v>#DIV/0!</v>
      </c>
      <c r="T9" s="223" t="e">
        <f t="shared" ref="T9:T40" si="9">S9*F9</f>
        <v>#DIV/0!</v>
      </c>
      <c r="U9" s="225" t="e">
        <f>SUM(T9:T73)</f>
        <v>#DIV/0!</v>
      </c>
      <c r="V9" s="226" t="e">
        <f>SUM(R9:R73)</f>
        <v>#DIV/0!</v>
      </c>
      <c r="W9" s="97"/>
      <c r="X9" s="97"/>
      <c r="Y9" s="97"/>
      <c r="Z9" s="97"/>
      <c r="AA9" s="97"/>
      <c r="AB9" s="97"/>
      <c r="AC9" s="97"/>
      <c r="AD9" s="97"/>
      <c r="AE9" s="97"/>
    </row>
    <row r="10" spans="1:31" x14ac:dyDescent="0.45">
      <c r="B10" s="131">
        <v>3005771322</v>
      </c>
      <c r="C10" s="111" t="s">
        <v>195</v>
      </c>
      <c r="D10" s="103">
        <v>100</v>
      </c>
      <c r="E10" s="103">
        <v>84</v>
      </c>
      <c r="F10" s="237">
        <f>'c311'!E10</f>
        <v>0</v>
      </c>
      <c r="G10" s="60">
        <f t="shared" si="0"/>
        <v>0</v>
      </c>
      <c r="H10" s="60">
        <f>30*BC!$B$47/E10</f>
        <v>0</v>
      </c>
      <c r="I10" s="60">
        <f t="shared" si="1"/>
        <v>0</v>
      </c>
      <c r="J10" s="60">
        <f t="shared" si="2"/>
        <v>0</v>
      </c>
      <c r="K10" s="58">
        <f t="shared" si="3"/>
        <v>0</v>
      </c>
      <c r="L10" s="210">
        <v>436</v>
      </c>
      <c r="M10" s="148">
        <f t="shared" si="4"/>
        <v>0</v>
      </c>
      <c r="N10" s="91" t="e">
        <f t="shared" ref="N10:N40" si="10">((L10*$L$139)+L10)</f>
        <v>#DIV/0!</v>
      </c>
      <c r="O10" s="148" t="e">
        <f t="shared" si="5"/>
        <v>#DIV/0!</v>
      </c>
      <c r="P10" s="148">
        <f t="shared" si="6"/>
        <v>4.3600000000000003</v>
      </c>
      <c r="Q10" s="800" t="e">
        <f>P10+$M$137+((BC!$F$125)/$F$74)</f>
        <v>#DIV/0!</v>
      </c>
      <c r="R10" s="222" t="e">
        <f t="shared" si="7"/>
        <v>#DIV/0!</v>
      </c>
      <c r="S10" s="223" t="e">
        <f t="shared" si="8"/>
        <v>#DIV/0!</v>
      </c>
      <c r="T10" s="224" t="e">
        <f t="shared" si="9"/>
        <v>#DIV/0!</v>
      </c>
      <c r="U10" s="24"/>
      <c r="V10" s="24"/>
      <c r="W10" s="97"/>
      <c r="X10" s="97"/>
      <c r="Y10" s="97"/>
      <c r="Z10" s="97"/>
      <c r="AA10" s="97"/>
      <c r="AB10" s="97"/>
      <c r="AC10" s="97"/>
      <c r="AD10" s="97"/>
      <c r="AE10" s="97"/>
    </row>
    <row r="11" spans="1:31" x14ac:dyDescent="0.45">
      <c r="A11" s="240" t="s">
        <v>314</v>
      </c>
      <c r="B11" s="131">
        <v>4375351190</v>
      </c>
      <c r="C11" s="112" t="s">
        <v>196</v>
      </c>
      <c r="D11" s="103">
        <v>400</v>
      </c>
      <c r="E11" s="103">
        <v>84</v>
      </c>
      <c r="F11" s="237">
        <f>'c311'!E11</f>
        <v>0</v>
      </c>
      <c r="G11" s="60">
        <f t="shared" si="0"/>
        <v>0</v>
      </c>
      <c r="H11" s="60">
        <f>30*BC!$B$47/E11</f>
        <v>0</v>
      </c>
      <c r="I11" s="60">
        <f t="shared" si="1"/>
        <v>0</v>
      </c>
      <c r="J11" s="60">
        <f t="shared" si="2"/>
        <v>0</v>
      </c>
      <c r="K11" s="58">
        <f t="shared" si="3"/>
        <v>0</v>
      </c>
      <c r="L11" s="210">
        <v>456</v>
      </c>
      <c r="M11" s="148">
        <f t="shared" si="4"/>
        <v>0</v>
      </c>
      <c r="N11" s="91" t="e">
        <f t="shared" si="10"/>
        <v>#DIV/0!</v>
      </c>
      <c r="O11" s="148" t="e">
        <f t="shared" si="5"/>
        <v>#DIV/0!</v>
      </c>
      <c r="P11" s="148">
        <f t="shared" si="6"/>
        <v>1.1399999999999999</v>
      </c>
      <c r="Q11" s="800" t="e">
        <f>P11+$M$137+((BC!$F$125)/$F$74)</f>
        <v>#DIV/0!</v>
      </c>
      <c r="R11" s="222" t="e">
        <f t="shared" si="7"/>
        <v>#DIV/0!</v>
      </c>
      <c r="S11" s="223" t="e">
        <f t="shared" si="8"/>
        <v>#DIV/0!</v>
      </c>
      <c r="T11" s="223" t="e">
        <f t="shared" si="9"/>
        <v>#DIV/0!</v>
      </c>
      <c r="U11" s="24"/>
      <c r="V11" s="24"/>
      <c r="W11" s="97"/>
      <c r="X11" s="97"/>
      <c r="Y11" s="97"/>
      <c r="Z11" s="97"/>
      <c r="AA11" s="97"/>
      <c r="AB11" s="97"/>
      <c r="AC11" s="97"/>
      <c r="AD11" s="97"/>
      <c r="AE11" s="97"/>
    </row>
    <row r="12" spans="1:31" x14ac:dyDescent="0.45">
      <c r="A12" s="240">
        <f>F10+F11+F12+F14+F15+F16+F17+F18+F19+F20+F22+F23+F26+F28+F29+F30+F31+F34+F35+F36+F41+F42+F43+F45+F47+F48+F49+F50+F51+F52+F53+F54+F55+F57+F58+F60+F62+F63+F67+F69+F70+F71++F72+F73</f>
        <v>0</v>
      </c>
      <c r="B12" s="131">
        <v>3183688122</v>
      </c>
      <c r="C12" s="112" t="s">
        <v>197</v>
      </c>
      <c r="D12" s="103">
        <v>300</v>
      </c>
      <c r="E12" s="103">
        <v>84</v>
      </c>
      <c r="F12" s="237">
        <f>'c311'!E12</f>
        <v>0</v>
      </c>
      <c r="G12" s="60">
        <f t="shared" si="0"/>
        <v>0</v>
      </c>
      <c r="H12" s="60">
        <f>30*BC!$B$47/E12</f>
        <v>0</v>
      </c>
      <c r="I12" s="60">
        <f t="shared" si="1"/>
        <v>0</v>
      </c>
      <c r="J12" s="60">
        <f t="shared" si="2"/>
        <v>0</v>
      </c>
      <c r="K12" s="58">
        <f t="shared" si="3"/>
        <v>0</v>
      </c>
      <c r="L12" s="210">
        <v>72</v>
      </c>
      <c r="M12" s="148">
        <f t="shared" si="4"/>
        <v>0</v>
      </c>
      <c r="N12" s="91" t="e">
        <f t="shared" si="10"/>
        <v>#DIV/0!</v>
      </c>
      <c r="O12" s="148" t="e">
        <f t="shared" si="5"/>
        <v>#DIV/0!</v>
      </c>
      <c r="P12" s="148">
        <f t="shared" si="6"/>
        <v>0.24</v>
      </c>
      <c r="Q12" s="800" t="e">
        <f>P12+$M$137+((BC!$F$125)/$F$74)</f>
        <v>#DIV/0!</v>
      </c>
      <c r="R12" s="222" t="e">
        <f t="shared" si="7"/>
        <v>#DIV/0!</v>
      </c>
      <c r="S12" s="223" t="e">
        <f t="shared" si="8"/>
        <v>#DIV/0!</v>
      </c>
      <c r="T12" s="223" t="e">
        <f t="shared" si="9"/>
        <v>#DIV/0!</v>
      </c>
      <c r="U12" s="24"/>
      <c r="V12" s="24"/>
      <c r="W12" s="97"/>
      <c r="X12" s="97"/>
      <c r="Y12" s="97"/>
      <c r="Z12" s="97"/>
      <c r="AA12" s="97"/>
      <c r="AB12" s="97"/>
      <c r="AC12" s="97"/>
      <c r="AD12" s="97"/>
      <c r="AE12" s="97"/>
    </row>
    <row r="13" spans="1:31" x14ac:dyDescent="0.45">
      <c r="B13" s="130">
        <v>4469658190</v>
      </c>
      <c r="C13" s="110" t="s">
        <v>198</v>
      </c>
      <c r="D13" s="103">
        <v>100</v>
      </c>
      <c r="E13" s="103">
        <v>84</v>
      </c>
      <c r="F13" s="237">
        <f>'c311'!E13</f>
        <v>0</v>
      </c>
      <c r="G13" s="60">
        <f t="shared" si="0"/>
        <v>0</v>
      </c>
      <c r="H13" s="60">
        <f>30*BC!$B$47/E13</f>
        <v>0</v>
      </c>
      <c r="I13" s="60">
        <f t="shared" si="1"/>
        <v>0</v>
      </c>
      <c r="J13" s="60">
        <f t="shared" si="2"/>
        <v>0</v>
      </c>
      <c r="K13" s="58">
        <f t="shared" si="3"/>
        <v>0</v>
      </c>
      <c r="L13" s="210">
        <v>287</v>
      </c>
      <c r="M13" s="148">
        <f t="shared" si="4"/>
        <v>0</v>
      </c>
      <c r="N13" s="91" t="e">
        <f t="shared" si="10"/>
        <v>#DIV/0!</v>
      </c>
      <c r="O13" s="148" t="e">
        <f t="shared" si="5"/>
        <v>#DIV/0!</v>
      </c>
      <c r="P13" s="148">
        <f t="shared" si="6"/>
        <v>2.87</v>
      </c>
      <c r="Q13" s="800" t="e">
        <f>P13+$M$137+((BC!$F$125)/$F$74)</f>
        <v>#DIV/0!</v>
      </c>
      <c r="R13" s="222" t="e">
        <f t="shared" si="7"/>
        <v>#DIV/0!</v>
      </c>
      <c r="S13" s="223" t="e">
        <f t="shared" si="8"/>
        <v>#DIV/0!</v>
      </c>
      <c r="T13" s="223" t="e">
        <f t="shared" si="9"/>
        <v>#DIV/0!</v>
      </c>
      <c r="U13" s="24"/>
      <c r="V13" s="24"/>
      <c r="W13" s="97"/>
      <c r="X13" s="97"/>
      <c r="Y13" s="97"/>
      <c r="Z13" s="97"/>
      <c r="AA13" s="97"/>
      <c r="AB13" s="97"/>
      <c r="AC13" s="97"/>
      <c r="AD13" s="97"/>
      <c r="AE13" s="97"/>
    </row>
    <row r="14" spans="1:31" x14ac:dyDescent="0.45">
      <c r="A14" s="241" t="s">
        <v>315</v>
      </c>
      <c r="B14" s="131">
        <v>3333752190</v>
      </c>
      <c r="C14" s="112" t="s">
        <v>199</v>
      </c>
      <c r="D14" s="103">
        <v>200</v>
      </c>
      <c r="E14" s="103">
        <v>56</v>
      </c>
      <c r="F14" s="237">
        <f>'c311'!E14</f>
        <v>0</v>
      </c>
      <c r="G14" s="60">
        <f t="shared" si="0"/>
        <v>0</v>
      </c>
      <c r="H14" s="60">
        <f>30*BC!$B$47/E14</f>
        <v>0</v>
      </c>
      <c r="I14" s="60">
        <f t="shared" si="1"/>
        <v>0</v>
      </c>
      <c r="J14" s="60">
        <f t="shared" si="2"/>
        <v>0</v>
      </c>
      <c r="K14" s="58">
        <f t="shared" si="3"/>
        <v>0</v>
      </c>
      <c r="L14" s="210">
        <v>62</v>
      </c>
      <c r="M14" s="148">
        <f t="shared" si="4"/>
        <v>0</v>
      </c>
      <c r="N14" s="91" t="e">
        <f t="shared" si="10"/>
        <v>#DIV/0!</v>
      </c>
      <c r="O14" s="148" t="e">
        <f t="shared" si="5"/>
        <v>#DIV/0!</v>
      </c>
      <c r="P14" s="148">
        <f t="shared" si="6"/>
        <v>0.31</v>
      </c>
      <c r="Q14" s="800" t="e">
        <f>P14+$M$137+((BC!$F$125)/$F$74)</f>
        <v>#DIV/0!</v>
      </c>
      <c r="R14" s="222" t="e">
        <f t="shared" si="7"/>
        <v>#DIV/0!</v>
      </c>
      <c r="S14" s="223" t="e">
        <f t="shared" si="8"/>
        <v>#DIV/0!</v>
      </c>
      <c r="T14" s="223" t="e">
        <f t="shared" si="9"/>
        <v>#DIV/0!</v>
      </c>
      <c r="U14" s="24"/>
      <c r="V14" s="24"/>
      <c r="W14" s="97"/>
      <c r="X14" s="97"/>
      <c r="Y14" s="97"/>
      <c r="Z14" s="97"/>
      <c r="AA14" s="97"/>
      <c r="AB14" s="97"/>
      <c r="AC14" s="97"/>
      <c r="AD14" s="97"/>
      <c r="AE14" s="97"/>
    </row>
    <row r="15" spans="1:31" x14ac:dyDescent="0.45">
      <c r="A15" s="241">
        <f>F9+F68</f>
        <v>0</v>
      </c>
      <c r="B15" s="131">
        <v>20764957322</v>
      </c>
      <c r="C15" s="112" t="s">
        <v>200</v>
      </c>
      <c r="D15" s="103">
        <v>500</v>
      </c>
      <c r="E15" s="103">
        <v>84</v>
      </c>
      <c r="F15" s="237">
        <f>'c311'!E15</f>
        <v>0</v>
      </c>
      <c r="G15" s="60">
        <f t="shared" si="0"/>
        <v>0</v>
      </c>
      <c r="H15" s="60">
        <f>30*BC!$B$47/E15</f>
        <v>0</v>
      </c>
      <c r="I15" s="60">
        <f t="shared" si="1"/>
        <v>0</v>
      </c>
      <c r="J15" s="60">
        <f t="shared" si="2"/>
        <v>0</v>
      </c>
      <c r="K15" s="58">
        <f t="shared" si="3"/>
        <v>0</v>
      </c>
      <c r="L15" s="210">
        <v>145</v>
      </c>
      <c r="M15" s="148">
        <f t="shared" si="4"/>
        <v>0</v>
      </c>
      <c r="N15" s="91" t="e">
        <f t="shared" si="10"/>
        <v>#DIV/0!</v>
      </c>
      <c r="O15" s="148" t="e">
        <f t="shared" si="5"/>
        <v>#DIV/0!</v>
      </c>
      <c r="P15" s="148">
        <f t="shared" si="6"/>
        <v>0.28999999999999998</v>
      </c>
      <c r="Q15" s="800" t="e">
        <f>P15+$M$137+((BC!$F$125)/$F$74)</f>
        <v>#DIV/0!</v>
      </c>
      <c r="R15" s="222" t="e">
        <f t="shared" si="7"/>
        <v>#DIV/0!</v>
      </c>
      <c r="S15" s="223" t="e">
        <f t="shared" si="8"/>
        <v>#DIV/0!</v>
      </c>
      <c r="T15" s="223" t="e">
        <f t="shared" si="9"/>
        <v>#DIV/0!</v>
      </c>
      <c r="U15" s="24"/>
      <c r="V15" s="24"/>
      <c r="W15" s="97"/>
      <c r="X15" s="97"/>
      <c r="Y15" s="97"/>
      <c r="Z15" s="97"/>
      <c r="AA15" s="97"/>
      <c r="AB15" s="97"/>
      <c r="AC15" s="97"/>
      <c r="AD15" s="97"/>
      <c r="AE15" s="97"/>
    </row>
    <row r="16" spans="1:31" x14ac:dyDescent="0.45">
      <c r="B16" s="131">
        <v>3183742122</v>
      </c>
      <c r="C16" s="112" t="s">
        <v>201</v>
      </c>
      <c r="D16" s="103">
        <v>300</v>
      </c>
      <c r="E16" s="103">
        <v>84</v>
      </c>
      <c r="F16" s="237">
        <f>'c311'!E16</f>
        <v>0</v>
      </c>
      <c r="G16" s="60">
        <f t="shared" si="0"/>
        <v>0</v>
      </c>
      <c r="H16" s="60">
        <f>30*BC!$B$47/E16</f>
        <v>0</v>
      </c>
      <c r="I16" s="60">
        <f t="shared" si="1"/>
        <v>0</v>
      </c>
      <c r="J16" s="60">
        <f t="shared" si="2"/>
        <v>0</v>
      </c>
      <c r="K16" s="58">
        <f t="shared" si="3"/>
        <v>0</v>
      </c>
      <c r="L16" s="210">
        <v>198</v>
      </c>
      <c r="M16" s="148">
        <f t="shared" si="4"/>
        <v>0</v>
      </c>
      <c r="N16" s="91" t="e">
        <f t="shared" si="10"/>
        <v>#DIV/0!</v>
      </c>
      <c r="O16" s="148" t="e">
        <f t="shared" si="5"/>
        <v>#DIV/0!</v>
      </c>
      <c r="P16" s="148">
        <f t="shared" si="6"/>
        <v>0.66</v>
      </c>
      <c r="Q16" s="800" t="e">
        <f>P16+$M$137+((BC!$F$125)/$F$74)</f>
        <v>#DIV/0!</v>
      </c>
      <c r="R16" s="222" t="e">
        <f t="shared" si="7"/>
        <v>#DIV/0!</v>
      </c>
      <c r="S16" s="223" t="e">
        <f t="shared" si="8"/>
        <v>#DIV/0!</v>
      </c>
      <c r="T16" s="223" t="e">
        <f t="shared" si="9"/>
        <v>#DIV/0!</v>
      </c>
      <c r="U16" s="24"/>
      <c r="V16" s="24"/>
      <c r="W16" s="97"/>
      <c r="X16" s="97"/>
      <c r="Y16" s="97"/>
      <c r="Z16" s="97"/>
      <c r="AA16" s="97"/>
      <c r="AB16" s="97"/>
      <c r="AC16" s="97"/>
      <c r="AD16" s="97"/>
      <c r="AE16" s="97"/>
    </row>
    <row r="17" spans="1:31" x14ac:dyDescent="0.45">
      <c r="A17" s="242" t="s">
        <v>316</v>
      </c>
      <c r="B17" s="131">
        <v>3032566122</v>
      </c>
      <c r="C17" s="113" t="s">
        <v>1130</v>
      </c>
      <c r="D17" s="104">
        <v>100</v>
      </c>
      <c r="E17" s="104">
        <v>84</v>
      </c>
      <c r="F17" s="237">
        <f>'c311'!E17</f>
        <v>0</v>
      </c>
      <c r="G17" s="60">
        <f t="shared" si="0"/>
        <v>0</v>
      </c>
      <c r="H17" s="60">
        <f>30*BC!$B$47/E17</f>
        <v>0</v>
      </c>
      <c r="I17" s="60">
        <f t="shared" si="1"/>
        <v>0</v>
      </c>
      <c r="J17" s="60">
        <f t="shared" si="2"/>
        <v>0</v>
      </c>
      <c r="K17" s="58">
        <f t="shared" si="3"/>
        <v>0</v>
      </c>
      <c r="L17" s="210">
        <v>225</v>
      </c>
      <c r="M17" s="148">
        <f t="shared" si="4"/>
        <v>0</v>
      </c>
      <c r="N17" s="91" t="e">
        <f t="shared" si="10"/>
        <v>#DIV/0!</v>
      </c>
      <c r="O17" s="148" t="e">
        <f t="shared" si="5"/>
        <v>#DIV/0!</v>
      </c>
      <c r="P17" s="148">
        <f t="shared" si="6"/>
        <v>2.25</v>
      </c>
      <c r="Q17" s="800" t="e">
        <f>P17+$M$137+((BC!$F$125)/$F$74)</f>
        <v>#DIV/0!</v>
      </c>
      <c r="R17" s="222" t="e">
        <f t="shared" si="7"/>
        <v>#DIV/0!</v>
      </c>
      <c r="S17" s="223" t="e">
        <f t="shared" si="8"/>
        <v>#DIV/0!</v>
      </c>
      <c r="T17" s="223" t="e">
        <f t="shared" si="9"/>
        <v>#DIV/0!</v>
      </c>
      <c r="U17" s="24"/>
      <c r="V17" s="24"/>
      <c r="W17" s="97"/>
      <c r="X17" s="97"/>
      <c r="Y17" s="97"/>
      <c r="Z17" s="97"/>
      <c r="AA17" s="97"/>
      <c r="AB17" s="97"/>
      <c r="AC17" s="97"/>
      <c r="AD17" s="97"/>
      <c r="AE17" s="97"/>
    </row>
    <row r="18" spans="1:31" x14ac:dyDescent="0.45">
      <c r="A18" s="242">
        <f>F32+F39+F61</f>
        <v>0</v>
      </c>
      <c r="B18" s="131">
        <v>3032574122</v>
      </c>
      <c r="C18" s="113" t="s">
        <v>202</v>
      </c>
      <c r="D18" s="105">
        <v>100</v>
      </c>
      <c r="E18" s="103">
        <v>84</v>
      </c>
      <c r="F18" s="237">
        <f>'c311'!E18</f>
        <v>0</v>
      </c>
      <c r="G18" s="60">
        <f t="shared" si="0"/>
        <v>0</v>
      </c>
      <c r="H18" s="60">
        <f>30*BC!$B$47/E18</f>
        <v>0</v>
      </c>
      <c r="I18" s="60">
        <f t="shared" si="1"/>
        <v>0</v>
      </c>
      <c r="J18" s="60">
        <f t="shared" si="2"/>
        <v>0</v>
      </c>
      <c r="K18" s="58">
        <f t="shared" si="3"/>
        <v>0</v>
      </c>
      <c r="L18" s="210">
        <v>225</v>
      </c>
      <c r="M18" s="148">
        <f t="shared" si="4"/>
        <v>0</v>
      </c>
      <c r="N18" s="91" t="e">
        <f t="shared" si="10"/>
        <v>#DIV/0!</v>
      </c>
      <c r="O18" s="148" t="e">
        <f t="shared" si="5"/>
        <v>#DIV/0!</v>
      </c>
      <c r="P18" s="148">
        <f t="shared" si="6"/>
        <v>2.25</v>
      </c>
      <c r="Q18" s="800" t="e">
        <f>P18+$M$137+((BC!$F$125)/$F$74)</f>
        <v>#DIV/0!</v>
      </c>
      <c r="R18" s="222" t="e">
        <f t="shared" si="7"/>
        <v>#DIV/0!</v>
      </c>
      <c r="S18" s="223" t="e">
        <f t="shared" si="8"/>
        <v>#DIV/0!</v>
      </c>
      <c r="T18" s="223" t="e">
        <f t="shared" si="9"/>
        <v>#DIV/0!</v>
      </c>
      <c r="U18" s="24"/>
      <c r="V18" s="24"/>
      <c r="W18" s="97"/>
      <c r="X18" s="97"/>
      <c r="Y18" s="97"/>
      <c r="Z18" s="97"/>
      <c r="AA18" s="97"/>
      <c r="AB18" s="97"/>
      <c r="AC18" s="97"/>
      <c r="AD18" s="97"/>
      <c r="AE18" s="97"/>
    </row>
    <row r="19" spans="1:31" x14ac:dyDescent="0.45">
      <c r="B19" s="131">
        <v>4489403190</v>
      </c>
      <c r="C19" s="114" t="s">
        <v>203</v>
      </c>
      <c r="D19" s="103">
        <v>150</v>
      </c>
      <c r="E19" s="103">
        <v>84</v>
      </c>
      <c r="F19" s="237">
        <f>'c311'!E19</f>
        <v>0</v>
      </c>
      <c r="G19" s="60">
        <f t="shared" si="0"/>
        <v>0</v>
      </c>
      <c r="H19" s="60">
        <f>30*BC!$B$47/E19</f>
        <v>0</v>
      </c>
      <c r="I19" s="60">
        <f t="shared" si="1"/>
        <v>0</v>
      </c>
      <c r="J19" s="60">
        <f t="shared" si="2"/>
        <v>0</v>
      </c>
      <c r="K19" s="58">
        <f t="shared" si="3"/>
        <v>0</v>
      </c>
      <c r="L19" s="210">
        <v>494</v>
      </c>
      <c r="M19" s="148">
        <f t="shared" si="4"/>
        <v>0</v>
      </c>
      <c r="N19" s="91" t="e">
        <f t="shared" si="10"/>
        <v>#DIV/0!</v>
      </c>
      <c r="O19" s="148" t="e">
        <f t="shared" si="5"/>
        <v>#DIV/0!</v>
      </c>
      <c r="P19" s="148">
        <f t="shared" si="6"/>
        <v>3.2933333333333334</v>
      </c>
      <c r="Q19" s="800" t="e">
        <f>P19+$M$137+((BC!$F$125)/$F$74)</f>
        <v>#DIV/0!</v>
      </c>
      <c r="R19" s="222" t="e">
        <f t="shared" si="7"/>
        <v>#DIV/0!</v>
      </c>
      <c r="S19" s="223" t="e">
        <f t="shared" si="8"/>
        <v>#DIV/0!</v>
      </c>
      <c r="T19" s="223" t="e">
        <f t="shared" si="9"/>
        <v>#DIV/0!</v>
      </c>
      <c r="U19" s="24"/>
      <c r="V19" s="24"/>
      <c r="W19" s="97"/>
      <c r="X19" s="97"/>
      <c r="Y19" s="97"/>
      <c r="Z19" s="97"/>
      <c r="AA19" s="97"/>
      <c r="AB19" s="97"/>
      <c r="AC19" s="97"/>
      <c r="AD19" s="97"/>
      <c r="AE19" s="97"/>
    </row>
    <row r="20" spans="1:31" x14ac:dyDescent="0.45">
      <c r="A20" s="243" t="s">
        <v>317</v>
      </c>
      <c r="B20" s="131">
        <v>20764949322</v>
      </c>
      <c r="C20" s="112" t="s">
        <v>204</v>
      </c>
      <c r="D20" s="103">
        <v>500</v>
      </c>
      <c r="E20" s="103">
        <v>84</v>
      </c>
      <c r="F20" s="237">
        <f>'c311'!E20</f>
        <v>0</v>
      </c>
      <c r="G20" s="60">
        <f t="shared" si="0"/>
        <v>0</v>
      </c>
      <c r="H20" s="60">
        <f>30*BC!$B$47/E20</f>
        <v>0</v>
      </c>
      <c r="I20" s="60">
        <f t="shared" si="1"/>
        <v>0</v>
      </c>
      <c r="J20" s="60">
        <f t="shared" si="2"/>
        <v>0</v>
      </c>
      <c r="K20" s="58">
        <f t="shared" si="3"/>
        <v>0</v>
      </c>
      <c r="L20" s="210">
        <v>145</v>
      </c>
      <c r="M20" s="148">
        <f t="shared" si="4"/>
        <v>0</v>
      </c>
      <c r="N20" s="91" t="e">
        <f t="shared" si="10"/>
        <v>#DIV/0!</v>
      </c>
      <c r="O20" s="148" t="e">
        <f t="shared" si="5"/>
        <v>#DIV/0!</v>
      </c>
      <c r="P20" s="148">
        <f t="shared" si="6"/>
        <v>0.28999999999999998</v>
      </c>
      <c r="Q20" s="800" t="e">
        <f>P20+$M$137+((BC!$F$125)/$F$74)</f>
        <v>#DIV/0!</v>
      </c>
      <c r="R20" s="222" t="e">
        <f t="shared" si="7"/>
        <v>#DIV/0!</v>
      </c>
      <c r="S20" s="223" t="e">
        <f t="shared" si="8"/>
        <v>#DIV/0!</v>
      </c>
      <c r="T20" s="223" t="e">
        <f t="shared" si="9"/>
        <v>#DIV/0!</v>
      </c>
      <c r="U20" s="24"/>
      <c r="V20" s="24"/>
      <c r="W20" s="97"/>
      <c r="X20" s="97"/>
      <c r="Y20" s="97"/>
      <c r="Z20" s="97"/>
      <c r="AA20" s="97"/>
      <c r="AB20" s="97"/>
      <c r="AC20" s="97"/>
      <c r="AD20" s="97"/>
      <c r="AE20" s="97"/>
    </row>
    <row r="21" spans="1:31" x14ac:dyDescent="0.45">
      <c r="A21" s="243">
        <f>F10+F24+F25+F35+F36+F43+F48+F50+F51+F53+F55+F70</f>
        <v>0</v>
      </c>
      <c r="B21" s="132">
        <v>8047430190</v>
      </c>
      <c r="C21" s="115" t="s">
        <v>205</v>
      </c>
      <c r="D21" s="103">
        <v>140</v>
      </c>
      <c r="E21" s="103">
        <v>84</v>
      </c>
      <c r="F21" s="237">
        <f>'c311'!E21</f>
        <v>0</v>
      </c>
      <c r="G21" s="60">
        <f t="shared" si="0"/>
        <v>0</v>
      </c>
      <c r="H21" s="60">
        <f>30*BC!$B$47/E21</f>
        <v>0</v>
      </c>
      <c r="I21" s="60">
        <f t="shared" si="1"/>
        <v>0</v>
      </c>
      <c r="J21" s="60">
        <f t="shared" si="2"/>
        <v>0</v>
      </c>
      <c r="K21" s="58">
        <f t="shared" si="3"/>
        <v>0</v>
      </c>
      <c r="L21" s="210">
        <v>1169</v>
      </c>
      <c r="M21" s="148">
        <f t="shared" si="4"/>
        <v>0</v>
      </c>
      <c r="N21" s="91" t="e">
        <f t="shared" si="10"/>
        <v>#DIV/0!</v>
      </c>
      <c r="O21" s="148" t="e">
        <f t="shared" si="5"/>
        <v>#DIV/0!</v>
      </c>
      <c r="P21" s="148">
        <f t="shared" si="6"/>
        <v>8.35</v>
      </c>
      <c r="Q21" s="800" t="e">
        <f>P21+$M$137+((BC!$F$125)/$F$74)</f>
        <v>#DIV/0!</v>
      </c>
      <c r="R21" s="222" t="e">
        <f t="shared" si="7"/>
        <v>#DIV/0!</v>
      </c>
      <c r="S21" s="223" t="e">
        <f t="shared" si="8"/>
        <v>#DIV/0!</v>
      </c>
      <c r="T21" s="223" t="e">
        <f t="shared" si="9"/>
        <v>#DIV/0!</v>
      </c>
      <c r="U21" s="24"/>
      <c r="V21" s="24"/>
      <c r="W21" s="97"/>
      <c r="X21" s="97"/>
      <c r="Y21" s="97"/>
      <c r="Z21" s="97"/>
      <c r="AA21" s="97"/>
      <c r="AB21" s="97"/>
      <c r="AC21" s="97"/>
      <c r="AD21" s="97"/>
      <c r="AE21" s="97"/>
    </row>
    <row r="22" spans="1:31" x14ac:dyDescent="0.45">
      <c r="B22" s="131">
        <v>5589061190</v>
      </c>
      <c r="C22" s="112" t="s">
        <v>206</v>
      </c>
      <c r="D22" s="103">
        <v>350</v>
      </c>
      <c r="E22" s="103">
        <v>42</v>
      </c>
      <c r="F22" s="237">
        <f>'c311'!E22</f>
        <v>0</v>
      </c>
      <c r="G22" s="60">
        <f t="shared" si="0"/>
        <v>0</v>
      </c>
      <c r="H22" s="60">
        <f>30*BC!$B$47/E22</f>
        <v>0</v>
      </c>
      <c r="I22" s="60">
        <f t="shared" si="1"/>
        <v>0</v>
      </c>
      <c r="J22" s="60">
        <f t="shared" si="2"/>
        <v>0</v>
      </c>
      <c r="K22" s="58">
        <f t="shared" si="3"/>
        <v>0</v>
      </c>
      <c r="L22" s="210">
        <v>144</v>
      </c>
      <c r="M22" s="148">
        <f t="shared" si="4"/>
        <v>0</v>
      </c>
      <c r="N22" s="91" t="e">
        <f t="shared" si="10"/>
        <v>#DIV/0!</v>
      </c>
      <c r="O22" s="148" t="e">
        <f t="shared" si="5"/>
        <v>#DIV/0!</v>
      </c>
      <c r="P22" s="148">
        <f t="shared" si="6"/>
        <v>0.41142857142857142</v>
      </c>
      <c r="Q22" s="800" t="e">
        <f>P22+$M$137+((BC!$F$125)/$F$74)</f>
        <v>#DIV/0!</v>
      </c>
      <c r="R22" s="222" t="e">
        <f t="shared" si="7"/>
        <v>#DIV/0!</v>
      </c>
      <c r="S22" s="223" t="e">
        <f t="shared" si="8"/>
        <v>#DIV/0!</v>
      </c>
      <c r="T22" s="223" t="e">
        <f t="shared" si="9"/>
        <v>#DIV/0!</v>
      </c>
      <c r="U22" s="24"/>
      <c r="V22" s="24"/>
      <c r="W22" s="97"/>
      <c r="X22" s="97"/>
      <c r="Y22" s="97"/>
      <c r="Z22" s="97"/>
      <c r="AA22" s="97"/>
      <c r="AB22" s="97"/>
      <c r="AC22" s="97"/>
      <c r="AD22" s="97"/>
      <c r="AE22" s="97"/>
    </row>
    <row r="23" spans="1:31" x14ac:dyDescent="0.45">
      <c r="A23" s="244" t="s">
        <v>259</v>
      </c>
      <c r="B23" s="131">
        <v>5795397190</v>
      </c>
      <c r="C23" s="112" t="s">
        <v>207</v>
      </c>
      <c r="D23" s="103">
        <v>250</v>
      </c>
      <c r="E23" s="103">
        <v>42</v>
      </c>
      <c r="F23" s="237">
        <f>'c311'!E23</f>
        <v>0</v>
      </c>
      <c r="G23" s="60">
        <f t="shared" si="0"/>
        <v>0</v>
      </c>
      <c r="H23" s="60">
        <f>30*BC!$B$47/E23</f>
        <v>0</v>
      </c>
      <c r="I23" s="60">
        <f t="shared" si="1"/>
        <v>0</v>
      </c>
      <c r="J23" s="60">
        <f t="shared" si="2"/>
        <v>0</v>
      </c>
      <c r="K23" s="58">
        <f t="shared" si="3"/>
        <v>0</v>
      </c>
      <c r="L23" s="210">
        <v>85</v>
      </c>
      <c r="M23" s="148">
        <f t="shared" si="4"/>
        <v>0</v>
      </c>
      <c r="N23" s="91" t="e">
        <f t="shared" si="10"/>
        <v>#DIV/0!</v>
      </c>
      <c r="O23" s="148" t="e">
        <f t="shared" si="5"/>
        <v>#DIV/0!</v>
      </c>
      <c r="P23" s="148">
        <f t="shared" si="6"/>
        <v>0.34</v>
      </c>
      <c r="Q23" s="800" t="e">
        <f>P23+$M$137+((BC!$F$125)/$F$74)</f>
        <v>#DIV/0!</v>
      </c>
      <c r="R23" s="222" t="e">
        <f t="shared" si="7"/>
        <v>#DIV/0!</v>
      </c>
      <c r="S23" s="223" t="e">
        <f t="shared" si="8"/>
        <v>#DIV/0!</v>
      </c>
      <c r="T23" s="223" t="e">
        <f t="shared" si="9"/>
        <v>#DIV/0!</v>
      </c>
      <c r="U23" s="24"/>
      <c r="V23" s="24"/>
      <c r="W23" s="97"/>
      <c r="X23" s="97"/>
      <c r="Y23" s="97"/>
      <c r="Z23" s="97"/>
      <c r="AA23" s="97"/>
      <c r="AB23" s="97"/>
      <c r="AC23" s="97"/>
      <c r="AD23" s="97"/>
      <c r="AE23" s="97"/>
    </row>
    <row r="24" spans="1:31" x14ac:dyDescent="0.45">
      <c r="A24" s="245">
        <f>F19+F27+F63</f>
        <v>0</v>
      </c>
      <c r="B24" s="131">
        <v>3001938322</v>
      </c>
      <c r="C24" s="111" t="s">
        <v>170</v>
      </c>
      <c r="D24" s="103">
        <v>100</v>
      </c>
      <c r="E24" s="103">
        <v>42</v>
      </c>
      <c r="F24" s="237">
        <f>'c311'!E24</f>
        <v>0</v>
      </c>
      <c r="G24" s="60">
        <f t="shared" si="0"/>
        <v>0</v>
      </c>
      <c r="H24" s="60">
        <f>30*BC!$B$47/E24</f>
        <v>0</v>
      </c>
      <c r="I24" s="60">
        <f t="shared" si="1"/>
        <v>0</v>
      </c>
      <c r="J24" s="60">
        <f t="shared" si="2"/>
        <v>0</v>
      </c>
      <c r="K24" s="58">
        <f t="shared" si="3"/>
        <v>0</v>
      </c>
      <c r="L24" s="210">
        <v>307</v>
      </c>
      <c r="M24" s="148">
        <f t="shared" si="4"/>
        <v>0</v>
      </c>
      <c r="N24" s="91" t="e">
        <f t="shared" si="10"/>
        <v>#DIV/0!</v>
      </c>
      <c r="O24" s="148" t="e">
        <f t="shared" si="5"/>
        <v>#DIV/0!</v>
      </c>
      <c r="P24" s="148">
        <f t="shared" si="6"/>
        <v>3.07</v>
      </c>
      <c r="Q24" s="800" t="e">
        <f>P24+$M$137+((BC!$F$125)/$F$74)</f>
        <v>#DIV/0!</v>
      </c>
      <c r="R24" s="222" t="e">
        <f t="shared" si="7"/>
        <v>#DIV/0!</v>
      </c>
      <c r="S24" s="223" t="e">
        <f t="shared" si="8"/>
        <v>#DIV/0!</v>
      </c>
      <c r="T24" s="223" t="e">
        <f t="shared" si="9"/>
        <v>#DIV/0!</v>
      </c>
      <c r="U24" s="24"/>
      <c r="V24" s="24"/>
      <c r="W24" s="97"/>
      <c r="X24" s="97"/>
      <c r="Y24" s="97"/>
      <c r="Z24" s="97"/>
      <c r="AA24" s="97"/>
      <c r="AB24" s="97"/>
      <c r="AC24" s="97"/>
      <c r="AD24" s="97"/>
      <c r="AE24" s="97"/>
    </row>
    <row r="25" spans="1:31" x14ac:dyDescent="0.45">
      <c r="B25" s="131">
        <v>3001962322</v>
      </c>
      <c r="C25" s="111" t="s">
        <v>171</v>
      </c>
      <c r="D25" s="103">
        <v>100</v>
      </c>
      <c r="E25" s="103">
        <v>56</v>
      </c>
      <c r="F25" s="237">
        <f>'c311'!E25</f>
        <v>0</v>
      </c>
      <c r="G25" s="60">
        <f t="shared" si="0"/>
        <v>0</v>
      </c>
      <c r="H25" s="60">
        <f>30*BC!$B$47/E25</f>
        <v>0</v>
      </c>
      <c r="I25" s="60">
        <f t="shared" si="1"/>
        <v>0</v>
      </c>
      <c r="J25" s="60">
        <f t="shared" si="2"/>
        <v>0</v>
      </c>
      <c r="K25" s="58">
        <f t="shared" si="3"/>
        <v>0</v>
      </c>
      <c r="L25" s="210">
        <v>309</v>
      </c>
      <c r="M25" s="148">
        <f t="shared" si="4"/>
        <v>0</v>
      </c>
      <c r="N25" s="91" t="e">
        <f t="shared" si="10"/>
        <v>#DIV/0!</v>
      </c>
      <c r="O25" s="148" t="e">
        <f t="shared" si="5"/>
        <v>#DIV/0!</v>
      </c>
      <c r="P25" s="148">
        <f t="shared" si="6"/>
        <v>3.09</v>
      </c>
      <c r="Q25" s="800" t="e">
        <f>P25+$M$137+((BC!$F$125)/$F$74)</f>
        <v>#DIV/0!</v>
      </c>
      <c r="R25" s="222" t="e">
        <f t="shared" si="7"/>
        <v>#DIV/0!</v>
      </c>
      <c r="S25" s="223" t="e">
        <f t="shared" si="8"/>
        <v>#DIV/0!</v>
      </c>
      <c r="T25" s="223" t="e">
        <f t="shared" si="9"/>
        <v>#DIV/0!</v>
      </c>
      <c r="U25" s="24"/>
      <c r="V25" s="24"/>
      <c r="W25" s="97"/>
      <c r="X25" s="97"/>
      <c r="Y25" s="97"/>
      <c r="Z25" s="97"/>
      <c r="AA25" s="97"/>
      <c r="AB25" s="97"/>
      <c r="AC25" s="97"/>
      <c r="AD25" s="97"/>
      <c r="AE25" s="97"/>
    </row>
    <row r="26" spans="1:31" x14ac:dyDescent="0.45">
      <c r="A26" s="246" t="s">
        <v>263</v>
      </c>
      <c r="B26" s="131">
        <v>5061482190</v>
      </c>
      <c r="C26" s="112" t="s">
        <v>208</v>
      </c>
      <c r="D26" s="103">
        <v>300</v>
      </c>
      <c r="E26" s="103">
        <v>56</v>
      </c>
      <c r="F26" s="237">
        <f>'c311'!E26</f>
        <v>0</v>
      </c>
      <c r="G26" s="60">
        <f t="shared" si="0"/>
        <v>0</v>
      </c>
      <c r="H26" s="60">
        <f>30*BC!$B$47/E26</f>
        <v>0</v>
      </c>
      <c r="I26" s="60">
        <f t="shared" si="1"/>
        <v>0</v>
      </c>
      <c r="J26" s="60">
        <f t="shared" si="2"/>
        <v>0</v>
      </c>
      <c r="K26" s="58">
        <f t="shared" si="3"/>
        <v>0</v>
      </c>
      <c r="L26" s="210">
        <v>108</v>
      </c>
      <c r="M26" s="148">
        <f t="shared" si="4"/>
        <v>0</v>
      </c>
      <c r="N26" s="91" t="e">
        <f t="shared" si="10"/>
        <v>#DIV/0!</v>
      </c>
      <c r="O26" s="148" t="e">
        <f t="shared" si="5"/>
        <v>#DIV/0!</v>
      </c>
      <c r="P26" s="148">
        <f t="shared" si="6"/>
        <v>0.36</v>
      </c>
      <c r="Q26" s="800" t="e">
        <f>P26+$M$137+((BC!$F$125)/$F$74)</f>
        <v>#DIV/0!</v>
      </c>
      <c r="R26" s="222" t="e">
        <f t="shared" si="7"/>
        <v>#DIV/0!</v>
      </c>
      <c r="S26" s="223" t="e">
        <f t="shared" si="8"/>
        <v>#DIV/0!</v>
      </c>
      <c r="T26" s="223" t="e">
        <f t="shared" si="9"/>
        <v>#DIV/0!</v>
      </c>
      <c r="U26" s="24"/>
      <c r="V26" s="24"/>
      <c r="W26" s="97"/>
      <c r="X26" s="97"/>
      <c r="Y26" s="97"/>
      <c r="Z26" s="97"/>
      <c r="AA26" s="97"/>
      <c r="AB26" s="97"/>
      <c r="AC26" s="97"/>
      <c r="AD26" s="97"/>
      <c r="AE26" s="97"/>
    </row>
    <row r="27" spans="1:31" x14ac:dyDescent="0.45">
      <c r="A27" s="247">
        <f>F17+F18+F47+F57</f>
        <v>0</v>
      </c>
      <c r="B27" s="131">
        <v>20764663322</v>
      </c>
      <c r="C27" s="114" t="s">
        <v>209</v>
      </c>
      <c r="D27" s="103">
        <v>100</v>
      </c>
      <c r="E27" s="103">
        <v>56</v>
      </c>
      <c r="F27" s="237">
        <f>'c311'!E27</f>
        <v>0</v>
      </c>
      <c r="G27" s="60">
        <f t="shared" si="0"/>
        <v>0</v>
      </c>
      <c r="H27" s="60">
        <f>30*BC!$B$47/E27</f>
        <v>0</v>
      </c>
      <c r="I27" s="60">
        <f t="shared" si="1"/>
        <v>0</v>
      </c>
      <c r="J27" s="60">
        <f t="shared" si="2"/>
        <v>0</v>
      </c>
      <c r="K27" s="58">
        <f t="shared" si="3"/>
        <v>0</v>
      </c>
      <c r="L27" s="210">
        <v>259</v>
      </c>
      <c r="M27" s="148">
        <f t="shared" si="4"/>
        <v>0</v>
      </c>
      <c r="N27" s="91" t="e">
        <f t="shared" si="10"/>
        <v>#DIV/0!</v>
      </c>
      <c r="O27" s="148" t="e">
        <f t="shared" si="5"/>
        <v>#DIV/0!</v>
      </c>
      <c r="P27" s="148">
        <f t="shared" si="6"/>
        <v>2.59</v>
      </c>
      <c r="Q27" s="800" t="e">
        <f>P27+$M$137+((BC!$F$125)/$F$74)</f>
        <v>#DIV/0!</v>
      </c>
      <c r="R27" s="222" t="e">
        <f t="shared" si="7"/>
        <v>#DIV/0!</v>
      </c>
      <c r="S27" s="223" t="e">
        <f t="shared" si="8"/>
        <v>#DIV/0!</v>
      </c>
      <c r="T27" s="223" t="e">
        <f t="shared" si="9"/>
        <v>#DIV/0!</v>
      </c>
      <c r="U27" s="24"/>
      <c r="V27" s="24"/>
      <c r="W27" s="97"/>
      <c r="X27" s="97"/>
      <c r="Y27" s="97"/>
      <c r="Z27" s="97"/>
      <c r="AA27" s="97"/>
      <c r="AB27" s="97"/>
      <c r="AC27" s="97"/>
      <c r="AD27" s="97"/>
      <c r="AE27" s="97"/>
    </row>
    <row r="28" spans="1:31" x14ac:dyDescent="0.45">
      <c r="B28" s="131">
        <v>4498577190</v>
      </c>
      <c r="C28" s="112" t="s">
        <v>210</v>
      </c>
      <c r="D28" s="103">
        <v>200</v>
      </c>
      <c r="E28" s="103">
        <v>28</v>
      </c>
      <c r="F28" s="237">
        <f>'c311'!E28</f>
        <v>0</v>
      </c>
      <c r="G28" s="60">
        <f t="shared" si="0"/>
        <v>0</v>
      </c>
      <c r="H28" s="60">
        <f>30*BC!$B$47/E28</f>
        <v>0</v>
      </c>
      <c r="I28" s="60">
        <f t="shared" si="1"/>
        <v>0</v>
      </c>
      <c r="J28" s="60">
        <f t="shared" si="2"/>
        <v>0</v>
      </c>
      <c r="K28" s="58">
        <f t="shared" si="3"/>
        <v>0</v>
      </c>
      <c r="L28" s="210">
        <v>166</v>
      </c>
      <c r="M28" s="148">
        <f t="shared" si="4"/>
        <v>0</v>
      </c>
      <c r="N28" s="91" t="e">
        <f t="shared" si="10"/>
        <v>#DIV/0!</v>
      </c>
      <c r="O28" s="148" t="e">
        <f t="shared" si="5"/>
        <v>#DIV/0!</v>
      </c>
      <c r="P28" s="148">
        <f t="shared" si="6"/>
        <v>0.83</v>
      </c>
      <c r="Q28" s="800" t="e">
        <f>P28+$M$137+((BC!$F$125)/$F$74)</f>
        <v>#DIV/0!</v>
      </c>
      <c r="R28" s="222" t="e">
        <f t="shared" si="7"/>
        <v>#DIV/0!</v>
      </c>
      <c r="S28" s="223" t="e">
        <f t="shared" si="8"/>
        <v>#DIV/0!</v>
      </c>
      <c r="T28" s="223" t="e">
        <f t="shared" si="9"/>
        <v>#DIV/0!</v>
      </c>
      <c r="U28" s="24"/>
      <c r="V28" s="24"/>
      <c r="W28" s="97"/>
      <c r="X28" s="97"/>
      <c r="Y28" s="97"/>
      <c r="Z28" s="97"/>
      <c r="AA28" s="97"/>
      <c r="AB28" s="97"/>
      <c r="AC28" s="97"/>
      <c r="AD28" s="97"/>
      <c r="AE28" s="97"/>
    </row>
    <row r="29" spans="1:31" x14ac:dyDescent="0.45">
      <c r="A29" s="248" t="s">
        <v>274</v>
      </c>
      <c r="B29" s="131">
        <v>3039773190</v>
      </c>
      <c r="C29" s="112" t="s">
        <v>211</v>
      </c>
      <c r="D29" s="103">
        <v>400</v>
      </c>
      <c r="E29" s="103">
        <v>28</v>
      </c>
      <c r="F29" s="237">
        <f>'c311'!E29</f>
        <v>0</v>
      </c>
      <c r="G29" s="60">
        <f t="shared" si="0"/>
        <v>0</v>
      </c>
      <c r="H29" s="60">
        <f>30*BC!$B$47/E29</f>
        <v>0</v>
      </c>
      <c r="I29" s="60">
        <f t="shared" si="1"/>
        <v>0</v>
      </c>
      <c r="J29" s="60">
        <f t="shared" si="2"/>
        <v>0</v>
      </c>
      <c r="K29" s="58">
        <f t="shared" si="3"/>
        <v>0</v>
      </c>
      <c r="L29" s="210">
        <v>88</v>
      </c>
      <c r="M29" s="148">
        <f t="shared" si="4"/>
        <v>0</v>
      </c>
      <c r="N29" s="91" t="e">
        <f t="shared" si="10"/>
        <v>#DIV/0!</v>
      </c>
      <c r="O29" s="148" t="e">
        <f t="shared" si="5"/>
        <v>#DIV/0!</v>
      </c>
      <c r="P29" s="148">
        <f t="shared" si="6"/>
        <v>0.22</v>
      </c>
      <c r="Q29" s="800" t="e">
        <f>P29+$M$137+((BC!$F$125)/$F$74)</f>
        <v>#DIV/0!</v>
      </c>
      <c r="R29" s="222" t="e">
        <f t="shared" si="7"/>
        <v>#DIV/0!</v>
      </c>
      <c r="S29" s="223" t="e">
        <f t="shared" si="8"/>
        <v>#DIV/0!</v>
      </c>
      <c r="T29" s="223" t="e">
        <f t="shared" si="9"/>
        <v>#DIV/0!</v>
      </c>
      <c r="U29" s="24"/>
      <c r="V29" s="24"/>
      <c r="W29" s="97"/>
      <c r="X29" s="97"/>
      <c r="Y29" s="97"/>
      <c r="Z29" s="97"/>
      <c r="AA29" s="97"/>
      <c r="AB29" s="97"/>
      <c r="AC29" s="97"/>
      <c r="AD29" s="97"/>
      <c r="AE29" s="97"/>
    </row>
    <row r="30" spans="1:31" x14ac:dyDescent="0.45">
      <c r="A30" s="249">
        <f>F33+F66</f>
        <v>0</v>
      </c>
      <c r="B30" s="131">
        <v>7190794190</v>
      </c>
      <c r="C30" s="112" t="s">
        <v>212</v>
      </c>
      <c r="D30" s="103">
        <v>200</v>
      </c>
      <c r="E30" s="103">
        <v>56</v>
      </c>
      <c r="F30" s="237">
        <f>'c311'!E30</f>
        <v>0</v>
      </c>
      <c r="G30" s="60">
        <f t="shared" si="0"/>
        <v>0</v>
      </c>
      <c r="H30" s="60">
        <f>30*BC!$B$47/E30</f>
        <v>0</v>
      </c>
      <c r="I30" s="60">
        <f t="shared" si="1"/>
        <v>0</v>
      </c>
      <c r="J30" s="60">
        <f t="shared" si="2"/>
        <v>0</v>
      </c>
      <c r="K30" s="58">
        <f t="shared" si="3"/>
        <v>0</v>
      </c>
      <c r="L30" s="210">
        <v>112</v>
      </c>
      <c r="M30" s="148">
        <f t="shared" si="4"/>
        <v>0</v>
      </c>
      <c r="N30" s="91" t="e">
        <f t="shared" si="10"/>
        <v>#DIV/0!</v>
      </c>
      <c r="O30" s="148" t="e">
        <f t="shared" si="5"/>
        <v>#DIV/0!</v>
      </c>
      <c r="P30" s="148">
        <f t="shared" si="6"/>
        <v>0.56000000000000005</v>
      </c>
      <c r="Q30" s="800" t="e">
        <f>P30+$M$137+((BC!$F$125)/$F$74)</f>
        <v>#DIV/0!</v>
      </c>
      <c r="R30" s="222" t="e">
        <f t="shared" si="7"/>
        <v>#DIV/0!</v>
      </c>
      <c r="S30" s="223" t="e">
        <f t="shared" si="8"/>
        <v>#DIV/0!</v>
      </c>
      <c r="T30" s="223" t="e">
        <f t="shared" si="9"/>
        <v>#DIV/0!</v>
      </c>
      <c r="U30" s="24"/>
      <c r="V30" s="24"/>
      <c r="W30" s="97"/>
      <c r="X30" s="97"/>
      <c r="Y30" s="97"/>
      <c r="Z30" s="97"/>
      <c r="AA30" s="97"/>
      <c r="AB30" s="97"/>
      <c r="AC30" s="97"/>
      <c r="AD30" s="97"/>
      <c r="AE30" s="97"/>
    </row>
    <row r="31" spans="1:31" x14ac:dyDescent="0.45">
      <c r="B31" s="131">
        <v>7190808190</v>
      </c>
      <c r="C31" s="116" t="s">
        <v>213</v>
      </c>
      <c r="D31" s="103">
        <v>100</v>
      </c>
      <c r="E31" s="103">
        <v>56</v>
      </c>
      <c r="F31" s="237">
        <f>'c311'!E31</f>
        <v>0</v>
      </c>
      <c r="G31" s="60">
        <f t="shared" si="0"/>
        <v>0</v>
      </c>
      <c r="H31" s="60">
        <f>30*BC!$B$47/E31</f>
        <v>0</v>
      </c>
      <c r="I31" s="60">
        <f t="shared" si="1"/>
        <v>0</v>
      </c>
      <c r="J31" s="60">
        <f t="shared" si="2"/>
        <v>0</v>
      </c>
      <c r="K31" s="58">
        <f t="shared" si="3"/>
        <v>0</v>
      </c>
      <c r="L31" s="210">
        <v>276</v>
      </c>
      <c r="M31" s="148">
        <f t="shared" si="4"/>
        <v>0</v>
      </c>
      <c r="N31" s="91" t="e">
        <f t="shared" si="10"/>
        <v>#DIV/0!</v>
      </c>
      <c r="O31" s="148" t="e">
        <f t="shared" si="5"/>
        <v>#DIV/0!</v>
      </c>
      <c r="P31" s="148">
        <f t="shared" si="6"/>
        <v>2.76</v>
      </c>
      <c r="Q31" s="800" t="e">
        <f>P31+$M$137+((BC!$F$125)/$F$74)</f>
        <v>#DIV/0!</v>
      </c>
      <c r="R31" s="222" t="e">
        <f t="shared" si="7"/>
        <v>#DIV/0!</v>
      </c>
      <c r="S31" s="223" t="e">
        <f t="shared" si="8"/>
        <v>#DIV/0!</v>
      </c>
      <c r="T31" s="223" t="e">
        <f t="shared" si="9"/>
        <v>#DIV/0!</v>
      </c>
      <c r="U31" s="24"/>
      <c r="V31" s="24"/>
      <c r="W31" s="97"/>
      <c r="X31" s="97"/>
      <c r="Y31" s="97"/>
      <c r="Z31" s="97"/>
      <c r="AA31" s="97"/>
      <c r="AB31" s="97"/>
      <c r="AC31" s="97"/>
      <c r="AD31" s="97"/>
      <c r="AE31" s="97"/>
    </row>
    <row r="32" spans="1:31" x14ac:dyDescent="0.45">
      <c r="B32" s="133">
        <v>3289923190</v>
      </c>
      <c r="C32" s="117" t="s">
        <v>214</v>
      </c>
      <c r="D32" s="103">
        <v>250</v>
      </c>
      <c r="E32" s="103">
        <v>42</v>
      </c>
      <c r="F32" s="237">
        <f>'c311'!E32</f>
        <v>0</v>
      </c>
      <c r="G32" s="60">
        <f t="shared" si="0"/>
        <v>0</v>
      </c>
      <c r="H32" s="60">
        <f>30*BC!$B$47/E32</f>
        <v>0</v>
      </c>
      <c r="I32" s="60">
        <f t="shared" si="1"/>
        <v>0</v>
      </c>
      <c r="J32" s="60">
        <f t="shared" si="2"/>
        <v>0</v>
      </c>
      <c r="K32" s="58">
        <f t="shared" si="3"/>
        <v>0</v>
      </c>
      <c r="L32" s="210">
        <v>174</v>
      </c>
      <c r="M32" s="148">
        <f t="shared" si="4"/>
        <v>0</v>
      </c>
      <c r="N32" s="91" t="e">
        <f t="shared" si="10"/>
        <v>#DIV/0!</v>
      </c>
      <c r="O32" s="148" t="e">
        <f t="shared" si="5"/>
        <v>#DIV/0!</v>
      </c>
      <c r="P32" s="148">
        <f t="shared" si="6"/>
        <v>0.69599999999999995</v>
      </c>
      <c r="Q32" s="800" t="e">
        <f>P32+$M$137+((BC!$F$125)/$F$74)</f>
        <v>#DIV/0!</v>
      </c>
      <c r="R32" s="222" t="e">
        <f t="shared" si="7"/>
        <v>#DIV/0!</v>
      </c>
      <c r="S32" s="223" t="e">
        <f t="shared" si="8"/>
        <v>#DIV/0!</v>
      </c>
      <c r="T32" s="223" t="e">
        <f t="shared" si="9"/>
        <v>#DIV/0!</v>
      </c>
      <c r="U32" s="24"/>
      <c r="V32" s="24"/>
      <c r="W32" s="97"/>
      <c r="X32" s="97"/>
      <c r="Y32" s="97"/>
      <c r="Z32" s="97"/>
      <c r="AA32" s="97"/>
      <c r="AB32" s="97"/>
      <c r="AC32" s="97"/>
      <c r="AD32" s="97"/>
      <c r="AE32" s="97"/>
    </row>
    <row r="33" spans="2:31" x14ac:dyDescent="0.45">
      <c r="B33" s="134">
        <v>4490827190</v>
      </c>
      <c r="C33" s="118" t="s">
        <v>215</v>
      </c>
      <c r="D33" s="103">
        <v>200</v>
      </c>
      <c r="E33" s="103">
        <v>56</v>
      </c>
      <c r="F33" s="237">
        <f>'c311'!E33</f>
        <v>0</v>
      </c>
      <c r="G33" s="60">
        <f t="shared" si="0"/>
        <v>0</v>
      </c>
      <c r="H33" s="60">
        <f>30*BC!$B$47/E33</f>
        <v>0</v>
      </c>
      <c r="I33" s="60">
        <f t="shared" si="1"/>
        <v>0</v>
      </c>
      <c r="J33" s="60">
        <f t="shared" si="2"/>
        <v>0</v>
      </c>
      <c r="K33" s="58">
        <f t="shared" si="3"/>
        <v>0</v>
      </c>
      <c r="L33" s="210">
        <v>120</v>
      </c>
      <c r="M33" s="148">
        <f t="shared" si="4"/>
        <v>0</v>
      </c>
      <c r="N33" s="91" t="e">
        <f t="shared" si="10"/>
        <v>#DIV/0!</v>
      </c>
      <c r="O33" s="148" t="e">
        <f t="shared" si="5"/>
        <v>#DIV/0!</v>
      </c>
      <c r="P33" s="148">
        <f t="shared" si="6"/>
        <v>0.6</v>
      </c>
      <c r="Q33" s="800" t="e">
        <f>P33+$M$137+((BC!$F$125)/$F$74)</f>
        <v>#DIV/0!</v>
      </c>
      <c r="R33" s="222" t="e">
        <f t="shared" si="7"/>
        <v>#DIV/0!</v>
      </c>
      <c r="S33" s="223" t="e">
        <f t="shared" si="8"/>
        <v>#DIV/0!</v>
      </c>
      <c r="T33" s="223" t="e">
        <f t="shared" si="9"/>
        <v>#DIV/0!</v>
      </c>
      <c r="U33" s="24"/>
      <c r="V33" s="24"/>
      <c r="W33" s="97"/>
      <c r="X33" s="97"/>
      <c r="Y33" s="97"/>
      <c r="Z33" s="97"/>
      <c r="AA33" s="97"/>
      <c r="AB33" s="97"/>
      <c r="AC33" s="97"/>
      <c r="AD33" s="97"/>
      <c r="AE33" s="97"/>
    </row>
    <row r="34" spans="2:31" x14ac:dyDescent="0.45">
      <c r="B34" s="131">
        <v>4810716190</v>
      </c>
      <c r="C34" s="112" t="s">
        <v>216</v>
      </c>
      <c r="D34" s="103">
        <v>700</v>
      </c>
      <c r="E34" s="103">
        <v>56</v>
      </c>
      <c r="F34" s="237">
        <f>'c311'!E34</f>
        <v>0</v>
      </c>
      <c r="G34" s="60">
        <f t="shared" si="0"/>
        <v>0</v>
      </c>
      <c r="H34" s="60">
        <f>30*BC!$B$47/E34</f>
        <v>0</v>
      </c>
      <c r="I34" s="60">
        <f t="shared" si="1"/>
        <v>0</v>
      </c>
      <c r="J34" s="60">
        <f t="shared" si="2"/>
        <v>0</v>
      </c>
      <c r="K34" s="58">
        <f t="shared" si="3"/>
        <v>0</v>
      </c>
      <c r="L34" s="210">
        <v>136</v>
      </c>
      <c r="M34" s="148">
        <f t="shared" si="4"/>
        <v>0</v>
      </c>
      <c r="N34" s="91" t="e">
        <f t="shared" si="10"/>
        <v>#DIV/0!</v>
      </c>
      <c r="O34" s="148" t="e">
        <f t="shared" si="5"/>
        <v>#DIV/0!</v>
      </c>
      <c r="P34" s="148">
        <f t="shared" si="6"/>
        <v>0.19428571428571428</v>
      </c>
      <c r="Q34" s="800" t="e">
        <f>P34+$M$137+((BC!$F$125)/$F$74)</f>
        <v>#DIV/0!</v>
      </c>
      <c r="R34" s="222" t="e">
        <f t="shared" si="7"/>
        <v>#DIV/0!</v>
      </c>
      <c r="S34" s="223" t="e">
        <f t="shared" si="8"/>
        <v>#DIV/0!</v>
      </c>
      <c r="T34" s="223" t="e">
        <f t="shared" si="9"/>
        <v>#DIV/0!</v>
      </c>
      <c r="U34" s="24"/>
      <c r="V34" s="24"/>
      <c r="W34" s="97"/>
      <c r="X34" s="97"/>
      <c r="Y34" s="97"/>
      <c r="Z34" s="97"/>
      <c r="AA34" s="97"/>
      <c r="AB34" s="97"/>
      <c r="AC34" s="97"/>
      <c r="AD34" s="97"/>
      <c r="AE34" s="97"/>
    </row>
    <row r="35" spans="2:31" x14ac:dyDescent="0.45">
      <c r="B35" s="131">
        <v>4628918190</v>
      </c>
      <c r="C35" s="111" t="s">
        <v>217</v>
      </c>
      <c r="D35" s="103">
        <v>100</v>
      </c>
      <c r="E35" s="103">
        <v>84</v>
      </c>
      <c r="F35" s="237">
        <f>'c311'!E35</f>
        <v>0</v>
      </c>
      <c r="G35" s="60">
        <f t="shared" si="0"/>
        <v>0</v>
      </c>
      <c r="H35" s="60">
        <f>30*BC!$B$47/E35</f>
        <v>0</v>
      </c>
      <c r="I35" s="60">
        <f t="shared" si="1"/>
        <v>0</v>
      </c>
      <c r="J35" s="60">
        <f t="shared" si="2"/>
        <v>0</v>
      </c>
      <c r="K35" s="58">
        <f t="shared" si="3"/>
        <v>0</v>
      </c>
      <c r="L35" s="210">
        <v>750</v>
      </c>
      <c r="M35" s="148">
        <f t="shared" si="4"/>
        <v>0</v>
      </c>
      <c r="N35" s="91" t="e">
        <f t="shared" si="10"/>
        <v>#DIV/0!</v>
      </c>
      <c r="O35" s="148" t="e">
        <f t="shared" si="5"/>
        <v>#DIV/0!</v>
      </c>
      <c r="P35" s="148">
        <f t="shared" si="6"/>
        <v>7.5</v>
      </c>
      <c r="Q35" s="800" t="e">
        <f>P35+$M$137+((BC!$F$125)/$F$74)</f>
        <v>#DIV/0!</v>
      </c>
      <c r="R35" s="222" t="e">
        <f t="shared" si="7"/>
        <v>#DIV/0!</v>
      </c>
      <c r="S35" s="223" t="e">
        <f t="shared" si="8"/>
        <v>#DIV/0!</v>
      </c>
      <c r="T35" s="223" t="e">
        <f t="shared" si="9"/>
        <v>#DIV/0!</v>
      </c>
      <c r="U35" s="24"/>
      <c r="V35" s="24"/>
      <c r="W35" s="97"/>
      <c r="X35" s="97"/>
      <c r="Y35" s="97"/>
      <c r="Z35" s="97"/>
      <c r="AA35" s="97"/>
      <c r="AB35" s="97"/>
      <c r="AC35" s="97"/>
      <c r="AD35" s="97"/>
      <c r="AE35" s="97"/>
    </row>
    <row r="36" spans="2:31" x14ac:dyDescent="0.45">
      <c r="B36" s="131">
        <v>7876033190</v>
      </c>
      <c r="C36" s="111" t="s">
        <v>218</v>
      </c>
      <c r="D36" s="103">
        <v>250</v>
      </c>
      <c r="E36" s="103">
        <v>84</v>
      </c>
      <c r="F36" s="237">
        <f>'c311'!E36</f>
        <v>0</v>
      </c>
      <c r="G36" s="60">
        <f t="shared" si="0"/>
        <v>0</v>
      </c>
      <c r="H36" s="60">
        <f>30*BC!$B$47/E36</f>
        <v>0</v>
      </c>
      <c r="I36" s="60">
        <f t="shared" si="1"/>
        <v>0</v>
      </c>
      <c r="J36" s="60">
        <f t="shared" si="2"/>
        <v>0</v>
      </c>
      <c r="K36" s="58">
        <f t="shared" si="3"/>
        <v>0</v>
      </c>
      <c r="L36" s="210">
        <v>643</v>
      </c>
      <c r="M36" s="148">
        <f t="shared" si="4"/>
        <v>0</v>
      </c>
      <c r="N36" s="91" t="e">
        <f t="shared" si="10"/>
        <v>#DIV/0!</v>
      </c>
      <c r="O36" s="148" t="e">
        <f t="shared" si="5"/>
        <v>#DIV/0!</v>
      </c>
      <c r="P36" s="148">
        <f t="shared" si="6"/>
        <v>2.5720000000000001</v>
      </c>
      <c r="Q36" s="800" t="e">
        <f>P36+$M$137+((BC!$F$125)/$F$74)</f>
        <v>#DIV/0!</v>
      </c>
      <c r="R36" s="222" t="e">
        <f t="shared" si="7"/>
        <v>#DIV/0!</v>
      </c>
      <c r="S36" s="223" t="e">
        <f t="shared" si="8"/>
        <v>#DIV/0!</v>
      </c>
      <c r="T36" s="223" t="e">
        <f t="shared" si="9"/>
        <v>#DIV/0!</v>
      </c>
      <c r="U36" s="24"/>
      <c r="V36" s="24"/>
      <c r="W36" s="97"/>
      <c r="X36" s="97"/>
      <c r="Y36" s="97"/>
      <c r="Z36" s="97"/>
      <c r="AA36" s="97"/>
      <c r="AB36" s="97"/>
      <c r="AC36" s="97"/>
      <c r="AD36" s="97"/>
      <c r="AE36" s="97"/>
    </row>
    <row r="37" spans="2:31" x14ac:dyDescent="0.45">
      <c r="B37" s="135">
        <v>6600239190</v>
      </c>
      <c r="C37" s="119" t="s">
        <v>219</v>
      </c>
      <c r="D37" s="103">
        <v>225</v>
      </c>
      <c r="E37" s="103">
        <v>56</v>
      </c>
      <c r="F37" s="237">
        <f>'c311'!E37</f>
        <v>0</v>
      </c>
      <c r="G37" s="60">
        <f t="shared" si="0"/>
        <v>0</v>
      </c>
      <c r="H37" s="60">
        <f>30*BC!$B$47/E37</f>
        <v>0</v>
      </c>
      <c r="I37" s="60">
        <f t="shared" si="1"/>
        <v>0</v>
      </c>
      <c r="J37" s="60">
        <f t="shared" si="2"/>
        <v>0</v>
      </c>
      <c r="K37" s="58">
        <f t="shared" si="3"/>
        <v>0</v>
      </c>
      <c r="L37" s="210">
        <v>1282</v>
      </c>
      <c r="M37" s="148">
        <f t="shared" si="4"/>
        <v>0</v>
      </c>
      <c r="N37" s="91" t="e">
        <f t="shared" si="10"/>
        <v>#DIV/0!</v>
      </c>
      <c r="O37" s="148" t="e">
        <f t="shared" si="5"/>
        <v>#DIV/0!</v>
      </c>
      <c r="P37" s="148">
        <f t="shared" si="6"/>
        <v>5.6977777777777776</v>
      </c>
      <c r="Q37" s="800" t="e">
        <f>P37+$M$137+((BC!$F$125)/$F$74)</f>
        <v>#DIV/0!</v>
      </c>
      <c r="R37" s="222" t="e">
        <f t="shared" si="7"/>
        <v>#DIV/0!</v>
      </c>
      <c r="S37" s="223" t="e">
        <f t="shared" si="8"/>
        <v>#DIV/0!</v>
      </c>
      <c r="T37" s="223" t="e">
        <f t="shared" si="9"/>
        <v>#DIV/0!</v>
      </c>
      <c r="U37" s="24"/>
      <c r="V37" s="24"/>
      <c r="W37" s="97"/>
      <c r="X37" s="97"/>
      <c r="Y37" s="97"/>
      <c r="Z37" s="97"/>
      <c r="AA37" s="97"/>
      <c r="AB37" s="97"/>
      <c r="AC37" s="97"/>
      <c r="AD37" s="97"/>
      <c r="AE37" s="97"/>
    </row>
    <row r="38" spans="2:31" x14ac:dyDescent="0.45">
      <c r="B38" s="136">
        <v>4912551190</v>
      </c>
      <c r="C38" s="120" t="s">
        <v>220</v>
      </c>
      <c r="D38" s="103">
        <v>100</v>
      </c>
      <c r="E38" s="103">
        <v>84</v>
      </c>
      <c r="F38" s="237">
        <f>'c311'!E38</f>
        <v>0</v>
      </c>
      <c r="G38" s="60">
        <f t="shared" si="0"/>
        <v>0</v>
      </c>
      <c r="H38" s="60">
        <f>30*BC!$B$47/E38</f>
        <v>0</v>
      </c>
      <c r="I38" s="60">
        <f t="shared" si="1"/>
        <v>0</v>
      </c>
      <c r="J38" s="60">
        <f t="shared" si="2"/>
        <v>0</v>
      </c>
      <c r="K38" s="58">
        <f t="shared" si="3"/>
        <v>0</v>
      </c>
      <c r="L38" s="210">
        <v>1066</v>
      </c>
      <c r="M38" s="148">
        <f t="shared" si="4"/>
        <v>0</v>
      </c>
      <c r="N38" s="91" t="e">
        <f t="shared" si="10"/>
        <v>#DIV/0!</v>
      </c>
      <c r="O38" s="148" t="e">
        <f t="shared" si="5"/>
        <v>#DIV/0!</v>
      </c>
      <c r="P38" s="148">
        <f t="shared" si="6"/>
        <v>10.66</v>
      </c>
      <c r="Q38" s="800" t="e">
        <f>P38+$M$137+((BC!$F$125)/$F$74)</f>
        <v>#DIV/0!</v>
      </c>
      <c r="R38" s="222" t="e">
        <f t="shared" si="7"/>
        <v>#DIV/0!</v>
      </c>
      <c r="S38" s="223" t="e">
        <f t="shared" si="8"/>
        <v>#DIV/0!</v>
      </c>
      <c r="T38" s="223" t="e">
        <f t="shared" si="9"/>
        <v>#DIV/0!</v>
      </c>
      <c r="U38" s="24"/>
      <c r="V38" s="24"/>
      <c r="W38" s="97"/>
      <c r="X38" s="97"/>
      <c r="Y38" s="97"/>
      <c r="Z38" s="97"/>
      <c r="AA38" s="97"/>
      <c r="AB38" s="97"/>
      <c r="AC38" s="97"/>
      <c r="AD38" s="97"/>
      <c r="AE38" s="97"/>
    </row>
    <row r="39" spans="2:31" x14ac:dyDescent="0.45">
      <c r="B39" s="133">
        <v>3183777190</v>
      </c>
      <c r="C39" s="117" t="s">
        <v>221</v>
      </c>
      <c r="D39" s="103">
        <v>100</v>
      </c>
      <c r="E39" s="103">
        <v>84</v>
      </c>
      <c r="F39" s="237">
        <f>'c311'!E39</f>
        <v>0</v>
      </c>
      <c r="G39" s="60">
        <f t="shared" si="0"/>
        <v>0</v>
      </c>
      <c r="H39" s="60">
        <f>30*BC!$B$47/E39</f>
        <v>0</v>
      </c>
      <c r="I39" s="60">
        <f t="shared" si="1"/>
        <v>0</v>
      </c>
      <c r="J39" s="60">
        <f t="shared" si="2"/>
        <v>0</v>
      </c>
      <c r="K39" s="58">
        <f t="shared" si="3"/>
        <v>0</v>
      </c>
      <c r="L39" s="210">
        <v>341</v>
      </c>
      <c r="M39" s="148">
        <f t="shared" si="4"/>
        <v>0</v>
      </c>
      <c r="N39" s="91" t="e">
        <f t="shared" si="10"/>
        <v>#DIV/0!</v>
      </c>
      <c r="O39" s="148" t="e">
        <f t="shared" si="5"/>
        <v>#DIV/0!</v>
      </c>
      <c r="P39" s="148">
        <f t="shared" si="6"/>
        <v>3.41</v>
      </c>
      <c r="Q39" s="800" t="e">
        <f>P39+$M$137+((BC!$F$125)/$F$74)</f>
        <v>#DIV/0!</v>
      </c>
      <c r="R39" s="222" t="e">
        <f t="shared" si="7"/>
        <v>#DIV/0!</v>
      </c>
      <c r="S39" s="223" t="e">
        <f t="shared" si="8"/>
        <v>#DIV/0!</v>
      </c>
      <c r="T39" s="223" t="e">
        <f t="shared" si="9"/>
        <v>#DIV/0!</v>
      </c>
      <c r="U39" s="24"/>
      <c r="V39" s="24"/>
      <c r="W39" s="97"/>
      <c r="X39" s="97"/>
      <c r="Y39" s="97"/>
      <c r="Z39" s="97"/>
      <c r="AA39" s="97"/>
      <c r="AB39" s="97"/>
      <c r="AC39" s="97"/>
      <c r="AD39" s="97"/>
      <c r="AE39" s="97"/>
    </row>
    <row r="40" spans="2:31" x14ac:dyDescent="0.45">
      <c r="B40" s="137">
        <v>4537939190</v>
      </c>
      <c r="C40" s="121" t="s">
        <v>222</v>
      </c>
      <c r="D40" s="103">
        <v>150</v>
      </c>
      <c r="E40" s="103">
        <v>56</v>
      </c>
      <c r="F40" s="237">
        <f>'c311'!E40</f>
        <v>0</v>
      </c>
      <c r="G40" s="60">
        <f t="shared" si="0"/>
        <v>0</v>
      </c>
      <c r="H40" s="60">
        <f>30*BC!$B$47/E40</f>
        <v>0</v>
      </c>
      <c r="I40" s="60">
        <f t="shared" si="1"/>
        <v>0</v>
      </c>
      <c r="J40" s="60">
        <f t="shared" si="2"/>
        <v>0</v>
      </c>
      <c r="K40" s="58">
        <f t="shared" si="3"/>
        <v>0</v>
      </c>
      <c r="L40" s="210">
        <v>126</v>
      </c>
      <c r="M40" s="148">
        <f t="shared" si="4"/>
        <v>0</v>
      </c>
      <c r="N40" s="91" t="e">
        <f t="shared" si="10"/>
        <v>#DIV/0!</v>
      </c>
      <c r="O40" s="148" t="e">
        <f t="shared" si="5"/>
        <v>#DIV/0!</v>
      </c>
      <c r="P40" s="148">
        <f t="shared" si="6"/>
        <v>0.84</v>
      </c>
      <c r="Q40" s="800" t="e">
        <f>P40+$M$137+((BC!$F$125)/$F$74)</f>
        <v>#DIV/0!</v>
      </c>
      <c r="R40" s="222" t="e">
        <f t="shared" si="7"/>
        <v>#DIV/0!</v>
      </c>
      <c r="S40" s="223" t="e">
        <f t="shared" si="8"/>
        <v>#DIV/0!</v>
      </c>
      <c r="T40" s="223" t="e">
        <f t="shared" si="9"/>
        <v>#DIV/0!</v>
      </c>
      <c r="U40" s="24"/>
      <c r="V40" s="24"/>
      <c r="W40" s="97"/>
      <c r="X40" s="97"/>
      <c r="Y40" s="97"/>
      <c r="Z40" s="97"/>
      <c r="AA40" s="97"/>
      <c r="AB40" s="97"/>
      <c r="AC40" s="97"/>
      <c r="AD40" s="97"/>
      <c r="AE40" s="97"/>
    </row>
    <row r="41" spans="2:31" x14ac:dyDescent="0.45">
      <c r="B41" s="131">
        <v>3002721122</v>
      </c>
      <c r="C41" s="112" t="s">
        <v>223</v>
      </c>
      <c r="D41" s="103">
        <v>400</v>
      </c>
      <c r="E41" s="103">
        <v>84</v>
      </c>
      <c r="F41" s="237">
        <f>'c311'!E41</f>
        <v>0</v>
      </c>
      <c r="G41" s="60">
        <f t="shared" ref="G41:G72" si="11">F41/D41</f>
        <v>0</v>
      </c>
      <c r="H41" s="60">
        <f>30*BC!$B$47/E41</f>
        <v>0</v>
      </c>
      <c r="I41" s="60">
        <f t="shared" ref="I41:I72" si="12">IF(H41&gt;G41,H41,G41)</f>
        <v>0</v>
      </c>
      <c r="J41" s="60">
        <f t="shared" ref="J41:J72" si="13">IF(G41=0,0,I41)</f>
        <v>0</v>
      </c>
      <c r="K41" s="58">
        <f t="shared" ref="K41:K72" si="14">ROUNDUP(J41,0)</f>
        <v>0</v>
      </c>
      <c r="L41" s="210">
        <v>192</v>
      </c>
      <c r="M41" s="148">
        <f t="shared" ref="M41:M72" si="15">L41*K41</f>
        <v>0</v>
      </c>
      <c r="N41" s="91" t="e">
        <f t="shared" ref="N41:N73" si="16">((L41*$L$139)+L41)</f>
        <v>#DIV/0!</v>
      </c>
      <c r="O41" s="148" t="e">
        <f t="shared" ref="O41:O72" si="17">N41*K41</f>
        <v>#DIV/0!</v>
      </c>
      <c r="P41" s="148">
        <f t="shared" ref="P41:P73" si="18">L41/D41</f>
        <v>0.48</v>
      </c>
      <c r="Q41" s="800" t="e">
        <f>P41+$M$137+((BC!$F$125)/$F$74)</f>
        <v>#DIV/0!</v>
      </c>
      <c r="R41" s="222" t="e">
        <f t="shared" ref="R41:R72" si="19">Q41*F41</f>
        <v>#DIV/0!</v>
      </c>
      <c r="S41" s="223" t="e">
        <f t="shared" ref="S41:S73" si="20">((Q41*0.15)+Q41)</f>
        <v>#DIV/0!</v>
      </c>
      <c r="T41" s="223" t="e">
        <f t="shared" ref="T41:T72" si="21">S41*F41</f>
        <v>#DIV/0!</v>
      </c>
      <c r="U41" s="24"/>
      <c r="V41" s="24"/>
      <c r="W41" s="97"/>
      <c r="X41" s="97"/>
      <c r="Y41" s="97"/>
      <c r="Z41" s="97"/>
      <c r="AA41" s="97"/>
      <c r="AB41" s="97"/>
      <c r="AC41" s="97"/>
      <c r="AD41" s="97"/>
      <c r="AE41" s="97"/>
    </row>
    <row r="42" spans="2:31" x14ac:dyDescent="0.45">
      <c r="B42" s="131">
        <v>4404483190</v>
      </c>
      <c r="C42" s="112" t="s">
        <v>224</v>
      </c>
      <c r="D42" s="103">
        <v>800</v>
      </c>
      <c r="E42" s="103">
        <v>56</v>
      </c>
      <c r="F42" s="237">
        <f>'c311'!E42</f>
        <v>0</v>
      </c>
      <c r="G42" s="60">
        <f t="shared" si="11"/>
        <v>0</v>
      </c>
      <c r="H42" s="60">
        <f>30*BC!$B$47/E42</f>
        <v>0</v>
      </c>
      <c r="I42" s="60">
        <f t="shared" si="12"/>
        <v>0</v>
      </c>
      <c r="J42" s="60">
        <f t="shared" si="13"/>
        <v>0</v>
      </c>
      <c r="K42" s="58">
        <f t="shared" si="14"/>
        <v>0</v>
      </c>
      <c r="L42" s="210">
        <v>176</v>
      </c>
      <c r="M42" s="148">
        <f t="shared" si="15"/>
        <v>0</v>
      </c>
      <c r="N42" s="91" t="e">
        <f t="shared" si="16"/>
        <v>#DIV/0!</v>
      </c>
      <c r="O42" s="148" t="e">
        <f t="shared" si="17"/>
        <v>#DIV/0!</v>
      </c>
      <c r="P42" s="148">
        <f t="shared" si="18"/>
        <v>0.22</v>
      </c>
      <c r="Q42" s="800" t="e">
        <f>P42+$M$137+((BC!$F$125)/$F$74)</f>
        <v>#DIV/0!</v>
      </c>
      <c r="R42" s="222" t="e">
        <f t="shared" si="19"/>
        <v>#DIV/0!</v>
      </c>
      <c r="S42" s="223" t="e">
        <f t="shared" si="20"/>
        <v>#DIV/0!</v>
      </c>
      <c r="T42" s="223" t="e">
        <f t="shared" si="21"/>
        <v>#DIV/0!</v>
      </c>
      <c r="U42" s="24"/>
      <c r="V42" s="24"/>
      <c r="W42" s="97"/>
      <c r="X42" s="97"/>
      <c r="Y42" s="97"/>
      <c r="Z42" s="97"/>
      <c r="AA42" s="97"/>
      <c r="AB42" s="97"/>
      <c r="AC42" s="97"/>
      <c r="AD42" s="97"/>
      <c r="AE42" s="97"/>
    </row>
    <row r="43" spans="2:31" x14ac:dyDescent="0.45">
      <c r="B43" s="131">
        <v>3005593322</v>
      </c>
      <c r="C43" s="111" t="s">
        <v>225</v>
      </c>
      <c r="D43" s="103">
        <v>100</v>
      </c>
      <c r="E43" s="103">
        <v>84</v>
      </c>
      <c r="F43" s="237">
        <f>'c311'!E43</f>
        <v>0</v>
      </c>
      <c r="G43" s="60">
        <f t="shared" si="11"/>
        <v>0</v>
      </c>
      <c r="H43" s="60">
        <f>30*BC!$B$47/E43</f>
        <v>0</v>
      </c>
      <c r="I43" s="60">
        <f t="shared" si="12"/>
        <v>0</v>
      </c>
      <c r="J43" s="60">
        <f t="shared" si="13"/>
        <v>0</v>
      </c>
      <c r="K43" s="58">
        <f t="shared" si="14"/>
        <v>0</v>
      </c>
      <c r="L43" s="210">
        <v>301</v>
      </c>
      <c r="M43" s="148">
        <f t="shared" si="15"/>
        <v>0</v>
      </c>
      <c r="N43" s="91" t="e">
        <f t="shared" si="16"/>
        <v>#DIV/0!</v>
      </c>
      <c r="O43" s="148" t="e">
        <f t="shared" si="17"/>
        <v>#DIV/0!</v>
      </c>
      <c r="P43" s="148">
        <f t="shared" si="18"/>
        <v>3.01</v>
      </c>
      <c r="Q43" s="800" t="e">
        <f>P43+$M$137+((BC!$F$125)/$F$74)</f>
        <v>#DIV/0!</v>
      </c>
      <c r="R43" s="222" t="e">
        <f t="shared" si="19"/>
        <v>#DIV/0!</v>
      </c>
      <c r="S43" s="223" t="e">
        <f t="shared" si="20"/>
        <v>#DIV/0!</v>
      </c>
      <c r="T43" s="223" t="e">
        <f t="shared" si="21"/>
        <v>#DIV/0!</v>
      </c>
      <c r="U43" s="24"/>
      <c r="V43" s="24"/>
      <c r="W43" s="97"/>
      <c r="X43" s="97"/>
      <c r="Y43" s="97"/>
      <c r="Z43" s="97"/>
      <c r="AA43" s="97"/>
      <c r="AB43" s="97"/>
      <c r="AC43" s="97"/>
      <c r="AD43" s="97"/>
      <c r="AE43" s="97"/>
    </row>
    <row r="44" spans="2:31" x14ac:dyDescent="0.45">
      <c r="B44" s="138">
        <v>5336163190</v>
      </c>
      <c r="C44" s="122" t="s">
        <v>226</v>
      </c>
      <c r="D44" s="103">
        <v>150</v>
      </c>
      <c r="E44" s="103">
        <v>84</v>
      </c>
      <c r="F44" s="237">
        <f>'c311'!E44</f>
        <v>0</v>
      </c>
      <c r="G44" s="60">
        <f t="shared" si="11"/>
        <v>0</v>
      </c>
      <c r="H44" s="60">
        <f>30*BC!$B$47/E44</f>
        <v>0</v>
      </c>
      <c r="I44" s="60">
        <f t="shared" si="12"/>
        <v>0</v>
      </c>
      <c r="J44" s="60">
        <f t="shared" si="13"/>
        <v>0</v>
      </c>
      <c r="K44" s="58">
        <f t="shared" si="14"/>
        <v>0</v>
      </c>
      <c r="L44" s="210">
        <v>731</v>
      </c>
      <c r="M44" s="148">
        <f t="shared" si="15"/>
        <v>0</v>
      </c>
      <c r="N44" s="91" t="e">
        <f t="shared" si="16"/>
        <v>#DIV/0!</v>
      </c>
      <c r="O44" s="148" t="e">
        <f t="shared" si="17"/>
        <v>#DIV/0!</v>
      </c>
      <c r="P44" s="148">
        <f t="shared" si="18"/>
        <v>4.8733333333333331</v>
      </c>
      <c r="Q44" s="800" t="e">
        <f>P44+$M$137+((BC!$F$125)/$F$74)</f>
        <v>#DIV/0!</v>
      </c>
      <c r="R44" s="222" t="e">
        <f t="shared" si="19"/>
        <v>#DIV/0!</v>
      </c>
      <c r="S44" s="223" t="e">
        <f t="shared" si="20"/>
        <v>#DIV/0!</v>
      </c>
      <c r="T44" s="223" t="e">
        <f t="shared" si="21"/>
        <v>#DIV/0!</v>
      </c>
      <c r="U44" s="24"/>
      <c r="V44" s="24"/>
      <c r="W44" s="97"/>
      <c r="X44" s="97"/>
      <c r="Y44" s="97"/>
      <c r="Z44" s="97"/>
      <c r="AA44" s="97"/>
      <c r="AB44" s="97"/>
      <c r="AC44" s="97"/>
      <c r="AD44" s="97"/>
      <c r="AE44" s="97"/>
    </row>
    <row r="45" spans="2:31" x14ac:dyDescent="0.45">
      <c r="B45" s="131">
        <v>6750036190</v>
      </c>
      <c r="C45" s="112" t="s">
        <v>227</v>
      </c>
      <c r="D45" s="103">
        <v>100</v>
      </c>
      <c r="E45" s="103">
        <v>84</v>
      </c>
      <c r="F45" s="237">
        <f>'c311'!E45</f>
        <v>0</v>
      </c>
      <c r="G45" s="60">
        <f t="shared" si="11"/>
        <v>0</v>
      </c>
      <c r="H45" s="60">
        <f>30*BC!$B$47/E45</f>
        <v>0</v>
      </c>
      <c r="I45" s="60">
        <f t="shared" si="12"/>
        <v>0</v>
      </c>
      <c r="J45" s="60">
        <f t="shared" si="13"/>
        <v>0</v>
      </c>
      <c r="K45" s="58">
        <f t="shared" si="14"/>
        <v>0</v>
      </c>
      <c r="L45" s="210">
        <v>154</v>
      </c>
      <c r="M45" s="148">
        <f t="shared" si="15"/>
        <v>0</v>
      </c>
      <c r="N45" s="91" t="e">
        <f t="shared" si="16"/>
        <v>#DIV/0!</v>
      </c>
      <c r="O45" s="148" t="e">
        <f t="shared" si="17"/>
        <v>#DIV/0!</v>
      </c>
      <c r="P45" s="148">
        <f t="shared" si="18"/>
        <v>1.54</v>
      </c>
      <c r="Q45" s="800" t="e">
        <f>P45+$M$137+((BC!$F$125)/$F$74)</f>
        <v>#DIV/0!</v>
      </c>
      <c r="R45" s="222" t="e">
        <f t="shared" si="19"/>
        <v>#DIV/0!</v>
      </c>
      <c r="S45" s="223" t="e">
        <f t="shared" si="20"/>
        <v>#DIV/0!</v>
      </c>
      <c r="T45" s="223" t="e">
        <f t="shared" si="21"/>
        <v>#DIV/0!</v>
      </c>
      <c r="U45" s="24"/>
      <c r="V45" s="24"/>
      <c r="W45" s="97"/>
      <c r="X45" s="97"/>
      <c r="Y45" s="97"/>
      <c r="Z45" s="97"/>
      <c r="AA45" s="97"/>
      <c r="AB45" s="97"/>
      <c r="AC45" s="97"/>
      <c r="AD45" s="97"/>
      <c r="AE45" s="97"/>
    </row>
    <row r="46" spans="2:31" x14ac:dyDescent="0.45">
      <c r="B46" s="139">
        <v>5385415190</v>
      </c>
      <c r="C46" s="123" t="s">
        <v>228</v>
      </c>
      <c r="D46" s="103">
        <v>100</v>
      </c>
      <c r="E46" s="103">
        <v>28</v>
      </c>
      <c r="F46" s="237">
        <f>'c311'!E46</f>
        <v>0</v>
      </c>
      <c r="G46" s="60">
        <f t="shared" si="11"/>
        <v>0</v>
      </c>
      <c r="H46" s="60">
        <f>30*BC!$B$47/E46</f>
        <v>0</v>
      </c>
      <c r="I46" s="60">
        <f t="shared" si="12"/>
        <v>0</v>
      </c>
      <c r="J46" s="60">
        <f t="shared" si="13"/>
        <v>0</v>
      </c>
      <c r="K46" s="58">
        <f t="shared" si="14"/>
        <v>0</v>
      </c>
      <c r="L46" s="210">
        <v>1054</v>
      </c>
      <c r="M46" s="148">
        <f t="shared" si="15"/>
        <v>0</v>
      </c>
      <c r="N46" s="91" t="e">
        <f t="shared" si="16"/>
        <v>#DIV/0!</v>
      </c>
      <c r="O46" s="148" t="e">
        <f t="shared" si="17"/>
        <v>#DIV/0!</v>
      </c>
      <c r="P46" s="148">
        <f t="shared" si="18"/>
        <v>10.54</v>
      </c>
      <c r="Q46" s="800" t="e">
        <f>P46+$M$137+((BC!$F$125)/$F$74)</f>
        <v>#DIV/0!</v>
      </c>
      <c r="R46" s="222" t="e">
        <f t="shared" si="19"/>
        <v>#DIV/0!</v>
      </c>
      <c r="S46" s="223" t="e">
        <f t="shared" si="20"/>
        <v>#DIV/0!</v>
      </c>
      <c r="T46" s="223" t="e">
        <f t="shared" si="21"/>
        <v>#DIV/0!</v>
      </c>
      <c r="U46" s="24"/>
      <c r="V46" s="24"/>
      <c r="W46" s="97"/>
      <c r="X46" s="97"/>
      <c r="Y46" s="97"/>
      <c r="Z46" s="97"/>
      <c r="AA46" s="97"/>
      <c r="AB46" s="97"/>
      <c r="AC46" s="97"/>
      <c r="AD46" s="97"/>
      <c r="AE46" s="97"/>
    </row>
    <row r="47" spans="2:31" x14ac:dyDescent="0.45">
      <c r="B47" s="131">
        <v>7528566190</v>
      </c>
      <c r="C47" s="113" t="s">
        <v>229</v>
      </c>
      <c r="D47" s="103">
        <v>350</v>
      </c>
      <c r="E47" s="103">
        <v>84</v>
      </c>
      <c r="F47" s="237">
        <f>'c311'!E47</f>
        <v>0</v>
      </c>
      <c r="G47" s="60">
        <f t="shared" si="11"/>
        <v>0</v>
      </c>
      <c r="H47" s="60">
        <f>30*BC!$B$47/E47</f>
        <v>0</v>
      </c>
      <c r="I47" s="60">
        <f t="shared" si="12"/>
        <v>0</v>
      </c>
      <c r="J47" s="60">
        <f t="shared" si="13"/>
        <v>0</v>
      </c>
      <c r="K47" s="58">
        <f t="shared" si="14"/>
        <v>0</v>
      </c>
      <c r="L47" s="210">
        <v>536</v>
      </c>
      <c r="M47" s="148">
        <f t="shared" si="15"/>
        <v>0</v>
      </c>
      <c r="N47" s="91" t="e">
        <f t="shared" si="16"/>
        <v>#DIV/0!</v>
      </c>
      <c r="O47" s="148" t="e">
        <f t="shared" si="17"/>
        <v>#DIV/0!</v>
      </c>
      <c r="P47" s="148">
        <f t="shared" si="18"/>
        <v>1.5314285714285714</v>
      </c>
      <c r="Q47" s="800" t="e">
        <f>P47+$M$137+((BC!$F$125)/$F$74)</f>
        <v>#DIV/0!</v>
      </c>
      <c r="R47" s="222" t="e">
        <f t="shared" si="19"/>
        <v>#DIV/0!</v>
      </c>
      <c r="S47" s="223" t="e">
        <f t="shared" si="20"/>
        <v>#DIV/0!</v>
      </c>
      <c r="T47" s="223" t="e">
        <f t="shared" si="21"/>
        <v>#DIV/0!</v>
      </c>
      <c r="U47" s="24"/>
      <c r="V47" s="24"/>
      <c r="W47" s="97"/>
      <c r="X47" s="97"/>
      <c r="Y47" s="97"/>
      <c r="Z47" s="97"/>
      <c r="AA47" s="97"/>
      <c r="AB47" s="97"/>
      <c r="AC47" s="97"/>
      <c r="AD47" s="97"/>
      <c r="AE47" s="97"/>
    </row>
    <row r="48" spans="2:31" x14ac:dyDescent="0.45">
      <c r="B48" s="131">
        <v>3507343190</v>
      </c>
      <c r="C48" s="111" t="s">
        <v>230</v>
      </c>
      <c r="D48" s="103">
        <v>150</v>
      </c>
      <c r="E48" s="103">
        <v>84</v>
      </c>
      <c r="F48" s="237">
        <f>'c311'!E48</f>
        <v>0</v>
      </c>
      <c r="G48" s="60">
        <f t="shared" si="11"/>
        <v>0</v>
      </c>
      <c r="H48" s="60">
        <f>30*BC!$B$47/E48</f>
        <v>0</v>
      </c>
      <c r="I48" s="60">
        <f t="shared" si="12"/>
        <v>0</v>
      </c>
      <c r="J48" s="60">
        <f t="shared" si="13"/>
        <v>0</v>
      </c>
      <c r="K48" s="58">
        <f t="shared" si="14"/>
        <v>0</v>
      </c>
      <c r="L48" s="210">
        <v>411</v>
      </c>
      <c r="M48" s="148">
        <f t="shared" si="15"/>
        <v>0</v>
      </c>
      <c r="N48" s="91" t="e">
        <f t="shared" si="16"/>
        <v>#DIV/0!</v>
      </c>
      <c r="O48" s="148" t="e">
        <f t="shared" si="17"/>
        <v>#DIV/0!</v>
      </c>
      <c r="P48" s="148">
        <f t="shared" si="18"/>
        <v>2.74</v>
      </c>
      <c r="Q48" s="800" t="e">
        <f>P48+$M$137+((BC!$F$125)/$F$74)</f>
        <v>#DIV/0!</v>
      </c>
      <c r="R48" s="222" t="e">
        <f t="shared" si="19"/>
        <v>#DIV/0!</v>
      </c>
      <c r="S48" s="223" t="e">
        <f t="shared" si="20"/>
        <v>#DIV/0!</v>
      </c>
      <c r="T48" s="223" t="e">
        <f t="shared" si="21"/>
        <v>#DIV/0!</v>
      </c>
      <c r="U48" s="24"/>
      <c r="V48" s="24"/>
      <c r="W48" s="97"/>
      <c r="X48" s="97"/>
      <c r="Y48" s="97"/>
      <c r="Z48" s="97"/>
      <c r="AA48" s="97"/>
      <c r="AB48" s="97"/>
      <c r="AC48" s="97"/>
      <c r="AD48" s="97"/>
      <c r="AE48" s="97"/>
    </row>
    <row r="49" spans="2:31" x14ac:dyDescent="0.45">
      <c r="B49" s="131">
        <v>5973058190</v>
      </c>
      <c r="C49" s="124" t="s">
        <v>231</v>
      </c>
      <c r="D49" s="103">
        <v>150</v>
      </c>
      <c r="E49" s="103">
        <v>84</v>
      </c>
      <c r="F49" s="237">
        <f>'c311'!E49</f>
        <v>0</v>
      </c>
      <c r="G49" s="60">
        <f t="shared" si="11"/>
        <v>0</v>
      </c>
      <c r="H49" s="60">
        <f>30*BC!$B$47/E49</f>
        <v>0</v>
      </c>
      <c r="I49" s="60">
        <f t="shared" si="12"/>
        <v>0</v>
      </c>
      <c r="J49" s="60">
        <f t="shared" si="13"/>
        <v>0</v>
      </c>
      <c r="K49" s="58">
        <f t="shared" si="14"/>
        <v>0</v>
      </c>
      <c r="L49" s="210">
        <v>411</v>
      </c>
      <c r="M49" s="148">
        <f t="shared" si="15"/>
        <v>0</v>
      </c>
      <c r="N49" s="91" t="e">
        <f t="shared" si="16"/>
        <v>#DIV/0!</v>
      </c>
      <c r="O49" s="148" t="e">
        <f t="shared" si="17"/>
        <v>#DIV/0!</v>
      </c>
      <c r="P49" s="148">
        <f t="shared" si="18"/>
        <v>2.74</v>
      </c>
      <c r="Q49" s="800" t="e">
        <f>P49+$M$137+((BC!$F$125)/$F$74)</f>
        <v>#DIV/0!</v>
      </c>
      <c r="R49" s="222" t="e">
        <f t="shared" si="19"/>
        <v>#DIV/0!</v>
      </c>
      <c r="S49" s="223" t="e">
        <f t="shared" si="20"/>
        <v>#DIV/0!</v>
      </c>
      <c r="T49" s="223" t="e">
        <f t="shared" si="21"/>
        <v>#DIV/0!</v>
      </c>
      <c r="U49" s="24"/>
      <c r="V49" s="24"/>
      <c r="W49" s="97"/>
      <c r="X49" s="97"/>
      <c r="Y49" s="97"/>
      <c r="Z49" s="97"/>
      <c r="AA49" s="97"/>
      <c r="AB49" s="97"/>
      <c r="AC49" s="97"/>
      <c r="AD49" s="97"/>
      <c r="AE49" s="97"/>
    </row>
    <row r="50" spans="2:31" x14ac:dyDescent="0.45">
      <c r="B50" s="131">
        <v>3507432190</v>
      </c>
      <c r="C50" s="111" t="s">
        <v>232</v>
      </c>
      <c r="D50" s="103">
        <v>150</v>
      </c>
      <c r="E50" s="103">
        <v>84</v>
      </c>
      <c r="F50" s="237">
        <f>'c311'!E50</f>
        <v>0</v>
      </c>
      <c r="G50" s="60">
        <f t="shared" si="11"/>
        <v>0</v>
      </c>
      <c r="H50" s="60">
        <f>30*BC!$B$47/E50</f>
        <v>0</v>
      </c>
      <c r="I50" s="60">
        <f t="shared" si="12"/>
        <v>0</v>
      </c>
      <c r="J50" s="60">
        <f t="shared" si="13"/>
        <v>0</v>
      </c>
      <c r="K50" s="58">
        <f t="shared" si="14"/>
        <v>0</v>
      </c>
      <c r="L50" s="210">
        <v>360</v>
      </c>
      <c r="M50" s="148">
        <f t="shared" si="15"/>
        <v>0</v>
      </c>
      <c r="N50" s="91" t="e">
        <f t="shared" si="16"/>
        <v>#DIV/0!</v>
      </c>
      <c r="O50" s="148" t="e">
        <f t="shared" si="17"/>
        <v>#DIV/0!</v>
      </c>
      <c r="P50" s="148">
        <f t="shared" si="18"/>
        <v>2.4</v>
      </c>
      <c r="Q50" s="800" t="e">
        <f>P50+$M$137+((BC!$F$125)/$F$74)</f>
        <v>#DIV/0!</v>
      </c>
      <c r="R50" s="222" t="e">
        <f t="shared" si="19"/>
        <v>#DIV/0!</v>
      </c>
      <c r="S50" s="223" t="e">
        <f t="shared" si="20"/>
        <v>#DIV/0!</v>
      </c>
      <c r="T50" s="223" t="e">
        <f t="shared" si="21"/>
        <v>#DIV/0!</v>
      </c>
      <c r="U50" s="24"/>
      <c r="V50" s="24"/>
      <c r="W50" s="97"/>
      <c r="X50" s="97"/>
      <c r="Y50" s="97"/>
      <c r="Z50" s="97"/>
      <c r="AA50" s="97"/>
      <c r="AB50" s="97"/>
      <c r="AC50" s="97"/>
      <c r="AD50" s="97"/>
      <c r="AE50" s="97"/>
    </row>
    <row r="51" spans="2:31" x14ac:dyDescent="0.45">
      <c r="B51" s="131">
        <v>3507190190</v>
      </c>
      <c r="C51" s="111" t="s">
        <v>233</v>
      </c>
      <c r="D51" s="103">
        <v>150</v>
      </c>
      <c r="E51" s="103">
        <v>84</v>
      </c>
      <c r="F51" s="237">
        <f>'c311'!E51</f>
        <v>0</v>
      </c>
      <c r="G51" s="60">
        <f t="shared" si="11"/>
        <v>0</v>
      </c>
      <c r="H51" s="60">
        <f>30*BC!$B$47/E51</f>
        <v>0</v>
      </c>
      <c r="I51" s="60">
        <f t="shared" si="12"/>
        <v>0</v>
      </c>
      <c r="J51" s="60">
        <f t="shared" si="13"/>
        <v>0</v>
      </c>
      <c r="K51" s="58">
        <f t="shared" si="14"/>
        <v>0</v>
      </c>
      <c r="L51" s="210">
        <v>360</v>
      </c>
      <c r="M51" s="148">
        <f t="shared" si="15"/>
        <v>0</v>
      </c>
      <c r="N51" s="91" t="e">
        <f t="shared" si="16"/>
        <v>#DIV/0!</v>
      </c>
      <c r="O51" s="148" t="e">
        <f t="shared" si="17"/>
        <v>#DIV/0!</v>
      </c>
      <c r="P51" s="148">
        <f t="shared" si="18"/>
        <v>2.4</v>
      </c>
      <c r="Q51" s="800" t="e">
        <f>P51+$M$137+((BC!$F$125)/$F$74)</f>
        <v>#DIV/0!</v>
      </c>
      <c r="R51" s="222" t="e">
        <f t="shared" si="19"/>
        <v>#DIV/0!</v>
      </c>
      <c r="S51" s="223" t="e">
        <f t="shared" si="20"/>
        <v>#DIV/0!</v>
      </c>
      <c r="T51" s="223" t="e">
        <f t="shared" si="21"/>
        <v>#DIV/0!</v>
      </c>
      <c r="U51" s="24"/>
      <c r="V51" s="24"/>
      <c r="W51" s="97"/>
      <c r="X51" s="97"/>
      <c r="Y51" s="97"/>
      <c r="Z51" s="97"/>
      <c r="AA51" s="97"/>
      <c r="AB51" s="97"/>
      <c r="AC51" s="97"/>
      <c r="AD51" s="97"/>
      <c r="AE51" s="97"/>
    </row>
    <row r="52" spans="2:31" x14ac:dyDescent="0.45">
      <c r="B52" s="131">
        <v>3183696122</v>
      </c>
      <c r="C52" s="112" t="s">
        <v>234</v>
      </c>
      <c r="D52" s="103">
        <v>200</v>
      </c>
      <c r="E52" s="103">
        <v>42</v>
      </c>
      <c r="F52" s="237">
        <f>'c311'!E52</f>
        <v>0</v>
      </c>
      <c r="G52" s="60">
        <f t="shared" si="11"/>
        <v>0</v>
      </c>
      <c r="H52" s="60">
        <f>30*BC!$B$47/E52</f>
        <v>0</v>
      </c>
      <c r="I52" s="60">
        <f t="shared" si="12"/>
        <v>0</v>
      </c>
      <c r="J52" s="60">
        <f t="shared" si="13"/>
        <v>0</v>
      </c>
      <c r="K52" s="58">
        <f t="shared" si="14"/>
        <v>0</v>
      </c>
      <c r="L52" s="210">
        <v>78</v>
      </c>
      <c r="M52" s="148">
        <f t="shared" si="15"/>
        <v>0</v>
      </c>
      <c r="N52" s="91" t="e">
        <f t="shared" si="16"/>
        <v>#DIV/0!</v>
      </c>
      <c r="O52" s="148" t="e">
        <f t="shared" si="17"/>
        <v>#DIV/0!</v>
      </c>
      <c r="P52" s="148">
        <f t="shared" si="18"/>
        <v>0.39</v>
      </c>
      <c r="Q52" s="800" t="e">
        <f>P52+$M$137+((BC!$F$125)/$F$74)</f>
        <v>#DIV/0!</v>
      </c>
      <c r="R52" s="222" t="e">
        <f t="shared" si="19"/>
        <v>#DIV/0!</v>
      </c>
      <c r="S52" s="223" t="e">
        <f t="shared" si="20"/>
        <v>#DIV/0!</v>
      </c>
      <c r="T52" s="223" t="e">
        <f t="shared" si="21"/>
        <v>#DIV/0!</v>
      </c>
      <c r="U52" s="24"/>
      <c r="V52" s="24"/>
      <c r="W52" s="97"/>
      <c r="X52" s="97"/>
      <c r="Y52" s="97"/>
      <c r="Z52" s="97"/>
      <c r="AA52" s="97"/>
      <c r="AB52" s="97"/>
      <c r="AC52" s="97"/>
      <c r="AD52" s="97"/>
      <c r="AE52" s="97"/>
    </row>
    <row r="53" spans="2:31" x14ac:dyDescent="0.45">
      <c r="B53" s="131">
        <v>6749976190</v>
      </c>
      <c r="C53" s="111" t="s">
        <v>235</v>
      </c>
      <c r="D53" s="103">
        <v>100</v>
      </c>
      <c r="E53" s="103">
        <v>84</v>
      </c>
      <c r="F53" s="237">
        <f>'c311'!E53</f>
        <v>0</v>
      </c>
      <c r="G53" s="60">
        <f t="shared" si="11"/>
        <v>0</v>
      </c>
      <c r="H53" s="60">
        <f>30*BC!$B$47/E53</f>
        <v>0</v>
      </c>
      <c r="I53" s="60">
        <f t="shared" si="12"/>
        <v>0</v>
      </c>
      <c r="J53" s="60">
        <f t="shared" si="13"/>
        <v>0</v>
      </c>
      <c r="K53" s="58">
        <f t="shared" si="14"/>
        <v>0</v>
      </c>
      <c r="L53" s="210">
        <v>474</v>
      </c>
      <c r="M53" s="148">
        <f t="shared" si="15"/>
        <v>0</v>
      </c>
      <c r="N53" s="91" t="e">
        <f t="shared" si="16"/>
        <v>#DIV/0!</v>
      </c>
      <c r="O53" s="148" t="e">
        <f t="shared" si="17"/>
        <v>#DIV/0!</v>
      </c>
      <c r="P53" s="148">
        <f t="shared" si="18"/>
        <v>4.74</v>
      </c>
      <c r="Q53" s="800" t="e">
        <f>P53+$M$137+((BC!$F$125)/$F$74)</f>
        <v>#DIV/0!</v>
      </c>
      <c r="R53" s="222" t="e">
        <f t="shared" si="19"/>
        <v>#DIV/0!</v>
      </c>
      <c r="S53" s="223" t="e">
        <f t="shared" si="20"/>
        <v>#DIV/0!</v>
      </c>
      <c r="T53" s="223" t="e">
        <f t="shared" si="21"/>
        <v>#DIV/0!</v>
      </c>
      <c r="U53" s="24"/>
      <c r="V53" s="24"/>
      <c r="W53" s="97"/>
      <c r="X53" s="97"/>
      <c r="Y53" s="97"/>
      <c r="Z53" s="97"/>
      <c r="AA53" s="97"/>
      <c r="AB53" s="97"/>
      <c r="AC53" s="97"/>
      <c r="AD53" s="97"/>
      <c r="AE53" s="97"/>
    </row>
    <row r="54" spans="2:31" x14ac:dyDescent="0.45">
      <c r="B54" s="131">
        <v>3183700190</v>
      </c>
      <c r="C54" s="112" t="s">
        <v>236</v>
      </c>
      <c r="D54" s="103">
        <v>100</v>
      </c>
      <c r="E54" s="103">
        <v>84</v>
      </c>
      <c r="F54" s="237">
        <f>'c311'!E54</f>
        <v>0</v>
      </c>
      <c r="G54" s="60">
        <f t="shared" si="11"/>
        <v>0</v>
      </c>
      <c r="H54" s="60">
        <f>30*BC!$B$47/E54</f>
        <v>0</v>
      </c>
      <c r="I54" s="60">
        <f t="shared" si="12"/>
        <v>0</v>
      </c>
      <c r="J54" s="60">
        <f t="shared" si="13"/>
        <v>0</v>
      </c>
      <c r="K54" s="58">
        <f t="shared" si="14"/>
        <v>0</v>
      </c>
      <c r="L54" s="210">
        <v>152</v>
      </c>
      <c r="M54" s="148">
        <f t="shared" si="15"/>
        <v>0</v>
      </c>
      <c r="N54" s="91" t="e">
        <f t="shared" si="16"/>
        <v>#DIV/0!</v>
      </c>
      <c r="O54" s="148" t="e">
        <f t="shared" si="17"/>
        <v>#DIV/0!</v>
      </c>
      <c r="P54" s="148">
        <f t="shared" si="18"/>
        <v>1.52</v>
      </c>
      <c r="Q54" s="800" t="e">
        <f>P54+$M$137+((BC!$F$125)/$F$74)</f>
        <v>#DIV/0!</v>
      </c>
      <c r="R54" s="222" t="e">
        <f t="shared" si="19"/>
        <v>#DIV/0!</v>
      </c>
      <c r="S54" s="223" t="e">
        <f t="shared" si="20"/>
        <v>#DIV/0!</v>
      </c>
      <c r="T54" s="223" t="e">
        <f t="shared" si="21"/>
        <v>#DIV/0!</v>
      </c>
      <c r="U54" s="24"/>
      <c r="V54" s="24"/>
      <c r="W54" s="97"/>
      <c r="X54" s="97"/>
      <c r="Y54" s="97"/>
      <c r="Z54" s="97"/>
      <c r="AA54" s="97"/>
      <c r="AB54" s="97"/>
      <c r="AC54" s="97"/>
      <c r="AD54" s="97"/>
      <c r="AE54" s="97"/>
    </row>
    <row r="55" spans="2:31" x14ac:dyDescent="0.45">
      <c r="B55" s="131">
        <v>6749992190</v>
      </c>
      <c r="C55" s="111" t="s">
        <v>237</v>
      </c>
      <c r="D55" s="103">
        <v>100</v>
      </c>
      <c r="E55" s="103">
        <v>84</v>
      </c>
      <c r="F55" s="237">
        <f>'c311'!E55</f>
        <v>0</v>
      </c>
      <c r="G55" s="60">
        <f t="shared" si="11"/>
        <v>0</v>
      </c>
      <c r="H55" s="60">
        <f>30*BC!$B$47/E55</f>
        <v>0</v>
      </c>
      <c r="I55" s="60">
        <f t="shared" si="12"/>
        <v>0</v>
      </c>
      <c r="J55" s="60">
        <f t="shared" si="13"/>
        <v>0</v>
      </c>
      <c r="K55" s="58">
        <f t="shared" si="14"/>
        <v>0</v>
      </c>
      <c r="L55" s="210">
        <v>706</v>
      </c>
      <c r="M55" s="148">
        <f t="shared" si="15"/>
        <v>0</v>
      </c>
      <c r="N55" s="91" t="e">
        <f t="shared" si="16"/>
        <v>#DIV/0!</v>
      </c>
      <c r="O55" s="148" t="e">
        <f t="shared" si="17"/>
        <v>#DIV/0!</v>
      </c>
      <c r="P55" s="148">
        <f t="shared" si="18"/>
        <v>7.06</v>
      </c>
      <c r="Q55" s="800" t="e">
        <f>P55+$M$137+((BC!$F$125)/$F$74)</f>
        <v>#DIV/0!</v>
      </c>
      <c r="R55" s="222" t="e">
        <f t="shared" si="19"/>
        <v>#DIV/0!</v>
      </c>
      <c r="S55" s="223" t="e">
        <f t="shared" si="20"/>
        <v>#DIV/0!</v>
      </c>
      <c r="T55" s="223" t="e">
        <f t="shared" si="21"/>
        <v>#DIV/0!</v>
      </c>
      <c r="U55" s="24"/>
      <c r="V55" s="24"/>
      <c r="W55" s="97"/>
      <c r="X55" s="97"/>
      <c r="Y55" s="97"/>
      <c r="Z55" s="97"/>
      <c r="AA55" s="97"/>
      <c r="AB55" s="97"/>
      <c r="AC55" s="97"/>
      <c r="AD55" s="97"/>
      <c r="AE55" s="97"/>
    </row>
    <row r="56" spans="2:31" x14ac:dyDescent="0.45">
      <c r="B56" s="131">
        <v>3004732122</v>
      </c>
      <c r="C56" s="112" t="s">
        <v>238</v>
      </c>
      <c r="D56" s="103">
        <v>300</v>
      </c>
      <c r="E56" s="103">
        <v>84</v>
      </c>
      <c r="F56" s="237">
        <f>'c311'!E56</f>
        <v>0</v>
      </c>
      <c r="G56" s="60">
        <f t="shared" si="11"/>
        <v>0</v>
      </c>
      <c r="H56" s="60">
        <f>30*BC!$B$47/E56</f>
        <v>0</v>
      </c>
      <c r="I56" s="60">
        <f t="shared" si="12"/>
        <v>0</v>
      </c>
      <c r="J56" s="60">
        <f t="shared" si="13"/>
        <v>0</v>
      </c>
      <c r="K56" s="58">
        <f t="shared" si="14"/>
        <v>0</v>
      </c>
      <c r="L56" s="210">
        <v>114</v>
      </c>
      <c r="M56" s="148">
        <f t="shared" si="15"/>
        <v>0</v>
      </c>
      <c r="N56" s="91" t="e">
        <f t="shared" si="16"/>
        <v>#DIV/0!</v>
      </c>
      <c r="O56" s="148" t="e">
        <f t="shared" si="17"/>
        <v>#DIV/0!</v>
      </c>
      <c r="P56" s="148">
        <f t="shared" si="18"/>
        <v>0.38</v>
      </c>
      <c r="Q56" s="800" t="e">
        <f>P56+$M$137+((BC!$F$125)/$F$74)</f>
        <v>#DIV/0!</v>
      </c>
      <c r="R56" s="222" t="e">
        <f t="shared" si="19"/>
        <v>#DIV/0!</v>
      </c>
      <c r="S56" s="223" t="e">
        <f t="shared" si="20"/>
        <v>#DIV/0!</v>
      </c>
      <c r="T56" s="223" t="e">
        <f t="shared" si="21"/>
        <v>#DIV/0!</v>
      </c>
      <c r="U56" s="24"/>
      <c r="V56" s="24"/>
      <c r="W56" s="97"/>
      <c r="X56" s="97"/>
      <c r="Y56" s="97"/>
      <c r="Z56" s="97"/>
      <c r="AA56" s="97"/>
      <c r="AB56" s="97"/>
      <c r="AC56" s="97"/>
      <c r="AD56" s="97"/>
      <c r="AE56" s="97"/>
    </row>
    <row r="57" spans="2:31" x14ac:dyDescent="0.45">
      <c r="B57" s="131">
        <v>7005717190</v>
      </c>
      <c r="C57" s="113" t="s">
        <v>239</v>
      </c>
      <c r="D57" s="103">
        <v>200</v>
      </c>
      <c r="E57" s="103">
        <v>84</v>
      </c>
      <c r="F57" s="237">
        <f>'c311'!E57</f>
        <v>0</v>
      </c>
      <c r="G57" s="60">
        <f t="shared" si="11"/>
        <v>0</v>
      </c>
      <c r="H57" s="60">
        <f>30*BC!$B$47/E57</f>
        <v>0</v>
      </c>
      <c r="I57" s="60">
        <f t="shared" si="12"/>
        <v>0</v>
      </c>
      <c r="J57" s="60">
        <f t="shared" si="13"/>
        <v>0</v>
      </c>
      <c r="K57" s="58">
        <f t="shared" si="14"/>
        <v>0</v>
      </c>
      <c r="L57" s="210">
        <v>308</v>
      </c>
      <c r="M57" s="148">
        <f t="shared" si="15"/>
        <v>0</v>
      </c>
      <c r="N57" s="91" t="e">
        <f t="shared" si="16"/>
        <v>#DIV/0!</v>
      </c>
      <c r="O57" s="148" t="e">
        <f t="shared" si="17"/>
        <v>#DIV/0!</v>
      </c>
      <c r="P57" s="148">
        <f t="shared" si="18"/>
        <v>1.54</v>
      </c>
      <c r="Q57" s="800" t="e">
        <f>P57+$M$137+((BC!$F$125)/$F$74)</f>
        <v>#DIV/0!</v>
      </c>
      <c r="R57" s="222" t="e">
        <f t="shared" si="19"/>
        <v>#DIV/0!</v>
      </c>
      <c r="S57" s="223" t="e">
        <f t="shared" si="20"/>
        <v>#DIV/0!</v>
      </c>
      <c r="T57" s="223" t="e">
        <f t="shared" si="21"/>
        <v>#DIV/0!</v>
      </c>
      <c r="U57" s="24"/>
      <c r="V57" s="24"/>
      <c r="W57" s="97"/>
      <c r="X57" s="97"/>
      <c r="Y57" s="97"/>
      <c r="Z57" s="97"/>
      <c r="AA57" s="97"/>
      <c r="AB57" s="97"/>
      <c r="AC57" s="97"/>
      <c r="AD57" s="97"/>
      <c r="AE57" s="97"/>
    </row>
    <row r="58" spans="2:31" x14ac:dyDescent="0.45">
      <c r="B58" s="131">
        <v>3029590322</v>
      </c>
      <c r="C58" s="112" t="s">
        <v>240</v>
      </c>
      <c r="D58" s="103">
        <v>200</v>
      </c>
      <c r="E58" s="103">
        <v>28</v>
      </c>
      <c r="F58" s="237">
        <f>'c311'!E58</f>
        <v>0</v>
      </c>
      <c r="G58" s="60">
        <f t="shared" si="11"/>
        <v>0</v>
      </c>
      <c r="H58" s="60">
        <f>30*BC!$B$47/E58</f>
        <v>0</v>
      </c>
      <c r="I58" s="60">
        <f t="shared" si="12"/>
        <v>0</v>
      </c>
      <c r="J58" s="60">
        <f t="shared" si="13"/>
        <v>0</v>
      </c>
      <c r="K58" s="58">
        <f t="shared" si="14"/>
        <v>0</v>
      </c>
      <c r="L58" s="210">
        <v>190</v>
      </c>
      <c r="M58" s="148">
        <f t="shared" si="15"/>
        <v>0</v>
      </c>
      <c r="N58" s="91" t="e">
        <f t="shared" si="16"/>
        <v>#DIV/0!</v>
      </c>
      <c r="O58" s="148" t="e">
        <f t="shared" si="17"/>
        <v>#DIV/0!</v>
      </c>
      <c r="P58" s="148">
        <f t="shared" si="18"/>
        <v>0.95</v>
      </c>
      <c r="Q58" s="800" t="e">
        <f>P58+$M$137+((BC!$F$125)/$F$74)</f>
        <v>#DIV/0!</v>
      </c>
      <c r="R58" s="222" t="e">
        <f t="shared" si="19"/>
        <v>#DIV/0!</v>
      </c>
      <c r="S58" s="223" t="e">
        <f t="shared" si="20"/>
        <v>#DIV/0!</v>
      </c>
      <c r="T58" s="223" t="e">
        <f t="shared" si="21"/>
        <v>#DIV/0!</v>
      </c>
      <c r="U58" s="24"/>
      <c r="V58" s="24"/>
      <c r="W58" s="97"/>
      <c r="X58" s="97"/>
      <c r="Y58" s="97"/>
      <c r="Z58" s="97"/>
      <c r="AA58" s="97"/>
      <c r="AB58" s="97"/>
      <c r="AC58" s="97"/>
      <c r="AD58" s="97"/>
      <c r="AE58" s="97"/>
    </row>
    <row r="59" spans="2:31" x14ac:dyDescent="0.45">
      <c r="B59" s="140">
        <v>5852625190</v>
      </c>
      <c r="C59" s="125" t="s">
        <v>241</v>
      </c>
      <c r="D59" s="103">
        <v>150</v>
      </c>
      <c r="E59" s="103">
        <v>42</v>
      </c>
      <c r="F59" s="237">
        <f>'c311'!E59</f>
        <v>0</v>
      </c>
      <c r="G59" s="60">
        <f t="shared" si="11"/>
        <v>0</v>
      </c>
      <c r="H59" s="60">
        <f>30*BC!$B$47/E59</f>
        <v>0</v>
      </c>
      <c r="I59" s="60">
        <f t="shared" si="12"/>
        <v>0</v>
      </c>
      <c r="J59" s="60">
        <f t="shared" si="13"/>
        <v>0</v>
      </c>
      <c r="K59" s="58">
        <f t="shared" si="14"/>
        <v>0</v>
      </c>
      <c r="L59" s="210">
        <v>1479</v>
      </c>
      <c r="M59" s="148">
        <f t="shared" si="15"/>
        <v>0</v>
      </c>
      <c r="N59" s="91" t="e">
        <f t="shared" si="16"/>
        <v>#DIV/0!</v>
      </c>
      <c r="O59" s="148" t="e">
        <f t="shared" si="17"/>
        <v>#DIV/0!</v>
      </c>
      <c r="P59" s="148">
        <f t="shared" si="18"/>
        <v>9.86</v>
      </c>
      <c r="Q59" s="800" t="e">
        <f>P59+$M$137+((BC!$F$125)/$F$74)</f>
        <v>#DIV/0!</v>
      </c>
      <c r="R59" s="222" t="e">
        <f t="shared" si="19"/>
        <v>#DIV/0!</v>
      </c>
      <c r="S59" s="223" t="e">
        <f t="shared" si="20"/>
        <v>#DIV/0!</v>
      </c>
      <c r="T59" s="223" t="e">
        <f t="shared" si="21"/>
        <v>#DIV/0!</v>
      </c>
      <c r="U59" s="24"/>
      <c r="V59" s="24"/>
      <c r="W59" s="97"/>
      <c r="X59" s="97"/>
      <c r="Y59" s="97"/>
      <c r="Z59" s="97"/>
      <c r="AA59" s="97"/>
      <c r="AB59" s="97"/>
      <c r="AC59" s="97"/>
      <c r="AD59" s="97"/>
      <c r="AE59" s="97"/>
    </row>
    <row r="60" spans="2:31" x14ac:dyDescent="0.45">
      <c r="B60" s="141">
        <v>6481647190</v>
      </c>
      <c r="C60" s="126" t="s">
        <v>242</v>
      </c>
      <c r="D60" s="103">
        <v>250</v>
      </c>
      <c r="E60" s="103">
        <v>84</v>
      </c>
      <c r="F60" s="237">
        <f>'c311'!E60</f>
        <v>0</v>
      </c>
      <c r="G60" s="60">
        <f t="shared" si="11"/>
        <v>0</v>
      </c>
      <c r="H60" s="60">
        <f>30*BC!$B$47/E60</f>
        <v>0</v>
      </c>
      <c r="I60" s="60">
        <f t="shared" si="12"/>
        <v>0</v>
      </c>
      <c r="J60" s="60">
        <f t="shared" si="13"/>
        <v>0</v>
      </c>
      <c r="K60" s="58">
        <f t="shared" si="14"/>
        <v>0</v>
      </c>
      <c r="L60" s="210">
        <v>165</v>
      </c>
      <c r="M60" s="148">
        <f t="shared" si="15"/>
        <v>0</v>
      </c>
      <c r="N60" s="91" t="e">
        <f t="shared" si="16"/>
        <v>#DIV/0!</v>
      </c>
      <c r="O60" s="148" t="e">
        <f t="shared" si="17"/>
        <v>#DIV/0!</v>
      </c>
      <c r="P60" s="148">
        <f t="shared" si="18"/>
        <v>0.66</v>
      </c>
      <c r="Q60" s="800" t="e">
        <f>P60+$M$137+((BC!$F$125)/$F$74)</f>
        <v>#DIV/0!</v>
      </c>
      <c r="R60" s="222" t="e">
        <f t="shared" si="19"/>
        <v>#DIV/0!</v>
      </c>
      <c r="S60" s="223" t="e">
        <f t="shared" si="20"/>
        <v>#DIV/0!</v>
      </c>
      <c r="T60" s="223" t="e">
        <f t="shared" si="21"/>
        <v>#DIV/0!</v>
      </c>
      <c r="U60" s="24"/>
      <c r="V60" s="24"/>
      <c r="W60" s="97"/>
      <c r="X60" s="97"/>
      <c r="Y60" s="97"/>
      <c r="Z60" s="97"/>
      <c r="AA60" s="97"/>
      <c r="AB60" s="97"/>
      <c r="AC60" s="97"/>
      <c r="AD60" s="97"/>
      <c r="AE60" s="97"/>
    </row>
    <row r="61" spans="2:31" x14ac:dyDescent="0.45">
      <c r="B61" s="142">
        <v>7229593190</v>
      </c>
      <c r="C61" s="109" t="s">
        <v>312</v>
      </c>
      <c r="D61" s="103">
        <v>150</v>
      </c>
      <c r="E61" s="103">
        <v>56</v>
      </c>
      <c r="F61" s="237">
        <f>'c311'!E61</f>
        <v>0</v>
      </c>
      <c r="G61" s="60">
        <f t="shared" si="11"/>
        <v>0</v>
      </c>
      <c r="H61" s="60">
        <f>30*BC!$B$47/E61</f>
        <v>0</v>
      </c>
      <c r="I61" s="60">
        <f t="shared" si="12"/>
        <v>0</v>
      </c>
      <c r="J61" s="60">
        <f t="shared" si="13"/>
        <v>0</v>
      </c>
      <c r="K61" s="58">
        <f t="shared" si="14"/>
        <v>0</v>
      </c>
      <c r="L61" s="210">
        <v>348</v>
      </c>
      <c r="M61" s="148">
        <f t="shared" si="15"/>
        <v>0</v>
      </c>
      <c r="N61" s="91" t="e">
        <f t="shared" si="16"/>
        <v>#DIV/0!</v>
      </c>
      <c r="O61" s="148" t="e">
        <f t="shared" si="17"/>
        <v>#DIV/0!</v>
      </c>
      <c r="P61" s="148">
        <f t="shared" si="18"/>
        <v>2.3199999999999998</v>
      </c>
      <c r="Q61" s="800" t="e">
        <f>P61+$M$137+((BC!$F$125)/$F$74)</f>
        <v>#DIV/0!</v>
      </c>
      <c r="R61" s="222" t="e">
        <f t="shared" si="19"/>
        <v>#DIV/0!</v>
      </c>
      <c r="S61" s="223" t="e">
        <f t="shared" si="20"/>
        <v>#DIV/0!</v>
      </c>
      <c r="T61" s="223" t="e">
        <f t="shared" si="21"/>
        <v>#DIV/0!</v>
      </c>
      <c r="U61" s="24"/>
      <c r="V61" s="24"/>
      <c r="W61" s="97"/>
      <c r="X61" s="97"/>
      <c r="Y61" s="97"/>
      <c r="Z61" s="97"/>
      <c r="AA61" s="97"/>
      <c r="AB61" s="97"/>
      <c r="AC61" s="97"/>
      <c r="AD61" s="97"/>
      <c r="AE61" s="97"/>
    </row>
    <row r="62" spans="2:31" x14ac:dyDescent="0.45">
      <c r="B62" s="141">
        <v>3183793122</v>
      </c>
      <c r="C62" s="126" t="s">
        <v>243</v>
      </c>
      <c r="D62" s="103">
        <v>250</v>
      </c>
      <c r="E62" s="103">
        <v>84</v>
      </c>
      <c r="F62" s="237">
        <f>'c311'!E62</f>
        <v>0</v>
      </c>
      <c r="G62" s="60">
        <f t="shared" si="11"/>
        <v>0</v>
      </c>
      <c r="H62" s="60">
        <f>30*BC!$B$47/E62</f>
        <v>0</v>
      </c>
      <c r="I62" s="60">
        <f t="shared" si="12"/>
        <v>0</v>
      </c>
      <c r="J62" s="60">
        <f t="shared" si="13"/>
        <v>0</v>
      </c>
      <c r="K62" s="58">
        <f t="shared" si="14"/>
        <v>0</v>
      </c>
      <c r="L62" s="210">
        <v>68</v>
      </c>
      <c r="M62" s="148">
        <f t="shared" si="15"/>
        <v>0</v>
      </c>
      <c r="N62" s="91" t="e">
        <f t="shared" si="16"/>
        <v>#DIV/0!</v>
      </c>
      <c r="O62" s="148" t="e">
        <f t="shared" si="17"/>
        <v>#DIV/0!</v>
      </c>
      <c r="P62" s="148">
        <f t="shared" si="18"/>
        <v>0.27200000000000002</v>
      </c>
      <c r="Q62" s="800" t="e">
        <f>P62+$M$137+((BC!$F$125)/$F$74)</f>
        <v>#DIV/0!</v>
      </c>
      <c r="R62" s="222" t="e">
        <f t="shared" si="19"/>
        <v>#DIV/0!</v>
      </c>
      <c r="S62" s="223" t="e">
        <f t="shared" si="20"/>
        <v>#DIV/0!</v>
      </c>
      <c r="T62" s="223" t="e">
        <f t="shared" si="21"/>
        <v>#DIV/0!</v>
      </c>
      <c r="U62" s="24"/>
      <c r="V62" s="24"/>
      <c r="W62" s="97"/>
      <c r="X62" s="97"/>
      <c r="Y62" s="97"/>
      <c r="Z62" s="97"/>
      <c r="AA62" s="97"/>
      <c r="AB62" s="97"/>
      <c r="AC62" s="97"/>
      <c r="AD62" s="97"/>
      <c r="AE62" s="97"/>
    </row>
    <row r="63" spans="2:31" x14ac:dyDescent="0.45">
      <c r="B63" s="141">
        <v>20764655322</v>
      </c>
      <c r="C63" s="114" t="s">
        <v>244</v>
      </c>
      <c r="D63" s="103">
        <v>100</v>
      </c>
      <c r="E63" s="103">
        <v>56</v>
      </c>
      <c r="F63" s="237">
        <f>'c311'!E63</f>
        <v>0</v>
      </c>
      <c r="G63" s="60">
        <f t="shared" si="11"/>
        <v>0</v>
      </c>
      <c r="H63" s="60">
        <f>30*BC!$B$47/E63</f>
        <v>0</v>
      </c>
      <c r="I63" s="60">
        <f t="shared" si="12"/>
        <v>0</v>
      </c>
      <c r="J63" s="60">
        <f t="shared" si="13"/>
        <v>0</v>
      </c>
      <c r="K63" s="58">
        <f t="shared" si="14"/>
        <v>0</v>
      </c>
      <c r="L63" s="210">
        <v>465</v>
      </c>
      <c r="M63" s="148">
        <f t="shared" si="15"/>
        <v>0</v>
      </c>
      <c r="N63" s="91" t="e">
        <f t="shared" si="16"/>
        <v>#DIV/0!</v>
      </c>
      <c r="O63" s="148" t="e">
        <f t="shared" si="17"/>
        <v>#DIV/0!</v>
      </c>
      <c r="P63" s="148">
        <f t="shared" si="18"/>
        <v>4.6500000000000004</v>
      </c>
      <c r="Q63" s="800" t="e">
        <f>P63+$M$137+((BC!$F$125)/$F$74)</f>
        <v>#DIV/0!</v>
      </c>
      <c r="R63" s="222" t="e">
        <f t="shared" si="19"/>
        <v>#DIV/0!</v>
      </c>
      <c r="S63" s="223" t="e">
        <f t="shared" si="20"/>
        <v>#DIV/0!</v>
      </c>
      <c r="T63" s="223" t="e">
        <f t="shared" si="21"/>
        <v>#DIV/0!</v>
      </c>
      <c r="U63" s="24"/>
      <c r="V63" s="24"/>
      <c r="W63" s="97"/>
      <c r="X63" s="97"/>
      <c r="Y63" s="97"/>
      <c r="Z63" s="97"/>
      <c r="AA63" s="97"/>
      <c r="AB63" s="97"/>
      <c r="AC63" s="97"/>
      <c r="AD63" s="97"/>
      <c r="AE63" s="97"/>
    </row>
    <row r="64" spans="2:31" x14ac:dyDescent="0.45">
      <c r="B64" s="143">
        <v>20764574322</v>
      </c>
      <c r="C64" s="127" t="s">
        <v>245</v>
      </c>
      <c r="D64" s="103">
        <v>100</v>
      </c>
      <c r="E64" s="103">
        <v>56</v>
      </c>
      <c r="F64" s="237">
        <f>'c311'!E64</f>
        <v>0</v>
      </c>
      <c r="G64" s="60">
        <f t="shared" si="11"/>
        <v>0</v>
      </c>
      <c r="H64" s="60">
        <f>30*BC!$B$47/E64</f>
        <v>0</v>
      </c>
      <c r="I64" s="60">
        <f t="shared" si="12"/>
        <v>0</v>
      </c>
      <c r="J64" s="60">
        <f t="shared" si="13"/>
        <v>0</v>
      </c>
      <c r="K64" s="58">
        <f t="shared" si="14"/>
        <v>0</v>
      </c>
      <c r="L64" s="210">
        <v>311</v>
      </c>
      <c r="M64" s="148">
        <f t="shared" si="15"/>
        <v>0</v>
      </c>
      <c r="N64" s="91" t="e">
        <f t="shared" si="16"/>
        <v>#DIV/0!</v>
      </c>
      <c r="O64" s="148" t="e">
        <f t="shared" si="17"/>
        <v>#DIV/0!</v>
      </c>
      <c r="P64" s="148">
        <f t="shared" si="18"/>
        <v>3.11</v>
      </c>
      <c r="Q64" s="800" t="e">
        <f>P64+$M$137+((BC!$F$125)/$F$74)</f>
        <v>#DIV/0!</v>
      </c>
      <c r="R64" s="222" t="e">
        <f t="shared" si="19"/>
        <v>#DIV/0!</v>
      </c>
      <c r="S64" s="223" t="e">
        <f t="shared" si="20"/>
        <v>#DIV/0!</v>
      </c>
      <c r="T64" s="223" t="e">
        <f t="shared" si="21"/>
        <v>#DIV/0!</v>
      </c>
      <c r="U64" s="24"/>
      <c r="V64" s="24"/>
      <c r="W64" s="97"/>
      <c r="X64" s="97"/>
      <c r="Y64" s="97"/>
      <c r="Z64" s="97"/>
      <c r="AA64" s="97"/>
      <c r="AB64" s="97"/>
      <c r="AC64" s="97"/>
      <c r="AD64" s="97"/>
      <c r="AE64" s="97"/>
    </row>
    <row r="65" spans="2:31" x14ac:dyDescent="0.45">
      <c r="B65" s="144">
        <v>7227841190</v>
      </c>
      <c r="C65" s="128" t="s">
        <v>246</v>
      </c>
      <c r="D65" s="103">
        <v>100</v>
      </c>
      <c r="E65" s="103">
        <v>182</v>
      </c>
      <c r="F65" s="237">
        <f>'c311'!E65</f>
        <v>0</v>
      </c>
      <c r="G65" s="60">
        <f t="shared" si="11"/>
        <v>0</v>
      </c>
      <c r="H65" s="60">
        <f>30*BC!$B$47/E65</f>
        <v>0</v>
      </c>
      <c r="I65" s="60">
        <f t="shared" si="12"/>
        <v>0</v>
      </c>
      <c r="J65" s="60">
        <f t="shared" si="13"/>
        <v>0</v>
      </c>
      <c r="K65" s="58">
        <f t="shared" si="14"/>
        <v>0</v>
      </c>
      <c r="L65" s="210">
        <v>445</v>
      </c>
      <c r="M65" s="148">
        <f t="shared" si="15"/>
        <v>0</v>
      </c>
      <c r="N65" s="91" t="e">
        <f t="shared" si="16"/>
        <v>#DIV/0!</v>
      </c>
      <c r="O65" s="148" t="e">
        <f t="shared" si="17"/>
        <v>#DIV/0!</v>
      </c>
      <c r="P65" s="148">
        <f t="shared" si="18"/>
        <v>4.45</v>
      </c>
      <c r="Q65" s="800" t="e">
        <f>P65+$M$137+((BC!$F$125)/$F$74)</f>
        <v>#DIV/0!</v>
      </c>
      <c r="R65" s="222" t="e">
        <f t="shared" si="19"/>
        <v>#DIV/0!</v>
      </c>
      <c r="S65" s="223" t="e">
        <f t="shared" si="20"/>
        <v>#DIV/0!</v>
      </c>
      <c r="T65" s="223" t="e">
        <f t="shared" si="21"/>
        <v>#DIV/0!</v>
      </c>
      <c r="U65" s="24"/>
      <c r="V65" s="24"/>
      <c r="W65" s="97"/>
      <c r="X65" s="97"/>
      <c r="Y65" s="97"/>
      <c r="Z65" s="97"/>
      <c r="AA65" s="97"/>
      <c r="AB65" s="97"/>
      <c r="AC65" s="97"/>
      <c r="AD65" s="97"/>
      <c r="AE65" s="97"/>
    </row>
    <row r="66" spans="2:31" x14ac:dyDescent="0.45">
      <c r="B66" s="134">
        <v>4491009190</v>
      </c>
      <c r="C66" s="118" t="s">
        <v>247</v>
      </c>
      <c r="D66" s="103">
        <v>200</v>
      </c>
      <c r="E66" s="103">
        <v>56</v>
      </c>
      <c r="F66" s="237">
        <f>'c311'!E66</f>
        <v>0</v>
      </c>
      <c r="G66" s="60">
        <f t="shared" si="11"/>
        <v>0</v>
      </c>
      <c r="H66" s="60">
        <f>30*BC!$B$47/E66</f>
        <v>0</v>
      </c>
      <c r="I66" s="60">
        <f t="shared" si="12"/>
        <v>0</v>
      </c>
      <c r="J66" s="60">
        <f t="shared" si="13"/>
        <v>0</v>
      </c>
      <c r="K66" s="58">
        <f t="shared" si="14"/>
        <v>0</v>
      </c>
      <c r="L66" s="210">
        <v>130</v>
      </c>
      <c r="M66" s="148">
        <f t="shared" si="15"/>
        <v>0</v>
      </c>
      <c r="N66" s="91" t="e">
        <f t="shared" si="16"/>
        <v>#DIV/0!</v>
      </c>
      <c r="O66" s="148" t="e">
        <f t="shared" si="17"/>
        <v>#DIV/0!</v>
      </c>
      <c r="P66" s="148">
        <f t="shared" si="18"/>
        <v>0.65</v>
      </c>
      <c r="Q66" s="800" t="e">
        <f>P66+$M$137+((BC!$F$125)/$F$74)</f>
        <v>#DIV/0!</v>
      </c>
      <c r="R66" s="222" t="e">
        <f t="shared" si="19"/>
        <v>#DIV/0!</v>
      </c>
      <c r="S66" s="223" t="e">
        <f t="shared" si="20"/>
        <v>#DIV/0!</v>
      </c>
      <c r="T66" s="223" t="e">
        <f t="shared" si="21"/>
        <v>#DIV/0!</v>
      </c>
      <c r="U66" s="24"/>
      <c r="V66" s="24"/>
      <c r="W66" s="97"/>
      <c r="X66" s="97"/>
      <c r="Y66" s="97"/>
      <c r="Z66" s="97"/>
      <c r="AA66" s="97"/>
      <c r="AB66" s="97"/>
      <c r="AC66" s="97"/>
      <c r="AD66" s="97"/>
      <c r="AE66" s="97"/>
    </row>
    <row r="67" spans="2:31" x14ac:dyDescent="0.45">
      <c r="B67" s="131">
        <v>3183734190</v>
      </c>
      <c r="C67" s="112" t="s">
        <v>248</v>
      </c>
      <c r="D67" s="103">
        <v>300</v>
      </c>
      <c r="E67" s="103">
        <v>28</v>
      </c>
      <c r="F67" s="237">
        <f>'c311'!E67</f>
        <v>0</v>
      </c>
      <c r="G67" s="60">
        <f t="shared" si="11"/>
        <v>0</v>
      </c>
      <c r="H67" s="60">
        <f>30*BC!$B$47/E67</f>
        <v>0</v>
      </c>
      <c r="I67" s="60">
        <f t="shared" si="12"/>
        <v>0</v>
      </c>
      <c r="J67" s="60">
        <f t="shared" si="13"/>
        <v>0</v>
      </c>
      <c r="K67" s="58">
        <f t="shared" si="14"/>
        <v>0</v>
      </c>
      <c r="L67" s="210">
        <v>57</v>
      </c>
      <c r="M67" s="148">
        <f t="shared" si="15"/>
        <v>0</v>
      </c>
      <c r="N67" s="91" t="e">
        <f t="shared" si="16"/>
        <v>#DIV/0!</v>
      </c>
      <c r="O67" s="148" t="e">
        <f t="shared" si="17"/>
        <v>#DIV/0!</v>
      </c>
      <c r="P67" s="148">
        <f t="shared" si="18"/>
        <v>0.19</v>
      </c>
      <c r="Q67" s="800" t="e">
        <f>P67+$M$137+((BC!$F$125)/$F$74)</f>
        <v>#DIV/0!</v>
      </c>
      <c r="R67" s="222" t="e">
        <f t="shared" si="19"/>
        <v>#DIV/0!</v>
      </c>
      <c r="S67" s="223" t="e">
        <f t="shared" si="20"/>
        <v>#DIV/0!</v>
      </c>
      <c r="T67" s="223" t="e">
        <f t="shared" si="21"/>
        <v>#DIV/0!</v>
      </c>
      <c r="U67" s="24"/>
      <c r="V67" s="24"/>
      <c r="W67" s="97"/>
      <c r="X67" s="97"/>
      <c r="Y67" s="97"/>
      <c r="Z67" s="97"/>
      <c r="AA67" s="97"/>
      <c r="AB67" s="97"/>
      <c r="AC67" s="97"/>
      <c r="AD67" s="97"/>
      <c r="AE67" s="97"/>
    </row>
    <row r="68" spans="2:31" x14ac:dyDescent="0.45">
      <c r="B68" s="130">
        <v>3333825190</v>
      </c>
      <c r="C68" s="110" t="s">
        <v>249</v>
      </c>
      <c r="D68" s="103">
        <v>150</v>
      </c>
      <c r="E68" s="103">
        <v>84</v>
      </c>
      <c r="F68" s="237">
        <f>'c311'!E68</f>
        <v>0</v>
      </c>
      <c r="G68" s="60">
        <f t="shared" si="11"/>
        <v>0</v>
      </c>
      <c r="H68" s="60">
        <f>30*BC!$B$47/E68</f>
        <v>0</v>
      </c>
      <c r="I68" s="60">
        <f t="shared" si="12"/>
        <v>0</v>
      </c>
      <c r="J68" s="60">
        <f t="shared" si="13"/>
        <v>0</v>
      </c>
      <c r="K68" s="58">
        <f t="shared" si="14"/>
        <v>0</v>
      </c>
      <c r="L68" s="210">
        <v>213</v>
      </c>
      <c r="M68" s="148">
        <f t="shared" si="15"/>
        <v>0</v>
      </c>
      <c r="N68" s="91" t="e">
        <f t="shared" si="16"/>
        <v>#DIV/0!</v>
      </c>
      <c r="O68" s="148" t="e">
        <f t="shared" si="17"/>
        <v>#DIV/0!</v>
      </c>
      <c r="P68" s="148">
        <f t="shared" si="18"/>
        <v>1.42</v>
      </c>
      <c r="Q68" s="800" t="e">
        <f>P68+$M$137+((BC!$F$125)/$F$74)</f>
        <v>#DIV/0!</v>
      </c>
      <c r="R68" s="222" t="e">
        <f t="shared" si="19"/>
        <v>#DIV/0!</v>
      </c>
      <c r="S68" s="223" t="e">
        <f t="shared" si="20"/>
        <v>#DIV/0!</v>
      </c>
      <c r="T68" s="223" t="e">
        <f t="shared" si="21"/>
        <v>#DIV/0!</v>
      </c>
      <c r="U68" s="24"/>
      <c r="V68" s="24"/>
      <c r="W68" s="97"/>
      <c r="X68" s="97"/>
      <c r="Y68" s="97"/>
      <c r="Z68" s="97"/>
      <c r="AA68" s="97"/>
      <c r="AB68" s="97"/>
      <c r="AC68" s="97"/>
      <c r="AD68" s="97"/>
      <c r="AE68" s="97"/>
    </row>
    <row r="69" spans="2:31" x14ac:dyDescent="0.45">
      <c r="B69" s="131">
        <v>20767107322</v>
      </c>
      <c r="C69" s="112" t="s">
        <v>250</v>
      </c>
      <c r="D69" s="103">
        <v>250</v>
      </c>
      <c r="E69" s="103">
        <v>56</v>
      </c>
      <c r="F69" s="237">
        <f>'c311'!E69</f>
        <v>0</v>
      </c>
      <c r="G69" s="60">
        <f t="shared" si="11"/>
        <v>0</v>
      </c>
      <c r="H69" s="60">
        <f>30*BC!$B$47/E69</f>
        <v>0</v>
      </c>
      <c r="I69" s="60">
        <f t="shared" si="12"/>
        <v>0</v>
      </c>
      <c r="J69" s="60">
        <f t="shared" si="13"/>
        <v>0</v>
      </c>
      <c r="K69" s="58">
        <f t="shared" si="14"/>
        <v>0</v>
      </c>
      <c r="L69" s="210">
        <v>83</v>
      </c>
      <c r="M69" s="148">
        <f t="shared" si="15"/>
        <v>0</v>
      </c>
      <c r="N69" s="91" t="e">
        <f t="shared" si="16"/>
        <v>#DIV/0!</v>
      </c>
      <c r="O69" s="148" t="e">
        <f t="shared" si="17"/>
        <v>#DIV/0!</v>
      </c>
      <c r="P69" s="148">
        <f t="shared" si="18"/>
        <v>0.33200000000000002</v>
      </c>
      <c r="Q69" s="800" t="e">
        <f>P69+$M$137+((BC!$F$125)/$F$74)</f>
        <v>#DIV/0!</v>
      </c>
      <c r="R69" s="222" t="e">
        <f t="shared" si="19"/>
        <v>#DIV/0!</v>
      </c>
      <c r="S69" s="223" t="e">
        <f t="shared" si="20"/>
        <v>#DIV/0!</v>
      </c>
      <c r="T69" s="223" t="e">
        <f t="shared" si="21"/>
        <v>#DIV/0!</v>
      </c>
      <c r="U69" s="24"/>
      <c r="V69" s="24"/>
      <c r="W69" s="97"/>
      <c r="X69" s="97"/>
      <c r="Y69" s="97"/>
      <c r="Z69" s="97"/>
      <c r="AA69" s="97"/>
      <c r="AB69" s="97"/>
      <c r="AC69" s="97"/>
      <c r="AD69" s="97"/>
      <c r="AE69" s="97"/>
    </row>
    <row r="70" spans="2:31" x14ac:dyDescent="0.45">
      <c r="B70" s="131">
        <v>3015050122</v>
      </c>
      <c r="C70" s="111" t="s">
        <v>251</v>
      </c>
      <c r="D70" s="103">
        <v>100</v>
      </c>
      <c r="E70" s="103">
        <v>56</v>
      </c>
      <c r="F70" s="237">
        <f>'c311'!E70</f>
        <v>0</v>
      </c>
      <c r="G70" s="60">
        <f t="shared" si="11"/>
        <v>0</v>
      </c>
      <c r="H70" s="60">
        <f>30*BC!$B$47/E70</f>
        <v>0</v>
      </c>
      <c r="I70" s="60">
        <f t="shared" si="12"/>
        <v>0</v>
      </c>
      <c r="J70" s="60">
        <f t="shared" si="13"/>
        <v>0</v>
      </c>
      <c r="K70" s="58">
        <f t="shared" si="14"/>
        <v>0</v>
      </c>
      <c r="L70" s="210">
        <v>242</v>
      </c>
      <c r="M70" s="148">
        <f t="shared" si="15"/>
        <v>0</v>
      </c>
      <c r="N70" s="91" t="e">
        <f t="shared" si="16"/>
        <v>#DIV/0!</v>
      </c>
      <c r="O70" s="148" t="e">
        <f t="shared" si="17"/>
        <v>#DIV/0!</v>
      </c>
      <c r="P70" s="148">
        <f t="shared" si="18"/>
        <v>2.42</v>
      </c>
      <c r="Q70" s="800" t="e">
        <f>P70+$M$137+((BC!$F$125)/$F$74)</f>
        <v>#DIV/0!</v>
      </c>
      <c r="R70" s="222" t="e">
        <f t="shared" si="19"/>
        <v>#DIV/0!</v>
      </c>
      <c r="S70" s="223" t="e">
        <f t="shared" si="20"/>
        <v>#DIV/0!</v>
      </c>
      <c r="T70" s="223" t="e">
        <f t="shared" si="21"/>
        <v>#DIV/0!</v>
      </c>
      <c r="U70" s="24"/>
      <c r="V70" s="24"/>
      <c r="W70" s="97"/>
      <c r="X70" s="97"/>
      <c r="Y70" s="97"/>
      <c r="Z70" s="97"/>
      <c r="AA70" s="97"/>
      <c r="AB70" s="97"/>
      <c r="AC70" s="97"/>
      <c r="AD70" s="97"/>
      <c r="AE70" s="97"/>
    </row>
    <row r="71" spans="2:31" x14ac:dyDescent="0.45">
      <c r="B71" s="131">
        <v>3183807190</v>
      </c>
      <c r="C71" s="112" t="s">
        <v>252</v>
      </c>
      <c r="D71" s="103">
        <v>400</v>
      </c>
      <c r="E71" s="103">
        <v>56</v>
      </c>
      <c r="F71" s="237">
        <f>'c311'!E71</f>
        <v>0</v>
      </c>
      <c r="G71" s="60">
        <f t="shared" si="11"/>
        <v>0</v>
      </c>
      <c r="H71" s="60">
        <f>30*BC!$B$47/E71</f>
        <v>0</v>
      </c>
      <c r="I71" s="60">
        <f t="shared" si="12"/>
        <v>0</v>
      </c>
      <c r="J71" s="60">
        <f t="shared" si="13"/>
        <v>0</v>
      </c>
      <c r="K71" s="58">
        <f t="shared" si="14"/>
        <v>0</v>
      </c>
      <c r="L71" s="210">
        <v>88</v>
      </c>
      <c r="M71" s="148">
        <f t="shared" si="15"/>
        <v>0</v>
      </c>
      <c r="N71" s="91" t="e">
        <f t="shared" si="16"/>
        <v>#DIV/0!</v>
      </c>
      <c r="O71" s="148" t="e">
        <f t="shared" si="17"/>
        <v>#DIV/0!</v>
      </c>
      <c r="P71" s="148">
        <f t="shared" si="18"/>
        <v>0.22</v>
      </c>
      <c r="Q71" s="800" t="e">
        <f>P71+$M$137+((BC!$F$125)/$F$74)</f>
        <v>#DIV/0!</v>
      </c>
      <c r="R71" s="222" t="e">
        <f t="shared" si="19"/>
        <v>#DIV/0!</v>
      </c>
      <c r="S71" s="223" t="e">
        <f t="shared" si="20"/>
        <v>#DIV/0!</v>
      </c>
      <c r="T71" s="223" t="e">
        <f t="shared" si="21"/>
        <v>#DIV/0!</v>
      </c>
      <c r="U71" s="24"/>
      <c r="V71" s="24"/>
      <c r="W71" s="97"/>
      <c r="X71" s="97"/>
      <c r="Y71" s="97"/>
      <c r="Z71" s="97"/>
      <c r="AA71" s="97"/>
      <c r="AB71" s="97"/>
      <c r="AC71" s="97"/>
      <c r="AD71" s="97"/>
      <c r="AE71" s="97"/>
    </row>
    <row r="72" spans="2:31" x14ac:dyDescent="0.45">
      <c r="B72" s="131">
        <v>4536355190</v>
      </c>
      <c r="C72" s="129" t="s">
        <v>253</v>
      </c>
      <c r="D72" s="103">
        <v>100</v>
      </c>
      <c r="E72" s="103">
        <v>56</v>
      </c>
      <c r="F72" s="237">
        <f>'c311'!E72</f>
        <v>0</v>
      </c>
      <c r="G72" s="60">
        <f t="shared" si="11"/>
        <v>0</v>
      </c>
      <c r="H72" s="60">
        <f>30*BC!$B$47/E72</f>
        <v>0</v>
      </c>
      <c r="I72" s="60">
        <f t="shared" si="12"/>
        <v>0</v>
      </c>
      <c r="J72" s="60">
        <f t="shared" si="13"/>
        <v>0</v>
      </c>
      <c r="K72" s="58">
        <f t="shared" si="14"/>
        <v>0</v>
      </c>
      <c r="L72" s="210">
        <v>201</v>
      </c>
      <c r="M72" s="148">
        <f t="shared" si="15"/>
        <v>0</v>
      </c>
      <c r="N72" s="91" t="e">
        <f t="shared" si="16"/>
        <v>#DIV/0!</v>
      </c>
      <c r="O72" s="148" t="e">
        <f t="shared" si="17"/>
        <v>#DIV/0!</v>
      </c>
      <c r="P72" s="148">
        <f t="shared" si="18"/>
        <v>2.0099999999999998</v>
      </c>
      <c r="Q72" s="800" t="e">
        <f>P72+$M$137+((BC!$F$125)/$F$74)</f>
        <v>#DIV/0!</v>
      </c>
      <c r="R72" s="222" t="e">
        <f t="shared" si="19"/>
        <v>#DIV/0!</v>
      </c>
      <c r="S72" s="223" t="e">
        <f t="shared" si="20"/>
        <v>#DIV/0!</v>
      </c>
      <c r="T72" s="223" t="e">
        <f t="shared" si="21"/>
        <v>#DIV/0!</v>
      </c>
      <c r="U72" s="24"/>
      <c r="V72" s="24"/>
      <c r="W72" s="97"/>
      <c r="X72" s="97"/>
      <c r="Y72" s="97"/>
      <c r="Z72" s="97"/>
      <c r="AA72" s="97"/>
      <c r="AB72" s="97"/>
      <c r="AC72" s="97"/>
      <c r="AD72" s="97"/>
      <c r="AE72" s="97"/>
    </row>
    <row r="73" spans="2:31" x14ac:dyDescent="0.45">
      <c r="B73" s="184">
        <v>4460715190</v>
      </c>
      <c r="C73" s="185" t="s">
        <v>254</v>
      </c>
      <c r="D73" s="104">
        <v>500</v>
      </c>
      <c r="E73" s="104">
        <v>56</v>
      </c>
      <c r="F73" s="237">
        <f>'c311'!E73</f>
        <v>0</v>
      </c>
      <c r="G73" s="186">
        <f t="shared" ref="G73" si="22">F73/D73</f>
        <v>0</v>
      </c>
      <c r="H73" s="60">
        <f>30*BC!$B$47/E73</f>
        <v>0</v>
      </c>
      <c r="I73" s="60">
        <f t="shared" ref="I73" si="23">IF(H73&gt;G73,H73,G73)</f>
        <v>0</v>
      </c>
      <c r="J73" s="60">
        <f t="shared" ref="J73" si="24">IF(G73=0,0,I73)</f>
        <v>0</v>
      </c>
      <c r="K73" s="58">
        <f t="shared" ref="K73" si="25">ROUNDUP(J73,0)</f>
        <v>0</v>
      </c>
      <c r="L73" s="210">
        <v>120</v>
      </c>
      <c r="M73" s="148">
        <f t="shared" ref="M73" si="26">L73*K73</f>
        <v>0</v>
      </c>
      <c r="N73" s="91" t="e">
        <f t="shared" si="16"/>
        <v>#DIV/0!</v>
      </c>
      <c r="O73" s="148" t="e">
        <f t="shared" ref="O73" si="27">N73*K73</f>
        <v>#DIV/0!</v>
      </c>
      <c r="P73" s="148">
        <f t="shared" si="18"/>
        <v>0.24</v>
      </c>
      <c r="Q73" s="800" t="e">
        <f>P73+$M$137+((BC!$F$125)/$F$74)</f>
        <v>#DIV/0!</v>
      </c>
      <c r="R73" s="222" t="e">
        <f t="shared" ref="R73" si="28">Q73*F73</f>
        <v>#DIV/0!</v>
      </c>
      <c r="S73" s="223" t="e">
        <f t="shared" si="20"/>
        <v>#DIV/0!</v>
      </c>
      <c r="T73" s="223" t="e">
        <f t="shared" ref="T73" si="29">S73*F73</f>
        <v>#DIV/0!</v>
      </c>
      <c r="U73" s="24"/>
      <c r="V73" s="24"/>
      <c r="W73" s="97"/>
      <c r="X73" s="97"/>
      <c r="Y73" s="97"/>
      <c r="Z73" s="97"/>
      <c r="AA73" s="97"/>
      <c r="AB73" s="97"/>
      <c r="AC73" s="97"/>
      <c r="AD73" s="97"/>
      <c r="AE73" s="97"/>
    </row>
    <row r="74" spans="2:31" x14ac:dyDescent="0.45">
      <c r="B74" s="62"/>
      <c r="C74" s="187"/>
      <c r="D74" s="188"/>
      <c r="E74" s="189" t="s">
        <v>19</v>
      </c>
      <c r="F74" s="190">
        <f>SUM(F9:F73)</f>
        <v>0</v>
      </c>
      <c r="G74" s="190"/>
      <c r="H74" s="190"/>
      <c r="I74" s="190"/>
      <c r="J74" s="190"/>
      <c r="K74" s="190"/>
      <c r="L74" s="190"/>
      <c r="M74" s="252">
        <f>SUM(M9:M73)</f>
        <v>0</v>
      </c>
      <c r="N74" s="190"/>
      <c r="O74" s="252" t="e">
        <f>SUM(O9:O73)</f>
        <v>#DIV/0!</v>
      </c>
      <c r="P74" s="190"/>
      <c r="Q74" s="190"/>
      <c r="R74" s="24"/>
      <c r="S74" s="24"/>
      <c r="T74" s="24"/>
      <c r="U74" s="24"/>
      <c r="V74" s="24"/>
    </row>
    <row r="75" spans="2:31" x14ac:dyDescent="0.45">
      <c r="B75" s="191"/>
      <c r="C75" s="192" t="s">
        <v>255</v>
      </c>
      <c r="D75" s="191"/>
      <c r="E75" s="191"/>
      <c r="F75" s="193"/>
      <c r="G75" s="193"/>
      <c r="H75" s="193"/>
      <c r="I75" s="193"/>
      <c r="J75" s="193"/>
      <c r="K75" s="150" t="s">
        <v>166</v>
      </c>
      <c r="L75" s="150" t="s">
        <v>167</v>
      </c>
      <c r="M75" s="150" t="s">
        <v>168</v>
      </c>
      <c r="N75" s="150"/>
      <c r="O75" s="150"/>
      <c r="P75" s="150" t="s">
        <v>318</v>
      </c>
      <c r="Q75" s="150" t="s">
        <v>319</v>
      </c>
      <c r="R75" s="24"/>
      <c r="S75" s="24"/>
      <c r="T75" s="24"/>
      <c r="U75" s="24"/>
      <c r="V75" s="24"/>
      <c r="W75" s="97"/>
      <c r="X75" s="97"/>
      <c r="Y75" s="97"/>
      <c r="Z75" s="97"/>
      <c r="AA75" s="97"/>
      <c r="AB75" s="97"/>
      <c r="AC75" s="97"/>
      <c r="AD75" s="97"/>
      <c r="AE75" s="97"/>
    </row>
    <row r="76" spans="2:31" x14ac:dyDescent="0.45">
      <c r="B76" s="194">
        <v>20751995190</v>
      </c>
      <c r="C76" s="195" t="s">
        <v>256</v>
      </c>
      <c r="D76" s="194">
        <v>2</v>
      </c>
      <c r="E76" s="194">
        <v>56</v>
      </c>
      <c r="F76" s="57"/>
      <c r="G76" s="57">
        <f>(A19*(0.014*(500/2000)))</f>
        <v>0</v>
      </c>
      <c r="H76" s="60">
        <f>30*BC!$B$47/E76</f>
        <v>0</v>
      </c>
      <c r="I76" s="57">
        <f>IF(G76&gt;H76,G76,H76)</f>
        <v>0</v>
      </c>
      <c r="J76" s="60">
        <f>ROUNDUP(I76,0)</f>
        <v>0</v>
      </c>
      <c r="K76" s="57">
        <v>1</v>
      </c>
      <c r="L76" s="148">
        <v>313.5</v>
      </c>
      <c r="M76" s="148">
        <f t="shared" ref="M76:M94" si="30">L76*K76</f>
        <v>313.5</v>
      </c>
      <c r="N76" s="91" t="e">
        <f t="shared" ref="N76:N94" si="31">((L76*$L$139)+L76)</f>
        <v>#DIV/0!</v>
      </c>
      <c r="O76" s="148"/>
      <c r="P76" s="57">
        <f>K76/D76</f>
        <v>0.5</v>
      </c>
      <c r="Q76" s="57">
        <f>ROUNDUP(P76,0)</f>
        <v>1</v>
      </c>
      <c r="R76" s="24"/>
      <c r="S76" s="24"/>
      <c r="T76" s="24"/>
      <c r="U76" s="24"/>
      <c r="V76" s="24"/>
      <c r="W76" s="97"/>
      <c r="X76" s="97"/>
      <c r="Y76" s="97"/>
      <c r="Z76" s="97"/>
      <c r="AA76" s="97"/>
      <c r="AB76" s="97"/>
      <c r="AC76" s="97"/>
      <c r="AD76" s="97"/>
      <c r="AE76" s="97"/>
    </row>
    <row r="77" spans="2:31" x14ac:dyDescent="0.45">
      <c r="B77" s="194">
        <v>4975901190</v>
      </c>
      <c r="C77" s="196" t="s">
        <v>257</v>
      </c>
      <c r="D77" s="194">
        <v>1</v>
      </c>
      <c r="E77" s="194"/>
      <c r="F77" s="57"/>
      <c r="G77" s="57"/>
      <c r="H77" s="60" t="e">
        <f>30*BC!$B$47/E77</f>
        <v>#DIV/0!</v>
      </c>
      <c r="I77" s="57" t="e">
        <f t="shared" ref="I77:I126" si="32">IF(G77&gt;H77,G77,H77)</f>
        <v>#DIV/0!</v>
      </c>
      <c r="J77" s="60" t="e">
        <f t="shared" ref="J77:J127" si="33">ROUNDUP(I77,0)</f>
        <v>#DIV/0!</v>
      </c>
      <c r="K77" s="57">
        <f>IF(F37&gt;0,J77,0)</f>
        <v>0</v>
      </c>
      <c r="L77" s="148"/>
      <c r="M77" s="148">
        <f t="shared" si="30"/>
        <v>0</v>
      </c>
      <c r="N77" s="91" t="e">
        <f t="shared" si="31"/>
        <v>#DIV/0!</v>
      </c>
      <c r="O77" s="148"/>
      <c r="P77" s="57">
        <f t="shared" ref="P77:P127" si="34">K77/D77</f>
        <v>0</v>
      </c>
      <c r="Q77" s="57">
        <f t="shared" ref="Q77:Q127" si="35">ROUNDUP(P77,0)</f>
        <v>0</v>
      </c>
      <c r="R77" s="24"/>
      <c r="S77" s="24"/>
      <c r="T77" s="24"/>
      <c r="U77" s="24"/>
      <c r="V77" s="24"/>
      <c r="W77" s="97"/>
      <c r="X77" s="97"/>
      <c r="Y77" s="97"/>
      <c r="Z77" s="97"/>
      <c r="AA77" s="97"/>
      <c r="AB77" s="97"/>
      <c r="AC77" s="97"/>
      <c r="AD77" s="97"/>
      <c r="AE77" s="97"/>
    </row>
    <row r="78" spans="2:31" x14ac:dyDescent="0.45">
      <c r="B78" s="194">
        <v>3555941190</v>
      </c>
      <c r="C78" s="198" t="s">
        <v>259</v>
      </c>
      <c r="D78" s="194">
        <v>3</v>
      </c>
      <c r="E78" s="194">
        <v>14</v>
      </c>
      <c r="F78" s="57"/>
      <c r="G78" s="57">
        <f>(A25*(0.014*(500/2000)))</f>
        <v>0</v>
      </c>
      <c r="H78" s="60">
        <f>30*BC!$B$47/E78</f>
        <v>0</v>
      </c>
      <c r="I78" s="57">
        <f t="shared" si="32"/>
        <v>0</v>
      </c>
      <c r="J78" s="60">
        <f t="shared" si="33"/>
        <v>0</v>
      </c>
      <c r="K78" s="57">
        <v>1</v>
      </c>
      <c r="L78" s="148">
        <v>70.67</v>
      </c>
      <c r="M78" s="148">
        <f t="shared" si="30"/>
        <v>70.67</v>
      </c>
      <c r="N78" s="91" t="e">
        <f t="shared" si="31"/>
        <v>#DIV/0!</v>
      </c>
      <c r="O78" s="148"/>
      <c r="P78" s="57">
        <f t="shared" si="34"/>
        <v>0.33333333333333331</v>
      </c>
      <c r="Q78" s="57">
        <f t="shared" si="35"/>
        <v>1</v>
      </c>
      <c r="R78" s="24"/>
      <c r="S78" s="24"/>
      <c r="T78" s="24"/>
      <c r="U78" s="24"/>
      <c r="V78" s="24"/>
      <c r="W78" s="97"/>
      <c r="X78" s="97"/>
      <c r="Y78" s="97"/>
      <c r="Z78" s="97"/>
      <c r="AA78" s="97"/>
      <c r="AB78" s="97"/>
      <c r="AC78" s="97"/>
      <c r="AD78" s="97"/>
      <c r="AE78" s="97"/>
    </row>
    <row r="79" spans="2:31" x14ac:dyDescent="0.45">
      <c r="B79" s="194">
        <v>10759350190</v>
      </c>
      <c r="C79" s="199" t="s">
        <v>260</v>
      </c>
      <c r="D79" s="194">
        <v>12</v>
      </c>
      <c r="E79" s="194">
        <v>28</v>
      </c>
      <c r="F79" s="57"/>
      <c r="G79" s="57">
        <f>(A13/(0.005*400)/3000)</f>
        <v>0</v>
      </c>
      <c r="H79" s="60">
        <f>30*BC!$B$47/E79</f>
        <v>0</v>
      </c>
      <c r="I79" s="57">
        <f t="shared" si="32"/>
        <v>0</v>
      </c>
      <c r="J79" s="60">
        <f t="shared" si="33"/>
        <v>0</v>
      </c>
      <c r="K79" s="57">
        <v>1</v>
      </c>
      <c r="L79" s="148">
        <v>12</v>
      </c>
      <c r="M79" s="148">
        <f t="shared" si="30"/>
        <v>12</v>
      </c>
      <c r="N79" s="91" t="e">
        <f t="shared" si="31"/>
        <v>#DIV/0!</v>
      </c>
      <c r="O79" s="148"/>
      <c r="P79" s="57">
        <f t="shared" si="34"/>
        <v>8.3333333333333329E-2</v>
      </c>
      <c r="Q79" s="57">
        <f t="shared" si="35"/>
        <v>1</v>
      </c>
      <c r="R79" s="24"/>
      <c r="S79" s="24"/>
      <c r="T79" s="24"/>
      <c r="U79" s="24"/>
      <c r="V79" s="24"/>
      <c r="W79" s="97"/>
      <c r="X79" s="97"/>
      <c r="Y79" s="97"/>
      <c r="Z79" s="97"/>
      <c r="AA79" s="97"/>
      <c r="AB79" s="97"/>
      <c r="AC79" s="97"/>
      <c r="AD79" s="97"/>
      <c r="AE79" s="97"/>
    </row>
    <row r="80" spans="2:31" x14ac:dyDescent="0.45">
      <c r="B80" s="194">
        <v>11447394216</v>
      </c>
      <c r="C80" s="200" t="s">
        <v>261</v>
      </c>
      <c r="D80" s="194">
        <v>3</v>
      </c>
      <c r="E80" s="194">
        <v>28</v>
      </c>
      <c r="F80" s="57"/>
      <c r="G80" s="57">
        <f>(F31*(0.014*(500/2000)))</f>
        <v>0</v>
      </c>
      <c r="H80" s="60">
        <f>30*BC!$B$47/E80</f>
        <v>0</v>
      </c>
      <c r="I80" s="57">
        <f t="shared" si="32"/>
        <v>0</v>
      </c>
      <c r="J80" s="60">
        <f t="shared" si="33"/>
        <v>0</v>
      </c>
      <c r="K80" s="57">
        <v>1</v>
      </c>
      <c r="L80" s="148">
        <v>25.34</v>
      </c>
      <c r="M80" s="148">
        <f t="shared" si="30"/>
        <v>25.34</v>
      </c>
      <c r="N80" s="91" t="e">
        <f t="shared" si="31"/>
        <v>#DIV/0!</v>
      </c>
      <c r="O80" s="148"/>
      <c r="P80" s="57">
        <f t="shared" si="34"/>
        <v>0.33333333333333331</v>
      </c>
      <c r="Q80" s="57">
        <f t="shared" si="35"/>
        <v>1</v>
      </c>
      <c r="R80" s="24"/>
      <c r="S80" s="24"/>
      <c r="T80" s="24"/>
      <c r="U80" s="24"/>
      <c r="V80" s="24"/>
      <c r="W80" s="97"/>
      <c r="X80" s="97"/>
      <c r="Y80" s="97"/>
      <c r="Z80" s="97"/>
      <c r="AA80" s="97"/>
      <c r="AB80" s="97"/>
      <c r="AC80" s="97"/>
      <c r="AD80" s="97"/>
      <c r="AE80" s="97"/>
    </row>
    <row r="81" spans="2:31" x14ac:dyDescent="0.45">
      <c r="B81" s="194">
        <v>6533850190</v>
      </c>
      <c r="C81" s="201" t="s">
        <v>262</v>
      </c>
      <c r="D81" s="194">
        <v>3</v>
      </c>
      <c r="E81" s="194">
        <v>14</v>
      </c>
      <c r="F81" s="57"/>
      <c r="G81" s="57">
        <f>(F49*(0.014*(500/2000)))</f>
        <v>0</v>
      </c>
      <c r="H81" s="60">
        <f>30*BC!$B$47/E81</f>
        <v>0</v>
      </c>
      <c r="I81" s="57">
        <f t="shared" si="32"/>
        <v>0</v>
      </c>
      <c r="J81" s="60">
        <f t="shared" si="33"/>
        <v>0</v>
      </c>
      <c r="K81" s="57">
        <v>1</v>
      </c>
      <c r="L81" s="148">
        <v>323</v>
      </c>
      <c r="M81" s="148">
        <f t="shared" si="30"/>
        <v>323</v>
      </c>
      <c r="N81" s="91" t="e">
        <f t="shared" si="31"/>
        <v>#DIV/0!</v>
      </c>
      <c r="O81" s="148"/>
      <c r="P81" s="57">
        <f t="shared" si="34"/>
        <v>0.33333333333333331</v>
      </c>
      <c r="Q81" s="57">
        <f t="shared" si="35"/>
        <v>1</v>
      </c>
      <c r="R81" s="24"/>
      <c r="S81" s="24"/>
      <c r="T81" s="24"/>
      <c r="U81" s="24"/>
      <c r="V81" s="24"/>
      <c r="W81" s="97"/>
      <c r="X81" s="97"/>
      <c r="Y81" s="97"/>
      <c r="Z81" s="97"/>
      <c r="AA81" s="97"/>
      <c r="AB81" s="97"/>
      <c r="AC81" s="97"/>
      <c r="AD81" s="97"/>
      <c r="AE81" s="97"/>
    </row>
    <row r="82" spans="2:31" x14ac:dyDescent="0.45">
      <c r="B82" s="194">
        <v>12172623122</v>
      </c>
      <c r="C82" s="202" t="s">
        <v>263</v>
      </c>
      <c r="D82" s="194">
        <v>3</v>
      </c>
      <c r="E82" s="194">
        <v>28</v>
      </c>
      <c r="F82" s="57"/>
      <c r="G82" s="57">
        <f>(A28*(0.008*(350/1000)))</f>
        <v>0</v>
      </c>
      <c r="H82" s="60">
        <f>30*BC!$B$47/E82</f>
        <v>0</v>
      </c>
      <c r="I82" s="57">
        <f t="shared" si="32"/>
        <v>0</v>
      </c>
      <c r="J82" s="60">
        <f t="shared" si="33"/>
        <v>0</v>
      </c>
      <c r="K82" s="57">
        <v>1</v>
      </c>
      <c r="L82" s="148">
        <v>31</v>
      </c>
      <c r="M82" s="148">
        <f t="shared" si="30"/>
        <v>31</v>
      </c>
      <c r="N82" s="91" t="e">
        <f t="shared" si="31"/>
        <v>#DIV/0!</v>
      </c>
      <c r="O82" s="148"/>
      <c r="P82" s="57">
        <f t="shared" si="34"/>
        <v>0.33333333333333331</v>
      </c>
      <c r="Q82" s="57">
        <f t="shared" si="35"/>
        <v>1</v>
      </c>
      <c r="R82" s="24"/>
      <c r="S82" s="24"/>
      <c r="T82" s="24"/>
      <c r="U82" s="24"/>
      <c r="V82" s="24"/>
      <c r="W82" s="97"/>
      <c r="X82" s="97"/>
      <c r="Y82" s="97"/>
      <c r="Z82" s="97"/>
      <c r="AA82" s="97"/>
      <c r="AB82" s="97"/>
      <c r="AC82" s="97"/>
      <c r="AD82" s="97"/>
      <c r="AE82" s="97"/>
    </row>
    <row r="83" spans="2:31" x14ac:dyDescent="0.45">
      <c r="B83" s="194">
        <v>11355279216</v>
      </c>
      <c r="C83" s="203" t="s">
        <v>264</v>
      </c>
      <c r="D83" s="194">
        <v>5</v>
      </c>
      <c r="E83" s="194">
        <v>28</v>
      </c>
      <c r="F83" s="57"/>
      <c r="G83" s="57">
        <f>(A22*(0.008*(350/1000)))</f>
        <v>0</v>
      </c>
      <c r="H83" s="60">
        <f>30*BC!$B$47/E83</f>
        <v>0</v>
      </c>
      <c r="I83" s="57">
        <f t="shared" si="32"/>
        <v>0</v>
      </c>
      <c r="J83" s="60">
        <f t="shared" si="33"/>
        <v>0</v>
      </c>
      <c r="K83" s="57">
        <v>1</v>
      </c>
      <c r="L83" s="148">
        <v>29.8</v>
      </c>
      <c r="M83" s="148">
        <f t="shared" si="30"/>
        <v>29.8</v>
      </c>
      <c r="N83" s="91" t="e">
        <f t="shared" si="31"/>
        <v>#DIV/0!</v>
      </c>
      <c r="O83" s="148"/>
      <c r="P83" s="57">
        <f t="shared" si="34"/>
        <v>0.2</v>
      </c>
      <c r="Q83" s="57">
        <f t="shared" si="35"/>
        <v>1</v>
      </c>
      <c r="R83" s="24"/>
      <c r="S83" s="24"/>
      <c r="T83" s="24"/>
      <c r="U83" s="24"/>
      <c r="V83" s="24"/>
      <c r="W83" s="97"/>
      <c r="X83" s="97"/>
      <c r="Y83" s="97"/>
      <c r="Z83" s="97"/>
      <c r="AA83" s="97"/>
      <c r="AB83" s="97"/>
      <c r="AC83" s="97"/>
      <c r="AD83" s="97"/>
      <c r="AE83" s="97"/>
    </row>
    <row r="84" spans="2:31" x14ac:dyDescent="0.45">
      <c r="B84" s="194">
        <v>8753776190</v>
      </c>
      <c r="C84" s="204" t="s">
        <v>265</v>
      </c>
      <c r="D84" s="194">
        <v>3</v>
      </c>
      <c r="E84" s="194">
        <v>28</v>
      </c>
      <c r="F84" s="57"/>
      <c r="G84" s="57">
        <f>(F65*(0.014*(500/2000)))</f>
        <v>0</v>
      </c>
      <c r="H84" s="60">
        <f>30*BC!$B$47/E84</f>
        <v>0</v>
      </c>
      <c r="I84" s="57">
        <f t="shared" si="32"/>
        <v>0</v>
      </c>
      <c r="J84" s="60">
        <f t="shared" si="33"/>
        <v>0</v>
      </c>
      <c r="K84" s="57">
        <v>1</v>
      </c>
      <c r="L84" s="148">
        <v>127</v>
      </c>
      <c r="M84" s="148">
        <f t="shared" si="30"/>
        <v>127</v>
      </c>
      <c r="N84" s="91" t="e">
        <f t="shared" si="31"/>
        <v>#DIV/0!</v>
      </c>
      <c r="O84" s="148"/>
      <c r="P84" s="57">
        <f t="shared" si="34"/>
        <v>0.33333333333333331</v>
      </c>
      <c r="Q84" s="57">
        <f t="shared" si="35"/>
        <v>1</v>
      </c>
      <c r="R84" s="24"/>
      <c r="S84" s="24"/>
      <c r="T84" s="24"/>
      <c r="U84" s="24"/>
      <c r="V84" s="24"/>
      <c r="W84" s="97"/>
      <c r="X84" s="97"/>
      <c r="Y84" s="97"/>
      <c r="Z84" s="97"/>
      <c r="AA84" s="97"/>
      <c r="AB84" s="97"/>
      <c r="AC84" s="97"/>
      <c r="AD84" s="97"/>
      <c r="AE84" s="97"/>
    </row>
    <row r="85" spans="2:31" x14ac:dyDescent="0.45">
      <c r="B85" s="194">
        <v>8047545190</v>
      </c>
      <c r="C85" s="205" t="s">
        <v>266</v>
      </c>
      <c r="D85" s="194">
        <v>2</v>
      </c>
      <c r="E85" s="194">
        <v>84</v>
      </c>
      <c r="F85" s="57"/>
      <c r="G85" s="57">
        <f>(F21*(0.014*(500/2000)))</f>
        <v>0</v>
      </c>
      <c r="H85" s="60">
        <f>30*BC!$B$47/E85</f>
        <v>0</v>
      </c>
      <c r="I85" s="57">
        <f t="shared" si="32"/>
        <v>0</v>
      </c>
      <c r="J85" s="60">
        <f t="shared" si="33"/>
        <v>0</v>
      </c>
      <c r="K85" s="57">
        <v>1</v>
      </c>
      <c r="L85" s="148">
        <v>25.5</v>
      </c>
      <c r="M85" s="148">
        <f t="shared" si="30"/>
        <v>25.5</v>
      </c>
      <c r="N85" s="91" t="e">
        <f t="shared" si="31"/>
        <v>#DIV/0!</v>
      </c>
      <c r="O85" s="148"/>
      <c r="P85" s="57">
        <f t="shared" si="34"/>
        <v>0.5</v>
      </c>
      <c r="Q85" s="57">
        <f t="shared" si="35"/>
        <v>1</v>
      </c>
      <c r="R85" s="24"/>
      <c r="S85" s="24"/>
      <c r="T85" s="24"/>
      <c r="U85" s="24"/>
      <c r="V85" s="24"/>
      <c r="W85" s="97"/>
      <c r="X85" s="97"/>
      <c r="Y85" s="97"/>
      <c r="Z85" s="97"/>
      <c r="AA85" s="97"/>
      <c r="AB85" s="97"/>
      <c r="AC85" s="97"/>
      <c r="AD85" s="97"/>
      <c r="AE85" s="97"/>
    </row>
    <row r="86" spans="2:31" x14ac:dyDescent="0.45">
      <c r="B86" s="194">
        <v>4528417190</v>
      </c>
      <c r="C86" s="206" t="s">
        <v>267</v>
      </c>
      <c r="D86" s="194">
        <v>3</v>
      </c>
      <c r="E86" s="194">
        <v>84</v>
      </c>
      <c r="F86" s="57"/>
      <c r="G86" s="57">
        <f>(F44*(0.014*(500/2000)))</f>
        <v>0</v>
      </c>
      <c r="H86" s="60">
        <f>30*BC!$B$47/E86</f>
        <v>0</v>
      </c>
      <c r="I86" s="57">
        <f t="shared" si="32"/>
        <v>0</v>
      </c>
      <c r="J86" s="60">
        <f t="shared" si="33"/>
        <v>0</v>
      </c>
      <c r="K86" s="57">
        <v>1</v>
      </c>
      <c r="L86" s="148">
        <v>150.34</v>
      </c>
      <c r="M86" s="148">
        <f t="shared" si="30"/>
        <v>150.34</v>
      </c>
      <c r="N86" s="91" t="e">
        <f t="shared" si="31"/>
        <v>#DIV/0!</v>
      </c>
      <c r="O86" s="148"/>
      <c r="P86" s="57">
        <f t="shared" si="34"/>
        <v>0.33333333333333331</v>
      </c>
      <c r="Q86" s="57">
        <f t="shared" si="35"/>
        <v>1</v>
      </c>
      <c r="R86" s="24"/>
      <c r="S86" s="24"/>
      <c r="T86" s="24"/>
      <c r="U86" s="24"/>
      <c r="V86" s="24"/>
      <c r="W86" s="97"/>
      <c r="X86" s="97"/>
      <c r="Y86" s="97"/>
      <c r="Z86" s="97"/>
      <c r="AA86" s="97"/>
      <c r="AB86" s="97"/>
      <c r="AC86" s="97"/>
      <c r="AD86" s="97"/>
      <c r="AE86" s="97"/>
    </row>
    <row r="87" spans="2:31" x14ac:dyDescent="0.45">
      <c r="B87" s="194">
        <v>3121305122</v>
      </c>
      <c r="C87" s="207" t="s">
        <v>268</v>
      </c>
      <c r="D87" s="194">
        <v>5</v>
      </c>
      <c r="E87" s="194">
        <v>28</v>
      </c>
      <c r="F87" s="57"/>
      <c r="G87" s="57">
        <f>(A16*(0.008*(350/1000)))</f>
        <v>0</v>
      </c>
      <c r="H87" s="60">
        <f>30*BC!$B$47/E87</f>
        <v>0</v>
      </c>
      <c r="I87" s="57">
        <f t="shared" si="32"/>
        <v>0</v>
      </c>
      <c r="J87" s="60">
        <f t="shared" si="33"/>
        <v>0</v>
      </c>
      <c r="K87" s="57">
        <v>1</v>
      </c>
      <c r="L87" s="148">
        <v>75.2</v>
      </c>
      <c r="M87" s="148">
        <f t="shared" si="30"/>
        <v>75.2</v>
      </c>
      <c r="N87" s="91" t="e">
        <f t="shared" si="31"/>
        <v>#DIV/0!</v>
      </c>
      <c r="O87" s="148"/>
      <c r="P87" s="57">
        <f t="shared" si="34"/>
        <v>0.2</v>
      </c>
      <c r="Q87" s="57">
        <f t="shared" si="35"/>
        <v>1</v>
      </c>
      <c r="R87" s="24"/>
      <c r="S87" s="24"/>
      <c r="T87" s="24"/>
      <c r="U87" s="24"/>
      <c r="V87" s="24"/>
      <c r="W87" s="97"/>
      <c r="X87" s="97"/>
      <c r="Y87" s="97"/>
      <c r="Z87" s="97"/>
      <c r="AA87" s="97"/>
      <c r="AB87" s="97"/>
      <c r="AC87" s="97"/>
      <c r="AD87" s="97"/>
      <c r="AE87" s="97"/>
    </row>
    <row r="88" spans="2:31" x14ac:dyDescent="0.45">
      <c r="B88" s="194">
        <v>5050901190</v>
      </c>
      <c r="C88" s="208" t="s">
        <v>269</v>
      </c>
      <c r="D88" s="194">
        <v>1</v>
      </c>
      <c r="E88" s="194">
        <v>84</v>
      </c>
      <c r="F88" s="57"/>
      <c r="G88" s="57">
        <f>(F38*(0.04*(350/1000)))</f>
        <v>0</v>
      </c>
      <c r="H88" s="60">
        <f>30*BC!$B$47/E88</f>
        <v>0</v>
      </c>
      <c r="I88" s="57">
        <f t="shared" si="32"/>
        <v>0</v>
      </c>
      <c r="J88" s="60">
        <f t="shared" si="33"/>
        <v>0</v>
      </c>
      <c r="K88" s="57">
        <v>1</v>
      </c>
      <c r="L88" s="148">
        <v>282</v>
      </c>
      <c r="M88" s="148">
        <f t="shared" si="30"/>
        <v>282</v>
      </c>
      <c r="N88" s="91" t="e">
        <f t="shared" si="31"/>
        <v>#DIV/0!</v>
      </c>
      <c r="O88" s="148"/>
      <c r="P88" s="57">
        <f t="shared" si="34"/>
        <v>1</v>
      </c>
      <c r="Q88" s="57">
        <f t="shared" si="35"/>
        <v>1</v>
      </c>
      <c r="R88" s="24"/>
      <c r="S88" s="24"/>
      <c r="T88" s="24"/>
      <c r="U88" s="24"/>
      <c r="V88" s="24"/>
      <c r="W88" s="97"/>
      <c r="X88" s="97"/>
      <c r="Y88" s="97"/>
      <c r="Z88" s="97"/>
      <c r="AA88" s="97"/>
      <c r="AB88" s="97"/>
      <c r="AC88" s="97"/>
      <c r="AD88" s="97"/>
      <c r="AE88" s="97"/>
    </row>
    <row r="89" spans="2:31" x14ac:dyDescent="0.45">
      <c r="B89" s="194">
        <v>12146401216</v>
      </c>
      <c r="C89" s="209" t="s">
        <v>270</v>
      </c>
      <c r="D89" s="194">
        <v>1</v>
      </c>
      <c r="E89" s="194">
        <v>360</v>
      </c>
      <c r="F89" s="57"/>
      <c r="G89" s="57">
        <f>(F72*(0.02*(200/1000)))</f>
        <v>0</v>
      </c>
      <c r="H89" s="60">
        <f>30*BC!$B$47/E89</f>
        <v>0</v>
      </c>
      <c r="I89" s="57">
        <f t="shared" si="32"/>
        <v>0</v>
      </c>
      <c r="J89" s="60">
        <f t="shared" si="33"/>
        <v>0</v>
      </c>
      <c r="K89" s="57">
        <v>1</v>
      </c>
      <c r="L89" s="210">
        <v>183</v>
      </c>
      <c r="M89" s="148">
        <f t="shared" si="30"/>
        <v>183</v>
      </c>
      <c r="N89" s="91" t="e">
        <f t="shared" si="31"/>
        <v>#DIV/0!</v>
      </c>
      <c r="O89" s="148"/>
      <c r="P89" s="57">
        <f t="shared" si="34"/>
        <v>1</v>
      </c>
      <c r="Q89" s="57">
        <f t="shared" si="35"/>
        <v>1</v>
      </c>
      <c r="R89" s="24"/>
      <c r="S89" s="24"/>
      <c r="T89" s="24"/>
      <c r="U89" s="24"/>
      <c r="V89" s="24"/>
      <c r="W89" s="97"/>
      <c r="X89" s="97"/>
      <c r="Y89" s="97"/>
      <c r="Z89" s="97"/>
      <c r="AA89" s="97"/>
      <c r="AB89" s="97"/>
      <c r="AC89" s="97"/>
      <c r="AD89" s="97"/>
      <c r="AE89" s="97"/>
    </row>
    <row r="90" spans="2:31" x14ac:dyDescent="0.45">
      <c r="B90" s="194">
        <v>5385504190</v>
      </c>
      <c r="C90" s="211" t="s">
        <v>271</v>
      </c>
      <c r="D90" s="194">
        <v>2</v>
      </c>
      <c r="E90" s="194">
        <v>28</v>
      </c>
      <c r="F90" s="57"/>
      <c r="G90" s="57">
        <f>(F46*(0.02*(200/1000)))</f>
        <v>0</v>
      </c>
      <c r="H90" s="60">
        <f>30*BC!$B$47/E90</f>
        <v>0</v>
      </c>
      <c r="I90" s="57">
        <f t="shared" si="32"/>
        <v>0</v>
      </c>
      <c r="J90" s="60">
        <f t="shared" si="33"/>
        <v>0</v>
      </c>
      <c r="K90" s="57">
        <v>1</v>
      </c>
      <c r="L90" s="148">
        <v>40</v>
      </c>
      <c r="M90" s="148">
        <f t="shared" si="30"/>
        <v>40</v>
      </c>
      <c r="N90" s="91" t="e">
        <f t="shared" si="31"/>
        <v>#DIV/0!</v>
      </c>
      <c r="O90" s="148"/>
      <c r="P90" s="57">
        <f t="shared" si="34"/>
        <v>0.5</v>
      </c>
      <c r="Q90" s="57">
        <f t="shared" si="35"/>
        <v>1</v>
      </c>
      <c r="R90" s="24"/>
      <c r="S90" s="24"/>
      <c r="T90" s="24"/>
      <c r="U90" s="24"/>
      <c r="V90" s="24"/>
      <c r="W90" s="97"/>
      <c r="X90" s="97"/>
      <c r="Y90" s="97"/>
      <c r="Z90" s="97"/>
      <c r="AA90" s="97"/>
      <c r="AB90" s="97"/>
      <c r="AC90" s="97"/>
      <c r="AD90" s="97"/>
      <c r="AE90" s="97"/>
    </row>
    <row r="91" spans="2:31" x14ac:dyDescent="0.45">
      <c r="B91" s="194">
        <v>11098993122</v>
      </c>
      <c r="C91" s="212" t="s">
        <v>273</v>
      </c>
      <c r="D91" s="194">
        <v>3</v>
      </c>
      <c r="E91" s="194">
        <v>28</v>
      </c>
      <c r="F91" s="57"/>
      <c r="G91" s="57">
        <f>(F40*(0.02*(200/1000)))</f>
        <v>0</v>
      </c>
      <c r="H91" s="60">
        <f>30*BC!$B$47/E91</f>
        <v>0</v>
      </c>
      <c r="I91" s="57">
        <f t="shared" si="32"/>
        <v>0</v>
      </c>
      <c r="J91" s="60">
        <f t="shared" si="33"/>
        <v>0</v>
      </c>
      <c r="K91" s="57">
        <v>1</v>
      </c>
      <c r="L91" s="148">
        <v>26.67</v>
      </c>
      <c r="M91" s="148">
        <f t="shared" si="30"/>
        <v>26.67</v>
      </c>
      <c r="N91" s="91" t="e">
        <f t="shared" si="31"/>
        <v>#DIV/0!</v>
      </c>
      <c r="O91" s="148"/>
      <c r="P91" s="57">
        <f t="shared" si="34"/>
        <v>0.33333333333333331</v>
      </c>
      <c r="Q91" s="57">
        <f t="shared" si="35"/>
        <v>1</v>
      </c>
      <c r="R91" s="24"/>
      <c r="S91" s="24"/>
      <c r="T91" s="24"/>
      <c r="U91" s="24"/>
      <c r="V91" s="24"/>
      <c r="W91" s="97"/>
      <c r="X91" s="97"/>
      <c r="Y91" s="97"/>
      <c r="Z91" s="97"/>
      <c r="AA91" s="97"/>
      <c r="AB91" s="97"/>
      <c r="AC91" s="97"/>
      <c r="AD91" s="97"/>
      <c r="AE91" s="97"/>
    </row>
    <row r="92" spans="2:31" x14ac:dyDescent="0.45">
      <c r="B92" s="194">
        <v>3304671190</v>
      </c>
      <c r="C92" s="213" t="s">
        <v>274</v>
      </c>
      <c r="D92" s="194">
        <v>1</v>
      </c>
      <c r="E92" s="194">
        <v>60</v>
      </c>
      <c r="F92" s="57"/>
      <c r="G92" s="57">
        <f>(A31*(0.02*(200/1000)))</f>
        <v>0</v>
      </c>
      <c r="H92" s="60">
        <f>30*BC!$B$47/E92</f>
        <v>0</v>
      </c>
      <c r="I92" s="57">
        <f t="shared" si="32"/>
        <v>0</v>
      </c>
      <c r="J92" s="60">
        <f t="shared" si="33"/>
        <v>0</v>
      </c>
      <c r="K92" s="57">
        <v>1</v>
      </c>
      <c r="L92" s="148">
        <v>231</v>
      </c>
      <c r="M92" s="148">
        <f t="shared" si="30"/>
        <v>231</v>
      </c>
      <c r="N92" s="91" t="e">
        <f t="shared" si="31"/>
        <v>#DIV/0!</v>
      </c>
      <c r="O92" s="148"/>
      <c r="P92" s="57">
        <f t="shared" si="34"/>
        <v>1</v>
      </c>
      <c r="Q92" s="57">
        <f t="shared" si="35"/>
        <v>1</v>
      </c>
      <c r="R92" s="24"/>
      <c r="S92" s="24"/>
      <c r="T92" s="24"/>
      <c r="U92" s="24"/>
      <c r="V92" s="24"/>
      <c r="W92" s="97"/>
      <c r="X92" s="97"/>
      <c r="Y92" s="97"/>
      <c r="Z92" s="97"/>
      <c r="AA92" s="97"/>
      <c r="AB92" s="97"/>
      <c r="AC92" s="97"/>
      <c r="AD92" s="97"/>
      <c r="AE92" s="97"/>
    </row>
    <row r="93" spans="2:31" x14ac:dyDescent="0.45">
      <c r="B93" s="194">
        <v>5852641190</v>
      </c>
      <c r="C93" s="214" t="s">
        <v>275</v>
      </c>
      <c r="D93" s="194">
        <v>1</v>
      </c>
      <c r="E93" s="194">
        <v>14</v>
      </c>
      <c r="F93" s="57"/>
      <c r="G93" s="57">
        <f>(F59*(0.02*(200/1000)))</f>
        <v>0</v>
      </c>
      <c r="H93" s="60">
        <f>30*BC!$B$47/E93</f>
        <v>0</v>
      </c>
      <c r="I93" s="57">
        <f t="shared" si="32"/>
        <v>0</v>
      </c>
      <c r="J93" s="60">
        <f t="shared" si="33"/>
        <v>0</v>
      </c>
      <c r="K93" s="57">
        <v>1</v>
      </c>
      <c r="L93" s="210">
        <v>384</v>
      </c>
      <c r="M93" s="148">
        <f t="shared" si="30"/>
        <v>384</v>
      </c>
      <c r="N93" s="91" t="e">
        <f t="shared" si="31"/>
        <v>#DIV/0!</v>
      </c>
      <c r="O93" s="148"/>
      <c r="P93" s="57">
        <f t="shared" si="34"/>
        <v>1</v>
      </c>
      <c r="Q93" s="57">
        <f t="shared" si="35"/>
        <v>1</v>
      </c>
      <c r="R93" s="24"/>
      <c r="S93" s="24"/>
      <c r="T93" s="24"/>
      <c r="U93" s="24"/>
      <c r="V93" s="24"/>
      <c r="W93" s="97"/>
      <c r="X93" s="97"/>
      <c r="Y93" s="97"/>
      <c r="Z93" s="97"/>
      <c r="AA93" s="97"/>
      <c r="AB93" s="97"/>
      <c r="AC93" s="97"/>
      <c r="AD93" s="97"/>
      <c r="AE93" s="97"/>
    </row>
    <row r="94" spans="2:31" x14ac:dyDescent="0.45">
      <c r="B94" s="194">
        <v>12172828322</v>
      </c>
      <c r="C94" s="215" t="s">
        <v>276</v>
      </c>
      <c r="D94" s="194">
        <v>1</v>
      </c>
      <c r="E94" s="194">
        <v>30</v>
      </c>
      <c r="F94" s="57"/>
      <c r="G94" s="57">
        <f>(F64*(0.04*(350/1000)))</f>
        <v>0</v>
      </c>
      <c r="H94" s="60">
        <f>30*BC!$B$47/E94</f>
        <v>0</v>
      </c>
      <c r="I94" s="57">
        <f t="shared" si="32"/>
        <v>0</v>
      </c>
      <c r="J94" s="60">
        <f t="shared" si="33"/>
        <v>0</v>
      </c>
      <c r="K94" s="57">
        <v>1</v>
      </c>
      <c r="L94" s="210">
        <v>197</v>
      </c>
      <c r="M94" s="148">
        <f t="shared" si="30"/>
        <v>197</v>
      </c>
      <c r="N94" s="91" t="e">
        <f t="shared" si="31"/>
        <v>#DIV/0!</v>
      </c>
      <c r="O94" s="148"/>
      <c r="P94" s="57">
        <f t="shared" si="34"/>
        <v>1</v>
      </c>
      <c r="Q94" s="57">
        <f t="shared" si="35"/>
        <v>1</v>
      </c>
      <c r="R94" s="24"/>
      <c r="S94" s="24"/>
      <c r="T94" s="24"/>
      <c r="U94" s="24"/>
      <c r="V94" s="24"/>
      <c r="W94" s="97"/>
      <c r="X94" s="97"/>
      <c r="Y94" s="97"/>
      <c r="Z94" s="97"/>
      <c r="AA94" s="97"/>
      <c r="AB94" s="97"/>
      <c r="AC94" s="97"/>
      <c r="AD94" s="97"/>
      <c r="AE94" s="97"/>
    </row>
    <row r="95" spans="2:31" ht="21" x14ac:dyDescent="0.45">
      <c r="B95" s="191"/>
      <c r="C95" s="192" t="s">
        <v>277</v>
      </c>
      <c r="D95" s="191"/>
      <c r="E95" s="191"/>
      <c r="F95" s="193"/>
      <c r="G95" s="419" t="s">
        <v>53</v>
      </c>
      <c r="H95" s="419" t="s">
        <v>52</v>
      </c>
      <c r="I95" s="193"/>
      <c r="J95" s="193"/>
      <c r="K95" s="193"/>
      <c r="L95" s="193"/>
      <c r="M95" s="193"/>
      <c r="N95" s="193"/>
      <c r="O95" s="193"/>
      <c r="P95" s="193"/>
      <c r="Q95" s="193"/>
      <c r="R95" s="24"/>
      <c r="S95" s="24"/>
      <c r="T95" s="24"/>
      <c r="U95" s="24"/>
      <c r="V95" s="24"/>
      <c r="W95" s="97"/>
      <c r="X95" s="97"/>
      <c r="Y95" s="97"/>
      <c r="Z95" s="97"/>
      <c r="AA95" s="97"/>
      <c r="AB95" s="97"/>
      <c r="AC95" s="97"/>
      <c r="AD95" s="97"/>
      <c r="AE95" s="97"/>
    </row>
    <row r="96" spans="2:31" x14ac:dyDescent="0.45">
      <c r="B96" s="194">
        <v>20752401190</v>
      </c>
      <c r="C96" s="195" t="s">
        <v>278</v>
      </c>
      <c r="D96" s="194">
        <v>5</v>
      </c>
      <c r="E96" s="194">
        <v>56</v>
      </c>
      <c r="F96" s="57"/>
      <c r="G96" s="57">
        <f>(A19*(0.025*(500/2000)))</f>
        <v>0</v>
      </c>
      <c r="H96" s="60">
        <f>30*BC!$B$47/E96</f>
        <v>0</v>
      </c>
      <c r="I96" s="57">
        <f t="shared" si="32"/>
        <v>0</v>
      </c>
      <c r="J96" s="60">
        <f t="shared" si="33"/>
        <v>0</v>
      </c>
      <c r="K96" s="57">
        <v>1</v>
      </c>
      <c r="L96" s="148">
        <v>41.4</v>
      </c>
      <c r="M96" s="148">
        <f t="shared" ref="M96:M112" si="36">L96*K96</f>
        <v>41.4</v>
      </c>
      <c r="N96" s="91" t="e">
        <f t="shared" ref="N96:N112" si="37">((L96*$L$139)+L96)</f>
        <v>#DIV/0!</v>
      </c>
      <c r="O96" s="148"/>
      <c r="P96" s="57">
        <f t="shared" si="34"/>
        <v>0.2</v>
      </c>
      <c r="Q96" s="57">
        <f t="shared" si="35"/>
        <v>1</v>
      </c>
      <c r="R96" s="24"/>
      <c r="S96" s="24"/>
      <c r="T96" s="24"/>
      <c r="U96" s="24"/>
      <c r="V96" s="24"/>
      <c r="W96" s="97"/>
      <c r="X96" s="97"/>
      <c r="Y96" s="97"/>
      <c r="Z96" s="97"/>
      <c r="AA96" s="97"/>
      <c r="AB96" s="97"/>
      <c r="AC96" s="97"/>
      <c r="AD96" s="97"/>
      <c r="AE96" s="97"/>
    </row>
    <row r="97" spans="2:31" x14ac:dyDescent="0.45">
      <c r="B97" s="194">
        <v>20753009190</v>
      </c>
      <c r="C97" s="195" t="s">
        <v>279</v>
      </c>
      <c r="D97" s="194">
        <v>5</v>
      </c>
      <c r="E97" s="194">
        <v>56</v>
      </c>
      <c r="F97" s="57"/>
      <c r="G97" s="57">
        <f>(A19*(0.025*(500/2000)))</f>
        <v>0</v>
      </c>
      <c r="H97" s="60">
        <f>30*BC!$B$47/E97</f>
        <v>0</v>
      </c>
      <c r="I97" s="57">
        <f t="shared" si="32"/>
        <v>0</v>
      </c>
      <c r="J97" s="60">
        <f t="shared" si="33"/>
        <v>0</v>
      </c>
      <c r="K97" s="57">
        <v>1</v>
      </c>
      <c r="L97" s="148">
        <v>45.4</v>
      </c>
      <c r="M97" s="148">
        <f t="shared" si="36"/>
        <v>45.4</v>
      </c>
      <c r="N97" s="91" t="e">
        <f t="shared" si="37"/>
        <v>#DIV/0!</v>
      </c>
      <c r="O97" s="148"/>
      <c r="P97" s="57">
        <f t="shared" si="34"/>
        <v>0.2</v>
      </c>
      <c r="Q97" s="57">
        <f t="shared" si="35"/>
        <v>1</v>
      </c>
      <c r="R97" s="24"/>
      <c r="S97" s="24"/>
      <c r="T97" s="24"/>
      <c r="U97" s="24"/>
      <c r="V97" s="24"/>
      <c r="W97" s="97"/>
      <c r="X97" s="97"/>
      <c r="Y97" s="97"/>
      <c r="Z97" s="97"/>
      <c r="AA97" s="97"/>
      <c r="AB97" s="97"/>
      <c r="AC97" s="97"/>
      <c r="AD97" s="97"/>
      <c r="AE97" s="97"/>
    </row>
    <row r="98" spans="2:31" x14ac:dyDescent="0.45">
      <c r="B98" s="194">
        <v>8362785190</v>
      </c>
      <c r="C98" s="205" t="s">
        <v>280</v>
      </c>
      <c r="D98" s="194">
        <v>2</v>
      </c>
      <c r="E98" s="194">
        <v>84</v>
      </c>
      <c r="F98" s="57"/>
      <c r="G98" s="57">
        <f>(F21*(0.025*(500/2000)))</f>
        <v>0</v>
      </c>
      <c r="H98" s="60">
        <f>30*BC!$B$47/E98</f>
        <v>0</v>
      </c>
      <c r="I98" s="57">
        <f t="shared" si="32"/>
        <v>0</v>
      </c>
      <c r="J98" s="60">
        <f t="shared" si="33"/>
        <v>0</v>
      </c>
      <c r="K98" s="57">
        <v>1</v>
      </c>
      <c r="L98" s="148">
        <v>122</v>
      </c>
      <c r="M98" s="148">
        <f t="shared" si="36"/>
        <v>122</v>
      </c>
      <c r="N98" s="91" t="e">
        <f t="shared" si="37"/>
        <v>#DIV/0!</v>
      </c>
      <c r="O98" s="148"/>
      <c r="P98" s="57">
        <f t="shared" si="34"/>
        <v>0.5</v>
      </c>
      <c r="Q98" s="57">
        <f t="shared" si="35"/>
        <v>1</v>
      </c>
      <c r="R98" s="97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  <c r="AD98" s="97"/>
      <c r="AE98" s="97"/>
    </row>
    <row r="99" spans="2:31" x14ac:dyDescent="0.45">
      <c r="B99" s="194">
        <v>8278202190</v>
      </c>
      <c r="C99" s="204" t="s">
        <v>281</v>
      </c>
      <c r="D99" s="194">
        <v>3</v>
      </c>
      <c r="E99" s="194">
        <v>28</v>
      </c>
      <c r="F99" s="57"/>
      <c r="G99" s="57">
        <f>(F65*(0.025*(500/2000)))</f>
        <v>0</v>
      </c>
      <c r="H99" s="60">
        <f>30*BC!$B$47/E99</f>
        <v>0</v>
      </c>
      <c r="I99" s="57">
        <f t="shared" si="32"/>
        <v>0</v>
      </c>
      <c r="J99" s="60">
        <f t="shared" si="33"/>
        <v>0</v>
      </c>
      <c r="K99" s="57">
        <v>1</v>
      </c>
      <c r="L99" s="148">
        <v>103</v>
      </c>
      <c r="M99" s="148">
        <f t="shared" si="36"/>
        <v>103</v>
      </c>
      <c r="N99" s="91" t="e">
        <f t="shared" si="37"/>
        <v>#DIV/0!</v>
      </c>
      <c r="O99" s="148"/>
      <c r="P99" s="57">
        <f t="shared" si="34"/>
        <v>0.33333333333333331</v>
      </c>
      <c r="Q99" s="57">
        <f t="shared" si="35"/>
        <v>1</v>
      </c>
      <c r="R99" s="97"/>
      <c r="S99" s="97"/>
      <c r="T99" s="97"/>
      <c r="U99" s="97"/>
      <c r="V99" s="97"/>
      <c r="W99" s="97"/>
      <c r="X99" s="97"/>
      <c r="Y99" s="97"/>
      <c r="Z99" s="97"/>
      <c r="AA99" s="97"/>
      <c r="AB99" s="97"/>
      <c r="AC99" s="97"/>
      <c r="AD99" s="97"/>
      <c r="AE99" s="97"/>
    </row>
    <row r="100" spans="2:31" x14ac:dyDescent="0.45">
      <c r="B100" s="194">
        <v>6729371190</v>
      </c>
      <c r="C100" s="196" t="s">
        <v>282</v>
      </c>
      <c r="D100" s="194">
        <v>3</v>
      </c>
      <c r="E100" s="194">
        <v>30</v>
      </c>
      <c r="F100" s="57"/>
      <c r="G100" s="57"/>
      <c r="H100" s="60">
        <f>30*BC!$B$47/E100</f>
        <v>0</v>
      </c>
      <c r="I100" s="57">
        <f t="shared" si="32"/>
        <v>0</v>
      </c>
      <c r="J100" s="60">
        <f t="shared" si="33"/>
        <v>0</v>
      </c>
      <c r="K100" s="57">
        <v>1</v>
      </c>
      <c r="L100" s="148">
        <v>527</v>
      </c>
      <c r="M100" s="148">
        <f t="shared" si="36"/>
        <v>527</v>
      </c>
      <c r="N100" s="91" t="e">
        <f t="shared" si="37"/>
        <v>#DIV/0!</v>
      </c>
      <c r="O100" s="148"/>
      <c r="P100" s="57">
        <f t="shared" si="34"/>
        <v>0.33333333333333331</v>
      </c>
      <c r="Q100" s="57">
        <f t="shared" si="35"/>
        <v>1</v>
      </c>
      <c r="R100" s="97"/>
      <c r="S100" s="97"/>
      <c r="T100" s="97"/>
      <c r="U100" s="97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</row>
    <row r="101" spans="2:31" x14ac:dyDescent="0.45">
      <c r="B101" s="194">
        <v>5050936190</v>
      </c>
      <c r="C101" s="208" t="s">
        <v>283</v>
      </c>
      <c r="D101" s="194">
        <v>2</v>
      </c>
      <c r="E101" s="194">
        <v>84</v>
      </c>
      <c r="F101" s="57"/>
      <c r="G101" s="57">
        <f>(F38*(0.08*(350/1000)))</f>
        <v>0</v>
      </c>
      <c r="H101" s="60">
        <f>30*BC!$B$47/E101</f>
        <v>0</v>
      </c>
      <c r="I101" s="57">
        <f t="shared" si="32"/>
        <v>0</v>
      </c>
      <c r="J101" s="60">
        <f t="shared" si="33"/>
        <v>0</v>
      </c>
      <c r="K101" s="57">
        <v>1</v>
      </c>
      <c r="L101" s="148">
        <v>244</v>
      </c>
      <c r="M101" s="148">
        <f t="shared" si="36"/>
        <v>244</v>
      </c>
      <c r="N101" s="91" t="e">
        <f t="shared" si="37"/>
        <v>#DIV/0!</v>
      </c>
      <c r="O101" s="148"/>
      <c r="P101" s="57">
        <f t="shared" si="34"/>
        <v>0.5</v>
      </c>
      <c r="Q101" s="57">
        <f t="shared" si="35"/>
        <v>1</v>
      </c>
      <c r="R101" s="97"/>
      <c r="S101" s="97"/>
      <c r="T101" s="97"/>
      <c r="U101" s="97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</row>
    <row r="102" spans="2:31" x14ac:dyDescent="0.45">
      <c r="B102" s="194">
        <v>5142423190</v>
      </c>
      <c r="C102" s="211" t="s">
        <v>284</v>
      </c>
      <c r="D102" s="194">
        <v>2</v>
      </c>
      <c r="E102" s="194">
        <v>28</v>
      </c>
      <c r="F102" s="57"/>
      <c r="G102" s="57">
        <f>(F46*(0.04*(200/1000)))</f>
        <v>0</v>
      </c>
      <c r="H102" s="60">
        <f>30*BC!$B$47/E102</f>
        <v>0</v>
      </c>
      <c r="I102" s="57">
        <f t="shared" si="32"/>
        <v>0</v>
      </c>
      <c r="J102" s="60">
        <f t="shared" si="33"/>
        <v>0</v>
      </c>
      <c r="K102" s="57">
        <v>1</v>
      </c>
      <c r="L102" s="148">
        <v>37</v>
      </c>
      <c r="M102" s="148">
        <f t="shared" si="36"/>
        <v>37</v>
      </c>
      <c r="N102" s="91" t="e">
        <f t="shared" si="37"/>
        <v>#DIV/0!</v>
      </c>
      <c r="O102" s="148"/>
      <c r="P102" s="57">
        <f t="shared" si="34"/>
        <v>0.5</v>
      </c>
      <c r="Q102" s="57">
        <f t="shared" si="35"/>
        <v>1</v>
      </c>
      <c r="R102" s="97"/>
      <c r="S102" s="97"/>
      <c r="T102" s="97"/>
      <c r="U102" s="97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</row>
    <row r="103" spans="2:31" x14ac:dyDescent="0.45">
      <c r="B103" s="194">
        <v>5947626190</v>
      </c>
      <c r="C103" s="199" t="s">
        <v>286</v>
      </c>
      <c r="D103" s="194">
        <v>4</v>
      </c>
      <c r="E103" s="194">
        <v>14</v>
      </c>
      <c r="F103" s="57"/>
      <c r="G103" s="57">
        <f>(A13/(0.003*400)/3000)</f>
        <v>0</v>
      </c>
      <c r="H103" s="60">
        <f>30*BC!$B$47/E103</f>
        <v>0</v>
      </c>
      <c r="I103" s="57">
        <f t="shared" si="32"/>
        <v>0</v>
      </c>
      <c r="J103" s="60">
        <f t="shared" si="33"/>
        <v>0</v>
      </c>
      <c r="K103" s="57">
        <v>1</v>
      </c>
      <c r="L103" s="148">
        <v>14.25</v>
      </c>
      <c r="M103" s="148">
        <f t="shared" si="36"/>
        <v>14.25</v>
      </c>
      <c r="N103" s="91" t="e">
        <f t="shared" si="37"/>
        <v>#DIV/0!</v>
      </c>
      <c r="O103" s="148"/>
      <c r="P103" s="57">
        <f t="shared" si="34"/>
        <v>0.25</v>
      </c>
      <c r="Q103" s="57">
        <f t="shared" si="35"/>
        <v>1</v>
      </c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</row>
    <row r="104" spans="2:31" x14ac:dyDescent="0.45">
      <c r="B104" s="194">
        <v>5947774190</v>
      </c>
      <c r="C104" s="199" t="s">
        <v>287</v>
      </c>
      <c r="D104" s="194">
        <v>4</v>
      </c>
      <c r="E104" s="194">
        <v>14</v>
      </c>
      <c r="F104" s="57"/>
      <c r="G104" s="57">
        <f>(A13/(0.003*400)/3000)</f>
        <v>0</v>
      </c>
      <c r="H104" s="60">
        <f>30*BC!$B$47/E104</f>
        <v>0</v>
      </c>
      <c r="I104" s="57">
        <f t="shared" si="32"/>
        <v>0</v>
      </c>
      <c r="J104" s="60">
        <f t="shared" si="33"/>
        <v>0</v>
      </c>
      <c r="K104" s="57">
        <v>1</v>
      </c>
      <c r="L104" s="148">
        <v>22.75</v>
      </c>
      <c r="M104" s="148">
        <f t="shared" si="36"/>
        <v>22.75</v>
      </c>
      <c r="N104" s="91" t="e">
        <f t="shared" si="37"/>
        <v>#DIV/0!</v>
      </c>
      <c r="O104" s="148"/>
      <c r="P104" s="57">
        <f t="shared" si="34"/>
        <v>0.25</v>
      </c>
      <c r="Q104" s="57">
        <f t="shared" si="35"/>
        <v>1</v>
      </c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</row>
    <row r="105" spans="2:31" x14ac:dyDescent="0.45">
      <c r="B105" s="194">
        <v>5479207190</v>
      </c>
      <c r="C105" s="206" t="s">
        <v>288</v>
      </c>
      <c r="D105" s="194">
        <v>4</v>
      </c>
      <c r="E105" s="194">
        <v>28</v>
      </c>
      <c r="F105" s="57"/>
      <c r="G105" s="57">
        <f>(F44*(0.025*(500/2000)))</f>
        <v>0</v>
      </c>
      <c r="H105" s="60">
        <f>30*BC!$B$47/E105</f>
        <v>0</v>
      </c>
      <c r="I105" s="57">
        <f t="shared" si="32"/>
        <v>0</v>
      </c>
      <c r="J105" s="60">
        <f t="shared" si="33"/>
        <v>0</v>
      </c>
      <c r="K105" s="57">
        <v>1</v>
      </c>
      <c r="L105" s="148">
        <v>77.25</v>
      </c>
      <c r="M105" s="148">
        <f t="shared" si="36"/>
        <v>77.25</v>
      </c>
      <c r="N105" s="91" t="e">
        <f t="shared" si="37"/>
        <v>#DIV/0!</v>
      </c>
      <c r="O105" s="148"/>
      <c r="P105" s="57">
        <f t="shared" si="34"/>
        <v>0.25</v>
      </c>
      <c r="Q105" s="57">
        <f t="shared" si="35"/>
        <v>1</v>
      </c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</row>
    <row r="106" spans="2:31" x14ac:dyDescent="0.45">
      <c r="B106" s="194">
        <v>5912504190</v>
      </c>
      <c r="C106" s="206" t="s">
        <v>289</v>
      </c>
      <c r="D106" s="194">
        <v>4</v>
      </c>
      <c r="E106" s="194">
        <v>28</v>
      </c>
      <c r="F106" s="57"/>
      <c r="G106" s="57">
        <f>(F44*(0.025*(500/2000)))</f>
        <v>0</v>
      </c>
      <c r="H106" s="60">
        <f>30*BC!$B$47/E106</f>
        <v>0</v>
      </c>
      <c r="I106" s="57">
        <f t="shared" si="32"/>
        <v>0</v>
      </c>
      <c r="J106" s="60">
        <f t="shared" si="33"/>
        <v>0</v>
      </c>
      <c r="K106" s="57">
        <v>1</v>
      </c>
      <c r="L106" s="148">
        <v>154.5</v>
      </c>
      <c r="M106" s="148">
        <f t="shared" si="36"/>
        <v>154.5</v>
      </c>
      <c r="N106" s="91" t="e">
        <f t="shared" si="37"/>
        <v>#DIV/0!</v>
      </c>
      <c r="O106" s="148"/>
      <c r="P106" s="57">
        <f t="shared" si="34"/>
        <v>0.25</v>
      </c>
      <c r="Q106" s="57">
        <f t="shared" si="35"/>
        <v>1</v>
      </c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</row>
    <row r="107" spans="2:31" x14ac:dyDescent="0.45">
      <c r="B107" s="194">
        <v>5852650190</v>
      </c>
      <c r="C107" s="214" t="s">
        <v>290</v>
      </c>
      <c r="D107" s="194">
        <v>2</v>
      </c>
      <c r="E107" s="194">
        <v>14</v>
      </c>
      <c r="F107" s="57"/>
      <c r="G107" s="57">
        <f>(F59*(0.04*(200/1000)))</f>
        <v>0</v>
      </c>
      <c r="H107" s="60">
        <f>30*BC!$B$47/E107</f>
        <v>0</v>
      </c>
      <c r="I107" s="57">
        <f t="shared" si="32"/>
        <v>0</v>
      </c>
      <c r="J107" s="60">
        <f t="shared" si="33"/>
        <v>0</v>
      </c>
      <c r="K107" s="57">
        <v>1</v>
      </c>
      <c r="L107" s="148">
        <v>286</v>
      </c>
      <c r="M107" s="148">
        <f t="shared" si="36"/>
        <v>286</v>
      </c>
      <c r="N107" s="91" t="e">
        <f t="shared" si="37"/>
        <v>#DIV/0!</v>
      </c>
      <c r="O107" s="148"/>
      <c r="P107" s="57">
        <f t="shared" si="34"/>
        <v>0.5</v>
      </c>
      <c r="Q107" s="57">
        <f t="shared" si="35"/>
        <v>1</v>
      </c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</row>
    <row r="108" spans="2:31" x14ac:dyDescent="0.45">
      <c r="B108" s="194">
        <v>11098985122</v>
      </c>
      <c r="C108" s="212" t="s">
        <v>291</v>
      </c>
      <c r="D108" s="194">
        <v>3</v>
      </c>
      <c r="E108" s="194">
        <v>28</v>
      </c>
      <c r="F108" s="57"/>
      <c r="G108" s="57">
        <f>(F40*(0.04*(200/1000)))</f>
        <v>0</v>
      </c>
      <c r="H108" s="60">
        <f>30*BC!$B$47/E108</f>
        <v>0</v>
      </c>
      <c r="I108" s="57">
        <f t="shared" si="32"/>
        <v>0</v>
      </c>
      <c r="J108" s="60">
        <f t="shared" si="33"/>
        <v>0</v>
      </c>
      <c r="K108" s="57">
        <v>1</v>
      </c>
      <c r="L108" s="148">
        <v>21</v>
      </c>
      <c r="M108" s="148">
        <f t="shared" si="36"/>
        <v>21</v>
      </c>
      <c r="N108" s="91" t="e">
        <f t="shared" si="37"/>
        <v>#DIV/0!</v>
      </c>
      <c r="O108" s="148"/>
      <c r="P108" s="57">
        <f t="shared" si="34"/>
        <v>0.33333333333333331</v>
      </c>
      <c r="Q108" s="57">
        <f t="shared" si="35"/>
        <v>1</v>
      </c>
      <c r="R108" s="97"/>
      <c r="S108" s="97"/>
      <c r="T108" s="97"/>
      <c r="U108" s="97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</row>
    <row r="109" spans="2:31" x14ac:dyDescent="0.45">
      <c r="B109" s="194">
        <v>3121313122</v>
      </c>
      <c r="C109" s="207" t="s">
        <v>292</v>
      </c>
      <c r="D109" s="194">
        <v>4</v>
      </c>
      <c r="E109" s="194">
        <v>28</v>
      </c>
      <c r="F109" s="57"/>
      <c r="G109" s="57">
        <f>(A16*(0.0025*(250/100)))</f>
        <v>0</v>
      </c>
      <c r="H109" s="60">
        <f>30*BC!$B$47/E109</f>
        <v>0</v>
      </c>
      <c r="I109" s="57">
        <f t="shared" si="32"/>
        <v>0</v>
      </c>
      <c r="J109" s="60">
        <f t="shared" si="33"/>
        <v>0</v>
      </c>
      <c r="K109" s="57">
        <v>1</v>
      </c>
      <c r="L109" s="148">
        <v>115</v>
      </c>
      <c r="M109" s="148">
        <f t="shared" si="36"/>
        <v>115</v>
      </c>
      <c r="N109" s="91" t="e">
        <f t="shared" si="37"/>
        <v>#DIV/0!</v>
      </c>
      <c r="O109" s="148"/>
      <c r="P109" s="57">
        <f t="shared" si="34"/>
        <v>0.25</v>
      </c>
      <c r="Q109" s="57">
        <f t="shared" si="35"/>
        <v>1</v>
      </c>
      <c r="R109" s="97"/>
      <c r="S109" s="97"/>
      <c r="T109" s="97"/>
      <c r="U109" s="97"/>
      <c r="V109" s="97"/>
      <c r="W109" s="97"/>
      <c r="X109" s="97"/>
      <c r="Y109" s="97"/>
      <c r="Z109" s="97"/>
      <c r="AA109" s="97"/>
      <c r="AB109" s="97"/>
      <c r="AC109" s="97"/>
      <c r="AD109" s="97"/>
      <c r="AE109" s="97"/>
    </row>
    <row r="110" spans="2:31" x14ac:dyDescent="0.45">
      <c r="B110" s="194">
        <v>11174118122</v>
      </c>
      <c r="C110" s="212" t="s">
        <v>293</v>
      </c>
      <c r="D110" s="194">
        <v>3</v>
      </c>
      <c r="E110" s="194">
        <v>28</v>
      </c>
      <c r="F110" s="57"/>
      <c r="G110" s="57">
        <f>(F40*(0.04*(200/1000)))</f>
        <v>0</v>
      </c>
      <c r="H110" s="60">
        <f>30*BC!$B$47/E110</f>
        <v>0</v>
      </c>
      <c r="I110" s="57">
        <f t="shared" si="32"/>
        <v>0</v>
      </c>
      <c r="J110" s="60">
        <f t="shared" si="33"/>
        <v>0</v>
      </c>
      <c r="K110" s="57">
        <v>1</v>
      </c>
      <c r="L110" s="148">
        <v>23.67</v>
      </c>
      <c r="M110" s="148">
        <f t="shared" si="36"/>
        <v>23.67</v>
      </c>
      <c r="N110" s="91" t="e">
        <f t="shared" si="37"/>
        <v>#DIV/0!</v>
      </c>
      <c r="O110" s="148"/>
      <c r="P110" s="57">
        <f t="shared" si="34"/>
        <v>0.33333333333333331</v>
      </c>
      <c r="Q110" s="57">
        <f t="shared" si="35"/>
        <v>1</v>
      </c>
      <c r="R110" s="97"/>
      <c r="S110" s="97"/>
      <c r="T110" s="97"/>
      <c r="U110" s="97"/>
      <c r="V110" s="97"/>
      <c r="W110" s="97"/>
      <c r="X110" s="97"/>
      <c r="Y110" s="97"/>
      <c r="Z110" s="97"/>
      <c r="AA110" s="97"/>
      <c r="AB110" s="97"/>
      <c r="AC110" s="97"/>
      <c r="AD110" s="97"/>
      <c r="AE110" s="97"/>
    </row>
    <row r="111" spans="2:31" x14ac:dyDescent="0.45">
      <c r="B111" s="194">
        <v>3121291122</v>
      </c>
      <c r="C111" s="207" t="s">
        <v>294</v>
      </c>
      <c r="D111" s="194">
        <v>4</v>
      </c>
      <c r="E111" s="194">
        <v>28</v>
      </c>
      <c r="F111" s="57"/>
      <c r="G111" s="57">
        <f>(A16*(0.0025*(250/100)))</f>
        <v>0</v>
      </c>
      <c r="H111" s="60">
        <f>30*BC!$B$47/E111</f>
        <v>0</v>
      </c>
      <c r="I111" s="57">
        <f t="shared" si="32"/>
        <v>0</v>
      </c>
      <c r="J111" s="60">
        <f t="shared" si="33"/>
        <v>0</v>
      </c>
      <c r="K111" s="57">
        <v>1</v>
      </c>
      <c r="L111" s="148">
        <v>98</v>
      </c>
      <c r="M111" s="148">
        <f t="shared" si="36"/>
        <v>98</v>
      </c>
      <c r="N111" s="91" t="e">
        <f t="shared" si="37"/>
        <v>#DIV/0!</v>
      </c>
      <c r="O111" s="148"/>
      <c r="P111" s="57">
        <f t="shared" si="34"/>
        <v>0.25</v>
      </c>
      <c r="Q111" s="57">
        <f t="shared" si="35"/>
        <v>1</v>
      </c>
      <c r="R111" s="97"/>
      <c r="S111" s="97"/>
      <c r="T111" s="97"/>
      <c r="U111" s="97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</row>
    <row r="112" spans="2:31" x14ac:dyDescent="0.45">
      <c r="B112" s="194">
        <v>3005496122</v>
      </c>
      <c r="C112" s="215" t="s">
        <v>295</v>
      </c>
      <c r="D112" s="194">
        <v>4</v>
      </c>
      <c r="E112" s="194">
        <v>30</v>
      </c>
      <c r="F112" s="57"/>
      <c r="G112" s="57">
        <f>(F64*(0.08*(350/1000)))</f>
        <v>0</v>
      </c>
      <c r="H112" s="60">
        <f>30*BC!$B$47/E112</f>
        <v>0</v>
      </c>
      <c r="I112" s="57">
        <f t="shared" si="32"/>
        <v>0</v>
      </c>
      <c r="J112" s="60">
        <f t="shared" si="33"/>
        <v>0</v>
      </c>
      <c r="K112" s="57">
        <v>1</v>
      </c>
      <c r="L112" s="148">
        <v>52.75</v>
      </c>
      <c r="M112" s="148">
        <f t="shared" si="36"/>
        <v>52.75</v>
      </c>
      <c r="N112" s="91" t="e">
        <f t="shared" si="37"/>
        <v>#DIV/0!</v>
      </c>
      <c r="O112" s="148"/>
      <c r="P112" s="57">
        <f t="shared" si="34"/>
        <v>0.25</v>
      </c>
      <c r="Q112" s="57">
        <f t="shared" si="35"/>
        <v>1</v>
      </c>
      <c r="R112" s="97"/>
      <c r="S112" s="97"/>
      <c r="T112" s="97"/>
      <c r="U112" s="97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</row>
    <row r="113" spans="2:31" ht="21" x14ac:dyDescent="0.45">
      <c r="B113" s="217"/>
      <c r="C113" s="217" t="s">
        <v>8</v>
      </c>
      <c r="D113" s="217"/>
      <c r="E113" s="217"/>
      <c r="F113" s="218"/>
      <c r="G113" s="419" t="s">
        <v>53</v>
      </c>
      <c r="H113" s="419" t="s">
        <v>52</v>
      </c>
      <c r="I113" s="218"/>
      <c r="J113" s="218"/>
      <c r="K113" s="218"/>
      <c r="L113" s="218"/>
      <c r="M113" s="218"/>
      <c r="N113" s="218"/>
      <c r="O113" s="218"/>
      <c r="P113" s="218"/>
      <c r="Q113" s="218"/>
      <c r="R113" s="97"/>
      <c r="S113" s="97"/>
      <c r="T113" s="97"/>
      <c r="U113" s="97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</row>
    <row r="114" spans="2:31" x14ac:dyDescent="0.45">
      <c r="B114" s="219">
        <v>4880285190</v>
      </c>
      <c r="C114" s="220" t="s">
        <v>297</v>
      </c>
      <c r="D114" s="219">
        <v>2</v>
      </c>
      <c r="E114" s="219">
        <v>70</v>
      </c>
      <c r="F114" s="57"/>
      <c r="G114" s="57">
        <f>(F74/(0.00025*800)/12000)</f>
        <v>0</v>
      </c>
      <c r="H114" s="60">
        <f>30*BC!$B$47/E114</f>
        <v>0</v>
      </c>
      <c r="I114" s="57">
        <f t="shared" si="32"/>
        <v>0</v>
      </c>
      <c r="J114" s="60">
        <f t="shared" si="33"/>
        <v>0</v>
      </c>
      <c r="K114" s="57">
        <v>1</v>
      </c>
      <c r="L114" s="148">
        <v>32.5</v>
      </c>
      <c r="M114" s="148">
        <f t="shared" ref="M114:M127" si="38">L114*K114</f>
        <v>32.5</v>
      </c>
      <c r="N114" s="91" t="e">
        <f t="shared" ref="N114:N134" si="39">((L114*$L$139)+L114)</f>
        <v>#DIV/0!</v>
      </c>
      <c r="O114" s="148"/>
      <c r="P114" s="57">
        <f t="shared" si="34"/>
        <v>0.5</v>
      </c>
      <c r="Q114" s="57">
        <f t="shared" si="35"/>
        <v>1</v>
      </c>
      <c r="R114" s="97"/>
      <c r="S114" s="97"/>
      <c r="T114" s="97"/>
      <c r="U114" s="97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</row>
    <row r="115" spans="2:31" x14ac:dyDescent="0.45">
      <c r="B115" s="219">
        <v>4880307190</v>
      </c>
      <c r="C115" s="220" t="s">
        <v>298</v>
      </c>
      <c r="D115" s="219">
        <v>2</v>
      </c>
      <c r="E115" s="219">
        <v>84</v>
      </c>
      <c r="F115" s="57"/>
      <c r="G115" s="57">
        <f>(F74/(0.025*800)/12000)</f>
        <v>0</v>
      </c>
      <c r="H115" s="60">
        <f>30*BC!$B$47/E115</f>
        <v>0</v>
      </c>
      <c r="I115" s="57">
        <f t="shared" si="32"/>
        <v>0</v>
      </c>
      <c r="J115" s="60">
        <f t="shared" si="33"/>
        <v>0</v>
      </c>
      <c r="K115" s="57">
        <v>1</v>
      </c>
      <c r="L115" s="148">
        <v>35.5</v>
      </c>
      <c r="M115" s="148">
        <f t="shared" si="38"/>
        <v>35.5</v>
      </c>
      <c r="N115" s="91" t="e">
        <f t="shared" si="39"/>
        <v>#DIV/0!</v>
      </c>
      <c r="O115" s="148"/>
      <c r="P115" s="57">
        <f t="shared" si="34"/>
        <v>0.5</v>
      </c>
      <c r="Q115" s="57">
        <f t="shared" si="35"/>
        <v>1</v>
      </c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</row>
    <row r="116" spans="2:31" x14ac:dyDescent="0.45">
      <c r="B116" s="219">
        <v>4444191001</v>
      </c>
      <c r="C116" s="197" t="s">
        <v>299</v>
      </c>
      <c r="D116" s="219">
        <v>1</v>
      </c>
      <c r="E116" s="219">
        <v>365</v>
      </c>
      <c r="F116" s="57"/>
      <c r="G116" s="57">
        <f>((F74-(F74*0.9))/E116)</f>
        <v>0</v>
      </c>
      <c r="H116" s="60">
        <f>30*BC!$B$47/E116</f>
        <v>0</v>
      </c>
      <c r="I116" s="57">
        <f t="shared" si="32"/>
        <v>0</v>
      </c>
      <c r="J116" s="60">
        <f t="shared" si="33"/>
        <v>0</v>
      </c>
      <c r="K116" s="57">
        <v>1</v>
      </c>
      <c r="L116" s="148">
        <v>9</v>
      </c>
      <c r="M116" s="148">
        <f t="shared" si="38"/>
        <v>9</v>
      </c>
      <c r="N116" s="91" t="e">
        <f t="shared" si="39"/>
        <v>#DIV/0!</v>
      </c>
      <c r="O116" s="148"/>
      <c r="P116" s="57">
        <f t="shared" si="34"/>
        <v>1</v>
      </c>
      <c r="Q116" s="57">
        <f t="shared" si="35"/>
        <v>1</v>
      </c>
      <c r="R116" s="97"/>
      <c r="S116" s="97"/>
      <c r="T116" s="97"/>
      <c r="U116" s="97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</row>
    <row r="117" spans="2:31" x14ac:dyDescent="0.45">
      <c r="B117" s="219">
        <v>4555040001</v>
      </c>
      <c r="C117" s="197" t="s">
        <v>300</v>
      </c>
      <c r="D117" s="219">
        <v>3</v>
      </c>
      <c r="E117" s="219">
        <v>84</v>
      </c>
      <c r="F117" s="57"/>
      <c r="G117" s="57">
        <f>(F74/(0.07*30)/6300)</f>
        <v>0</v>
      </c>
      <c r="H117" s="60">
        <f>30*BC!$B$47/E117</f>
        <v>0</v>
      </c>
      <c r="I117" s="57">
        <f t="shared" si="32"/>
        <v>0</v>
      </c>
      <c r="J117" s="60">
        <f t="shared" si="33"/>
        <v>0</v>
      </c>
      <c r="K117" s="57">
        <v>1</v>
      </c>
      <c r="L117" s="148">
        <v>936</v>
      </c>
      <c r="M117" s="148">
        <f t="shared" si="38"/>
        <v>936</v>
      </c>
      <c r="N117" s="91" t="e">
        <f t="shared" si="39"/>
        <v>#DIV/0!</v>
      </c>
      <c r="O117" s="148"/>
      <c r="P117" s="57">
        <f t="shared" si="34"/>
        <v>0.33333333333333331</v>
      </c>
      <c r="Q117" s="57">
        <f t="shared" si="35"/>
        <v>1</v>
      </c>
      <c r="R117" s="97"/>
      <c r="S117" s="97"/>
      <c r="T117" s="97"/>
      <c r="U117" s="97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</row>
    <row r="118" spans="2:31" x14ac:dyDescent="0.45">
      <c r="B118" s="219">
        <v>5422485190</v>
      </c>
      <c r="C118" s="220" t="s">
        <v>301</v>
      </c>
      <c r="D118" s="219">
        <v>1</v>
      </c>
      <c r="E118" s="219">
        <v>28</v>
      </c>
      <c r="F118" s="57"/>
      <c r="G118" s="57">
        <f>(F74/(0.7*11)/120)</f>
        <v>0</v>
      </c>
      <c r="H118" s="60">
        <f>30*BC!$B$47/E118</f>
        <v>0</v>
      </c>
      <c r="I118" s="57">
        <f t="shared" si="32"/>
        <v>0</v>
      </c>
      <c r="J118" s="60">
        <f t="shared" si="33"/>
        <v>0</v>
      </c>
      <c r="K118" s="57">
        <v>1</v>
      </c>
      <c r="L118" s="148">
        <v>32</v>
      </c>
      <c r="M118" s="148">
        <f t="shared" si="38"/>
        <v>32</v>
      </c>
      <c r="N118" s="91" t="e">
        <f t="shared" si="39"/>
        <v>#DIV/0!</v>
      </c>
      <c r="O118" s="148"/>
      <c r="P118" s="57">
        <f t="shared" si="34"/>
        <v>1</v>
      </c>
      <c r="Q118" s="57">
        <f t="shared" si="35"/>
        <v>1</v>
      </c>
      <c r="R118" s="97"/>
      <c r="S118" s="97"/>
      <c r="T118" s="97"/>
      <c r="U118" s="97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</row>
    <row r="119" spans="2:31" x14ac:dyDescent="0.45">
      <c r="B119" s="219">
        <v>4554124001</v>
      </c>
      <c r="C119" s="220" t="s">
        <v>302</v>
      </c>
      <c r="D119" s="219">
        <v>1</v>
      </c>
      <c r="E119" s="219">
        <v>30</v>
      </c>
      <c r="F119" s="57"/>
      <c r="G119" s="57">
        <f>(F74/(0.05*30)/6300)</f>
        <v>0</v>
      </c>
      <c r="H119" s="60">
        <f>30*BC!$B$47/E119</f>
        <v>0</v>
      </c>
      <c r="I119" s="57">
        <f t="shared" si="32"/>
        <v>0</v>
      </c>
      <c r="J119" s="60">
        <f t="shared" si="33"/>
        <v>0</v>
      </c>
      <c r="K119" s="57">
        <v>1</v>
      </c>
      <c r="L119" s="148">
        <v>178</v>
      </c>
      <c r="M119" s="148">
        <f t="shared" si="38"/>
        <v>178</v>
      </c>
      <c r="N119" s="91" t="e">
        <f t="shared" si="39"/>
        <v>#DIV/0!</v>
      </c>
      <c r="O119" s="148"/>
      <c r="P119" s="57">
        <f t="shared" si="34"/>
        <v>1</v>
      </c>
      <c r="Q119" s="57">
        <f t="shared" si="35"/>
        <v>1</v>
      </c>
      <c r="R119" s="97"/>
      <c r="S119" s="97"/>
      <c r="T119" s="97"/>
      <c r="U119" s="97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</row>
    <row r="120" spans="2:31" x14ac:dyDescent="0.45">
      <c r="B120" s="219">
        <v>4516273001</v>
      </c>
      <c r="C120" s="220" t="s">
        <v>303</v>
      </c>
      <c r="D120" s="219">
        <v>1</v>
      </c>
      <c r="E120" s="219">
        <v>30</v>
      </c>
      <c r="F120" s="57"/>
      <c r="G120" s="57">
        <f>(F74/(0.05*30)/6300)</f>
        <v>0</v>
      </c>
      <c r="H120" s="60">
        <f>30*BC!$B$47/E120</f>
        <v>0</v>
      </c>
      <c r="I120" s="57">
        <f t="shared" si="32"/>
        <v>0</v>
      </c>
      <c r="J120" s="60">
        <f t="shared" si="33"/>
        <v>0</v>
      </c>
      <c r="K120" s="57">
        <v>1</v>
      </c>
      <c r="L120" s="148">
        <v>26</v>
      </c>
      <c r="M120" s="148">
        <f t="shared" si="38"/>
        <v>26</v>
      </c>
      <c r="N120" s="91" t="e">
        <f t="shared" si="39"/>
        <v>#DIV/0!</v>
      </c>
      <c r="O120" s="148"/>
      <c r="P120" s="57">
        <f t="shared" si="34"/>
        <v>1</v>
      </c>
      <c r="Q120" s="57">
        <f t="shared" si="35"/>
        <v>1</v>
      </c>
      <c r="R120" s="97"/>
      <c r="S120" s="97"/>
      <c r="T120" s="97"/>
      <c r="U120" s="97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</row>
    <row r="121" spans="2:31" x14ac:dyDescent="0.45">
      <c r="B121" s="219">
        <v>4516265001</v>
      </c>
      <c r="C121" s="220" t="s">
        <v>304</v>
      </c>
      <c r="D121" s="219">
        <v>1</v>
      </c>
      <c r="E121" s="219">
        <v>30</v>
      </c>
      <c r="F121" s="57"/>
      <c r="G121" s="57">
        <f>(F74/(0.05*30)/6300)</f>
        <v>0</v>
      </c>
      <c r="H121" s="60">
        <f>30*BC!$B$47/E121</f>
        <v>0</v>
      </c>
      <c r="I121" s="57">
        <f t="shared" si="32"/>
        <v>0</v>
      </c>
      <c r="J121" s="60">
        <f t="shared" si="33"/>
        <v>0</v>
      </c>
      <c r="K121" s="57">
        <v>1</v>
      </c>
      <c r="L121" s="148">
        <v>61</v>
      </c>
      <c r="M121" s="148">
        <f t="shared" si="38"/>
        <v>61</v>
      </c>
      <c r="N121" s="91" t="e">
        <f t="shared" si="39"/>
        <v>#DIV/0!</v>
      </c>
      <c r="O121" s="148"/>
      <c r="P121" s="57">
        <f t="shared" si="34"/>
        <v>1</v>
      </c>
      <c r="Q121" s="57">
        <f t="shared" si="35"/>
        <v>1</v>
      </c>
      <c r="R121" s="97"/>
      <c r="S121" s="97"/>
      <c r="T121" s="97"/>
      <c r="U121" s="97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</row>
    <row r="122" spans="2:31" x14ac:dyDescent="0.45">
      <c r="B122" s="57">
        <v>4528182190</v>
      </c>
      <c r="C122" s="55" t="s">
        <v>305</v>
      </c>
      <c r="D122" s="57">
        <v>1</v>
      </c>
      <c r="E122" s="219">
        <v>28</v>
      </c>
      <c r="F122" s="57"/>
      <c r="G122" s="57">
        <f>(F44/(0.025*500)/100)</f>
        <v>0</v>
      </c>
      <c r="H122" s="60">
        <f>30*BC!$B$47/E122</f>
        <v>0</v>
      </c>
      <c r="I122" s="57">
        <f t="shared" si="32"/>
        <v>0</v>
      </c>
      <c r="J122" s="60">
        <f t="shared" si="33"/>
        <v>0</v>
      </c>
      <c r="K122" s="57">
        <v>1</v>
      </c>
      <c r="L122" s="148">
        <v>26</v>
      </c>
      <c r="M122" s="148">
        <f t="shared" si="38"/>
        <v>26</v>
      </c>
      <c r="N122" s="91" t="e">
        <f t="shared" si="39"/>
        <v>#DIV/0!</v>
      </c>
      <c r="O122" s="148"/>
      <c r="P122" s="57">
        <f t="shared" si="34"/>
        <v>1</v>
      </c>
      <c r="Q122" s="57">
        <f t="shared" si="35"/>
        <v>1</v>
      </c>
      <c r="R122" s="97"/>
      <c r="S122" s="97"/>
      <c r="T122" s="97"/>
      <c r="U122" s="97"/>
      <c r="V122" s="97"/>
      <c r="W122" s="97"/>
      <c r="X122" s="97"/>
      <c r="Y122" s="97"/>
      <c r="Z122" s="97"/>
      <c r="AA122" s="97"/>
      <c r="AB122" s="97"/>
      <c r="AC122" s="97"/>
      <c r="AD122" s="97"/>
      <c r="AE122" s="97"/>
    </row>
    <row r="123" spans="2:31" x14ac:dyDescent="0.45">
      <c r="B123" s="57">
        <v>4813707001</v>
      </c>
      <c r="C123" s="55" t="s">
        <v>306</v>
      </c>
      <c r="D123" s="57">
        <v>1</v>
      </c>
      <c r="E123" s="219">
        <v>45</v>
      </c>
      <c r="F123" s="57"/>
      <c r="G123" s="57">
        <f>(F74/(0.07*30)/6300)</f>
        <v>0</v>
      </c>
      <c r="H123" s="60">
        <f>30*BC!$B$47/E123</f>
        <v>0</v>
      </c>
      <c r="I123" s="57">
        <f t="shared" si="32"/>
        <v>0</v>
      </c>
      <c r="J123" s="60">
        <f t="shared" si="33"/>
        <v>0</v>
      </c>
      <c r="K123" s="57">
        <v>1</v>
      </c>
      <c r="L123" s="148">
        <v>402</v>
      </c>
      <c r="M123" s="148">
        <f t="shared" si="38"/>
        <v>402</v>
      </c>
      <c r="N123" s="91" t="e">
        <f t="shared" si="39"/>
        <v>#DIV/0!</v>
      </c>
      <c r="O123" s="148"/>
      <c r="P123" s="57">
        <f t="shared" si="34"/>
        <v>1</v>
      </c>
      <c r="Q123" s="57">
        <f t="shared" si="35"/>
        <v>1</v>
      </c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</row>
    <row r="124" spans="2:31" x14ac:dyDescent="0.45">
      <c r="B124" s="57">
        <v>4516303001</v>
      </c>
      <c r="C124" s="55" t="s">
        <v>307</v>
      </c>
      <c r="D124" s="57">
        <v>1</v>
      </c>
      <c r="E124" s="219">
        <v>360</v>
      </c>
      <c r="F124" s="57"/>
      <c r="G124" s="57">
        <f>(F74/(0.025*500)/12000)</f>
        <v>0</v>
      </c>
      <c r="H124" s="60">
        <f>30*BC!$B$47/E124</f>
        <v>0</v>
      </c>
      <c r="I124" s="57">
        <f t="shared" si="32"/>
        <v>0</v>
      </c>
      <c r="J124" s="60">
        <f t="shared" si="33"/>
        <v>0</v>
      </c>
      <c r="K124" s="57">
        <v>1</v>
      </c>
      <c r="L124" s="148">
        <v>859</v>
      </c>
      <c r="M124" s="148">
        <f t="shared" si="38"/>
        <v>859</v>
      </c>
      <c r="N124" s="91" t="e">
        <f t="shared" si="39"/>
        <v>#DIV/0!</v>
      </c>
      <c r="O124" s="148"/>
      <c r="P124" s="57">
        <f t="shared" si="34"/>
        <v>1</v>
      </c>
      <c r="Q124" s="57">
        <f t="shared" si="35"/>
        <v>1</v>
      </c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</row>
    <row r="125" spans="2:31" x14ac:dyDescent="0.45">
      <c r="B125" s="57">
        <v>4708725190</v>
      </c>
      <c r="C125" s="55" t="s">
        <v>308</v>
      </c>
      <c r="D125" s="57">
        <v>12</v>
      </c>
      <c r="E125" s="219">
        <v>28</v>
      </c>
      <c r="F125" s="57"/>
      <c r="G125" s="57">
        <f>(F74/(0.00025*250)/56000)</f>
        <v>0</v>
      </c>
      <c r="H125" s="60">
        <f>30*BC!$B$47/E125</f>
        <v>0</v>
      </c>
      <c r="I125" s="57">
        <f t="shared" si="32"/>
        <v>0</v>
      </c>
      <c r="J125" s="60">
        <f t="shared" si="33"/>
        <v>0</v>
      </c>
      <c r="K125" s="57">
        <v>1</v>
      </c>
      <c r="L125" s="148">
        <v>4.09</v>
      </c>
      <c r="M125" s="148">
        <f t="shared" si="38"/>
        <v>4.09</v>
      </c>
      <c r="N125" s="91" t="e">
        <f t="shared" si="39"/>
        <v>#DIV/0!</v>
      </c>
      <c r="O125" s="148"/>
      <c r="P125" s="57">
        <f t="shared" si="34"/>
        <v>8.3333333333333329E-2</v>
      </c>
      <c r="Q125" s="57">
        <f t="shared" si="35"/>
        <v>1</v>
      </c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</row>
    <row r="126" spans="2:31" x14ac:dyDescent="0.45">
      <c r="B126" s="57">
        <v>4489357190</v>
      </c>
      <c r="C126" s="55" t="s">
        <v>309</v>
      </c>
      <c r="D126" s="57">
        <v>1</v>
      </c>
      <c r="E126" s="219">
        <v>84</v>
      </c>
      <c r="F126" s="57"/>
      <c r="G126" s="57">
        <f>(F74/(0.03*200)/12000)</f>
        <v>0</v>
      </c>
      <c r="H126" s="60">
        <f>30*BC!$B$47/E126</f>
        <v>0</v>
      </c>
      <c r="I126" s="57">
        <f t="shared" si="32"/>
        <v>0</v>
      </c>
      <c r="J126" s="60">
        <f t="shared" si="33"/>
        <v>0</v>
      </c>
      <c r="K126" s="57">
        <v>1</v>
      </c>
      <c r="L126" s="148">
        <v>14</v>
      </c>
      <c r="M126" s="148">
        <f t="shared" si="38"/>
        <v>14</v>
      </c>
      <c r="N126" s="91" t="e">
        <f t="shared" si="39"/>
        <v>#DIV/0!</v>
      </c>
      <c r="O126" s="148"/>
      <c r="P126" s="57">
        <f t="shared" si="34"/>
        <v>1</v>
      </c>
      <c r="Q126" s="57">
        <f t="shared" si="35"/>
        <v>1</v>
      </c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</row>
    <row r="127" spans="2:31" x14ac:dyDescent="0.45">
      <c r="B127" s="57">
        <v>4489241190</v>
      </c>
      <c r="C127" s="55" t="s">
        <v>310</v>
      </c>
      <c r="D127" s="57">
        <v>1</v>
      </c>
      <c r="E127" s="219">
        <v>84</v>
      </c>
      <c r="F127" s="57"/>
      <c r="G127" s="57">
        <f>(F74/(0.0003*800)/12000)</f>
        <v>0</v>
      </c>
      <c r="H127" s="60">
        <f>30*BC!$B$47/E127</f>
        <v>0</v>
      </c>
      <c r="I127" s="57">
        <f>IF(G127&gt;H127,G127,H127)</f>
        <v>0</v>
      </c>
      <c r="J127" s="60">
        <f t="shared" si="33"/>
        <v>0</v>
      </c>
      <c r="K127" s="57">
        <v>1</v>
      </c>
      <c r="L127" s="148">
        <v>5</v>
      </c>
      <c r="M127" s="148">
        <f t="shared" si="38"/>
        <v>5</v>
      </c>
      <c r="N127" s="91" t="e">
        <f t="shared" si="39"/>
        <v>#DIV/0!</v>
      </c>
      <c r="O127" s="148"/>
      <c r="P127" s="57">
        <f t="shared" si="34"/>
        <v>1</v>
      </c>
      <c r="Q127" s="57">
        <f t="shared" si="35"/>
        <v>1</v>
      </c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</row>
    <row r="128" spans="2:31" x14ac:dyDescent="0.45">
      <c r="B128" s="219">
        <v>4489225190</v>
      </c>
      <c r="C128" s="220" t="s">
        <v>311</v>
      </c>
      <c r="D128" s="219">
        <v>1</v>
      </c>
      <c r="E128" s="219">
        <v>84</v>
      </c>
      <c r="F128" s="57"/>
      <c r="G128" s="57">
        <f>(F74/(0.04*300)/12000)</f>
        <v>0</v>
      </c>
      <c r="H128" s="60">
        <f>30*BC!$B$47/E128</f>
        <v>0</v>
      </c>
      <c r="I128" s="57">
        <f>IF(G128&gt;H128,G128,H128)</f>
        <v>0</v>
      </c>
      <c r="J128" s="60">
        <f t="shared" ref="J128" si="40">ROUNDUP(I128,0)</f>
        <v>0</v>
      </c>
      <c r="K128" s="57">
        <v>1</v>
      </c>
      <c r="L128" s="148">
        <v>7</v>
      </c>
      <c r="M128" s="148">
        <f t="shared" ref="M128:M135" si="41">L128*K128</f>
        <v>7</v>
      </c>
      <c r="N128" s="91" t="e">
        <f t="shared" si="39"/>
        <v>#DIV/0!</v>
      </c>
      <c r="O128" s="148"/>
      <c r="P128" s="57">
        <f t="shared" ref="P128" si="42">K128/D128</f>
        <v>1</v>
      </c>
      <c r="Q128" s="57">
        <f t="shared" ref="Q128" si="43">ROUNDUP(P128,0)</f>
        <v>1</v>
      </c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</row>
    <row r="129" spans="2:31" x14ac:dyDescent="0.45">
      <c r="B129" s="539">
        <v>4516303001</v>
      </c>
      <c r="C129" s="542" t="s">
        <v>1162</v>
      </c>
      <c r="D129" s="539">
        <v>1</v>
      </c>
      <c r="E129" s="539">
        <v>365</v>
      </c>
      <c r="F129" s="898"/>
      <c r="G129" s="57">
        <f t="shared" ref="G129:G134" si="44">(F75/(0.04*300)/12000)</f>
        <v>0</v>
      </c>
      <c r="H129" s="60">
        <f>30*BC!$B$47/E129</f>
        <v>0</v>
      </c>
      <c r="I129" s="57">
        <f t="shared" ref="I129:I134" si="45">IF(G129&gt;H129,G129,H129)</f>
        <v>0</v>
      </c>
      <c r="J129" s="60">
        <f t="shared" ref="J129:J134" si="46">ROUNDUP(I129,0)</f>
        <v>0</v>
      </c>
      <c r="K129" s="57">
        <v>1</v>
      </c>
      <c r="L129" s="148">
        <v>7</v>
      </c>
      <c r="M129" s="504">
        <v>859</v>
      </c>
      <c r="N129" s="91" t="e">
        <f t="shared" si="39"/>
        <v>#DIV/0!</v>
      </c>
      <c r="O129" s="148"/>
      <c r="P129" s="57">
        <f t="shared" ref="P129:P134" si="47">K129/D129</f>
        <v>1</v>
      </c>
      <c r="Q129" s="57">
        <f t="shared" ref="Q129:Q134" si="48">ROUNDUP(P129,0)</f>
        <v>1</v>
      </c>
      <c r="R129" s="97"/>
      <c r="S129" s="97"/>
      <c r="T129" s="97"/>
      <c r="U129" s="97"/>
      <c r="V129" s="97"/>
      <c r="W129" s="97"/>
      <c r="X129" s="97"/>
      <c r="Y129" s="97"/>
      <c r="Z129" s="97"/>
    </row>
    <row r="130" spans="2:31" x14ac:dyDescent="0.45">
      <c r="B130" s="539" t="s">
        <v>1163</v>
      </c>
      <c r="C130" s="542" t="s">
        <v>1164</v>
      </c>
      <c r="D130" s="539">
        <v>1</v>
      </c>
      <c r="E130" s="539">
        <v>365</v>
      </c>
      <c r="F130" s="898"/>
      <c r="G130" s="57">
        <f t="shared" si="44"/>
        <v>0</v>
      </c>
      <c r="H130" s="60">
        <f>30*BC!$B$47/E130</f>
        <v>0</v>
      </c>
      <c r="I130" s="57">
        <f t="shared" si="45"/>
        <v>0</v>
      </c>
      <c r="J130" s="60">
        <f t="shared" si="46"/>
        <v>0</v>
      </c>
      <c r="K130" s="57">
        <v>1</v>
      </c>
      <c r="L130" s="148">
        <v>7</v>
      </c>
      <c r="M130" s="504">
        <v>50</v>
      </c>
      <c r="N130" s="91" t="e">
        <f t="shared" si="39"/>
        <v>#DIV/0!</v>
      </c>
      <c r="O130" s="148"/>
      <c r="P130" s="57">
        <f t="shared" si="47"/>
        <v>1</v>
      </c>
      <c r="Q130" s="57">
        <f t="shared" si="48"/>
        <v>1</v>
      </c>
      <c r="R130" s="97"/>
      <c r="S130" s="97"/>
      <c r="T130" s="97"/>
      <c r="U130" s="97"/>
      <c r="V130" s="97"/>
      <c r="W130" s="97"/>
      <c r="X130" s="97"/>
      <c r="Y130" s="97"/>
      <c r="Z130" s="97"/>
    </row>
    <row r="131" spans="2:31" x14ac:dyDescent="0.45">
      <c r="B131" s="539">
        <v>4516265001</v>
      </c>
      <c r="C131" s="542" t="s">
        <v>304</v>
      </c>
      <c r="D131" s="539">
        <v>1</v>
      </c>
      <c r="E131" s="539">
        <v>365</v>
      </c>
      <c r="F131" s="898"/>
      <c r="G131" s="57">
        <f t="shared" si="44"/>
        <v>0</v>
      </c>
      <c r="H131" s="60">
        <f>30*BC!$B$47/E131</f>
        <v>0</v>
      </c>
      <c r="I131" s="57">
        <f t="shared" si="45"/>
        <v>0</v>
      </c>
      <c r="J131" s="60">
        <f t="shared" si="46"/>
        <v>0</v>
      </c>
      <c r="K131" s="57">
        <v>1</v>
      </c>
      <c r="L131" s="148">
        <v>7</v>
      </c>
      <c r="M131" s="504">
        <v>61</v>
      </c>
      <c r="N131" s="91" t="e">
        <f t="shared" si="39"/>
        <v>#DIV/0!</v>
      </c>
      <c r="O131" s="148"/>
      <c r="P131" s="57">
        <f t="shared" si="47"/>
        <v>1</v>
      </c>
      <c r="Q131" s="57">
        <f t="shared" si="48"/>
        <v>1</v>
      </c>
      <c r="R131" s="97"/>
      <c r="S131" s="97"/>
      <c r="T131" s="97"/>
      <c r="U131" s="97"/>
      <c r="V131" s="97"/>
      <c r="W131" s="97"/>
      <c r="X131" s="97"/>
      <c r="Y131" s="97"/>
      <c r="Z131" s="97"/>
    </row>
    <row r="132" spans="2:31" x14ac:dyDescent="0.45">
      <c r="B132" s="539">
        <v>4516273001</v>
      </c>
      <c r="C132" s="542" t="s">
        <v>303</v>
      </c>
      <c r="D132" s="539">
        <v>1</v>
      </c>
      <c r="E132" s="539">
        <v>365</v>
      </c>
      <c r="F132" s="898"/>
      <c r="G132" s="57">
        <f t="shared" si="44"/>
        <v>0</v>
      </c>
      <c r="H132" s="60">
        <f>30*BC!$B$47/E132</f>
        <v>0</v>
      </c>
      <c r="I132" s="57">
        <f t="shared" si="45"/>
        <v>0</v>
      </c>
      <c r="J132" s="60">
        <f t="shared" si="46"/>
        <v>0</v>
      </c>
      <c r="K132" s="57">
        <v>1</v>
      </c>
      <c r="L132" s="148">
        <v>7</v>
      </c>
      <c r="M132" s="504">
        <v>26</v>
      </c>
      <c r="N132" s="91" t="e">
        <f t="shared" si="39"/>
        <v>#DIV/0!</v>
      </c>
      <c r="O132" s="148"/>
      <c r="P132" s="57">
        <f t="shared" si="47"/>
        <v>1</v>
      </c>
      <c r="Q132" s="57">
        <f t="shared" si="48"/>
        <v>1</v>
      </c>
      <c r="R132" s="97"/>
      <c r="S132" s="97"/>
      <c r="T132" s="97"/>
      <c r="U132" s="97"/>
      <c r="V132" s="97"/>
      <c r="W132" s="97"/>
      <c r="X132" s="97"/>
      <c r="Y132" s="97"/>
      <c r="Z132" s="97"/>
    </row>
    <row r="133" spans="2:31" x14ac:dyDescent="0.45">
      <c r="B133" s="539">
        <v>4554124001</v>
      </c>
      <c r="C133" s="542" t="s">
        <v>302</v>
      </c>
      <c r="D133" s="539">
        <v>1</v>
      </c>
      <c r="E133" s="539">
        <v>365</v>
      </c>
      <c r="F133" s="898"/>
      <c r="G133" s="57">
        <f t="shared" si="44"/>
        <v>0</v>
      </c>
      <c r="H133" s="60">
        <f>30*BC!$B$47/E133</f>
        <v>0</v>
      </c>
      <c r="I133" s="57">
        <f t="shared" si="45"/>
        <v>0</v>
      </c>
      <c r="J133" s="60">
        <f t="shared" si="46"/>
        <v>0</v>
      </c>
      <c r="K133" s="57">
        <v>1</v>
      </c>
      <c r="L133" s="148">
        <v>7</v>
      </c>
      <c r="M133" s="504">
        <v>178</v>
      </c>
      <c r="N133" s="91" t="e">
        <f t="shared" si="39"/>
        <v>#DIV/0!</v>
      </c>
      <c r="O133" s="148"/>
      <c r="P133" s="57">
        <f t="shared" si="47"/>
        <v>1</v>
      </c>
      <c r="Q133" s="57">
        <f t="shared" si="48"/>
        <v>1</v>
      </c>
      <c r="R133" s="97"/>
      <c r="S133" s="97"/>
      <c r="T133" s="97"/>
      <c r="U133" s="97"/>
      <c r="V133" s="97"/>
      <c r="W133" s="97"/>
      <c r="X133" s="97"/>
      <c r="Y133" s="97"/>
      <c r="Z133" s="97"/>
    </row>
    <row r="134" spans="2:31" x14ac:dyDescent="0.45">
      <c r="B134" s="539" t="s">
        <v>1165</v>
      </c>
      <c r="C134" s="542" t="s">
        <v>1166</v>
      </c>
      <c r="D134" s="539">
        <v>1</v>
      </c>
      <c r="E134" s="539">
        <v>365</v>
      </c>
      <c r="F134" s="898"/>
      <c r="G134" s="57">
        <f t="shared" si="44"/>
        <v>0</v>
      </c>
      <c r="H134" s="60">
        <f>30*BC!$B$47/E134</f>
        <v>0</v>
      </c>
      <c r="I134" s="57">
        <f t="shared" si="45"/>
        <v>0</v>
      </c>
      <c r="J134" s="60">
        <f t="shared" si="46"/>
        <v>0</v>
      </c>
      <c r="K134" s="57">
        <v>1</v>
      </c>
      <c r="L134" s="148">
        <v>7</v>
      </c>
      <c r="M134" s="504">
        <v>13</v>
      </c>
      <c r="N134" s="91" t="e">
        <f t="shared" si="39"/>
        <v>#DIV/0!</v>
      </c>
      <c r="O134" s="148"/>
      <c r="P134" s="57">
        <f t="shared" si="47"/>
        <v>1</v>
      </c>
      <c r="Q134" s="57">
        <f t="shared" si="48"/>
        <v>1</v>
      </c>
      <c r="R134" s="97"/>
      <c r="S134" s="97"/>
      <c r="T134" s="97"/>
      <c r="U134" s="97"/>
      <c r="V134" s="97"/>
      <c r="W134" s="97"/>
      <c r="X134" s="97"/>
      <c r="Y134" s="97"/>
      <c r="Z134" s="97"/>
    </row>
    <row r="135" spans="2:31" x14ac:dyDescent="0.45">
      <c r="B135" s="219"/>
      <c r="C135" s="220" t="s">
        <v>177</v>
      </c>
      <c r="D135" s="219"/>
      <c r="E135" s="219"/>
      <c r="F135" s="57"/>
      <c r="G135" s="57"/>
      <c r="H135" s="60"/>
      <c r="I135" s="57">
        <f t="shared" ref="I135" si="49">IF(G135&gt;H135,G135,H135)</f>
        <v>0</v>
      </c>
      <c r="J135" s="60">
        <f t="shared" ref="J135" si="50">ROUNDUP(I135,0)</f>
        <v>0</v>
      </c>
      <c r="K135" s="57">
        <f>BC!B47</f>
        <v>0</v>
      </c>
      <c r="L135" s="148">
        <v>1290</v>
      </c>
      <c r="M135" s="393">
        <f t="shared" si="41"/>
        <v>0</v>
      </c>
      <c r="N135" s="61"/>
      <c r="O135" s="148"/>
      <c r="P135" s="57"/>
      <c r="Q135" s="5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  <c r="AE135" s="97"/>
    </row>
    <row r="136" spans="2:31" x14ac:dyDescent="0.45">
      <c r="B136" s="97"/>
      <c r="C136" s="97"/>
      <c r="D136" s="97"/>
      <c r="E136" s="97"/>
      <c r="M136" s="221">
        <f>SUM(M76:M128)</f>
        <v>7139.08</v>
      </c>
      <c r="N136" s="250"/>
      <c r="O136" s="250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</row>
    <row r="137" spans="2:31" x14ac:dyDescent="0.45">
      <c r="B137" s="97"/>
      <c r="C137" s="97"/>
      <c r="D137" s="97"/>
      <c r="E137" s="97"/>
      <c r="M137" s="221" t="e">
        <f>M136/F74</f>
        <v>#DIV/0!</v>
      </c>
      <c r="N137" s="250"/>
      <c r="O137" s="250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</row>
    <row r="138" spans="2:31" x14ac:dyDescent="0.45">
      <c r="B138" s="97"/>
      <c r="C138" s="97"/>
      <c r="D138" s="97"/>
      <c r="E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</row>
    <row r="139" spans="2:31" x14ac:dyDescent="0.45">
      <c r="B139" s="97"/>
      <c r="C139" s="97"/>
      <c r="D139" s="97"/>
      <c r="E139" s="97"/>
      <c r="L139" s="253" t="e">
        <f>(L135/M74)*K135</f>
        <v>#DIV/0!</v>
      </c>
      <c r="M139" s="93" t="e">
        <f>O74-M74</f>
        <v>#DIV/0!</v>
      </c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  <c r="AE139" s="97"/>
    </row>
    <row r="140" spans="2:31" x14ac:dyDescent="0.45">
      <c r="B140" s="97"/>
      <c r="C140" s="97"/>
      <c r="D140" s="97"/>
      <c r="E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</row>
    <row r="141" spans="2:31" x14ac:dyDescent="0.45">
      <c r="B141" s="97"/>
      <c r="C141" s="97"/>
      <c r="D141" s="97"/>
      <c r="E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  <c r="AE141" s="97"/>
    </row>
    <row r="142" spans="2:31" ht="21" x14ac:dyDescent="0.45">
      <c r="B142" s="910" t="s">
        <v>831</v>
      </c>
      <c r="C142" s="911"/>
      <c r="D142" s="428" t="s">
        <v>183</v>
      </c>
      <c r="E142" s="417" t="s">
        <v>54</v>
      </c>
      <c r="F142" s="420" t="s">
        <v>193</v>
      </c>
      <c r="G142" s="419" t="s">
        <v>53</v>
      </c>
      <c r="H142" s="435" t="s">
        <v>52</v>
      </c>
      <c r="I142" s="420" t="s">
        <v>51</v>
      </c>
      <c r="J142" s="436"/>
      <c r="K142" s="437" t="s">
        <v>166</v>
      </c>
      <c r="L142" s="437" t="s">
        <v>167</v>
      </c>
      <c r="M142" s="437" t="s">
        <v>168</v>
      </c>
      <c r="N142" s="92" t="s">
        <v>176</v>
      </c>
      <c r="O142" s="437" t="s">
        <v>318</v>
      </c>
      <c r="P142" s="437" t="s">
        <v>319</v>
      </c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  <c r="AE142" s="97"/>
    </row>
    <row r="143" spans="2:31" x14ac:dyDescent="0.45">
      <c r="B143" s="220">
        <v>11183974216</v>
      </c>
      <c r="C143" s="220" t="s">
        <v>818</v>
      </c>
      <c r="D143" s="219">
        <v>10</v>
      </c>
      <c r="E143" s="219">
        <v>1</v>
      </c>
      <c r="F143" s="724">
        <f>'c311'!C131</f>
        <v>1</v>
      </c>
      <c r="G143" s="219">
        <f>30*BC!B47/E143</f>
        <v>0</v>
      </c>
      <c r="H143" s="57">
        <f>30*BC!$B$47/E143</f>
        <v>0</v>
      </c>
      <c r="I143" s="57">
        <f t="shared" ref="I143:I153" si="51">IF(G143&gt;H143,G143,H143)</f>
        <v>0</v>
      </c>
      <c r="J143" s="60">
        <f t="shared" ref="J143:J153" si="52">ROUNDUP(I143,0)</f>
        <v>0</v>
      </c>
      <c r="K143" s="57">
        <f>IF(F143&gt;0,J143,0)</f>
        <v>0</v>
      </c>
      <c r="L143" s="148">
        <v>6.1</v>
      </c>
      <c r="M143" s="148">
        <f t="shared" ref="M143:M153" si="53">L143*K143</f>
        <v>0</v>
      </c>
      <c r="N143" s="91" t="e">
        <f>((L143*$L$139)+L143)*D143</f>
        <v>#DIV/0!</v>
      </c>
      <c r="O143" s="57">
        <f t="shared" ref="O143:O153" si="54">K143/D143</f>
        <v>0</v>
      </c>
      <c r="P143" s="57">
        <f t="shared" ref="P143:P153" si="55">ROUNDUP(O143,0)</f>
        <v>0</v>
      </c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  <c r="AE143" s="97"/>
    </row>
    <row r="144" spans="2:31" x14ac:dyDescent="0.45">
      <c r="B144" s="220">
        <v>11183982216</v>
      </c>
      <c r="C144" s="220" t="s">
        <v>819</v>
      </c>
      <c r="D144" s="219">
        <v>10</v>
      </c>
      <c r="E144" s="219">
        <v>1</v>
      </c>
      <c r="F144" s="723"/>
      <c r="G144" s="219">
        <f>30*BC!B47/E144</f>
        <v>0</v>
      </c>
      <c r="H144" s="57">
        <f>30*BC!$B$47/E144</f>
        <v>0</v>
      </c>
      <c r="I144" s="57">
        <f t="shared" si="51"/>
        <v>0</v>
      </c>
      <c r="J144" s="60">
        <f t="shared" si="52"/>
        <v>0</v>
      </c>
      <c r="K144" s="57">
        <f>IF(F143&gt;0,J144,0)</f>
        <v>0</v>
      </c>
      <c r="L144" s="148">
        <v>6.1</v>
      </c>
      <c r="M144" s="148">
        <f t="shared" si="53"/>
        <v>0</v>
      </c>
      <c r="N144" s="91" t="e">
        <f t="shared" ref="N144:N153" si="56">((L144*$L$139)+L144)*D144</f>
        <v>#DIV/0!</v>
      </c>
      <c r="O144" s="57">
        <f t="shared" si="54"/>
        <v>0</v>
      </c>
      <c r="P144" s="57">
        <f t="shared" si="55"/>
        <v>0</v>
      </c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7"/>
      <c r="AE144" s="97"/>
    </row>
    <row r="145" spans="2:31" x14ac:dyDescent="0.45">
      <c r="B145" s="220">
        <v>11298500316</v>
      </c>
      <c r="C145" s="220" t="s">
        <v>820</v>
      </c>
      <c r="D145" s="219">
        <v>5</v>
      </c>
      <c r="E145" s="219">
        <v>74</v>
      </c>
      <c r="F145" s="723"/>
      <c r="G145" s="219">
        <f>(F143/(0.02*500)/100)</f>
        <v>1E-3</v>
      </c>
      <c r="H145" s="57">
        <f>30*BC!$B$47/E145</f>
        <v>0</v>
      </c>
      <c r="I145" s="57">
        <f t="shared" si="51"/>
        <v>1E-3</v>
      </c>
      <c r="J145" s="60">
        <f t="shared" si="52"/>
        <v>1</v>
      </c>
      <c r="K145" s="57">
        <f>IF(F143&gt;0,J145,0)</f>
        <v>1</v>
      </c>
      <c r="L145" s="148">
        <v>19.600000000000001</v>
      </c>
      <c r="M145" s="148">
        <f t="shared" si="53"/>
        <v>19.600000000000001</v>
      </c>
      <c r="N145" s="91" t="e">
        <f t="shared" si="56"/>
        <v>#DIV/0!</v>
      </c>
      <c r="O145" s="57">
        <f t="shared" si="54"/>
        <v>0.2</v>
      </c>
      <c r="P145" s="57">
        <f t="shared" si="55"/>
        <v>1</v>
      </c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  <c r="AE145" s="97"/>
    </row>
    <row r="146" spans="2:31" x14ac:dyDescent="0.45">
      <c r="B146" s="220">
        <v>4663632190</v>
      </c>
      <c r="C146" s="220" t="s">
        <v>821</v>
      </c>
      <c r="D146" s="219">
        <v>9</v>
      </c>
      <c r="E146" s="219">
        <v>12</v>
      </c>
      <c r="F146" s="723"/>
      <c r="G146" s="219">
        <f>30*BC!B47/E146</f>
        <v>0</v>
      </c>
      <c r="H146" s="57">
        <f>30*BC!$B$47/E146</f>
        <v>0</v>
      </c>
      <c r="I146" s="57">
        <f t="shared" si="51"/>
        <v>0</v>
      </c>
      <c r="J146" s="60">
        <f t="shared" si="52"/>
        <v>0</v>
      </c>
      <c r="K146" s="57">
        <f>IF(F143&gt;0,J146,0)</f>
        <v>0</v>
      </c>
      <c r="L146" s="148">
        <v>19.23</v>
      </c>
      <c r="M146" s="148">
        <f t="shared" si="53"/>
        <v>0</v>
      </c>
      <c r="N146" s="91" t="e">
        <f t="shared" si="56"/>
        <v>#DIV/0!</v>
      </c>
      <c r="O146" s="57">
        <f t="shared" si="54"/>
        <v>0</v>
      </c>
      <c r="P146" s="57">
        <f t="shared" si="55"/>
        <v>0</v>
      </c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  <c r="AE146" s="97"/>
    </row>
    <row r="147" spans="2:31" x14ac:dyDescent="0.45">
      <c r="B147" s="220">
        <v>4522630190</v>
      </c>
      <c r="C147" s="220" t="s">
        <v>834</v>
      </c>
      <c r="D147" s="219">
        <v>5</v>
      </c>
      <c r="E147" s="219">
        <v>14</v>
      </c>
      <c r="F147" s="723"/>
      <c r="G147" s="219">
        <f>(F143/(0.015*110)/100)</f>
        <v>6.0606060606060606E-3</v>
      </c>
      <c r="H147" s="57">
        <f>30*BC!$B$47/E147</f>
        <v>0</v>
      </c>
      <c r="I147" s="57">
        <f t="shared" si="51"/>
        <v>6.0606060606060606E-3</v>
      </c>
      <c r="J147" s="60">
        <f t="shared" si="52"/>
        <v>1</v>
      </c>
      <c r="K147" s="57">
        <f>IF(F143&gt;0,J147,0)</f>
        <v>1</v>
      </c>
      <c r="L147" s="148">
        <v>36.200000000000003</v>
      </c>
      <c r="M147" s="148">
        <f t="shared" si="53"/>
        <v>36.200000000000003</v>
      </c>
      <c r="N147" s="91" t="e">
        <f t="shared" si="56"/>
        <v>#DIV/0!</v>
      </c>
      <c r="O147" s="57">
        <f t="shared" si="54"/>
        <v>0.2</v>
      </c>
      <c r="P147" s="57">
        <f t="shared" si="55"/>
        <v>1</v>
      </c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  <c r="AE147" s="97"/>
    </row>
    <row r="148" spans="2:31" x14ac:dyDescent="0.45">
      <c r="B148" s="220">
        <v>4522320190</v>
      </c>
      <c r="C148" s="55" t="s">
        <v>833</v>
      </c>
      <c r="D148" s="219">
        <v>5</v>
      </c>
      <c r="E148" s="219">
        <v>14</v>
      </c>
      <c r="F148" s="723"/>
      <c r="G148" s="219">
        <f>(F143/(0.01*40)/100)</f>
        <v>2.5000000000000001E-2</v>
      </c>
      <c r="H148" s="57">
        <f>30*BC!$B$47/E148</f>
        <v>0</v>
      </c>
      <c r="I148" s="57">
        <f t="shared" si="51"/>
        <v>2.5000000000000001E-2</v>
      </c>
      <c r="J148" s="60">
        <f t="shared" si="52"/>
        <v>1</v>
      </c>
      <c r="K148" s="57">
        <f>IF(F143&gt;0,J148,0)</f>
        <v>1</v>
      </c>
      <c r="L148" s="148">
        <v>66.2</v>
      </c>
      <c r="M148" s="148">
        <f t="shared" si="53"/>
        <v>66.2</v>
      </c>
      <c r="N148" s="91" t="e">
        <f t="shared" si="56"/>
        <v>#DIV/0!</v>
      </c>
      <c r="O148" s="57">
        <f t="shared" si="54"/>
        <v>0.2</v>
      </c>
      <c r="P148" s="57">
        <f t="shared" si="55"/>
        <v>1</v>
      </c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7"/>
      <c r="AE148" s="97"/>
    </row>
    <row r="149" spans="2:31" x14ac:dyDescent="0.45">
      <c r="B149" s="220">
        <v>11360981216</v>
      </c>
      <c r="C149" s="220" t="s">
        <v>832</v>
      </c>
      <c r="D149" s="219">
        <v>5</v>
      </c>
      <c r="E149" s="219">
        <v>28</v>
      </c>
      <c r="F149" s="723"/>
      <c r="G149" s="219">
        <f>(F143/(0.02*50)/100)</f>
        <v>0.01</v>
      </c>
      <c r="H149" s="57">
        <f>30*BC!$B$47/E149</f>
        <v>0</v>
      </c>
      <c r="I149" s="57">
        <f t="shared" si="51"/>
        <v>0.01</v>
      </c>
      <c r="J149" s="60">
        <f t="shared" si="52"/>
        <v>1</v>
      </c>
      <c r="K149" s="57">
        <f>IF(F143&gt;0,J149,0)</f>
        <v>1</v>
      </c>
      <c r="L149" s="148">
        <v>51.6</v>
      </c>
      <c r="M149" s="148">
        <f t="shared" si="53"/>
        <v>51.6</v>
      </c>
      <c r="N149" s="91" t="e">
        <f t="shared" si="56"/>
        <v>#DIV/0!</v>
      </c>
      <c r="O149" s="57">
        <f t="shared" si="54"/>
        <v>0.2</v>
      </c>
      <c r="P149" s="57">
        <f t="shared" si="55"/>
        <v>1</v>
      </c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  <c r="AE149" s="97"/>
    </row>
    <row r="150" spans="2:31" x14ac:dyDescent="0.45">
      <c r="B150" s="220">
        <v>3149501001</v>
      </c>
      <c r="C150" s="220" t="s">
        <v>827</v>
      </c>
      <c r="D150" s="219">
        <v>1</v>
      </c>
      <c r="E150" s="219">
        <v>168</v>
      </c>
      <c r="F150" s="723"/>
      <c r="G150" s="57">
        <f>30*BC!$B$47/E150</f>
        <v>0</v>
      </c>
      <c r="H150" s="57">
        <f>30*BC!$B$47/E150</f>
        <v>0</v>
      </c>
      <c r="I150" s="57">
        <f t="shared" si="51"/>
        <v>0</v>
      </c>
      <c r="J150" s="60">
        <f t="shared" si="52"/>
        <v>0</v>
      </c>
      <c r="K150" s="57">
        <f>IF(F143&gt;0,J150,0)</f>
        <v>0</v>
      </c>
      <c r="L150" s="148">
        <v>755</v>
      </c>
      <c r="M150" s="148">
        <f t="shared" si="53"/>
        <v>0</v>
      </c>
      <c r="N150" s="91" t="e">
        <f t="shared" si="56"/>
        <v>#DIV/0!</v>
      </c>
      <c r="O150" s="57">
        <f t="shared" si="54"/>
        <v>0</v>
      </c>
      <c r="P150" s="57">
        <f t="shared" si="55"/>
        <v>0</v>
      </c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7"/>
      <c r="AE150" s="97"/>
    </row>
    <row r="151" spans="2:31" x14ac:dyDescent="0.45">
      <c r="B151" s="220">
        <v>10825468001</v>
      </c>
      <c r="C151" s="220" t="s">
        <v>828</v>
      </c>
      <c r="D151" s="219">
        <v>1</v>
      </c>
      <c r="E151" s="219">
        <v>56</v>
      </c>
      <c r="F151" s="723"/>
      <c r="G151" s="57">
        <f>30*BC!$B$47/E151</f>
        <v>0</v>
      </c>
      <c r="H151" s="57">
        <f>30*BC!$B$47/E151</f>
        <v>0</v>
      </c>
      <c r="I151" s="57">
        <f t="shared" si="51"/>
        <v>0</v>
      </c>
      <c r="J151" s="60">
        <f t="shared" si="52"/>
        <v>0</v>
      </c>
      <c r="K151" s="57">
        <f>IF(F143&gt;0,J151,0)</f>
        <v>0</v>
      </c>
      <c r="L151" s="148">
        <v>812</v>
      </c>
      <c r="M151" s="148">
        <f t="shared" si="53"/>
        <v>0</v>
      </c>
      <c r="N151" s="91" t="e">
        <f t="shared" si="56"/>
        <v>#DIV/0!</v>
      </c>
      <c r="O151" s="57">
        <f t="shared" si="54"/>
        <v>0</v>
      </c>
      <c r="P151" s="57">
        <f t="shared" si="55"/>
        <v>0</v>
      </c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7"/>
      <c r="AE151" s="97"/>
    </row>
    <row r="152" spans="2:31" x14ac:dyDescent="0.45">
      <c r="B152" s="220">
        <v>10825441001</v>
      </c>
      <c r="C152" s="220" t="s">
        <v>829</v>
      </c>
      <c r="D152" s="219">
        <v>1</v>
      </c>
      <c r="E152" s="219">
        <v>56</v>
      </c>
      <c r="F152" s="723"/>
      <c r="G152" s="57">
        <f>30*BC!$B$47/E152</f>
        <v>0</v>
      </c>
      <c r="H152" s="57">
        <f>30*BC!$B$47/E152</f>
        <v>0</v>
      </c>
      <c r="I152" s="57">
        <f t="shared" si="51"/>
        <v>0</v>
      </c>
      <c r="J152" s="60">
        <f t="shared" si="52"/>
        <v>0</v>
      </c>
      <c r="K152" s="57">
        <f>IF(F143&gt;0,J152,0)</f>
        <v>0</v>
      </c>
      <c r="L152" s="148">
        <v>812</v>
      </c>
      <c r="M152" s="148">
        <f t="shared" si="53"/>
        <v>0</v>
      </c>
      <c r="N152" s="91" t="e">
        <f t="shared" si="56"/>
        <v>#DIV/0!</v>
      </c>
      <c r="O152" s="57">
        <f t="shared" si="54"/>
        <v>0</v>
      </c>
      <c r="P152" s="57">
        <f t="shared" si="55"/>
        <v>0</v>
      </c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  <c r="AD152" s="97"/>
      <c r="AE152" s="97"/>
    </row>
    <row r="153" spans="2:31" x14ac:dyDescent="0.45">
      <c r="B153" s="220">
        <v>3246353001</v>
      </c>
      <c r="C153" s="220" t="s">
        <v>830</v>
      </c>
      <c r="D153" s="219">
        <v>1</v>
      </c>
      <c r="E153" s="219">
        <v>56</v>
      </c>
      <c r="F153" s="723"/>
      <c r="G153" s="57">
        <f>30*BC!$B$47/E153</f>
        <v>0</v>
      </c>
      <c r="H153" s="57">
        <f>30*BC!$B$47/E153</f>
        <v>0</v>
      </c>
      <c r="I153" s="57">
        <f t="shared" si="51"/>
        <v>0</v>
      </c>
      <c r="J153" s="60">
        <f t="shared" si="52"/>
        <v>0</v>
      </c>
      <c r="K153" s="57">
        <f>IF(F143&gt;0,J153,0)</f>
        <v>0</v>
      </c>
      <c r="L153" s="148">
        <v>1135</v>
      </c>
      <c r="M153" s="148">
        <f t="shared" si="53"/>
        <v>0</v>
      </c>
      <c r="N153" s="91" t="e">
        <f t="shared" si="56"/>
        <v>#DIV/0!</v>
      </c>
      <c r="O153" s="57">
        <f t="shared" si="54"/>
        <v>0</v>
      </c>
      <c r="P153" s="57">
        <f t="shared" si="55"/>
        <v>0</v>
      </c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</row>
    <row r="154" spans="2:31" x14ac:dyDescent="0.45">
      <c r="B154" s="97"/>
      <c r="C154" s="97"/>
      <c r="D154" s="97"/>
      <c r="E154" s="97"/>
      <c r="L154" s="438" t="s">
        <v>48</v>
      </c>
      <c r="M154" s="221">
        <f>SUM(M143:M153)</f>
        <v>173.6</v>
      </c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7"/>
      <c r="AE154" s="97"/>
    </row>
    <row r="155" spans="2:31" x14ac:dyDescent="0.45">
      <c r="B155" s="97"/>
      <c r="C155" s="97"/>
      <c r="D155" s="97"/>
      <c r="E155" s="97"/>
      <c r="L155" s="438" t="s">
        <v>835</v>
      </c>
      <c r="M155" s="221">
        <f>M154/F143</f>
        <v>173.6</v>
      </c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  <c r="AE155" s="97"/>
    </row>
    <row r="156" spans="2:31" x14ac:dyDescent="0.45">
      <c r="B156" s="97"/>
      <c r="C156" s="97"/>
      <c r="D156" s="97"/>
      <c r="E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D156" s="97"/>
      <c r="AE156" s="97"/>
    </row>
    <row r="157" spans="2:31" x14ac:dyDescent="0.45">
      <c r="B157" s="97"/>
      <c r="C157" s="97"/>
      <c r="D157" s="97"/>
      <c r="E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7"/>
      <c r="AE157" s="97"/>
    </row>
    <row r="158" spans="2:31" x14ac:dyDescent="0.45">
      <c r="B158" s="97"/>
      <c r="C158" s="97"/>
      <c r="D158" s="97"/>
      <c r="E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  <c r="AD158" s="97"/>
      <c r="AE158" s="97"/>
    </row>
    <row r="159" spans="2:31" x14ac:dyDescent="0.45">
      <c r="B159" s="97"/>
      <c r="C159" s="97"/>
      <c r="D159" s="97"/>
      <c r="E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  <c r="AD159" s="97"/>
      <c r="AE159" s="97"/>
    </row>
    <row r="160" spans="2:31" x14ac:dyDescent="0.45">
      <c r="B160" s="97"/>
      <c r="C160" s="97"/>
      <c r="D160" s="97"/>
      <c r="E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  <c r="AD160" s="97"/>
      <c r="AE160" s="97"/>
    </row>
    <row r="161" spans="2:31" x14ac:dyDescent="0.45">
      <c r="B161" s="97"/>
      <c r="C161" s="97"/>
      <c r="D161" s="97"/>
      <c r="E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</row>
    <row r="162" spans="2:31" x14ac:dyDescent="0.45">
      <c r="B162" s="97"/>
      <c r="C162" s="97"/>
      <c r="D162" s="97"/>
      <c r="E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  <c r="AD162" s="97"/>
      <c r="AE162" s="97"/>
    </row>
    <row r="163" spans="2:31" x14ac:dyDescent="0.45">
      <c r="B163" s="97"/>
      <c r="C163" s="97"/>
      <c r="D163" s="97"/>
      <c r="E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  <c r="AE163" s="97"/>
    </row>
    <row r="164" spans="2:31" x14ac:dyDescent="0.45">
      <c r="B164" s="97"/>
      <c r="C164" s="97"/>
      <c r="D164" s="97"/>
      <c r="E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  <c r="AD164" s="97"/>
      <c r="AE164" s="97"/>
    </row>
    <row r="165" spans="2:31" x14ac:dyDescent="0.45">
      <c r="B165" s="97"/>
      <c r="C165" s="97"/>
      <c r="D165" s="97"/>
      <c r="E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  <c r="AD165" s="97"/>
      <c r="AE165" s="97"/>
    </row>
    <row r="166" spans="2:31" x14ac:dyDescent="0.45">
      <c r="B166" s="97"/>
      <c r="C166" s="97"/>
      <c r="D166" s="97"/>
      <c r="E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</row>
    <row r="167" spans="2:31" x14ac:dyDescent="0.45">
      <c r="B167" s="97"/>
      <c r="C167" s="97"/>
      <c r="D167" s="97"/>
      <c r="E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7"/>
      <c r="AE167" s="97"/>
    </row>
    <row r="168" spans="2:31" x14ac:dyDescent="0.45">
      <c r="B168" s="97"/>
      <c r="C168" s="97"/>
      <c r="D168" s="97"/>
      <c r="E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  <c r="AD168" s="97"/>
      <c r="AE168" s="97"/>
    </row>
    <row r="169" spans="2:31" x14ac:dyDescent="0.45">
      <c r="B169" s="97"/>
      <c r="C169" s="97"/>
      <c r="D169" s="97"/>
      <c r="E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  <c r="AE169" s="97"/>
    </row>
    <row r="170" spans="2:31" x14ac:dyDescent="0.45">
      <c r="B170" s="97"/>
      <c r="C170" s="97"/>
      <c r="D170" s="97"/>
      <c r="E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  <c r="AD170" s="97"/>
      <c r="AE170" s="97"/>
    </row>
    <row r="171" spans="2:31" x14ac:dyDescent="0.45">
      <c r="B171" s="97"/>
      <c r="C171" s="97"/>
      <c r="D171" s="97"/>
      <c r="E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</row>
    <row r="172" spans="2:31" x14ac:dyDescent="0.45">
      <c r="B172" s="97"/>
      <c r="C172" s="97"/>
      <c r="D172" s="97"/>
      <c r="E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97"/>
      <c r="AD172" s="97"/>
      <c r="AE172" s="97"/>
    </row>
    <row r="173" spans="2:31" x14ac:dyDescent="0.45">
      <c r="B173" s="97"/>
      <c r="C173" s="97"/>
      <c r="D173" s="97"/>
      <c r="E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  <c r="AD173" s="97"/>
      <c r="AE173" s="97"/>
    </row>
    <row r="174" spans="2:31" x14ac:dyDescent="0.45">
      <c r="B174" s="97"/>
      <c r="C174" s="97"/>
      <c r="D174" s="97"/>
      <c r="E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  <c r="AC174" s="97"/>
      <c r="AD174" s="97"/>
      <c r="AE174" s="97"/>
    </row>
    <row r="175" spans="2:31" x14ac:dyDescent="0.45">
      <c r="B175" s="97"/>
      <c r="C175" s="97"/>
      <c r="D175" s="97"/>
      <c r="E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  <c r="AC175" s="97"/>
      <c r="AD175" s="97"/>
      <c r="AE175" s="97"/>
    </row>
    <row r="176" spans="2:31" x14ac:dyDescent="0.45">
      <c r="B176" s="97"/>
      <c r="C176" s="97"/>
      <c r="D176" s="97"/>
      <c r="E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  <c r="AC176" s="97"/>
      <c r="AD176" s="97"/>
      <c r="AE176" s="97"/>
    </row>
    <row r="177" spans="2:31" x14ac:dyDescent="0.45">
      <c r="B177" s="97"/>
      <c r="C177" s="97"/>
      <c r="D177" s="97"/>
      <c r="E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  <c r="AC177" s="97"/>
      <c r="AD177" s="97"/>
      <c r="AE177" s="97"/>
    </row>
    <row r="178" spans="2:31" x14ac:dyDescent="0.45">
      <c r="B178" s="97"/>
      <c r="C178" s="97"/>
      <c r="D178" s="97"/>
      <c r="E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97"/>
      <c r="AD178" s="97"/>
      <c r="AE178" s="97"/>
    </row>
    <row r="179" spans="2:31" x14ac:dyDescent="0.45">
      <c r="B179" s="97"/>
      <c r="C179" s="97"/>
      <c r="D179" s="97"/>
      <c r="E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  <c r="AB179" s="97"/>
      <c r="AC179" s="97"/>
      <c r="AD179" s="97"/>
      <c r="AE179" s="97"/>
    </row>
    <row r="180" spans="2:31" x14ac:dyDescent="0.45">
      <c r="B180" s="97"/>
      <c r="C180" s="97"/>
      <c r="D180" s="97"/>
      <c r="E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  <c r="AC180" s="97"/>
      <c r="AD180" s="97"/>
      <c r="AE180" s="97"/>
    </row>
    <row r="181" spans="2:31" x14ac:dyDescent="0.45">
      <c r="B181" s="97"/>
      <c r="C181" s="97"/>
      <c r="D181" s="97"/>
      <c r="E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97"/>
      <c r="AD181" s="97"/>
      <c r="AE181" s="97"/>
    </row>
    <row r="182" spans="2:31" x14ac:dyDescent="0.45">
      <c r="B182" s="97"/>
      <c r="C182" s="97"/>
      <c r="D182" s="97"/>
      <c r="E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</row>
    <row r="183" spans="2:31" x14ac:dyDescent="0.45">
      <c r="B183" s="97"/>
      <c r="C183" s="97"/>
      <c r="D183" s="97"/>
      <c r="E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</row>
    <row r="184" spans="2:31" x14ac:dyDescent="0.45">
      <c r="B184" s="97"/>
      <c r="C184" s="97"/>
      <c r="D184" s="97"/>
      <c r="E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97"/>
      <c r="AD184" s="97"/>
      <c r="AE184" s="97"/>
    </row>
    <row r="185" spans="2:31" x14ac:dyDescent="0.45">
      <c r="B185" s="97"/>
      <c r="C185" s="97"/>
      <c r="D185" s="97"/>
      <c r="E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97"/>
      <c r="AD185" s="97"/>
      <c r="AE185" s="97"/>
    </row>
    <row r="186" spans="2:31" x14ac:dyDescent="0.45">
      <c r="B186" s="97"/>
      <c r="C186" s="97"/>
      <c r="D186" s="97"/>
      <c r="E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97"/>
      <c r="AD186" s="97"/>
      <c r="AE186" s="97"/>
    </row>
    <row r="187" spans="2:31" x14ac:dyDescent="0.45">
      <c r="B187" s="97"/>
      <c r="C187" s="97"/>
      <c r="D187" s="97"/>
      <c r="E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  <c r="AC187" s="97"/>
      <c r="AD187" s="97"/>
      <c r="AE187" s="97"/>
    </row>
    <row r="188" spans="2:31" x14ac:dyDescent="0.45">
      <c r="B188" s="97"/>
      <c r="C188" s="97"/>
      <c r="D188" s="97"/>
      <c r="E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97"/>
      <c r="AD188" s="97"/>
      <c r="AE188" s="97"/>
    </row>
    <row r="189" spans="2:31" x14ac:dyDescent="0.45">
      <c r="B189" s="97"/>
      <c r="C189" s="97"/>
      <c r="D189" s="97"/>
      <c r="E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97"/>
      <c r="AD189" s="97"/>
      <c r="AE189" s="97"/>
    </row>
    <row r="190" spans="2:31" x14ac:dyDescent="0.45">
      <c r="B190" s="97"/>
      <c r="C190" s="97"/>
      <c r="D190" s="97"/>
      <c r="E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  <c r="AD190" s="97"/>
      <c r="AE190" s="97"/>
    </row>
    <row r="191" spans="2:31" x14ac:dyDescent="0.45">
      <c r="B191" s="97"/>
      <c r="C191" s="97"/>
      <c r="D191" s="97"/>
      <c r="E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  <c r="AD191" s="97"/>
      <c r="AE191" s="97"/>
    </row>
    <row r="192" spans="2:31" x14ac:dyDescent="0.45">
      <c r="B192" s="97"/>
      <c r="C192" s="97"/>
      <c r="D192" s="97"/>
      <c r="E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97"/>
      <c r="AD192" s="97"/>
      <c r="AE192" s="97"/>
    </row>
    <row r="193" spans="2:31" x14ac:dyDescent="0.45">
      <c r="B193" s="97"/>
      <c r="C193" s="97"/>
      <c r="D193" s="97"/>
      <c r="E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  <c r="AC193" s="97"/>
      <c r="AD193" s="97"/>
      <c r="AE193" s="97"/>
    </row>
    <row r="194" spans="2:31" x14ac:dyDescent="0.45">
      <c r="B194" s="97"/>
      <c r="C194" s="97"/>
      <c r="D194" s="97"/>
      <c r="E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97"/>
      <c r="AD194" s="97"/>
      <c r="AE194" s="97"/>
    </row>
    <row r="195" spans="2:31" x14ac:dyDescent="0.45">
      <c r="B195" s="97"/>
      <c r="C195" s="97"/>
      <c r="D195" s="97"/>
      <c r="E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  <c r="AC195" s="97"/>
      <c r="AD195" s="97"/>
      <c r="AE195" s="97"/>
    </row>
    <row r="196" spans="2:31" x14ac:dyDescent="0.45">
      <c r="B196" s="97"/>
      <c r="C196" s="97"/>
      <c r="D196" s="97"/>
      <c r="E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97"/>
      <c r="AD196" s="97"/>
      <c r="AE196" s="97"/>
    </row>
    <row r="197" spans="2:31" x14ac:dyDescent="0.45">
      <c r="B197" s="97"/>
      <c r="C197" s="97"/>
      <c r="D197" s="97"/>
      <c r="E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97"/>
      <c r="AD197" s="97"/>
      <c r="AE197" s="97"/>
    </row>
    <row r="198" spans="2:31" x14ac:dyDescent="0.45">
      <c r="B198" s="97"/>
      <c r="C198" s="97"/>
      <c r="D198" s="97"/>
      <c r="E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  <c r="AC198" s="97"/>
      <c r="AD198" s="97"/>
      <c r="AE198" s="97"/>
    </row>
    <row r="199" spans="2:31" x14ac:dyDescent="0.45">
      <c r="B199" s="97"/>
      <c r="C199" s="97"/>
      <c r="D199" s="97"/>
      <c r="E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  <c r="AC199" s="97"/>
      <c r="AD199" s="97"/>
      <c r="AE199" s="97"/>
    </row>
    <row r="200" spans="2:31" x14ac:dyDescent="0.45">
      <c r="B200" s="97"/>
      <c r="C200" s="97"/>
      <c r="D200" s="97"/>
      <c r="E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97"/>
      <c r="AD200" s="97"/>
      <c r="AE200" s="97"/>
    </row>
    <row r="201" spans="2:31" x14ac:dyDescent="0.45">
      <c r="B201" s="97"/>
      <c r="C201" s="97"/>
      <c r="D201" s="97"/>
      <c r="E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97"/>
      <c r="AD201" s="97"/>
      <c r="AE201" s="97"/>
    </row>
    <row r="202" spans="2:31" x14ac:dyDescent="0.45">
      <c r="B202" s="97"/>
      <c r="C202" s="97"/>
      <c r="D202" s="97"/>
      <c r="E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  <c r="AC202" s="97"/>
      <c r="AD202" s="97"/>
      <c r="AE202" s="97"/>
    </row>
    <row r="203" spans="2:31" x14ac:dyDescent="0.45">
      <c r="B203" s="97"/>
      <c r="C203" s="97"/>
      <c r="D203" s="97"/>
      <c r="E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  <c r="AD203" s="97"/>
      <c r="AE203" s="97"/>
    </row>
    <row r="204" spans="2:31" x14ac:dyDescent="0.45">
      <c r="B204" s="97"/>
      <c r="C204" s="97"/>
      <c r="D204" s="97"/>
      <c r="E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97"/>
      <c r="AD204" s="97"/>
      <c r="AE204" s="97"/>
    </row>
    <row r="205" spans="2:31" x14ac:dyDescent="0.45">
      <c r="B205" s="97"/>
      <c r="C205" s="97"/>
      <c r="D205" s="97"/>
      <c r="E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  <c r="AC205" s="97"/>
      <c r="AD205" s="97"/>
      <c r="AE205" s="97"/>
    </row>
    <row r="206" spans="2:31" x14ac:dyDescent="0.45">
      <c r="B206" s="97"/>
      <c r="C206" s="97"/>
      <c r="D206" s="97"/>
      <c r="E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  <c r="AD206" s="97"/>
      <c r="AE206" s="97"/>
    </row>
    <row r="207" spans="2:31" x14ac:dyDescent="0.45">
      <c r="B207" s="97"/>
      <c r="C207" s="97"/>
      <c r="D207" s="97"/>
      <c r="E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</row>
    <row r="208" spans="2:31" x14ac:dyDescent="0.45">
      <c r="B208" s="97"/>
      <c r="C208" s="97"/>
      <c r="D208" s="97"/>
      <c r="E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  <c r="AD208" s="97"/>
      <c r="AE208" s="97"/>
    </row>
    <row r="209" spans="2:31" x14ac:dyDescent="0.45">
      <c r="B209" s="97"/>
      <c r="C209" s="97"/>
      <c r="D209" s="97"/>
      <c r="E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97"/>
      <c r="AD209" s="97"/>
      <c r="AE209" s="97"/>
    </row>
    <row r="210" spans="2:31" x14ac:dyDescent="0.45">
      <c r="B210" s="97"/>
      <c r="C210" s="97"/>
      <c r="D210" s="97"/>
      <c r="E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  <c r="AB210" s="97"/>
      <c r="AC210" s="97"/>
      <c r="AD210" s="97"/>
      <c r="AE210" s="97"/>
    </row>
    <row r="211" spans="2:31" x14ac:dyDescent="0.45">
      <c r="B211" s="97"/>
      <c r="C211" s="97"/>
      <c r="D211" s="97"/>
      <c r="E211" s="97"/>
      <c r="R211" s="97"/>
      <c r="S211" s="97"/>
      <c r="T211" s="97"/>
      <c r="U211" s="97"/>
      <c r="V211" s="97"/>
      <c r="W211" s="97"/>
      <c r="X211" s="97"/>
      <c r="Y211" s="97"/>
      <c r="Z211" s="97"/>
      <c r="AA211" s="97"/>
      <c r="AB211" s="97"/>
      <c r="AC211" s="97"/>
      <c r="AD211" s="97"/>
      <c r="AE211" s="97"/>
    </row>
    <row r="212" spans="2:31" x14ac:dyDescent="0.45">
      <c r="B212" s="97"/>
      <c r="C212" s="97"/>
      <c r="D212" s="97"/>
      <c r="E212" s="97"/>
      <c r="R212" s="97"/>
      <c r="S212" s="97"/>
      <c r="T212" s="97"/>
      <c r="U212" s="97"/>
      <c r="V212" s="97"/>
      <c r="W212" s="97"/>
      <c r="X212" s="97"/>
      <c r="Y212" s="97"/>
      <c r="Z212" s="97"/>
      <c r="AA212" s="97"/>
      <c r="AB212" s="97"/>
      <c r="AC212" s="97"/>
      <c r="AD212" s="97"/>
      <c r="AE212" s="97"/>
    </row>
    <row r="213" spans="2:31" x14ac:dyDescent="0.45">
      <c r="B213" s="97"/>
      <c r="C213" s="97"/>
      <c r="D213" s="97"/>
      <c r="E213" s="97"/>
      <c r="R213" s="97"/>
      <c r="S213" s="97"/>
      <c r="T213" s="97"/>
      <c r="U213" s="97"/>
      <c r="V213" s="97"/>
      <c r="W213" s="97"/>
      <c r="X213" s="97"/>
      <c r="Y213" s="97"/>
      <c r="Z213" s="97"/>
      <c r="AA213" s="97"/>
      <c r="AB213" s="97"/>
      <c r="AC213" s="97"/>
      <c r="AD213" s="97"/>
      <c r="AE213" s="97"/>
    </row>
    <row r="214" spans="2:31" x14ac:dyDescent="0.45">
      <c r="B214" s="97"/>
      <c r="C214" s="97"/>
      <c r="D214" s="97"/>
      <c r="E214" s="97"/>
      <c r="R214" s="97"/>
      <c r="S214" s="97"/>
      <c r="T214" s="97"/>
      <c r="U214" s="97"/>
      <c r="V214" s="97"/>
      <c r="W214" s="97"/>
      <c r="X214" s="97"/>
      <c r="Y214" s="97"/>
      <c r="Z214" s="97"/>
      <c r="AA214" s="97"/>
      <c r="AB214" s="97"/>
      <c r="AC214" s="97"/>
      <c r="AD214" s="97"/>
      <c r="AE214" s="97"/>
    </row>
    <row r="215" spans="2:31" x14ac:dyDescent="0.45">
      <c r="B215" s="97"/>
      <c r="C215" s="97"/>
      <c r="D215" s="97"/>
      <c r="E215" s="97"/>
      <c r="R215" s="97"/>
      <c r="S215" s="97"/>
      <c r="T215" s="97"/>
      <c r="U215" s="97"/>
      <c r="V215" s="97"/>
      <c r="W215" s="97"/>
      <c r="X215" s="97"/>
      <c r="Y215" s="97"/>
      <c r="Z215" s="97"/>
      <c r="AA215" s="97"/>
      <c r="AB215" s="97"/>
      <c r="AC215" s="97"/>
      <c r="AD215" s="97"/>
      <c r="AE215" s="97"/>
    </row>
    <row r="216" spans="2:31" x14ac:dyDescent="0.45">
      <c r="B216" s="97"/>
      <c r="C216" s="97"/>
      <c r="D216" s="97"/>
      <c r="E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  <c r="AD216" s="97"/>
      <c r="AE216" s="97"/>
    </row>
    <row r="217" spans="2:31" x14ac:dyDescent="0.45">
      <c r="B217" s="97"/>
      <c r="C217" s="97"/>
      <c r="D217" s="97"/>
      <c r="E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97"/>
      <c r="AD217" s="97"/>
      <c r="AE217" s="97"/>
    </row>
    <row r="218" spans="2:31" x14ac:dyDescent="0.45">
      <c r="B218" s="97"/>
      <c r="C218" s="97"/>
      <c r="D218" s="97"/>
      <c r="E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  <c r="AD218" s="97"/>
      <c r="AE218" s="97"/>
    </row>
    <row r="219" spans="2:31" x14ac:dyDescent="0.45">
      <c r="B219" s="97"/>
      <c r="C219" s="97"/>
      <c r="D219" s="97"/>
      <c r="E219" s="97"/>
      <c r="R219" s="97"/>
      <c r="S219" s="97"/>
      <c r="T219" s="97"/>
      <c r="U219" s="97"/>
      <c r="V219" s="97"/>
      <c r="W219" s="97"/>
      <c r="X219" s="97"/>
      <c r="Y219" s="97"/>
      <c r="Z219" s="97"/>
      <c r="AA219" s="97"/>
      <c r="AB219" s="97"/>
      <c r="AC219" s="97"/>
      <c r="AD219" s="97"/>
      <c r="AE219" s="97"/>
    </row>
    <row r="220" spans="2:31" x14ac:dyDescent="0.45">
      <c r="B220" s="97"/>
      <c r="C220" s="97"/>
      <c r="D220" s="97"/>
      <c r="E220" s="97"/>
      <c r="R220" s="97"/>
      <c r="S220" s="97"/>
      <c r="T220" s="97"/>
      <c r="U220" s="97"/>
      <c r="V220" s="97"/>
      <c r="W220" s="97"/>
      <c r="X220" s="97"/>
      <c r="Y220" s="97"/>
      <c r="Z220" s="97"/>
      <c r="AA220" s="97"/>
      <c r="AB220" s="97"/>
      <c r="AC220" s="97"/>
      <c r="AD220" s="97"/>
      <c r="AE220" s="97"/>
    </row>
    <row r="221" spans="2:31" x14ac:dyDescent="0.45">
      <c r="B221" s="97"/>
      <c r="C221" s="97"/>
      <c r="D221" s="97"/>
      <c r="E221" s="97"/>
      <c r="R221" s="97"/>
      <c r="S221" s="97"/>
      <c r="T221" s="97"/>
      <c r="U221" s="97"/>
      <c r="V221" s="97"/>
      <c r="W221" s="97"/>
      <c r="X221" s="97"/>
      <c r="Y221" s="97"/>
      <c r="Z221" s="97"/>
      <c r="AA221" s="97"/>
      <c r="AB221" s="97"/>
      <c r="AC221" s="97"/>
      <c r="AD221" s="97"/>
      <c r="AE221" s="97"/>
    </row>
    <row r="222" spans="2:31" x14ac:dyDescent="0.45">
      <c r="B222" s="97"/>
      <c r="C222" s="97"/>
      <c r="D222" s="97"/>
      <c r="E222" s="97"/>
      <c r="R222" s="97"/>
      <c r="S222" s="97"/>
      <c r="T222" s="97"/>
      <c r="U222" s="97"/>
      <c r="V222" s="97"/>
      <c r="W222" s="97"/>
      <c r="X222" s="97"/>
      <c r="Y222" s="97"/>
      <c r="Z222" s="97"/>
      <c r="AA222" s="97"/>
      <c r="AB222" s="97"/>
      <c r="AC222" s="97"/>
      <c r="AD222" s="97"/>
      <c r="AE222" s="97"/>
    </row>
    <row r="223" spans="2:31" x14ac:dyDescent="0.45">
      <c r="B223" s="97"/>
      <c r="C223" s="97"/>
      <c r="D223" s="97"/>
      <c r="E223" s="97"/>
      <c r="R223" s="97"/>
      <c r="S223" s="97"/>
      <c r="T223" s="97"/>
      <c r="U223" s="97"/>
      <c r="V223" s="97"/>
      <c r="W223" s="97"/>
      <c r="X223" s="97"/>
      <c r="Y223" s="97"/>
      <c r="Z223" s="97"/>
      <c r="AA223" s="97"/>
      <c r="AB223" s="97"/>
      <c r="AC223" s="97"/>
      <c r="AD223" s="97"/>
      <c r="AE223" s="97"/>
    </row>
    <row r="224" spans="2:31" x14ac:dyDescent="0.45">
      <c r="B224" s="97"/>
      <c r="C224" s="97"/>
      <c r="D224" s="97"/>
      <c r="E224" s="97"/>
      <c r="R224" s="97"/>
      <c r="S224" s="97"/>
      <c r="T224" s="97"/>
      <c r="U224" s="97"/>
      <c r="V224" s="97"/>
      <c r="W224" s="97"/>
      <c r="X224" s="97"/>
      <c r="Y224" s="97"/>
      <c r="Z224" s="97"/>
      <c r="AA224" s="97"/>
      <c r="AB224" s="97"/>
      <c r="AC224" s="97"/>
      <c r="AD224" s="97"/>
      <c r="AE224" s="97"/>
    </row>
    <row r="225" spans="2:31" x14ac:dyDescent="0.45">
      <c r="B225" s="97"/>
      <c r="C225" s="97"/>
      <c r="D225" s="97"/>
      <c r="E225" s="97"/>
      <c r="R225" s="97"/>
      <c r="S225" s="97"/>
      <c r="T225" s="97"/>
      <c r="U225" s="97"/>
      <c r="V225" s="97"/>
      <c r="W225" s="97"/>
      <c r="X225" s="97"/>
      <c r="Y225" s="97"/>
      <c r="Z225" s="97"/>
      <c r="AA225" s="97"/>
      <c r="AB225" s="97"/>
      <c r="AC225" s="97"/>
      <c r="AD225" s="97"/>
      <c r="AE225" s="97"/>
    </row>
    <row r="226" spans="2:31" x14ac:dyDescent="0.45">
      <c r="B226" s="97"/>
      <c r="C226" s="97"/>
      <c r="D226" s="97"/>
      <c r="E226" s="97"/>
      <c r="R226" s="97"/>
      <c r="S226" s="97"/>
      <c r="T226" s="97"/>
      <c r="U226" s="97"/>
      <c r="V226" s="97"/>
      <c r="W226" s="97"/>
      <c r="X226" s="97"/>
      <c r="Y226" s="97"/>
      <c r="Z226" s="97"/>
      <c r="AA226" s="97"/>
      <c r="AB226" s="97"/>
      <c r="AC226" s="97"/>
      <c r="AD226" s="97"/>
      <c r="AE226" s="97"/>
    </row>
    <row r="227" spans="2:31" x14ac:dyDescent="0.45">
      <c r="B227" s="97"/>
      <c r="C227" s="97"/>
      <c r="D227" s="97"/>
      <c r="E227" s="97"/>
      <c r="R227" s="97"/>
      <c r="S227" s="97"/>
      <c r="T227" s="97"/>
      <c r="U227" s="97"/>
      <c r="V227" s="97"/>
      <c r="W227" s="97"/>
      <c r="X227" s="97"/>
      <c r="Y227" s="97"/>
      <c r="Z227" s="97"/>
      <c r="AA227" s="97"/>
      <c r="AB227" s="97"/>
      <c r="AC227" s="97"/>
      <c r="AD227" s="97"/>
      <c r="AE227" s="97"/>
    </row>
    <row r="228" spans="2:31" x14ac:dyDescent="0.45">
      <c r="B228" s="97"/>
      <c r="C228" s="97"/>
      <c r="D228" s="97"/>
      <c r="E228" s="97"/>
      <c r="R228" s="97"/>
      <c r="S228" s="97"/>
      <c r="T228" s="97"/>
      <c r="U228" s="97"/>
      <c r="V228" s="97"/>
      <c r="W228" s="97"/>
      <c r="X228" s="97"/>
      <c r="Y228" s="97"/>
      <c r="Z228" s="97"/>
      <c r="AA228" s="97"/>
      <c r="AB228" s="97"/>
      <c r="AC228" s="97"/>
      <c r="AD228" s="97"/>
      <c r="AE228" s="97"/>
    </row>
    <row r="229" spans="2:31" x14ac:dyDescent="0.45">
      <c r="B229" s="97"/>
      <c r="C229" s="97"/>
      <c r="D229" s="97"/>
      <c r="E229" s="97"/>
      <c r="R229" s="97"/>
      <c r="S229" s="97"/>
      <c r="T229" s="97"/>
      <c r="U229" s="97"/>
      <c r="V229" s="97"/>
      <c r="W229" s="97"/>
      <c r="X229" s="97"/>
      <c r="Y229" s="97"/>
      <c r="Z229" s="97"/>
      <c r="AA229" s="97"/>
      <c r="AB229" s="97"/>
      <c r="AC229" s="97"/>
      <c r="AD229" s="97"/>
      <c r="AE229" s="97"/>
    </row>
    <row r="230" spans="2:31" x14ac:dyDescent="0.45">
      <c r="B230" s="97"/>
      <c r="C230" s="97"/>
      <c r="D230" s="97"/>
      <c r="E230" s="97"/>
      <c r="R230" s="97"/>
      <c r="S230" s="97"/>
      <c r="T230" s="97"/>
      <c r="U230" s="97"/>
      <c r="V230" s="97"/>
      <c r="W230" s="97"/>
      <c r="X230" s="97"/>
      <c r="Y230" s="97"/>
      <c r="Z230" s="97"/>
      <c r="AA230" s="97"/>
      <c r="AB230" s="97"/>
      <c r="AC230" s="97"/>
      <c r="AD230" s="97"/>
      <c r="AE230" s="97"/>
    </row>
    <row r="231" spans="2:31" x14ac:dyDescent="0.45">
      <c r="B231" s="97"/>
      <c r="C231" s="97"/>
      <c r="D231" s="97"/>
      <c r="E231" s="97"/>
      <c r="R231" s="97"/>
      <c r="S231" s="97"/>
      <c r="T231" s="97"/>
      <c r="U231" s="97"/>
      <c r="V231" s="97"/>
      <c r="W231" s="97"/>
      <c r="X231" s="97"/>
      <c r="Y231" s="97"/>
      <c r="Z231" s="97"/>
      <c r="AA231" s="97"/>
      <c r="AB231" s="97"/>
      <c r="AC231" s="97"/>
      <c r="AD231" s="97"/>
      <c r="AE231" s="97"/>
    </row>
    <row r="232" spans="2:31" x14ac:dyDescent="0.45">
      <c r="B232" s="97"/>
      <c r="C232" s="97"/>
      <c r="D232" s="97"/>
      <c r="E232" s="97"/>
      <c r="R232" s="97"/>
      <c r="S232" s="97"/>
      <c r="T232" s="97"/>
      <c r="U232" s="97"/>
      <c r="V232" s="97"/>
      <c r="W232" s="97"/>
      <c r="X232" s="97"/>
      <c r="Y232" s="97"/>
      <c r="Z232" s="97"/>
      <c r="AA232" s="97"/>
      <c r="AB232" s="97"/>
      <c r="AC232" s="97"/>
      <c r="AD232" s="97"/>
      <c r="AE232" s="97"/>
    </row>
    <row r="233" spans="2:31" x14ac:dyDescent="0.45">
      <c r="B233" s="97"/>
      <c r="C233" s="97"/>
      <c r="D233" s="97"/>
      <c r="E233" s="97"/>
      <c r="R233" s="97"/>
      <c r="S233" s="97"/>
      <c r="T233" s="97"/>
      <c r="U233" s="97"/>
      <c r="V233" s="97"/>
      <c r="W233" s="97"/>
      <c r="X233" s="97"/>
      <c r="Y233" s="97"/>
      <c r="Z233" s="97"/>
      <c r="AA233" s="97"/>
      <c r="AB233" s="97"/>
      <c r="AC233" s="97"/>
      <c r="AD233" s="97"/>
      <c r="AE233" s="97"/>
    </row>
    <row r="234" spans="2:31" x14ac:dyDescent="0.45">
      <c r="B234" s="97"/>
      <c r="C234" s="97"/>
      <c r="D234" s="97"/>
      <c r="E234" s="97"/>
      <c r="R234" s="97"/>
      <c r="S234" s="97"/>
      <c r="T234" s="97"/>
      <c r="U234" s="97"/>
      <c r="V234" s="97"/>
      <c r="W234" s="97"/>
      <c r="X234" s="97"/>
      <c r="Y234" s="97"/>
      <c r="Z234" s="97"/>
      <c r="AA234" s="97"/>
      <c r="AB234" s="97"/>
      <c r="AC234" s="97"/>
      <c r="AD234" s="97"/>
      <c r="AE234" s="97"/>
    </row>
    <row r="235" spans="2:31" x14ac:dyDescent="0.45">
      <c r="B235" s="97"/>
      <c r="C235" s="97"/>
      <c r="D235" s="97"/>
      <c r="E235" s="97"/>
      <c r="R235" s="97"/>
      <c r="S235" s="97"/>
      <c r="T235" s="97"/>
      <c r="U235" s="97"/>
      <c r="V235" s="97"/>
      <c r="W235" s="97"/>
      <c r="X235" s="97"/>
      <c r="Y235" s="97"/>
      <c r="Z235" s="97"/>
      <c r="AA235" s="97"/>
      <c r="AB235" s="97"/>
      <c r="AC235" s="97"/>
      <c r="AD235" s="97"/>
      <c r="AE235" s="97"/>
    </row>
    <row r="236" spans="2:31" x14ac:dyDescent="0.45">
      <c r="B236" s="97"/>
      <c r="C236" s="97"/>
      <c r="D236" s="97"/>
      <c r="E236" s="97"/>
      <c r="R236" s="97"/>
      <c r="S236" s="97"/>
      <c r="T236" s="97"/>
      <c r="U236" s="97"/>
      <c r="V236" s="97"/>
      <c r="W236" s="97"/>
      <c r="X236" s="97"/>
      <c r="Y236" s="97"/>
      <c r="Z236" s="97"/>
      <c r="AA236" s="97"/>
      <c r="AB236" s="97"/>
      <c r="AC236" s="97"/>
      <c r="AD236" s="97"/>
      <c r="AE236" s="97"/>
    </row>
    <row r="237" spans="2:31" x14ac:dyDescent="0.45">
      <c r="B237" s="97"/>
      <c r="C237" s="97"/>
      <c r="D237" s="97"/>
      <c r="E237" s="97"/>
      <c r="R237" s="97"/>
      <c r="S237" s="97"/>
      <c r="T237" s="97"/>
      <c r="U237" s="97"/>
      <c r="V237" s="97"/>
      <c r="W237" s="97"/>
      <c r="X237" s="97"/>
      <c r="Y237" s="97"/>
      <c r="Z237" s="97"/>
      <c r="AA237" s="97"/>
      <c r="AB237" s="97"/>
      <c r="AC237" s="97"/>
      <c r="AD237" s="97"/>
      <c r="AE237" s="97"/>
    </row>
    <row r="238" spans="2:31" x14ac:dyDescent="0.45">
      <c r="B238" s="97"/>
      <c r="C238" s="97"/>
      <c r="D238" s="97"/>
      <c r="E238" s="97"/>
      <c r="R238" s="97"/>
      <c r="S238" s="97"/>
      <c r="T238" s="97"/>
      <c r="U238" s="97"/>
      <c r="V238" s="97"/>
      <c r="W238" s="97"/>
      <c r="X238" s="97"/>
      <c r="Y238" s="97"/>
      <c r="Z238" s="97"/>
      <c r="AA238" s="97"/>
      <c r="AB238" s="97"/>
      <c r="AC238" s="97"/>
      <c r="AD238" s="97"/>
      <c r="AE238" s="97"/>
    </row>
    <row r="239" spans="2:31" x14ac:dyDescent="0.45">
      <c r="B239" s="97"/>
      <c r="C239" s="97"/>
      <c r="D239" s="97"/>
      <c r="E239" s="97"/>
      <c r="R239" s="97"/>
      <c r="S239" s="97"/>
      <c r="T239" s="97"/>
      <c r="U239" s="97"/>
      <c r="V239" s="97"/>
      <c r="W239" s="97"/>
      <c r="X239" s="97"/>
      <c r="Y239" s="97"/>
      <c r="Z239" s="97"/>
      <c r="AA239" s="97"/>
      <c r="AB239" s="97"/>
      <c r="AC239" s="97"/>
      <c r="AD239" s="97"/>
      <c r="AE239" s="97"/>
    </row>
    <row r="240" spans="2:31" x14ac:dyDescent="0.45">
      <c r="B240" s="97"/>
      <c r="C240" s="97"/>
      <c r="D240" s="97"/>
      <c r="E240" s="97"/>
      <c r="R240" s="97"/>
      <c r="S240" s="97"/>
      <c r="T240" s="97"/>
      <c r="U240" s="97"/>
      <c r="V240" s="97"/>
      <c r="W240" s="97"/>
      <c r="X240" s="97"/>
      <c r="Y240" s="97"/>
      <c r="Z240" s="97"/>
      <c r="AA240" s="97"/>
      <c r="AB240" s="97"/>
      <c r="AC240" s="97"/>
      <c r="AD240" s="97"/>
      <c r="AE240" s="97"/>
    </row>
    <row r="241" spans="2:31" x14ac:dyDescent="0.45">
      <c r="B241" s="97"/>
      <c r="C241" s="97"/>
      <c r="D241" s="97"/>
      <c r="E241" s="97"/>
      <c r="R241" s="97"/>
      <c r="S241" s="97"/>
      <c r="T241" s="97"/>
      <c r="U241" s="97"/>
      <c r="V241" s="97"/>
      <c r="W241" s="97"/>
      <c r="X241" s="97"/>
      <c r="Y241" s="97"/>
      <c r="Z241" s="97"/>
      <c r="AA241" s="97"/>
      <c r="AB241" s="97"/>
      <c r="AC241" s="97"/>
      <c r="AD241" s="97"/>
      <c r="AE241" s="97"/>
    </row>
    <row r="242" spans="2:31" x14ac:dyDescent="0.45">
      <c r="B242" s="97"/>
      <c r="C242" s="97"/>
      <c r="D242" s="97"/>
      <c r="E242" s="97"/>
      <c r="R242" s="97"/>
      <c r="S242" s="97"/>
      <c r="T242" s="97"/>
      <c r="U242" s="97"/>
      <c r="V242" s="97"/>
      <c r="W242" s="97"/>
      <c r="X242" s="97"/>
      <c r="Y242" s="97"/>
      <c r="Z242" s="97"/>
      <c r="AA242" s="97"/>
      <c r="AB242" s="97"/>
      <c r="AC242" s="97"/>
      <c r="AD242" s="97"/>
      <c r="AE242" s="97"/>
    </row>
    <row r="243" spans="2:31" x14ac:dyDescent="0.45">
      <c r="B243" s="97"/>
      <c r="C243" s="97"/>
      <c r="D243" s="97"/>
      <c r="E243" s="97"/>
      <c r="R243" s="97"/>
      <c r="S243" s="97"/>
      <c r="T243" s="97"/>
      <c r="U243" s="97"/>
      <c r="V243" s="97"/>
      <c r="W243" s="97"/>
      <c r="X243" s="97"/>
      <c r="Y243" s="97"/>
      <c r="Z243" s="97"/>
      <c r="AA243" s="97"/>
      <c r="AB243" s="97"/>
      <c r="AC243" s="97"/>
      <c r="AD243" s="97"/>
      <c r="AE243" s="97"/>
    </row>
    <row r="244" spans="2:31" x14ac:dyDescent="0.45">
      <c r="B244" s="97"/>
      <c r="C244" s="97"/>
      <c r="D244" s="97"/>
      <c r="E244" s="97"/>
      <c r="R244" s="97"/>
      <c r="S244" s="97"/>
      <c r="T244" s="97"/>
      <c r="U244" s="97"/>
      <c r="V244" s="97"/>
      <c r="W244" s="97"/>
      <c r="X244" s="97"/>
      <c r="Y244" s="97"/>
      <c r="Z244" s="97"/>
      <c r="AA244" s="97"/>
      <c r="AB244" s="97"/>
      <c r="AC244" s="97"/>
      <c r="AD244" s="97"/>
      <c r="AE244" s="97"/>
    </row>
    <row r="245" spans="2:31" x14ac:dyDescent="0.45">
      <c r="B245" s="97"/>
      <c r="C245" s="97"/>
      <c r="D245" s="97"/>
      <c r="E245" s="97"/>
      <c r="R245" s="97"/>
      <c r="S245" s="97"/>
      <c r="T245" s="97"/>
      <c r="U245" s="97"/>
      <c r="V245" s="97"/>
      <c r="W245" s="97"/>
      <c r="X245" s="97"/>
      <c r="Y245" s="97"/>
      <c r="Z245" s="97"/>
      <c r="AA245" s="97"/>
      <c r="AB245" s="97"/>
      <c r="AC245" s="97"/>
      <c r="AD245" s="97"/>
      <c r="AE245" s="97"/>
    </row>
    <row r="246" spans="2:31" x14ac:dyDescent="0.45">
      <c r="B246" s="97"/>
      <c r="C246" s="97"/>
      <c r="D246" s="97"/>
      <c r="E246" s="97"/>
      <c r="R246" s="97"/>
      <c r="S246" s="97"/>
      <c r="T246" s="97"/>
      <c r="U246" s="97"/>
      <c r="V246" s="97"/>
      <c r="W246" s="97"/>
      <c r="X246" s="97"/>
      <c r="Y246" s="97"/>
      <c r="Z246" s="97"/>
      <c r="AA246" s="97"/>
      <c r="AB246" s="97"/>
      <c r="AC246" s="97"/>
      <c r="AD246" s="97"/>
      <c r="AE246" s="97"/>
    </row>
    <row r="247" spans="2:31" x14ac:dyDescent="0.45">
      <c r="B247" s="97"/>
      <c r="C247" s="97"/>
      <c r="D247" s="97"/>
      <c r="E247" s="97"/>
      <c r="R247" s="97"/>
      <c r="S247" s="97"/>
      <c r="T247" s="97"/>
      <c r="U247" s="97"/>
      <c r="V247" s="97"/>
      <c r="W247" s="97"/>
      <c r="X247" s="97"/>
      <c r="Y247" s="97"/>
      <c r="Z247" s="97"/>
      <c r="AA247" s="97"/>
      <c r="AB247" s="97"/>
      <c r="AC247" s="97"/>
      <c r="AD247" s="97"/>
      <c r="AE247" s="97"/>
    </row>
    <row r="248" spans="2:31" x14ac:dyDescent="0.45">
      <c r="B248" s="97"/>
      <c r="C248" s="97"/>
      <c r="D248" s="97"/>
      <c r="E248" s="97"/>
      <c r="R248" s="97"/>
      <c r="S248" s="97"/>
      <c r="T248" s="97"/>
      <c r="U248" s="97"/>
      <c r="V248" s="97"/>
      <c r="W248" s="97"/>
      <c r="X248" s="97"/>
      <c r="Y248" s="97"/>
      <c r="Z248" s="97"/>
      <c r="AA248" s="97"/>
      <c r="AB248" s="97"/>
      <c r="AC248" s="97"/>
      <c r="AD248" s="97"/>
      <c r="AE248" s="97"/>
    </row>
    <row r="249" spans="2:31" x14ac:dyDescent="0.45">
      <c r="B249" s="97"/>
      <c r="C249" s="97"/>
      <c r="D249" s="97"/>
      <c r="E249" s="97"/>
      <c r="R249" s="97"/>
      <c r="S249" s="97"/>
      <c r="T249" s="97"/>
      <c r="U249" s="97"/>
      <c r="V249" s="97"/>
      <c r="W249" s="97"/>
      <c r="X249" s="97"/>
      <c r="Y249" s="97"/>
      <c r="Z249" s="97"/>
      <c r="AA249" s="97"/>
      <c r="AB249" s="97"/>
      <c r="AC249" s="97"/>
      <c r="AD249" s="97"/>
      <c r="AE249" s="97"/>
    </row>
    <row r="250" spans="2:31" x14ac:dyDescent="0.45">
      <c r="B250" s="97"/>
      <c r="C250" s="97"/>
      <c r="D250" s="97"/>
      <c r="E250" s="97"/>
      <c r="R250" s="97"/>
      <c r="S250" s="97"/>
      <c r="T250" s="97"/>
      <c r="U250" s="97"/>
      <c r="V250" s="97"/>
      <c r="W250" s="97"/>
      <c r="X250" s="97"/>
      <c r="Y250" s="97"/>
      <c r="Z250" s="97"/>
      <c r="AA250" s="97"/>
      <c r="AB250" s="97"/>
      <c r="AC250" s="97"/>
      <c r="AD250" s="97"/>
      <c r="AE250" s="97"/>
    </row>
    <row r="251" spans="2:31" x14ac:dyDescent="0.45">
      <c r="B251" s="97"/>
      <c r="C251" s="97"/>
      <c r="D251" s="97"/>
      <c r="E251" s="97"/>
      <c r="R251" s="97"/>
      <c r="S251" s="97"/>
      <c r="T251" s="97"/>
      <c r="U251" s="97"/>
      <c r="V251" s="97"/>
      <c r="W251" s="97"/>
      <c r="X251" s="97"/>
      <c r="Y251" s="97"/>
      <c r="Z251" s="97"/>
      <c r="AA251" s="97"/>
      <c r="AB251" s="97"/>
      <c r="AC251" s="97"/>
      <c r="AD251" s="97"/>
      <c r="AE251" s="97"/>
    </row>
    <row r="252" spans="2:31" x14ac:dyDescent="0.45">
      <c r="B252" s="97"/>
      <c r="C252" s="97"/>
      <c r="D252" s="97"/>
      <c r="E252" s="97"/>
      <c r="R252" s="97"/>
      <c r="S252" s="97"/>
      <c r="T252" s="97"/>
      <c r="U252" s="97"/>
      <c r="V252" s="97"/>
      <c r="W252" s="97"/>
      <c r="X252" s="97"/>
      <c r="Y252" s="97"/>
      <c r="Z252" s="97"/>
      <c r="AA252" s="97"/>
      <c r="AB252" s="97"/>
      <c r="AC252" s="97"/>
      <c r="AD252" s="97"/>
      <c r="AE252" s="97"/>
    </row>
    <row r="253" spans="2:31" x14ac:dyDescent="0.45">
      <c r="B253" s="97"/>
      <c r="C253" s="97"/>
      <c r="D253" s="97"/>
      <c r="E253" s="97"/>
      <c r="R253" s="97"/>
      <c r="S253" s="97"/>
      <c r="T253" s="97"/>
      <c r="U253" s="97"/>
      <c r="V253" s="97"/>
      <c r="W253" s="97"/>
      <c r="X253" s="97"/>
      <c r="Y253" s="97"/>
      <c r="Z253" s="97"/>
      <c r="AA253" s="97"/>
      <c r="AB253" s="97"/>
      <c r="AC253" s="97"/>
      <c r="AD253" s="97"/>
      <c r="AE253" s="97"/>
    </row>
    <row r="254" spans="2:31" x14ac:dyDescent="0.45">
      <c r="B254" s="97"/>
      <c r="C254" s="97"/>
      <c r="D254" s="97"/>
      <c r="E254" s="97"/>
      <c r="R254" s="97"/>
      <c r="S254" s="97"/>
      <c r="T254" s="97"/>
      <c r="U254" s="97"/>
      <c r="V254" s="97"/>
      <c r="W254" s="97"/>
      <c r="X254" s="97"/>
      <c r="Y254" s="97"/>
      <c r="Z254" s="97"/>
      <c r="AA254" s="97"/>
      <c r="AB254" s="97"/>
      <c r="AC254" s="97"/>
      <c r="AD254" s="97"/>
      <c r="AE254" s="97"/>
    </row>
    <row r="255" spans="2:31" x14ac:dyDescent="0.45">
      <c r="B255" s="97"/>
      <c r="C255" s="97"/>
      <c r="D255" s="97"/>
      <c r="E255" s="97"/>
      <c r="R255" s="97"/>
      <c r="S255" s="97"/>
      <c r="T255" s="97"/>
      <c r="U255" s="97"/>
      <c r="V255" s="97"/>
      <c r="W255" s="97"/>
      <c r="X255" s="97"/>
      <c r="Y255" s="97"/>
      <c r="Z255" s="97"/>
      <c r="AA255" s="97"/>
      <c r="AB255" s="97"/>
      <c r="AC255" s="97"/>
      <c r="AD255" s="97"/>
      <c r="AE255" s="97"/>
    </row>
    <row r="256" spans="2:31" x14ac:dyDescent="0.45">
      <c r="B256" s="97"/>
      <c r="C256" s="97"/>
      <c r="D256" s="97"/>
      <c r="E256" s="97"/>
      <c r="R256" s="97"/>
      <c r="S256" s="97"/>
      <c r="T256" s="97"/>
      <c r="U256" s="97"/>
      <c r="V256" s="97"/>
      <c r="W256" s="97"/>
      <c r="X256" s="97"/>
      <c r="Y256" s="97"/>
      <c r="Z256" s="97"/>
      <c r="AA256" s="97"/>
      <c r="AB256" s="97"/>
      <c r="AC256" s="97"/>
      <c r="AD256" s="97"/>
      <c r="AE256" s="97"/>
    </row>
    <row r="257" spans="2:31" x14ac:dyDescent="0.45">
      <c r="B257" s="97"/>
      <c r="C257" s="97"/>
      <c r="D257" s="97"/>
      <c r="E257" s="97"/>
      <c r="R257" s="97"/>
      <c r="S257" s="97"/>
      <c r="T257" s="97"/>
      <c r="U257" s="97"/>
      <c r="V257" s="97"/>
      <c r="W257" s="97"/>
      <c r="X257" s="97"/>
      <c r="Y257" s="97"/>
      <c r="Z257" s="97"/>
      <c r="AA257" s="97"/>
      <c r="AB257" s="97"/>
      <c r="AC257" s="97"/>
      <c r="AD257" s="97"/>
      <c r="AE257" s="97"/>
    </row>
    <row r="258" spans="2:31" x14ac:dyDescent="0.45">
      <c r="B258" s="97"/>
      <c r="C258" s="97"/>
      <c r="D258" s="97"/>
      <c r="E258" s="97"/>
      <c r="R258" s="97"/>
      <c r="S258" s="97"/>
      <c r="T258" s="97"/>
      <c r="U258" s="97"/>
      <c r="V258" s="97"/>
      <c r="W258" s="97"/>
      <c r="X258" s="97"/>
      <c r="Y258" s="97"/>
      <c r="Z258" s="97"/>
      <c r="AA258" s="97"/>
      <c r="AB258" s="97"/>
      <c r="AC258" s="97"/>
      <c r="AD258" s="97"/>
      <c r="AE258" s="97"/>
    </row>
    <row r="259" spans="2:31" x14ac:dyDescent="0.45">
      <c r="B259" s="97"/>
      <c r="C259" s="97"/>
      <c r="D259" s="97"/>
      <c r="E259" s="97"/>
      <c r="R259" s="97"/>
      <c r="S259" s="97"/>
      <c r="T259" s="97"/>
      <c r="U259" s="97"/>
      <c r="V259" s="97"/>
      <c r="W259" s="97"/>
      <c r="X259" s="97"/>
      <c r="Y259" s="97"/>
      <c r="Z259" s="97"/>
      <c r="AA259" s="97"/>
      <c r="AB259" s="97"/>
      <c r="AC259" s="97"/>
      <c r="AD259" s="97"/>
      <c r="AE259" s="97"/>
    </row>
    <row r="260" spans="2:31" x14ac:dyDescent="0.45">
      <c r="B260" s="97"/>
      <c r="C260" s="97"/>
      <c r="D260" s="97"/>
      <c r="E260" s="97"/>
      <c r="R260" s="97"/>
      <c r="S260" s="97"/>
      <c r="T260" s="97"/>
      <c r="U260" s="97"/>
      <c r="V260" s="97"/>
      <c r="W260" s="97"/>
      <c r="X260" s="97"/>
      <c r="Y260" s="97"/>
      <c r="Z260" s="97"/>
      <c r="AA260" s="97"/>
      <c r="AB260" s="97"/>
      <c r="AC260" s="97"/>
      <c r="AD260" s="97"/>
      <c r="AE260" s="97"/>
    </row>
    <row r="261" spans="2:31" x14ac:dyDescent="0.45">
      <c r="B261" s="97"/>
      <c r="C261" s="97"/>
      <c r="D261" s="97"/>
      <c r="E261" s="97"/>
      <c r="R261" s="97"/>
      <c r="S261" s="97"/>
      <c r="T261" s="97"/>
      <c r="U261" s="97"/>
      <c r="V261" s="97"/>
      <c r="W261" s="97"/>
      <c r="X261" s="97"/>
      <c r="Y261" s="97"/>
      <c r="Z261" s="97"/>
      <c r="AA261" s="97"/>
      <c r="AB261" s="97"/>
      <c r="AC261" s="97"/>
      <c r="AD261" s="97"/>
      <c r="AE261" s="97"/>
    </row>
    <row r="262" spans="2:31" x14ac:dyDescent="0.45">
      <c r="B262" s="97"/>
      <c r="C262" s="97"/>
      <c r="D262" s="97"/>
      <c r="E262" s="97"/>
      <c r="R262" s="97"/>
      <c r="S262" s="97"/>
      <c r="T262" s="97"/>
      <c r="U262" s="97"/>
      <c r="V262" s="97"/>
      <c r="W262" s="97"/>
      <c r="X262" s="97"/>
      <c r="Y262" s="97"/>
      <c r="Z262" s="97"/>
      <c r="AA262" s="97"/>
      <c r="AB262" s="97"/>
      <c r="AC262" s="97"/>
      <c r="AD262" s="97"/>
      <c r="AE262" s="97"/>
    </row>
    <row r="263" spans="2:31" x14ac:dyDescent="0.45">
      <c r="B263" s="97"/>
      <c r="C263" s="97"/>
      <c r="D263" s="97"/>
      <c r="E263" s="97"/>
      <c r="R263" s="97"/>
      <c r="S263" s="97"/>
      <c r="T263" s="97"/>
      <c r="U263" s="97"/>
      <c r="V263" s="97"/>
      <c r="W263" s="97"/>
      <c r="X263" s="97"/>
      <c r="Y263" s="97"/>
      <c r="Z263" s="97"/>
      <c r="AA263" s="97"/>
      <c r="AB263" s="97"/>
      <c r="AC263" s="97"/>
      <c r="AD263" s="97"/>
      <c r="AE263" s="97"/>
    </row>
    <row r="264" spans="2:31" x14ac:dyDescent="0.45">
      <c r="B264" s="97"/>
      <c r="C264" s="97"/>
      <c r="D264" s="97"/>
      <c r="E264" s="97"/>
      <c r="R264" s="97"/>
      <c r="S264" s="97"/>
      <c r="T264" s="97"/>
      <c r="U264" s="97"/>
      <c r="V264" s="97"/>
      <c r="W264" s="97"/>
      <c r="X264" s="97"/>
      <c r="Y264" s="97"/>
      <c r="Z264" s="97"/>
      <c r="AA264" s="97"/>
      <c r="AB264" s="97"/>
      <c r="AC264" s="97"/>
      <c r="AD264" s="97"/>
      <c r="AE264" s="97"/>
    </row>
    <row r="265" spans="2:31" x14ac:dyDescent="0.45">
      <c r="B265" s="97"/>
      <c r="C265" s="97"/>
      <c r="D265" s="97"/>
      <c r="E265" s="97"/>
      <c r="R265" s="97"/>
      <c r="S265" s="97"/>
      <c r="T265" s="97"/>
      <c r="U265" s="97"/>
      <c r="V265" s="97"/>
      <c r="W265" s="97"/>
      <c r="X265" s="97"/>
      <c r="Y265" s="97"/>
      <c r="Z265" s="97"/>
      <c r="AA265" s="97"/>
      <c r="AB265" s="97"/>
      <c r="AC265" s="97"/>
      <c r="AD265" s="97"/>
      <c r="AE265" s="97"/>
    </row>
    <row r="266" spans="2:31" x14ac:dyDescent="0.45">
      <c r="B266" s="97"/>
      <c r="C266" s="97"/>
      <c r="D266" s="97"/>
      <c r="E266" s="97"/>
      <c r="R266" s="97"/>
      <c r="S266" s="97"/>
      <c r="T266" s="97"/>
      <c r="U266" s="97"/>
      <c r="V266" s="97"/>
      <c r="W266" s="97"/>
      <c r="X266" s="97"/>
      <c r="Y266" s="97"/>
      <c r="Z266" s="97"/>
      <c r="AA266" s="97"/>
      <c r="AB266" s="97"/>
      <c r="AC266" s="97"/>
      <c r="AD266" s="97"/>
      <c r="AE266" s="97"/>
    </row>
    <row r="267" spans="2:31" x14ac:dyDescent="0.45">
      <c r="B267" s="97"/>
      <c r="C267" s="97"/>
      <c r="D267" s="97"/>
      <c r="E267" s="97"/>
      <c r="R267" s="97"/>
      <c r="S267" s="97"/>
      <c r="T267" s="97"/>
      <c r="U267" s="97"/>
      <c r="V267" s="97"/>
      <c r="W267" s="97"/>
      <c r="X267" s="97"/>
      <c r="Y267" s="97"/>
      <c r="Z267" s="97"/>
      <c r="AA267" s="97"/>
      <c r="AB267" s="97"/>
      <c r="AC267" s="97"/>
      <c r="AD267" s="97"/>
      <c r="AE267" s="97"/>
    </row>
    <row r="268" spans="2:31" x14ac:dyDescent="0.45">
      <c r="B268" s="97"/>
      <c r="C268" s="97"/>
      <c r="D268" s="97"/>
      <c r="E268" s="97"/>
      <c r="R268" s="97"/>
      <c r="S268" s="97"/>
      <c r="T268" s="97"/>
      <c r="U268" s="97"/>
      <c r="V268" s="97"/>
      <c r="W268" s="97"/>
      <c r="X268" s="97"/>
      <c r="Y268" s="97"/>
      <c r="Z268" s="97"/>
      <c r="AA268" s="97"/>
      <c r="AB268" s="97"/>
      <c r="AC268" s="97"/>
      <c r="AD268" s="97"/>
      <c r="AE268" s="97"/>
    </row>
    <row r="269" spans="2:31" x14ac:dyDescent="0.45">
      <c r="B269" s="97"/>
      <c r="C269" s="97"/>
      <c r="D269" s="97"/>
      <c r="E269" s="97"/>
      <c r="R269" s="97"/>
      <c r="S269" s="97"/>
      <c r="T269" s="97"/>
      <c r="U269" s="97"/>
      <c r="V269" s="97"/>
      <c r="W269" s="97"/>
      <c r="X269" s="97"/>
      <c r="Y269" s="97"/>
      <c r="Z269" s="97"/>
      <c r="AA269" s="97"/>
      <c r="AB269" s="97"/>
      <c r="AC269" s="97"/>
      <c r="AD269" s="97"/>
      <c r="AE269" s="97"/>
    </row>
    <row r="270" spans="2:31" x14ac:dyDescent="0.45">
      <c r="B270" s="97"/>
      <c r="C270" s="97"/>
      <c r="D270" s="97"/>
      <c r="E270" s="97"/>
      <c r="R270" s="97"/>
      <c r="S270" s="97"/>
      <c r="T270" s="97"/>
      <c r="U270" s="97"/>
      <c r="V270" s="97"/>
      <c r="W270" s="97"/>
      <c r="X270" s="97"/>
      <c r="Y270" s="97"/>
      <c r="Z270" s="97"/>
      <c r="AA270" s="97"/>
      <c r="AB270" s="97"/>
      <c r="AC270" s="97"/>
      <c r="AD270" s="97"/>
      <c r="AE270" s="97"/>
    </row>
    <row r="271" spans="2:31" x14ac:dyDescent="0.45">
      <c r="B271" s="97"/>
      <c r="C271" s="97"/>
      <c r="D271" s="97"/>
      <c r="E271" s="97"/>
      <c r="R271" s="97"/>
      <c r="S271" s="97"/>
      <c r="T271" s="97"/>
      <c r="U271" s="97"/>
      <c r="V271" s="97"/>
      <c r="W271" s="97"/>
      <c r="X271" s="97"/>
      <c r="Y271" s="97"/>
      <c r="Z271" s="97"/>
      <c r="AA271" s="97"/>
      <c r="AB271" s="97"/>
      <c r="AC271" s="97"/>
      <c r="AD271" s="97"/>
      <c r="AE271" s="97"/>
    </row>
    <row r="272" spans="2:31" x14ac:dyDescent="0.45">
      <c r="B272" s="97"/>
      <c r="C272" s="97"/>
      <c r="D272" s="97"/>
      <c r="E272" s="97"/>
      <c r="R272" s="97"/>
      <c r="S272" s="97"/>
      <c r="T272" s="97"/>
      <c r="U272" s="97"/>
      <c r="V272" s="97"/>
      <c r="W272" s="97"/>
      <c r="X272" s="97"/>
      <c r="Y272" s="97"/>
      <c r="Z272" s="97"/>
      <c r="AA272" s="97"/>
      <c r="AB272" s="97"/>
      <c r="AC272" s="97"/>
      <c r="AD272" s="97"/>
      <c r="AE272" s="97"/>
    </row>
    <row r="273" spans="2:31" x14ac:dyDescent="0.45">
      <c r="B273" s="97"/>
      <c r="C273" s="97"/>
      <c r="D273" s="97"/>
      <c r="E273" s="97"/>
      <c r="R273" s="97"/>
      <c r="S273" s="97"/>
      <c r="T273" s="97"/>
      <c r="U273" s="97"/>
      <c r="V273" s="97"/>
      <c r="W273" s="97"/>
      <c r="X273" s="97"/>
      <c r="Y273" s="97"/>
      <c r="Z273" s="97"/>
      <c r="AA273" s="97"/>
      <c r="AB273" s="97"/>
      <c r="AC273" s="97"/>
      <c r="AD273" s="97"/>
      <c r="AE273" s="97"/>
    </row>
    <row r="274" spans="2:31" x14ac:dyDescent="0.45">
      <c r="B274" s="97"/>
      <c r="C274" s="97"/>
      <c r="D274" s="97"/>
      <c r="E274" s="97"/>
      <c r="R274" s="97"/>
      <c r="S274" s="97"/>
      <c r="T274" s="97"/>
      <c r="U274" s="97"/>
      <c r="V274" s="97"/>
      <c r="W274" s="97"/>
      <c r="X274" s="97"/>
      <c r="Y274" s="97"/>
      <c r="Z274" s="97"/>
      <c r="AA274" s="97"/>
      <c r="AB274" s="97"/>
      <c r="AC274" s="97"/>
      <c r="AD274" s="97"/>
      <c r="AE274" s="97"/>
    </row>
    <row r="275" spans="2:31" x14ac:dyDescent="0.45">
      <c r="B275" s="97"/>
      <c r="C275" s="97"/>
      <c r="D275" s="97"/>
      <c r="E275" s="97"/>
      <c r="R275" s="97"/>
      <c r="S275" s="97"/>
      <c r="T275" s="97"/>
      <c r="U275" s="97"/>
      <c r="V275" s="97"/>
      <c r="W275" s="97"/>
      <c r="X275" s="97"/>
      <c r="Y275" s="97"/>
      <c r="Z275" s="97"/>
      <c r="AA275" s="97"/>
      <c r="AB275" s="97"/>
      <c r="AC275" s="97"/>
      <c r="AD275" s="97"/>
      <c r="AE275" s="97"/>
    </row>
    <row r="276" spans="2:31" x14ac:dyDescent="0.45">
      <c r="B276" s="97"/>
      <c r="C276" s="97"/>
      <c r="D276" s="97"/>
      <c r="E276" s="97"/>
      <c r="R276" s="97"/>
      <c r="S276" s="97"/>
      <c r="T276" s="97"/>
      <c r="U276" s="97"/>
      <c r="V276" s="97"/>
      <c r="W276" s="97"/>
      <c r="X276" s="97"/>
      <c r="Y276" s="97"/>
      <c r="Z276" s="97"/>
      <c r="AA276" s="97"/>
      <c r="AB276" s="97"/>
      <c r="AC276" s="97"/>
      <c r="AD276" s="97"/>
      <c r="AE276" s="97"/>
    </row>
    <row r="277" spans="2:31" x14ac:dyDescent="0.45">
      <c r="B277" s="97"/>
      <c r="C277" s="97"/>
      <c r="D277" s="97"/>
      <c r="E277" s="97"/>
      <c r="R277" s="97"/>
      <c r="S277" s="97"/>
      <c r="T277" s="97"/>
      <c r="U277" s="97"/>
      <c r="V277" s="97"/>
      <c r="W277" s="97"/>
      <c r="X277" s="97"/>
      <c r="Y277" s="97"/>
      <c r="Z277" s="97"/>
      <c r="AA277" s="97"/>
      <c r="AB277" s="97"/>
      <c r="AC277" s="97"/>
      <c r="AD277" s="97"/>
      <c r="AE277" s="97"/>
    </row>
    <row r="278" spans="2:31" x14ac:dyDescent="0.45">
      <c r="B278" s="97"/>
      <c r="C278" s="97"/>
      <c r="D278" s="97"/>
      <c r="E278" s="97"/>
      <c r="R278" s="97"/>
      <c r="S278" s="97"/>
      <c r="T278" s="97"/>
      <c r="U278" s="97"/>
      <c r="V278" s="97"/>
      <c r="W278" s="97"/>
      <c r="X278" s="97"/>
      <c r="Y278" s="97"/>
      <c r="Z278" s="97"/>
      <c r="AA278" s="97"/>
      <c r="AB278" s="97"/>
      <c r="AC278" s="97"/>
      <c r="AD278" s="97"/>
      <c r="AE278" s="97"/>
    </row>
    <row r="279" spans="2:31" x14ac:dyDescent="0.45">
      <c r="B279" s="97"/>
      <c r="C279" s="97"/>
      <c r="D279" s="97"/>
      <c r="E279" s="97"/>
      <c r="R279" s="97"/>
      <c r="S279" s="97"/>
      <c r="T279" s="97"/>
      <c r="U279" s="97"/>
      <c r="V279" s="97"/>
      <c r="W279" s="97"/>
      <c r="X279" s="97"/>
      <c r="Y279" s="97"/>
      <c r="Z279" s="97"/>
      <c r="AA279" s="97"/>
      <c r="AB279" s="97"/>
      <c r="AC279" s="97"/>
      <c r="AD279" s="97"/>
      <c r="AE279" s="97"/>
    </row>
    <row r="280" spans="2:31" x14ac:dyDescent="0.45">
      <c r="B280" s="97"/>
      <c r="C280" s="97"/>
      <c r="D280" s="97"/>
      <c r="E280" s="97"/>
      <c r="R280" s="97"/>
      <c r="S280" s="97"/>
      <c r="T280" s="97"/>
      <c r="U280" s="97"/>
      <c r="V280" s="97"/>
      <c r="W280" s="97"/>
      <c r="X280" s="97"/>
      <c r="Y280" s="97"/>
      <c r="Z280" s="97"/>
      <c r="AA280" s="97"/>
      <c r="AB280" s="97"/>
      <c r="AC280" s="97"/>
      <c r="AD280" s="97"/>
      <c r="AE280" s="97"/>
    </row>
    <row r="281" spans="2:31" x14ac:dyDescent="0.45">
      <c r="B281" s="97"/>
      <c r="C281" s="97"/>
      <c r="D281" s="97"/>
      <c r="E281" s="97"/>
      <c r="R281" s="97"/>
      <c r="S281" s="97"/>
      <c r="T281" s="97"/>
      <c r="U281" s="97"/>
      <c r="V281" s="97"/>
      <c r="W281" s="97"/>
      <c r="X281" s="97"/>
      <c r="Y281" s="97"/>
      <c r="Z281" s="97"/>
      <c r="AA281" s="97"/>
      <c r="AB281" s="97"/>
      <c r="AC281" s="97"/>
      <c r="AD281" s="97"/>
      <c r="AE281" s="97"/>
    </row>
    <row r="282" spans="2:31" x14ac:dyDescent="0.45">
      <c r="B282" s="97"/>
      <c r="C282" s="97"/>
      <c r="D282" s="97"/>
      <c r="E282" s="97"/>
      <c r="R282" s="97"/>
      <c r="S282" s="97"/>
      <c r="T282" s="97"/>
      <c r="U282" s="97"/>
      <c r="V282" s="97"/>
      <c r="W282" s="97"/>
      <c r="X282" s="97"/>
      <c r="Y282" s="97"/>
      <c r="Z282" s="97"/>
      <c r="AA282" s="97"/>
      <c r="AB282" s="97"/>
      <c r="AC282" s="97"/>
      <c r="AD282" s="97"/>
      <c r="AE282" s="97"/>
    </row>
    <row r="283" spans="2:31" x14ac:dyDescent="0.45">
      <c r="B283" s="97"/>
      <c r="C283" s="97"/>
      <c r="D283" s="97"/>
      <c r="E283" s="97"/>
      <c r="R283" s="97"/>
      <c r="S283" s="97"/>
      <c r="T283" s="97"/>
      <c r="U283" s="97"/>
      <c r="V283" s="97"/>
      <c r="W283" s="97"/>
      <c r="X283" s="97"/>
      <c r="Y283" s="97"/>
      <c r="Z283" s="97"/>
      <c r="AA283" s="97"/>
      <c r="AB283" s="97"/>
      <c r="AC283" s="97"/>
      <c r="AD283" s="97"/>
      <c r="AE283" s="97"/>
    </row>
    <row r="284" spans="2:31" x14ac:dyDescent="0.45">
      <c r="B284" s="97"/>
      <c r="C284" s="97"/>
      <c r="D284" s="97"/>
      <c r="E284" s="97"/>
      <c r="R284" s="97"/>
      <c r="S284" s="97"/>
      <c r="T284" s="97"/>
      <c r="U284" s="97"/>
      <c r="V284" s="97"/>
      <c r="W284" s="97"/>
      <c r="X284" s="97"/>
      <c r="Y284" s="97"/>
      <c r="Z284" s="97"/>
      <c r="AA284" s="97"/>
      <c r="AB284" s="97"/>
      <c r="AC284" s="97"/>
      <c r="AD284" s="97"/>
      <c r="AE284" s="97"/>
    </row>
    <row r="285" spans="2:31" x14ac:dyDescent="0.45">
      <c r="B285" s="97"/>
      <c r="C285" s="97"/>
      <c r="D285" s="97"/>
      <c r="E285" s="97"/>
      <c r="R285" s="97"/>
      <c r="S285" s="97"/>
      <c r="T285" s="97"/>
      <c r="U285" s="97"/>
      <c r="V285" s="97"/>
      <c r="W285" s="97"/>
      <c r="X285" s="97"/>
      <c r="Y285" s="97"/>
      <c r="Z285" s="97"/>
      <c r="AA285" s="97"/>
      <c r="AB285" s="97"/>
      <c r="AC285" s="97"/>
      <c r="AD285" s="97"/>
      <c r="AE285" s="97"/>
    </row>
    <row r="286" spans="2:31" x14ac:dyDescent="0.45">
      <c r="B286" s="97"/>
      <c r="C286" s="97"/>
      <c r="D286" s="97"/>
      <c r="E286" s="97"/>
      <c r="R286" s="97"/>
      <c r="S286" s="97"/>
      <c r="T286" s="97"/>
      <c r="U286" s="97"/>
      <c r="V286" s="97"/>
      <c r="W286" s="97"/>
      <c r="X286" s="97"/>
      <c r="Y286" s="97"/>
      <c r="Z286" s="97"/>
      <c r="AA286" s="97"/>
      <c r="AB286" s="97"/>
      <c r="AC286" s="97"/>
      <c r="AD286" s="97"/>
      <c r="AE286" s="97"/>
    </row>
    <row r="287" spans="2:31" x14ac:dyDescent="0.45">
      <c r="B287" s="97"/>
      <c r="C287" s="97"/>
      <c r="D287" s="97"/>
      <c r="E287" s="97"/>
      <c r="R287" s="97"/>
      <c r="S287" s="97"/>
      <c r="T287" s="97"/>
      <c r="U287" s="97"/>
      <c r="V287" s="97"/>
      <c r="W287" s="97"/>
      <c r="X287" s="97"/>
      <c r="Y287" s="97"/>
      <c r="Z287" s="97"/>
      <c r="AA287" s="97"/>
      <c r="AB287" s="97"/>
      <c r="AC287" s="97"/>
      <c r="AD287" s="97"/>
      <c r="AE287" s="97"/>
    </row>
    <row r="288" spans="2:31" x14ac:dyDescent="0.45">
      <c r="B288" s="97"/>
      <c r="C288" s="97"/>
      <c r="D288" s="97"/>
      <c r="E288" s="97"/>
      <c r="R288" s="97"/>
      <c r="S288" s="97"/>
      <c r="T288" s="97"/>
      <c r="U288" s="97"/>
      <c r="V288" s="97"/>
      <c r="W288" s="97"/>
      <c r="X288" s="97"/>
      <c r="Y288" s="97"/>
      <c r="Z288" s="97"/>
      <c r="AA288" s="97"/>
      <c r="AB288" s="97"/>
      <c r="AC288" s="97"/>
      <c r="AD288" s="97"/>
      <c r="AE288" s="97"/>
    </row>
    <row r="289" spans="2:31" x14ac:dyDescent="0.45">
      <c r="B289" s="97"/>
      <c r="C289" s="97"/>
      <c r="D289" s="97"/>
      <c r="E289" s="97"/>
      <c r="R289" s="97"/>
      <c r="S289" s="97"/>
      <c r="T289" s="97"/>
      <c r="U289" s="97"/>
      <c r="V289" s="97"/>
      <c r="W289" s="97"/>
      <c r="X289" s="97"/>
      <c r="Y289" s="97"/>
      <c r="Z289" s="97"/>
      <c r="AA289" s="97"/>
      <c r="AB289" s="97"/>
      <c r="AC289" s="97"/>
      <c r="AD289" s="97"/>
      <c r="AE289" s="97"/>
    </row>
    <row r="290" spans="2:31" x14ac:dyDescent="0.45">
      <c r="B290" s="97"/>
      <c r="C290" s="97"/>
      <c r="D290" s="97"/>
      <c r="E290" s="97"/>
      <c r="R290" s="97"/>
      <c r="S290" s="97"/>
      <c r="T290" s="97"/>
      <c r="U290" s="97"/>
      <c r="V290" s="97"/>
      <c r="W290" s="97"/>
      <c r="X290" s="97"/>
      <c r="Y290" s="97"/>
      <c r="Z290" s="97"/>
      <c r="AA290" s="97"/>
      <c r="AB290" s="97"/>
      <c r="AC290" s="97"/>
      <c r="AD290" s="97"/>
      <c r="AE290" s="97"/>
    </row>
    <row r="291" spans="2:31" x14ac:dyDescent="0.45">
      <c r="B291" s="97"/>
      <c r="C291" s="97"/>
      <c r="D291" s="97"/>
      <c r="E291" s="97"/>
      <c r="R291" s="97"/>
      <c r="S291" s="97"/>
      <c r="T291" s="97"/>
      <c r="U291" s="97"/>
      <c r="V291" s="97"/>
      <c r="W291" s="97"/>
      <c r="X291" s="97"/>
      <c r="Y291" s="97"/>
      <c r="Z291" s="97"/>
      <c r="AA291" s="97"/>
      <c r="AB291" s="97"/>
      <c r="AC291" s="97"/>
      <c r="AD291" s="97"/>
      <c r="AE291" s="97"/>
    </row>
    <row r="292" spans="2:31" x14ac:dyDescent="0.45">
      <c r="B292" s="97"/>
      <c r="C292" s="97"/>
      <c r="D292" s="97"/>
      <c r="E292" s="97"/>
      <c r="R292" s="97"/>
      <c r="S292" s="97"/>
      <c r="T292" s="97"/>
      <c r="U292" s="97"/>
      <c r="V292" s="97"/>
      <c r="W292" s="97"/>
      <c r="X292" s="97"/>
      <c r="Y292" s="97"/>
      <c r="Z292" s="97"/>
      <c r="AA292" s="97"/>
      <c r="AB292" s="97"/>
      <c r="AC292" s="97"/>
      <c r="AD292" s="97"/>
      <c r="AE292" s="97"/>
    </row>
    <row r="293" spans="2:31" x14ac:dyDescent="0.45">
      <c r="B293" s="97"/>
      <c r="C293" s="97"/>
      <c r="D293" s="97"/>
      <c r="E293" s="97"/>
      <c r="R293" s="97"/>
      <c r="S293" s="97"/>
      <c r="T293" s="97"/>
      <c r="U293" s="97"/>
      <c r="V293" s="97"/>
      <c r="W293" s="97"/>
      <c r="X293" s="97"/>
      <c r="Y293" s="97"/>
      <c r="Z293" s="97"/>
      <c r="AA293" s="97"/>
      <c r="AB293" s="97"/>
      <c r="AC293" s="97"/>
      <c r="AD293" s="97"/>
      <c r="AE293" s="97"/>
    </row>
    <row r="294" spans="2:31" x14ac:dyDescent="0.45">
      <c r="B294" s="97"/>
      <c r="C294" s="97"/>
      <c r="D294" s="97"/>
      <c r="E294" s="97"/>
      <c r="R294" s="97"/>
      <c r="S294" s="97"/>
      <c r="T294" s="97"/>
      <c r="U294" s="97"/>
      <c r="V294" s="97"/>
      <c r="W294" s="97"/>
      <c r="X294" s="97"/>
      <c r="Y294" s="97"/>
      <c r="Z294" s="97"/>
      <c r="AA294" s="97"/>
      <c r="AB294" s="97"/>
      <c r="AC294" s="97"/>
      <c r="AD294" s="97"/>
      <c r="AE294" s="97"/>
    </row>
    <row r="295" spans="2:31" x14ac:dyDescent="0.45">
      <c r="B295" s="97"/>
      <c r="C295" s="97"/>
      <c r="D295" s="97"/>
      <c r="E295" s="97"/>
      <c r="R295" s="97"/>
      <c r="S295" s="97"/>
      <c r="T295" s="97"/>
      <c r="U295" s="97"/>
      <c r="V295" s="97"/>
      <c r="W295" s="97"/>
      <c r="X295" s="97"/>
      <c r="Y295" s="97"/>
      <c r="Z295" s="97"/>
      <c r="AA295" s="97"/>
      <c r="AB295" s="97"/>
      <c r="AC295" s="97"/>
      <c r="AD295" s="97"/>
      <c r="AE295" s="97"/>
    </row>
    <row r="296" spans="2:31" x14ac:dyDescent="0.45">
      <c r="B296" s="97"/>
      <c r="C296" s="97"/>
      <c r="D296" s="97"/>
      <c r="E296" s="97"/>
      <c r="R296" s="97"/>
      <c r="S296" s="97"/>
      <c r="T296" s="97"/>
      <c r="U296" s="97"/>
      <c r="V296" s="97"/>
      <c r="W296" s="97"/>
      <c r="X296" s="97"/>
      <c r="Y296" s="97"/>
      <c r="Z296" s="97"/>
      <c r="AA296" s="97"/>
      <c r="AB296" s="97"/>
      <c r="AC296" s="97"/>
      <c r="AD296" s="97"/>
      <c r="AE296" s="97"/>
    </row>
    <row r="297" spans="2:31" x14ac:dyDescent="0.45">
      <c r="B297" s="97"/>
      <c r="C297" s="97"/>
      <c r="D297" s="97"/>
      <c r="E297" s="97"/>
      <c r="R297" s="97"/>
      <c r="S297" s="97"/>
      <c r="T297" s="97"/>
      <c r="U297" s="97"/>
      <c r="V297" s="97"/>
      <c r="W297" s="97"/>
      <c r="X297" s="97"/>
      <c r="Y297" s="97"/>
      <c r="Z297" s="97"/>
      <c r="AA297" s="97"/>
      <c r="AB297" s="97"/>
      <c r="AC297" s="97"/>
      <c r="AD297" s="97"/>
      <c r="AE297" s="97"/>
    </row>
    <row r="298" spans="2:31" x14ac:dyDescent="0.45">
      <c r="B298" s="97"/>
      <c r="C298" s="97"/>
      <c r="D298" s="97"/>
      <c r="E298" s="97"/>
      <c r="R298" s="97"/>
      <c r="S298" s="97"/>
      <c r="T298" s="97"/>
      <c r="U298" s="97"/>
      <c r="V298" s="97"/>
      <c r="W298" s="97"/>
      <c r="X298" s="97"/>
      <c r="Y298" s="97"/>
      <c r="Z298" s="97"/>
      <c r="AA298" s="97"/>
      <c r="AB298" s="97"/>
      <c r="AC298" s="97"/>
      <c r="AD298" s="97"/>
      <c r="AE298" s="97"/>
    </row>
    <row r="299" spans="2:31" x14ac:dyDescent="0.45">
      <c r="B299" s="97"/>
      <c r="C299" s="97"/>
      <c r="D299" s="97"/>
      <c r="E299" s="97"/>
      <c r="R299" s="97"/>
      <c r="S299" s="97"/>
      <c r="T299" s="97"/>
      <c r="U299" s="97"/>
      <c r="V299" s="97"/>
      <c r="W299" s="97"/>
      <c r="X299" s="97"/>
      <c r="Y299" s="97"/>
      <c r="Z299" s="97"/>
      <c r="AA299" s="97"/>
      <c r="AB299" s="97"/>
      <c r="AC299" s="97"/>
      <c r="AD299" s="97"/>
      <c r="AE299" s="97"/>
    </row>
    <row r="300" spans="2:31" x14ac:dyDescent="0.45">
      <c r="B300" s="97"/>
      <c r="C300" s="97"/>
      <c r="D300" s="97"/>
      <c r="E300" s="97"/>
      <c r="R300" s="97"/>
      <c r="S300" s="97"/>
      <c r="T300" s="97"/>
      <c r="U300" s="97"/>
      <c r="V300" s="97"/>
      <c r="W300" s="97"/>
      <c r="X300" s="97"/>
      <c r="Y300" s="97"/>
      <c r="Z300" s="97"/>
      <c r="AA300" s="97"/>
      <c r="AB300" s="97"/>
      <c r="AC300" s="97"/>
      <c r="AD300" s="97"/>
      <c r="AE300" s="97"/>
    </row>
    <row r="301" spans="2:31" x14ac:dyDescent="0.45">
      <c r="B301" s="97"/>
      <c r="C301" s="97"/>
      <c r="D301" s="97"/>
      <c r="E301" s="97"/>
      <c r="R301" s="97"/>
      <c r="S301" s="97"/>
      <c r="T301" s="97"/>
      <c r="U301" s="97"/>
      <c r="V301" s="97"/>
      <c r="W301" s="97"/>
      <c r="X301" s="97"/>
      <c r="Y301" s="97"/>
      <c r="Z301" s="97"/>
      <c r="AA301" s="97"/>
      <c r="AB301" s="97"/>
      <c r="AC301" s="97"/>
      <c r="AD301" s="97"/>
      <c r="AE301" s="97"/>
    </row>
    <row r="302" spans="2:31" x14ac:dyDescent="0.45">
      <c r="B302" s="97"/>
      <c r="C302" s="97"/>
      <c r="D302" s="97"/>
      <c r="E302" s="97"/>
      <c r="R302" s="97"/>
      <c r="S302" s="97"/>
      <c r="T302" s="97"/>
      <c r="U302" s="97"/>
      <c r="V302" s="97"/>
      <c r="W302" s="97"/>
      <c r="X302" s="97"/>
      <c r="Y302" s="97"/>
      <c r="Z302" s="97"/>
      <c r="AA302" s="97"/>
      <c r="AB302" s="97"/>
      <c r="AC302" s="97"/>
      <c r="AD302" s="97"/>
      <c r="AE302" s="97"/>
    </row>
    <row r="303" spans="2:31" x14ac:dyDescent="0.45">
      <c r="B303" s="97"/>
      <c r="C303" s="97"/>
      <c r="D303" s="97"/>
      <c r="E303" s="97"/>
      <c r="R303" s="97"/>
      <c r="S303" s="97"/>
      <c r="T303" s="97"/>
      <c r="U303" s="97"/>
      <c r="V303" s="97"/>
      <c r="W303" s="97"/>
      <c r="X303" s="97"/>
      <c r="Y303" s="97"/>
      <c r="Z303" s="97"/>
      <c r="AA303" s="97"/>
      <c r="AB303" s="97"/>
      <c r="AC303" s="97"/>
      <c r="AD303" s="97"/>
      <c r="AE303" s="97"/>
    </row>
    <row r="304" spans="2:31" x14ac:dyDescent="0.45">
      <c r="B304" s="97"/>
      <c r="C304" s="97"/>
      <c r="D304" s="97"/>
      <c r="E304" s="97"/>
      <c r="R304" s="97"/>
      <c r="S304" s="97"/>
      <c r="T304" s="97"/>
      <c r="U304" s="97"/>
      <c r="V304" s="97"/>
      <c r="W304" s="97"/>
      <c r="X304" s="97"/>
      <c r="Y304" s="97"/>
      <c r="Z304" s="97"/>
      <c r="AA304" s="97"/>
      <c r="AB304" s="97"/>
      <c r="AC304" s="97"/>
      <c r="AD304" s="97"/>
      <c r="AE304" s="97"/>
    </row>
    <row r="305" spans="2:31" x14ac:dyDescent="0.45">
      <c r="B305" s="97"/>
      <c r="C305" s="97"/>
      <c r="D305" s="97"/>
      <c r="E305" s="97"/>
      <c r="R305" s="97"/>
      <c r="S305" s="97"/>
      <c r="T305" s="97"/>
      <c r="U305" s="97"/>
      <c r="V305" s="97"/>
      <c r="W305" s="97"/>
      <c r="X305" s="97"/>
      <c r="Y305" s="97"/>
      <c r="Z305" s="97"/>
      <c r="AA305" s="97"/>
      <c r="AB305" s="97"/>
      <c r="AC305" s="97"/>
      <c r="AD305" s="97"/>
      <c r="AE305" s="97"/>
    </row>
    <row r="306" spans="2:31" x14ac:dyDescent="0.45">
      <c r="B306" s="97"/>
      <c r="C306" s="97"/>
      <c r="D306" s="97"/>
      <c r="E306" s="97"/>
      <c r="R306" s="97"/>
      <c r="S306" s="97"/>
      <c r="T306" s="97"/>
      <c r="U306" s="97"/>
      <c r="V306" s="97"/>
      <c r="W306" s="97"/>
      <c r="X306" s="97"/>
      <c r="Y306" s="97"/>
      <c r="Z306" s="97"/>
      <c r="AA306" s="97"/>
      <c r="AB306" s="97"/>
      <c r="AC306" s="97"/>
      <c r="AD306" s="97"/>
      <c r="AE306" s="97"/>
    </row>
    <row r="307" spans="2:31" x14ac:dyDescent="0.45">
      <c r="B307" s="97"/>
      <c r="C307" s="97"/>
      <c r="D307" s="97"/>
      <c r="E307" s="97"/>
      <c r="R307" s="97"/>
      <c r="S307" s="97"/>
      <c r="T307" s="97"/>
      <c r="U307" s="97"/>
      <c r="V307" s="97"/>
      <c r="W307" s="97"/>
      <c r="X307" s="97"/>
      <c r="Y307" s="97"/>
      <c r="Z307" s="97"/>
      <c r="AA307" s="97"/>
      <c r="AB307" s="97"/>
      <c r="AC307" s="97"/>
      <c r="AD307" s="97"/>
      <c r="AE307" s="97"/>
    </row>
    <row r="308" spans="2:31" x14ac:dyDescent="0.45">
      <c r="B308" s="97"/>
      <c r="C308" s="97"/>
      <c r="D308" s="97"/>
      <c r="E308" s="97"/>
      <c r="R308" s="97"/>
      <c r="S308" s="97"/>
      <c r="T308" s="97"/>
      <c r="U308" s="97"/>
      <c r="V308" s="97"/>
      <c r="W308" s="97"/>
      <c r="X308" s="97"/>
      <c r="Y308" s="97"/>
      <c r="Z308" s="97"/>
      <c r="AA308" s="97"/>
      <c r="AB308" s="97"/>
      <c r="AC308" s="97"/>
      <c r="AD308" s="97"/>
      <c r="AE308" s="97"/>
    </row>
    <row r="309" spans="2:31" x14ac:dyDescent="0.45">
      <c r="B309" s="97"/>
      <c r="C309" s="97"/>
      <c r="D309" s="97"/>
      <c r="E309" s="97"/>
      <c r="R309" s="97"/>
      <c r="S309" s="97"/>
      <c r="T309" s="97"/>
      <c r="U309" s="97"/>
      <c r="V309" s="97"/>
      <c r="W309" s="97"/>
      <c r="X309" s="97"/>
      <c r="Y309" s="97"/>
      <c r="Z309" s="97"/>
      <c r="AA309" s="97"/>
      <c r="AB309" s="97"/>
      <c r="AC309" s="97"/>
      <c r="AD309" s="97"/>
      <c r="AE309" s="97"/>
    </row>
    <row r="310" spans="2:31" x14ac:dyDescent="0.45">
      <c r="B310" s="97"/>
      <c r="C310" s="97"/>
      <c r="D310" s="97"/>
      <c r="E310" s="97"/>
      <c r="R310" s="97"/>
      <c r="S310" s="97"/>
      <c r="T310" s="97"/>
      <c r="U310" s="97"/>
      <c r="V310" s="97"/>
      <c r="W310" s="97"/>
      <c r="X310" s="97"/>
      <c r="Y310" s="97"/>
      <c r="Z310" s="97"/>
      <c r="AA310" s="97"/>
      <c r="AB310" s="97"/>
      <c r="AC310" s="97"/>
      <c r="AD310" s="97"/>
      <c r="AE310" s="97"/>
    </row>
    <row r="311" spans="2:31" x14ac:dyDescent="0.45">
      <c r="B311" s="97"/>
      <c r="C311" s="97"/>
      <c r="D311" s="97"/>
      <c r="E311" s="97"/>
      <c r="R311" s="97"/>
      <c r="S311" s="97"/>
      <c r="T311" s="97"/>
      <c r="U311" s="97"/>
      <c r="V311" s="97"/>
      <c r="W311" s="97"/>
      <c r="X311" s="97"/>
      <c r="Y311" s="97"/>
      <c r="Z311" s="97"/>
      <c r="AA311" s="97"/>
      <c r="AB311" s="97"/>
      <c r="AC311" s="97"/>
      <c r="AD311" s="97"/>
      <c r="AE311" s="97"/>
    </row>
    <row r="312" spans="2:31" x14ac:dyDescent="0.45">
      <c r="B312" s="97"/>
      <c r="C312" s="97"/>
      <c r="D312" s="97"/>
      <c r="E312" s="97"/>
      <c r="R312" s="97"/>
      <c r="S312" s="97"/>
      <c r="T312" s="97"/>
      <c r="U312" s="97"/>
      <c r="V312" s="97"/>
      <c r="W312" s="97"/>
      <c r="X312" s="97"/>
      <c r="Y312" s="97"/>
      <c r="Z312" s="97"/>
      <c r="AA312" s="97"/>
      <c r="AB312" s="97"/>
      <c r="AC312" s="97"/>
      <c r="AD312" s="97"/>
      <c r="AE312" s="97"/>
    </row>
    <row r="313" spans="2:31" x14ac:dyDescent="0.45">
      <c r="B313" s="97"/>
      <c r="C313" s="97"/>
      <c r="D313" s="97"/>
      <c r="E313" s="97"/>
      <c r="R313" s="97"/>
      <c r="S313" s="97"/>
      <c r="T313" s="97"/>
      <c r="U313" s="97"/>
      <c r="V313" s="97"/>
      <c r="W313" s="97"/>
      <c r="X313" s="97"/>
      <c r="Y313" s="97"/>
      <c r="Z313" s="97"/>
      <c r="AA313" s="97"/>
      <c r="AB313" s="97"/>
      <c r="AC313" s="97"/>
      <c r="AD313" s="97"/>
      <c r="AE313" s="97"/>
    </row>
    <row r="314" spans="2:31" x14ac:dyDescent="0.45">
      <c r="B314" s="97"/>
      <c r="C314" s="97"/>
      <c r="D314" s="97"/>
      <c r="E314" s="97"/>
      <c r="R314" s="97"/>
      <c r="S314" s="97"/>
      <c r="T314" s="97"/>
      <c r="U314" s="97"/>
      <c r="V314" s="97"/>
      <c r="W314" s="97"/>
      <c r="X314" s="97"/>
      <c r="Y314" s="97"/>
      <c r="Z314" s="97"/>
      <c r="AA314" s="97"/>
      <c r="AB314" s="97"/>
      <c r="AC314" s="97"/>
      <c r="AD314" s="97"/>
      <c r="AE314" s="97"/>
    </row>
    <row r="315" spans="2:31" x14ac:dyDescent="0.45">
      <c r="B315" s="97"/>
      <c r="C315" s="97"/>
      <c r="D315" s="97"/>
      <c r="E315" s="97"/>
      <c r="R315" s="97"/>
      <c r="S315" s="97"/>
      <c r="T315" s="97"/>
      <c r="U315" s="97"/>
      <c r="V315" s="97"/>
      <c r="W315" s="97"/>
      <c r="X315" s="97"/>
      <c r="Y315" s="97"/>
      <c r="Z315" s="97"/>
      <c r="AA315" s="97"/>
      <c r="AB315" s="97"/>
      <c r="AC315" s="97"/>
      <c r="AD315" s="97"/>
      <c r="AE315" s="97"/>
    </row>
    <row r="316" spans="2:31" x14ac:dyDescent="0.45">
      <c r="B316" s="97"/>
      <c r="C316" s="97"/>
      <c r="D316" s="97"/>
      <c r="E316" s="97"/>
      <c r="R316" s="97"/>
      <c r="S316" s="97"/>
      <c r="T316" s="97"/>
      <c r="U316" s="97"/>
      <c r="V316" s="97"/>
      <c r="W316" s="97"/>
      <c r="X316" s="97"/>
      <c r="Y316" s="97"/>
      <c r="Z316" s="97"/>
      <c r="AA316" s="97"/>
      <c r="AB316" s="97"/>
      <c r="AC316" s="97"/>
      <c r="AD316" s="97"/>
      <c r="AE316" s="97"/>
    </row>
    <row r="317" spans="2:31" x14ac:dyDescent="0.45">
      <c r="B317" s="97"/>
      <c r="C317" s="97"/>
      <c r="D317" s="97"/>
      <c r="E317" s="97"/>
      <c r="R317" s="97"/>
      <c r="S317" s="97"/>
      <c r="T317" s="97"/>
      <c r="U317" s="97"/>
      <c r="V317" s="97"/>
      <c r="W317" s="97"/>
      <c r="X317" s="97"/>
      <c r="Y317" s="97"/>
      <c r="Z317" s="97"/>
      <c r="AA317" s="97"/>
      <c r="AB317" s="97"/>
      <c r="AC317" s="97"/>
      <c r="AD317" s="97"/>
      <c r="AE317" s="97"/>
    </row>
    <row r="318" spans="2:31" x14ac:dyDescent="0.45">
      <c r="B318" s="97"/>
      <c r="C318" s="97"/>
      <c r="D318" s="97"/>
      <c r="E318" s="97"/>
      <c r="R318" s="97"/>
      <c r="S318" s="97"/>
      <c r="T318" s="97"/>
      <c r="U318" s="97"/>
      <c r="V318" s="97"/>
      <c r="W318" s="97"/>
      <c r="X318" s="97"/>
      <c r="Y318" s="97"/>
      <c r="Z318" s="97"/>
      <c r="AA318" s="97"/>
      <c r="AB318" s="97"/>
      <c r="AC318" s="97"/>
      <c r="AD318" s="97"/>
      <c r="AE318" s="97"/>
    </row>
    <row r="319" spans="2:31" x14ac:dyDescent="0.45">
      <c r="B319" s="97"/>
      <c r="C319" s="97"/>
      <c r="D319" s="97"/>
      <c r="E319" s="97"/>
      <c r="R319" s="97"/>
      <c r="S319" s="97"/>
      <c r="T319" s="97"/>
      <c r="U319" s="97"/>
      <c r="V319" s="97"/>
      <c r="W319" s="97"/>
      <c r="X319" s="97"/>
      <c r="Y319" s="97"/>
      <c r="Z319" s="97"/>
      <c r="AA319" s="97"/>
      <c r="AB319" s="97"/>
      <c r="AC319" s="97"/>
      <c r="AD319" s="97"/>
      <c r="AE319" s="97"/>
    </row>
    <row r="320" spans="2:31" x14ac:dyDescent="0.45">
      <c r="B320" s="97"/>
      <c r="C320" s="97"/>
      <c r="D320" s="97"/>
      <c r="E320" s="97"/>
      <c r="R320" s="97"/>
      <c r="S320" s="97"/>
      <c r="T320" s="97"/>
      <c r="U320" s="97"/>
      <c r="V320" s="97"/>
      <c r="W320" s="97"/>
      <c r="X320" s="97"/>
      <c r="Y320" s="97"/>
      <c r="Z320" s="97"/>
      <c r="AA320" s="97"/>
      <c r="AB320" s="97"/>
      <c r="AC320" s="97"/>
      <c r="AD320" s="97"/>
      <c r="AE320" s="97"/>
    </row>
    <row r="321" spans="2:31" x14ac:dyDescent="0.45">
      <c r="B321" s="97"/>
      <c r="C321" s="97"/>
      <c r="D321" s="97"/>
      <c r="E321" s="97"/>
      <c r="R321" s="97"/>
      <c r="S321" s="97"/>
      <c r="T321" s="97"/>
      <c r="U321" s="97"/>
      <c r="V321" s="97"/>
      <c r="W321" s="97"/>
      <c r="X321" s="97"/>
      <c r="Y321" s="97"/>
      <c r="Z321" s="97"/>
      <c r="AA321" s="97"/>
      <c r="AB321" s="97"/>
      <c r="AC321" s="97"/>
      <c r="AD321" s="97"/>
      <c r="AE321" s="97"/>
    </row>
    <row r="322" spans="2:31" x14ac:dyDescent="0.45">
      <c r="B322" s="97"/>
      <c r="C322" s="97"/>
      <c r="D322" s="97"/>
      <c r="E322" s="97"/>
      <c r="R322" s="97"/>
      <c r="S322" s="97"/>
      <c r="T322" s="97"/>
      <c r="U322" s="97"/>
      <c r="V322" s="97"/>
      <c r="W322" s="97"/>
      <c r="X322" s="97"/>
      <c r="Y322" s="97"/>
      <c r="Z322" s="97"/>
      <c r="AA322" s="97"/>
      <c r="AB322" s="97"/>
      <c r="AC322" s="97"/>
      <c r="AD322" s="97"/>
      <c r="AE322" s="97"/>
    </row>
    <row r="323" spans="2:31" x14ac:dyDescent="0.45">
      <c r="B323" s="97"/>
      <c r="C323" s="97"/>
      <c r="D323" s="97"/>
      <c r="E323" s="97"/>
      <c r="R323" s="97"/>
      <c r="S323" s="97"/>
      <c r="T323" s="97"/>
      <c r="U323" s="97"/>
      <c r="V323" s="97"/>
      <c r="W323" s="97"/>
      <c r="X323" s="97"/>
      <c r="Y323" s="97"/>
      <c r="Z323" s="97"/>
      <c r="AA323" s="97"/>
      <c r="AB323" s="97"/>
      <c r="AC323" s="97"/>
      <c r="AD323" s="97"/>
      <c r="AE323" s="97"/>
    </row>
    <row r="324" spans="2:31" x14ac:dyDescent="0.45">
      <c r="B324" s="97"/>
      <c r="C324" s="97"/>
      <c r="D324" s="97"/>
      <c r="E324" s="97"/>
      <c r="R324" s="97"/>
      <c r="S324" s="97"/>
      <c r="T324" s="97"/>
      <c r="U324" s="97"/>
      <c r="V324" s="97"/>
      <c r="W324" s="97"/>
      <c r="X324" s="97"/>
      <c r="Y324" s="97"/>
      <c r="Z324" s="97"/>
      <c r="AA324" s="97"/>
      <c r="AB324" s="97"/>
      <c r="AC324" s="97"/>
      <c r="AD324" s="97"/>
      <c r="AE324" s="97"/>
    </row>
    <row r="325" spans="2:31" x14ac:dyDescent="0.45">
      <c r="B325" s="97"/>
      <c r="C325" s="97"/>
      <c r="D325" s="97"/>
      <c r="E325" s="97"/>
      <c r="R325" s="97"/>
      <c r="S325" s="97"/>
      <c r="T325" s="97"/>
      <c r="U325" s="97"/>
      <c r="V325" s="97"/>
      <c r="W325" s="97"/>
      <c r="X325" s="97"/>
      <c r="Y325" s="97"/>
      <c r="Z325" s="97"/>
      <c r="AA325" s="97"/>
      <c r="AB325" s="97"/>
      <c r="AC325" s="97"/>
      <c r="AD325" s="97"/>
      <c r="AE325" s="97"/>
    </row>
    <row r="326" spans="2:31" x14ac:dyDescent="0.45">
      <c r="B326" s="97"/>
      <c r="C326" s="97"/>
      <c r="D326" s="97"/>
      <c r="E326" s="97"/>
      <c r="R326" s="97"/>
      <c r="S326" s="97"/>
      <c r="T326" s="97"/>
      <c r="U326" s="97"/>
      <c r="V326" s="97"/>
      <c r="W326" s="97"/>
      <c r="X326" s="97"/>
      <c r="Y326" s="97"/>
      <c r="Z326" s="97"/>
      <c r="AA326" s="97"/>
      <c r="AB326" s="97"/>
      <c r="AC326" s="97"/>
      <c r="AD326" s="97"/>
      <c r="AE326" s="97"/>
    </row>
    <row r="327" spans="2:31" x14ac:dyDescent="0.45">
      <c r="B327" s="97"/>
      <c r="C327" s="97"/>
      <c r="D327" s="97"/>
      <c r="E327" s="97"/>
      <c r="R327" s="97"/>
      <c r="S327" s="97"/>
      <c r="T327" s="97"/>
      <c r="U327" s="97"/>
      <c r="V327" s="97"/>
      <c r="W327" s="97"/>
      <c r="X327" s="97"/>
      <c r="Y327" s="97"/>
      <c r="Z327" s="97"/>
      <c r="AA327" s="97"/>
      <c r="AB327" s="97"/>
      <c r="AC327" s="97"/>
      <c r="AD327" s="97"/>
      <c r="AE327" s="97"/>
    </row>
    <row r="328" spans="2:31" x14ac:dyDescent="0.45">
      <c r="B328" s="97"/>
      <c r="C328" s="97"/>
      <c r="D328" s="97"/>
      <c r="E328" s="97"/>
      <c r="R328" s="97"/>
      <c r="S328" s="97"/>
      <c r="T328" s="97"/>
      <c r="U328" s="97"/>
      <c r="V328" s="97"/>
      <c r="W328" s="97"/>
      <c r="X328" s="97"/>
      <c r="Y328" s="97"/>
      <c r="Z328" s="97"/>
      <c r="AA328" s="97"/>
      <c r="AB328" s="97"/>
      <c r="AC328" s="97"/>
      <c r="AD328" s="97"/>
      <c r="AE328" s="97"/>
    </row>
    <row r="329" spans="2:31" x14ac:dyDescent="0.45">
      <c r="B329" s="97"/>
      <c r="C329" s="97"/>
      <c r="D329" s="97"/>
      <c r="E329" s="97"/>
      <c r="R329" s="97"/>
      <c r="S329" s="97"/>
      <c r="T329" s="97"/>
      <c r="U329" s="97"/>
      <c r="V329" s="97"/>
      <c r="W329" s="97"/>
      <c r="X329" s="97"/>
      <c r="Y329" s="97"/>
      <c r="Z329" s="97"/>
      <c r="AA329" s="97"/>
      <c r="AB329" s="97"/>
      <c r="AC329" s="97"/>
      <c r="AD329" s="97"/>
      <c r="AE329" s="97"/>
    </row>
    <row r="330" spans="2:31" x14ac:dyDescent="0.45">
      <c r="B330" s="97"/>
      <c r="C330" s="97"/>
      <c r="D330" s="97"/>
      <c r="E330" s="97"/>
      <c r="R330" s="97"/>
      <c r="S330" s="97"/>
      <c r="T330" s="97"/>
      <c r="U330" s="97"/>
      <c r="V330" s="97"/>
      <c r="W330" s="97"/>
      <c r="X330" s="97"/>
      <c r="Y330" s="97"/>
      <c r="Z330" s="97"/>
      <c r="AA330" s="97"/>
      <c r="AB330" s="97"/>
      <c r="AC330" s="97"/>
      <c r="AD330" s="97"/>
      <c r="AE330" s="97"/>
    </row>
    <row r="331" spans="2:31" x14ac:dyDescent="0.45">
      <c r="B331" s="97"/>
      <c r="C331" s="97"/>
      <c r="D331" s="97"/>
      <c r="E331" s="97"/>
      <c r="R331" s="97"/>
      <c r="S331" s="97"/>
      <c r="T331" s="97"/>
      <c r="U331" s="97"/>
      <c r="V331" s="97"/>
      <c r="W331" s="97"/>
      <c r="X331" s="97"/>
      <c r="Y331" s="97"/>
      <c r="Z331" s="97"/>
      <c r="AA331" s="97"/>
      <c r="AB331" s="97"/>
      <c r="AC331" s="97"/>
      <c r="AD331" s="97"/>
      <c r="AE331" s="97"/>
    </row>
    <row r="332" spans="2:31" x14ac:dyDescent="0.45">
      <c r="B332" s="97"/>
      <c r="C332" s="97"/>
      <c r="D332" s="97"/>
      <c r="E332" s="97"/>
      <c r="R332" s="97"/>
      <c r="S332" s="97"/>
      <c r="T332" s="97"/>
      <c r="U332" s="97"/>
      <c r="V332" s="97"/>
      <c r="W332" s="97"/>
      <c r="X332" s="97"/>
      <c r="Y332" s="97"/>
      <c r="Z332" s="97"/>
      <c r="AA332" s="97"/>
      <c r="AB332" s="97"/>
      <c r="AC332" s="97"/>
      <c r="AD332" s="97"/>
      <c r="AE332" s="97"/>
    </row>
    <row r="333" spans="2:31" x14ac:dyDescent="0.45">
      <c r="B333" s="97"/>
      <c r="C333" s="97"/>
      <c r="D333" s="97"/>
      <c r="E333" s="97"/>
      <c r="R333" s="97"/>
      <c r="S333" s="97"/>
      <c r="T333" s="97"/>
      <c r="U333" s="97"/>
      <c r="V333" s="97"/>
      <c r="W333" s="97"/>
      <c r="X333" s="97"/>
      <c r="Y333" s="97"/>
      <c r="Z333" s="97"/>
      <c r="AA333" s="97"/>
      <c r="AB333" s="97"/>
      <c r="AC333" s="97"/>
      <c r="AD333" s="97"/>
      <c r="AE333" s="97"/>
    </row>
    <row r="334" spans="2:31" x14ac:dyDescent="0.45">
      <c r="B334" s="97"/>
      <c r="C334" s="97"/>
      <c r="D334" s="97"/>
      <c r="E334" s="97"/>
      <c r="R334" s="97"/>
      <c r="S334" s="97"/>
      <c r="T334" s="97"/>
      <c r="U334" s="97"/>
      <c r="V334" s="97"/>
      <c r="W334" s="97"/>
      <c r="X334" s="97"/>
      <c r="Y334" s="97"/>
      <c r="Z334" s="97"/>
      <c r="AA334" s="97"/>
      <c r="AB334" s="97"/>
      <c r="AC334" s="97"/>
      <c r="AD334" s="97"/>
      <c r="AE334" s="97"/>
    </row>
    <row r="335" spans="2:31" x14ac:dyDescent="0.45">
      <c r="B335" s="97"/>
      <c r="C335" s="97"/>
      <c r="D335" s="97"/>
      <c r="E335" s="97"/>
      <c r="R335" s="97"/>
      <c r="S335" s="97"/>
      <c r="T335" s="97"/>
      <c r="U335" s="97"/>
      <c r="V335" s="97"/>
      <c r="W335" s="97"/>
      <c r="X335" s="97"/>
      <c r="Y335" s="97"/>
      <c r="Z335" s="97"/>
      <c r="AA335" s="97"/>
      <c r="AB335" s="97"/>
      <c r="AC335" s="97"/>
      <c r="AD335" s="97"/>
      <c r="AE335" s="97"/>
    </row>
    <row r="336" spans="2:31" x14ac:dyDescent="0.45">
      <c r="B336" s="97"/>
      <c r="C336" s="97"/>
      <c r="D336" s="97"/>
      <c r="E336" s="97"/>
      <c r="R336" s="97"/>
      <c r="S336" s="97"/>
      <c r="T336" s="97"/>
      <c r="U336" s="97"/>
      <c r="V336" s="97"/>
      <c r="W336" s="97"/>
      <c r="X336" s="97"/>
      <c r="Y336" s="97"/>
      <c r="Z336" s="97"/>
      <c r="AA336" s="97"/>
      <c r="AB336" s="97"/>
      <c r="AC336" s="97"/>
      <c r="AD336" s="97"/>
      <c r="AE336" s="97"/>
    </row>
    <row r="337" spans="2:31" x14ac:dyDescent="0.45">
      <c r="B337" s="97"/>
      <c r="C337" s="97"/>
      <c r="D337" s="97"/>
      <c r="E337" s="97"/>
      <c r="R337" s="97"/>
      <c r="S337" s="97"/>
      <c r="T337" s="97"/>
      <c r="U337" s="97"/>
      <c r="V337" s="97"/>
      <c r="W337" s="97"/>
      <c r="X337" s="97"/>
      <c r="Y337" s="97"/>
      <c r="Z337" s="97"/>
      <c r="AA337" s="97"/>
      <c r="AB337" s="97"/>
      <c r="AC337" s="97"/>
      <c r="AD337" s="97"/>
      <c r="AE337" s="97"/>
    </row>
    <row r="338" spans="2:31" x14ac:dyDescent="0.45">
      <c r="B338" s="97"/>
      <c r="C338" s="97"/>
      <c r="D338" s="97"/>
      <c r="E338" s="97"/>
      <c r="R338" s="97"/>
      <c r="S338" s="97"/>
      <c r="T338" s="97"/>
      <c r="U338" s="97"/>
      <c r="V338" s="97"/>
      <c r="W338" s="97"/>
      <c r="X338" s="97"/>
      <c r="Y338" s="97"/>
      <c r="Z338" s="97"/>
      <c r="AA338" s="97"/>
      <c r="AB338" s="97"/>
      <c r="AC338" s="97"/>
      <c r="AD338" s="97"/>
      <c r="AE338" s="97"/>
    </row>
    <row r="339" spans="2:31" x14ac:dyDescent="0.45">
      <c r="B339" s="97"/>
      <c r="C339" s="97"/>
      <c r="D339" s="97"/>
      <c r="E339" s="97"/>
      <c r="R339" s="97"/>
      <c r="S339" s="97"/>
      <c r="T339" s="97"/>
      <c r="U339" s="97"/>
      <c r="V339" s="97"/>
      <c r="W339" s="97"/>
      <c r="X339" s="97"/>
      <c r="Y339" s="97"/>
      <c r="Z339" s="97"/>
      <c r="AA339" s="97"/>
      <c r="AB339" s="97"/>
      <c r="AC339" s="97"/>
      <c r="AD339" s="97"/>
      <c r="AE339" s="97"/>
    </row>
    <row r="340" spans="2:31" x14ac:dyDescent="0.45">
      <c r="B340" s="97"/>
      <c r="C340" s="97"/>
      <c r="D340" s="97"/>
      <c r="E340" s="97"/>
      <c r="R340" s="97"/>
      <c r="S340" s="97"/>
      <c r="T340" s="97"/>
      <c r="U340" s="97"/>
      <c r="V340" s="97"/>
      <c r="W340" s="97"/>
      <c r="X340" s="97"/>
      <c r="Y340" s="97"/>
      <c r="Z340" s="97"/>
      <c r="AA340" s="97"/>
      <c r="AB340" s="97"/>
      <c r="AC340" s="97"/>
      <c r="AD340" s="97"/>
      <c r="AE340" s="97"/>
    </row>
    <row r="341" spans="2:31" x14ac:dyDescent="0.45">
      <c r="B341" s="97"/>
      <c r="C341" s="97"/>
      <c r="D341" s="97"/>
      <c r="E341" s="97"/>
      <c r="R341" s="97"/>
      <c r="S341" s="97"/>
      <c r="T341" s="97"/>
      <c r="U341" s="97"/>
      <c r="V341" s="97"/>
      <c r="W341" s="97"/>
      <c r="X341" s="97"/>
      <c r="Y341" s="97"/>
      <c r="Z341" s="97"/>
      <c r="AA341" s="97"/>
      <c r="AB341" s="97"/>
      <c r="AC341" s="97"/>
      <c r="AD341" s="97"/>
      <c r="AE341" s="97"/>
    </row>
    <row r="342" spans="2:31" x14ac:dyDescent="0.45">
      <c r="B342" s="97"/>
      <c r="C342" s="97"/>
      <c r="D342" s="97"/>
      <c r="E342" s="97"/>
      <c r="R342" s="97"/>
      <c r="S342" s="97"/>
      <c r="T342" s="97"/>
      <c r="U342" s="97"/>
      <c r="V342" s="97"/>
      <c r="W342" s="97"/>
      <c r="X342" s="97"/>
      <c r="Y342" s="97"/>
      <c r="Z342" s="97"/>
      <c r="AA342" s="97"/>
      <c r="AB342" s="97"/>
      <c r="AC342" s="97"/>
      <c r="AD342" s="97"/>
      <c r="AE342" s="97"/>
    </row>
    <row r="343" spans="2:31" x14ac:dyDescent="0.45">
      <c r="B343" s="97"/>
      <c r="C343" s="97"/>
      <c r="D343" s="97"/>
      <c r="E343" s="97"/>
      <c r="R343" s="97"/>
      <c r="S343" s="97"/>
      <c r="T343" s="97"/>
      <c r="U343" s="97"/>
      <c r="V343" s="97"/>
      <c r="W343" s="97"/>
      <c r="X343" s="97"/>
      <c r="Y343" s="97"/>
      <c r="Z343" s="97"/>
      <c r="AA343" s="97"/>
      <c r="AB343" s="97"/>
      <c r="AC343" s="97"/>
      <c r="AD343" s="97"/>
      <c r="AE343" s="97"/>
    </row>
    <row r="344" spans="2:31" x14ac:dyDescent="0.45">
      <c r="B344" s="97"/>
      <c r="C344" s="97"/>
      <c r="D344" s="97"/>
      <c r="E344" s="97"/>
      <c r="R344" s="97"/>
      <c r="S344" s="97"/>
      <c r="T344" s="97"/>
      <c r="U344" s="97"/>
      <c r="V344" s="97"/>
      <c r="W344" s="97"/>
      <c r="X344" s="97"/>
      <c r="Y344" s="97"/>
      <c r="Z344" s="97"/>
      <c r="AA344" s="97"/>
      <c r="AB344" s="97"/>
      <c r="AC344" s="97"/>
      <c r="AD344" s="97"/>
      <c r="AE344" s="97"/>
    </row>
    <row r="345" spans="2:31" x14ac:dyDescent="0.45">
      <c r="B345" s="97"/>
      <c r="C345" s="97"/>
      <c r="D345" s="97"/>
      <c r="E345" s="97"/>
      <c r="R345" s="97"/>
      <c r="S345" s="97"/>
      <c r="T345" s="97"/>
      <c r="U345" s="97"/>
      <c r="V345" s="97"/>
      <c r="W345" s="97"/>
      <c r="X345" s="97"/>
      <c r="Y345" s="97"/>
      <c r="Z345" s="97"/>
      <c r="AA345" s="97"/>
      <c r="AB345" s="97"/>
      <c r="AC345" s="97"/>
      <c r="AD345" s="97"/>
      <c r="AE345" s="97"/>
    </row>
    <row r="346" spans="2:31" x14ac:dyDescent="0.45">
      <c r="B346" s="97"/>
      <c r="C346" s="97"/>
      <c r="D346" s="97"/>
      <c r="E346" s="97"/>
      <c r="R346" s="97"/>
      <c r="S346" s="97"/>
      <c r="T346" s="97"/>
      <c r="U346" s="97"/>
      <c r="V346" s="97"/>
      <c r="W346" s="97"/>
      <c r="X346" s="97"/>
      <c r="Y346" s="97"/>
      <c r="Z346" s="97"/>
      <c r="AA346" s="97"/>
      <c r="AB346" s="97"/>
      <c r="AC346" s="97"/>
      <c r="AD346" s="97"/>
      <c r="AE346" s="97"/>
    </row>
    <row r="347" spans="2:31" x14ac:dyDescent="0.45">
      <c r="B347" s="97"/>
      <c r="C347" s="97"/>
      <c r="D347" s="97"/>
      <c r="E347" s="97"/>
      <c r="R347" s="97"/>
      <c r="S347" s="97"/>
      <c r="T347" s="97"/>
      <c r="U347" s="97"/>
      <c r="V347" s="97"/>
      <c r="W347" s="97"/>
      <c r="X347" s="97"/>
      <c r="Y347" s="97"/>
      <c r="Z347" s="97"/>
      <c r="AA347" s="97"/>
      <c r="AB347" s="97"/>
      <c r="AC347" s="97"/>
      <c r="AD347" s="97"/>
      <c r="AE347" s="97"/>
    </row>
    <row r="348" spans="2:31" x14ac:dyDescent="0.45">
      <c r="B348" s="97"/>
      <c r="C348" s="97"/>
      <c r="D348" s="97"/>
      <c r="E348" s="97"/>
      <c r="R348" s="97"/>
      <c r="S348" s="97"/>
      <c r="T348" s="97"/>
      <c r="U348" s="97"/>
      <c r="V348" s="97"/>
      <c r="W348" s="97"/>
      <c r="X348" s="97"/>
      <c r="Y348" s="97"/>
      <c r="Z348" s="97"/>
      <c r="AA348" s="97"/>
      <c r="AB348" s="97"/>
      <c r="AC348" s="97"/>
      <c r="AD348" s="97"/>
      <c r="AE348" s="97"/>
    </row>
    <row r="349" spans="2:31" x14ac:dyDescent="0.45">
      <c r="B349" s="97"/>
      <c r="C349" s="97"/>
      <c r="D349" s="97"/>
      <c r="E349" s="97"/>
      <c r="R349" s="97"/>
      <c r="S349" s="97"/>
      <c r="T349" s="97"/>
      <c r="U349" s="97"/>
      <c r="V349" s="97"/>
      <c r="W349" s="97"/>
      <c r="X349" s="97"/>
      <c r="Y349" s="97"/>
      <c r="Z349" s="97"/>
      <c r="AA349" s="97"/>
      <c r="AB349" s="97"/>
      <c r="AC349" s="97"/>
      <c r="AD349" s="97"/>
      <c r="AE349" s="97"/>
    </row>
    <row r="350" spans="2:31" x14ac:dyDescent="0.45">
      <c r="B350" s="97"/>
      <c r="C350" s="97"/>
      <c r="D350" s="97"/>
      <c r="E350" s="97"/>
      <c r="R350" s="97"/>
      <c r="S350" s="97"/>
      <c r="T350" s="97"/>
      <c r="U350" s="97"/>
      <c r="V350" s="97"/>
      <c r="W350" s="97"/>
      <c r="X350" s="97"/>
      <c r="Y350" s="97"/>
      <c r="Z350" s="97"/>
      <c r="AA350" s="97"/>
      <c r="AB350" s="97"/>
      <c r="AC350" s="97"/>
      <c r="AD350" s="97"/>
      <c r="AE350" s="97"/>
    </row>
    <row r="351" spans="2:31" x14ac:dyDescent="0.45">
      <c r="B351" s="97"/>
      <c r="C351" s="97"/>
      <c r="D351" s="97"/>
      <c r="E351" s="97"/>
      <c r="R351" s="97"/>
      <c r="S351" s="97"/>
      <c r="T351" s="97"/>
      <c r="U351" s="97"/>
      <c r="V351" s="97"/>
      <c r="W351" s="97"/>
      <c r="X351" s="97"/>
      <c r="Y351" s="97"/>
      <c r="Z351" s="97"/>
      <c r="AA351" s="97"/>
      <c r="AB351" s="97"/>
      <c r="AC351" s="97"/>
      <c r="AD351" s="97"/>
      <c r="AE351" s="97"/>
    </row>
    <row r="352" spans="2:31" x14ac:dyDescent="0.45">
      <c r="B352" s="97"/>
      <c r="C352" s="97"/>
      <c r="D352" s="97"/>
      <c r="E352" s="97"/>
      <c r="R352" s="97"/>
      <c r="S352" s="97"/>
      <c r="T352" s="97"/>
      <c r="U352" s="97"/>
      <c r="V352" s="97"/>
      <c r="W352" s="97"/>
      <c r="X352" s="97"/>
      <c r="Y352" s="97"/>
      <c r="Z352" s="97"/>
      <c r="AA352" s="97"/>
      <c r="AB352" s="97"/>
      <c r="AC352" s="97"/>
      <c r="AD352" s="97"/>
      <c r="AE352" s="97"/>
    </row>
    <row r="353" spans="2:31" x14ac:dyDescent="0.45">
      <c r="B353" s="97"/>
      <c r="C353" s="97"/>
      <c r="D353" s="97"/>
      <c r="E353" s="97"/>
      <c r="R353" s="97"/>
      <c r="S353" s="97"/>
      <c r="T353" s="97"/>
      <c r="U353" s="97"/>
      <c r="V353" s="97"/>
      <c r="W353" s="97"/>
      <c r="X353" s="97"/>
      <c r="Y353" s="97"/>
      <c r="Z353" s="97"/>
      <c r="AA353" s="97"/>
      <c r="AB353" s="97"/>
      <c r="AC353" s="97"/>
      <c r="AD353" s="97"/>
      <c r="AE353" s="97"/>
    </row>
    <row r="354" spans="2:31" x14ac:dyDescent="0.45">
      <c r="B354" s="97"/>
      <c r="C354" s="97"/>
      <c r="D354" s="97"/>
      <c r="E354" s="97"/>
      <c r="R354" s="97"/>
      <c r="S354" s="97"/>
      <c r="T354" s="97"/>
      <c r="U354" s="97"/>
      <c r="V354" s="97"/>
      <c r="W354" s="97"/>
      <c r="X354" s="97"/>
      <c r="Y354" s="97"/>
      <c r="Z354" s="97"/>
      <c r="AA354" s="97"/>
      <c r="AB354" s="97"/>
      <c r="AC354" s="97"/>
      <c r="AD354" s="97"/>
      <c r="AE354" s="97"/>
    </row>
    <row r="355" spans="2:31" x14ac:dyDescent="0.45">
      <c r="B355" s="97"/>
      <c r="C355" s="97"/>
      <c r="D355" s="97"/>
      <c r="E355" s="97"/>
      <c r="R355" s="97"/>
      <c r="S355" s="97"/>
      <c r="T355" s="97"/>
      <c r="U355" s="97"/>
      <c r="V355" s="97"/>
      <c r="W355" s="97"/>
      <c r="X355" s="97"/>
      <c r="Y355" s="97"/>
      <c r="Z355" s="97"/>
      <c r="AA355" s="97"/>
      <c r="AB355" s="97"/>
      <c r="AC355" s="97"/>
      <c r="AD355" s="97"/>
      <c r="AE355" s="97"/>
    </row>
    <row r="356" spans="2:31" x14ac:dyDescent="0.45">
      <c r="B356" s="97"/>
      <c r="C356" s="97"/>
      <c r="D356" s="97"/>
      <c r="E356" s="97"/>
      <c r="R356" s="97"/>
      <c r="S356" s="97"/>
      <c r="T356" s="97"/>
      <c r="U356" s="97"/>
      <c r="V356" s="97"/>
      <c r="W356" s="97"/>
      <c r="X356" s="97"/>
      <c r="Y356" s="97"/>
      <c r="Z356" s="97"/>
      <c r="AA356" s="97"/>
      <c r="AB356" s="97"/>
      <c r="AC356" s="97"/>
      <c r="AD356" s="97"/>
      <c r="AE356" s="97"/>
    </row>
    <row r="357" spans="2:31" x14ac:dyDescent="0.45">
      <c r="B357" s="97"/>
      <c r="C357" s="97"/>
      <c r="D357" s="97"/>
      <c r="E357" s="97"/>
      <c r="R357" s="97"/>
      <c r="S357" s="97"/>
      <c r="T357" s="97"/>
      <c r="U357" s="97"/>
      <c r="V357" s="97"/>
      <c r="W357" s="97"/>
      <c r="X357" s="97"/>
      <c r="Y357" s="97"/>
      <c r="Z357" s="97"/>
      <c r="AA357" s="97"/>
      <c r="AB357" s="97"/>
      <c r="AC357" s="97"/>
      <c r="AD357" s="97"/>
      <c r="AE357" s="97"/>
    </row>
    <row r="358" spans="2:31" x14ac:dyDescent="0.45">
      <c r="B358" s="97"/>
      <c r="C358" s="97"/>
      <c r="D358" s="97"/>
      <c r="E358" s="97"/>
      <c r="R358" s="97"/>
      <c r="S358" s="97"/>
      <c r="T358" s="97"/>
      <c r="U358" s="97"/>
      <c r="V358" s="97"/>
      <c r="W358" s="97"/>
      <c r="X358" s="97"/>
      <c r="Y358" s="97"/>
      <c r="Z358" s="97"/>
      <c r="AA358" s="97"/>
      <c r="AB358" s="97"/>
      <c r="AC358" s="97"/>
      <c r="AD358" s="97"/>
      <c r="AE358" s="97"/>
    </row>
    <row r="359" spans="2:31" x14ac:dyDescent="0.45">
      <c r="B359" s="97"/>
      <c r="C359" s="97"/>
      <c r="D359" s="97"/>
      <c r="E359" s="97"/>
      <c r="R359" s="97"/>
      <c r="S359" s="97"/>
      <c r="T359" s="97"/>
      <c r="U359" s="97"/>
      <c r="V359" s="97"/>
      <c r="W359" s="97"/>
      <c r="X359" s="97"/>
      <c r="Y359" s="97"/>
      <c r="Z359" s="97"/>
      <c r="AA359" s="97"/>
      <c r="AB359" s="97"/>
      <c r="AC359" s="97"/>
      <c r="AD359" s="97"/>
      <c r="AE359" s="97"/>
    </row>
    <row r="360" spans="2:31" x14ac:dyDescent="0.45">
      <c r="B360" s="97"/>
      <c r="C360" s="97"/>
      <c r="D360" s="97"/>
      <c r="E360" s="97"/>
      <c r="R360" s="97"/>
      <c r="S360" s="97"/>
      <c r="T360" s="97"/>
      <c r="U360" s="97"/>
      <c r="V360" s="97"/>
      <c r="W360" s="97"/>
      <c r="X360" s="97"/>
      <c r="Y360" s="97"/>
      <c r="Z360" s="97"/>
      <c r="AA360" s="97"/>
      <c r="AB360" s="97"/>
      <c r="AC360" s="97"/>
      <c r="AD360" s="97"/>
      <c r="AE360" s="97"/>
    </row>
    <row r="361" spans="2:31" x14ac:dyDescent="0.45">
      <c r="B361" s="97"/>
      <c r="C361" s="97"/>
      <c r="D361" s="97"/>
      <c r="E361" s="97"/>
      <c r="R361" s="97"/>
      <c r="S361" s="97"/>
      <c r="T361" s="97"/>
      <c r="U361" s="97"/>
      <c r="V361" s="97"/>
      <c r="W361" s="97"/>
      <c r="X361" s="97"/>
      <c r="Y361" s="97"/>
      <c r="Z361" s="97"/>
      <c r="AA361" s="97"/>
      <c r="AB361" s="97"/>
      <c r="AC361" s="97"/>
      <c r="AD361" s="97"/>
      <c r="AE361" s="97"/>
    </row>
    <row r="362" spans="2:31" x14ac:dyDescent="0.45">
      <c r="B362" s="97"/>
      <c r="C362" s="97"/>
      <c r="D362" s="97"/>
      <c r="E362" s="97"/>
      <c r="R362" s="97"/>
      <c r="S362" s="97"/>
      <c r="T362" s="97"/>
      <c r="U362" s="97"/>
      <c r="V362" s="97"/>
      <c r="W362" s="97"/>
      <c r="X362" s="97"/>
      <c r="Y362" s="97"/>
      <c r="Z362" s="97"/>
      <c r="AA362" s="97"/>
      <c r="AB362" s="97"/>
      <c r="AC362" s="97"/>
      <c r="AD362" s="97"/>
      <c r="AE362" s="97"/>
    </row>
    <row r="363" spans="2:31" x14ac:dyDescent="0.45">
      <c r="B363" s="97"/>
      <c r="C363" s="97"/>
      <c r="D363" s="97"/>
      <c r="E363" s="97"/>
      <c r="R363" s="97"/>
      <c r="S363" s="97"/>
      <c r="T363" s="97"/>
      <c r="U363" s="97"/>
      <c r="V363" s="97"/>
      <c r="W363" s="97"/>
      <c r="X363" s="97"/>
      <c r="Y363" s="97"/>
      <c r="Z363" s="97"/>
      <c r="AA363" s="97"/>
      <c r="AB363" s="97"/>
      <c r="AC363" s="97"/>
      <c r="AD363" s="97"/>
      <c r="AE363" s="97"/>
    </row>
    <row r="364" spans="2:31" x14ac:dyDescent="0.45">
      <c r="B364" s="97"/>
      <c r="C364" s="97"/>
      <c r="D364" s="97"/>
      <c r="E364" s="97"/>
      <c r="R364" s="97"/>
      <c r="S364" s="97"/>
      <c r="T364" s="97"/>
      <c r="U364" s="97"/>
      <c r="V364" s="97"/>
      <c r="W364" s="97"/>
      <c r="X364" s="97"/>
      <c r="Y364" s="97"/>
      <c r="Z364" s="97"/>
      <c r="AA364" s="97"/>
      <c r="AB364" s="97"/>
      <c r="AC364" s="97"/>
      <c r="AD364" s="97"/>
      <c r="AE364" s="97"/>
    </row>
    <row r="365" spans="2:31" x14ac:dyDescent="0.45">
      <c r="B365" s="97"/>
      <c r="C365" s="97"/>
      <c r="D365" s="97"/>
      <c r="E365" s="97"/>
      <c r="R365" s="97"/>
      <c r="S365" s="97"/>
      <c r="T365" s="97"/>
      <c r="U365" s="97"/>
      <c r="V365" s="97"/>
      <c r="W365" s="97"/>
      <c r="X365" s="97"/>
      <c r="Y365" s="97"/>
      <c r="Z365" s="97"/>
      <c r="AA365" s="97"/>
      <c r="AB365" s="97"/>
      <c r="AC365" s="97"/>
      <c r="AD365" s="97"/>
      <c r="AE365" s="97"/>
    </row>
    <row r="366" spans="2:31" x14ac:dyDescent="0.45">
      <c r="B366" s="97"/>
      <c r="C366" s="97"/>
      <c r="D366" s="97"/>
      <c r="E366" s="97"/>
      <c r="R366" s="97"/>
      <c r="S366" s="97"/>
      <c r="T366" s="97"/>
      <c r="U366" s="97"/>
      <c r="V366" s="97"/>
      <c r="W366" s="97"/>
      <c r="X366" s="97"/>
      <c r="Y366" s="97"/>
      <c r="Z366" s="97"/>
      <c r="AA366" s="97"/>
      <c r="AB366" s="97"/>
      <c r="AC366" s="97"/>
      <c r="AD366" s="97"/>
      <c r="AE366" s="97"/>
    </row>
    <row r="367" spans="2:31" x14ac:dyDescent="0.45">
      <c r="B367" s="97"/>
      <c r="C367" s="97"/>
      <c r="D367" s="97"/>
      <c r="E367" s="97"/>
      <c r="R367" s="97"/>
      <c r="S367" s="97"/>
      <c r="T367" s="97"/>
      <c r="U367" s="97"/>
      <c r="V367" s="97"/>
      <c r="W367" s="97"/>
      <c r="X367" s="97"/>
      <c r="Y367" s="97"/>
      <c r="Z367" s="97"/>
      <c r="AA367" s="97"/>
      <c r="AB367" s="97"/>
      <c r="AC367" s="97"/>
      <c r="AD367" s="97"/>
      <c r="AE367" s="97"/>
    </row>
    <row r="368" spans="2:31" x14ac:dyDescent="0.45">
      <c r="B368" s="97"/>
      <c r="C368" s="97"/>
      <c r="D368" s="97"/>
      <c r="E368" s="97"/>
      <c r="R368" s="97"/>
      <c r="S368" s="97"/>
      <c r="T368" s="97"/>
      <c r="U368" s="97"/>
      <c r="V368" s="97"/>
      <c r="W368" s="97"/>
      <c r="X368" s="97"/>
      <c r="Y368" s="97"/>
      <c r="Z368" s="97"/>
      <c r="AA368" s="97"/>
      <c r="AB368" s="97"/>
      <c r="AC368" s="97"/>
      <c r="AD368" s="97"/>
      <c r="AE368" s="97"/>
    </row>
    <row r="369" spans="2:31" x14ac:dyDescent="0.45">
      <c r="B369" s="97"/>
      <c r="C369" s="97"/>
      <c r="D369" s="97"/>
      <c r="E369" s="97"/>
      <c r="R369" s="97"/>
      <c r="S369" s="97"/>
      <c r="T369" s="97"/>
      <c r="U369" s="97"/>
      <c r="V369" s="97"/>
      <c r="W369" s="97"/>
      <c r="X369" s="97"/>
      <c r="Y369" s="97"/>
      <c r="Z369" s="97"/>
      <c r="AA369" s="97"/>
      <c r="AB369" s="97"/>
      <c r="AC369" s="97"/>
      <c r="AD369" s="97"/>
      <c r="AE369" s="97"/>
    </row>
    <row r="370" spans="2:31" x14ac:dyDescent="0.45">
      <c r="B370" s="97"/>
      <c r="C370" s="97"/>
      <c r="D370" s="97"/>
      <c r="E370" s="97"/>
      <c r="R370" s="97"/>
      <c r="S370" s="97"/>
      <c r="T370" s="97"/>
      <c r="U370" s="97"/>
      <c r="V370" s="97"/>
      <c r="W370" s="97"/>
      <c r="X370" s="97"/>
      <c r="Y370" s="97"/>
      <c r="Z370" s="97"/>
      <c r="AA370" s="97"/>
      <c r="AB370" s="97"/>
      <c r="AC370" s="97"/>
      <c r="AD370" s="97"/>
      <c r="AE370" s="97"/>
    </row>
    <row r="371" spans="2:31" x14ac:dyDescent="0.45">
      <c r="B371" s="97"/>
      <c r="C371" s="97"/>
      <c r="D371" s="97"/>
      <c r="E371" s="97"/>
      <c r="R371" s="97"/>
      <c r="S371" s="97"/>
      <c r="T371" s="97"/>
      <c r="U371" s="97"/>
      <c r="V371" s="97"/>
      <c r="W371" s="97"/>
      <c r="X371" s="97"/>
      <c r="Y371" s="97"/>
      <c r="Z371" s="97"/>
      <c r="AA371" s="97"/>
      <c r="AB371" s="97"/>
      <c r="AC371" s="97"/>
      <c r="AD371" s="97"/>
      <c r="AE371" s="97"/>
    </row>
    <row r="372" spans="2:31" x14ac:dyDescent="0.45">
      <c r="B372" s="97"/>
      <c r="C372" s="97"/>
      <c r="D372" s="97"/>
      <c r="E372" s="97"/>
      <c r="R372" s="97"/>
      <c r="S372" s="97"/>
      <c r="T372" s="97"/>
      <c r="U372" s="97"/>
      <c r="V372" s="97"/>
      <c r="W372" s="97"/>
      <c r="X372" s="97"/>
      <c r="Y372" s="97"/>
      <c r="Z372" s="97"/>
      <c r="AA372" s="97"/>
      <c r="AB372" s="97"/>
      <c r="AC372" s="97"/>
      <c r="AD372" s="97"/>
      <c r="AE372" s="97"/>
    </row>
    <row r="373" spans="2:31" x14ac:dyDescent="0.45">
      <c r="B373" s="97"/>
      <c r="C373" s="97"/>
      <c r="D373" s="97"/>
      <c r="E373" s="97"/>
      <c r="R373" s="97"/>
      <c r="S373" s="97"/>
      <c r="T373" s="97"/>
      <c r="U373" s="97"/>
      <c r="V373" s="97"/>
      <c r="W373" s="97"/>
      <c r="X373" s="97"/>
      <c r="Y373" s="97"/>
      <c r="Z373" s="97"/>
      <c r="AA373" s="97"/>
      <c r="AB373" s="97"/>
      <c r="AC373" s="97"/>
      <c r="AD373" s="97"/>
      <c r="AE373" s="97"/>
    </row>
    <row r="374" spans="2:31" x14ac:dyDescent="0.45">
      <c r="B374" s="97"/>
      <c r="C374" s="97"/>
      <c r="D374" s="97"/>
      <c r="E374" s="97"/>
      <c r="R374" s="97"/>
      <c r="S374" s="97"/>
      <c r="T374" s="97"/>
      <c r="U374" s="97"/>
      <c r="V374" s="97"/>
      <c r="W374" s="97"/>
      <c r="X374" s="97"/>
      <c r="Y374" s="97"/>
      <c r="Z374" s="97"/>
      <c r="AA374" s="97"/>
      <c r="AB374" s="97"/>
      <c r="AC374" s="97"/>
      <c r="AD374" s="97"/>
      <c r="AE374" s="97"/>
    </row>
    <row r="375" spans="2:31" x14ac:dyDescent="0.45">
      <c r="B375" s="97"/>
      <c r="C375" s="97"/>
      <c r="D375" s="97"/>
      <c r="E375" s="97"/>
      <c r="R375" s="97"/>
      <c r="S375" s="97"/>
      <c r="T375" s="97"/>
      <c r="U375" s="97"/>
      <c r="V375" s="97"/>
      <c r="W375" s="97"/>
      <c r="X375" s="97"/>
      <c r="Y375" s="97"/>
      <c r="Z375" s="97"/>
      <c r="AA375" s="97"/>
      <c r="AB375" s="97"/>
      <c r="AC375" s="97"/>
      <c r="AD375" s="97"/>
      <c r="AE375" s="97"/>
    </row>
    <row r="376" spans="2:31" x14ac:dyDescent="0.45">
      <c r="B376" s="97"/>
      <c r="C376" s="97"/>
      <c r="D376" s="97"/>
      <c r="E376" s="97"/>
      <c r="R376" s="97"/>
      <c r="S376" s="97"/>
      <c r="T376" s="97"/>
      <c r="U376" s="97"/>
      <c r="V376" s="97"/>
      <c r="W376" s="97"/>
      <c r="X376" s="97"/>
      <c r="Y376" s="97"/>
      <c r="Z376" s="97"/>
      <c r="AA376" s="97"/>
      <c r="AB376" s="97"/>
      <c r="AC376" s="97"/>
      <c r="AD376" s="97"/>
      <c r="AE376" s="97"/>
    </row>
    <row r="377" spans="2:31" x14ac:dyDescent="0.45">
      <c r="B377" s="97"/>
      <c r="C377" s="97"/>
      <c r="D377" s="97"/>
      <c r="E377" s="97"/>
      <c r="R377" s="97"/>
      <c r="S377" s="97"/>
      <c r="T377" s="97"/>
      <c r="U377" s="97"/>
      <c r="V377" s="97"/>
      <c r="W377" s="97"/>
      <c r="X377" s="97"/>
      <c r="Y377" s="97"/>
      <c r="Z377" s="97"/>
      <c r="AA377" s="97"/>
      <c r="AB377" s="97"/>
      <c r="AC377" s="97"/>
      <c r="AD377" s="97"/>
      <c r="AE377" s="97"/>
    </row>
    <row r="378" spans="2:31" x14ac:dyDescent="0.45">
      <c r="B378" s="97"/>
      <c r="C378" s="97"/>
      <c r="D378" s="97"/>
      <c r="E378" s="97"/>
      <c r="R378" s="97"/>
      <c r="S378" s="97"/>
      <c r="T378" s="97"/>
      <c r="U378" s="97"/>
      <c r="V378" s="97"/>
      <c r="W378" s="97"/>
      <c r="X378" s="97"/>
      <c r="Y378" s="97"/>
      <c r="Z378" s="97"/>
      <c r="AA378" s="97"/>
      <c r="AB378" s="97"/>
      <c r="AC378" s="97"/>
      <c r="AD378" s="97"/>
      <c r="AE378" s="97"/>
    </row>
    <row r="379" spans="2:31" x14ac:dyDescent="0.45">
      <c r="B379" s="97"/>
      <c r="C379" s="97"/>
      <c r="D379" s="97"/>
      <c r="E379" s="97"/>
      <c r="R379" s="97"/>
      <c r="S379" s="97"/>
      <c r="T379" s="97"/>
      <c r="U379" s="97"/>
      <c r="V379" s="97"/>
      <c r="W379" s="97"/>
      <c r="X379" s="97"/>
      <c r="Y379" s="97"/>
      <c r="Z379" s="97"/>
      <c r="AA379" s="97"/>
      <c r="AB379" s="97"/>
      <c r="AC379" s="97"/>
      <c r="AD379" s="97"/>
      <c r="AE379" s="97"/>
    </row>
    <row r="380" spans="2:31" x14ac:dyDescent="0.45">
      <c r="B380" s="97"/>
      <c r="C380" s="97"/>
      <c r="D380" s="97"/>
      <c r="E380" s="97"/>
      <c r="R380" s="97"/>
      <c r="S380" s="97"/>
      <c r="T380" s="97"/>
      <c r="U380" s="97"/>
      <c r="V380" s="97"/>
      <c r="W380" s="97"/>
      <c r="X380" s="97"/>
      <c r="Y380" s="97"/>
      <c r="Z380" s="97"/>
      <c r="AA380" s="97"/>
      <c r="AB380" s="97"/>
      <c r="AC380" s="97"/>
      <c r="AD380" s="97"/>
      <c r="AE380" s="97"/>
    </row>
    <row r="381" spans="2:31" x14ac:dyDescent="0.45">
      <c r="B381" s="97"/>
      <c r="C381" s="97"/>
      <c r="D381" s="97"/>
      <c r="E381" s="97"/>
      <c r="R381" s="97"/>
      <c r="S381" s="97"/>
      <c r="T381" s="97"/>
      <c r="U381" s="97"/>
      <c r="V381" s="97"/>
      <c r="W381" s="97"/>
      <c r="X381" s="97"/>
      <c r="Y381" s="97"/>
      <c r="Z381" s="97"/>
      <c r="AA381" s="97"/>
      <c r="AB381" s="97"/>
      <c r="AC381" s="97"/>
      <c r="AD381" s="97"/>
      <c r="AE381" s="97"/>
    </row>
    <row r="382" spans="2:31" x14ac:dyDescent="0.45">
      <c r="B382" s="97"/>
      <c r="C382" s="97"/>
      <c r="D382" s="97"/>
      <c r="E382" s="97"/>
      <c r="R382" s="97"/>
      <c r="S382" s="97"/>
      <c r="T382" s="97"/>
      <c r="U382" s="97"/>
      <c r="V382" s="97"/>
      <c r="W382" s="97"/>
      <c r="X382" s="97"/>
      <c r="Y382" s="97"/>
      <c r="Z382" s="97"/>
      <c r="AA382" s="97"/>
      <c r="AB382" s="97"/>
      <c r="AC382" s="97"/>
      <c r="AD382" s="97"/>
      <c r="AE382" s="97"/>
    </row>
    <row r="383" spans="2:31" x14ac:dyDescent="0.45">
      <c r="B383" s="97"/>
      <c r="C383" s="97"/>
      <c r="D383" s="97"/>
      <c r="E383" s="97"/>
      <c r="R383" s="97"/>
      <c r="S383" s="97"/>
      <c r="T383" s="97"/>
      <c r="U383" s="97"/>
      <c r="V383" s="97"/>
      <c r="W383" s="97"/>
      <c r="X383" s="97"/>
      <c r="Y383" s="97"/>
      <c r="Z383" s="97"/>
      <c r="AA383" s="97"/>
      <c r="AB383" s="97"/>
      <c r="AC383" s="97"/>
      <c r="AD383" s="97"/>
      <c r="AE383" s="97"/>
    </row>
    <row r="384" spans="2:31" x14ac:dyDescent="0.45">
      <c r="B384" s="97"/>
      <c r="C384" s="97"/>
      <c r="D384" s="97"/>
      <c r="E384" s="97"/>
      <c r="R384" s="97"/>
      <c r="S384" s="97"/>
      <c r="T384" s="97"/>
      <c r="U384" s="97"/>
      <c r="V384" s="97"/>
      <c r="W384" s="97"/>
      <c r="X384" s="97"/>
      <c r="Y384" s="97"/>
      <c r="Z384" s="97"/>
      <c r="AA384" s="97"/>
      <c r="AB384" s="97"/>
      <c r="AC384" s="97"/>
      <c r="AD384" s="97"/>
      <c r="AE384" s="97"/>
    </row>
    <row r="385" spans="2:31" x14ac:dyDescent="0.45">
      <c r="B385" s="97"/>
      <c r="C385" s="97"/>
      <c r="D385" s="97"/>
      <c r="E385" s="97"/>
      <c r="R385" s="97"/>
      <c r="S385" s="97"/>
      <c r="T385" s="97"/>
      <c r="U385" s="97"/>
      <c r="V385" s="97"/>
      <c r="W385" s="97"/>
      <c r="X385" s="97"/>
      <c r="Y385" s="97"/>
      <c r="Z385" s="97"/>
      <c r="AA385" s="97"/>
      <c r="AB385" s="97"/>
      <c r="AC385" s="97"/>
      <c r="AD385" s="97"/>
      <c r="AE385" s="97"/>
    </row>
    <row r="386" spans="2:31" x14ac:dyDescent="0.45">
      <c r="B386" s="97"/>
      <c r="C386" s="97"/>
      <c r="D386" s="97"/>
      <c r="E386" s="97"/>
      <c r="R386" s="97"/>
      <c r="S386" s="97"/>
      <c r="T386" s="97"/>
      <c r="U386" s="97"/>
      <c r="V386" s="97"/>
      <c r="W386" s="97"/>
      <c r="X386" s="97"/>
      <c r="Y386" s="97"/>
      <c r="Z386" s="97"/>
      <c r="AA386" s="97"/>
      <c r="AB386" s="97"/>
      <c r="AC386" s="97"/>
      <c r="AD386" s="97"/>
      <c r="AE386" s="97"/>
    </row>
    <row r="387" spans="2:31" x14ac:dyDescent="0.45">
      <c r="B387" s="97"/>
      <c r="C387" s="97"/>
      <c r="D387" s="97"/>
      <c r="E387" s="97"/>
      <c r="R387" s="97"/>
      <c r="S387" s="97"/>
      <c r="T387" s="97"/>
      <c r="U387" s="97"/>
      <c r="V387" s="97"/>
      <c r="W387" s="97"/>
      <c r="X387" s="97"/>
      <c r="Y387" s="97"/>
      <c r="Z387" s="97"/>
      <c r="AA387" s="97"/>
      <c r="AB387" s="97"/>
      <c r="AC387" s="97"/>
      <c r="AD387" s="97"/>
      <c r="AE387" s="97"/>
    </row>
    <row r="388" spans="2:31" x14ac:dyDescent="0.45">
      <c r="B388" s="97"/>
      <c r="C388" s="97"/>
      <c r="D388" s="97"/>
      <c r="E388" s="97"/>
      <c r="R388" s="97"/>
      <c r="S388" s="97"/>
      <c r="T388" s="97"/>
      <c r="U388" s="97"/>
      <c r="V388" s="97"/>
      <c r="W388" s="97"/>
      <c r="X388" s="97"/>
      <c r="Y388" s="97"/>
      <c r="Z388" s="97"/>
      <c r="AA388" s="97"/>
      <c r="AB388" s="97"/>
      <c r="AC388" s="97"/>
      <c r="AD388" s="97"/>
      <c r="AE388" s="97"/>
    </row>
    <row r="389" spans="2:31" x14ac:dyDescent="0.45">
      <c r="B389" s="97"/>
      <c r="C389" s="97"/>
      <c r="D389" s="97"/>
      <c r="E389" s="97"/>
      <c r="R389" s="97"/>
      <c r="S389" s="97"/>
      <c r="T389" s="97"/>
      <c r="U389" s="97"/>
      <c r="V389" s="97"/>
      <c r="W389" s="97"/>
      <c r="X389" s="97"/>
      <c r="Y389" s="97"/>
      <c r="Z389" s="97"/>
      <c r="AA389" s="97"/>
      <c r="AB389" s="97"/>
      <c r="AC389" s="97"/>
      <c r="AD389" s="97"/>
      <c r="AE389" s="97"/>
    </row>
    <row r="390" spans="2:31" x14ac:dyDescent="0.45">
      <c r="B390" s="97"/>
      <c r="C390" s="97"/>
      <c r="D390" s="97"/>
      <c r="E390" s="97"/>
      <c r="R390" s="97"/>
      <c r="S390" s="97"/>
      <c r="T390" s="97"/>
      <c r="U390" s="97"/>
      <c r="V390" s="97"/>
      <c r="W390" s="97"/>
      <c r="X390" s="97"/>
      <c r="Y390" s="97"/>
      <c r="Z390" s="97"/>
      <c r="AA390" s="97"/>
      <c r="AB390" s="97"/>
      <c r="AC390" s="97"/>
      <c r="AD390" s="97"/>
      <c r="AE390" s="97"/>
    </row>
    <row r="391" spans="2:31" x14ac:dyDescent="0.45">
      <c r="B391" s="97"/>
      <c r="C391" s="97"/>
      <c r="D391" s="97"/>
      <c r="E391" s="97"/>
      <c r="R391" s="97"/>
      <c r="S391" s="97"/>
      <c r="T391" s="97"/>
      <c r="U391" s="97"/>
      <c r="V391" s="97"/>
      <c r="W391" s="97"/>
      <c r="X391" s="97"/>
      <c r="Y391" s="97"/>
      <c r="Z391" s="97"/>
      <c r="AA391" s="97"/>
      <c r="AB391" s="97"/>
      <c r="AC391" s="97"/>
      <c r="AD391" s="97"/>
      <c r="AE391" s="97"/>
    </row>
    <row r="392" spans="2:31" x14ac:dyDescent="0.45">
      <c r="B392" s="97"/>
      <c r="C392" s="97"/>
      <c r="D392" s="97"/>
      <c r="E392" s="97"/>
      <c r="R392" s="97"/>
      <c r="S392" s="97"/>
      <c r="T392" s="97"/>
      <c r="U392" s="97"/>
      <c r="V392" s="97"/>
      <c r="W392" s="97"/>
      <c r="X392" s="97"/>
      <c r="Y392" s="97"/>
      <c r="Z392" s="97"/>
      <c r="AA392" s="97"/>
      <c r="AB392" s="97"/>
      <c r="AC392" s="97"/>
      <c r="AD392" s="97"/>
      <c r="AE392" s="97"/>
    </row>
    <row r="393" spans="2:31" x14ac:dyDescent="0.45">
      <c r="B393" s="97"/>
      <c r="C393" s="97"/>
      <c r="D393" s="97"/>
      <c r="E393" s="97"/>
      <c r="R393" s="97"/>
      <c r="S393" s="97"/>
      <c r="T393" s="97"/>
      <c r="U393" s="97"/>
      <c r="V393" s="97"/>
      <c r="W393" s="97"/>
      <c r="X393" s="97"/>
      <c r="Y393" s="97"/>
      <c r="Z393" s="97"/>
      <c r="AA393" s="97"/>
      <c r="AB393" s="97"/>
      <c r="AC393" s="97"/>
      <c r="AD393" s="97"/>
      <c r="AE393" s="97"/>
    </row>
    <row r="394" spans="2:31" x14ac:dyDescent="0.45">
      <c r="B394" s="97"/>
      <c r="C394" s="97"/>
      <c r="D394" s="97"/>
      <c r="E394" s="97"/>
      <c r="R394" s="97"/>
      <c r="S394" s="97"/>
      <c r="T394" s="97"/>
      <c r="U394" s="97"/>
      <c r="V394" s="97"/>
      <c r="W394" s="97"/>
      <c r="X394" s="97"/>
      <c r="Y394" s="97"/>
      <c r="Z394" s="97"/>
      <c r="AA394" s="97"/>
      <c r="AB394" s="97"/>
      <c r="AC394" s="97"/>
      <c r="AD394" s="97"/>
      <c r="AE394" s="97"/>
    </row>
    <row r="395" spans="2:31" x14ac:dyDescent="0.45">
      <c r="B395" s="97"/>
      <c r="C395" s="97"/>
      <c r="D395" s="97"/>
      <c r="E395" s="97"/>
      <c r="R395" s="97"/>
      <c r="S395" s="97"/>
      <c r="T395" s="97"/>
      <c r="U395" s="97"/>
      <c r="V395" s="97"/>
      <c r="W395" s="97"/>
      <c r="X395" s="97"/>
      <c r="Y395" s="97"/>
      <c r="Z395" s="97"/>
      <c r="AA395" s="97"/>
      <c r="AB395" s="97"/>
      <c r="AC395" s="97"/>
      <c r="AD395" s="97"/>
      <c r="AE395" s="97"/>
    </row>
    <row r="396" spans="2:31" x14ac:dyDescent="0.45">
      <c r="B396" s="97"/>
      <c r="C396" s="97"/>
      <c r="D396" s="97"/>
      <c r="E396" s="97"/>
      <c r="R396" s="97"/>
      <c r="S396" s="97"/>
      <c r="T396" s="97"/>
      <c r="U396" s="97"/>
      <c r="V396" s="97"/>
      <c r="W396" s="97"/>
      <c r="X396" s="97"/>
      <c r="Y396" s="97"/>
      <c r="Z396" s="97"/>
      <c r="AA396" s="97"/>
      <c r="AB396" s="97"/>
      <c r="AC396" s="97"/>
      <c r="AD396" s="97"/>
      <c r="AE396" s="97"/>
    </row>
    <row r="397" spans="2:31" x14ac:dyDescent="0.45">
      <c r="B397" s="97"/>
      <c r="C397" s="97"/>
      <c r="D397" s="97"/>
      <c r="E397" s="97"/>
      <c r="R397" s="97"/>
      <c r="S397" s="97"/>
      <c r="T397" s="97"/>
      <c r="U397" s="97"/>
      <c r="V397" s="97"/>
      <c r="W397" s="97"/>
      <c r="X397" s="97"/>
      <c r="Y397" s="97"/>
      <c r="Z397" s="97"/>
      <c r="AA397" s="97"/>
      <c r="AB397" s="97"/>
      <c r="AC397" s="97"/>
      <c r="AD397" s="97"/>
      <c r="AE397" s="97"/>
    </row>
    <row r="398" spans="2:31" x14ac:dyDescent="0.45">
      <c r="B398" s="97"/>
      <c r="C398" s="97"/>
      <c r="D398" s="97"/>
      <c r="E398" s="97"/>
      <c r="R398" s="97"/>
      <c r="S398" s="97"/>
      <c r="T398" s="97"/>
      <c r="U398" s="97"/>
      <c r="V398" s="97"/>
      <c r="W398" s="97"/>
      <c r="X398" s="97"/>
      <c r="Y398" s="97"/>
      <c r="Z398" s="97"/>
      <c r="AA398" s="97"/>
      <c r="AB398" s="97"/>
      <c r="AC398" s="97"/>
      <c r="AD398" s="97"/>
      <c r="AE398" s="97"/>
    </row>
    <row r="399" spans="2:31" x14ac:dyDescent="0.45">
      <c r="B399" s="97"/>
      <c r="C399" s="97"/>
      <c r="D399" s="97"/>
      <c r="E399" s="97"/>
      <c r="R399" s="97"/>
      <c r="S399" s="97"/>
      <c r="T399" s="97"/>
      <c r="U399" s="97"/>
      <c r="V399" s="97"/>
      <c r="W399" s="97"/>
      <c r="X399" s="97"/>
      <c r="Y399" s="97"/>
      <c r="Z399" s="97"/>
      <c r="AA399" s="97"/>
      <c r="AB399" s="97"/>
      <c r="AC399" s="97"/>
      <c r="AD399" s="97"/>
      <c r="AE399" s="97"/>
    </row>
    <row r="400" spans="2:31" x14ac:dyDescent="0.45">
      <c r="B400" s="97"/>
      <c r="C400" s="97"/>
      <c r="D400" s="97"/>
      <c r="E400" s="97"/>
      <c r="R400" s="97"/>
      <c r="S400" s="97"/>
      <c r="T400" s="97"/>
      <c r="U400" s="97"/>
      <c r="V400" s="97"/>
      <c r="W400" s="97"/>
      <c r="X400" s="97"/>
      <c r="Y400" s="97"/>
      <c r="Z400" s="97"/>
      <c r="AA400" s="97"/>
      <c r="AB400" s="97"/>
      <c r="AC400" s="97"/>
      <c r="AD400" s="97"/>
      <c r="AE400" s="97"/>
    </row>
    <row r="401" spans="2:31" x14ac:dyDescent="0.45">
      <c r="B401" s="97"/>
      <c r="C401" s="97"/>
      <c r="D401" s="97"/>
      <c r="E401" s="97"/>
      <c r="R401" s="97"/>
      <c r="S401" s="97"/>
      <c r="T401" s="97"/>
      <c r="U401" s="97"/>
      <c r="V401" s="97"/>
      <c r="W401" s="97"/>
      <c r="X401" s="97"/>
      <c r="Y401" s="97"/>
      <c r="Z401" s="97"/>
      <c r="AA401" s="97"/>
      <c r="AB401" s="97"/>
      <c r="AC401" s="97"/>
      <c r="AD401" s="97"/>
      <c r="AE401" s="97"/>
    </row>
    <row r="402" spans="2:31" x14ac:dyDescent="0.45">
      <c r="B402" s="97"/>
      <c r="C402" s="97"/>
      <c r="D402" s="97"/>
      <c r="E402" s="97"/>
      <c r="R402" s="97"/>
      <c r="S402" s="97"/>
      <c r="T402" s="97"/>
      <c r="U402" s="97"/>
      <c r="V402" s="97"/>
      <c r="W402" s="97"/>
      <c r="X402" s="97"/>
      <c r="Y402" s="97"/>
      <c r="Z402" s="97"/>
      <c r="AA402" s="97"/>
      <c r="AB402" s="97"/>
      <c r="AC402" s="97"/>
      <c r="AD402" s="97"/>
      <c r="AE402" s="97"/>
    </row>
    <row r="403" spans="2:31" x14ac:dyDescent="0.45">
      <c r="B403" s="97"/>
      <c r="C403" s="97"/>
      <c r="D403" s="97"/>
      <c r="E403" s="97"/>
      <c r="R403" s="97"/>
      <c r="S403" s="97"/>
      <c r="T403" s="97"/>
      <c r="U403" s="97"/>
      <c r="V403" s="97"/>
      <c r="W403" s="97"/>
      <c r="X403" s="97"/>
      <c r="Y403" s="97"/>
      <c r="Z403" s="97"/>
      <c r="AA403" s="97"/>
      <c r="AB403" s="97"/>
      <c r="AC403" s="97"/>
      <c r="AD403" s="97"/>
      <c r="AE403" s="97"/>
    </row>
    <row r="404" spans="2:31" x14ac:dyDescent="0.45">
      <c r="B404" s="97"/>
      <c r="C404" s="97"/>
      <c r="D404" s="97"/>
      <c r="E404" s="97"/>
      <c r="R404" s="97"/>
      <c r="S404" s="97"/>
      <c r="T404" s="97"/>
      <c r="U404" s="97"/>
      <c r="V404" s="97"/>
      <c r="W404" s="97"/>
      <c r="X404" s="97"/>
      <c r="Y404" s="97"/>
      <c r="Z404" s="97"/>
      <c r="AA404" s="97"/>
      <c r="AB404" s="97"/>
      <c r="AC404" s="97"/>
      <c r="AD404" s="97"/>
      <c r="AE404" s="97"/>
    </row>
    <row r="405" spans="2:31" x14ac:dyDescent="0.45">
      <c r="B405" s="97"/>
      <c r="C405" s="97"/>
      <c r="D405" s="97"/>
      <c r="E405" s="97"/>
      <c r="R405" s="97"/>
      <c r="S405" s="97"/>
      <c r="T405" s="97"/>
      <c r="U405" s="97"/>
      <c r="V405" s="97"/>
      <c r="W405" s="97"/>
      <c r="X405" s="97"/>
      <c r="Y405" s="97"/>
      <c r="Z405" s="97"/>
      <c r="AA405" s="97"/>
      <c r="AB405" s="97"/>
      <c r="AC405" s="97"/>
      <c r="AD405" s="97"/>
      <c r="AE405" s="97"/>
    </row>
    <row r="406" spans="2:31" x14ac:dyDescent="0.45">
      <c r="B406" s="97"/>
      <c r="C406" s="97"/>
      <c r="D406" s="97"/>
      <c r="E406" s="97"/>
      <c r="R406" s="97"/>
      <c r="S406" s="97"/>
      <c r="T406" s="97"/>
      <c r="U406" s="97"/>
      <c r="V406" s="97"/>
      <c r="W406" s="97"/>
      <c r="X406" s="97"/>
      <c r="Y406" s="97"/>
      <c r="Z406" s="97"/>
      <c r="AA406" s="97"/>
      <c r="AB406" s="97"/>
      <c r="AC406" s="97"/>
      <c r="AD406" s="97"/>
      <c r="AE406" s="97"/>
    </row>
    <row r="407" spans="2:31" x14ac:dyDescent="0.45">
      <c r="B407" s="97"/>
      <c r="C407" s="97"/>
      <c r="D407" s="97"/>
      <c r="E407" s="97"/>
      <c r="R407" s="97"/>
      <c r="S407" s="97"/>
      <c r="T407" s="97"/>
      <c r="U407" s="97"/>
      <c r="V407" s="97"/>
      <c r="W407" s="97"/>
      <c r="X407" s="97"/>
      <c r="Y407" s="97"/>
      <c r="Z407" s="97"/>
      <c r="AA407" s="97"/>
      <c r="AB407" s="97"/>
      <c r="AC407" s="97"/>
      <c r="AD407" s="97"/>
      <c r="AE407" s="97"/>
    </row>
    <row r="408" spans="2:31" x14ac:dyDescent="0.45">
      <c r="B408" s="97"/>
      <c r="C408" s="97"/>
      <c r="D408" s="97"/>
      <c r="E408" s="97"/>
      <c r="R408" s="97"/>
      <c r="S408" s="97"/>
      <c r="T408" s="97"/>
      <c r="U408" s="97"/>
      <c r="V408" s="97"/>
      <c r="W408" s="97"/>
      <c r="X408" s="97"/>
      <c r="Y408" s="97"/>
      <c r="Z408" s="97"/>
      <c r="AA408" s="97"/>
      <c r="AB408" s="97"/>
      <c r="AC408" s="97"/>
      <c r="AD408" s="97"/>
      <c r="AE408" s="97"/>
    </row>
    <row r="409" spans="2:31" x14ac:dyDescent="0.45">
      <c r="B409" s="97"/>
      <c r="C409" s="97"/>
      <c r="D409" s="97"/>
      <c r="E409" s="97"/>
      <c r="R409" s="97"/>
      <c r="S409" s="97"/>
      <c r="T409" s="97"/>
      <c r="U409" s="97"/>
      <c r="V409" s="97"/>
      <c r="W409" s="97"/>
      <c r="X409" s="97"/>
      <c r="Y409" s="97"/>
      <c r="Z409" s="97"/>
      <c r="AA409" s="97"/>
      <c r="AB409" s="97"/>
      <c r="AC409" s="97"/>
      <c r="AD409" s="97"/>
      <c r="AE409" s="97"/>
    </row>
    <row r="410" spans="2:31" x14ac:dyDescent="0.45">
      <c r="B410" s="97"/>
      <c r="C410" s="97"/>
      <c r="D410" s="97"/>
      <c r="E410" s="97"/>
      <c r="R410" s="97"/>
      <c r="S410" s="97"/>
      <c r="T410" s="97"/>
      <c r="U410" s="97"/>
      <c r="V410" s="97"/>
      <c r="W410" s="97"/>
      <c r="X410" s="97"/>
      <c r="Y410" s="97"/>
      <c r="Z410" s="97"/>
      <c r="AA410" s="97"/>
      <c r="AB410" s="97"/>
      <c r="AC410" s="97"/>
      <c r="AD410" s="97"/>
      <c r="AE410" s="97"/>
    </row>
    <row r="411" spans="2:31" x14ac:dyDescent="0.45">
      <c r="B411" s="97"/>
      <c r="C411" s="97"/>
      <c r="D411" s="97"/>
      <c r="E411" s="97"/>
      <c r="R411" s="97"/>
      <c r="S411" s="97"/>
      <c r="T411" s="97"/>
      <c r="U411" s="97"/>
      <c r="V411" s="97"/>
      <c r="W411" s="97"/>
      <c r="X411" s="97"/>
      <c r="Y411" s="97"/>
      <c r="Z411" s="97"/>
      <c r="AA411" s="97"/>
      <c r="AB411" s="97"/>
      <c r="AC411" s="97"/>
      <c r="AD411" s="97"/>
      <c r="AE411" s="97"/>
    </row>
    <row r="412" spans="2:31" x14ac:dyDescent="0.45">
      <c r="B412" s="97"/>
      <c r="C412" s="97"/>
      <c r="D412" s="97"/>
      <c r="E412" s="97"/>
      <c r="R412" s="97"/>
      <c r="S412" s="97"/>
      <c r="T412" s="97"/>
      <c r="U412" s="97"/>
      <c r="V412" s="97"/>
      <c r="W412" s="97"/>
      <c r="X412" s="97"/>
      <c r="Y412" s="97"/>
      <c r="Z412" s="97"/>
      <c r="AA412" s="97"/>
      <c r="AB412" s="97"/>
      <c r="AC412" s="97"/>
      <c r="AD412" s="97"/>
      <c r="AE412" s="97"/>
    </row>
    <row r="413" spans="2:31" x14ac:dyDescent="0.45">
      <c r="B413" s="97"/>
      <c r="C413" s="97"/>
      <c r="D413" s="97"/>
      <c r="E413" s="97"/>
      <c r="R413" s="97"/>
      <c r="S413" s="97"/>
      <c r="T413" s="97"/>
      <c r="U413" s="97"/>
      <c r="V413" s="97"/>
      <c r="W413" s="97"/>
      <c r="X413" s="97"/>
      <c r="Y413" s="97"/>
      <c r="Z413" s="97"/>
      <c r="AA413" s="97"/>
      <c r="AB413" s="97"/>
      <c r="AC413" s="97"/>
      <c r="AD413" s="97"/>
      <c r="AE413" s="97"/>
    </row>
    <row r="414" spans="2:31" x14ac:dyDescent="0.45">
      <c r="B414" s="97"/>
      <c r="C414" s="97"/>
      <c r="D414" s="97"/>
      <c r="E414" s="97"/>
      <c r="R414" s="97"/>
      <c r="S414" s="97"/>
      <c r="T414" s="97"/>
      <c r="U414" s="97"/>
      <c r="V414" s="97"/>
      <c r="W414" s="97"/>
      <c r="X414" s="97"/>
      <c r="Y414" s="97"/>
      <c r="Z414" s="97"/>
      <c r="AA414" s="97"/>
      <c r="AB414" s="97"/>
      <c r="AC414" s="97"/>
      <c r="AD414" s="97"/>
      <c r="AE414" s="97"/>
    </row>
    <row r="415" spans="2:31" x14ac:dyDescent="0.45">
      <c r="B415" s="97"/>
      <c r="C415" s="97"/>
      <c r="D415" s="97"/>
      <c r="E415" s="97"/>
      <c r="R415" s="97"/>
      <c r="S415" s="97"/>
      <c r="T415" s="97"/>
      <c r="U415" s="97"/>
      <c r="V415" s="97"/>
      <c r="W415" s="97"/>
      <c r="X415" s="97"/>
      <c r="Y415" s="97"/>
      <c r="Z415" s="97"/>
      <c r="AA415" s="97"/>
      <c r="AB415" s="97"/>
      <c r="AC415" s="97"/>
      <c r="AD415" s="97"/>
      <c r="AE415" s="97"/>
    </row>
    <row r="416" spans="2:31" x14ac:dyDescent="0.45">
      <c r="B416" s="97"/>
      <c r="C416" s="97"/>
      <c r="D416" s="97"/>
      <c r="E416" s="97"/>
      <c r="R416" s="97"/>
      <c r="S416" s="97"/>
      <c r="T416" s="97"/>
      <c r="U416" s="97"/>
      <c r="V416" s="97"/>
      <c r="W416" s="97"/>
      <c r="X416" s="97"/>
      <c r="Y416" s="97"/>
      <c r="Z416" s="97"/>
      <c r="AA416" s="97"/>
      <c r="AB416" s="97"/>
      <c r="AC416" s="97"/>
      <c r="AD416" s="97"/>
      <c r="AE416" s="97"/>
    </row>
    <row r="417" spans="2:31" x14ac:dyDescent="0.45">
      <c r="B417" s="97"/>
      <c r="C417" s="97"/>
      <c r="D417" s="97"/>
      <c r="E417" s="97"/>
      <c r="R417" s="97"/>
      <c r="S417" s="97"/>
      <c r="T417" s="97"/>
      <c r="U417" s="97"/>
      <c r="V417" s="97"/>
      <c r="W417" s="97"/>
      <c r="X417" s="97"/>
      <c r="Y417" s="97"/>
      <c r="Z417" s="97"/>
      <c r="AA417" s="97"/>
      <c r="AB417" s="97"/>
      <c r="AC417" s="97"/>
      <c r="AD417" s="97"/>
      <c r="AE417" s="97"/>
    </row>
    <row r="418" spans="2:31" x14ac:dyDescent="0.45">
      <c r="B418" s="97"/>
      <c r="C418" s="97"/>
      <c r="D418" s="97"/>
      <c r="E418" s="97"/>
      <c r="R418" s="97"/>
      <c r="S418" s="97"/>
      <c r="T418" s="97"/>
      <c r="U418" s="97"/>
      <c r="V418" s="97"/>
      <c r="W418" s="97"/>
      <c r="X418" s="97"/>
      <c r="Y418" s="97"/>
      <c r="Z418" s="97"/>
      <c r="AA418" s="97"/>
      <c r="AB418" s="97"/>
      <c r="AC418" s="97"/>
      <c r="AD418" s="97"/>
      <c r="AE418" s="97"/>
    </row>
    <row r="419" spans="2:31" x14ac:dyDescent="0.45">
      <c r="B419" s="97"/>
      <c r="C419" s="97"/>
      <c r="D419" s="97"/>
      <c r="E419" s="97"/>
      <c r="R419" s="97"/>
      <c r="S419" s="97"/>
      <c r="T419" s="97"/>
      <c r="U419" s="97"/>
      <c r="V419" s="97"/>
      <c r="W419" s="97"/>
      <c r="X419" s="97"/>
      <c r="Y419" s="97"/>
      <c r="Z419" s="97"/>
      <c r="AA419" s="97"/>
      <c r="AB419" s="97"/>
      <c r="AC419" s="97"/>
      <c r="AD419" s="97"/>
      <c r="AE419" s="97"/>
    </row>
    <row r="420" spans="2:31" x14ac:dyDescent="0.45">
      <c r="B420" s="97"/>
      <c r="C420" s="97"/>
      <c r="D420" s="97"/>
      <c r="E420" s="97"/>
      <c r="R420" s="97"/>
      <c r="S420" s="97"/>
      <c r="T420" s="97"/>
      <c r="U420" s="97"/>
      <c r="V420" s="97"/>
      <c r="W420" s="97"/>
      <c r="X420" s="97"/>
      <c r="Y420" s="97"/>
      <c r="Z420" s="97"/>
      <c r="AA420" s="97"/>
      <c r="AB420" s="97"/>
      <c r="AC420" s="97"/>
      <c r="AD420" s="97"/>
      <c r="AE420" s="97"/>
    </row>
    <row r="421" spans="2:31" x14ac:dyDescent="0.45">
      <c r="B421" s="97"/>
      <c r="C421" s="97"/>
      <c r="D421" s="97"/>
      <c r="E421" s="97"/>
      <c r="R421" s="97"/>
      <c r="S421" s="97"/>
      <c r="T421" s="97"/>
      <c r="U421" s="97"/>
      <c r="V421" s="97"/>
      <c r="W421" s="97"/>
      <c r="X421" s="97"/>
      <c r="Y421" s="97"/>
      <c r="Z421" s="97"/>
      <c r="AA421" s="97"/>
      <c r="AB421" s="97"/>
      <c r="AC421" s="97"/>
      <c r="AD421" s="97"/>
      <c r="AE421" s="97"/>
    </row>
    <row r="422" spans="2:31" x14ac:dyDescent="0.45">
      <c r="B422" s="97"/>
      <c r="C422" s="97"/>
      <c r="D422" s="97"/>
      <c r="E422" s="97"/>
      <c r="R422" s="97"/>
      <c r="S422" s="97"/>
      <c r="T422" s="97"/>
      <c r="U422" s="97"/>
      <c r="V422" s="97"/>
      <c r="W422" s="97"/>
      <c r="X422" s="97"/>
      <c r="Y422" s="97"/>
      <c r="Z422" s="97"/>
      <c r="AA422" s="97"/>
      <c r="AB422" s="97"/>
      <c r="AC422" s="97"/>
      <c r="AD422" s="97"/>
      <c r="AE422" s="97"/>
    </row>
    <row r="423" spans="2:31" x14ac:dyDescent="0.45">
      <c r="B423" s="97"/>
      <c r="C423" s="97"/>
      <c r="D423" s="97"/>
      <c r="E423" s="97"/>
      <c r="R423" s="97"/>
      <c r="S423" s="97"/>
      <c r="T423" s="97"/>
      <c r="U423" s="97"/>
      <c r="V423" s="97"/>
      <c r="W423" s="97"/>
      <c r="X423" s="97"/>
      <c r="Y423" s="97"/>
      <c r="Z423" s="97"/>
      <c r="AA423" s="97"/>
      <c r="AB423" s="97"/>
      <c r="AC423" s="97"/>
      <c r="AD423" s="97"/>
      <c r="AE423" s="97"/>
    </row>
    <row r="424" spans="2:31" x14ac:dyDescent="0.45">
      <c r="B424" s="97"/>
      <c r="C424" s="97"/>
      <c r="D424" s="97"/>
      <c r="E424" s="97"/>
      <c r="R424" s="97"/>
      <c r="S424" s="97"/>
      <c r="T424" s="97"/>
      <c r="U424" s="97"/>
      <c r="V424" s="97"/>
      <c r="W424" s="97"/>
      <c r="X424" s="97"/>
      <c r="Y424" s="97"/>
      <c r="Z424" s="97"/>
      <c r="AA424" s="97"/>
      <c r="AB424" s="97"/>
      <c r="AC424" s="97"/>
      <c r="AD424" s="97"/>
      <c r="AE424" s="97"/>
    </row>
    <row r="425" spans="2:31" x14ac:dyDescent="0.45">
      <c r="B425" s="97"/>
      <c r="C425" s="97"/>
      <c r="D425" s="97"/>
      <c r="E425" s="97"/>
      <c r="R425" s="97"/>
      <c r="S425" s="97"/>
      <c r="T425" s="97"/>
      <c r="U425" s="97"/>
      <c r="V425" s="97"/>
      <c r="W425" s="97"/>
      <c r="X425" s="97"/>
      <c r="Y425" s="97"/>
      <c r="Z425" s="97"/>
      <c r="AA425" s="97"/>
      <c r="AB425" s="97"/>
      <c r="AC425" s="97"/>
      <c r="AD425" s="97"/>
      <c r="AE425" s="97"/>
    </row>
    <row r="426" spans="2:31" x14ac:dyDescent="0.45">
      <c r="B426" s="97"/>
      <c r="C426" s="97"/>
      <c r="D426" s="97"/>
      <c r="E426" s="97"/>
      <c r="R426" s="97"/>
      <c r="S426" s="97"/>
      <c r="T426" s="97"/>
      <c r="U426" s="97"/>
      <c r="V426" s="97"/>
      <c r="W426" s="97"/>
      <c r="X426" s="97"/>
      <c r="Y426" s="97"/>
      <c r="Z426" s="97"/>
      <c r="AA426" s="97"/>
      <c r="AB426" s="97"/>
      <c r="AC426" s="97"/>
      <c r="AD426" s="97"/>
      <c r="AE426" s="97"/>
    </row>
    <row r="427" spans="2:31" x14ac:dyDescent="0.45">
      <c r="B427" s="97"/>
      <c r="C427" s="97"/>
      <c r="D427" s="97"/>
      <c r="E427" s="97"/>
      <c r="R427" s="97"/>
      <c r="S427" s="97"/>
      <c r="T427" s="97"/>
      <c r="U427" s="97"/>
      <c r="V427" s="97"/>
      <c r="W427" s="97"/>
      <c r="X427" s="97"/>
      <c r="Y427" s="97"/>
      <c r="Z427" s="97"/>
      <c r="AA427" s="97"/>
      <c r="AB427" s="97"/>
      <c r="AC427" s="97"/>
      <c r="AD427" s="97"/>
      <c r="AE427" s="97"/>
    </row>
    <row r="428" spans="2:31" x14ac:dyDescent="0.45">
      <c r="B428" s="97"/>
      <c r="C428" s="97"/>
      <c r="D428" s="97"/>
      <c r="E428" s="97"/>
      <c r="R428" s="97"/>
      <c r="S428" s="97"/>
      <c r="T428" s="97"/>
      <c r="U428" s="97"/>
      <c r="V428" s="97"/>
      <c r="W428" s="97"/>
      <c r="X428" s="97"/>
      <c r="Y428" s="97"/>
      <c r="Z428" s="97"/>
      <c r="AA428" s="97"/>
      <c r="AB428" s="97"/>
      <c r="AC428" s="97"/>
      <c r="AD428" s="97"/>
      <c r="AE428" s="97"/>
    </row>
    <row r="429" spans="2:31" x14ac:dyDescent="0.45">
      <c r="B429" s="97"/>
      <c r="C429" s="97"/>
      <c r="D429" s="97"/>
      <c r="E429" s="97"/>
      <c r="R429" s="97"/>
      <c r="S429" s="97"/>
      <c r="T429" s="97"/>
      <c r="U429" s="97"/>
      <c r="V429" s="97"/>
      <c r="W429" s="97"/>
      <c r="X429" s="97"/>
      <c r="Y429" s="97"/>
      <c r="Z429" s="97"/>
      <c r="AA429" s="97"/>
      <c r="AB429" s="97"/>
      <c r="AC429" s="97"/>
      <c r="AD429" s="97"/>
      <c r="AE429" s="97"/>
    </row>
    <row r="430" spans="2:31" x14ac:dyDescent="0.45">
      <c r="B430" s="97"/>
      <c r="C430" s="97"/>
      <c r="D430" s="97"/>
      <c r="E430" s="97"/>
      <c r="R430" s="97"/>
      <c r="S430" s="97"/>
      <c r="T430" s="97"/>
      <c r="U430" s="97"/>
      <c r="V430" s="97"/>
      <c r="W430" s="97"/>
      <c r="X430" s="97"/>
      <c r="Y430" s="97"/>
      <c r="Z430" s="97"/>
      <c r="AA430" s="97"/>
      <c r="AB430" s="97"/>
      <c r="AC430" s="97"/>
      <c r="AD430" s="97"/>
      <c r="AE430" s="97"/>
    </row>
    <row r="431" spans="2:31" x14ac:dyDescent="0.45">
      <c r="B431" s="97"/>
      <c r="C431" s="97"/>
      <c r="D431" s="97"/>
      <c r="E431" s="97"/>
      <c r="R431" s="97"/>
      <c r="S431" s="97"/>
      <c r="T431" s="97"/>
      <c r="U431" s="97"/>
      <c r="V431" s="97"/>
      <c r="W431" s="97"/>
      <c r="X431" s="97"/>
      <c r="Y431" s="97"/>
      <c r="Z431" s="97"/>
      <c r="AA431" s="97"/>
      <c r="AB431" s="97"/>
      <c r="AC431" s="97"/>
      <c r="AD431" s="97"/>
      <c r="AE431" s="97"/>
    </row>
    <row r="432" spans="2:31" x14ac:dyDescent="0.45">
      <c r="B432" s="97"/>
      <c r="C432" s="97"/>
      <c r="D432" s="97"/>
      <c r="E432" s="97"/>
      <c r="R432" s="97"/>
      <c r="S432" s="97"/>
      <c r="T432" s="97"/>
      <c r="U432" s="97"/>
      <c r="V432" s="97"/>
      <c r="W432" s="97"/>
      <c r="X432" s="97"/>
      <c r="Y432" s="97"/>
      <c r="Z432" s="97"/>
      <c r="AA432" s="97"/>
      <c r="AB432" s="97"/>
      <c r="AC432" s="97"/>
      <c r="AD432" s="97"/>
      <c r="AE432" s="97"/>
    </row>
    <row r="433" spans="2:31" x14ac:dyDescent="0.45">
      <c r="B433" s="97"/>
      <c r="C433" s="97"/>
      <c r="D433" s="97"/>
      <c r="E433" s="97"/>
      <c r="R433" s="97"/>
      <c r="S433" s="97"/>
      <c r="T433" s="97"/>
      <c r="U433" s="97"/>
      <c r="V433" s="97"/>
      <c r="W433" s="97"/>
      <c r="X433" s="97"/>
      <c r="Y433" s="97"/>
      <c r="Z433" s="97"/>
      <c r="AA433" s="97"/>
      <c r="AB433" s="97"/>
      <c r="AC433" s="97"/>
      <c r="AD433" s="97"/>
      <c r="AE433" s="97"/>
    </row>
    <row r="434" spans="2:31" x14ac:dyDescent="0.45">
      <c r="B434" s="97"/>
      <c r="C434" s="97"/>
      <c r="D434" s="97"/>
      <c r="E434" s="97"/>
      <c r="R434" s="97"/>
      <c r="S434" s="97"/>
      <c r="T434" s="97"/>
      <c r="U434" s="97"/>
      <c r="V434" s="97"/>
      <c r="W434" s="97"/>
      <c r="X434" s="97"/>
      <c r="Y434" s="97"/>
      <c r="Z434" s="97"/>
      <c r="AA434" s="97"/>
      <c r="AB434" s="97"/>
      <c r="AC434" s="97"/>
      <c r="AD434" s="97"/>
      <c r="AE434" s="97"/>
    </row>
    <row r="435" spans="2:31" x14ac:dyDescent="0.45">
      <c r="B435" s="97"/>
      <c r="C435" s="97"/>
      <c r="D435" s="97"/>
      <c r="E435" s="97"/>
      <c r="R435" s="97"/>
      <c r="S435" s="97"/>
      <c r="T435" s="97"/>
      <c r="U435" s="97"/>
      <c r="V435" s="97"/>
      <c r="W435" s="97"/>
      <c r="X435" s="97"/>
      <c r="Y435" s="97"/>
      <c r="Z435" s="97"/>
      <c r="AA435" s="97"/>
      <c r="AB435" s="97"/>
      <c r="AC435" s="97"/>
      <c r="AD435" s="97"/>
      <c r="AE435" s="97"/>
    </row>
    <row r="436" spans="2:31" x14ac:dyDescent="0.45">
      <c r="B436" s="97"/>
      <c r="C436" s="97"/>
      <c r="D436" s="97"/>
      <c r="E436" s="97"/>
      <c r="R436" s="97"/>
      <c r="S436" s="97"/>
      <c r="T436" s="97"/>
      <c r="U436" s="97"/>
      <c r="V436" s="97"/>
      <c r="W436" s="97"/>
      <c r="X436" s="97"/>
      <c r="Y436" s="97"/>
      <c r="Z436" s="97"/>
      <c r="AA436" s="97"/>
      <c r="AB436" s="97"/>
      <c r="AC436" s="97"/>
      <c r="AD436" s="97"/>
      <c r="AE436" s="97"/>
    </row>
    <row r="437" spans="2:31" x14ac:dyDescent="0.45">
      <c r="B437" s="97"/>
      <c r="C437" s="97"/>
      <c r="D437" s="97"/>
      <c r="E437" s="97"/>
      <c r="R437" s="97"/>
      <c r="S437" s="97"/>
      <c r="T437" s="97"/>
      <c r="U437" s="97"/>
      <c r="V437" s="97"/>
      <c r="W437" s="97"/>
      <c r="X437" s="97"/>
      <c r="Y437" s="97"/>
      <c r="Z437" s="97"/>
      <c r="AA437" s="97"/>
      <c r="AB437" s="97"/>
      <c r="AC437" s="97"/>
      <c r="AD437" s="97"/>
      <c r="AE437" s="97"/>
    </row>
    <row r="438" spans="2:31" x14ac:dyDescent="0.45">
      <c r="B438" s="97"/>
      <c r="C438" s="97"/>
      <c r="D438" s="97"/>
      <c r="E438" s="97"/>
      <c r="R438" s="97"/>
      <c r="S438" s="97"/>
      <c r="T438" s="97"/>
      <c r="U438" s="97"/>
      <c r="V438" s="97"/>
      <c r="W438" s="97"/>
      <c r="X438" s="97"/>
      <c r="Y438" s="97"/>
      <c r="Z438" s="97"/>
      <c r="AA438" s="97"/>
      <c r="AB438" s="97"/>
      <c r="AC438" s="97"/>
      <c r="AD438" s="97"/>
      <c r="AE438" s="97"/>
    </row>
    <row r="439" spans="2:31" x14ac:dyDescent="0.45">
      <c r="B439" s="97"/>
      <c r="C439" s="97"/>
      <c r="D439" s="97"/>
      <c r="E439" s="97"/>
      <c r="R439" s="97"/>
      <c r="S439" s="97"/>
      <c r="T439" s="97"/>
      <c r="U439" s="97"/>
      <c r="V439" s="97"/>
      <c r="W439" s="97"/>
      <c r="X439" s="97"/>
      <c r="Y439" s="97"/>
      <c r="Z439" s="97"/>
      <c r="AA439" s="97"/>
      <c r="AB439" s="97"/>
      <c r="AC439" s="97"/>
      <c r="AD439" s="97"/>
      <c r="AE439" s="97"/>
    </row>
    <row r="440" spans="2:31" x14ac:dyDescent="0.45">
      <c r="B440" s="97"/>
      <c r="C440" s="97"/>
      <c r="D440" s="97"/>
      <c r="E440" s="97"/>
      <c r="R440" s="97"/>
      <c r="S440" s="97"/>
      <c r="T440" s="97"/>
      <c r="U440" s="97"/>
      <c r="V440" s="97"/>
      <c r="W440" s="97"/>
      <c r="X440" s="97"/>
      <c r="Y440" s="97"/>
      <c r="Z440" s="97"/>
      <c r="AA440" s="97"/>
      <c r="AB440" s="97"/>
      <c r="AC440" s="97"/>
      <c r="AD440" s="97"/>
      <c r="AE440" s="97"/>
    </row>
    <row r="441" spans="2:31" x14ac:dyDescent="0.45">
      <c r="B441" s="97"/>
      <c r="C441" s="97"/>
      <c r="D441" s="97"/>
      <c r="E441" s="97"/>
      <c r="R441" s="97"/>
      <c r="S441" s="97"/>
      <c r="T441" s="97"/>
      <c r="U441" s="97"/>
      <c r="V441" s="97"/>
      <c r="W441" s="97"/>
      <c r="X441" s="97"/>
      <c r="Y441" s="97"/>
      <c r="Z441" s="97"/>
      <c r="AA441" s="97"/>
      <c r="AB441" s="97"/>
      <c r="AC441" s="97"/>
      <c r="AD441" s="97"/>
      <c r="AE441" s="97"/>
    </row>
    <row r="442" spans="2:31" x14ac:dyDescent="0.45">
      <c r="B442" s="97"/>
      <c r="C442" s="97"/>
      <c r="D442" s="97"/>
      <c r="E442" s="97"/>
      <c r="R442" s="97"/>
      <c r="S442" s="97"/>
      <c r="T442" s="97"/>
      <c r="U442" s="97"/>
      <c r="V442" s="97"/>
      <c r="W442" s="97"/>
      <c r="X442" s="97"/>
      <c r="Y442" s="97"/>
      <c r="Z442" s="97"/>
      <c r="AA442" s="97"/>
      <c r="AB442" s="97"/>
      <c r="AC442" s="97"/>
      <c r="AD442" s="97"/>
      <c r="AE442" s="97"/>
    </row>
    <row r="443" spans="2:31" x14ac:dyDescent="0.45">
      <c r="B443" s="97"/>
      <c r="C443" s="97"/>
      <c r="D443" s="97"/>
      <c r="E443" s="97"/>
      <c r="R443" s="97"/>
      <c r="S443" s="97"/>
      <c r="T443" s="97"/>
      <c r="U443" s="97"/>
      <c r="V443" s="97"/>
      <c r="W443" s="97"/>
      <c r="X443" s="97"/>
      <c r="Y443" s="97"/>
      <c r="Z443" s="97"/>
      <c r="AA443" s="97"/>
      <c r="AB443" s="97"/>
      <c r="AC443" s="97"/>
      <c r="AD443" s="97"/>
      <c r="AE443" s="97"/>
    </row>
    <row r="444" spans="2:31" x14ac:dyDescent="0.45">
      <c r="B444" s="97"/>
      <c r="C444" s="97"/>
      <c r="D444" s="97"/>
      <c r="E444" s="97"/>
      <c r="R444" s="97"/>
      <c r="S444" s="97"/>
      <c r="T444" s="97"/>
      <c r="U444" s="97"/>
      <c r="V444" s="97"/>
      <c r="W444" s="97"/>
      <c r="X444" s="97"/>
      <c r="Y444" s="97"/>
      <c r="Z444" s="97"/>
      <c r="AA444" s="97"/>
      <c r="AB444" s="97"/>
      <c r="AC444" s="97"/>
      <c r="AD444" s="97"/>
      <c r="AE444" s="97"/>
    </row>
    <row r="445" spans="2:31" x14ac:dyDescent="0.45">
      <c r="B445" s="97"/>
      <c r="C445" s="97"/>
      <c r="D445" s="97"/>
      <c r="E445" s="97"/>
      <c r="R445" s="97"/>
      <c r="S445" s="97"/>
      <c r="T445" s="97"/>
      <c r="U445" s="97"/>
      <c r="V445" s="97"/>
      <c r="W445" s="97"/>
      <c r="X445" s="97"/>
      <c r="Y445" s="97"/>
      <c r="Z445" s="97"/>
      <c r="AA445" s="97"/>
      <c r="AB445" s="97"/>
      <c r="AC445" s="97"/>
      <c r="AD445" s="97"/>
      <c r="AE445" s="97"/>
    </row>
    <row r="446" spans="2:31" x14ac:dyDescent="0.45">
      <c r="B446" s="97"/>
      <c r="C446" s="97"/>
      <c r="D446" s="97"/>
      <c r="E446" s="97"/>
      <c r="R446" s="97"/>
      <c r="S446" s="97"/>
      <c r="T446" s="97"/>
      <c r="U446" s="97"/>
      <c r="V446" s="97"/>
      <c r="W446" s="97"/>
      <c r="X446" s="97"/>
      <c r="Y446" s="97"/>
      <c r="Z446" s="97"/>
      <c r="AA446" s="97"/>
      <c r="AB446" s="97"/>
      <c r="AC446" s="97"/>
      <c r="AD446" s="97"/>
      <c r="AE446" s="97"/>
    </row>
    <row r="447" spans="2:31" x14ac:dyDescent="0.45">
      <c r="B447" s="97"/>
      <c r="C447" s="97"/>
      <c r="D447" s="97"/>
      <c r="E447" s="97"/>
      <c r="R447" s="97"/>
      <c r="S447" s="97"/>
      <c r="T447" s="97"/>
      <c r="U447" s="97"/>
      <c r="V447" s="97"/>
      <c r="W447" s="97"/>
      <c r="X447" s="97"/>
      <c r="Y447" s="97"/>
      <c r="Z447" s="97"/>
      <c r="AA447" s="97"/>
      <c r="AB447" s="97"/>
      <c r="AC447" s="97"/>
      <c r="AD447" s="97"/>
      <c r="AE447" s="97"/>
    </row>
    <row r="448" spans="2:31" x14ac:dyDescent="0.45">
      <c r="B448" s="97"/>
      <c r="C448" s="97"/>
      <c r="D448" s="97"/>
      <c r="E448" s="97"/>
      <c r="R448" s="97"/>
      <c r="S448" s="97"/>
      <c r="T448" s="97"/>
      <c r="U448" s="97"/>
      <c r="V448" s="97"/>
      <c r="W448" s="97"/>
      <c r="X448" s="97"/>
      <c r="Y448" s="97"/>
      <c r="Z448" s="97"/>
      <c r="AA448" s="97"/>
      <c r="AB448" s="97"/>
      <c r="AC448" s="97"/>
      <c r="AD448" s="97"/>
      <c r="AE448" s="97"/>
    </row>
    <row r="449" spans="2:31" x14ac:dyDescent="0.45">
      <c r="B449" s="97"/>
      <c r="C449" s="97"/>
      <c r="D449" s="97"/>
      <c r="E449" s="97"/>
      <c r="R449" s="97"/>
      <c r="S449" s="97"/>
      <c r="T449" s="97"/>
      <c r="U449" s="97"/>
      <c r="V449" s="97"/>
      <c r="W449" s="97"/>
      <c r="X449" s="97"/>
      <c r="Y449" s="97"/>
      <c r="Z449" s="97"/>
      <c r="AA449" s="97"/>
      <c r="AB449" s="97"/>
      <c r="AC449" s="97"/>
      <c r="AD449" s="97"/>
      <c r="AE449" s="97"/>
    </row>
    <row r="450" spans="2:31" x14ac:dyDescent="0.45">
      <c r="B450" s="97"/>
      <c r="C450" s="97"/>
      <c r="D450" s="97"/>
      <c r="E450" s="97"/>
      <c r="R450" s="97"/>
      <c r="S450" s="97"/>
      <c r="T450" s="97"/>
      <c r="U450" s="97"/>
      <c r="V450" s="97"/>
      <c r="W450" s="97"/>
      <c r="X450" s="97"/>
      <c r="Y450" s="97"/>
      <c r="Z450" s="97"/>
      <c r="AA450" s="97"/>
      <c r="AB450" s="97"/>
      <c r="AC450" s="97"/>
      <c r="AD450" s="97"/>
      <c r="AE450" s="97"/>
    </row>
    <row r="451" spans="2:31" x14ac:dyDescent="0.45">
      <c r="B451" s="97"/>
      <c r="C451" s="97"/>
      <c r="D451" s="97"/>
      <c r="E451" s="97"/>
      <c r="R451" s="97"/>
      <c r="S451" s="97"/>
      <c r="T451" s="97"/>
      <c r="U451" s="97"/>
      <c r="V451" s="97"/>
      <c r="W451" s="97"/>
      <c r="X451" s="97"/>
      <c r="Y451" s="97"/>
      <c r="Z451" s="97"/>
      <c r="AA451" s="97"/>
      <c r="AB451" s="97"/>
      <c r="AC451" s="97"/>
      <c r="AD451" s="97"/>
      <c r="AE451" s="97"/>
    </row>
    <row r="452" spans="2:31" x14ac:dyDescent="0.45">
      <c r="B452" s="97"/>
      <c r="C452" s="97"/>
      <c r="D452" s="97"/>
      <c r="E452" s="97"/>
      <c r="R452" s="97"/>
      <c r="S452" s="97"/>
      <c r="T452" s="97"/>
      <c r="U452" s="97"/>
      <c r="V452" s="97"/>
      <c r="W452" s="97"/>
      <c r="X452" s="97"/>
      <c r="Y452" s="97"/>
      <c r="Z452" s="97"/>
      <c r="AA452" s="97"/>
      <c r="AB452" s="97"/>
      <c r="AC452" s="97"/>
      <c r="AD452" s="97"/>
      <c r="AE452" s="97"/>
    </row>
    <row r="453" spans="2:31" x14ac:dyDescent="0.45">
      <c r="B453" s="97"/>
      <c r="C453" s="97"/>
      <c r="D453" s="97"/>
      <c r="E453" s="97"/>
      <c r="R453" s="97"/>
      <c r="S453" s="97"/>
      <c r="T453" s="97"/>
      <c r="U453" s="97"/>
      <c r="V453" s="97"/>
      <c r="W453" s="97"/>
      <c r="X453" s="97"/>
      <c r="Y453" s="97"/>
      <c r="Z453" s="97"/>
      <c r="AA453" s="97"/>
      <c r="AB453" s="97"/>
      <c r="AC453" s="97"/>
      <c r="AD453" s="97"/>
      <c r="AE453" s="97"/>
    </row>
    <row r="454" spans="2:31" x14ac:dyDescent="0.45">
      <c r="B454" s="97"/>
      <c r="C454" s="97"/>
      <c r="D454" s="97"/>
      <c r="E454" s="97"/>
      <c r="R454" s="97"/>
      <c r="S454" s="97"/>
      <c r="T454" s="97"/>
      <c r="U454" s="97"/>
      <c r="V454" s="97"/>
      <c r="W454" s="97"/>
      <c r="X454" s="97"/>
      <c r="Y454" s="97"/>
      <c r="Z454" s="97"/>
      <c r="AA454" s="97"/>
      <c r="AB454" s="97"/>
      <c r="AC454" s="97"/>
      <c r="AD454" s="97"/>
      <c r="AE454" s="97"/>
    </row>
    <row r="455" spans="2:31" x14ac:dyDescent="0.45">
      <c r="B455" s="97"/>
      <c r="C455" s="97"/>
      <c r="D455" s="97"/>
      <c r="E455" s="97"/>
      <c r="R455" s="97"/>
      <c r="S455" s="97"/>
      <c r="T455" s="97"/>
      <c r="U455" s="97"/>
      <c r="V455" s="97"/>
      <c r="W455" s="97"/>
      <c r="X455" s="97"/>
      <c r="Y455" s="97"/>
      <c r="Z455" s="97"/>
      <c r="AA455" s="97"/>
      <c r="AB455" s="97"/>
      <c r="AC455" s="97"/>
      <c r="AD455" s="97"/>
      <c r="AE455" s="97"/>
    </row>
    <row r="456" spans="2:31" x14ac:dyDescent="0.45">
      <c r="B456" s="97"/>
      <c r="C456" s="97"/>
      <c r="D456" s="97"/>
      <c r="E456" s="97"/>
      <c r="R456" s="97"/>
      <c r="S456" s="97"/>
      <c r="T456" s="97"/>
      <c r="U456" s="97"/>
      <c r="V456" s="97"/>
      <c r="W456" s="97"/>
      <c r="X456" s="97"/>
      <c r="Y456" s="97"/>
      <c r="Z456" s="97"/>
      <c r="AA456" s="97"/>
      <c r="AB456" s="97"/>
      <c r="AC456" s="97"/>
      <c r="AD456" s="97"/>
      <c r="AE456" s="97"/>
    </row>
    <row r="457" spans="2:31" x14ac:dyDescent="0.45">
      <c r="B457" s="97"/>
      <c r="C457" s="97"/>
      <c r="D457" s="97"/>
      <c r="E457" s="97"/>
      <c r="R457" s="97"/>
      <c r="S457" s="97"/>
      <c r="T457" s="97"/>
      <c r="U457" s="97"/>
      <c r="V457" s="97"/>
      <c r="W457" s="97"/>
      <c r="X457" s="97"/>
      <c r="Y457" s="97"/>
      <c r="Z457" s="97"/>
      <c r="AA457" s="97"/>
      <c r="AB457" s="97"/>
      <c r="AC457" s="97"/>
      <c r="AD457" s="97"/>
      <c r="AE457" s="97"/>
    </row>
    <row r="458" spans="2:31" x14ac:dyDescent="0.45">
      <c r="B458" s="97"/>
      <c r="C458" s="97"/>
      <c r="D458" s="97"/>
      <c r="E458" s="97"/>
      <c r="R458" s="97"/>
      <c r="S458" s="97"/>
      <c r="T458" s="97"/>
      <c r="U458" s="97"/>
      <c r="V458" s="97"/>
      <c r="W458" s="97"/>
      <c r="X458" s="97"/>
      <c r="Y458" s="97"/>
      <c r="Z458" s="97"/>
      <c r="AA458" s="97"/>
      <c r="AB458" s="97"/>
      <c r="AC458" s="97"/>
      <c r="AD458" s="97"/>
      <c r="AE458" s="97"/>
    </row>
    <row r="459" spans="2:31" x14ac:dyDescent="0.45">
      <c r="B459" s="97"/>
      <c r="C459" s="97"/>
      <c r="D459" s="97"/>
      <c r="E459" s="97"/>
      <c r="R459" s="97"/>
      <c r="S459" s="97"/>
      <c r="T459" s="97"/>
      <c r="U459" s="97"/>
      <c r="V459" s="97"/>
      <c r="W459" s="97"/>
      <c r="X459" s="97"/>
      <c r="Y459" s="97"/>
      <c r="Z459" s="97"/>
      <c r="AA459" s="97"/>
      <c r="AB459" s="97"/>
      <c r="AC459" s="97"/>
      <c r="AD459" s="97"/>
      <c r="AE459" s="97"/>
    </row>
    <row r="460" spans="2:31" x14ac:dyDescent="0.45">
      <c r="B460" s="97"/>
      <c r="C460" s="97"/>
      <c r="D460" s="97"/>
      <c r="E460" s="97"/>
      <c r="R460" s="97"/>
      <c r="S460" s="97"/>
      <c r="T460" s="97"/>
      <c r="U460" s="97"/>
      <c r="V460" s="97"/>
      <c r="W460" s="97"/>
      <c r="X460" s="97"/>
      <c r="Y460" s="97"/>
      <c r="Z460" s="97"/>
      <c r="AA460" s="97"/>
      <c r="AB460" s="97"/>
      <c r="AC460" s="97"/>
      <c r="AD460" s="97"/>
      <c r="AE460" s="97"/>
    </row>
    <row r="461" spans="2:31" x14ac:dyDescent="0.45">
      <c r="B461" s="97"/>
      <c r="C461" s="97"/>
      <c r="D461" s="97"/>
      <c r="E461" s="97"/>
      <c r="R461" s="97"/>
      <c r="S461" s="97"/>
      <c r="T461" s="97"/>
      <c r="U461" s="97"/>
      <c r="V461" s="97"/>
      <c r="W461" s="97"/>
      <c r="X461" s="97"/>
      <c r="Y461" s="97"/>
      <c r="Z461" s="97"/>
      <c r="AA461" s="97"/>
      <c r="AB461" s="97"/>
      <c r="AC461" s="97"/>
      <c r="AD461" s="97"/>
      <c r="AE461" s="97"/>
    </row>
    <row r="462" spans="2:31" x14ac:dyDescent="0.45">
      <c r="B462" s="97"/>
      <c r="C462" s="97"/>
      <c r="D462" s="97"/>
      <c r="E462" s="97"/>
      <c r="R462" s="97"/>
      <c r="S462" s="97"/>
      <c r="T462" s="97"/>
      <c r="U462" s="97"/>
      <c r="V462" s="97"/>
      <c r="W462" s="97"/>
      <c r="X462" s="97"/>
      <c r="Y462" s="97"/>
      <c r="Z462" s="97"/>
      <c r="AA462" s="97"/>
      <c r="AB462" s="97"/>
      <c r="AC462" s="97"/>
      <c r="AD462" s="97"/>
      <c r="AE462" s="97"/>
    </row>
    <row r="463" spans="2:31" x14ac:dyDescent="0.45">
      <c r="B463" s="97"/>
      <c r="C463" s="97"/>
      <c r="D463" s="97"/>
      <c r="E463" s="97"/>
      <c r="R463" s="97"/>
      <c r="S463" s="97"/>
      <c r="T463" s="97"/>
      <c r="U463" s="97"/>
      <c r="V463" s="97"/>
      <c r="W463" s="97"/>
      <c r="X463" s="97"/>
      <c r="Y463" s="97"/>
      <c r="Z463" s="97"/>
      <c r="AA463" s="97"/>
      <c r="AB463" s="97"/>
      <c r="AC463" s="97"/>
      <c r="AD463" s="97"/>
      <c r="AE463" s="97"/>
    </row>
    <row r="464" spans="2:31" x14ac:dyDescent="0.45">
      <c r="B464" s="97"/>
      <c r="C464" s="97"/>
      <c r="D464" s="97"/>
      <c r="E464" s="97"/>
      <c r="R464" s="97"/>
      <c r="S464" s="97"/>
      <c r="T464" s="97"/>
      <c r="U464" s="97"/>
      <c r="V464" s="97"/>
      <c r="W464" s="97"/>
      <c r="X464" s="97"/>
      <c r="Y464" s="97"/>
      <c r="Z464" s="97"/>
      <c r="AA464" s="97"/>
      <c r="AB464" s="97"/>
      <c r="AC464" s="97"/>
      <c r="AD464" s="97"/>
      <c r="AE464" s="97"/>
    </row>
    <row r="465" spans="2:31" x14ac:dyDescent="0.45">
      <c r="B465" s="97"/>
      <c r="C465" s="97"/>
      <c r="D465" s="97"/>
      <c r="E465" s="97"/>
      <c r="R465" s="97"/>
      <c r="S465" s="97"/>
      <c r="T465" s="97"/>
      <c r="U465" s="97"/>
      <c r="V465" s="97"/>
      <c r="W465" s="97"/>
      <c r="X465" s="97"/>
      <c r="Y465" s="97"/>
      <c r="Z465" s="97"/>
      <c r="AA465" s="97"/>
      <c r="AB465" s="97"/>
      <c r="AC465" s="97"/>
      <c r="AD465" s="97"/>
      <c r="AE465" s="97"/>
    </row>
    <row r="466" spans="2:31" x14ac:dyDescent="0.45">
      <c r="B466" s="97"/>
      <c r="C466" s="97"/>
      <c r="D466" s="97"/>
      <c r="E466" s="97"/>
      <c r="R466" s="97"/>
      <c r="S466" s="97"/>
      <c r="T466" s="97"/>
      <c r="U466" s="97"/>
      <c r="V466" s="97"/>
      <c r="W466" s="97"/>
      <c r="X466" s="97"/>
      <c r="Y466" s="97"/>
      <c r="Z466" s="97"/>
      <c r="AA466" s="97"/>
      <c r="AB466" s="97"/>
      <c r="AC466" s="97"/>
      <c r="AD466" s="97"/>
      <c r="AE466" s="97"/>
    </row>
    <row r="467" spans="2:31" x14ac:dyDescent="0.45">
      <c r="B467" s="97"/>
      <c r="C467" s="97"/>
      <c r="D467" s="97"/>
      <c r="E467" s="97"/>
      <c r="R467" s="97"/>
      <c r="S467" s="97"/>
      <c r="T467" s="97"/>
      <c r="U467" s="97"/>
      <c r="V467" s="97"/>
      <c r="W467" s="97"/>
      <c r="X467" s="97"/>
      <c r="Y467" s="97"/>
      <c r="Z467" s="97"/>
      <c r="AA467" s="97"/>
      <c r="AB467" s="97"/>
      <c r="AC467" s="97"/>
      <c r="AD467" s="97"/>
      <c r="AE467" s="97"/>
    </row>
    <row r="468" spans="2:31" x14ac:dyDescent="0.45">
      <c r="B468" s="97"/>
      <c r="C468" s="97"/>
      <c r="D468" s="97"/>
      <c r="E468" s="97"/>
      <c r="R468" s="97"/>
      <c r="S468" s="97"/>
      <c r="T468" s="97"/>
      <c r="U468" s="97"/>
      <c r="V468" s="97"/>
      <c r="W468" s="97"/>
      <c r="X468" s="97"/>
      <c r="Y468" s="97"/>
      <c r="Z468" s="97"/>
      <c r="AA468" s="97"/>
      <c r="AB468" s="97"/>
      <c r="AC468" s="97"/>
      <c r="AD468" s="97"/>
      <c r="AE468" s="97"/>
    </row>
    <row r="469" spans="2:31" x14ac:dyDescent="0.45">
      <c r="B469" s="97"/>
      <c r="C469" s="97"/>
      <c r="D469" s="97"/>
      <c r="E469" s="97"/>
      <c r="R469" s="97"/>
      <c r="S469" s="97"/>
      <c r="T469" s="97"/>
      <c r="U469" s="97"/>
      <c r="V469" s="97"/>
      <c r="W469" s="97"/>
      <c r="X469" s="97"/>
      <c r="Y469" s="97"/>
      <c r="Z469" s="97"/>
      <c r="AA469" s="97"/>
      <c r="AB469" s="97"/>
      <c r="AC469" s="97"/>
      <c r="AD469" s="97"/>
      <c r="AE469" s="97"/>
    </row>
    <row r="470" spans="2:31" x14ac:dyDescent="0.45">
      <c r="B470" s="97"/>
      <c r="C470" s="97"/>
      <c r="D470" s="97"/>
      <c r="E470" s="97"/>
      <c r="R470" s="97"/>
      <c r="S470" s="97"/>
      <c r="T470" s="97"/>
      <c r="U470" s="97"/>
      <c r="V470" s="97"/>
      <c r="W470" s="97"/>
      <c r="X470" s="97"/>
      <c r="Y470" s="97"/>
      <c r="Z470" s="97"/>
      <c r="AA470" s="97"/>
      <c r="AB470" s="97"/>
      <c r="AC470" s="97"/>
      <c r="AD470" s="97"/>
      <c r="AE470" s="97"/>
    </row>
    <row r="471" spans="2:31" x14ac:dyDescent="0.45">
      <c r="B471" s="97"/>
      <c r="C471" s="97"/>
      <c r="D471" s="97"/>
      <c r="E471" s="97"/>
      <c r="R471" s="97"/>
      <c r="S471" s="97"/>
      <c r="T471" s="97"/>
      <c r="U471" s="97"/>
      <c r="V471" s="97"/>
      <c r="W471" s="97"/>
      <c r="X471" s="97"/>
      <c r="Y471" s="97"/>
      <c r="Z471" s="97"/>
      <c r="AA471" s="97"/>
      <c r="AB471" s="97"/>
      <c r="AC471" s="97"/>
      <c r="AD471" s="97"/>
      <c r="AE471" s="97"/>
    </row>
    <row r="472" spans="2:31" x14ac:dyDescent="0.45">
      <c r="B472" s="97"/>
      <c r="C472" s="97"/>
      <c r="D472" s="97"/>
      <c r="E472" s="97"/>
      <c r="R472" s="97"/>
      <c r="S472" s="97"/>
      <c r="T472" s="97"/>
      <c r="U472" s="97"/>
      <c r="V472" s="97"/>
      <c r="W472" s="97"/>
      <c r="X472" s="97"/>
      <c r="Y472" s="97"/>
      <c r="Z472" s="97"/>
      <c r="AA472" s="97"/>
      <c r="AB472" s="97"/>
      <c r="AC472" s="97"/>
      <c r="AD472" s="97"/>
      <c r="AE472" s="97"/>
    </row>
    <row r="473" spans="2:31" x14ac:dyDescent="0.45">
      <c r="B473" s="97"/>
      <c r="C473" s="97"/>
      <c r="D473" s="97"/>
      <c r="E473" s="97"/>
      <c r="R473" s="97"/>
      <c r="S473" s="97"/>
      <c r="T473" s="97"/>
      <c r="U473" s="97"/>
      <c r="V473" s="97"/>
      <c r="W473" s="97"/>
      <c r="X473" s="97"/>
      <c r="Y473" s="97"/>
      <c r="Z473" s="97"/>
      <c r="AA473" s="97"/>
      <c r="AB473" s="97"/>
      <c r="AC473" s="97"/>
      <c r="AD473" s="97"/>
      <c r="AE473" s="97"/>
    </row>
    <row r="474" spans="2:31" x14ac:dyDescent="0.45">
      <c r="B474" s="97"/>
      <c r="C474" s="97"/>
      <c r="D474" s="97"/>
      <c r="E474" s="97"/>
      <c r="R474" s="97"/>
      <c r="S474" s="97"/>
      <c r="T474" s="97"/>
      <c r="U474" s="97"/>
      <c r="V474" s="97"/>
      <c r="W474" s="97"/>
      <c r="X474" s="97"/>
      <c r="Y474" s="97"/>
      <c r="Z474" s="97"/>
      <c r="AA474" s="97"/>
      <c r="AB474" s="97"/>
      <c r="AC474" s="97"/>
      <c r="AD474" s="97"/>
      <c r="AE474" s="97"/>
    </row>
    <row r="475" spans="2:31" x14ac:dyDescent="0.45">
      <c r="B475" s="97"/>
      <c r="C475" s="97"/>
      <c r="D475" s="97"/>
      <c r="E475" s="97"/>
      <c r="R475" s="97"/>
      <c r="S475" s="97"/>
      <c r="T475" s="97"/>
      <c r="U475" s="97"/>
      <c r="V475" s="97"/>
      <c r="W475" s="97"/>
      <c r="X475" s="97"/>
      <c r="Y475" s="97"/>
      <c r="Z475" s="97"/>
      <c r="AA475" s="97"/>
      <c r="AB475" s="97"/>
      <c r="AC475" s="97"/>
      <c r="AD475" s="97"/>
      <c r="AE475" s="97"/>
    </row>
    <row r="476" spans="2:31" x14ac:dyDescent="0.45">
      <c r="B476" s="97"/>
      <c r="C476" s="97"/>
      <c r="D476" s="97"/>
      <c r="E476" s="97"/>
      <c r="R476" s="97"/>
      <c r="S476" s="97"/>
      <c r="T476" s="97"/>
      <c r="U476" s="97"/>
      <c r="V476" s="97"/>
      <c r="W476" s="97"/>
      <c r="X476" s="97"/>
      <c r="Y476" s="97"/>
      <c r="Z476" s="97"/>
      <c r="AA476" s="97"/>
      <c r="AB476" s="97"/>
      <c r="AC476" s="97"/>
      <c r="AD476" s="97"/>
      <c r="AE476" s="97"/>
    </row>
    <row r="477" spans="2:31" x14ac:dyDescent="0.45">
      <c r="B477" s="97"/>
      <c r="C477" s="97"/>
      <c r="D477" s="97"/>
      <c r="E477" s="97"/>
      <c r="R477" s="97"/>
      <c r="S477" s="97"/>
      <c r="T477" s="97"/>
      <c r="U477" s="97"/>
      <c r="V477" s="97"/>
      <c r="W477" s="97"/>
      <c r="X477" s="97"/>
      <c r="Y477" s="97"/>
      <c r="Z477" s="97"/>
      <c r="AA477" s="97"/>
      <c r="AB477" s="97"/>
      <c r="AC477" s="97"/>
      <c r="AD477" s="97"/>
      <c r="AE477" s="97"/>
    </row>
    <row r="478" spans="2:31" x14ac:dyDescent="0.45">
      <c r="B478" s="97"/>
      <c r="C478" s="97"/>
      <c r="D478" s="97"/>
      <c r="E478" s="97"/>
      <c r="R478" s="97"/>
      <c r="S478" s="97"/>
      <c r="T478" s="97"/>
      <c r="U478" s="97"/>
      <c r="V478" s="97"/>
      <c r="W478" s="97"/>
      <c r="X478" s="97"/>
      <c r="Y478" s="97"/>
      <c r="Z478" s="97"/>
      <c r="AA478" s="97"/>
      <c r="AB478" s="97"/>
      <c r="AC478" s="97"/>
      <c r="AD478" s="97"/>
      <c r="AE478" s="97"/>
    </row>
    <row r="479" spans="2:31" x14ac:dyDescent="0.45">
      <c r="B479" s="97"/>
      <c r="C479" s="97"/>
      <c r="D479" s="97"/>
      <c r="E479" s="97"/>
      <c r="R479" s="97"/>
      <c r="S479" s="97"/>
      <c r="T479" s="97"/>
      <c r="U479" s="97"/>
      <c r="V479" s="97"/>
      <c r="W479" s="97"/>
      <c r="X479" s="97"/>
      <c r="Y479" s="97"/>
      <c r="Z479" s="97"/>
      <c r="AA479" s="97"/>
      <c r="AB479" s="97"/>
      <c r="AC479" s="97"/>
      <c r="AD479" s="97"/>
      <c r="AE479" s="97"/>
    </row>
    <row r="480" spans="2:31" x14ac:dyDescent="0.45">
      <c r="B480" s="97"/>
      <c r="C480" s="97"/>
      <c r="D480" s="97"/>
      <c r="E480" s="97"/>
      <c r="R480" s="97"/>
      <c r="S480" s="97"/>
      <c r="T480" s="97"/>
      <c r="U480" s="97"/>
      <c r="V480" s="97"/>
      <c r="W480" s="97"/>
      <c r="X480" s="97"/>
      <c r="Y480" s="97"/>
      <c r="Z480" s="97"/>
      <c r="AA480" s="97"/>
      <c r="AB480" s="97"/>
      <c r="AC480" s="97"/>
      <c r="AD480" s="97"/>
      <c r="AE480" s="97"/>
    </row>
    <row r="481" spans="2:31" x14ac:dyDescent="0.45">
      <c r="B481" s="97"/>
      <c r="C481" s="97"/>
      <c r="D481" s="97"/>
      <c r="E481" s="97"/>
      <c r="R481" s="97"/>
      <c r="S481" s="97"/>
      <c r="T481" s="97"/>
      <c r="U481" s="97"/>
      <c r="V481" s="97"/>
      <c r="W481" s="97"/>
      <c r="X481" s="97"/>
      <c r="Y481" s="97"/>
      <c r="Z481" s="97"/>
      <c r="AA481" s="97"/>
      <c r="AB481" s="97"/>
      <c r="AC481" s="97"/>
      <c r="AD481" s="97"/>
      <c r="AE481" s="97"/>
    </row>
    <row r="482" spans="2:31" x14ac:dyDescent="0.45">
      <c r="B482" s="97"/>
      <c r="C482" s="97"/>
      <c r="D482" s="97"/>
      <c r="E482" s="97"/>
      <c r="R482" s="97"/>
      <c r="S482" s="97"/>
      <c r="T482" s="97"/>
      <c r="U482" s="97"/>
      <c r="V482" s="97"/>
      <c r="W482" s="97"/>
      <c r="X482" s="97"/>
      <c r="Y482" s="97"/>
      <c r="Z482" s="97"/>
      <c r="AA482" s="97"/>
      <c r="AB482" s="97"/>
      <c r="AC482" s="97"/>
      <c r="AD482" s="97"/>
      <c r="AE482" s="97"/>
    </row>
    <row r="483" spans="2:31" x14ac:dyDescent="0.45">
      <c r="B483" s="97"/>
      <c r="C483" s="97"/>
      <c r="D483" s="97"/>
      <c r="E483" s="97"/>
      <c r="R483" s="97"/>
      <c r="S483" s="97"/>
      <c r="T483" s="97"/>
      <c r="U483" s="97"/>
      <c r="V483" s="97"/>
      <c r="W483" s="97"/>
      <c r="X483" s="97"/>
      <c r="Y483" s="97"/>
      <c r="Z483" s="97"/>
      <c r="AA483" s="97"/>
      <c r="AB483" s="97"/>
      <c r="AC483" s="97"/>
      <c r="AD483" s="97"/>
      <c r="AE483" s="97"/>
    </row>
    <row r="484" spans="2:31" x14ac:dyDescent="0.45">
      <c r="B484" s="97"/>
      <c r="C484" s="97"/>
      <c r="D484" s="97"/>
      <c r="E484" s="97"/>
      <c r="R484" s="97"/>
      <c r="S484" s="97"/>
      <c r="T484" s="97"/>
      <c r="U484" s="97"/>
      <c r="V484" s="97"/>
      <c r="W484" s="97"/>
      <c r="X484" s="97"/>
      <c r="Y484" s="97"/>
      <c r="Z484" s="97"/>
      <c r="AA484" s="97"/>
      <c r="AB484" s="97"/>
      <c r="AC484" s="97"/>
      <c r="AD484" s="97"/>
      <c r="AE484" s="97"/>
    </row>
    <row r="485" spans="2:31" x14ac:dyDescent="0.45">
      <c r="B485" s="97"/>
      <c r="C485" s="97"/>
      <c r="D485" s="97"/>
      <c r="E485" s="97"/>
      <c r="R485" s="97"/>
      <c r="S485" s="97"/>
      <c r="T485" s="97"/>
      <c r="U485" s="97"/>
      <c r="V485" s="97"/>
      <c r="W485" s="97"/>
      <c r="X485" s="97"/>
      <c r="Y485" s="97"/>
      <c r="Z485" s="97"/>
      <c r="AA485" s="97"/>
      <c r="AB485" s="97"/>
      <c r="AC485" s="97"/>
      <c r="AD485" s="97"/>
      <c r="AE485" s="97"/>
    </row>
    <row r="486" spans="2:31" x14ac:dyDescent="0.45">
      <c r="B486" s="97"/>
      <c r="C486" s="97"/>
      <c r="D486" s="97"/>
      <c r="E486" s="97"/>
      <c r="R486" s="97"/>
      <c r="S486" s="97"/>
      <c r="T486" s="97"/>
      <c r="U486" s="97"/>
      <c r="V486" s="97"/>
      <c r="W486" s="97"/>
      <c r="X486" s="97"/>
      <c r="Y486" s="97"/>
      <c r="Z486" s="97"/>
      <c r="AA486" s="97"/>
      <c r="AB486" s="97"/>
      <c r="AC486" s="97"/>
      <c r="AD486" s="97"/>
      <c r="AE486" s="97"/>
    </row>
    <row r="487" spans="2:31" x14ac:dyDescent="0.45">
      <c r="B487" s="97"/>
      <c r="C487" s="97"/>
      <c r="D487" s="97"/>
      <c r="E487" s="97"/>
      <c r="R487" s="97"/>
      <c r="S487" s="97"/>
      <c r="T487" s="97"/>
      <c r="U487" s="97"/>
      <c r="V487" s="97"/>
      <c r="W487" s="97"/>
      <c r="X487" s="97"/>
      <c r="Y487" s="97"/>
      <c r="Z487" s="97"/>
      <c r="AA487" s="97"/>
      <c r="AB487" s="97"/>
      <c r="AC487" s="97"/>
      <c r="AD487" s="97"/>
      <c r="AE487" s="97"/>
    </row>
    <row r="488" spans="2:31" x14ac:dyDescent="0.45">
      <c r="B488" s="97"/>
      <c r="C488" s="97"/>
      <c r="D488" s="97"/>
      <c r="E488" s="97"/>
      <c r="R488" s="97"/>
      <c r="S488" s="97"/>
      <c r="T488" s="97"/>
      <c r="U488" s="97"/>
      <c r="V488" s="97"/>
      <c r="W488" s="97"/>
      <c r="X488" s="97"/>
      <c r="Y488" s="97"/>
      <c r="Z488" s="97"/>
      <c r="AA488" s="97"/>
      <c r="AB488" s="97"/>
      <c r="AC488" s="97"/>
      <c r="AD488" s="97"/>
      <c r="AE488" s="97"/>
    </row>
    <row r="489" spans="2:31" x14ac:dyDescent="0.45">
      <c r="B489" s="97"/>
      <c r="C489" s="97"/>
      <c r="D489" s="97"/>
      <c r="E489" s="97"/>
      <c r="R489" s="97"/>
      <c r="S489" s="97"/>
      <c r="T489" s="97"/>
      <c r="U489" s="97"/>
      <c r="V489" s="97"/>
      <c r="W489" s="97"/>
      <c r="X489" s="97"/>
      <c r="Y489" s="97"/>
      <c r="Z489" s="97"/>
      <c r="AA489" s="97"/>
      <c r="AB489" s="97"/>
      <c r="AC489" s="97"/>
      <c r="AD489" s="97"/>
      <c r="AE489" s="97"/>
    </row>
    <row r="490" spans="2:31" x14ac:dyDescent="0.45">
      <c r="B490" s="97"/>
      <c r="C490" s="97"/>
      <c r="D490" s="97"/>
      <c r="E490" s="97"/>
      <c r="R490" s="97"/>
      <c r="S490" s="97"/>
      <c r="T490" s="97"/>
      <c r="U490" s="97"/>
      <c r="V490" s="97"/>
      <c r="W490" s="97"/>
      <c r="X490" s="97"/>
      <c r="Y490" s="97"/>
      <c r="Z490" s="97"/>
      <c r="AA490" s="97"/>
      <c r="AB490" s="97"/>
      <c r="AC490" s="97"/>
      <c r="AD490" s="97"/>
      <c r="AE490" s="97"/>
    </row>
    <row r="491" spans="2:31" x14ac:dyDescent="0.45">
      <c r="B491" s="97"/>
      <c r="C491" s="97"/>
      <c r="D491" s="97"/>
      <c r="E491" s="97"/>
      <c r="R491" s="97"/>
      <c r="S491" s="97"/>
      <c r="T491" s="97"/>
      <c r="U491" s="97"/>
      <c r="V491" s="97"/>
      <c r="W491" s="97"/>
      <c r="X491" s="97"/>
      <c r="Y491" s="97"/>
      <c r="Z491" s="97"/>
      <c r="AA491" s="97"/>
      <c r="AB491" s="97"/>
      <c r="AC491" s="97"/>
      <c r="AD491" s="97"/>
      <c r="AE491" s="97"/>
    </row>
    <row r="492" spans="2:31" x14ac:dyDescent="0.45">
      <c r="B492" s="97"/>
      <c r="C492" s="97"/>
      <c r="D492" s="97"/>
      <c r="E492" s="97"/>
      <c r="R492" s="97"/>
      <c r="S492" s="97"/>
      <c r="T492" s="97"/>
      <c r="U492" s="97"/>
      <c r="V492" s="97"/>
      <c r="W492" s="97"/>
      <c r="X492" s="97"/>
      <c r="Y492" s="97"/>
      <c r="Z492" s="97"/>
      <c r="AA492" s="97"/>
      <c r="AB492" s="97"/>
      <c r="AC492" s="97"/>
      <c r="AD492" s="97"/>
      <c r="AE492" s="97"/>
    </row>
    <row r="493" spans="2:31" x14ac:dyDescent="0.45">
      <c r="B493" s="97"/>
      <c r="C493" s="97"/>
      <c r="D493" s="97"/>
      <c r="E493" s="97"/>
      <c r="R493" s="97"/>
      <c r="S493" s="97"/>
      <c r="T493" s="97"/>
      <c r="U493" s="97"/>
      <c r="V493" s="97"/>
      <c r="W493" s="97"/>
      <c r="X493" s="97"/>
      <c r="Y493" s="97"/>
      <c r="Z493" s="97"/>
      <c r="AA493" s="97"/>
      <c r="AB493" s="97"/>
      <c r="AC493" s="97"/>
      <c r="AD493" s="97"/>
      <c r="AE493" s="97"/>
    </row>
    <row r="494" spans="2:31" x14ac:dyDescent="0.45">
      <c r="B494" s="97"/>
      <c r="C494" s="97"/>
      <c r="D494" s="97"/>
      <c r="E494" s="97"/>
      <c r="R494" s="97"/>
      <c r="S494" s="97"/>
      <c r="T494" s="97"/>
      <c r="U494" s="97"/>
      <c r="V494" s="97"/>
      <c r="W494" s="97"/>
      <c r="X494" s="97"/>
      <c r="Y494" s="97"/>
      <c r="Z494" s="97"/>
      <c r="AA494" s="97"/>
      <c r="AB494" s="97"/>
      <c r="AC494" s="97"/>
      <c r="AD494" s="97"/>
      <c r="AE494" s="97"/>
    </row>
    <row r="495" spans="2:31" x14ac:dyDescent="0.45">
      <c r="B495" s="97"/>
      <c r="C495" s="97"/>
      <c r="D495" s="97"/>
      <c r="E495" s="97"/>
      <c r="R495" s="97"/>
      <c r="S495" s="97"/>
      <c r="T495" s="97"/>
      <c r="U495" s="97"/>
      <c r="V495" s="97"/>
      <c r="W495" s="97"/>
      <c r="X495" s="97"/>
      <c r="Y495" s="97"/>
      <c r="Z495" s="97"/>
      <c r="AA495" s="97"/>
      <c r="AB495" s="97"/>
      <c r="AC495" s="97"/>
      <c r="AD495" s="97"/>
      <c r="AE495" s="97"/>
    </row>
    <row r="496" spans="2:31" x14ac:dyDescent="0.45">
      <c r="B496" s="97"/>
      <c r="C496" s="97"/>
      <c r="D496" s="97"/>
      <c r="E496" s="97"/>
      <c r="R496" s="97"/>
      <c r="S496" s="97"/>
      <c r="T496" s="97"/>
      <c r="U496" s="97"/>
      <c r="V496" s="97"/>
      <c r="W496" s="97"/>
      <c r="X496" s="97"/>
      <c r="Y496" s="97"/>
      <c r="Z496" s="97"/>
      <c r="AA496" s="97"/>
      <c r="AB496" s="97"/>
      <c r="AC496" s="97"/>
      <c r="AD496" s="97"/>
      <c r="AE496" s="97"/>
    </row>
    <row r="497" spans="2:31" x14ac:dyDescent="0.45">
      <c r="B497" s="97"/>
      <c r="C497" s="97"/>
      <c r="D497" s="97"/>
      <c r="E497" s="97"/>
      <c r="R497" s="97"/>
      <c r="S497" s="97"/>
      <c r="T497" s="97"/>
      <c r="U497" s="97"/>
      <c r="V497" s="97"/>
      <c r="W497" s="97"/>
      <c r="X497" s="97"/>
      <c r="Y497" s="97"/>
      <c r="Z497" s="97"/>
      <c r="AA497" s="97"/>
      <c r="AB497" s="97"/>
      <c r="AC497" s="97"/>
      <c r="AD497" s="97"/>
      <c r="AE497" s="97"/>
    </row>
    <row r="498" spans="2:31" x14ac:dyDescent="0.45">
      <c r="B498" s="97"/>
      <c r="C498" s="97"/>
      <c r="D498" s="97"/>
      <c r="E498" s="97"/>
      <c r="R498" s="97"/>
      <c r="S498" s="97"/>
      <c r="T498" s="97"/>
      <c r="U498" s="97"/>
      <c r="V498" s="97"/>
      <c r="W498" s="97"/>
      <c r="X498" s="97"/>
      <c r="Y498" s="97"/>
      <c r="Z498" s="97"/>
      <c r="AA498" s="97"/>
      <c r="AB498" s="97"/>
      <c r="AC498" s="97"/>
      <c r="AD498" s="97"/>
      <c r="AE498" s="97"/>
    </row>
    <row r="499" spans="2:31" x14ac:dyDescent="0.45">
      <c r="B499" s="97"/>
      <c r="C499" s="97"/>
      <c r="D499" s="97"/>
      <c r="E499" s="97"/>
      <c r="R499" s="97"/>
      <c r="S499" s="97"/>
      <c r="T499" s="97"/>
      <c r="U499" s="97"/>
      <c r="V499" s="97"/>
      <c r="W499" s="97"/>
      <c r="X499" s="97"/>
      <c r="Y499" s="97"/>
      <c r="Z499" s="97"/>
      <c r="AA499" s="97"/>
      <c r="AB499" s="97"/>
      <c r="AC499" s="97"/>
      <c r="AD499" s="97"/>
      <c r="AE499" s="97"/>
    </row>
    <row r="500" spans="2:31" x14ac:dyDescent="0.45">
      <c r="B500" s="97"/>
      <c r="C500" s="97"/>
      <c r="D500" s="97"/>
      <c r="E500" s="97"/>
      <c r="R500" s="97"/>
      <c r="S500" s="97"/>
      <c r="T500" s="97"/>
      <c r="U500" s="97"/>
      <c r="V500" s="97"/>
      <c r="W500" s="97"/>
      <c r="X500" s="97"/>
      <c r="Y500" s="97"/>
      <c r="Z500" s="97"/>
      <c r="AA500" s="97"/>
      <c r="AB500" s="97"/>
      <c r="AC500" s="97"/>
      <c r="AD500" s="97"/>
      <c r="AE500" s="97"/>
    </row>
    <row r="501" spans="2:31" x14ac:dyDescent="0.45">
      <c r="B501" s="97"/>
      <c r="C501" s="97"/>
      <c r="D501" s="97"/>
      <c r="E501" s="97"/>
      <c r="R501" s="97"/>
      <c r="S501" s="97"/>
      <c r="T501" s="97"/>
      <c r="U501" s="97"/>
      <c r="V501" s="97"/>
      <c r="W501" s="97"/>
      <c r="X501" s="97"/>
      <c r="Y501" s="97"/>
      <c r="Z501" s="97"/>
      <c r="AA501" s="97"/>
      <c r="AB501" s="97"/>
      <c r="AC501" s="97"/>
      <c r="AD501" s="97"/>
      <c r="AE501" s="97"/>
    </row>
    <row r="502" spans="2:31" x14ac:dyDescent="0.45">
      <c r="B502" s="97"/>
      <c r="C502" s="97"/>
      <c r="D502" s="97"/>
      <c r="E502" s="97"/>
      <c r="R502" s="97"/>
      <c r="S502" s="97"/>
      <c r="T502" s="97"/>
      <c r="U502" s="97"/>
      <c r="V502" s="97"/>
      <c r="W502" s="97"/>
      <c r="X502" s="97"/>
      <c r="Y502" s="97"/>
      <c r="Z502" s="97"/>
      <c r="AA502" s="97"/>
      <c r="AB502" s="97"/>
      <c r="AC502" s="97"/>
      <c r="AD502" s="97"/>
      <c r="AE502" s="97"/>
    </row>
    <row r="503" spans="2:31" x14ac:dyDescent="0.45">
      <c r="B503" s="97"/>
      <c r="C503" s="97"/>
      <c r="D503" s="97"/>
      <c r="E503" s="97"/>
      <c r="R503" s="97"/>
      <c r="S503" s="97"/>
      <c r="T503" s="97"/>
      <c r="U503" s="97"/>
      <c r="V503" s="97"/>
      <c r="W503" s="97"/>
      <c r="X503" s="97"/>
      <c r="Y503" s="97"/>
      <c r="Z503" s="97"/>
      <c r="AA503" s="97"/>
      <c r="AB503" s="97"/>
      <c r="AC503" s="97"/>
      <c r="AD503" s="97"/>
      <c r="AE503" s="97"/>
    </row>
    <row r="504" spans="2:31" x14ac:dyDescent="0.45">
      <c r="B504" s="97"/>
      <c r="C504" s="97"/>
      <c r="D504" s="97"/>
      <c r="E504" s="97"/>
      <c r="R504" s="97"/>
      <c r="S504" s="97"/>
      <c r="T504" s="97"/>
      <c r="U504" s="97"/>
      <c r="V504" s="97"/>
      <c r="W504" s="97"/>
      <c r="X504" s="97"/>
      <c r="Y504" s="97"/>
      <c r="Z504" s="97"/>
      <c r="AA504" s="97"/>
      <c r="AB504" s="97"/>
      <c r="AC504" s="97"/>
      <c r="AD504" s="97"/>
      <c r="AE504" s="97"/>
    </row>
    <row r="505" spans="2:31" x14ac:dyDescent="0.45">
      <c r="B505" s="97"/>
      <c r="C505" s="97"/>
      <c r="D505" s="97"/>
      <c r="E505" s="97"/>
      <c r="R505" s="97"/>
      <c r="S505" s="97"/>
      <c r="T505" s="97"/>
      <c r="U505" s="97"/>
      <c r="V505" s="97"/>
      <c r="W505" s="97"/>
      <c r="X505" s="97"/>
      <c r="Y505" s="97"/>
      <c r="Z505" s="97"/>
      <c r="AA505" s="97"/>
      <c r="AB505" s="97"/>
      <c r="AC505" s="97"/>
      <c r="AD505" s="97"/>
      <c r="AE505" s="97"/>
    </row>
    <row r="506" spans="2:31" x14ac:dyDescent="0.45">
      <c r="B506" s="97"/>
      <c r="C506" s="97"/>
      <c r="D506" s="97"/>
      <c r="E506" s="97"/>
      <c r="R506" s="97"/>
      <c r="S506" s="97"/>
      <c r="T506" s="97"/>
      <c r="U506" s="97"/>
      <c r="V506" s="97"/>
      <c r="W506" s="97"/>
      <c r="X506" s="97"/>
      <c r="Y506" s="97"/>
      <c r="Z506" s="97"/>
      <c r="AA506" s="97"/>
      <c r="AB506" s="97"/>
      <c r="AC506" s="97"/>
      <c r="AD506" s="97"/>
      <c r="AE506" s="97"/>
    </row>
    <row r="507" spans="2:31" x14ac:dyDescent="0.45">
      <c r="B507" s="97"/>
      <c r="C507" s="97"/>
      <c r="D507" s="97"/>
      <c r="E507" s="97"/>
      <c r="R507" s="97"/>
      <c r="S507" s="97"/>
      <c r="T507" s="97"/>
      <c r="U507" s="97"/>
      <c r="V507" s="97"/>
      <c r="W507" s="97"/>
      <c r="X507" s="97"/>
      <c r="Y507" s="97"/>
      <c r="Z507" s="97"/>
      <c r="AA507" s="97"/>
      <c r="AB507" s="97"/>
      <c r="AC507" s="97"/>
      <c r="AD507" s="97"/>
      <c r="AE507" s="97"/>
    </row>
    <row r="508" spans="2:31" x14ac:dyDescent="0.45">
      <c r="B508" s="97"/>
      <c r="C508" s="97"/>
      <c r="D508" s="97"/>
      <c r="E508" s="97"/>
      <c r="R508" s="97"/>
      <c r="S508" s="97"/>
      <c r="T508" s="97"/>
      <c r="U508" s="97"/>
      <c r="V508" s="97"/>
      <c r="W508" s="97"/>
      <c r="X508" s="97"/>
      <c r="Y508" s="97"/>
      <c r="Z508" s="97"/>
      <c r="AA508" s="97"/>
      <c r="AB508" s="97"/>
      <c r="AC508" s="97"/>
      <c r="AD508" s="97"/>
      <c r="AE508" s="97"/>
    </row>
    <row r="509" spans="2:31" x14ac:dyDescent="0.45">
      <c r="B509" s="97"/>
      <c r="C509" s="97"/>
      <c r="D509" s="97"/>
      <c r="E509" s="97"/>
      <c r="R509" s="97"/>
      <c r="S509" s="97"/>
      <c r="T509" s="97"/>
      <c r="U509" s="97"/>
      <c r="V509" s="97"/>
      <c r="W509" s="97"/>
      <c r="X509" s="97"/>
      <c r="Y509" s="97"/>
      <c r="Z509" s="97"/>
      <c r="AA509" s="97"/>
      <c r="AB509" s="97"/>
      <c r="AC509" s="97"/>
      <c r="AD509" s="97"/>
      <c r="AE509" s="97"/>
    </row>
    <row r="510" spans="2:31" x14ac:dyDescent="0.45">
      <c r="B510" s="97"/>
      <c r="C510" s="97"/>
      <c r="D510" s="97"/>
      <c r="E510" s="97"/>
      <c r="R510" s="97"/>
      <c r="S510" s="97"/>
      <c r="T510" s="97"/>
      <c r="U510" s="97"/>
      <c r="V510" s="97"/>
      <c r="W510" s="97"/>
      <c r="X510" s="97"/>
      <c r="Y510" s="97"/>
      <c r="Z510" s="97"/>
      <c r="AA510" s="97"/>
      <c r="AB510" s="97"/>
      <c r="AC510" s="97"/>
      <c r="AD510" s="97"/>
      <c r="AE510" s="97"/>
    </row>
    <row r="511" spans="2:31" x14ac:dyDescent="0.45">
      <c r="B511" s="97"/>
      <c r="C511" s="97"/>
      <c r="D511" s="97"/>
      <c r="E511" s="97"/>
      <c r="R511" s="97"/>
      <c r="S511" s="97"/>
      <c r="T511" s="97"/>
      <c r="U511" s="97"/>
      <c r="V511" s="97"/>
      <c r="W511" s="97"/>
      <c r="X511" s="97"/>
      <c r="Y511" s="97"/>
      <c r="Z511" s="97"/>
      <c r="AA511" s="97"/>
      <c r="AB511" s="97"/>
      <c r="AC511" s="97"/>
      <c r="AD511" s="97"/>
      <c r="AE511" s="97"/>
    </row>
    <row r="512" spans="2:31" x14ac:dyDescent="0.45">
      <c r="B512" s="97"/>
      <c r="C512" s="97"/>
      <c r="D512" s="97"/>
      <c r="E512" s="97"/>
      <c r="R512" s="97"/>
      <c r="S512" s="97"/>
      <c r="T512" s="97"/>
      <c r="U512" s="97"/>
      <c r="V512" s="97"/>
      <c r="W512" s="97"/>
      <c r="X512" s="97"/>
      <c r="Y512" s="97"/>
      <c r="Z512" s="97"/>
      <c r="AA512" s="97"/>
      <c r="AB512" s="97"/>
      <c r="AC512" s="97"/>
      <c r="AD512" s="97"/>
      <c r="AE512" s="97"/>
    </row>
    <row r="513" spans="2:31" x14ac:dyDescent="0.45">
      <c r="B513" s="97"/>
      <c r="C513" s="97"/>
      <c r="D513" s="97"/>
      <c r="E513" s="97"/>
      <c r="R513" s="97"/>
      <c r="S513" s="97"/>
      <c r="T513" s="97"/>
      <c r="U513" s="97"/>
      <c r="V513" s="97"/>
      <c r="W513" s="97"/>
      <c r="X513" s="97"/>
      <c r="Y513" s="97"/>
      <c r="Z513" s="97"/>
      <c r="AA513" s="97"/>
      <c r="AB513" s="97"/>
      <c r="AC513" s="97"/>
      <c r="AD513" s="97"/>
      <c r="AE513" s="97"/>
    </row>
    <row r="514" spans="2:31" x14ac:dyDescent="0.45">
      <c r="B514" s="97"/>
      <c r="C514" s="97"/>
      <c r="D514" s="97"/>
      <c r="E514" s="97"/>
      <c r="R514" s="97"/>
      <c r="S514" s="97"/>
      <c r="T514" s="97"/>
      <c r="U514" s="97"/>
      <c r="V514" s="97"/>
      <c r="W514" s="97"/>
      <c r="X514" s="97"/>
      <c r="Y514" s="97"/>
      <c r="Z514" s="97"/>
      <c r="AA514" s="97"/>
      <c r="AB514" s="97"/>
      <c r="AC514" s="97"/>
      <c r="AD514" s="97"/>
      <c r="AE514" s="97"/>
    </row>
    <row r="515" spans="2:31" x14ac:dyDescent="0.45">
      <c r="B515" s="97"/>
      <c r="C515" s="97"/>
      <c r="D515" s="97"/>
      <c r="E515" s="97"/>
      <c r="R515" s="97"/>
      <c r="S515" s="97"/>
      <c r="T515" s="97"/>
      <c r="U515" s="97"/>
      <c r="V515" s="97"/>
      <c r="W515" s="97"/>
      <c r="X515" s="97"/>
      <c r="Y515" s="97"/>
      <c r="Z515" s="97"/>
      <c r="AA515" s="97"/>
      <c r="AB515" s="97"/>
      <c r="AC515" s="97"/>
      <c r="AD515" s="97"/>
      <c r="AE515" s="97"/>
    </row>
    <row r="516" spans="2:31" x14ac:dyDescent="0.45">
      <c r="B516" s="97"/>
      <c r="C516" s="97"/>
      <c r="D516" s="97"/>
      <c r="E516" s="97"/>
      <c r="R516" s="97"/>
      <c r="S516" s="97"/>
      <c r="T516" s="97"/>
      <c r="U516" s="97"/>
      <c r="V516" s="97"/>
      <c r="W516" s="97"/>
      <c r="X516" s="97"/>
      <c r="Y516" s="97"/>
      <c r="Z516" s="97"/>
      <c r="AA516" s="97"/>
      <c r="AB516" s="97"/>
      <c r="AC516" s="97"/>
      <c r="AD516" s="97"/>
      <c r="AE516" s="97"/>
    </row>
    <row r="517" spans="2:31" x14ac:dyDescent="0.45">
      <c r="B517" s="97"/>
      <c r="C517" s="97"/>
      <c r="D517" s="97"/>
      <c r="E517" s="97"/>
      <c r="R517" s="97"/>
      <c r="S517" s="97"/>
      <c r="T517" s="97"/>
      <c r="U517" s="97"/>
      <c r="V517" s="97"/>
      <c r="W517" s="97"/>
      <c r="X517" s="97"/>
      <c r="Y517" s="97"/>
      <c r="Z517" s="97"/>
      <c r="AA517" s="97"/>
      <c r="AB517" s="97"/>
      <c r="AC517" s="97"/>
      <c r="AD517" s="97"/>
      <c r="AE517" s="97"/>
    </row>
    <row r="518" spans="2:31" x14ac:dyDescent="0.45">
      <c r="B518" s="97"/>
      <c r="C518" s="97"/>
      <c r="D518" s="97"/>
      <c r="E518" s="97"/>
      <c r="R518" s="97"/>
      <c r="S518" s="97"/>
      <c r="T518" s="97"/>
      <c r="U518" s="97"/>
      <c r="V518" s="97"/>
      <c r="W518" s="97"/>
      <c r="X518" s="97"/>
      <c r="Y518" s="97"/>
      <c r="Z518" s="97"/>
      <c r="AA518" s="97"/>
      <c r="AB518" s="97"/>
      <c r="AC518" s="97"/>
      <c r="AD518" s="97"/>
      <c r="AE518" s="97"/>
    </row>
    <row r="519" spans="2:31" x14ac:dyDescent="0.45">
      <c r="B519" s="97"/>
      <c r="C519" s="97"/>
      <c r="D519" s="97"/>
      <c r="E519" s="97"/>
      <c r="R519" s="97"/>
      <c r="S519" s="97"/>
      <c r="T519" s="97"/>
      <c r="U519" s="97"/>
      <c r="V519" s="97"/>
      <c r="W519" s="97"/>
      <c r="X519" s="97"/>
      <c r="Y519" s="97"/>
      <c r="Z519" s="97"/>
      <c r="AA519" s="97"/>
      <c r="AB519" s="97"/>
      <c r="AC519" s="97"/>
      <c r="AD519" s="97"/>
      <c r="AE519" s="97"/>
    </row>
    <row r="520" spans="2:31" x14ac:dyDescent="0.45">
      <c r="B520" s="97"/>
      <c r="C520" s="97"/>
      <c r="D520" s="97"/>
      <c r="E520" s="97"/>
      <c r="R520" s="97"/>
      <c r="S520" s="97"/>
      <c r="T520" s="97"/>
      <c r="U520" s="97"/>
      <c r="V520" s="97"/>
      <c r="W520" s="97"/>
      <c r="X520" s="97"/>
      <c r="Y520" s="97"/>
      <c r="Z520" s="97"/>
      <c r="AA520" s="97"/>
      <c r="AB520" s="97"/>
      <c r="AC520" s="97"/>
      <c r="AD520" s="97"/>
      <c r="AE520" s="97"/>
    </row>
    <row r="521" spans="2:31" x14ac:dyDescent="0.45">
      <c r="B521" s="97"/>
      <c r="C521" s="97"/>
      <c r="D521" s="97"/>
      <c r="E521" s="97"/>
      <c r="R521" s="97"/>
      <c r="S521" s="97"/>
      <c r="T521" s="97"/>
      <c r="U521" s="97"/>
      <c r="V521" s="97"/>
      <c r="W521" s="97"/>
      <c r="X521" s="97"/>
      <c r="Y521" s="97"/>
      <c r="Z521" s="97"/>
      <c r="AA521" s="97"/>
      <c r="AB521" s="97"/>
      <c r="AC521" s="97"/>
      <c r="AD521" s="97"/>
      <c r="AE521" s="97"/>
    </row>
    <row r="522" spans="2:31" x14ac:dyDescent="0.45">
      <c r="B522" s="97"/>
      <c r="C522" s="97"/>
      <c r="D522" s="97"/>
      <c r="E522" s="97"/>
      <c r="R522" s="97"/>
      <c r="S522" s="97"/>
      <c r="T522" s="97"/>
      <c r="U522" s="97"/>
      <c r="V522" s="97"/>
      <c r="W522" s="97"/>
      <c r="X522" s="97"/>
      <c r="Y522" s="97"/>
      <c r="Z522" s="97"/>
      <c r="AA522" s="97"/>
      <c r="AB522" s="97"/>
      <c r="AC522" s="97"/>
      <c r="AD522" s="97"/>
      <c r="AE522" s="97"/>
    </row>
    <row r="523" spans="2:31" x14ac:dyDescent="0.45">
      <c r="B523" s="97"/>
      <c r="C523" s="97"/>
      <c r="D523" s="97"/>
      <c r="E523" s="97"/>
      <c r="R523" s="97"/>
      <c r="S523" s="97"/>
      <c r="T523" s="97"/>
      <c r="U523" s="97"/>
      <c r="V523" s="97"/>
      <c r="W523" s="97"/>
      <c r="X523" s="97"/>
      <c r="Y523" s="97"/>
      <c r="Z523" s="97"/>
      <c r="AA523" s="97"/>
      <c r="AB523" s="97"/>
      <c r="AC523" s="97"/>
      <c r="AD523" s="97"/>
      <c r="AE523" s="97"/>
    </row>
    <row r="524" spans="2:31" x14ac:dyDescent="0.45">
      <c r="B524" s="97"/>
      <c r="C524" s="97"/>
      <c r="D524" s="97"/>
      <c r="E524" s="97"/>
      <c r="R524" s="97"/>
      <c r="S524" s="97"/>
      <c r="T524" s="97"/>
      <c r="U524" s="97"/>
      <c r="V524" s="97"/>
      <c r="W524" s="97"/>
      <c r="X524" s="97"/>
      <c r="Y524" s="97"/>
      <c r="Z524" s="97"/>
      <c r="AA524" s="97"/>
      <c r="AB524" s="97"/>
      <c r="AC524" s="97"/>
      <c r="AD524" s="97"/>
      <c r="AE524" s="97"/>
    </row>
    <row r="525" spans="2:31" x14ac:dyDescent="0.45">
      <c r="B525" s="97"/>
      <c r="C525" s="97"/>
      <c r="D525" s="97"/>
      <c r="E525" s="97"/>
      <c r="R525" s="97"/>
      <c r="S525" s="97"/>
      <c r="T525" s="97"/>
      <c r="U525" s="97"/>
      <c r="V525" s="97"/>
      <c r="W525" s="97"/>
      <c r="X525" s="97"/>
      <c r="Y525" s="97"/>
      <c r="Z525" s="97"/>
      <c r="AA525" s="97"/>
      <c r="AB525" s="97"/>
      <c r="AC525" s="97"/>
      <c r="AD525" s="97"/>
      <c r="AE525" s="97"/>
    </row>
    <row r="526" spans="2:31" x14ac:dyDescent="0.45">
      <c r="B526" s="97"/>
      <c r="C526" s="97"/>
      <c r="D526" s="97"/>
      <c r="E526" s="97"/>
      <c r="R526" s="97"/>
      <c r="S526" s="97"/>
      <c r="T526" s="97"/>
      <c r="U526" s="97"/>
      <c r="V526" s="97"/>
      <c r="W526" s="97"/>
      <c r="X526" s="97"/>
      <c r="Y526" s="97"/>
      <c r="Z526" s="97"/>
      <c r="AA526" s="97"/>
      <c r="AB526" s="97"/>
      <c r="AC526" s="97"/>
      <c r="AD526" s="97"/>
      <c r="AE526" s="97"/>
    </row>
    <row r="527" spans="2:31" x14ac:dyDescent="0.45">
      <c r="B527" s="97"/>
      <c r="C527" s="97"/>
      <c r="D527" s="97"/>
      <c r="E527" s="97"/>
      <c r="R527" s="97"/>
      <c r="S527" s="97"/>
      <c r="T527" s="97"/>
      <c r="U527" s="97"/>
      <c r="V527" s="97"/>
      <c r="W527" s="97"/>
      <c r="X527" s="97"/>
      <c r="Y527" s="97"/>
      <c r="Z527" s="97"/>
      <c r="AA527" s="97"/>
      <c r="AB527" s="97"/>
      <c r="AC527" s="97"/>
      <c r="AD527" s="97"/>
      <c r="AE527" s="97"/>
    </row>
    <row r="528" spans="2:31" x14ac:dyDescent="0.45">
      <c r="B528" s="97"/>
      <c r="C528" s="97"/>
      <c r="D528" s="97"/>
      <c r="E528" s="97"/>
      <c r="R528" s="97"/>
      <c r="S528" s="97"/>
      <c r="T528" s="97"/>
      <c r="U528" s="97"/>
      <c r="V528" s="97"/>
      <c r="W528" s="97"/>
      <c r="X528" s="97"/>
      <c r="Y528" s="97"/>
      <c r="Z528" s="97"/>
      <c r="AA528" s="97"/>
      <c r="AB528" s="97"/>
      <c r="AC528" s="97"/>
      <c r="AD528" s="97"/>
      <c r="AE528" s="97"/>
    </row>
    <row r="529" spans="2:31" x14ac:dyDescent="0.45">
      <c r="B529" s="97"/>
      <c r="C529" s="97"/>
      <c r="D529" s="97"/>
      <c r="E529" s="97"/>
      <c r="R529" s="97"/>
      <c r="S529" s="97"/>
      <c r="T529" s="97"/>
      <c r="U529" s="97"/>
      <c r="V529" s="97"/>
      <c r="W529" s="97"/>
      <c r="X529" s="97"/>
      <c r="Y529" s="97"/>
      <c r="Z529" s="97"/>
      <c r="AA529" s="97"/>
      <c r="AB529" s="97"/>
      <c r="AC529" s="97"/>
      <c r="AD529" s="97"/>
      <c r="AE529" s="97"/>
    </row>
    <row r="530" spans="2:31" x14ac:dyDescent="0.45">
      <c r="B530" s="97"/>
      <c r="C530" s="97"/>
      <c r="D530" s="97"/>
      <c r="E530" s="97"/>
      <c r="R530" s="97"/>
      <c r="S530" s="97"/>
      <c r="T530" s="97"/>
      <c r="U530" s="97"/>
      <c r="V530" s="97"/>
      <c r="W530" s="97"/>
      <c r="X530" s="97"/>
      <c r="Y530" s="97"/>
      <c r="Z530" s="97"/>
      <c r="AA530" s="97"/>
      <c r="AB530" s="97"/>
      <c r="AC530" s="97"/>
      <c r="AD530" s="97"/>
      <c r="AE530" s="97"/>
    </row>
    <row r="531" spans="2:31" x14ac:dyDescent="0.45">
      <c r="B531" s="97"/>
      <c r="C531" s="97"/>
      <c r="D531" s="97"/>
      <c r="E531" s="97"/>
      <c r="R531" s="97"/>
      <c r="S531" s="97"/>
      <c r="T531" s="97"/>
      <c r="U531" s="97"/>
      <c r="V531" s="97"/>
      <c r="W531" s="97"/>
      <c r="X531" s="97"/>
      <c r="Y531" s="97"/>
      <c r="Z531" s="97"/>
      <c r="AA531" s="97"/>
      <c r="AB531" s="97"/>
      <c r="AC531" s="97"/>
      <c r="AD531" s="97"/>
      <c r="AE531" s="97"/>
    </row>
    <row r="532" spans="2:31" x14ac:dyDescent="0.45">
      <c r="B532" s="97"/>
      <c r="C532" s="97"/>
      <c r="D532" s="97"/>
      <c r="E532" s="97"/>
      <c r="R532" s="97"/>
      <c r="S532" s="97"/>
      <c r="T532" s="97"/>
      <c r="U532" s="97"/>
      <c r="V532" s="97"/>
      <c r="W532" s="97"/>
      <c r="X532" s="97"/>
      <c r="Y532" s="97"/>
      <c r="Z532" s="97"/>
      <c r="AA532" s="97"/>
      <c r="AB532" s="97"/>
      <c r="AC532" s="97"/>
      <c r="AD532" s="97"/>
      <c r="AE532" s="97"/>
    </row>
    <row r="533" spans="2:31" x14ac:dyDescent="0.45">
      <c r="B533" s="97"/>
      <c r="C533" s="97"/>
      <c r="D533" s="97"/>
      <c r="E533" s="97"/>
      <c r="R533" s="97"/>
      <c r="S533" s="97"/>
      <c r="T533" s="97"/>
      <c r="U533" s="97"/>
      <c r="V533" s="97"/>
      <c r="W533" s="97"/>
      <c r="X533" s="97"/>
      <c r="Y533" s="97"/>
      <c r="Z533" s="97"/>
      <c r="AA533" s="97"/>
      <c r="AB533" s="97"/>
      <c r="AC533" s="97"/>
      <c r="AD533" s="97"/>
      <c r="AE533" s="97"/>
    </row>
    <row r="534" spans="2:31" x14ac:dyDescent="0.45">
      <c r="B534" s="97"/>
      <c r="C534" s="97"/>
      <c r="D534" s="97"/>
      <c r="E534" s="97"/>
      <c r="R534" s="97"/>
      <c r="S534" s="97"/>
      <c r="T534" s="97"/>
      <c r="U534" s="97"/>
      <c r="V534" s="97"/>
      <c r="W534" s="97"/>
      <c r="X534" s="97"/>
      <c r="Y534" s="97"/>
      <c r="Z534" s="97"/>
      <c r="AA534" s="97"/>
      <c r="AB534" s="97"/>
      <c r="AC534" s="97"/>
      <c r="AD534" s="97"/>
      <c r="AE534" s="97"/>
    </row>
    <row r="535" spans="2:31" x14ac:dyDescent="0.45">
      <c r="B535" s="97"/>
      <c r="C535" s="97"/>
      <c r="D535" s="97"/>
      <c r="E535" s="97"/>
      <c r="R535" s="97"/>
      <c r="S535" s="97"/>
      <c r="T535" s="97"/>
      <c r="U535" s="97"/>
      <c r="V535" s="97"/>
      <c r="W535" s="97"/>
      <c r="X535" s="97"/>
      <c r="Y535" s="97"/>
      <c r="Z535" s="97"/>
      <c r="AA535" s="97"/>
      <c r="AB535" s="97"/>
      <c r="AC535" s="97"/>
      <c r="AD535" s="97"/>
      <c r="AE535" s="97"/>
    </row>
    <row r="536" spans="2:31" x14ac:dyDescent="0.45">
      <c r="B536" s="97"/>
      <c r="C536" s="97"/>
      <c r="D536" s="97"/>
      <c r="E536" s="97"/>
      <c r="R536" s="97"/>
      <c r="S536" s="97"/>
      <c r="T536" s="97"/>
      <c r="U536" s="97"/>
      <c r="V536" s="97"/>
      <c r="W536" s="97"/>
      <c r="X536" s="97"/>
      <c r="Y536" s="97"/>
      <c r="Z536" s="97"/>
      <c r="AA536" s="97"/>
      <c r="AB536" s="97"/>
      <c r="AC536" s="97"/>
      <c r="AD536" s="97"/>
      <c r="AE536" s="97"/>
    </row>
    <row r="537" spans="2:31" x14ac:dyDescent="0.45">
      <c r="B537" s="97"/>
      <c r="C537" s="97"/>
      <c r="D537" s="97"/>
      <c r="E537" s="97"/>
      <c r="R537" s="97"/>
      <c r="S537" s="97"/>
      <c r="T537" s="97"/>
      <c r="U537" s="97"/>
      <c r="V537" s="97"/>
      <c r="W537" s="97"/>
      <c r="X537" s="97"/>
      <c r="Y537" s="97"/>
      <c r="Z537" s="97"/>
      <c r="AA537" s="97"/>
      <c r="AB537" s="97"/>
      <c r="AC537" s="97"/>
      <c r="AD537" s="97"/>
      <c r="AE537" s="97"/>
    </row>
    <row r="538" spans="2:31" x14ac:dyDescent="0.45">
      <c r="B538" s="97"/>
      <c r="C538" s="97"/>
      <c r="D538" s="97"/>
      <c r="E538" s="97"/>
      <c r="R538" s="97"/>
      <c r="S538" s="97"/>
      <c r="T538" s="97"/>
      <c r="U538" s="97"/>
      <c r="V538" s="97"/>
      <c r="W538" s="97"/>
      <c r="X538" s="97"/>
      <c r="Y538" s="97"/>
      <c r="Z538" s="97"/>
      <c r="AA538" s="97"/>
      <c r="AB538" s="97"/>
      <c r="AC538" s="97"/>
      <c r="AD538" s="97"/>
      <c r="AE538" s="97"/>
    </row>
    <row r="539" spans="2:31" x14ac:dyDescent="0.45">
      <c r="B539" s="97"/>
      <c r="C539" s="97"/>
      <c r="D539" s="97"/>
      <c r="E539" s="97"/>
      <c r="R539" s="97"/>
      <c r="S539" s="97"/>
      <c r="T539" s="97"/>
      <c r="U539" s="97"/>
      <c r="V539" s="97"/>
      <c r="W539" s="97"/>
      <c r="X539" s="97"/>
      <c r="Y539" s="97"/>
      <c r="Z539" s="97"/>
      <c r="AA539" s="97"/>
      <c r="AB539" s="97"/>
      <c r="AC539" s="97"/>
      <c r="AD539" s="97"/>
      <c r="AE539" s="97"/>
    </row>
    <row r="540" spans="2:31" x14ac:dyDescent="0.45">
      <c r="B540" s="97"/>
      <c r="C540" s="97"/>
      <c r="D540" s="97"/>
      <c r="E540" s="97"/>
      <c r="R540" s="97"/>
      <c r="S540" s="97"/>
      <c r="T540" s="97"/>
      <c r="U540" s="97"/>
      <c r="V540" s="97"/>
      <c r="W540" s="97"/>
      <c r="X540" s="97"/>
      <c r="Y540" s="97"/>
      <c r="Z540" s="97"/>
      <c r="AA540" s="97"/>
      <c r="AB540" s="97"/>
      <c r="AC540" s="97"/>
      <c r="AD540" s="97"/>
      <c r="AE540" s="97"/>
    </row>
    <row r="541" spans="2:31" x14ac:dyDescent="0.45">
      <c r="B541" s="97"/>
      <c r="C541" s="97"/>
      <c r="D541" s="97"/>
      <c r="E541" s="97"/>
      <c r="R541" s="97"/>
      <c r="S541" s="97"/>
      <c r="T541" s="97"/>
      <c r="U541" s="97"/>
      <c r="V541" s="97"/>
      <c r="W541" s="97"/>
      <c r="X541" s="97"/>
      <c r="Y541" s="97"/>
      <c r="Z541" s="97"/>
      <c r="AA541" s="97"/>
      <c r="AB541" s="97"/>
      <c r="AC541" s="97"/>
      <c r="AD541" s="97"/>
      <c r="AE541" s="97"/>
    </row>
    <row r="542" spans="2:31" x14ac:dyDescent="0.45">
      <c r="B542" s="97"/>
      <c r="C542" s="97"/>
      <c r="D542" s="97"/>
      <c r="E542" s="97"/>
      <c r="R542" s="97"/>
      <c r="S542" s="97"/>
      <c r="T542" s="97"/>
      <c r="U542" s="97"/>
      <c r="V542" s="97"/>
      <c r="W542" s="97"/>
      <c r="X542" s="97"/>
      <c r="Y542" s="97"/>
      <c r="Z542" s="97"/>
      <c r="AA542" s="97"/>
      <c r="AB542" s="97"/>
      <c r="AC542" s="97"/>
      <c r="AD542" s="97"/>
      <c r="AE542" s="97"/>
    </row>
    <row r="543" spans="2:31" x14ac:dyDescent="0.45">
      <c r="B543" s="97"/>
      <c r="C543" s="97"/>
      <c r="D543" s="97"/>
      <c r="E543" s="97"/>
      <c r="R543" s="97"/>
      <c r="S543" s="97"/>
      <c r="T543" s="97"/>
      <c r="U543" s="97"/>
      <c r="V543" s="97"/>
      <c r="W543" s="97"/>
      <c r="X543" s="97"/>
      <c r="Y543" s="97"/>
      <c r="Z543" s="97"/>
      <c r="AA543" s="97"/>
      <c r="AB543" s="97"/>
      <c r="AC543" s="97"/>
      <c r="AD543" s="97"/>
      <c r="AE543" s="97"/>
    </row>
    <row r="544" spans="2:31" x14ac:dyDescent="0.45">
      <c r="B544" s="97"/>
      <c r="C544" s="97"/>
      <c r="D544" s="97"/>
      <c r="E544" s="97"/>
      <c r="R544" s="97"/>
      <c r="S544" s="97"/>
      <c r="T544" s="97"/>
      <c r="U544" s="97"/>
      <c r="V544" s="97"/>
      <c r="W544" s="97"/>
      <c r="X544" s="97"/>
      <c r="Y544" s="97"/>
      <c r="Z544" s="97"/>
      <c r="AA544" s="97"/>
      <c r="AB544" s="97"/>
      <c r="AC544" s="97"/>
      <c r="AD544" s="97"/>
      <c r="AE544" s="97"/>
    </row>
    <row r="545" spans="2:31" x14ac:dyDescent="0.45">
      <c r="B545" s="97"/>
      <c r="C545" s="97"/>
      <c r="D545" s="97"/>
      <c r="E545" s="97"/>
      <c r="R545" s="97"/>
      <c r="S545" s="97"/>
      <c r="T545" s="97"/>
      <c r="U545" s="97"/>
      <c r="V545" s="97"/>
      <c r="W545" s="97"/>
      <c r="X545" s="97"/>
      <c r="Y545" s="97"/>
      <c r="Z545" s="97"/>
      <c r="AA545" s="97"/>
      <c r="AB545" s="97"/>
      <c r="AC545" s="97"/>
      <c r="AD545" s="97"/>
      <c r="AE545" s="97"/>
    </row>
    <row r="546" spans="2:31" x14ac:dyDescent="0.45">
      <c r="B546" s="97"/>
      <c r="C546" s="97"/>
      <c r="D546" s="97"/>
      <c r="E546" s="97"/>
      <c r="R546" s="97"/>
      <c r="S546" s="97"/>
      <c r="T546" s="97"/>
      <c r="U546" s="97"/>
      <c r="V546" s="97"/>
      <c r="W546" s="97"/>
      <c r="X546" s="97"/>
      <c r="Y546" s="97"/>
      <c r="Z546" s="97"/>
      <c r="AA546" s="97"/>
      <c r="AB546" s="97"/>
      <c r="AC546" s="97"/>
      <c r="AD546" s="97"/>
      <c r="AE546" s="97"/>
    </row>
    <row r="547" spans="2:31" x14ac:dyDescent="0.45">
      <c r="B547" s="97"/>
      <c r="C547" s="97"/>
      <c r="D547" s="97"/>
      <c r="E547" s="97"/>
      <c r="R547" s="97"/>
      <c r="S547" s="97"/>
      <c r="T547" s="97"/>
      <c r="U547" s="97"/>
      <c r="V547" s="97"/>
      <c r="W547" s="97"/>
      <c r="X547" s="97"/>
      <c r="Y547" s="97"/>
      <c r="Z547" s="97"/>
      <c r="AA547" s="97"/>
      <c r="AB547" s="97"/>
      <c r="AC547" s="97"/>
      <c r="AD547" s="97"/>
      <c r="AE547" s="97"/>
    </row>
    <row r="548" spans="2:31" x14ac:dyDescent="0.45">
      <c r="B548" s="97"/>
      <c r="C548" s="97"/>
      <c r="D548" s="97"/>
      <c r="E548" s="97"/>
      <c r="R548" s="97"/>
      <c r="S548" s="97"/>
      <c r="T548" s="97"/>
      <c r="U548" s="97"/>
      <c r="V548" s="97"/>
      <c r="W548" s="97"/>
      <c r="X548" s="97"/>
      <c r="Y548" s="97"/>
      <c r="Z548" s="97"/>
      <c r="AA548" s="97"/>
      <c r="AB548" s="97"/>
      <c r="AC548" s="97"/>
      <c r="AD548" s="97"/>
      <c r="AE548" s="97"/>
    </row>
    <row r="549" spans="2:31" x14ac:dyDescent="0.45">
      <c r="B549" s="97"/>
      <c r="C549" s="97"/>
      <c r="D549" s="97"/>
      <c r="E549" s="97"/>
      <c r="R549" s="97"/>
      <c r="S549" s="97"/>
      <c r="T549" s="97"/>
      <c r="U549" s="97"/>
      <c r="V549" s="97"/>
      <c r="W549" s="97"/>
      <c r="X549" s="97"/>
      <c r="Y549" s="97"/>
      <c r="Z549" s="97"/>
      <c r="AA549" s="97"/>
      <c r="AB549" s="97"/>
      <c r="AC549" s="97"/>
      <c r="AD549" s="97"/>
      <c r="AE549" s="97"/>
    </row>
    <row r="550" spans="2:31" x14ac:dyDescent="0.45">
      <c r="B550" s="97"/>
      <c r="C550" s="97"/>
      <c r="D550" s="97"/>
      <c r="E550" s="97"/>
      <c r="R550" s="97"/>
      <c r="S550" s="97"/>
      <c r="T550" s="97"/>
      <c r="U550" s="97"/>
      <c r="V550" s="97"/>
      <c r="W550" s="97"/>
      <c r="X550" s="97"/>
      <c r="Y550" s="97"/>
      <c r="Z550" s="97"/>
      <c r="AA550" s="97"/>
      <c r="AB550" s="97"/>
      <c r="AC550" s="97"/>
      <c r="AD550" s="97"/>
      <c r="AE550" s="97"/>
    </row>
    <row r="551" spans="2:31" x14ac:dyDescent="0.45">
      <c r="B551" s="97"/>
      <c r="C551" s="97"/>
      <c r="D551" s="97"/>
      <c r="E551" s="97"/>
      <c r="R551" s="97"/>
      <c r="S551" s="97"/>
      <c r="T551" s="97"/>
      <c r="U551" s="97"/>
      <c r="V551" s="97"/>
      <c r="W551" s="97"/>
      <c r="X551" s="97"/>
      <c r="Y551" s="97"/>
      <c r="Z551" s="97"/>
      <c r="AA551" s="97"/>
      <c r="AB551" s="97"/>
      <c r="AC551" s="97"/>
      <c r="AD551" s="97"/>
      <c r="AE551" s="97"/>
    </row>
    <row r="552" spans="2:31" x14ac:dyDescent="0.45">
      <c r="B552" s="97"/>
      <c r="C552" s="97"/>
      <c r="D552" s="97"/>
      <c r="E552" s="97"/>
      <c r="R552" s="97"/>
      <c r="S552" s="97"/>
      <c r="T552" s="97"/>
      <c r="U552" s="97"/>
      <c r="V552" s="97"/>
      <c r="W552" s="97"/>
      <c r="X552" s="97"/>
      <c r="Y552" s="97"/>
      <c r="Z552" s="97"/>
      <c r="AA552" s="97"/>
      <c r="AB552" s="97"/>
      <c r="AC552" s="97"/>
      <c r="AD552" s="97"/>
      <c r="AE552" s="97"/>
    </row>
    <row r="553" spans="2:31" x14ac:dyDescent="0.45">
      <c r="B553" s="97"/>
      <c r="C553" s="97"/>
      <c r="D553" s="97"/>
      <c r="E553" s="97"/>
      <c r="R553" s="97"/>
      <c r="S553" s="97"/>
      <c r="T553" s="97"/>
      <c r="U553" s="97"/>
      <c r="V553" s="97"/>
      <c r="W553" s="97"/>
      <c r="X553" s="97"/>
      <c r="Y553" s="97"/>
      <c r="Z553" s="97"/>
      <c r="AA553" s="97"/>
      <c r="AB553" s="97"/>
      <c r="AC553" s="97"/>
      <c r="AD553" s="97"/>
      <c r="AE553" s="97"/>
    </row>
    <row r="554" spans="2:31" x14ac:dyDescent="0.45">
      <c r="B554" s="97"/>
      <c r="C554" s="97"/>
      <c r="D554" s="97"/>
      <c r="E554" s="97"/>
      <c r="R554" s="97"/>
      <c r="S554" s="97"/>
      <c r="T554" s="97"/>
      <c r="U554" s="97"/>
      <c r="V554" s="97"/>
      <c r="W554" s="97"/>
      <c r="X554" s="97"/>
      <c r="Y554" s="97"/>
      <c r="Z554" s="97"/>
      <c r="AA554" s="97"/>
      <c r="AB554" s="97"/>
      <c r="AC554" s="97"/>
      <c r="AD554" s="97"/>
      <c r="AE554" s="97"/>
    </row>
    <row r="555" spans="2:31" x14ac:dyDescent="0.45">
      <c r="B555" s="97"/>
      <c r="C555" s="97"/>
      <c r="D555" s="97"/>
      <c r="E555" s="97"/>
      <c r="R555" s="97"/>
      <c r="S555" s="97"/>
      <c r="T555" s="97"/>
      <c r="U555" s="97"/>
      <c r="V555" s="97"/>
      <c r="W555" s="97"/>
      <c r="X555" s="97"/>
      <c r="Y555" s="97"/>
      <c r="Z555" s="97"/>
      <c r="AA555" s="97"/>
      <c r="AB555" s="97"/>
      <c r="AC555" s="97"/>
      <c r="AD555" s="97"/>
      <c r="AE555" s="97"/>
    </row>
    <row r="556" spans="2:31" x14ac:dyDescent="0.45">
      <c r="B556" s="97"/>
      <c r="C556" s="97"/>
      <c r="D556" s="97"/>
      <c r="E556" s="97"/>
      <c r="R556" s="97"/>
      <c r="S556" s="97"/>
      <c r="T556" s="97"/>
      <c r="U556" s="97"/>
      <c r="V556" s="97"/>
      <c r="W556" s="97"/>
      <c r="X556" s="97"/>
      <c r="Y556" s="97"/>
      <c r="Z556" s="97"/>
      <c r="AA556" s="97"/>
      <c r="AB556" s="97"/>
      <c r="AC556" s="97"/>
      <c r="AD556" s="97"/>
      <c r="AE556" s="97"/>
    </row>
    <row r="557" spans="2:31" x14ac:dyDescent="0.45">
      <c r="B557" s="97"/>
      <c r="C557" s="97"/>
      <c r="D557" s="97"/>
      <c r="E557" s="97"/>
      <c r="R557" s="97"/>
      <c r="S557" s="97"/>
      <c r="T557" s="97"/>
      <c r="U557" s="97"/>
      <c r="V557" s="97"/>
      <c r="W557" s="97"/>
      <c r="X557" s="97"/>
      <c r="Y557" s="97"/>
      <c r="Z557" s="97"/>
      <c r="AA557" s="97"/>
      <c r="AB557" s="97"/>
      <c r="AC557" s="97"/>
      <c r="AD557" s="97"/>
      <c r="AE557" s="97"/>
    </row>
    <row r="558" spans="2:31" x14ac:dyDescent="0.45">
      <c r="B558" s="97"/>
      <c r="C558" s="97"/>
      <c r="D558" s="97"/>
      <c r="E558" s="97"/>
      <c r="R558" s="97"/>
      <c r="S558" s="97"/>
      <c r="T558" s="97"/>
      <c r="U558" s="97"/>
      <c r="V558" s="97"/>
      <c r="W558" s="97"/>
      <c r="X558" s="97"/>
      <c r="Y558" s="97"/>
      <c r="Z558" s="97"/>
      <c r="AA558" s="97"/>
      <c r="AB558" s="97"/>
      <c r="AC558" s="97"/>
      <c r="AD558" s="97"/>
      <c r="AE558" s="97"/>
    </row>
    <row r="559" spans="2:31" x14ac:dyDescent="0.45">
      <c r="B559" s="97"/>
      <c r="C559" s="97"/>
      <c r="D559" s="97"/>
      <c r="E559" s="97"/>
      <c r="R559" s="97"/>
      <c r="S559" s="97"/>
      <c r="T559" s="97"/>
      <c r="U559" s="97"/>
      <c r="V559" s="97"/>
      <c r="W559" s="97"/>
      <c r="X559" s="97"/>
      <c r="Y559" s="97"/>
      <c r="Z559" s="97"/>
      <c r="AA559" s="97"/>
      <c r="AB559" s="97"/>
      <c r="AC559" s="97"/>
      <c r="AD559" s="97"/>
      <c r="AE559" s="97"/>
    </row>
    <row r="560" spans="2:31" x14ac:dyDescent="0.45">
      <c r="B560" s="97"/>
      <c r="C560" s="97"/>
      <c r="D560" s="97"/>
      <c r="E560" s="97"/>
      <c r="R560" s="97"/>
      <c r="S560" s="97"/>
      <c r="T560" s="97"/>
      <c r="U560" s="97"/>
      <c r="V560" s="97"/>
      <c r="W560" s="97"/>
      <c r="X560" s="97"/>
      <c r="Y560" s="97"/>
      <c r="Z560" s="97"/>
      <c r="AA560" s="97"/>
      <c r="AB560" s="97"/>
      <c r="AC560" s="97"/>
      <c r="AD560" s="97"/>
      <c r="AE560" s="97"/>
    </row>
    <row r="561" spans="2:31" x14ac:dyDescent="0.45">
      <c r="B561" s="97"/>
      <c r="C561" s="97"/>
      <c r="D561" s="97"/>
      <c r="E561" s="97"/>
      <c r="R561" s="97"/>
      <c r="S561" s="97"/>
      <c r="T561" s="97"/>
      <c r="U561" s="97"/>
      <c r="V561" s="97"/>
      <c r="W561" s="97"/>
      <c r="X561" s="97"/>
      <c r="Y561" s="97"/>
      <c r="Z561" s="97"/>
      <c r="AA561" s="97"/>
      <c r="AB561" s="97"/>
      <c r="AC561" s="97"/>
      <c r="AD561" s="97"/>
      <c r="AE561" s="97"/>
    </row>
    <row r="562" spans="2:31" x14ac:dyDescent="0.45">
      <c r="B562" s="97"/>
      <c r="C562" s="97"/>
      <c r="D562" s="97"/>
      <c r="E562" s="97"/>
      <c r="R562" s="97"/>
      <c r="S562" s="97"/>
      <c r="T562" s="97"/>
      <c r="U562" s="97"/>
      <c r="V562" s="97"/>
      <c r="W562" s="97"/>
      <c r="X562" s="97"/>
      <c r="Y562" s="97"/>
      <c r="Z562" s="97"/>
      <c r="AA562" s="97"/>
      <c r="AB562" s="97"/>
      <c r="AC562" s="97"/>
      <c r="AD562" s="97"/>
      <c r="AE562" s="97"/>
    </row>
    <row r="563" spans="2:31" x14ac:dyDescent="0.45">
      <c r="B563" s="97"/>
      <c r="C563" s="97"/>
      <c r="D563" s="97"/>
      <c r="E563" s="97"/>
      <c r="R563" s="97"/>
      <c r="S563" s="97"/>
      <c r="T563" s="97"/>
      <c r="U563" s="97"/>
      <c r="V563" s="97"/>
      <c r="W563" s="97"/>
      <c r="X563" s="97"/>
      <c r="Y563" s="97"/>
      <c r="Z563" s="97"/>
      <c r="AA563" s="97"/>
      <c r="AB563" s="97"/>
      <c r="AC563" s="97"/>
      <c r="AD563" s="97"/>
      <c r="AE563" s="97"/>
    </row>
    <row r="564" spans="2:31" x14ac:dyDescent="0.45">
      <c r="B564" s="97"/>
      <c r="C564" s="97"/>
      <c r="D564" s="97"/>
      <c r="E564" s="97"/>
      <c r="R564" s="97"/>
      <c r="S564" s="97"/>
      <c r="T564" s="97"/>
      <c r="U564" s="97"/>
      <c r="V564" s="97"/>
      <c r="W564" s="97"/>
      <c r="X564" s="97"/>
      <c r="Y564" s="97"/>
      <c r="Z564" s="97"/>
      <c r="AA564" s="97"/>
      <c r="AB564" s="97"/>
      <c r="AC564" s="97"/>
      <c r="AD564" s="97"/>
      <c r="AE564" s="97"/>
    </row>
    <row r="565" spans="2:31" x14ac:dyDescent="0.45">
      <c r="B565" s="97"/>
      <c r="C565" s="97"/>
      <c r="D565" s="97"/>
      <c r="E565" s="97"/>
      <c r="R565" s="97"/>
      <c r="S565" s="97"/>
      <c r="T565" s="97"/>
      <c r="U565" s="97"/>
      <c r="V565" s="97"/>
      <c r="W565" s="97"/>
      <c r="X565" s="97"/>
      <c r="Y565" s="97"/>
      <c r="Z565" s="97"/>
      <c r="AA565" s="97"/>
      <c r="AB565" s="97"/>
      <c r="AC565" s="97"/>
      <c r="AD565" s="97"/>
      <c r="AE565" s="97"/>
    </row>
    <row r="566" spans="2:31" x14ac:dyDescent="0.45">
      <c r="B566" s="97"/>
      <c r="C566" s="97"/>
      <c r="D566" s="97"/>
      <c r="E566" s="97"/>
      <c r="R566" s="97"/>
      <c r="S566" s="97"/>
      <c r="T566" s="97"/>
      <c r="U566" s="97"/>
      <c r="V566" s="97"/>
      <c r="W566" s="97"/>
      <c r="X566" s="97"/>
      <c r="Y566" s="97"/>
      <c r="Z566" s="97"/>
      <c r="AA566" s="97"/>
      <c r="AB566" s="97"/>
      <c r="AC566" s="97"/>
      <c r="AD566" s="97"/>
      <c r="AE566" s="97"/>
    </row>
    <row r="567" spans="2:31" x14ac:dyDescent="0.45">
      <c r="B567" s="97"/>
      <c r="C567" s="97"/>
      <c r="D567" s="97"/>
      <c r="E567" s="97"/>
      <c r="R567" s="97"/>
      <c r="S567" s="97"/>
      <c r="T567" s="97"/>
      <c r="U567" s="97"/>
      <c r="V567" s="97"/>
      <c r="W567" s="97"/>
      <c r="X567" s="97"/>
      <c r="Y567" s="97"/>
      <c r="Z567" s="97"/>
      <c r="AA567" s="97"/>
      <c r="AB567" s="97"/>
      <c r="AC567" s="97"/>
      <c r="AD567" s="97"/>
      <c r="AE567" s="97"/>
    </row>
    <row r="568" spans="2:31" x14ac:dyDescent="0.45">
      <c r="B568" s="97"/>
      <c r="C568" s="97"/>
      <c r="D568" s="97"/>
      <c r="E568" s="97"/>
      <c r="R568" s="97"/>
      <c r="S568" s="97"/>
      <c r="T568" s="97"/>
      <c r="U568" s="97"/>
      <c r="V568" s="97"/>
      <c r="W568" s="97"/>
      <c r="X568" s="97"/>
      <c r="Y568" s="97"/>
      <c r="Z568" s="97"/>
      <c r="AA568" s="97"/>
      <c r="AB568" s="97"/>
      <c r="AC568" s="97"/>
      <c r="AD568" s="97"/>
      <c r="AE568" s="97"/>
    </row>
    <row r="569" spans="2:31" x14ac:dyDescent="0.45">
      <c r="B569" s="97"/>
      <c r="C569" s="97"/>
      <c r="D569" s="97"/>
      <c r="E569" s="97"/>
      <c r="R569" s="97"/>
      <c r="S569" s="97"/>
      <c r="T569" s="97"/>
      <c r="U569" s="97"/>
      <c r="V569" s="97"/>
      <c r="W569" s="97"/>
      <c r="X569" s="97"/>
      <c r="Y569" s="97"/>
      <c r="Z569" s="97"/>
      <c r="AA569" s="97"/>
      <c r="AB569" s="97"/>
      <c r="AC569" s="97"/>
      <c r="AD569" s="97"/>
      <c r="AE569" s="97"/>
    </row>
    <row r="570" spans="2:31" x14ac:dyDescent="0.45">
      <c r="B570" s="97"/>
      <c r="C570" s="97"/>
      <c r="D570" s="97"/>
      <c r="E570" s="97"/>
      <c r="R570" s="97"/>
      <c r="S570" s="97"/>
      <c r="T570" s="97"/>
      <c r="U570" s="97"/>
      <c r="V570" s="97"/>
      <c r="W570" s="97"/>
      <c r="X570" s="97"/>
      <c r="Y570" s="97"/>
      <c r="Z570" s="97"/>
      <c r="AA570" s="97"/>
      <c r="AB570" s="97"/>
      <c r="AC570" s="97"/>
      <c r="AD570" s="97"/>
      <c r="AE570" s="97"/>
    </row>
    <row r="571" spans="2:31" x14ac:dyDescent="0.45">
      <c r="B571" s="97"/>
      <c r="C571" s="97"/>
      <c r="D571" s="97"/>
      <c r="E571" s="97"/>
      <c r="R571" s="97"/>
      <c r="S571" s="97"/>
      <c r="T571" s="97"/>
      <c r="U571" s="97"/>
      <c r="V571" s="97"/>
      <c r="W571" s="97"/>
      <c r="X571" s="97"/>
      <c r="Y571" s="97"/>
      <c r="Z571" s="97"/>
      <c r="AA571" s="97"/>
      <c r="AB571" s="97"/>
      <c r="AC571" s="97"/>
      <c r="AD571" s="97"/>
      <c r="AE571" s="97"/>
    </row>
    <row r="572" spans="2:31" x14ac:dyDescent="0.45">
      <c r="B572" s="97"/>
      <c r="C572" s="97"/>
      <c r="D572" s="97"/>
      <c r="E572" s="97"/>
      <c r="R572" s="97"/>
      <c r="S572" s="97"/>
      <c r="T572" s="97"/>
      <c r="U572" s="97"/>
      <c r="V572" s="97"/>
      <c r="W572" s="97"/>
      <c r="X572" s="97"/>
      <c r="Y572" s="97"/>
      <c r="Z572" s="97"/>
      <c r="AA572" s="97"/>
      <c r="AB572" s="97"/>
      <c r="AC572" s="97"/>
      <c r="AD572" s="97"/>
      <c r="AE572" s="97"/>
    </row>
    <row r="573" spans="2:31" x14ac:dyDescent="0.45">
      <c r="B573" s="97"/>
      <c r="C573" s="97"/>
      <c r="D573" s="97"/>
      <c r="E573" s="97"/>
      <c r="R573" s="97"/>
      <c r="S573" s="97"/>
      <c r="T573" s="97"/>
      <c r="U573" s="97"/>
      <c r="V573" s="97"/>
      <c r="W573" s="97"/>
      <c r="X573" s="97"/>
      <c r="Y573" s="97"/>
      <c r="Z573" s="97"/>
      <c r="AA573" s="97"/>
      <c r="AB573" s="97"/>
      <c r="AC573" s="97"/>
      <c r="AD573" s="97"/>
      <c r="AE573" s="97"/>
    </row>
    <row r="574" spans="2:31" x14ac:dyDescent="0.45">
      <c r="B574" s="97"/>
      <c r="C574" s="97"/>
      <c r="D574" s="97"/>
      <c r="E574" s="97"/>
      <c r="R574" s="97"/>
      <c r="S574" s="97"/>
      <c r="T574" s="97"/>
      <c r="U574" s="97"/>
      <c r="V574" s="97"/>
      <c r="W574" s="97"/>
      <c r="X574" s="97"/>
      <c r="Y574" s="97"/>
      <c r="Z574" s="97"/>
      <c r="AA574" s="97"/>
      <c r="AB574" s="97"/>
      <c r="AC574" s="97"/>
      <c r="AD574" s="97"/>
      <c r="AE574" s="97"/>
    </row>
    <row r="575" spans="2:31" x14ac:dyDescent="0.45">
      <c r="B575" s="97"/>
      <c r="C575" s="97"/>
      <c r="D575" s="97"/>
      <c r="E575" s="97"/>
      <c r="R575" s="97"/>
      <c r="S575" s="97"/>
      <c r="T575" s="97"/>
      <c r="U575" s="97"/>
      <c r="V575" s="97"/>
      <c r="W575" s="97"/>
      <c r="X575" s="97"/>
      <c r="Y575" s="97"/>
      <c r="Z575" s="97"/>
      <c r="AA575" s="97"/>
      <c r="AB575" s="97"/>
      <c r="AC575" s="97"/>
      <c r="AD575" s="97"/>
      <c r="AE575" s="97"/>
    </row>
    <row r="576" spans="2:31" x14ac:dyDescent="0.45">
      <c r="B576" s="97"/>
      <c r="C576" s="97"/>
      <c r="D576" s="97"/>
      <c r="E576" s="97"/>
      <c r="R576" s="97"/>
      <c r="S576" s="97"/>
      <c r="T576" s="97"/>
      <c r="U576" s="97"/>
      <c r="V576" s="97"/>
      <c r="W576" s="97"/>
      <c r="X576" s="97"/>
      <c r="Y576" s="97"/>
      <c r="Z576" s="97"/>
      <c r="AA576" s="97"/>
      <c r="AB576" s="97"/>
      <c r="AC576" s="97"/>
      <c r="AD576" s="97"/>
      <c r="AE576" s="97"/>
    </row>
    <row r="577" spans="2:31" x14ac:dyDescent="0.45">
      <c r="B577" s="97"/>
      <c r="C577" s="97"/>
      <c r="D577" s="97"/>
      <c r="E577" s="97"/>
      <c r="R577" s="97"/>
      <c r="S577" s="97"/>
      <c r="T577" s="97"/>
      <c r="U577" s="97"/>
      <c r="V577" s="97"/>
      <c r="W577" s="97"/>
      <c r="X577" s="97"/>
      <c r="Y577" s="97"/>
      <c r="Z577" s="97"/>
      <c r="AA577" s="97"/>
      <c r="AB577" s="97"/>
      <c r="AC577" s="97"/>
      <c r="AD577" s="97"/>
      <c r="AE577" s="97"/>
    </row>
    <row r="578" spans="2:31" x14ac:dyDescent="0.45">
      <c r="B578" s="97"/>
      <c r="C578" s="97"/>
      <c r="D578" s="97"/>
      <c r="E578" s="97"/>
      <c r="R578" s="97"/>
      <c r="S578" s="97"/>
      <c r="T578" s="97"/>
      <c r="U578" s="97"/>
      <c r="V578" s="97"/>
      <c r="W578" s="97"/>
      <c r="X578" s="97"/>
      <c r="Y578" s="97"/>
      <c r="Z578" s="97"/>
      <c r="AA578" s="97"/>
      <c r="AB578" s="97"/>
      <c r="AC578" s="97"/>
      <c r="AD578" s="97"/>
      <c r="AE578" s="97"/>
    </row>
    <row r="579" spans="2:31" x14ac:dyDescent="0.45">
      <c r="B579" s="97"/>
      <c r="C579" s="97"/>
      <c r="D579" s="97"/>
      <c r="E579" s="97"/>
      <c r="R579" s="97"/>
      <c r="S579" s="97"/>
      <c r="T579" s="97"/>
      <c r="U579" s="97"/>
      <c r="V579" s="97"/>
      <c r="W579" s="97"/>
      <c r="X579" s="97"/>
      <c r="Y579" s="97"/>
      <c r="Z579" s="97"/>
      <c r="AA579" s="97"/>
      <c r="AB579" s="97"/>
      <c r="AC579" s="97"/>
      <c r="AD579" s="97"/>
      <c r="AE579" s="97"/>
    </row>
    <row r="580" spans="2:31" x14ac:dyDescent="0.45">
      <c r="B580" s="97"/>
      <c r="C580" s="97"/>
      <c r="D580" s="97"/>
      <c r="E580" s="97"/>
      <c r="R580" s="97"/>
      <c r="S580" s="97"/>
      <c r="T580" s="97"/>
      <c r="U580" s="97"/>
      <c r="V580" s="97"/>
      <c r="W580" s="97"/>
      <c r="X580" s="97"/>
      <c r="Y580" s="97"/>
      <c r="Z580" s="97"/>
      <c r="AA580" s="97"/>
      <c r="AB580" s="97"/>
      <c r="AC580" s="97"/>
      <c r="AD580" s="97"/>
      <c r="AE580" s="97"/>
    </row>
    <row r="581" spans="2:31" x14ac:dyDescent="0.45">
      <c r="B581" s="97"/>
      <c r="C581" s="97"/>
      <c r="D581" s="97"/>
      <c r="E581" s="97"/>
      <c r="R581" s="97"/>
      <c r="S581" s="97"/>
      <c r="T581" s="97"/>
      <c r="U581" s="97"/>
      <c r="V581" s="97"/>
      <c r="W581" s="97"/>
      <c r="X581" s="97"/>
      <c r="Y581" s="97"/>
      <c r="Z581" s="97"/>
      <c r="AA581" s="97"/>
      <c r="AB581" s="97"/>
      <c r="AC581" s="97"/>
      <c r="AD581" s="97"/>
      <c r="AE581" s="97"/>
    </row>
    <row r="582" spans="2:31" x14ac:dyDescent="0.45">
      <c r="B582" s="97"/>
      <c r="C582" s="97"/>
      <c r="D582" s="97"/>
      <c r="E582" s="97"/>
      <c r="R582" s="97"/>
      <c r="S582" s="97"/>
      <c r="T582" s="97"/>
      <c r="U582" s="97"/>
      <c r="V582" s="97"/>
      <c r="W582" s="97"/>
      <c r="X582" s="97"/>
      <c r="Y582" s="97"/>
      <c r="Z582" s="97"/>
      <c r="AA582" s="97"/>
      <c r="AB582" s="97"/>
      <c r="AC582" s="97"/>
      <c r="AD582" s="97"/>
      <c r="AE582" s="97"/>
    </row>
    <row r="583" spans="2:31" x14ac:dyDescent="0.45">
      <c r="B583" s="97"/>
      <c r="C583" s="97"/>
      <c r="D583" s="97"/>
      <c r="E583" s="97"/>
      <c r="R583" s="97"/>
      <c r="S583" s="97"/>
      <c r="T583" s="97"/>
      <c r="U583" s="97"/>
      <c r="V583" s="97"/>
      <c r="W583" s="97"/>
      <c r="X583" s="97"/>
      <c r="Y583" s="97"/>
      <c r="Z583" s="97"/>
      <c r="AA583" s="97"/>
      <c r="AB583" s="97"/>
      <c r="AC583" s="97"/>
      <c r="AD583" s="97"/>
      <c r="AE583" s="97"/>
    </row>
    <row r="584" spans="2:31" x14ac:dyDescent="0.45">
      <c r="B584" s="97"/>
      <c r="C584" s="97"/>
      <c r="D584" s="97"/>
      <c r="E584" s="97"/>
      <c r="R584" s="97"/>
      <c r="S584" s="97"/>
      <c r="T584" s="97"/>
      <c r="U584" s="97"/>
      <c r="V584" s="97"/>
      <c r="W584" s="97"/>
      <c r="X584" s="97"/>
      <c r="Y584" s="97"/>
      <c r="Z584" s="97"/>
      <c r="AA584" s="97"/>
      <c r="AB584" s="97"/>
      <c r="AC584" s="97"/>
      <c r="AD584" s="97"/>
      <c r="AE584" s="97"/>
    </row>
    <row r="585" spans="2:31" x14ac:dyDescent="0.45">
      <c r="B585" s="97"/>
      <c r="C585" s="97"/>
      <c r="D585" s="97"/>
      <c r="E585" s="97"/>
      <c r="R585" s="97"/>
      <c r="S585" s="97"/>
      <c r="T585" s="97"/>
      <c r="U585" s="97"/>
      <c r="V585" s="97"/>
      <c r="W585" s="97"/>
      <c r="X585" s="97"/>
      <c r="Y585" s="97"/>
      <c r="Z585" s="97"/>
      <c r="AA585" s="97"/>
      <c r="AB585" s="97"/>
      <c r="AC585" s="97"/>
      <c r="AD585" s="97"/>
      <c r="AE585" s="97"/>
    </row>
    <row r="586" spans="2:31" x14ac:dyDescent="0.45">
      <c r="B586" s="97"/>
      <c r="C586" s="97"/>
      <c r="D586" s="97"/>
      <c r="E586" s="97"/>
      <c r="R586" s="97"/>
      <c r="S586" s="97"/>
      <c r="T586" s="97"/>
      <c r="U586" s="97"/>
      <c r="V586" s="97"/>
      <c r="W586" s="97"/>
      <c r="X586" s="97"/>
      <c r="Y586" s="97"/>
      <c r="Z586" s="97"/>
      <c r="AA586" s="97"/>
      <c r="AB586" s="97"/>
      <c r="AC586" s="97"/>
      <c r="AD586" s="97"/>
      <c r="AE586" s="97"/>
    </row>
    <row r="587" spans="2:31" x14ac:dyDescent="0.45">
      <c r="B587" s="97"/>
      <c r="C587" s="97"/>
      <c r="D587" s="97"/>
      <c r="E587" s="97"/>
      <c r="R587" s="97"/>
      <c r="S587" s="97"/>
      <c r="T587" s="97"/>
      <c r="U587" s="97"/>
      <c r="V587" s="97"/>
      <c r="W587" s="97"/>
      <c r="X587" s="97"/>
      <c r="Y587" s="97"/>
      <c r="Z587" s="97"/>
      <c r="AA587" s="97"/>
      <c r="AB587" s="97"/>
      <c r="AC587" s="97"/>
      <c r="AD587" s="97"/>
      <c r="AE587" s="97"/>
    </row>
    <row r="588" spans="2:31" x14ac:dyDescent="0.45">
      <c r="B588" s="97"/>
      <c r="C588" s="97"/>
      <c r="D588" s="97"/>
      <c r="E588" s="97"/>
      <c r="R588" s="97"/>
      <c r="S588" s="97"/>
      <c r="T588" s="97"/>
      <c r="U588" s="97"/>
      <c r="V588" s="97"/>
      <c r="W588" s="97"/>
      <c r="X588" s="97"/>
      <c r="Y588" s="97"/>
      <c r="Z588" s="97"/>
      <c r="AA588" s="97"/>
      <c r="AB588" s="97"/>
      <c r="AC588" s="97"/>
      <c r="AD588" s="97"/>
      <c r="AE588" s="97"/>
    </row>
    <row r="589" spans="2:31" x14ac:dyDescent="0.45">
      <c r="B589" s="97"/>
      <c r="C589" s="97"/>
      <c r="D589" s="97"/>
      <c r="E589" s="97"/>
      <c r="R589" s="97"/>
      <c r="S589" s="97"/>
      <c r="T589" s="97"/>
      <c r="U589" s="97"/>
      <c r="V589" s="97"/>
      <c r="W589" s="97"/>
      <c r="X589" s="97"/>
      <c r="Y589" s="97"/>
      <c r="Z589" s="97"/>
      <c r="AA589" s="97"/>
      <c r="AB589" s="97"/>
      <c r="AC589" s="97"/>
      <c r="AD589" s="97"/>
      <c r="AE589" s="97"/>
    </row>
    <row r="590" spans="2:31" x14ac:dyDescent="0.45">
      <c r="B590" s="97"/>
      <c r="C590" s="97"/>
      <c r="D590" s="97"/>
      <c r="E590" s="97"/>
      <c r="R590" s="97"/>
      <c r="S590" s="97"/>
      <c r="T590" s="97"/>
      <c r="U590" s="97"/>
      <c r="V590" s="97"/>
      <c r="W590" s="97"/>
      <c r="X590" s="97"/>
      <c r="Y590" s="97"/>
      <c r="Z590" s="97"/>
      <c r="AA590" s="97"/>
      <c r="AB590" s="97"/>
      <c r="AC590" s="97"/>
      <c r="AD590" s="97"/>
      <c r="AE590" s="97"/>
    </row>
    <row r="591" spans="2:31" x14ac:dyDescent="0.45">
      <c r="B591" s="97"/>
      <c r="C591" s="97"/>
      <c r="D591" s="97"/>
      <c r="E591" s="97"/>
      <c r="R591" s="97"/>
      <c r="S591" s="97"/>
      <c r="T591" s="97"/>
      <c r="U591" s="97"/>
      <c r="V591" s="97"/>
      <c r="W591" s="97"/>
      <c r="X591" s="97"/>
      <c r="Y591" s="97"/>
      <c r="Z591" s="97"/>
      <c r="AA591" s="97"/>
      <c r="AB591" s="97"/>
      <c r="AC591" s="97"/>
      <c r="AD591" s="97"/>
      <c r="AE591" s="97"/>
    </row>
    <row r="592" spans="2:31" x14ac:dyDescent="0.45">
      <c r="B592" s="97"/>
      <c r="C592" s="97"/>
      <c r="D592" s="97"/>
      <c r="E592" s="97"/>
      <c r="R592" s="97"/>
      <c r="S592" s="97"/>
      <c r="T592" s="97"/>
      <c r="U592" s="97"/>
      <c r="V592" s="97"/>
      <c r="W592" s="97"/>
      <c r="X592" s="97"/>
      <c r="Y592" s="97"/>
      <c r="Z592" s="97"/>
      <c r="AA592" s="97"/>
      <c r="AB592" s="97"/>
      <c r="AC592" s="97"/>
      <c r="AD592" s="97"/>
      <c r="AE592" s="97"/>
    </row>
    <row r="593" spans="2:31" x14ac:dyDescent="0.45">
      <c r="B593" s="97"/>
      <c r="C593" s="97"/>
      <c r="D593" s="97"/>
      <c r="E593" s="97"/>
      <c r="R593" s="97"/>
      <c r="S593" s="97"/>
      <c r="T593" s="97"/>
      <c r="U593" s="97"/>
      <c r="V593" s="97"/>
      <c r="W593" s="97"/>
      <c r="X593" s="97"/>
      <c r="Y593" s="97"/>
      <c r="Z593" s="97"/>
      <c r="AA593" s="97"/>
      <c r="AB593" s="97"/>
      <c r="AC593" s="97"/>
      <c r="AD593" s="97"/>
      <c r="AE593" s="97"/>
    </row>
    <row r="594" spans="2:31" x14ac:dyDescent="0.45">
      <c r="B594" s="97"/>
      <c r="C594" s="97"/>
      <c r="D594" s="97"/>
      <c r="E594" s="97"/>
      <c r="R594" s="97"/>
      <c r="S594" s="97"/>
      <c r="T594" s="97"/>
      <c r="U594" s="97"/>
      <c r="V594" s="97"/>
      <c r="W594" s="97"/>
      <c r="X594" s="97"/>
      <c r="Y594" s="97"/>
      <c r="Z594" s="97"/>
      <c r="AA594" s="97"/>
      <c r="AB594" s="97"/>
      <c r="AC594" s="97"/>
      <c r="AD594" s="97"/>
      <c r="AE594" s="97"/>
    </row>
    <row r="595" spans="2:31" x14ac:dyDescent="0.45">
      <c r="B595" s="97"/>
      <c r="C595" s="97"/>
      <c r="D595" s="97"/>
      <c r="E595" s="97"/>
      <c r="R595" s="97"/>
      <c r="S595" s="97"/>
      <c r="T595" s="97"/>
      <c r="U595" s="97"/>
      <c r="V595" s="97"/>
      <c r="W595" s="97"/>
      <c r="X595" s="97"/>
      <c r="Y595" s="97"/>
      <c r="Z595" s="97"/>
      <c r="AA595" s="97"/>
      <c r="AB595" s="97"/>
      <c r="AC595" s="97"/>
      <c r="AD595" s="97"/>
      <c r="AE595" s="97"/>
    </row>
    <row r="596" spans="2:31" x14ac:dyDescent="0.45">
      <c r="B596" s="97"/>
      <c r="C596" s="97"/>
      <c r="D596" s="97"/>
      <c r="E596" s="97"/>
      <c r="R596" s="97"/>
      <c r="S596" s="97"/>
      <c r="T596" s="97"/>
      <c r="U596" s="97"/>
      <c r="V596" s="97"/>
      <c r="W596" s="97"/>
      <c r="X596" s="97"/>
      <c r="Y596" s="97"/>
      <c r="Z596" s="97"/>
      <c r="AA596" s="97"/>
      <c r="AB596" s="97"/>
      <c r="AC596" s="97"/>
      <c r="AD596" s="97"/>
      <c r="AE596" s="97"/>
    </row>
    <row r="597" spans="2:31" x14ac:dyDescent="0.45">
      <c r="B597" s="97"/>
      <c r="C597" s="97"/>
      <c r="D597" s="97"/>
      <c r="E597" s="97"/>
      <c r="R597" s="97"/>
      <c r="S597" s="97"/>
      <c r="T597" s="97"/>
      <c r="U597" s="97"/>
      <c r="V597" s="97"/>
      <c r="W597" s="97"/>
      <c r="X597" s="97"/>
      <c r="Y597" s="97"/>
      <c r="Z597" s="97"/>
      <c r="AA597" s="97"/>
      <c r="AB597" s="97"/>
      <c r="AC597" s="97"/>
      <c r="AD597" s="97"/>
      <c r="AE597" s="97"/>
    </row>
    <row r="598" spans="2:31" x14ac:dyDescent="0.45">
      <c r="B598" s="97"/>
      <c r="C598" s="97"/>
      <c r="D598" s="97"/>
      <c r="E598" s="97"/>
      <c r="R598" s="97"/>
      <c r="S598" s="97"/>
      <c r="T598" s="97"/>
      <c r="U598" s="97"/>
      <c r="V598" s="97"/>
      <c r="W598" s="97"/>
      <c r="X598" s="97"/>
      <c r="Y598" s="97"/>
      <c r="Z598" s="97"/>
      <c r="AA598" s="97"/>
      <c r="AB598" s="97"/>
      <c r="AC598" s="97"/>
      <c r="AD598" s="97"/>
      <c r="AE598" s="97"/>
    </row>
    <row r="599" spans="2:31" x14ac:dyDescent="0.45">
      <c r="B599" s="97"/>
      <c r="C599" s="97"/>
      <c r="D599" s="97"/>
      <c r="E599" s="97"/>
      <c r="R599" s="97"/>
      <c r="S599" s="97"/>
      <c r="T599" s="97"/>
      <c r="U599" s="97"/>
      <c r="V599" s="97"/>
      <c r="W599" s="97"/>
      <c r="X599" s="97"/>
      <c r="Y599" s="97"/>
      <c r="Z599" s="97"/>
      <c r="AA599" s="97"/>
      <c r="AB599" s="97"/>
      <c r="AC599" s="97"/>
      <c r="AD599" s="97"/>
      <c r="AE599" s="97"/>
    </row>
    <row r="600" spans="2:31" x14ac:dyDescent="0.45">
      <c r="B600" s="97"/>
      <c r="C600" s="97"/>
      <c r="D600" s="97"/>
      <c r="E600" s="97"/>
      <c r="R600" s="97"/>
      <c r="S600" s="97"/>
      <c r="T600" s="97"/>
      <c r="U600" s="97"/>
      <c r="V600" s="97"/>
      <c r="W600" s="97"/>
      <c r="X600" s="97"/>
      <c r="Y600" s="97"/>
      <c r="Z600" s="97"/>
      <c r="AA600" s="97"/>
      <c r="AB600" s="97"/>
      <c r="AC600" s="97"/>
      <c r="AD600" s="97"/>
      <c r="AE600" s="97"/>
    </row>
    <row r="601" spans="2:31" x14ac:dyDescent="0.45">
      <c r="B601" s="97"/>
      <c r="C601" s="97"/>
      <c r="D601" s="97"/>
      <c r="E601" s="97"/>
      <c r="R601" s="97"/>
      <c r="S601" s="97"/>
      <c r="T601" s="97"/>
      <c r="U601" s="97"/>
      <c r="V601" s="97"/>
      <c r="W601" s="97"/>
      <c r="X601" s="97"/>
      <c r="Y601" s="97"/>
      <c r="Z601" s="97"/>
      <c r="AA601" s="97"/>
      <c r="AB601" s="97"/>
      <c r="AC601" s="97"/>
      <c r="AD601" s="97"/>
      <c r="AE601" s="97"/>
    </row>
    <row r="602" spans="2:31" x14ac:dyDescent="0.45">
      <c r="B602" s="97"/>
      <c r="C602" s="97"/>
      <c r="D602" s="97"/>
      <c r="E602" s="97"/>
      <c r="R602" s="97"/>
      <c r="S602" s="97"/>
      <c r="T602" s="97"/>
      <c r="U602" s="97"/>
      <c r="V602" s="97"/>
      <c r="W602" s="97"/>
      <c r="X602" s="97"/>
      <c r="Y602" s="97"/>
      <c r="Z602" s="97"/>
      <c r="AA602" s="97"/>
      <c r="AB602" s="97"/>
      <c r="AC602" s="97"/>
      <c r="AD602" s="97"/>
      <c r="AE602" s="97"/>
    </row>
    <row r="603" spans="2:31" x14ac:dyDescent="0.45">
      <c r="B603" s="97"/>
      <c r="C603" s="97"/>
      <c r="D603" s="97"/>
      <c r="E603" s="97"/>
      <c r="R603" s="97"/>
      <c r="S603" s="97"/>
      <c r="T603" s="97"/>
      <c r="U603" s="97"/>
      <c r="V603" s="97"/>
      <c r="W603" s="97"/>
      <c r="X603" s="97"/>
      <c r="Y603" s="97"/>
      <c r="Z603" s="97"/>
      <c r="AA603" s="97"/>
      <c r="AB603" s="97"/>
      <c r="AC603" s="97"/>
      <c r="AD603" s="97"/>
      <c r="AE603" s="97"/>
    </row>
    <row r="604" spans="2:31" x14ac:dyDescent="0.45">
      <c r="B604" s="97"/>
      <c r="C604" s="97"/>
      <c r="D604" s="97"/>
      <c r="E604" s="97"/>
      <c r="R604" s="97"/>
      <c r="S604" s="97"/>
      <c r="T604" s="97"/>
      <c r="U604" s="97"/>
      <c r="V604" s="97"/>
      <c r="W604" s="97"/>
      <c r="X604" s="97"/>
      <c r="Y604" s="97"/>
      <c r="Z604" s="97"/>
      <c r="AA604" s="97"/>
      <c r="AB604" s="97"/>
      <c r="AC604" s="97"/>
      <c r="AD604" s="97"/>
      <c r="AE604" s="97"/>
    </row>
    <row r="605" spans="2:31" x14ac:dyDescent="0.45">
      <c r="B605" s="97"/>
      <c r="C605" s="97"/>
      <c r="D605" s="97"/>
      <c r="E605" s="97"/>
      <c r="R605" s="97"/>
      <c r="S605" s="97"/>
      <c r="T605" s="97"/>
      <c r="U605" s="97"/>
      <c r="V605" s="97"/>
      <c r="W605" s="97"/>
      <c r="X605" s="97"/>
      <c r="Y605" s="97"/>
      <c r="Z605" s="97"/>
      <c r="AA605" s="97"/>
      <c r="AB605" s="97"/>
      <c r="AC605" s="97"/>
      <c r="AD605" s="97"/>
      <c r="AE605" s="97"/>
    </row>
    <row r="606" spans="2:31" x14ac:dyDescent="0.45">
      <c r="B606" s="97"/>
      <c r="C606" s="97"/>
      <c r="D606" s="97"/>
      <c r="E606" s="97"/>
      <c r="R606" s="97"/>
      <c r="S606" s="97"/>
      <c r="T606" s="97"/>
      <c r="U606" s="97"/>
      <c r="V606" s="97"/>
      <c r="W606" s="97"/>
      <c r="X606" s="97"/>
      <c r="Y606" s="97"/>
      <c r="Z606" s="97"/>
      <c r="AA606" s="97"/>
      <c r="AB606" s="97"/>
      <c r="AC606" s="97"/>
      <c r="AD606" s="97"/>
      <c r="AE606" s="97"/>
    </row>
    <row r="607" spans="2:31" x14ac:dyDescent="0.45">
      <c r="B607" s="97"/>
      <c r="C607" s="97"/>
      <c r="D607" s="97"/>
      <c r="E607" s="97"/>
      <c r="R607" s="97"/>
      <c r="S607" s="97"/>
      <c r="T607" s="97"/>
      <c r="U607" s="97"/>
      <c r="V607" s="97"/>
      <c r="W607" s="97"/>
      <c r="X607" s="97"/>
      <c r="Y607" s="97"/>
      <c r="Z607" s="97"/>
      <c r="AA607" s="97"/>
      <c r="AB607" s="97"/>
      <c r="AC607" s="97"/>
      <c r="AD607" s="97"/>
      <c r="AE607" s="97"/>
    </row>
    <row r="608" spans="2:31" x14ac:dyDescent="0.45">
      <c r="B608" s="97"/>
      <c r="C608" s="97"/>
      <c r="D608" s="97"/>
      <c r="E608" s="97"/>
      <c r="R608" s="97"/>
      <c r="S608" s="97"/>
      <c r="T608" s="97"/>
      <c r="U608" s="97"/>
      <c r="V608" s="97"/>
      <c r="W608" s="97"/>
      <c r="X608" s="97"/>
      <c r="Y608" s="97"/>
      <c r="Z608" s="97"/>
      <c r="AA608" s="97"/>
      <c r="AB608" s="97"/>
      <c r="AC608" s="97"/>
      <c r="AD608" s="97"/>
      <c r="AE608" s="97"/>
    </row>
    <row r="609" spans="2:31" x14ac:dyDescent="0.45">
      <c r="B609" s="97"/>
      <c r="C609" s="97"/>
      <c r="D609" s="97"/>
      <c r="E609" s="97"/>
      <c r="R609" s="97"/>
      <c r="S609" s="97"/>
      <c r="T609" s="97"/>
      <c r="U609" s="97"/>
      <c r="V609" s="97"/>
      <c r="W609" s="97"/>
      <c r="X609" s="97"/>
      <c r="Y609" s="97"/>
      <c r="Z609" s="97"/>
      <c r="AA609" s="97"/>
      <c r="AB609" s="97"/>
      <c r="AC609" s="97"/>
      <c r="AD609" s="97"/>
      <c r="AE609" s="97"/>
    </row>
    <row r="610" spans="2:31" x14ac:dyDescent="0.45">
      <c r="B610" s="97"/>
      <c r="C610" s="97"/>
      <c r="D610" s="97"/>
      <c r="E610" s="97"/>
      <c r="R610" s="97"/>
      <c r="S610" s="97"/>
      <c r="T610" s="97"/>
      <c r="U610" s="97"/>
      <c r="V610" s="97"/>
      <c r="W610" s="97"/>
      <c r="X610" s="97"/>
      <c r="Y610" s="97"/>
      <c r="Z610" s="97"/>
      <c r="AA610" s="97"/>
      <c r="AB610" s="97"/>
      <c r="AC610" s="97"/>
      <c r="AD610" s="97"/>
      <c r="AE610" s="97"/>
    </row>
    <row r="611" spans="2:31" x14ac:dyDescent="0.45">
      <c r="B611" s="97"/>
      <c r="C611" s="97"/>
      <c r="D611" s="97"/>
      <c r="E611" s="97"/>
      <c r="R611" s="97"/>
      <c r="S611" s="97"/>
      <c r="T611" s="97"/>
      <c r="U611" s="97"/>
      <c r="V611" s="97"/>
      <c r="W611" s="97"/>
      <c r="X611" s="97"/>
      <c r="Y611" s="97"/>
      <c r="Z611" s="97"/>
      <c r="AA611" s="97"/>
      <c r="AB611" s="97"/>
      <c r="AC611" s="97"/>
      <c r="AD611" s="97"/>
      <c r="AE611" s="97"/>
    </row>
    <row r="612" spans="2:31" x14ac:dyDescent="0.45">
      <c r="B612" s="97"/>
      <c r="C612" s="97"/>
      <c r="D612" s="97"/>
      <c r="E612" s="97"/>
      <c r="R612" s="97"/>
      <c r="S612" s="97"/>
      <c r="T612" s="97"/>
      <c r="U612" s="97"/>
      <c r="V612" s="97"/>
      <c r="W612" s="97"/>
      <c r="X612" s="97"/>
      <c r="Y612" s="97"/>
      <c r="Z612" s="97"/>
      <c r="AA612" s="97"/>
      <c r="AB612" s="97"/>
      <c r="AC612" s="97"/>
      <c r="AD612" s="97"/>
      <c r="AE612" s="97"/>
    </row>
    <row r="613" spans="2:31" x14ac:dyDescent="0.45">
      <c r="B613" s="97"/>
      <c r="C613" s="97"/>
      <c r="D613" s="97"/>
      <c r="E613" s="97"/>
      <c r="R613" s="97"/>
      <c r="S613" s="97"/>
      <c r="T613" s="97"/>
      <c r="U613" s="97"/>
      <c r="V613" s="97"/>
      <c r="W613" s="97"/>
      <c r="X613" s="97"/>
      <c r="Y613" s="97"/>
      <c r="Z613" s="97"/>
      <c r="AA613" s="97"/>
      <c r="AB613" s="97"/>
      <c r="AC613" s="97"/>
      <c r="AD613" s="97"/>
      <c r="AE613" s="97"/>
    </row>
    <row r="614" spans="2:31" x14ac:dyDescent="0.45">
      <c r="B614" s="97"/>
      <c r="C614" s="97"/>
      <c r="D614" s="97"/>
      <c r="E614" s="97"/>
      <c r="R614" s="97"/>
      <c r="S614" s="97"/>
      <c r="T614" s="97"/>
      <c r="U614" s="97"/>
      <c r="V614" s="97"/>
      <c r="W614" s="97"/>
      <c r="X614" s="97"/>
      <c r="Y614" s="97"/>
      <c r="Z614" s="97"/>
      <c r="AA614" s="97"/>
      <c r="AB614" s="97"/>
      <c r="AC614" s="97"/>
      <c r="AD614" s="97"/>
      <c r="AE614" s="97"/>
    </row>
    <row r="615" spans="2:31" x14ac:dyDescent="0.45">
      <c r="B615" s="97"/>
      <c r="C615" s="97"/>
      <c r="D615" s="97"/>
      <c r="E615" s="97"/>
      <c r="R615" s="97"/>
      <c r="S615" s="97"/>
      <c r="T615" s="97"/>
      <c r="U615" s="97"/>
      <c r="V615" s="97"/>
      <c r="W615" s="97"/>
      <c r="X615" s="97"/>
      <c r="Y615" s="97"/>
      <c r="Z615" s="97"/>
      <c r="AA615" s="97"/>
      <c r="AB615" s="97"/>
      <c r="AC615" s="97"/>
      <c r="AD615" s="97"/>
      <c r="AE615" s="97"/>
    </row>
    <row r="616" spans="2:31" x14ac:dyDescent="0.45">
      <c r="B616" s="97"/>
      <c r="C616" s="97"/>
      <c r="D616" s="97"/>
      <c r="E616" s="97"/>
      <c r="R616" s="97"/>
      <c r="S616" s="97"/>
      <c r="T616" s="97"/>
      <c r="U616" s="97"/>
      <c r="V616" s="97"/>
      <c r="W616" s="97"/>
      <c r="X616" s="97"/>
      <c r="Y616" s="97"/>
      <c r="Z616" s="97"/>
      <c r="AA616" s="97"/>
      <c r="AB616" s="97"/>
      <c r="AC616" s="97"/>
      <c r="AD616" s="97"/>
      <c r="AE616" s="97"/>
    </row>
    <row r="617" spans="2:31" x14ac:dyDescent="0.45">
      <c r="B617" s="97"/>
      <c r="C617" s="97"/>
      <c r="D617" s="97"/>
      <c r="E617" s="97"/>
      <c r="R617" s="97"/>
      <c r="S617" s="97"/>
      <c r="T617" s="97"/>
      <c r="U617" s="97"/>
      <c r="V617" s="97"/>
      <c r="W617" s="97"/>
      <c r="X617" s="97"/>
      <c r="Y617" s="97"/>
      <c r="Z617" s="97"/>
      <c r="AA617" s="97"/>
      <c r="AB617" s="97"/>
      <c r="AC617" s="97"/>
      <c r="AD617" s="97"/>
      <c r="AE617" s="97"/>
    </row>
    <row r="618" spans="2:31" x14ac:dyDescent="0.45">
      <c r="B618" s="97"/>
      <c r="C618" s="97"/>
      <c r="D618" s="97"/>
      <c r="E618" s="97"/>
      <c r="R618" s="97"/>
      <c r="S618" s="97"/>
      <c r="T618" s="97"/>
      <c r="U618" s="97"/>
      <c r="V618" s="97"/>
      <c r="W618" s="97"/>
      <c r="X618" s="97"/>
      <c r="Y618" s="97"/>
      <c r="Z618" s="97"/>
      <c r="AA618" s="97"/>
      <c r="AB618" s="97"/>
      <c r="AC618" s="97"/>
      <c r="AD618" s="97"/>
      <c r="AE618" s="97"/>
    </row>
    <row r="619" spans="2:31" x14ac:dyDescent="0.45">
      <c r="B619" s="97"/>
      <c r="C619" s="97"/>
      <c r="D619" s="97"/>
      <c r="E619" s="97"/>
      <c r="R619" s="97"/>
      <c r="S619" s="97"/>
      <c r="T619" s="97"/>
      <c r="U619" s="97"/>
      <c r="V619" s="97"/>
      <c r="W619" s="97"/>
      <c r="X619" s="97"/>
      <c r="Y619" s="97"/>
      <c r="Z619" s="97"/>
      <c r="AA619" s="97"/>
      <c r="AB619" s="97"/>
      <c r="AC619" s="97"/>
      <c r="AD619" s="97"/>
      <c r="AE619" s="97"/>
    </row>
    <row r="620" spans="2:31" x14ac:dyDescent="0.45">
      <c r="B620" s="97"/>
      <c r="C620" s="97"/>
      <c r="D620" s="97"/>
      <c r="E620" s="97"/>
      <c r="R620" s="97"/>
      <c r="S620" s="97"/>
      <c r="T620" s="97"/>
      <c r="U620" s="97"/>
      <c r="V620" s="97"/>
      <c r="W620" s="97"/>
      <c r="X620" s="97"/>
      <c r="Y620" s="97"/>
      <c r="Z620" s="97"/>
      <c r="AA620" s="97"/>
      <c r="AB620" s="97"/>
      <c r="AC620" s="97"/>
      <c r="AD620" s="97"/>
      <c r="AE620" s="97"/>
    </row>
    <row r="621" spans="2:31" x14ac:dyDescent="0.45">
      <c r="B621" s="97"/>
      <c r="C621" s="97"/>
      <c r="D621" s="97"/>
      <c r="E621" s="97"/>
      <c r="R621" s="97"/>
      <c r="S621" s="97"/>
      <c r="T621" s="97"/>
      <c r="U621" s="97"/>
      <c r="V621" s="97"/>
      <c r="W621" s="97"/>
      <c r="X621" s="97"/>
      <c r="Y621" s="97"/>
      <c r="Z621" s="97"/>
      <c r="AA621" s="97"/>
      <c r="AB621" s="97"/>
      <c r="AC621" s="97"/>
      <c r="AD621" s="97"/>
      <c r="AE621" s="97"/>
    </row>
    <row r="622" spans="2:31" x14ac:dyDescent="0.45">
      <c r="B622" s="97"/>
      <c r="C622" s="97"/>
      <c r="D622" s="97"/>
      <c r="E622" s="97"/>
      <c r="R622" s="97"/>
      <c r="S622" s="97"/>
      <c r="T622" s="97"/>
      <c r="U622" s="97"/>
      <c r="V622" s="97"/>
      <c r="W622" s="97"/>
      <c r="X622" s="97"/>
      <c r="Y622" s="97"/>
      <c r="Z622" s="97"/>
      <c r="AA622" s="97"/>
      <c r="AB622" s="97"/>
      <c r="AC622" s="97"/>
      <c r="AD622" s="97"/>
      <c r="AE622" s="97"/>
    </row>
    <row r="623" spans="2:31" x14ac:dyDescent="0.45">
      <c r="B623" s="97"/>
      <c r="C623" s="97"/>
      <c r="D623" s="97"/>
      <c r="E623" s="97"/>
      <c r="R623" s="97"/>
      <c r="S623" s="97"/>
      <c r="T623" s="97"/>
      <c r="U623" s="97"/>
      <c r="V623" s="97"/>
      <c r="W623" s="97"/>
      <c r="X623" s="97"/>
      <c r="Y623" s="97"/>
      <c r="Z623" s="97"/>
      <c r="AA623" s="97"/>
      <c r="AB623" s="97"/>
      <c r="AC623" s="97"/>
      <c r="AD623" s="97"/>
      <c r="AE623" s="97"/>
    </row>
    <row r="624" spans="2:31" x14ac:dyDescent="0.45">
      <c r="B624" s="97"/>
      <c r="C624" s="97"/>
      <c r="D624" s="97"/>
      <c r="E624" s="97"/>
      <c r="R624" s="97"/>
      <c r="S624" s="97"/>
      <c r="T624" s="97"/>
      <c r="U624" s="97"/>
      <c r="V624" s="97"/>
      <c r="W624" s="97"/>
      <c r="X624" s="97"/>
      <c r="Y624" s="97"/>
      <c r="Z624" s="97"/>
      <c r="AA624" s="97"/>
      <c r="AB624" s="97"/>
      <c r="AC624" s="97"/>
      <c r="AD624" s="97"/>
      <c r="AE624" s="97"/>
    </row>
    <row r="625" spans="2:31" x14ac:dyDescent="0.45">
      <c r="B625" s="97"/>
      <c r="C625" s="97"/>
      <c r="D625" s="97"/>
      <c r="E625" s="97"/>
      <c r="R625" s="97"/>
      <c r="S625" s="97"/>
      <c r="T625" s="97"/>
      <c r="U625" s="97"/>
      <c r="V625" s="97"/>
      <c r="W625" s="97"/>
      <c r="X625" s="97"/>
      <c r="Y625" s="97"/>
      <c r="Z625" s="97"/>
      <c r="AA625" s="97"/>
      <c r="AB625" s="97"/>
      <c r="AC625" s="97"/>
      <c r="AD625" s="97"/>
      <c r="AE625" s="97"/>
    </row>
    <row r="626" spans="2:31" x14ac:dyDescent="0.45">
      <c r="B626" s="97"/>
      <c r="C626" s="97"/>
      <c r="D626" s="97"/>
      <c r="E626" s="97"/>
      <c r="R626" s="97"/>
      <c r="S626" s="97"/>
      <c r="T626" s="97"/>
      <c r="U626" s="97"/>
      <c r="V626" s="97"/>
      <c r="W626" s="97"/>
      <c r="X626" s="97"/>
      <c r="Y626" s="97"/>
      <c r="Z626" s="97"/>
      <c r="AA626" s="97"/>
      <c r="AB626" s="97"/>
      <c r="AC626" s="97"/>
      <c r="AD626" s="97"/>
      <c r="AE626" s="97"/>
    </row>
    <row r="627" spans="2:31" x14ac:dyDescent="0.45">
      <c r="B627" s="97"/>
      <c r="C627" s="97"/>
      <c r="D627" s="97"/>
      <c r="E627" s="97"/>
      <c r="R627" s="97"/>
      <c r="S627" s="97"/>
      <c r="T627" s="97"/>
      <c r="U627" s="97"/>
      <c r="V627" s="97"/>
      <c r="W627" s="97"/>
      <c r="X627" s="97"/>
      <c r="Y627" s="97"/>
      <c r="Z627" s="97"/>
      <c r="AA627" s="97"/>
      <c r="AB627" s="97"/>
      <c r="AC627" s="97"/>
      <c r="AD627" s="97"/>
      <c r="AE627" s="97"/>
    </row>
    <row r="628" spans="2:31" x14ac:dyDescent="0.45">
      <c r="B628" s="97"/>
      <c r="C628" s="97"/>
      <c r="D628" s="97"/>
      <c r="E628" s="97"/>
      <c r="R628" s="97"/>
      <c r="S628" s="97"/>
      <c r="T628" s="97"/>
      <c r="U628" s="97"/>
      <c r="V628" s="97"/>
      <c r="W628" s="97"/>
      <c r="X628" s="97"/>
      <c r="Y628" s="97"/>
      <c r="Z628" s="97"/>
      <c r="AA628" s="97"/>
      <c r="AB628" s="97"/>
      <c r="AC628" s="97"/>
      <c r="AD628" s="97"/>
      <c r="AE628" s="97"/>
    </row>
    <row r="629" spans="2:31" x14ac:dyDescent="0.45">
      <c r="B629" s="97"/>
      <c r="C629" s="97"/>
      <c r="D629" s="97"/>
      <c r="E629" s="97"/>
      <c r="R629" s="97"/>
      <c r="S629" s="97"/>
      <c r="T629" s="97"/>
      <c r="U629" s="97"/>
      <c r="V629" s="97"/>
      <c r="W629" s="97"/>
      <c r="X629" s="97"/>
      <c r="Y629" s="97"/>
      <c r="Z629" s="97"/>
      <c r="AA629" s="97"/>
      <c r="AB629" s="97"/>
      <c r="AC629" s="97"/>
      <c r="AD629" s="97"/>
      <c r="AE629" s="97"/>
    </row>
    <row r="630" spans="2:31" x14ac:dyDescent="0.45">
      <c r="B630" s="97"/>
      <c r="C630" s="97"/>
      <c r="D630" s="97"/>
      <c r="E630" s="97"/>
      <c r="R630" s="97"/>
      <c r="S630" s="97"/>
      <c r="T630" s="97"/>
      <c r="U630" s="97"/>
      <c r="V630" s="97"/>
      <c r="W630" s="97"/>
      <c r="X630" s="97"/>
      <c r="Y630" s="97"/>
      <c r="Z630" s="97"/>
      <c r="AA630" s="97"/>
      <c r="AB630" s="97"/>
      <c r="AC630" s="97"/>
      <c r="AD630" s="97"/>
      <c r="AE630" s="97"/>
    </row>
    <row r="631" spans="2:31" x14ac:dyDescent="0.45">
      <c r="B631" s="97"/>
      <c r="C631" s="97"/>
      <c r="D631" s="97"/>
      <c r="E631" s="97"/>
      <c r="R631" s="97"/>
      <c r="S631" s="97"/>
      <c r="T631" s="97"/>
      <c r="U631" s="97"/>
      <c r="V631" s="97"/>
      <c r="W631" s="97"/>
      <c r="X631" s="97"/>
      <c r="Y631" s="97"/>
      <c r="Z631" s="97"/>
      <c r="AA631" s="97"/>
      <c r="AB631" s="97"/>
      <c r="AC631" s="97"/>
      <c r="AD631" s="97"/>
      <c r="AE631" s="97"/>
    </row>
    <row r="632" spans="2:31" x14ac:dyDescent="0.45">
      <c r="B632" s="97"/>
      <c r="C632" s="97"/>
      <c r="D632" s="97"/>
      <c r="E632" s="97"/>
      <c r="R632" s="97"/>
      <c r="S632" s="97"/>
      <c r="T632" s="97"/>
      <c r="U632" s="97"/>
      <c r="V632" s="97"/>
      <c r="W632" s="97"/>
      <c r="X632" s="97"/>
      <c r="Y632" s="97"/>
      <c r="Z632" s="97"/>
      <c r="AA632" s="97"/>
      <c r="AB632" s="97"/>
      <c r="AC632" s="97"/>
      <c r="AD632" s="97"/>
      <c r="AE632" s="97"/>
    </row>
    <row r="633" spans="2:31" x14ac:dyDescent="0.45">
      <c r="B633" s="97"/>
      <c r="C633" s="97"/>
      <c r="D633" s="97"/>
      <c r="E633" s="97"/>
      <c r="R633" s="97"/>
      <c r="S633" s="97"/>
      <c r="T633" s="97"/>
      <c r="U633" s="97"/>
      <c r="V633" s="97"/>
      <c r="W633" s="97"/>
      <c r="X633" s="97"/>
      <c r="Y633" s="97"/>
      <c r="Z633" s="97"/>
      <c r="AA633" s="97"/>
      <c r="AB633" s="97"/>
      <c r="AC633" s="97"/>
      <c r="AD633" s="97"/>
      <c r="AE633" s="97"/>
    </row>
    <row r="634" spans="2:31" x14ac:dyDescent="0.45">
      <c r="B634" s="97"/>
      <c r="C634" s="97"/>
      <c r="D634" s="97"/>
      <c r="E634" s="97"/>
      <c r="R634" s="97"/>
      <c r="S634" s="97"/>
      <c r="T634" s="97"/>
      <c r="U634" s="97"/>
      <c r="V634" s="97"/>
      <c r="W634" s="97"/>
      <c r="X634" s="97"/>
      <c r="Y634" s="97"/>
      <c r="Z634" s="97"/>
      <c r="AA634" s="97"/>
      <c r="AB634" s="97"/>
      <c r="AC634" s="97"/>
      <c r="AD634" s="97"/>
      <c r="AE634" s="97"/>
    </row>
    <row r="635" spans="2:31" x14ac:dyDescent="0.45">
      <c r="B635" s="97"/>
      <c r="C635" s="97"/>
      <c r="D635" s="97"/>
      <c r="E635" s="97"/>
      <c r="R635" s="97"/>
      <c r="S635" s="97"/>
      <c r="T635" s="97"/>
      <c r="U635" s="97"/>
      <c r="V635" s="97"/>
      <c r="W635" s="97"/>
      <c r="X635" s="97"/>
      <c r="Y635" s="97"/>
      <c r="Z635" s="97"/>
      <c r="AA635" s="97"/>
      <c r="AB635" s="97"/>
      <c r="AC635" s="97"/>
      <c r="AD635" s="97"/>
      <c r="AE635" s="97"/>
    </row>
    <row r="636" spans="2:31" x14ac:dyDescent="0.45">
      <c r="B636" s="97"/>
      <c r="C636" s="97"/>
      <c r="D636" s="97"/>
      <c r="E636" s="97"/>
      <c r="R636" s="97"/>
      <c r="S636" s="97"/>
      <c r="T636" s="97"/>
      <c r="U636" s="97"/>
      <c r="V636" s="97"/>
      <c r="W636" s="97"/>
      <c r="X636" s="97"/>
      <c r="Y636" s="97"/>
      <c r="Z636" s="97"/>
      <c r="AA636" s="97"/>
      <c r="AB636" s="97"/>
      <c r="AC636" s="97"/>
      <c r="AD636" s="97"/>
      <c r="AE636" s="97"/>
    </row>
    <row r="637" spans="2:31" x14ac:dyDescent="0.45">
      <c r="B637" s="97"/>
      <c r="C637" s="97"/>
      <c r="D637" s="97"/>
      <c r="E637" s="97"/>
      <c r="R637" s="97"/>
      <c r="S637" s="97"/>
      <c r="T637" s="97"/>
      <c r="U637" s="97"/>
      <c r="V637" s="97"/>
      <c r="W637" s="97"/>
      <c r="X637" s="97"/>
      <c r="Y637" s="97"/>
      <c r="Z637" s="97"/>
      <c r="AA637" s="97"/>
      <c r="AB637" s="97"/>
      <c r="AC637" s="97"/>
      <c r="AD637" s="97"/>
      <c r="AE637" s="97"/>
    </row>
    <row r="638" spans="2:31" x14ac:dyDescent="0.45">
      <c r="B638" s="97"/>
      <c r="C638" s="97"/>
      <c r="D638" s="97"/>
      <c r="E638" s="97"/>
      <c r="R638" s="97"/>
      <c r="S638" s="97"/>
      <c r="T638" s="97"/>
      <c r="U638" s="97"/>
      <c r="V638" s="97"/>
      <c r="W638" s="97"/>
      <c r="X638" s="97"/>
      <c r="Y638" s="97"/>
      <c r="Z638" s="97"/>
      <c r="AA638" s="97"/>
      <c r="AB638" s="97"/>
      <c r="AC638" s="97"/>
      <c r="AD638" s="97"/>
      <c r="AE638" s="97"/>
    </row>
    <row r="639" spans="2:31" x14ac:dyDescent="0.45">
      <c r="B639" s="97"/>
      <c r="C639" s="97"/>
      <c r="D639" s="97"/>
      <c r="E639" s="97"/>
      <c r="R639" s="97"/>
      <c r="S639" s="97"/>
      <c r="T639" s="97"/>
      <c r="U639" s="97"/>
      <c r="V639" s="97"/>
      <c r="W639" s="97"/>
      <c r="X639" s="97"/>
      <c r="Y639" s="97"/>
      <c r="Z639" s="97"/>
      <c r="AA639" s="97"/>
      <c r="AB639" s="97"/>
      <c r="AC639" s="97"/>
      <c r="AD639" s="97"/>
      <c r="AE639" s="97"/>
    </row>
    <row r="640" spans="2:31" x14ac:dyDescent="0.45">
      <c r="B640" s="97"/>
      <c r="C640" s="97"/>
      <c r="D640" s="97"/>
      <c r="E640" s="97"/>
      <c r="R640" s="97"/>
      <c r="S640" s="97"/>
      <c r="T640" s="97"/>
      <c r="U640" s="97"/>
      <c r="V640" s="97"/>
      <c r="W640" s="97"/>
      <c r="X640" s="97"/>
      <c r="Y640" s="97"/>
      <c r="Z640" s="97"/>
      <c r="AA640" s="97"/>
      <c r="AB640" s="97"/>
      <c r="AC640" s="97"/>
      <c r="AD640" s="97"/>
      <c r="AE640" s="97"/>
    </row>
    <row r="641" spans="2:31" x14ac:dyDescent="0.45">
      <c r="B641" s="97"/>
      <c r="C641" s="97"/>
      <c r="D641" s="97"/>
      <c r="E641" s="97"/>
      <c r="R641" s="97"/>
      <c r="S641" s="97"/>
      <c r="T641" s="97"/>
      <c r="U641" s="97"/>
      <c r="V641" s="97"/>
      <c r="W641" s="97"/>
      <c r="X641" s="97"/>
      <c r="Y641" s="97"/>
      <c r="Z641" s="97"/>
      <c r="AA641" s="97"/>
      <c r="AB641" s="97"/>
      <c r="AC641" s="97"/>
      <c r="AD641" s="97"/>
      <c r="AE641" s="97"/>
    </row>
    <row r="642" spans="2:31" x14ac:dyDescent="0.45">
      <c r="B642" s="97"/>
      <c r="C642" s="97"/>
      <c r="D642" s="97"/>
      <c r="E642" s="97"/>
      <c r="R642" s="97"/>
      <c r="S642" s="97"/>
      <c r="T642" s="97"/>
      <c r="U642" s="97"/>
      <c r="V642" s="97"/>
      <c r="W642" s="97"/>
      <c r="X642" s="97"/>
      <c r="Y642" s="97"/>
      <c r="Z642" s="97"/>
      <c r="AA642" s="97"/>
      <c r="AB642" s="97"/>
      <c r="AC642" s="97"/>
      <c r="AD642" s="97"/>
      <c r="AE642" s="97"/>
    </row>
    <row r="643" spans="2:31" x14ac:dyDescent="0.45">
      <c r="B643" s="97"/>
      <c r="C643" s="97"/>
      <c r="D643" s="97"/>
      <c r="E643" s="97"/>
      <c r="R643" s="97"/>
      <c r="S643" s="97"/>
      <c r="T643" s="97"/>
      <c r="U643" s="97"/>
      <c r="V643" s="97"/>
      <c r="W643" s="97"/>
      <c r="X643" s="97"/>
      <c r="Y643" s="97"/>
      <c r="Z643" s="97"/>
      <c r="AA643" s="97"/>
      <c r="AB643" s="97"/>
      <c r="AC643" s="97"/>
      <c r="AD643" s="97"/>
      <c r="AE643" s="97"/>
    </row>
    <row r="644" spans="2:31" x14ac:dyDescent="0.45">
      <c r="B644" s="97"/>
      <c r="C644" s="97"/>
      <c r="D644" s="97"/>
      <c r="E644" s="97"/>
      <c r="R644" s="97"/>
      <c r="S644" s="97"/>
      <c r="T644" s="97"/>
      <c r="U644" s="97"/>
      <c r="V644" s="97"/>
      <c r="W644" s="97"/>
      <c r="X644" s="97"/>
      <c r="Y644" s="97"/>
      <c r="Z644" s="97"/>
      <c r="AA644" s="97"/>
      <c r="AB644" s="97"/>
      <c r="AC644" s="97"/>
      <c r="AD644" s="97"/>
      <c r="AE644" s="97"/>
    </row>
    <row r="645" spans="2:31" x14ac:dyDescent="0.45">
      <c r="B645" s="97"/>
      <c r="C645" s="97"/>
      <c r="D645" s="97"/>
      <c r="E645" s="97"/>
      <c r="R645" s="97"/>
      <c r="S645" s="97"/>
      <c r="T645" s="97"/>
      <c r="U645" s="97"/>
      <c r="V645" s="97"/>
      <c r="W645" s="97"/>
      <c r="X645" s="97"/>
      <c r="Y645" s="97"/>
      <c r="Z645" s="97"/>
      <c r="AA645" s="97"/>
      <c r="AB645" s="97"/>
      <c r="AC645" s="97"/>
      <c r="AD645" s="97"/>
      <c r="AE645" s="97"/>
    </row>
    <row r="646" spans="2:31" x14ac:dyDescent="0.45">
      <c r="B646" s="97"/>
      <c r="C646" s="97"/>
      <c r="D646" s="97"/>
      <c r="E646" s="97"/>
      <c r="R646" s="97"/>
      <c r="S646" s="97"/>
      <c r="T646" s="97"/>
      <c r="U646" s="97"/>
      <c r="V646" s="97"/>
      <c r="W646" s="97"/>
      <c r="X646" s="97"/>
      <c r="Y646" s="97"/>
      <c r="Z646" s="97"/>
      <c r="AA646" s="97"/>
      <c r="AB646" s="97"/>
      <c r="AC646" s="97"/>
      <c r="AD646" s="97"/>
      <c r="AE646" s="97"/>
    </row>
    <row r="647" spans="2:31" x14ac:dyDescent="0.45">
      <c r="B647" s="97"/>
      <c r="C647" s="97"/>
      <c r="D647" s="97"/>
      <c r="E647" s="97"/>
      <c r="R647" s="97"/>
      <c r="S647" s="97"/>
      <c r="T647" s="97"/>
      <c r="U647" s="97"/>
      <c r="V647" s="97"/>
      <c r="W647" s="97"/>
      <c r="X647" s="97"/>
      <c r="Y647" s="97"/>
      <c r="Z647" s="97"/>
      <c r="AA647" s="97"/>
      <c r="AB647" s="97"/>
      <c r="AC647" s="97"/>
      <c r="AD647" s="97"/>
      <c r="AE647" s="97"/>
    </row>
    <row r="648" spans="2:31" x14ac:dyDescent="0.45">
      <c r="B648" s="97"/>
      <c r="C648" s="97"/>
      <c r="D648" s="97"/>
      <c r="E648" s="97"/>
      <c r="R648" s="97"/>
      <c r="S648" s="97"/>
      <c r="T648" s="97"/>
      <c r="U648" s="97"/>
      <c r="V648" s="97"/>
      <c r="W648" s="97"/>
      <c r="X648" s="97"/>
      <c r="Y648" s="97"/>
      <c r="Z648" s="97"/>
      <c r="AA648" s="97"/>
      <c r="AB648" s="97"/>
      <c r="AC648" s="97"/>
      <c r="AD648" s="97"/>
      <c r="AE648" s="97"/>
    </row>
    <row r="649" spans="2:31" x14ac:dyDescent="0.45">
      <c r="B649" s="97"/>
      <c r="C649" s="97"/>
      <c r="D649" s="97"/>
      <c r="E649" s="97"/>
      <c r="R649" s="97"/>
      <c r="S649" s="97"/>
      <c r="T649" s="97"/>
      <c r="U649" s="97"/>
      <c r="V649" s="97"/>
      <c r="W649" s="97"/>
      <c r="X649" s="97"/>
      <c r="Y649" s="97"/>
      <c r="Z649" s="97"/>
      <c r="AA649" s="97"/>
      <c r="AB649" s="97"/>
      <c r="AC649" s="97"/>
      <c r="AD649" s="97"/>
      <c r="AE649" s="97"/>
    </row>
    <row r="650" spans="2:31" x14ac:dyDescent="0.45">
      <c r="B650" s="97"/>
      <c r="C650" s="97"/>
      <c r="D650" s="97"/>
      <c r="E650" s="97"/>
      <c r="R650" s="97"/>
      <c r="S650" s="97"/>
      <c r="T650" s="97"/>
      <c r="U650" s="97"/>
      <c r="V650" s="97"/>
      <c r="W650" s="97"/>
      <c r="X650" s="97"/>
      <c r="Y650" s="97"/>
      <c r="Z650" s="97"/>
      <c r="AA650" s="97"/>
      <c r="AB650" s="97"/>
      <c r="AC650" s="97"/>
      <c r="AD650" s="97"/>
      <c r="AE650" s="97"/>
    </row>
    <row r="651" spans="2:31" x14ac:dyDescent="0.45">
      <c r="B651" s="97"/>
      <c r="C651" s="97"/>
      <c r="D651" s="97"/>
      <c r="E651" s="97"/>
      <c r="R651" s="97"/>
      <c r="S651" s="97"/>
      <c r="T651" s="97"/>
      <c r="U651" s="97"/>
      <c r="V651" s="97"/>
      <c r="W651" s="97"/>
      <c r="X651" s="97"/>
      <c r="Y651" s="97"/>
      <c r="Z651" s="97"/>
      <c r="AA651" s="97"/>
      <c r="AB651" s="97"/>
      <c r="AC651" s="97"/>
      <c r="AD651" s="97"/>
      <c r="AE651" s="97"/>
    </row>
    <row r="652" spans="2:31" x14ac:dyDescent="0.45">
      <c r="B652" s="97"/>
      <c r="C652" s="97"/>
      <c r="D652" s="97"/>
      <c r="E652" s="97"/>
      <c r="R652" s="97"/>
      <c r="S652" s="97"/>
      <c r="T652" s="97"/>
      <c r="U652" s="97"/>
      <c r="V652" s="97"/>
      <c r="W652" s="97"/>
      <c r="X652" s="97"/>
      <c r="Y652" s="97"/>
      <c r="Z652" s="97"/>
      <c r="AA652" s="97"/>
      <c r="AB652" s="97"/>
      <c r="AC652" s="97"/>
      <c r="AD652" s="97"/>
      <c r="AE652" s="97"/>
    </row>
    <row r="653" spans="2:31" x14ac:dyDescent="0.45">
      <c r="B653" s="97"/>
      <c r="C653" s="97"/>
      <c r="D653" s="97"/>
      <c r="E653" s="97"/>
      <c r="R653" s="97"/>
      <c r="S653" s="97"/>
      <c r="T653" s="97"/>
      <c r="U653" s="97"/>
      <c r="V653" s="97"/>
      <c r="W653" s="97"/>
      <c r="X653" s="97"/>
      <c r="Y653" s="97"/>
      <c r="Z653" s="97"/>
      <c r="AA653" s="97"/>
      <c r="AB653" s="97"/>
      <c r="AC653" s="97"/>
      <c r="AD653" s="97"/>
      <c r="AE653" s="97"/>
    </row>
    <row r="654" spans="2:31" x14ac:dyDescent="0.45">
      <c r="B654" s="97"/>
      <c r="C654" s="97"/>
      <c r="D654" s="97"/>
      <c r="E654" s="97"/>
      <c r="R654" s="97"/>
      <c r="S654" s="97"/>
      <c r="T654" s="97"/>
      <c r="U654" s="97"/>
      <c r="V654" s="97"/>
      <c r="W654" s="97"/>
      <c r="X654" s="97"/>
      <c r="Y654" s="97"/>
      <c r="Z654" s="97"/>
      <c r="AA654" s="97"/>
      <c r="AB654" s="97"/>
      <c r="AC654" s="97"/>
      <c r="AD654" s="97"/>
      <c r="AE654" s="97"/>
    </row>
    <row r="655" spans="2:31" x14ac:dyDescent="0.45">
      <c r="B655" s="97"/>
      <c r="C655" s="97"/>
      <c r="D655" s="97"/>
      <c r="E655" s="97"/>
      <c r="R655" s="97"/>
      <c r="S655" s="97"/>
      <c r="T655" s="97"/>
      <c r="U655" s="97"/>
      <c r="V655" s="97"/>
      <c r="W655" s="97"/>
      <c r="X655" s="97"/>
      <c r="Y655" s="97"/>
      <c r="Z655" s="97"/>
      <c r="AA655" s="97"/>
      <c r="AB655" s="97"/>
      <c r="AC655" s="97"/>
      <c r="AD655" s="97"/>
      <c r="AE655" s="97"/>
    </row>
    <row r="656" spans="2:31" x14ac:dyDescent="0.45">
      <c r="B656" s="97"/>
      <c r="C656" s="97"/>
      <c r="D656" s="97"/>
      <c r="E656" s="97"/>
      <c r="R656" s="97"/>
      <c r="S656" s="97"/>
      <c r="T656" s="97"/>
      <c r="U656" s="97"/>
      <c r="V656" s="97"/>
      <c r="W656" s="97"/>
      <c r="X656" s="97"/>
      <c r="Y656" s="97"/>
      <c r="Z656" s="97"/>
      <c r="AA656" s="97"/>
      <c r="AB656" s="97"/>
      <c r="AC656" s="97"/>
      <c r="AD656" s="97"/>
      <c r="AE656" s="97"/>
    </row>
    <row r="657" spans="2:31" x14ac:dyDescent="0.45">
      <c r="B657" s="97"/>
      <c r="C657" s="97"/>
      <c r="D657" s="97"/>
      <c r="E657" s="97"/>
      <c r="R657" s="97"/>
      <c r="S657" s="97"/>
      <c r="T657" s="97"/>
      <c r="U657" s="97"/>
      <c r="V657" s="97"/>
      <c r="W657" s="97"/>
      <c r="X657" s="97"/>
      <c r="Y657" s="97"/>
      <c r="Z657" s="97"/>
      <c r="AA657" s="97"/>
      <c r="AB657" s="97"/>
      <c r="AC657" s="97"/>
      <c r="AD657" s="97"/>
      <c r="AE657" s="97"/>
    </row>
    <row r="658" spans="2:31" x14ac:dyDescent="0.45">
      <c r="B658" s="97"/>
      <c r="C658" s="97"/>
      <c r="D658" s="97"/>
      <c r="E658" s="97"/>
      <c r="R658" s="97"/>
      <c r="S658" s="97"/>
      <c r="T658" s="97"/>
      <c r="U658" s="97"/>
      <c r="V658" s="97"/>
      <c r="W658" s="97"/>
      <c r="X658" s="97"/>
      <c r="Y658" s="97"/>
      <c r="Z658" s="97"/>
      <c r="AA658" s="97"/>
      <c r="AB658" s="97"/>
      <c r="AC658" s="97"/>
      <c r="AD658" s="97"/>
      <c r="AE658" s="97"/>
    </row>
    <row r="659" spans="2:31" x14ac:dyDescent="0.45">
      <c r="B659" s="97"/>
      <c r="C659" s="97"/>
      <c r="D659" s="97"/>
      <c r="E659" s="97"/>
      <c r="R659" s="97"/>
      <c r="S659" s="97"/>
      <c r="T659" s="97"/>
      <c r="U659" s="97"/>
      <c r="V659" s="97"/>
      <c r="W659" s="97"/>
      <c r="X659" s="97"/>
      <c r="Y659" s="97"/>
      <c r="Z659" s="97"/>
      <c r="AA659" s="97"/>
      <c r="AB659" s="97"/>
      <c r="AC659" s="97"/>
      <c r="AD659" s="97"/>
      <c r="AE659" s="97"/>
    </row>
    <row r="660" spans="2:31" x14ac:dyDescent="0.45">
      <c r="B660" s="97"/>
      <c r="C660" s="97"/>
      <c r="D660" s="97"/>
      <c r="E660" s="97"/>
      <c r="R660" s="97"/>
      <c r="S660" s="97"/>
      <c r="T660" s="97"/>
      <c r="U660" s="97"/>
      <c r="V660" s="97"/>
      <c r="W660" s="97"/>
      <c r="X660" s="97"/>
      <c r="Y660" s="97"/>
      <c r="Z660" s="97"/>
      <c r="AA660" s="97"/>
      <c r="AB660" s="97"/>
      <c r="AC660" s="97"/>
      <c r="AD660" s="97"/>
      <c r="AE660" s="97"/>
    </row>
    <row r="661" spans="2:31" x14ac:dyDescent="0.45">
      <c r="B661" s="97"/>
      <c r="C661" s="97"/>
      <c r="D661" s="97"/>
      <c r="E661" s="97"/>
      <c r="R661" s="97"/>
      <c r="S661" s="97"/>
      <c r="T661" s="97"/>
      <c r="U661" s="97"/>
      <c r="V661" s="97"/>
      <c r="W661" s="97"/>
      <c r="X661" s="97"/>
      <c r="Y661" s="97"/>
      <c r="Z661" s="97"/>
      <c r="AA661" s="97"/>
      <c r="AB661" s="97"/>
      <c r="AC661" s="97"/>
      <c r="AD661" s="97"/>
      <c r="AE661" s="97"/>
    </row>
    <row r="662" spans="2:31" x14ac:dyDescent="0.45">
      <c r="B662" s="97"/>
      <c r="C662" s="97"/>
      <c r="D662" s="97"/>
      <c r="E662" s="97"/>
      <c r="R662" s="97"/>
      <c r="S662" s="97"/>
      <c r="T662" s="97"/>
      <c r="U662" s="97"/>
      <c r="V662" s="97"/>
      <c r="W662" s="97"/>
      <c r="X662" s="97"/>
      <c r="Y662" s="97"/>
      <c r="Z662" s="97"/>
      <c r="AA662" s="97"/>
      <c r="AB662" s="97"/>
      <c r="AC662" s="97"/>
      <c r="AD662" s="97"/>
      <c r="AE662" s="97"/>
    </row>
    <row r="663" spans="2:31" x14ac:dyDescent="0.45">
      <c r="B663" s="97"/>
      <c r="C663" s="97"/>
      <c r="D663" s="97"/>
      <c r="E663" s="97"/>
      <c r="R663" s="97"/>
      <c r="S663" s="97"/>
      <c r="T663" s="97"/>
      <c r="U663" s="97"/>
      <c r="V663" s="97"/>
      <c r="W663" s="97"/>
      <c r="X663" s="97"/>
      <c r="Y663" s="97"/>
      <c r="Z663" s="97"/>
      <c r="AA663" s="97"/>
      <c r="AB663" s="97"/>
      <c r="AC663" s="97"/>
      <c r="AD663" s="97"/>
      <c r="AE663" s="97"/>
    </row>
    <row r="664" spans="2:31" x14ac:dyDescent="0.45">
      <c r="B664" s="97"/>
      <c r="C664" s="97"/>
      <c r="D664" s="97"/>
      <c r="E664" s="97"/>
      <c r="R664" s="97"/>
      <c r="S664" s="97"/>
      <c r="T664" s="97"/>
      <c r="U664" s="97"/>
      <c r="V664" s="97"/>
      <c r="W664" s="97"/>
      <c r="X664" s="97"/>
      <c r="Y664" s="97"/>
      <c r="Z664" s="97"/>
      <c r="AA664" s="97"/>
      <c r="AB664" s="97"/>
      <c r="AC664" s="97"/>
      <c r="AD664" s="97"/>
      <c r="AE664" s="97"/>
    </row>
    <row r="665" spans="2:31" x14ac:dyDescent="0.45">
      <c r="B665" s="97"/>
      <c r="C665" s="97"/>
      <c r="D665" s="97"/>
      <c r="E665" s="97"/>
      <c r="R665" s="97"/>
      <c r="S665" s="97"/>
      <c r="T665" s="97"/>
      <c r="U665" s="97"/>
      <c r="V665" s="97"/>
      <c r="W665" s="97"/>
      <c r="X665" s="97"/>
      <c r="Y665" s="97"/>
      <c r="Z665" s="97"/>
      <c r="AA665" s="97"/>
      <c r="AB665" s="97"/>
      <c r="AC665" s="97"/>
      <c r="AD665" s="97"/>
      <c r="AE665" s="97"/>
    </row>
    <row r="666" spans="2:31" x14ac:dyDescent="0.45">
      <c r="B666" s="97"/>
      <c r="C666" s="97"/>
      <c r="D666" s="97"/>
      <c r="E666" s="97"/>
      <c r="R666" s="97"/>
      <c r="S666" s="97"/>
      <c r="T666" s="97"/>
      <c r="U666" s="97"/>
      <c r="V666" s="97"/>
      <c r="W666" s="97"/>
      <c r="X666" s="97"/>
      <c r="Y666" s="97"/>
      <c r="Z666" s="97"/>
      <c r="AA666" s="97"/>
      <c r="AB666" s="97"/>
      <c r="AC666" s="97"/>
      <c r="AD666" s="97"/>
      <c r="AE666" s="97"/>
    </row>
    <row r="667" spans="2:31" x14ac:dyDescent="0.45">
      <c r="B667" s="97"/>
      <c r="C667" s="97"/>
      <c r="D667" s="97"/>
      <c r="E667" s="97"/>
      <c r="R667" s="97"/>
      <c r="S667" s="97"/>
      <c r="T667" s="97"/>
      <c r="U667" s="97"/>
      <c r="V667" s="97"/>
      <c r="W667" s="97"/>
      <c r="X667" s="97"/>
      <c r="Y667" s="97"/>
      <c r="Z667" s="97"/>
      <c r="AA667" s="97"/>
      <c r="AB667" s="97"/>
      <c r="AC667" s="97"/>
      <c r="AD667" s="97"/>
      <c r="AE667" s="97"/>
    </row>
    <row r="668" spans="2:31" x14ac:dyDescent="0.45">
      <c r="B668" s="97"/>
      <c r="C668" s="97"/>
      <c r="D668" s="97"/>
      <c r="E668" s="97"/>
      <c r="R668" s="97"/>
      <c r="S668" s="97"/>
      <c r="T668" s="97"/>
      <c r="U668" s="97"/>
      <c r="V668" s="97"/>
      <c r="W668" s="97"/>
      <c r="X668" s="97"/>
      <c r="Y668" s="97"/>
      <c r="Z668" s="97"/>
      <c r="AA668" s="97"/>
      <c r="AB668" s="97"/>
      <c r="AC668" s="97"/>
      <c r="AD668" s="97"/>
      <c r="AE668" s="97"/>
    </row>
    <row r="669" spans="2:31" x14ac:dyDescent="0.45">
      <c r="B669" s="97"/>
      <c r="C669" s="97"/>
      <c r="D669" s="97"/>
      <c r="E669" s="97"/>
      <c r="R669" s="97"/>
      <c r="S669" s="97"/>
      <c r="T669" s="97"/>
      <c r="U669" s="97"/>
      <c r="V669" s="97"/>
      <c r="W669" s="97"/>
      <c r="X669" s="97"/>
      <c r="Y669" s="97"/>
      <c r="Z669" s="97"/>
      <c r="AA669" s="97"/>
      <c r="AB669" s="97"/>
      <c r="AC669" s="97"/>
      <c r="AD669" s="97"/>
      <c r="AE669" s="97"/>
    </row>
    <row r="670" spans="2:31" x14ac:dyDescent="0.45">
      <c r="B670" s="97"/>
      <c r="C670" s="97"/>
      <c r="D670" s="97"/>
      <c r="E670" s="97"/>
      <c r="R670" s="97"/>
      <c r="S670" s="97"/>
      <c r="T670" s="97"/>
      <c r="U670" s="97"/>
      <c r="V670" s="97"/>
      <c r="W670" s="97"/>
      <c r="X670" s="97"/>
      <c r="Y670" s="97"/>
      <c r="Z670" s="97"/>
      <c r="AA670" s="97"/>
      <c r="AB670" s="97"/>
      <c r="AC670" s="97"/>
      <c r="AD670" s="97"/>
      <c r="AE670" s="97"/>
    </row>
    <row r="671" spans="2:31" x14ac:dyDescent="0.45">
      <c r="B671" s="97"/>
      <c r="C671" s="97"/>
      <c r="D671" s="97"/>
      <c r="E671" s="97"/>
      <c r="R671" s="97"/>
      <c r="S671" s="97"/>
      <c r="T671" s="97"/>
      <c r="U671" s="97"/>
      <c r="V671" s="97"/>
      <c r="W671" s="97"/>
      <c r="X671" s="97"/>
      <c r="Y671" s="97"/>
      <c r="Z671" s="97"/>
      <c r="AA671" s="97"/>
      <c r="AB671" s="97"/>
      <c r="AC671" s="97"/>
      <c r="AD671" s="97"/>
      <c r="AE671" s="97"/>
    </row>
    <row r="672" spans="2:31" x14ac:dyDescent="0.45">
      <c r="B672" s="97"/>
      <c r="C672" s="97"/>
      <c r="D672" s="97"/>
      <c r="E672" s="97"/>
      <c r="R672" s="97"/>
      <c r="S672" s="97"/>
      <c r="T672" s="97"/>
      <c r="U672" s="97"/>
      <c r="V672" s="97"/>
      <c r="W672" s="97"/>
      <c r="X672" s="97"/>
      <c r="Y672" s="97"/>
      <c r="Z672" s="97"/>
      <c r="AA672" s="97"/>
      <c r="AB672" s="97"/>
      <c r="AC672" s="97"/>
      <c r="AD672" s="97"/>
      <c r="AE672" s="97"/>
    </row>
    <row r="673" spans="2:31" x14ac:dyDescent="0.45">
      <c r="B673" s="97"/>
      <c r="C673" s="97"/>
      <c r="D673" s="97"/>
      <c r="E673" s="97"/>
      <c r="R673" s="97"/>
      <c r="S673" s="97"/>
      <c r="T673" s="97"/>
      <c r="U673" s="97"/>
      <c r="V673" s="97"/>
      <c r="W673" s="97"/>
      <c r="X673" s="97"/>
      <c r="Y673" s="97"/>
      <c r="Z673" s="97"/>
      <c r="AA673" s="97"/>
      <c r="AB673" s="97"/>
      <c r="AC673" s="97"/>
      <c r="AD673" s="97"/>
      <c r="AE673" s="97"/>
    </row>
    <row r="674" spans="2:31" x14ac:dyDescent="0.45">
      <c r="B674" s="97"/>
      <c r="C674" s="97"/>
      <c r="D674" s="97"/>
      <c r="E674" s="97"/>
      <c r="R674" s="97"/>
      <c r="S674" s="97"/>
      <c r="T674" s="97"/>
      <c r="U674" s="97"/>
      <c r="V674" s="97"/>
      <c r="W674" s="97"/>
      <c r="X674" s="97"/>
      <c r="Y674" s="97"/>
      <c r="Z674" s="97"/>
      <c r="AA674" s="97"/>
      <c r="AB674" s="97"/>
      <c r="AC674" s="97"/>
      <c r="AD674" s="97"/>
      <c r="AE674" s="97"/>
    </row>
    <row r="675" spans="2:31" x14ac:dyDescent="0.45">
      <c r="B675" s="97"/>
      <c r="C675" s="97"/>
      <c r="D675" s="97"/>
      <c r="E675" s="97"/>
      <c r="R675" s="97"/>
      <c r="S675" s="97"/>
      <c r="T675" s="97"/>
      <c r="U675" s="97"/>
      <c r="V675" s="97"/>
      <c r="W675" s="97"/>
      <c r="X675" s="97"/>
      <c r="Y675" s="97"/>
      <c r="Z675" s="97"/>
      <c r="AA675" s="97"/>
      <c r="AB675" s="97"/>
      <c r="AC675" s="97"/>
      <c r="AD675" s="97"/>
      <c r="AE675" s="97"/>
    </row>
    <row r="676" spans="2:31" x14ac:dyDescent="0.45">
      <c r="B676" s="97"/>
      <c r="C676" s="97"/>
      <c r="D676" s="97"/>
      <c r="E676" s="97"/>
      <c r="R676" s="97"/>
      <c r="S676" s="97"/>
      <c r="T676" s="97"/>
      <c r="U676" s="97"/>
      <c r="V676" s="97"/>
      <c r="W676" s="97"/>
      <c r="X676" s="97"/>
      <c r="Y676" s="97"/>
      <c r="Z676" s="97"/>
      <c r="AA676" s="97"/>
      <c r="AB676" s="97"/>
      <c r="AC676" s="97"/>
      <c r="AD676" s="97"/>
      <c r="AE676" s="97"/>
    </row>
    <row r="677" spans="2:31" x14ac:dyDescent="0.45">
      <c r="B677" s="97"/>
      <c r="C677" s="97"/>
      <c r="D677" s="97"/>
      <c r="E677" s="97"/>
      <c r="R677" s="97"/>
      <c r="S677" s="97"/>
      <c r="T677" s="97"/>
      <c r="U677" s="97"/>
      <c r="V677" s="97"/>
      <c r="W677" s="97"/>
      <c r="X677" s="97"/>
      <c r="Y677" s="97"/>
      <c r="Z677" s="97"/>
      <c r="AA677" s="97"/>
      <c r="AB677" s="97"/>
      <c r="AC677" s="97"/>
      <c r="AD677" s="97"/>
      <c r="AE677" s="97"/>
    </row>
    <row r="678" spans="2:31" x14ac:dyDescent="0.45">
      <c r="B678" s="97"/>
      <c r="C678" s="97"/>
      <c r="D678" s="97"/>
      <c r="E678" s="97"/>
      <c r="R678" s="97"/>
      <c r="S678" s="97"/>
      <c r="T678" s="97"/>
      <c r="U678" s="97"/>
      <c r="V678" s="97"/>
      <c r="W678" s="97"/>
      <c r="X678" s="97"/>
      <c r="Y678" s="97"/>
      <c r="Z678" s="97"/>
      <c r="AA678" s="97"/>
      <c r="AB678" s="97"/>
      <c r="AC678" s="97"/>
      <c r="AD678" s="97"/>
      <c r="AE678" s="97"/>
    </row>
    <row r="679" spans="2:31" x14ac:dyDescent="0.45">
      <c r="B679" s="97"/>
      <c r="C679" s="97"/>
      <c r="D679" s="97"/>
      <c r="E679" s="97"/>
      <c r="R679" s="97"/>
      <c r="S679" s="97"/>
      <c r="T679" s="97"/>
      <c r="U679" s="97"/>
      <c r="V679" s="97"/>
      <c r="W679" s="97"/>
      <c r="X679" s="97"/>
      <c r="Y679" s="97"/>
      <c r="Z679" s="97"/>
      <c r="AA679" s="97"/>
      <c r="AB679" s="97"/>
      <c r="AC679" s="97"/>
      <c r="AD679" s="97"/>
      <c r="AE679" s="97"/>
    </row>
    <row r="680" spans="2:31" x14ac:dyDescent="0.45">
      <c r="B680" s="97"/>
      <c r="C680" s="97"/>
      <c r="D680" s="97"/>
      <c r="E680" s="97"/>
      <c r="R680" s="97"/>
      <c r="S680" s="97"/>
      <c r="T680" s="97"/>
      <c r="U680" s="97"/>
      <c r="V680" s="97"/>
      <c r="W680" s="97"/>
      <c r="X680" s="97"/>
      <c r="Y680" s="97"/>
      <c r="Z680" s="97"/>
      <c r="AA680" s="97"/>
      <c r="AB680" s="97"/>
      <c r="AC680" s="97"/>
      <c r="AD680" s="97"/>
      <c r="AE680" s="97"/>
    </row>
    <row r="681" spans="2:31" x14ac:dyDescent="0.45">
      <c r="B681" s="97"/>
      <c r="C681" s="97"/>
      <c r="D681" s="97"/>
      <c r="E681" s="97"/>
      <c r="R681" s="97"/>
      <c r="S681" s="97"/>
      <c r="T681" s="97"/>
      <c r="U681" s="97"/>
      <c r="V681" s="97"/>
      <c r="W681" s="97"/>
      <c r="X681" s="97"/>
      <c r="Y681" s="97"/>
      <c r="Z681" s="97"/>
      <c r="AA681" s="97"/>
      <c r="AB681" s="97"/>
      <c r="AC681" s="97"/>
      <c r="AD681" s="97"/>
      <c r="AE681" s="97"/>
    </row>
    <row r="682" spans="2:31" x14ac:dyDescent="0.45">
      <c r="B682" s="97"/>
      <c r="C682" s="97"/>
      <c r="D682" s="97"/>
      <c r="E682" s="97"/>
      <c r="R682" s="97"/>
      <c r="S682" s="97"/>
      <c r="T682" s="97"/>
      <c r="U682" s="97"/>
      <c r="V682" s="97"/>
      <c r="W682" s="97"/>
      <c r="X682" s="97"/>
      <c r="Y682" s="97"/>
      <c r="Z682" s="97"/>
      <c r="AA682" s="97"/>
      <c r="AB682" s="97"/>
      <c r="AC682" s="97"/>
      <c r="AD682" s="97"/>
      <c r="AE682" s="97"/>
    </row>
    <row r="683" spans="2:31" x14ac:dyDescent="0.45">
      <c r="B683" s="97"/>
      <c r="C683" s="97"/>
      <c r="D683" s="97"/>
      <c r="E683" s="97"/>
      <c r="R683" s="97"/>
      <c r="S683" s="97"/>
      <c r="T683" s="97"/>
      <c r="U683" s="97"/>
      <c r="V683" s="97"/>
      <c r="W683" s="97"/>
      <c r="X683" s="97"/>
      <c r="Y683" s="97"/>
      <c r="Z683" s="97"/>
      <c r="AA683" s="97"/>
      <c r="AB683" s="97"/>
      <c r="AC683" s="97"/>
      <c r="AD683" s="97"/>
      <c r="AE683" s="97"/>
    </row>
    <row r="684" spans="2:31" x14ac:dyDescent="0.45">
      <c r="B684" s="97"/>
      <c r="C684" s="97"/>
      <c r="D684" s="97"/>
      <c r="E684" s="97"/>
      <c r="R684" s="97"/>
      <c r="S684" s="97"/>
      <c r="T684" s="97"/>
      <c r="U684" s="97"/>
      <c r="V684" s="97"/>
      <c r="W684" s="97"/>
      <c r="X684" s="97"/>
      <c r="Y684" s="97"/>
      <c r="Z684" s="97"/>
      <c r="AA684" s="97"/>
      <c r="AB684" s="97"/>
      <c r="AC684" s="97"/>
      <c r="AD684" s="97"/>
      <c r="AE684" s="97"/>
    </row>
    <row r="685" spans="2:31" x14ac:dyDescent="0.45">
      <c r="B685" s="97"/>
      <c r="C685" s="97"/>
      <c r="D685" s="97"/>
      <c r="E685" s="97"/>
      <c r="R685" s="97"/>
      <c r="S685" s="97"/>
      <c r="T685" s="97"/>
      <c r="U685" s="97"/>
      <c r="V685" s="97"/>
      <c r="W685" s="97"/>
      <c r="X685" s="97"/>
      <c r="Y685" s="97"/>
      <c r="Z685" s="97"/>
      <c r="AA685" s="97"/>
      <c r="AB685" s="97"/>
      <c r="AC685" s="97"/>
      <c r="AD685" s="97"/>
      <c r="AE685" s="97"/>
    </row>
    <row r="686" spans="2:31" x14ac:dyDescent="0.45">
      <c r="B686" s="97"/>
      <c r="C686" s="97"/>
      <c r="D686" s="97"/>
      <c r="E686" s="97"/>
      <c r="R686" s="97"/>
      <c r="S686" s="97"/>
      <c r="T686" s="97"/>
      <c r="U686" s="97"/>
      <c r="V686" s="97"/>
      <c r="W686" s="97"/>
      <c r="X686" s="97"/>
      <c r="Y686" s="97"/>
      <c r="Z686" s="97"/>
      <c r="AA686" s="97"/>
      <c r="AB686" s="97"/>
      <c r="AC686" s="97"/>
      <c r="AD686" s="97"/>
      <c r="AE686" s="97"/>
    </row>
    <row r="687" spans="2:31" x14ac:dyDescent="0.45">
      <c r="B687" s="97"/>
      <c r="C687" s="97"/>
      <c r="D687" s="97"/>
      <c r="E687" s="97"/>
      <c r="R687" s="97"/>
      <c r="S687" s="97"/>
      <c r="T687" s="97"/>
      <c r="U687" s="97"/>
      <c r="V687" s="97"/>
      <c r="W687" s="97"/>
      <c r="X687" s="97"/>
      <c r="Y687" s="97"/>
      <c r="Z687" s="97"/>
      <c r="AA687" s="97"/>
      <c r="AB687" s="97"/>
      <c r="AC687" s="97"/>
      <c r="AD687" s="97"/>
      <c r="AE687" s="97"/>
    </row>
    <row r="688" spans="2:31" x14ac:dyDescent="0.45">
      <c r="B688" s="97"/>
      <c r="C688" s="97"/>
      <c r="D688" s="97"/>
      <c r="E688" s="97"/>
      <c r="R688" s="97"/>
      <c r="S688" s="97"/>
      <c r="T688" s="97"/>
      <c r="U688" s="97"/>
      <c r="V688" s="97"/>
      <c r="W688" s="97"/>
      <c r="X688" s="97"/>
      <c r="Y688" s="97"/>
      <c r="Z688" s="97"/>
      <c r="AA688" s="97"/>
      <c r="AB688" s="97"/>
      <c r="AC688" s="97"/>
      <c r="AD688" s="97"/>
      <c r="AE688" s="97"/>
    </row>
    <row r="689" spans="2:31" x14ac:dyDescent="0.45">
      <c r="B689" s="97"/>
      <c r="C689" s="97"/>
      <c r="D689" s="97"/>
      <c r="E689" s="97"/>
      <c r="R689" s="97"/>
      <c r="S689" s="97"/>
      <c r="T689" s="97"/>
      <c r="U689" s="97"/>
      <c r="V689" s="97"/>
      <c r="W689" s="97"/>
      <c r="X689" s="97"/>
      <c r="Y689" s="97"/>
      <c r="Z689" s="97"/>
      <c r="AA689" s="97"/>
      <c r="AB689" s="97"/>
      <c r="AC689" s="97"/>
      <c r="AD689" s="97"/>
      <c r="AE689" s="97"/>
    </row>
    <row r="690" spans="2:31" x14ac:dyDescent="0.45">
      <c r="B690" s="97"/>
      <c r="C690" s="97"/>
      <c r="D690" s="97"/>
      <c r="E690" s="97"/>
      <c r="R690" s="97"/>
      <c r="S690" s="97"/>
      <c r="T690" s="97"/>
      <c r="U690" s="97"/>
      <c r="V690" s="97"/>
      <c r="W690" s="97"/>
      <c r="X690" s="97"/>
      <c r="Y690" s="97"/>
      <c r="Z690" s="97"/>
      <c r="AA690" s="97"/>
      <c r="AB690" s="97"/>
      <c r="AC690" s="97"/>
      <c r="AD690" s="97"/>
      <c r="AE690" s="97"/>
    </row>
    <row r="691" spans="2:31" x14ac:dyDescent="0.45">
      <c r="B691" s="97"/>
      <c r="C691" s="97"/>
      <c r="D691" s="97"/>
      <c r="E691" s="97"/>
      <c r="R691" s="97"/>
      <c r="S691" s="97"/>
      <c r="T691" s="97"/>
      <c r="U691" s="97"/>
      <c r="V691" s="97"/>
      <c r="W691" s="97"/>
      <c r="X691" s="97"/>
      <c r="Y691" s="97"/>
      <c r="Z691" s="97"/>
      <c r="AA691" s="97"/>
      <c r="AB691" s="97"/>
      <c r="AC691" s="97"/>
      <c r="AD691" s="97"/>
      <c r="AE691" s="97"/>
    </row>
    <row r="692" spans="2:31" x14ac:dyDescent="0.45">
      <c r="B692" s="97"/>
      <c r="C692" s="97"/>
      <c r="D692" s="97"/>
      <c r="E692" s="97"/>
      <c r="R692" s="97"/>
      <c r="S692" s="97"/>
      <c r="T692" s="97"/>
      <c r="U692" s="97"/>
      <c r="V692" s="97"/>
      <c r="W692" s="97"/>
      <c r="X692" s="97"/>
      <c r="Y692" s="97"/>
      <c r="Z692" s="97"/>
      <c r="AA692" s="97"/>
      <c r="AB692" s="97"/>
      <c r="AC692" s="97"/>
      <c r="AD692" s="97"/>
      <c r="AE692" s="97"/>
    </row>
    <row r="693" spans="2:31" x14ac:dyDescent="0.45">
      <c r="B693" s="97"/>
      <c r="C693" s="97"/>
      <c r="D693" s="97"/>
      <c r="E693" s="97"/>
      <c r="R693" s="97"/>
      <c r="S693" s="97"/>
      <c r="T693" s="97"/>
      <c r="U693" s="97"/>
      <c r="V693" s="97"/>
      <c r="W693" s="97"/>
      <c r="X693" s="97"/>
      <c r="Y693" s="97"/>
      <c r="Z693" s="97"/>
      <c r="AA693" s="97"/>
      <c r="AB693" s="97"/>
      <c r="AC693" s="97"/>
      <c r="AD693" s="97"/>
      <c r="AE693" s="97"/>
    </row>
    <row r="694" spans="2:31" x14ac:dyDescent="0.45">
      <c r="B694" s="97"/>
      <c r="C694" s="97"/>
      <c r="D694" s="97"/>
      <c r="E694" s="97"/>
      <c r="R694" s="97"/>
      <c r="S694" s="97"/>
      <c r="T694" s="97"/>
      <c r="U694" s="97"/>
      <c r="V694" s="97"/>
      <c r="W694" s="97"/>
      <c r="X694" s="97"/>
      <c r="Y694" s="97"/>
      <c r="Z694" s="97"/>
      <c r="AA694" s="97"/>
      <c r="AB694" s="97"/>
      <c r="AC694" s="97"/>
      <c r="AD694" s="97"/>
      <c r="AE694" s="97"/>
    </row>
    <row r="695" spans="2:31" x14ac:dyDescent="0.45">
      <c r="B695" s="97"/>
      <c r="C695" s="97"/>
      <c r="D695" s="97"/>
      <c r="E695" s="97"/>
      <c r="R695" s="97"/>
      <c r="S695" s="97"/>
      <c r="T695" s="97"/>
      <c r="U695" s="97"/>
      <c r="V695" s="97"/>
      <c r="W695" s="97"/>
      <c r="X695" s="97"/>
      <c r="Y695" s="97"/>
      <c r="Z695" s="97"/>
      <c r="AA695" s="97"/>
      <c r="AB695" s="97"/>
      <c r="AC695" s="97"/>
      <c r="AD695" s="97"/>
      <c r="AE695" s="97"/>
    </row>
    <row r="696" spans="2:31" x14ac:dyDescent="0.45">
      <c r="B696" s="97"/>
      <c r="C696" s="97"/>
      <c r="D696" s="97"/>
      <c r="E696" s="97"/>
      <c r="R696" s="97"/>
      <c r="S696" s="97"/>
      <c r="T696" s="97"/>
      <c r="U696" s="97"/>
      <c r="V696" s="97"/>
      <c r="W696" s="97"/>
      <c r="X696" s="97"/>
      <c r="Y696" s="97"/>
      <c r="Z696" s="97"/>
      <c r="AA696" s="97"/>
      <c r="AB696" s="97"/>
      <c r="AC696" s="97"/>
      <c r="AD696" s="97"/>
      <c r="AE696" s="97"/>
    </row>
    <row r="697" spans="2:31" x14ac:dyDescent="0.45">
      <c r="B697" s="97"/>
      <c r="C697" s="97"/>
      <c r="D697" s="97"/>
      <c r="E697" s="97"/>
      <c r="R697" s="97"/>
      <c r="S697" s="97"/>
      <c r="T697" s="97"/>
      <c r="U697" s="97"/>
      <c r="V697" s="97"/>
      <c r="W697" s="97"/>
      <c r="X697" s="97"/>
      <c r="Y697" s="97"/>
      <c r="Z697" s="97"/>
      <c r="AA697" s="97"/>
      <c r="AB697" s="97"/>
      <c r="AC697" s="97"/>
      <c r="AD697" s="97"/>
      <c r="AE697" s="97"/>
    </row>
    <row r="698" spans="2:31" x14ac:dyDescent="0.45">
      <c r="B698" s="97"/>
      <c r="C698" s="97"/>
      <c r="D698" s="97"/>
      <c r="E698" s="97"/>
      <c r="R698" s="97"/>
      <c r="S698" s="97"/>
      <c r="T698" s="97"/>
      <c r="U698" s="97"/>
      <c r="V698" s="97"/>
      <c r="W698" s="97"/>
      <c r="X698" s="97"/>
      <c r="Y698" s="97"/>
      <c r="Z698" s="97"/>
      <c r="AA698" s="97"/>
      <c r="AB698" s="97"/>
      <c r="AC698" s="97"/>
      <c r="AD698" s="97"/>
      <c r="AE698" s="97"/>
    </row>
    <row r="699" spans="2:31" x14ac:dyDescent="0.45">
      <c r="B699" s="97"/>
      <c r="C699" s="97"/>
      <c r="D699" s="97"/>
      <c r="E699" s="97"/>
      <c r="R699" s="97"/>
      <c r="S699" s="97"/>
      <c r="T699" s="97"/>
      <c r="U699" s="97"/>
      <c r="V699" s="97"/>
      <c r="W699" s="97"/>
      <c r="X699" s="97"/>
      <c r="Y699" s="97"/>
      <c r="Z699" s="97"/>
      <c r="AA699" s="97"/>
      <c r="AB699" s="97"/>
      <c r="AC699" s="97"/>
      <c r="AD699" s="97"/>
      <c r="AE699" s="97"/>
    </row>
    <row r="700" spans="2:31" x14ac:dyDescent="0.45">
      <c r="B700" s="97"/>
      <c r="C700" s="97"/>
      <c r="D700" s="97"/>
      <c r="E700" s="97"/>
      <c r="R700" s="97"/>
      <c r="S700" s="97"/>
      <c r="T700" s="97"/>
      <c r="U700" s="97"/>
      <c r="V700" s="97"/>
      <c r="W700" s="97"/>
      <c r="X700" s="97"/>
      <c r="Y700" s="97"/>
      <c r="Z700" s="97"/>
      <c r="AA700" s="97"/>
      <c r="AB700" s="97"/>
      <c r="AC700" s="97"/>
      <c r="AD700" s="97"/>
      <c r="AE700" s="97"/>
    </row>
    <row r="701" spans="2:31" x14ac:dyDescent="0.45">
      <c r="B701" s="97"/>
      <c r="C701" s="97"/>
      <c r="D701" s="97"/>
      <c r="E701" s="97"/>
      <c r="R701" s="97"/>
      <c r="S701" s="97"/>
      <c r="T701" s="97"/>
      <c r="U701" s="97"/>
      <c r="V701" s="97"/>
      <c r="W701" s="97"/>
      <c r="X701" s="97"/>
      <c r="Y701" s="97"/>
      <c r="Z701" s="97"/>
      <c r="AA701" s="97"/>
      <c r="AB701" s="97"/>
      <c r="AC701" s="97"/>
      <c r="AD701" s="97"/>
      <c r="AE701" s="97"/>
    </row>
    <row r="702" spans="2:31" x14ac:dyDescent="0.45">
      <c r="B702" s="97"/>
      <c r="C702" s="97"/>
      <c r="D702" s="97"/>
      <c r="E702" s="97"/>
      <c r="R702" s="97"/>
      <c r="S702" s="97"/>
      <c r="T702" s="97"/>
      <c r="U702" s="97"/>
      <c r="V702" s="97"/>
      <c r="W702" s="97"/>
      <c r="X702" s="97"/>
      <c r="Y702" s="97"/>
      <c r="Z702" s="97"/>
      <c r="AA702" s="97"/>
      <c r="AB702" s="97"/>
      <c r="AC702" s="97"/>
      <c r="AD702" s="97"/>
      <c r="AE702" s="97"/>
    </row>
    <row r="703" spans="2:31" x14ac:dyDescent="0.45">
      <c r="B703" s="97"/>
      <c r="C703" s="97"/>
      <c r="D703" s="97"/>
      <c r="E703" s="97"/>
      <c r="R703" s="97"/>
      <c r="S703" s="97"/>
      <c r="T703" s="97"/>
      <c r="U703" s="97"/>
      <c r="V703" s="97"/>
      <c r="W703" s="97"/>
      <c r="X703" s="97"/>
      <c r="Y703" s="97"/>
      <c r="Z703" s="97"/>
      <c r="AA703" s="97"/>
      <c r="AB703" s="97"/>
      <c r="AC703" s="97"/>
      <c r="AD703" s="97"/>
      <c r="AE703" s="97"/>
    </row>
    <row r="704" spans="2:31" x14ac:dyDescent="0.45">
      <c r="B704" s="97"/>
      <c r="C704" s="97"/>
      <c r="D704" s="97"/>
      <c r="E704" s="97"/>
      <c r="R704" s="97"/>
      <c r="S704" s="97"/>
      <c r="T704" s="97"/>
      <c r="U704" s="97"/>
      <c r="V704" s="97"/>
      <c r="W704" s="97"/>
      <c r="X704" s="97"/>
      <c r="Y704" s="97"/>
      <c r="Z704" s="97"/>
      <c r="AA704" s="97"/>
      <c r="AB704" s="97"/>
      <c r="AC704" s="97"/>
      <c r="AD704" s="97"/>
      <c r="AE704" s="97"/>
    </row>
    <row r="705" spans="2:31" x14ac:dyDescent="0.45">
      <c r="B705" s="97"/>
      <c r="C705" s="97"/>
      <c r="D705" s="97"/>
      <c r="E705" s="97"/>
      <c r="R705" s="97"/>
      <c r="S705" s="97"/>
      <c r="T705" s="97"/>
      <c r="U705" s="97"/>
      <c r="V705" s="97"/>
      <c r="W705" s="97"/>
      <c r="X705" s="97"/>
      <c r="Y705" s="97"/>
      <c r="Z705" s="97"/>
      <c r="AA705" s="97"/>
      <c r="AB705" s="97"/>
      <c r="AC705" s="97"/>
      <c r="AD705" s="97"/>
      <c r="AE705" s="97"/>
    </row>
    <row r="706" spans="2:31" x14ac:dyDescent="0.45">
      <c r="B706" s="97"/>
      <c r="C706" s="97"/>
      <c r="D706" s="97"/>
      <c r="E706" s="97"/>
      <c r="R706" s="97"/>
      <c r="S706" s="97"/>
      <c r="T706" s="97"/>
      <c r="U706" s="97"/>
      <c r="V706" s="97"/>
      <c r="W706" s="97"/>
      <c r="X706" s="97"/>
      <c r="Y706" s="97"/>
      <c r="Z706" s="97"/>
      <c r="AA706" s="97"/>
      <c r="AB706" s="97"/>
      <c r="AC706" s="97"/>
      <c r="AD706" s="97"/>
      <c r="AE706" s="97"/>
    </row>
    <row r="707" spans="2:31" x14ac:dyDescent="0.45">
      <c r="B707" s="97"/>
      <c r="C707" s="97"/>
      <c r="D707" s="97"/>
      <c r="E707" s="97"/>
      <c r="R707" s="97"/>
      <c r="S707" s="97"/>
      <c r="T707" s="97"/>
      <c r="U707" s="97"/>
      <c r="V707" s="97"/>
      <c r="W707" s="97"/>
      <c r="X707" s="97"/>
      <c r="Y707" s="97"/>
      <c r="Z707" s="97"/>
      <c r="AA707" s="97"/>
      <c r="AB707" s="97"/>
      <c r="AC707" s="97"/>
      <c r="AD707" s="97"/>
      <c r="AE707" s="97"/>
    </row>
    <row r="708" spans="2:31" x14ac:dyDescent="0.45">
      <c r="B708" s="97"/>
      <c r="C708" s="97"/>
      <c r="D708" s="97"/>
      <c r="E708" s="97"/>
      <c r="R708" s="97"/>
      <c r="S708" s="97"/>
      <c r="T708" s="97"/>
      <c r="U708" s="97"/>
      <c r="V708" s="97"/>
      <c r="W708" s="97"/>
      <c r="X708" s="97"/>
      <c r="Y708" s="97"/>
      <c r="Z708" s="97"/>
      <c r="AA708" s="97"/>
      <c r="AB708" s="97"/>
      <c r="AC708" s="97"/>
      <c r="AD708" s="97"/>
      <c r="AE708" s="97"/>
    </row>
    <row r="709" spans="2:31" x14ac:dyDescent="0.45">
      <c r="B709" s="97"/>
      <c r="C709" s="97"/>
      <c r="D709" s="97"/>
      <c r="E709" s="97"/>
      <c r="R709" s="97"/>
      <c r="S709" s="97"/>
      <c r="T709" s="97"/>
      <c r="U709" s="97"/>
      <c r="V709" s="97"/>
      <c r="W709" s="97"/>
      <c r="X709" s="97"/>
      <c r="Y709" s="97"/>
      <c r="Z709" s="97"/>
      <c r="AA709" s="97"/>
      <c r="AB709" s="97"/>
      <c r="AC709" s="97"/>
      <c r="AD709" s="97"/>
      <c r="AE709" s="97"/>
    </row>
    <row r="710" spans="2:31" x14ac:dyDescent="0.45">
      <c r="B710" s="97"/>
      <c r="C710" s="97"/>
      <c r="D710" s="97"/>
      <c r="E710" s="97"/>
      <c r="R710" s="97"/>
      <c r="S710" s="97"/>
      <c r="T710" s="97"/>
      <c r="U710" s="97"/>
      <c r="V710" s="97"/>
      <c r="W710" s="97"/>
      <c r="X710" s="97"/>
      <c r="Y710" s="97"/>
      <c r="Z710" s="97"/>
      <c r="AA710" s="97"/>
      <c r="AB710" s="97"/>
      <c r="AC710" s="97"/>
      <c r="AD710" s="97"/>
      <c r="AE710" s="97"/>
    </row>
    <row r="711" spans="2:31" x14ac:dyDescent="0.45">
      <c r="B711" s="97"/>
      <c r="C711" s="97"/>
      <c r="D711" s="97"/>
      <c r="E711" s="97"/>
      <c r="R711" s="97"/>
      <c r="S711" s="97"/>
      <c r="T711" s="97"/>
      <c r="U711" s="97"/>
      <c r="V711" s="97"/>
      <c r="W711" s="97"/>
      <c r="X711" s="97"/>
      <c r="Y711" s="97"/>
      <c r="Z711" s="97"/>
      <c r="AA711" s="97"/>
      <c r="AB711" s="97"/>
      <c r="AC711" s="97"/>
      <c r="AD711" s="97"/>
      <c r="AE711" s="97"/>
    </row>
    <row r="712" spans="2:31" x14ac:dyDescent="0.45">
      <c r="B712" s="97"/>
      <c r="C712" s="97"/>
      <c r="D712" s="97"/>
      <c r="E712" s="97"/>
      <c r="R712" s="97"/>
      <c r="S712" s="97"/>
      <c r="T712" s="97"/>
      <c r="U712" s="97"/>
      <c r="V712" s="97"/>
      <c r="W712" s="97"/>
      <c r="X712" s="97"/>
      <c r="Y712" s="97"/>
      <c r="Z712" s="97"/>
      <c r="AA712" s="97"/>
      <c r="AB712" s="97"/>
      <c r="AC712" s="97"/>
      <c r="AD712" s="97"/>
      <c r="AE712" s="97"/>
    </row>
    <row r="713" spans="2:31" x14ac:dyDescent="0.45">
      <c r="B713" s="97"/>
      <c r="C713" s="97"/>
      <c r="D713" s="97"/>
      <c r="E713" s="97"/>
      <c r="R713" s="97"/>
      <c r="S713" s="97"/>
      <c r="T713" s="97"/>
      <c r="U713" s="97"/>
      <c r="V713" s="97"/>
      <c r="W713" s="97"/>
      <c r="X713" s="97"/>
      <c r="Y713" s="97"/>
      <c r="Z713" s="97"/>
      <c r="AA713" s="97"/>
      <c r="AB713" s="97"/>
      <c r="AC713" s="97"/>
      <c r="AD713" s="97"/>
      <c r="AE713" s="97"/>
    </row>
    <row r="714" spans="2:31" x14ac:dyDescent="0.45">
      <c r="B714" s="97"/>
      <c r="C714" s="97"/>
      <c r="D714" s="97"/>
      <c r="E714" s="97"/>
      <c r="R714" s="97"/>
      <c r="S714" s="97"/>
      <c r="T714" s="97"/>
      <c r="U714" s="97"/>
      <c r="V714" s="97"/>
      <c r="W714" s="97"/>
      <c r="X714" s="97"/>
      <c r="Y714" s="97"/>
      <c r="Z714" s="97"/>
      <c r="AA714" s="97"/>
      <c r="AB714" s="97"/>
      <c r="AC714" s="97"/>
      <c r="AD714" s="97"/>
      <c r="AE714" s="97"/>
    </row>
    <row r="715" spans="2:31" x14ac:dyDescent="0.45">
      <c r="B715" s="97"/>
      <c r="C715" s="97"/>
      <c r="D715" s="97"/>
      <c r="E715" s="97"/>
      <c r="R715" s="97"/>
      <c r="S715" s="97"/>
      <c r="T715" s="97"/>
      <c r="U715" s="97"/>
      <c r="V715" s="97"/>
      <c r="W715" s="97"/>
      <c r="X715" s="97"/>
      <c r="Y715" s="97"/>
      <c r="Z715" s="97"/>
      <c r="AA715" s="97"/>
      <c r="AB715" s="97"/>
      <c r="AC715" s="97"/>
      <c r="AD715" s="97"/>
      <c r="AE715" s="97"/>
    </row>
    <row r="716" spans="2:31" x14ac:dyDescent="0.45">
      <c r="B716" s="97"/>
      <c r="C716" s="97"/>
      <c r="D716" s="97"/>
      <c r="E716" s="97"/>
      <c r="R716" s="97"/>
      <c r="S716" s="97"/>
      <c r="T716" s="97"/>
      <c r="U716" s="97"/>
      <c r="V716" s="97"/>
      <c r="W716" s="97"/>
      <c r="X716" s="97"/>
      <c r="Y716" s="97"/>
      <c r="Z716" s="97"/>
      <c r="AA716" s="97"/>
      <c r="AB716" s="97"/>
      <c r="AC716" s="97"/>
      <c r="AD716" s="97"/>
      <c r="AE716" s="97"/>
    </row>
    <row r="717" spans="2:31" x14ac:dyDescent="0.45">
      <c r="B717" s="97"/>
      <c r="C717" s="97"/>
      <c r="D717" s="97"/>
      <c r="E717" s="97"/>
      <c r="R717" s="97"/>
      <c r="S717" s="97"/>
      <c r="T717" s="97"/>
      <c r="U717" s="97"/>
      <c r="V717" s="97"/>
      <c r="W717" s="97"/>
      <c r="X717" s="97"/>
      <c r="Y717" s="97"/>
      <c r="Z717" s="97"/>
      <c r="AA717" s="97"/>
      <c r="AB717" s="97"/>
      <c r="AC717" s="97"/>
      <c r="AD717" s="97"/>
      <c r="AE717" s="97"/>
    </row>
    <row r="718" spans="2:31" x14ac:dyDescent="0.45">
      <c r="B718" s="97"/>
      <c r="C718" s="97"/>
      <c r="D718" s="97"/>
      <c r="E718" s="97"/>
      <c r="R718" s="97"/>
      <c r="S718" s="97"/>
      <c r="T718" s="97"/>
      <c r="U718" s="97"/>
      <c r="V718" s="97"/>
      <c r="W718" s="97"/>
      <c r="X718" s="97"/>
      <c r="Y718" s="97"/>
      <c r="Z718" s="97"/>
      <c r="AA718" s="97"/>
      <c r="AB718" s="97"/>
      <c r="AC718" s="97"/>
      <c r="AD718" s="97"/>
      <c r="AE718" s="97"/>
    </row>
    <row r="719" spans="2:31" x14ac:dyDescent="0.45">
      <c r="B719" s="97"/>
      <c r="C719" s="97"/>
      <c r="D719" s="97"/>
      <c r="E719" s="97"/>
      <c r="R719" s="97"/>
      <c r="S719" s="97"/>
      <c r="T719" s="97"/>
      <c r="U719" s="97"/>
      <c r="V719" s="97"/>
      <c r="W719" s="97"/>
      <c r="X719" s="97"/>
      <c r="Y719" s="97"/>
      <c r="Z719" s="97"/>
      <c r="AA719" s="97"/>
      <c r="AB719" s="97"/>
      <c r="AC719" s="97"/>
      <c r="AD719" s="97"/>
      <c r="AE719" s="97"/>
    </row>
    <row r="720" spans="2:31" x14ac:dyDescent="0.45">
      <c r="B720" s="97"/>
      <c r="C720" s="97"/>
      <c r="D720" s="97"/>
      <c r="E720" s="97"/>
      <c r="R720" s="97"/>
      <c r="S720" s="97"/>
      <c r="T720" s="97"/>
      <c r="U720" s="97"/>
      <c r="V720" s="97"/>
      <c r="W720" s="97"/>
      <c r="X720" s="97"/>
      <c r="Y720" s="97"/>
      <c r="Z720" s="97"/>
      <c r="AA720" s="97"/>
      <c r="AB720" s="97"/>
      <c r="AC720" s="97"/>
      <c r="AD720" s="97"/>
      <c r="AE720" s="97"/>
    </row>
    <row r="721" spans="2:31" x14ac:dyDescent="0.45">
      <c r="B721" s="97"/>
      <c r="C721" s="97"/>
      <c r="D721" s="97"/>
      <c r="E721" s="97"/>
      <c r="R721" s="97"/>
      <c r="S721" s="97"/>
      <c r="T721" s="97"/>
      <c r="U721" s="97"/>
      <c r="V721" s="97"/>
      <c r="W721" s="97"/>
      <c r="X721" s="97"/>
      <c r="Y721" s="97"/>
      <c r="Z721" s="97"/>
      <c r="AA721" s="97"/>
      <c r="AB721" s="97"/>
      <c r="AC721" s="97"/>
      <c r="AD721" s="97"/>
      <c r="AE721" s="97"/>
    </row>
    <row r="722" spans="2:31" x14ac:dyDescent="0.45">
      <c r="B722" s="97"/>
      <c r="C722" s="97"/>
      <c r="D722" s="97"/>
      <c r="E722" s="97"/>
      <c r="R722" s="97"/>
      <c r="S722" s="97"/>
      <c r="T722" s="97"/>
      <c r="U722" s="97"/>
      <c r="V722" s="97"/>
      <c r="W722" s="97"/>
      <c r="X722" s="97"/>
      <c r="Y722" s="97"/>
      <c r="Z722" s="97"/>
      <c r="AA722" s="97"/>
      <c r="AB722" s="97"/>
      <c r="AC722" s="97"/>
      <c r="AD722" s="97"/>
      <c r="AE722" s="97"/>
    </row>
    <row r="723" spans="2:31" x14ac:dyDescent="0.45">
      <c r="B723" s="97"/>
      <c r="C723" s="97"/>
      <c r="D723" s="97"/>
      <c r="E723" s="97"/>
      <c r="R723" s="97"/>
      <c r="S723" s="97"/>
      <c r="T723" s="97"/>
      <c r="U723" s="97"/>
      <c r="V723" s="97"/>
      <c r="W723" s="97"/>
      <c r="X723" s="97"/>
      <c r="Y723" s="97"/>
      <c r="Z723" s="97"/>
      <c r="AA723" s="97"/>
      <c r="AB723" s="97"/>
      <c r="AC723" s="97"/>
      <c r="AD723" s="97"/>
      <c r="AE723" s="97"/>
    </row>
    <row r="724" spans="2:31" x14ac:dyDescent="0.45">
      <c r="B724" s="97"/>
      <c r="C724" s="97"/>
      <c r="D724" s="97"/>
      <c r="E724" s="97"/>
      <c r="R724" s="97"/>
      <c r="S724" s="97"/>
      <c r="T724" s="97"/>
      <c r="U724" s="97"/>
      <c r="V724" s="97"/>
      <c r="W724" s="97"/>
      <c r="X724" s="97"/>
      <c r="Y724" s="97"/>
      <c r="Z724" s="97"/>
      <c r="AA724" s="97"/>
      <c r="AB724" s="97"/>
      <c r="AC724" s="97"/>
      <c r="AD724" s="97"/>
      <c r="AE724" s="97"/>
    </row>
    <row r="725" spans="2:31" x14ac:dyDescent="0.45">
      <c r="B725" s="97"/>
      <c r="C725" s="97"/>
      <c r="D725" s="97"/>
      <c r="E725" s="97"/>
      <c r="R725" s="97"/>
      <c r="S725" s="97"/>
      <c r="T725" s="97"/>
      <c r="U725" s="97"/>
      <c r="V725" s="97"/>
      <c r="W725" s="97"/>
      <c r="X725" s="97"/>
      <c r="Y725" s="97"/>
      <c r="Z725" s="97"/>
      <c r="AA725" s="97"/>
      <c r="AB725" s="97"/>
      <c r="AC725" s="97"/>
      <c r="AD725" s="97"/>
      <c r="AE725" s="97"/>
    </row>
    <row r="726" spans="2:31" x14ac:dyDescent="0.45">
      <c r="B726" s="97"/>
      <c r="C726" s="97"/>
      <c r="D726" s="97"/>
      <c r="E726" s="97"/>
      <c r="R726" s="97"/>
      <c r="S726" s="97"/>
      <c r="T726" s="97"/>
      <c r="U726" s="97"/>
      <c r="V726" s="97"/>
      <c r="W726" s="97"/>
      <c r="X726" s="97"/>
      <c r="Y726" s="97"/>
      <c r="Z726" s="97"/>
      <c r="AA726" s="97"/>
      <c r="AB726" s="97"/>
      <c r="AC726" s="97"/>
      <c r="AD726" s="97"/>
      <c r="AE726" s="97"/>
    </row>
    <row r="727" spans="2:31" x14ac:dyDescent="0.45">
      <c r="B727" s="97"/>
      <c r="C727" s="97"/>
      <c r="D727" s="97"/>
      <c r="E727" s="97"/>
      <c r="R727" s="97"/>
      <c r="S727" s="97"/>
      <c r="T727" s="97"/>
      <c r="U727" s="97"/>
      <c r="V727" s="97"/>
      <c r="W727" s="97"/>
      <c r="X727" s="97"/>
      <c r="Y727" s="97"/>
      <c r="Z727" s="97"/>
      <c r="AA727" s="97"/>
      <c r="AB727" s="97"/>
      <c r="AC727" s="97"/>
      <c r="AD727" s="97"/>
      <c r="AE727" s="97"/>
    </row>
    <row r="728" spans="2:31" x14ac:dyDescent="0.45">
      <c r="B728" s="97"/>
      <c r="C728" s="97"/>
      <c r="D728" s="97"/>
      <c r="E728" s="97"/>
      <c r="R728" s="97"/>
      <c r="S728" s="97"/>
      <c r="T728" s="97"/>
      <c r="U728" s="97"/>
      <c r="V728" s="97"/>
      <c r="W728" s="97"/>
      <c r="X728" s="97"/>
      <c r="Y728" s="97"/>
      <c r="Z728" s="97"/>
      <c r="AA728" s="97"/>
      <c r="AB728" s="97"/>
      <c r="AC728" s="97"/>
      <c r="AD728" s="97"/>
      <c r="AE728" s="97"/>
    </row>
    <row r="729" spans="2:31" x14ac:dyDescent="0.45">
      <c r="B729" s="97"/>
      <c r="C729" s="97"/>
      <c r="D729" s="97"/>
      <c r="E729" s="97"/>
      <c r="R729" s="97"/>
      <c r="S729" s="97"/>
      <c r="T729" s="97"/>
      <c r="U729" s="97"/>
      <c r="V729" s="97"/>
      <c r="W729" s="97"/>
      <c r="X729" s="97"/>
      <c r="Y729" s="97"/>
      <c r="Z729" s="97"/>
      <c r="AA729" s="97"/>
      <c r="AB729" s="97"/>
      <c r="AC729" s="97"/>
      <c r="AD729" s="97"/>
      <c r="AE729" s="97"/>
    </row>
    <row r="730" spans="2:31" x14ac:dyDescent="0.45">
      <c r="B730" s="97"/>
      <c r="C730" s="97"/>
      <c r="D730" s="97"/>
      <c r="E730" s="97"/>
      <c r="R730" s="97"/>
      <c r="S730" s="97"/>
      <c r="T730" s="97"/>
      <c r="U730" s="97"/>
      <c r="V730" s="97"/>
      <c r="W730" s="97"/>
      <c r="X730" s="97"/>
      <c r="Y730" s="97"/>
      <c r="Z730" s="97"/>
      <c r="AA730" s="97"/>
      <c r="AB730" s="97"/>
      <c r="AC730" s="97"/>
      <c r="AD730" s="97"/>
      <c r="AE730" s="97"/>
    </row>
    <row r="731" spans="2:31" x14ac:dyDescent="0.45">
      <c r="B731" s="97"/>
      <c r="C731" s="97"/>
      <c r="D731" s="97"/>
      <c r="E731" s="97"/>
      <c r="R731" s="97"/>
      <c r="S731" s="97"/>
      <c r="T731" s="97"/>
      <c r="U731" s="97"/>
      <c r="V731" s="97"/>
      <c r="W731" s="97"/>
      <c r="X731" s="97"/>
      <c r="Y731" s="97"/>
      <c r="Z731" s="97"/>
      <c r="AA731" s="97"/>
      <c r="AB731" s="97"/>
      <c r="AC731" s="97"/>
      <c r="AD731" s="97"/>
      <c r="AE731" s="97"/>
    </row>
    <row r="732" spans="2:31" x14ac:dyDescent="0.45">
      <c r="B732" s="97"/>
      <c r="C732" s="97"/>
      <c r="D732" s="97"/>
      <c r="E732" s="97"/>
      <c r="R732" s="97"/>
      <c r="S732" s="97"/>
      <c r="T732" s="97"/>
      <c r="U732" s="97"/>
      <c r="V732" s="97"/>
      <c r="W732" s="97"/>
      <c r="X732" s="97"/>
      <c r="Y732" s="97"/>
      <c r="Z732" s="97"/>
      <c r="AA732" s="97"/>
      <c r="AB732" s="97"/>
      <c r="AC732" s="97"/>
      <c r="AD732" s="97"/>
      <c r="AE732" s="97"/>
    </row>
    <row r="733" spans="2:31" x14ac:dyDescent="0.45">
      <c r="B733" s="97"/>
      <c r="C733" s="97"/>
      <c r="D733" s="97"/>
      <c r="E733" s="97"/>
      <c r="R733" s="97"/>
      <c r="S733" s="97"/>
      <c r="T733" s="97"/>
      <c r="U733" s="97"/>
      <c r="V733" s="97"/>
      <c r="W733" s="97"/>
      <c r="X733" s="97"/>
      <c r="Y733" s="97"/>
      <c r="Z733" s="97"/>
      <c r="AA733" s="97"/>
      <c r="AB733" s="97"/>
      <c r="AC733" s="97"/>
      <c r="AD733" s="97"/>
      <c r="AE733" s="97"/>
    </row>
    <row r="734" spans="2:31" x14ac:dyDescent="0.45">
      <c r="B734" s="97"/>
      <c r="C734" s="97"/>
      <c r="D734" s="97"/>
      <c r="E734" s="97"/>
      <c r="R734" s="97"/>
      <c r="S734" s="97"/>
      <c r="T734" s="97"/>
      <c r="U734" s="97"/>
      <c r="V734" s="97"/>
      <c r="W734" s="97"/>
      <c r="X734" s="97"/>
      <c r="Y734" s="97"/>
      <c r="Z734" s="97"/>
      <c r="AA734" s="97"/>
      <c r="AB734" s="97"/>
      <c r="AC734" s="97"/>
      <c r="AD734" s="97"/>
      <c r="AE734" s="97"/>
    </row>
    <row r="735" spans="2:31" x14ac:dyDescent="0.45">
      <c r="B735" s="97"/>
      <c r="C735" s="97"/>
      <c r="D735" s="97"/>
      <c r="E735" s="97"/>
      <c r="R735" s="97"/>
      <c r="S735" s="97"/>
      <c r="T735" s="97"/>
      <c r="U735" s="97"/>
      <c r="V735" s="97"/>
      <c r="W735" s="97"/>
      <c r="X735" s="97"/>
      <c r="Y735" s="97"/>
      <c r="Z735" s="97"/>
      <c r="AA735" s="97"/>
      <c r="AB735" s="97"/>
      <c r="AC735" s="97"/>
      <c r="AD735" s="97"/>
      <c r="AE735" s="97"/>
    </row>
    <row r="736" spans="2:31" x14ac:dyDescent="0.45">
      <c r="B736" s="97"/>
      <c r="C736" s="97"/>
      <c r="D736" s="97"/>
      <c r="E736" s="97"/>
      <c r="R736" s="97"/>
      <c r="S736" s="97"/>
      <c r="T736" s="97"/>
      <c r="U736" s="97"/>
      <c r="V736" s="97"/>
      <c r="W736" s="97"/>
      <c r="X736" s="97"/>
      <c r="Y736" s="97"/>
      <c r="Z736" s="97"/>
      <c r="AA736" s="97"/>
      <c r="AB736" s="97"/>
      <c r="AC736" s="97"/>
      <c r="AD736" s="97"/>
      <c r="AE736" s="97"/>
    </row>
    <row r="737" spans="2:31" x14ac:dyDescent="0.45">
      <c r="B737" s="97"/>
      <c r="C737" s="97"/>
      <c r="D737" s="97"/>
      <c r="E737" s="97"/>
      <c r="R737" s="97"/>
      <c r="S737" s="97"/>
      <c r="T737" s="97"/>
      <c r="U737" s="97"/>
      <c r="V737" s="97"/>
      <c r="W737" s="97"/>
      <c r="X737" s="97"/>
      <c r="Y737" s="97"/>
      <c r="Z737" s="97"/>
      <c r="AA737" s="97"/>
      <c r="AB737" s="97"/>
      <c r="AC737" s="97"/>
      <c r="AD737" s="97"/>
      <c r="AE737" s="97"/>
    </row>
    <row r="738" spans="2:31" x14ac:dyDescent="0.45">
      <c r="B738" s="97"/>
      <c r="C738" s="97"/>
      <c r="D738" s="97"/>
      <c r="E738" s="97"/>
      <c r="R738" s="97"/>
      <c r="S738" s="97"/>
      <c r="T738" s="97"/>
      <c r="U738" s="97"/>
      <c r="V738" s="97"/>
      <c r="W738" s="97"/>
      <c r="X738" s="97"/>
      <c r="Y738" s="97"/>
      <c r="Z738" s="97"/>
      <c r="AA738" s="97"/>
      <c r="AB738" s="97"/>
      <c r="AC738" s="97"/>
      <c r="AD738" s="97"/>
      <c r="AE738" s="97"/>
    </row>
    <row r="739" spans="2:31" x14ac:dyDescent="0.45">
      <c r="B739" s="97"/>
      <c r="C739" s="97"/>
      <c r="D739" s="97"/>
      <c r="E739" s="97"/>
      <c r="R739" s="97"/>
      <c r="S739" s="97"/>
      <c r="T739" s="97"/>
      <c r="U739" s="97"/>
      <c r="V739" s="97"/>
      <c r="W739" s="97"/>
      <c r="X739" s="97"/>
      <c r="Y739" s="97"/>
      <c r="Z739" s="97"/>
      <c r="AA739" s="97"/>
      <c r="AB739" s="97"/>
      <c r="AC739" s="97"/>
      <c r="AD739" s="97"/>
      <c r="AE739" s="97"/>
    </row>
    <row r="740" spans="2:31" x14ac:dyDescent="0.45">
      <c r="B740" s="97"/>
      <c r="C740" s="97"/>
      <c r="D740" s="97"/>
      <c r="E740" s="97"/>
      <c r="R740" s="97"/>
      <c r="S740" s="97"/>
      <c r="T740" s="97"/>
      <c r="U740" s="97"/>
      <c r="V740" s="97"/>
      <c r="W740" s="97"/>
      <c r="X740" s="97"/>
      <c r="Y740" s="97"/>
      <c r="Z740" s="97"/>
      <c r="AA740" s="97"/>
      <c r="AB740" s="97"/>
      <c r="AC740" s="97"/>
      <c r="AD740" s="97"/>
      <c r="AE740" s="97"/>
    </row>
    <row r="741" spans="2:31" x14ac:dyDescent="0.45">
      <c r="B741" s="97"/>
      <c r="C741" s="97"/>
      <c r="D741" s="97"/>
      <c r="E741" s="97"/>
      <c r="R741" s="97"/>
      <c r="S741" s="97"/>
      <c r="T741" s="97"/>
      <c r="U741" s="97"/>
      <c r="V741" s="97"/>
      <c r="W741" s="97"/>
      <c r="X741" s="97"/>
      <c r="Y741" s="97"/>
      <c r="Z741" s="97"/>
      <c r="AA741" s="97"/>
      <c r="AB741" s="97"/>
      <c r="AC741" s="97"/>
      <c r="AD741" s="97"/>
      <c r="AE741" s="97"/>
    </row>
    <row r="742" spans="2:31" x14ac:dyDescent="0.45">
      <c r="B742" s="97"/>
      <c r="C742" s="97"/>
      <c r="D742" s="97"/>
      <c r="E742" s="97"/>
      <c r="R742" s="97"/>
      <c r="S742" s="97"/>
      <c r="T742" s="97"/>
      <c r="U742" s="97"/>
      <c r="V742" s="97"/>
      <c r="W742" s="97"/>
      <c r="X742" s="97"/>
      <c r="Y742" s="97"/>
      <c r="Z742" s="97"/>
      <c r="AA742" s="97"/>
      <c r="AB742" s="97"/>
      <c r="AC742" s="97"/>
      <c r="AD742" s="97"/>
      <c r="AE742" s="97"/>
    </row>
    <row r="743" spans="2:31" x14ac:dyDescent="0.45">
      <c r="B743" s="97"/>
      <c r="C743" s="97"/>
      <c r="D743" s="97"/>
      <c r="E743" s="97"/>
      <c r="R743" s="97"/>
      <c r="S743" s="97"/>
      <c r="T743" s="97"/>
      <c r="U743" s="97"/>
      <c r="V743" s="97"/>
      <c r="W743" s="97"/>
      <c r="X743" s="97"/>
      <c r="Y743" s="97"/>
      <c r="Z743" s="97"/>
      <c r="AA743" s="97"/>
      <c r="AB743" s="97"/>
      <c r="AC743" s="97"/>
      <c r="AD743" s="97"/>
      <c r="AE743" s="97"/>
    </row>
    <row r="744" spans="2:31" x14ac:dyDescent="0.45">
      <c r="B744" s="97"/>
      <c r="C744" s="97"/>
      <c r="D744" s="97"/>
      <c r="E744" s="97"/>
      <c r="R744" s="97"/>
      <c r="S744" s="97"/>
      <c r="T744" s="97"/>
      <c r="U744" s="97"/>
      <c r="V744" s="97"/>
      <c r="W744" s="97"/>
      <c r="X744" s="97"/>
      <c r="Y744" s="97"/>
      <c r="Z744" s="97"/>
      <c r="AA744" s="97"/>
      <c r="AB744" s="97"/>
      <c r="AC744" s="97"/>
      <c r="AD744" s="97"/>
      <c r="AE744" s="97"/>
    </row>
    <row r="745" spans="2:31" x14ac:dyDescent="0.45">
      <c r="B745" s="97"/>
      <c r="C745" s="97"/>
      <c r="D745" s="97"/>
      <c r="E745" s="97"/>
      <c r="R745" s="97"/>
      <c r="S745" s="97"/>
      <c r="T745" s="97"/>
      <c r="U745" s="97"/>
      <c r="V745" s="97"/>
      <c r="W745" s="97"/>
      <c r="X745" s="97"/>
      <c r="Y745" s="97"/>
      <c r="Z745" s="97"/>
      <c r="AA745" s="97"/>
      <c r="AB745" s="97"/>
      <c r="AC745" s="97"/>
      <c r="AD745" s="97"/>
      <c r="AE745" s="97"/>
    </row>
    <row r="746" spans="2:31" x14ac:dyDescent="0.45">
      <c r="B746" s="97"/>
      <c r="C746" s="97"/>
      <c r="D746" s="97"/>
      <c r="E746" s="97"/>
      <c r="R746" s="97"/>
      <c r="S746" s="97"/>
      <c r="T746" s="97"/>
      <c r="U746" s="97"/>
      <c r="V746" s="97"/>
      <c r="W746" s="97"/>
      <c r="X746" s="97"/>
      <c r="Y746" s="97"/>
      <c r="Z746" s="97"/>
      <c r="AA746" s="97"/>
      <c r="AB746" s="97"/>
      <c r="AC746" s="97"/>
      <c r="AD746" s="97"/>
      <c r="AE746" s="97"/>
    </row>
    <row r="747" spans="2:31" x14ac:dyDescent="0.45">
      <c r="B747" s="97"/>
      <c r="C747" s="97"/>
      <c r="D747" s="97"/>
      <c r="E747" s="97"/>
      <c r="R747" s="97"/>
      <c r="S747" s="97"/>
      <c r="T747" s="97"/>
      <c r="U747" s="97"/>
      <c r="V747" s="97"/>
      <c r="W747" s="97"/>
      <c r="X747" s="97"/>
      <c r="Y747" s="97"/>
      <c r="Z747" s="97"/>
      <c r="AA747" s="97"/>
      <c r="AB747" s="97"/>
      <c r="AC747" s="97"/>
      <c r="AD747" s="97"/>
      <c r="AE747" s="97"/>
    </row>
    <row r="748" spans="2:31" x14ac:dyDescent="0.45">
      <c r="B748" s="97"/>
      <c r="C748" s="97"/>
      <c r="D748" s="97"/>
      <c r="E748" s="97"/>
      <c r="R748" s="97"/>
      <c r="S748" s="97"/>
      <c r="T748" s="97"/>
      <c r="U748" s="97"/>
      <c r="V748" s="97"/>
      <c r="W748" s="97"/>
      <c r="X748" s="97"/>
      <c r="Y748" s="97"/>
      <c r="Z748" s="97"/>
      <c r="AA748" s="97"/>
      <c r="AB748" s="97"/>
      <c r="AC748" s="97"/>
      <c r="AD748" s="97"/>
      <c r="AE748" s="97"/>
    </row>
    <row r="749" spans="2:31" x14ac:dyDescent="0.45">
      <c r="B749" s="97"/>
      <c r="C749" s="97"/>
      <c r="D749" s="97"/>
      <c r="E749" s="97"/>
      <c r="R749" s="97"/>
      <c r="S749" s="97"/>
      <c r="T749" s="97"/>
      <c r="U749" s="97"/>
      <c r="V749" s="97"/>
      <c r="W749" s="97"/>
      <c r="X749" s="97"/>
      <c r="Y749" s="97"/>
      <c r="Z749" s="97"/>
      <c r="AA749" s="97"/>
      <c r="AB749" s="97"/>
      <c r="AC749" s="97"/>
      <c r="AD749" s="97"/>
      <c r="AE749" s="97"/>
    </row>
    <row r="750" spans="2:31" x14ac:dyDescent="0.45">
      <c r="B750" s="97"/>
      <c r="C750" s="97"/>
      <c r="D750" s="97"/>
      <c r="E750" s="97"/>
      <c r="R750" s="97"/>
      <c r="S750" s="97"/>
      <c r="T750" s="97"/>
      <c r="U750" s="97"/>
      <c r="V750" s="97"/>
      <c r="W750" s="97"/>
      <c r="X750" s="97"/>
      <c r="Y750" s="97"/>
      <c r="Z750" s="97"/>
      <c r="AA750" s="97"/>
      <c r="AB750" s="97"/>
      <c r="AC750" s="97"/>
      <c r="AD750" s="97"/>
      <c r="AE750" s="97"/>
    </row>
    <row r="751" spans="2:31" x14ac:dyDescent="0.45">
      <c r="B751" s="97"/>
      <c r="C751" s="97"/>
      <c r="D751" s="97"/>
      <c r="E751" s="97"/>
      <c r="R751" s="97"/>
      <c r="S751" s="97"/>
      <c r="T751" s="97"/>
      <c r="U751" s="97"/>
      <c r="V751" s="97"/>
      <c r="W751" s="97"/>
      <c r="X751" s="97"/>
      <c r="Y751" s="97"/>
      <c r="Z751" s="97"/>
      <c r="AA751" s="97"/>
      <c r="AB751" s="97"/>
      <c r="AC751" s="97"/>
      <c r="AD751" s="97"/>
      <c r="AE751" s="97"/>
    </row>
    <row r="752" spans="2:31" x14ac:dyDescent="0.45">
      <c r="B752" s="97"/>
      <c r="C752" s="97"/>
      <c r="D752" s="97"/>
      <c r="E752" s="97"/>
      <c r="R752" s="97"/>
      <c r="S752" s="97"/>
      <c r="T752" s="97"/>
      <c r="U752" s="97"/>
      <c r="V752" s="97"/>
      <c r="W752" s="97"/>
      <c r="X752" s="97"/>
      <c r="Y752" s="97"/>
      <c r="Z752" s="97"/>
      <c r="AA752" s="97"/>
      <c r="AB752" s="97"/>
      <c r="AC752" s="97"/>
      <c r="AD752" s="97"/>
      <c r="AE752" s="97"/>
    </row>
    <row r="753" spans="2:31" x14ac:dyDescent="0.45">
      <c r="B753" s="97"/>
      <c r="C753" s="97"/>
      <c r="D753" s="97"/>
      <c r="E753" s="97"/>
      <c r="R753" s="97"/>
      <c r="S753" s="97"/>
      <c r="T753" s="97"/>
      <c r="U753" s="97"/>
      <c r="V753" s="97"/>
      <c r="W753" s="97"/>
      <c r="X753" s="97"/>
      <c r="Y753" s="97"/>
      <c r="Z753" s="97"/>
      <c r="AA753" s="97"/>
      <c r="AB753" s="97"/>
      <c r="AC753" s="97"/>
      <c r="AD753" s="97"/>
      <c r="AE753" s="97"/>
    </row>
    <row r="754" spans="2:31" x14ac:dyDescent="0.45">
      <c r="B754" s="97"/>
      <c r="C754" s="97"/>
      <c r="D754" s="97"/>
      <c r="E754" s="97"/>
      <c r="R754" s="97"/>
      <c r="S754" s="97"/>
      <c r="T754" s="97"/>
      <c r="U754" s="97"/>
      <c r="V754" s="97"/>
      <c r="W754" s="97"/>
      <c r="X754" s="97"/>
      <c r="Y754" s="97"/>
      <c r="Z754" s="97"/>
      <c r="AA754" s="97"/>
      <c r="AB754" s="97"/>
      <c r="AC754" s="97"/>
      <c r="AD754" s="97"/>
      <c r="AE754" s="97"/>
    </row>
    <row r="755" spans="2:31" x14ac:dyDescent="0.45">
      <c r="B755" s="97"/>
      <c r="C755" s="97"/>
      <c r="D755" s="97"/>
      <c r="E755" s="97"/>
      <c r="R755" s="97"/>
      <c r="S755" s="97"/>
      <c r="T755" s="97"/>
      <c r="U755" s="97"/>
      <c r="V755" s="97"/>
      <c r="W755" s="97"/>
      <c r="X755" s="97"/>
      <c r="Y755" s="97"/>
      <c r="Z755" s="97"/>
      <c r="AA755" s="97"/>
      <c r="AB755" s="97"/>
      <c r="AC755" s="97"/>
      <c r="AD755" s="97"/>
      <c r="AE755" s="97"/>
    </row>
    <row r="756" spans="2:31" x14ac:dyDescent="0.45">
      <c r="B756" s="97"/>
      <c r="C756" s="97"/>
      <c r="D756" s="97"/>
      <c r="E756" s="97"/>
      <c r="R756" s="97"/>
      <c r="S756" s="97"/>
      <c r="T756" s="97"/>
      <c r="U756" s="97"/>
      <c r="V756" s="97"/>
      <c r="W756" s="97"/>
      <c r="X756" s="97"/>
      <c r="Y756" s="97"/>
      <c r="Z756" s="97"/>
      <c r="AA756" s="97"/>
      <c r="AB756" s="97"/>
      <c r="AC756" s="97"/>
      <c r="AD756" s="97"/>
      <c r="AE756" s="97"/>
    </row>
    <row r="757" spans="2:31" x14ac:dyDescent="0.45">
      <c r="B757" s="97"/>
      <c r="C757" s="97"/>
      <c r="D757" s="97"/>
      <c r="E757" s="97"/>
      <c r="R757" s="97"/>
      <c r="S757" s="97"/>
      <c r="T757" s="97"/>
      <c r="U757" s="97"/>
      <c r="V757" s="97"/>
      <c r="W757" s="97"/>
      <c r="X757" s="97"/>
      <c r="Y757" s="97"/>
      <c r="Z757" s="97"/>
      <c r="AA757" s="97"/>
      <c r="AB757" s="97"/>
      <c r="AC757" s="97"/>
      <c r="AD757" s="97"/>
      <c r="AE757" s="97"/>
    </row>
    <row r="758" spans="2:31" x14ac:dyDescent="0.45">
      <c r="B758" s="97"/>
      <c r="C758" s="97"/>
      <c r="D758" s="97"/>
      <c r="E758" s="97"/>
      <c r="R758" s="97"/>
      <c r="S758" s="97"/>
      <c r="T758" s="97"/>
      <c r="U758" s="97"/>
      <c r="V758" s="97"/>
      <c r="W758" s="97"/>
      <c r="X758" s="97"/>
      <c r="Y758" s="97"/>
      <c r="Z758" s="97"/>
      <c r="AA758" s="97"/>
      <c r="AB758" s="97"/>
      <c r="AC758" s="97"/>
      <c r="AD758" s="97"/>
      <c r="AE758" s="97"/>
    </row>
    <row r="759" spans="2:31" x14ac:dyDescent="0.45">
      <c r="B759" s="97"/>
      <c r="C759" s="97"/>
      <c r="D759" s="97"/>
      <c r="E759" s="97"/>
      <c r="R759" s="97"/>
      <c r="S759" s="97"/>
      <c r="T759" s="97"/>
      <c r="U759" s="97"/>
      <c r="V759" s="97"/>
      <c r="W759" s="97"/>
      <c r="X759" s="97"/>
      <c r="Y759" s="97"/>
      <c r="Z759" s="97"/>
      <c r="AA759" s="97"/>
      <c r="AB759" s="97"/>
      <c r="AC759" s="97"/>
      <c r="AD759" s="97"/>
      <c r="AE759" s="97"/>
    </row>
    <row r="760" spans="2:31" x14ac:dyDescent="0.45">
      <c r="B760" s="97"/>
      <c r="C760" s="97"/>
      <c r="D760" s="97"/>
      <c r="E760" s="97"/>
      <c r="R760" s="97"/>
      <c r="S760" s="97"/>
      <c r="T760" s="97"/>
      <c r="U760" s="97"/>
      <c r="V760" s="97"/>
      <c r="W760" s="97"/>
      <c r="X760" s="97"/>
      <c r="Y760" s="97"/>
      <c r="Z760" s="97"/>
      <c r="AA760" s="97"/>
      <c r="AB760" s="97"/>
      <c r="AC760" s="97"/>
      <c r="AD760" s="97"/>
      <c r="AE760" s="97"/>
    </row>
    <row r="761" spans="2:31" x14ac:dyDescent="0.45">
      <c r="B761" s="97"/>
      <c r="C761" s="97"/>
      <c r="D761" s="97"/>
      <c r="E761" s="97"/>
      <c r="R761" s="97"/>
      <c r="S761" s="97"/>
      <c r="T761" s="97"/>
      <c r="U761" s="97"/>
      <c r="V761" s="97"/>
      <c r="W761" s="97"/>
      <c r="X761" s="97"/>
      <c r="Y761" s="97"/>
      <c r="Z761" s="97"/>
      <c r="AA761" s="97"/>
      <c r="AB761" s="97"/>
      <c r="AC761" s="97"/>
      <c r="AD761" s="97"/>
      <c r="AE761" s="97"/>
    </row>
    <row r="762" spans="2:31" x14ac:dyDescent="0.45">
      <c r="B762" s="97"/>
      <c r="C762" s="97"/>
      <c r="D762" s="97"/>
      <c r="E762" s="97"/>
      <c r="R762" s="97"/>
      <c r="S762" s="97"/>
      <c r="T762" s="97"/>
      <c r="U762" s="97"/>
      <c r="V762" s="97"/>
      <c r="W762" s="97"/>
      <c r="X762" s="97"/>
      <c r="Y762" s="97"/>
      <c r="Z762" s="97"/>
      <c r="AA762" s="97"/>
      <c r="AB762" s="97"/>
      <c r="AC762" s="97"/>
      <c r="AD762" s="97"/>
      <c r="AE762" s="97"/>
    </row>
    <row r="763" spans="2:31" x14ac:dyDescent="0.45">
      <c r="B763" s="97"/>
      <c r="C763" s="97"/>
      <c r="D763" s="97"/>
      <c r="E763" s="97"/>
      <c r="R763" s="97"/>
      <c r="S763" s="97"/>
      <c r="T763" s="97"/>
      <c r="U763" s="97"/>
      <c r="V763" s="97"/>
      <c r="W763" s="97"/>
      <c r="X763" s="97"/>
      <c r="Y763" s="97"/>
      <c r="Z763" s="97"/>
      <c r="AA763" s="97"/>
      <c r="AB763" s="97"/>
      <c r="AC763" s="97"/>
      <c r="AD763" s="97"/>
      <c r="AE763" s="97"/>
    </row>
    <row r="764" spans="2:31" x14ac:dyDescent="0.45">
      <c r="B764" s="97"/>
      <c r="C764" s="97"/>
      <c r="D764" s="97"/>
      <c r="E764" s="97"/>
      <c r="R764" s="97"/>
      <c r="S764" s="97"/>
      <c r="T764" s="97"/>
      <c r="U764" s="97"/>
      <c r="V764" s="97"/>
      <c r="W764" s="97"/>
      <c r="X764" s="97"/>
      <c r="Y764" s="97"/>
      <c r="Z764" s="97"/>
      <c r="AA764" s="97"/>
      <c r="AB764" s="97"/>
      <c r="AC764" s="97"/>
      <c r="AD764" s="97"/>
      <c r="AE764" s="97"/>
    </row>
    <row r="765" spans="2:31" x14ac:dyDescent="0.45">
      <c r="B765" s="97"/>
      <c r="C765" s="97"/>
      <c r="D765" s="97"/>
      <c r="E765" s="97"/>
      <c r="R765" s="97"/>
      <c r="S765" s="97"/>
      <c r="T765" s="97"/>
      <c r="U765" s="97"/>
      <c r="V765" s="97"/>
      <c r="W765" s="97"/>
      <c r="X765" s="97"/>
      <c r="Y765" s="97"/>
      <c r="Z765" s="97"/>
      <c r="AA765" s="97"/>
      <c r="AB765" s="97"/>
      <c r="AC765" s="97"/>
      <c r="AD765" s="97"/>
      <c r="AE765" s="97"/>
    </row>
    <row r="766" spans="2:31" x14ac:dyDescent="0.45">
      <c r="B766" s="97"/>
      <c r="C766" s="97"/>
      <c r="D766" s="97"/>
      <c r="E766" s="97"/>
      <c r="R766" s="97"/>
      <c r="S766" s="97"/>
      <c r="T766" s="97"/>
      <c r="U766" s="97"/>
      <c r="V766" s="97"/>
      <c r="W766" s="97"/>
      <c r="X766" s="97"/>
      <c r="Y766" s="97"/>
      <c r="Z766" s="97"/>
      <c r="AA766" s="97"/>
      <c r="AB766" s="97"/>
      <c r="AC766" s="97"/>
      <c r="AD766" s="97"/>
      <c r="AE766" s="97"/>
    </row>
    <row r="767" spans="2:31" x14ac:dyDescent="0.45">
      <c r="B767" s="97"/>
      <c r="C767" s="97"/>
      <c r="D767" s="97"/>
      <c r="E767" s="97"/>
      <c r="R767" s="97"/>
      <c r="S767" s="97"/>
      <c r="T767" s="97"/>
      <c r="U767" s="97"/>
      <c r="V767" s="97"/>
      <c r="W767" s="97"/>
      <c r="X767" s="97"/>
      <c r="Y767" s="97"/>
      <c r="Z767" s="97"/>
      <c r="AA767" s="97"/>
      <c r="AB767" s="97"/>
      <c r="AC767" s="97"/>
      <c r="AD767" s="97"/>
      <c r="AE767" s="97"/>
    </row>
    <row r="768" spans="2:31" x14ac:dyDescent="0.45">
      <c r="B768" s="97"/>
      <c r="C768" s="97"/>
      <c r="D768" s="97"/>
      <c r="E768" s="97"/>
      <c r="R768" s="97"/>
      <c r="S768" s="97"/>
      <c r="T768" s="97"/>
      <c r="U768" s="97"/>
      <c r="V768" s="97"/>
      <c r="W768" s="97"/>
      <c r="X768" s="97"/>
      <c r="Y768" s="97"/>
      <c r="Z768" s="97"/>
      <c r="AA768" s="97"/>
      <c r="AB768" s="97"/>
      <c r="AC768" s="97"/>
      <c r="AD768" s="97"/>
      <c r="AE768" s="97"/>
    </row>
    <row r="769" spans="2:31" x14ac:dyDescent="0.45">
      <c r="B769" s="97"/>
      <c r="C769" s="97"/>
      <c r="D769" s="97"/>
      <c r="E769" s="97"/>
      <c r="R769" s="97"/>
      <c r="S769" s="97"/>
      <c r="T769" s="97"/>
      <c r="U769" s="97"/>
      <c r="V769" s="97"/>
      <c r="W769" s="97"/>
      <c r="X769" s="97"/>
      <c r="Y769" s="97"/>
      <c r="Z769" s="97"/>
      <c r="AA769" s="97"/>
      <c r="AB769" s="97"/>
      <c r="AC769" s="97"/>
      <c r="AD769" s="97"/>
      <c r="AE769" s="97"/>
    </row>
    <row r="770" spans="2:31" x14ac:dyDescent="0.45">
      <c r="B770" s="97"/>
      <c r="C770" s="97"/>
      <c r="D770" s="97"/>
      <c r="E770" s="97"/>
      <c r="R770" s="97"/>
      <c r="S770" s="97"/>
      <c r="T770" s="97"/>
      <c r="U770" s="97"/>
      <c r="V770" s="97"/>
      <c r="W770" s="97"/>
      <c r="X770" s="97"/>
      <c r="Y770" s="97"/>
      <c r="Z770" s="97"/>
      <c r="AA770" s="97"/>
      <c r="AB770" s="97"/>
      <c r="AC770" s="97"/>
      <c r="AD770" s="97"/>
      <c r="AE770" s="97"/>
    </row>
    <row r="771" spans="2:31" x14ac:dyDescent="0.45">
      <c r="B771" s="97"/>
      <c r="C771" s="97"/>
      <c r="D771" s="97"/>
      <c r="E771" s="97"/>
      <c r="R771" s="97"/>
      <c r="S771" s="97"/>
      <c r="T771" s="97"/>
      <c r="U771" s="97"/>
      <c r="V771" s="97"/>
      <c r="W771" s="97"/>
      <c r="X771" s="97"/>
      <c r="Y771" s="97"/>
      <c r="Z771" s="97"/>
      <c r="AA771" s="97"/>
      <c r="AB771" s="97"/>
      <c r="AC771" s="97"/>
      <c r="AD771" s="97"/>
      <c r="AE771" s="97"/>
    </row>
    <row r="772" spans="2:31" x14ac:dyDescent="0.45">
      <c r="B772" s="97"/>
      <c r="C772" s="97"/>
      <c r="D772" s="97"/>
      <c r="E772" s="97"/>
      <c r="R772" s="97"/>
      <c r="S772" s="97"/>
      <c r="T772" s="97"/>
      <c r="U772" s="97"/>
      <c r="V772" s="97"/>
      <c r="W772" s="97"/>
      <c r="X772" s="97"/>
      <c r="Y772" s="97"/>
      <c r="Z772" s="97"/>
      <c r="AA772" s="97"/>
      <c r="AB772" s="97"/>
      <c r="AC772" s="97"/>
      <c r="AD772" s="97"/>
      <c r="AE772" s="97"/>
    </row>
    <row r="773" spans="2:31" x14ac:dyDescent="0.45">
      <c r="B773" s="97"/>
      <c r="C773" s="97"/>
      <c r="D773" s="97"/>
      <c r="E773" s="97"/>
      <c r="R773" s="97"/>
      <c r="S773" s="97"/>
      <c r="T773" s="97"/>
      <c r="U773" s="97"/>
      <c r="V773" s="97"/>
      <c r="W773" s="97"/>
      <c r="X773" s="97"/>
      <c r="Y773" s="97"/>
      <c r="Z773" s="97"/>
      <c r="AA773" s="97"/>
      <c r="AB773" s="97"/>
      <c r="AC773" s="97"/>
      <c r="AD773" s="97"/>
      <c r="AE773" s="97"/>
    </row>
    <row r="774" spans="2:31" x14ac:dyDescent="0.45">
      <c r="B774" s="97"/>
      <c r="C774" s="97"/>
      <c r="D774" s="97"/>
      <c r="E774" s="97"/>
      <c r="R774" s="97"/>
      <c r="S774" s="97"/>
      <c r="T774" s="97"/>
      <c r="U774" s="97"/>
      <c r="V774" s="97"/>
      <c r="W774" s="97"/>
      <c r="X774" s="97"/>
      <c r="Y774" s="97"/>
      <c r="Z774" s="97"/>
      <c r="AA774" s="97"/>
      <c r="AB774" s="97"/>
      <c r="AC774" s="97"/>
      <c r="AD774" s="97"/>
      <c r="AE774" s="97"/>
    </row>
    <row r="775" spans="2:31" x14ac:dyDescent="0.45">
      <c r="B775" s="97"/>
      <c r="C775" s="97"/>
      <c r="D775" s="97"/>
      <c r="E775" s="97"/>
      <c r="R775" s="97"/>
      <c r="S775" s="97"/>
      <c r="T775" s="97"/>
      <c r="U775" s="97"/>
      <c r="V775" s="97"/>
      <c r="W775" s="97"/>
      <c r="X775" s="97"/>
      <c r="Y775" s="97"/>
      <c r="Z775" s="97"/>
      <c r="AA775" s="97"/>
      <c r="AB775" s="97"/>
      <c r="AC775" s="97"/>
      <c r="AD775" s="97"/>
      <c r="AE775" s="97"/>
    </row>
    <row r="776" spans="2:31" x14ac:dyDescent="0.45">
      <c r="B776" s="97"/>
      <c r="C776" s="97"/>
      <c r="D776" s="97"/>
      <c r="E776" s="97"/>
      <c r="R776" s="97"/>
      <c r="S776" s="97"/>
      <c r="T776" s="97"/>
      <c r="U776" s="97"/>
      <c r="V776" s="97"/>
      <c r="W776" s="97"/>
      <c r="X776" s="97"/>
      <c r="Y776" s="97"/>
      <c r="Z776" s="97"/>
      <c r="AA776" s="97"/>
      <c r="AB776" s="97"/>
      <c r="AC776" s="97"/>
      <c r="AD776" s="97"/>
      <c r="AE776" s="97"/>
    </row>
    <row r="777" spans="2:31" x14ac:dyDescent="0.45">
      <c r="B777" s="97"/>
      <c r="C777" s="97"/>
      <c r="D777" s="97"/>
      <c r="E777" s="97"/>
      <c r="R777" s="97"/>
      <c r="S777" s="97"/>
      <c r="T777" s="97"/>
      <c r="U777" s="97"/>
      <c r="V777" s="97"/>
      <c r="W777" s="97"/>
      <c r="X777" s="97"/>
      <c r="Y777" s="97"/>
      <c r="Z777" s="97"/>
      <c r="AA777" s="97"/>
      <c r="AB777" s="97"/>
      <c r="AC777" s="97"/>
      <c r="AD777" s="97"/>
      <c r="AE777" s="97"/>
    </row>
    <row r="778" spans="2:31" x14ac:dyDescent="0.45">
      <c r="B778" s="97"/>
      <c r="C778" s="97"/>
      <c r="D778" s="97"/>
      <c r="E778" s="97"/>
      <c r="R778" s="97"/>
      <c r="S778" s="97"/>
      <c r="T778" s="97"/>
      <c r="U778" s="97"/>
      <c r="V778" s="97"/>
      <c r="W778" s="97"/>
      <c r="X778" s="97"/>
      <c r="Y778" s="97"/>
      <c r="Z778" s="97"/>
      <c r="AA778" s="97"/>
      <c r="AB778" s="97"/>
      <c r="AC778" s="97"/>
      <c r="AD778" s="97"/>
      <c r="AE778" s="97"/>
    </row>
    <row r="779" spans="2:31" x14ac:dyDescent="0.45">
      <c r="B779" s="97"/>
      <c r="C779" s="97"/>
      <c r="D779" s="97"/>
      <c r="E779" s="97"/>
      <c r="R779" s="97"/>
      <c r="S779" s="97"/>
      <c r="T779" s="97"/>
      <c r="U779" s="97"/>
      <c r="V779" s="97"/>
      <c r="W779" s="97"/>
      <c r="X779" s="97"/>
      <c r="Y779" s="97"/>
      <c r="Z779" s="97"/>
      <c r="AA779" s="97"/>
      <c r="AB779" s="97"/>
      <c r="AC779" s="97"/>
      <c r="AD779" s="97"/>
      <c r="AE779" s="97"/>
    </row>
    <row r="780" spans="2:31" x14ac:dyDescent="0.45">
      <c r="B780" s="97"/>
      <c r="C780" s="97"/>
      <c r="D780" s="97"/>
      <c r="E780" s="97"/>
      <c r="R780" s="97"/>
      <c r="S780" s="97"/>
      <c r="T780" s="97"/>
      <c r="U780" s="97"/>
      <c r="V780" s="97"/>
      <c r="W780" s="97"/>
      <c r="X780" s="97"/>
      <c r="Y780" s="97"/>
      <c r="Z780" s="97"/>
      <c r="AA780" s="97"/>
      <c r="AB780" s="97"/>
      <c r="AC780" s="97"/>
      <c r="AD780" s="97"/>
      <c r="AE780" s="97"/>
    </row>
    <row r="781" spans="2:31" x14ac:dyDescent="0.45">
      <c r="B781" s="97"/>
      <c r="C781" s="97"/>
      <c r="D781" s="97"/>
      <c r="E781" s="97"/>
      <c r="R781" s="97"/>
      <c r="S781" s="97"/>
      <c r="T781" s="97"/>
      <c r="U781" s="97"/>
      <c r="V781" s="97"/>
      <c r="W781" s="97"/>
      <c r="X781" s="97"/>
      <c r="Y781" s="97"/>
      <c r="Z781" s="97"/>
      <c r="AA781" s="97"/>
      <c r="AB781" s="97"/>
      <c r="AC781" s="97"/>
      <c r="AD781" s="97"/>
      <c r="AE781" s="97"/>
    </row>
    <row r="782" spans="2:31" x14ac:dyDescent="0.45">
      <c r="B782" s="97"/>
      <c r="C782" s="97"/>
      <c r="D782" s="97"/>
      <c r="E782" s="97"/>
      <c r="R782" s="97"/>
      <c r="S782" s="97"/>
      <c r="T782" s="97"/>
      <c r="U782" s="97"/>
      <c r="V782" s="97"/>
      <c r="W782" s="97"/>
      <c r="X782" s="97"/>
      <c r="Y782" s="97"/>
      <c r="Z782" s="97"/>
      <c r="AA782" s="97"/>
      <c r="AB782" s="97"/>
      <c r="AC782" s="97"/>
      <c r="AD782" s="97"/>
      <c r="AE782" s="97"/>
    </row>
    <row r="783" spans="2:31" x14ac:dyDescent="0.45">
      <c r="B783" s="97"/>
      <c r="C783" s="97"/>
      <c r="D783" s="97"/>
      <c r="E783" s="97"/>
      <c r="R783" s="97"/>
      <c r="S783" s="97"/>
      <c r="T783" s="97"/>
      <c r="U783" s="97"/>
      <c r="V783" s="97"/>
      <c r="W783" s="97"/>
      <c r="X783" s="97"/>
      <c r="Y783" s="97"/>
      <c r="Z783" s="97"/>
      <c r="AA783" s="97"/>
      <c r="AB783" s="97"/>
      <c r="AC783" s="97"/>
      <c r="AD783" s="97"/>
      <c r="AE783" s="97"/>
    </row>
    <row r="784" spans="2:31" x14ac:dyDescent="0.45">
      <c r="B784" s="97"/>
      <c r="C784" s="97"/>
      <c r="D784" s="97"/>
      <c r="E784" s="97"/>
      <c r="R784" s="97"/>
      <c r="S784" s="97"/>
      <c r="T784" s="97"/>
      <c r="U784" s="97"/>
      <c r="V784" s="97"/>
      <c r="W784" s="97"/>
      <c r="X784" s="97"/>
      <c r="Y784" s="97"/>
      <c r="Z784" s="97"/>
      <c r="AA784" s="97"/>
      <c r="AB784" s="97"/>
      <c r="AC784" s="97"/>
      <c r="AD784" s="97"/>
      <c r="AE784" s="97"/>
    </row>
    <row r="785" spans="2:31" x14ac:dyDescent="0.45">
      <c r="B785" s="97"/>
      <c r="C785" s="97"/>
      <c r="D785" s="97"/>
      <c r="E785" s="97"/>
      <c r="R785" s="97"/>
      <c r="S785" s="97"/>
      <c r="T785" s="97"/>
      <c r="U785" s="97"/>
      <c r="V785" s="97"/>
      <c r="W785" s="97"/>
      <c r="X785" s="97"/>
      <c r="Y785" s="97"/>
      <c r="Z785" s="97"/>
      <c r="AA785" s="97"/>
      <c r="AB785" s="97"/>
      <c r="AC785" s="97"/>
      <c r="AD785" s="97"/>
      <c r="AE785" s="97"/>
    </row>
    <row r="786" spans="2:31" x14ac:dyDescent="0.45">
      <c r="B786" s="97"/>
      <c r="C786" s="97"/>
      <c r="D786" s="97"/>
      <c r="E786" s="97"/>
      <c r="R786" s="97"/>
      <c r="S786" s="97"/>
      <c r="T786" s="97"/>
      <c r="U786" s="97"/>
      <c r="V786" s="97"/>
      <c r="W786" s="97"/>
      <c r="X786" s="97"/>
      <c r="Y786" s="97"/>
      <c r="Z786" s="97"/>
      <c r="AA786" s="97"/>
      <c r="AB786" s="97"/>
      <c r="AC786" s="97"/>
      <c r="AD786" s="97"/>
      <c r="AE786" s="97"/>
    </row>
    <row r="787" spans="2:31" x14ac:dyDescent="0.45">
      <c r="B787" s="97"/>
      <c r="C787" s="97"/>
      <c r="D787" s="97"/>
      <c r="E787" s="97"/>
      <c r="R787" s="97"/>
      <c r="S787" s="97"/>
      <c r="T787" s="97"/>
      <c r="U787" s="97"/>
      <c r="V787" s="97"/>
      <c r="W787" s="97"/>
      <c r="X787" s="97"/>
      <c r="Y787" s="97"/>
      <c r="Z787" s="97"/>
      <c r="AA787" s="97"/>
      <c r="AB787" s="97"/>
      <c r="AC787" s="97"/>
      <c r="AD787" s="97"/>
      <c r="AE787" s="97"/>
    </row>
    <row r="788" spans="2:31" x14ac:dyDescent="0.45">
      <c r="B788" s="97"/>
      <c r="C788" s="97"/>
      <c r="D788" s="97"/>
      <c r="E788" s="97"/>
      <c r="R788" s="97"/>
      <c r="S788" s="97"/>
      <c r="T788" s="97"/>
      <c r="U788" s="97"/>
      <c r="V788" s="97"/>
      <c r="W788" s="97"/>
      <c r="X788" s="97"/>
      <c r="Y788" s="97"/>
      <c r="Z788" s="97"/>
      <c r="AA788" s="97"/>
      <c r="AB788" s="97"/>
      <c r="AC788" s="97"/>
      <c r="AD788" s="97"/>
      <c r="AE788" s="97"/>
    </row>
    <row r="789" spans="2:31" x14ac:dyDescent="0.45">
      <c r="B789" s="97"/>
      <c r="C789" s="97"/>
      <c r="D789" s="97"/>
      <c r="E789" s="97"/>
      <c r="R789" s="97"/>
      <c r="S789" s="97"/>
      <c r="T789" s="97"/>
      <c r="U789" s="97"/>
      <c r="V789" s="97"/>
      <c r="W789" s="97"/>
      <c r="X789" s="97"/>
      <c r="Y789" s="97"/>
      <c r="Z789" s="97"/>
      <c r="AA789" s="97"/>
      <c r="AB789" s="97"/>
      <c r="AC789" s="97"/>
      <c r="AD789" s="97"/>
      <c r="AE789" s="97"/>
    </row>
    <row r="790" spans="2:31" x14ac:dyDescent="0.45">
      <c r="B790" s="97"/>
      <c r="C790" s="97"/>
      <c r="D790" s="97"/>
      <c r="E790" s="97"/>
      <c r="R790" s="97"/>
      <c r="S790" s="97"/>
      <c r="T790" s="97"/>
      <c r="U790" s="97"/>
      <c r="V790" s="97"/>
      <c r="W790" s="97"/>
      <c r="X790" s="97"/>
      <c r="Y790" s="97"/>
      <c r="Z790" s="97"/>
      <c r="AA790" s="97"/>
      <c r="AB790" s="97"/>
      <c r="AC790" s="97"/>
      <c r="AD790" s="97"/>
      <c r="AE790" s="97"/>
    </row>
    <row r="791" spans="2:31" x14ac:dyDescent="0.45">
      <c r="B791" s="97"/>
      <c r="C791" s="97"/>
      <c r="D791" s="97"/>
      <c r="E791" s="97"/>
      <c r="R791" s="97"/>
      <c r="S791" s="97"/>
      <c r="T791" s="97"/>
      <c r="U791" s="97"/>
      <c r="V791" s="97"/>
      <c r="W791" s="97"/>
      <c r="X791" s="97"/>
      <c r="Y791" s="97"/>
      <c r="Z791" s="97"/>
      <c r="AA791" s="97"/>
      <c r="AB791" s="97"/>
      <c r="AC791" s="97"/>
      <c r="AD791" s="97"/>
      <c r="AE791" s="97"/>
    </row>
    <row r="792" spans="2:31" x14ac:dyDescent="0.45">
      <c r="B792" s="97"/>
      <c r="C792" s="97"/>
      <c r="D792" s="97"/>
      <c r="E792" s="97"/>
      <c r="R792" s="97"/>
      <c r="S792" s="97"/>
      <c r="T792" s="97"/>
      <c r="U792" s="97"/>
      <c r="V792" s="97"/>
      <c r="W792" s="97"/>
      <c r="X792" s="97"/>
      <c r="Y792" s="97"/>
      <c r="Z792" s="97"/>
      <c r="AA792" s="97"/>
      <c r="AB792" s="97"/>
      <c r="AC792" s="97"/>
      <c r="AD792" s="97"/>
      <c r="AE792" s="97"/>
    </row>
    <row r="793" spans="2:31" x14ac:dyDescent="0.45">
      <c r="B793" s="97"/>
      <c r="C793" s="97"/>
      <c r="D793" s="97"/>
      <c r="E793" s="97"/>
      <c r="R793" s="97"/>
      <c r="S793" s="97"/>
      <c r="T793" s="97"/>
      <c r="U793" s="97"/>
      <c r="V793" s="97"/>
      <c r="W793" s="97"/>
      <c r="X793" s="97"/>
      <c r="Y793" s="97"/>
      <c r="Z793" s="97"/>
      <c r="AA793" s="97"/>
      <c r="AB793" s="97"/>
      <c r="AC793" s="97"/>
      <c r="AD793" s="97"/>
      <c r="AE793" s="97"/>
    </row>
    <row r="794" spans="2:31" x14ac:dyDescent="0.45">
      <c r="B794" s="97"/>
      <c r="C794" s="97"/>
      <c r="D794" s="97"/>
      <c r="E794" s="97"/>
      <c r="R794" s="97"/>
      <c r="S794" s="97"/>
      <c r="T794" s="97"/>
      <c r="U794" s="97"/>
      <c r="V794" s="97"/>
      <c r="W794" s="97"/>
      <c r="X794" s="97"/>
      <c r="Y794" s="97"/>
      <c r="Z794" s="97"/>
      <c r="AA794" s="97"/>
      <c r="AB794" s="97"/>
      <c r="AC794" s="97"/>
      <c r="AD794" s="97"/>
      <c r="AE794" s="97"/>
    </row>
    <row r="795" spans="2:31" x14ac:dyDescent="0.45">
      <c r="B795" s="97"/>
      <c r="C795" s="97"/>
      <c r="D795" s="97"/>
      <c r="E795" s="97"/>
      <c r="R795" s="97"/>
      <c r="S795" s="97"/>
      <c r="T795" s="97"/>
      <c r="U795" s="97"/>
      <c r="V795" s="97"/>
      <c r="W795" s="97"/>
      <c r="X795" s="97"/>
      <c r="Y795" s="97"/>
      <c r="Z795" s="97"/>
      <c r="AA795" s="97"/>
      <c r="AB795" s="97"/>
      <c r="AC795" s="97"/>
      <c r="AD795" s="97"/>
      <c r="AE795" s="97"/>
    </row>
    <row r="796" spans="2:31" x14ac:dyDescent="0.45">
      <c r="B796" s="97"/>
      <c r="C796" s="97"/>
      <c r="D796" s="97"/>
      <c r="E796" s="97"/>
      <c r="R796" s="97"/>
      <c r="S796" s="97"/>
      <c r="T796" s="97"/>
      <c r="U796" s="97"/>
      <c r="V796" s="97"/>
      <c r="W796" s="97"/>
      <c r="X796" s="97"/>
      <c r="Y796" s="97"/>
      <c r="Z796" s="97"/>
      <c r="AA796" s="97"/>
      <c r="AB796" s="97"/>
      <c r="AC796" s="97"/>
      <c r="AD796" s="97"/>
      <c r="AE796" s="97"/>
    </row>
    <row r="797" spans="2:31" x14ac:dyDescent="0.45">
      <c r="B797" s="97"/>
      <c r="C797" s="97"/>
      <c r="D797" s="97"/>
      <c r="E797" s="97"/>
      <c r="R797" s="97"/>
      <c r="S797" s="97"/>
      <c r="T797" s="97"/>
      <c r="U797" s="97"/>
      <c r="V797" s="97"/>
      <c r="W797" s="97"/>
      <c r="X797" s="97"/>
      <c r="Y797" s="97"/>
      <c r="Z797" s="97"/>
      <c r="AA797" s="97"/>
      <c r="AB797" s="97"/>
      <c r="AC797" s="97"/>
      <c r="AD797" s="97"/>
      <c r="AE797" s="97"/>
    </row>
    <row r="798" spans="2:31" x14ac:dyDescent="0.45">
      <c r="B798" s="97"/>
      <c r="C798" s="97"/>
      <c r="D798" s="97"/>
      <c r="E798" s="97"/>
      <c r="R798" s="97"/>
      <c r="S798" s="97"/>
      <c r="T798" s="97"/>
      <c r="U798" s="97"/>
      <c r="V798" s="97"/>
      <c r="W798" s="97"/>
      <c r="X798" s="97"/>
      <c r="Y798" s="97"/>
      <c r="Z798" s="97"/>
      <c r="AA798" s="97"/>
      <c r="AB798" s="97"/>
      <c r="AC798" s="97"/>
      <c r="AD798" s="97"/>
      <c r="AE798" s="97"/>
    </row>
    <row r="799" spans="2:31" x14ac:dyDescent="0.45">
      <c r="B799" s="97"/>
      <c r="C799" s="97"/>
      <c r="D799" s="97"/>
      <c r="E799" s="97"/>
      <c r="R799" s="97"/>
      <c r="S799" s="97"/>
      <c r="T799" s="97"/>
      <c r="U799" s="97"/>
      <c r="V799" s="97"/>
      <c r="W799" s="97"/>
      <c r="X799" s="97"/>
      <c r="Y799" s="97"/>
      <c r="Z799" s="97"/>
      <c r="AA799" s="97"/>
      <c r="AB799" s="97"/>
      <c r="AC799" s="97"/>
      <c r="AD799" s="97"/>
      <c r="AE799" s="97"/>
    </row>
    <row r="800" spans="2:31" x14ac:dyDescent="0.45">
      <c r="B800" s="97"/>
      <c r="C800" s="97"/>
      <c r="D800" s="97"/>
      <c r="E800" s="97"/>
      <c r="R800" s="97"/>
      <c r="S800" s="97"/>
      <c r="T800" s="97"/>
      <c r="U800" s="97"/>
      <c r="V800" s="97"/>
      <c r="W800" s="97"/>
      <c r="X800" s="97"/>
      <c r="Y800" s="97"/>
      <c r="Z800" s="97"/>
      <c r="AA800" s="97"/>
      <c r="AB800" s="97"/>
      <c r="AC800" s="97"/>
      <c r="AD800" s="97"/>
      <c r="AE800" s="97"/>
    </row>
    <row r="801" spans="2:31" x14ac:dyDescent="0.45">
      <c r="B801" s="97"/>
      <c r="C801" s="97"/>
      <c r="D801" s="97"/>
      <c r="E801" s="97"/>
      <c r="R801" s="97"/>
      <c r="S801" s="97"/>
      <c r="T801" s="97"/>
      <c r="U801" s="97"/>
      <c r="V801" s="97"/>
      <c r="W801" s="97"/>
      <c r="X801" s="97"/>
      <c r="Y801" s="97"/>
      <c r="Z801" s="97"/>
      <c r="AA801" s="97"/>
      <c r="AB801" s="97"/>
      <c r="AC801" s="97"/>
      <c r="AD801" s="97"/>
      <c r="AE801" s="97"/>
    </row>
    <row r="802" spans="2:31" x14ac:dyDescent="0.45">
      <c r="B802" s="97"/>
      <c r="C802" s="97"/>
      <c r="D802" s="97"/>
      <c r="E802" s="97"/>
      <c r="R802" s="97"/>
      <c r="S802" s="97"/>
      <c r="T802" s="97"/>
      <c r="U802" s="97"/>
      <c r="V802" s="97"/>
      <c r="W802" s="97"/>
      <c r="X802" s="97"/>
      <c r="Y802" s="97"/>
      <c r="Z802" s="97"/>
      <c r="AA802" s="97"/>
      <c r="AB802" s="97"/>
      <c r="AC802" s="97"/>
      <c r="AD802" s="97"/>
      <c r="AE802" s="97"/>
    </row>
    <row r="803" spans="2:31" x14ac:dyDescent="0.45">
      <c r="B803" s="97"/>
      <c r="C803" s="97"/>
      <c r="D803" s="97"/>
      <c r="E803" s="97"/>
      <c r="R803" s="97"/>
      <c r="S803" s="97"/>
      <c r="T803" s="97"/>
      <c r="U803" s="97"/>
      <c r="V803" s="97"/>
      <c r="W803" s="97"/>
      <c r="X803" s="97"/>
      <c r="Y803" s="97"/>
      <c r="Z803" s="97"/>
      <c r="AA803" s="97"/>
      <c r="AB803" s="97"/>
      <c r="AC803" s="97"/>
      <c r="AD803" s="97"/>
      <c r="AE803" s="97"/>
    </row>
    <row r="804" spans="2:31" x14ac:dyDescent="0.45">
      <c r="B804" s="97"/>
      <c r="C804" s="97"/>
      <c r="D804" s="97"/>
      <c r="E804" s="97"/>
      <c r="R804" s="97"/>
      <c r="S804" s="97"/>
      <c r="T804" s="97"/>
      <c r="U804" s="97"/>
      <c r="V804" s="97"/>
      <c r="W804" s="97"/>
      <c r="X804" s="97"/>
      <c r="Y804" s="97"/>
      <c r="Z804" s="97"/>
      <c r="AA804" s="97"/>
      <c r="AB804" s="97"/>
      <c r="AC804" s="97"/>
      <c r="AD804" s="97"/>
      <c r="AE804" s="97"/>
    </row>
    <row r="805" spans="2:31" x14ac:dyDescent="0.45">
      <c r="B805" s="97"/>
      <c r="C805" s="97"/>
      <c r="D805" s="97"/>
      <c r="E805" s="97"/>
      <c r="R805" s="97"/>
      <c r="S805" s="97"/>
      <c r="T805" s="97"/>
      <c r="U805" s="97"/>
      <c r="V805" s="97"/>
      <c r="W805" s="97"/>
      <c r="X805" s="97"/>
      <c r="Y805" s="97"/>
      <c r="Z805" s="97"/>
      <c r="AA805" s="97"/>
      <c r="AB805" s="97"/>
      <c r="AC805" s="97"/>
      <c r="AD805" s="97"/>
      <c r="AE805" s="97"/>
    </row>
    <row r="806" spans="2:31" x14ac:dyDescent="0.45">
      <c r="B806" s="97"/>
      <c r="C806" s="97"/>
      <c r="D806" s="97"/>
      <c r="E806" s="97"/>
      <c r="R806" s="97"/>
      <c r="S806" s="97"/>
      <c r="T806" s="97"/>
      <c r="U806" s="97"/>
      <c r="V806" s="97"/>
      <c r="W806" s="97"/>
      <c r="X806" s="97"/>
      <c r="Y806" s="97"/>
      <c r="Z806" s="97"/>
      <c r="AA806" s="97"/>
      <c r="AB806" s="97"/>
      <c r="AC806" s="97"/>
      <c r="AD806" s="97"/>
      <c r="AE806" s="97"/>
    </row>
    <row r="807" spans="2:31" x14ac:dyDescent="0.45">
      <c r="B807" s="97"/>
      <c r="C807" s="97"/>
      <c r="D807" s="97"/>
      <c r="E807" s="97"/>
      <c r="R807" s="97"/>
      <c r="S807" s="97"/>
      <c r="T807" s="97"/>
      <c r="U807" s="97"/>
      <c r="V807" s="97"/>
      <c r="W807" s="97"/>
      <c r="X807" s="97"/>
      <c r="Y807" s="97"/>
      <c r="Z807" s="97"/>
      <c r="AA807" s="97"/>
      <c r="AB807" s="97"/>
      <c r="AC807" s="97"/>
      <c r="AD807" s="97"/>
      <c r="AE807" s="97"/>
    </row>
    <row r="808" spans="2:31" x14ac:dyDescent="0.45">
      <c r="B808" s="97"/>
      <c r="C808" s="97"/>
      <c r="D808" s="97"/>
      <c r="E808" s="97"/>
      <c r="R808" s="97"/>
      <c r="S808" s="97"/>
      <c r="T808" s="97"/>
      <c r="U808" s="97"/>
      <c r="V808" s="97"/>
      <c r="W808" s="97"/>
      <c r="X808" s="97"/>
      <c r="Y808" s="97"/>
      <c r="Z808" s="97"/>
      <c r="AA808" s="97"/>
      <c r="AB808" s="97"/>
      <c r="AC808" s="97"/>
      <c r="AD808" s="97"/>
      <c r="AE808" s="97"/>
    </row>
    <row r="809" spans="2:31" x14ac:dyDescent="0.45">
      <c r="B809" s="97"/>
      <c r="C809" s="97"/>
      <c r="D809" s="97"/>
      <c r="E809" s="97"/>
      <c r="R809" s="97"/>
      <c r="S809" s="97"/>
      <c r="T809" s="97"/>
      <c r="U809" s="97"/>
      <c r="V809" s="97"/>
      <c r="W809" s="97"/>
      <c r="X809" s="97"/>
      <c r="Y809" s="97"/>
      <c r="Z809" s="97"/>
      <c r="AA809" s="97"/>
      <c r="AB809" s="97"/>
      <c r="AC809" s="97"/>
      <c r="AD809" s="97"/>
      <c r="AE809" s="97"/>
    </row>
    <row r="810" spans="2:31" x14ac:dyDescent="0.45">
      <c r="B810" s="97"/>
      <c r="C810" s="97"/>
      <c r="D810" s="97"/>
      <c r="E810" s="97"/>
      <c r="R810" s="97"/>
      <c r="S810" s="97"/>
      <c r="T810" s="97"/>
      <c r="U810" s="97"/>
      <c r="V810" s="97"/>
      <c r="W810" s="97"/>
      <c r="X810" s="97"/>
      <c r="Y810" s="97"/>
      <c r="Z810" s="97"/>
      <c r="AA810" s="97"/>
      <c r="AB810" s="97"/>
      <c r="AC810" s="97"/>
      <c r="AD810" s="97"/>
      <c r="AE810" s="97"/>
    </row>
    <row r="811" spans="2:31" x14ac:dyDescent="0.45">
      <c r="B811" s="97"/>
      <c r="C811" s="97"/>
      <c r="D811" s="97"/>
      <c r="E811" s="97"/>
      <c r="R811" s="97"/>
      <c r="S811" s="97"/>
      <c r="T811" s="97"/>
      <c r="U811" s="97"/>
      <c r="V811" s="97"/>
      <c r="W811" s="97"/>
      <c r="X811" s="97"/>
      <c r="Y811" s="97"/>
      <c r="Z811" s="97"/>
      <c r="AA811" s="97"/>
      <c r="AB811" s="97"/>
      <c r="AC811" s="97"/>
      <c r="AD811" s="97"/>
      <c r="AE811" s="97"/>
    </row>
    <row r="812" spans="2:31" x14ac:dyDescent="0.45">
      <c r="B812" s="97"/>
      <c r="C812" s="97"/>
      <c r="D812" s="97"/>
      <c r="E812" s="97"/>
      <c r="R812" s="97"/>
      <c r="S812" s="97"/>
      <c r="T812" s="97"/>
      <c r="U812" s="97"/>
      <c r="V812" s="97"/>
      <c r="W812" s="97"/>
      <c r="X812" s="97"/>
      <c r="Y812" s="97"/>
      <c r="Z812" s="97"/>
      <c r="AA812" s="97"/>
      <c r="AB812" s="97"/>
      <c r="AC812" s="97"/>
      <c r="AD812" s="97"/>
      <c r="AE812" s="97"/>
    </row>
    <row r="813" spans="2:31" x14ac:dyDescent="0.45">
      <c r="B813" s="97"/>
      <c r="C813" s="97"/>
      <c r="D813" s="97"/>
      <c r="E813" s="97"/>
      <c r="R813" s="97"/>
      <c r="S813" s="97"/>
      <c r="T813" s="97"/>
      <c r="U813" s="97"/>
      <c r="V813" s="97"/>
      <c r="W813" s="97"/>
      <c r="X813" s="97"/>
      <c r="Y813" s="97"/>
      <c r="Z813" s="97"/>
      <c r="AA813" s="97"/>
      <c r="AB813" s="97"/>
      <c r="AC813" s="97"/>
      <c r="AD813" s="97"/>
      <c r="AE813" s="97"/>
    </row>
    <row r="814" spans="2:31" x14ac:dyDescent="0.45">
      <c r="B814" s="97"/>
      <c r="C814" s="97"/>
      <c r="D814" s="97"/>
      <c r="E814" s="97"/>
      <c r="R814" s="97"/>
      <c r="S814" s="97"/>
      <c r="T814" s="97"/>
      <c r="U814" s="97"/>
      <c r="V814" s="97"/>
      <c r="W814" s="97"/>
      <c r="X814" s="97"/>
      <c r="Y814" s="97"/>
      <c r="Z814" s="97"/>
      <c r="AA814" s="97"/>
      <c r="AB814" s="97"/>
      <c r="AC814" s="97"/>
      <c r="AD814" s="97"/>
      <c r="AE814" s="97"/>
    </row>
    <row r="815" spans="2:31" x14ac:dyDescent="0.45">
      <c r="B815" s="97"/>
      <c r="C815" s="97"/>
      <c r="D815" s="97"/>
      <c r="E815" s="97"/>
      <c r="R815" s="97"/>
      <c r="S815" s="97"/>
      <c r="T815" s="97"/>
      <c r="U815" s="97"/>
      <c r="V815" s="97"/>
      <c r="W815" s="97"/>
      <c r="X815" s="97"/>
      <c r="Y815" s="97"/>
      <c r="Z815" s="97"/>
      <c r="AA815" s="97"/>
      <c r="AB815" s="97"/>
      <c r="AC815" s="97"/>
      <c r="AD815" s="97"/>
      <c r="AE815" s="97"/>
    </row>
    <row r="816" spans="2:31" x14ac:dyDescent="0.45">
      <c r="B816" s="97"/>
      <c r="C816" s="97"/>
      <c r="D816" s="97"/>
      <c r="E816" s="97"/>
      <c r="R816" s="97"/>
      <c r="S816" s="97"/>
      <c r="T816" s="97"/>
      <c r="U816" s="97"/>
      <c r="V816" s="97"/>
      <c r="W816" s="97"/>
      <c r="X816" s="97"/>
      <c r="Y816" s="97"/>
      <c r="Z816" s="97"/>
      <c r="AA816" s="97"/>
      <c r="AB816" s="97"/>
      <c r="AC816" s="97"/>
      <c r="AD816" s="97"/>
      <c r="AE816" s="97"/>
    </row>
    <row r="817" spans="2:31" x14ac:dyDescent="0.45">
      <c r="B817" s="97"/>
      <c r="C817" s="97"/>
      <c r="D817" s="97"/>
      <c r="E817" s="97"/>
      <c r="R817" s="97"/>
      <c r="S817" s="97"/>
      <c r="T817" s="97"/>
      <c r="U817" s="97"/>
      <c r="V817" s="97"/>
      <c r="W817" s="97"/>
      <c r="X817" s="97"/>
      <c r="Y817" s="97"/>
      <c r="Z817" s="97"/>
      <c r="AA817" s="97"/>
      <c r="AB817" s="97"/>
      <c r="AC817" s="97"/>
      <c r="AD817" s="97"/>
      <c r="AE817" s="97"/>
    </row>
    <row r="818" spans="2:31" x14ac:dyDescent="0.45">
      <c r="B818" s="97"/>
      <c r="C818" s="97"/>
      <c r="D818" s="97"/>
      <c r="E818" s="97"/>
      <c r="R818" s="97"/>
      <c r="S818" s="97"/>
      <c r="T818" s="97"/>
      <c r="U818" s="97"/>
      <c r="V818" s="97"/>
      <c r="W818" s="97"/>
      <c r="X818" s="97"/>
      <c r="Y818" s="97"/>
      <c r="Z818" s="97"/>
      <c r="AA818" s="97"/>
      <c r="AB818" s="97"/>
      <c r="AC818" s="97"/>
      <c r="AD818" s="97"/>
      <c r="AE818" s="97"/>
    </row>
    <row r="819" spans="2:31" x14ac:dyDescent="0.45">
      <c r="B819" s="97"/>
      <c r="C819" s="97"/>
      <c r="D819" s="97"/>
      <c r="E819" s="97"/>
      <c r="R819" s="97"/>
      <c r="S819" s="97"/>
      <c r="T819" s="97"/>
      <c r="U819" s="97"/>
      <c r="V819" s="97"/>
      <c r="W819" s="97"/>
      <c r="X819" s="97"/>
      <c r="Y819" s="97"/>
      <c r="Z819" s="97"/>
      <c r="AA819" s="97"/>
      <c r="AB819" s="97"/>
      <c r="AC819" s="97"/>
      <c r="AD819" s="97"/>
      <c r="AE819" s="97"/>
    </row>
    <row r="820" spans="2:31" x14ac:dyDescent="0.45">
      <c r="B820" s="97"/>
      <c r="C820" s="97"/>
      <c r="D820" s="97"/>
      <c r="E820" s="97"/>
      <c r="R820" s="97"/>
      <c r="S820" s="97"/>
      <c r="T820" s="97"/>
      <c r="U820" s="97"/>
      <c r="V820" s="97"/>
      <c r="W820" s="97"/>
      <c r="X820" s="97"/>
      <c r="Y820" s="97"/>
      <c r="Z820" s="97"/>
      <c r="AA820" s="97"/>
      <c r="AB820" s="97"/>
      <c r="AC820" s="97"/>
      <c r="AD820" s="97"/>
      <c r="AE820" s="97"/>
    </row>
    <row r="821" spans="2:31" x14ac:dyDescent="0.45">
      <c r="B821" s="97"/>
      <c r="C821" s="97"/>
      <c r="D821" s="97"/>
      <c r="E821" s="97"/>
      <c r="R821" s="97"/>
      <c r="S821" s="97"/>
      <c r="T821" s="97"/>
      <c r="U821" s="97"/>
      <c r="V821" s="97"/>
      <c r="W821" s="97"/>
      <c r="X821" s="97"/>
      <c r="Y821" s="97"/>
      <c r="Z821" s="97"/>
      <c r="AA821" s="97"/>
      <c r="AB821" s="97"/>
      <c r="AC821" s="97"/>
      <c r="AD821" s="97"/>
      <c r="AE821" s="97"/>
    </row>
    <row r="822" spans="2:31" x14ac:dyDescent="0.45">
      <c r="B822" s="97"/>
      <c r="C822" s="97"/>
      <c r="D822" s="97"/>
      <c r="E822" s="97"/>
      <c r="R822" s="97"/>
      <c r="S822" s="97"/>
      <c r="T822" s="97"/>
      <c r="U822" s="97"/>
      <c r="V822" s="97"/>
      <c r="W822" s="97"/>
      <c r="X822" s="97"/>
      <c r="Y822" s="97"/>
      <c r="Z822" s="97"/>
      <c r="AA822" s="97"/>
      <c r="AB822" s="97"/>
      <c r="AC822" s="97"/>
      <c r="AD822" s="97"/>
      <c r="AE822" s="97"/>
    </row>
    <row r="823" spans="2:31" x14ac:dyDescent="0.45">
      <c r="B823" s="97"/>
      <c r="C823" s="97"/>
      <c r="D823" s="97"/>
      <c r="E823" s="97"/>
      <c r="R823" s="97"/>
      <c r="S823" s="97"/>
      <c r="T823" s="97"/>
      <c r="U823" s="97"/>
      <c r="V823" s="97"/>
      <c r="W823" s="97"/>
      <c r="X823" s="97"/>
      <c r="Y823" s="97"/>
      <c r="Z823" s="97"/>
      <c r="AA823" s="97"/>
      <c r="AB823" s="97"/>
      <c r="AC823" s="97"/>
      <c r="AD823" s="97"/>
      <c r="AE823" s="97"/>
    </row>
    <row r="824" spans="2:31" x14ac:dyDescent="0.45">
      <c r="B824" s="97"/>
      <c r="C824" s="97"/>
      <c r="D824" s="97"/>
      <c r="E824" s="97"/>
      <c r="R824" s="97"/>
      <c r="S824" s="97"/>
      <c r="T824" s="97"/>
      <c r="U824" s="97"/>
      <c r="V824" s="97"/>
      <c r="W824" s="97"/>
      <c r="X824" s="97"/>
      <c r="Y824" s="97"/>
      <c r="Z824" s="97"/>
      <c r="AA824" s="97"/>
      <c r="AB824" s="97"/>
      <c r="AC824" s="97"/>
      <c r="AD824" s="97"/>
      <c r="AE824" s="97"/>
    </row>
    <row r="825" spans="2:31" x14ac:dyDescent="0.45">
      <c r="B825" s="97"/>
      <c r="C825" s="97"/>
      <c r="D825" s="97"/>
      <c r="E825" s="97"/>
      <c r="R825" s="97"/>
      <c r="S825" s="97"/>
      <c r="T825" s="97"/>
      <c r="U825" s="97"/>
      <c r="V825" s="97"/>
      <c r="W825" s="97"/>
      <c r="X825" s="97"/>
      <c r="Y825" s="97"/>
      <c r="Z825" s="97"/>
      <c r="AA825" s="97"/>
      <c r="AB825" s="97"/>
      <c r="AC825" s="97"/>
      <c r="AD825" s="97"/>
      <c r="AE825" s="97"/>
    </row>
    <row r="826" spans="2:31" x14ac:dyDescent="0.45">
      <c r="B826" s="97"/>
      <c r="C826" s="97"/>
      <c r="D826" s="97"/>
      <c r="E826" s="97"/>
      <c r="R826" s="97"/>
      <c r="S826" s="97"/>
      <c r="T826" s="97"/>
      <c r="U826" s="97"/>
      <c r="V826" s="97"/>
      <c r="W826" s="97"/>
      <c r="X826" s="97"/>
      <c r="Y826" s="97"/>
      <c r="Z826" s="97"/>
      <c r="AA826" s="97"/>
      <c r="AB826" s="97"/>
      <c r="AC826" s="97"/>
      <c r="AD826" s="97"/>
      <c r="AE826" s="97"/>
    </row>
    <row r="827" spans="2:31" x14ac:dyDescent="0.45">
      <c r="B827" s="97"/>
      <c r="C827" s="97"/>
      <c r="D827" s="97"/>
      <c r="E827" s="97"/>
      <c r="R827" s="97"/>
      <c r="S827" s="97"/>
      <c r="T827" s="97"/>
      <c r="U827" s="97"/>
      <c r="V827" s="97"/>
      <c r="W827" s="97"/>
      <c r="X827" s="97"/>
      <c r="Y827" s="97"/>
      <c r="Z827" s="97"/>
      <c r="AA827" s="97"/>
      <c r="AB827" s="97"/>
      <c r="AC827" s="97"/>
      <c r="AD827" s="97"/>
      <c r="AE827" s="97"/>
    </row>
    <row r="828" spans="2:31" x14ac:dyDescent="0.45">
      <c r="B828" s="97"/>
      <c r="C828" s="97"/>
      <c r="D828" s="97"/>
      <c r="E828" s="97"/>
      <c r="R828" s="97"/>
      <c r="S828" s="97"/>
      <c r="T828" s="97"/>
      <c r="U828" s="97"/>
      <c r="V828" s="97"/>
      <c r="W828" s="97"/>
      <c r="X828" s="97"/>
      <c r="Y828" s="97"/>
      <c r="Z828" s="97"/>
      <c r="AA828" s="97"/>
      <c r="AB828" s="97"/>
      <c r="AC828" s="97"/>
      <c r="AD828" s="97"/>
      <c r="AE828" s="97"/>
    </row>
    <row r="829" spans="2:31" x14ac:dyDescent="0.45">
      <c r="B829" s="97"/>
      <c r="C829" s="97"/>
      <c r="D829" s="97"/>
      <c r="E829" s="97"/>
      <c r="R829" s="97"/>
      <c r="S829" s="97"/>
      <c r="T829" s="97"/>
      <c r="U829" s="97"/>
      <c r="V829" s="97"/>
      <c r="W829" s="97"/>
      <c r="X829" s="97"/>
      <c r="Y829" s="97"/>
      <c r="Z829" s="97"/>
      <c r="AA829" s="97"/>
      <c r="AB829" s="97"/>
      <c r="AC829" s="97"/>
      <c r="AD829" s="97"/>
      <c r="AE829" s="97"/>
    </row>
    <row r="830" spans="2:31" x14ac:dyDescent="0.45">
      <c r="B830" s="97"/>
      <c r="C830" s="97"/>
      <c r="D830" s="97"/>
      <c r="E830" s="97"/>
      <c r="R830" s="97"/>
      <c r="S830" s="97"/>
      <c r="T830" s="97"/>
      <c r="U830" s="97"/>
      <c r="V830" s="97"/>
      <c r="W830" s="97"/>
      <c r="X830" s="97"/>
      <c r="Y830" s="97"/>
      <c r="Z830" s="97"/>
      <c r="AA830" s="97"/>
      <c r="AB830" s="97"/>
      <c r="AC830" s="97"/>
      <c r="AD830" s="97"/>
      <c r="AE830" s="97"/>
    </row>
    <row r="831" spans="2:31" x14ac:dyDescent="0.45">
      <c r="B831" s="97"/>
      <c r="C831" s="97"/>
      <c r="D831" s="97"/>
      <c r="E831" s="97"/>
      <c r="R831" s="97"/>
      <c r="S831" s="97"/>
      <c r="T831" s="97"/>
      <c r="U831" s="97"/>
      <c r="V831" s="97"/>
      <c r="W831" s="97"/>
      <c r="X831" s="97"/>
      <c r="Y831" s="97"/>
      <c r="Z831" s="97"/>
      <c r="AA831" s="97"/>
      <c r="AB831" s="97"/>
      <c r="AC831" s="97"/>
      <c r="AD831" s="97"/>
      <c r="AE831" s="97"/>
    </row>
    <row r="832" spans="2:31" x14ac:dyDescent="0.45">
      <c r="B832" s="97"/>
      <c r="C832" s="97"/>
      <c r="D832" s="97"/>
      <c r="E832" s="97"/>
      <c r="R832" s="97"/>
      <c r="S832" s="97"/>
      <c r="T832" s="97"/>
      <c r="U832" s="97"/>
      <c r="V832" s="97"/>
      <c r="W832" s="97"/>
      <c r="X832" s="97"/>
      <c r="Y832" s="97"/>
      <c r="Z832" s="97"/>
      <c r="AA832" s="97"/>
      <c r="AB832" s="97"/>
      <c r="AC832" s="97"/>
      <c r="AD832" s="97"/>
      <c r="AE832" s="97"/>
    </row>
    <row r="833" spans="2:31" x14ac:dyDescent="0.45">
      <c r="B833" s="97"/>
      <c r="C833" s="97"/>
      <c r="D833" s="97"/>
      <c r="E833" s="97"/>
      <c r="R833" s="97"/>
      <c r="S833" s="97"/>
      <c r="T833" s="97"/>
      <c r="U833" s="97"/>
      <c r="V833" s="97"/>
      <c r="W833" s="97"/>
      <c r="X833" s="97"/>
      <c r="Y833" s="97"/>
      <c r="Z833" s="97"/>
      <c r="AA833" s="97"/>
      <c r="AB833" s="97"/>
      <c r="AC833" s="97"/>
      <c r="AD833" s="97"/>
      <c r="AE833" s="97"/>
    </row>
    <row r="834" spans="2:31" x14ac:dyDescent="0.45">
      <c r="B834" s="97"/>
      <c r="C834" s="97"/>
      <c r="D834" s="97"/>
      <c r="E834" s="97"/>
      <c r="R834" s="97"/>
      <c r="S834" s="97"/>
      <c r="T834" s="97"/>
      <c r="U834" s="97"/>
      <c r="V834" s="97"/>
      <c r="W834" s="97"/>
      <c r="X834" s="97"/>
      <c r="Y834" s="97"/>
      <c r="Z834" s="97"/>
      <c r="AA834" s="97"/>
      <c r="AB834" s="97"/>
      <c r="AC834" s="97"/>
      <c r="AD834" s="97"/>
      <c r="AE834" s="97"/>
    </row>
    <row r="835" spans="2:31" x14ac:dyDescent="0.45">
      <c r="B835" s="97"/>
      <c r="C835" s="97"/>
      <c r="D835" s="97"/>
      <c r="E835" s="97"/>
      <c r="R835" s="97"/>
      <c r="S835" s="97"/>
      <c r="T835" s="97"/>
      <c r="U835" s="97"/>
      <c r="V835" s="97"/>
      <c r="W835" s="97"/>
      <c r="X835" s="97"/>
      <c r="Y835" s="97"/>
      <c r="Z835" s="97"/>
      <c r="AA835" s="97"/>
      <c r="AB835" s="97"/>
      <c r="AC835" s="97"/>
      <c r="AD835" s="97"/>
      <c r="AE835" s="97"/>
    </row>
    <row r="836" spans="2:31" x14ac:dyDescent="0.45">
      <c r="B836" s="97"/>
      <c r="C836" s="97"/>
      <c r="D836" s="97"/>
      <c r="E836" s="97"/>
      <c r="R836" s="97"/>
      <c r="S836" s="97"/>
      <c r="T836" s="97"/>
      <c r="U836" s="97"/>
      <c r="V836" s="97"/>
      <c r="W836" s="97"/>
      <c r="X836" s="97"/>
      <c r="Y836" s="97"/>
      <c r="Z836" s="97"/>
      <c r="AA836" s="97"/>
      <c r="AB836" s="97"/>
      <c r="AC836" s="97"/>
      <c r="AD836" s="97"/>
      <c r="AE836" s="97"/>
    </row>
    <row r="837" spans="2:31" x14ac:dyDescent="0.45">
      <c r="B837" s="97"/>
      <c r="C837" s="97"/>
      <c r="D837" s="97"/>
      <c r="E837" s="97"/>
      <c r="R837" s="97"/>
      <c r="S837" s="97"/>
      <c r="T837" s="97"/>
      <c r="U837" s="97"/>
      <c r="V837" s="97"/>
      <c r="W837" s="97"/>
      <c r="X837" s="97"/>
      <c r="Y837" s="97"/>
      <c r="Z837" s="97"/>
      <c r="AA837" s="97"/>
      <c r="AB837" s="97"/>
      <c r="AC837" s="97"/>
      <c r="AD837" s="97"/>
      <c r="AE837" s="97"/>
    </row>
    <row r="838" spans="2:31" x14ac:dyDescent="0.45">
      <c r="B838" s="97"/>
      <c r="C838" s="97"/>
      <c r="D838" s="97"/>
      <c r="E838" s="97"/>
      <c r="R838" s="97"/>
      <c r="S838" s="97"/>
      <c r="T838" s="97"/>
      <c r="U838" s="97"/>
      <c r="V838" s="97"/>
      <c r="W838" s="97"/>
      <c r="X838" s="97"/>
      <c r="Y838" s="97"/>
      <c r="Z838" s="97"/>
      <c r="AA838" s="97"/>
      <c r="AB838" s="97"/>
      <c r="AC838" s="97"/>
      <c r="AD838" s="97"/>
      <c r="AE838" s="97"/>
    </row>
    <row r="839" spans="2:31" x14ac:dyDescent="0.45">
      <c r="B839" s="97"/>
      <c r="C839" s="97"/>
      <c r="D839" s="97"/>
      <c r="E839" s="97"/>
      <c r="R839" s="97"/>
      <c r="S839" s="97"/>
      <c r="T839" s="97"/>
      <c r="U839" s="97"/>
      <c r="V839" s="97"/>
      <c r="W839" s="97"/>
      <c r="X839" s="97"/>
      <c r="Y839" s="97"/>
      <c r="Z839" s="97"/>
      <c r="AA839" s="97"/>
      <c r="AB839" s="97"/>
      <c r="AC839" s="97"/>
      <c r="AD839" s="97"/>
      <c r="AE839" s="97"/>
    </row>
    <row r="840" spans="2:31" x14ac:dyDescent="0.45">
      <c r="B840" s="97"/>
      <c r="C840" s="97"/>
      <c r="D840" s="97"/>
      <c r="E840" s="97"/>
      <c r="R840" s="97"/>
      <c r="S840" s="97"/>
      <c r="T840" s="97"/>
      <c r="U840" s="97"/>
      <c r="V840" s="97"/>
      <c r="W840" s="97"/>
      <c r="X840" s="97"/>
      <c r="Y840" s="97"/>
      <c r="Z840" s="97"/>
      <c r="AA840" s="97"/>
      <c r="AB840" s="97"/>
      <c r="AC840" s="97"/>
      <c r="AD840" s="97"/>
      <c r="AE840" s="97"/>
    </row>
    <row r="841" spans="2:31" x14ac:dyDescent="0.45">
      <c r="B841" s="97"/>
      <c r="C841" s="97"/>
      <c r="D841" s="97"/>
      <c r="E841" s="97"/>
      <c r="R841" s="97"/>
      <c r="S841" s="97"/>
      <c r="T841" s="97"/>
      <c r="U841" s="97"/>
      <c r="V841" s="97"/>
      <c r="W841" s="97"/>
      <c r="X841" s="97"/>
      <c r="Y841" s="97"/>
      <c r="Z841" s="97"/>
      <c r="AA841" s="97"/>
      <c r="AB841" s="97"/>
      <c r="AC841" s="97"/>
      <c r="AD841" s="97"/>
      <c r="AE841" s="97"/>
    </row>
    <row r="842" spans="2:31" x14ac:dyDescent="0.45">
      <c r="B842" s="97"/>
      <c r="C842" s="97"/>
      <c r="D842" s="97"/>
      <c r="E842" s="97"/>
      <c r="R842" s="97"/>
      <c r="S842" s="97"/>
      <c r="T842" s="97"/>
      <c r="U842" s="97"/>
      <c r="V842" s="97"/>
      <c r="W842" s="97"/>
      <c r="X842" s="97"/>
      <c r="Y842" s="97"/>
      <c r="Z842" s="97"/>
      <c r="AA842" s="97"/>
      <c r="AB842" s="97"/>
      <c r="AC842" s="97"/>
      <c r="AD842" s="97"/>
      <c r="AE842" s="97"/>
    </row>
    <row r="843" spans="2:31" x14ac:dyDescent="0.45">
      <c r="B843" s="97"/>
      <c r="C843" s="97"/>
      <c r="D843" s="97"/>
      <c r="E843" s="97"/>
      <c r="R843" s="97"/>
      <c r="S843" s="97"/>
      <c r="T843" s="97"/>
      <c r="U843" s="97"/>
      <c r="V843" s="97"/>
      <c r="W843" s="97"/>
      <c r="X843" s="97"/>
      <c r="Y843" s="97"/>
      <c r="Z843" s="97"/>
      <c r="AA843" s="97"/>
      <c r="AB843" s="97"/>
      <c r="AC843" s="97"/>
      <c r="AD843" s="97"/>
      <c r="AE843" s="97"/>
    </row>
    <row r="844" spans="2:31" x14ac:dyDescent="0.45">
      <c r="B844" s="97"/>
      <c r="C844" s="97"/>
      <c r="D844" s="97"/>
      <c r="E844" s="97"/>
      <c r="R844" s="97"/>
      <c r="S844" s="97"/>
      <c r="T844" s="97"/>
      <c r="U844" s="97"/>
      <c r="V844" s="97"/>
      <c r="W844" s="97"/>
      <c r="X844" s="97"/>
      <c r="Y844" s="97"/>
      <c r="Z844" s="97"/>
      <c r="AA844" s="97"/>
      <c r="AB844" s="97"/>
      <c r="AC844" s="97"/>
      <c r="AD844" s="97"/>
      <c r="AE844" s="97"/>
    </row>
    <row r="845" spans="2:31" x14ac:dyDescent="0.45">
      <c r="B845" s="97"/>
      <c r="C845" s="97"/>
      <c r="D845" s="97"/>
      <c r="E845" s="97"/>
      <c r="R845" s="97"/>
      <c r="S845" s="97"/>
      <c r="T845" s="97"/>
      <c r="U845" s="97"/>
      <c r="V845" s="97"/>
      <c r="W845" s="97"/>
      <c r="X845" s="97"/>
      <c r="Y845" s="97"/>
      <c r="Z845" s="97"/>
      <c r="AA845" s="97"/>
      <c r="AB845" s="97"/>
      <c r="AC845" s="97"/>
      <c r="AD845" s="97"/>
      <c r="AE845" s="97"/>
    </row>
    <row r="846" spans="2:31" x14ac:dyDescent="0.45">
      <c r="B846" s="97"/>
      <c r="C846" s="97"/>
      <c r="D846" s="97"/>
      <c r="E846" s="97"/>
      <c r="R846" s="97"/>
      <c r="S846" s="97"/>
      <c r="T846" s="97"/>
      <c r="U846" s="97"/>
      <c r="V846" s="97"/>
      <c r="W846" s="97"/>
      <c r="X846" s="97"/>
      <c r="Y846" s="97"/>
      <c r="Z846" s="97"/>
      <c r="AA846" s="97"/>
      <c r="AB846" s="97"/>
      <c r="AC846" s="97"/>
      <c r="AD846" s="97"/>
      <c r="AE846" s="97"/>
    </row>
    <row r="847" spans="2:31" x14ac:dyDescent="0.45">
      <c r="B847" s="97"/>
      <c r="C847" s="97"/>
      <c r="D847" s="97"/>
      <c r="E847" s="97"/>
      <c r="R847" s="97"/>
      <c r="S847" s="97"/>
      <c r="T847" s="97"/>
      <c r="U847" s="97"/>
      <c r="V847" s="97"/>
      <c r="W847" s="97"/>
      <c r="X847" s="97"/>
      <c r="Y847" s="97"/>
      <c r="Z847" s="97"/>
      <c r="AA847" s="97"/>
      <c r="AB847" s="97"/>
      <c r="AC847" s="97"/>
      <c r="AD847" s="97"/>
      <c r="AE847" s="97"/>
    </row>
    <row r="848" spans="2:31" x14ac:dyDescent="0.45">
      <c r="B848" s="97"/>
      <c r="C848" s="97"/>
      <c r="D848" s="97"/>
      <c r="E848" s="97"/>
      <c r="R848" s="97"/>
      <c r="S848" s="97"/>
      <c r="T848" s="97"/>
      <c r="U848" s="97"/>
      <c r="V848" s="97"/>
      <c r="W848" s="97"/>
      <c r="X848" s="97"/>
      <c r="Y848" s="97"/>
      <c r="Z848" s="97"/>
      <c r="AA848" s="97"/>
      <c r="AB848" s="97"/>
      <c r="AC848" s="97"/>
      <c r="AD848" s="97"/>
      <c r="AE848" s="97"/>
    </row>
    <row r="849" spans="2:31" x14ac:dyDescent="0.45">
      <c r="B849" s="97"/>
      <c r="C849" s="97"/>
      <c r="D849" s="97"/>
      <c r="E849" s="97"/>
      <c r="R849" s="97"/>
      <c r="S849" s="97"/>
      <c r="T849" s="97"/>
      <c r="U849" s="97"/>
      <c r="V849" s="97"/>
      <c r="W849" s="97"/>
      <c r="X849" s="97"/>
      <c r="Y849" s="97"/>
      <c r="Z849" s="97"/>
      <c r="AA849" s="97"/>
      <c r="AB849" s="97"/>
      <c r="AC849" s="97"/>
      <c r="AD849" s="97"/>
      <c r="AE849" s="97"/>
    </row>
    <row r="850" spans="2:31" x14ac:dyDescent="0.45">
      <c r="B850" s="97"/>
      <c r="C850" s="97"/>
      <c r="D850" s="97"/>
      <c r="E850" s="97"/>
      <c r="R850" s="97"/>
      <c r="S850" s="97"/>
      <c r="T850" s="97"/>
      <c r="U850" s="97"/>
      <c r="V850" s="97"/>
      <c r="W850" s="97"/>
      <c r="X850" s="97"/>
      <c r="Y850" s="97"/>
      <c r="Z850" s="97"/>
      <c r="AA850" s="97"/>
      <c r="AB850" s="97"/>
      <c r="AC850" s="97"/>
      <c r="AD850" s="97"/>
      <c r="AE850" s="97"/>
    </row>
    <row r="851" spans="2:31" x14ac:dyDescent="0.45">
      <c r="B851" s="97"/>
      <c r="C851" s="97"/>
      <c r="D851" s="97"/>
      <c r="E851" s="97"/>
      <c r="R851" s="97"/>
      <c r="S851" s="97"/>
      <c r="T851" s="97"/>
      <c r="U851" s="97"/>
      <c r="V851" s="97"/>
      <c r="W851" s="97"/>
      <c r="X851" s="97"/>
      <c r="Y851" s="97"/>
      <c r="Z851" s="97"/>
      <c r="AA851" s="97"/>
      <c r="AB851" s="97"/>
      <c r="AC851" s="97"/>
      <c r="AD851" s="97"/>
      <c r="AE851" s="97"/>
    </row>
    <row r="852" spans="2:31" x14ac:dyDescent="0.45">
      <c r="B852" s="97"/>
      <c r="C852" s="97"/>
      <c r="D852" s="97"/>
      <c r="E852" s="97"/>
      <c r="R852" s="97"/>
      <c r="S852" s="97"/>
      <c r="T852" s="97"/>
      <c r="U852" s="97"/>
      <c r="V852" s="97"/>
      <c r="W852" s="97"/>
      <c r="X852" s="97"/>
      <c r="Y852" s="97"/>
      <c r="Z852" s="97"/>
      <c r="AA852" s="97"/>
      <c r="AB852" s="97"/>
      <c r="AC852" s="97"/>
      <c r="AD852" s="97"/>
      <c r="AE852" s="97"/>
    </row>
    <row r="853" spans="2:31" x14ac:dyDescent="0.45">
      <c r="B853" s="97"/>
      <c r="C853" s="97"/>
      <c r="D853" s="97"/>
      <c r="E853" s="97"/>
      <c r="R853" s="97"/>
      <c r="S853" s="97"/>
      <c r="T853" s="97"/>
      <c r="U853" s="97"/>
      <c r="V853" s="97"/>
      <c r="W853" s="97"/>
      <c r="X853" s="97"/>
      <c r="Y853" s="97"/>
      <c r="Z853" s="97"/>
      <c r="AA853" s="97"/>
      <c r="AB853" s="97"/>
      <c r="AC853" s="97"/>
      <c r="AD853" s="97"/>
      <c r="AE853" s="97"/>
    </row>
    <row r="854" spans="2:31" x14ac:dyDescent="0.45">
      <c r="B854" s="97"/>
      <c r="C854" s="97"/>
      <c r="D854" s="97"/>
      <c r="E854" s="97"/>
      <c r="R854" s="97"/>
      <c r="S854" s="97"/>
      <c r="T854" s="97"/>
      <c r="U854" s="97"/>
      <c r="V854" s="97"/>
      <c r="W854" s="97"/>
      <c r="X854" s="97"/>
      <c r="Y854" s="97"/>
      <c r="Z854" s="97"/>
      <c r="AA854" s="97"/>
      <c r="AB854" s="97"/>
      <c r="AC854" s="97"/>
      <c r="AD854" s="97"/>
      <c r="AE854" s="97"/>
    </row>
    <row r="855" spans="2:31" x14ac:dyDescent="0.45">
      <c r="B855" s="97"/>
      <c r="C855" s="97"/>
      <c r="D855" s="97"/>
      <c r="E855" s="97"/>
      <c r="R855" s="97"/>
      <c r="S855" s="97"/>
      <c r="T855" s="97"/>
      <c r="U855" s="97"/>
      <c r="V855" s="97"/>
      <c r="W855" s="97"/>
      <c r="X855" s="97"/>
      <c r="Y855" s="97"/>
      <c r="Z855" s="97"/>
      <c r="AA855" s="97"/>
      <c r="AB855" s="97"/>
      <c r="AC855" s="97"/>
      <c r="AD855" s="97"/>
      <c r="AE855" s="97"/>
    </row>
    <row r="856" spans="2:31" x14ac:dyDescent="0.45">
      <c r="B856" s="97"/>
      <c r="C856" s="97"/>
      <c r="D856" s="97"/>
      <c r="E856" s="97"/>
      <c r="R856" s="97"/>
      <c r="S856" s="97"/>
      <c r="T856" s="97"/>
      <c r="U856" s="97"/>
      <c r="V856" s="97"/>
      <c r="W856" s="97"/>
      <c r="X856" s="97"/>
      <c r="Y856" s="97"/>
      <c r="Z856" s="97"/>
      <c r="AA856" s="97"/>
      <c r="AB856" s="97"/>
      <c r="AC856" s="97"/>
      <c r="AD856" s="97"/>
      <c r="AE856" s="97"/>
    </row>
    <row r="857" spans="2:31" x14ac:dyDescent="0.45">
      <c r="B857" s="97"/>
      <c r="C857" s="97"/>
      <c r="D857" s="97"/>
      <c r="E857" s="97"/>
      <c r="R857" s="97"/>
      <c r="S857" s="97"/>
      <c r="T857" s="97"/>
      <c r="U857" s="97"/>
      <c r="V857" s="97"/>
      <c r="W857" s="97"/>
      <c r="X857" s="97"/>
      <c r="Y857" s="97"/>
      <c r="Z857" s="97"/>
      <c r="AA857" s="97"/>
      <c r="AB857" s="97"/>
      <c r="AC857" s="97"/>
      <c r="AD857" s="97"/>
      <c r="AE857" s="97"/>
    </row>
    <row r="858" spans="2:31" x14ac:dyDescent="0.45">
      <c r="B858" s="97"/>
      <c r="C858" s="97"/>
      <c r="D858" s="97"/>
      <c r="E858" s="97"/>
      <c r="R858" s="97"/>
      <c r="S858" s="97"/>
      <c r="T858" s="97"/>
      <c r="U858" s="97"/>
      <c r="V858" s="97"/>
      <c r="W858" s="97"/>
      <c r="X858" s="97"/>
      <c r="Y858" s="97"/>
      <c r="Z858" s="97"/>
      <c r="AA858" s="97"/>
      <c r="AB858" s="97"/>
      <c r="AC858" s="97"/>
      <c r="AD858" s="97"/>
      <c r="AE858" s="97"/>
    </row>
    <row r="859" spans="2:31" x14ac:dyDescent="0.45">
      <c r="B859" s="97"/>
      <c r="C859" s="97"/>
      <c r="D859" s="97"/>
      <c r="E859" s="97"/>
      <c r="R859" s="97"/>
      <c r="S859" s="97"/>
      <c r="T859" s="97"/>
      <c r="U859" s="97"/>
      <c r="V859" s="97"/>
      <c r="W859" s="97"/>
      <c r="X859" s="97"/>
      <c r="Y859" s="97"/>
      <c r="Z859" s="97"/>
      <c r="AA859" s="97"/>
      <c r="AB859" s="97"/>
      <c r="AC859" s="97"/>
      <c r="AD859" s="97"/>
      <c r="AE859" s="97"/>
    </row>
    <row r="860" spans="2:31" x14ac:dyDescent="0.45">
      <c r="B860" s="97"/>
      <c r="C860" s="97"/>
      <c r="D860" s="97"/>
      <c r="E860" s="97"/>
      <c r="R860" s="97"/>
      <c r="S860" s="97"/>
      <c r="T860" s="97"/>
      <c r="U860" s="97"/>
      <c r="V860" s="97"/>
      <c r="W860" s="97"/>
      <c r="X860" s="97"/>
      <c r="Y860" s="97"/>
      <c r="Z860" s="97"/>
      <c r="AA860" s="97"/>
      <c r="AB860" s="97"/>
      <c r="AC860" s="97"/>
      <c r="AD860" s="97"/>
      <c r="AE860" s="97"/>
    </row>
    <row r="861" spans="2:31" x14ac:dyDescent="0.45">
      <c r="B861" s="97"/>
      <c r="C861" s="97"/>
      <c r="D861" s="97"/>
      <c r="E861" s="97"/>
      <c r="R861" s="97"/>
      <c r="S861" s="97"/>
      <c r="T861" s="97"/>
      <c r="U861" s="97"/>
      <c r="V861" s="97"/>
      <c r="W861" s="97"/>
      <c r="X861" s="97"/>
      <c r="Y861" s="97"/>
      <c r="Z861" s="97"/>
      <c r="AA861" s="97"/>
      <c r="AB861" s="97"/>
      <c r="AC861" s="97"/>
      <c r="AD861" s="97"/>
      <c r="AE861" s="97"/>
    </row>
    <row r="862" spans="2:31" x14ac:dyDescent="0.45">
      <c r="B862" s="97"/>
      <c r="C862" s="97"/>
      <c r="D862" s="97"/>
      <c r="E862" s="97"/>
      <c r="R862" s="97"/>
      <c r="S862" s="97"/>
      <c r="T862" s="97"/>
      <c r="U862" s="97"/>
      <c r="V862" s="97"/>
      <c r="W862" s="97"/>
      <c r="X862" s="97"/>
      <c r="Y862" s="97"/>
      <c r="Z862" s="97"/>
      <c r="AA862" s="97"/>
      <c r="AB862" s="97"/>
      <c r="AC862" s="97"/>
      <c r="AD862" s="97"/>
      <c r="AE862" s="97"/>
    </row>
    <row r="863" spans="2:31" x14ac:dyDescent="0.45">
      <c r="B863" s="97"/>
      <c r="C863" s="97"/>
      <c r="D863" s="97"/>
      <c r="E863" s="97"/>
      <c r="R863" s="97"/>
      <c r="S863" s="97"/>
      <c r="T863" s="97"/>
      <c r="U863" s="97"/>
      <c r="V863" s="97"/>
      <c r="W863" s="97"/>
      <c r="X863" s="97"/>
      <c r="Y863" s="97"/>
      <c r="Z863" s="97"/>
      <c r="AA863" s="97"/>
      <c r="AB863" s="97"/>
      <c r="AC863" s="97"/>
      <c r="AD863" s="97"/>
      <c r="AE863" s="97"/>
    </row>
    <row r="864" spans="2:31" x14ac:dyDescent="0.45">
      <c r="B864" s="97"/>
      <c r="C864" s="97"/>
      <c r="D864" s="97"/>
      <c r="E864" s="97"/>
      <c r="R864" s="97"/>
      <c r="S864" s="97"/>
      <c r="T864" s="97"/>
      <c r="U864" s="97"/>
      <c r="V864" s="97"/>
      <c r="W864" s="97"/>
      <c r="X864" s="97"/>
      <c r="Y864" s="97"/>
      <c r="Z864" s="97"/>
      <c r="AA864" s="97"/>
      <c r="AB864" s="97"/>
      <c r="AC864" s="97"/>
      <c r="AD864" s="97"/>
      <c r="AE864" s="97"/>
    </row>
    <row r="865" spans="2:31" x14ac:dyDescent="0.45">
      <c r="B865" s="97"/>
      <c r="C865" s="97"/>
      <c r="D865" s="97"/>
      <c r="E865" s="97"/>
      <c r="R865" s="97"/>
      <c r="S865" s="97"/>
      <c r="T865" s="97"/>
      <c r="U865" s="97"/>
      <c r="V865" s="97"/>
      <c r="W865" s="97"/>
      <c r="X865" s="97"/>
      <c r="Y865" s="97"/>
      <c r="Z865" s="97"/>
      <c r="AA865" s="97"/>
      <c r="AB865" s="97"/>
      <c r="AC865" s="97"/>
      <c r="AD865" s="97"/>
      <c r="AE865" s="97"/>
    </row>
    <row r="866" spans="2:31" x14ac:dyDescent="0.45">
      <c r="B866" s="97"/>
      <c r="C866" s="97"/>
      <c r="D866" s="97"/>
      <c r="E866" s="97"/>
      <c r="R866" s="97"/>
      <c r="S866" s="97"/>
      <c r="T866" s="97"/>
      <c r="U866" s="97"/>
      <c r="V866" s="97"/>
      <c r="W866" s="97"/>
      <c r="X866" s="97"/>
      <c r="Y866" s="97"/>
      <c r="Z866" s="97"/>
      <c r="AA866" s="97"/>
      <c r="AB866" s="97"/>
      <c r="AC866" s="97"/>
      <c r="AD866" s="97"/>
      <c r="AE866" s="97"/>
    </row>
    <row r="867" spans="2:31" x14ac:dyDescent="0.45">
      <c r="B867" s="97"/>
      <c r="C867" s="97"/>
      <c r="D867" s="97"/>
      <c r="E867" s="97"/>
      <c r="R867" s="97"/>
      <c r="S867" s="97"/>
      <c r="T867" s="97"/>
      <c r="U867" s="97"/>
      <c r="V867" s="97"/>
      <c r="W867" s="97"/>
      <c r="X867" s="97"/>
      <c r="Y867" s="97"/>
      <c r="Z867" s="97"/>
      <c r="AA867" s="97"/>
      <c r="AB867" s="97"/>
      <c r="AC867" s="97"/>
      <c r="AD867" s="97"/>
      <c r="AE867" s="97"/>
    </row>
    <row r="868" spans="2:31" x14ac:dyDescent="0.45">
      <c r="B868" s="97"/>
      <c r="C868" s="97"/>
      <c r="D868" s="97"/>
      <c r="E868" s="97"/>
      <c r="R868" s="97"/>
      <c r="S868" s="97"/>
      <c r="T868" s="97"/>
      <c r="U868" s="97"/>
      <c r="V868" s="97"/>
      <c r="W868" s="97"/>
      <c r="X868" s="97"/>
      <c r="Y868" s="97"/>
      <c r="Z868" s="97"/>
      <c r="AA868" s="97"/>
      <c r="AB868" s="97"/>
      <c r="AC868" s="97"/>
      <c r="AD868" s="97"/>
      <c r="AE868" s="97"/>
    </row>
    <row r="869" spans="2:31" x14ac:dyDescent="0.45">
      <c r="B869" s="97"/>
      <c r="C869" s="97"/>
      <c r="D869" s="97"/>
      <c r="E869" s="97"/>
      <c r="R869" s="97"/>
      <c r="S869" s="97"/>
      <c r="T869" s="97"/>
      <c r="U869" s="97"/>
      <c r="V869" s="97"/>
      <c r="W869" s="97"/>
      <c r="X869" s="97"/>
      <c r="Y869" s="97"/>
      <c r="Z869" s="97"/>
      <c r="AA869" s="97"/>
      <c r="AB869" s="97"/>
      <c r="AC869" s="97"/>
      <c r="AD869" s="97"/>
      <c r="AE869" s="97"/>
    </row>
    <row r="870" spans="2:31" x14ac:dyDescent="0.45">
      <c r="B870" s="97"/>
      <c r="C870" s="97"/>
      <c r="D870" s="97"/>
      <c r="E870" s="97"/>
      <c r="R870" s="97"/>
      <c r="S870" s="97"/>
      <c r="T870" s="97"/>
      <c r="U870" s="97"/>
      <c r="V870" s="97"/>
      <c r="W870" s="97"/>
      <c r="X870" s="97"/>
      <c r="Y870" s="97"/>
      <c r="Z870" s="97"/>
      <c r="AA870" s="97"/>
      <c r="AB870" s="97"/>
      <c r="AC870" s="97"/>
      <c r="AD870" s="97"/>
      <c r="AE870" s="97"/>
    </row>
    <row r="871" spans="2:31" x14ac:dyDescent="0.45">
      <c r="B871" s="97"/>
      <c r="C871" s="97"/>
      <c r="D871" s="97"/>
      <c r="E871" s="97"/>
      <c r="R871" s="97"/>
      <c r="S871" s="97"/>
      <c r="T871" s="97"/>
      <c r="U871" s="97"/>
      <c r="V871" s="97"/>
      <c r="W871" s="97"/>
      <c r="X871" s="97"/>
      <c r="Y871" s="97"/>
      <c r="Z871" s="97"/>
      <c r="AA871" s="97"/>
      <c r="AB871" s="97"/>
      <c r="AC871" s="97"/>
      <c r="AD871" s="97"/>
      <c r="AE871" s="97"/>
    </row>
    <row r="872" spans="2:31" x14ac:dyDescent="0.45">
      <c r="B872" s="97"/>
      <c r="C872" s="97"/>
      <c r="D872" s="97"/>
      <c r="E872" s="97"/>
      <c r="R872" s="97"/>
      <c r="S872" s="97"/>
      <c r="T872" s="97"/>
      <c r="U872" s="97"/>
      <c r="V872" s="97"/>
      <c r="W872" s="97"/>
      <c r="X872" s="97"/>
      <c r="Y872" s="97"/>
      <c r="Z872" s="97"/>
      <c r="AA872" s="97"/>
      <c r="AB872" s="97"/>
      <c r="AC872" s="97"/>
      <c r="AD872" s="97"/>
      <c r="AE872" s="97"/>
    </row>
    <row r="873" spans="2:31" x14ac:dyDescent="0.45">
      <c r="B873" s="97"/>
      <c r="C873" s="97"/>
      <c r="D873" s="97"/>
      <c r="E873" s="97"/>
      <c r="R873" s="97"/>
      <c r="S873" s="97"/>
      <c r="T873" s="97"/>
      <c r="U873" s="97"/>
      <c r="V873" s="97"/>
      <c r="W873" s="97"/>
      <c r="X873" s="97"/>
      <c r="Y873" s="97"/>
      <c r="Z873" s="97"/>
      <c r="AA873" s="97"/>
      <c r="AB873" s="97"/>
      <c r="AC873" s="97"/>
      <c r="AD873" s="97"/>
      <c r="AE873" s="97"/>
    </row>
    <row r="874" spans="2:31" x14ac:dyDescent="0.45">
      <c r="B874" s="97"/>
      <c r="C874" s="97"/>
      <c r="D874" s="97"/>
      <c r="E874" s="97"/>
      <c r="R874" s="97"/>
      <c r="S874" s="97"/>
      <c r="T874" s="97"/>
      <c r="U874" s="97"/>
      <c r="V874" s="97"/>
      <c r="W874" s="97"/>
      <c r="X874" s="97"/>
      <c r="Y874" s="97"/>
      <c r="Z874" s="97"/>
      <c r="AA874" s="97"/>
      <c r="AB874" s="97"/>
      <c r="AC874" s="97"/>
      <c r="AD874" s="97"/>
      <c r="AE874" s="97"/>
    </row>
    <row r="875" spans="2:31" x14ac:dyDescent="0.45">
      <c r="B875" s="97"/>
      <c r="C875" s="97"/>
      <c r="D875" s="97"/>
      <c r="E875" s="97"/>
      <c r="R875" s="97"/>
      <c r="S875" s="97"/>
      <c r="T875" s="97"/>
      <c r="U875" s="97"/>
      <c r="V875" s="97"/>
      <c r="W875" s="97"/>
      <c r="X875" s="97"/>
      <c r="Y875" s="97"/>
      <c r="Z875" s="97"/>
      <c r="AA875" s="97"/>
      <c r="AB875" s="97"/>
      <c r="AC875" s="97"/>
      <c r="AD875" s="97"/>
      <c r="AE875" s="97"/>
    </row>
    <row r="876" spans="2:31" x14ac:dyDescent="0.45">
      <c r="B876" s="97"/>
      <c r="C876" s="97"/>
      <c r="D876" s="97"/>
      <c r="E876" s="97"/>
      <c r="R876" s="97"/>
      <c r="S876" s="97"/>
      <c r="T876" s="97"/>
      <c r="U876" s="97"/>
      <c r="V876" s="97"/>
      <c r="W876" s="97"/>
      <c r="X876" s="97"/>
      <c r="Y876" s="97"/>
      <c r="Z876" s="97"/>
      <c r="AA876" s="97"/>
      <c r="AB876" s="97"/>
      <c r="AC876" s="97"/>
      <c r="AD876" s="97"/>
      <c r="AE876" s="97"/>
    </row>
    <row r="877" spans="2:31" x14ac:dyDescent="0.45">
      <c r="B877" s="97"/>
      <c r="C877" s="97"/>
      <c r="D877" s="97"/>
      <c r="E877" s="97"/>
      <c r="R877" s="97"/>
      <c r="S877" s="97"/>
      <c r="T877" s="97"/>
      <c r="U877" s="97"/>
      <c r="V877" s="97"/>
      <c r="W877" s="97"/>
      <c r="X877" s="97"/>
      <c r="Y877" s="97"/>
      <c r="Z877" s="97"/>
      <c r="AA877" s="97"/>
      <c r="AB877" s="97"/>
      <c r="AC877" s="97"/>
      <c r="AD877" s="97"/>
      <c r="AE877" s="97"/>
    </row>
    <row r="878" spans="2:31" x14ac:dyDescent="0.45">
      <c r="B878" s="97"/>
      <c r="C878" s="97"/>
      <c r="D878" s="97"/>
      <c r="E878" s="97"/>
      <c r="R878" s="97"/>
      <c r="S878" s="97"/>
      <c r="T878" s="97"/>
      <c r="U878" s="97"/>
      <c r="V878" s="97"/>
      <c r="W878" s="97"/>
      <c r="X878" s="97"/>
      <c r="Y878" s="97"/>
      <c r="Z878" s="97"/>
      <c r="AA878" s="97"/>
      <c r="AB878" s="97"/>
      <c r="AC878" s="97"/>
      <c r="AD878" s="97"/>
      <c r="AE878" s="97"/>
    </row>
    <row r="879" spans="2:31" x14ac:dyDescent="0.45">
      <c r="B879" s="97"/>
      <c r="C879" s="97"/>
      <c r="D879" s="97"/>
      <c r="E879" s="97"/>
      <c r="R879" s="97"/>
      <c r="S879" s="97"/>
      <c r="T879" s="97"/>
      <c r="U879" s="97"/>
      <c r="V879" s="97"/>
      <c r="W879" s="97"/>
      <c r="X879" s="97"/>
      <c r="Y879" s="97"/>
      <c r="Z879" s="97"/>
      <c r="AA879" s="97"/>
      <c r="AB879" s="97"/>
      <c r="AC879" s="97"/>
      <c r="AD879" s="97"/>
      <c r="AE879" s="97"/>
    </row>
    <row r="880" spans="2:31" x14ac:dyDescent="0.45">
      <c r="B880" s="97"/>
      <c r="C880" s="97"/>
      <c r="D880" s="97"/>
      <c r="E880" s="97"/>
      <c r="R880" s="97"/>
      <c r="S880" s="97"/>
      <c r="T880" s="97"/>
      <c r="U880" s="97"/>
      <c r="V880" s="97"/>
      <c r="W880" s="97"/>
      <c r="X880" s="97"/>
      <c r="Y880" s="97"/>
      <c r="Z880" s="97"/>
      <c r="AA880" s="97"/>
      <c r="AB880" s="97"/>
      <c r="AC880" s="97"/>
      <c r="AD880" s="97"/>
      <c r="AE880" s="97"/>
    </row>
    <row r="881" spans="2:31" x14ac:dyDescent="0.45">
      <c r="B881" s="97"/>
      <c r="C881" s="97"/>
      <c r="D881" s="97"/>
      <c r="E881" s="97"/>
      <c r="R881" s="97"/>
      <c r="S881" s="97"/>
      <c r="T881" s="97"/>
      <c r="U881" s="97"/>
      <c r="V881" s="97"/>
      <c r="W881" s="97"/>
      <c r="X881" s="97"/>
      <c r="Y881" s="97"/>
      <c r="Z881" s="97"/>
      <c r="AA881" s="97"/>
      <c r="AB881" s="97"/>
      <c r="AC881" s="97"/>
      <c r="AD881" s="97"/>
      <c r="AE881" s="97"/>
    </row>
    <row r="882" spans="2:31" x14ac:dyDescent="0.45">
      <c r="B882" s="97"/>
      <c r="C882" s="97"/>
      <c r="D882" s="97"/>
      <c r="E882" s="97"/>
      <c r="R882" s="97"/>
      <c r="S882" s="97"/>
      <c r="T882" s="97"/>
      <c r="U882" s="97"/>
      <c r="V882" s="97"/>
      <c r="W882" s="97"/>
      <c r="X882" s="97"/>
      <c r="Y882" s="97"/>
      <c r="Z882" s="97"/>
      <c r="AA882" s="97"/>
      <c r="AB882" s="97"/>
      <c r="AC882" s="97"/>
      <c r="AD882" s="97"/>
      <c r="AE882" s="97"/>
    </row>
    <row r="883" spans="2:31" x14ac:dyDescent="0.45">
      <c r="B883" s="97"/>
      <c r="C883" s="97"/>
      <c r="D883" s="97"/>
      <c r="E883" s="97"/>
      <c r="R883" s="97"/>
      <c r="S883" s="97"/>
      <c r="T883" s="97"/>
      <c r="U883" s="97"/>
      <c r="V883" s="97"/>
      <c r="W883" s="97"/>
      <c r="X883" s="97"/>
      <c r="Y883" s="97"/>
      <c r="Z883" s="97"/>
      <c r="AA883" s="97"/>
      <c r="AB883" s="97"/>
      <c r="AC883" s="97"/>
      <c r="AD883" s="97"/>
      <c r="AE883" s="97"/>
    </row>
    <row r="884" spans="2:31" x14ac:dyDescent="0.45">
      <c r="B884" s="97"/>
      <c r="C884" s="97"/>
      <c r="D884" s="97"/>
      <c r="E884" s="97"/>
      <c r="R884" s="97"/>
      <c r="S884" s="97"/>
      <c r="T884" s="97"/>
      <c r="U884" s="97"/>
      <c r="V884" s="97"/>
      <c r="W884" s="97"/>
      <c r="X884" s="97"/>
      <c r="Y884" s="97"/>
      <c r="Z884" s="97"/>
      <c r="AA884" s="97"/>
      <c r="AB884" s="97"/>
      <c r="AC884" s="97"/>
      <c r="AD884" s="97"/>
      <c r="AE884" s="97"/>
    </row>
    <row r="885" spans="2:31" x14ac:dyDescent="0.45">
      <c r="B885" s="97"/>
      <c r="C885" s="97"/>
      <c r="D885" s="97"/>
      <c r="E885" s="97"/>
      <c r="R885" s="97"/>
      <c r="S885" s="97"/>
      <c r="T885" s="97"/>
      <c r="U885" s="97"/>
      <c r="V885" s="97"/>
      <c r="W885" s="97"/>
      <c r="X885" s="97"/>
      <c r="Y885" s="97"/>
      <c r="Z885" s="97"/>
      <c r="AA885" s="97"/>
      <c r="AB885" s="97"/>
      <c r="AC885" s="97"/>
      <c r="AD885" s="97"/>
      <c r="AE885" s="97"/>
    </row>
    <row r="886" spans="2:31" x14ac:dyDescent="0.45">
      <c r="B886" s="97"/>
      <c r="C886" s="97"/>
      <c r="D886" s="97"/>
      <c r="E886" s="97"/>
      <c r="R886" s="97"/>
      <c r="S886" s="97"/>
      <c r="T886" s="97"/>
      <c r="U886" s="97"/>
      <c r="V886" s="97"/>
      <c r="W886" s="97"/>
      <c r="X886" s="97"/>
      <c r="Y886" s="97"/>
      <c r="Z886" s="97"/>
      <c r="AA886" s="97"/>
      <c r="AB886" s="97"/>
      <c r="AC886" s="97"/>
      <c r="AD886" s="97"/>
      <c r="AE886" s="97"/>
    </row>
    <row r="887" spans="2:31" x14ac:dyDescent="0.45">
      <c r="B887" s="97"/>
      <c r="C887" s="97"/>
      <c r="D887" s="97"/>
      <c r="E887" s="97"/>
      <c r="R887" s="97"/>
      <c r="S887" s="97"/>
      <c r="T887" s="97"/>
      <c r="U887" s="97"/>
      <c r="V887" s="97"/>
      <c r="W887" s="97"/>
      <c r="X887" s="97"/>
      <c r="Y887" s="97"/>
      <c r="Z887" s="97"/>
      <c r="AA887" s="97"/>
      <c r="AB887" s="97"/>
      <c r="AC887" s="97"/>
      <c r="AD887" s="97"/>
      <c r="AE887" s="97"/>
    </row>
    <row r="888" spans="2:31" x14ac:dyDescent="0.45">
      <c r="B888" s="97"/>
      <c r="C888" s="97"/>
      <c r="D888" s="97"/>
      <c r="E888" s="97"/>
      <c r="R888" s="97"/>
      <c r="S888" s="97"/>
      <c r="T888" s="97"/>
      <c r="U888" s="97"/>
      <c r="V888" s="97"/>
      <c r="W888" s="97"/>
      <c r="X888" s="97"/>
      <c r="Y888" s="97"/>
      <c r="Z888" s="97"/>
      <c r="AA888" s="97"/>
      <c r="AB888" s="97"/>
      <c r="AC888" s="97"/>
      <c r="AD888" s="97"/>
      <c r="AE888" s="97"/>
    </row>
    <row r="889" spans="2:31" x14ac:dyDescent="0.45">
      <c r="B889" s="97"/>
      <c r="C889" s="97"/>
      <c r="D889" s="97"/>
      <c r="E889" s="97"/>
      <c r="R889" s="97"/>
      <c r="S889" s="97"/>
      <c r="T889" s="97"/>
      <c r="U889" s="97"/>
      <c r="V889" s="97"/>
      <c r="W889" s="97"/>
      <c r="X889" s="97"/>
      <c r="Y889" s="97"/>
      <c r="Z889" s="97"/>
      <c r="AA889" s="97"/>
      <c r="AB889" s="97"/>
      <c r="AC889" s="97"/>
      <c r="AD889" s="97"/>
      <c r="AE889" s="97"/>
    </row>
    <row r="890" spans="2:31" x14ac:dyDescent="0.45">
      <c r="B890" s="97"/>
      <c r="C890" s="97"/>
      <c r="D890" s="97"/>
      <c r="E890" s="97"/>
      <c r="R890" s="97"/>
      <c r="S890" s="97"/>
      <c r="T890" s="97"/>
      <c r="U890" s="97"/>
      <c r="V890" s="97"/>
      <c r="W890" s="97"/>
      <c r="X890" s="97"/>
      <c r="Y890" s="97"/>
      <c r="Z890" s="97"/>
      <c r="AA890" s="97"/>
      <c r="AB890" s="97"/>
      <c r="AC890" s="97"/>
      <c r="AD890" s="97"/>
      <c r="AE890" s="97"/>
    </row>
    <row r="891" spans="2:31" x14ac:dyDescent="0.45">
      <c r="B891" s="97"/>
      <c r="C891" s="97"/>
      <c r="D891" s="97"/>
      <c r="E891" s="97"/>
      <c r="R891" s="97"/>
      <c r="S891" s="97"/>
      <c r="T891" s="97"/>
      <c r="U891" s="97"/>
      <c r="V891" s="97"/>
      <c r="W891" s="97"/>
      <c r="X891" s="97"/>
      <c r="Y891" s="97"/>
      <c r="Z891" s="97"/>
      <c r="AA891" s="97"/>
      <c r="AB891" s="97"/>
      <c r="AC891" s="97"/>
      <c r="AD891" s="97"/>
      <c r="AE891" s="97"/>
    </row>
    <row r="892" spans="2:31" x14ac:dyDescent="0.45">
      <c r="B892" s="97"/>
      <c r="C892" s="97"/>
      <c r="D892" s="97"/>
      <c r="E892" s="97"/>
      <c r="R892" s="97"/>
      <c r="S892" s="97"/>
      <c r="T892" s="97"/>
      <c r="U892" s="97"/>
      <c r="V892" s="97"/>
      <c r="W892" s="97"/>
      <c r="X892" s="97"/>
      <c r="Y892" s="97"/>
      <c r="Z892" s="97"/>
      <c r="AA892" s="97"/>
      <c r="AB892" s="97"/>
      <c r="AC892" s="97"/>
      <c r="AD892" s="97"/>
      <c r="AE892" s="97"/>
    </row>
    <row r="893" spans="2:31" x14ac:dyDescent="0.45">
      <c r="B893" s="97"/>
      <c r="C893" s="97"/>
      <c r="D893" s="97"/>
      <c r="E893" s="97"/>
      <c r="R893" s="97"/>
      <c r="S893" s="97"/>
      <c r="T893" s="97"/>
      <c r="U893" s="97"/>
      <c r="V893" s="97"/>
      <c r="W893" s="97"/>
      <c r="X893" s="97"/>
      <c r="Y893" s="97"/>
      <c r="Z893" s="97"/>
      <c r="AA893" s="97"/>
      <c r="AB893" s="97"/>
      <c r="AC893" s="97"/>
      <c r="AD893" s="97"/>
      <c r="AE893" s="97"/>
    </row>
    <row r="894" spans="2:31" x14ac:dyDescent="0.45">
      <c r="B894" s="97"/>
      <c r="C894" s="97"/>
      <c r="D894" s="97"/>
      <c r="E894" s="97"/>
      <c r="R894" s="97"/>
      <c r="S894" s="97"/>
      <c r="T894" s="97"/>
      <c r="U894" s="97"/>
      <c r="V894" s="97"/>
      <c r="W894" s="97"/>
      <c r="X894" s="97"/>
      <c r="Y894" s="97"/>
      <c r="Z894" s="97"/>
      <c r="AA894" s="97"/>
      <c r="AB894" s="97"/>
      <c r="AC894" s="97"/>
      <c r="AD894" s="97"/>
      <c r="AE894" s="97"/>
    </row>
    <row r="895" spans="2:31" x14ac:dyDescent="0.45">
      <c r="B895" s="97"/>
      <c r="C895" s="97"/>
      <c r="D895" s="97"/>
      <c r="E895" s="97"/>
      <c r="R895" s="97"/>
      <c r="S895" s="97"/>
      <c r="T895" s="97"/>
      <c r="U895" s="97"/>
      <c r="V895" s="97"/>
      <c r="W895" s="97"/>
      <c r="X895" s="97"/>
      <c r="Y895" s="97"/>
      <c r="Z895" s="97"/>
      <c r="AA895" s="97"/>
      <c r="AB895" s="97"/>
      <c r="AC895" s="97"/>
      <c r="AD895" s="97"/>
      <c r="AE895" s="97"/>
    </row>
    <row r="896" spans="2:31" x14ac:dyDescent="0.45">
      <c r="B896" s="97"/>
      <c r="C896" s="97"/>
      <c r="D896" s="97"/>
      <c r="E896" s="97"/>
      <c r="R896" s="97"/>
      <c r="S896" s="97"/>
      <c r="T896" s="97"/>
      <c r="U896" s="97"/>
      <c r="V896" s="97"/>
      <c r="W896" s="97"/>
      <c r="X896" s="97"/>
      <c r="Y896" s="97"/>
      <c r="Z896" s="97"/>
      <c r="AA896" s="97"/>
      <c r="AB896" s="97"/>
      <c r="AC896" s="97"/>
      <c r="AD896" s="97"/>
      <c r="AE896" s="97"/>
    </row>
    <row r="897" spans="2:31" x14ac:dyDescent="0.45">
      <c r="B897" s="97"/>
      <c r="C897" s="97"/>
      <c r="D897" s="97"/>
      <c r="E897" s="97"/>
      <c r="R897" s="97"/>
      <c r="S897" s="97"/>
      <c r="T897" s="97"/>
      <c r="U897" s="97"/>
      <c r="V897" s="97"/>
      <c r="W897" s="97"/>
      <c r="X897" s="97"/>
      <c r="Y897" s="97"/>
      <c r="Z897" s="97"/>
      <c r="AA897" s="97"/>
      <c r="AB897" s="97"/>
      <c r="AC897" s="97"/>
      <c r="AD897" s="97"/>
      <c r="AE897" s="97"/>
    </row>
    <row r="898" spans="2:31" x14ac:dyDescent="0.45">
      <c r="B898" s="97"/>
      <c r="C898" s="97"/>
      <c r="D898" s="97"/>
      <c r="E898" s="97"/>
      <c r="R898" s="97"/>
      <c r="S898" s="97"/>
      <c r="T898" s="97"/>
      <c r="U898" s="97"/>
      <c r="V898" s="97"/>
      <c r="W898" s="97"/>
      <c r="X898" s="97"/>
      <c r="Y898" s="97"/>
      <c r="Z898" s="97"/>
      <c r="AA898" s="97"/>
      <c r="AB898" s="97"/>
      <c r="AC898" s="97"/>
      <c r="AD898" s="97"/>
      <c r="AE898" s="97"/>
    </row>
    <row r="899" spans="2:31" x14ac:dyDescent="0.45">
      <c r="B899" s="97"/>
      <c r="C899" s="97"/>
      <c r="D899" s="97"/>
      <c r="E899" s="97"/>
      <c r="R899" s="97"/>
      <c r="S899" s="97"/>
      <c r="T899" s="97"/>
      <c r="U899" s="97"/>
      <c r="V899" s="97"/>
      <c r="W899" s="97"/>
      <c r="X899" s="97"/>
      <c r="Y899" s="97"/>
      <c r="Z899" s="97"/>
      <c r="AA899" s="97"/>
      <c r="AB899" s="97"/>
      <c r="AC899" s="97"/>
      <c r="AD899" s="97"/>
      <c r="AE899" s="97"/>
    </row>
    <row r="900" spans="2:31" x14ac:dyDescent="0.45">
      <c r="B900" s="97"/>
      <c r="C900" s="97"/>
      <c r="D900" s="97"/>
      <c r="E900" s="97"/>
      <c r="R900" s="97"/>
      <c r="S900" s="97"/>
      <c r="T900" s="97"/>
      <c r="U900" s="97"/>
      <c r="V900" s="97"/>
      <c r="W900" s="97"/>
      <c r="X900" s="97"/>
      <c r="Y900" s="97"/>
      <c r="Z900" s="97"/>
      <c r="AA900" s="97"/>
      <c r="AB900" s="97"/>
      <c r="AC900" s="97"/>
      <c r="AD900" s="97"/>
      <c r="AE900" s="97"/>
    </row>
    <row r="901" spans="2:31" x14ac:dyDescent="0.45">
      <c r="B901" s="97"/>
      <c r="C901" s="97"/>
      <c r="D901" s="97"/>
      <c r="E901" s="97"/>
      <c r="R901" s="97"/>
      <c r="S901" s="97"/>
      <c r="T901" s="97"/>
      <c r="U901" s="97"/>
      <c r="V901" s="97"/>
      <c r="W901" s="97"/>
      <c r="X901" s="97"/>
      <c r="Y901" s="97"/>
      <c r="Z901" s="97"/>
      <c r="AA901" s="97"/>
      <c r="AB901" s="97"/>
      <c r="AC901" s="97"/>
      <c r="AD901" s="97"/>
      <c r="AE901" s="97"/>
    </row>
    <row r="902" spans="2:31" x14ac:dyDescent="0.45">
      <c r="B902" s="97"/>
      <c r="C902" s="97"/>
      <c r="D902" s="97"/>
      <c r="E902" s="97"/>
      <c r="R902" s="97"/>
      <c r="S902" s="97"/>
      <c r="T902" s="97"/>
      <c r="U902" s="97"/>
      <c r="V902" s="97"/>
      <c r="W902" s="97"/>
      <c r="X902" s="97"/>
      <c r="Y902" s="97"/>
      <c r="Z902" s="97"/>
      <c r="AA902" s="97"/>
      <c r="AB902" s="97"/>
      <c r="AC902" s="97"/>
      <c r="AD902" s="97"/>
      <c r="AE902" s="97"/>
    </row>
    <row r="903" spans="2:31" x14ac:dyDescent="0.45">
      <c r="B903" s="97"/>
      <c r="C903" s="97"/>
      <c r="D903" s="97"/>
      <c r="E903" s="97"/>
      <c r="R903" s="97"/>
      <c r="S903" s="97"/>
      <c r="T903" s="97"/>
      <c r="U903" s="97"/>
      <c r="V903" s="97"/>
      <c r="W903" s="97"/>
      <c r="X903" s="97"/>
      <c r="Y903" s="97"/>
      <c r="Z903" s="97"/>
      <c r="AA903" s="97"/>
      <c r="AB903" s="97"/>
      <c r="AC903" s="97"/>
      <c r="AD903" s="97"/>
      <c r="AE903" s="97"/>
    </row>
    <row r="904" spans="2:31" x14ac:dyDescent="0.45">
      <c r="B904" s="97"/>
      <c r="C904" s="97"/>
      <c r="D904" s="97"/>
      <c r="E904" s="97"/>
      <c r="R904" s="97"/>
      <c r="S904" s="97"/>
      <c r="T904" s="97"/>
      <c r="U904" s="97"/>
      <c r="V904" s="97"/>
      <c r="W904" s="97"/>
      <c r="X904" s="97"/>
      <c r="Y904" s="97"/>
      <c r="Z904" s="97"/>
      <c r="AA904" s="97"/>
      <c r="AB904" s="97"/>
      <c r="AC904" s="97"/>
      <c r="AD904" s="97"/>
      <c r="AE904" s="97"/>
    </row>
    <row r="905" spans="2:31" x14ac:dyDescent="0.45">
      <c r="B905" s="97"/>
      <c r="C905" s="97"/>
      <c r="D905" s="97"/>
      <c r="E905" s="97"/>
      <c r="R905" s="97"/>
      <c r="S905" s="97"/>
      <c r="T905" s="97"/>
      <c r="U905" s="97"/>
      <c r="V905" s="97"/>
      <c r="W905" s="97"/>
      <c r="X905" s="97"/>
      <c r="Y905" s="97"/>
      <c r="Z905" s="97"/>
      <c r="AA905" s="97"/>
      <c r="AB905" s="97"/>
      <c r="AC905" s="97"/>
      <c r="AD905" s="97"/>
      <c r="AE905" s="97"/>
    </row>
    <row r="906" spans="2:31" x14ac:dyDescent="0.45">
      <c r="B906" s="97"/>
      <c r="C906" s="97"/>
      <c r="D906" s="97"/>
      <c r="E906" s="97"/>
      <c r="R906" s="97"/>
      <c r="S906" s="97"/>
      <c r="T906" s="97"/>
      <c r="U906" s="97"/>
      <c r="V906" s="97"/>
      <c r="W906" s="97"/>
      <c r="X906" s="97"/>
      <c r="Y906" s="97"/>
      <c r="Z906" s="97"/>
      <c r="AA906" s="97"/>
      <c r="AB906" s="97"/>
      <c r="AC906" s="97"/>
      <c r="AD906" s="97"/>
      <c r="AE906" s="97"/>
    </row>
    <row r="907" spans="2:31" x14ac:dyDescent="0.45">
      <c r="B907" s="97"/>
      <c r="C907" s="97"/>
      <c r="D907" s="97"/>
      <c r="E907" s="97"/>
      <c r="R907" s="97"/>
      <c r="S907" s="97"/>
      <c r="T907" s="97"/>
      <c r="U907" s="97"/>
      <c r="V907" s="97"/>
      <c r="W907" s="97"/>
      <c r="X907" s="97"/>
      <c r="Y907" s="97"/>
      <c r="Z907" s="97"/>
      <c r="AA907" s="97"/>
      <c r="AB907" s="97"/>
      <c r="AC907" s="97"/>
      <c r="AD907" s="97"/>
      <c r="AE907" s="97"/>
    </row>
    <row r="908" spans="2:31" x14ac:dyDescent="0.45">
      <c r="B908" s="97"/>
      <c r="C908" s="97"/>
      <c r="D908" s="97"/>
      <c r="E908" s="97"/>
      <c r="R908" s="97"/>
      <c r="S908" s="97"/>
      <c r="T908" s="97"/>
      <c r="U908" s="97"/>
      <c r="V908" s="97"/>
      <c r="W908" s="97"/>
      <c r="X908" s="97"/>
      <c r="Y908" s="97"/>
      <c r="Z908" s="97"/>
      <c r="AA908" s="97"/>
      <c r="AB908" s="97"/>
      <c r="AC908" s="97"/>
      <c r="AD908" s="97"/>
      <c r="AE908" s="97"/>
    </row>
    <row r="909" spans="2:31" x14ac:dyDescent="0.45">
      <c r="B909" s="97"/>
      <c r="C909" s="97"/>
      <c r="D909" s="97"/>
      <c r="E909" s="97"/>
      <c r="R909" s="97"/>
      <c r="S909" s="97"/>
      <c r="T909" s="97"/>
      <c r="U909" s="97"/>
      <c r="V909" s="97"/>
      <c r="W909" s="97"/>
      <c r="X909" s="97"/>
      <c r="Y909" s="97"/>
      <c r="Z909" s="97"/>
      <c r="AA909" s="97"/>
      <c r="AB909" s="97"/>
      <c r="AC909" s="97"/>
      <c r="AD909" s="97"/>
      <c r="AE909" s="97"/>
    </row>
    <row r="910" spans="2:31" x14ac:dyDescent="0.45">
      <c r="B910" s="97"/>
      <c r="C910" s="97"/>
      <c r="D910" s="97"/>
      <c r="E910" s="97"/>
      <c r="R910" s="97"/>
      <c r="S910" s="97"/>
      <c r="T910" s="97"/>
      <c r="U910" s="97"/>
      <c r="V910" s="97"/>
      <c r="W910" s="97"/>
      <c r="X910" s="97"/>
      <c r="Y910" s="97"/>
      <c r="Z910" s="97"/>
      <c r="AA910" s="97"/>
      <c r="AB910" s="97"/>
      <c r="AC910" s="97"/>
      <c r="AD910" s="97"/>
      <c r="AE910" s="97"/>
    </row>
    <row r="911" spans="2:31" x14ac:dyDescent="0.45">
      <c r="B911" s="97"/>
      <c r="C911" s="97"/>
      <c r="D911" s="97"/>
      <c r="E911" s="97"/>
      <c r="R911" s="97"/>
      <c r="S911" s="97"/>
      <c r="T911" s="97"/>
      <c r="U911" s="97"/>
      <c r="V911" s="97"/>
      <c r="W911" s="97"/>
      <c r="X911" s="97"/>
      <c r="Y911" s="97"/>
      <c r="Z911" s="97"/>
      <c r="AA911" s="97"/>
      <c r="AB911" s="97"/>
      <c r="AC911" s="97"/>
      <c r="AD911" s="97"/>
      <c r="AE911" s="97"/>
    </row>
    <row r="912" spans="2:31" x14ac:dyDescent="0.45">
      <c r="B912" s="97"/>
      <c r="C912" s="97"/>
      <c r="D912" s="97"/>
      <c r="E912" s="97"/>
      <c r="R912" s="97"/>
      <c r="S912" s="97"/>
      <c r="T912" s="97"/>
      <c r="U912" s="97"/>
      <c r="V912" s="97"/>
      <c r="W912" s="97"/>
      <c r="X912" s="97"/>
      <c r="Y912" s="97"/>
      <c r="Z912" s="97"/>
      <c r="AA912" s="97"/>
      <c r="AB912" s="97"/>
      <c r="AC912" s="97"/>
      <c r="AD912" s="97"/>
      <c r="AE912" s="97"/>
    </row>
    <row r="913" spans="2:31" x14ac:dyDescent="0.45">
      <c r="B913" s="97"/>
      <c r="C913" s="97"/>
      <c r="D913" s="97"/>
      <c r="E913" s="97"/>
      <c r="R913" s="97"/>
      <c r="S913" s="97"/>
      <c r="T913" s="97"/>
      <c r="U913" s="97"/>
      <c r="V913" s="97"/>
      <c r="W913" s="97"/>
      <c r="X913" s="97"/>
      <c r="Y913" s="97"/>
      <c r="Z913" s="97"/>
      <c r="AA913" s="97"/>
      <c r="AB913" s="97"/>
      <c r="AC913" s="97"/>
      <c r="AD913" s="97"/>
      <c r="AE913" s="97"/>
    </row>
    <row r="914" spans="2:31" x14ac:dyDescent="0.45">
      <c r="B914" s="97"/>
      <c r="C914" s="97"/>
      <c r="D914" s="97"/>
      <c r="E914" s="97"/>
      <c r="R914" s="97"/>
      <c r="S914" s="97"/>
      <c r="T914" s="97"/>
      <c r="U914" s="97"/>
      <c r="V914" s="97"/>
      <c r="W914" s="97"/>
      <c r="X914" s="97"/>
      <c r="Y914" s="97"/>
      <c r="Z914" s="97"/>
      <c r="AA914" s="97"/>
      <c r="AB914" s="97"/>
      <c r="AC914" s="97"/>
      <c r="AD914" s="97"/>
      <c r="AE914" s="97"/>
    </row>
    <row r="915" spans="2:31" x14ac:dyDescent="0.45">
      <c r="B915" s="97"/>
      <c r="C915" s="97"/>
      <c r="D915" s="97"/>
      <c r="E915" s="97"/>
      <c r="R915" s="97"/>
      <c r="S915" s="97"/>
      <c r="T915" s="97"/>
      <c r="U915" s="97"/>
      <c r="V915" s="97"/>
      <c r="W915" s="97"/>
      <c r="X915" s="97"/>
      <c r="Y915" s="97"/>
      <c r="Z915" s="97"/>
      <c r="AA915" s="97"/>
      <c r="AB915" s="97"/>
      <c r="AC915" s="97"/>
      <c r="AD915" s="97"/>
      <c r="AE915" s="97"/>
    </row>
    <row r="916" spans="2:31" x14ac:dyDescent="0.45">
      <c r="B916" s="97"/>
      <c r="C916" s="97"/>
      <c r="D916" s="97"/>
      <c r="E916" s="97"/>
      <c r="R916" s="97"/>
      <c r="S916" s="97"/>
      <c r="T916" s="97"/>
      <c r="U916" s="97"/>
      <c r="V916" s="97"/>
      <c r="W916" s="97"/>
      <c r="X916" s="97"/>
      <c r="Y916" s="97"/>
      <c r="Z916" s="97"/>
      <c r="AA916" s="97"/>
      <c r="AB916" s="97"/>
      <c r="AC916" s="97"/>
      <c r="AD916" s="97"/>
      <c r="AE916" s="97"/>
    </row>
    <row r="917" spans="2:31" x14ac:dyDescent="0.45">
      <c r="B917" s="97"/>
      <c r="C917" s="97"/>
      <c r="D917" s="97"/>
      <c r="E917" s="97"/>
      <c r="R917" s="97"/>
      <c r="S917" s="97"/>
      <c r="T917" s="97"/>
      <c r="U917" s="97"/>
      <c r="V917" s="97"/>
      <c r="W917" s="97"/>
      <c r="X917" s="97"/>
      <c r="Y917" s="97"/>
      <c r="Z917" s="97"/>
      <c r="AA917" s="97"/>
      <c r="AB917" s="97"/>
      <c r="AC917" s="97"/>
      <c r="AD917" s="97"/>
      <c r="AE917" s="97"/>
    </row>
    <row r="918" spans="2:31" x14ac:dyDescent="0.45">
      <c r="B918" s="97"/>
      <c r="C918" s="97"/>
      <c r="D918" s="97"/>
      <c r="E918" s="97"/>
      <c r="R918" s="97"/>
      <c r="S918" s="97"/>
      <c r="T918" s="97"/>
      <c r="U918" s="97"/>
      <c r="V918" s="97"/>
      <c r="W918" s="97"/>
      <c r="X918" s="97"/>
      <c r="Y918" s="97"/>
      <c r="Z918" s="97"/>
      <c r="AA918" s="97"/>
      <c r="AB918" s="97"/>
      <c r="AC918" s="97"/>
      <c r="AD918" s="97"/>
      <c r="AE918" s="97"/>
    </row>
    <row r="919" spans="2:31" x14ac:dyDescent="0.45">
      <c r="B919" s="97"/>
      <c r="C919" s="97"/>
      <c r="D919" s="97"/>
      <c r="E919" s="97"/>
      <c r="R919" s="97"/>
      <c r="S919" s="97"/>
      <c r="T919" s="97"/>
      <c r="U919" s="97"/>
      <c r="V919" s="97"/>
      <c r="W919" s="97"/>
      <c r="X919" s="97"/>
      <c r="Y919" s="97"/>
      <c r="Z919" s="97"/>
      <c r="AA919" s="97"/>
      <c r="AB919" s="97"/>
      <c r="AC919" s="97"/>
      <c r="AD919" s="97"/>
      <c r="AE919" s="97"/>
    </row>
    <row r="920" spans="2:31" x14ac:dyDescent="0.45">
      <c r="B920" s="97"/>
      <c r="C920" s="97"/>
      <c r="D920" s="97"/>
      <c r="E920" s="97"/>
      <c r="R920" s="97"/>
      <c r="S920" s="97"/>
      <c r="T920" s="97"/>
      <c r="U920" s="97"/>
      <c r="V920" s="97"/>
      <c r="W920" s="97"/>
      <c r="X920" s="97"/>
      <c r="Y920" s="97"/>
      <c r="Z920" s="97"/>
      <c r="AA920" s="97"/>
      <c r="AB920" s="97"/>
      <c r="AC920" s="97"/>
      <c r="AD920" s="97"/>
      <c r="AE920" s="97"/>
    </row>
    <row r="921" spans="2:31" x14ac:dyDescent="0.45">
      <c r="B921" s="97"/>
      <c r="C921" s="97"/>
      <c r="D921" s="97"/>
      <c r="E921" s="97"/>
      <c r="R921" s="97"/>
      <c r="S921" s="97"/>
      <c r="T921" s="97"/>
      <c r="U921" s="97"/>
      <c r="V921" s="97"/>
      <c r="W921" s="97"/>
      <c r="X921" s="97"/>
      <c r="Y921" s="97"/>
      <c r="Z921" s="97"/>
      <c r="AA921" s="97"/>
      <c r="AB921" s="97"/>
      <c r="AC921" s="97"/>
      <c r="AD921" s="97"/>
      <c r="AE921" s="97"/>
    </row>
    <row r="922" spans="2:31" x14ac:dyDescent="0.45">
      <c r="B922" s="97"/>
      <c r="C922" s="97"/>
      <c r="D922" s="97"/>
      <c r="E922" s="97"/>
      <c r="R922" s="97"/>
      <c r="S922" s="97"/>
      <c r="T922" s="97"/>
      <c r="U922" s="97"/>
      <c r="V922" s="97"/>
      <c r="W922" s="97"/>
      <c r="X922" s="97"/>
      <c r="Y922" s="97"/>
      <c r="Z922" s="97"/>
      <c r="AA922" s="97"/>
      <c r="AB922" s="97"/>
      <c r="AC922" s="97"/>
      <c r="AD922" s="97"/>
      <c r="AE922" s="97"/>
    </row>
    <row r="923" spans="2:31" x14ac:dyDescent="0.45">
      <c r="B923" s="97"/>
      <c r="C923" s="97"/>
      <c r="D923" s="97"/>
      <c r="E923" s="97"/>
      <c r="R923" s="97"/>
      <c r="S923" s="97"/>
      <c r="T923" s="97"/>
      <c r="U923" s="97"/>
      <c r="V923" s="97"/>
      <c r="W923" s="97"/>
      <c r="X923" s="97"/>
      <c r="Y923" s="97"/>
      <c r="Z923" s="97"/>
      <c r="AA923" s="97"/>
      <c r="AB923" s="97"/>
      <c r="AC923" s="97"/>
      <c r="AD923" s="97"/>
      <c r="AE923" s="97"/>
    </row>
    <row r="924" spans="2:31" x14ac:dyDescent="0.45">
      <c r="B924" s="97"/>
      <c r="C924" s="97"/>
      <c r="D924" s="97"/>
      <c r="E924" s="97"/>
      <c r="R924" s="97"/>
      <c r="S924" s="97"/>
      <c r="T924" s="97"/>
      <c r="U924" s="97"/>
      <c r="V924" s="97"/>
      <c r="W924" s="97"/>
      <c r="X924" s="97"/>
      <c r="Y924" s="97"/>
      <c r="Z924" s="97"/>
      <c r="AA924" s="97"/>
      <c r="AB924" s="97"/>
      <c r="AC924" s="97"/>
      <c r="AD924" s="97"/>
      <c r="AE924" s="97"/>
    </row>
    <row r="925" spans="2:31" x14ac:dyDescent="0.45">
      <c r="B925" s="97"/>
      <c r="C925" s="97"/>
      <c r="D925" s="97"/>
      <c r="E925" s="97"/>
      <c r="R925" s="97"/>
      <c r="S925" s="97"/>
      <c r="T925" s="97"/>
      <c r="U925" s="97"/>
      <c r="V925" s="97"/>
      <c r="W925" s="97"/>
      <c r="X925" s="97"/>
      <c r="Y925" s="97"/>
      <c r="Z925" s="97"/>
      <c r="AA925" s="97"/>
      <c r="AB925" s="97"/>
      <c r="AC925" s="97"/>
      <c r="AD925" s="97"/>
      <c r="AE925" s="97"/>
    </row>
    <row r="926" spans="2:31" x14ac:dyDescent="0.45">
      <c r="B926" s="97"/>
      <c r="C926" s="97"/>
      <c r="D926" s="97"/>
      <c r="E926" s="97"/>
      <c r="R926" s="97"/>
      <c r="S926" s="97"/>
      <c r="T926" s="97"/>
      <c r="U926" s="97"/>
      <c r="V926" s="97"/>
      <c r="W926" s="97"/>
      <c r="X926" s="97"/>
      <c r="Y926" s="97"/>
      <c r="Z926" s="97"/>
      <c r="AA926" s="97"/>
      <c r="AB926" s="97"/>
      <c r="AC926" s="97"/>
      <c r="AD926" s="97"/>
      <c r="AE926" s="97"/>
    </row>
    <row r="927" spans="2:31" x14ac:dyDescent="0.45">
      <c r="B927" s="97"/>
      <c r="C927" s="97"/>
      <c r="D927" s="97"/>
      <c r="E927" s="97"/>
      <c r="R927" s="97"/>
      <c r="S927" s="97"/>
      <c r="T927" s="97"/>
      <c r="U927" s="97"/>
      <c r="V927" s="97"/>
      <c r="W927" s="97"/>
      <c r="X927" s="97"/>
      <c r="Y927" s="97"/>
      <c r="Z927" s="97"/>
      <c r="AA927" s="97"/>
      <c r="AB927" s="97"/>
      <c r="AC927" s="97"/>
      <c r="AD927" s="97"/>
      <c r="AE927" s="97"/>
    </row>
    <row r="928" spans="2:31" x14ac:dyDescent="0.45">
      <c r="B928" s="97"/>
      <c r="C928" s="97"/>
      <c r="D928" s="97"/>
      <c r="E928" s="97"/>
      <c r="R928" s="97"/>
      <c r="S928" s="97"/>
      <c r="T928" s="97"/>
      <c r="U928" s="97"/>
      <c r="V928" s="97"/>
      <c r="W928" s="97"/>
      <c r="X928" s="97"/>
      <c r="Y928" s="97"/>
      <c r="Z928" s="97"/>
      <c r="AA928" s="97"/>
      <c r="AB928" s="97"/>
      <c r="AC928" s="97"/>
      <c r="AD928" s="97"/>
      <c r="AE928" s="97"/>
    </row>
    <row r="929" spans="2:31" x14ac:dyDescent="0.45">
      <c r="B929" s="97"/>
      <c r="C929" s="97"/>
      <c r="D929" s="97"/>
      <c r="E929" s="97"/>
      <c r="R929" s="97"/>
      <c r="S929" s="97"/>
      <c r="T929" s="97"/>
      <c r="U929" s="97"/>
      <c r="V929" s="97"/>
      <c r="W929" s="97"/>
      <c r="X929" s="97"/>
      <c r="Y929" s="97"/>
      <c r="Z929" s="97"/>
      <c r="AA929" s="97"/>
      <c r="AB929" s="97"/>
      <c r="AC929" s="97"/>
      <c r="AD929" s="97"/>
      <c r="AE929" s="97"/>
    </row>
    <row r="930" spans="2:31" x14ac:dyDescent="0.45">
      <c r="B930" s="97"/>
      <c r="C930" s="97"/>
      <c r="D930" s="97"/>
      <c r="E930" s="97"/>
      <c r="R930" s="97"/>
      <c r="S930" s="97"/>
      <c r="T930" s="97"/>
      <c r="U930" s="97"/>
      <c r="V930" s="97"/>
      <c r="W930" s="97"/>
      <c r="X930" s="97"/>
      <c r="Y930" s="97"/>
      <c r="Z930" s="97"/>
      <c r="AA930" s="97"/>
      <c r="AB930" s="97"/>
      <c r="AC930" s="97"/>
      <c r="AD930" s="97"/>
      <c r="AE930" s="97"/>
    </row>
    <row r="931" spans="2:31" x14ac:dyDescent="0.45">
      <c r="B931" s="97"/>
      <c r="C931" s="97"/>
      <c r="D931" s="97"/>
      <c r="E931" s="97"/>
      <c r="R931" s="97"/>
      <c r="S931" s="97"/>
      <c r="T931" s="97"/>
      <c r="U931" s="97"/>
      <c r="V931" s="97"/>
      <c r="W931" s="97"/>
      <c r="X931" s="97"/>
      <c r="Y931" s="97"/>
      <c r="Z931" s="97"/>
      <c r="AA931" s="97"/>
      <c r="AB931" s="97"/>
      <c r="AC931" s="97"/>
      <c r="AD931" s="97"/>
      <c r="AE931" s="97"/>
    </row>
    <row r="932" spans="2:31" x14ac:dyDescent="0.45">
      <c r="B932" s="97"/>
      <c r="C932" s="97"/>
      <c r="D932" s="97"/>
      <c r="E932" s="97"/>
      <c r="R932" s="97"/>
      <c r="S932" s="97"/>
      <c r="T932" s="97"/>
      <c r="U932" s="97"/>
      <c r="V932" s="97"/>
      <c r="W932" s="97"/>
      <c r="X932" s="97"/>
      <c r="Y932" s="97"/>
      <c r="Z932" s="97"/>
      <c r="AA932" s="97"/>
      <c r="AB932" s="97"/>
      <c r="AC932" s="97"/>
      <c r="AD932" s="97"/>
      <c r="AE932" s="97"/>
    </row>
    <row r="933" spans="2:31" x14ac:dyDescent="0.45">
      <c r="B933" s="97"/>
      <c r="C933" s="97"/>
      <c r="D933" s="97"/>
      <c r="E933" s="97"/>
      <c r="R933" s="97"/>
      <c r="S933" s="97"/>
      <c r="T933" s="97"/>
      <c r="U933" s="97"/>
      <c r="V933" s="97"/>
      <c r="W933" s="97"/>
      <c r="X933" s="97"/>
      <c r="Y933" s="97"/>
      <c r="Z933" s="97"/>
      <c r="AA933" s="97"/>
      <c r="AB933" s="97"/>
      <c r="AC933" s="97"/>
      <c r="AD933" s="97"/>
      <c r="AE933" s="97"/>
    </row>
    <row r="934" spans="2:31" x14ac:dyDescent="0.45">
      <c r="B934" s="97"/>
      <c r="C934" s="97"/>
      <c r="D934" s="97"/>
      <c r="E934" s="97"/>
      <c r="R934" s="97"/>
      <c r="S934" s="97"/>
      <c r="T934" s="97"/>
      <c r="U934" s="97"/>
      <c r="V934" s="97"/>
      <c r="W934" s="97"/>
      <c r="X934" s="97"/>
      <c r="Y934" s="97"/>
      <c r="Z934" s="97"/>
      <c r="AA934" s="97"/>
      <c r="AB934" s="97"/>
      <c r="AC934" s="97"/>
      <c r="AD934" s="97"/>
      <c r="AE934" s="97"/>
    </row>
    <row r="935" spans="2:31" x14ac:dyDescent="0.45">
      <c r="B935" s="97"/>
      <c r="C935" s="97"/>
      <c r="D935" s="97"/>
      <c r="E935" s="97"/>
      <c r="R935" s="97"/>
      <c r="S935" s="97"/>
      <c r="T935" s="97"/>
      <c r="U935" s="97"/>
      <c r="V935" s="97"/>
      <c r="W935" s="97"/>
      <c r="X935" s="97"/>
      <c r="Y935" s="97"/>
      <c r="Z935" s="97"/>
      <c r="AA935" s="97"/>
      <c r="AB935" s="97"/>
      <c r="AC935" s="97"/>
      <c r="AD935" s="97"/>
      <c r="AE935" s="97"/>
    </row>
    <row r="936" spans="2:31" x14ac:dyDescent="0.45">
      <c r="B936" s="97"/>
      <c r="C936" s="97"/>
      <c r="D936" s="97"/>
      <c r="E936" s="97"/>
      <c r="R936" s="97"/>
      <c r="S936" s="97"/>
      <c r="T936" s="97"/>
      <c r="U936" s="97"/>
      <c r="V936" s="97"/>
      <c r="W936" s="97"/>
      <c r="X936" s="97"/>
      <c r="Y936" s="97"/>
      <c r="Z936" s="97"/>
      <c r="AA936" s="97"/>
      <c r="AB936" s="97"/>
      <c r="AC936" s="97"/>
      <c r="AD936" s="97"/>
      <c r="AE936" s="97"/>
    </row>
    <row r="937" spans="2:31" x14ac:dyDescent="0.45">
      <c r="B937" s="97"/>
      <c r="C937" s="97"/>
      <c r="D937" s="97"/>
      <c r="E937" s="97"/>
      <c r="R937" s="97"/>
      <c r="S937" s="97"/>
      <c r="T937" s="97"/>
      <c r="U937" s="97"/>
      <c r="V937" s="97"/>
      <c r="W937" s="97"/>
      <c r="X937" s="97"/>
      <c r="Y937" s="97"/>
      <c r="Z937" s="97"/>
      <c r="AA937" s="97"/>
      <c r="AB937" s="97"/>
      <c r="AC937" s="97"/>
      <c r="AD937" s="97"/>
      <c r="AE937" s="97"/>
    </row>
    <row r="938" spans="2:31" x14ac:dyDescent="0.45">
      <c r="B938" s="97"/>
      <c r="C938" s="97"/>
      <c r="D938" s="97"/>
      <c r="E938" s="97"/>
      <c r="R938" s="97"/>
      <c r="S938" s="97"/>
      <c r="T938" s="97"/>
      <c r="U938" s="97"/>
      <c r="V938" s="97"/>
      <c r="W938" s="97"/>
      <c r="X938" s="97"/>
      <c r="Y938" s="97"/>
      <c r="Z938" s="97"/>
      <c r="AA938" s="97"/>
      <c r="AB938" s="97"/>
      <c r="AC938" s="97"/>
      <c r="AD938" s="97"/>
      <c r="AE938" s="97"/>
    </row>
    <row r="939" spans="2:31" x14ac:dyDescent="0.45">
      <c r="B939" s="97"/>
      <c r="C939" s="97"/>
      <c r="D939" s="97"/>
      <c r="E939" s="97"/>
      <c r="R939" s="97"/>
      <c r="S939" s="97"/>
      <c r="T939" s="97"/>
      <c r="U939" s="97"/>
      <c r="V939" s="97"/>
      <c r="W939" s="97"/>
      <c r="X939" s="97"/>
      <c r="Y939" s="97"/>
      <c r="Z939" s="97"/>
      <c r="AA939" s="97"/>
      <c r="AB939" s="97"/>
      <c r="AC939" s="97"/>
      <c r="AD939" s="97"/>
      <c r="AE939" s="97"/>
    </row>
    <row r="940" spans="2:31" x14ac:dyDescent="0.45">
      <c r="B940" s="97"/>
      <c r="C940" s="97"/>
      <c r="D940" s="97"/>
      <c r="E940" s="97"/>
      <c r="R940" s="97"/>
      <c r="S940" s="97"/>
      <c r="T940" s="97"/>
      <c r="U940" s="97"/>
      <c r="V940" s="97"/>
      <c r="W940" s="97"/>
      <c r="X940" s="97"/>
      <c r="Y940" s="97"/>
      <c r="Z940" s="97"/>
      <c r="AA940" s="97"/>
      <c r="AB940" s="97"/>
      <c r="AC940" s="97"/>
      <c r="AD940" s="97"/>
      <c r="AE940" s="97"/>
    </row>
    <row r="941" spans="2:31" x14ac:dyDescent="0.45">
      <c r="B941" s="97"/>
      <c r="C941" s="97"/>
      <c r="D941" s="97"/>
      <c r="E941" s="97"/>
      <c r="R941" s="97"/>
      <c r="S941" s="97"/>
      <c r="T941" s="97"/>
      <c r="U941" s="97"/>
      <c r="V941" s="97"/>
      <c r="W941" s="97"/>
      <c r="X941" s="97"/>
      <c r="Y941" s="97"/>
      <c r="Z941" s="97"/>
      <c r="AA941" s="97"/>
      <c r="AB941" s="97"/>
      <c r="AC941" s="97"/>
      <c r="AD941" s="97"/>
      <c r="AE941" s="97"/>
    </row>
    <row r="942" spans="2:31" x14ac:dyDescent="0.45">
      <c r="B942" s="97"/>
      <c r="C942" s="97"/>
      <c r="D942" s="97"/>
      <c r="E942" s="97"/>
      <c r="R942" s="97"/>
      <c r="S942" s="97"/>
      <c r="T942" s="97"/>
      <c r="U942" s="97"/>
      <c r="V942" s="97"/>
      <c r="W942" s="97"/>
      <c r="X942" s="97"/>
      <c r="Y942" s="97"/>
      <c r="Z942" s="97"/>
      <c r="AA942" s="97"/>
      <c r="AB942" s="97"/>
      <c r="AC942" s="97"/>
      <c r="AD942" s="97"/>
      <c r="AE942" s="97"/>
    </row>
    <row r="943" spans="2:31" x14ac:dyDescent="0.45">
      <c r="B943" s="97"/>
      <c r="C943" s="97"/>
      <c r="D943" s="97"/>
      <c r="E943" s="97"/>
      <c r="R943" s="97"/>
      <c r="S943" s="97"/>
      <c r="T943" s="97"/>
      <c r="U943" s="97"/>
      <c r="V943" s="97"/>
      <c r="W943" s="97"/>
      <c r="X943" s="97"/>
      <c r="Y943" s="97"/>
      <c r="Z943" s="97"/>
      <c r="AA943" s="97"/>
      <c r="AB943" s="97"/>
      <c r="AC943" s="97"/>
      <c r="AD943" s="97"/>
      <c r="AE943" s="97"/>
    </row>
    <row r="944" spans="2:31" x14ac:dyDescent="0.45">
      <c r="B944" s="97"/>
      <c r="C944" s="97"/>
      <c r="D944" s="97"/>
      <c r="E944" s="97"/>
      <c r="R944" s="97"/>
      <c r="S944" s="97"/>
      <c r="T944" s="97"/>
      <c r="U944" s="97"/>
      <c r="V944" s="97"/>
      <c r="W944" s="97"/>
      <c r="X944" s="97"/>
      <c r="Y944" s="97"/>
      <c r="Z944" s="97"/>
      <c r="AA944" s="97"/>
      <c r="AB944" s="97"/>
      <c r="AC944" s="97"/>
      <c r="AD944" s="97"/>
      <c r="AE944" s="97"/>
    </row>
    <row r="945" spans="2:31" x14ac:dyDescent="0.45">
      <c r="B945" s="97"/>
      <c r="C945" s="97"/>
      <c r="D945" s="97"/>
      <c r="E945" s="97"/>
      <c r="R945" s="97"/>
      <c r="S945" s="97"/>
      <c r="T945" s="97"/>
      <c r="U945" s="97"/>
      <c r="V945" s="97"/>
      <c r="W945" s="97"/>
      <c r="X945" s="97"/>
      <c r="Y945" s="97"/>
      <c r="Z945" s="97"/>
      <c r="AA945" s="97"/>
      <c r="AB945" s="97"/>
      <c r="AC945" s="97"/>
      <c r="AD945" s="97"/>
      <c r="AE945" s="97"/>
    </row>
    <row r="946" spans="2:31" x14ac:dyDescent="0.45">
      <c r="B946" s="97"/>
      <c r="C946" s="97"/>
      <c r="D946" s="97"/>
      <c r="E946" s="97"/>
      <c r="R946" s="97"/>
      <c r="S946" s="97"/>
      <c r="T946" s="97"/>
      <c r="U946" s="97"/>
      <c r="V946" s="97"/>
      <c r="W946" s="97"/>
      <c r="X946" s="97"/>
      <c r="Y946" s="97"/>
      <c r="Z946" s="97"/>
      <c r="AA946" s="97"/>
      <c r="AB946" s="97"/>
      <c r="AC946" s="97"/>
      <c r="AD946" s="97"/>
      <c r="AE946" s="97"/>
    </row>
    <row r="947" spans="2:31" x14ac:dyDescent="0.45">
      <c r="B947" s="97"/>
      <c r="C947" s="97"/>
      <c r="D947" s="97"/>
      <c r="E947" s="97"/>
      <c r="R947" s="97"/>
      <c r="S947" s="97"/>
      <c r="T947" s="97"/>
      <c r="U947" s="97"/>
      <c r="V947" s="97"/>
      <c r="W947" s="97"/>
      <c r="X947" s="97"/>
      <c r="Y947" s="97"/>
      <c r="Z947" s="97"/>
      <c r="AA947" s="97"/>
      <c r="AB947" s="97"/>
      <c r="AC947" s="97"/>
      <c r="AD947" s="97"/>
      <c r="AE947" s="97"/>
    </row>
    <row r="948" spans="2:31" x14ac:dyDescent="0.45">
      <c r="B948" s="97"/>
      <c r="C948" s="97"/>
      <c r="D948" s="97"/>
      <c r="E948" s="97"/>
      <c r="R948" s="97"/>
      <c r="S948" s="97"/>
      <c r="T948" s="97"/>
      <c r="U948" s="97"/>
      <c r="V948" s="97"/>
      <c r="W948" s="97"/>
      <c r="X948" s="97"/>
      <c r="Y948" s="97"/>
      <c r="Z948" s="97"/>
      <c r="AA948" s="97"/>
      <c r="AB948" s="97"/>
      <c r="AC948" s="97"/>
      <c r="AD948" s="97"/>
      <c r="AE948" s="97"/>
    </row>
    <row r="949" spans="2:31" x14ac:dyDescent="0.45">
      <c r="B949" s="97"/>
      <c r="C949" s="97"/>
      <c r="D949" s="97"/>
      <c r="E949" s="97"/>
      <c r="R949" s="97"/>
      <c r="S949" s="97"/>
      <c r="T949" s="97"/>
      <c r="U949" s="97"/>
      <c r="V949" s="97"/>
      <c r="W949" s="97"/>
      <c r="X949" s="97"/>
      <c r="Y949" s="97"/>
      <c r="Z949" s="97"/>
      <c r="AA949" s="97"/>
      <c r="AB949" s="97"/>
      <c r="AC949" s="97"/>
      <c r="AD949" s="97"/>
      <c r="AE949" s="97"/>
    </row>
    <row r="950" spans="2:31" x14ac:dyDescent="0.45">
      <c r="B950" s="97"/>
      <c r="C950" s="97"/>
      <c r="D950" s="97"/>
      <c r="E950" s="97"/>
      <c r="R950" s="97"/>
      <c r="S950" s="97"/>
      <c r="T950" s="97"/>
      <c r="U950" s="97"/>
      <c r="V950" s="97"/>
      <c r="W950" s="97"/>
      <c r="X950" s="97"/>
      <c r="Y950" s="97"/>
      <c r="Z950" s="97"/>
      <c r="AA950" s="97"/>
      <c r="AB950" s="97"/>
      <c r="AC950" s="97"/>
      <c r="AD950" s="97"/>
      <c r="AE950" s="97"/>
    </row>
    <row r="951" spans="2:31" x14ac:dyDescent="0.45">
      <c r="B951" s="97"/>
      <c r="C951" s="97"/>
      <c r="D951" s="97"/>
      <c r="E951" s="97"/>
      <c r="R951" s="97"/>
      <c r="S951" s="97"/>
      <c r="T951" s="97"/>
      <c r="U951" s="97"/>
      <c r="V951" s="97"/>
      <c r="W951" s="97"/>
      <c r="X951" s="97"/>
      <c r="Y951" s="97"/>
      <c r="Z951" s="97"/>
      <c r="AA951" s="97"/>
      <c r="AB951" s="97"/>
      <c r="AC951" s="97"/>
      <c r="AD951" s="97"/>
      <c r="AE951" s="97"/>
    </row>
    <row r="952" spans="2:31" x14ac:dyDescent="0.45">
      <c r="B952" s="97"/>
      <c r="C952" s="97"/>
      <c r="D952" s="97"/>
      <c r="E952" s="97"/>
      <c r="R952" s="97"/>
      <c r="S952" s="97"/>
      <c r="T952" s="97"/>
      <c r="U952" s="97"/>
      <c r="V952" s="97"/>
      <c r="W952" s="97"/>
      <c r="X952" s="97"/>
      <c r="Y952" s="97"/>
      <c r="Z952" s="97"/>
      <c r="AA952" s="97"/>
      <c r="AB952" s="97"/>
      <c r="AC952" s="97"/>
      <c r="AD952" s="97"/>
      <c r="AE952" s="97"/>
    </row>
    <row r="953" spans="2:31" x14ac:dyDescent="0.45">
      <c r="B953" s="97"/>
      <c r="C953" s="97"/>
      <c r="D953" s="97"/>
      <c r="E953" s="97"/>
      <c r="R953" s="97"/>
      <c r="S953" s="97"/>
      <c r="T953" s="97"/>
      <c r="U953" s="97"/>
      <c r="V953" s="97"/>
      <c r="W953" s="97"/>
      <c r="X953" s="97"/>
      <c r="Y953" s="97"/>
      <c r="Z953" s="97"/>
      <c r="AA953" s="97"/>
      <c r="AB953" s="97"/>
      <c r="AC953" s="97"/>
      <c r="AD953" s="97"/>
      <c r="AE953" s="97"/>
    </row>
    <row r="954" spans="2:31" x14ac:dyDescent="0.45">
      <c r="B954" s="97"/>
      <c r="C954" s="97"/>
      <c r="D954" s="97"/>
      <c r="E954" s="97"/>
      <c r="R954" s="97"/>
      <c r="S954" s="97"/>
      <c r="T954" s="97"/>
      <c r="U954" s="97"/>
      <c r="V954" s="97"/>
      <c r="W954" s="97"/>
      <c r="X954" s="97"/>
      <c r="Y954" s="97"/>
      <c r="Z954" s="97"/>
      <c r="AA954" s="97"/>
      <c r="AB954" s="97"/>
      <c r="AC954" s="97"/>
      <c r="AD954" s="97"/>
      <c r="AE954" s="97"/>
    </row>
    <row r="955" spans="2:31" x14ac:dyDescent="0.45">
      <c r="B955" s="97"/>
      <c r="C955" s="97"/>
      <c r="D955" s="97"/>
      <c r="E955" s="97"/>
      <c r="R955" s="97"/>
      <c r="S955" s="97"/>
      <c r="T955" s="97"/>
      <c r="U955" s="97"/>
      <c r="V955" s="97"/>
      <c r="W955" s="97"/>
      <c r="X955" s="97"/>
      <c r="Y955" s="97"/>
      <c r="Z955" s="97"/>
      <c r="AA955" s="97"/>
      <c r="AB955" s="97"/>
      <c r="AC955" s="97"/>
      <c r="AD955" s="97"/>
      <c r="AE955" s="97"/>
    </row>
    <row r="956" spans="2:31" x14ac:dyDescent="0.45">
      <c r="B956" s="97"/>
      <c r="C956" s="97"/>
      <c r="D956" s="97"/>
      <c r="E956" s="97"/>
      <c r="R956" s="97"/>
      <c r="S956" s="97"/>
      <c r="T956" s="97"/>
      <c r="U956" s="97"/>
      <c r="V956" s="97"/>
      <c r="W956" s="97"/>
      <c r="X956" s="97"/>
      <c r="Y956" s="97"/>
      <c r="Z956" s="97"/>
      <c r="AA956" s="97"/>
      <c r="AB956" s="97"/>
      <c r="AC956" s="97"/>
      <c r="AD956" s="97"/>
      <c r="AE956" s="97"/>
    </row>
    <row r="957" spans="2:31" x14ac:dyDescent="0.45">
      <c r="B957" s="97"/>
      <c r="C957" s="97"/>
      <c r="D957" s="97"/>
      <c r="E957" s="97"/>
      <c r="R957" s="97"/>
      <c r="S957" s="97"/>
      <c r="T957" s="97"/>
      <c r="U957" s="97"/>
      <c r="V957" s="97"/>
      <c r="W957" s="97"/>
      <c r="X957" s="97"/>
      <c r="Y957" s="97"/>
      <c r="Z957" s="97"/>
      <c r="AA957" s="97"/>
      <c r="AB957" s="97"/>
      <c r="AC957" s="97"/>
      <c r="AD957" s="97"/>
      <c r="AE957" s="97"/>
    </row>
    <row r="958" spans="2:31" x14ac:dyDescent="0.45">
      <c r="B958" s="97"/>
      <c r="C958" s="97"/>
      <c r="D958" s="97"/>
      <c r="E958" s="97"/>
      <c r="R958" s="97"/>
      <c r="S958" s="97"/>
      <c r="T958" s="97"/>
      <c r="U958" s="97"/>
      <c r="V958" s="97"/>
      <c r="W958" s="97"/>
      <c r="X958" s="97"/>
      <c r="Y958" s="97"/>
      <c r="Z958" s="97"/>
      <c r="AA958" s="97"/>
      <c r="AB958" s="97"/>
      <c r="AC958" s="97"/>
      <c r="AD958" s="97"/>
      <c r="AE958" s="97"/>
    </row>
    <row r="959" spans="2:31" x14ac:dyDescent="0.45">
      <c r="B959" s="97"/>
      <c r="C959" s="97"/>
      <c r="D959" s="97"/>
      <c r="E959" s="97"/>
      <c r="R959" s="97"/>
      <c r="S959" s="97"/>
      <c r="T959" s="97"/>
      <c r="U959" s="97"/>
      <c r="V959" s="97"/>
      <c r="W959" s="97"/>
      <c r="X959" s="97"/>
      <c r="Y959" s="97"/>
      <c r="Z959" s="97"/>
      <c r="AA959" s="97"/>
      <c r="AB959" s="97"/>
      <c r="AC959" s="97"/>
      <c r="AD959" s="97"/>
      <c r="AE959" s="97"/>
    </row>
    <row r="960" spans="2:31" x14ac:dyDescent="0.45">
      <c r="B960" s="97"/>
      <c r="C960" s="97"/>
      <c r="D960" s="97"/>
      <c r="E960" s="97"/>
      <c r="R960" s="97"/>
      <c r="S960" s="97"/>
      <c r="T960" s="97"/>
      <c r="U960" s="97"/>
      <c r="V960" s="97"/>
      <c r="W960" s="97"/>
      <c r="X960" s="97"/>
      <c r="Y960" s="97"/>
      <c r="Z960" s="97"/>
      <c r="AA960" s="97"/>
      <c r="AB960" s="97"/>
      <c r="AC960" s="97"/>
      <c r="AD960" s="97"/>
      <c r="AE960" s="97"/>
    </row>
    <row r="961" spans="2:31" x14ac:dyDescent="0.45">
      <c r="B961" s="97"/>
      <c r="C961" s="97"/>
      <c r="D961" s="97"/>
      <c r="E961" s="97"/>
      <c r="R961" s="97"/>
      <c r="S961" s="97"/>
      <c r="T961" s="97"/>
      <c r="U961" s="97"/>
      <c r="V961" s="97"/>
      <c r="W961" s="97"/>
      <c r="X961" s="97"/>
      <c r="Y961" s="97"/>
      <c r="Z961" s="97"/>
      <c r="AA961" s="97"/>
      <c r="AB961" s="97"/>
      <c r="AC961" s="97"/>
      <c r="AD961" s="97"/>
      <c r="AE961" s="97"/>
    </row>
    <row r="962" spans="2:31" x14ac:dyDescent="0.45">
      <c r="B962" s="97"/>
      <c r="C962" s="97"/>
      <c r="D962" s="97"/>
      <c r="E962" s="97"/>
      <c r="R962" s="97"/>
      <c r="S962" s="97"/>
      <c r="T962" s="97"/>
      <c r="U962" s="97"/>
      <c r="V962" s="97"/>
      <c r="W962" s="97"/>
      <c r="X962" s="97"/>
      <c r="Y962" s="97"/>
      <c r="Z962" s="97"/>
      <c r="AA962" s="97"/>
      <c r="AB962" s="97"/>
      <c r="AC962" s="97"/>
      <c r="AD962" s="97"/>
      <c r="AE962" s="97"/>
    </row>
    <row r="963" spans="2:31" x14ac:dyDescent="0.45">
      <c r="B963" s="97"/>
      <c r="C963" s="97"/>
      <c r="D963" s="97"/>
      <c r="E963" s="97"/>
      <c r="R963" s="97"/>
      <c r="S963" s="97"/>
      <c r="T963" s="97"/>
      <c r="U963" s="97"/>
      <c r="V963" s="97"/>
      <c r="W963" s="97"/>
      <c r="X963" s="97"/>
      <c r="Y963" s="97"/>
      <c r="Z963" s="97"/>
      <c r="AA963" s="97"/>
      <c r="AB963" s="97"/>
      <c r="AC963" s="97"/>
      <c r="AD963" s="97"/>
      <c r="AE963" s="97"/>
    </row>
    <row r="964" spans="2:31" x14ac:dyDescent="0.45">
      <c r="B964" s="97"/>
      <c r="C964" s="97"/>
      <c r="D964" s="97"/>
      <c r="E964" s="97"/>
      <c r="R964" s="97"/>
      <c r="S964" s="97"/>
      <c r="T964" s="97"/>
      <c r="U964" s="97"/>
      <c r="V964" s="97"/>
      <c r="W964" s="97"/>
      <c r="X964" s="97"/>
      <c r="Y964" s="97"/>
      <c r="Z964" s="97"/>
      <c r="AA964" s="97"/>
      <c r="AB964" s="97"/>
      <c r="AC964" s="97"/>
      <c r="AD964" s="97"/>
      <c r="AE964" s="97"/>
    </row>
    <row r="965" spans="2:31" x14ac:dyDescent="0.45">
      <c r="B965" s="97"/>
      <c r="C965" s="97"/>
      <c r="D965" s="97"/>
      <c r="E965" s="97"/>
      <c r="R965" s="97"/>
      <c r="S965" s="97"/>
      <c r="T965" s="97"/>
      <c r="U965" s="97"/>
      <c r="V965" s="97"/>
      <c r="W965" s="97"/>
      <c r="X965" s="97"/>
      <c r="Y965" s="97"/>
      <c r="Z965" s="97"/>
      <c r="AA965" s="97"/>
      <c r="AB965" s="97"/>
      <c r="AC965" s="97"/>
      <c r="AD965" s="97"/>
      <c r="AE965" s="97"/>
    </row>
    <row r="966" spans="2:31" x14ac:dyDescent="0.45">
      <c r="B966" s="97"/>
      <c r="C966" s="97"/>
      <c r="D966" s="97"/>
      <c r="E966" s="97"/>
      <c r="R966" s="97"/>
      <c r="S966" s="97"/>
      <c r="T966" s="97"/>
      <c r="U966" s="97"/>
      <c r="V966" s="97"/>
      <c r="W966" s="97"/>
      <c r="X966" s="97"/>
      <c r="Y966" s="97"/>
      <c r="Z966" s="97"/>
      <c r="AA966" s="97"/>
      <c r="AB966" s="97"/>
      <c r="AC966" s="97"/>
      <c r="AD966" s="97"/>
      <c r="AE966" s="97"/>
    </row>
    <row r="967" spans="2:31" x14ac:dyDescent="0.45">
      <c r="B967" s="97"/>
      <c r="C967" s="97"/>
      <c r="D967" s="97"/>
      <c r="E967" s="97"/>
      <c r="R967" s="97"/>
      <c r="S967" s="97"/>
      <c r="T967" s="97"/>
      <c r="U967" s="97"/>
      <c r="V967" s="97"/>
      <c r="W967" s="97"/>
      <c r="X967" s="97"/>
      <c r="Y967" s="97"/>
      <c r="Z967" s="97"/>
      <c r="AA967" s="97"/>
      <c r="AB967" s="97"/>
      <c r="AC967" s="97"/>
      <c r="AD967" s="97"/>
      <c r="AE967" s="97"/>
    </row>
    <row r="968" spans="2:31" x14ac:dyDescent="0.45">
      <c r="B968" s="97"/>
      <c r="C968" s="97"/>
      <c r="D968" s="97"/>
      <c r="E968" s="97"/>
      <c r="R968" s="97"/>
      <c r="S968" s="97"/>
      <c r="T968" s="97"/>
      <c r="U968" s="97"/>
      <c r="V968" s="97"/>
      <c r="W968" s="97"/>
      <c r="X968" s="97"/>
      <c r="Y968" s="97"/>
      <c r="Z968" s="97"/>
      <c r="AA968" s="97"/>
      <c r="AB968" s="97"/>
      <c r="AC968" s="97"/>
      <c r="AD968" s="97"/>
      <c r="AE968" s="97"/>
    </row>
    <row r="969" spans="2:31" x14ac:dyDescent="0.45">
      <c r="B969" s="97"/>
      <c r="C969" s="97"/>
      <c r="D969" s="97"/>
      <c r="E969" s="97"/>
      <c r="R969" s="97"/>
      <c r="S969" s="97"/>
      <c r="T969" s="97"/>
      <c r="U969" s="97"/>
      <c r="V969" s="97"/>
      <c r="W969" s="97"/>
      <c r="X969" s="97"/>
      <c r="Y969" s="97"/>
      <c r="Z969" s="97"/>
      <c r="AA969" s="97"/>
      <c r="AB969" s="97"/>
      <c r="AC969" s="97"/>
      <c r="AD969" s="97"/>
      <c r="AE969" s="97"/>
    </row>
    <row r="970" spans="2:31" x14ac:dyDescent="0.45">
      <c r="B970" s="97"/>
      <c r="C970" s="97"/>
      <c r="D970" s="97"/>
      <c r="E970" s="97"/>
      <c r="R970" s="97"/>
      <c r="S970" s="97"/>
      <c r="T970" s="97"/>
      <c r="U970" s="97"/>
      <c r="V970" s="97"/>
      <c r="W970" s="97"/>
      <c r="X970" s="97"/>
      <c r="Y970" s="97"/>
      <c r="Z970" s="97"/>
      <c r="AA970" s="97"/>
      <c r="AB970" s="97"/>
      <c r="AC970" s="97"/>
      <c r="AD970" s="97"/>
      <c r="AE970" s="97"/>
    </row>
    <row r="971" spans="2:31" x14ac:dyDescent="0.45">
      <c r="B971" s="97"/>
      <c r="C971" s="97"/>
      <c r="D971" s="97"/>
      <c r="E971" s="97"/>
      <c r="R971" s="97"/>
      <c r="S971" s="97"/>
      <c r="T971" s="97"/>
      <c r="U971" s="97"/>
      <c r="V971" s="97"/>
      <c r="W971" s="97"/>
      <c r="X971" s="97"/>
      <c r="Y971" s="97"/>
      <c r="Z971" s="97"/>
      <c r="AA971" s="97"/>
      <c r="AB971" s="97"/>
      <c r="AC971" s="97"/>
      <c r="AD971" s="97"/>
      <c r="AE971" s="97"/>
    </row>
    <row r="972" spans="2:31" x14ac:dyDescent="0.45">
      <c r="B972" s="97"/>
      <c r="C972" s="97"/>
      <c r="D972" s="97"/>
      <c r="E972" s="97"/>
      <c r="R972" s="97"/>
      <c r="S972" s="97"/>
      <c r="T972" s="97"/>
      <c r="U972" s="97"/>
      <c r="V972" s="97"/>
      <c r="W972" s="97"/>
      <c r="X972" s="97"/>
      <c r="Y972" s="97"/>
      <c r="Z972" s="97"/>
      <c r="AA972" s="97"/>
      <c r="AB972" s="97"/>
      <c r="AC972" s="97"/>
      <c r="AD972" s="97"/>
      <c r="AE972" s="97"/>
    </row>
    <row r="973" spans="2:31" x14ac:dyDescent="0.45">
      <c r="B973" s="97"/>
      <c r="C973" s="97"/>
      <c r="D973" s="97"/>
      <c r="E973" s="97"/>
      <c r="R973" s="97"/>
      <c r="S973" s="97"/>
      <c r="T973" s="97"/>
      <c r="U973" s="97"/>
      <c r="V973" s="97"/>
      <c r="W973" s="97"/>
      <c r="X973" s="97"/>
      <c r="Y973" s="97"/>
      <c r="Z973" s="97"/>
      <c r="AA973" s="97"/>
      <c r="AB973" s="97"/>
      <c r="AC973" s="97"/>
      <c r="AD973" s="97"/>
      <c r="AE973" s="97"/>
    </row>
    <row r="974" spans="2:31" x14ac:dyDescent="0.45">
      <c r="B974" s="97"/>
      <c r="C974" s="97"/>
      <c r="D974" s="97"/>
      <c r="E974" s="97"/>
      <c r="R974" s="97"/>
      <c r="S974" s="97"/>
      <c r="T974" s="97"/>
      <c r="U974" s="97"/>
      <c r="V974" s="97"/>
      <c r="W974" s="97"/>
      <c r="X974" s="97"/>
      <c r="Y974" s="97"/>
      <c r="Z974" s="97"/>
      <c r="AA974" s="97"/>
      <c r="AB974" s="97"/>
      <c r="AC974" s="97"/>
      <c r="AD974" s="97"/>
      <c r="AE974" s="97"/>
    </row>
    <row r="975" spans="2:31" x14ac:dyDescent="0.45">
      <c r="B975" s="97"/>
      <c r="C975" s="97"/>
      <c r="D975" s="97"/>
      <c r="E975" s="97"/>
      <c r="R975" s="97"/>
      <c r="S975" s="97"/>
      <c r="T975" s="97"/>
      <c r="U975" s="97"/>
      <c r="V975" s="97"/>
      <c r="W975" s="97"/>
      <c r="X975" s="97"/>
      <c r="Y975" s="97"/>
      <c r="Z975" s="97"/>
      <c r="AA975" s="97"/>
      <c r="AB975" s="97"/>
      <c r="AC975" s="97"/>
      <c r="AD975" s="97"/>
      <c r="AE975" s="97"/>
    </row>
    <row r="976" spans="2:31" x14ac:dyDescent="0.45">
      <c r="B976" s="97"/>
      <c r="C976" s="97"/>
      <c r="D976" s="97"/>
      <c r="E976" s="97"/>
      <c r="R976" s="97"/>
      <c r="S976" s="97"/>
      <c r="T976" s="97"/>
      <c r="U976" s="97"/>
      <c r="V976" s="97"/>
      <c r="W976" s="97"/>
      <c r="X976" s="97"/>
      <c r="Y976" s="97"/>
      <c r="Z976" s="97"/>
      <c r="AA976" s="97"/>
      <c r="AB976" s="97"/>
      <c r="AC976" s="97"/>
      <c r="AD976" s="97"/>
      <c r="AE976" s="97"/>
    </row>
    <row r="977" spans="2:31" x14ac:dyDescent="0.45">
      <c r="B977" s="97"/>
      <c r="C977" s="97"/>
      <c r="D977" s="97"/>
      <c r="E977" s="97"/>
      <c r="R977" s="97"/>
      <c r="S977" s="97"/>
      <c r="T977" s="97"/>
      <c r="U977" s="97"/>
      <c r="V977" s="97"/>
      <c r="W977" s="97"/>
      <c r="X977" s="97"/>
      <c r="Y977" s="97"/>
      <c r="Z977" s="97"/>
      <c r="AA977" s="97"/>
      <c r="AB977" s="97"/>
      <c r="AC977" s="97"/>
      <c r="AD977" s="97"/>
      <c r="AE977" s="97"/>
    </row>
    <row r="978" spans="2:31" x14ac:dyDescent="0.45">
      <c r="B978" s="97"/>
      <c r="C978" s="97"/>
      <c r="D978" s="97"/>
      <c r="E978" s="97"/>
      <c r="R978" s="97"/>
      <c r="S978" s="97"/>
      <c r="T978" s="97"/>
      <c r="U978" s="97"/>
      <c r="V978" s="97"/>
      <c r="W978" s="97"/>
      <c r="X978" s="97"/>
      <c r="Y978" s="97"/>
      <c r="Z978" s="97"/>
      <c r="AA978" s="97"/>
      <c r="AB978" s="97"/>
      <c r="AC978" s="97"/>
      <c r="AD978" s="97"/>
      <c r="AE978" s="97"/>
    </row>
    <row r="979" spans="2:31" x14ac:dyDescent="0.45">
      <c r="B979" s="97"/>
      <c r="C979" s="97"/>
      <c r="D979" s="97"/>
      <c r="E979" s="97"/>
      <c r="R979" s="97"/>
      <c r="S979" s="97"/>
      <c r="T979" s="97"/>
      <c r="U979" s="97"/>
      <c r="V979" s="97"/>
      <c r="W979" s="97"/>
      <c r="X979" s="97"/>
      <c r="Y979" s="97"/>
      <c r="Z979" s="97"/>
      <c r="AA979" s="97"/>
      <c r="AB979" s="97"/>
      <c r="AC979" s="97"/>
      <c r="AD979" s="97"/>
      <c r="AE979" s="97"/>
    </row>
    <row r="980" spans="2:31" x14ac:dyDescent="0.45">
      <c r="B980" s="97"/>
      <c r="C980" s="97"/>
      <c r="D980" s="97"/>
      <c r="E980" s="97"/>
      <c r="R980" s="97"/>
      <c r="S980" s="97"/>
      <c r="T980" s="97"/>
      <c r="U980" s="97"/>
      <c r="V980" s="97"/>
      <c r="W980" s="97"/>
      <c r="X980" s="97"/>
      <c r="Y980" s="97"/>
      <c r="Z980" s="97"/>
      <c r="AA980" s="97"/>
      <c r="AB980" s="97"/>
      <c r="AC980" s="97"/>
      <c r="AD980" s="97"/>
      <c r="AE980" s="97"/>
    </row>
    <row r="981" spans="2:31" x14ac:dyDescent="0.45">
      <c r="B981" s="97"/>
      <c r="C981" s="97"/>
      <c r="D981" s="97"/>
      <c r="E981" s="97"/>
      <c r="R981" s="97"/>
      <c r="S981" s="97"/>
      <c r="T981" s="97"/>
      <c r="U981" s="97"/>
      <c r="V981" s="97"/>
      <c r="W981" s="97"/>
      <c r="X981" s="97"/>
      <c r="Y981" s="97"/>
      <c r="Z981" s="97"/>
      <c r="AA981" s="97"/>
      <c r="AB981" s="97"/>
      <c r="AC981" s="97"/>
      <c r="AD981" s="97"/>
      <c r="AE981" s="97"/>
    </row>
    <row r="982" spans="2:31" x14ac:dyDescent="0.45">
      <c r="B982" s="97"/>
      <c r="C982" s="97"/>
      <c r="D982" s="97"/>
      <c r="E982" s="97"/>
      <c r="R982" s="97"/>
      <c r="S982" s="97"/>
      <c r="T982" s="97"/>
      <c r="U982" s="97"/>
      <c r="V982" s="97"/>
      <c r="W982" s="97"/>
      <c r="X982" s="97"/>
      <c r="Y982" s="97"/>
      <c r="Z982" s="97"/>
      <c r="AA982" s="97"/>
      <c r="AB982" s="97"/>
      <c r="AC982" s="97"/>
      <c r="AD982" s="97"/>
      <c r="AE982" s="97"/>
    </row>
    <row r="983" spans="2:31" x14ac:dyDescent="0.45">
      <c r="B983" s="97"/>
      <c r="C983" s="97"/>
      <c r="D983" s="97"/>
      <c r="E983" s="97"/>
      <c r="R983" s="97"/>
      <c r="S983" s="97"/>
      <c r="T983" s="97"/>
      <c r="U983" s="97"/>
      <c r="V983" s="97"/>
      <c r="W983" s="97"/>
      <c r="X983" s="97"/>
      <c r="Y983" s="97"/>
      <c r="Z983" s="97"/>
      <c r="AA983" s="97"/>
      <c r="AB983" s="97"/>
      <c r="AC983" s="97"/>
      <c r="AD983" s="97"/>
      <c r="AE983" s="97"/>
    </row>
    <row r="984" spans="2:31" x14ac:dyDescent="0.45">
      <c r="B984" s="97"/>
      <c r="C984" s="97"/>
      <c r="D984" s="97"/>
      <c r="E984" s="97"/>
      <c r="R984" s="97"/>
      <c r="S984" s="97"/>
      <c r="T984" s="97"/>
      <c r="U984" s="97"/>
      <c r="V984" s="97"/>
      <c r="W984" s="97"/>
      <c r="X984" s="97"/>
      <c r="Y984" s="97"/>
      <c r="Z984" s="97"/>
      <c r="AA984" s="97"/>
      <c r="AB984" s="97"/>
      <c r="AC984" s="97"/>
      <c r="AD984" s="97"/>
      <c r="AE984" s="97"/>
    </row>
    <row r="985" spans="2:31" x14ac:dyDescent="0.45">
      <c r="B985" s="97"/>
      <c r="C985" s="97"/>
      <c r="D985" s="97"/>
      <c r="E985" s="97"/>
      <c r="R985" s="97"/>
      <c r="S985" s="97"/>
      <c r="T985" s="97"/>
      <c r="U985" s="97"/>
      <c r="V985" s="97"/>
      <c r="W985" s="97"/>
      <c r="X985" s="97"/>
      <c r="Y985" s="97"/>
      <c r="Z985" s="97"/>
      <c r="AA985" s="97"/>
      <c r="AB985" s="97"/>
      <c r="AC985" s="97"/>
      <c r="AD985" s="97"/>
      <c r="AE985" s="97"/>
    </row>
    <row r="986" spans="2:31" x14ac:dyDescent="0.45">
      <c r="B986" s="97"/>
      <c r="C986" s="97"/>
      <c r="D986" s="97"/>
      <c r="E986" s="97"/>
      <c r="R986" s="97"/>
      <c r="S986" s="97"/>
      <c r="T986" s="97"/>
      <c r="U986" s="97"/>
      <c r="V986" s="97"/>
      <c r="W986" s="97"/>
      <c r="X986" s="97"/>
      <c r="Y986" s="97"/>
      <c r="Z986" s="97"/>
      <c r="AA986" s="97"/>
      <c r="AB986" s="97"/>
      <c r="AC986" s="97"/>
      <c r="AD986" s="97"/>
      <c r="AE986" s="97"/>
    </row>
    <row r="987" spans="2:31" x14ac:dyDescent="0.45">
      <c r="B987" s="97"/>
      <c r="C987" s="97"/>
      <c r="D987" s="97"/>
      <c r="E987" s="97"/>
      <c r="R987" s="97"/>
      <c r="S987" s="97"/>
      <c r="T987" s="97"/>
      <c r="U987" s="97"/>
      <c r="V987" s="97"/>
      <c r="W987" s="97"/>
      <c r="X987" s="97"/>
      <c r="Y987" s="97"/>
      <c r="Z987" s="97"/>
      <c r="AA987" s="97"/>
      <c r="AB987" s="97"/>
      <c r="AC987" s="97"/>
      <c r="AD987" s="97"/>
      <c r="AE987" s="97"/>
    </row>
    <row r="988" spans="2:31" x14ac:dyDescent="0.45">
      <c r="B988" s="97"/>
      <c r="C988" s="97"/>
      <c r="D988" s="97"/>
      <c r="E988" s="97"/>
      <c r="R988" s="97"/>
      <c r="S988" s="97"/>
      <c r="T988" s="97"/>
      <c r="U988" s="97"/>
      <c r="V988" s="97"/>
      <c r="W988" s="97"/>
      <c r="X988" s="97"/>
      <c r="Y988" s="97"/>
      <c r="Z988" s="97"/>
      <c r="AA988" s="97"/>
      <c r="AB988" s="97"/>
      <c r="AC988" s="97"/>
      <c r="AD988" s="97"/>
      <c r="AE988" s="97"/>
    </row>
    <row r="989" spans="2:31" x14ac:dyDescent="0.45">
      <c r="B989" s="97"/>
      <c r="C989" s="97"/>
      <c r="D989" s="97"/>
      <c r="E989" s="97"/>
      <c r="R989" s="97"/>
      <c r="S989" s="97"/>
      <c r="T989" s="97"/>
      <c r="U989" s="97"/>
      <c r="V989" s="97"/>
      <c r="W989" s="97"/>
      <c r="X989" s="97"/>
      <c r="Y989" s="97"/>
      <c r="Z989" s="97"/>
      <c r="AA989" s="97"/>
      <c r="AB989" s="97"/>
      <c r="AC989" s="97"/>
      <c r="AD989" s="97"/>
      <c r="AE989" s="97"/>
    </row>
    <row r="990" spans="2:31" x14ac:dyDescent="0.45">
      <c r="B990" s="97"/>
      <c r="C990" s="97"/>
      <c r="D990" s="97"/>
      <c r="E990" s="97"/>
      <c r="R990" s="97"/>
      <c r="S990" s="97"/>
      <c r="T990" s="97"/>
      <c r="U990" s="97"/>
      <c r="V990" s="97"/>
      <c r="W990" s="97"/>
      <c r="X990" s="97"/>
      <c r="Y990" s="97"/>
      <c r="Z990" s="97"/>
      <c r="AA990" s="97"/>
      <c r="AB990" s="97"/>
      <c r="AC990" s="97"/>
      <c r="AD990" s="97"/>
      <c r="AE990" s="97"/>
    </row>
    <row r="991" spans="2:31" x14ac:dyDescent="0.45">
      <c r="B991" s="97"/>
      <c r="C991" s="97"/>
      <c r="D991" s="97"/>
      <c r="E991" s="97"/>
      <c r="R991" s="97"/>
      <c r="S991" s="97"/>
      <c r="T991" s="97"/>
      <c r="U991" s="97"/>
      <c r="V991" s="97"/>
      <c r="W991" s="97"/>
      <c r="X991" s="97"/>
      <c r="Y991" s="97"/>
      <c r="Z991" s="97"/>
      <c r="AA991" s="97"/>
      <c r="AB991" s="97"/>
      <c r="AC991" s="97"/>
      <c r="AD991" s="97"/>
      <c r="AE991" s="97"/>
    </row>
    <row r="992" spans="2:31" x14ac:dyDescent="0.45">
      <c r="B992" s="97"/>
      <c r="C992" s="97"/>
      <c r="D992" s="97"/>
      <c r="E992" s="97"/>
      <c r="R992" s="97"/>
      <c r="S992" s="97"/>
      <c r="T992" s="97"/>
      <c r="U992" s="97"/>
      <c r="V992" s="97"/>
      <c r="W992" s="97"/>
      <c r="X992" s="97"/>
      <c r="Y992" s="97"/>
      <c r="Z992" s="97"/>
      <c r="AA992" s="97"/>
      <c r="AB992" s="97"/>
      <c r="AC992" s="97"/>
      <c r="AD992" s="97"/>
      <c r="AE992" s="97"/>
    </row>
    <row r="993" spans="2:31" x14ac:dyDescent="0.45">
      <c r="B993" s="97"/>
      <c r="C993" s="97"/>
      <c r="D993" s="97"/>
      <c r="E993" s="97"/>
      <c r="R993" s="97"/>
      <c r="S993" s="97"/>
      <c r="T993" s="97"/>
      <c r="U993" s="97"/>
      <c r="V993" s="97"/>
      <c r="W993" s="97"/>
      <c r="X993" s="97"/>
      <c r="Y993" s="97"/>
      <c r="Z993" s="97"/>
      <c r="AA993" s="97"/>
      <c r="AB993" s="97"/>
      <c r="AC993" s="97"/>
      <c r="AD993" s="97"/>
      <c r="AE993" s="97"/>
    </row>
    <row r="994" spans="2:31" x14ac:dyDescent="0.45">
      <c r="B994" s="97"/>
      <c r="C994" s="97"/>
      <c r="D994" s="97"/>
      <c r="E994" s="97"/>
      <c r="R994" s="97"/>
      <c r="S994" s="97"/>
      <c r="T994" s="97"/>
      <c r="U994" s="97"/>
      <c r="V994" s="97"/>
      <c r="W994" s="97"/>
      <c r="X994" s="97"/>
      <c r="Y994" s="97"/>
      <c r="Z994" s="97"/>
      <c r="AA994" s="97"/>
      <c r="AB994" s="97"/>
      <c r="AC994" s="97"/>
      <c r="AD994" s="97"/>
      <c r="AE994" s="97"/>
    </row>
    <row r="995" spans="2:31" x14ac:dyDescent="0.45">
      <c r="B995" s="97"/>
      <c r="C995" s="97"/>
      <c r="D995" s="97"/>
      <c r="E995" s="97"/>
      <c r="R995" s="97"/>
      <c r="S995" s="97"/>
      <c r="T995" s="97"/>
      <c r="U995" s="97"/>
      <c r="V995" s="97"/>
      <c r="W995" s="97"/>
      <c r="X995" s="97"/>
      <c r="Y995" s="97"/>
      <c r="Z995" s="97"/>
      <c r="AA995" s="97"/>
      <c r="AB995" s="97"/>
      <c r="AC995" s="97"/>
      <c r="AD995" s="97"/>
      <c r="AE995" s="97"/>
    </row>
    <row r="996" spans="2:31" x14ac:dyDescent="0.45">
      <c r="B996" s="97"/>
      <c r="C996" s="97"/>
      <c r="D996" s="97"/>
      <c r="E996" s="97"/>
      <c r="R996" s="97"/>
      <c r="S996" s="97"/>
      <c r="T996" s="97"/>
      <c r="U996" s="97"/>
      <c r="V996" s="97"/>
      <c r="W996" s="97"/>
      <c r="X996" s="97"/>
      <c r="Y996" s="97"/>
      <c r="Z996" s="97"/>
      <c r="AA996" s="97"/>
      <c r="AB996" s="97"/>
      <c r="AC996" s="97"/>
      <c r="AD996" s="97"/>
      <c r="AE996" s="97"/>
    </row>
    <row r="997" spans="2:31" x14ac:dyDescent="0.45">
      <c r="B997" s="97"/>
      <c r="C997" s="97"/>
      <c r="D997" s="97"/>
      <c r="E997" s="97"/>
      <c r="R997" s="97"/>
      <c r="S997" s="97"/>
      <c r="T997" s="97"/>
      <c r="U997" s="97"/>
      <c r="V997" s="97"/>
      <c r="W997" s="97"/>
      <c r="X997" s="97"/>
      <c r="Y997" s="97"/>
      <c r="Z997" s="97"/>
      <c r="AA997" s="97"/>
      <c r="AB997" s="97"/>
      <c r="AC997" s="97"/>
      <c r="AD997" s="97"/>
      <c r="AE997" s="97"/>
    </row>
    <row r="998" spans="2:31" x14ac:dyDescent="0.45">
      <c r="B998" s="97"/>
      <c r="C998" s="97"/>
      <c r="D998" s="97"/>
      <c r="E998" s="97"/>
      <c r="R998" s="97"/>
      <c r="S998" s="97"/>
      <c r="T998" s="97"/>
      <c r="U998" s="97"/>
      <c r="V998" s="97"/>
      <c r="W998" s="97"/>
      <c r="X998" s="97"/>
      <c r="Y998" s="97"/>
      <c r="Z998" s="97"/>
      <c r="AA998" s="97"/>
      <c r="AB998" s="97"/>
      <c r="AC998" s="97"/>
      <c r="AD998" s="97"/>
      <c r="AE998" s="97"/>
    </row>
    <row r="999" spans="2:31" x14ac:dyDescent="0.45">
      <c r="B999" s="97"/>
      <c r="C999" s="97"/>
      <c r="D999" s="97"/>
      <c r="E999" s="97"/>
      <c r="R999" s="97"/>
      <c r="S999" s="97"/>
      <c r="T999" s="97"/>
      <c r="U999" s="97"/>
      <c r="V999" s="97"/>
      <c r="W999" s="97"/>
      <c r="X999" s="97"/>
      <c r="Y999" s="97"/>
      <c r="Z999" s="97"/>
      <c r="AA999" s="97"/>
      <c r="AB999" s="97"/>
      <c r="AC999" s="97"/>
      <c r="AD999" s="97"/>
      <c r="AE999" s="97"/>
    </row>
  </sheetData>
  <mergeCells count="2">
    <mergeCell ref="C3:I3"/>
    <mergeCell ref="B142:C142"/>
  </mergeCells>
  <conditionalFormatting sqref="B61:C61">
    <cfRule type="expression" dxfId="0" priority="1">
      <formula>#REF!&gt;0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D8EB0-B426-44A0-AF67-20591C97FBD8}">
  <dimension ref="A1:AA980"/>
  <sheetViews>
    <sheetView topLeftCell="A181" workbookViewId="0">
      <selection activeCell="A202" sqref="A202:XFD202"/>
    </sheetView>
  </sheetViews>
  <sheetFormatPr baseColWidth="10" defaultColWidth="14.3984375" defaultRowHeight="14.25" x14ac:dyDescent="0.45"/>
  <cols>
    <col min="1" max="1" width="15.1328125" customWidth="1"/>
    <col min="2" max="2" width="30" customWidth="1"/>
    <col min="3" max="3" width="37.3984375" customWidth="1"/>
    <col min="4" max="4" width="8" customWidth="1"/>
    <col min="5" max="5" width="12.86328125" customWidth="1"/>
    <col min="6" max="6" width="15.265625" customWidth="1"/>
    <col min="7" max="7" width="13.73046875" customWidth="1"/>
  </cols>
  <sheetData>
    <row r="1" spans="1:27" ht="15.75" customHeight="1" x14ac:dyDescent="0.45">
      <c r="A1" s="254" t="s">
        <v>60</v>
      </c>
      <c r="D1" s="255"/>
      <c r="E1" s="255"/>
      <c r="F1" s="255"/>
      <c r="G1" s="255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</row>
    <row r="2" spans="1:27" ht="15.75" customHeight="1" x14ac:dyDescent="0.45">
      <c r="A2" s="254" t="s">
        <v>184</v>
      </c>
      <c r="D2" s="255"/>
      <c r="E2" s="255"/>
      <c r="F2" s="255"/>
      <c r="G2" s="255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</row>
    <row r="3" spans="1:27" ht="15.75" customHeight="1" x14ac:dyDescent="0.45">
      <c r="A3" s="254" t="s">
        <v>185</v>
      </c>
      <c r="D3" s="256"/>
      <c r="E3" s="256"/>
      <c r="F3" s="256"/>
      <c r="G3" s="256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</row>
    <row r="4" spans="1:27" ht="15.75" customHeight="1" x14ac:dyDescent="0.45">
      <c r="A4" s="254" t="s">
        <v>186</v>
      </c>
      <c r="C4" s="256" t="s">
        <v>187</v>
      </c>
      <c r="E4" s="255"/>
      <c r="F4" s="255"/>
      <c r="G4" s="255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</row>
    <row r="5" spans="1:27" ht="15.75" customHeight="1" x14ac:dyDescent="0.45">
      <c r="A5" s="254" t="s">
        <v>188</v>
      </c>
      <c r="C5" s="256" t="s">
        <v>187</v>
      </c>
      <c r="E5" s="255"/>
      <c r="F5" s="255"/>
      <c r="G5" s="255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</row>
    <row r="6" spans="1:27" ht="15.75" customHeight="1" x14ac:dyDescent="0.45">
      <c r="A6" s="257" t="s">
        <v>189</v>
      </c>
      <c r="B6" s="258" t="s">
        <v>321</v>
      </c>
      <c r="C6" s="259"/>
      <c r="D6" s="407"/>
      <c r="E6" s="407"/>
      <c r="F6" s="407"/>
      <c r="G6" s="40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</row>
    <row r="7" spans="1:27" ht="15.75" customHeight="1" x14ac:dyDescent="0.45">
      <c r="A7" s="102"/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</row>
    <row r="8" spans="1:27" ht="21.75" x14ac:dyDescent="0.45">
      <c r="A8" s="518" t="s">
        <v>191</v>
      </c>
      <c r="B8" s="518" t="s">
        <v>192</v>
      </c>
      <c r="C8" s="518" t="s">
        <v>322</v>
      </c>
      <c r="D8" s="518" t="s">
        <v>55</v>
      </c>
      <c r="E8" s="518" t="s">
        <v>54</v>
      </c>
      <c r="F8" s="518" t="s">
        <v>193</v>
      </c>
      <c r="G8" s="518" t="s">
        <v>53</v>
      </c>
      <c r="H8" s="518" t="s">
        <v>52</v>
      </c>
      <c r="I8" s="518" t="s">
        <v>51</v>
      </c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</row>
    <row r="9" spans="1:27" ht="15.75" customHeight="1" x14ac:dyDescent="0.45">
      <c r="A9" s="283">
        <v>8946710190</v>
      </c>
      <c r="B9" s="363" t="s">
        <v>323</v>
      </c>
      <c r="C9" s="363" t="s">
        <v>324</v>
      </c>
      <c r="D9" s="216">
        <v>100</v>
      </c>
      <c r="E9" s="216">
        <v>84</v>
      </c>
      <c r="F9" s="519"/>
      <c r="G9" s="57">
        <f>F9/D9</f>
        <v>0</v>
      </c>
      <c r="H9" s="60">
        <f>(360/E9)</f>
        <v>4.2857142857142856</v>
      </c>
      <c r="I9" s="363"/>
      <c r="J9" s="256"/>
      <c r="K9" s="256"/>
      <c r="L9" s="256"/>
      <c r="M9" s="256"/>
      <c r="N9" s="256"/>
      <c r="O9" s="256"/>
      <c r="P9" s="256"/>
      <c r="Q9" s="256"/>
      <c r="R9" s="256"/>
      <c r="S9" s="256"/>
      <c r="T9" s="256"/>
      <c r="U9" s="256"/>
      <c r="V9" s="256"/>
      <c r="W9" s="256"/>
      <c r="X9" s="256"/>
      <c r="Y9" s="256"/>
      <c r="Z9" s="256"/>
      <c r="AA9" s="256"/>
    </row>
    <row r="10" spans="1:27" ht="15.75" customHeight="1" x14ac:dyDescent="0.45">
      <c r="A10" s="287">
        <v>9015060190</v>
      </c>
      <c r="B10" s="55" t="s">
        <v>325</v>
      </c>
      <c r="C10" s="55" t="s">
        <v>326</v>
      </c>
      <c r="D10" s="57">
        <v>100</v>
      </c>
      <c r="E10" s="57">
        <v>56</v>
      </c>
      <c r="F10" s="519"/>
      <c r="G10" s="57">
        <f t="shared" ref="G10:G73" si="0">F10/D10</f>
        <v>0</v>
      </c>
      <c r="H10" s="60">
        <f t="shared" ref="H10:H73" si="1">(360/E10)</f>
        <v>6.4285714285714288</v>
      </c>
      <c r="I10" s="363"/>
    </row>
    <row r="11" spans="1:27" ht="15.75" customHeight="1" x14ac:dyDescent="0.45">
      <c r="A11" s="283">
        <v>10059516190</v>
      </c>
      <c r="B11" s="363" t="s">
        <v>640</v>
      </c>
      <c r="C11" s="55" t="s">
        <v>327</v>
      </c>
      <c r="D11" s="216">
        <v>100</v>
      </c>
      <c r="E11" s="216"/>
      <c r="F11" s="519"/>
      <c r="G11" s="57">
        <f t="shared" si="0"/>
        <v>0</v>
      </c>
      <c r="H11" s="60" t="e">
        <f t="shared" si="1"/>
        <v>#DIV/0!</v>
      </c>
      <c r="I11" s="363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</row>
    <row r="12" spans="1:27" ht="15.75" customHeight="1" x14ac:dyDescent="0.45">
      <c r="A12" s="287">
        <v>6368590190</v>
      </c>
      <c r="B12" s="55" t="s">
        <v>328</v>
      </c>
      <c r="C12" s="55" t="s">
        <v>329</v>
      </c>
      <c r="D12" s="57">
        <v>100</v>
      </c>
      <c r="E12" s="57">
        <v>15</v>
      </c>
      <c r="F12" s="519"/>
      <c r="G12" s="57">
        <f t="shared" si="0"/>
        <v>0</v>
      </c>
      <c r="H12" s="60">
        <f t="shared" si="1"/>
        <v>24</v>
      </c>
      <c r="I12" s="363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</row>
    <row r="13" spans="1:27" ht="15.75" customHeight="1" x14ac:dyDescent="0.45">
      <c r="A13" s="283">
        <v>5031656190</v>
      </c>
      <c r="B13" s="363" t="s">
        <v>330</v>
      </c>
      <c r="C13" s="363" t="s">
        <v>331</v>
      </c>
      <c r="D13" s="216">
        <v>100</v>
      </c>
      <c r="E13" s="216">
        <v>28</v>
      </c>
      <c r="F13" s="519"/>
      <c r="G13" s="57">
        <f t="shared" si="0"/>
        <v>0</v>
      </c>
      <c r="H13" s="60">
        <f t="shared" si="1"/>
        <v>12.857142857142858</v>
      </c>
      <c r="I13" s="363"/>
    </row>
    <row r="14" spans="1:27" ht="15.75" customHeight="1" x14ac:dyDescent="0.45">
      <c r="A14" s="287">
        <v>8086630190</v>
      </c>
      <c r="B14" s="363" t="s">
        <v>332</v>
      </c>
      <c r="C14" s="363" t="s">
        <v>333</v>
      </c>
      <c r="D14" s="57">
        <v>100</v>
      </c>
      <c r="E14" s="57">
        <v>56</v>
      </c>
      <c r="F14" s="519"/>
      <c r="G14" s="57">
        <f t="shared" si="0"/>
        <v>0</v>
      </c>
      <c r="H14" s="60">
        <f t="shared" si="1"/>
        <v>6.4285714285714288</v>
      </c>
      <c r="I14" s="363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</row>
    <row r="15" spans="1:27" ht="15.75" customHeight="1" x14ac:dyDescent="0.45">
      <c r="A15" s="287">
        <v>11820591122</v>
      </c>
      <c r="B15" s="363" t="s">
        <v>334</v>
      </c>
      <c r="C15" s="363" t="s">
        <v>335</v>
      </c>
      <c r="D15" s="57">
        <v>100</v>
      </c>
      <c r="E15" s="57">
        <v>56</v>
      </c>
      <c r="F15" s="519"/>
      <c r="G15" s="57">
        <f t="shared" si="0"/>
        <v>0</v>
      </c>
      <c r="H15" s="60">
        <f t="shared" si="1"/>
        <v>6.4285714285714288</v>
      </c>
      <c r="I15" s="363"/>
      <c r="J15" s="256"/>
      <c r="K15" s="256"/>
      <c r="L15" s="256"/>
      <c r="M15" s="256"/>
      <c r="N15" s="256"/>
      <c r="O15" s="256"/>
      <c r="P15" s="256"/>
      <c r="Q15" s="256"/>
      <c r="R15" s="256"/>
      <c r="S15" s="256"/>
      <c r="T15" s="256"/>
      <c r="U15" s="256"/>
      <c r="V15" s="256"/>
      <c r="W15" s="256"/>
      <c r="X15" s="256"/>
      <c r="Y15" s="256"/>
      <c r="Z15" s="256"/>
      <c r="AA15" s="256"/>
    </row>
    <row r="16" spans="1:27" ht="15.75" customHeight="1" x14ac:dyDescent="0.45">
      <c r="A16" s="287">
        <v>11820567122</v>
      </c>
      <c r="B16" s="363" t="s">
        <v>336</v>
      </c>
      <c r="C16" s="363" t="s">
        <v>337</v>
      </c>
      <c r="D16" s="57">
        <v>100</v>
      </c>
      <c r="E16" s="57">
        <v>28</v>
      </c>
      <c r="F16" s="519"/>
      <c r="G16" s="57">
        <f t="shared" si="0"/>
        <v>0</v>
      </c>
      <c r="H16" s="60">
        <f t="shared" si="1"/>
        <v>12.857142857142858</v>
      </c>
      <c r="I16" s="363"/>
    </row>
    <row r="17" spans="1:27" ht="15.75" customHeight="1" x14ac:dyDescent="0.45">
      <c r="A17" s="287">
        <v>9014918190</v>
      </c>
      <c r="B17" s="363" t="s">
        <v>338</v>
      </c>
      <c r="C17" s="363" t="s">
        <v>339</v>
      </c>
      <c r="D17" s="57">
        <v>100</v>
      </c>
      <c r="E17" s="57">
        <v>56</v>
      </c>
      <c r="F17" s="519"/>
      <c r="G17" s="57">
        <f t="shared" si="0"/>
        <v>0</v>
      </c>
      <c r="H17" s="60">
        <f t="shared" si="1"/>
        <v>6.4285714285714288</v>
      </c>
      <c r="I17" s="363"/>
    </row>
    <row r="18" spans="1:27" ht="15.75" customHeight="1" x14ac:dyDescent="0.45">
      <c r="A18" s="287">
        <v>11820613122</v>
      </c>
      <c r="B18" s="363" t="s">
        <v>340</v>
      </c>
      <c r="C18" s="55" t="s">
        <v>341</v>
      </c>
      <c r="D18" s="57">
        <v>100</v>
      </c>
      <c r="E18" s="57">
        <v>56</v>
      </c>
      <c r="F18" s="519"/>
      <c r="G18" s="57">
        <f t="shared" si="0"/>
        <v>0</v>
      </c>
      <c r="H18" s="60">
        <f t="shared" si="1"/>
        <v>6.4285714285714288</v>
      </c>
      <c r="I18" s="363"/>
    </row>
    <row r="19" spans="1:27" ht="15.75" customHeight="1" x14ac:dyDescent="0.45">
      <c r="A19" s="287">
        <v>8498598190</v>
      </c>
      <c r="B19" s="55" t="s">
        <v>342</v>
      </c>
      <c r="C19" s="55" t="s">
        <v>343</v>
      </c>
      <c r="D19" s="57">
        <v>100</v>
      </c>
      <c r="E19" s="57">
        <v>56</v>
      </c>
      <c r="F19" s="519"/>
      <c r="G19" s="57">
        <f t="shared" si="0"/>
        <v>0</v>
      </c>
      <c r="H19" s="60">
        <f t="shared" si="1"/>
        <v>6.4285714285714288</v>
      </c>
      <c r="I19" s="363"/>
    </row>
    <row r="20" spans="1:27" ht="15.75" customHeight="1" x14ac:dyDescent="0.45">
      <c r="A20" s="287">
        <v>8836981190</v>
      </c>
      <c r="B20" s="55" t="s">
        <v>344</v>
      </c>
      <c r="C20" s="55" t="s">
        <v>345</v>
      </c>
      <c r="D20" s="57">
        <v>100</v>
      </c>
      <c r="E20" s="57">
        <v>49</v>
      </c>
      <c r="F20" s="519"/>
      <c r="G20" s="57">
        <f t="shared" si="0"/>
        <v>0</v>
      </c>
      <c r="H20" s="60">
        <f t="shared" si="1"/>
        <v>7.3469387755102042</v>
      </c>
      <c r="I20" s="363"/>
    </row>
    <row r="21" spans="1:27" ht="15.75" customHeight="1" x14ac:dyDescent="0.45">
      <c r="A21" s="287">
        <v>9203095190</v>
      </c>
      <c r="B21" s="363" t="s">
        <v>346</v>
      </c>
      <c r="C21" s="363" t="s">
        <v>347</v>
      </c>
      <c r="D21" s="57">
        <v>200</v>
      </c>
      <c r="E21" s="57">
        <v>28</v>
      </c>
      <c r="F21" s="519"/>
      <c r="G21" s="57">
        <f t="shared" si="0"/>
        <v>0</v>
      </c>
      <c r="H21" s="60">
        <f t="shared" si="1"/>
        <v>12.857142857142858</v>
      </c>
      <c r="I21" s="363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</row>
    <row r="22" spans="1:27" ht="15.75" customHeight="1" x14ac:dyDescent="0.45">
      <c r="A22" s="287">
        <v>9289267190</v>
      </c>
      <c r="B22" s="363" t="s">
        <v>348</v>
      </c>
      <c r="C22" s="363" t="s">
        <v>349</v>
      </c>
      <c r="D22" s="57">
        <v>200</v>
      </c>
      <c r="E22" s="57">
        <v>28</v>
      </c>
      <c r="F22" s="519"/>
      <c r="G22" s="57">
        <f t="shared" si="0"/>
        <v>0</v>
      </c>
      <c r="H22" s="60">
        <f t="shared" si="1"/>
        <v>12.857142857142858</v>
      </c>
      <c r="I22" s="363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</row>
    <row r="23" spans="1:27" ht="15.75" customHeight="1" x14ac:dyDescent="0.45">
      <c r="A23" s="287">
        <v>9004998190</v>
      </c>
      <c r="B23" s="55" t="s">
        <v>350</v>
      </c>
      <c r="C23" s="55" t="s">
        <v>351</v>
      </c>
      <c r="D23" s="57">
        <v>100</v>
      </c>
      <c r="E23" s="57">
        <v>42</v>
      </c>
      <c r="F23" s="519"/>
      <c r="G23" s="57">
        <f t="shared" si="0"/>
        <v>0</v>
      </c>
      <c r="H23" s="60">
        <f t="shared" si="1"/>
        <v>8.5714285714285712</v>
      </c>
      <c r="I23" s="363"/>
    </row>
    <row r="24" spans="1:27" ht="15.75" customHeight="1" x14ac:dyDescent="0.45">
      <c r="A24" s="287">
        <v>8496609190</v>
      </c>
      <c r="B24" s="363" t="s">
        <v>352</v>
      </c>
      <c r="C24" s="363" t="s">
        <v>353</v>
      </c>
      <c r="D24" s="57">
        <v>100</v>
      </c>
      <c r="E24" s="57">
        <v>21</v>
      </c>
      <c r="F24" s="519"/>
      <c r="G24" s="57">
        <f t="shared" si="0"/>
        <v>0</v>
      </c>
      <c r="H24" s="60">
        <f t="shared" si="1"/>
        <v>17.142857142857142</v>
      </c>
      <c r="I24" s="363"/>
    </row>
    <row r="25" spans="1:27" ht="15.75" customHeight="1" x14ac:dyDescent="0.45">
      <c r="A25" s="287">
        <v>9005773190</v>
      </c>
      <c r="B25" s="363" t="s">
        <v>354</v>
      </c>
      <c r="C25" s="363" t="s">
        <v>355</v>
      </c>
      <c r="D25" s="57">
        <v>100</v>
      </c>
      <c r="E25" s="57">
        <v>56</v>
      </c>
      <c r="F25" s="519"/>
      <c r="G25" s="57">
        <f t="shared" si="0"/>
        <v>0</v>
      </c>
      <c r="H25" s="60">
        <f t="shared" si="1"/>
        <v>6.4285714285714288</v>
      </c>
      <c r="I25" s="363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</row>
    <row r="26" spans="1:27" ht="15.75" customHeight="1" x14ac:dyDescent="0.45">
      <c r="A26" s="287">
        <v>11776223190</v>
      </c>
      <c r="B26" s="55" t="s">
        <v>356</v>
      </c>
      <c r="C26" s="363" t="s">
        <v>357</v>
      </c>
      <c r="D26" s="57">
        <v>100</v>
      </c>
      <c r="E26" s="57">
        <v>42</v>
      </c>
      <c r="F26" s="519"/>
      <c r="G26" s="57">
        <f t="shared" si="0"/>
        <v>0</v>
      </c>
      <c r="H26" s="60">
        <f t="shared" si="1"/>
        <v>8.5714285714285712</v>
      </c>
      <c r="I26" s="363"/>
    </row>
    <row r="27" spans="1:27" ht="15.75" customHeight="1" x14ac:dyDescent="0.45">
      <c r="A27" s="283">
        <v>3045838122</v>
      </c>
      <c r="B27" s="363" t="s">
        <v>358</v>
      </c>
      <c r="C27" s="363" t="s">
        <v>359</v>
      </c>
      <c r="D27" s="216">
        <v>100</v>
      </c>
      <c r="E27" s="216">
        <v>35</v>
      </c>
      <c r="F27" s="519"/>
      <c r="G27" s="57">
        <f t="shared" si="0"/>
        <v>0</v>
      </c>
      <c r="H27" s="60">
        <f t="shared" si="1"/>
        <v>10.285714285714286</v>
      </c>
      <c r="I27" s="363"/>
    </row>
    <row r="28" spans="1:27" ht="15.75" customHeight="1" x14ac:dyDescent="0.45">
      <c r="A28" s="287">
        <v>11776193122</v>
      </c>
      <c r="B28" s="363" t="s">
        <v>360</v>
      </c>
      <c r="C28" s="363" t="s">
        <v>361</v>
      </c>
      <c r="D28" s="57">
        <v>100</v>
      </c>
      <c r="E28" s="57">
        <v>56</v>
      </c>
      <c r="F28" s="519"/>
      <c r="G28" s="57">
        <f t="shared" si="0"/>
        <v>0</v>
      </c>
      <c r="H28" s="60">
        <f t="shared" si="1"/>
        <v>6.4285714285714288</v>
      </c>
      <c r="I28" s="363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</row>
    <row r="29" spans="1:27" ht="15.75" customHeight="1" x14ac:dyDescent="0.45">
      <c r="A29" s="283">
        <v>9005692190</v>
      </c>
      <c r="B29" s="363" t="s">
        <v>362</v>
      </c>
      <c r="C29" s="363" t="s">
        <v>363</v>
      </c>
      <c r="D29" s="216">
        <v>100</v>
      </c>
      <c r="E29" s="216">
        <v>56</v>
      </c>
      <c r="F29" s="519"/>
      <c r="G29" s="57">
        <f t="shared" si="0"/>
        <v>0</v>
      </c>
      <c r="H29" s="60">
        <f t="shared" si="1"/>
        <v>6.4285714285714288</v>
      </c>
      <c r="I29" s="363"/>
      <c r="J29" s="256"/>
      <c r="K29" s="256"/>
      <c r="L29" s="256"/>
      <c r="M29" s="256"/>
      <c r="N29" s="256"/>
      <c r="O29" s="256"/>
      <c r="P29" s="256"/>
      <c r="Q29" s="256"/>
      <c r="R29" s="256"/>
      <c r="S29" s="256"/>
      <c r="T29" s="256"/>
      <c r="U29" s="256"/>
      <c r="V29" s="256"/>
      <c r="W29" s="256"/>
      <c r="X29" s="256"/>
      <c r="Y29" s="256"/>
      <c r="Z29" s="256"/>
      <c r="AA29" s="256"/>
    </row>
    <row r="30" spans="1:27" ht="15.75" customHeight="1" x14ac:dyDescent="0.45">
      <c r="A30" s="287">
        <v>11731629322</v>
      </c>
      <c r="B30" s="55" t="s">
        <v>364</v>
      </c>
      <c r="C30" s="55" t="s">
        <v>365</v>
      </c>
      <c r="D30" s="57">
        <v>100</v>
      </c>
      <c r="E30" s="57">
        <v>42</v>
      </c>
      <c r="F30" s="519"/>
      <c r="G30" s="57">
        <f t="shared" si="0"/>
        <v>0</v>
      </c>
      <c r="H30" s="60">
        <f t="shared" si="1"/>
        <v>8.5714285714285712</v>
      </c>
      <c r="I30" s="363"/>
    </row>
    <row r="31" spans="1:27" ht="15.75" customHeight="1" x14ac:dyDescent="0.45">
      <c r="A31" s="287">
        <v>9015566190</v>
      </c>
      <c r="B31" s="363" t="s">
        <v>366</v>
      </c>
      <c r="C31" s="363" t="s">
        <v>367</v>
      </c>
      <c r="D31" s="57">
        <v>100</v>
      </c>
      <c r="E31" s="57">
        <v>56</v>
      </c>
      <c r="F31" s="519"/>
      <c r="G31" s="57">
        <f t="shared" si="0"/>
        <v>0</v>
      </c>
      <c r="H31" s="60">
        <f t="shared" si="1"/>
        <v>6.4285714285714288</v>
      </c>
      <c r="I31" s="363"/>
      <c r="J31" s="256"/>
      <c r="K31" s="256"/>
      <c r="L31" s="256"/>
      <c r="M31" s="256"/>
      <c r="N31" s="256"/>
      <c r="O31" s="256"/>
      <c r="P31" s="256"/>
      <c r="Q31" s="256"/>
      <c r="R31" s="256"/>
      <c r="S31" s="256"/>
      <c r="T31" s="256"/>
      <c r="U31" s="256"/>
      <c r="V31" s="256"/>
      <c r="W31" s="256"/>
      <c r="X31" s="256"/>
      <c r="Y31" s="256"/>
      <c r="Z31" s="256"/>
      <c r="AA31" s="256"/>
    </row>
    <row r="32" spans="1:27" ht="15.75" customHeight="1" x14ac:dyDescent="0.45">
      <c r="A32" s="287">
        <v>5957648190</v>
      </c>
      <c r="B32" s="363" t="s">
        <v>368</v>
      </c>
      <c r="C32" s="363" t="s">
        <v>369</v>
      </c>
      <c r="D32" s="57">
        <v>100</v>
      </c>
      <c r="E32" s="57">
        <v>56</v>
      </c>
      <c r="F32" s="519"/>
      <c r="G32" s="57">
        <f t="shared" si="0"/>
        <v>0</v>
      </c>
      <c r="H32" s="60">
        <f t="shared" si="1"/>
        <v>6.4285714285714288</v>
      </c>
      <c r="I32" s="363"/>
    </row>
    <row r="33" spans="1:27" ht="15.75" customHeight="1" x14ac:dyDescent="0.45">
      <c r="A33" s="287">
        <v>9342397190</v>
      </c>
      <c r="B33" s="363" t="s">
        <v>370</v>
      </c>
      <c r="C33" s="363" t="s">
        <v>371</v>
      </c>
      <c r="D33" s="57">
        <v>100</v>
      </c>
      <c r="E33" s="57">
        <v>56</v>
      </c>
      <c r="F33" s="519"/>
      <c r="G33" s="57">
        <f t="shared" si="0"/>
        <v>0</v>
      </c>
      <c r="H33" s="60">
        <f t="shared" si="1"/>
        <v>6.4285714285714288</v>
      </c>
      <c r="I33" s="363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</row>
    <row r="34" spans="1:27" ht="15.75" customHeight="1" x14ac:dyDescent="0.45">
      <c r="A34" s="287">
        <v>9118543190</v>
      </c>
      <c r="B34" s="55" t="s">
        <v>372</v>
      </c>
      <c r="C34" s="55" t="s">
        <v>373</v>
      </c>
      <c r="D34" s="57">
        <v>100</v>
      </c>
      <c r="E34" s="57">
        <v>21</v>
      </c>
      <c r="F34" s="519"/>
      <c r="G34" s="57">
        <f t="shared" si="0"/>
        <v>0</v>
      </c>
      <c r="H34" s="60">
        <f t="shared" si="1"/>
        <v>17.142857142857142</v>
      </c>
      <c r="I34" s="363"/>
    </row>
    <row r="35" spans="1:27" ht="15.75" customHeight="1" x14ac:dyDescent="0.45">
      <c r="A35" s="387">
        <v>4784618190</v>
      </c>
      <c r="B35" s="55" t="s">
        <v>374</v>
      </c>
      <c r="C35" s="55" t="s">
        <v>375</v>
      </c>
      <c r="D35" s="57">
        <v>100</v>
      </c>
      <c r="E35" s="57">
        <v>42</v>
      </c>
      <c r="F35" s="519"/>
      <c r="G35" s="57">
        <f t="shared" si="0"/>
        <v>0</v>
      </c>
      <c r="H35" s="60">
        <f t="shared" si="1"/>
        <v>8.5714285714285712</v>
      </c>
      <c r="I35" s="363"/>
    </row>
    <row r="36" spans="1:27" ht="15.75" customHeight="1" x14ac:dyDescent="0.45">
      <c r="A36" s="387">
        <v>6687733190</v>
      </c>
      <c r="B36" s="55" t="s">
        <v>376</v>
      </c>
      <c r="C36" s="55" t="s">
        <v>377</v>
      </c>
      <c r="D36" s="57">
        <v>100</v>
      </c>
      <c r="E36" s="57">
        <v>56</v>
      </c>
      <c r="F36" s="519"/>
      <c r="G36" s="57">
        <f t="shared" si="0"/>
        <v>0</v>
      </c>
      <c r="H36" s="60">
        <f t="shared" si="1"/>
        <v>6.4285714285714288</v>
      </c>
      <c r="I36" s="363"/>
    </row>
    <row r="37" spans="1:27" ht="15.75" customHeight="1" x14ac:dyDescent="0.45">
      <c r="A37" s="283">
        <v>3184897190</v>
      </c>
      <c r="B37" s="363" t="s">
        <v>378</v>
      </c>
      <c r="C37" s="363" t="s">
        <v>379</v>
      </c>
      <c r="D37" s="216">
        <v>100</v>
      </c>
      <c r="E37" s="216">
        <v>56</v>
      </c>
      <c r="F37" s="519"/>
      <c r="G37" s="57">
        <f t="shared" si="0"/>
        <v>0</v>
      </c>
      <c r="H37" s="60">
        <f t="shared" si="1"/>
        <v>6.4285714285714288</v>
      </c>
      <c r="I37" s="363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</row>
    <row r="38" spans="1:27" ht="15.75" customHeight="1" x14ac:dyDescent="0.45">
      <c r="A38" s="387">
        <v>11820966122</v>
      </c>
      <c r="B38" s="363" t="s">
        <v>380</v>
      </c>
      <c r="C38" s="363" t="s">
        <v>381</v>
      </c>
      <c r="D38" s="57">
        <v>100</v>
      </c>
      <c r="E38" s="57">
        <v>56</v>
      </c>
      <c r="F38" s="519"/>
      <c r="G38" s="57">
        <f t="shared" si="0"/>
        <v>0</v>
      </c>
      <c r="H38" s="60">
        <f t="shared" si="1"/>
        <v>6.4285714285714288</v>
      </c>
      <c r="I38" s="363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</row>
    <row r="39" spans="1:27" ht="15.75" customHeight="1" x14ac:dyDescent="0.45">
      <c r="A39" s="387">
        <v>3000087122</v>
      </c>
      <c r="B39" s="363" t="s">
        <v>382</v>
      </c>
      <c r="C39" s="363" t="s">
        <v>383</v>
      </c>
      <c r="D39" s="57">
        <v>100</v>
      </c>
      <c r="E39" s="57">
        <v>56</v>
      </c>
      <c r="F39" s="519"/>
      <c r="G39" s="57">
        <f t="shared" si="0"/>
        <v>0</v>
      </c>
      <c r="H39" s="60">
        <f t="shared" si="1"/>
        <v>6.4285714285714288</v>
      </c>
      <c r="I39" s="363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</row>
    <row r="40" spans="1:27" ht="15.75" customHeight="1" x14ac:dyDescent="0.45">
      <c r="A40" s="287">
        <v>11820796190</v>
      </c>
      <c r="B40" s="363" t="s">
        <v>384</v>
      </c>
      <c r="C40" s="363" t="s">
        <v>385</v>
      </c>
      <c r="D40" s="57">
        <v>100</v>
      </c>
      <c r="E40" s="57">
        <v>56</v>
      </c>
      <c r="F40" s="519"/>
      <c r="G40" s="57">
        <f t="shared" si="0"/>
        <v>0</v>
      </c>
      <c r="H40" s="60">
        <f t="shared" si="1"/>
        <v>6.4285714285714288</v>
      </c>
      <c r="I40" s="363"/>
      <c r="J40" s="256"/>
      <c r="K40" s="256"/>
      <c r="L40" s="256"/>
      <c r="M40" s="256"/>
      <c r="N40" s="256"/>
      <c r="O40" s="256"/>
      <c r="P40" s="256"/>
      <c r="Q40" s="256"/>
      <c r="R40" s="256"/>
      <c r="S40" s="256"/>
      <c r="T40" s="256"/>
      <c r="U40" s="256"/>
      <c r="V40" s="256"/>
      <c r="W40" s="256"/>
      <c r="X40" s="256"/>
      <c r="Y40" s="256"/>
      <c r="Z40" s="256"/>
      <c r="AA40" s="256"/>
    </row>
    <row r="41" spans="1:27" ht="15.75" customHeight="1" x14ac:dyDescent="0.45">
      <c r="A41" s="287">
        <v>8355371190</v>
      </c>
      <c r="B41" s="363" t="s">
        <v>386</v>
      </c>
      <c r="C41" s="363" t="s">
        <v>387</v>
      </c>
      <c r="D41" s="57">
        <v>100</v>
      </c>
      <c r="E41" s="57">
        <v>28</v>
      </c>
      <c r="F41" s="519"/>
      <c r="G41" s="57">
        <f t="shared" si="0"/>
        <v>0</v>
      </c>
      <c r="H41" s="60">
        <f t="shared" si="1"/>
        <v>12.857142857142858</v>
      </c>
      <c r="I41" s="363"/>
    </row>
    <row r="42" spans="1:27" ht="15.75" customHeight="1" x14ac:dyDescent="0.45">
      <c r="A42" s="287">
        <v>8355258190</v>
      </c>
      <c r="B42" s="363" t="s">
        <v>388</v>
      </c>
      <c r="C42" s="363" t="s">
        <v>389</v>
      </c>
      <c r="D42" s="57">
        <v>100</v>
      </c>
      <c r="E42" s="57">
        <v>28</v>
      </c>
      <c r="F42" s="519"/>
      <c r="G42" s="57">
        <f t="shared" si="0"/>
        <v>0</v>
      </c>
      <c r="H42" s="60">
        <f t="shared" si="1"/>
        <v>12.857142857142858</v>
      </c>
      <c r="I42" s="363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</row>
    <row r="43" spans="1:27" ht="15.75" customHeight="1" x14ac:dyDescent="0.45">
      <c r="A43" s="287">
        <v>8355312190</v>
      </c>
      <c r="B43" s="363" t="s">
        <v>390</v>
      </c>
      <c r="C43" s="363" t="s">
        <v>391</v>
      </c>
      <c r="D43" s="57">
        <v>100</v>
      </c>
      <c r="E43" s="57">
        <v>28</v>
      </c>
      <c r="F43" s="519"/>
      <c r="G43" s="57">
        <f t="shared" si="0"/>
        <v>0</v>
      </c>
      <c r="H43" s="60">
        <f t="shared" si="1"/>
        <v>12.857142857142858</v>
      </c>
      <c r="I43" s="363"/>
    </row>
    <row r="44" spans="1:27" ht="15.75" customHeight="1" x14ac:dyDescent="0.45">
      <c r="A44" s="287">
        <v>6656021190</v>
      </c>
      <c r="B44" s="55" t="s">
        <v>392</v>
      </c>
      <c r="C44" s="55" t="s">
        <v>393</v>
      </c>
      <c r="D44" s="57">
        <v>100</v>
      </c>
      <c r="E44" s="57">
        <v>56</v>
      </c>
      <c r="F44" s="519"/>
      <c r="G44" s="57">
        <f t="shared" si="0"/>
        <v>0</v>
      </c>
      <c r="H44" s="60">
        <f t="shared" si="1"/>
        <v>6.4285714285714288</v>
      </c>
      <c r="I44" s="363"/>
    </row>
    <row r="45" spans="1:27" ht="15.75" customHeight="1" x14ac:dyDescent="0.45">
      <c r="A45" s="287">
        <v>3737551190</v>
      </c>
      <c r="B45" s="55" t="s">
        <v>394</v>
      </c>
      <c r="C45" s="55" t="s">
        <v>395</v>
      </c>
      <c r="D45" s="57">
        <v>100</v>
      </c>
      <c r="E45" s="57">
        <v>42</v>
      </c>
      <c r="F45" s="519"/>
      <c r="G45" s="57">
        <f t="shared" si="0"/>
        <v>0</v>
      </c>
      <c r="H45" s="60">
        <f t="shared" si="1"/>
        <v>8.5714285714285712</v>
      </c>
      <c r="I45" s="363"/>
    </row>
    <row r="46" spans="1:27" ht="15.75" customHeight="1" x14ac:dyDescent="0.45">
      <c r="A46" s="287">
        <v>7559992190</v>
      </c>
      <c r="B46" s="363" t="s">
        <v>396</v>
      </c>
      <c r="C46" s="363" t="s">
        <v>397</v>
      </c>
      <c r="D46" s="57">
        <v>100</v>
      </c>
      <c r="E46" s="57">
        <v>28</v>
      </c>
      <c r="F46" s="519"/>
      <c r="G46" s="57">
        <f t="shared" si="0"/>
        <v>0</v>
      </c>
      <c r="H46" s="60">
        <f t="shared" si="1"/>
        <v>12.857142857142858</v>
      </c>
      <c r="I46" s="363"/>
    </row>
    <row r="47" spans="1:27" ht="15.75" customHeight="1" x14ac:dyDescent="0.45">
      <c r="A47" s="287">
        <v>8860297190</v>
      </c>
      <c r="B47" s="363" t="s">
        <v>398</v>
      </c>
      <c r="C47" s="363" t="s">
        <v>399</v>
      </c>
      <c r="D47" s="57">
        <v>100</v>
      </c>
      <c r="E47" s="57">
        <v>28</v>
      </c>
      <c r="F47" s="519"/>
      <c r="G47" s="57">
        <f t="shared" si="0"/>
        <v>0</v>
      </c>
      <c r="H47" s="60">
        <f t="shared" si="1"/>
        <v>12.857142857142858</v>
      </c>
      <c r="I47" s="363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</row>
    <row r="48" spans="1:27" ht="15.75" customHeight="1" x14ac:dyDescent="0.45">
      <c r="A48" s="287">
        <v>8828601190</v>
      </c>
      <c r="B48" s="55" t="s">
        <v>400</v>
      </c>
      <c r="C48" s="55" t="s">
        <v>401</v>
      </c>
      <c r="D48" s="57">
        <v>100</v>
      </c>
      <c r="E48" s="57">
        <v>42</v>
      </c>
      <c r="F48" s="519"/>
      <c r="G48" s="57">
        <f t="shared" si="0"/>
        <v>0</v>
      </c>
      <c r="H48" s="60">
        <f t="shared" si="1"/>
        <v>8.5714285714285712</v>
      </c>
      <c r="I48" s="363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</row>
    <row r="49" spans="1:27" ht="15.75" customHeight="1" x14ac:dyDescent="0.45">
      <c r="A49" s="287">
        <v>8932352190</v>
      </c>
      <c r="B49" s="55" t="s">
        <v>402</v>
      </c>
      <c r="C49" s="55" t="s">
        <v>403</v>
      </c>
      <c r="D49" s="57">
        <v>100</v>
      </c>
      <c r="E49" s="57">
        <v>56</v>
      </c>
      <c r="F49" s="519"/>
      <c r="G49" s="57">
        <f t="shared" si="0"/>
        <v>0</v>
      </c>
      <c r="H49" s="60">
        <f t="shared" si="1"/>
        <v>6.4285714285714288</v>
      </c>
      <c r="I49" s="363"/>
    </row>
    <row r="50" spans="1:27" ht="15.75" customHeight="1" x14ac:dyDescent="0.45">
      <c r="A50" s="287">
        <v>9005803190</v>
      </c>
      <c r="B50" s="55" t="s">
        <v>404</v>
      </c>
      <c r="C50" s="55" t="s">
        <v>405</v>
      </c>
      <c r="D50" s="57">
        <v>200</v>
      </c>
      <c r="E50" s="57">
        <v>56</v>
      </c>
      <c r="F50" s="519"/>
      <c r="G50" s="57">
        <f t="shared" si="0"/>
        <v>0</v>
      </c>
      <c r="H50" s="60">
        <f t="shared" si="1"/>
        <v>6.4285714285714288</v>
      </c>
      <c r="I50" s="363"/>
    </row>
    <row r="51" spans="1:27" ht="15.75" customHeight="1" x14ac:dyDescent="0.45">
      <c r="A51" s="287">
        <v>9043276190</v>
      </c>
      <c r="B51" s="55" t="s">
        <v>406</v>
      </c>
      <c r="C51" s="55" t="s">
        <v>407</v>
      </c>
      <c r="D51" s="57">
        <v>200</v>
      </c>
      <c r="E51" s="57">
        <v>56</v>
      </c>
      <c r="F51" s="519"/>
      <c r="G51" s="57">
        <f t="shared" si="0"/>
        <v>0</v>
      </c>
      <c r="H51" s="60">
        <f t="shared" si="1"/>
        <v>6.4285714285714288</v>
      </c>
      <c r="I51" s="363"/>
    </row>
    <row r="52" spans="1:27" ht="15.75" customHeight="1" x14ac:dyDescent="0.45">
      <c r="A52" s="287">
        <v>8946779190</v>
      </c>
      <c r="B52" s="363" t="s">
        <v>408</v>
      </c>
      <c r="C52" s="363" t="s">
        <v>409</v>
      </c>
      <c r="D52" s="57">
        <v>100</v>
      </c>
      <c r="E52" s="57">
        <v>56</v>
      </c>
      <c r="F52" s="519"/>
      <c r="G52" s="57">
        <f t="shared" si="0"/>
        <v>0</v>
      </c>
      <c r="H52" s="60">
        <f t="shared" si="1"/>
        <v>6.4285714285714288</v>
      </c>
      <c r="I52" s="363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</row>
    <row r="53" spans="1:27" ht="15.75" customHeight="1" x14ac:dyDescent="0.45">
      <c r="A53" s="287">
        <v>11820583122</v>
      </c>
      <c r="B53" s="363" t="s">
        <v>410</v>
      </c>
      <c r="C53" s="363" t="s">
        <v>411</v>
      </c>
      <c r="D53" s="57">
        <v>100</v>
      </c>
      <c r="E53" s="57">
        <v>56</v>
      </c>
      <c r="F53" s="519"/>
      <c r="G53" s="57">
        <f t="shared" si="0"/>
        <v>0</v>
      </c>
      <c r="H53" s="60">
        <f t="shared" si="1"/>
        <v>6.4285714285714288</v>
      </c>
      <c r="I53" s="363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</row>
    <row r="54" spans="1:27" ht="15.75" customHeight="1" x14ac:dyDescent="0.45">
      <c r="A54" s="287">
        <v>8814856190</v>
      </c>
      <c r="B54" s="55" t="s">
        <v>412</v>
      </c>
      <c r="C54" s="55" t="s">
        <v>413</v>
      </c>
      <c r="D54" s="57">
        <v>100</v>
      </c>
      <c r="E54" s="57">
        <v>42</v>
      </c>
      <c r="F54" s="519"/>
      <c r="G54" s="57">
        <f t="shared" si="0"/>
        <v>0</v>
      </c>
      <c r="H54" s="60">
        <f t="shared" si="1"/>
        <v>8.5714285714285712</v>
      </c>
      <c r="I54" s="363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</row>
    <row r="55" spans="1:27" ht="15.75" customHeight="1" x14ac:dyDescent="0.45">
      <c r="A55" s="287">
        <v>8890587190</v>
      </c>
      <c r="B55" s="363" t="s">
        <v>414</v>
      </c>
      <c r="C55" s="55" t="s">
        <v>415</v>
      </c>
      <c r="D55" s="57">
        <v>100</v>
      </c>
      <c r="E55" s="57">
        <v>28</v>
      </c>
      <c r="F55" s="519"/>
      <c r="G55" s="57">
        <f t="shared" si="0"/>
        <v>0</v>
      </c>
      <c r="H55" s="60">
        <f t="shared" si="1"/>
        <v>12.857142857142858</v>
      </c>
      <c r="I55" s="363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</row>
    <row r="56" spans="1:27" ht="15.75" customHeight="1" x14ac:dyDescent="0.45">
      <c r="A56" s="287">
        <v>3271749190</v>
      </c>
      <c r="B56" s="55" t="s">
        <v>416</v>
      </c>
      <c r="C56" s="55" t="s">
        <v>417</v>
      </c>
      <c r="D56" s="57">
        <v>100</v>
      </c>
      <c r="E56" s="57">
        <v>28</v>
      </c>
      <c r="F56" s="519"/>
      <c r="G56" s="57">
        <f t="shared" si="0"/>
        <v>0</v>
      </c>
      <c r="H56" s="60">
        <f t="shared" si="1"/>
        <v>12.857142857142858</v>
      </c>
      <c r="I56" s="363"/>
    </row>
    <row r="57" spans="1:27" ht="15.75" customHeight="1" x14ac:dyDescent="0.45">
      <c r="A57" s="287">
        <v>5950929190</v>
      </c>
      <c r="B57" s="363" t="s">
        <v>418</v>
      </c>
      <c r="C57" s="363" t="s">
        <v>419</v>
      </c>
      <c r="D57" s="57">
        <v>100</v>
      </c>
      <c r="E57" s="57">
        <v>28</v>
      </c>
      <c r="F57" s="519"/>
      <c r="G57" s="57">
        <f t="shared" si="0"/>
        <v>0</v>
      </c>
      <c r="H57" s="60">
        <f t="shared" si="1"/>
        <v>12.857142857142858</v>
      </c>
      <c r="I57" s="363"/>
    </row>
    <row r="58" spans="1:27" ht="15.75" customHeight="1" x14ac:dyDescent="0.45">
      <c r="A58" s="287">
        <v>5390125190</v>
      </c>
      <c r="B58" s="363" t="s">
        <v>420</v>
      </c>
      <c r="C58" s="363" t="s">
        <v>421</v>
      </c>
      <c r="D58" s="57">
        <v>100</v>
      </c>
      <c r="E58" s="57">
        <v>56</v>
      </c>
      <c r="F58" s="519"/>
      <c r="G58" s="57">
        <f t="shared" si="0"/>
        <v>0</v>
      </c>
      <c r="H58" s="60">
        <f t="shared" si="1"/>
        <v>6.4285714285714288</v>
      </c>
      <c r="I58" s="363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</row>
    <row r="59" spans="1:27" ht="15.75" customHeight="1" x14ac:dyDescent="0.45">
      <c r="A59" s="287">
        <v>8924163190</v>
      </c>
      <c r="B59" s="55" t="s">
        <v>422</v>
      </c>
      <c r="C59" s="55" t="s">
        <v>423</v>
      </c>
      <c r="D59" s="57">
        <v>100</v>
      </c>
      <c r="E59" s="57">
        <v>28</v>
      </c>
      <c r="F59" s="519"/>
      <c r="G59" s="57">
        <f t="shared" si="0"/>
        <v>0</v>
      </c>
      <c r="H59" s="60">
        <f t="shared" si="1"/>
        <v>12.857142857142858</v>
      </c>
      <c r="I59" s="363"/>
    </row>
    <row r="60" spans="1:27" ht="15.75" customHeight="1" x14ac:dyDescent="0.45">
      <c r="A60" s="287">
        <v>8948844190</v>
      </c>
      <c r="B60" s="55" t="s">
        <v>424</v>
      </c>
      <c r="C60" s="55" t="s">
        <v>425</v>
      </c>
      <c r="D60" s="57">
        <v>100</v>
      </c>
      <c r="E60" s="57">
        <v>28</v>
      </c>
      <c r="F60" s="519"/>
      <c r="G60" s="57">
        <f t="shared" si="0"/>
        <v>0</v>
      </c>
      <c r="H60" s="60">
        <f t="shared" si="1"/>
        <v>12.857142857142858</v>
      </c>
      <c r="I60" s="363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</row>
    <row r="61" spans="1:27" ht="15.75" customHeight="1" x14ac:dyDescent="0.45">
      <c r="A61" s="287">
        <v>8948887190</v>
      </c>
      <c r="B61" s="55" t="s">
        <v>426</v>
      </c>
      <c r="C61" s="55" t="s">
        <v>427</v>
      </c>
      <c r="D61" s="57">
        <v>100</v>
      </c>
      <c r="E61" s="57">
        <v>28</v>
      </c>
      <c r="F61" s="519"/>
      <c r="G61" s="57">
        <f t="shared" si="0"/>
        <v>0</v>
      </c>
      <c r="H61" s="60">
        <f t="shared" si="1"/>
        <v>12.857142857142858</v>
      </c>
      <c r="I61" s="363"/>
    </row>
    <row r="62" spans="1:27" ht="15.75" customHeight="1" x14ac:dyDescent="0.45">
      <c r="A62" s="287">
        <v>9015175190</v>
      </c>
      <c r="B62" s="55" t="s">
        <v>428</v>
      </c>
      <c r="C62" s="55" t="s">
        <v>429</v>
      </c>
      <c r="D62" s="57">
        <v>100</v>
      </c>
      <c r="E62" s="57">
        <v>28</v>
      </c>
      <c r="F62" s="519"/>
      <c r="G62" s="57">
        <f t="shared" si="0"/>
        <v>0</v>
      </c>
      <c r="H62" s="60">
        <f t="shared" si="1"/>
        <v>12.857142857142858</v>
      </c>
      <c r="I62" s="363"/>
    </row>
    <row r="63" spans="1:27" ht="15.75" customHeight="1" x14ac:dyDescent="0.45">
      <c r="A63" s="287">
        <v>4827031190</v>
      </c>
      <c r="B63" s="55" t="s">
        <v>430</v>
      </c>
      <c r="C63" s="55" t="s">
        <v>431</v>
      </c>
      <c r="D63" s="57">
        <v>100</v>
      </c>
      <c r="E63" s="57">
        <v>56</v>
      </c>
      <c r="F63" s="519"/>
      <c r="G63" s="57">
        <f t="shared" si="0"/>
        <v>0</v>
      </c>
      <c r="H63" s="60">
        <f t="shared" si="1"/>
        <v>6.4285714285714288</v>
      </c>
      <c r="I63" s="363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97"/>
    </row>
    <row r="64" spans="1:27" ht="15.75" customHeight="1" x14ac:dyDescent="0.45">
      <c r="A64" s="287">
        <v>7475896190</v>
      </c>
      <c r="B64" s="363" t="s">
        <v>432</v>
      </c>
      <c r="C64" s="363" t="s">
        <v>433</v>
      </c>
      <c r="D64" s="57">
        <v>100</v>
      </c>
      <c r="E64" s="57">
        <v>28</v>
      </c>
      <c r="F64" s="519"/>
      <c r="G64" s="57">
        <f t="shared" si="0"/>
        <v>0</v>
      </c>
      <c r="H64" s="60">
        <f t="shared" si="1"/>
        <v>12.857142857142858</v>
      </c>
      <c r="I64" s="363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</row>
    <row r="65" spans="1:27" ht="15.75" customHeight="1" x14ac:dyDescent="0.45">
      <c r="A65" s="287">
        <v>7574690190</v>
      </c>
      <c r="B65" s="56" t="s">
        <v>434</v>
      </c>
      <c r="C65" s="56" t="s">
        <v>435</v>
      </c>
      <c r="D65" s="57">
        <v>100</v>
      </c>
      <c r="E65" s="57">
        <v>28</v>
      </c>
      <c r="F65" s="519"/>
      <c r="G65" s="57">
        <f t="shared" si="0"/>
        <v>0</v>
      </c>
      <c r="H65" s="60">
        <f t="shared" si="1"/>
        <v>12.857142857142858</v>
      </c>
      <c r="I65" s="363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97"/>
    </row>
    <row r="66" spans="1:27" ht="15.75" customHeight="1" x14ac:dyDescent="0.45">
      <c r="A66" s="287">
        <v>9015604190</v>
      </c>
      <c r="B66" s="55" t="s">
        <v>436</v>
      </c>
      <c r="C66" s="55" t="s">
        <v>437</v>
      </c>
      <c r="D66" s="57">
        <v>100</v>
      </c>
      <c r="E66" s="57">
        <v>28</v>
      </c>
      <c r="F66" s="519"/>
      <c r="G66" s="57">
        <f t="shared" si="0"/>
        <v>0</v>
      </c>
      <c r="H66" s="60">
        <f t="shared" si="1"/>
        <v>12.857142857142858</v>
      </c>
      <c r="I66" s="363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</row>
    <row r="67" spans="1:27" ht="15.75" customHeight="1" x14ac:dyDescent="0.45">
      <c r="A67" s="287">
        <v>12017547122</v>
      </c>
      <c r="B67" s="55" t="s">
        <v>438</v>
      </c>
      <c r="C67" s="55" t="s">
        <v>439</v>
      </c>
      <c r="D67" s="57">
        <v>100</v>
      </c>
      <c r="E67" s="57">
        <v>28</v>
      </c>
      <c r="F67" s="519"/>
      <c r="G67" s="57">
        <f t="shared" si="0"/>
        <v>0</v>
      </c>
      <c r="H67" s="60">
        <f t="shared" si="1"/>
        <v>12.857142857142858</v>
      </c>
      <c r="I67" s="363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</row>
    <row r="68" spans="1:27" ht="15.75" customHeight="1" x14ac:dyDescent="0.45">
      <c r="A68" s="287">
        <v>11732234122</v>
      </c>
      <c r="B68" s="55" t="s">
        <v>440</v>
      </c>
      <c r="C68" s="55" t="s">
        <v>441</v>
      </c>
      <c r="D68" s="57">
        <v>100</v>
      </c>
      <c r="E68" s="57">
        <v>56</v>
      </c>
      <c r="F68" s="519"/>
      <c r="G68" s="57">
        <f t="shared" si="0"/>
        <v>0</v>
      </c>
      <c r="H68" s="60">
        <f t="shared" si="1"/>
        <v>6.4285714285714288</v>
      </c>
      <c r="I68" s="363"/>
    </row>
    <row r="69" spans="1:27" ht="15.75" customHeight="1" x14ac:dyDescent="0.45">
      <c r="A69" s="287">
        <v>11820788122</v>
      </c>
      <c r="B69" s="363" t="s">
        <v>442</v>
      </c>
      <c r="C69" s="363" t="s">
        <v>443</v>
      </c>
      <c r="D69" s="57">
        <v>100</v>
      </c>
      <c r="E69" s="57">
        <v>56</v>
      </c>
      <c r="F69" s="519"/>
      <c r="G69" s="57">
        <f t="shared" si="0"/>
        <v>0</v>
      </c>
      <c r="H69" s="60">
        <f t="shared" si="1"/>
        <v>6.4285714285714288</v>
      </c>
      <c r="I69" s="363"/>
    </row>
    <row r="70" spans="1:27" ht="15.75" customHeight="1" x14ac:dyDescent="0.45">
      <c r="A70" s="287">
        <v>12149133122</v>
      </c>
      <c r="B70" s="363" t="s">
        <v>444</v>
      </c>
      <c r="C70" s="363" t="s">
        <v>445</v>
      </c>
      <c r="D70" s="57">
        <v>100</v>
      </c>
      <c r="E70" s="57">
        <v>56</v>
      </c>
      <c r="F70" s="519"/>
      <c r="G70" s="57">
        <f t="shared" si="0"/>
        <v>0</v>
      </c>
      <c r="H70" s="60">
        <f t="shared" si="1"/>
        <v>6.4285714285714288</v>
      </c>
      <c r="I70" s="363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  <c r="AA70" s="97"/>
    </row>
    <row r="71" spans="1:27" ht="15.75" customHeight="1" x14ac:dyDescent="0.45">
      <c r="A71" s="287">
        <v>12133113122</v>
      </c>
      <c r="B71" s="363" t="s">
        <v>446</v>
      </c>
      <c r="C71" s="363" t="s">
        <v>447</v>
      </c>
      <c r="D71" s="57">
        <v>100</v>
      </c>
      <c r="E71" s="57">
        <v>56</v>
      </c>
      <c r="F71" s="519"/>
      <c r="G71" s="57">
        <f t="shared" si="0"/>
        <v>0</v>
      </c>
      <c r="H71" s="60">
        <f t="shared" si="1"/>
        <v>6.4285714285714288</v>
      </c>
      <c r="I71" s="363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97"/>
    </row>
    <row r="72" spans="1:27" ht="15.75" customHeight="1" x14ac:dyDescent="0.45">
      <c r="A72" s="287">
        <v>8860173190</v>
      </c>
      <c r="B72" s="363" t="s">
        <v>448</v>
      </c>
      <c r="C72" s="363" t="s">
        <v>449</v>
      </c>
      <c r="D72" s="57">
        <v>100</v>
      </c>
      <c r="E72" s="57">
        <v>21</v>
      </c>
      <c r="F72" s="519"/>
      <c r="G72" s="57">
        <f t="shared" si="0"/>
        <v>0</v>
      </c>
      <c r="H72" s="60">
        <f t="shared" si="1"/>
        <v>17.142857142857142</v>
      </c>
      <c r="I72" s="363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  <c r="AA72" s="97"/>
    </row>
    <row r="73" spans="1:27" ht="15.75" customHeight="1" x14ac:dyDescent="0.45">
      <c r="A73" s="287">
        <v>9318712190</v>
      </c>
      <c r="B73" s="55" t="s">
        <v>450</v>
      </c>
      <c r="C73" s="55" t="s">
        <v>451</v>
      </c>
      <c r="D73" s="57">
        <v>100</v>
      </c>
      <c r="E73" s="57">
        <v>28</v>
      </c>
      <c r="F73" s="519"/>
      <c r="G73" s="57">
        <f t="shared" si="0"/>
        <v>0</v>
      </c>
      <c r="H73" s="60">
        <f t="shared" si="1"/>
        <v>12.857142857142858</v>
      </c>
      <c r="I73" s="363"/>
    </row>
    <row r="74" spans="1:27" ht="15.75" customHeight="1" x14ac:dyDescent="0.45">
      <c r="A74" s="287">
        <v>5144671190</v>
      </c>
      <c r="B74" s="363" t="s">
        <v>452</v>
      </c>
      <c r="C74" s="363" t="s">
        <v>453</v>
      </c>
      <c r="D74" s="57">
        <v>100</v>
      </c>
      <c r="E74" s="57">
        <v>84</v>
      </c>
      <c r="F74" s="519"/>
      <c r="G74" s="57">
        <f t="shared" ref="G74:G102" si="2">F74/D74</f>
        <v>0</v>
      </c>
      <c r="H74" s="60">
        <f t="shared" ref="H74:H102" si="3">(360/E74)</f>
        <v>4.2857142857142856</v>
      </c>
      <c r="I74" s="363"/>
    </row>
    <row r="75" spans="1:27" ht="15.75" customHeight="1" x14ac:dyDescent="0.45">
      <c r="A75" s="287">
        <v>9315268190</v>
      </c>
      <c r="B75" s="55" t="s">
        <v>454</v>
      </c>
      <c r="C75" s="363" t="s">
        <v>455</v>
      </c>
      <c r="D75" s="57">
        <v>100</v>
      </c>
      <c r="E75" s="57">
        <v>56</v>
      </c>
      <c r="F75" s="519"/>
      <c r="G75" s="57">
        <f t="shared" si="2"/>
        <v>0</v>
      </c>
      <c r="H75" s="60">
        <f t="shared" si="3"/>
        <v>6.4285714285714288</v>
      </c>
      <c r="I75" s="363"/>
    </row>
    <row r="76" spans="1:27" ht="15.75" customHeight="1" x14ac:dyDescent="0.45">
      <c r="A76" s="287">
        <v>8836744190</v>
      </c>
      <c r="B76" s="363" t="s">
        <v>456</v>
      </c>
      <c r="C76" s="363" t="s">
        <v>457</v>
      </c>
      <c r="D76" s="57">
        <v>100</v>
      </c>
      <c r="E76" s="57"/>
      <c r="F76" s="519"/>
      <c r="G76" s="57">
        <f t="shared" si="2"/>
        <v>0</v>
      </c>
      <c r="H76" s="60" t="e">
        <f t="shared" si="3"/>
        <v>#DIV/0!</v>
      </c>
      <c r="I76" s="363"/>
    </row>
    <row r="77" spans="1:27" ht="15.75" customHeight="1" x14ac:dyDescent="0.45">
      <c r="A77" s="287">
        <v>7092539190</v>
      </c>
      <c r="B77" s="55" t="s">
        <v>458</v>
      </c>
      <c r="C77" s="55" t="s">
        <v>459</v>
      </c>
      <c r="D77" s="57">
        <v>100</v>
      </c>
      <c r="E77" s="57">
        <v>56</v>
      </c>
      <c r="F77" s="519"/>
      <c r="G77" s="57">
        <f t="shared" si="2"/>
        <v>0</v>
      </c>
      <c r="H77" s="60">
        <f t="shared" si="3"/>
        <v>6.4285714285714288</v>
      </c>
      <c r="I77" s="363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  <c r="AA77" s="97"/>
    </row>
    <row r="78" spans="1:27" ht="15.75" customHeight="1" x14ac:dyDescent="0.45">
      <c r="A78" s="287">
        <v>9007636190</v>
      </c>
      <c r="B78" s="363" t="s">
        <v>460</v>
      </c>
      <c r="C78" s="363" t="s">
        <v>461</v>
      </c>
      <c r="D78" s="57">
        <v>100</v>
      </c>
      <c r="E78" s="57">
        <v>42</v>
      </c>
      <c r="F78" s="519"/>
      <c r="G78" s="57">
        <f t="shared" si="2"/>
        <v>0</v>
      </c>
      <c r="H78" s="60">
        <f t="shared" si="3"/>
        <v>8.5714285714285712</v>
      </c>
      <c r="I78" s="363"/>
    </row>
    <row r="79" spans="1:27" ht="15.75" customHeight="1" x14ac:dyDescent="0.45">
      <c r="A79" s="287">
        <v>3203093190</v>
      </c>
      <c r="B79" s="55" t="s">
        <v>462</v>
      </c>
      <c r="C79" s="55" t="s">
        <v>463</v>
      </c>
      <c r="D79" s="57">
        <v>100</v>
      </c>
      <c r="E79" s="57">
        <v>56</v>
      </c>
      <c r="F79" s="519"/>
      <c r="G79" s="57">
        <f t="shared" si="2"/>
        <v>0</v>
      </c>
      <c r="H79" s="60">
        <f t="shared" si="3"/>
        <v>6.4285714285714288</v>
      </c>
      <c r="I79" s="363"/>
    </row>
    <row r="80" spans="1:27" ht="15.75" customHeight="1" x14ac:dyDescent="0.45">
      <c r="A80" s="287">
        <v>9005757190</v>
      </c>
      <c r="B80" s="363" t="s">
        <v>464</v>
      </c>
      <c r="C80" s="55" t="s">
        <v>465</v>
      </c>
      <c r="D80" s="57">
        <v>100</v>
      </c>
      <c r="E80" s="57">
        <v>56</v>
      </c>
      <c r="F80" s="519"/>
      <c r="G80" s="57">
        <f t="shared" si="2"/>
        <v>0</v>
      </c>
      <c r="H80" s="60">
        <f t="shared" si="3"/>
        <v>6.4285714285714288</v>
      </c>
      <c r="I80" s="363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  <c r="AA80" s="97"/>
    </row>
    <row r="81" spans="1:27" ht="15.75" customHeight="1" x14ac:dyDescent="0.45">
      <c r="A81" s="287">
        <v>8928380190</v>
      </c>
      <c r="B81" s="55" t="s">
        <v>466</v>
      </c>
      <c r="C81" s="55" t="s">
        <v>467</v>
      </c>
      <c r="D81" s="57">
        <v>100</v>
      </c>
      <c r="E81" s="57">
        <v>56</v>
      </c>
      <c r="F81" s="519"/>
      <c r="G81" s="57">
        <f t="shared" si="2"/>
        <v>0</v>
      </c>
      <c r="H81" s="60">
        <f t="shared" si="3"/>
        <v>6.4285714285714288</v>
      </c>
      <c r="I81" s="363"/>
    </row>
    <row r="82" spans="1:27" ht="15.75" customHeight="1" x14ac:dyDescent="0.45">
      <c r="A82" s="287">
        <v>4618793190</v>
      </c>
      <c r="B82" s="55" t="s">
        <v>468</v>
      </c>
      <c r="C82" s="55" t="s">
        <v>469</v>
      </c>
      <c r="D82" s="57">
        <v>100</v>
      </c>
      <c r="E82" s="57">
        <v>84</v>
      </c>
      <c r="F82" s="519"/>
      <c r="G82" s="57">
        <f t="shared" si="2"/>
        <v>0</v>
      </c>
      <c r="H82" s="60">
        <f t="shared" si="3"/>
        <v>4.2857142857142856</v>
      </c>
      <c r="I82" s="363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  <c r="AA82" s="97"/>
    </row>
    <row r="83" spans="1:27" ht="15.75" customHeight="1" x14ac:dyDescent="0.45">
      <c r="A83" s="287">
        <v>4618831190</v>
      </c>
      <c r="B83" s="55" t="s">
        <v>470</v>
      </c>
      <c r="C83" s="55" t="s">
        <v>471</v>
      </c>
      <c r="D83" s="57">
        <v>100</v>
      </c>
      <c r="E83" s="57">
        <v>84</v>
      </c>
      <c r="F83" s="519"/>
      <c r="G83" s="57">
        <f t="shared" si="2"/>
        <v>0</v>
      </c>
      <c r="H83" s="60">
        <f t="shared" si="3"/>
        <v>4.2857142857142856</v>
      </c>
      <c r="I83" s="363"/>
    </row>
    <row r="84" spans="1:27" ht="15.75" customHeight="1" x14ac:dyDescent="0.45">
      <c r="A84" s="287">
        <v>9345272190</v>
      </c>
      <c r="B84" s="363" t="s">
        <v>472</v>
      </c>
      <c r="C84" s="363" t="s">
        <v>473</v>
      </c>
      <c r="D84" s="57">
        <v>200</v>
      </c>
      <c r="E84" s="57">
        <v>56</v>
      </c>
      <c r="F84" s="519"/>
      <c r="G84" s="57">
        <f t="shared" si="2"/>
        <v>0</v>
      </c>
      <c r="H84" s="60">
        <f t="shared" si="3"/>
        <v>6.4285714285714288</v>
      </c>
      <c r="I84" s="363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  <c r="AA84" s="97"/>
    </row>
    <row r="85" spans="1:27" ht="15.75" customHeight="1" x14ac:dyDescent="0.45">
      <c r="A85" s="287">
        <v>7126972190</v>
      </c>
      <c r="B85" s="363" t="s">
        <v>474</v>
      </c>
      <c r="C85" s="363" t="s">
        <v>475</v>
      </c>
      <c r="D85" s="57">
        <v>100</v>
      </c>
      <c r="E85" s="57">
        <v>49</v>
      </c>
      <c r="F85" s="519"/>
      <c r="G85" s="57">
        <f t="shared" si="2"/>
        <v>0</v>
      </c>
      <c r="H85" s="60">
        <f t="shared" si="3"/>
        <v>7.3469387755102042</v>
      </c>
      <c r="I85" s="363"/>
    </row>
    <row r="86" spans="1:27" ht="15.75" customHeight="1" x14ac:dyDescent="0.45">
      <c r="A86" s="287">
        <v>5109523190</v>
      </c>
      <c r="B86" s="363" t="s">
        <v>476</v>
      </c>
      <c r="C86" s="363" t="s">
        <v>477</v>
      </c>
      <c r="D86" s="57">
        <v>100</v>
      </c>
      <c r="E86" s="57">
        <v>84</v>
      </c>
      <c r="F86" s="519"/>
      <c r="G86" s="57">
        <f t="shared" si="2"/>
        <v>0</v>
      </c>
      <c r="H86" s="60">
        <f t="shared" si="3"/>
        <v>4.2857142857142856</v>
      </c>
      <c r="I86" s="363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</row>
    <row r="87" spans="1:27" ht="15.75" customHeight="1" x14ac:dyDescent="0.45">
      <c r="A87" s="287">
        <v>3052001190</v>
      </c>
      <c r="B87" s="363" t="s">
        <v>478</v>
      </c>
      <c r="C87" s="363" t="s">
        <v>479</v>
      </c>
      <c r="D87" s="57">
        <v>100</v>
      </c>
      <c r="E87" s="57">
        <v>49</v>
      </c>
      <c r="F87" s="519"/>
      <c r="G87" s="57">
        <f t="shared" si="2"/>
        <v>0</v>
      </c>
      <c r="H87" s="60">
        <f t="shared" si="3"/>
        <v>7.3469387755102042</v>
      </c>
      <c r="I87" s="363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</row>
    <row r="88" spans="1:27" ht="15.75" customHeight="1" x14ac:dyDescent="0.45">
      <c r="A88" s="287">
        <v>9014977190</v>
      </c>
      <c r="B88" s="363" t="s">
        <v>480</v>
      </c>
      <c r="C88" s="363" t="s">
        <v>481</v>
      </c>
      <c r="D88" s="57">
        <v>100</v>
      </c>
      <c r="E88" s="57">
        <v>28</v>
      </c>
      <c r="F88" s="519"/>
      <c r="G88" s="57">
        <f t="shared" si="2"/>
        <v>0</v>
      </c>
      <c r="H88" s="60">
        <f t="shared" si="3"/>
        <v>12.857142857142858</v>
      </c>
      <c r="I88" s="363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</row>
    <row r="89" spans="1:27" ht="15.75" customHeight="1" x14ac:dyDescent="0.45">
      <c r="A89" s="287">
        <v>9007725190</v>
      </c>
      <c r="B89" s="55" t="s">
        <v>482</v>
      </c>
      <c r="C89" s="55" t="s">
        <v>483</v>
      </c>
      <c r="D89" s="57">
        <v>200</v>
      </c>
      <c r="E89" s="57">
        <v>56</v>
      </c>
      <c r="F89" s="519"/>
      <c r="G89" s="57">
        <f t="shared" si="2"/>
        <v>0</v>
      </c>
      <c r="H89" s="60">
        <f t="shared" si="3"/>
        <v>6.4285714285714288</v>
      </c>
      <c r="I89" s="363"/>
    </row>
    <row r="90" spans="1:27" ht="15.75" customHeight="1" x14ac:dyDescent="0.45">
      <c r="A90" s="287">
        <v>9007741190</v>
      </c>
      <c r="B90" s="55" t="s">
        <v>484</v>
      </c>
      <c r="C90" s="55" t="s">
        <v>485</v>
      </c>
      <c r="D90" s="57">
        <v>200</v>
      </c>
      <c r="E90" s="57">
        <v>56</v>
      </c>
      <c r="F90" s="519"/>
      <c r="G90" s="57">
        <f t="shared" si="2"/>
        <v>0</v>
      </c>
      <c r="H90" s="60">
        <f t="shared" si="3"/>
        <v>6.4285714285714288</v>
      </c>
      <c r="I90" s="363"/>
    </row>
    <row r="91" spans="1:27" ht="15.75" customHeight="1" x14ac:dyDescent="0.45">
      <c r="A91" s="287">
        <v>8946353190</v>
      </c>
      <c r="B91" s="55" t="s">
        <v>486</v>
      </c>
      <c r="C91" s="55" t="s">
        <v>487</v>
      </c>
      <c r="D91" s="57">
        <v>100</v>
      </c>
      <c r="E91" s="57">
        <v>56</v>
      </c>
      <c r="F91" s="519"/>
      <c r="G91" s="57">
        <f t="shared" si="2"/>
        <v>0</v>
      </c>
      <c r="H91" s="60">
        <f t="shared" si="3"/>
        <v>6.4285714285714288</v>
      </c>
      <c r="I91" s="363"/>
    </row>
    <row r="92" spans="1:27" ht="15.75" customHeight="1" x14ac:dyDescent="0.45">
      <c r="A92" s="287">
        <v>8906556190</v>
      </c>
      <c r="B92" s="55" t="s">
        <v>488</v>
      </c>
      <c r="C92" s="55" t="s">
        <v>489</v>
      </c>
      <c r="D92" s="57">
        <v>100</v>
      </c>
      <c r="E92" s="57">
        <v>28</v>
      </c>
      <c r="F92" s="519"/>
      <c r="G92" s="57">
        <f t="shared" si="2"/>
        <v>0</v>
      </c>
      <c r="H92" s="60">
        <f t="shared" si="3"/>
        <v>12.857142857142858</v>
      </c>
      <c r="I92" s="363"/>
    </row>
    <row r="93" spans="1:27" ht="15.75" customHeight="1" x14ac:dyDescent="0.45">
      <c r="A93" s="287">
        <v>8791686190</v>
      </c>
      <c r="B93" s="55" t="s">
        <v>490</v>
      </c>
      <c r="C93" s="55" t="s">
        <v>491</v>
      </c>
      <c r="D93" s="57">
        <v>100</v>
      </c>
      <c r="E93" s="57">
        <v>56</v>
      </c>
      <c r="F93" s="519"/>
      <c r="G93" s="57">
        <f t="shared" si="2"/>
        <v>0</v>
      </c>
      <c r="H93" s="60">
        <f t="shared" si="3"/>
        <v>6.4285714285714288</v>
      </c>
      <c r="I93" s="363"/>
    </row>
    <row r="94" spans="1:27" ht="15.75" customHeight="1" x14ac:dyDescent="0.45">
      <c r="A94" s="287">
        <v>5802571190</v>
      </c>
      <c r="B94" s="363" t="s">
        <v>492</v>
      </c>
      <c r="C94" s="55" t="s">
        <v>493</v>
      </c>
      <c r="D94" s="57">
        <v>100</v>
      </c>
      <c r="E94" s="57">
        <v>84</v>
      </c>
      <c r="F94" s="519"/>
      <c r="G94" s="57">
        <f t="shared" si="2"/>
        <v>0</v>
      </c>
      <c r="H94" s="60">
        <f t="shared" si="3"/>
        <v>4.2857142857142856</v>
      </c>
      <c r="I94" s="363"/>
    </row>
    <row r="95" spans="1:27" ht="15.75" customHeight="1" x14ac:dyDescent="0.45">
      <c r="A95" s="287">
        <v>4618815190</v>
      </c>
      <c r="B95" s="55" t="s">
        <v>494</v>
      </c>
      <c r="C95" s="55" t="s">
        <v>495</v>
      </c>
      <c r="D95" s="57">
        <v>100</v>
      </c>
      <c r="E95" s="57">
        <v>84</v>
      </c>
      <c r="F95" s="519"/>
      <c r="G95" s="57">
        <f t="shared" si="2"/>
        <v>0</v>
      </c>
      <c r="H95" s="60">
        <f t="shared" si="3"/>
        <v>4.2857142857142856</v>
      </c>
      <c r="I95" s="363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  <c r="AA95" s="97"/>
    </row>
    <row r="96" spans="1:27" ht="15.75" customHeight="1" x14ac:dyDescent="0.45">
      <c r="A96" s="287">
        <v>4618858190</v>
      </c>
      <c r="B96" s="55" t="s">
        <v>496</v>
      </c>
      <c r="C96" s="55" t="s">
        <v>497</v>
      </c>
      <c r="D96" s="57">
        <v>100</v>
      </c>
      <c r="E96" s="57">
        <v>84</v>
      </c>
      <c r="F96" s="519"/>
      <c r="G96" s="57">
        <f t="shared" si="2"/>
        <v>0</v>
      </c>
      <c r="H96" s="60">
        <f t="shared" si="3"/>
        <v>4.2857142857142856</v>
      </c>
      <c r="I96" s="363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  <c r="AA96" s="97"/>
    </row>
    <row r="97" spans="1:27" ht="15.75" customHeight="1" x14ac:dyDescent="0.45">
      <c r="A97" s="287">
        <v>5094798190</v>
      </c>
      <c r="B97" s="363" t="s">
        <v>498</v>
      </c>
      <c r="C97" s="363" t="s">
        <v>499</v>
      </c>
      <c r="D97" s="57">
        <v>100</v>
      </c>
      <c r="E97" s="57">
        <v>14</v>
      </c>
      <c r="F97" s="519"/>
      <c r="G97" s="57">
        <f t="shared" si="2"/>
        <v>0</v>
      </c>
      <c r="H97" s="60">
        <f t="shared" si="3"/>
        <v>25.714285714285715</v>
      </c>
      <c r="I97" s="363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  <c r="AA97" s="97"/>
    </row>
    <row r="98" spans="1:27" ht="15.75" customHeight="1" x14ac:dyDescent="0.45">
      <c r="A98" s="287">
        <v>9315322190</v>
      </c>
      <c r="B98" s="55" t="s">
        <v>500</v>
      </c>
      <c r="C98" s="55" t="s">
        <v>501</v>
      </c>
      <c r="D98" s="57">
        <v>200</v>
      </c>
      <c r="E98" s="57">
        <v>28</v>
      </c>
      <c r="F98" s="519"/>
      <c r="G98" s="57">
        <f t="shared" si="2"/>
        <v>0</v>
      </c>
      <c r="H98" s="60">
        <f t="shared" si="3"/>
        <v>12.857142857142858</v>
      </c>
      <c r="I98" s="363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</row>
    <row r="99" spans="1:27" ht="15.75" customHeight="1" x14ac:dyDescent="0.45">
      <c r="A99" s="287">
        <v>9315349190</v>
      </c>
      <c r="B99" s="363" t="s">
        <v>502</v>
      </c>
      <c r="C99" s="363" t="s">
        <v>503</v>
      </c>
      <c r="D99" s="57">
        <v>100</v>
      </c>
      <c r="E99" s="57">
        <v>28</v>
      </c>
      <c r="F99" s="519"/>
      <c r="G99" s="57">
        <f t="shared" si="2"/>
        <v>0</v>
      </c>
      <c r="H99" s="60">
        <f t="shared" si="3"/>
        <v>12.857142857142858</v>
      </c>
      <c r="I99" s="363"/>
    </row>
    <row r="100" spans="1:27" ht="15.75" customHeight="1" x14ac:dyDescent="0.45">
      <c r="A100" s="287">
        <v>8429324190</v>
      </c>
      <c r="B100" s="55" t="s">
        <v>504</v>
      </c>
      <c r="C100" s="55" t="s">
        <v>505</v>
      </c>
      <c r="D100" s="57">
        <v>200</v>
      </c>
      <c r="E100" s="57">
        <v>56</v>
      </c>
      <c r="F100" s="519"/>
      <c r="G100" s="57">
        <f t="shared" si="2"/>
        <v>0</v>
      </c>
      <c r="H100" s="60">
        <f t="shared" si="3"/>
        <v>6.4285714285714288</v>
      </c>
      <c r="I100" s="363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  <c r="AA100" s="97"/>
    </row>
    <row r="101" spans="1:27" ht="15.75" customHeight="1" x14ac:dyDescent="0.45">
      <c r="A101" s="287">
        <v>7212771190</v>
      </c>
      <c r="B101" s="55" t="s">
        <v>506</v>
      </c>
      <c r="C101" s="55" t="s">
        <v>507</v>
      </c>
      <c r="D101" s="57">
        <v>100</v>
      </c>
      <c r="E101" s="57">
        <v>60</v>
      </c>
      <c r="F101" s="519"/>
      <c r="G101" s="57">
        <f t="shared" si="2"/>
        <v>0</v>
      </c>
      <c r="H101" s="60">
        <f t="shared" si="3"/>
        <v>6</v>
      </c>
      <c r="I101" s="363"/>
    </row>
    <row r="102" spans="1:27" ht="15.75" customHeight="1" x14ac:dyDescent="0.45">
      <c r="A102" s="287">
        <v>9038078190</v>
      </c>
      <c r="B102" s="55" t="s">
        <v>508</v>
      </c>
      <c r="C102" s="55" t="s">
        <v>509</v>
      </c>
      <c r="D102" s="57">
        <v>100</v>
      </c>
      <c r="E102" s="57">
        <v>28</v>
      </c>
      <c r="F102" s="519"/>
      <c r="G102" s="57">
        <f t="shared" si="2"/>
        <v>0</v>
      </c>
      <c r="H102" s="60">
        <f t="shared" si="3"/>
        <v>12.857142857142858</v>
      </c>
      <c r="I102" s="363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  <c r="AA102" s="97"/>
    </row>
    <row r="103" spans="1:27" ht="15.75" customHeight="1" x14ac:dyDescent="0.45">
      <c r="A103" s="912" t="s">
        <v>19</v>
      </c>
      <c r="B103" s="912"/>
      <c r="C103" s="912"/>
      <c r="D103" s="912"/>
      <c r="E103" s="912"/>
      <c r="F103" s="521">
        <f>SUM(F9:F102)</f>
        <v>0</v>
      </c>
      <c r="G103" s="521"/>
      <c r="H103" s="522"/>
      <c r="I103" s="523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</row>
    <row r="104" spans="1:27" ht="15.75" customHeight="1" x14ac:dyDescent="0.45">
      <c r="A104" s="378" t="s">
        <v>255</v>
      </c>
      <c r="B104" s="380"/>
      <c r="C104" s="380"/>
      <c r="D104" s="380" t="s">
        <v>183</v>
      </c>
      <c r="E104" s="380" t="s">
        <v>649</v>
      </c>
      <c r="F104" s="382"/>
      <c r="G104" s="379" t="s">
        <v>53</v>
      </c>
      <c r="H104" s="524" t="s">
        <v>52</v>
      </c>
      <c r="I104" s="379" t="s">
        <v>51</v>
      </c>
    </row>
    <row r="105" spans="1:27" ht="15.75" customHeight="1" x14ac:dyDescent="0.45">
      <c r="A105" s="287">
        <v>8959820190</v>
      </c>
      <c r="B105" s="363" t="s">
        <v>510</v>
      </c>
      <c r="C105" s="216" t="s">
        <v>511</v>
      </c>
      <c r="D105" s="57">
        <v>2</v>
      </c>
      <c r="E105" s="57">
        <v>28</v>
      </c>
      <c r="F105" s="57"/>
      <c r="G105" s="57"/>
      <c r="H105" s="60">
        <f>(360/E105)/D105</f>
        <v>6.4285714285714288</v>
      </c>
      <c r="I105" s="363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</row>
    <row r="106" spans="1:27" ht="15.75" customHeight="1" x14ac:dyDescent="0.45">
      <c r="A106" s="287">
        <v>9227261190</v>
      </c>
      <c r="B106" s="55" t="s">
        <v>512</v>
      </c>
      <c r="C106" s="216" t="s">
        <v>511</v>
      </c>
      <c r="D106" s="57">
        <v>2</v>
      </c>
      <c r="E106" s="57">
        <v>84</v>
      </c>
      <c r="F106" s="57"/>
      <c r="G106" s="57"/>
      <c r="H106" s="60">
        <f t="shared" ref="H106:H168" si="4">(360/E106)/D106</f>
        <v>2.1428571428571428</v>
      </c>
      <c r="I106" s="363"/>
    </row>
    <row r="107" spans="1:27" ht="15.75" customHeight="1" x14ac:dyDescent="0.45">
      <c r="A107" s="287">
        <v>7957203190</v>
      </c>
      <c r="B107" s="363" t="s">
        <v>513</v>
      </c>
      <c r="C107" s="216" t="s">
        <v>511</v>
      </c>
      <c r="D107" s="57">
        <v>2</v>
      </c>
      <c r="E107" s="57">
        <v>28</v>
      </c>
      <c r="F107" s="57"/>
      <c r="G107" s="57"/>
      <c r="H107" s="60">
        <f t="shared" si="4"/>
        <v>6.4285714285714288</v>
      </c>
      <c r="I107" s="363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</row>
    <row r="108" spans="1:27" ht="15.75" customHeight="1" x14ac:dyDescent="0.45">
      <c r="A108" s="287">
        <v>9289291190</v>
      </c>
      <c r="B108" s="363" t="s">
        <v>514</v>
      </c>
      <c r="C108" s="216" t="s">
        <v>511</v>
      </c>
      <c r="D108" s="57">
        <v>2</v>
      </c>
      <c r="E108" s="57">
        <v>42</v>
      </c>
      <c r="F108" s="57"/>
      <c r="G108" s="57"/>
      <c r="H108" s="60">
        <f t="shared" si="4"/>
        <v>4.2857142857142856</v>
      </c>
      <c r="I108" s="363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  <c r="AA108" s="97"/>
    </row>
    <row r="109" spans="1:27" ht="15.75" customHeight="1" x14ac:dyDescent="0.45">
      <c r="A109" s="287">
        <v>9005030190</v>
      </c>
      <c r="B109" s="55" t="s">
        <v>515</v>
      </c>
      <c r="C109" s="216" t="s">
        <v>511</v>
      </c>
      <c r="D109" s="57">
        <v>2</v>
      </c>
      <c r="E109" s="57">
        <v>42</v>
      </c>
      <c r="F109" s="57"/>
      <c r="G109" s="57"/>
      <c r="H109" s="60">
        <f t="shared" si="4"/>
        <v>4.2857142857142856</v>
      </c>
      <c r="I109" s="363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  <c r="AA109" s="97"/>
    </row>
    <row r="110" spans="1:27" ht="15.75" customHeight="1" x14ac:dyDescent="0.45">
      <c r="A110" s="287">
        <v>6472931190</v>
      </c>
      <c r="B110" s="56" t="s">
        <v>516</v>
      </c>
      <c r="C110" s="216" t="s">
        <v>511</v>
      </c>
      <c r="D110" s="57">
        <v>2</v>
      </c>
      <c r="E110" s="57">
        <v>56</v>
      </c>
      <c r="F110" s="57"/>
      <c r="G110" s="57"/>
      <c r="H110" s="60">
        <f t="shared" si="4"/>
        <v>3.2142857142857144</v>
      </c>
      <c r="I110" s="363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  <c r="AA110" s="97"/>
    </row>
    <row r="111" spans="1:27" ht="15.75" customHeight="1" x14ac:dyDescent="0.45">
      <c r="A111" s="287">
        <v>8496641190</v>
      </c>
      <c r="B111" s="363" t="s">
        <v>517</v>
      </c>
      <c r="C111" s="216" t="s">
        <v>511</v>
      </c>
      <c r="D111" s="57">
        <v>2</v>
      </c>
      <c r="E111" s="57">
        <v>84</v>
      </c>
      <c r="F111" s="57"/>
      <c r="G111" s="57"/>
      <c r="H111" s="60">
        <f t="shared" si="4"/>
        <v>2.1428571428571428</v>
      </c>
      <c r="I111" s="363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  <c r="AA111" s="97"/>
    </row>
    <row r="112" spans="1:27" ht="15.75" customHeight="1" x14ac:dyDescent="0.45">
      <c r="A112" s="287">
        <v>11972316122</v>
      </c>
      <c r="B112" s="363" t="s">
        <v>518</v>
      </c>
      <c r="C112" s="216" t="s">
        <v>511</v>
      </c>
      <c r="D112" s="57">
        <v>2</v>
      </c>
      <c r="E112" s="57">
        <v>84</v>
      </c>
      <c r="F112" s="57"/>
      <c r="G112" s="57"/>
      <c r="H112" s="60">
        <f t="shared" si="4"/>
        <v>2.1428571428571428</v>
      </c>
      <c r="I112" s="363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  <c r="AA112" s="97"/>
    </row>
    <row r="113" spans="1:27" ht="15.75" customHeight="1" x14ac:dyDescent="0.45">
      <c r="A113" s="287">
        <v>7030207190</v>
      </c>
      <c r="B113" s="55" t="s">
        <v>519</v>
      </c>
      <c r="C113" s="216" t="s">
        <v>511</v>
      </c>
      <c r="D113" s="57">
        <v>2</v>
      </c>
      <c r="E113" s="57">
        <v>140</v>
      </c>
      <c r="F113" s="57"/>
      <c r="G113" s="57"/>
      <c r="H113" s="60">
        <f t="shared" si="4"/>
        <v>1.2857142857142858</v>
      </c>
      <c r="I113" s="363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</row>
    <row r="114" spans="1:27" ht="15.75" customHeight="1" x14ac:dyDescent="0.45">
      <c r="A114" s="287">
        <v>3045846122</v>
      </c>
      <c r="B114" s="363" t="s">
        <v>520</v>
      </c>
      <c r="C114" s="216" t="s">
        <v>511</v>
      </c>
      <c r="D114" s="57">
        <v>2</v>
      </c>
      <c r="E114" s="57">
        <v>84</v>
      </c>
      <c r="F114" s="57"/>
      <c r="G114" s="57"/>
      <c r="H114" s="60">
        <f t="shared" si="4"/>
        <v>2.1428571428571428</v>
      </c>
      <c r="I114" s="363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  <c r="AA114" s="97"/>
    </row>
    <row r="115" spans="1:27" ht="15.75" customHeight="1" x14ac:dyDescent="0.45">
      <c r="A115" s="287">
        <v>11776215122</v>
      </c>
      <c r="B115" s="363" t="s">
        <v>521</v>
      </c>
      <c r="C115" s="216" t="s">
        <v>511</v>
      </c>
      <c r="D115" s="57">
        <v>2</v>
      </c>
      <c r="E115" s="57">
        <v>56</v>
      </c>
      <c r="F115" s="57"/>
      <c r="G115" s="57"/>
      <c r="H115" s="60">
        <f t="shared" si="4"/>
        <v>3.2142857142857144</v>
      </c>
      <c r="I115" s="363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</row>
    <row r="116" spans="1:27" ht="15.75" customHeight="1" x14ac:dyDescent="0.45">
      <c r="A116" s="287">
        <v>9175130190</v>
      </c>
      <c r="B116" s="363" t="s">
        <v>522</v>
      </c>
      <c r="C116" s="216" t="s">
        <v>511</v>
      </c>
      <c r="D116" s="57">
        <v>2</v>
      </c>
      <c r="E116" s="57">
        <v>42</v>
      </c>
      <c r="F116" s="57"/>
      <c r="G116" s="57"/>
      <c r="H116" s="60">
        <f t="shared" si="4"/>
        <v>4.2857142857142856</v>
      </c>
      <c r="I116" s="363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  <c r="AA116" s="97"/>
    </row>
    <row r="117" spans="1:27" ht="15.75" customHeight="1" x14ac:dyDescent="0.45">
      <c r="A117" s="287">
        <v>11731645322</v>
      </c>
      <c r="B117" s="55" t="s">
        <v>523</v>
      </c>
      <c r="C117" s="216" t="s">
        <v>511</v>
      </c>
      <c r="D117" s="57">
        <v>2</v>
      </c>
      <c r="E117" s="57">
        <v>84</v>
      </c>
      <c r="F117" s="57"/>
      <c r="G117" s="57"/>
      <c r="H117" s="60">
        <f t="shared" si="4"/>
        <v>2.1428571428571428</v>
      </c>
      <c r="I117" s="363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  <c r="AA117" s="97"/>
    </row>
    <row r="118" spans="1:27" ht="15.75" customHeight="1" x14ac:dyDescent="0.45">
      <c r="A118" s="287" t="s">
        <v>524</v>
      </c>
      <c r="B118" s="363" t="s">
        <v>525</v>
      </c>
      <c r="C118" s="216" t="s">
        <v>511</v>
      </c>
      <c r="D118" s="57">
        <v>2</v>
      </c>
      <c r="E118" s="57">
        <v>84</v>
      </c>
      <c r="F118" s="57"/>
      <c r="G118" s="57"/>
      <c r="H118" s="60">
        <f t="shared" si="4"/>
        <v>2.1428571428571428</v>
      </c>
      <c r="I118" s="363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  <c r="AA118" s="97"/>
    </row>
    <row r="119" spans="1:27" ht="15.75" customHeight="1" x14ac:dyDescent="0.45">
      <c r="A119" s="287">
        <v>6687750190</v>
      </c>
      <c r="B119" s="55" t="s">
        <v>526</v>
      </c>
      <c r="C119" s="216" t="s">
        <v>511</v>
      </c>
      <c r="D119" s="57">
        <v>2</v>
      </c>
      <c r="E119" s="57">
        <v>84</v>
      </c>
      <c r="F119" s="57"/>
      <c r="G119" s="57"/>
      <c r="H119" s="60">
        <f t="shared" si="4"/>
        <v>2.1428571428571428</v>
      </c>
      <c r="I119" s="363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  <c r="AA119" s="97"/>
    </row>
    <row r="120" spans="1:27" ht="15.75" customHeight="1" x14ac:dyDescent="0.45">
      <c r="A120" s="287">
        <v>3184919190</v>
      </c>
      <c r="B120" s="363" t="s">
        <v>527</v>
      </c>
      <c r="C120" s="216" t="s">
        <v>511</v>
      </c>
      <c r="D120" s="57">
        <v>2</v>
      </c>
      <c r="E120" s="57">
        <v>28</v>
      </c>
      <c r="F120" s="57"/>
      <c r="G120" s="57"/>
      <c r="H120" s="60">
        <f t="shared" si="4"/>
        <v>6.4285714285714288</v>
      </c>
      <c r="I120" s="363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  <c r="AA120" s="97"/>
    </row>
    <row r="121" spans="1:27" ht="15.75" customHeight="1" x14ac:dyDescent="0.45">
      <c r="A121" s="287">
        <v>11820974322</v>
      </c>
      <c r="B121" s="363" t="s">
        <v>528</v>
      </c>
      <c r="C121" s="216" t="s">
        <v>511</v>
      </c>
      <c r="D121" s="57">
        <v>2</v>
      </c>
      <c r="E121" s="57">
        <v>56</v>
      </c>
      <c r="F121" s="57"/>
      <c r="G121" s="57"/>
      <c r="H121" s="60">
        <f t="shared" si="4"/>
        <v>3.2142857142857144</v>
      </c>
      <c r="I121" s="363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  <c r="AA121" s="97"/>
    </row>
    <row r="122" spans="1:27" ht="15.75" customHeight="1" x14ac:dyDescent="0.45">
      <c r="A122" s="287">
        <v>3000095122</v>
      </c>
      <c r="B122" s="363" t="s">
        <v>529</v>
      </c>
      <c r="C122" s="216" t="s">
        <v>511</v>
      </c>
      <c r="D122" s="57">
        <v>2</v>
      </c>
      <c r="E122" s="57">
        <v>84</v>
      </c>
      <c r="F122" s="57"/>
      <c r="G122" s="57"/>
      <c r="H122" s="60">
        <f t="shared" si="4"/>
        <v>2.1428571428571428</v>
      </c>
      <c r="I122" s="363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  <c r="AA122" s="97"/>
    </row>
    <row r="123" spans="1:27" ht="15.75" customHeight="1" x14ac:dyDescent="0.45">
      <c r="A123" s="287">
        <v>11820907322</v>
      </c>
      <c r="B123" s="363" t="s">
        <v>530</v>
      </c>
      <c r="C123" s="216" t="s">
        <v>511</v>
      </c>
      <c r="D123" s="57">
        <v>2</v>
      </c>
      <c r="E123" s="57">
        <v>56</v>
      </c>
      <c r="F123" s="57"/>
      <c r="G123" s="57"/>
      <c r="H123" s="60">
        <f t="shared" si="4"/>
        <v>3.2142857142857144</v>
      </c>
      <c r="I123" s="363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</row>
    <row r="124" spans="1:27" ht="15.75" customHeight="1" x14ac:dyDescent="0.45">
      <c r="A124" s="287">
        <v>6656048190</v>
      </c>
      <c r="B124" s="56" t="s">
        <v>531</v>
      </c>
      <c r="C124" s="216" t="s">
        <v>511</v>
      </c>
      <c r="D124" s="57">
        <v>2</v>
      </c>
      <c r="E124" s="57">
        <v>31</v>
      </c>
      <c r="F124" s="57"/>
      <c r="G124" s="57"/>
      <c r="H124" s="60">
        <f t="shared" si="4"/>
        <v>5.806451612903226</v>
      </c>
      <c r="I124" s="363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</row>
    <row r="125" spans="1:27" ht="15.75" customHeight="1" x14ac:dyDescent="0.45">
      <c r="A125" s="287">
        <v>3737586190</v>
      </c>
      <c r="B125" s="55" t="s">
        <v>532</v>
      </c>
      <c r="C125" s="216" t="s">
        <v>511</v>
      </c>
      <c r="D125" s="57">
        <v>2</v>
      </c>
      <c r="E125" s="57">
        <v>84</v>
      </c>
      <c r="F125" s="57"/>
      <c r="G125" s="57"/>
      <c r="H125" s="60">
        <f t="shared" si="4"/>
        <v>2.1428571428571428</v>
      </c>
      <c r="I125" s="363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</row>
    <row r="126" spans="1:27" ht="15.75" customHeight="1" x14ac:dyDescent="0.45">
      <c r="A126" s="287">
        <v>7560001190</v>
      </c>
      <c r="B126" s="363" t="s">
        <v>533</v>
      </c>
      <c r="C126" s="216" t="s">
        <v>511</v>
      </c>
      <c r="D126" s="57">
        <v>2</v>
      </c>
      <c r="E126" s="57">
        <v>84</v>
      </c>
      <c r="F126" s="57"/>
      <c r="G126" s="57"/>
      <c r="H126" s="60">
        <f t="shared" si="4"/>
        <v>2.1428571428571428</v>
      </c>
      <c r="I126" s="363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</row>
    <row r="127" spans="1:27" ht="15.75" customHeight="1" x14ac:dyDescent="0.45">
      <c r="A127" s="287">
        <v>4854080200</v>
      </c>
      <c r="B127" s="363" t="s">
        <v>534</v>
      </c>
      <c r="C127" s="216" t="s">
        <v>511</v>
      </c>
      <c r="D127" s="57">
        <v>2</v>
      </c>
      <c r="E127" s="57">
        <v>84</v>
      </c>
      <c r="F127" s="57"/>
      <c r="G127" s="57"/>
      <c r="H127" s="60">
        <f t="shared" si="4"/>
        <v>2.1428571428571428</v>
      </c>
      <c r="I127" s="363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</row>
    <row r="128" spans="1:27" ht="15.75" customHeight="1" x14ac:dyDescent="0.45">
      <c r="A128" s="287">
        <v>8851964190</v>
      </c>
      <c r="B128" s="55" t="s">
        <v>535</v>
      </c>
      <c r="C128" s="216" t="s">
        <v>511</v>
      </c>
      <c r="D128" s="57">
        <v>2</v>
      </c>
      <c r="E128" s="57">
        <v>84</v>
      </c>
      <c r="F128" s="57"/>
      <c r="G128" s="57"/>
      <c r="H128" s="60">
        <f t="shared" si="4"/>
        <v>2.1428571428571428</v>
      </c>
      <c r="I128" s="363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</row>
    <row r="129" spans="1:27" ht="15.75" customHeight="1" x14ac:dyDescent="0.45">
      <c r="A129" s="287">
        <v>9557440190</v>
      </c>
      <c r="B129" s="55" t="s">
        <v>647</v>
      </c>
      <c r="C129" s="216" t="s">
        <v>511</v>
      </c>
      <c r="D129" s="57">
        <v>2</v>
      </c>
      <c r="E129" s="57">
        <v>84</v>
      </c>
      <c r="F129" s="57"/>
      <c r="G129" s="57"/>
      <c r="H129" s="60">
        <f t="shared" si="4"/>
        <v>2.1428571428571428</v>
      </c>
      <c r="I129" s="363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</row>
    <row r="130" spans="1:27" ht="15.75" customHeight="1" x14ac:dyDescent="0.45">
      <c r="A130" s="347">
        <v>9077871190</v>
      </c>
      <c r="B130" s="55" t="s">
        <v>536</v>
      </c>
      <c r="C130" s="216" t="s">
        <v>511</v>
      </c>
      <c r="D130" s="57">
        <v>2</v>
      </c>
      <c r="E130" s="57">
        <v>56</v>
      </c>
      <c r="F130" s="57"/>
      <c r="G130" s="57"/>
      <c r="H130" s="60">
        <f t="shared" si="4"/>
        <v>3.2142857142857144</v>
      </c>
      <c r="I130" s="363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</row>
    <row r="131" spans="1:27" ht="15.75" customHeight="1" x14ac:dyDescent="0.45">
      <c r="A131" s="287">
        <v>9043292190</v>
      </c>
      <c r="B131" s="55" t="s">
        <v>537</v>
      </c>
      <c r="C131" s="216" t="s">
        <v>511</v>
      </c>
      <c r="D131" s="57">
        <v>2</v>
      </c>
      <c r="E131" s="57">
        <v>84</v>
      </c>
      <c r="F131" s="57"/>
      <c r="G131" s="57"/>
      <c r="H131" s="60">
        <f t="shared" si="4"/>
        <v>2.1428571428571428</v>
      </c>
      <c r="I131" s="363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</row>
    <row r="132" spans="1:27" ht="15.75" customHeight="1" x14ac:dyDescent="0.45">
      <c r="A132" s="287" t="s">
        <v>538</v>
      </c>
      <c r="B132" s="363" t="s">
        <v>539</v>
      </c>
      <c r="C132" s="216" t="s">
        <v>511</v>
      </c>
      <c r="D132" s="57">
        <v>2</v>
      </c>
      <c r="E132" s="57">
        <v>56</v>
      </c>
      <c r="F132" s="57"/>
      <c r="G132" s="57"/>
      <c r="H132" s="60">
        <f t="shared" si="4"/>
        <v>3.2142857142857144</v>
      </c>
      <c r="I132" s="363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</row>
    <row r="133" spans="1:27" ht="15.75" customHeight="1" x14ac:dyDescent="0.45">
      <c r="A133" s="287">
        <v>9013296190</v>
      </c>
      <c r="B133" s="363" t="s">
        <v>540</v>
      </c>
      <c r="C133" s="216" t="s">
        <v>511</v>
      </c>
      <c r="D133" s="57">
        <v>2</v>
      </c>
      <c r="E133" s="57">
        <v>84</v>
      </c>
      <c r="F133" s="57"/>
      <c r="G133" s="57"/>
      <c r="H133" s="60">
        <f t="shared" si="4"/>
        <v>2.1428571428571428</v>
      </c>
      <c r="I133" s="363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</row>
    <row r="134" spans="1:27" ht="15.75" customHeight="1" x14ac:dyDescent="0.45">
      <c r="A134" s="287">
        <v>3302652190</v>
      </c>
      <c r="B134" s="55" t="s">
        <v>541</v>
      </c>
      <c r="C134" s="216" t="s">
        <v>511</v>
      </c>
      <c r="D134" s="57">
        <v>2</v>
      </c>
      <c r="E134" s="57">
        <v>84</v>
      </c>
      <c r="F134" s="57"/>
      <c r="G134" s="57"/>
      <c r="H134" s="60">
        <f t="shared" si="4"/>
        <v>2.1428571428571428</v>
      </c>
      <c r="I134" s="363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</row>
    <row r="135" spans="1:27" ht="15.75" customHeight="1" x14ac:dyDescent="0.45">
      <c r="A135" s="287" t="s">
        <v>542</v>
      </c>
      <c r="B135" s="363" t="s">
        <v>543</v>
      </c>
      <c r="C135" s="216" t="s">
        <v>511</v>
      </c>
      <c r="D135" s="57">
        <v>2</v>
      </c>
      <c r="E135" s="57">
        <v>56</v>
      </c>
      <c r="F135" s="57"/>
      <c r="G135" s="57"/>
      <c r="H135" s="60">
        <f t="shared" si="4"/>
        <v>3.2142857142857144</v>
      </c>
      <c r="I135" s="363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</row>
    <row r="136" spans="1:27" ht="15.75" customHeight="1" x14ac:dyDescent="0.45">
      <c r="A136" s="287" t="s">
        <v>544</v>
      </c>
      <c r="B136" s="363" t="s">
        <v>545</v>
      </c>
      <c r="C136" s="216" t="s">
        <v>511</v>
      </c>
      <c r="D136" s="57">
        <v>2</v>
      </c>
      <c r="E136" s="57">
        <v>28</v>
      </c>
      <c r="F136" s="57"/>
      <c r="G136" s="57"/>
      <c r="H136" s="60">
        <f t="shared" si="4"/>
        <v>6.4285714285714288</v>
      </c>
      <c r="I136" s="363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</row>
    <row r="137" spans="1:27" ht="15.75" customHeight="1" x14ac:dyDescent="0.45">
      <c r="A137" s="287">
        <v>11930427122</v>
      </c>
      <c r="B137" s="55" t="s">
        <v>546</v>
      </c>
      <c r="C137" s="216" t="s">
        <v>511</v>
      </c>
      <c r="D137" s="57">
        <v>2</v>
      </c>
      <c r="E137" s="57">
        <v>84</v>
      </c>
      <c r="F137" s="57"/>
      <c r="G137" s="57"/>
      <c r="H137" s="60">
        <f t="shared" si="4"/>
        <v>2.1428571428571428</v>
      </c>
      <c r="I137" s="363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</row>
    <row r="138" spans="1:27" ht="15.75" customHeight="1" x14ac:dyDescent="0.45">
      <c r="A138" s="287">
        <v>7475969190</v>
      </c>
      <c r="B138" s="363" t="s">
        <v>547</v>
      </c>
      <c r="C138" s="216" t="s">
        <v>511</v>
      </c>
      <c r="D138" s="57">
        <v>2</v>
      </c>
      <c r="E138" s="57">
        <v>31</v>
      </c>
      <c r="F138" s="57"/>
      <c r="G138" s="57"/>
      <c r="H138" s="60">
        <f t="shared" si="4"/>
        <v>5.806451612903226</v>
      </c>
      <c r="I138" s="363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</row>
    <row r="139" spans="1:27" ht="15.75" customHeight="1" x14ac:dyDescent="0.45">
      <c r="A139" s="287">
        <v>7574762190</v>
      </c>
      <c r="B139" s="363" t="s">
        <v>548</v>
      </c>
      <c r="C139" s="216" t="s">
        <v>511</v>
      </c>
      <c r="D139" s="57">
        <v>2</v>
      </c>
      <c r="E139" s="57">
        <v>84</v>
      </c>
      <c r="F139" s="57"/>
      <c r="G139" s="57"/>
      <c r="H139" s="60">
        <f t="shared" si="4"/>
        <v>2.1428571428571428</v>
      </c>
      <c r="I139" s="363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</row>
    <row r="140" spans="1:27" ht="15.75" customHeight="1" x14ac:dyDescent="0.45">
      <c r="A140" s="287">
        <v>5109469190</v>
      </c>
      <c r="B140" s="55" t="s">
        <v>549</v>
      </c>
      <c r="C140" s="216" t="s">
        <v>511</v>
      </c>
      <c r="D140" s="57">
        <v>2</v>
      </c>
      <c r="E140" s="57">
        <v>84</v>
      </c>
      <c r="F140" s="57"/>
      <c r="G140" s="57"/>
      <c r="H140" s="60">
        <f t="shared" si="4"/>
        <v>2.1428571428571428</v>
      </c>
      <c r="I140" s="363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</row>
    <row r="141" spans="1:27" ht="15.75" customHeight="1" x14ac:dyDescent="0.45">
      <c r="A141" s="287">
        <v>12017504122</v>
      </c>
      <c r="B141" s="55" t="s">
        <v>550</v>
      </c>
      <c r="C141" s="216" t="s">
        <v>511</v>
      </c>
      <c r="D141" s="57">
        <v>2</v>
      </c>
      <c r="E141" s="57">
        <v>84</v>
      </c>
      <c r="F141" s="57"/>
      <c r="G141" s="57"/>
      <c r="H141" s="60">
        <f t="shared" si="4"/>
        <v>2.1428571428571428</v>
      </c>
      <c r="I141" s="363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</row>
    <row r="142" spans="1:27" ht="15.75" customHeight="1" x14ac:dyDescent="0.45">
      <c r="A142" s="287">
        <v>9557423190</v>
      </c>
      <c r="B142" s="56" t="s">
        <v>551</v>
      </c>
      <c r="C142" s="216" t="s">
        <v>511</v>
      </c>
      <c r="D142" s="57">
        <v>2</v>
      </c>
      <c r="E142" s="57">
        <v>84</v>
      </c>
      <c r="F142" s="57"/>
      <c r="G142" s="57"/>
      <c r="H142" s="60">
        <f t="shared" si="4"/>
        <v>2.1428571428571428</v>
      </c>
      <c r="I142" s="363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</row>
    <row r="143" spans="1:27" ht="15.75" customHeight="1" x14ac:dyDescent="0.45">
      <c r="A143" s="287">
        <v>11820893122</v>
      </c>
      <c r="B143" s="363" t="s">
        <v>552</v>
      </c>
      <c r="C143" s="216" t="s">
        <v>511</v>
      </c>
      <c r="D143" s="57">
        <v>2</v>
      </c>
      <c r="E143" s="57">
        <v>84</v>
      </c>
      <c r="F143" s="57"/>
      <c r="G143" s="57"/>
      <c r="H143" s="60">
        <f t="shared" si="4"/>
        <v>2.1428571428571428</v>
      </c>
      <c r="I143" s="363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</row>
    <row r="144" spans="1:27" ht="15.75" customHeight="1" x14ac:dyDescent="0.45">
      <c r="A144" s="287">
        <v>11972111122</v>
      </c>
      <c r="B144" s="363" t="s">
        <v>553</v>
      </c>
      <c r="C144" s="216" t="s">
        <v>511</v>
      </c>
      <c r="D144" s="57">
        <v>2</v>
      </c>
      <c r="E144" s="57">
        <v>84</v>
      </c>
      <c r="F144" s="57"/>
      <c r="G144" s="57"/>
      <c r="H144" s="60">
        <f t="shared" si="4"/>
        <v>2.1428571428571428</v>
      </c>
      <c r="I144" s="363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</row>
    <row r="145" spans="1:27" ht="15.75" customHeight="1" x14ac:dyDescent="0.45">
      <c r="A145" s="287">
        <v>12133121122</v>
      </c>
      <c r="B145" s="363" t="s">
        <v>554</v>
      </c>
      <c r="C145" s="216" t="s">
        <v>511</v>
      </c>
      <c r="D145" s="57">
        <v>2</v>
      </c>
      <c r="E145" s="57">
        <v>42</v>
      </c>
      <c r="F145" s="57"/>
      <c r="G145" s="57"/>
      <c r="H145" s="60">
        <f t="shared" si="4"/>
        <v>4.2857142857142856</v>
      </c>
      <c r="I145" s="363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</row>
    <row r="146" spans="1:27" ht="15.75" customHeight="1" x14ac:dyDescent="0.45">
      <c r="A146" s="287">
        <v>4854101200</v>
      </c>
      <c r="B146" s="363" t="s">
        <v>555</v>
      </c>
      <c r="C146" s="216" t="s">
        <v>511</v>
      </c>
      <c r="D146" s="57">
        <v>2</v>
      </c>
      <c r="E146" s="57">
        <v>84</v>
      </c>
      <c r="F146" s="57"/>
      <c r="G146" s="57"/>
      <c r="H146" s="60">
        <f t="shared" si="4"/>
        <v>2.1428571428571428</v>
      </c>
      <c r="I146" s="363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</row>
    <row r="147" spans="1:27" ht="15.75" customHeight="1" x14ac:dyDescent="0.45">
      <c r="A147" s="287">
        <v>5144701190</v>
      </c>
      <c r="B147" s="363" t="s">
        <v>556</v>
      </c>
      <c r="C147" s="216" t="s">
        <v>511</v>
      </c>
      <c r="D147" s="57">
        <v>2</v>
      </c>
      <c r="E147" s="57">
        <v>28</v>
      </c>
      <c r="F147" s="57"/>
      <c r="G147" s="57"/>
      <c r="H147" s="60">
        <f t="shared" si="4"/>
        <v>6.4285714285714288</v>
      </c>
      <c r="I147" s="363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</row>
    <row r="148" spans="1:27" ht="15.75" customHeight="1" x14ac:dyDescent="0.45">
      <c r="A148" s="287">
        <v>9315292190</v>
      </c>
      <c r="B148" s="363" t="s">
        <v>557</v>
      </c>
      <c r="C148" s="216" t="s">
        <v>511</v>
      </c>
      <c r="D148" s="57">
        <v>2</v>
      </c>
      <c r="E148" s="57">
        <v>84</v>
      </c>
      <c r="F148" s="57"/>
      <c r="G148" s="57"/>
      <c r="H148" s="60">
        <f t="shared" si="4"/>
        <v>2.1428571428571428</v>
      </c>
      <c r="I148" s="363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</row>
    <row r="149" spans="1:27" ht="15.75" customHeight="1" x14ac:dyDescent="0.45">
      <c r="A149" s="287">
        <v>9315276190</v>
      </c>
      <c r="B149" s="55" t="s">
        <v>558</v>
      </c>
      <c r="C149" s="216" t="s">
        <v>511</v>
      </c>
      <c r="D149" s="57">
        <v>2</v>
      </c>
      <c r="E149" s="57"/>
      <c r="F149" s="57"/>
      <c r="G149" s="57"/>
      <c r="H149" s="60" t="e">
        <f t="shared" si="4"/>
        <v>#DIV/0!</v>
      </c>
      <c r="I149" s="363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</row>
    <row r="150" spans="1:27" ht="15.75" customHeight="1" x14ac:dyDescent="0.45">
      <c r="A150" s="287">
        <v>7092547190</v>
      </c>
      <c r="B150" s="55" t="s">
        <v>559</v>
      </c>
      <c r="C150" s="216" t="s">
        <v>511</v>
      </c>
      <c r="D150" s="57">
        <v>2</v>
      </c>
      <c r="E150" s="57">
        <v>31</v>
      </c>
      <c r="F150" s="57"/>
      <c r="G150" s="57"/>
      <c r="H150" s="60">
        <f t="shared" si="4"/>
        <v>5.806451612903226</v>
      </c>
      <c r="I150" s="363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</row>
    <row r="151" spans="1:27" ht="15.75" customHeight="1" x14ac:dyDescent="0.45">
      <c r="A151" s="287">
        <v>6505970190</v>
      </c>
      <c r="B151" s="363" t="s">
        <v>560</v>
      </c>
      <c r="C151" s="216" t="s">
        <v>511</v>
      </c>
      <c r="D151" s="57">
        <v>2</v>
      </c>
      <c r="E151" s="57">
        <v>56</v>
      </c>
      <c r="F151" s="57"/>
      <c r="G151" s="57"/>
      <c r="H151" s="60">
        <f t="shared" si="4"/>
        <v>3.2142857142857144</v>
      </c>
      <c r="I151" s="363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</row>
    <row r="152" spans="1:27" ht="15.75" customHeight="1" x14ac:dyDescent="0.45">
      <c r="A152" s="287">
        <v>3277356190</v>
      </c>
      <c r="B152" s="55" t="s">
        <v>561</v>
      </c>
      <c r="C152" s="216" t="s">
        <v>511</v>
      </c>
      <c r="D152" s="57">
        <v>2</v>
      </c>
      <c r="E152" s="57">
        <v>84</v>
      </c>
      <c r="F152" s="57"/>
      <c r="G152" s="57"/>
      <c r="H152" s="60">
        <f t="shared" si="4"/>
        <v>2.1428571428571428</v>
      </c>
      <c r="I152" s="363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</row>
    <row r="153" spans="1:27" ht="15.75" customHeight="1" x14ac:dyDescent="0.45">
      <c r="A153" s="287">
        <v>5608554190</v>
      </c>
      <c r="B153" s="363" t="s">
        <v>562</v>
      </c>
      <c r="C153" s="216" t="s">
        <v>511</v>
      </c>
      <c r="D153" s="57">
        <v>2</v>
      </c>
      <c r="E153" s="57">
        <v>90</v>
      </c>
      <c r="F153" s="57"/>
      <c r="G153" s="57"/>
      <c r="H153" s="60">
        <f t="shared" si="4"/>
        <v>2</v>
      </c>
      <c r="I153" s="363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</row>
    <row r="154" spans="1:27" ht="15.75" customHeight="1" x14ac:dyDescent="0.45">
      <c r="A154" s="287">
        <v>8928452190</v>
      </c>
      <c r="B154" s="55" t="s">
        <v>563</v>
      </c>
      <c r="C154" s="216" t="s">
        <v>511</v>
      </c>
      <c r="D154" s="57">
        <v>2</v>
      </c>
      <c r="E154" s="57">
        <v>84</v>
      </c>
      <c r="F154" s="57"/>
      <c r="G154" s="57"/>
      <c r="H154" s="60">
        <f t="shared" si="4"/>
        <v>2.1428571428571428</v>
      </c>
      <c r="I154" s="363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</row>
    <row r="155" spans="1:27" ht="15.75" customHeight="1" x14ac:dyDescent="0.45">
      <c r="A155" s="287">
        <v>7126999190</v>
      </c>
      <c r="B155" s="363" t="s">
        <v>564</v>
      </c>
      <c r="C155" s="216" t="s">
        <v>511</v>
      </c>
      <c r="D155" s="57">
        <v>2</v>
      </c>
      <c r="E155" s="57">
        <v>28</v>
      </c>
      <c r="F155" s="57"/>
      <c r="G155" s="57"/>
      <c r="H155" s="60">
        <f t="shared" si="4"/>
        <v>6.4285714285714288</v>
      </c>
      <c r="I155" s="363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</row>
    <row r="156" spans="1:27" ht="15.75" customHeight="1" x14ac:dyDescent="0.45">
      <c r="A156" s="287" t="s">
        <v>565</v>
      </c>
      <c r="B156" s="363" t="s">
        <v>566</v>
      </c>
      <c r="C156" s="216" t="s">
        <v>511</v>
      </c>
      <c r="D156" s="57">
        <v>2</v>
      </c>
      <c r="E156" s="57">
        <v>28</v>
      </c>
      <c r="F156" s="57"/>
      <c r="G156" s="57"/>
      <c r="H156" s="60">
        <f t="shared" si="4"/>
        <v>6.4285714285714288</v>
      </c>
      <c r="I156" s="363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</row>
    <row r="157" spans="1:27" ht="15.75" customHeight="1" x14ac:dyDescent="0.45">
      <c r="A157" s="287">
        <v>3052028190</v>
      </c>
      <c r="B157" s="363" t="s">
        <v>567</v>
      </c>
      <c r="C157" s="216" t="s">
        <v>511</v>
      </c>
      <c r="D157" s="57">
        <v>2</v>
      </c>
      <c r="E157" s="57">
        <v>56</v>
      </c>
      <c r="F157" s="57"/>
      <c r="G157" s="57"/>
      <c r="H157" s="60">
        <f t="shared" si="4"/>
        <v>3.2142857142857144</v>
      </c>
      <c r="I157" s="363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</row>
    <row r="158" spans="1:27" ht="15.75" customHeight="1" x14ac:dyDescent="0.45">
      <c r="A158" s="287">
        <v>11731548122</v>
      </c>
      <c r="B158" s="55" t="s">
        <v>568</v>
      </c>
      <c r="C158" s="216" t="s">
        <v>511</v>
      </c>
      <c r="D158" s="57">
        <v>2</v>
      </c>
      <c r="E158" s="57">
        <v>56</v>
      </c>
      <c r="F158" s="57"/>
      <c r="G158" s="57"/>
      <c r="H158" s="60">
        <f t="shared" si="4"/>
        <v>3.2142857142857144</v>
      </c>
      <c r="I158" s="363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</row>
    <row r="159" spans="1:27" ht="15.75" customHeight="1" x14ac:dyDescent="0.45">
      <c r="A159" s="287">
        <v>12017717122</v>
      </c>
      <c r="B159" s="55" t="s">
        <v>569</v>
      </c>
      <c r="C159" s="216" t="s">
        <v>511</v>
      </c>
      <c r="D159" s="57">
        <v>2</v>
      </c>
      <c r="E159" s="57">
        <v>84</v>
      </c>
      <c r="F159" s="57"/>
      <c r="G159" s="57"/>
      <c r="H159" s="60">
        <f t="shared" si="4"/>
        <v>2.1428571428571428</v>
      </c>
      <c r="I159" s="363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</row>
    <row r="160" spans="1:27" ht="15.75" customHeight="1" x14ac:dyDescent="0.45">
      <c r="A160" s="287">
        <v>5202230190</v>
      </c>
      <c r="B160" s="55" t="s">
        <v>570</v>
      </c>
      <c r="C160" s="216" t="s">
        <v>511</v>
      </c>
      <c r="D160" s="57">
        <v>2</v>
      </c>
      <c r="E160" s="57">
        <v>84</v>
      </c>
      <c r="F160" s="57"/>
      <c r="G160" s="57"/>
      <c r="H160" s="60">
        <f t="shared" si="4"/>
        <v>2.1428571428571428</v>
      </c>
      <c r="I160" s="363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</row>
    <row r="161" spans="1:27" ht="15.75" customHeight="1" x14ac:dyDescent="0.45">
      <c r="A161" s="287">
        <v>8991405190</v>
      </c>
      <c r="B161" s="55" t="s">
        <v>571</v>
      </c>
      <c r="C161" s="216" t="s">
        <v>511</v>
      </c>
      <c r="D161" s="57">
        <v>2</v>
      </c>
      <c r="E161" s="57">
        <v>93</v>
      </c>
      <c r="F161" s="57"/>
      <c r="G161" s="57"/>
      <c r="H161" s="60">
        <f t="shared" si="4"/>
        <v>1.935483870967742</v>
      </c>
      <c r="I161" s="363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</row>
    <row r="162" spans="1:27" ht="15.75" customHeight="1" x14ac:dyDescent="0.45">
      <c r="A162" s="287">
        <v>8838534190</v>
      </c>
      <c r="B162" s="55" t="s">
        <v>572</v>
      </c>
      <c r="C162" s="216" t="s">
        <v>511</v>
      </c>
      <c r="D162" s="57">
        <v>2</v>
      </c>
      <c r="E162" s="57">
        <v>84</v>
      </c>
      <c r="F162" s="57"/>
      <c r="G162" s="57"/>
      <c r="H162" s="60">
        <f t="shared" si="4"/>
        <v>2.1428571428571428</v>
      </c>
      <c r="I162" s="363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</row>
    <row r="163" spans="1:27" ht="15.75" customHeight="1" x14ac:dyDescent="0.45">
      <c r="A163" s="287" t="s">
        <v>573</v>
      </c>
      <c r="B163" s="363" t="s">
        <v>574</v>
      </c>
      <c r="C163" s="216" t="s">
        <v>511</v>
      </c>
      <c r="D163" s="57">
        <v>2</v>
      </c>
      <c r="E163" s="57">
        <v>84</v>
      </c>
      <c r="F163" s="57"/>
      <c r="G163" s="57"/>
      <c r="H163" s="60">
        <f t="shared" si="4"/>
        <v>2.1428571428571428</v>
      </c>
      <c r="I163" s="363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</row>
    <row r="164" spans="1:27" ht="15.75" customHeight="1" x14ac:dyDescent="0.45">
      <c r="A164" s="287">
        <v>9315365190</v>
      </c>
      <c r="B164" s="55" t="s">
        <v>575</v>
      </c>
      <c r="C164" s="216" t="s">
        <v>511</v>
      </c>
      <c r="D164" s="57">
        <v>2</v>
      </c>
      <c r="E164" s="57">
        <v>84</v>
      </c>
      <c r="F164" s="57"/>
      <c r="G164" s="57"/>
      <c r="H164" s="60">
        <f t="shared" si="4"/>
        <v>2.1428571428571428</v>
      </c>
      <c r="I164" s="363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</row>
    <row r="165" spans="1:27" ht="15.75" customHeight="1" x14ac:dyDescent="0.45">
      <c r="A165" s="287">
        <v>9315381190</v>
      </c>
      <c r="B165" s="363" t="s">
        <v>576</v>
      </c>
      <c r="C165" s="216" t="s">
        <v>511</v>
      </c>
      <c r="D165" s="57">
        <v>2</v>
      </c>
      <c r="E165" s="57">
        <v>84</v>
      </c>
      <c r="F165" s="57"/>
      <c r="G165" s="57"/>
      <c r="H165" s="60">
        <f t="shared" si="4"/>
        <v>2.1428571428571428</v>
      </c>
      <c r="I165" s="363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</row>
    <row r="166" spans="1:27" ht="15.75" customHeight="1" x14ac:dyDescent="0.45">
      <c r="A166" s="287">
        <v>8443459190</v>
      </c>
      <c r="B166" s="55" t="s">
        <v>577</v>
      </c>
      <c r="C166" s="216" t="s">
        <v>511</v>
      </c>
      <c r="D166" s="57">
        <v>2</v>
      </c>
      <c r="E166" s="57">
        <v>84</v>
      </c>
      <c r="F166" s="57"/>
      <c r="G166" s="57"/>
      <c r="H166" s="60">
        <f t="shared" si="4"/>
        <v>2.1428571428571428</v>
      </c>
      <c r="I166" s="363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</row>
    <row r="167" spans="1:27" ht="15.75" customHeight="1" x14ac:dyDescent="0.45">
      <c r="A167" s="287">
        <v>7212780190</v>
      </c>
      <c r="B167" s="55" t="s">
        <v>578</v>
      </c>
      <c r="C167" s="216" t="s">
        <v>511</v>
      </c>
      <c r="D167" s="57">
        <v>2</v>
      </c>
      <c r="E167" s="57">
        <v>84</v>
      </c>
      <c r="F167" s="57"/>
      <c r="G167" s="57"/>
      <c r="H167" s="60">
        <f t="shared" si="4"/>
        <v>2.1428571428571428</v>
      </c>
      <c r="I167" s="363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</row>
    <row r="168" spans="1:27" ht="15.75" customHeight="1" x14ac:dyDescent="0.45">
      <c r="A168" s="287">
        <v>9038116190</v>
      </c>
      <c r="B168" s="55" t="s">
        <v>579</v>
      </c>
      <c r="C168" s="216" t="s">
        <v>511</v>
      </c>
      <c r="D168" s="57">
        <v>2</v>
      </c>
      <c r="E168" s="57">
        <v>84</v>
      </c>
      <c r="F168" s="57"/>
      <c r="G168" s="57"/>
      <c r="H168" s="60">
        <f t="shared" si="4"/>
        <v>2.1428571428571428</v>
      </c>
      <c r="I168" s="363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</row>
    <row r="169" spans="1:27" ht="15.75" customHeight="1" x14ac:dyDescent="0.45">
      <c r="A169" s="378" t="s">
        <v>277</v>
      </c>
      <c r="B169" s="380"/>
      <c r="C169" s="380"/>
      <c r="D169" s="380" t="s">
        <v>183</v>
      </c>
      <c r="E169" s="380" t="s">
        <v>649</v>
      </c>
      <c r="F169" s="382"/>
      <c r="G169" s="379" t="s">
        <v>53</v>
      </c>
      <c r="H169" s="524" t="s">
        <v>52</v>
      </c>
      <c r="I169" s="379" t="s">
        <v>51</v>
      </c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</row>
    <row r="170" spans="1:27" ht="15.75" customHeight="1" x14ac:dyDescent="0.45">
      <c r="A170" s="520">
        <v>9216928190</v>
      </c>
      <c r="B170" s="363" t="s">
        <v>580</v>
      </c>
      <c r="C170" s="216" t="s">
        <v>511</v>
      </c>
      <c r="D170" s="57">
        <v>2</v>
      </c>
      <c r="E170" s="57">
        <v>28</v>
      </c>
      <c r="F170" s="57"/>
      <c r="G170" s="57"/>
      <c r="H170" s="60">
        <f t="shared" ref="H170:H228" si="5">(360/E170)/D170</f>
        <v>6.4285714285714288</v>
      </c>
      <c r="I170" s="363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</row>
    <row r="171" spans="1:27" ht="15.75" customHeight="1" x14ac:dyDescent="0.45">
      <c r="A171" s="363">
        <v>5942322190</v>
      </c>
      <c r="B171" s="363" t="s">
        <v>581</v>
      </c>
      <c r="C171" s="216" t="s">
        <v>511</v>
      </c>
      <c r="D171" s="216">
        <v>3</v>
      </c>
      <c r="E171" s="216">
        <v>84</v>
      </c>
      <c r="F171" s="216"/>
      <c r="G171" s="216"/>
      <c r="H171" s="60">
        <f t="shared" si="5"/>
        <v>1.4285714285714286</v>
      </c>
      <c r="I171" s="363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</row>
    <row r="172" spans="1:27" ht="15.75" customHeight="1" x14ac:dyDescent="0.45">
      <c r="A172" s="363">
        <v>8335923190</v>
      </c>
      <c r="B172" s="363" t="s">
        <v>582</v>
      </c>
      <c r="C172" s="216" t="s">
        <v>511</v>
      </c>
      <c r="D172" s="216">
        <v>5</v>
      </c>
      <c r="E172" s="216"/>
      <c r="F172" s="216"/>
      <c r="G172" s="57"/>
      <c r="H172" s="60" t="e">
        <f t="shared" si="5"/>
        <v>#DIV/0!</v>
      </c>
      <c r="I172" s="363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</row>
    <row r="173" spans="1:27" ht="15.75" customHeight="1" x14ac:dyDescent="0.45">
      <c r="A173" s="363">
        <v>8740062190</v>
      </c>
      <c r="B173" s="363" t="s">
        <v>583</v>
      </c>
      <c r="C173" s="216" t="s">
        <v>511</v>
      </c>
      <c r="D173" s="216">
        <v>3</v>
      </c>
      <c r="E173" s="216">
        <v>84</v>
      </c>
      <c r="F173" s="216"/>
      <c r="G173" s="57"/>
      <c r="H173" s="60">
        <f t="shared" si="5"/>
        <v>1.4285714285714286</v>
      </c>
      <c r="I173" s="363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</row>
    <row r="174" spans="1:27" ht="15.75" customHeight="1" x14ac:dyDescent="0.45">
      <c r="A174" s="363">
        <v>6709966190</v>
      </c>
      <c r="B174" s="363" t="s">
        <v>585</v>
      </c>
      <c r="C174" s="216" t="s">
        <v>511</v>
      </c>
      <c r="D174" s="216">
        <v>2</v>
      </c>
      <c r="E174" s="216"/>
      <c r="F174" s="216"/>
      <c r="G174" s="216"/>
      <c r="H174" s="60" t="e">
        <f t="shared" si="5"/>
        <v>#DIV/0!</v>
      </c>
      <c r="I174" s="363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</row>
    <row r="175" spans="1:27" ht="15.75" customHeight="1" x14ac:dyDescent="0.45">
      <c r="A175" s="363">
        <v>7957211190</v>
      </c>
      <c r="B175" s="363" t="s">
        <v>586</v>
      </c>
      <c r="C175" s="216" t="s">
        <v>511</v>
      </c>
      <c r="D175" s="216">
        <v>2</v>
      </c>
      <c r="E175" s="216">
        <v>28</v>
      </c>
      <c r="F175" s="216"/>
      <c r="G175" s="216"/>
      <c r="H175" s="60">
        <f t="shared" si="5"/>
        <v>6.4285714285714288</v>
      </c>
      <c r="I175" s="363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</row>
    <row r="176" spans="1:27" ht="15.75" customHeight="1" x14ac:dyDescent="0.45">
      <c r="A176" s="363">
        <v>5031664190</v>
      </c>
      <c r="B176" s="363" t="s">
        <v>587</v>
      </c>
      <c r="C176" s="216" t="s">
        <v>511</v>
      </c>
      <c r="D176" s="216">
        <v>2</v>
      </c>
      <c r="E176" s="216">
        <v>28</v>
      </c>
      <c r="F176" s="216"/>
      <c r="G176" s="216"/>
      <c r="H176" s="60">
        <f t="shared" si="5"/>
        <v>6.4285714285714288</v>
      </c>
      <c r="I176" s="363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</row>
    <row r="177" spans="1:27" ht="15.75" customHeight="1" x14ac:dyDescent="0.45">
      <c r="A177" s="363">
        <v>11876368122</v>
      </c>
      <c r="B177" s="363" t="s">
        <v>588</v>
      </c>
      <c r="C177" s="216" t="s">
        <v>511</v>
      </c>
      <c r="D177" s="216">
        <v>8</v>
      </c>
      <c r="E177" s="216">
        <v>56</v>
      </c>
      <c r="F177" s="216"/>
      <c r="G177" s="216"/>
      <c r="H177" s="60">
        <f t="shared" si="5"/>
        <v>0.8035714285714286</v>
      </c>
      <c r="I177" s="363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</row>
    <row r="178" spans="1:27" ht="15.75" customHeight="1" x14ac:dyDescent="0.45">
      <c r="A178" s="363">
        <v>8086672190</v>
      </c>
      <c r="B178" s="363" t="s">
        <v>589</v>
      </c>
      <c r="C178" s="216" t="s">
        <v>511</v>
      </c>
      <c r="D178" s="216">
        <v>4</v>
      </c>
      <c r="E178" s="216">
        <v>56</v>
      </c>
      <c r="F178" s="216"/>
      <c r="G178" s="216"/>
      <c r="H178" s="60">
        <f t="shared" si="5"/>
        <v>1.6071428571428572</v>
      </c>
      <c r="I178" s="363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</row>
    <row r="179" spans="1:27" ht="15.75" customHeight="1" x14ac:dyDescent="0.45">
      <c r="A179" s="363">
        <v>11876333122</v>
      </c>
      <c r="B179" s="363" t="s">
        <v>590</v>
      </c>
      <c r="C179" s="216" t="s">
        <v>511</v>
      </c>
      <c r="D179" s="216">
        <v>8</v>
      </c>
      <c r="E179" s="216">
        <v>56</v>
      </c>
      <c r="F179" s="216"/>
      <c r="G179" s="216"/>
      <c r="H179" s="60">
        <f t="shared" si="5"/>
        <v>0.8035714285714286</v>
      </c>
      <c r="I179" s="363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</row>
    <row r="180" spans="1:27" ht="15.75" customHeight="1" x14ac:dyDescent="0.45">
      <c r="A180" s="363">
        <v>4927931190</v>
      </c>
      <c r="B180" s="363" t="s">
        <v>591</v>
      </c>
      <c r="C180" s="216" t="s">
        <v>511</v>
      </c>
      <c r="D180" s="216">
        <v>8</v>
      </c>
      <c r="E180" s="216">
        <v>56</v>
      </c>
      <c r="F180" s="216"/>
      <c r="G180" s="216"/>
      <c r="H180" s="60">
        <f t="shared" si="5"/>
        <v>0.8035714285714286</v>
      </c>
      <c r="I180" s="363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</row>
    <row r="181" spans="1:27" ht="15.75" customHeight="1" x14ac:dyDescent="0.45">
      <c r="A181" s="363">
        <v>11876384122</v>
      </c>
      <c r="B181" s="363" t="s">
        <v>592</v>
      </c>
      <c r="C181" s="216" t="s">
        <v>511</v>
      </c>
      <c r="D181" s="216">
        <v>8</v>
      </c>
      <c r="E181" s="216">
        <v>56</v>
      </c>
      <c r="F181" s="216"/>
      <c r="G181" s="216"/>
      <c r="H181" s="60">
        <f t="shared" si="5"/>
        <v>0.8035714285714286</v>
      </c>
      <c r="I181" s="363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</row>
    <row r="182" spans="1:27" ht="15.75" customHeight="1" x14ac:dyDescent="0.45">
      <c r="A182" s="363">
        <v>11876317122</v>
      </c>
      <c r="B182" s="363" t="s">
        <v>593</v>
      </c>
      <c r="C182" s="216" t="s">
        <v>511</v>
      </c>
      <c r="D182" s="216">
        <v>8</v>
      </c>
      <c r="E182" s="216">
        <v>56</v>
      </c>
      <c r="F182" s="216"/>
      <c r="G182" s="216"/>
      <c r="H182" s="60">
        <f t="shared" si="5"/>
        <v>0.8035714285714286</v>
      </c>
      <c r="I182" s="363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</row>
    <row r="183" spans="1:27" ht="15.75" customHeight="1" x14ac:dyDescent="0.45">
      <c r="A183" s="363">
        <v>3290379190</v>
      </c>
      <c r="B183" s="363" t="s">
        <v>594</v>
      </c>
      <c r="C183" s="216" t="s">
        <v>511</v>
      </c>
      <c r="D183" s="216">
        <v>8</v>
      </c>
      <c r="E183" s="216">
        <v>56</v>
      </c>
      <c r="F183" s="216"/>
      <c r="G183" s="216"/>
      <c r="H183" s="60">
        <f t="shared" si="5"/>
        <v>0.8035714285714286</v>
      </c>
      <c r="I183" s="363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</row>
    <row r="184" spans="1:27" ht="15.75" customHeight="1" x14ac:dyDescent="0.45">
      <c r="A184" s="363">
        <v>9289313190</v>
      </c>
      <c r="B184" s="363" t="s">
        <v>595</v>
      </c>
      <c r="C184" s="216" t="s">
        <v>511</v>
      </c>
      <c r="D184" s="216">
        <v>2</v>
      </c>
      <c r="E184" s="216">
        <v>84</v>
      </c>
      <c r="F184" s="216"/>
      <c r="G184" s="216"/>
      <c r="H184" s="60">
        <f t="shared" si="5"/>
        <v>2.1428571428571428</v>
      </c>
      <c r="I184" s="363"/>
      <c r="J184" s="255"/>
      <c r="K184" s="255"/>
      <c r="L184" s="255"/>
      <c r="M184" s="255"/>
      <c r="N184" s="255"/>
      <c r="O184" s="255"/>
      <c r="P184" s="255"/>
      <c r="Q184" s="255"/>
      <c r="R184" s="255"/>
      <c r="S184" s="255"/>
      <c r="T184" s="255"/>
      <c r="U184" s="255"/>
      <c r="V184" s="255"/>
      <c r="W184" s="255"/>
      <c r="X184" s="255"/>
      <c r="Y184" s="255"/>
      <c r="Z184" s="255"/>
      <c r="AA184" s="255"/>
    </row>
    <row r="185" spans="1:27" ht="15.75" customHeight="1" x14ac:dyDescent="0.45">
      <c r="A185" s="363">
        <v>4917049190</v>
      </c>
      <c r="B185" s="363" t="s">
        <v>596</v>
      </c>
      <c r="C185" s="216" t="s">
        <v>511</v>
      </c>
      <c r="D185" s="216">
        <v>2</v>
      </c>
      <c r="E185" s="216">
        <v>84</v>
      </c>
      <c r="F185" s="216"/>
      <c r="G185" s="216"/>
      <c r="H185" s="60">
        <f t="shared" si="5"/>
        <v>2.1428571428571428</v>
      </c>
      <c r="I185" s="363"/>
      <c r="J185" s="255"/>
      <c r="K185" s="255"/>
      <c r="L185" s="255"/>
      <c r="M185" s="255"/>
      <c r="N185" s="255"/>
      <c r="O185" s="255"/>
      <c r="P185" s="255"/>
      <c r="Q185" s="255"/>
      <c r="R185" s="255"/>
      <c r="S185" s="255"/>
      <c r="T185" s="255"/>
      <c r="U185" s="255"/>
      <c r="V185" s="255"/>
      <c r="W185" s="255"/>
      <c r="X185" s="255"/>
      <c r="Y185" s="255"/>
      <c r="Z185" s="255"/>
      <c r="AA185" s="255"/>
    </row>
    <row r="186" spans="1:27" ht="15.75" customHeight="1" x14ac:dyDescent="0.45">
      <c r="A186" s="363">
        <v>7092571190</v>
      </c>
      <c r="B186" s="363" t="s">
        <v>597</v>
      </c>
      <c r="C186" s="216" t="s">
        <v>511</v>
      </c>
      <c r="D186" s="216">
        <v>8</v>
      </c>
      <c r="E186" s="216">
        <v>28</v>
      </c>
      <c r="F186" s="216"/>
      <c r="G186" s="216"/>
      <c r="H186" s="60">
        <f t="shared" si="5"/>
        <v>1.6071428571428572</v>
      </c>
      <c r="I186" s="363"/>
      <c r="J186" s="255"/>
      <c r="K186" s="255"/>
      <c r="L186" s="255"/>
      <c r="M186" s="255"/>
      <c r="N186" s="255"/>
      <c r="O186" s="255"/>
      <c r="P186" s="255"/>
      <c r="Q186" s="255"/>
      <c r="R186" s="255"/>
      <c r="S186" s="255"/>
      <c r="T186" s="255"/>
      <c r="U186" s="255"/>
      <c r="V186" s="255"/>
      <c r="W186" s="255"/>
      <c r="X186" s="255"/>
      <c r="Y186" s="255"/>
      <c r="Z186" s="255"/>
      <c r="AA186" s="255"/>
    </row>
    <row r="187" spans="1:27" ht="15.75" customHeight="1" x14ac:dyDescent="0.45">
      <c r="A187" s="363">
        <v>4784600190</v>
      </c>
      <c r="B187" s="363" t="s">
        <v>598</v>
      </c>
      <c r="C187" s="216" t="s">
        <v>511</v>
      </c>
      <c r="D187" s="216">
        <v>8</v>
      </c>
      <c r="E187" s="216">
        <v>56</v>
      </c>
      <c r="F187" s="216"/>
      <c r="G187" s="216"/>
      <c r="H187" s="60">
        <f t="shared" si="5"/>
        <v>0.8035714285714286</v>
      </c>
      <c r="I187" s="363"/>
      <c r="J187" s="255"/>
      <c r="K187" s="255"/>
      <c r="L187" s="255"/>
      <c r="M187" s="255"/>
      <c r="N187" s="255"/>
      <c r="O187" s="255"/>
      <c r="P187" s="255"/>
      <c r="Q187" s="255"/>
      <c r="R187" s="255"/>
      <c r="S187" s="255"/>
      <c r="T187" s="255"/>
      <c r="U187" s="255"/>
      <c r="V187" s="255"/>
      <c r="W187" s="255"/>
      <c r="X187" s="255"/>
      <c r="Y187" s="255"/>
      <c r="Z187" s="255"/>
      <c r="AA187" s="255"/>
    </row>
    <row r="188" spans="1:27" ht="15.75" customHeight="1" x14ac:dyDescent="0.45">
      <c r="A188" s="363">
        <v>4784626190</v>
      </c>
      <c r="B188" s="363" t="s">
        <v>599</v>
      </c>
      <c r="C188" s="216" t="s">
        <v>511</v>
      </c>
      <c r="D188" s="216">
        <v>8</v>
      </c>
      <c r="E188" s="216">
        <v>56</v>
      </c>
      <c r="F188" s="216"/>
      <c r="G188" s="216"/>
      <c r="H188" s="60">
        <f t="shared" si="5"/>
        <v>0.8035714285714286</v>
      </c>
      <c r="I188" s="363"/>
      <c r="J188" s="255"/>
      <c r="K188" s="255"/>
      <c r="L188" s="255"/>
      <c r="M188" s="255"/>
      <c r="N188" s="255"/>
      <c r="O188" s="255"/>
      <c r="P188" s="255"/>
      <c r="Q188" s="255"/>
      <c r="R188" s="255"/>
      <c r="S188" s="255"/>
      <c r="T188" s="255"/>
      <c r="U188" s="255"/>
      <c r="V188" s="255"/>
      <c r="W188" s="255"/>
      <c r="X188" s="255"/>
      <c r="Y188" s="255"/>
      <c r="Z188" s="255"/>
      <c r="AA188" s="255"/>
    </row>
    <row r="189" spans="1:27" ht="15.75" customHeight="1" x14ac:dyDescent="0.45">
      <c r="A189" s="363">
        <v>8355436190</v>
      </c>
      <c r="B189" s="363" t="s">
        <v>600</v>
      </c>
      <c r="C189" s="216" t="s">
        <v>511</v>
      </c>
      <c r="D189" s="216">
        <v>4</v>
      </c>
      <c r="E189" s="216">
        <v>84</v>
      </c>
      <c r="F189" s="216"/>
      <c r="G189" s="216"/>
      <c r="H189" s="60">
        <f t="shared" si="5"/>
        <v>1.0714285714285714</v>
      </c>
      <c r="I189" s="363"/>
      <c r="J189" s="255"/>
      <c r="K189" s="255"/>
      <c r="L189" s="255"/>
      <c r="M189" s="255"/>
      <c r="N189" s="255"/>
      <c r="O189" s="255"/>
      <c r="P189" s="255"/>
      <c r="Q189" s="255"/>
      <c r="R189" s="255"/>
      <c r="S189" s="255"/>
      <c r="T189" s="255"/>
      <c r="U189" s="255"/>
      <c r="V189" s="255"/>
      <c r="W189" s="255"/>
      <c r="X189" s="255"/>
      <c r="Y189" s="255"/>
      <c r="Z189" s="255"/>
      <c r="AA189" s="255"/>
    </row>
    <row r="190" spans="1:27" ht="15.75" customHeight="1" x14ac:dyDescent="0.45">
      <c r="A190" s="363">
        <v>8355428190</v>
      </c>
      <c r="B190" s="363" t="s">
        <v>601</v>
      </c>
      <c r="C190" s="216" t="s">
        <v>511</v>
      </c>
      <c r="D190" s="216">
        <v>3</v>
      </c>
      <c r="E190" s="216">
        <v>112</v>
      </c>
      <c r="F190" s="216"/>
      <c r="G190" s="216"/>
      <c r="H190" s="60">
        <f t="shared" si="5"/>
        <v>1.0714285714285714</v>
      </c>
      <c r="I190" s="363"/>
      <c r="J190" s="255"/>
      <c r="K190" s="255"/>
      <c r="L190" s="255"/>
      <c r="M190" s="255"/>
      <c r="N190" s="255"/>
      <c r="O190" s="255"/>
      <c r="P190" s="255"/>
      <c r="Q190" s="255"/>
      <c r="R190" s="255"/>
      <c r="S190" s="255"/>
      <c r="T190" s="255"/>
      <c r="U190" s="255"/>
      <c r="V190" s="255"/>
      <c r="W190" s="255"/>
      <c r="X190" s="255"/>
      <c r="Y190" s="255"/>
      <c r="Z190" s="255"/>
      <c r="AA190" s="255"/>
    </row>
    <row r="191" spans="1:27" ht="15.75" customHeight="1" x14ac:dyDescent="0.45">
      <c r="A191" s="363">
        <v>7294131190</v>
      </c>
      <c r="B191" s="363" t="s">
        <v>602</v>
      </c>
      <c r="C191" s="216" t="s">
        <v>511</v>
      </c>
      <c r="D191" s="216">
        <v>1</v>
      </c>
      <c r="E191" s="216">
        <v>28</v>
      </c>
      <c r="F191" s="216"/>
      <c r="G191" s="216"/>
      <c r="H191" s="60">
        <f t="shared" si="5"/>
        <v>12.857142857142858</v>
      </c>
      <c r="I191" s="363"/>
      <c r="J191" s="255"/>
      <c r="K191" s="255"/>
      <c r="L191" s="255"/>
      <c r="M191" s="255"/>
      <c r="N191" s="255"/>
      <c r="O191" s="255"/>
      <c r="P191" s="255"/>
      <c r="Q191" s="255"/>
      <c r="R191" s="255"/>
      <c r="S191" s="255"/>
      <c r="T191" s="255"/>
      <c r="U191" s="255"/>
      <c r="V191" s="255"/>
      <c r="W191" s="255"/>
      <c r="X191" s="255"/>
      <c r="Y191" s="255"/>
      <c r="Z191" s="255"/>
      <c r="AA191" s="255"/>
    </row>
    <row r="192" spans="1:27" ht="15.75" customHeight="1" x14ac:dyDescent="0.45">
      <c r="A192" s="363">
        <v>7476108190</v>
      </c>
      <c r="B192" s="363" t="s">
        <v>603</v>
      </c>
      <c r="C192" s="216" t="s">
        <v>511</v>
      </c>
      <c r="D192" s="216">
        <v>2</v>
      </c>
      <c r="E192" s="216">
        <v>31</v>
      </c>
      <c r="F192" s="216"/>
      <c r="G192" s="216"/>
      <c r="H192" s="60">
        <f t="shared" si="5"/>
        <v>5.806451612903226</v>
      </c>
      <c r="I192" s="363"/>
      <c r="J192" s="255"/>
      <c r="K192" s="255"/>
      <c r="L192" s="255"/>
      <c r="M192" s="255"/>
      <c r="N192" s="255"/>
      <c r="O192" s="255"/>
      <c r="P192" s="255"/>
      <c r="Q192" s="255"/>
      <c r="R192" s="255"/>
      <c r="S192" s="255"/>
      <c r="T192" s="255"/>
      <c r="U192" s="255"/>
      <c r="V192" s="255"/>
      <c r="W192" s="255"/>
      <c r="X192" s="255"/>
      <c r="Y192" s="255"/>
      <c r="Z192" s="255"/>
      <c r="AA192" s="255"/>
    </row>
    <row r="193" spans="1:27" ht="15.75" customHeight="1" x14ac:dyDescent="0.45">
      <c r="A193" s="363">
        <v>11876376122</v>
      </c>
      <c r="B193" s="363" t="s">
        <v>604</v>
      </c>
      <c r="C193" s="216" t="s">
        <v>511</v>
      </c>
      <c r="D193" s="216">
        <v>8</v>
      </c>
      <c r="E193" s="216">
        <v>56</v>
      </c>
      <c r="F193" s="216"/>
      <c r="G193" s="216"/>
      <c r="H193" s="60">
        <f t="shared" si="5"/>
        <v>0.8035714285714286</v>
      </c>
      <c r="I193" s="363"/>
      <c r="J193" s="255"/>
      <c r="K193" s="255"/>
      <c r="L193" s="255"/>
      <c r="M193" s="255"/>
      <c r="N193" s="255"/>
      <c r="O193" s="255"/>
      <c r="P193" s="255"/>
      <c r="Q193" s="255"/>
      <c r="R193" s="255"/>
      <c r="S193" s="255"/>
      <c r="T193" s="255"/>
      <c r="U193" s="255"/>
      <c r="V193" s="255"/>
      <c r="W193" s="255"/>
      <c r="X193" s="255"/>
      <c r="Y193" s="255"/>
      <c r="Z193" s="255"/>
      <c r="AA193" s="255"/>
    </row>
    <row r="194" spans="1:27" ht="15.75" customHeight="1" x14ac:dyDescent="0.45">
      <c r="A194" s="363">
        <v>4687876190</v>
      </c>
      <c r="B194" s="363" t="s">
        <v>605</v>
      </c>
      <c r="C194" s="216" t="s">
        <v>511</v>
      </c>
      <c r="D194" s="216">
        <v>8</v>
      </c>
      <c r="E194" s="216">
        <v>56</v>
      </c>
      <c r="F194" s="216"/>
      <c r="G194" s="216"/>
      <c r="H194" s="60">
        <f t="shared" si="5"/>
        <v>0.8035714285714286</v>
      </c>
      <c r="I194" s="363"/>
      <c r="J194" s="255"/>
      <c r="K194" s="255"/>
      <c r="L194" s="255"/>
      <c r="M194" s="255"/>
      <c r="N194" s="255"/>
      <c r="O194" s="255"/>
      <c r="P194" s="255"/>
      <c r="Q194" s="255"/>
      <c r="R194" s="255"/>
      <c r="S194" s="255"/>
      <c r="T194" s="255"/>
      <c r="U194" s="255"/>
      <c r="V194" s="255"/>
      <c r="W194" s="255"/>
      <c r="X194" s="255"/>
      <c r="Y194" s="255"/>
      <c r="Z194" s="255"/>
      <c r="AA194" s="255"/>
    </row>
    <row r="195" spans="1:27" ht="15.75" customHeight="1" x14ac:dyDescent="0.45">
      <c r="A195" s="363">
        <v>7143745190</v>
      </c>
      <c r="B195" s="363" t="s">
        <v>606</v>
      </c>
      <c r="C195" s="216" t="s">
        <v>511</v>
      </c>
      <c r="D195" s="216">
        <v>5</v>
      </c>
      <c r="E195" s="216">
        <v>56</v>
      </c>
      <c r="F195" s="216"/>
      <c r="G195" s="216"/>
      <c r="H195" s="60">
        <f t="shared" si="5"/>
        <v>1.2857142857142858</v>
      </c>
      <c r="I195" s="363"/>
      <c r="J195" s="255"/>
      <c r="K195" s="255"/>
      <c r="L195" s="255"/>
      <c r="M195" s="255"/>
      <c r="N195" s="255"/>
      <c r="O195" s="255"/>
      <c r="P195" s="255"/>
      <c r="Q195" s="255"/>
      <c r="R195" s="255"/>
      <c r="S195" s="255"/>
      <c r="T195" s="255"/>
      <c r="U195" s="255"/>
      <c r="V195" s="255"/>
      <c r="W195" s="255"/>
      <c r="X195" s="255"/>
      <c r="Y195" s="255"/>
      <c r="Z195" s="255"/>
      <c r="AA195" s="255"/>
    </row>
    <row r="196" spans="1:27" ht="15.75" customHeight="1" x14ac:dyDescent="0.45">
      <c r="A196" s="363">
        <v>5950953190</v>
      </c>
      <c r="B196" s="363" t="s">
        <v>607</v>
      </c>
      <c r="C196" s="216" t="s">
        <v>511</v>
      </c>
      <c r="D196" s="216">
        <v>2</v>
      </c>
      <c r="E196" s="216">
        <v>28</v>
      </c>
      <c r="F196" s="216"/>
      <c r="G196" s="216"/>
      <c r="H196" s="60">
        <f t="shared" si="5"/>
        <v>6.4285714285714288</v>
      </c>
      <c r="I196" s="363"/>
      <c r="J196" s="255"/>
      <c r="K196" s="255"/>
      <c r="L196" s="255"/>
      <c r="M196" s="255"/>
      <c r="N196" s="255"/>
      <c r="O196" s="255"/>
      <c r="P196" s="255"/>
      <c r="Q196" s="255"/>
      <c r="R196" s="255"/>
      <c r="S196" s="255"/>
      <c r="T196" s="255"/>
      <c r="U196" s="255"/>
      <c r="V196" s="255"/>
      <c r="W196" s="255"/>
      <c r="X196" s="255"/>
      <c r="Y196" s="255"/>
      <c r="Z196" s="255"/>
      <c r="AA196" s="255"/>
    </row>
    <row r="197" spans="1:27" ht="15.75" customHeight="1" x14ac:dyDescent="0.45">
      <c r="A197" s="363">
        <v>6924107190</v>
      </c>
      <c r="B197" s="363" t="s">
        <v>608</v>
      </c>
      <c r="C197" s="216" t="s">
        <v>511</v>
      </c>
      <c r="D197" s="216">
        <v>3</v>
      </c>
      <c r="E197" s="216">
        <v>84</v>
      </c>
      <c r="F197" s="216"/>
      <c r="G197" s="216"/>
      <c r="H197" s="60">
        <f t="shared" si="5"/>
        <v>1.4285714285714286</v>
      </c>
      <c r="I197" s="363"/>
      <c r="J197" s="255"/>
      <c r="K197" s="255"/>
      <c r="L197" s="255"/>
      <c r="M197" s="255"/>
      <c r="N197" s="255"/>
      <c r="O197" s="255"/>
      <c r="P197" s="255"/>
      <c r="Q197" s="255"/>
      <c r="R197" s="255"/>
      <c r="S197" s="255"/>
      <c r="T197" s="255"/>
      <c r="U197" s="255"/>
      <c r="V197" s="255"/>
      <c r="W197" s="255"/>
      <c r="X197" s="255"/>
      <c r="Y197" s="255"/>
      <c r="Z197" s="255"/>
      <c r="AA197" s="255"/>
    </row>
    <row r="198" spans="1:27" ht="15.75" customHeight="1" x14ac:dyDescent="0.45">
      <c r="A198" s="363">
        <v>5572207190</v>
      </c>
      <c r="B198" s="363" t="s">
        <v>609</v>
      </c>
      <c r="C198" s="216" t="s">
        <v>511</v>
      </c>
      <c r="D198" s="216">
        <v>2</v>
      </c>
      <c r="E198" s="216">
        <v>28</v>
      </c>
      <c r="F198" s="216"/>
      <c r="G198" s="216"/>
      <c r="H198" s="60">
        <f t="shared" si="5"/>
        <v>6.4285714285714288</v>
      </c>
      <c r="I198" s="363"/>
      <c r="J198" s="255"/>
      <c r="K198" s="255"/>
      <c r="L198" s="255"/>
      <c r="M198" s="255"/>
      <c r="N198" s="255"/>
      <c r="O198" s="255"/>
      <c r="P198" s="255"/>
      <c r="Q198" s="255"/>
      <c r="R198" s="255"/>
      <c r="S198" s="255"/>
      <c r="T198" s="255"/>
      <c r="U198" s="255"/>
      <c r="V198" s="255"/>
      <c r="W198" s="255"/>
      <c r="X198" s="255"/>
      <c r="Y198" s="255"/>
      <c r="Z198" s="255"/>
      <c r="AA198" s="255"/>
    </row>
    <row r="199" spans="1:27" ht="15.75" customHeight="1" x14ac:dyDescent="0.45">
      <c r="A199" s="363">
        <v>7108133190</v>
      </c>
      <c r="B199" s="363" t="s">
        <v>610</v>
      </c>
      <c r="C199" s="216" t="s">
        <v>511</v>
      </c>
      <c r="D199" s="216">
        <v>3</v>
      </c>
      <c r="E199" s="216">
        <v>84</v>
      </c>
      <c r="F199" s="216"/>
      <c r="G199" s="216"/>
      <c r="H199" s="60">
        <f t="shared" si="5"/>
        <v>1.4285714285714286</v>
      </c>
      <c r="I199" s="363"/>
      <c r="J199" s="255"/>
      <c r="K199" s="255"/>
      <c r="L199" s="255"/>
      <c r="M199" s="255"/>
      <c r="N199" s="255"/>
      <c r="O199" s="255"/>
      <c r="P199" s="255"/>
      <c r="Q199" s="255"/>
      <c r="R199" s="255"/>
      <c r="S199" s="255"/>
      <c r="T199" s="255"/>
      <c r="U199" s="255"/>
      <c r="V199" s="255"/>
      <c r="W199" s="255"/>
      <c r="X199" s="255"/>
      <c r="Y199" s="255"/>
      <c r="Z199" s="255"/>
      <c r="AA199" s="255"/>
    </row>
    <row r="200" spans="1:27" ht="15.75" customHeight="1" x14ac:dyDescent="0.45">
      <c r="A200" s="363">
        <v>5889081190</v>
      </c>
      <c r="B200" s="363" t="s">
        <v>611</v>
      </c>
      <c r="C200" s="216" t="s">
        <v>511</v>
      </c>
      <c r="D200" s="216">
        <v>1</v>
      </c>
      <c r="E200" s="216">
        <v>28</v>
      </c>
      <c r="F200" s="216"/>
      <c r="G200" s="216"/>
      <c r="H200" s="60">
        <f t="shared" si="5"/>
        <v>12.857142857142858</v>
      </c>
      <c r="I200" s="363"/>
    </row>
    <row r="201" spans="1:27" ht="15.75" customHeight="1" x14ac:dyDescent="0.45">
      <c r="A201" s="363">
        <v>7360070190</v>
      </c>
      <c r="B201" s="363" t="s">
        <v>612</v>
      </c>
      <c r="C201" s="216" t="s">
        <v>511</v>
      </c>
      <c r="D201" s="216">
        <v>2</v>
      </c>
      <c r="E201" s="216">
        <v>28</v>
      </c>
      <c r="F201" s="216"/>
      <c r="G201" s="216"/>
      <c r="H201" s="60">
        <f t="shared" si="5"/>
        <v>6.4285714285714288</v>
      </c>
      <c r="I201" s="363"/>
    </row>
    <row r="202" spans="1:27" ht="15.75" customHeight="1" x14ac:dyDescent="0.45">
      <c r="A202" s="363">
        <v>5341787190</v>
      </c>
      <c r="B202" s="363" t="s">
        <v>613</v>
      </c>
      <c r="C202" s="216" t="s">
        <v>511</v>
      </c>
      <c r="D202" s="216">
        <v>3</v>
      </c>
      <c r="E202" s="216">
        <v>31</v>
      </c>
      <c r="F202" s="216"/>
      <c r="G202" s="216"/>
      <c r="H202" s="60">
        <f t="shared" si="5"/>
        <v>3.870967741935484</v>
      </c>
      <c r="I202" s="363"/>
    </row>
    <row r="203" spans="1:27" ht="15.75" customHeight="1" x14ac:dyDescent="0.45">
      <c r="A203" s="363">
        <v>6505988190</v>
      </c>
      <c r="B203" s="363" t="s">
        <v>614</v>
      </c>
      <c r="C203" s="216" t="s">
        <v>511</v>
      </c>
      <c r="D203" s="216">
        <v>2</v>
      </c>
      <c r="E203" s="216"/>
      <c r="F203" s="216"/>
      <c r="G203" s="216"/>
      <c r="H203" s="60" t="e">
        <f t="shared" si="5"/>
        <v>#DIV/0!</v>
      </c>
      <c r="I203" s="363"/>
    </row>
    <row r="204" spans="1:27" ht="15.75" customHeight="1" x14ac:dyDescent="0.45">
      <c r="A204" s="363">
        <v>4618807190</v>
      </c>
      <c r="B204" s="363" t="s">
        <v>615</v>
      </c>
      <c r="C204" s="216" t="s">
        <v>511</v>
      </c>
      <c r="D204" s="216">
        <v>8</v>
      </c>
      <c r="E204" s="216">
        <v>56</v>
      </c>
      <c r="F204" s="216"/>
      <c r="G204" s="216"/>
      <c r="H204" s="60">
        <f t="shared" si="5"/>
        <v>0.8035714285714286</v>
      </c>
      <c r="I204" s="363"/>
    </row>
    <row r="205" spans="1:27" ht="15.75" customHeight="1" x14ac:dyDescent="0.45">
      <c r="A205" s="363">
        <v>9787518190</v>
      </c>
      <c r="B205" s="363" t="s">
        <v>616</v>
      </c>
      <c r="C205" s="216" t="s">
        <v>511</v>
      </c>
      <c r="D205" s="216">
        <v>4</v>
      </c>
      <c r="E205" s="216">
        <v>56</v>
      </c>
      <c r="F205" s="216"/>
      <c r="G205" s="216"/>
      <c r="H205" s="60">
        <f t="shared" si="5"/>
        <v>1.6071428571428572</v>
      </c>
      <c r="I205" s="363"/>
    </row>
    <row r="206" spans="1:27" ht="15.75" customHeight="1" x14ac:dyDescent="0.45">
      <c r="A206" s="363">
        <v>9345302190</v>
      </c>
      <c r="B206" s="363" t="s">
        <v>617</v>
      </c>
      <c r="C206" s="216" t="s">
        <v>511</v>
      </c>
      <c r="D206" s="216">
        <v>3</v>
      </c>
      <c r="E206" s="216">
        <v>21</v>
      </c>
      <c r="F206" s="216"/>
      <c r="G206" s="216"/>
      <c r="H206" s="60">
        <f t="shared" si="5"/>
        <v>5.7142857142857144</v>
      </c>
      <c r="I206" s="363"/>
    </row>
    <row r="207" spans="1:27" ht="15.75" customHeight="1" x14ac:dyDescent="0.45">
      <c r="A207" s="363">
        <v>6923364190</v>
      </c>
      <c r="B207" s="363" t="s">
        <v>618</v>
      </c>
      <c r="C207" s="216" t="s">
        <v>511</v>
      </c>
      <c r="D207" s="216">
        <v>2</v>
      </c>
      <c r="E207" s="216">
        <v>168</v>
      </c>
      <c r="F207" s="216"/>
      <c r="G207" s="216"/>
      <c r="H207" s="60">
        <f t="shared" si="5"/>
        <v>1.0714285714285714</v>
      </c>
      <c r="I207" s="363"/>
    </row>
    <row r="208" spans="1:27" ht="15.75" customHeight="1" x14ac:dyDescent="0.45">
      <c r="A208" s="363">
        <v>5042666191</v>
      </c>
      <c r="B208" s="363" t="s">
        <v>619</v>
      </c>
      <c r="C208" s="216" t="s">
        <v>511</v>
      </c>
      <c r="D208" s="216">
        <v>2</v>
      </c>
      <c r="E208" s="216">
        <v>28</v>
      </c>
      <c r="F208" s="216"/>
      <c r="G208" s="216"/>
      <c r="H208" s="60">
        <f t="shared" si="5"/>
        <v>6.4285714285714288</v>
      </c>
      <c r="I208" s="363"/>
    </row>
    <row r="209" spans="1:9" ht="15.75" customHeight="1" x14ac:dyDescent="0.45">
      <c r="A209" s="363">
        <v>4618823190</v>
      </c>
      <c r="B209" s="363" t="s">
        <v>620</v>
      </c>
      <c r="C209" s="216" t="s">
        <v>511</v>
      </c>
      <c r="D209" s="216">
        <v>8</v>
      </c>
      <c r="E209" s="216">
        <v>56</v>
      </c>
      <c r="F209" s="216"/>
      <c r="G209" s="216"/>
      <c r="H209" s="60">
        <f t="shared" si="5"/>
        <v>0.8035714285714286</v>
      </c>
      <c r="I209" s="363"/>
    </row>
    <row r="210" spans="1:9" ht="15.75" customHeight="1" x14ac:dyDescent="0.45">
      <c r="A210" s="363">
        <v>5802580190</v>
      </c>
      <c r="B210" s="363" t="s">
        <v>621</v>
      </c>
      <c r="C210" s="216" t="s">
        <v>511</v>
      </c>
      <c r="D210" s="216">
        <v>3</v>
      </c>
      <c r="E210" s="216">
        <v>56</v>
      </c>
      <c r="F210" s="216"/>
      <c r="G210" s="216"/>
      <c r="H210" s="60">
        <f t="shared" si="5"/>
        <v>2.1428571428571428</v>
      </c>
      <c r="I210" s="363"/>
    </row>
    <row r="211" spans="1:9" ht="15.75" customHeight="1" x14ac:dyDescent="0.45">
      <c r="A211" s="363">
        <v>4618866190</v>
      </c>
      <c r="B211" s="363" t="s">
        <v>622</v>
      </c>
      <c r="C211" s="216" t="s">
        <v>511</v>
      </c>
      <c r="D211" s="216">
        <v>8</v>
      </c>
      <c r="E211" s="216">
        <v>56</v>
      </c>
      <c r="F211" s="216"/>
      <c r="G211" s="216"/>
      <c r="H211" s="60">
        <f t="shared" si="5"/>
        <v>0.8035714285714286</v>
      </c>
      <c r="I211" s="363"/>
    </row>
    <row r="212" spans="1:9" ht="15.75" customHeight="1" x14ac:dyDescent="0.45">
      <c r="A212" s="363">
        <v>5095107190</v>
      </c>
      <c r="B212" s="363" t="s">
        <v>623</v>
      </c>
      <c r="C212" s="216" t="s">
        <v>511</v>
      </c>
      <c r="D212" s="216">
        <v>2</v>
      </c>
      <c r="E212" s="216">
        <v>84</v>
      </c>
      <c r="F212" s="216"/>
      <c r="G212" s="216"/>
      <c r="H212" s="60">
        <f t="shared" si="5"/>
        <v>2.1428571428571428</v>
      </c>
      <c r="I212" s="363"/>
    </row>
    <row r="213" spans="1:9" ht="15.75" customHeight="1" x14ac:dyDescent="0.45">
      <c r="A213" s="363">
        <v>11776452122</v>
      </c>
      <c r="B213" s="363" t="s">
        <v>624</v>
      </c>
      <c r="C213" s="216" t="s">
        <v>511</v>
      </c>
      <c r="D213" s="216">
        <v>2</v>
      </c>
      <c r="E213" s="216">
        <v>28</v>
      </c>
      <c r="F213" s="216"/>
      <c r="G213" s="216"/>
      <c r="H213" s="60">
        <f t="shared" si="5"/>
        <v>6.4285714285714288</v>
      </c>
      <c r="I213" s="363"/>
    </row>
    <row r="214" spans="1:9" ht="15.75" customHeight="1" x14ac:dyDescent="0.45">
      <c r="A214" s="363">
        <v>11731416190</v>
      </c>
      <c r="B214" s="363" t="s">
        <v>625</v>
      </c>
      <c r="C214" s="216" t="s">
        <v>511</v>
      </c>
      <c r="D214" s="216">
        <v>2</v>
      </c>
      <c r="E214" s="216">
        <v>28</v>
      </c>
      <c r="F214" s="216"/>
      <c r="G214" s="216"/>
      <c r="H214" s="60">
        <f t="shared" si="5"/>
        <v>6.4285714285714288</v>
      </c>
      <c r="I214" s="363"/>
    </row>
    <row r="215" spans="1:9" ht="15.75" customHeight="1" x14ac:dyDescent="0.45">
      <c r="A215" s="363">
        <v>5618860190</v>
      </c>
      <c r="B215" s="363" t="s">
        <v>626</v>
      </c>
      <c r="C215" s="216" t="s">
        <v>511</v>
      </c>
      <c r="D215" s="216">
        <v>2</v>
      </c>
      <c r="E215" s="216">
        <v>28</v>
      </c>
      <c r="F215" s="216"/>
      <c r="G215" s="216"/>
      <c r="H215" s="60">
        <f t="shared" si="5"/>
        <v>6.4285714285714288</v>
      </c>
      <c r="I215" s="363"/>
    </row>
    <row r="216" spans="1:9" ht="15.75" customHeight="1" x14ac:dyDescent="0.45">
      <c r="A216" s="363">
        <v>9038124190</v>
      </c>
      <c r="B216" s="363" t="s">
        <v>627</v>
      </c>
      <c r="C216" s="216" t="s">
        <v>511</v>
      </c>
      <c r="D216" s="216">
        <v>3</v>
      </c>
      <c r="E216" s="216">
        <v>31</v>
      </c>
      <c r="F216" s="216"/>
      <c r="G216" s="216"/>
      <c r="H216" s="60">
        <f t="shared" si="5"/>
        <v>3.870967741935484</v>
      </c>
      <c r="I216" s="363"/>
    </row>
    <row r="217" spans="1:9" ht="15.75" customHeight="1" x14ac:dyDescent="0.45">
      <c r="A217" s="384" t="s">
        <v>8</v>
      </c>
      <c r="B217" s="380"/>
      <c r="C217" s="380"/>
      <c r="D217" s="380" t="s">
        <v>183</v>
      </c>
      <c r="E217" s="380" t="s">
        <v>649</v>
      </c>
      <c r="F217" s="382"/>
      <c r="G217" s="379" t="s">
        <v>53</v>
      </c>
      <c r="H217" s="524" t="s">
        <v>52</v>
      </c>
      <c r="I217" s="379" t="s">
        <v>51</v>
      </c>
    </row>
    <row r="218" spans="1:9" ht="15.75" customHeight="1" x14ac:dyDescent="0.45">
      <c r="A218" s="363">
        <v>11706802001</v>
      </c>
      <c r="B218" s="363" t="s">
        <v>628</v>
      </c>
      <c r="C218" s="216" t="s">
        <v>511</v>
      </c>
      <c r="D218" s="216">
        <v>1</v>
      </c>
      <c r="E218" s="216">
        <v>365</v>
      </c>
      <c r="F218" s="57"/>
      <c r="G218" s="57"/>
      <c r="H218" s="60">
        <f t="shared" si="5"/>
        <v>0.98630136986301364</v>
      </c>
      <c r="I218" s="363"/>
    </row>
    <row r="219" spans="1:9" ht="15.75" customHeight="1" x14ac:dyDescent="0.45">
      <c r="A219" s="363">
        <v>11706799001</v>
      </c>
      <c r="B219" s="363" t="s">
        <v>629</v>
      </c>
      <c r="C219" s="216" t="s">
        <v>511</v>
      </c>
      <c r="D219" s="216">
        <v>1</v>
      </c>
      <c r="E219" s="216">
        <v>365</v>
      </c>
      <c r="F219" s="57"/>
      <c r="G219" s="57"/>
      <c r="H219" s="60">
        <f t="shared" si="5"/>
        <v>0.98630136986301364</v>
      </c>
      <c r="I219" s="363"/>
    </row>
    <row r="220" spans="1:9" ht="15.75" customHeight="1" x14ac:dyDescent="0.45">
      <c r="A220" s="363">
        <v>4444191001</v>
      </c>
      <c r="B220" s="363" t="s">
        <v>630</v>
      </c>
      <c r="C220" s="216" t="s">
        <v>511</v>
      </c>
      <c r="D220" s="216">
        <v>1</v>
      </c>
      <c r="E220" s="216">
        <v>365</v>
      </c>
      <c r="F220" s="57"/>
      <c r="G220" s="57"/>
      <c r="H220" s="60">
        <f t="shared" si="5"/>
        <v>0.98630136986301364</v>
      </c>
      <c r="I220" s="363"/>
    </row>
    <row r="221" spans="1:9" ht="15.75" customHeight="1" x14ac:dyDescent="0.45">
      <c r="A221" s="363">
        <v>11662970122</v>
      </c>
      <c r="B221" s="363" t="s">
        <v>631</v>
      </c>
      <c r="C221" s="216" t="s">
        <v>511</v>
      </c>
      <c r="D221" s="216">
        <v>6</v>
      </c>
      <c r="E221" s="216">
        <v>28</v>
      </c>
      <c r="F221" s="57"/>
      <c r="G221" s="57"/>
      <c r="H221" s="60">
        <f t="shared" si="5"/>
        <v>2.1428571428571428</v>
      </c>
      <c r="I221" s="363"/>
    </row>
    <row r="222" spans="1:9" ht="15.75" customHeight="1" x14ac:dyDescent="0.45">
      <c r="A222" s="363">
        <v>11662988122</v>
      </c>
      <c r="B222" s="363" t="s">
        <v>632</v>
      </c>
      <c r="C222" s="216" t="s">
        <v>511</v>
      </c>
      <c r="D222" s="216">
        <v>6</v>
      </c>
      <c r="E222" s="216">
        <v>28</v>
      </c>
      <c r="F222" s="57"/>
      <c r="G222" s="57"/>
      <c r="H222" s="60">
        <f t="shared" si="5"/>
        <v>2.1428571428571428</v>
      </c>
      <c r="I222" s="363"/>
    </row>
    <row r="223" spans="1:9" ht="15.75" customHeight="1" x14ac:dyDescent="0.45">
      <c r="A223" s="363">
        <v>11930346122</v>
      </c>
      <c r="B223" s="363" t="s">
        <v>633</v>
      </c>
      <c r="C223" s="216" t="s">
        <v>511</v>
      </c>
      <c r="D223" s="216">
        <v>1</v>
      </c>
      <c r="E223" s="216">
        <v>168</v>
      </c>
      <c r="F223" s="57"/>
      <c r="G223" s="57"/>
      <c r="H223" s="60">
        <f t="shared" si="5"/>
        <v>2.1428571428571428</v>
      </c>
      <c r="I223" s="363"/>
    </row>
    <row r="224" spans="1:9" ht="15.75" customHeight="1" x14ac:dyDescent="0.45">
      <c r="A224" s="363">
        <v>11298500316</v>
      </c>
      <c r="B224" s="363" t="s">
        <v>634</v>
      </c>
      <c r="C224" s="216" t="s">
        <v>511</v>
      </c>
      <c r="D224" s="216">
        <v>5</v>
      </c>
      <c r="E224" s="216">
        <v>365</v>
      </c>
      <c r="F224" s="57"/>
      <c r="G224" s="57"/>
      <c r="H224" s="60">
        <f t="shared" si="5"/>
        <v>0.19726027397260273</v>
      </c>
      <c r="I224" s="363"/>
    </row>
    <row r="225" spans="1:9" ht="15.75" customHeight="1" x14ac:dyDescent="0.45">
      <c r="A225" s="363">
        <v>5151643001</v>
      </c>
      <c r="B225" s="363" t="s">
        <v>635</v>
      </c>
      <c r="C225" s="216" t="s">
        <v>511</v>
      </c>
      <c r="D225" s="216">
        <v>1</v>
      </c>
      <c r="E225" s="216">
        <v>365</v>
      </c>
      <c r="F225" s="57"/>
      <c r="G225" s="57"/>
      <c r="H225" s="60">
        <f t="shared" si="5"/>
        <v>0.98630136986301364</v>
      </c>
      <c r="I225" s="363"/>
    </row>
    <row r="226" spans="1:9" ht="15.75" customHeight="1" x14ac:dyDescent="0.45">
      <c r="A226" s="363">
        <v>11732277122</v>
      </c>
      <c r="B226" s="363" t="s">
        <v>636</v>
      </c>
      <c r="C226" s="216" t="s">
        <v>511</v>
      </c>
      <c r="D226" s="216">
        <v>2</v>
      </c>
      <c r="E226" s="216">
        <v>84</v>
      </c>
      <c r="F226" s="57"/>
      <c r="G226" s="57"/>
      <c r="H226" s="60">
        <f t="shared" si="5"/>
        <v>2.1428571428571428</v>
      </c>
      <c r="I226" s="363"/>
    </row>
    <row r="227" spans="1:9" ht="15.75" customHeight="1" x14ac:dyDescent="0.45">
      <c r="A227" s="363">
        <v>3183971122</v>
      </c>
      <c r="B227" s="363" t="s">
        <v>637</v>
      </c>
      <c r="C227" s="216" t="s">
        <v>511</v>
      </c>
      <c r="D227" s="216">
        <v>1</v>
      </c>
      <c r="E227" s="216">
        <v>84</v>
      </c>
      <c r="F227" s="57"/>
      <c r="G227" s="57"/>
      <c r="H227" s="60">
        <f t="shared" si="5"/>
        <v>4.2857142857142856</v>
      </c>
      <c r="I227" s="363"/>
    </row>
    <row r="228" spans="1:9" ht="15.75" customHeight="1" x14ac:dyDescent="0.45">
      <c r="A228" s="520">
        <v>11800507001</v>
      </c>
      <c r="B228" s="56" t="s">
        <v>638</v>
      </c>
      <c r="C228" s="57" t="s">
        <v>511</v>
      </c>
      <c r="D228" s="57">
        <v>1</v>
      </c>
      <c r="E228" s="57">
        <v>365</v>
      </c>
      <c r="F228" s="57"/>
      <c r="G228" s="57"/>
      <c r="H228" s="60">
        <f t="shared" si="5"/>
        <v>0.98630136986301364</v>
      </c>
      <c r="I228" s="363"/>
    </row>
    <row r="229" spans="1:9" ht="15.75" customHeight="1" x14ac:dyDescent="0.45"/>
    <row r="230" spans="1:9" ht="15.75" customHeight="1" x14ac:dyDescent="0.45"/>
    <row r="231" spans="1:9" ht="15.75" customHeight="1" x14ac:dyDescent="0.45"/>
    <row r="232" spans="1:9" ht="15.75" customHeight="1" x14ac:dyDescent="0.45"/>
    <row r="233" spans="1:9" ht="15.75" customHeight="1" x14ac:dyDescent="0.45"/>
    <row r="234" spans="1:9" ht="15.75" customHeight="1" x14ac:dyDescent="0.45"/>
    <row r="235" spans="1:9" ht="15.75" customHeight="1" x14ac:dyDescent="0.45"/>
    <row r="236" spans="1:9" ht="15.75" customHeight="1" x14ac:dyDescent="0.45"/>
    <row r="237" spans="1:9" ht="15.75" customHeight="1" x14ac:dyDescent="0.45"/>
    <row r="238" spans="1:9" ht="15.75" customHeight="1" x14ac:dyDescent="0.45"/>
    <row r="239" spans="1:9" ht="15.75" customHeight="1" x14ac:dyDescent="0.45"/>
    <row r="240" spans="1:9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</sheetData>
  <mergeCells count="1">
    <mergeCell ref="A103:E10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EB1F6-7A3B-44C2-AA63-E6FA833DA784}">
  <dimension ref="A1:AC983"/>
  <sheetViews>
    <sheetView topLeftCell="A176" zoomScale="85" zoomScaleNormal="85" workbookViewId="0">
      <selection activeCell="A202" sqref="A202:XFD202"/>
    </sheetView>
  </sheetViews>
  <sheetFormatPr baseColWidth="10" defaultColWidth="14.3984375" defaultRowHeight="14.25" x14ac:dyDescent="0.45"/>
  <cols>
    <col min="1" max="1" width="17.796875" bestFit="1" customWidth="1"/>
    <col min="2" max="2" width="9.59765625" bestFit="1" customWidth="1"/>
    <col min="3" max="3" width="28.06640625" bestFit="1" customWidth="1"/>
    <col min="4" max="4" width="34.1328125" bestFit="1" customWidth="1"/>
    <col min="5" max="5" width="9.59765625" style="21" bestFit="1" customWidth="1"/>
    <col min="6" max="6" width="11.3984375" style="21" bestFit="1" customWidth="1"/>
    <col min="7" max="7" width="9.19921875" style="21" bestFit="1" customWidth="1"/>
    <col min="8" max="8" width="14.6640625" style="21" bestFit="1" customWidth="1"/>
    <col min="9" max="9" width="17.19921875" style="21" bestFit="1" customWidth="1"/>
    <col min="10" max="10" width="15" bestFit="1" customWidth="1"/>
    <col min="11" max="11" width="1.33203125" style="21" bestFit="1" customWidth="1"/>
    <col min="12" max="12" width="16.86328125" style="21" bestFit="1" customWidth="1"/>
    <col min="13" max="13" width="7.06640625" bestFit="1" customWidth="1"/>
    <col min="14" max="14" width="7.86328125" bestFit="1" customWidth="1"/>
    <col min="15" max="15" width="11.73046875" bestFit="1" customWidth="1"/>
    <col min="16" max="16" width="11.3984375" bestFit="1" customWidth="1"/>
    <col min="17" max="17" width="10.19921875" bestFit="1" customWidth="1"/>
    <col min="18" max="18" width="6.06640625" bestFit="1" customWidth="1"/>
    <col min="19" max="19" width="7.9296875" bestFit="1" customWidth="1"/>
    <col min="20" max="20" width="11.73046875" bestFit="1" customWidth="1"/>
    <col min="21" max="21" width="10.86328125" bestFit="1" customWidth="1"/>
  </cols>
  <sheetData>
    <row r="1" spans="1:29" ht="15.75" customHeight="1" x14ac:dyDescent="0.45">
      <c r="B1" s="254" t="s">
        <v>60</v>
      </c>
      <c r="E1" s="268"/>
      <c r="F1" s="268"/>
      <c r="G1" s="268"/>
      <c r="H1" s="268"/>
      <c r="I1" s="268"/>
      <c r="J1" s="97"/>
      <c r="K1" s="251"/>
      <c r="L1" s="251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</row>
    <row r="2" spans="1:29" ht="15.75" customHeight="1" x14ac:dyDescent="0.45">
      <c r="B2" s="254" t="s">
        <v>184</v>
      </c>
      <c r="E2" s="268"/>
      <c r="F2" s="268"/>
      <c r="G2" s="268"/>
      <c r="H2" s="268"/>
      <c r="I2" s="268"/>
      <c r="J2" s="97"/>
      <c r="K2" s="251"/>
      <c r="L2" s="251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</row>
    <row r="3" spans="1:29" ht="15.75" customHeight="1" x14ac:dyDescent="0.45">
      <c r="B3" s="254" t="s">
        <v>185</v>
      </c>
      <c r="E3" s="269"/>
      <c r="F3" s="269"/>
      <c r="G3" s="269"/>
      <c r="H3" s="269"/>
      <c r="I3" s="269"/>
      <c r="J3" s="97"/>
      <c r="K3" s="251"/>
      <c r="L3" s="251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</row>
    <row r="4" spans="1:29" ht="15.75" customHeight="1" x14ac:dyDescent="0.45">
      <c r="B4" s="254" t="s">
        <v>186</v>
      </c>
      <c r="D4" s="256" t="s">
        <v>187</v>
      </c>
      <c r="G4" s="268"/>
      <c r="H4" s="268"/>
      <c r="I4" s="268"/>
      <c r="J4" s="97"/>
      <c r="K4" s="251"/>
      <c r="L4" s="251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</row>
    <row r="5" spans="1:29" ht="15.75" customHeight="1" x14ac:dyDescent="0.45">
      <c r="B5" s="254" t="s">
        <v>188</v>
      </c>
      <c r="D5" s="256" t="s">
        <v>187</v>
      </c>
      <c r="G5" s="268"/>
      <c r="H5" s="268"/>
      <c r="I5" s="268"/>
      <c r="J5" s="97"/>
      <c r="K5" s="251"/>
      <c r="L5" s="251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</row>
    <row r="6" spans="1:29" ht="15.75" customHeight="1" x14ac:dyDescent="0.45">
      <c r="B6" s="257" t="s">
        <v>189</v>
      </c>
      <c r="C6" s="258" t="s">
        <v>321</v>
      </c>
      <c r="D6" s="259"/>
      <c r="E6" s="270"/>
      <c r="F6" s="270"/>
      <c r="G6" s="270"/>
      <c r="H6" s="270"/>
      <c r="I6" s="270"/>
      <c r="J6" s="97"/>
      <c r="K6" s="251"/>
      <c r="L6" s="251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</row>
    <row r="7" spans="1:29" ht="15.75" customHeight="1" x14ac:dyDescent="0.45">
      <c r="B7" s="102"/>
      <c r="C7" s="97"/>
      <c r="D7" s="97"/>
      <c r="E7" s="251"/>
      <c r="F7" s="251"/>
      <c r="G7" s="251"/>
      <c r="H7" s="251"/>
      <c r="I7" s="251"/>
      <c r="J7" s="97"/>
      <c r="K7" s="251"/>
      <c r="L7" s="251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</row>
    <row r="8" spans="1:29" s="277" customFormat="1" ht="42" x14ac:dyDescent="0.45">
      <c r="B8" s="377" t="s">
        <v>191</v>
      </c>
      <c r="C8" s="377" t="s">
        <v>192</v>
      </c>
      <c r="D8" s="377" t="s">
        <v>322</v>
      </c>
      <c r="E8" s="377" t="s">
        <v>55</v>
      </c>
      <c r="F8" s="377" t="s">
        <v>54</v>
      </c>
      <c r="G8" s="377" t="s">
        <v>193</v>
      </c>
      <c r="H8" s="377" t="s">
        <v>53</v>
      </c>
      <c r="I8" s="377" t="s">
        <v>52</v>
      </c>
      <c r="J8" s="377" t="s">
        <v>51</v>
      </c>
      <c r="K8" s="377"/>
      <c r="L8" s="377" t="s">
        <v>50</v>
      </c>
      <c r="M8" s="377" t="s">
        <v>49</v>
      </c>
      <c r="N8" s="377" t="s">
        <v>48</v>
      </c>
      <c r="O8" s="280" t="s">
        <v>162</v>
      </c>
      <c r="P8" s="281" t="s">
        <v>163</v>
      </c>
      <c r="Q8" s="281" t="s">
        <v>165</v>
      </c>
      <c r="R8" s="282" t="s">
        <v>169</v>
      </c>
      <c r="S8" s="282" t="s">
        <v>164</v>
      </c>
      <c r="T8" s="279" t="s">
        <v>47</v>
      </c>
      <c r="U8" s="19" t="s">
        <v>46</v>
      </c>
      <c r="V8" s="98"/>
      <c r="W8" s="98"/>
      <c r="X8" s="98"/>
      <c r="Y8" s="98"/>
      <c r="Z8" s="98"/>
      <c r="AA8" s="98"/>
      <c r="AB8" s="98"/>
      <c r="AC8" s="98"/>
    </row>
    <row r="9" spans="1:29" ht="15.75" customHeight="1" x14ac:dyDescent="0.45">
      <c r="A9" s="376" t="s">
        <v>639</v>
      </c>
      <c r="B9" s="283">
        <v>8946710190</v>
      </c>
      <c r="C9" s="284" t="s">
        <v>323</v>
      </c>
      <c r="D9" s="285" t="s">
        <v>324</v>
      </c>
      <c r="E9" s="194">
        <v>100</v>
      </c>
      <c r="F9" s="194">
        <v>84</v>
      </c>
      <c r="G9" s="386">
        <f>'e411'!F9</f>
        <v>0</v>
      </c>
      <c r="H9" s="219">
        <f>G9/E9</f>
        <v>0</v>
      </c>
      <c r="I9" s="219">
        <f>(30*BC!$B$47/F9)</f>
        <v>0</v>
      </c>
      <c r="J9" s="285">
        <f>IF(I9&gt;H9,I9,H9)</f>
        <v>0</v>
      </c>
      <c r="K9" s="194">
        <f>IF(H9=0,0,J9)</f>
        <v>0</v>
      </c>
      <c r="L9" s="194">
        <f>ROUNDUP(K9,0)</f>
        <v>0</v>
      </c>
      <c r="M9" s="364">
        <v>1329</v>
      </c>
      <c r="N9" s="365">
        <f>M9*L9</f>
        <v>0</v>
      </c>
      <c r="O9" s="371">
        <f>M9/E9</f>
        <v>13.29</v>
      </c>
      <c r="P9" s="374" t="e">
        <f>(O9+$N$231)+((BC!$F$125)/$G$103)</f>
        <v>#DIV/0!</v>
      </c>
      <c r="Q9" s="374" t="e">
        <f>P9*G9</f>
        <v>#DIV/0!</v>
      </c>
      <c r="R9" s="375" t="e">
        <f>((P9*0.15)+P9)</f>
        <v>#DIV/0!</v>
      </c>
      <c r="S9" s="375" t="e">
        <f>R9*G9</f>
        <v>#DIV/0!</v>
      </c>
      <c r="T9" s="375" t="e">
        <f>SUM(S9:S102)</f>
        <v>#DIV/0!</v>
      </c>
      <c r="U9" s="374" t="e">
        <f>SUM(Q9:Q102)</f>
        <v>#DIV/0!</v>
      </c>
      <c r="V9" s="256"/>
      <c r="W9" s="256"/>
      <c r="X9" s="256"/>
      <c r="Y9" s="256"/>
      <c r="Z9" s="256"/>
      <c r="AA9" s="256"/>
      <c r="AB9" s="256"/>
      <c r="AC9" s="256"/>
    </row>
    <row r="10" spans="1:29" ht="15.75" customHeight="1" x14ac:dyDescent="0.45">
      <c r="A10" s="263">
        <f>G9+G37+G58+G66+G74+G86</f>
        <v>0</v>
      </c>
      <c r="B10" s="287">
        <v>9015060190</v>
      </c>
      <c r="C10" s="288" t="s">
        <v>325</v>
      </c>
      <c r="D10" s="220" t="s">
        <v>326</v>
      </c>
      <c r="E10" s="219">
        <v>100</v>
      </c>
      <c r="F10" s="219">
        <v>56</v>
      </c>
      <c r="G10" s="386">
        <f>'e411'!F10</f>
        <v>0</v>
      </c>
      <c r="H10" s="219">
        <f t="shared" ref="H10:H69" si="0">G10/E10</f>
        <v>0</v>
      </c>
      <c r="I10" s="219">
        <f>(30*BC!$B$47/F10)</f>
        <v>0</v>
      </c>
      <c r="J10" s="285">
        <f t="shared" ref="J10:J69" si="1">IF(I10&gt;H10,I10,H10)</f>
        <v>0</v>
      </c>
      <c r="K10" s="194">
        <f t="shared" ref="K10:K69" si="2">IF(H10=0,0,J10)</f>
        <v>0</v>
      </c>
      <c r="L10" s="194">
        <f t="shared" ref="L10:L69" si="3">ROUNDUP(K10,0)</f>
        <v>0</v>
      </c>
      <c r="M10" s="364">
        <v>157</v>
      </c>
      <c r="N10" s="365">
        <f t="shared" ref="N10:N69" si="4">M10*L10</f>
        <v>0</v>
      </c>
      <c r="O10" s="371">
        <f t="shared" ref="O10:O69" si="5">M10/E10</f>
        <v>1.57</v>
      </c>
      <c r="P10" s="374" t="e">
        <f>(O10+$N$231)+((BC!$F$125)/$G$103)</f>
        <v>#DIV/0!</v>
      </c>
      <c r="Q10" s="374" t="e">
        <f t="shared" ref="Q10:Q69" si="6">P10*G10</f>
        <v>#DIV/0!</v>
      </c>
      <c r="R10" s="375" t="e">
        <f t="shared" ref="R10:R69" si="7">((P10*0.15)+P10)</f>
        <v>#DIV/0!</v>
      </c>
      <c r="S10" s="375" t="e">
        <f t="shared" ref="S10:S69" si="8">R10*G10</f>
        <v>#DIV/0!</v>
      </c>
      <c r="T10" s="373"/>
      <c r="U10" s="373"/>
      <c r="V10" s="97"/>
      <c r="W10" s="97"/>
      <c r="X10" s="97"/>
      <c r="Y10" s="97"/>
      <c r="Z10" s="97"/>
      <c r="AA10" s="97"/>
      <c r="AB10" s="97"/>
      <c r="AC10" s="97"/>
    </row>
    <row r="11" spans="1:29" ht="15.75" customHeight="1" x14ac:dyDescent="0.45">
      <c r="B11" s="283">
        <v>10059516190</v>
      </c>
      <c r="C11" s="289" t="s">
        <v>640</v>
      </c>
      <c r="D11" s="220" t="s">
        <v>327</v>
      </c>
      <c r="E11" s="194">
        <v>100</v>
      </c>
      <c r="F11" s="194"/>
      <c r="G11" s="386">
        <f>'e411'!F11</f>
        <v>0</v>
      </c>
      <c r="H11" s="219">
        <f t="shared" si="0"/>
        <v>0</v>
      </c>
      <c r="I11" s="219" t="e">
        <f>(30*BC!$B$47/F11)</f>
        <v>#DIV/0!</v>
      </c>
      <c r="J11" s="285" t="e">
        <f t="shared" si="1"/>
        <v>#DIV/0!</v>
      </c>
      <c r="K11" s="194">
        <f t="shared" si="2"/>
        <v>0</v>
      </c>
      <c r="L11" s="194">
        <f t="shared" si="3"/>
        <v>0</v>
      </c>
      <c r="M11" s="366">
        <v>1882</v>
      </c>
      <c r="N11" s="365">
        <f t="shared" si="4"/>
        <v>0</v>
      </c>
      <c r="O11" s="371">
        <f t="shared" si="5"/>
        <v>18.82</v>
      </c>
      <c r="P11" s="374" t="e">
        <f>(O11+$N$231)+((BC!$F$125)/$G$103)</f>
        <v>#DIV/0!</v>
      </c>
      <c r="Q11" s="374" t="e">
        <f t="shared" si="6"/>
        <v>#DIV/0!</v>
      </c>
      <c r="R11" s="375" t="e">
        <f t="shared" si="7"/>
        <v>#DIV/0!</v>
      </c>
      <c r="S11" s="375" t="e">
        <f t="shared" si="8"/>
        <v>#DIV/0!</v>
      </c>
      <c r="T11" s="373"/>
      <c r="U11" s="373"/>
      <c r="V11" s="97"/>
      <c r="W11" s="97"/>
      <c r="X11" s="97"/>
      <c r="Y11" s="97"/>
      <c r="Z11" s="97"/>
      <c r="AA11" s="97"/>
      <c r="AB11" s="97"/>
      <c r="AC11" s="97"/>
    </row>
    <row r="12" spans="1:29" ht="15.75" customHeight="1" x14ac:dyDescent="0.45">
      <c r="A12" s="260" t="s">
        <v>641</v>
      </c>
      <c r="B12" s="287">
        <v>6368590190</v>
      </c>
      <c r="C12" s="290" t="s">
        <v>328</v>
      </c>
      <c r="D12" s="220" t="s">
        <v>329</v>
      </c>
      <c r="E12" s="219">
        <v>100</v>
      </c>
      <c r="F12" s="219">
        <v>15</v>
      </c>
      <c r="G12" s="386">
        <f>'e411'!F12</f>
        <v>0</v>
      </c>
      <c r="H12" s="219">
        <f t="shared" si="0"/>
        <v>0</v>
      </c>
      <c r="I12" s="219">
        <f>(30*BC!$B$47/F12)</f>
        <v>0</v>
      </c>
      <c r="J12" s="285">
        <f t="shared" si="1"/>
        <v>0</v>
      </c>
      <c r="K12" s="194">
        <f t="shared" si="2"/>
        <v>0</v>
      </c>
      <c r="L12" s="194">
        <f t="shared" si="3"/>
        <v>0</v>
      </c>
      <c r="M12" s="364">
        <v>548</v>
      </c>
      <c r="N12" s="365">
        <f t="shared" si="4"/>
        <v>0</v>
      </c>
      <c r="O12" s="371">
        <f t="shared" si="5"/>
        <v>5.48</v>
      </c>
      <c r="P12" s="374" t="e">
        <f>(O12+$N$231)+((BC!$F$125)/$G$103)</f>
        <v>#DIV/0!</v>
      </c>
      <c r="Q12" s="374" t="e">
        <f t="shared" si="6"/>
        <v>#DIV/0!</v>
      </c>
      <c r="R12" s="375" t="e">
        <f t="shared" si="7"/>
        <v>#DIV/0!</v>
      </c>
      <c r="S12" s="375" t="e">
        <f t="shared" si="8"/>
        <v>#DIV/0!</v>
      </c>
      <c r="T12" s="373"/>
      <c r="U12" s="373"/>
      <c r="V12" s="97"/>
      <c r="W12" s="97"/>
      <c r="X12" s="97"/>
      <c r="Y12" s="97"/>
      <c r="Z12" s="97"/>
      <c r="AA12" s="97"/>
      <c r="AB12" s="97"/>
      <c r="AC12" s="97"/>
    </row>
    <row r="13" spans="1:29" ht="15.75" customHeight="1" x14ac:dyDescent="0.45">
      <c r="A13" s="260">
        <f>G12+G23+G24</f>
        <v>0</v>
      </c>
      <c r="B13" s="283">
        <v>5031656190</v>
      </c>
      <c r="C13" s="291" t="s">
        <v>330</v>
      </c>
      <c r="D13" s="285" t="s">
        <v>331</v>
      </c>
      <c r="E13" s="194">
        <v>100</v>
      </c>
      <c r="F13" s="194">
        <v>28</v>
      </c>
      <c r="G13" s="386">
        <f>'e411'!F13</f>
        <v>0</v>
      </c>
      <c r="H13" s="219">
        <f t="shared" si="0"/>
        <v>0</v>
      </c>
      <c r="I13" s="219">
        <f>(30*BC!$B$47/F13)</f>
        <v>0</v>
      </c>
      <c r="J13" s="285">
        <f t="shared" si="1"/>
        <v>0</v>
      </c>
      <c r="K13" s="194">
        <f t="shared" si="2"/>
        <v>0</v>
      </c>
      <c r="L13" s="194">
        <f t="shared" si="3"/>
        <v>0</v>
      </c>
      <c r="M13" s="364">
        <v>861</v>
      </c>
      <c r="N13" s="365">
        <f t="shared" si="4"/>
        <v>0</v>
      </c>
      <c r="O13" s="371">
        <f t="shared" si="5"/>
        <v>8.61</v>
      </c>
      <c r="P13" s="374" t="e">
        <f>(O13+$N$231)+((BC!$F$125)/$G$103)</f>
        <v>#DIV/0!</v>
      </c>
      <c r="Q13" s="374" t="e">
        <f t="shared" si="6"/>
        <v>#DIV/0!</v>
      </c>
      <c r="R13" s="375" t="e">
        <f t="shared" si="7"/>
        <v>#DIV/0!</v>
      </c>
      <c r="S13" s="375" t="e">
        <f t="shared" si="8"/>
        <v>#DIV/0!</v>
      </c>
      <c r="T13" s="372"/>
      <c r="U13" s="372"/>
      <c r="V13" s="256"/>
      <c r="W13" s="256"/>
      <c r="X13" s="256"/>
      <c r="Y13" s="256"/>
      <c r="Z13" s="256"/>
      <c r="AA13" s="256"/>
      <c r="AB13" s="256"/>
      <c r="AC13" s="256"/>
    </row>
    <row r="14" spans="1:29" ht="15.75" customHeight="1" x14ac:dyDescent="0.45">
      <c r="B14" s="287">
        <v>8086630190</v>
      </c>
      <c r="C14" s="292" t="s">
        <v>332</v>
      </c>
      <c r="D14" s="285" t="s">
        <v>333</v>
      </c>
      <c r="E14" s="219">
        <v>100</v>
      </c>
      <c r="F14" s="219">
        <v>56</v>
      </c>
      <c r="G14" s="386">
        <f>'e411'!F14</f>
        <v>0</v>
      </c>
      <c r="H14" s="219">
        <f t="shared" si="0"/>
        <v>0</v>
      </c>
      <c r="I14" s="219">
        <f>(30*BC!$B$47/F14)</f>
        <v>0</v>
      </c>
      <c r="J14" s="285">
        <f t="shared" si="1"/>
        <v>0</v>
      </c>
      <c r="K14" s="194">
        <f t="shared" si="2"/>
        <v>0</v>
      </c>
      <c r="L14" s="194">
        <f t="shared" si="3"/>
        <v>0</v>
      </c>
      <c r="M14" s="364">
        <v>369</v>
      </c>
      <c r="N14" s="365">
        <f t="shared" si="4"/>
        <v>0</v>
      </c>
      <c r="O14" s="371">
        <f t="shared" si="5"/>
        <v>3.69</v>
      </c>
      <c r="P14" s="374" t="e">
        <f>(O14+$N$231)+((BC!$F$125)/$G$103)</f>
        <v>#DIV/0!</v>
      </c>
      <c r="Q14" s="374" t="e">
        <f t="shared" si="6"/>
        <v>#DIV/0!</v>
      </c>
      <c r="R14" s="375" t="e">
        <f t="shared" si="7"/>
        <v>#DIV/0!</v>
      </c>
      <c r="S14" s="375" t="e">
        <f t="shared" si="8"/>
        <v>#DIV/0!</v>
      </c>
      <c r="T14" s="74"/>
      <c r="U14" s="74"/>
    </row>
    <row r="15" spans="1:29" ht="15.75" customHeight="1" x14ac:dyDescent="0.45">
      <c r="A15" s="261" t="s">
        <v>642</v>
      </c>
      <c r="B15" s="287">
        <v>11820591122</v>
      </c>
      <c r="C15" s="293" t="s">
        <v>334</v>
      </c>
      <c r="D15" s="285" t="s">
        <v>335</v>
      </c>
      <c r="E15" s="219">
        <v>100</v>
      </c>
      <c r="F15" s="219">
        <v>56</v>
      </c>
      <c r="G15" s="386">
        <f>'e411'!F15</f>
        <v>0</v>
      </c>
      <c r="H15" s="219">
        <f t="shared" si="0"/>
        <v>0</v>
      </c>
      <c r="I15" s="219">
        <f>(30*BC!$B$47/F15)</f>
        <v>0</v>
      </c>
      <c r="J15" s="285">
        <f t="shared" si="1"/>
        <v>0</v>
      </c>
      <c r="K15" s="194">
        <f t="shared" si="2"/>
        <v>0</v>
      </c>
      <c r="L15" s="194">
        <f t="shared" si="3"/>
        <v>0</v>
      </c>
      <c r="M15" s="364">
        <v>508</v>
      </c>
      <c r="N15" s="365">
        <f t="shared" si="4"/>
        <v>0</v>
      </c>
      <c r="O15" s="371">
        <f t="shared" si="5"/>
        <v>5.08</v>
      </c>
      <c r="P15" s="374" t="e">
        <f>(O15+$N$231)+((BC!$F$125)/$G$103)</f>
        <v>#DIV/0!</v>
      </c>
      <c r="Q15" s="374" t="e">
        <f t="shared" si="6"/>
        <v>#DIV/0!</v>
      </c>
      <c r="R15" s="375" t="e">
        <f t="shared" si="7"/>
        <v>#DIV/0!</v>
      </c>
      <c r="S15" s="375" t="e">
        <f t="shared" si="8"/>
        <v>#DIV/0!</v>
      </c>
      <c r="T15" s="74"/>
      <c r="U15" s="74"/>
    </row>
    <row r="16" spans="1:29" ht="15.75" customHeight="1" x14ac:dyDescent="0.45">
      <c r="A16" s="261">
        <f>G46+G70+G80+G81+G101</f>
        <v>0</v>
      </c>
      <c r="B16" s="287">
        <v>11820567122</v>
      </c>
      <c r="C16" s="294" t="s">
        <v>336</v>
      </c>
      <c r="D16" s="285" t="s">
        <v>337</v>
      </c>
      <c r="E16" s="219">
        <v>100</v>
      </c>
      <c r="F16" s="219">
        <v>28</v>
      </c>
      <c r="G16" s="386">
        <f>'e411'!F16</f>
        <v>0</v>
      </c>
      <c r="H16" s="219">
        <f t="shared" si="0"/>
        <v>0</v>
      </c>
      <c r="I16" s="219">
        <f>(30*BC!$B$47/F16)</f>
        <v>0</v>
      </c>
      <c r="J16" s="285">
        <f t="shared" si="1"/>
        <v>0</v>
      </c>
      <c r="K16" s="194">
        <f t="shared" si="2"/>
        <v>0</v>
      </c>
      <c r="L16" s="194">
        <f t="shared" si="3"/>
        <v>0</v>
      </c>
      <c r="M16" s="364">
        <v>559</v>
      </c>
      <c r="N16" s="365">
        <f t="shared" si="4"/>
        <v>0</v>
      </c>
      <c r="O16" s="371">
        <f t="shared" si="5"/>
        <v>5.59</v>
      </c>
      <c r="P16" s="374" t="e">
        <f>(O16+$N$231)+((BC!$F$125)/$G$103)</f>
        <v>#DIV/0!</v>
      </c>
      <c r="Q16" s="374" t="e">
        <f t="shared" si="6"/>
        <v>#DIV/0!</v>
      </c>
      <c r="R16" s="375" t="e">
        <f t="shared" si="7"/>
        <v>#DIV/0!</v>
      </c>
      <c r="S16" s="375" t="e">
        <f t="shared" si="8"/>
        <v>#DIV/0!</v>
      </c>
      <c r="T16" s="74"/>
      <c r="U16" s="74"/>
    </row>
    <row r="17" spans="1:29" ht="15.75" customHeight="1" x14ac:dyDescent="0.45">
      <c r="B17" s="287">
        <v>9014918190</v>
      </c>
      <c r="C17" s="295" t="s">
        <v>338</v>
      </c>
      <c r="D17" s="285" t="s">
        <v>339</v>
      </c>
      <c r="E17" s="219">
        <v>100</v>
      </c>
      <c r="F17" s="219">
        <v>56</v>
      </c>
      <c r="G17" s="386">
        <f>'e411'!F17</f>
        <v>0</v>
      </c>
      <c r="H17" s="219">
        <f t="shared" si="0"/>
        <v>0</v>
      </c>
      <c r="I17" s="219">
        <f>(30*BC!$B$47/F17)</f>
        <v>0</v>
      </c>
      <c r="J17" s="285">
        <f t="shared" si="1"/>
        <v>0</v>
      </c>
      <c r="K17" s="194">
        <f t="shared" si="2"/>
        <v>0</v>
      </c>
      <c r="L17" s="194">
        <f t="shared" si="3"/>
        <v>0</v>
      </c>
      <c r="M17" s="364">
        <v>380</v>
      </c>
      <c r="N17" s="365">
        <f t="shared" si="4"/>
        <v>0</v>
      </c>
      <c r="O17" s="371">
        <f t="shared" si="5"/>
        <v>3.8</v>
      </c>
      <c r="P17" s="374" t="e">
        <f>(O17+$N$231)+((BC!$F$125)/$G$103)</f>
        <v>#DIV/0!</v>
      </c>
      <c r="Q17" s="374" t="e">
        <f t="shared" si="6"/>
        <v>#DIV/0!</v>
      </c>
      <c r="R17" s="375" t="e">
        <f t="shared" si="7"/>
        <v>#DIV/0!</v>
      </c>
      <c r="S17" s="375" t="e">
        <f t="shared" si="8"/>
        <v>#DIV/0!</v>
      </c>
      <c r="T17" s="74"/>
      <c r="U17" s="74"/>
    </row>
    <row r="18" spans="1:29" ht="15.75" customHeight="1" x14ac:dyDescent="0.45">
      <c r="A18" s="262" t="s">
        <v>643</v>
      </c>
      <c r="B18" s="287">
        <v>11820613122</v>
      </c>
      <c r="C18" s="296" t="s">
        <v>340</v>
      </c>
      <c r="D18" s="220" t="s">
        <v>341</v>
      </c>
      <c r="E18" s="219">
        <v>100</v>
      </c>
      <c r="F18" s="219">
        <v>56</v>
      </c>
      <c r="G18" s="386">
        <f>'e411'!F18</f>
        <v>0</v>
      </c>
      <c r="H18" s="219">
        <f t="shared" si="0"/>
        <v>0</v>
      </c>
      <c r="I18" s="219">
        <f>(30*BC!$B$47/F18)</f>
        <v>0</v>
      </c>
      <c r="J18" s="285">
        <f t="shared" si="1"/>
        <v>0</v>
      </c>
      <c r="K18" s="194">
        <f t="shared" si="2"/>
        <v>0</v>
      </c>
      <c r="L18" s="194">
        <f t="shared" si="3"/>
        <v>0</v>
      </c>
      <c r="M18" s="364">
        <v>591</v>
      </c>
      <c r="N18" s="365">
        <f t="shared" si="4"/>
        <v>0</v>
      </c>
      <c r="O18" s="371">
        <f t="shared" si="5"/>
        <v>5.91</v>
      </c>
      <c r="P18" s="374" t="e">
        <f>(O18+$N$231)+((BC!$F$125)/$G$103)</f>
        <v>#DIV/0!</v>
      </c>
      <c r="Q18" s="374" t="e">
        <f t="shared" si="6"/>
        <v>#DIV/0!</v>
      </c>
      <c r="R18" s="375" t="e">
        <f t="shared" si="7"/>
        <v>#DIV/0!</v>
      </c>
      <c r="S18" s="375" t="e">
        <f t="shared" si="8"/>
        <v>#DIV/0!</v>
      </c>
      <c r="T18" s="74"/>
      <c r="U18" s="74"/>
    </row>
    <row r="19" spans="1:29" ht="15.75" customHeight="1" x14ac:dyDescent="0.45">
      <c r="A19" s="262">
        <f>G36+G39+G44+G49+G50+G51+G55+G63+G68+G77+G79+G87+G89+G90+G91+G92+G100</f>
        <v>0</v>
      </c>
      <c r="B19" s="287">
        <v>8498598190</v>
      </c>
      <c r="C19" s="297" t="s">
        <v>342</v>
      </c>
      <c r="D19" s="220" t="s">
        <v>343</v>
      </c>
      <c r="E19" s="219">
        <v>100</v>
      </c>
      <c r="F19" s="219">
        <v>56</v>
      </c>
      <c r="G19" s="386">
        <f>'e411'!F19</f>
        <v>0</v>
      </c>
      <c r="H19" s="219">
        <f t="shared" si="0"/>
        <v>0</v>
      </c>
      <c r="I19" s="219">
        <f>(30*BC!$B$47/F19)</f>
        <v>0</v>
      </c>
      <c r="J19" s="285">
        <f t="shared" si="1"/>
        <v>0</v>
      </c>
      <c r="K19" s="194">
        <f t="shared" si="2"/>
        <v>0</v>
      </c>
      <c r="L19" s="194">
        <f t="shared" si="3"/>
        <v>0</v>
      </c>
      <c r="M19" s="364">
        <v>270</v>
      </c>
      <c r="N19" s="365">
        <f t="shared" si="4"/>
        <v>0</v>
      </c>
      <c r="O19" s="371">
        <f t="shared" si="5"/>
        <v>2.7</v>
      </c>
      <c r="P19" s="374" t="e">
        <f>(O19+$N$231)+((BC!$F$125)/$G$103)</f>
        <v>#DIV/0!</v>
      </c>
      <c r="Q19" s="374" t="e">
        <f t="shared" si="6"/>
        <v>#DIV/0!</v>
      </c>
      <c r="R19" s="375" t="e">
        <f t="shared" si="7"/>
        <v>#DIV/0!</v>
      </c>
      <c r="S19" s="375" t="e">
        <f t="shared" si="8"/>
        <v>#DIV/0!</v>
      </c>
      <c r="T19" s="373"/>
      <c r="U19" s="373"/>
      <c r="V19" s="97"/>
      <c r="W19" s="97"/>
      <c r="X19" s="97"/>
      <c r="Y19" s="97"/>
      <c r="Z19" s="97"/>
      <c r="AA19" s="97"/>
      <c r="AB19" s="97"/>
      <c r="AC19" s="97"/>
    </row>
    <row r="20" spans="1:29" ht="15.75" customHeight="1" x14ac:dyDescent="0.45">
      <c r="B20" s="287">
        <v>8836981190</v>
      </c>
      <c r="C20" s="298" t="s">
        <v>344</v>
      </c>
      <c r="D20" s="220" t="s">
        <v>345</v>
      </c>
      <c r="E20" s="219">
        <v>100</v>
      </c>
      <c r="F20" s="219">
        <v>49</v>
      </c>
      <c r="G20" s="386">
        <f>'e411'!F20</f>
        <v>0</v>
      </c>
      <c r="H20" s="219">
        <f t="shared" si="0"/>
        <v>0</v>
      </c>
      <c r="I20" s="219">
        <f>(30*BC!$B$47/F20)</f>
        <v>0</v>
      </c>
      <c r="J20" s="285">
        <f t="shared" si="1"/>
        <v>0</v>
      </c>
      <c r="K20" s="194">
        <f t="shared" si="2"/>
        <v>0</v>
      </c>
      <c r="L20" s="194">
        <f t="shared" si="3"/>
        <v>0</v>
      </c>
      <c r="M20" s="364">
        <v>416</v>
      </c>
      <c r="N20" s="365">
        <f t="shared" si="4"/>
        <v>0</v>
      </c>
      <c r="O20" s="371">
        <f t="shared" si="5"/>
        <v>4.16</v>
      </c>
      <c r="P20" s="374" t="e">
        <f>(O20+$N$231)+((BC!$F$125)/$G$103)</f>
        <v>#DIV/0!</v>
      </c>
      <c r="Q20" s="374" t="e">
        <f t="shared" si="6"/>
        <v>#DIV/0!</v>
      </c>
      <c r="R20" s="375" t="e">
        <f t="shared" si="7"/>
        <v>#DIV/0!</v>
      </c>
      <c r="S20" s="375" t="e">
        <f t="shared" si="8"/>
        <v>#DIV/0!</v>
      </c>
      <c r="T20" s="373"/>
      <c r="U20" s="373"/>
      <c r="V20" s="97"/>
      <c r="W20" s="97"/>
      <c r="X20" s="97"/>
      <c r="Y20" s="97"/>
      <c r="Z20" s="97"/>
      <c r="AA20" s="97"/>
      <c r="AB20" s="97"/>
      <c r="AC20" s="97"/>
    </row>
    <row r="21" spans="1:29" ht="15.75" customHeight="1" x14ac:dyDescent="0.45">
      <c r="A21" s="247" t="s">
        <v>644</v>
      </c>
      <c r="B21" s="287">
        <v>9203095190</v>
      </c>
      <c r="C21" s="299" t="s">
        <v>346</v>
      </c>
      <c r="D21" s="285" t="s">
        <v>347</v>
      </c>
      <c r="E21" s="219">
        <v>200</v>
      </c>
      <c r="F21" s="219">
        <v>28</v>
      </c>
      <c r="G21" s="386">
        <f>'e411'!F21</f>
        <v>0</v>
      </c>
      <c r="H21" s="219">
        <f t="shared" si="0"/>
        <v>0</v>
      </c>
      <c r="I21" s="219">
        <f>(30*BC!$B$47/F21)</f>
        <v>0</v>
      </c>
      <c r="J21" s="285">
        <f t="shared" si="1"/>
        <v>0</v>
      </c>
      <c r="K21" s="194">
        <f t="shared" si="2"/>
        <v>0</v>
      </c>
      <c r="L21" s="194">
        <f t="shared" si="3"/>
        <v>0</v>
      </c>
      <c r="M21" s="364">
        <v>340</v>
      </c>
      <c r="N21" s="365">
        <f t="shared" si="4"/>
        <v>0</v>
      </c>
      <c r="O21" s="371">
        <f t="shared" si="5"/>
        <v>1.7</v>
      </c>
      <c r="P21" s="374" t="e">
        <f>(O21+$N$231)+((BC!$F$125)/$G$103)</f>
        <v>#DIV/0!</v>
      </c>
      <c r="Q21" s="374" t="e">
        <f t="shared" si="6"/>
        <v>#DIV/0!</v>
      </c>
      <c r="R21" s="375" t="e">
        <f t="shared" si="7"/>
        <v>#DIV/0!</v>
      </c>
      <c r="S21" s="375" t="e">
        <f t="shared" si="8"/>
        <v>#DIV/0!</v>
      </c>
      <c r="T21" s="74"/>
      <c r="U21" s="74"/>
    </row>
    <row r="22" spans="1:29" ht="15.75" customHeight="1" x14ac:dyDescent="0.45">
      <c r="A22" s="247">
        <f>G10+G26+G27+G28+G29+G30+G38+G45+G48+G56+G71+G93</f>
        <v>0</v>
      </c>
      <c r="B22" s="287">
        <v>9289267190</v>
      </c>
      <c r="C22" s="300" t="s">
        <v>348</v>
      </c>
      <c r="D22" s="285" t="s">
        <v>349</v>
      </c>
      <c r="E22" s="219">
        <v>200</v>
      </c>
      <c r="F22" s="219">
        <v>28</v>
      </c>
      <c r="G22" s="386">
        <f>'e411'!F22</f>
        <v>0</v>
      </c>
      <c r="H22" s="219">
        <f t="shared" si="0"/>
        <v>0</v>
      </c>
      <c r="I22" s="219">
        <f>(30*BC!$B$47/F22)</f>
        <v>0</v>
      </c>
      <c r="J22" s="285">
        <f t="shared" si="1"/>
        <v>0</v>
      </c>
      <c r="K22" s="194">
        <f t="shared" si="2"/>
        <v>0</v>
      </c>
      <c r="L22" s="194">
        <f t="shared" si="3"/>
        <v>0</v>
      </c>
      <c r="M22" s="364">
        <v>1112</v>
      </c>
      <c r="N22" s="365">
        <f t="shared" si="4"/>
        <v>0</v>
      </c>
      <c r="O22" s="371">
        <f t="shared" si="5"/>
        <v>5.56</v>
      </c>
      <c r="P22" s="374" t="e">
        <f>(O22+$N$231)+((BC!$F$125)/$G$103)</f>
        <v>#DIV/0!</v>
      </c>
      <c r="Q22" s="374" t="e">
        <f t="shared" si="6"/>
        <v>#DIV/0!</v>
      </c>
      <c r="R22" s="375" t="e">
        <f t="shared" si="7"/>
        <v>#DIV/0!</v>
      </c>
      <c r="S22" s="375" t="e">
        <f t="shared" si="8"/>
        <v>#DIV/0!</v>
      </c>
      <c r="T22" s="74"/>
      <c r="U22" s="74"/>
    </row>
    <row r="23" spans="1:29" ht="15.75" customHeight="1" x14ac:dyDescent="0.45">
      <c r="B23" s="287">
        <v>9004998190</v>
      </c>
      <c r="C23" s="290" t="s">
        <v>350</v>
      </c>
      <c r="D23" s="220" t="s">
        <v>351</v>
      </c>
      <c r="E23" s="219">
        <v>100</v>
      </c>
      <c r="F23" s="219">
        <v>42</v>
      </c>
      <c r="G23" s="386">
        <f>'e411'!F23</f>
        <v>0</v>
      </c>
      <c r="H23" s="219">
        <f t="shared" si="0"/>
        <v>0</v>
      </c>
      <c r="I23" s="219">
        <f>(30*BC!$B$47/F23)</f>
        <v>0</v>
      </c>
      <c r="J23" s="285">
        <f t="shared" si="1"/>
        <v>0</v>
      </c>
      <c r="K23" s="194">
        <f t="shared" si="2"/>
        <v>0</v>
      </c>
      <c r="L23" s="194">
        <f t="shared" si="3"/>
        <v>0</v>
      </c>
      <c r="M23" s="364">
        <v>487</v>
      </c>
      <c r="N23" s="365">
        <f t="shared" si="4"/>
        <v>0</v>
      </c>
      <c r="O23" s="371">
        <f t="shared" si="5"/>
        <v>4.87</v>
      </c>
      <c r="P23" s="374" t="e">
        <f>(O23+$N$231)+((BC!$F$125)/$G$103)</f>
        <v>#DIV/0!</v>
      </c>
      <c r="Q23" s="374" t="e">
        <f t="shared" si="6"/>
        <v>#DIV/0!</v>
      </c>
      <c r="R23" s="375" t="e">
        <f t="shared" si="7"/>
        <v>#DIV/0!</v>
      </c>
      <c r="S23" s="375" t="e">
        <f t="shared" si="8"/>
        <v>#DIV/0!</v>
      </c>
      <c r="T23" s="373"/>
      <c r="U23" s="373"/>
      <c r="V23" s="97"/>
      <c r="W23" s="97"/>
      <c r="X23" s="97"/>
      <c r="Y23" s="97"/>
      <c r="Z23" s="97"/>
      <c r="AA23" s="97"/>
      <c r="AB23" s="97"/>
      <c r="AC23" s="97"/>
    </row>
    <row r="24" spans="1:29" ht="15.75" customHeight="1" x14ac:dyDescent="0.45">
      <c r="A24" s="264" t="s">
        <v>645</v>
      </c>
      <c r="B24" s="287">
        <v>8496609190</v>
      </c>
      <c r="C24" s="301" t="s">
        <v>352</v>
      </c>
      <c r="D24" s="285" t="s">
        <v>353</v>
      </c>
      <c r="E24" s="219">
        <v>100</v>
      </c>
      <c r="F24" s="219">
        <v>21</v>
      </c>
      <c r="G24" s="386">
        <f>'e411'!F24</f>
        <v>0</v>
      </c>
      <c r="H24" s="219">
        <f t="shared" si="0"/>
        <v>0</v>
      </c>
      <c r="I24" s="219">
        <f>(30*BC!$B$47/F24)</f>
        <v>0</v>
      </c>
      <c r="J24" s="285">
        <f t="shared" si="1"/>
        <v>0</v>
      </c>
      <c r="K24" s="194">
        <f t="shared" si="2"/>
        <v>0</v>
      </c>
      <c r="L24" s="194">
        <f t="shared" si="3"/>
        <v>0</v>
      </c>
      <c r="M24" s="364">
        <v>1655</v>
      </c>
      <c r="N24" s="365">
        <f t="shared" si="4"/>
        <v>0</v>
      </c>
      <c r="O24" s="371">
        <f t="shared" si="5"/>
        <v>16.55</v>
      </c>
      <c r="P24" s="374" t="e">
        <f>(O24+$N$231)+((BC!$F$125)/$G$103)</f>
        <v>#DIV/0!</v>
      </c>
      <c r="Q24" s="374" t="e">
        <f t="shared" si="6"/>
        <v>#DIV/0!</v>
      </c>
      <c r="R24" s="375" t="e">
        <f t="shared" si="7"/>
        <v>#DIV/0!</v>
      </c>
      <c r="S24" s="375" t="e">
        <f t="shared" si="8"/>
        <v>#DIV/0!</v>
      </c>
      <c r="T24" s="74"/>
      <c r="U24" s="74"/>
    </row>
    <row r="25" spans="1:29" ht="15.75" customHeight="1" x14ac:dyDescent="0.45">
      <c r="A25" s="264">
        <f>G32+G40+G52+G69+G75+G82</f>
        <v>0</v>
      </c>
      <c r="B25" s="287">
        <v>9005773190</v>
      </c>
      <c r="C25" s="302" t="s">
        <v>354</v>
      </c>
      <c r="D25" s="285" t="s">
        <v>355</v>
      </c>
      <c r="E25" s="219">
        <v>100</v>
      </c>
      <c r="F25" s="219">
        <v>56</v>
      </c>
      <c r="G25" s="386">
        <f>'e411'!F25</f>
        <v>0</v>
      </c>
      <c r="H25" s="219">
        <f t="shared" si="0"/>
        <v>0</v>
      </c>
      <c r="I25" s="219">
        <f>(30*BC!$B$47/F25)</f>
        <v>0</v>
      </c>
      <c r="J25" s="285">
        <f t="shared" si="1"/>
        <v>0</v>
      </c>
      <c r="K25" s="194">
        <f t="shared" si="2"/>
        <v>0</v>
      </c>
      <c r="L25" s="194">
        <f t="shared" si="3"/>
        <v>0</v>
      </c>
      <c r="M25" s="364">
        <v>543</v>
      </c>
      <c r="N25" s="365">
        <f t="shared" si="4"/>
        <v>0</v>
      </c>
      <c r="O25" s="371">
        <f t="shared" si="5"/>
        <v>5.43</v>
      </c>
      <c r="P25" s="374" t="e">
        <f>(O25+$N$231)+((BC!$F$125)/$G$103)</f>
        <v>#DIV/0!</v>
      </c>
      <c r="Q25" s="374" t="e">
        <f t="shared" si="6"/>
        <v>#DIV/0!</v>
      </c>
      <c r="R25" s="375" t="e">
        <f t="shared" si="7"/>
        <v>#DIV/0!</v>
      </c>
      <c r="S25" s="375" t="e">
        <f t="shared" si="8"/>
        <v>#DIV/0!</v>
      </c>
      <c r="T25" s="74"/>
      <c r="U25" s="74"/>
    </row>
    <row r="26" spans="1:29" ht="15.75" customHeight="1" x14ac:dyDescent="0.45">
      <c r="B26" s="287">
        <v>11776223190</v>
      </c>
      <c r="C26" s="288" t="s">
        <v>356</v>
      </c>
      <c r="D26" s="285" t="s">
        <v>357</v>
      </c>
      <c r="E26" s="219">
        <v>100</v>
      </c>
      <c r="F26" s="219">
        <v>42</v>
      </c>
      <c r="G26" s="386">
        <f>'e411'!F26</f>
        <v>0</v>
      </c>
      <c r="H26" s="219">
        <f t="shared" si="0"/>
        <v>0</v>
      </c>
      <c r="I26" s="219">
        <f>(30*BC!$B$47/F26)</f>
        <v>0</v>
      </c>
      <c r="J26" s="285">
        <f t="shared" si="1"/>
        <v>0</v>
      </c>
      <c r="K26" s="194">
        <f t="shared" si="2"/>
        <v>0</v>
      </c>
      <c r="L26" s="194">
        <f t="shared" si="3"/>
        <v>0</v>
      </c>
      <c r="M26" s="364">
        <v>582</v>
      </c>
      <c r="N26" s="365">
        <f t="shared" si="4"/>
        <v>0</v>
      </c>
      <c r="O26" s="371">
        <f t="shared" si="5"/>
        <v>5.82</v>
      </c>
      <c r="P26" s="374" t="e">
        <f>(O26+$N$231)+((BC!$F$125)/$G$103)</f>
        <v>#DIV/0!</v>
      </c>
      <c r="Q26" s="374" t="e">
        <f t="shared" si="6"/>
        <v>#DIV/0!</v>
      </c>
      <c r="R26" s="375" t="e">
        <f t="shared" si="7"/>
        <v>#DIV/0!</v>
      </c>
      <c r="S26" s="375" t="e">
        <f t="shared" si="8"/>
        <v>#DIV/0!</v>
      </c>
      <c r="T26" s="373"/>
      <c r="U26" s="373"/>
      <c r="V26" s="97"/>
      <c r="W26" s="97"/>
      <c r="X26" s="97"/>
      <c r="Y26" s="97"/>
      <c r="Z26" s="97"/>
      <c r="AA26" s="97"/>
      <c r="AB26" s="97"/>
      <c r="AC26" s="97"/>
    </row>
    <row r="27" spans="1:29" ht="15.75" customHeight="1" x14ac:dyDescent="0.45">
      <c r="A27" s="265" t="s">
        <v>646</v>
      </c>
      <c r="B27" s="283">
        <v>3045838122</v>
      </c>
      <c r="C27" s="303" t="s">
        <v>358</v>
      </c>
      <c r="D27" s="285" t="s">
        <v>359</v>
      </c>
      <c r="E27" s="194">
        <v>100</v>
      </c>
      <c r="F27" s="194">
        <v>35</v>
      </c>
      <c r="G27" s="386">
        <f>'e411'!F27</f>
        <v>0</v>
      </c>
      <c r="H27" s="219">
        <f t="shared" si="0"/>
        <v>0</v>
      </c>
      <c r="I27" s="219">
        <f>(30*BC!$B$47/F27)</f>
        <v>0</v>
      </c>
      <c r="J27" s="285">
        <f t="shared" si="1"/>
        <v>0</v>
      </c>
      <c r="K27" s="194">
        <f t="shared" si="2"/>
        <v>0</v>
      </c>
      <c r="L27" s="194">
        <f t="shared" si="3"/>
        <v>0</v>
      </c>
      <c r="M27" s="364">
        <v>587</v>
      </c>
      <c r="N27" s="365">
        <f t="shared" si="4"/>
        <v>0</v>
      </c>
      <c r="O27" s="371">
        <f t="shared" si="5"/>
        <v>5.87</v>
      </c>
      <c r="P27" s="374" t="e">
        <f>(O27+$N$231)+((BC!$F$125)/$G$103)</f>
        <v>#DIV/0!</v>
      </c>
      <c r="Q27" s="374" t="e">
        <f t="shared" si="6"/>
        <v>#DIV/0!</v>
      </c>
      <c r="R27" s="375" t="e">
        <f t="shared" si="7"/>
        <v>#DIV/0!</v>
      </c>
      <c r="S27" s="375" t="e">
        <f t="shared" si="8"/>
        <v>#DIV/0!</v>
      </c>
      <c r="T27" s="372"/>
      <c r="U27" s="372"/>
      <c r="V27" s="256"/>
      <c r="W27" s="256"/>
      <c r="X27" s="256"/>
      <c r="Y27" s="256"/>
      <c r="Z27" s="256"/>
      <c r="AA27" s="256"/>
      <c r="AB27" s="256"/>
      <c r="AC27" s="256"/>
    </row>
    <row r="28" spans="1:29" ht="15.75" customHeight="1" x14ac:dyDescent="0.45">
      <c r="A28" s="265">
        <f>G47+G72</f>
        <v>0</v>
      </c>
      <c r="B28" s="287">
        <v>11776193122</v>
      </c>
      <c r="C28" s="303" t="s">
        <v>360</v>
      </c>
      <c r="D28" s="285" t="s">
        <v>361</v>
      </c>
      <c r="E28" s="219">
        <v>100</v>
      </c>
      <c r="F28" s="219">
        <v>56</v>
      </c>
      <c r="G28" s="386">
        <f>'e411'!F28</f>
        <v>0</v>
      </c>
      <c r="H28" s="219">
        <f t="shared" si="0"/>
        <v>0</v>
      </c>
      <c r="I28" s="219">
        <f>(30*BC!$B$47/F28)</f>
        <v>0</v>
      </c>
      <c r="J28" s="285">
        <f t="shared" si="1"/>
        <v>0</v>
      </c>
      <c r="K28" s="194">
        <f t="shared" si="2"/>
        <v>0</v>
      </c>
      <c r="L28" s="194">
        <f t="shared" si="3"/>
        <v>0</v>
      </c>
      <c r="M28" s="364">
        <v>584</v>
      </c>
      <c r="N28" s="365">
        <f t="shared" si="4"/>
        <v>0</v>
      </c>
      <c r="O28" s="371">
        <f t="shared" si="5"/>
        <v>5.84</v>
      </c>
      <c r="P28" s="374" t="e">
        <f>(O28+$N$231)+((BC!$F$125)/$G$103)</f>
        <v>#DIV/0!</v>
      </c>
      <c r="Q28" s="374" t="e">
        <f t="shared" si="6"/>
        <v>#DIV/0!</v>
      </c>
      <c r="R28" s="375" t="e">
        <f t="shared" si="7"/>
        <v>#DIV/0!</v>
      </c>
      <c r="S28" s="375" t="e">
        <f t="shared" si="8"/>
        <v>#DIV/0!</v>
      </c>
      <c r="T28" s="74"/>
      <c r="U28" s="74"/>
    </row>
    <row r="29" spans="1:29" ht="15.75" customHeight="1" x14ac:dyDescent="0.45">
      <c r="B29" s="283">
        <v>9005692190</v>
      </c>
      <c r="C29" s="303" t="s">
        <v>362</v>
      </c>
      <c r="D29" s="285" t="s">
        <v>363</v>
      </c>
      <c r="E29" s="194">
        <v>100</v>
      </c>
      <c r="F29" s="194">
        <v>56</v>
      </c>
      <c r="G29" s="386">
        <f>'e411'!F29</f>
        <v>0</v>
      </c>
      <c r="H29" s="219">
        <f t="shared" si="0"/>
        <v>0</v>
      </c>
      <c r="I29" s="219">
        <f>(30*BC!$B$47/F29)</f>
        <v>0</v>
      </c>
      <c r="J29" s="285">
        <f t="shared" si="1"/>
        <v>0</v>
      </c>
      <c r="K29" s="194">
        <f t="shared" si="2"/>
        <v>0</v>
      </c>
      <c r="L29" s="194">
        <f t="shared" si="3"/>
        <v>0</v>
      </c>
      <c r="M29" s="364">
        <v>666</v>
      </c>
      <c r="N29" s="365">
        <f t="shared" si="4"/>
        <v>0</v>
      </c>
      <c r="O29" s="371">
        <f t="shared" si="5"/>
        <v>6.66</v>
      </c>
      <c r="P29" s="374" t="e">
        <f>(O29+$N$231)+((BC!$F$125)/$G$103)</f>
        <v>#DIV/0!</v>
      </c>
      <c r="Q29" s="374" t="e">
        <f t="shared" si="6"/>
        <v>#DIV/0!</v>
      </c>
      <c r="R29" s="375" t="e">
        <f t="shared" si="7"/>
        <v>#DIV/0!</v>
      </c>
      <c r="S29" s="375" t="e">
        <f t="shared" si="8"/>
        <v>#DIV/0!</v>
      </c>
      <c r="T29" s="372"/>
      <c r="U29" s="372"/>
      <c r="V29" s="256"/>
      <c r="W29" s="256"/>
      <c r="X29" s="256"/>
      <c r="Y29" s="256"/>
      <c r="Z29" s="256"/>
      <c r="AA29" s="256"/>
      <c r="AB29" s="256"/>
      <c r="AC29" s="256"/>
    </row>
    <row r="30" spans="1:29" ht="15.75" customHeight="1" x14ac:dyDescent="0.45">
      <c r="A30" s="271" t="s">
        <v>623</v>
      </c>
      <c r="B30" s="287">
        <v>11731629322</v>
      </c>
      <c r="C30" s="288" t="s">
        <v>364</v>
      </c>
      <c r="D30" s="220" t="s">
        <v>365</v>
      </c>
      <c r="E30" s="219">
        <v>100</v>
      </c>
      <c r="F30" s="219">
        <v>42</v>
      </c>
      <c r="G30" s="386">
        <f>'e411'!F30</f>
        <v>0</v>
      </c>
      <c r="H30" s="219">
        <f t="shared" si="0"/>
        <v>0</v>
      </c>
      <c r="I30" s="219">
        <f>(30*BC!$B$47/F30)</f>
        <v>0</v>
      </c>
      <c r="J30" s="285">
        <f t="shared" si="1"/>
        <v>0</v>
      </c>
      <c r="K30" s="194">
        <f t="shared" si="2"/>
        <v>0</v>
      </c>
      <c r="L30" s="194">
        <f t="shared" si="3"/>
        <v>0</v>
      </c>
      <c r="M30" s="364">
        <v>159</v>
      </c>
      <c r="N30" s="365">
        <f t="shared" si="4"/>
        <v>0</v>
      </c>
      <c r="O30" s="371">
        <f t="shared" si="5"/>
        <v>1.59</v>
      </c>
      <c r="P30" s="374" t="e">
        <f>(O30+$N$231)+((BC!$F$125)/$G$103)</f>
        <v>#DIV/0!</v>
      </c>
      <c r="Q30" s="374" t="e">
        <f t="shared" si="6"/>
        <v>#DIV/0!</v>
      </c>
      <c r="R30" s="375" t="e">
        <f t="shared" si="7"/>
        <v>#DIV/0!</v>
      </c>
      <c r="S30" s="375" t="e">
        <f t="shared" si="8"/>
        <v>#DIV/0!</v>
      </c>
      <c r="T30" s="373"/>
      <c r="U30" s="373"/>
      <c r="V30" s="97"/>
      <c r="W30" s="97"/>
      <c r="X30" s="97"/>
      <c r="Y30" s="97"/>
      <c r="Z30" s="97"/>
      <c r="AA30" s="97"/>
      <c r="AB30" s="97"/>
      <c r="AC30" s="97"/>
    </row>
    <row r="31" spans="1:29" ht="15.75" customHeight="1" x14ac:dyDescent="0.45">
      <c r="A31" s="272">
        <f>G97+G98+G99</f>
        <v>0</v>
      </c>
      <c r="B31" s="287">
        <v>9015566190</v>
      </c>
      <c r="C31" s="304" t="s">
        <v>366</v>
      </c>
      <c r="D31" s="285" t="s">
        <v>367</v>
      </c>
      <c r="E31" s="219">
        <v>100</v>
      </c>
      <c r="F31" s="219">
        <v>56</v>
      </c>
      <c r="G31" s="386">
        <f>'e411'!F31</f>
        <v>0</v>
      </c>
      <c r="H31" s="219">
        <f t="shared" si="0"/>
        <v>0</v>
      </c>
      <c r="I31" s="219">
        <f>(30*BC!$B$47/F31)</f>
        <v>0</v>
      </c>
      <c r="J31" s="285">
        <f t="shared" si="1"/>
        <v>0</v>
      </c>
      <c r="K31" s="194">
        <f t="shared" si="2"/>
        <v>0</v>
      </c>
      <c r="L31" s="194">
        <f t="shared" si="3"/>
        <v>0</v>
      </c>
      <c r="M31" s="364">
        <v>298</v>
      </c>
      <c r="N31" s="365">
        <f t="shared" si="4"/>
        <v>0</v>
      </c>
      <c r="O31" s="371">
        <f t="shared" si="5"/>
        <v>2.98</v>
      </c>
      <c r="P31" s="374" t="e">
        <f>(O31+$N$231)+((BC!$F$125)/$G$103)</f>
        <v>#DIV/0!</v>
      </c>
      <c r="Q31" s="374" t="e">
        <f t="shared" si="6"/>
        <v>#DIV/0!</v>
      </c>
      <c r="R31" s="375" t="e">
        <f t="shared" si="7"/>
        <v>#DIV/0!</v>
      </c>
      <c r="S31" s="375" t="e">
        <f t="shared" si="8"/>
        <v>#DIV/0!</v>
      </c>
      <c r="T31" s="74"/>
      <c r="U31" s="74"/>
    </row>
    <row r="32" spans="1:29" ht="15.75" customHeight="1" x14ac:dyDescent="0.45">
      <c r="B32" s="287">
        <v>5957648190</v>
      </c>
      <c r="C32" s="305" t="s">
        <v>368</v>
      </c>
      <c r="D32" s="285" t="s">
        <v>369</v>
      </c>
      <c r="E32" s="219">
        <v>100</v>
      </c>
      <c r="F32" s="219">
        <v>56</v>
      </c>
      <c r="G32" s="386">
        <f>'e411'!F32</f>
        <v>0</v>
      </c>
      <c r="H32" s="219">
        <f t="shared" si="0"/>
        <v>0</v>
      </c>
      <c r="I32" s="219">
        <f>(30*BC!$B$47/F32)</f>
        <v>0</v>
      </c>
      <c r="J32" s="285">
        <f t="shared" si="1"/>
        <v>0</v>
      </c>
      <c r="K32" s="194">
        <f t="shared" si="2"/>
        <v>0</v>
      </c>
      <c r="L32" s="194">
        <f t="shared" si="3"/>
        <v>0</v>
      </c>
      <c r="M32" s="364">
        <v>276</v>
      </c>
      <c r="N32" s="365">
        <f t="shared" si="4"/>
        <v>0</v>
      </c>
      <c r="O32" s="371">
        <f t="shared" si="5"/>
        <v>2.76</v>
      </c>
      <c r="P32" s="374" t="e">
        <f>(O32+$N$231)+((BC!$F$125)/$G$103)</f>
        <v>#DIV/0!</v>
      </c>
      <c r="Q32" s="374" t="e">
        <f t="shared" si="6"/>
        <v>#DIV/0!</v>
      </c>
      <c r="R32" s="375" t="e">
        <f t="shared" si="7"/>
        <v>#DIV/0!</v>
      </c>
      <c r="S32" s="375" t="e">
        <f t="shared" si="8"/>
        <v>#DIV/0!</v>
      </c>
      <c r="T32" s="74"/>
      <c r="U32" s="74"/>
    </row>
    <row r="33" spans="1:29" ht="15.75" customHeight="1" x14ac:dyDescent="0.45">
      <c r="A33" s="273" t="s">
        <v>601</v>
      </c>
      <c r="B33" s="287">
        <v>9342397190</v>
      </c>
      <c r="C33" s="306" t="s">
        <v>370</v>
      </c>
      <c r="D33" s="285" t="s">
        <v>371</v>
      </c>
      <c r="E33" s="219">
        <v>100</v>
      </c>
      <c r="F33" s="219">
        <v>56</v>
      </c>
      <c r="G33" s="386">
        <f>'e411'!F33</f>
        <v>0</v>
      </c>
      <c r="H33" s="219">
        <f t="shared" si="0"/>
        <v>0</v>
      </c>
      <c r="I33" s="219">
        <f>(30*BC!$B$47/F33)</f>
        <v>0</v>
      </c>
      <c r="J33" s="285">
        <f t="shared" si="1"/>
        <v>0</v>
      </c>
      <c r="K33" s="194">
        <f t="shared" si="2"/>
        <v>0</v>
      </c>
      <c r="L33" s="194">
        <f t="shared" si="3"/>
        <v>0</v>
      </c>
      <c r="M33" s="364">
        <v>860</v>
      </c>
      <c r="N33" s="365">
        <f t="shared" si="4"/>
        <v>0</v>
      </c>
      <c r="O33" s="371">
        <f t="shared" si="5"/>
        <v>8.6</v>
      </c>
      <c r="P33" s="374" t="e">
        <f>(O33+$N$231)+((BC!$F$125)/$G$103)</f>
        <v>#DIV/0!</v>
      </c>
      <c r="Q33" s="374" t="e">
        <f t="shared" si="6"/>
        <v>#DIV/0!</v>
      </c>
      <c r="R33" s="375" t="e">
        <f t="shared" si="7"/>
        <v>#DIV/0!</v>
      </c>
      <c r="S33" s="375" t="e">
        <f t="shared" si="8"/>
        <v>#DIV/0!</v>
      </c>
      <c r="T33" s="74"/>
      <c r="U33" s="74"/>
    </row>
    <row r="34" spans="1:29" ht="15.75" customHeight="1" x14ac:dyDescent="0.45">
      <c r="A34" s="274">
        <f>G42+G43</f>
        <v>0</v>
      </c>
      <c r="B34" s="287">
        <v>9118543190</v>
      </c>
      <c r="C34" s="307" t="s">
        <v>372</v>
      </c>
      <c r="D34" s="220" t="s">
        <v>373</v>
      </c>
      <c r="E34" s="219">
        <v>100</v>
      </c>
      <c r="F34" s="219">
        <v>21</v>
      </c>
      <c r="G34" s="386">
        <f>'e411'!F34</f>
        <v>0</v>
      </c>
      <c r="H34" s="219">
        <f t="shared" si="0"/>
        <v>0</v>
      </c>
      <c r="I34" s="219">
        <f>(30*BC!$B$47/F34)</f>
        <v>0</v>
      </c>
      <c r="J34" s="285">
        <f t="shared" si="1"/>
        <v>0</v>
      </c>
      <c r="K34" s="194">
        <f t="shared" si="2"/>
        <v>0</v>
      </c>
      <c r="L34" s="194">
        <f t="shared" si="3"/>
        <v>0</v>
      </c>
      <c r="M34" s="364">
        <v>278</v>
      </c>
      <c r="N34" s="365">
        <f t="shared" si="4"/>
        <v>0</v>
      </c>
      <c r="O34" s="371">
        <f t="shared" si="5"/>
        <v>2.78</v>
      </c>
      <c r="P34" s="374" t="e">
        <f>(O34+$N$231)+((BC!$F$125)/$G$103)</f>
        <v>#DIV/0!</v>
      </c>
      <c r="Q34" s="374" t="e">
        <f t="shared" si="6"/>
        <v>#DIV/0!</v>
      </c>
      <c r="R34" s="375" t="e">
        <f t="shared" si="7"/>
        <v>#DIV/0!</v>
      </c>
      <c r="S34" s="375" t="e">
        <f t="shared" si="8"/>
        <v>#DIV/0!</v>
      </c>
      <c r="T34" s="373"/>
      <c r="U34" s="373"/>
      <c r="V34" s="97"/>
      <c r="W34" s="97"/>
      <c r="X34" s="97"/>
      <c r="Y34" s="97"/>
      <c r="Z34" s="97"/>
      <c r="AA34" s="97"/>
      <c r="AB34" s="97"/>
      <c r="AC34" s="97"/>
    </row>
    <row r="35" spans="1:29" ht="15.75" customHeight="1" x14ac:dyDescent="0.45">
      <c r="B35" s="387">
        <v>4784618190</v>
      </c>
      <c r="C35" s="308" t="s">
        <v>374</v>
      </c>
      <c r="D35" s="220" t="s">
        <v>375</v>
      </c>
      <c r="E35" s="219">
        <v>100</v>
      </c>
      <c r="F35" s="219">
        <v>42</v>
      </c>
      <c r="G35" s="386">
        <f>'e411'!F35</f>
        <v>0</v>
      </c>
      <c r="H35" s="219">
        <f t="shared" si="0"/>
        <v>0</v>
      </c>
      <c r="I35" s="219">
        <f>(30*BC!$B$47/F35)</f>
        <v>0</v>
      </c>
      <c r="J35" s="285">
        <f t="shared" si="1"/>
        <v>0</v>
      </c>
      <c r="K35" s="194">
        <f t="shared" si="2"/>
        <v>0</v>
      </c>
      <c r="L35" s="194">
        <f t="shared" si="3"/>
        <v>0</v>
      </c>
      <c r="M35" s="364">
        <v>198</v>
      </c>
      <c r="N35" s="365">
        <f t="shared" si="4"/>
        <v>0</v>
      </c>
      <c r="O35" s="371">
        <f t="shared" si="5"/>
        <v>1.98</v>
      </c>
      <c r="P35" s="374" t="e">
        <f>(O35+$N$231)+((BC!$F$125)/$G$103)</f>
        <v>#DIV/0!</v>
      </c>
      <c r="Q35" s="374" t="e">
        <f t="shared" si="6"/>
        <v>#DIV/0!</v>
      </c>
      <c r="R35" s="375" t="e">
        <f t="shared" si="7"/>
        <v>#DIV/0!</v>
      </c>
      <c r="S35" s="375" t="e">
        <f t="shared" si="8"/>
        <v>#DIV/0!</v>
      </c>
      <c r="T35" s="373"/>
      <c r="U35" s="373"/>
      <c r="V35" s="97"/>
      <c r="W35" s="97"/>
      <c r="X35" s="97"/>
      <c r="Y35" s="97"/>
      <c r="Z35" s="97"/>
      <c r="AA35" s="97"/>
      <c r="AB35" s="97"/>
      <c r="AC35" s="97"/>
    </row>
    <row r="36" spans="1:29" ht="15.75" customHeight="1" x14ac:dyDescent="0.45">
      <c r="A36" s="275" t="s">
        <v>603</v>
      </c>
      <c r="B36" s="387">
        <v>6687733190</v>
      </c>
      <c r="C36" s="309" t="s">
        <v>376</v>
      </c>
      <c r="D36" s="220" t="s">
        <v>377</v>
      </c>
      <c r="E36" s="219">
        <v>100</v>
      </c>
      <c r="F36" s="219">
        <v>56</v>
      </c>
      <c r="G36" s="386">
        <f>'e411'!F36</f>
        <v>0</v>
      </c>
      <c r="H36" s="219">
        <f t="shared" si="0"/>
        <v>0</v>
      </c>
      <c r="I36" s="219">
        <f>(30*BC!$B$47/F36)</f>
        <v>0</v>
      </c>
      <c r="J36" s="285">
        <f t="shared" si="1"/>
        <v>0</v>
      </c>
      <c r="K36" s="194">
        <f t="shared" si="2"/>
        <v>0</v>
      </c>
      <c r="L36" s="194">
        <f t="shared" si="3"/>
        <v>0</v>
      </c>
      <c r="M36" s="364">
        <v>388</v>
      </c>
      <c r="N36" s="365">
        <f t="shared" si="4"/>
        <v>0</v>
      </c>
      <c r="O36" s="371">
        <f t="shared" si="5"/>
        <v>3.88</v>
      </c>
      <c r="P36" s="374" t="e">
        <f>(O36+$N$231)+((BC!$F$125)/$G$103)</f>
        <v>#DIV/0!</v>
      </c>
      <c r="Q36" s="374" t="e">
        <f t="shared" si="6"/>
        <v>#DIV/0!</v>
      </c>
      <c r="R36" s="375" t="e">
        <f t="shared" si="7"/>
        <v>#DIV/0!</v>
      </c>
      <c r="S36" s="375" t="e">
        <f t="shared" si="8"/>
        <v>#DIV/0!</v>
      </c>
      <c r="T36" s="373"/>
      <c r="U36" s="373"/>
      <c r="V36" s="97"/>
      <c r="W36" s="97"/>
      <c r="X36" s="97"/>
      <c r="Y36" s="97"/>
      <c r="Z36" s="97"/>
      <c r="AA36" s="97"/>
      <c r="AB36" s="97"/>
      <c r="AC36" s="97"/>
    </row>
    <row r="37" spans="1:29" ht="15.75" customHeight="1" x14ac:dyDescent="0.45">
      <c r="A37" s="276">
        <f>G58+G64+G65</f>
        <v>0</v>
      </c>
      <c r="B37" s="283">
        <v>3184897190</v>
      </c>
      <c r="C37" s="284" t="s">
        <v>378</v>
      </c>
      <c r="D37" s="285" t="s">
        <v>379</v>
      </c>
      <c r="E37" s="194">
        <v>100</v>
      </c>
      <c r="F37" s="194">
        <v>56</v>
      </c>
      <c r="G37" s="386">
        <f>'e411'!F37</f>
        <v>0</v>
      </c>
      <c r="H37" s="219">
        <f t="shared" si="0"/>
        <v>0</v>
      </c>
      <c r="I37" s="219">
        <f>(30*BC!$B$47/F37)</f>
        <v>0</v>
      </c>
      <c r="J37" s="285">
        <f t="shared" si="1"/>
        <v>0</v>
      </c>
      <c r="K37" s="194">
        <f t="shared" si="2"/>
        <v>0</v>
      </c>
      <c r="L37" s="194">
        <f t="shared" si="3"/>
        <v>0</v>
      </c>
      <c r="M37" s="364">
        <v>317</v>
      </c>
      <c r="N37" s="365">
        <f t="shared" si="4"/>
        <v>0</v>
      </c>
      <c r="O37" s="371">
        <f t="shared" si="5"/>
        <v>3.17</v>
      </c>
      <c r="P37" s="374" t="e">
        <f>(O37+$N$231)+((BC!$F$125)/$G$103)</f>
        <v>#DIV/0!</v>
      </c>
      <c r="Q37" s="374" t="e">
        <f t="shared" si="6"/>
        <v>#DIV/0!</v>
      </c>
      <c r="R37" s="375" t="e">
        <f t="shared" si="7"/>
        <v>#DIV/0!</v>
      </c>
      <c r="S37" s="375" t="e">
        <f t="shared" si="8"/>
        <v>#DIV/0!</v>
      </c>
      <c r="T37" s="372"/>
      <c r="U37" s="372"/>
      <c r="V37" s="256"/>
      <c r="W37" s="256"/>
      <c r="X37" s="256"/>
      <c r="Y37" s="256"/>
      <c r="Z37" s="256"/>
      <c r="AA37" s="256"/>
      <c r="AB37" s="256"/>
      <c r="AC37" s="256"/>
    </row>
    <row r="38" spans="1:29" ht="15.75" customHeight="1" x14ac:dyDescent="0.45">
      <c r="B38" s="387">
        <v>11820966122</v>
      </c>
      <c r="C38" s="303" t="s">
        <v>380</v>
      </c>
      <c r="D38" s="285" t="s">
        <v>381</v>
      </c>
      <c r="E38" s="219">
        <v>100</v>
      </c>
      <c r="F38" s="219">
        <v>56</v>
      </c>
      <c r="G38" s="386">
        <f>'e411'!F38</f>
        <v>0</v>
      </c>
      <c r="H38" s="219">
        <f t="shared" si="0"/>
        <v>0</v>
      </c>
      <c r="I38" s="219">
        <f>(30*BC!$B$47/F38)</f>
        <v>0</v>
      </c>
      <c r="J38" s="285">
        <f t="shared" si="1"/>
        <v>0</v>
      </c>
      <c r="K38" s="194">
        <f t="shared" si="2"/>
        <v>0</v>
      </c>
      <c r="L38" s="194">
        <f t="shared" si="3"/>
        <v>0</v>
      </c>
      <c r="M38" s="364">
        <v>627</v>
      </c>
      <c r="N38" s="365">
        <f t="shared" si="4"/>
        <v>0</v>
      </c>
      <c r="O38" s="371">
        <f t="shared" si="5"/>
        <v>6.27</v>
      </c>
      <c r="P38" s="374" t="e">
        <f>(O38+$N$231)+((BC!$F$125)/$G$103)</f>
        <v>#DIV/0!</v>
      </c>
      <c r="Q38" s="374" t="e">
        <f t="shared" si="6"/>
        <v>#DIV/0!</v>
      </c>
      <c r="R38" s="375" t="e">
        <f t="shared" si="7"/>
        <v>#DIV/0!</v>
      </c>
      <c r="S38" s="375" t="e">
        <f t="shared" si="8"/>
        <v>#DIV/0!</v>
      </c>
      <c r="T38" s="74"/>
      <c r="U38" s="74"/>
    </row>
    <row r="39" spans="1:29" ht="15.75" customHeight="1" x14ac:dyDescent="0.45">
      <c r="A39" s="388" t="s">
        <v>609</v>
      </c>
      <c r="B39" s="387">
        <v>3000087122</v>
      </c>
      <c r="C39" s="310" t="s">
        <v>382</v>
      </c>
      <c r="D39" s="285" t="s">
        <v>383</v>
      </c>
      <c r="E39" s="219">
        <v>100</v>
      </c>
      <c r="F39" s="219">
        <v>56</v>
      </c>
      <c r="G39" s="386">
        <f>'e411'!F39</f>
        <v>0</v>
      </c>
      <c r="H39" s="219">
        <f t="shared" si="0"/>
        <v>0</v>
      </c>
      <c r="I39" s="219">
        <f>(30*BC!$B$47/F39)</f>
        <v>0</v>
      </c>
      <c r="J39" s="285">
        <f t="shared" si="1"/>
        <v>0</v>
      </c>
      <c r="K39" s="194">
        <f t="shared" si="2"/>
        <v>0</v>
      </c>
      <c r="L39" s="194">
        <f t="shared" si="3"/>
        <v>0</v>
      </c>
      <c r="M39" s="364">
        <v>559</v>
      </c>
      <c r="N39" s="365">
        <f t="shared" si="4"/>
        <v>0</v>
      </c>
      <c r="O39" s="371">
        <f t="shared" si="5"/>
        <v>5.59</v>
      </c>
      <c r="P39" s="374" t="e">
        <f>(O39+$N$231)+((BC!$F$125)/$G$103)</f>
        <v>#DIV/0!</v>
      </c>
      <c r="Q39" s="374" t="e">
        <f t="shared" si="6"/>
        <v>#DIV/0!</v>
      </c>
      <c r="R39" s="375" t="e">
        <f t="shared" si="7"/>
        <v>#DIV/0!</v>
      </c>
      <c r="S39" s="375" t="e">
        <f t="shared" si="8"/>
        <v>#DIV/0!</v>
      </c>
      <c r="T39" s="373"/>
      <c r="U39" s="373"/>
      <c r="V39" s="97"/>
      <c r="W39" s="97"/>
      <c r="X39" s="97"/>
      <c r="Y39" s="97"/>
      <c r="Z39" s="97"/>
      <c r="AA39" s="97"/>
      <c r="AB39" s="97"/>
      <c r="AC39" s="97"/>
    </row>
    <row r="40" spans="1:29" ht="15.75" customHeight="1" x14ac:dyDescent="0.45">
      <c r="A40" s="389">
        <f>G60+G61</f>
        <v>0</v>
      </c>
      <c r="B40" s="287">
        <v>11820796190</v>
      </c>
      <c r="C40" s="305" t="s">
        <v>384</v>
      </c>
      <c r="D40" s="285" t="s">
        <v>385</v>
      </c>
      <c r="E40" s="219">
        <v>100</v>
      </c>
      <c r="F40" s="219">
        <v>56</v>
      </c>
      <c r="G40" s="386">
        <f>'e411'!F40</f>
        <v>0</v>
      </c>
      <c r="H40" s="219">
        <f t="shared" si="0"/>
        <v>0</v>
      </c>
      <c r="I40" s="219">
        <f>(30*BC!$B$47/F40)</f>
        <v>0</v>
      </c>
      <c r="J40" s="285">
        <f t="shared" si="1"/>
        <v>0</v>
      </c>
      <c r="K40" s="194">
        <f t="shared" si="2"/>
        <v>0</v>
      </c>
      <c r="L40" s="194">
        <f t="shared" si="3"/>
        <v>0</v>
      </c>
      <c r="M40" s="364">
        <v>615</v>
      </c>
      <c r="N40" s="365">
        <f t="shared" si="4"/>
        <v>0</v>
      </c>
      <c r="O40" s="371">
        <f t="shared" si="5"/>
        <v>6.15</v>
      </c>
      <c r="P40" s="374" t="e">
        <f>(O40+$N$231)+((BC!$F$125)/$G$103)</f>
        <v>#DIV/0!</v>
      </c>
      <c r="Q40" s="374" t="e">
        <f t="shared" si="6"/>
        <v>#DIV/0!</v>
      </c>
      <c r="R40" s="375" t="e">
        <f t="shared" si="7"/>
        <v>#DIV/0!</v>
      </c>
      <c r="S40" s="375" t="e">
        <f t="shared" si="8"/>
        <v>#DIV/0!</v>
      </c>
      <c r="T40" s="74"/>
      <c r="U40" s="74"/>
    </row>
    <row r="41" spans="1:29" ht="15.75" customHeight="1" x14ac:dyDescent="0.45">
      <c r="B41" s="287">
        <v>8355371190</v>
      </c>
      <c r="C41" s="311" t="s">
        <v>386</v>
      </c>
      <c r="D41" s="285" t="s">
        <v>387</v>
      </c>
      <c r="E41" s="219">
        <v>100</v>
      </c>
      <c r="F41" s="219">
        <v>28</v>
      </c>
      <c r="G41" s="386">
        <f>'e411'!F41</f>
        <v>0</v>
      </c>
      <c r="H41" s="219">
        <f t="shared" si="0"/>
        <v>0</v>
      </c>
      <c r="I41" s="219">
        <f>(30*BC!$B$47/F41)</f>
        <v>0</v>
      </c>
      <c r="J41" s="285">
        <f t="shared" si="1"/>
        <v>0</v>
      </c>
      <c r="K41" s="194">
        <f t="shared" si="2"/>
        <v>0</v>
      </c>
      <c r="L41" s="194">
        <f t="shared" si="3"/>
        <v>0</v>
      </c>
      <c r="M41" s="364">
        <v>278</v>
      </c>
      <c r="N41" s="365">
        <f t="shared" si="4"/>
        <v>0</v>
      </c>
      <c r="O41" s="371">
        <f t="shared" si="5"/>
        <v>2.78</v>
      </c>
      <c r="P41" s="374" t="e">
        <f>(O41+$N$231)+((BC!$F$125)/$G$103)</f>
        <v>#DIV/0!</v>
      </c>
      <c r="Q41" s="374" t="e">
        <f t="shared" si="6"/>
        <v>#DIV/0!</v>
      </c>
      <c r="R41" s="375" t="e">
        <f t="shared" si="7"/>
        <v>#DIV/0!</v>
      </c>
      <c r="S41" s="375" t="e">
        <f t="shared" si="8"/>
        <v>#DIV/0!</v>
      </c>
      <c r="T41" s="74"/>
      <c r="U41" s="74"/>
    </row>
    <row r="42" spans="1:29" ht="15.75" customHeight="1" x14ac:dyDescent="0.45">
      <c r="A42" s="390" t="s">
        <v>648</v>
      </c>
      <c r="B42" s="287">
        <v>8355258190</v>
      </c>
      <c r="C42" s="312" t="s">
        <v>388</v>
      </c>
      <c r="D42" s="285" t="s">
        <v>389</v>
      </c>
      <c r="E42" s="219">
        <v>100</v>
      </c>
      <c r="F42" s="219">
        <v>28</v>
      </c>
      <c r="G42" s="386">
        <f>'e411'!F42</f>
        <v>0</v>
      </c>
      <c r="H42" s="219">
        <f t="shared" si="0"/>
        <v>0</v>
      </c>
      <c r="I42" s="219">
        <f>(30*BC!$B$47/F42)</f>
        <v>0</v>
      </c>
      <c r="J42" s="285">
        <f t="shared" si="1"/>
        <v>0</v>
      </c>
      <c r="K42" s="194">
        <f t="shared" si="2"/>
        <v>0</v>
      </c>
      <c r="L42" s="194">
        <f t="shared" si="3"/>
        <v>0</v>
      </c>
      <c r="M42" s="364">
        <v>712</v>
      </c>
      <c r="N42" s="365">
        <f t="shared" si="4"/>
        <v>0</v>
      </c>
      <c r="O42" s="371">
        <f t="shared" si="5"/>
        <v>7.12</v>
      </c>
      <c r="P42" s="374" t="e">
        <f>(O42+$N$231)+((BC!$F$125)/$G$103)</f>
        <v>#DIV/0!</v>
      </c>
      <c r="Q42" s="374" t="e">
        <f t="shared" si="6"/>
        <v>#DIV/0!</v>
      </c>
      <c r="R42" s="375" t="e">
        <f t="shared" si="7"/>
        <v>#DIV/0!</v>
      </c>
      <c r="S42" s="375" t="e">
        <f t="shared" si="8"/>
        <v>#DIV/0!</v>
      </c>
      <c r="T42" s="74"/>
      <c r="U42" s="74"/>
    </row>
    <row r="43" spans="1:29" ht="15.75" customHeight="1" x14ac:dyDescent="0.45">
      <c r="A43" s="390">
        <f>G33+G34+G35+G82+G83+G94+G95+G96</f>
        <v>0</v>
      </c>
      <c r="B43" s="287">
        <v>8355312190</v>
      </c>
      <c r="C43" s="312" t="s">
        <v>390</v>
      </c>
      <c r="D43" s="285" t="s">
        <v>391</v>
      </c>
      <c r="E43" s="219">
        <v>100</v>
      </c>
      <c r="F43" s="219">
        <v>28</v>
      </c>
      <c r="G43" s="386">
        <f>'e411'!F43</f>
        <v>0</v>
      </c>
      <c r="H43" s="219">
        <f t="shared" si="0"/>
        <v>0</v>
      </c>
      <c r="I43" s="219">
        <f>(30*BC!$B$47/F43)</f>
        <v>0</v>
      </c>
      <c r="J43" s="285">
        <f t="shared" si="1"/>
        <v>0</v>
      </c>
      <c r="K43" s="194">
        <f t="shared" si="2"/>
        <v>0</v>
      </c>
      <c r="L43" s="194">
        <f t="shared" si="3"/>
        <v>0</v>
      </c>
      <c r="M43" s="364">
        <v>505</v>
      </c>
      <c r="N43" s="365">
        <f t="shared" si="4"/>
        <v>0</v>
      </c>
      <c r="O43" s="371">
        <f t="shared" si="5"/>
        <v>5.05</v>
      </c>
      <c r="P43" s="374" t="e">
        <f>(O43+$N$231)+((BC!$F$125)/$G$103)</f>
        <v>#DIV/0!</v>
      </c>
      <c r="Q43" s="374" t="e">
        <f t="shared" si="6"/>
        <v>#DIV/0!</v>
      </c>
      <c r="R43" s="375" t="e">
        <f t="shared" si="7"/>
        <v>#DIV/0!</v>
      </c>
      <c r="S43" s="375" t="e">
        <f t="shared" si="8"/>
        <v>#DIV/0!</v>
      </c>
      <c r="T43" s="74"/>
      <c r="U43" s="74"/>
    </row>
    <row r="44" spans="1:29" ht="15.75" customHeight="1" x14ac:dyDescent="0.45">
      <c r="B44" s="287">
        <v>6656021190</v>
      </c>
      <c r="C44" s="309" t="s">
        <v>392</v>
      </c>
      <c r="D44" s="220" t="s">
        <v>393</v>
      </c>
      <c r="E44" s="219">
        <v>100</v>
      </c>
      <c r="F44" s="219">
        <v>56</v>
      </c>
      <c r="G44" s="386">
        <f>'e411'!F44</f>
        <v>0</v>
      </c>
      <c r="H44" s="219">
        <f t="shared" si="0"/>
        <v>0</v>
      </c>
      <c r="I44" s="219">
        <f>(30*BC!$B$47/F44)</f>
        <v>0</v>
      </c>
      <c r="J44" s="285">
        <f t="shared" si="1"/>
        <v>0</v>
      </c>
      <c r="K44" s="194">
        <f t="shared" si="2"/>
        <v>0</v>
      </c>
      <c r="L44" s="194">
        <f t="shared" si="3"/>
        <v>0</v>
      </c>
      <c r="M44" s="364">
        <v>166</v>
      </c>
      <c r="N44" s="365">
        <f t="shared" si="4"/>
        <v>0</v>
      </c>
      <c r="O44" s="371">
        <f t="shared" si="5"/>
        <v>1.66</v>
      </c>
      <c r="P44" s="374" t="e">
        <f>(O44+$N$231)+((BC!$F$125)/$G$103)</f>
        <v>#DIV/0!</v>
      </c>
      <c r="Q44" s="374" t="e">
        <f t="shared" si="6"/>
        <v>#DIV/0!</v>
      </c>
      <c r="R44" s="375" t="e">
        <f t="shared" si="7"/>
        <v>#DIV/0!</v>
      </c>
      <c r="S44" s="375" t="e">
        <f t="shared" si="8"/>
        <v>#DIV/0!</v>
      </c>
      <c r="T44" s="373"/>
      <c r="U44" s="373"/>
      <c r="V44" s="97"/>
      <c r="W44" s="97"/>
      <c r="X44" s="97"/>
      <c r="Y44" s="97"/>
      <c r="Z44" s="97"/>
      <c r="AA44" s="97"/>
      <c r="AB44" s="97"/>
      <c r="AC44" s="97"/>
    </row>
    <row r="45" spans="1:29" ht="15.75" customHeight="1" x14ac:dyDescent="0.45">
      <c r="B45" s="313">
        <v>3737551190</v>
      </c>
      <c r="C45" s="314" t="s">
        <v>394</v>
      </c>
      <c r="D45" s="220" t="s">
        <v>395</v>
      </c>
      <c r="E45" s="219">
        <v>100</v>
      </c>
      <c r="F45" s="219">
        <v>42</v>
      </c>
      <c r="G45" s="386">
        <f>'e411'!F45</f>
        <v>0</v>
      </c>
      <c r="H45" s="219">
        <f t="shared" si="0"/>
        <v>0</v>
      </c>
      <c r="I45" s="219">
        <f>(30*BC!$B$47/F45)</f>
        <v>0</v>
      </c>
      <c r="J45" s="285">
        <f t="shared" si="1"/>
        <v>0</v>
      </c>
      <c r="K45" s="194">
        <f t="shared" si="2"/>
        <v>0</v>
      </c>
      <c r="L45" s="194">
        <f t="shared" si="3"/>
        <v>0</v>
      </c>
      <c r="M45" s="364">
        <v>378</v>
      </c>
      <c r="N45" s="365">
        <f t="shared" si="4"/>
        <v>0</v>
      </c>
      <c r="O45" s="371">
        <f t="shared" si="5"/>
        <v>3.78</v>
      </c>
      <c r="P45" s="374" t="e">
        <f>(O45+$N$231)+((BC!$F$125)/$G$103)</f>
        <v>#DIV/0!</v>
      </c>
      <c r="Q45" s="374" t="e">
        <f t="shared" si="6"/>
        <v>#DIV/0!</v>
      </c>
      <c r="R45" s="375" t="e">
        <f t="shared" si="7"/>
        <v>#DIV/0!</v>
      </c>
      <c r="S45" s="375" t="e">
        <f t="shared" si="8"/>
        <v>#DIV/0!</v>
      </c>
      <c r="T45" s="373"/>
      <c r="U45" s="373"/>
      <c r="V45" s="97"/>
      <c r="W45" s="97"/>
      <c r="X45" s="97"/>
      <c r="Y45" s="97"/>
      <c r="Z45" s="97"/>
      <c r="AA45" s="97"/>
      <c r="AB45" s="97"/>
      <c r="AC45" s="97"/>
    </row>
    <row r="46" spans="1:29" ht="15.75" customHeight="1" x14ac:dyDescent="0.45">
      <c r="B46" s="287">
        <v>7559992190</v>
      </c>
      <c r="C46" s="315" t="s">
        <v>396</v>
      </c>
      <c r="D46" s="285" t="s">
        <v>397</v>
      </c>
      <c r="E46" s="219">
        <v>100</v>
      </c>
      <c r="F46" s="219">
        <v>28</v>
      </c>
      <c r="G46" s="386">
        <f>'e411'!F46</f>
        <v>0</v>
      </c>
      <c r="H46" s="219">
        <f t="shared" si="0"/>
        <v>0</v>
      </c>
      <c r="I46" s="219">
        <f>(30*BC!$B$47/F46)</f>
        <v>0</v>
      </c>
      <c r="J46" s="285">
        <f t="shared" si="1"/>
        <v>0</v>
      </c>
      <c r="K46" s="194">
        <f t="shared" si="2"/>
        <v>0</v>
      </c>
      <c r="L46" s="194">
        <f t="shared" si="3"/>
        <v>0</v>
      </c>
      <c r="M46" s="364">
        <v>330</v>
      </c>
      <c r="N46" s="365">
        <f t="shared" si="4"/>
        <v>0</v>
      </c>
      <c r="O46" s="371">
        <f t="shared" si="5"/>
        <v>3.3</v>
      </c>
      <c r="P46" s="374" t="e">
        <f>(O46+$N$231)+((BC!$F$125)/$G$103)</f>
        <v>#DIV/0!</v>
      </c>
      <c r="Q46" s="374" t="e">
        <f t="shared" si="6"/>
        <v>#DIV/0!</v>
      </c>
      <c r="R46" s="375" t="e">
        <f t="shared" si="7"/>
        <v>#DIV/0!</v>
      </c>
      <c r="S46" s="375" t="e">
        <f t="shared" si="8"/>
        <v>#DIV/0!</v>
      </c>
      <c r="T46" s="74"/>
      <c r="U46" s="74"/>
    </row>
    <row r="47" spans="1:29" ht="15.75" customHeight="1" x14ac:dyDescent="0.45">
      <c r="B47" s="287">
        <v>8860297190</v>
      </c>
      <c r="C47" s="316" t="s">
        <v>398</v>
      </c>
      <c r="D47" s="285" t="s">
        <v>399</v>
      </c>
      <c r="E47" s="219">
        <v>100</v>
      </c>
      <c r="F47" s="219">
        <v>28</v>
      </c>
      <c r="G47" s="386">
        <f>'e411'!F47</f>
        <v>0</v>
      </c>
      <c r="H47" s="219">
        <f t="shared" si="0"/>
        <v>0</v>
      </c>
      <c r="I47" s="219">
        <f>(30*BC!$B$47/F47)</f>
        <v>0</v>
      </c>
      <c r="J47" s="285">
        <f t="shared" si="1"/>
        <v>0</v>
      </c>
      <c r="K47" s="194">
        <f t="shared" si="2"/>
        <v>0</v>
      </c>
      <c r="L47" s="194">
        <f t="shared" si="3"/>
        <v>0</v>
      </c>
      <c r="M47" s="364">
        <v>1516</v>
      </c>
      <c r="N47" s="365">
        <f t="shared" si="4"/>
        <v>0</v>
      </c>
      <c r="O47" s="371">
        <f t="shared" si="5"/>
        <v>15.16</v>
      </c>
      <c r="P47" s="374" t="e">
        <f>(O47+$N$231)+((BC!$F$125)/$G$103)</f>
        <v>#DIV/0!</v>
      </c>
      <c r="Q47" s="374" t="e">
        <f t="shared" si="6"/>
        <v>#DIV/0!</v>
      </c>
      <c r="R47" s="375" t="e">
        <f t="shared" si="7"/>
        <v>#DIV/0!</v>
      </c>
      <c r="S47" s="375" t="e">
        <f t="shared" si="8"/>
        <v>#DIV/0!</v>
      </c>
      <c r="T47" s="74"/>
      <c r="U47" s="74"/>
    </row>
    <row r="48" spans="1:29" ht="15.75" customHeight="1" x14ac:dyDescent="0.45">
      <c r="B48" s="287">
        <v>8828601190</v>
      </c>
      <c r="C48" s="288" t="s">
        <v>400</v>
      </c>
      <c r="D48" s="220" t="s">
        <v>401</v>
      </c>
      <c r="E48" s="219">
        <v>100</v>
      </c>
      <c r="F48" s="219">
        <v>42</v>
      </c>
      <c r="G48" s="386">
        <f>'e411'!F48</f>
        <v>0</v>
      </c>
      <c r="H48" s="219">
        <f t="shared" si="0"/>
        <v>0</v>
      </c>
      <c r="I48" s="219">
        <f>(30*BC!$B$47/F48)</f>
        <v>0</v>
      </c>
      <c r="J48" s="285">
        <f t="shared" si="1"/>
        <v>0</v>
      </c>
      <c r="K48" s="194">
        <f t="shared" si="2"/>
        <v>0</v>
      </c>
      <c r="L48" s="194">
        <f t="shared" si="3"/>
        <v>0</v>
      </c>
      <c r="M48" s="364">
        <v>398</v>
      </c>
      <c r="N48" s="365">
        <f t="shared" si="4"/>
        <v>0</v>
      </c>
      <c r="O48" s="371">
        <f t="shared" si="5"/>
        <v>3.98</v>
      </c>
      <c r="P48" s="374" t="e">
        <f>(O48+$N$231)+((BC!$F$125)/$G$103)</f>
        <v>#DIV/0!</v>
      </c>
      <c r="Q48" s="374" t="e">
        <f t="shared" si="6"/>
        <v>#DIV/0!</v>
      </c>
      <c r="R48" s="375" t="e">
        <f t="shared" si="7"/>
        <v>#DIV/0!</v>
      </c>
      <c r="S48" s="375" t="e">
        <f t="shared" si="8"/>
        <v>#DIV/0!</v>
      </c>
      <c r="T48" s="373"/>
      <c r="U48" s="373"/>
      <c r="V48" s="97"/>
      <c r="W48" s="97"/>
      <c r="X48" s="97"/>
      <c r="Y48" s="97"/>
      <c r="Z48" s="97"/>
      <c r="AA48" s="97"/>
      <c r="AB48" s="97"/>
      <c r="AC48" s="97"/>
    </row>
    <row r="49" spans="2:29" ht="15.75" customHeight="1" x14ac:dyDescent="0.45">
      <c r="B49" s="287">
        <v>8932352190</v>
      </c>
      <c r="C49" s="309" t="s">
        <v>402</v>
      </c>
      <c r="D49" s="220" t="s">
        <v>403</v>
      </c>
      <c r="E49" s="219">
        <v>100</v>
      </c>
      <c r="F49" s="219">
        <v>56</v>
      </c>
      <c r="G49" s="386">
        <f>'e411'!F49</f>
        <v>0</v>
      </c>
      <c r="H49" s="219">
        <f t="shared" si="0"/>
        <v>0</v>
      </c>
      <c r="I49" s="219">
        <f>(30*BC!$B$47/F49)</f>
        <v>0</v>
      </c>
      <c r="J49" s="285">
        <f t="shared" si="1"/>
        <v>0</v>
      </c>
      <c r="K49" s="194">
        <f t="shared" si="2"/>
        <v>0</v>
      </c>
      <c r="L49" s="194">
        <f t="shared" si="3"/>
        <v>0</v>
      </c>
      <c r="M49" s="364">
        <v>235</v>
      </c>
      <c r="N49" s="365">
        <f t="shared" si="4"/>
        <v>0</v>
      </c>
      <c r="O49" s="371">
        <f t="shared" si="5"/>
        <v>2.35</v>
      </c>
      <c r="P49" s="374" t="e">
        <f>(O49+$N$231)+((BC!$F$125)/$G$103)</f>
        <v>#DIV/0!</v>
      </c>
      <c r="Q49" s="374" t="e">
        <f t="shared" si="6"/>
        <v>#DIV/0!</v>
      </c>
      <c r="R49" s="375" t="e">
        <f t="shared" si="7"/>
        <v>#DIV/0!</v>
      </c>
      <c r="S49" s="375" t="e">
        <f t="shared" si="8"/>
        <v>#DIV/0!</v>
      </c>
      <c r="T49" s="373"/>
      <c r="U49" s="373"/>
      <c r="V49" s="97"/>
      <c r="W49" s="97"/>
      <c r="X49" s="97"/>
      <c r="Y49" s="97"/>
      <c r="Z49" s="97"/>
      <c r="AA49" s="97"/>
      <c r="AB49" s="97"/>
      <c r="AC49" s="97"/>
    </row>
    <row r="50" spans="2:29" ht="15.75" customHeight="1" x14ac:dyDescent="0.45">
      <c r="B50" s="287">
        <v>9005803190</v>
      </c>
      <c r="C50" s="309" t="s">
        <v>404</v>
      </c>
      <c r="D50" s="220" t="s">
        <v>405</v>
      </c>
      <c r="E50" s="219">
        <v>200</v>
      </c>
      <c r="F50" s="219">
        <v>56</v>
      </c>
      <c r="G50" s="386">
        <f>'e411'!F50</f>
        <v>0</v>
      </c>
      <c r="H50" s="219">
        <f t="shared" si="0"/>
        <v>0</v>
      </c>
      <c r="I50" s="219">
        <f>(30*BC!$B$47/F50)</f>
        <v>0</v>
      </c>
      <c r="J50" s="285">
        <f t="shared" si="1"/>
        <v>0</v>
      </c>
      <c r="K50" s="194">
        <f t="shared" si="2"/>
        <v>0</v>
      </c>
      <c r="L50" s="194">
        <f t="shared" si="3"/>
        <v>0</v>
      </c>
      <c r="M50" s="364">
        <v>376</v>
      </c>
      <c r="N50" s="365">
        <f t="shared" si="4"/>
        <v>0</v>
      </c>
      <c r="O50" s="371">
        <f t="shared" si="5"/>
        <v>1.88</v>
      </c>
      <c r="P50" s="374" t="e">
        <f>(O50+$N$231)+((BC!$F$125)/$G$103)</f>
        <v>#DIV/0!</v>
      </c>
      <c r="Q50" s="374" t="e">
        <f t="shared" si="6"/>
        <v>#DIV/0!</v>
      </c>
      <c r="R50" s="375" t="e">
        <f t="shared" si="7"/>
        <v>#DIV/0!</v>
      </c>
      <c r="S50" s="375" t="e">
        <f t="shared" si="8"/>
        <v>#DIV/0!</v>
      </c>
      <c r="T50" s="373"/>
      <c r="U50" s="373"/>
      <c r="V50" s="97"/>
      <c r="W50" s="97"/>
      <c r="X50" s="97"/>
      <c r="Y50" s="97"/>
      <c r="Z50" s="97"/>
      <c r="AA50" s="97"/>
      <c r="AB50" s="97"/>
      <c r="AC50" s="97"/>
    </row>
    <row r="51" spans="2:29" ht="15.75" customHeight="1" x14ac:dyDescent="0.45">
      <c r="B51" s="287">
        <v>9043276190</v>
      </c>
      <c r="C51" s="309" t="s">
        <v>406</v>
      </c>
      <c r="D51" s="220" t="s">
        <v>407</v>
      </c>
      <c r="E51" s="219">
        <v>200</v>
      </c>
      <c r="F51" s="219">
        <v>56</v>
      </c>
      <c r="G51" s="386">
        <f>'e411'!F51</f>
        <v>0</v>
      </c>
      <c r="H51" s="219">
        <f t="shared" si="0"/>
        <v>0</v>
      </c>
      <c r="I51" s="219">
        <f>(30*BC!$B$47/F51)</f>
        <v>0</v>
      </c>
      <c r="J51" s="285">
        <f t="shared" si="1"/>
        <v>0</v>
      </c>
      <c r="K51" s="194">
        <f t="shared" si="2"/>
        <v>0</v>
      </c>
      <c r="L51" s="194">
        <f t="shared" si="3"/>
        <v>0</v>
      </c>
      <c r="M51" s="364">
        <v>376</v>
      </c>
      <c r="N51" s="365">
        <f t="shared" si="4"/>
        <v>0</v>
      </c>
      <c r="O51" s="371">
        <f t="shared" si="5"/>
        <v>1.88</v>
      </c>
      <c r="P51" s="374" t="e">
        <f>(O51+$N$231)+((BC!$F$125)/$G$103)</f>
        <v>#DIV/0!</v>
      </c>
      <c r="Q51" s="374" t="e">
        <f t="shared" si="6"/>
        <v>#DIV/0!</v>
      </c>
      <c r="R51" s="375" t="e">
        <f t="shared" si="7"/>
        <v>#DIV/0!</v>
      </c>
      <c r="S51" s="375" t="e">
        <f t="shared" si="8"/>
        <v>#DIV/0!</v>
      </c>
      <c r="T51" s="373"/>
      <c r="U51" s="373"/>
      <c r="V51" s="97"/>
      <c r="W51" s="97"/>
      <c r="X51" s="97"/>
      <c r="Y51" s="97"/>
      <c r="Z51" s="97"/>
      <c r="AA51" s="97"/>
      <c r="AB51" s="97"/>
      <c r="AC51" s="97"/>
    </row>
    <row r="52" spans="2:29" ht="15.75" customHeight="1" x14ac:dyDescent="0.45">
      <c r="B52" s="287">
        <v>8946779190</v>
      </c>
      <c r="C52" s="305" t="s">
        <v>408</v>
      </c>
      <c r="D52" s="285" t="s">
        <v>409</v>
      </c>
      <c r="E52" s="219">
        <v>100</v>
      </c>
      <c r="F52" s="219">
        <v>56</v>
      </c>
      <c r="G52" s="386">
        <f>'e411'!F52</f>
        <v>0</v>
      </c>
      <c r="H52" s="219">
        <f t="shared" si="0"/>
        <v>0</v>
      </c>
      <c r="I52" s="219">
        <f>(30*BC!$B$47/F52)</f>
        <v>0</v>
      </c>
      <c r="J52" s="285">
        <f t="shared" si="1"/>
        <v>0</v>
      </c>
      <c r="K52" s="194">
        <f t="shared" si="2"/>
        <v>0</v>
      </c>
      <c r="L52" s="194">
        <f t="shared" si="3"/>
        <v>0</v>
      </c>
      <c r="M52" s="364">
        <v>5845</v>
      </c>
      <c r="N52" s="365">
        <f t="shared" si="4"/>
        <v>0</v>
      </c>
      <c r="O52" s="371">
        <f t="shared" si="5"/>
        <v>58.45</v>
      </c>
      <c r="P52" s="374" t="e">
        <f>(O52+$N$231)+((BC!$F$125)/$G$103)</f>
        <v>#DIV/0!</v>
      </c>
      <c r="Q52" s="374" t="e">
        <f t="shared" si="6"/>
        <v>#DIV/0!</v>
      </c>
      <c r="R52" s="375" t="e">
        <f t="shared" si="7"/>
        <v>#DIV/0!</v>
      </c>
      <c r="S52" s="375" t="e">
        <f t="shared" si="8"/>
        <v>#DIV/0!</v>
      </c>
      <c r="T52" s="74"/>
      <c r="U52" s="74"/>
    </row>
    <row r="53" spans="2:29" ht="15.75" customHeight="1" x14ac:dyDescent="0.45">
      <c r="B53" s="287">
        <v>11820583122</v>
      </c>
      <c r="C53" s="317" t="s">
        <v>410</v>
      </c>
      <c r="D53" s="285" t="s">
        <v>411</v>
      </c>
      <c r="E53" s="219">
        <v>100</v>
      </c>
      <c r="F53" s="219">
        <v>56</v>
      </c>
      <c r="G53" s="386">
        <f>'e411'!F53</f>
        <v>0</v>
      </c>
      <c r="H53" s="219">
        <f t="shared" si="0"/>
        <v>0</v>
      </c>
      <c r="I53" s="219">
        <f>(30*BC!$B$47/F53)</f>
        <v>0</v>
      </c>
      <c r="J53" s="285">
        <f t="shared" si="1"/>
        <v>0</v>
      </c>
      <c r="K53" s="194">
        <f t="shared" si="2"/>
        <v>0</v>
      </c>
      <c r="L53" s="194">
        <f t="shared" si="3"/>
        <v>0</v>
      </c>
      <c r="M53" s="364">
        <v>344</v>
      </c>
      <c r="N53" s="365">
        <f t="shared" si="4"/>
        <v>0</v>
      </c>
      <c r="O53" s="371">
        <f t="shared" si="5"/>
        <v>3.44</v>
      </c>
      <c r="P53" s="374" t="e">
        <f>(O53+$N$231)+((BC!$F$125)/$G$103)</f>
        <v>#DIV/0!</v>
      </c>
      <c r="Q53" s="374" t="e">
        <f t="shared" si="6"/>
        <v>#DIV/0!</v>
      </c>
      <c r="R53" s="375" t="e">
        <f t="shared" si="7"/>
        <v>#DIV/0!</v>
      </c>
      <c r="S53" s="375" t="e">
        <f t="shared" si="8"/>
        <v>#DIV/0!</v>
      </c>
      <c r="T53" s="74"/>
      <c r="U53" s="74"/>
    </row>
    <row r="54" spans="2:29" ht="15.75" customHeight="1" x14ac:dyDescent="0.45">
      <c r="B54" s="287">
        <v>8814856190</v>
      </c>
      <c r="C54" s="318" t="s">
        <v>412</v>
      </c>
      <c r="D54" s="220" t="s">
        <v>413</v>
      </c>
      <c r="E54" s="219">
        <v>100</v>
      </c>
      <c r="F54" s="219">
        <v>42</v>
      </c>
      <c r="G54" s="386">
        <f>'e411'!F54</f>
        <v>0</v>
      </c>
      <c r="H54" s="219">
        <f t="shared" si="0"/>
        <v>0</v>
      </c>
      <c r="I54" s="219">
        <f>(30*BC!$B$47/F54)</f>
        <v>0</v>
      </c>
      <c r="J54" s="285">
        <f t="shared" si="1"/>
        <v>0</v>
      </c>
      <c r="K54" s="194">
        <f t="shared" si="2"/>
        <v>0</v>
      </c>
      <c r="L54" s="194">
        <f t="shared" si="3"/>
        <v>0</v>
      </c>
      <c r="M54" s="364">
        <v>270</v>
      </c>
      <c r="N54" s="365">
        <f t="shared" si="4"/>
        <v>0</v>
      </c>
      <c r="O54" s="371">
        <f t="shared" si="5"/>
        <v>2.7</v>
      </c>
      <c r="P54" s="374" t="e">
        <f>(O54+$N$231)+((BC!$F$125)/$G$103)</f>
        <v>#DIV/0!</v>
      </c>
      <c r="Q54" s="374" t="e">
        <f t="shared" si="6"/>
        <v>#DIV/0!</v>
      </c>
      <c r="R54" s="375" t="e">
        <f t="shared" si="7"/>
        <v>#DIV/0!</v>
      </c>
      <c r="S54" s="375" t="e">
        <f t="shared" si="8"/>
        <v>#DIV/0!</v>
      </c>
      <c r="T54" s="373"/>
      <c r="U54" s="373"/>
      <c r="V54" s="97"/>
      <c r="W54" s="97"/>
      <c r="X54" s="97"/>
      <c r="Y54" s="97"/>
      <c r="Z54" s="97"/>
      <c r="AA54" s="97"/>
      <c r="AB54" s="97"/>
      <c r="AC54" s="97"/>
    </row>
    <row r="55" spans="2:29" ht="15.75" customHeight="1" x14ac:dyDescent="0.45">
      <c r="B55" s="287">
        <v>8890587190</v>
      </c>
      <c r="C55" s="310" t="s">
        <v>414</v>
      </c>
      <c r="D55" s="220" t="s">
        <v>415</v>
      </c>
      <c r="E55" s="219">
        <v>100</v>
      </c>
      <c r="F55" s="219">
        <v>28</v>
      </c>
      <c r="G55" s="386">
        <f>'e411'!F55</f>
        <v>0</v>
      </c>
      <c r="H55" s="219">
        <f t="shared" si="0"/>
        <v>0</v>
      </c>
      <c r="I55" s="219">
        <f>(30*BC!$B$47/F55)</f>
        <v>0</v>
      </c>
      <c r="J55" s="285">
        <f t="shared" si="1"/>
        <v>0</v>
      </c>
      <c r="K55" s="194">
        <f t="shared" si="2"/>
        <v>0</v>
      </c>
      <c r="L55" s="194">
        <f t="shared" si="3"/>
        <v>0</v>
      </c>
      <c r="M55" s="364">
        <v>408</v>
      </c>
      <c r="N55" s="365">
        <f t="shared" si="4"/>
        <v>0</v>
      </c>
      <c r="O55" s="371">
        <f t="shared" si="5"/>
        <v>4.08</v>
      </c>
      <c r="P55" s="374" t="e">
        <f>(O55+$N$231)+((BC!$F$125)/$G$103)</f>
        <v>#DIV/0!</v>
      </c>
      <c r="Q55" s="374" t="e">
        <f t="shared" si="6"/>
        <v>#DIV/0!</v>
      </c>
      <c r="R55" s="375" t="e">
        <f t="shared" si="7"/>
        <v>#DIV/0!</v>
      </c>
      <c r="S55" s="375" t="e">
        <f t="shared" si="8"/>
        <v>#DIV/0!</v>
      </c>
      <c r="T55" s="74"/>
      <c r="U55" s="74"/>
    </row>
    <row r="56" spans="2:29" ht="15.75" customHeight="1" x14ac:dyDescent="0.45">
      <c r="B56" s="313">
        <v>3271749190</v>
      </c>
      <c r="C56" s="309" t="s">
        <v>416</v>
      </c>
      <c r="D56" s="220" t="s">
        <v>417</v>
      </c>
      <c r="E56" s="219">
        <v>100</v>
      </c>
      <c r="F56" s="219">
        <v>28</v>
      </c>
      <c r="G56" s="386">
        <f>'e411'!F56</f>
        <v>0</v>
      </c>
      <c r="H56" s="219">
        <f t="shared" si="0"/>
        <v>0</v>
      </c>
      <c r="I56" s="219">
        <f>(30*BC!$B$47/F56)</f>
        <v>0</v>
      </c>
      <c r="J56" s="285">
        <f t="shared" si="1"/>
        <v>0</v>
      </c>
      <c r="K56" s="194">
        <f t="shared" si="2"/>
        <v>0</v>
      </c>
      <c r="L56" s="194">
        <f t="shared" si="3"/>
        <v>0</v>
      </c>
      <c r="M56" s="364">
        <v>148</v>
      </c>
      <c r="N56" s="365">
        <f t="shared" si="4"/>
        <v>0</v>
      </c>
      <c r="O56" s="371">
        <f t="shared" si="5"/>
        <v>1.48</v>
      </c>
      <c r="P56" s="374" t="e">
        <f>(O56+$N$231)+((BC!$F$125)/$G$103)</f>
        <v>#DIV/0!</v>
      </c>
      <c r="Q56" s="374" t="e">
        <f t="shared" si="6"/>
        <v>#DIV/0!</v>
      </c>
      <c r="R56" s="375" t="e">
        <f t="shared" si="7"/>
        <v>#DIV/0!</v>
      </c>
      <c r="S56" s="375" t="e">
        <f t="shared" si="8"/>
        <v>#DIV/0!</v>
      </c>
      <c r="T56" s="373"/>
      <c r="U56" s="373"/>
      <c r="V56" s="97"/>
      <c r="W56" s="97"/>
      <c r="X56" s="97"/>
      <c r="Y56" s="97"/>
      <c r="Z56" s="97"/>
      <c r="AA56" s="97"/>
      <c r="AB56" s="97"/>
      <c r="AC56" s="97"/>
    </row>
    <row r="57" spans="2:29" ht="15.75" customHeight="1" x14ac:dyDescent="0.45">
      <c r="B57" s="287">
        <v>5950929190</v>
      </c>
      <c r="C57" s="319" t="s">
        <v>418</v>
      </c>
      <c r="D57" s="285" t="s">
        <v>419</v>
      </c>
      <c r="E57" s="219">
        <v>100</v>
      </c>
      <c r="F57" s="219">
        <v>28</v>
      </c>
      <c r="G57" s="386">
        <f>'e411'!F57</f>
        <v>0</v>
      </c>
      <c r="H57" s="219">
        <f t="shared" si="0"/>
        <v>0</v>
      </c>
      <c r="I57" s="219">
        <f>(30*BC!$B$47/F57)</f>
        <v>0</v>
      </c>
      <c r="J57" s="285">
        <f t="shared" si="1"/>
        <v>0</v>
      </c>
      <c r="K57" s="194">
        <f t="shared" si="2"/>
        <v>0</v>
      </c>
      <c r="L57" s="194">
        <f t="shared" si="3"/>
        <v>0</v>
      </c>
      <c r="M57" s="364">
        <v>1109</v>
      </c>
      <c r="N57" s="365">
        <f t="shared" si="4"/>
        <v>0</v>
      </c>
      <c r="O57" s="371">
        <f t="shared" si="5"/>
        <v>11.09</v>
      </c>
      <c r="P57" s="374" t="e">
        <f>(O57+$N$231)+((BC!$F$125)/$G$103)</f>
        <v>#DIV/0!</v>
      </c>
      <c r="Q57" s="374" t="e">
        <f t="shared" si="6"/>
        <v>#DIV/0!</v>
      </c>
      <c r="R57" s="375" t="e">
        <f t="shared" si="7"/>
        <v>#DIV/0!</v>
      </c>
      <c r="S57" s="375" t="e">
        <f t="shared" si="8"/>
        <v>#DIV/0!</v>
      </c>
      <c r="T57" s="74"/>
      <c r="U57" s="74"/>
    </row>
    <row r="58" spans="2:29" ht="15.75" customHeight="1" x14ac:dyDescent="0.45">
      <c r="B58" s="320">
        <v>5390125190</v>
      </c>
      <c r="C58" s="284" t="s">
        <v>420</v>
      </c>
      <c r="D58" s="285" t="s">
        <v>421</v>
      </c>
      <c r="E58" s="219">
        <v>100</v>
      </c>
      <c r="F58" s="219">
        <v>56</v>
      </c>
      <c r="G58" s="386">
        <f>'e411'!F58</f>
        <v>0</v>
      </c>
      <c r="H58" s="219">
        <f t="shared" si="0"/>
        <v>0</v>
      </c>
      <c r="I58" s="219">
        <f>(30*BC!$B$47/F58)</f>
        <v>0</v>
      </c>
      <c r="J58" s="285">
        <f t="shared" si="1"/>
        <v>0</v>
      </c>
      <c r="K58" s="194">
        <f t="shared" si="2"/>
        <v>0</v>
      </c>
      <c r="L58" s="194">
        <f t="shared" si="3"/>
        <v>0</v>
      </c>
      <c r="M58" s="364">
        <v>498</v>
      </c>
      <c r="N58" s="365">
        <f t="shared" si="4"/>
        <v>0</v>
      </c>
      <c r="O58" s="371">
        <f t="shared" si="5"/>
        <v>4.9800000000000004</v>
      </c>
      <c r="P58" s="374" t="e">
        <f>(O58+$N$231)+((BC!$F$125)/$G$103)</f>
        <v>#DIV/0!</v>
      </c>
      <c r="Q58" s="374" t="e">
        <f t="shared" si="6"/>
        <v>#DIV/0!</v>
      </c>
      <c r="R58" s="375" t="e">
        <f t="shared" si="7"/>
        <v>#DIV/0!</v>
      </c>
      <c r="S58" s="375" t="e">
        <f t="shared" si="8"/>
        <v>#DIV/0!</v>
      </c>
      <c r="T58" s="74"/>
      <c r="U58" s="74"/>
    </row>
    <row r="59" spans="2:29" ht="15.75" customHeight="1" x14ac:dyDescent="0.45">
      <c r="B59" s="287">
        <v>8924163190</v>
      </c>
      <c r="C59" s="321" t="s">
        <v>422</v>
      </c>
      <c r="D59" s="220" t="s">
        <v>423</v>
      </c>
      <c r="E59" s="219">
        <v>100</v>
      </c>
      <c r="F59" s="219">
        <v>28</v>
      </c>
      <c r="G59" s="386">
        <f>'e411'!F59</f>
        <v>0</v>
      </c>
      <c r="H59" s="219">
        <f t="shared" si="0"/>
        <v>0</v>
      </c>
      <c r="I59" s="219">
        <f>(30*BC!$B$47/F59)</f>
        <v>0</v>
      </c>
      <c r="J59" s="285">
        <f t="shared" si="1"/>
        <v>0</v>
      </c>
      <c r="K59" s="194">
        <f t="shared" si="2"/>
        <v>0</v>
      </c>
      <c r="L59" s="194">
        <f t="shared" si="3"/>
        <v>0</v>
      </c>
      <c r="M59" s="364">
        <v>886</v>
      </c>
      <c r="N59" s="365">
        <f t="shared" si="4"/>
        <v>0</v>
      </c>
      <c r="O59" s="371">
        <f t="shared" si="5"/>
        <v>8.86</v>
      </c>
      <c r="P59" s="374" t="e">
        <f>(O59+$N$231)+((BC!$F$125)/$G$103)</f>
        <v>#DIV/0!</v>
      </c>
      <c r="Q59" s="374" t="e">
        <f t="shared" si="6"/>
        <v>#DIV/0!</v>
      </c>
      <c r="R59" s="375" t="e">
        <f t="shared" si="7"/>
        <v>#DIV/0!</v>
      </c>
      <c r="S59" s="375" t="e">
        <f t="shared" si="8"/>
        <v>#DIV/0!</v>
      </c>
      <c r="T59" s="373"/>
      <c r="U59" s="373"/>
      <c r="V59" s="97"/>
      <c r="W59" s="97"/>
      <c r="X59" s="97"/>
      <c r="Y59" s="97"/>
      <c r="Z59" s="97"/>
      <c r="AA59" s="97"/>
      <c r="AB59" s="97"/>
      <c r="AC59" s="97"/>
    </row>
    <row r="60" spans="2:29" ht="15.75" customHeight="1" x14ac:dyDescent="0.45">
      <c r="B60" s="287">
        <v>8948844190</v>
      </c>
      <c r="C60" s="322" t="s">
        <v>424</v>
      </c>
      <c r="D60" s="220" t="s">
        <v>425</v>
      </c>
      <c r="E60" s="219">
        <v>100</v>
      </c>
      <c r="F60" s="219">
        <v>28</v>
      </c>
      <c r="G60" s="386">
        <f>'e411'!F60</f>
        <v>0</v>
      </c>
      <c r="H60" s="219">
        <f t="shared" si="0"/>
        <v>0</v>
      </c>
      <c r="I60" s="219">
        <f>(30*BC!$B$47/F60)</f>
        <v>0</v>
      </c>
      <c r="J60" s="285">
        <f t="shared" si="1"/>
        <v>0</v>
      </c>
      <c r="K60" s="194">
        <f t="shared" si="2"/>
        <v>0</v>
      </c>
      <c r="L60" s="194">
        <f t="shared" si="3"/>
        <v>0</v>
      </c>
      <c r="M60" s="364">
        <v>548</v>
      </c>
      <c r="N60" s="365">
        <f t="shared" si="4"/>
        <v>0</v>
      </c>
      <c r="O60" s="371">
        <f t="shared" si="5"/>
        <v>5.48</v>
      </c>
      <c r="P60" s="374" t="e">
        <f>(O60+$N$231)+((BC!$F$125)/$G$103)</f>
        <v>#DIV/0!</v>
      </c>
      <c r="Q60" s="374" t="e">
        <f t="shared" si="6"/>
        <v>#DIV/0!</v>
      </c>
      <c r="R60" s="375" t="e">
        <f t="shared" si="7"/>
        <v>#DIV/0!</v>
      </c>
      <c r="S60" s="375" t="e">
        <f t="shared" si="8"/>
        <v>#DIV/0!</v>
      </c>
      <c r="T60" s="373"/>
      <c r="U60" s="373"/>
      <c r="V60" s="97"/>
      <c r="W60" s="97"/>
      <c r="X60" s="97"/>
      <c r="Y60" s="97"/>
      <c r="Z60" s="97"/>
      <c r="AA60" s="97"/>
      <c r="AB60" s="97"/>
      <c r="AC60" s="97"/>
    </row>
    <row r="61" spans="2:29" ht="15.75" customHeight="1" x14ac:dyDescent="0.45">
      <c r="B61" s="287">
        <v>8948887190</v>
      </c>
      <c r="C61" s="322" t="s">
        <v>426</v>
      </c>
      <c r="D61" s="220" t="s">
        <v>427</v>
      </c>
      <c r="E61" s="219">
        <v>100</v>
      </c>
      <c r="F61" s="219">
        <v>28</v>
      </c>
      <c r="G61" s="386">
        <f>'e411'!F61</f>
        <v>0</v>
      </c>
      <c r="H61" s="219">
        <f t="shared" si="0"/>
        <v>0</v>
      </c>
      <c r="I61" s="219">
        <f>(30*BC!$B$47/F61)</f>
        <v>0</v>
      </c>
      <c r="J61" s="285">
        <f t="shared" si="1"/>
        <v>0</v>
      </c>
      <c r="K61" s="194">
        <f t="shared" si="2"/>
        <v>0</v>
      </c>
      <c r="L61" s="194">
        <f t="shared" si="3"/>
        <v>0</v>
      </c>
      <c r="M61" s="364">
        <v>439</v>
      </c>
      <c r="N61" s="365">
        <f t="shared" si="4"/>
        <v>0</v>
      </c>
      <c r="O61" s="371">
        <f t="shared" si="5"/>
        <v>4.3899999999999997</v>
      </c>
      <c r="P61" s="374" t="e">
        <f>(O61+$N$231)+((BC!$F$125)/$G$103)</f>
        <v>#DIV/0!</v>
      </c>
      <c r="Q61" s="374" t="e">
        <f t="shared" si="6"/>
        <v>#DIV/0!</v>
      </c>
      <c r="R61" s="375" t="e">
        <f t="shared" si="7"/>
        <v>#DIV/0!</v>
      </c>
      <c r="S61" s="375" t="e">
        <f t="shared" si="8"/>
        <v>#DIV/0!</v>
      </c>
      <c r="T61" s="373"/>
      <c r="U61" s="373"/>
      <c r="V61" s="97"/>
      <c r="W61" s="97"/>
      <c r="X61" s="97"/>
      <c r="Y61" s="97"/>
      <c r="Z61" s="97"/>
      <c r="AA61" s="97"/>
      <c r="AB61" s="97"/>
      <c r="AC61" s="97"/>
    </row>
    <row r="62" spans="2:29" ht="15.75" customHeight="1" x14ac:dyDescent="0.45">
      <c r="B62" s="287">
        <v>9015175190</v>
      </c>
      <c r="C62" s="323" t="s">
        <v>428</v>
      </c>
      <c r="D62" s="220" t="s">
        <v>429</v>
      </c>
      <c r="E62" s="219">
        <v>100</v>
      </c>
      <c r="F62" s="219">
        <v>28</v>
      </c>
      <c r="G62" s="386">
        <f>'e411'!F62</f>
        <v>0</v>
      </c>
      <c r="H62" s="219">
        <f t="shared" si="0"/>
        <v>0</v>
      </c>
      <c r="I62" s="219">
        <f>(30*BC!$B$47/F62)</f>
        <v>0</v>
      </c>
      <c r="J62" s="285">
        <f t="shared" si="1"/>
        <v>0</v>
      </c>
      <c r="K62" s="194">
        <f t="shared" si="2"/>
        <v>0</v>
      </c>
      <c r="L62" s="194">
        <f t="shared" si="3"/>
        <v>0</v>
      </c>
      <c r="M62" s="364">
        <v>328</v>
      </c>
      <c r="N62" s="365">
        <f t="shared" si="4"/>
        <v>0</v>
      </c>
      <c r="O62" s="371">
        <f t="shared" si="5"/>
        <v>3.28</v>
      </c>
      <c r="P62" s="374" t="e">
        <f>(O62+$N$231)+((BC!$F$125)/$G$103)</f>
        <v>#DIV/0!</v>
      </c>
      <c r="Q62" s="374" t="e">
        <f t="shared" si="6"/>
        <v>#DIV/0!</v>
      </c>
      <c r="R62" s="375" t="e">
        <f t="shared" si="7"/>
        <v>#DIV/0!</v>
      </c>
      <c r="S62" s="375" t="e">
        <f t="shared" si="8"/>
        <v>#DIV/0!</v>
      </c>
      <c r="T62" s="373"/>
      <c r="U62" s="373"/>
      <c r="V62" s="97"/>
      <c r="W62" s="97"/>
      <c r="X62" s="97"/>
      <c r="Y62" s="97"/>
      <c r="Z62" s="97"/>
      <c r="AA62" s="97"/>
      <c r="AB62" s="97"/>
      <c r="AC62" s="97"/>
    </row>
    <row r="63" spans="2:29" ht="15.75" customHeight="1" x14ac:dyDescent="0.45">
      <c r="B63" s="287">
        <v>4827031190</v>
      </c>
      <c r="C63" s="309" t="s">
        <v>430</v>
      </c>
      <c r="D63" s="220" t="s">
        <v>431</v>
      </c>
      <c r="E63" s="219">
        <v>100</v>
      </c>
      <c r="F63" s="219">
        <v>56</v>
      </c>
      <c r="G63" s="386">
        <f>'e411'!F63</f>
        <v>0</v>
      </c>
      <c r="H63" s="219">
        <f t="shared" si="0"/>
        <v>0</v>
      </c>
      <c r="I63" s="219">
        <f>(30*BC!$B$47/F63)</f>
        <v>0</v>
      </c>
      <c r="J63" s="285">
        <f t="shared" si="1"/>
        <v>0</v>
      </c>
      <c r="K63" s="194">
        <f t="shared" si="2"/>
        <v>0</v>
      </c>
      <c r="L63" s="194">
        <f t="shared" si="3"/>
        <v>0</v>
      </c>
      <c r="M63" s="364">
        <v>388</v>
      </c>
      <c r="N63" s="365">
        <f t="shared" si="4"/>
        <v>0</v>
      </c>
      <c r="O63" s="371">
        <f t="shared" si="5"/>
        <v>3.88</v>
      </c>
      <c r="P63" s="374" t="e">
        <f>(O63+$N$231)+((BC!$F$125)/$G$103)</f>
        <v>#DIV/0!</v>
      </c>
      <c r="Q63" s="374" t="e">
        <f t="shared" si="6"/>
        <v>#DIV/0!</v>
      </c>
      <c r="R63" s="375" t="e">
        <f t="shared" si="7"/>
        <v>#DIV/0!</v>
      </c>
      <c r="S63" s="375" t="e">
        <f t="shared" si="8"/>
        <v>#DIV/0!</v>
      </c>
      <c r="T63" s="373"/>
      <c r="U63" s="373"/>
      <c r="V63" s="97"/>
      <c r="W63" s="97"/>
      <c r="X63" s="97"/>
      <c r="Y63" s="97"/>
      <c r="Z63" s="97"/>
      <c r="AA63" s="97"/>
      <c r="AB63" s="97"/>
      <c r="AC63" s="97"/>
    </row>
    <row r="64" spans="2:29" ht="15.75" customHeight="1" x14ac:dyDescent="0.45">
      <c r="B64" s="287">
        <v>7475896190</v>
      </c>
      <c r="C64" s="324" t="s">
        <v>432</v>
      </c>
      <c r="D64" s="285" t="s">
        <v>433</v>
      </c>
      <c r="E64" s="219">
        <v>100</v>
      </c>
      <c r="F64" s="219">
        <v>28</v>
      </c>
      <c r="G64" s="386">
        <f>'e411'!F64</f>
        <v>0</v>
      </c>
      <c r="H64" s="219">
        <f t="shared" si="0"/>
        <v>0</v>
      </c>
      <c r="I64" s="219">
        <f>(30*BC!$B$47/F64)</f>
        <v>0</v>
      </c>
      <c r="J64" s="285">
        <f t="shared" si="1"/>
        <v>0</v>
      </c>
      <c r="K64" s="194">
        <f t="shared" si="2"/>
        <v>0</v>
      </c>
      <c r="L64" s="194">
        <f t="shared" si="3"/>
        <v>0</v>
      </c>
      <c r="M64" s="364">
        <v>859</v>
      </c>
      <c r="N64" s="365">
        <f t="shared" si="4"/>
        <v>0</v>
      </c>
      <c r="O64" s="371">
        <f t="shared" si="5"/>
        <v>8.59</v>
      </c>
      <c r="P64" s="374" t="e">
        <f>(O64+$N$231)+((BC!$F$125)/$G$103)</f>
        <v>#DIV/0!</v>
      </c>
      <c r="Q64" s="374" t="e">
        <f t="shared" si="6"/>
        <v>#DIV/0!</v>
      </c>
      <c r="R64" s="375" t="e">
        <f t="shared" si="7"/>
        <v>#DIV/0!</v>
      </c>
      <c r="S64" s="375" t="e">
        <f t="shared" si="8"/>
        <v>#DIV/0!</v>
      </c>
      <c r="T64" s="74"/>
      <c r="U64" s="74"/>
    </row>
    <row r="65" spans="2:29" ht="15.75" customHeight="1" x14ac:dyDescent="0.45">
      <c r="B65" s="287">
        <v>7574690190</v>
      </c>
      <c r="C65" s="325" t="s">
        <v>434</v>
      </c>
      <c r="D65" s="197" t="s">
        <v>435</v>
      </c>
      <c r="E65" s="219">
        <v>100</v>
      </c>
      <c r="F65" s="219">
        <v>28</v>
      </c>
      <c r="G65" s="386">
        <f>'e411'!F65</f>
        <v>0</v>
      </c>
      <c r="H65" s="219">
        <f t="shared" si="0"/>
        <v>0</v>
      </c>
      <c r="I65" s="219">
        <f>(30*BC!$B$47/F65)</f>
        <v>0</v>
      </c>
      <c r="J65" s="285">
        <f t="shared" si="1"/>
        <v>0</v>
      </c>
      <c r="K65" s="194">
        <f t="shared" si="2"/>
        <v>0</v>
      </c>
      <c r="L65" s="194">
        <f t="shared" si="3"/>
        <v>0</v>
      </c>
      <c r="M65" s="364">
        <v>1239</v>
      </c>
      <c r="N65" s="365">
        <f t="shared" si="4"/>
        <v>0</v>
      </c>
      <c r="O65" s="371">
        <f t="shared" si="5"/>
        <v>12.39</v>
      </c>
      <c r="P65" s="374" t="e">
        <f>(O65+$N$231)+((BC!$F$125)/$G$103)</f>
        <v>#DIV/0!</v>
      </c>
      <c r="Q65" s="374" t="e">
        <f t="shared" si="6"/>
        <v>#DIV/0!</v>
      </c>
      <c r="R65" s="375" t="e">
        <f t="shared" si="7"/>
        <v>#DIV/0!</v>
      </c>
      <c r="S65" s="375" t="e">
        <f t="shared" si="8"/>
        <v>#DIV/0!</v>
      </c>
      <c r="T65" s="74"/>
      <c r="U65" s="74"/>
    </row>
    <row r="66" spans="2:29" ht="15.75" customHeight="1" x14ac:dyDescent="0.45">
      <c r="B66" s="287">
        <v>9015604190</v>
      </c>
      <c r="C66" s="326" t="s">
        <v>436</v>
      </c>
      <c r="D66" s="220" t="s">
        <v>437</v>
      </c>
      <c r="E66" s="219">
        <v>100</v>
      </c>
      <c r="F66" s="219">
        <v>28</v>
      </c>
      <c r="G66" s="386">
        <f>'e411'!F66</f>
        <v>0</v>
      </c>
      <c r="H66" s="219">
        <f t="shared" si="0"/>
        <v>0</v>
      </c>
      <c r="I66" s="219">
        <f>(30*BC!$B$47/F66)</f>
        <v>0</v>
      </c>
      <c r="J66" s="285">
        <f t="shared" si="1"/>
        <v>0</v>
      </c>
      <c r="K66" s="194">
        <f t="shared" si="2"/>
        <v>0</v>
      </c>
      <c r="L66" s="194">
        <f t="shared" si="3"/>
        <v>0</v>
      </c>
      <c r="M66" s="364">
        <v>1055</v>
      </c>
      <c r="N66" s="365">
        <f t="shared" si="4"/>
        <v>0</v>
      </c>
      <c r="O66" s="371">
        <f t="shared" si="5"/>
        <v>10.55</v>
      </c>
      <c r="P66" s="374" t="e">
        <f>(O66+$N$231)+((BC!$F$125)/$G$103)</f>
        <v>#DIV/0!</v>
      </c>
      <c r="Q66" s="374" t="e">
        <f t="shared" si="6"/>
        <v>#DIV/0!</v>
      </c>
      <c r="R66" s="375" t="e">
        <f t="shared" si="7"/>
        <v>#DIV/0!</v>
      </c>
      <c r="S66" s="375" t="e">
        <f t="shared" si="8"/>
        <v>#DIV/0!</v>
      </c>
      <c r="T66" s="373"/>
      <c r="U66" s="373"/>
      <c r="V66" s="97"/>
      <c r="W66" s="97"/>
      <c r="X66" s="97"/>
      <c r="Y66" s="97"/>
      <c r="Z66" s="97"/>
      <c r="AA66" s="97"/>
      <c r="AB66" s="97"/>
      <c r="AC66" s="97"/>
    </row>
    <row r="67" spans="2:29" ht="15.75" customHeight="1" x14ac:dyDescent="0.45">
      <c r="B67" s="327">
        <v>12017547122</v>
      </c>
      <c r="C67" s="309" t="s">
        <v>438</v>
      </c>
      <c r="D67" s="220" t="s">
        <v>439</v>
      </c>
      <c r="E67" s="219">
        <v>100</v>
      </c>
      <c r="F67" s="219">
        <v>28</v>
      </c>
      <c r="G67" s="386">
        <f>'e411'!F67</f>
        <v>0</v>
      </c>
      <c r="H67" s="219">
        <f t="shared" si="0"/>
        <v>0</v>
      </c>
      <c r="I67" s="219">
        <f>(30*BC!$B$47/F67)</f>
        <v>0</v>
      </c>
      <c r="J67" s="285">
        <f t="shared" si="1"/>
        <v>0</v>
      </c>
      <c r="K67" s="194">
        <f t="shared" si="2"/>
        <v>0</v>
      </c>
      <c r="L67" s="194">
        <f t="shared" si="3"/>
        <v>0</v>
      </c>
      <c r="M67" s="364">
        <v>326</v>
      </c>
      <c r="N67" s="365">
        <f t="shared" si="4"/>
        <v>0</v>
      </c>
      <c r="O67" s="371">
        <f t="shared" si="5"/>
        <v>3.26</v>
      </c>
      <c r="P67" s="374" t="e">
        <f>(O67+$N$231)+((BC!$F$125)/$G$103)</f>
        <v>#DIV/0!</v>
      </c>
      <c r="Q67" s="374" t="e">
        <f t="shared" si="6"/>
        <v>#DIV/0!</v>
      </c>
      <c r="R67" s="375" t="e">
        <f t="shared" si="7"/>
        <v>#DIV/0!</v>
      </c>
      <c r="S67" s="375" t="e">
        <f t="shared" si="8"/>
        <v>#DIV/0!</v>
      </c>
      <c r="T67" s="373"/>
      <c r="U67" s="373"/>
      <c r="V67" s="97"/>
      <c r="W67" s="97"/>
      <c r="X67" s="97"/>
      <c r="Y67" s="97"/>
      <c r="Z67" s="97"/>
      <c r="AA67" s="97"/>
      <c r="AB67" s="97"/>
      <c r="AC67" s="97"/>
    </row>
    <row r="68" spans="2:29" ht="15.75" customHeight="1" x14ac:dyDescent="0.45">
      <c r="B68" s="287">
        <v>11732234122</v>
      </c>
      <c r="C68" s="309" t="s">
        <v>440</v>
      </c>
      <c r="D68" s="220" t="s">
        <v>441</v>
      </c>
      <c r="E68" s="219">
        <v>100</v>
      </c>
      <c r="F68" s="219">
        <v>56</v>
      </c>
      <c r="G68" s="386">
        <f>'e411'!F68</f>
        <v>0</v>
      </c>
      <c r="H68" s="219">
        <f t="shared" si="0"/>
        <v>0</v>
      </c>
      <c r="I68" s="219">
        <f>(30*BC!$B$47/F68)</f>
        <v>0</v>
      </c>
      <c r="J68" s="285">
        <f t="shared" si="1"/>
        <v>0</v>
      </c>
      <c r="K68" s="194">
        <f t="shared" si="2"/>
        <v>0</v>
      </c>
      <c r="L68" s="194">
        <f t="shared" si="3"/>
        <v>0</v>
      </c>
      <c r="M68" s="364">
        <v>117</v>
      </c>
      <c r="N68" s="365">
        <f t="shared" si="4"/>
        <v>0</v>
      </c>
      <c r="O68" s="371">
        <f t="shared" si="5"/>
        <v>1.17</v>
      </c>
      <c r="P68" s="374" t="e">
        <f>(O68+$N$231)+((BC!$F$125)/$G$103)</f>
        <v>#DIV/0!</v>
      </c>
      <c r="Q68" s="374" t="e">
        <f t="shared" si="6"/>
        <v>#DIV/0!</v>
      </c>
      <c r="R68" s="375" t="e">
        <f t="shared" si="7"/>
        <v>#DIV/0!</v>
      </c>
      <c r="S68" s="375" t="e">
        <f t="shared" si="8"/>
        <v>#DIV/0!</v>
      </c>
      <c r="T68" s="373"/>
      <c r="U68" s="373"/>
      <c r="V68" s="97"/>
      <c r="W68" s="97"/>
      <c r="X68" s="97"/>
      <c r="Y68" s="97"/>
      <c r="Z68" s="97"/>
      <c r="AA68" s="97"/>
      <c r="AB68" s="97"/>
      <c r="AC68" s="97"/>
    </row>
    <row r="69" spans="2:29" ht="15.75" customHeight="1" x14ac:dyDescent="0.45">
      <c r="B69" s="287">
        <v>11820788122</v>
      </c>
      <c r="C69" s="305" t="s">
        <v>442</v>
      </c>
      <c r="D69" s="285" t="s">
        <v>443</v>
      </c>
      <c r="E69" s="219">
        <v>100</v>
      </c>
      <c r="F69" s="219">
        <v>56</v>
      </c>
      <c r="G69" s="386">
        <f>'e411'!F69</f>
        <v>0</v>
      </c>
      <c r="H69" s="219">
        <f t="shared" si="0"/>
        <v>0</v>
      </c>
      <c r="I69" s="219">
        <f>(30*BC!$B$47/F69)</f>
        <v>0</v>
      </c>
      <c r="J69" s="285">
        <f t="shared" si="1"/>
        <v>0</v>
      </c>
      <c r="K69" s="194">
        <f t="shared" si="2"/>
        <v>0</v>
      </c>
      <c r="L69" s="194">
        <f t="shared" si="3"/>
        <v>0</v>
      </c>
      <c r="M69" s="364">
        <v>499</v>
      </c>
      <c r="N69" s="365">
        <f t="shared" si="4"/>
        <v>0</v>
      </c>
      <c r="O69" s="371">
        <f t="shared" si="5"/>
        <v>4.99</v>
      </c>
      <c r="P69" s="374" t="e">
        <f>(O69+$N$231)+((BC!$F$125)/$G$103)</f>
        <v>#DIV/0!</v>
      </c>
      <c r="Q69" s="374" t="e">
        <f t="shared" si="6"/>
        <v>#DIV/0!</v>
      </c>
      <c r="R69" s="375" t="e">
        <f t="shared" si="7"/>
        <v>#DIV/0!</v>
      </c>
      <c r="S69" s="375" t="e">
        <f t="shared" si="8"/>
        <v>#DIV/0!</v>
      </c>
      <c r="T69" s="74"/>
      <c r="U69" s="74"/>
    </row>
    <row r="70" spans="2:29" ht="15.75" customHeight="1" x14ac:dyDescent="0.45">
      <c r="B70" s="287">
        <v>12149133122</v>
      </c>
      <c r="C70" s="315" t="s">
        <v>444</v>
      </c>
      <c r="D70" s="285" t="s">
        <v>445</v>
      </c>
      <c r="E70" s="219">
        <v>100</v>
      </c>
      <c r="F70" s="219">
        <v>56</v>
      </c>
      <c r="G70" s="386">
        <f>'e411'!F70</f>
        <v>0</v>
      </c>
      <c r="H70" s="219">
        <f t="shared" ref="H70:H102" si="9">G70/E70</f>
        <v>0</v>
      </c>
      <c r="I70" s="219">
        <f>(30*BC!$B$47/F70)</f>
        <v>0</v>
      </c>
      <c r="J70" s="285">
        <f t="shared" ref="J70:J126" si="10">IF(I70&gt;H70,I70,H70)</f>
        <v>0</v>
      </c>
      <c r="K70" s="194">
        <f t="shared" ref="K70:K126" si="11">IF(H70=0,0,J70)</f>
        <v>0</v>
      </c>
      <c r="L70" s="194">
        <f t="shared" ref="L70:L126" si="12">ROUNDUP(K70,0)</f>
        <v>0</v>
      </c>
      <c r="M70" s="364">
        <v>654</v>
      </c>
      <c r="N70" s="365">
        <f t="shared" ref="N70:N102" si="13">M70*L70</f>
        <v>0</v>
      </c>
      <c r="O70" s="371">
        <f t="shared" ref="O70:O102" si="14">M70/E70</f>
        <v>6.54</v>
      </c>
      <c r="P70" s="374" t="e">
        <f>(O70+$N$231)+((BC!$F$125)/$G$103)</f>
        <v>#DIV/0!</v>
      </c>
      <c r="Q70" s="374" t="e">
        <f t="shared" ref="Q70:Q102" si="15">P70*G70</f>
        <v>#DIV/0!</v>
      </c>
      <c r="R70" s="375" t="e">
        <f t="shared" ref="R70:R102" si="16">((P70*0.15)+P70)</f>
        <v>#DIV/0!</v>
      </c>
      <c r="S70" s="375" t="e">
        <f t="shared" ref="S70:S102" si="17">R70*G70</f>
        <v>#DIV/0!</v>
      </c>
      <c r="T70" s="74"/>
      <c r="U70" s="74"/>
    </row>
    <row r="71" spans="2:29" ht="15.75" customHeight="1" x14ac:dyDescent="0.45">
      <c r="B71" s="287">
        <v>12133113122</v>
      </c>
      <c r="C71" s="303" t="s">
        <v>446</v>
      </c>
      <c r="D71" s="285" t="s">
        <v>447</v>
      </c>
      <c r="E71" s="219">
        <v>100</v>
      </c>
      <c r="F71" s="219">
        <v>56</v>
      </c>
      <c r="G71" s="386">
        <f>'e411'!F71</f>
        <v>0</v>
      </c>
      <c r="H71" s="219">
        <f t="shared" si="9"/>
        <v>0</v>
      </c>
      <c r="I71" s="219">
        <f>(30*BC!$B$47/F71)</f>
        <v>0</v>
      </c>
      <c r="J71" s="285">
        <f t="shared" si="10"/>
        <v>0</v>
      </c>
      <c r="K71" s="194">
        <f t="shared" si="11"/>
        <v>0</v>
      </c>
      <c r="L71" s="194">
        <f t="shared" si="12"/>
        <v>0</v>
      </c>
      <c r="M71" s="364">
        <v>1217</v>
      </c>
      <c r="N71" s="365">
        <f t="shared" si="13"/>
        <v>0</v>
      </c>
      <c r="O71" s="371">
        <f t="shared" si="14"/>
        <v>12.17</v>
      </c>
      <c r="P71" s="374" t="e">
        <f>(O71+$N$231)+((BC!$F$125)/$G$103)</f>
        <v>#DIV/0!</v>
      </c>
      <c r="Q71" s="374" t="e">
        <f t="shared" si="15"/>
        <v>#DIV/0!</v>
      </c>
      <c r="R71" s="375" t="e">
        <f t="shared" si="16"/>
        <v>#DIV/0!</v>
      </c>
      <c r="S71" s="375" t="e">
        <f t="shared" si="17"/>
        <v>#DIV/0!</v>
      </c>
      <c r="T71" s="74"/>
      <c r="U71" s="74"/>
    </row>
    <row r="72" spans="2:29" ht="15.75" customHeight="1" x14ac:dyDescent="0.45">
      <c r="B72" s="287">
        <v>8860173190</v>
      </c>
      <c r="C72" s="316" t="s">
        <v>448</v>
      </c>
      <c r="D72" s="285" t="s">
        <v>449</v>
      </c>
      <c r="E72" s="219">
        <v>100</v>
      </c>
      <c r="F72" s="219">
        <v>21</v>
      </c>
      <c r="G72" s="386">
        <f>'e411'!F72</f>
        <v>0</v>
      </c>
      <c r="H72" s="219">
        <f t="shared" si="9"/>
        <v>0</v>
      </c>
      <c r="I72" s="219">
        <f>(30*BC!$B$47/F72)</f>
        <v>0</v>
      </c>
      <c r="J72" s="285">
        <f t="shared" si="10"/>
        <v>0</v>
      </c>
      <c r="K72" s="194">
        <f t="shared" si="11"/>
        <v>0</v>
      </c>
      <c r="L72" s="194">
        <f t="shared" si="12"/>
        <v>0</v>
      </c>
      <c r="M72" s="364">
        <v>1459</v>
      </c>
      <c r="N72" s="365">
        <f t="shared" si="13"/>
        <v>0</v>
      </c>
      <c r="O72" s="371">
        <f t="shared" si="14"/>
        <v>14.59</v>
      </c>
      <c r="P72" s="374" t="e">
        <f>(O72+$N$231)+((BC!$F$125)/$G$103)</f>
        <v>#DIV/0!</v>
      </c>
      <c r="Q72" s="374" t="e">
        <f t="shared" si="15"/>
        <v>#DIV/0!</v>
      </c>
      <c r="R72" s="375" t="e">
        <f t="shared" si="16"/>
        <v>#DIV/0!</v>
      </c>
      <c r="S72" s="375" t="e">
        <f t="shared" si="17"/>
        <v>#DIV/0!</v>
      </c>
      <c r="T72" s="74"/>
      <c r="U72" s="74"/>
    </row>
    <row r="73" spans="2:29" ht="15.75" customHeight="1" x14ac:dyDescent="0.45">
      <c r="B73" s="287">
        <v>9318712190</v>
      </c>
      <c r="C73" s="220" t="s">
        <v>450</v>
      </c>
      <c r="D73" s="220" t="s">
        <v>451</v>
      </c>
      <c r="E73" s="219">
        <v>100</v>
      </c>
      <c r="F73" s="219">
        <v>28</v>
      </c>
      <c r="G73" s="386">
        <f>'e411'!F73</f>
        <v>0</v>
      </c>
      <c r="H73" s="219">
        <f t="shared" si="9"/>
        <v>0</v>
      </c>
      <c r="I73" s="219">
        <f>(30*BC!$B$47/F73)</f>
        <v>0</v>
      </c>
      <c r="J73" s="285">
        <f t="shared" si="10"/>
        <v>0</v>
      </c>
      <c r="K73" s="194">
        <f t="shared" si="11"/>
        <v>0</v>
      </c>
      <c r="L73" s="194">
        <f t="shared" si="12"/>
        <v>0</v>
      </c>
      <c r="M73" s="364">
        <v>1701</v>
      </c>
      <c r="N73" s="365">
        <f t="shared" si="13"/>
        <v>0</v>
      </c>
      <c r="O73" s="371">
        <f t="shared" si="14"/>
        <v>17.010000000000002</v>
      </c>
      <c r="P73" s="374" t="e">
        <f>(O73+$N$231)+((BC!$F$125)/$G$103)</f>
        <v>#DIV/0!</v>
      </c>
      <c r="Q73" s="374" t="e">
        <f t="shared" si="15"/>
        <v>#DIV/0!</v>
      </c>
      <c r="R73" s="375" t="e">
        <f t="shared" si="16"/>
        <v>#DIV/0!</v>
      </c>
      <c r="S73" s="375" t="e">
        <f t="shared" si="17"/>
        <v>#DIV/0!</v>
      </c>
      <c r="T73" s="373"/>
      <c r="U73" s="373"/>
      <c r="V73" s="97"/>
      <c r="W73" s="97"/>
      <c r="X73" s="97"/>
      <c r="Y73" s="97"/>
      <c r="Z73" s="97"/>
      <c r="AA73" s="97"/>
      <c r="AB73" s="97"/>
      <c r="AC73" s="97"/>
    </row>
    <row r="74" spans="2:29" ht="15.75" customHeight="1" x14ac:dyDescent="0.45">
      <c r="B74" s="287">
        <v>5144671190</v>
      </c>
      <c r="C74" s="284" t="s">
        <v>452</v>
      </c>
      <c r="D74" s="285" t="s">
        <v>453</v>
      </c>
      <c r="E74" s="219">
        <v>100</v>
      </c>
      <c r="F74" s="219">
        <v>84</v>
      </c>
      <c r="G74" s="386">
        <f>'e411'!F74</f>
        <v>0</v>
      </c>
      <c r="H74" s="219">
        <f t="shared" si="9"/>
        <v>0</v>
      </c>
      <c r="I74" s="219">
        <f>(30*BC!$B$47/F74)</f>
        <v>0</v>
      </c>
      <c r="J74" s="285">
        <f t="shared" si="10"/>
        <v>0</v>
      </c>
      <c r="K74" s="194">
        <f t="shared" si="11"/>
        <v>0</v>
      </c>
      <c r="L74" s="194">
        <f t="shared" si="12"/>
        <v>0</v>
      </c>
      <c r="M74" s="364">
        <v>3059</v>
      </c>
      <c r="N74" s="365">
        <f t="shared" si="13"/>
        <v>0</v>
      </c>
      <c r="O74" s="371">
        <f t="shared" si="14"/>
        <v>30.59</v>
      </c>
      <c r="P74" s="374" t="e">
        <f>(O74+$N$231)+((BC!$F$125)/$G$103)</f>
        <v>#DIV/0!</v>
      </c>
      <c r="Q74" s="374" t="e">
        <f t="shared" si="15"/>
        <v>#DIV/0!</v>
      </c>
      <c r="R74" s="375" t="e">
        <f t="shared" si="16"/>
        <v>#DIV/0!</v>
      </c>
      <c r="S74" s="375" t="e">
        <f t="shared" si="17"/>
        <v>#DIV/0!</v>
      </c>
      <c r="T74" s="74"/>
      <c r="U74" s="74"/>
    </row>
    <row r="75" spans="2:29" ht="15.75" customHeight="1" x14ac:dyDescent="0.45">
      <c r="B75" s="287">
        <v>9315268190</v>
      </c>
      <c r="C75" s="328" t="s">
        <v>454</v>
      </c>
      <c r="D75" s="285" t="s">
        <v>455</v>
      </c>
      <c r="E75" s="219">
        <v>100</v>
      </c>
      <c r="F75" s="219">
        <v>56</v>
      </c>
      <c r="G75" s="386">
        <f>'e411'!F75</f>
        <v>0</v>
      </c>
      <c r="H75" s="219">
        <f t="shared" si="9"/>
        <v>0</v>
      </c>
      <c r="I75" s="219">
        <f>(30*BC!$B$47/F75)</f>
        <v>0</v>
      </c>
      <c r="J75" s="285">
        <f t="shared" si="10"/>
        <v>0</v>
      </c>
      <c r="K75" s="194">
        <f t="shared" si="11"/>
        <v>0</v>
      </c>
      <c r="L75" s="194">
        <f t="shared" si="12"/>
        <v>0</v>
      </c>
      <c r="M75" s="364">
        <v>1185</v>
      </c>
      <c r="N75" s="365">
        <f t="shared" si="13"/>
        <v>0</v>
      </c>
      <c r="O75" s="371">
        <f t="shared" si="14"/>
        <v>11.85</v>
      </c>
      <c r="P75" s="374" t="e">
        <f>(O75+$N$231)+((BC!$F$125)/$G$103)</f>
        <v>#DIV/0!</v>
      </c>
      <c r="Q75" s="374" t="e">
        <f t="shared" si="15"/>
        <v>#DIV/0!</v>
      </c>
      <c r="R75" s="375" t="e">
        <f t="shared" si="16"/>
        <v>#DIV/0!</v>
      </c>
      <c r="S75" s="375" t="e">
        <f t="shared" si="17"/>
        <v>#DIV/0!</v>
      </c>
      <c r="T75" s="373"/>
      <c r="U75" s="373"/>
      <c r="V75" s="97"/>
      <c r="W75" s="97"/>
      <c r="X75" s="97"/>
      <c r="Y75" s="97"/>
      <c r="Z75" s="97"/>
      <c r="AA75" s="97"/>
      <c r="AB75" s="97"/>
      <c r="AC75" s="97"/>
    </row>
    <row r="76" spans="2:29" ht="15.75" customHeight="1" x14ac:dyDescent="0.45">
      <c r="B76" s="287">
        <v>8836744190</v>
      </c>
      <c r="C76" s="285" t="s">
        <v>456</v>
      </c>
      <c r="D76" s="285" t="s">
        <v>457</v>
      </c>
      <c r="E76" s="219">
        <v>100</v>
      </c>
      <c r="F76" s="219"/>
      <c r="G76" s="386">
        <f>'e411'!F76</f>
        <v>0</v>
      </c>
      <c r="H76" s="219">
        <f t="shared" si="9"/>
        <v>0</v>
      </c>
      <c r="I76" s="219" t="e">
        <f>(30*BC!$B$47/F76)</f>
        <v>#DIV/0!</v>
      </c>
      <c r="J76" s="285" t="e">
        <f t="shared" si="10"/>
        <v>#DIV/0!</v>
      </c>
      <c r="K76" s="194">
        <f t="shared" si="11"/>
        <v>0</v>
      </c>
      <c r="L76" s="194">
        <f t="shared" si="12"/>
        <v>0</v>
      </c>
      <c r="M76" s="364">
        <v>1185</v>
      </c>
      <c r="N76" s="365">
        <f t="shared" si="13"/>
        <v>0</v>
      </c>
      <c r="O76" s="371">
        <f t="shared" si="14"/>
        <v>11.85</v>
      </c>
      <c r="P76" s="374" t="e">
        <f>(O76+$N$231)+((BC!$F$125)/$G$103)</f>
        <v>#DIV/0!</v>
      </c>
      <c r="Q76" s="374" t="e">
        <f t="shared" si="15"/>
        <v>#DIV/0!</v>
      </c>
      <c r="R76" s="375" t="e">
        <f t="shared" si="16"/>
        <v>#DIV/0!</v>
      </c>
      <c r="S76" s="375" t="e">
        <f t="shared" si="17"/>
        <v>#DIV/0!</v>
      </c>
      <c r="T76" s="74"/>
      <c r="U76" s="74"/>
    </row>
    <row r="77" spans="2:29" ht="15.75" customHeight="1" x14ac:dyDescent="0.45">
      <c r="B77" s="287">
        <v>7092539190</v>
      </c>
      <c r="C77" s="309" t="s">
        <v>458</v>
      </c>
      <c r="D77" s="220" t="s">
        <v>459</v>
      </c>
      <c r="E77" s="219">
        <v>100</v>
      </c>
      <c r="F77" s="219">
        <v>56</v>
      </c>
      <c r="G77" s="386">
        <f>'e411'!F77</f>
        <v>0</v>
      </c>
      <c r="H77" s="219">
        <f t="shared" si="9"/>
        <v>0</v>
      </c>
      <c r="I77" s="219">
        <f>(30*BC!$B$47/F77)</f>
        <v>0</v>
      </c>
      <c r="J77" s="285">
        <f t="shared" si="10"/>
        <v>0</v>
      </c>
      <c r="K77" s="194">
        <f t="shared" si="11"/>
        <v>0</v>
      </c>
      <c r="L77" s="194">
        <f t="shared" si="12"/>
        <v>0</v>
      </c>
      <c r="M77" s="364">
        <v>120</v>
      </c>
      <c r="N77" s="365">
        <f t="shared" si="13"/>
        <v>0</v>
      </c>
      <c r="O77" s="371">
        <f t="shared" si="14"/>
        <v>1.2</v>
      </c>
      <c r="P77" s="374" t="e">
        <f>(O77+$N$231)+((BC!$F$125)/$G$103)</f>
        <v>#DIV/0!</v>
      </c>
      <c r="Q77" s="374" t="e">
        <f t="shared" si="15"/>
        <v>#DIV/0!</v>
      </c>
      <c r="R77" s="375" t="e">
        <f t="shared" si="16"/>
        <v>#DIV/0!</v>
      </c>
      <c r="S77" s="375" t="e">
        <f t="shared" si="17"/>
        <v>#DIV/0!</v>
      </c>
      <c r="T77" s="373"/>
      <c r="U77" s="373"/>
      <c r="V77" s="97"/>
      <c r="W77" s="97"/>
      <c r="X77" s="97"/>
      <c r="Y77" s="97"/>
      <c r="Z77" s="97"/>
      <c r="AA77" s="97"/>
      <c r="AB77" s="97"/>
      <c r="AC77" s="97"/>
    </row>
    <row r="78" spans="2:29" ht="15.75" customHeight="1" x14ac:dyDescent="0.45">
      <c r="B78" s="287">
        <v>9007636190</v>
      </c>
      <c r="C78" s="329" t="s">
        <v>460</v>
      </c>
      <c r="D78" s="285" t="s">
        <v>461</v>
      </c>
      <c r="E78" s="219">
        <v>100</v>
      </c>
      <c r="F78" s="219">
        <v>42</v>
      </c>
      <c r="G78" s="386">
        <f>'e411'!F78</f>
        <v>0</v>
      </c>
      <c r="H78" s="219">
        <f t="shared" si="9"/>
        <v>0</v>
      </c>
      <c r="I78" s="219">
        <f>(30*BC!$B$47/F78)</f>
        <v>0</v>
      </c>
      <c r="J78" s="285">
        <f t="shared" si="10"/>
        <v>0</v>
      </c>
      <c r="K78" s="194">
        <f t="shared" si="11"/>
        <v>0</v>
      </c>
      <c r="L78" s="194">
        <f t="shared" si="12"/>
        <v>0</v>
      </c>
      <c r="M78" s="364">
        <v>756</v>
      </c>
      <c r="N78" s="365">
        <f t="shared" si="13"/>
        <v>0</v>
      </c>
      <c r="O78" s="371">
        <f t="shared" si="14"/>
        <v>7.56</v>
      </c>
      <c r="P78" s="374" t="e">
        <f>(O78+$N$231)+((BC!$F$125)/$G$103)</f>
        <v>#DIV/0!</v>
      </c>
      <c r="Q78" s="374" t="e">
        <f t="shared" si="15"/>
        <v>#DIV/0!</v>
      </c>
      <c r="R78" s="375" t="e">
        <f t="shared" si="16"/>
        <v>#DIV/0!</v>
      </c>
      <c r="S78" s="375" t="e">
        <f t="shared" si="17"/>
        <v>#DIV/0!</v>
      </c>
      <c r="T78" s="74"/>
      <c r="U78" s="74"/>
    </row>
    <row r="79" spans="2:29" ht="15.75" customHeight="1" x14ac:dyDescent="0.45">
      <c r="B79" s="287">
        <v>3203093190</v>
      </c>
      <c r="C79" s="309" t="s">
        <v>462</v>
      </c>
      <c r="D79" s="220" t="s">
        <v>463</v>
      </c>
      <c r="E79" s="219">
        <v>100</v>
      </c>
      <c r="F79" s="219">
        <v>56</v>
      </c>
      <c r="G79" s="386">
        <f>'e411'!F79</f>
        <v>0</v>
      </c>
      <c r="H79" s="219">
        <f t="shared" si="9"/>
        <v>0</v>
      </c>
      <c r="I79" s="219">
        <f>(30*BC!$B$47/F79)</f>
        <v>0</v>
      </c>
      <c r="J79" s="285">
        <f t="shared" si="10"/>
        <v>0</v>
      </c>
      <c r="K79" s="194">
        <f t="shared" si="11"/>
        <v>0</v>
      </c>
      <c r="L79" s="194">
        <f t="shared" si="12"/>
        <v>0</v>
      </c>
      <c r="M79" s="364">
        <v>122</v>
      </c>
      <c r="N79" s="365">
        <f t="shared" si="13"/>
        <v>0</v>
      </c>
      <c r="O79" s="371">
        <f t="shared" si="14"/>
        <v>1.22</v>
      </c>
      <c r="P79" s="374" t="e">
        <f>(O79+$N$231)+((BC!$F$125)/$G$103)</f>
        <v>#DIV/0!</v>
      </c>
      <c r="Q79" s="374" t="e">
        <f t="shared" si="15"/>
        <v>#DIV/0!</v>
      </c>
      <c r="R79" s="375" t="e">
        <f t="shared" si="16"/>
        <v>#DIV/0!</v>
      </c>
      <c r="S79" s="375" t="e">
        <f t="shared" si="17"/>
        <v>#DIV/0!</v>
      </c>
      <c r="T79" s="373"/>
      <c r="U79" s="373"/>
      <c r="V79" s="97"/>
      <c r="W79" s="97"/>
      <c r="X79" s="97"/>
      <c r="Y79" s="97"/>
      <c r="Z79" s="97"/>
      <c r="AA79" s="97"/>
      <c r="AB79" s="97"/>
      <c r="AC79" s="97"/>
    </row>
    <row r="80" spans="2:29" ht="15.75" customHeight="1" x14ac:dyDescent="0.45">
      <c r="B80" s="287">
        <v>9005757190</v>
      </c>
      <c r="C80" s="315" t="s">
        <v>464</v>
      </c>
      <c r="D80" s="220" t="s">
        <v>465</v>
      </c>
      <c r="E80" s="219">
        <v>100</v>
      </c>
      <c r="F80" s="219">
        <v>56</v>
      </c>
      <c r="G80" s="386">
        <f>'e411'!F80</f>
        <v>0</v>
      </c>
      <c r="H80" s="219">
        <f t="shared" si="9"/>
        <v>0</v>
      </c>
      <c r="I80" s="219">
        <f>(30*BC!$B$47/F80)</f>
        <v>0</v>
      </c>
      <c r="J80" s="285">
        <f t="shared" si="10"/>
        <v>0</v>
      </c>
      <c r="K80" s="194">
        <f t="shared" si="11"/>
        <v>0</v>
      </c>
      <c r="L80" s="194">
        <f t="shared" si="12"/>
        <v>0</v>
      </c>
      <c r="M80" s="364">
        <v>1300</v>
      </c>
      <c r="N80" s="365">
        <f t="shared" si="13"/>
        <v>0</v>
      </c>
      <c r="O80" s="371">
        <f t="shared" si="14"/>
        <v>13</v>
      </c>
      <c r="P80" s="374" t="e">
        <f>(O80+$N$231)+((BC!$F$125)/$G$103)</f>
        <v>#DIV/0!</v>
      </c>
      <c r="Q80" s="374" t="e">
        <f t="shared" si="15"/>
        <v>#DIV/0!</v>
      </c>
      <c r="R80" s="375" t="e">
        <f t="shared" si="16"/>
        <v>#DIV/0!</v>
      </c>
      <c r="S80" s="375" t="e">
        <f t="shared" si="17"/>
        <v>#DIV/0!</v>
      </c>
      <c r="T80" s="74"/>
      <c r="U80" s="74"/>
    </row>
    <row r="81" spans="2:29" ht="15.75" customHeight="1" x14ac:dyDescent="0.45">
      <c r="B81" s="287">
        <v>8928380190</v>
      </c>
      <c r="C81" s="314" t="s">
        <v>466</v>
      </c>
      <c r="D81" s="220" t="s">
        <v>467</v>
      </c>
      <c r="E81" s="219">
        <v>100</v>
      </c>
      <c r="F81" s="219">
        <v>56</v>
      </c>
      <c r="G81" s="386">
        <f>'e411'!F81</f>
        <v>0</v>
      </c>
      <c r="H81" s="219">
        <f t="shared" si="9"/>
        <v>0</v>
      </c>
      <c r="I81" s="219">
        <f>(30*BC!$B$47/F81)</f>
        <v>0</v>
      </c>
      <c r="J81" s="285">
        <f t="shared" si="10"/>
        <v>0</v>
      </c>
      <c r="K81" s="194">
        <f t="shared" si="11"/>
        <v>0</v>
      </c>
      <c r="L81" s="194">
        <f t="shared" si="12"/>
        <v>0</v>
      </c>
      <c r="M81" s="364">
        <v>650</v>
      </c>
      <c r="N81" s="365">
        <f t="shared" si="13"/>
        <v>0</v>
      </c>
      <c r="O81" s="371">
        <f t="shared" si="14"/>
        <v>6.5</v>
      </c>
      <c r="P81" s="374" t="e">
        <f>(O81+$N$231)+((BC!$F$125)/$G$103)</f>
        <v>#DIV/0!</v>
      </c>
      <c r="Q81" s="374" t="e">
        <f t="shared" si="15"/>
        <v>#DIV/0!</v>
      </c>
      <c r="R81" s="375" t="e">
        <f t="shared" si="16"/>
        <v>#DIV/0!</v>
      </c>
      <c r="S81" s="375" t="e">
        <f t="shared" si="17"/>
        <v>#DIV/0!</v>
      </c>
      <c r="T81" s="373"/>
      <c r="U81" s="373"/>
      <c r="V81" s="97"/>
      <c r="W81" s="97"/>
      <c r="X81" s="97"/>
      <c r="Y81" s="97"/>
      <c r="Z81" s="97"/>
      <c r="AA81" s="97"/>
      <c r="AB81" s="97"/>
      <c r="AC81" s="97"/>
    </row>
    <row r="82" spans="2:29" ht="15.75" customHeight="1" x14ac:dyDescent="0.45">
      <c r="B82" s="287">
        <v>4618793190</v>
      </c>
      <c r="C82" s="330" t="s">
        <v>468</v>
      </c>
      <c r="D82" s="220" t="s">
        <v>469</v>
      </c>
      <c r="E82" s="219">
        <v>100</v>
      </c>
      <c r="F82" s="219">
        <v>84</v>
      </c>
      <c r="G82" s="386">
        <f>'e411'!F82</f>
        <v>0</v>
      </c>
      <c r="H82" s="219">
        <f t="shared" si="9"/>
        <v>0</v>
      </c>
      <c r="I82" s="219">
        <f>(30*BC!$B$47/F82)</f>
        <v>0</v>
      </c>
      <c r="J82" s="285">
        <f t="shared" si="10"/>
        <v>0</v>
      </c>
      <c r="K82" s="194">
        <f t="shared" si="11"/>
        <v>0</v>
      </c>
      <c r="L82" s="194">
        <f t="shared" si="12"/>
        <v>0</v>
      </c>
      <c r="M82" s="364">
        <v>312</v>
      </c>
      <c r="N82" s="365">
        <f t="shared" si="13"/>
        <v>0</v>
      </c>
      <c r="O82" s="371">
        <f t="shared" si="14"/>
        <v>3.12</v>
      </c>
      <c r="P82" s="374" t="e">
        <f>(O82+$N$231)+((BC!$F$125)/$G$103)</f>
        <v>#DIV/0!</v>
      </c>
      <c r="Q82" s="374" t="e">
        <f t="shared" si="15"/>
        <v>#DIV/0!</v>
      </c>
      <c r="R82" s="375" t="e">
        <f t="shared" si="16"/>
        <v>#DIV/0!</v>
      </c>
      <c r="S82" s="375" t="e">
        <f t="shared" si="17"/>
        <v>#DIV/0!</v>
      </c>
      <c r="T82" s="373"/>
      <c r="U82" s="373"/>
      <c r="V82" s="97"/>
      <c r="W82" s="97"/>
      <c r="X82" s="97"/>
      <c r="Y82" s="97"/>
      <c r="Z82" s="97"/>
      <c r="AA82" s="97"/>
      <c r="AB82" s="97"/>
      <c r="AC82" s="97"/>
    </row>
    <row r="83" spans="2:29" ht="15.75" customHeight="1" x14ac:dyDescent="0.45">
      <c r="B83" s="287">
        <v>4618831190</v>
      </c>
      <c r="C83" s="331" t="s">
        <v>470</v>
      </c>
      <c r="D83" s="220" t="s">
        <v>471</v>
      </c>
      <c r="E83" s="219">
        <v>100</v>
      </c>
      <c r="F83" s="219">
        <v>84</v>
      </c>
      <c r="G83" s="386">
        <f>'e411'!F83</f>
        <v>0</v>
      </c>
      <c r="H83" s="219">
        <f t="shared" si="9"/>
        <v>0</v>
      </c>
      <c r="I83" s="219">
        <f>(30*BC!$B$47/F83)</f>
        <v>0</v>
      </c>
      <c r="J83" s="285">
        <f t="shared" si="10"/>
        <v>0</v>
      </c>
      <c r="K83" s="194">
        <f t="shared" si="11"/>
        <v>0</v>
      </c>
      <c r="L83" s="194">
        <f t="shared" si="12"/>
        <v>0</v>
      </c>
      <c r="M83" s="364">
        <v>332</v>
      </c>
      <c r="N83" s="365">
        <f t="shared" si="13"/>
        <v>0</v>
      </c>
      <c r="O83" s="371">
        <f t="shared" si="14"/>
        <v>3.32</v>
      </c>
      <c r="P83" s="374" t="e">
        <f>(O83+$N$231)+((BC!$F$125)/$G$103)</f>
        <v>#DIV/0!</v>
      </c>
      <c r="Q83" s="374" t="e">
        <f t="shared" si="15"/>
        <v>#DIV/0!</v>
      </c>
      <c r="R83" s="375" t="e">
        <f t="shared" si="16"/>
        <v>#DIV/0!</v>
      </c>
      <c r="S83" s="375" t="e">
        <f t="shared" si="17"/>
        <v>#DIV/0!</v>
      </c>
      <c r="T83" s="373"/>
      <c r="U83" s="373"/>
      <c r="V83" s="97"/>
      <c r="W83" s="97"/>
      <c r="X83" s="97"/>
      <c r="Y83" s="97"/>
      <c r="Z83" s="97"/>
      <c r="AA83" s="97"/>
      <c r="AB83" s="97"/>
      <c r="AC83" s="97"/>
    </row>
    <row r="84" spans="2:29" ht="15.75" customHeight="1" x14ac:dyDescent="0.45">
      <c r="B84" s="287">
        <v>9345272190</v>
      </c>
      <c r="C84" s="332" t="s">
        <v>472</v>
      </c>
      <c r="D84" s="285" t="s">
        <v>473</v>
      </c>
      <c r="E84" s="219">
        <v>200</v>
      </c>
      <c r="F84" s="219">
        <v>56</v>
      </c>
      <c r="G84" s="386">
        <f>'e411'!F84</f>
        <v>0</v>
      </c>
      <c r="H84" s="219">
        <f t="shared" si="9"/>
        <v>0</v>
      </c>
      <c r="I84" s="219">
        <f>(30*BC!$B$47/F84)</f>
        <v>0</v>
      </c>
      <c r="J84" s="285">
        <f t="shared" si="10"/>
        <v>0</v>
      </c>
      <c r="K84" s="194">
        <f t="shared" si="11"/>
        <v>0</v>
      </c>
      <c r="L84" s="194">
        <f t="shared" si="12"/>
        <v>0</v>
      </c>
      <c r="M84" s="364">
        <v>1106</v>
      </c>
      <c r="N84" s="365">
        <f t="shared" si="13"/>
        <v>0</v>
      </c>
      <c r="O84" s="371">
        <f t="shared" si="14"/>
        <v>5.53</v>
      </c>
      <c r="P84" s="374" t="e">
        <f>(O84+$N$231)+((BC!$F$125)/$G$103)</f>
        <v>#DIV/0!</v>
      </c>
      <c r="Q84" s="374" t="e">
        <f t="shared" si="15"/>
        <v>#DIV/0!</v>
      </c>
      <c r="R84" s="375" t="e">
        <f t="shared" si="16"/>
        <v>#DIV/0!</v>
      </c>
      <c r="S84" s="375" t="e">
        <f t="shared" si="17"/>
        <v>#DIV/0!</v>
      </c>
      <c r="T84" s="74"/>
      <c r="U84" s="74"/>
    </row>
    <row r="85" spans="2:29" ht="15.75" customHeight="1" x14ac:dyDescent="0.45">
      <c r="B85" s="287">
        <v>7126972190</v>
      </c>
      <c r="C85" s="333" t="s">
        <v>474</v>
      </c>
      <c r="D85" s="285" t="s">
        <v>475</v>
      </c>
      <c r="E85" s="219">
        <v>100</v>
      </c>
      <c r="F85" s="219">
        <v>49</v>
      </c>
      <c r="G85" s="386">
        <f>'e411'!F85</f>
        <v>0</v>
      </c>
      <c r="H85" s="219">
        <f t="shared" si="9"/>
        <v>0</v>
      </c>
      <c r="I85" s="219">
        <f>(30*BC!$B$47/F85)</f>
        <v>0</v>
      </c>
      <c r="J85" s="285">
        <f t="shared" si="10"/>
        <v>0</v>
      </c>
      <c r="K85" s="194">
        <f t="shared" si="11"/>
        <v>0</v>
      </c>
      <c r="L85" s="194">
        <f t="shared" si="12"/>
        <v>0</v>
      </c>
      <c r="M85" s="364">
        <v>577</v>
      </c>
      <c r="N85" s="365">
        <f t="shared" si="13"/>
        <v>0</v>
      </c>
      <c r="O85" s="371">
        <f t="shared" si="14"/>
        <v>5.77</v>
      </c>
      <c r="P85" s="374" t="e">
        <f>(O85+$N$231)+((BC!$F$125)/$G$103)</f>
        <v>#DIV/0!</v>
      </c>
      <c r="Q85" s="374" t="e">
        <f t="shared" si="15"/>
        <v>#DIV/0!</v>
      </c>
      <c r="R85" s="375" t="e">
        <f t="shared" si="16"/>
        <v>#DIV/0!</v>
      </c>
      <c r="S85" s="375" t="e">
        <f t="shared" si="17"/>
        <v>#DIV/0!</v>
      </c>
      <c r="T85" s="74"/>
      <c r="U85" s="74"/>
    </row>
    <row r="86" spans="2:29" ht="15.75" customHeight="1" x14ac:dyDescent="0.45">
      <c r="B86" s="287">
        <v>5109523190</v>
      </c>
      <c r="C86" s="284" t="s">
        <v>476</v>
      </c>
      <c r="D86" s="285" t="s">
        <v>477</v>
      </c>
      <c r="E86" s="219">
        <v>100</v>
      </c>
      <c r="F86" s="219">
        <v>84</v>
      </c>
      <c r="G86" s="386">
        <f>'e411'!F86</f>
        <v>0</v>
      </c>
      <c r="H86" s="219">
        <f t="shared" si="9"/>
        <v>0</v>
      </c>
      <c r="I86" s="219">
        <f>(30*BC!$B$47/F86)</f>
        <v>0</v>
      </c>
      <c r="J86" s="285">
        <f t="shared" si="10"/>
        <v>0</v>
      </c>
      <c r="K86" s="194">
        <f t="shared" si="11"/>
        <v>0</v>
      </c>
      <c r="L86" s="194">
        <f t="shared" si="12"/>
        <v>0</v>
      </c>
      <c r="M86" s="364">
        <v>3059</v>
      </c>
      <c r="N86" s="365">
        <f t="shared" si="13"/>
        <v>0</v>
      </c>
      <c r="O86" s="371">
        <f t="shared" si="14"/>
        <v>30.59</v>
      </c>
      <c r="P86" s="374" t="e">
        <f>(O86+$N$231)+((BC!$F$125)/$G$103)</f>
        <v>#DIV/0!</v>
      </c>
      <c r="Q86" s="374" t="e">
        <f t="shared" si="15"/>
        <v>#DIV/0!</v>
      </c>
      <c r="R86" s="375" t="e">
        <f t="shared" si="16"/>
        <v>#DIV/0!</v>
      </c>
      <c r="S86" s="375" t="e">
        <f t="shared" si="17"/>
        <v>#DIV/0!</v>
      </c>
      <c r="T86" s="74"/>
      <c r="U86" s="74"/>
    </row>
    <row r="87" spans="2:29" ht="15.75" customHeight="1" x14ac:dyDescent="0.45">
      <c r="B87" s="287">
        <v>3052001190</v>
      </c>
      <c r="C87" s="310" t="s">
        <v>478</v>
      </c>
      <c r="D87" s="285" t="s">
        <v>479</v>
      </c>
      <c r="E87" s="219">
        <v>100</v>
      </c>
      <c r="F87" s="219">
        <v>49</v>
      </c>
      <c r="G87" s="386">
        <f>'e411'!F87</f>
        <v>0</v>
      </c>
      <c r="H87" s="219">
        <f t="shared" si="9"/>
        <v>0</v>
      </c>
      <c r="I87" s="219">
        <f>(30*BC!$B$47/F87)</f>
        <v>0</v>
      </c>
      <c r="J87" s="285">
        <f t="shared" si="10"/>
        <v>0</v>
      </c>
      <c r="K87" s="194">
        <f t="shared" si="11"/>
        <v>0</v>
      </c>
      <c r="L87" s="194">
        <f t="shared" si="12"/>
        <v>0</v>
      </c>
      <c r="M87" s="364">
        <v>199</v>
      </c>
      <c r="N87" s="365">
        <f t="shared" si="13"/>
        <v>0</v>
      </c>
      <c r="O87" s="371">
        <f t="shared" si="14"/>
        <v>1.99</v>
      </c>
      <c r="P87" s="374" t="e">
        <f>(O87+$N$231)+((BC!$F$125)/$G$103)</f>
        <v>#DIV/0!</v>
      </c>
      <c r="Q87" s="374" t="e">
        <f t="shared" si="15"/>
        <v>#DIV/0!</v>
      </c>
      <c r="R87" s="375" t="e">
        <f t="shared" si="16"/>
        <v>#DIV/0!</v>
      </c>
      <c r="S87" s="375" t="e">
        <f t="shared" si="17"/>
        <v>#DIV/0!</v>
      </c>
      <c r="T87" s="74"/>
      <c r="U87" s="74"/>
    </row>
    <row r="88" spans="2:29" ht="15.75" customHeight="1" x14ac:dyDescent="0.45">
      <c r="B88" s="287">
        <v>9014977190</v>
      </c>
      <c r="C88" s="334" t="s">
        <v>480</v>
      </c>
      <c r="D88" s="285" t="s">
        <v>481</v>
      </c>
      <c r="E88" s="219">
        <v>100</v>
      </c>
      <c r="F88" s="219">
        <v>28</v>
      </c>
      <c r="G88" s="386">
        <f>'e411'!F88</f>
        <v>0</v>
      </c>
      <c r="H88" s="219">
        <f t="shared" si="9"/>
        <v>0</v>
      </c>
      <c r="I88" s="219">
        <f>(30*BC!$B$47/F88)</f>
        <v>0</v>
      </c>
      <c r="J88" s="285">
        <f t="shared" si="10"/>
        <v>0</v>
      </c>
      <c r="K88" s="194">
        <f t="shared" si="11"/>
        <v>0</v>
      </c>
      <c r="L88" s="194">
        <f t="shared" si="12"/>
        <v>0</v>
      </c>
      <c r="M88" s="364">
        <v>299</v>
      </c>
      <c r="N88" s="365">
        <f t="shared" si="13"/>
        <v>0</v>
      </c>
      <c r="O88" s="371">
        <f t="shared" si="14"/>
        <v>2.99</v>
      </c>
      <c r="P88" s="374" t="e">
        <f>(O88+$N$231)+((BC!$F$125)/$G$103)</f>
        <v>#DIV/0!</v>
      </c>
      <c r="Q88" s="374" t="e">
        <f t="shared" si="15"/>
        <v>#DIV/0!</v>
      </c>
      <c r="R88" s="375" t="e">
        <f t="shared" si="16"/>
        <v>#DIV/0!</v>
      </c>
      <c r="S88" s="375" t="e">
        <f t="shared" si="17"/>
        <v>#DIV/0!</v>
      </c>
      <c r="T88" s="74"/>
      <c r="U88" s="74"/>
    </row>
    <row r="89" spans="2:29" ht="15.75" customHeight="1" x14ac:dyDescent="0.45">
      <c r="B89" s="287">
        <v>9007725190</v>
      </c>
      <c r="C89" s="309" t="s">
        <v>482</v>
      </c>
      <c r="D89" s="220" t="s">
        <v>483</v>
      </c>
      <c r="E89" s="219">
        <v>200</v>
      </c>
      <c r="F89" s="219">
        <v>56</v>
      </c>
      <c r="G89" s="386">
        <f>'e411'!F89</f>
        <v>0</v>
      </c>
      <c r="H89" s="219">
        <f t="shared" si="9"/>
        <v>0</v>
      </c>
      <c r="I89" s="219">
        <f>(30*BC!$B$47/F89)</f>
        <v>0</v>
      </c>
      <c r="J89" s="285">
        <f t="shared" si="10"/>
        <v>0</v>
      </c>
      <c r="K89" s="194">
        <f t="shared" si="11"/>
        <v>0</v>
      </c>
      <c r="L89" s="194">
        <f t="shared" si="12"/>
        <v>0</v>
      </c>
      <c r="M89" s="364">
        <v>372</v>
      </c>
      <c r="N89" s="365">
        <f t="shared" si="13"/>
        <v>0</v>
      </c>
      <c r="O89" s="371">
        <f t="shared" si="14"/>
        <v>1.86</v>
      </c>
      <c r="P89" s="374" t="e">
        <f>(O89+$N$231)+((BC!$F$125)/$G$103)</f>
        <v>#DIV/0!</v>
      </c>
      <c r="Q89" s="374" t="e">
        <f t="shared" si="15"/>
        <v>#DIV/0!</v>
      </c>
      <c r="R89" s="375" t="e">
        <f t="shared" si="16"/>
        <v>#DIV/0!</v>
      </c>
      <c r="S89" s="375" t="e">
        <f t="shared" si="17"/>
        <v>#DIV/0!</v>
      </c>
      <c r="T89" s="373"/>
      <c r="U89" s="373"/>
      <c r="V89" s="97"/>
      <c r="W89" s="97"/>
      <c r="X89" s="97"/>
      <c r="Y89" s="97"/>
      <c r="Z89" s="97"/>
      <c r="AA89" s="97"/>
      <c r="AB89" s="97"/>
      <c r="AC89" s="97"/>
    </row>
    <row r="90" spans="2:29" ht="15.75" customHeight="1" x14ac:dyDescent="0.45">
      <c r="B90" s="287">
        <v>9007741190</v>
      </c>
      <c r="C90" s="309" t="s">
        <v>484</v>
      </c>
      <c r="D90" s="220" t="s">
        <v>485</v>
      </c>
      <c r="E90" s="219">
        <v>200</v>
      </c>
      <c r="F90" s="219">
        <v>56</v>
      </c>
      <c r="G90" s="386">
        <f>'e411'!F90</f>
        <v>0</v>
      </c>
      <c r="H90" s="219">
        <f t="shared" si="9"/>
        <v>0</v>
      </c>
      <c r="I90" s="219">
        <f>(30*BC!$B$47/F90)</f>
        <v>0</v>
      </c>
      <c r="J90" s="285">
        <f t="shared" si="10"/>
        <v>0</v>
      </c>
      <c r="K90" s="194">
        <f t="shared" si="11"/>
        <v>0</v>
      </c>
      <c r="L90" s="194">
        <f t="shared" si="12"/>
        <v>0</v>
      </c>
      <c r="M90" s="364">
        <v>376</v>
      </c>
      <c r="N90" s="365">
        <f t="shared" si="13"/>
        <v>0</v>
      </c>
      <c r="O90" s="371">
        <f t="shared" si="14"/>
        <v>1.88</v>
      </c>
      <c r="P90" s="374" t="e">
        <f>(O90+$N$231)+((BC!$F$125)/$G$103)</f>
        <v>#DIV/0!</v>
      </c>
      <c r="Q90" s="374" t="e">
        <f t="shared" si="15"/>
        <v>#DIV/0!</v>
      </c>
      <c r="R90" s="375" t="e">
        <f t="shared" si="16"/>
        <v>#DIV/0!</v>
      </c>
      <c r="S90" s="375" t="e">
        <f t="shared" si="17"/>
        <v>#DIV/0!</v>
      </c>
      <c r="T90" s="373"/>
      <c r="U90" s="373"/>
      <c r="V90" s="97"/>
      <c r="W90" s="97"/>
      <c r="X90" s="97"/>
      <c r="Y90" s="97"/>
      <c r="Z90" s="97"/>
      <c r="AA90" s="97"/>
      <c r="AB90" s="97"/>
      <c r="AC90" s="97"/>
    </row>
    <row r="91" spans="2:29" ht="15.75" customHeight="1" x14ac:dyDescent="0.45">
      <c r="B91" s="287">
        <v>8946353190</v>
      </c>
      <c r="C91" s="309" t="s">
        <v>486</v>
      </c>
      <c r="D91" s="220" t="s">
        <v>487</v>
      </c>
      <c r="E91" s="219">
        <v>100</v>
      </c>
      <c r="F91" s="219">
        <v>56</v>
      </c>
      <c r="G91" s="386">
        <f>'e411'!F91</f>
        <v>0</v>
      </c>
      <c r="H91" s="219">
        <f t="shared" si="9"/>
        <v>0</v>
      </c>
      <c r="I91" s="219">
        <f>(30*BC!$B$47/F91)</f>
        <v>0</v>
      </c>
      <c r="J91" s="285">
        <f t="shared" si="10"/>
        <v>0</v>
      </c>
      <c r="K91" s="194">
        <f t="shared" si="11"/>
        <v>0</v>
      </c>
      <c r="L91" s="194">
        <f t="shared" si="12"/>
        <v>0</v>
      </c>
      <c r="M91" s="364">
        <v>115</v>
      </c>
      <c r="N91" s="365">
        <f t="shared" si="13"/>
        <v>0</v>
      </c>
      <c r="O91" s="371">
        <f t="shared" si="14"/>
        <v>1.1499999999999999</v>
      </c>
      <c r="P91" s="374" t="e">
        <f>(O91+$N$231)+((BC!$F$125)/$G$103)</f>
        <v>#DIV/0!</v>
      </c>
      <c r="Q91" s="374" t="e">
        <f t="shared" si="15"/>
        <v>#DIV/0!</v>
      </c>
      <c r="R91" s="375" t="e">
        <f t="shared" si="16"/>
        <v>#DIV/0!</v>
      </c>
      <c r="S91" s="375" t="e">
        <f t="shared" si="17"/>
        <v>#DIV/0!</v>
      </c>
      <c r="T91" s="373"/>
      <c r="U91" s="373"/>
      <c r="V91" s="97"/>
      <c r="W91" s="97"/>
      <c r="X91" s="97"/>
      <c r="Y91" s="97"/>
      <c r="Z91" s="97"/>
      <c r="AA91" s="97"/>
      <c r="AB91" s="97"/>
      <c r="AC91" s="97"/>
    </row>
    <row r="92" spans="2:29" ht="15.75" customHeight="1" x14ac:dyDescent="0.45">
      <c r="B92" s="287">
        <v>8906556190</v>
      </c>
      <c r="C92" s="309" t="s">
        <v>488</v>
      </c>
      <c r="D92" s="220" t="s">
        <v>489</v>
      </c>
      <c r="E92" s="219">
        <v>100</v>
      </c>
      <c r="F92" s="219">
        <v>28</v>
      </c>
      <c r="G92" s="386">
        <f>'e411'!F92</f>
        <v>0</v>
      </c>
      <c r="H92" s="219">
        <f t="shared" si="9"/>
        <v>0</v>
      </c>
      <c r="I92" s="219">
        <f>(30*BC!$B$47/F92)</f>
        <v>0</v>
      </c>
      <c r="J92" s="285">
        <f t="shared" si="10"/>
        <v>0</v>
      </c>
      <c r="K92" s="194">
        <f t="shared" si="11"/>
        <v>0</v>
      </c>
      <c r="L92" s="194">
        <f t="shared" si="12"/>
        <v>0</v>
      </c>
      <c r="M92" s="364">
        <v>185</v>
      </c>
      <c r="N92" s="365">
        <f t="shared" si="13"/>
        <v>0</v>
      </c>
      <c r="O92" s="371">
        <f t="shared" si="14"/>
        <v>1.85</v>
      </c>
      <c r="P92" s="374" t="e">
        <f>(O92+$N$231)+((BC!$F$125)/$G$103)</f>
        <v>#DIV/0!</v>
      </c>
      <c r="Q92" s="374" t="e">
        <f t="shared" si="15"/>
        <v>#DIV/0!</v>
      </c>
      <c r="R92" s="375" t="e">
        <f t="shared" si="16"/>
        <v>#DIV/0!</v>
      </c>
      <c r="S92" s="375" t="e">
        <f t="shared" si="17"/>
        <v>#DIV/0!</v>
      </c>
      <c r="T92" s="373"/>
      <c r="U92" s="373"/>
      <c r="V92" s="97"/>
      <c r="W92" s="97"/>
      <c r="X92" s="97"/>
      <c r="Y92" s="97"/>
      <c r="Z92" s="97"/>
      <c r="AA92" s="97"/>
      <c r="AB92" s="97"/>
      <c r="AC92" s="97"/>
    </row>
    <row r="93" spans="2:29" ht="15.75" customHeight="1" x14ac:dyDescent="0.45">
      <c r="B93" s="287">
        <v>8791686190</v>
      </c>
      <c r="C93" s="288" t="s">
        <v>490</v>
      </c>
      <c r="D93" s="220" t="s">
        <v>491</v>
      </c>
      <c r="E93" s="219">
        <v>100</v>
      </c>
      <c r="F93" s="219">
        <v>56</v>
      </c>
      <c r="G93" s="386">
        <f>'e411'!F93</f>
        <v>0</v>
      </c>
      <c r="H93" s="219">
        <f t="shared" si="9"/>
        <v>0</v>
      </c>
      <c r="I93" s="219">
        <f>(30*BC!$B$47/F93)</f>
        <v>0</v>
      </c>
      <c r="J93" s="285">
        <f t="shared" si="10"/>
        <v>0</v>
      </c>
      <c r="K93" s="194">
        <f t="shared" si="11"/>
        <v>0</v>
      </c>
      <c r="L93" s="194">
        <f t="shared" si="12"/>
        <v>0</v>
      </c>
      <c r="M93" s="364">
        <v>388</v>
      </c>
      <c r="N93" s="365">
        <f t="shared" si="13"/>
        <v>0</v>
      </c>
      <c r="O93" s="371">
        <f t="shared" si="14"/>
        <v>3.88</v>
      </c>
      <c r="P93" s="374" t="e">
        <f>(O93+$N$231)+((BC!$F$125)/$G$103)</f>
        <v>#DIV/0!</v>
      </c>
      <c r="Q93" s="374" t="e">
        <f t="shared" si="15"/>
        <v>#DIV/0!</v>
      </c>
      <c r="R93" s="375" t="e">
        <f t="shared" si="16"/>
        <v>#DIV/0!</v>
      </c>
      <c r="S93" s="375" t="e">
        <f t="shared" si="17"/>
        <v>#DIV/0!</v>
      </c>
      <c r="T93" s="373"/>
      <c r="U93" s="373"/>
      <c r="V93" s="97"/>
      <c r="W93" s="97"/>
      <c r="X93" s="97"/>
      <c r="Y93" s="97"/>
      <c r="Z93" s="97"/>
      <c r="AA93" s="97"/>
      <c r="AB93" s="97"/>
      <c r="AC93" s="97"/>
    </row>
    <row r="94" spans="2:29" ht="15.75" customHeight="1" x14ac:dyDescent="0.45">
      <c r="B94" s="335">
        <v>5802571190</v>
      </c>
      <c r="C94" s="336" t="s">
        <v>492</v>
      </c>
      <c r="D94" s="220" t="s">
        <v>493</v>
      </c>
      <c r="E94" s="219">
        <v>100</v>
      </c>
      <c r="F94" s="219">
        <v>84</v>
      </c>
      <c r="G94" s="386">
        <f>'e411'!F94</f>
        <v>0</v>
      </c>
      <c r="H94" s="219">
        <f t="shared" si="9"/>
        <v>0</v>
      </c>
      <c r="I94" s="219">
        <f>(30*BC!$B$47/F94)</f>
        <v>0</v>
      </c>
      <c r="J94" s="285">
        <f t="shared" si="10"/>
        <v>0</v>
      </c>
      <c r="K94" s="194">
        <f t="shared" si="11"/>
        <v>0</v>
      </c>
      <c r="L94" s="194">
        <f t="shared" si="12"/>
        <v>0</v>
      </c>
      <c r="M94" s="364">
        <v>585</v>
      </c>
      <c r="N94" s="365">
        <f t="shared" si="13"/>
        <v>0</v>
      </c>
      <c r="O94" s="371">
        <f t="shared" si="14"/>
        <v>5.85</v>
      </c>
      <c r="P94" s="374" t="e">
        <f>(O94+$N$231)+((BC!$F$125)/$G$103)</f>
        <v>#DIV/0!</v>
      </c>
      <c r="Q94" s="374" t="e">
        <f t="shared" si="15"/>
        <v>#DIV/0!</v>
      </c>
      <c r="R94" s="375" t="e">
        <f t="shared" si="16"/>
        <v>#DIV/0!</v>
      </c>
      <c r="S94" s="375" t="e">
        <f t="shared" si="17"/>
        <v>#DIV/0!</v>
      </c>
      <c r="T94" s="74"/>
      <c r="U94" s="74"/>
    </row>
    <row r="95" spans="2:29" ht="15.75" customHeight="1" x14ac:dyDescent="0.45">
      <c r="B95" s="287">
        <v>4618815190</v>
      </c>
      <c r="C95" s="337" t="s">
        <v>494</v>
      </c>
      <c r="D95" s="220" t="s">
        <v>495</v>
      </c>
      <c r="E95" s="219">
        <v>100</v>
      </c>
      <c r="F95" s="219">
        <v>84</v>
      </c>
      <c r="G95" s="386">
        <f>'e411'!F95</f>
        <v>0</v>
      </c>
      <c r="H95" s="219">
        <f t="shared" si="9"/>
        <v>0</v>
      </c>
      <c r="I95" s="219">
        <f>(30*BC!$B$47/F95)</f>
        <v>0</v>
      </c>
      <c r="J95" s="285">
        <f t="shared" si="10"/>
        <v>0</v>
      </c>
      <c r="K95" s="194">
        <f t="shared" si="11"/>
        <v>0</v>
      </c>
      <c r="L95" s="194">
        <f t="shared" si="12"/>
        <v>0</v>
      </c>
      <c r="M95" s="364">
        <v>296</v>
      </c>
      <c r="N95" s="365">
        <f t="shared" si="13"/>
        <v>0</v>
      </c>
      <c r="O95" s="371">
        <f t="shared" si="14"/>
        <v>2.96</v>
      </c>
      <c r="P95" s="374" t="e">
        <f>(O95+$N$231)+((BC!$F$125)/$G$103)</f>
        <v>#DIV/0!</v>
      </c>
      <c r="Q95" s="374" t="e">
        <f t="shared" si="15"/>
        <v>#DIV/0!</v>
      </c>
      <c r="R95" s="375" t="e">
        <f t="shared" si="16"/>
        <v>#DIV/0!</v>
      </c>
      <c r="S95" s="375" t="e">
        <f t="shared" si="17"/>
        <v>#DIV/0!</v>
      </c>
      <c r="T95" s="373"/>
      <c r="U95" s="373"/>
      <c r="V95" s="97"/>
      <c r="W95" s="97"/>
      <c r="X95" s="97"/>
      <c r="Y95" s="97"/>
      <c r="Z95" s="97"/>
      <c r="AA95" s="97"/>
      <c r="AB95" s="97"/>
      <c r="AC95" s="97"/>
    </row>
    <row r="96" spans="2:29" ht="15.75" customHeight="1" x14ac:dyDescent="0.45">
      <c r="B96" s="287">
        <v>4618858190</v>
      </c>
      <c r="C96" s="338" t="s">
        <v>496</v>
      </c>
      <c r="D96" s="220" t="s">
        <v>497</v>
      </c>
      <c r="E96" s="219">
        <v>100</v>
      </c>
      <c r="F96" s="219">
        <v>84</v>
      </c>
      <c r="G96" s="386">
        <f>'e411'!F96</f>
        <v>0</v>
      </c>
      <c r="H96" s="219">
        <f t="shared" si="9"/>
        <v>0</v>
      </c>
      <c r="I96" s="219">
        <f>(30*BC!$B$47/F96)</f>
        <v>0</v>
      </c>
      <c r="J96" s="285">
        <f t="shared" si="10"/>
        <v>0</v>
      </c>
      <c r="K96" s="194">
        <f t="shared" si="11"/>
        <v>0</v>
      </c>
      <c r="L96" s="194">
        <f t="shared" si="12"/>
        <v>0</v>
      </c>
      <c r="M96" s="364">
        <v>296</v>
      </c>
      <c r="N96" s="365">
        <f t="shared" si="13"/>
        <v>0</v>
      </c>
      <c r="O96" s="371">
        <f t="shared" si="14"/>
        <v>2.96</v>
      </c>
      <c r="P96" s="374" t="e">
        <f>(O96+$N$231)+((BC!$F$125)/$G$103)</f>
        <v>#DIV/0!</v>
      </c>
      <c r="Q96" s="374" t="e">
        <f t="shared" si="15"/>
        <v>#DIV/0!</v>
      </c>
      <c r="R96" s="375" t="e">
        <f t="shared" si="16"/>
        <v>#DIV/0!</v>
      </c>
      <c r="S96" s="375" t="e">
        <f t="shared" si="17"/>
        <v>#DIV/0!</v>
      </c>
      <c r="T96" s="373"/>
      <c r="U96" s="373"/>
      <c r="V96" s="97"/>
      <c r="W96" s="97"/>
      <c r="X96" s="97"/>
      <c r="Y96" s="97"/>
      <c r="Z96" s="97"/>
      <c r="AA96" s="97"/>
      <c r="AB96" s="97"/>
      <c r="AC96" s="97"/>
    </row>
    <row r="97" spans="2:29" ht="15.75" customHeight="1" x14ac:dyDescent="0.45">
      <c r="B97" s="287">
        <v>5094798190</v>
      </c>
      <c r="C97" s="339" t="s">
        <v>498</v>
      </c>
      <c r="D97" s="285" t="s">
        <v>499</v>
      </c>
      <c r="E97" s="219">
        <v>100</v>
      </c>
      <c r="F97" s="219">
        <v>14</v>
      </c>
      <c r="G97" s="386">
        <f>'e411'!F97</f>
        <v>0</v>
      </c>
      <c r="H97" s="219">
        <f t="shared" si="9"/>
        <v>0</v>
      </c>
      <c r="I97" s="219">
        <f>(30*BC!$B$47/F97)</f>
        <v>0</v>
      </c>
      <c r="J97" s="285">
        <f t="shared" si="10"/>
        <v>0</v>
      </c>
      <c r="K97" s="194">
        <f t="shared" si="11"/>
        <v>0</v>
      </c>
      <c r="L97" s="194">
        <f t="shared" si="12"/>
        <v>0</v>
      </c>
      <c r="M97" s="364">
        <v>608</v>
      </c>
      <c r="N97" s="365">
        <f t="shared" si="13"/>
        <v>0</v>
      </c>
      <c r="O97" s="371">
        <f t="shared" si="14"/>
        <v>6.08</v>
      </c>
      <c r="P97" s="374" t="e">
        <f>(O97+$N$231)+((BC!$F$125)/$G$103)</f>
        <v>#DIV/0!</v>
      </c>
      <c r="Q97" s="374" t="e">
        <f t="shared" si="15"/>
        <v>#DIV/0!</v>
      </c>
      <c r="R97" s="375" t="e">
        <f t="shared" si="16"/>
        <v>#DIV/0!</v>
      </c>
      <c r="S97" s="375" t="e">
        <f t="shared" si="17"/>
        <v>#DIV/0!</v>
      </c>
      <c r="T97" s="74"/>
      <c r="U97" s="74"/>
    </row>
    <row r="98" spans="2:29" ht="15.75" customHeight="1" x14ac:dyDescent="0.45">
      <c r="B98" s="287">
        <v>9315322190</v>
      </c>
      <c r="C98" s="340" t="s">
        <v>500</v>
      </c>
      <c r="D98" s="220" t="s">
        <v>501</v>
      </c>
      <c r="E98" s="219">
        <v>200</v>
      </c>
      <c r="F98" s="219">
        <v>28</v>
      </c>
      <c r="G98" s="386">
        <f>'e411'!F98</f>
        <v>0</v>
      </c>
      <c r="H98" s="219">
        <f t="shared" si="9"/>
        <v>0</v>
      </c>
      <c r="I98" s="219">
        <f>(30*BC!$B$47/F98)</f>
        <v>0</v>
      </c>
      <c r="J98" s="285">
        <f t="shared" si="10"/>
        <v>0</v>
      </c>
      <c r="K98" s="194">
        <f t="shared" si="11"/>
        <v>0</v>
      </c>
      <c r="L98" s="194">
        <f t="shared" si="12"/>
        <v>0</v>
      </c>
      <c r="M98" s="364">
        <v>1216</v>
      </c>
      <c r="N98" s="365">
        <f t="shared" si="13"/>
        <v>0</v>
      </c>
      <c r="O98" s="371">
        <f t="shared" si="14"/>
        <v>6.08</v>
      </c>
      <c r="P98" s="374" t="e">
        <f>(O98+$N$231)+((BC!$F$125)/$G$103)</f>
        <v>#DIV/0!</v>
      </c>
      <c r="Q98" s="374" t="e">
        <f t="shared" si="15"/>
        <v>#DIV/0!</v>
      </c>
      <c r="R98" s="375" t="e">
        <f t="shared" si="16"/>
        <v>#DIV/0!</v>
      </c>
      <c r="S98" s="375" t="e">
        <f t="shared" si="17"/>
        <v>#DIV/0!</v>
      </c>
      <c r="T98" s="373"/>
      <c r="U98" s="373"/>
      <c r="V98" s="97"/>
      <c r="W98" s="97"/>
      <c r="X98" s="97"/>
      <c r="Y98" s="97"/>
      <c r="Z98" s="97"/>
      <c r="AA98" s="97"/>
      <c r="AB98" s="97"/>
      <c r="AC98" s="97"/>
    </row>
    <row r="99" spans="2:29" ht="15.75" customHeight="1" x14ac:dyDescent="0.45">
      <c r="B99" s="287">
        <v>9315349190</v>
      </c>
      <c r="C99" s="339" t="s">
        <v>502</v>
      </c>
      <c r="D99" s="285" t="s">
        <v>503</v>
      </c>
      <c r="E99" s="219">
        <v>100</v>
      </c>
      <c r="F99" s="219">
        <v>28</v>
      </c>
      <c r="G99" s="386">
        <f>'e411'!F99</f>
        <v>0</v>
      </c>
      <c r="H99" s="219">
        <f t="shared" si="9"/>
        <v>0</v>
      </c>
      <c r="I99" s="219">
        <f>(30*BC!$B$47/F99)</f>
        <v>0</v>
      </c>
      <c r="J99" s="285">
        <f t="shared" si="10"/>
        <v>0</v>
      </c>
      <c r="K99" s="194">
        <f t="shared" si="11"/>
        <v>0</v>
      </c>
      <c r="L99" s="194">
        <f t="shared" si="12"/>
        <v>0</v>
      </c>
      <c r="M99" s="364">
        <v>608</v>
      </c>
      <c r="N99" s="365">
        <f t="shared" si="13"/>
        <v>0</v>
      </c>
      <c r="O99" s="371">
        <f t="shared" si="14"/>
        <v>6.08</v>
      </c>
      <c r="P99" s="374" t="e">
        <f>(O99+$N$231)+((BC!$F$125)/$G$103)</f>
        <v>#DIV/0!</v>
      </c>
      <c r="Q99" s="374" t="e">
        <f t="shared" si="15"/>
        <v>#DIV/0!</v>
      </c>
      <c r="R99" s="375" t="e">
        <f t="shared" si="16"/>
        <v>#DIV/0!</v>
      </c>
      <c r="S99" s="375" t="e">
        <f t="shared" si="17"/>
        <v>#DIV/0!</v>
      </c>
      <c r="T99" s="74"/>
      <c r="U99" s="74"/>
    </row>
    <row r="100" spans="2:29" ht="15.75" customHeight="1" x14ac:dyDescent="0.45">
      <c r="B100" s="287">
        <v>8429324190</v>
      </c>
      <c r="C100" s="309" t="s">
        <v>504</v>
      </c>
      <c r="D100" s="220" t="s">
        <v>505</v>
      </c>
      <c r="E100" s="219">
        <v>200</v>
      </c>
      <c r="F100" s="219">
        <v>56</v>
      </c>
      <c r="G100" s="386">
        <f>'e411'!F100</f>
        <v>0</v>
      </c>
      <c r="H100" s="219">
        <f t="shared" si="9"/>
        <v>0</v>
      </c>
      <c r="I100" s="219">
        <f>(30*BC!$B$47/F100)</f>
        <v>0</v>
      </c>
      <c r="J100" s="285">
        <f t="shared" si="10"/>
        <v>0</v>
      </c>
      <c r="K100" s="194">
        <f t="shared" si="11"/>
        <v>0</v>
      </c>
      <c r="L100" s="194">
        <f t="shared" si="12"/>
        <v>0</v>
      </c>
      <c r="M100" s="364">
        <v>272</v>
      </c>
      <c r="N100" s="365">
        <f t="shared" si="13"/>
        <v>0</v>
      </c>
      <c r="O100" s="371">
        <f t="shared" si="14"/>
        <v>1.36</v>
      </c>
      <c r="P100" s="374" t="e">
        <f>(O100+$N$231)+((BC!$F$125)/$G$103)</f>
        <v>#DIV/0!</v>
      </c>
      <c r="Q100" s="374" t="e">
        <f t="shared" si="15"/>
        <v>#DIV/0!</v>
      </c>
      <c r="R100" s="375" t="e">
        <f t="shared" si="16"/>
        <v>#DIV/0!</v>
      </c>
      <c r="S100" s="375" t="e">
        <f t="shared" si="17"/>
        <v>#DIV/0!</v>
      </c>
      <c r="T100" s="373"/>
      <c r="U100" s="373"/>
      <c r="V100" s="97"/>
      <c r="W100" s="97"/>
      <c r="X100" s="97"/>
      <c r="Y100" s="97"/>
      <c r="Z100" s="97"/>
      <c r="AA100" s="97"/>
      <c r="AB100" s="97"/>
      <c r="AC100" s="97"/>
    </row>
    <row r="101" spans="2:29" ht="15.75" customHeight="1" x14ac:dyDescent="0.45">
      <c r="B101" s="287">
        <v>7212771190</v>
      </c>
      <c r="C101" s="314" t="s">
        <v>506</v>
      </c>
      <c r="D101" s="220" t="s">
        <v>507</v>
      </c>
      <c r="E101" s="219">
        <v>100</v>
      </c>
      <c r="F101" s="219">
        <v>60</v>
      </c>
      <c r="G101" s="386">
        <f>'e411'!F101</f>
        <v>0</v>
      </c>
      <c r="H101" s="219">
        <f t="shared" si="9"/>
        <v>0</v>
      </c>
      <c r="I101" s="219">
        <f>(30*BC!$B$47/F101)</f>
        <v>0</v>
      </c>
      <c r="J101" s="285">
        <f t="shared" si="10"/>
        <v>0</v>
      </c>
      <c r="K101" s="194">
        <f t="shared" si="11"/>
        <v>0</v>
      </c>
      <c r="L101" s="194">
        <f t="shared" si="12"/>
        <v>0</v>
      </c>
      <c r="M101" s="364">
        <v>700</v>
      </c>
      <c r="N101" s="365">
        <f t="shared" si="13"/>
        <v>0</v>
      </c>
      <c r="O101" s="371">
        <f t="shared" si="14"/>
        <v>7</v>
      </c>
      <c r="P101" s="374" t="e">
        <f>(O101+$N$231)+((BC!$F$125)/$G$103)</f>
        <v>#DIV/0!</v>
      </c>
      <c r="Q101" s="374" t="e">
        <f t="shared" si="15"/>
        <v>#DIV/0!</v>
      </c>
      <c r="R101" s="375" t="e">
        <f t="shared" si="16"/>
        <v>#DIV/0!</v>
      </c>
      <c r="S101" s="375" t="e">
        <f t="shared" si="17"/>
        <v>#DIV/0!</v>
      </c>
      <c r="T101" s="373"/>
      <c r="U101" s="373"/>
      <c r="V101" s="97"/>
      <c r="W101" s="97"/>
      <c r="X101" s="97"/>
      <c r="Y101" s="97"/>
      <c r="Z101" s="97"/>
      <c r="AA101" s="97"/>
      <c r="AB101" s="97"/>
      <c r="AC101" s="97"/>
    </row>
    <row r="102" spans="2:29" ht="15.75" customHeight="1" x14ac:dyDescent="0.45">
      <c r="B102" s="287">
        <v>9038078190</v>
      </c>
      <c r="C102" s="341" t="s">
        <v>508</v>
      </c>
      <c r="D102" s="220" t="s">
        <v>509</v>
      </c>
      <c r="E102" s="219">
        <v>100</v>
      </c>
      <c r="F102" s="219">
        <v>28</v>
      </c>
      <c r="G102" s="386">
        <f>'e411'!F102</f>
        <v>0</v>
      </c>
      <c r="H102" s="219">
        <f t="shared" si="9"/>
        <v>0</v>
      </c>
      <c r="I102" s="219">
        <f>(30*BC!$B$47/F102)</f>
        <v>0</v>
      </c>
      <c r="J102" s="285">
        <f t="shared" si="10"/>
        <v>0</v>
      </c>
      <c r="K102" s="194">
        <f t="shared" si="11"/>
        <v>0</v>
      </c>
      <c r="L102" s="194">
        <f t="shared" si="12"/>
        <v>0</v>
      </c>
      <c r="M102" s="364">
        <v>657</v>
      </c>
      <c r="N102" s="365">
        <f t="shared" si="13"/>
        <v>0</v>
      </c>
      <c r="O102" s="371">
        <f t="shared" si="14"/>
        <v>6.57</v>
      </c>
      <c r="P102" s="374" t="e">
        <f>(O102+$N$231)+((BC!$F$125)/$G$103)</f>
        <v>#DIV/0!</v>
      </c>
      <c r="Q102" s="374" t="e">
        <f t="shared" si="15"/>
        <v>#DIV/0!</v>
      </c>
      <c r="R102" s="375" t="e">
        <f t="shared" si="16"/>
        <v>#DIV/0!</v>
      </c>
      <c r="S102" s="375" t="e">
        <f t="shared" si="17"/>
        <v>#DIV/0!</v>
      </c>
      <c r="T102" s="373"/>
      <c r="U102" s="373"/>
      <c r="V102" s="97"/>
      <c r="W102" s="97"/>
      <c r="X102" s="97"/>
      <c r="Y102" s="97"/>
      <c r="Z102" s="97"/>
      <c r="AA102" s="97"/>
      <c r="AB102" s="97"/>
      <c r="AC102" s="97"/>
    </row>
    <row r="103" spans="2:29" ht="15.75" customHeight="1" x14ac:dyDescent="0.45">
      <c r="B103" s="913" t="s">
        <v>19</v>
      </c>
      <c r="C103" s="913"/>
      <c r="D103" s="913"/>
      <c r="E103" s="913"/>
      <c r="F103" s="913"/>
      <c r="G103" s="342">
        <f>SUM(G9:G102)</f>
        <v>0</v>
      </c>
      <c r="H103" s="342"/>
      <c r="I103" s="342"/>
      <c r="J103" s="343"/>
      <c r="K103" s="383"/>
      <c r="L103" s="383"/>
      <c r="M103" s="344"/>
      <c r="N103" s="345"/>
      <c r="O103" s="345"/>
      <c r="P103" s="344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</row>
    <row r="104" spans="2:29" ht="15.75" customHeight="1" x14ac:dyDescent="0.45">
      <c r="B104" s="378" t="s">
        <v>255</v>
      </c>
      <c r="C104" s="380"/>
      <c r="D104" s="380"/>
      <c r="E104" s="380" t="s">
        <v>183</v>
      </c>
      <c r="F104" s="380" t="s">
        <v>649</v>
      </c>
      <c r="G104" s="382"/>
      <c r="H104" s="379" t="s">
        <v>53</v>
      </c>
      <c r="I104" s="379" t="s">
        <v>52</v>
      </c>
      <c r="J104" s="379" t="s">
        <v>51</v>
      </c>
      <c r="K104" s="379"/>
      <c r="L104" s="379" t="s">
        <v>50</v>
      </c>
      <c r="M104" s="379" t="s">
        <v>49</v>
      </c>
      <c r="N104" s="379" t="s">
        <v>48</v>
      </c>
      <c r="O104" s="381" t="s">
        <v>318</v>
      </c>
      <c r="P104" s="381" t="s">
        <v>319</v>
      </c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</row>
    <row r="105" spans="2:29" ht="15.75" customHeight="1" x14ac:dyDescent="0.45">
      <c r="B105" s="287">
        <v>8959820190</v>
      </c>
      <c r="C105" s="285" t="s">
        <v>510</v>
      </c>
      <c r="D105" s="194" t="s">
        <v>511</v>
      </c>
      <c r="E105" s="219">
        <v>2</v>
      </c>
      <c r="F105" s="219">
        <v>28</v>
      </c>
      <c r="G105" s="219"/>
      <c r="H105" s="219">
        <f>(G9/(0.0005*100)/2000)</f>
        <v>0</v>
      </c>
      <c r="I105" s="219">
        <f>(30*BC!$B$47/F105)</f>
        <v>0</v>
      </c>
      <c r="J105" s="285">
        <f t="shared" si="10"/>
        <v>0</v>
      </c>
      <c r="K105" s="194">
        <f t="shared" si="11"/>
        <v>0</v>
      </c>
      <c r="L105" s="194">
        <f t="shared" si="12"/>
        <v>0</v>
      </c>
      <c r="M105" s="364">
        <v>355</v>
      </c>
      <c r="N105" s="365">
        <f t="shared" ref="N105:N136" si="18">((M105/E105)*L105)</f>
        <v>0</v>
      </c>
      <c r="O105" s="57">
        <f t="shared" ref="O105:O136" si="19">L105/E105</f>
        <v>0</v>
      </c>
      <c r="P105" s="57">
        <f>ROUNDUP(O105,0)</f>
        <v>0</v>
      </c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</row>
    <row r="106" spans="2:29" ht="15.75" customHeight="1" x14ac:dyDescent="0.45">
      <c r="B106" s="287">
        <v>9227261190</v>
      </c>
      <c r="C106" s="220" t="s">
        <v>512</v>
      </c>
      <c r="D106" s="194" t="s">
        <v>511</v>
      </c>
      <c r="E106" s="219">
        <v>2</v>
      </c>
      <c r="F106" s="219">
        <v>84</v>
      </c>
      <c r="G106" s="219"/>
      <c r="H106" s="219">
        <f>(G10/(0.0005*100)/2000)</f>
        <v>0</v>
      </c>
      <c r="I106" s="219">
        <f>(30*BC!$B$47/F106)</f>
        <v>0</v>
      </c>
      <c r="J106" s="285">
        <f t="shared" si="10"/>
        <v>0</v>
      </c>
      <c r="K106" s="194">
        <f t="shared" si="11"/>
        <v>0</v>
      </c>
      <c r="L106" s="194">
        <f t="shared" si="12"/>
        <v>0</v>
      </c>
      <c r="M106" s="364">
        <v>103</v>
      </c>
      <c r="N106" s="365">
        <f t="shared" si="18"/>
        <v>0</v>
      </c>
      <c r="O106" s="57">
        <f t="shared" si="19"/>
        <v>0</v>
      </c>
      <c r="P106" s="57">
        <f t="shared" ref="P106:P162" si="20">ROUNDUP(O106,0)</f>
        <v>0</v>
      </c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</row>
    <row r="107" spans="2:29" ht="15.75" customHeight="1" x14ac:dyDescent="0.45">
      <c r="B107" s="287">
        <v>7957203190</v>
      </c>
      <c r="C107" s="285" t="s">
        <v>513</v>
      </c>
      <c r="D107" s="194" t="s">
        <v>511</v>
      </c>
      <c r="E107" s="219">
        <v>2</v>
      </c>
      <c r="F107" s="219">
        <v>28</v>
      </c>
      <c r="G107" s="219"/>
      <c r="H107" s="219">
        <f>(G11/(0.0005*100)/2000)</f>
        <v>0</v>
      </c>
      <c r="I107" s="219">
        <f>(30*BC!$B$47/F107)</f>
        <v>0</v>
      </c>
      <c r="J107" s="285">
        <f t="shared" si="10"/>
        <v>0</v>
      </c>
      <c r="K107" s="194">
        <f t="shared" si="11"/>
        <v>0</v>
      </c>
      <c r="L107" s="194">
        <f t="shared" si="12"/>
        <v>0</v>
      </c>
      <c r="M107" s="364">
        <v>322</v>
      </c>
      <c r="N107" s="365">
        <f t="shared" si="18"/>
        <v>0</v>
      </c>
      <c r="O107" s="57">
        <f t="shared" si="19"/>
        <v>0</v>
      </c>
      <c r="P107" s="57">
        <f t="shared" si="20"/>
        <v>0</v>
      </c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</row>
    <row r="108" spans="2:29" ht="15.75" customHeight="1" x14ac:dyDescent="0.45">
      <c r="B108" s="287">
        <v>9289291190</v>
      </c>
      <c r="C108" s="285" t="s">
        <v>514</v>
      </c>
      <c r="D108" s="194" t="s">
        <v>511</v>
      </c>
      <c r="E108" s="219">
        <v>2</v>
      </c>
      <c r="F108" s="219">
        <v>42</v>
      </c>
      <c r="G108" s="219"/>
      <c r="H108" s="219">
        <f>(G22/(0.005*100)/2000)</f>
        <v>0</v>
      </c>
      <c r="I108" s="219">
        <f>(30*BC!$B$47/F108)</f>
        <v>0</v>
      </c>
      <c r="J108" s="285">
        <f t="shared" si="10"/>
        <v>0</v>
      </c>
      <c r="K108" s="194">
        <f t="shared" si="11"/>
        <v>0</v>
      </c>
      <c r="L108" s="194">
        <f t="shared" si="12"/>
        <v>0</v>
      </c>
      <c r="M108" s="364">
        <v>155</v>
      </c>
      <c r="N108" s="365">
        <f t="shared" si="18"/>
        <v>0</v>
      </c>
      <c r="O108" s="57">
        <f t="shared" si="19"/>
        <v>0</v>
      </c>
      <c r="P108" s="57">
        <f t="shared" si="20"/>
        <v>0</v>
      </c>
      <c r="Q108" s="97"/>
      <c r="R108" s="97"/>
      <c r="S108" s="97"/>
      <c r="T108" s="97"/>
      <c r="U108" s="97"/>
      <c r="V108" s="97"/>
      <c r="W108" s="97"/>
      <c r="X108" s="97"/>
      <c r="Y108" s="97"/>
      <c r="Z108" s="97"/>
      <c r="AA108" s="97"/>
      <c r="AB108" s="97"/>
      <c r="AC108" s="97"/>
    </row>
    <row r="109" spans="2:29" ht="15.75" customHeight="1" x14ac:dyDescent="0.45">
      <c r="B109" s="287">
        <v>9005030190</v>
      </c>
      <c r="C109" s="220" t="s">
        <v>515</v>
      </c>
      <c r="D109" s="194" t="s">
        <v>511</v>
      </c>
      <c r="E109" s="219">
        <v>2</v>
      </c>
      <c r="F109" s="219">
        <v>42</v>
      </c>
      <c r="G109" s="219"/>
      <c r="H109" s="219">
        <f>(G23/(0.0005*150)/2000)</f>
        <v>0</v>
      </c>
      <c r="I109" s="219">
        <f>(30*BC!$B$47/F109)</f>
        <v>0</v>
      </c>
      <c r="J109" s="285">
        <f t="shared" si="10"/>
        <v>0</v>
      </c>
      <c r="K109" s="194">
        <f t="shared" si="11"/>
        <v>0</v>
      </c>
      <c r="L109" s="194">
        <f t="shared" si="12"/>
        <v>0</v>
      </c>
      <c r="M109" s="364">
        <v>115</v>
      </c>
      <c r="N109" s="365">
        <f t="shared" si="18"/>
        <v>0</v>
      </c>
      <c r="O109" s="57">
        <f t="shared" si="19"/>
        <v>0</v>
      </c>
      <c r="P109" s="57">
        <f t="shared" si="20"/>
        <v>0</v>
      </c>
      <c r="Q109" s="97"/>
      <c r="R109" s="97"/>
      <c r="S109" s="97"/>
      <c r="T109" s="97"/>
      <c r="U109" s="97"/>
      <c r="V109" s="97"/>
      <c r="W109" s="97"/>
      <c r="X109" s="97"/>
      <c r="Y109" s="97"/>
      <c r="Z109" s="97"/>
      <c r="AA109" s="97"/>
      <c r="AB109" s="97"/>
      <c r="AC109" s="97"/>
    </row>
    <row r="110" spans="2:29" ht="15.75" customHeight="1" x14ac:dyDescent="0.45">
      <c r="B110" s="287">
        <v>6472931190</v>
      </c>
      <c r="C110" s="197" t="s">
        <v>516</v>
      </c>
      <c r="D110" s="194" t="s">
        <v>511</v>
      </c>
      <c r="E110" s="219">
        <v>2</v>
      </c>
      <c r="F110" s="219">
        <v>56</v>
      </c>
      <c r="G110" s="219"/>
      <c r="H110" s="219">
        <f>(G12/(0.0005*100)/2000)</f>
        <v>0</v>
      </c>
      <c r="I110" s="219">
        <f>(30*BC!$B$47/F110)</f>
        <v>0</v>
      </c>
      <c r="J110" s="285">
        <f t="shared" si="10"/>
        <v>0</v>
      </c>
      <c r="K110" s="194">
        <f t="shared" si="11"/>
        <v>0</v>
      </c>
      <c r="L110" s="194">
        <f t="shared" si="12"/>
        <v>0</v>
      </c>
      <c r="M110" s="364">
        <v>222</v>
      </c>
      <c r="N110" s="365">
        <f t="shared" si="18"/>
        <v>0</v>
      </c>
      <c r="O110" s="57">
        <f t="shared" si="19"/>
        <v>0</v>
      </c>
      <c r="P110" s="57">
        <f t="shared" si="20"/>
        <v>0</v>
      </c>
      <c r="Q110" s="97"/>
      <c r="R110" s="97"/>
      <c r="S110" s="97"/>
      <c r="T110" s="97"/>
      <c r="U110" s="97"/>
      <c r="V110" s="97"/>
      <c r="W110" s="97"/>
      <c r="X110" s="97"/>
      <c r="Y110" s="97"/>
      <c r="Z110" s="97"/>
      <c r="AA110" s="97"/>
      <c r="AB110" s="97"/>
      <c r="AC110" s="97"/>
    </row>
    <row r="111" spans="2:29" ht="15.75" customHeight="1" x14ac:dyDescent="0.45">
      <c r="B111" s="287">
        <v>8496641190</v>
      </c>
      <c r="C111" s="285" t="s">
        <v>517</v>
      </c>
      <c r="D111" s="194" t="s">
        <v>511</v>
      </c>
      <c r="E111" s="219">
        <v>2</v>
      </c>
      <c r="F111" s="219">
        <v>84</v>
      </c>
      <c r="G111" s="219"/>
      <c r="H111" s="219">
        <f t="shared" ref="H111:H117" si="21">(G24/(0.0005*100)/2000)</f>
        <v>0</v>
      </c>
      <c r="I111" s="219">
        <f>(30*BC!$B$47/F111)</f>
        <v>0</v>
      </c>
      <c r="J111" s="285">
        <f t="shared" si="10"/>
        <v>0</v>
      </c>
      <c r="K111" s="194">
        <f t="shared" si="11"/>
        <v>0</v>
      </c>
      <c r="L111" s="194">
        <f t="shared" si="12"/>
        <v>0</v>
      </c>
      <c r="M111" s="364">
        <v>178</v>
      </c>
      <c r="N111" s="365">
        <f t="shared" si="18"/>
        <v>0</v>
      </c>
      <c r="O111" s="57">
        <f t="shared" si="19"/>
        <v>0</v>
      </c>
      <c r="P111" s="57">
        <f t="shared" si="20"/>
        <v>0</v>
      </c>
      <c r="Q111" s="97"/>
      <c r="R111" s="97"/>
      <c r="S111" s="97"/>
      <c r="T111" s="97"/>
      <c r="U111" s="97"/>
      <c r="V111" s="97"/>
      <c r="W111" s="97"/>
      <c r="X111" s="97"/>
      <c r="Y111" s="97"/>
      <c r="Z111" s="97"/>
      <c r="AA111" s="97"/>
      <c r="AB111" s="97"/>
      <c r="AC111" s="97"/>
    </row>
    <row r="112" spans="2:29" ht="15.75" customHeight="1" x14ac:dyDescent="0.45">
      <c r="B112" s="287">
        <v>11972316122</v>
      </c>
      <c r="C112" s="285" t="s">
        <v>518</v>
      </c>
      <c r="D112" s="194" t="s">
        <v>511</v>
      </c>
      <c r="E112" s="219">
        <v>2</v>
      </c>
      <c r="F112" s="219">
        <v>84</v>
      </c>
      <c r="G112" s="219"/>
      <c r="H112" s="219">
        <f t="shared" si="21"/>
        <v>0</v>
      </c>
      <c r="I112" s="219">
        <f>(30*BC!$B$47/F112)</f>
        <v>0</v>
      </c>
      <c r="J112" s="285">
        <f t="shared" si="10"/>
        <v>0</v>
      </c>
      <c r="K112" s="194">
        <f t="shared" si="11"/>
        <v>0</v>
      </c>
      <c r="L112" s="194">
        <f t="shared" si="12"/>
        <v>0</v>
      </c>
      <c r="M112" s="364">
        <v>162</v>
      </c>
      <c r="N112" s="365">
        <f t="shared" si="18"/>
        <v>0</v>
      </c>
      <c r="O112" s="57">
        <f t="shared" si="19"/>
        <v>0</v>
      </c>
      <c r="P112" s="57">
        <f t="shared" si="20"/>
        <v>0</v>
      </c>
      <c r="Q112" s="97"/>
      <c r="R112" s="97"/>
      <c r="S112" s="97"/>
      <c r="T112" s="97"/>
      <c r="U112" s="97"/>
      <c r="V112" s="97"/>
      <c r="W112" s="97"/>
      <c r="X112" s="97"/>
      <c r="Y112" s="97"/>
      <c r="Z112" s="97"/>
      <c r="AA112" s="97"/>
      <c r="AB112" s="97"/>
      <c r="AC112" s="97"/>
    </row>
    <row r="113" spans="2:29" ht="15.75" customHeight="1" x14ac:dyDescent="0.45">
      <c r="B113" s="287">
        <v>7030207190</v>
      </c>
      <c r="C113" s="220" t="s">
        <v>519</v>
      </c>
      <c r="D113" s="194" t="s">
        <v>511</v>
      </c>
      <c r="E113" s="219">
        <v>2</v>
      </c>
      <c r="F113" s="219">
        <v>140</v>
      </c>
      <c r="G113" s="219"/>
      <c r="H113" s="219">
        <f t="shared" si="21"/>
        <v>0</v>
      </c>
      <c r="I113" s="219">
        <f>(30*BC!$B$47/F113)</f>
        <v>0</v>
      </c>
      <c r="J113" s="285">
        <f t="shared" si="10"/>
        <v>0</v>
      </c>
      <c r="K113" s="194">
        <f t="shared" si="11"/>
        <v>0</v>
      </c>
      <c r="L113" s="194">
        <f t="shared" si="12"/>
        <v>0</v>
      </c>
      <c r="M113" s="364">
        <v>184</v>
      </c>
      <c r="N113" s="365">
        <f t="shared" si="18"/>
        <v>0</v>
      </c>
      <c r="O113" s="57">
        <f t="shared" si="19"/>
        <v>0</v>
      </c>
      <c r="P113" s="57">
        <f t="shared" si="20"/>
        <v>0</v>
      </c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  <c r="AB113" s="97"/>
      <c r="AC113" s="97"/>
    </row>
    <row r="114" spans="2:29" ht="15.75" customHeight="1" x14ac:dyDescent="0.45">
      <c r="B114" s="287">
        <v>3045846122</v>
      </c>
      <c r="C114" s="285" t="s">
        <v>520</v>
      </c>
      <c r="D114" s="194" t="s">
        <v>511</v>
      </c>
      <c r="E114" s="219">
        <v>2</v>
      </c>
      <c r="F114" s="219">
        <v>84</v>
      </c>
      <c r="G114" s="219"/>
      <c r="H114" s="219">
        <f t="shared" si="21"/>
        <v>0</v>
      </c>
      <c r="I114" s="219">
        <f>(30*BC!$B$47/F114)</f>
        <v>0</v>
      </c>
      <c r="J114" s="285">
        <f t="shared" si="10"/>
        <v>0</v>
      </c>
      <c r="K114" s="194">
        <f t="shared" si="11"/>
        <v>0</v>
      </c>
      <c r="L114" s="194">
        <f t="shared" si="12"/>
        <v>0</v>
      </c>
      <c r="M114" s="364">
        <v>180</v>
      </c>
      <c r="N114" s="365">
        <f t="shared" si="18"/>
        <v>0</v>
      </c>
      <c r="O114" s="57">
        <f t="shared" si="19"/>
        <v>0</v>
      </c>
      <c r="P114" s="57">
        <f t="shared" si="20"/>
        <v>0</v>
      </c>
      <c r="Q114" s="97"/>
      <c r="R114" s="97"/>
      <c r="S114" s="97"/>
      <c r="T114" s="97"/>
      <c r="U114" s="97"/>
      <c r="V114" s="97"/>
      <c r="W114" s="97"/>
      <c r="X114" s="97"/>
      <c r="Y114" s="97"/>
      <c r="Z114" s="97"/>
      <c r="AA114" s="97"/>
      <c r="AB114" s="97"/>
      <c r="AC114" s="97"/>
    </row>
    <row r="115" spans="2:29" ht="15.75" customHeight="1" x14ac:dyDescent="0.45">
      <c r="B115" s="287">
        <v>11776215122</v>
      </c>
      <c r="C115" s="285" t="s">
        <v>521</v>
      </c>
      <c r="D115" s="194" t="s">
        <v>511</v>
      </c>
      <c r="E115" s="219">
        <v>2</v>
      </c>
      <c r="F115" s="219">
        <v>56</v>
      </c>
      <c r="G115" s="219"/>
      <c r="H115" s="219">
        <f t="shared" si="21"/>
        <v>0</v>
      </c>
      <c r="I115" s="219">
        <f>(30*BC!$B$47/F115)</f>
        <v>0</v>
      </c>
      <c r="J115" s="285">
        <f t="shared" si="10"/>
        <v>0</v>
      </c>
      <c r="K115" s="194">
        <f t="shared" si="11"/>
        <v>0</v>
      </c>
      <c r="L115" s="194">
        <f t="shared" si="12"/>
        <v>0</v>
      </c>
      <c r="M115" s="364">
        <v>182</v>
      </c>
      <c r="N115" s="365">
        <f t="shared" si="18"/>
        <v>0</v>
      </c>
      <c r="O115" s="57">
        <f t="shared" si="19"/>
        <v>0</v>
      </c>
      <c r="P115" s="57">
        <f t="shared" si="20"/>
        <v>0</v>
      </c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</row>
    <row r="116" spans="2:29" ht="15.75" customHeight="1" x14ac:dyDescent="0.45">
      <c r="B116" s="287">
        <v>9175130190</v>
      </c>
      <c r="C116" s="285" t="s">
        <v>522</v>
      </c>
      <c r="D116" s="194" t="s">
        <v>511</v>
      </c>
      <c r="E116" s="219">
        <v>2</v>
      </c>
      <c r="F116" s="219">
        <v>42</v>
      </c>
      <c r="G116" s="219"/>
      <c r="H116" s="219">
        <f t="shared" si="21"/>
        <v>0</v>
      </c>
      <c r="I116" s="219">
        <f>(30*BC!$B$47/F116)</f>
        <v>0</v>
      </c>
      <c r="J116" s="285">
        <f t="shared" si="10"/>
        <v>0</v>
      </c>
      <c r="K116" s="194">
        <f t="shared" si="11"/>
        <v>0</v>
      </c>
      <c r="L116" s="194">
        <f t="shared" si="12"/>
        <v>0</v>
      </c>
      <c r="M116" s="364">
        <v>148</v>
      </c>
      <c r="N116" s="365">
        <f t="shared" si="18"/>
        <v>0</v>
      </c>
      <c r="O116" s="57">
        <f t="shared" si="19"/>
        <v>0</v>
      </c>
      <c r="P116" s="57">
        <f t="shared" si="20"/>
        <v>0</v>
      </c>
      <c r="Q116" s="97"/>
      <c r="R116" s="97"/>
      <c r="S116" s="97"/>
      <c r="T116" s="97"/>
      <c r="U116" s="97"/>
      <c r="V116" s="97"/>
      <c r="W116" s="97"/>
      <c r="X116" s="97"/>
      <c r="Y116" s="97"/>
      <c r="Z116" s="97"/>
      <c r="AA116" s="97"/>
      <c r="AB116" s="97"/>
      <c r="AC116" s="97"/>
    </row>
    <row r="117" spans="2:29" ht="15.75" customHeight="1" x14ac:dyDescent="0.45">
      <c r="B117" s="287">
        <v>11731645322</v>
      </c>
      <c r="C117" s="220" t="s">
        <v>523</v>
      </c>
      <c r="D117" s="194" t="s">
        <v>511</v>
      </c>
      <c r="E117" s="219">
        <v>2</v>
      </c>
      <c r="F117" s="219">
        <v>84</v>
      </c>
      <c r="G117" s="219"/>
      <c r="H117" s="219">
        <f t="shared" si="21"/>
        <v>0</v>
      </c>
      <c r="I117" s="219">
        <f>(30*BC!$B$47/F117)</f>
        <v>0</v>
      </c>
      <c r="J117" s="285">
        <f t="shared" si="10"/>
        <v>0</v>
      </c>
      <c r="K117" s="194">
        <f t="shared" si="11"/>
        <v>0</v>
      </c>
      <c r="L117" s="194">
        <f t="shared" si="12"/>
        <v>0</v>
      </c>
      <c r="M117" s="364">
        <v>105</v>
      </c>
      <c r="N117" s="365">
        <f t="shared" si="18"/>
        <v>0</v>
      </c>
      <c r="O117" s="57">
        <f t="shared" si="19"/>
        <v>0</v>
      </c>
      <c r="P117" s="57">
        <f t="shared" si="20"/>
        <v>0</v>
      </c>
      <c r="Q117" s="97"/>
      <c r="R117" s="97"/>
      <c r="S117" s="97"/>
      <c r="T117" s="97"/>
      <c r="U117" s="97"/>
      <c r="V117" s="97"/>
      <c r="W117" s="97"/>
      <c r="X117" s="97"/>
      <c r="Y117" s="97"/>
      <c r="Z117" s="97"/>
      <c r="AA117" s="97"/>
      <c r="AB117" s="97"/>
      <c r="AC117" s="97"/>
    </row>
    <row r="118" spans="2:29" ht="15.75" customHeight="1" x14ac:dyDescent="0.45">
      <c r="B118" s="287" t="s">
        <v>524</v>
      </c>
      <c r="C118" s="285" t="s">
        <v>525</v>
      </c>
      <c r="D118" s="194" t="s">
        <v>511</v>
      </c>
      <c r="E118" s="219">
        <v>2</v>
      </c>
      <c r="F118" s="219">
        <v>84</v>
      </c>
      <c r="G118" s="219"/>
      <c r="H118" s="219">
        <f>(G32/(0.0005*100)/2000)</f>
        <v>0</v>
      </c>
      <c r="I118" s="219">
        <f>(30*BC!$B$47/F118)</f>
        <v>0</v>
      </c>
      <c r="J118" s="285">
        <f t="shared" si="10"/>
        <v>0</v>
      </c>
      <c r="K118" s="194">
        <f t="shared" si="11"/>
        <v>0</v>
      </c>
      <c r="L118" s="194">
        <f t="shared" si="12"/>
        <v>0</v>
      </c>
      <c r="M118" s="364">
        <v>186</v>
      </c>
      <c r="N118" s="365">
        <f t="shared" si="18"/>
        <v>0</v>
      </c>
      <c r="O118" s="57">
        <f t="shared" si="19"/>
        <v>0</v>
      </c>
      <c r="P118" s="57">
        <f t="shared" si="20"/>
        <v>0</v>
      </c>
      <c r="Q118" s="97"/>
      <c r="R118" s="97"/>
      <c r="S118" s="97"/>
      <c r="T118" s="97"/>
      <c r="U118" s="97"/>
      <c r="V118" s="97"/>
      <c r="W118" s="97"/>
      <c r="X118" s="97"/>
      <c r="Y118" s="97"/>
      <c r="Z118" s="97"/>
      <c r="AA118" s="97"/>
      <c r="AB118" s="97"/>
      <c r="AC118" s="97"/>
    </row>
    <row r="119" spans="2:29" ht="15.75" customHeight="1" x14ac:dyDescent="0.45">
      <c r="B119" s="287">
        <v>6687750190</v>
      </c>
      <c r="C119" s="220" t="s">
        <v>526</v>
      </c>
      <c r="D119" s="194" t="s">
        <v>511</v>
      </c>
      <c r="E119" s="219">
        <v>2</v>
      </c>
      <c r="F119" s="219">
        <v>84</v>
      </c>
      <c r="G119" s="219"/>
      <c r="H119" s="219">
        <f>(G36/(0.0005*100)/2000)</f>
        <v>0</v>
      </c>
      <c r="I119" s="219">
        <f>(30*BC!$B$47/F119)</f>
        <v>0</v>
      </c>
      <c r="J119" s="285">
        <f t="shared" si="10"/>
        <v>0</v>
      </c>
      <c r="K119" s="194">
        <f t="shared" si="11"/>
        <v>0</v>
      </c>
      <c r="L119" s="194">
        <f t="shared" si="12"/>
        <v>0</v>
      </c>
      <c r="M119" s="364">
        <v>222</v>
      </c>
      <c r="N119" s="365">
        <f t="shared" si="18"/>
        <v>0</v>
      </c>
      <c r="O119" s="57">
        <f t="shared" si="19"/>
        <v>0</v>
      </c>
      <c r="P119" s="57">
        <f t="shared" si="20"/>
        <v>0</v>
      </c>
      <c r="Q119" s="97"/>
      <c r="R119" s="97"/>
      <c r="S119" s="97"/>
      <c r="T119" s="97"/>
      <c r="U119" s="97"/>
      <c r="V119" s="97"/>
      <c r="W119" s="97"/>
      <c r="X119" s="97"/>
      <c r="Y119" s="97"/>
      <c r="Z119" s="97"/>
      <c r="AA119" s="97"/>
      <c r="AB119" s="97"/>
      <c r="AC119" s="97"/>
    </row>
    <row r="120" spans="2:29" ht="15.75" customHeight="1" x14ac:dyDescent="0.45">
      <c r="B120" s="287">
        <v>3184919190</v>
      </c>
      <c r="C120" s="285" t="s">
        <v>527</v>
      </c>
      <c r="D120" s="194" t="s">
        <v>511</v>
      </c>
      <c r="E120" s="219">
        <v>2</v>
      </c>
      <c r="F120" s="219">
        <v>28</v>
      </c>
      <c r="G120" s="219"/>
      <c r="H120" s="219">
        <f>(G37/(0.0005*100)/2000)</f>
        <v>0</v>
      </c>
      <c r="I120" s="219">
        <f>(30*BC!$B$47/F120)</f>
        <v>0</v>
      </c>
      <c r="J120" s="285">
        <f t="shared" si="10"/>
        <v>0</v>
      </c>
      <c r="K120" s="194">
        <f t="shared" si="11"/>
        <v>0</v>
      </c>
      <c r="L120" s="194">
        <f t="shared" si="12"/>
        <v>0</v>
      </c>
      <c r="M120" s="364">
        <v>192</v>
      </c>
      <c r="N120" s="365">
        <f t="shared" si="18"/>
        <v>0</v>
      </c>
      <c r="O120" s="57">
        <f t="shared" si="19"/>
        <v>0</v>
      </c>
      <c r="P120" s="57">
        <f t="shared" si="20"/>
        <v>0</v>
      </c>
      <c r="Q120" s="97"/>
      <c r="R120" s="97"/>
      <c r="S120" s="97"/>
      <c r="T120" s="97"/>
      <c r="U120" s="97"/>
      <c r="V120" s="97"/>
      <c r="W120" s="97"/>
      <c r="X120" s="97"/>
      <c r="Y120" s="97"/>
      <c r="Z120" s="97"/>
      <c r="AA120" s="97"/>
      <c r="AB120" s="97"/>
      <c r="AC120" s="97"/>
    </row>
    <row r="121" spans="2:29" ht="15.75" customHeight="1" x14ac:dyDescent="0.45">
      <c r="B121" s="287">
        <v>11820974322</v>
      </c>
      <c r="C121" s="285" t="s">
        <v>528</v>
      </c>
      <c r="D121" s="194" t="s">
        <v>511</v>
      </c>
      <c r="E121" s="219">
        <v>2</v>
      </c>
      <c r="F121" s="219">
        <v>56</v>
      </c>
      <c r="G121" s="219"/>
      <c r="H121" s="219">
        <f>(G38/(0.0005*100)/2000)</f>
        <v>0</v>
      </c>
      <c r="I121" s="219">
        <f>(30*BC!$B$47/F121)</f>
        <v>0</v>
      </c>
      <c r="J121" s="285">
        <f t="shared" si="10"/>
        <v>0</v>
      </c>
      <c r="K121" s="194">
        <f t="shared" si="11"/>
        <v>0</v>
      </c>
      <c r="L121" s="194">
        <f t="shared" si="12"/>
        <v>0</v>
      </c>
      <c r="M121" s="364">
        <v>251</v>
      </c>
      <c r="N121" s="365">
        <f t="shared" si="18"/>
        <v>0</v>
      </c>
      <c r="O121" s="57">
        <f t="shared" si="19"/>
        <v>0</v>
      </c>
      <c r="P121" s="57">
        <f t="shared" si="20"/>
        <v>0</v>
      </c>
      <c r="Q121" s="97"/>
      <c r="R121" s="97"/>
      <c r="S121" s="97"/>
      <c r="T121" s="97"/>
      <c r="U121" s="97"/>
      <c r="V121" s="97"/>
      <c r="W121" s="97"/>
      <c r="X121" s="97"/>
      <c r="Y121" s="97"/>
      <c r="Z121" s="97"/>
      <c r="AA121" s="97"/>
      <c r="AB121" s="97"/>
      <c r="AC121" s="97"/>
    </row>
    <row r="122" spans="2:29" ht="15.75" customHeight="1" x14ac:dyDescent="0.45">
      <c r="B122" s="287">
        <v>3000095122</v>
      </c>
      <c r="C122" s="285" t="s">
        <v>529</v>
      </c>
      <c r="D122" s="194" t="s">
        <v>511</v>
      </c>
      <c r="E122" s="219">
        <v>2</v>
      </c>
      <c r="F122" s="219">
        <v>84</v>
      </c>
      <c r="G122" s="219"/>
      <c r="H122" s="219">
        <f>(G39/(0.0005*100)/2000)</f>
        <v>0</v>
      </c>
      <c r="I122" s="219">
        <f>(30*BC!$B$47/F122)</f>
        <v>0</v>
      </c>
      <c r="J122" s="285">
        <f t="shared" si="10"/>
        <v>0</v>
      </c>
      <c r="K122" s="194">
        <f t="shared" si="11"/>
        <v>0</v>
      </c>
      <c r="L122" s="194">
        <f t="shared" si="12"/>
        <v>0</v>
      </c>
      <c r="M122" s="364">
        <v>205</v>
      </c>
      <c r="N122" s="365">
        <f t="shared" si="18"/>
        <v>0</v>
      </c>
      <c r="O122" s="57">
        <f t="shared" si="19"/>
        <v>0</v>
      </c>
      <c r="P122" s="57">
        <f t="shared" si="20"/>
        <v>0</v>
      </c>
      <c r="Q122" s="97"/>
      <c r="R122" s="97"/>
      <c r="S122" s="97"/>
      <c r="T122" s="97"/>
      <c r="U122" s="97"/>
      <c r="V122" s="97"/>
      <c r="W122" s="97"/>
      <c r="X122" s="97"/>
      <c r="Y122" s="97"/>
      <c r="Z122" s="97"/>
      <c r="AA122" s="97"/>
      <c r="AB122" s="97"/>
      <c r="AC122" s="97"/>
    </row>
    <row r="123" spans="2:29" ht="15.75" customHeight="1" x14ac:dyDescent="0.45">
      <c r="B123" s="287">
        <v>11820907322</v>
      </c>
      <c r="C123" s="285" t="s">
        <v>530</v>
      </c>
      <c r="D123" s="194" t="s">
        <v>511</v>
      </c>
      <c r="E123" s="219">
        <v>2</v>
      </c>
      <c r="F123" s="219">
        <v>56</v>
      </c>
      <c r="G123" s="219"/>
      <c r="H123" s="219">
        <f>(G40/(0.0005*100)/2000)</f>
        <v>0</v>
      </c>
      <c r="I123" s="219">
        <f>(30*BC!$B$47/F123)</f>
        <v>0</v>
      </c>
      <c r="J123" s="285">
        <f t="shared" si="10"/>
        <v>0</v>
      </c>
      <c r="K123" s="194">
        <f t="shared" si="11"/>
        <v>0</v>
      </c>
      <c r="L123" s="194">
        <f t="shared" si="12"/>
        <v>0</v>
      </c>
      <c r="M123" s="364">
        <v>189</v>
      </c>
      <c r="N123" s="365">
        <f t="shared" si="18"/>
        <v>0</v>
      </c>
      <c r="O123" s="57">
        <f t="shared" si="19"/>
        <v>0</v>
      </c>
      <c r="P123" s="57">
        <f t="shared" si="20"/>
        <v>0</v>
      </c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</row>
    <row r="124" spans="2:29" ht="15.75" customHeight="1" x14ac:dyDescent="0.45">
      <c r="B124" s="287">
        <v>6656048190</v>
      </c>
      <c r="C124" s="197" t="s">
        <v>531</v>
      </c>
      <c r="D124" s="194" t="s">
        <v>511</v>
      </c>
      <c r="E124" s="219">
        <v>2</v>
      </c>
      <c r="F124" s="219">
        <v>31</v>
      </c>
      <c r="G124" s="219"/>
      <c r="H124" s="219">
        <f>(G44/(0.0005*100)/2000)</f>
        <v>0</v>
      </c>
      <c r="I124" s="219">
        <f>(30*BC!$B$47/F124)</f>
        <v>0</v>
      </c>
      <c r="J124" s="285">
        <f t="shared" si="10"/>
        <v>0</v>
      </c>
      <c r="K124" s="194">
        <f t="shared" si="11"/>
        <v>0</v>
      </c>
      <c r="L124" s="194">
        <f t="shared" si="12"/>
        <v>0</v>
      </c>
      <c r="M124" s="364">
        <v>127</v>
      </c>
      <c r="N124" s="365">
        <f t="shared" si="18"/>
        <v>0</v>
      </c>
      <c r="O124" s="57">
        <f t="shared" si="19"/>
        <v>0</v>
      </c>
      <c r="P124" s="57">
        <f t="shared" si="20"/>
        <v>0</v>
      </c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</row>
    <row r="125" spans="2:29" ht="15.75" customHeight="1" x14ac:dyDescent="0.45">
      <c r="B125" s="287">
        <v>3737586190</v>
      </c>
      <c r="C125" s="220" t="s">
        <v>532</v>
      </c>
      <c r="D125" s="194" t="s">
        <v>511</v>
      </c>
      <c r="E125" s="219">
        <v>2</v>
      </c>
      <c r="F125" s="219">
        <v>84</v>
      </c>
      <c r="G125" s="219"/>
      <c r="H125" s="219">
        <f>(G45/(0.0005*100)/2000)</f>
        <v>0</v>
      </c>
      <c r="I125" s="219">
        <f>(30*BC!$B$47/F125)</f>
        <v>0</v>
      </c>
      <c r="J125" s="285">
        <f t="shared" si="10"/>
        <v>0</v>
      </c>
      <c r="K125" s="194">
        <f t="shared" si="11"/>
        <v>0</v>
      </c>
      <c r="L125" s="194">
        <f t="shared" si="12"/>
        <v>0</v>
      </c>
      <c r="M125" s="364">
        <v>189</v>
      </c>
      <c r="N125" s="365">
        <f t="shared" si="18"/>
        <v>0</v>
      </c>
      <c r="O125" s="57">
        <f t="shared" si="19"/>
        <v>0</v>
      </c>
      <c r="P125" s="57">
        <f t="shared" si="20"/>
        <v>0</v>
      </c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</row>
    <row r="126" spans="2:29" ht="15.75" customHeight="1" x14ac:dyDescent="0.45">
      <c r="B126" s="287">
        <v>7560001190</v>
      </c>
      <c r="C126" s="285" t="s">
        <v>533</v>
      </c>
      <c r="D126" s="194" t="s">
        <v>511</v>
      </c>
      <c r="E126" s="219">
        <v>2</v>
      </c>
      <c r="F126" s="219">
        <v>84</v>
      </c>
      <c r="G126" s="219"/>
      <c r="H126" s="219">
        <f>(G46/(0.0005*100)/2000)</f>
        <v>0</v>
      </c>
      <c r="I126" s="219">
        <f>(30*BC!$B$47/F126)</f>
        <v>0</v>
      </c>
      <c r="J126" s="285">
        <f t="shared" si="10"/>
        <v>0</v>
      </c>
      <c r="K126" s="194">
        <f t="shared" si="11"/>
        <v>0</v>
      </c>
      <c r="L126" s="194">
        <f t="shared" si="12"/>
        <v>0</v>
      </c>
      <c r="M126" s="364">
        <v>154</v>
      </c>
      <c r="N126" s="365">
        <f t="shared" si="18"/>
        <v>0</v>
      </c>
      <c r="O126" s="57">
        <f t="shared" si="19"/>
        <v>0</v>
      </c>
      <c r="P126" s="57">
        <f t="shared" si="20"/>
        <v>0</v>
      </c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</row>
    <row r="127" spans="2:29" ht="15.75" customHeight="1" x14ac:dyDescent="0.45">
      <c r="B127" s="287">
        <v>4854080200</v>
      </c>
      <c r="C127" s="285" t="s">
        <v>534</v>
      </c>
      <c r="D127" s="194" t="s">
        <v>511</v>
      </c>
      <c r="E127" s="219">
        <v>2</v>
      </c>
      <c r="F127" s="219">
        <v>84</v>
      </c>
      <c r="G127" s="219"/>
      <c r="H127" s="219">
        <f>(G47/(0.0005*150)/2000)</f>
        <v>0</v>
      </c>
      <c r="I127" s="219">
        <f>(30*BC!$B$47/F127)</f>
        <v>0</v>
      </c>
      <c r="J127" s="285">
        <f t="shared" ref="J127:J185" si="22">IF(I127&gt;H127,I127,H127)</f>
        <v>0</v>
      </c>
      <c r="K127" s="194">
        <f t="shared" ref="K127:K185" si="23">IF(H127=0,0,J127)</f>
        <v>0</v>
      </c>
      <c r="L127" s="194">
        <f t="shared" ref="L127:L185" si="24">ROUNDUP(K127,0)</f>
        <v>0</v>
      </c>
      <c r="M127" s="364">
        <v>675</v>
      </c>
      <c r="N127" s="365">
        <f t="shared" si="18"/>
        <v>0</v>
      </c>
      <c r="O127" s="57">
        <f t="shared" si="19"/>
        <v>0</v>
      </c>
      <c r="P127" s="57">
        <f t="shared" si="20"/>
        <v>0</v>
      </c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</row>
    <row r="128" spans="2:29" ht="15.75" customHeight="1" x14ac:dyDescent="0.45">
      <c r="B128" s="287">
        <v>8851964190</v>
      </c>
      <c r="C128" s="220" t="s">
        <v>535</v>
      </c>
      <c r="D128" s="194" t="s">
        <v>511</v>
      </c>
      <c r="E128" s="219">
        <v>2</v>
      </c>
      <c r="F128" s="219">
        <v>84</v>
      </c>
      <c r="G128" s="219"/>
      <c r="H128" s="219">
        <f>(G48/(0.0009*100)/2000)</f>
        <v>0</v>
      </c>
      <c r="I128" s="219">
        <f>(30*BC!$B$47/F128)</f>
        <v>0</v>
      </c>
      <c r="J128" s="285">
        <f t="shared" si="22"/>
        <v>0</v>
      </c>
      <c r="K128" s="194">
        <f t="shared" si="23"/>
        <v>0</v>
      </c>
      <c r="L128" s="194">
        <f t="shared" si="24"/>
        <v>0</v>
      </c>
      <c r="M128" s="364">
        <v>183</v>
      </c>
      <c r="N128" s="365">
        <f t="shared" si="18"/>
        <v>0</v>
      </c>
      <c r="O128" s="57">
        <f t="shared" si="19"/>
        <v>0</v>
      </c>
      <c r="P128" s="57">
        <f t="shared" si="20"/>
        <v>0</v>
      </c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</row>
    <row r="129" spans="2:29" ht="15.75" customHeight="1" x14ac:dyDescent="0.45">
      <c r="B129" s="287">
        <v>9557440190</v>
      </c>
      <c r="C129" s="220" t="s">
        <v>647</v>
      </c>
      <c r="D129" s="194" t="s">
        <v>511</v>
      </c>
      <c r="E129" s="219">
        <v>2</v>
      </c>
      <c r="F129" s="219">
        <v>84</v>
      </c>
      <c r="G129" s="219"/>
      <c r="H129" s="219">
        <f>(G49/(0.0009*100)/2000)</f>
        <v>0</v>
      </c>
      <c r="I129" s="219">
        <f>(30*BC!$B$47/F129)</f>
        <v>0</v>
      </c>
      <c r="J129" s="285">
        <f t="shared" si="22"/>
        <v>0</v>
      </c>
      <c r="K129" s="194">
        <f t="shared" si="23"/>
        <v>0</v>
      </c>
      <c r="L129" s="194">
        <f t="shared" si="24"/>
        <v>0</v>
      </c>
      <c r="M129" s="366">
        <v>264</v>
      </c>
      <c r="N129" s="365">
        <f t="shared" si="18"/>
        <v>0</v>
      </c>
      <c r="O129" s="57">
        <f t="shared" si="19"/>
        <v>0</v>
      </c>
      <c r="P129" s="57">
        <f t="shared" si="20"/>
        <v>0</v>
      </c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</row>
    <row r="130" spans="2:29" ht="15.75" customHeight="1" x14ac:dyDescent="0.45">
      <c r="B130" s="347">
        <v>9077871190</v>
      </c>
      <c r="C130" s="220" t="s">
        <v>536</v>
      </c>
      <c r="D130" s="194" t="s">
        <v>511</v>
      </c>
      <c r="E130" s="219">
        <v>2</v>
      </c>
      <c r="F130" s="219">
        <v>56</v>
      </c>
      <c r="G130" s="219"/>
      <c r="H130" s="219">
        <f>(G50/(0.002*100)/2000)</f>
        <v>0</v>
      </c>
      <c r="I130" s="219">
        <f>(30*BC!$B$47/F130)</f>
        <v>0</v>
      </c>
      <c r="J130" s="285">
        <f t="shared" si="22"/>
        <v>0</v>
      </c>
      <c r="K130" s="194">
        <f t="shared" si="23"/>
        <v>0</v>
      </c>
      <c r="L130" s="194">
        <f t="shared" si="24"/>
        <v>0</v>
      </c>
      <c r="M130" s="364">
        <v>93</v>
      </c>
      <c r="N130" s="365">
        <f t="shared" si="18"/>
        <v>0</v>
      </c>
      <c r="O130" s="57">
        <f t="shared" si="19"/>
        <v>0</v>
      </c>
      <c r="P130" s="57">
        <f t="shared" si="20"/>
        <v>0</v>
      </c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</row>
    <row r="131" spans="2:29" ht="15.75" customHeight="1" x14ac:dyDescent="0.45">
      <c r="B131" s="287">
        <v>9043292190</v>
      </c>
      <c r="C131" s="220" t="s">
        <v>537</v>
      </c>
      <c r="D131" s="194" t="s">
        <v>511</v>
      </c>
      <c r="E131" s="219">
        <v>2</v>
      </c>
      <c r="F131" s="219">
        <v>84</v>
      </c>
      <c r="G131" s="219"/>
      <c r="H131" s="219">
        <f>(G51/(0.004*100)/2000)</f>
        <v>0</v>
      </c>
      <c r="I131" s="219">
        <f>(30*BC!$B$47/F131)</f>
        <v>0</v>
      </c>
      <c r="J131" s="285">
        <f t="shared" si="22"/>
        <v>0</v>
      </c>
      <c r="K131" s="194">
        <f t="shared" si="23"/>
        <v>0</v>
      </c>
      <c r="L131" s="194">
        <f t="shared" si="24"/>
        <v>0</v>
      </c>
      <c r="M131" s="364">
        <v>192</v>
      </c>
      <c r="N131" s="365">
        <f t="shared" si="18"/>
        <v>0</v>
      </c>
      <c r="O131" s="57">
        <f t="shared" si="19"/>
        <v>0</v>
      </c>
      <c r="P131" s="57">
        <f t="shared" si="20"/>
        <v>0</v>
      </c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</row>
    <row r="132" spans="2:29" ht="15.75" customHeight="1" x14ac:dyDescent="0.45">
      <c r="B132" s="287" t="s">
        <v>538</v>
      </c>
      <c r="C132" s="285" t="s">
        <v>539</v>
      </c>
      <c r="D132" s="194" t="s">
        <v>511</v>
      </c>
      <c r="E132" s="219">
        <v>2</v>
      </c>
      <c r="F132" s="219">
        <v>56</v>
      </c>
      <c r="G132" s="219"/>
      <c r="H132" s="219">
        <f>(G52/(0.0005*100)/2000)</f>
        <v>0</v>
      </c>
      <c r="I132" s="219">
        <f>(30*BC!$B$47/F132)</f>
        <v>0</v>
      </c>
      <c r="J132" s="285">
        <f t="shared" si="22"/>
        <v>0</v>
      </c>
      <c r="K132" s="194">
        <f t="shared" si="23"/>
        <v>0</v>
      </c>
      <c r="L132" s="194">
        <f t="shared" si="24"/>
        <v>0</v>
      </c>
      <c r="M132" s="366"/>
      <c r="N132" s="365">
        <f t="shared" si="18"/>
        <v>0</v>
      </c>
      <c r="O132" s="57">
        <f t="shared" si="19"/>
        <v>0</v>
      </c>
      <c r="P132" s="57">
        <f t="shared" si="20"/>
        <v>0</v>
      </c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</row>
    <row r="133" spans="2:29" ht="15.75" customHeight="1" x14ac:dyDescent="0.45">
      <c r="B133" s="287">
        <v>9013296190</v>
      </c>
      <c r="C133" s="285" t="s">
        <v>540</v>
      </c>
      <c r="D133" s="194" t="s">
        <v>511</v>
      </c>
      <c r="E133" s="219">
        <v>2</v>
      </c>
      <c r="F133" s="219">
        <v>84</v>
      </c>
      <c r="G133" s="219"/>
      <c r="H133" s="219">
        <f>(G55/(0.0005*100)/2000)</f>
        <v>0</v>
      </c>
      <c r="I133" s="219">
        <f>(30*BC!$B$47/F133)</f>
        <v>0</v>
      </c>
      <c r="J133" s="285">
        <f t="shared" si="22"/>
        <v>0</v>
      </c>
      <c r="K133" s="194">
        <f t="shared" si="23"/>
        <v>0</v>
      </c>
      <c r="L133" s="194">
        <f t="shared" si="24"/>
        <v>0</v>
      </c>
      <c r="M133" s="364">
        <v>85</v>
      </c>
      <c r="N133" s="365">
        <f t="shared" si="18"/>
        <v>0</v>
      </c>
      <c r="O133" s="57">
        <f t="shared" si="19"/>
        <v>0</v>
      </c>
      <c r="P133" s="57">
        <f t="shared" si="20"/>
        <v>0</v>
      </c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</row>
    <row r="134" spans="2:29" ht="15.75" customHeight="1" x14ac:dyDescent="0.45">
      <c r="B134" s="287">
        <v>3302652190</v>
      </c>
      <c r="C134" s="220" t="s">
        <v>541</v>
      </c>
      <c r="D134" s="194" t="s">
        <v>511</v>
      </c>
      <c r="E134" s="219">
        <v>2</v>
      </c>
      <c r="F134" s="219">
        <v>84</v>
      </c>
      <c r="G134" s="219"/>
      <c r="H134" s="219">
        <f>(G56/(0.0005*100)/2000)</f>
        <v>0</v>
      </c>
      <c r="I134" s="219">
        <f>(30*BC!$B$47/F134)</f>
        <v>0</v>
      </c>
      <c r="J134" s="285">
        <f t="shared" si="22"/>
        <v>0</v>
      </c>
      <c r="K134" s="194">
        <f t="shared" si="23"/>
        <v>0</v>
      </c>
      <c r="L134" s="194">
        <f t="shared" si="24"/>
        <v>0</v>
      </c>
      <c r="M134" s="364">
        <v>66</v>
      </c>
      <c r="N134" s="365">
        <f t="shared" si="18"/>
        <v>0</v>
      </c>
      <c r="O134" s="57">
        <f t="shared" si="19"/>
        <v>0</v>
      </c>
      <c r="P134" s="57">
        <f t="shared" si="20"/>
        <v>0</v>
      </c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</row>
    <row r="135" spans="2:29" ht="15.75" customHeight="1" x14ac:dyDescent="0.45">
      <c r="B135" s="287" t="s">
        <v>542</v>
      </c>
      <c r="C135" s="285" t="s">
        <v>543</v>
      </c>
      <c r="D135" s="194" t="s">
        <v>511</v>
      </c>
      <c r="E135" s="219">
        <v>2</v>
      </c>
      <c r="F135" s="219">
        <v>56</v>
      </c>
      <c r="G135" s="219"/>
      <c r="H135" s="219">
        <f>(G57/(0.0005*100)/2000)</f>
        <v>0</v>
      </c>
      <c r="I135" s="219">
        <f>(30*BC!$B$47/F135)</f>
        <v>0</v>
      </c>
      <c r="J135" s="285">
        <f t="shared" si="22"/>
        <v>0</v>
      </c>
      <c r="K135" s="194">
        <f t="shared" si="23"/>
        <v>0</v>
      </c>
      <c r="L135" s="194">
        <f t="shared" si="24"/>
        <v>0</v>
      </c>
      <c r="M135" s="366"/>
      <c r="N135" s="365">
        <f t="shared" si="18"/>
        <v>0</v>
      </c>
      <c r="O135" s="57">
        <f t="shared" si="19"/>
        <v>0</v>
      </c>
      <c r="P135" s="57">
        <f t="shared" si="20"/>
        <v>0</v>
      </c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</row>
    <row r="136" spans="2:29" ht="15.75" customHeight="1" x14ac:dyDescent="0.45">
      <c r="B136" s="287" t="s">
        <v>544</v>
      </c>
      <c r="C136" s="285" t="s">
        <v>545</v>
      </c>
      <c r="D136" s="194" t="s">
        <v>511</v>
      </c>
      <c r="E136" s="219">
        <v>2</v>
      </c>
      <c r="F136" s="219">
        <v>28</v>
      </c>
      <c r="G136" s="219"/>
      <c r="H136" s="219">
        <f>(G58/(0.0005*100)/2000)</f>
        <v>0</v>
      </c>
      <c r="I136" s="219">
        <f>(30*BC!$B$47/F136)</f>
        <v>0</v>
      </c>
      <c r="J136" s="285">
        <f t="shared" si="22"/>
        <v>0</v>
      </c>
      <c r="K136" s="194">
        <f t="shared" si="23"/>
        <v>0</v>
      </c>
      <c r="L136" s="194">
        <f t="shared" si="24"/>
        <v>0</v>
      </c>
      <c r="M136" s="366"/>
      <c r="N136" s="365">
        <f t="shared" si="18"/>
        <v>0</v>
      </c>
      <c r="O136" s="57">
        <f t="shared" si="19"/>
        <v>0</v>
      </c>
      <c r="P136" s="57">
        <f t="shared" si="20"/>
        <v>0</v>
      </c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</row>
    <row r="137" spans="2:29" ht="15.75" customHeight="1" x14ac:dyDescent="0.45">
      <c r="B137" s="287">
        <v>11930427122</v>
      </c>
      <c r="C137" s="220" t="s">
        <v>546</v>
      </c>
      <c r="D137" s="194" t="s">
        <v>511</v>
      </c>
      <c r="E137" s="219">
        <v>2</v>
      </c>
      <c r="F137" s="219">
        <v>84</v>
      </c>
      <c r="G137" s="219"/>
      <c r="H137" s="219">
        <f>(G63/(0.0005*100)/2000)</f>
        <v>0</v>
      </c>
      <c r="I137" s="219">
        <f>(30*BC!$B$47/F137)</f>
        <v>0</v>
      </c>
      <c r="J137" s="285">
        <f t="shared" si="22"/>
        <v>0</v>
      </c>
      <c r="K137" s="194">
        <f t="shared" si="23"/>
        <v>0</v>
      </c>
      <c r="L137" s="194">
        <f t="shared" si="24"/>
        <v>0</v>
      </c>
      <c r="M137" s="364">
        <v>229</v>
      </c>
      <c r="N137" s="365">
        <f t="shared" ref="N137:N168" si="25">((M137/E137)*L137)</f>
        <v>0</v>
      </c>
      <c r="O137" s="57">
        <f t="shared" ref="O137:O168" si="26">L137/E137</f>
        <v>0</v>
      </c>
      <c r="P137" s="57">
        <f t="shared" si="20"/>
        <v>0</v>
      </c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</row>
    <row r="138" spans="2:29" ht="15.75" customHeight="1" x14ac:dyDescent="0.45">
      <c r="B138" s="287">
        <v>7475969190</v>
      </c>
      <c r="C138" s="285" t="s">
        <v>547</v>
      </c>
      <c r="D138" s="194" t="s">
        <v>511</v>
      </c>
      <c r="E138" s="219">
        <v>2</v>
      </c>
      <c r="F138" s="219">
        <v>31</v>
      </c>
      <c r="G138" s="219"/>
      <c r="H138" s="219">
        <f>(G64/(0.0005*100)/2000)</f>
        <v>0</v>
      </c>
      <c r="I138" s="219">
        <f>(30*BC!$B$47/F138)</f>
        <v>0</v>
      </c>
      <c r="J138" s="285">
        <f t="shared" si="22"/>
        <v>0</v>
      </c>
      <c r="K138" s="194">
        <f t="shared" si="23"/>
        <v>0</v>
      </c>
      <c r="L138" s="194">
        <f t="shared" si="24"/>
        <v>0</v>
      </c>
      <c r="M138" s="364">
        <v>370</v>
      </c>
      <c r="N138" s="365">
        <f t="shared" si="25"/>
        <v>0</v>
      </c>
      <c r="O138" s="57">
        <f t="shared" si="26"/>
        <v>0</v>
      </c>
      <c r="P138" s="57">
        <f t="shared" si="20"/>
        <v>0</v>
      </c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</row>
    <row r="139" spans="2:29" ht="15.75" customHeight="1" x14ac:dyDescent="0.45">
      <c r="B139" s="287">
        <v>7574762190</v>
      </c>
      <c r="C139" s="285" t="s">
        <v>548</v>
      </c>
      <c r="D139" s="194" t="s">
        <v>511</v>
      </c>
      <c r="E139" s="219">
        <v>2</v>
      </c>
      <c r="F139" s="219">
        <v>84</v>
      </c>
      <c r="G139" s="219"/>
      <c r="H139" s="219">
        <f>(G65/(0.0005*100)/2000)</f>
        <v>0</v>
      </c>
      <c r="I139" s="219">
        <f>(30*BC!$B$47/F139)</f>
        <v>0</v>
      </c>
      <c r="J139" s="285">
        <f t="shared" si="22"/>
        <v>0</v>
      </c>
      <c r="K139" s="194">
        <f t="shared" si="23"/>
        <v>0</v>
      </c>
      <c r="L139" s="194">
        <f t="shared" si="24"/>
        <v>0</v>
      </c>
      <c r="M139" s="364">
        <v>586</v>
      </c>
      <c r="N139" s="365">
        <f t="shared" si="25"/>
        <v>0</v>
      </c>
      <c r="O139" s="57">
        <f t="shared" si="26"/>
        <v>0</v>
      </c>
      <c r="P139" s="57">
        <f t="shared" si="20"/>
        <v>0</v>
      </c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</row>
    <row r="140" spans="2:29" ht="15.75" customHeight="1" x14ac:dyDescent="0.45">
      <c r="B140" s="287">
        <v>5109469190</v>
      </c>
      <c r="C140" s="220" t="s">
        <v>549</v>
      </c>
      <c r="D140" s="194" t="s">
        <v>511</v>
      </c>
      <c r="E140" s="219">
        <v>2</v>
      </c>
      <c r="F140" s="219">
        <v>84</v>
      </c>
      <c r="G140" s="219"/>
      <c r="H140" s="219">
        <f>(G66/(0.0005*100)/2000)</f>
        <v>0</v>
      </c>
      <c r="I140" s="219">
        <f>(30*BC!$B$47/F140)</f>
        <v>0</v>
      </c>
      <c r="J140" s="285">
        <f t="shared" si="22"/>
        <v>0</v>
      </c>
      <c r="K140" s="194">
        <f t="shared" si="23"/>
        <v>0</v>
      </c>
      <c r="L140" s="194">
        <f t="shared" si="24"/>
        <v>0</v>
      </c>
      <c r="M140" s="364">
        <v>264</v>
      </c>
      <c r="N140" s="365">
        <f t="shared" si="25"/>
        <v>0</v>
      </c>
      <c r="O140" s="57">
        <f t="shared" si="26"/>
        <v>0</v>
      </c>
      <c r="P140" s="57">
        <f t="shared" si="20"/>
        <v>0</v>
      </c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</row>
    <row r="141" spans="2:29" ht="15.75" customHeight="1" x14ac:dyDescent="0.45">
      <c r="B141" s="287">
        <v>12017504122</v>
      </c>
      <c r="C141" s="220" t="s">
        <v>550</v>
      </c>
      <c r="D141" s="194" t="s">
        <v>511</v>
      </c>
      <c r="E141" s="219">
        <v>2</v>
      </c>
      <c r="F141" s="219">
        <v>84</v>
      </c>
      <c r="G141" s="219"/>
      <c r="H141" s="219">
        <f>(G67/(0.0009*100)/2000)</f>
        <v>0</v>
      </c>
      <c r="I141" s="219">
        <f>(30*BC!$B$47/F141)</f>
        <v>0</v>
      </c>
      <c r="J141" s="285">
        <f t="shared" si="22"/>
        <v>0</v>
      </c>
      <c r="K141" s="194">
        <f t="shared" si="23"/>
        <v>0</v>
      </c>
      <c r="L141" s="194">
        <f t="shared" si="24"/>
        <v>0</v>
      </c>
      <c r="M141" s="364">
        <v>177</v>
      </c>
      <c r="N141" s="365">
        <f t="shared" si="25"/>
        <v>0</v>
      </c>
      <c r="O141" s="57">
        <f t="shared" si="26"/>
        <v>0</v>
      </c>
      <c r="P141" s="57">
        <f t="shared" si="20"/>
        <v>0</v>
      </c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</row>
    <row r="142" spans="2:29" ht="15.75" customHeight="1" x14ac:dyDescent="0.45">
      <c r="B142" s="287">
        <v>9557423190</v>
      </c>
      <c r="C142" s="197" t="s">
        <v>551</v>
      </c>
      <c r="D142" s="194" t="s">
        <v>511</v>
      </c>
      <c r="E142" s="219">
        <v>2</v>
      </c>
      <c r="F142" s="219">
        <v>84</v>
      </c>
      <c r="G142" s="219"/>
      <c r="H142" s="219">
        <f>(G68/(0.0009*100)/2000)</f>
        <v>0</v>
      </c>
      <c r="I142" s="219">
        <f>(30*BC!$B$47/F142)</f>
        <v>0</v>
      </c>
      <c r="J142" s="285">
        <f t="shared" si="22"/>
        <v>0</v>
      </c>
      <c r="K142" s="194">
        <f t="shared" si="23"/>
        <v>0</v>
      </c>
      <c r="L142" s="194">
        <f t="shared" si="24"/>
        <v>0</v>
      </c>
      <c r="M142" s="366">
        <v>77</v>
      </c>
      <c r="N142" s="365">
        <f t="shared" si="25"/>
        <v>0</v>
      </c>
      <c r="O142" s="57">
        <f t="shared" si="26"/>
        <v>0</v>
      </c>
      <c r="P142" s="57">
        <f t="shared" si="20"/>
        <v>0</v>
      </c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</row>
    <row r="143" spans="2:29" ht="15.75" customHeight="1" x14ac:dyDescent="0.45">
      <c r="B143" s="287">
        <v>11820893122</v>
      </c>
      <c r="C143" s="285" t="s">
        <v>552</v>
      </c>
      <c r="D143" s="194" t="s">
        <v>511</v>
      </c>
      <c r="E143" s="219">
        <v>2</v>
      </c>
      <c r="F143" s="219">
        <v>84</v>
      </c>
      <c r="G143" s="219"/>
      <c r="H143" s="219">
        <f>(G69/(0.0005*100)/2000)</f>
        <v>0</v>
      </c>
      <c r="I143" s="219">
        <f>(30*BC!$B$47/F143)</f>
        <v>0</v>
      </c>
      <c r="J143" s="285">
        <f t="shared" si="22"/>
        <v>0</v>
      </c>
      <c r="K143" s="194">
        <f t="shared" si="23"/>
        <v>0</v>
      </c>
      <c r="L143" s="194">
        <f t="shared" si="24"/>
        <v>0</v>
      </c>
      <c r="M143" s="364">
        <v>275</v>
      </c>
      <c r="N143" s="365">
        <f t="shared" si="25"/>
        <v>0</v>
      </c>
      <c r="O143" s="57">
        <f t="shared" si="26"/>
        <v>0</v>
      </c>
      <c r="P143" s="57">
        <f t="shared" si="20"/>
        <v>0</v>
      </c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</row>
    <row r="144" spans="2:29" ht="15.75" customHeight="1" x14ac:dyDescent="0.45">
      <c r="B144" s="287">
        <v>11972111122</v>
      </c>
      <c r="C144" s="285" t="s">
        <v>553</v>
      </c>
      <c r="D144" s="194" t="s">
        <v>511</v>
      </c>
      <c r="E144" s="219">
        <v>2</v>
      </c>
      <c r="F144" s="219">
        <v>84</v>
      </c>
      <c r="G144" s="219"/>
      <c r="H144" s="219">
        <f>(G70/(0.0005*100)/2000)</f>
        <v>0</v>
      </c>
      <c r="I144" s="219">
        <f>(30*BC!$B$47/F144)</f>
        <v>0</v>
      </c>
      <c r="J144" s="285">
        <f t="shared" si="22"/>
        <v>0</v>
      </c>
      <c r="K144" s="194">
        <f t="shared" si="23"/>
        <v>0</v>
      </c>
      <c r="L144" s="194">
        <f t="shared" si="24"/>
        <v>0</v>
      </c>
      <c r="M144" s="364">
        <v>335</v>
      </c>
      <c r="N144" s="365">
        <f t="shared" si="25"/>
        <v>0</v>
      </c>
      <c r="O144" s="57">
        <f t="shared" si="26"/>
        <v>0</v>
      </c>
      <c r="P144" s="57">
        <f t="shared" si="20"/>
        <v>0</v>
      </c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</row>
    <row r="145" spans="2:29" ht="15.75" customHeight="1" x14ac:dyDescent="0.45">
      <c r="B145" s="287">
        <v>12133121122</v>
      </c>
      <c r="C145" s="285" t="s">
        <v>554</v>
      </c>
      <c r="D145" s="194" t="s">
        <v>511</v>
      </c>
      <c r="E145" s="219">
        <v>2</v>
      </c>
      <c r="F145" s="219">
        <v>42</v>
      </c>
      <c r="G145" s="219"/>
      <c r="H145" s="219">
        <f>(G71/(0.0005*100)/2000)</f>
        <v>0</v>
      </c>
      <c r="I145" s="219">
        <f>(30*BC!$B$47/F145)</f>
        <v>0</v>
      </c>
      <c r="J145" s="285">
        <f t="shared" si="22"/>
        <v>0</v>
      </c>
      <c r="K145" s="194">
        <f t="shared" si="23"/>
        <v>0</v>
      </c>
      <c r="L145" s="194">
        <f t="shared" si="24"/>
        <v>0</v>
      </c>
      <c r="M145" s="364">
        <v>233</v>
      </c>
      <c r="N145" s="365">
        <f t="shared" si="25"/>
        <v>0</v>
      </c>
      <c r="O145" s="57">
        <f t="shared" si="26"/>
        <v>0</v>
      </c>
      <c r="P145" s="57">
        <f t="shared" si="20"/>
        <v>0</v>
      </c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</row>
    <row r="146" spans="2:29" ht="15.75" customHeight="1" x14ac:dyDescent="0.45">
      <c r="B146" s="287">
        <v>4854101200</v>
      </c>
      <c r="C146" s="285" t="s">
        <v>555</v>
      </c>
      <c r="D146" s="194" t="s">
        <v>511</v>
      </c>
      <c r="E146" s="219">
        <v>2</v>
      </c>
      <c r="F146" s="219">
        <v>84</v>
      </c>
      <c r="G146" s="219"/>
      <c r="H146" s="219">
        <f>(G72/(0.0005*100)/2000)</f>
        <v>0</v>
      </c>
      <c r="I146" s="219">
        <f>(30*BC!$B$47/F146)</f>
        <v>0</v>
      </c>
      <c r="J146" s="285">
        <f t="shared" si="22"/>
        <v>0</v>
      </c>
      <c r="K146" s="194">
        <f t="shared" si="23"/>
        <v>0</v>
      </c>
      <c r="L146" s="194">
        <f t="shared" si="24"/>
        <v>0</v>
      </c>
      <c r="M146" s="364">
        <v>483</v>
      </c>
      <c r="N146" s="365">
        <f t="shared" si="25"/>
        <v>0</v>
      </c>
      <c r="O146" s="57">
        <f t="shared" si="26"/>
        <v>0</v>
      </c>
      <c r="P146" s="57">
        <f t="shared" si="20"/>
        <v>0</v>
      </c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</row>
    <row r="147" spans="2:29" ht="15.75" customHeight="1" x14ac:dyDescent="0.45">
      <c r="B147" s="287">
        <v>5144701190</v>
      </c>
      <c r="C147" s="285" t="s">
        <v>556</v>
      </c>
      <c r="D147" s="194" t="s">
        <v>511</v>
      </c>
      <c r="E147" s="219">
        <v>2</v>
      </c>
      <c r="F147" s="219">
        <v>28</v>
      </c>
      <c r="G147" s="219"/>
      <c r="H147" s="219">
        <f>(G74/(0.0005*100)/2000)</f>
        <v>0</v>
      </c>
      <c r="I147" s="219">
        <f>(30*BC!$B$47/F147)</f>
        <v>0</v>
      </c>
      <c r="J147" s="285">
        <f t="shared" si="22"/>
        <v>0</v>
      </c>
      <c r="K147" s="194">
        <f t="shared" si="23"/>
        <v>0</v>
      </c>
      <c r="L147" s="194">
        <f t="shared" si="24"/>
        <v>0</v>
      </c>
      <c r="M147" s="364">
        <v>433</v>
      </c>
      <c r="N147" s="365">
        <f t="shared" si="25"/>
        <v>0</v>
      </c>
      <c r="O147" s="57">
        <f t="shared" si="26"/>
        <v>0</v>
      </c>
      <c r="P147" s="57">
        <f t="shared" si="20"/>
        <v>0</v>
      </c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</row>
    <row r="148" spans="2:29" ht="15.75" customHeight="1" x14ac:dyDescent="0.45">
      <c r="B148" s="287">
        <v>9315292190</v>
      </c>
      <c r="C148" s="285" t="s">
        <v>557</v>
      </c>
      <c r="D148" s="194" t="s">
        <v>511</v>
      </c>
      <c r="E148" s="219">
        <v>2</v>
      </c>
      <c r="F148" s="219">
        <v>84</v>
      </c>
      <c r="G148" s="219"/>
      <c r="H148" s="219">
        <f>(G75/(0.0005*100)/2000)</f>
        <v>0</v>
      </c>
      <c r="I148" s="219">
        <f>(30*BC!$B$47/F148)</f>
        <v>0</v>
      </c>
      <c r="J148" s="285">
        <f t="shared" si="22"/>
        <v>0</v>
      </c>
      <c r="K148" s="194">
        <f t="shared" si="23"/>
        <v>0</v>
      </c>
      <c r="L148" s="194">
        <f t="shared" si="24"/>
        <v>0</v>
      </c>
      <c r="M148" s="364">
        <v>138</v>
      </c>
      <c r="N148" s="365">
        <f t="shared" si="25"/>
        <v>0</v>
      </c>
      <c r="O148" s="57">
        <f t="shared" si="26"/>
        <v>0</v>
      </c>
      <c r="P148" s="57">
        <f t="shared" si="20"/>
        <v>0</v>
      </c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</row>
    <row r="149" spans="2:29" ht="15.75" customHeight="1" x14ac:dyDescent="0.45">
      <c r="B149" s="287">
        <v>9315276190</v>
      </c>
      <c r="C149" s="220" t="s">
        <v>558</v>
      </c>
      <c r="D149" s="194" t="s">
        <v>511</v>
      </c>
      <c r="E149" s="219">
        <v>2</v>
      </c>
      <c r="F149" s="219"/>
      <c r="G149" s="219"/>
      <c r="H149" s="219">
        <f>(G76/(0.0005*100)/2000)</f>
        <v>0</v>
      </c>
      <c r="I149" s="219" t="e">
        <f>(30*BC!$B$47/F149)</f>
        <v>#DIV/0!</v>
      </c>
      <c r="J149" s="285" t="e">
        <f t="shared" si="22"/>
        <v>#DIV/0!</v>
      </c>
      <c r="K149" s="194">
        <f t="shared" si="23"/>
        <v>0</v>
      </c>
      <c r="L149" s="194">
        <f t="shared" si="24"/>
        <v>0</v>
      </c>
      <c r="M149" s="366"/>
      <c r="N149" s="365">
        <f t="shared" si="25"/>
        <v>0</v>
      </c>
      <c r="O149" s="57">
        <f t="shared" si="26"/>
        <v>0</v>
      </c>
      <c r="P149" s="57">
        <f t="shared" si="20"/>
        <v>0</v>
      </c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</row>
    <row r="150" spans="2:29" ht="15.75" customHeight="1" x14ac:dyDescent="0.45">
      <c r="B150" s="287">
        <v>7092547190</v>
      </c>
      <c r="C150" s="220" t="s">
        <v>559</v>
      </c>
      <c r="D150" s="194" t="s">
        <v>511</v>
      </c>
      <c r="E150" s="219">
        <v>2</v>
      </c>
      <c r="F150" s="219">
        <v>31</v>
      </c>
      <c r="G150" s="219"/>
      <c r="H150" s="219">
        <f>(G77/(0.0005*100)/2000)</f>
        <v>0</v>
      </c>
      <c r="I150" s="219">
        <f>(30*BC!$B$47/F150)</f>
        <v>0</v>
      </c>
      <c r="J150" s="285">
        <f t="shared" si="22"/>
        <v>0</v>
      </c>
      <c r="K150" s="194">
        <f t="shared" si="23"/>
        <v>0</v>
      </c>
      <c r="L150" s="194">
        <f t="shared" si="24"/>
        <v>0</v>
      </c>
      <c r="M150" s="364">
        <v>79</v>
      </c>
      <c r="N150" s="365">
        <f t="shared" si="25"/>
        <v>0</v>
      </c>
      <c r="O150" s="57">
        <f t="shared" si="26"/>
        <v>0</v>
      </c>
      <c r="P150" s="57">
        <f t="shared" si="20"/>
        <v>0</v>
      </c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</row>
    <row r="151" spans="2:29" ht="15.75" customHeight="1" x14ac:dyDescent="0.45">
      <c r="B151" s="287">
        <v>6505970190</v>
      </c>
      <c r="C151" s="285" t="s">
        <v>560</v>
      </c>
      <c r="D151" s="194" t="s">
        <v>511</v>
      </c>
      <c r="E151" s="219">
        <v>2</v>
      </c>
      <c r="F151" s="219">
        <v>56</v>
      </c>
      <c r="G151" s="219"/>
      <c r="H151" s="219">
        <f>(G78/(0.0005*100)/2000)</f>
        <v>0</v>
      </c>
      <c r="I151" s="219">
        <f>(30*BC!$B$47/F151)</f>
        <v>0</v>
      </c>
      <c r="J151" s="285">
        <f t="shared" si="22"/>
        <v>0</v>
      </c>
      <c r="K151" s="194">
        <f t="shared" si="23"/>
        <v>0</v>
      </c>
      <c r="L151" s="194">
        <f t="shared" si="24"/>
        <v>0</v>
      </c>
      <c r="M151" s="364">
        <v>478</v>
      </c>
      <c r="N151" s="365">
        <f t="shared" si="25"/>
        <v>0</v>
      </c>
      <c r="O151" s="57">
        <f t="shared" si="26"/>
        <v>0</v>
      </c>
      <c r="P151" s="57">
        <f t="shared" si="20"/>
        <v>0</v>
      </c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</row>
    <row r="152" spans="2:29" ht="15.75" customHeight="1" x14ac:dyDescent="0.45">
      <c r="B152" s="287">
        <v>3277356190</v>
      </c>
      <c r="C152" s="220" t="s">
        <v>561</v>
      </c>
      <c r="D152" s="194" t="s">
        <v>511</v>
      </c>
      <c r="E152" s="219">
        <v>2</v>
      </c>
      <c r="F152" s="219">
        <v>84</v>
      </c>
      <c r="G152" s="219"/>
      <c r="H152" s="219">
        <f>(G79/(0.0009*100)/2000)</f>
        <v>0</v>
      </c>
      <c r="I152" s="219">
        <f>(30*BC!$B$47/F152)</f>
        <v>0</v>
      </c>
      <c r="J152" s="285">
        <f t="shared" si="22"/>
        <v>0</v>
      </c>
      <c r="K152" s="194">
        <f t="shared" si="23"/>
        <v>0</v>
      </c>
      <c r="L152" s="194">
        <f t="shared" si="24"/>
        <v>0</v>
      </c>
      <c r="M152" s="364">
        <v>69</v>
      </c>
      <c r="N152" s="365">
        <f t="shared" si="25"/>
        <v>0</v>
      </c>
      <c r="O152" s="57">
        <f t="shared" si="26"/>
        <v>0</v>
      </c>
      <c r="P152" s="57">
        <f t="shared" si="20"/>
        <v>0</v>
      </c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</row>
    <row r="153" spans="2:29" ht="15.75" customHeight="1" x14ac:dyDescent="0.45">
      <c r="B153" s="287">
        <v>5608554190</v>
      </c>
      <c r="C153" s="285" t="s">
        <v>562</v>
      </c>
      <c r="D153" s="194" t="s">
        <v>511</v>
      </c>
      <c r="E153" s="219">
        <v>2</v>
      </c>
      <c r="F153" s="219">
        <v>90</v>
      </c>
      <c r="G153" s="219"/>
      <c r="H153" s="219">
        <f>(G80/(0.0005*100)/2000)</f>
        <v>0</v>
      </c>
      <c r="I153" s="219">
        <f>(30*BC!$B$47/F153)</f>
        <v>0</v>
      </c>
      <c r="J153" s="285">
        <f t="shared" si="22"/>
        <v>0</v>
      </c>
      <c r="K153" s="194">
        <f t="shared" si="23"/>
        <v>0</v>
      </c>
      <c r="L153" s="194">
        <f t="shared" si="24"/>
        <v>0</v>
      </c>
      <c r="M153" s="364">
        <v>456</v>
      </c>
      <c r="N153" s="365">
        <f t="shared" si="25"/>
        <v>0</v>
      </c>
      <c r="O153" s="57">
        <f t="shared" si="26"/>
        <v>0</v>
      </c>
      <c r="P153" s="57">
        <f t="shared" si="20"/>
        <v>0</v>
      </c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</row>
    <row r="154" spans="2:29" ht="15.75" customHeight="1" x14ac:dyDescent="0.45">
      <c r="B154" s="287">
        <v>8928452190</v>
      </c>
      <c r="C154" s="220" t="s">
        <v>563</v>
      </c>
      <c r="D154" s="194" t="s">
        <v>511</v>
      </c>
      <c r="E154" s="219">
        <v>2</v>
      </c>
      <c r="F154" s="219">
        <v>84</v>
      </c>
      <c r="G154" s="219"/>
      <c r="H154" s="219">
        <f>(G81/(0.0005*100)/2000)</f>
        <v>0</v>
      </c>
      <c r="I154" s="219">
        <f>(30*BC!$B$47/F154)</f>
        <v>0</v>
      </c>
      <c r="J154" s="285">
        <f t="shared" si="22"/>
        <v>0</v>
      </c>
      <c r="K154" s="194">
        <f t="shared" si="23"/>
        <v>0</v>
      </c>
      <c r="L154" s="194">
        <f t="shared" si="24"/>
        <v>0</v>
      </c>
      <c r="M154" s="364">
        <v>120</v>
      </c>
      <c r="N154" s="365">
        <f t="shared" si="25"/>
        <v>0</v>
      </c>
      <c r="O154" s="57">
        <f t="shared" si="26"/>
        <v>0</v>
      </c>
      <c r="P154" s="57">
        <f t="shared" si="20"/>
        <v>0</v>
      </c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</row>
    <row r="155" spans="2:29" ht="15.75" customHeight="1" x14ac:dyDescent="0.45">
      <c r="B155" s="287">
        <v>7126999190</v>
      </c>
      <c r="C155" s="349" t="s">
        <v>564</v>
      </c>
      <c r="D155" s="194" t="s">
        <v>511</v>
      </c>
      <c r="E155" s="219">
        <v>2</v>
      </c>
      <c r="F155" s="219">
        <v>28</v>
      </c>
      <c r="G155" s="219"/>
      <c r="H155" s="219">
        <f>(G85/(0.0005*100)/2000)</f>
        <v>0</v>
      </c>
      <c r="I155" s="219">
        <f>(30*BC!$B$47/F155)</f>
        <v>0</v>
      </c>
      <c r="J155" s="285">
        <f t="shared" si="22"/>
        <v>0</v>
      </c>
      <c r="K155" s="194">
        <f t="shared" si="23"/>
        <v>0</v>
      </c>
      <c r="L155" s="194">
        <f t="shared" si="24"/>
        <v>0</v>
      </c>
      <c r="M155" s="364">
        <v>219</v>
      </c>
      <c r="N155" s="365">
        <f t="shared" si="25"/>
        <v>0</v>
      </c>
      <c r="O155" s="57">
        <f t="shared" si="26"/>
        <v>0</v>
      </c>
      <c r="P155" s="57">
        <f t="shared" si="20"/>
        <v>0</v>
      </c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</row>
    <row r="156" spans="2:29" ht="15.75" customHeight="1" x14ac:dyDescent="0.45">
      <c r="B156" s="287" t="s">
        <v>565</v>
      </c>
      <c r="C156" s="285" t="s">
        <v>566</v>
      </c>
      <c r="D156" s="194" t="s">
        <v>511</v>
      </c>
      <c r="E156" s="219">
        <v>2</v>
      </c>
      <c r="F156" s="219">
        <v>28</v>
      </c>
      <c r="G156" s="219"/>
      <c r="H156" s="219">
        <f>(G86/(0.0005*100)/2000)</f>
        <v>0</v>
      </c>
      <c r="I156" s="219">
        <f>(30*BC!$B$47/F156)</f>
        <v>0</v>
      </c>
      <c r="J156" s="285">
        <f t="shared" si="22"/>
        <v>0</v>
      </c>
      <c r="K156" s="194">
        <f t="shared" si="23"/>
        <v>0</v>
      </c>
      <c r="L156" s="194">
        <f t="shared" si="24"/>
        <v>0</v>
      </c>
      <c r="M156" s="366"/>
      <c r="N156" s="365">
        <f t="shared" si="25"/>
        <v>0</v>
      </c>
      <c r="O156" s="57">
        <f t="shared" si="26"/>
        <v>0</v>
      </c>
      <c r="P156" s="57">
        <f t="shared" si="20"/>
        <v>0</v>
      </c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</row>
    <row r="157" spans="2:29" ht="15.75" customHeight="1" x14ac:dyDescent="0.45">
      <c r="B157" s="287">
        <v>3052028190</v>
      </c>
      <c r="C157" s="285" t="s">
        <v>567</v>
      </c>
      <c r="D157" s="194" t="s">
        <v>511</v>
      </c>
      <c r="E157" s="219">
        <v>2</v>
      </c>
      <c r="F157" s="219">
        <v>56</v>
      </c>
      <c r="G157" s="219"/>
      <c r="H157" s="219">
        <f>(G87/(0.0005*100)/2000)</f>
        <v>0</v>
      </c>
      <c r="I157" s="219">
        <f>(30*BC!$B$47/F157)</f>
        <v>0</v>
      </c>
      <c r="J157" s="285">
        <f t="shared" si="22"/>
        <v>0</v>
      </c>
      <c r="K157" s="194">
        <f t="shared" si="23"/>
        <v>0</v>
      </c>
      <c r="L157" s="194">
        <f t="shared" si="24"/>
        <v>0</v>
      </c>
      <c r="M157" s="364">
        <v>116</v>
      </c>
      <c r="N157" s="365">
        <f t="shared" si="25"/>
        <v>0</v>
      </c>
      <c r="O157" s="57">
        <f t="shared" si="26"/>
        <v>0</v>
      </c>
      <c r="P157" s="57">
        <f t="shared" si="20"/>
        <v>0</v>
      </c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</row>
    <row r="158" spans="2:29" ht="15.75" customHeight="1" x14ac:dyDescent="0.45">
      <c r="B158" s="287">
        <v>11731548122</v>
      </c>
      <c r="C158" s="220" t="s">
        <v>568</v>
      </c>
      <c r="D158" s="194" t="s">
        <v>511</v>
      </c>
      <c r="E158" s="219">
        <v>2</v>
      </c>
      <c r="F158" s="219">
        <v>56</v>
      </c>
      <c r="G158" s="219"/>
      <c r="H158" s="219">
        <f>(G89/(0.0005*100)/2000)</f>
        <v>0</v>
      </c>
      <c r="I158" s="219">
        <f>(30*BC!$B$47/F158)</f>
        <v>0</v>
      </c>
      <c r="J158" s="285">
        <f t="shared" si="22"/>
        <v>0</v>
      </c>
      <c r="K158" s="194">
        <f t="shared" si="23"/>
        <v>0</v>
      </c>
      <c r="L158" s="194">
        <f t="shared" si="24"/>
        <v>0</v>
      </c>
      <c r="M158" s="364">
        <v>189</v>
      </c>
      <c r="N158" s="365">
        <f t="shared" si="25"/>
        <v>0</v>
      </c>
      <c r="O158" s="57">
        <f t="shared" si="26"/>
        <v>0</v>
      </c>
      <c r="P158" s="57">
        <f t="shared" si="20"/>
        <v>0</v>
      </c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</row>
    <row r="159" spans="2:29" ht="15.75" customHeight="1" x14ac:dyDescent="0.45">
      <c r="B159" s="287">
        <v>12017717122</v>
      </c>
      <c r="C159" s="220" t="s">
        <v>569</v>
      </c>
      <c r="D159" s="194" t="s">
        <v>511</v>
      </c>
      <c r="E159" s="219">
        <v>2</v>
      </c>
      <c r="F159" s="219">
        <v>84</v>
      </c>
      <c r="G159" s="219"/>
      <c r="H159" s="219">
        <f>(G90/(0.0005*100)/2000)</f>
        <v>0</v>
      </c>
      <c r="I159" s="219">
        <f>(30*BC!$B$47/F159)</f>
        <v>0</v>
      </c>
      <c r="J159" s="285">
        <f t="shared" si="22"/>
        <v>0</v>
      </c>
      <c r="K159" s="194">
        <f t="shared" si="23"/>
        <v>0</v>
      </c>
      <c r="L159" s="194">
        <f t="shared" si="24"/>
        <v>0</v>
      </c>
      <c r="M159" s="364">
        <v>189</v>
      </c>
      <c r="N159" s="365">
        <f t="shared" si="25"/>
        <v>0</v>
      </c>
      <c r="O159" s="57">
        <f t="shared" si="26"/>
        <v>0</v>
      </c>
      <c r="P159" s="57">
        <f t="shared" si="20"/>
        <v>0</v>
      </c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</row>
    <row r="160" spans="2:29" ht="15.75" customHeight="1" x14ac:dyDescent="0.45">
      <c r="B160" s="287">
        <v>5202230190</v>
      </c>
      <c r="C160" s="220" t="s">
        <v>570</v>
      </c>
      <c r="D160" s="194" t="s">
        <v>511</v>
      </c>
      <c r="E160" s="219">
        <v>2</v>
      </c>
      <c r="F160" s="219">
        <v>84</v>
      </c>
      <c r="G160" s="219"/>
      <c r="H160" s="219">
        <f>(G91/(0.0002*100)/2000)</f>
        <v>0</v>
      </c>
      <c r="I160" s="219">
        <f>(30*BC!$B$47/F160)</f>
        <v>0</v>
      </c>
      <c r="J160" s="285">
        <f t="shared" si="22"/>
        <v>0</v>
      </c>
      <c r="K160" s="194">
        <f t="shared" si="23"/>
        <v>0</v>
      </c>
      <c r="L160" s="194">
        <f t="shared" si="24"/>
        <v>0</v>
      </c>
      <c r="M160" s="364">
        <v>79</v>
      </c>
      <c r="N160" s="365">
        <f t="shared" si="25"/>
        <v>0</v>
      </c>
      <c r="O160" s="57">
        <f t="shared" si="26"/>
        <v>0</v>
      </c>
      <c r="P160" s="57">
        <f t="shared" si="20"/>
        <v>0</v>
      </c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</row>
    <row r="161" spans="2:29" ht="15.75" customHeight="1" x14ac:dyDescent="0.45">
      <c r="B161" s="287">
        <v>8991405190</v>
      </c>
      <c r="C161" s="220" t="s">
        <v>571</v>
      </c>
      <c r="D161" s="194" t="s">
        <v>511</v>
      </c>
      <c r="E161" s="219">
        <v>2</v>
      </c>
      <c r="F161" s="219">
        <v>93</v>
      </c>
      <c r="G161" s="219"/>
      <c r="H161" s="219">
        <f>(G92/(0.0005*100)/2000)</f>
        <v>0</v>
      </c>
      <c r="I161" s="219">
        <f>(30*BC!$B$47/F161)</f>
        <v>0</v>
      </c>
      <c r="J161" s="285">
        <f t="shared" si="22"/>
        <v>0</v>
      </c>
      <c r="K161" s="194">
        <f t="shared" si="23"/>
        <v>0</v>
      </c>
      <c r="L161" s="194">
        <f t="shared" si="24"/>
        <v>0</v>
      </c>
      <c r="M161" s="364">
        <v>76</v>
      </c>
      <c r="N161" s="365">
        <f t="shared" si="25"/>
        <v>0</v>
      </c>
      <c r="O161" s="57">
        <f t="shared" si="26"/>
        <v>0</v>
      </c>
      <c r="P161" s="57">
        <f t="shared" si="20"/>
        <v>0</v>
      </c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</row>
    <row r="162" spans="2:29" ht="15.75" customHeight="1" x14ac:dyDescent="0.45">
      <c r="B162" s="287">
        <v>8838534190</v>
      </c>
      <c r="C162" s="220" t="s">
        <v>572</v>
      </c>
      <c r="D162" s="194" t="s">
        <v>511</v>
      </c>
      <c r="E162" s="219">
        <v>2</v>
      </c>
      <c r="F162" s="219">
        <v>84</v>
      </c>
      <c r="G162" s="219"/>
      <c r="H162" s="219">
        <f>(G93/(0.0009*100)/2000)</f>
        <v>0</v>
      </c>
      <c r="I162" s="219">
        <f>(30*BC!$B$47/F162)</f>
        <v>0</v>
      </c>
      <c r="J162" s="285">
        <f t="shared" si="22"/>
        <v>0</v>
      </c>
      <c r="K162" s="194">
        <f t="shared" si="23"/>
        <v>0</v>
      </c>
      <c r="L162" s="194">
        <f t="shared" si="24"/>
        <v>0</v>
      </c>
      <c r="M162" s="364">
        <v>194</v>
      </c>
      <c r="N162" s="365">
        <f t="shared" si="25"/>
        <v>0</v>
      </c>
      <c r="O162" s="57">
        <f t="shared" si="26"/>
        <v>0</v>
      </c>
      <c r="P162" s="57">
        <f t="shared" si="20"/>
        <v>0</v>
      </c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</row>
    <row r="163" spans="2:29" ht="15.75" customHeight="1" x14ac:dyDescent="0.45">
      <c r="B163" s="287" t="s">
        <v>573</v>
      </c>
      <c r="C163" s="285" t="s">
        <v>574</v>
      </c>
      <c r="D163" s="194" t="s">
        <v>511</v>
      </c>
      <c r="E163" s="219">
        <v>2</v>
      </c>
      <c r="F163" s="219">
        <v>84</v>
      </c>
      <c r="G163" s="219"/>
      <c r="H163" s="219">
        <f>(G97/(0.0005*100)/2000)</f>
        <v>0</v>
      </c>
      <c r="I163" s="219">
        <f>(30*BC!$B$47/F163)</f>
        <v>0</v>
      </c>
      <c r="J163" s="285">
        <f t="shared" si="22"/>
        <v>0</v>
      </c>
      <c r="K163" s="194">
        <f t="shared" si="23"/>
        <v>0</v>
      </c>
      <c r="L163" s="194">
        <f t="shared" si="24"/>
        <v>0</v>
      </c>
      <c r="M163" s="364">
        <v>455</v>
      </c>
      <c r="N163" s="365">
        <f t="shared" si="25"/>
        <v>0</v>
      </c>
      <c r="O163" s="57">
        <f t="shared" si="26"/>
        <v>0</v>
      </c>
      <c r="P163" s="57">
        <f t="shared" ref="P163:P222" si="27">ROUNDUP(O163,0)</f>
        <v>0</v>
      </c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</row>
    <row r="164" spans="2:29" ht="15.75" customHeight="1" x14ac:dyDescent="0.45">
      <c r="B164" s="287">
        <v>9315365190</v>
      </c>
      <c r="C164" s="220" t="s">
        <v>575</v>
      </c>
      <c r="D164" s="194" t="s">
        <v>511</v>
      </c>
      <c r="E164" s="219">
        <v>2</v>
      </c>
      <c r="F164" s="219">
        <v>84</v>
      </c>
      <c r="G164" s="219"/>
      <c r="H164" s="219">
        <f>(G98/(0.0005*100)/2000)</f>
        <v>0</v>
      </c>
      <c r="I164" s="219">
        <f>(30*BC!$B$47/F164)</f>
        <v>0</v>
      </c>
      <c r="J164" s="285">
        <f t="shared" si="22"/>
        <v>0</v>
      </c>
      <c r="K164" s="194">
        <f t="shared" si="23"/>
        <v>0</v>
      </c>
      <c r="L164" s="194">
        <f t="shared" si="24"/>
        <v>0</v>
      </c>
      <c r="M164" s="364">
        <v>230</v>
      </c>
      <c r="N164" s="365">
        <f t="shared" si="25"/>
        <v>0</v>
      </c>
      <c r="O164" s="57">
        <f t="shared" si="26"/>
        <v>0</v>
      </c>
      <c r="P164" s="57">
        <f t="shared" si="27"/>
        <v>0</v>
      </c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</row>
    <row r="165" spans="2:29" ht="15.75" customHeight="1" x14ac:dyDescent="0.45">
      <c r="B165" s="287">
        <v>9315381190</v>
      </c>
      <c r="C165" s="285" t="s">
        <v>576</v>
      </c>
      <c r="D165" s="194" t="s">
        <v>511</v>
      </c>
      <c r="E165" s="219">
        <v>2</v>
      </c>
      <c r="F165" s="219">
        <v>84</v>
      </c>
      <c r="G165" s="219"/>
      <c r="H165" s="219">
        <f>(G99/(0.0005*100)/2000)</f>
        <v>0</v>
      </c>
      <c r="I165" s="219">
        <f>(30*BC!$B$47/F165)</f>
        <v>0</v>
      </c>
      <c r="J165" s="285">
        <f t="shared" si="22"/>
        <v>0</v>
      </c>
      <c r="K165" s="194">
        <f t="shared" si="23"/>
        <v>0</v>
      </c>
      <c r="L165" s="194">
        <f t="shared" si="24"/>
        <v>0</v>
      </c>
      <c r="M165" s="364">
        <v>256</v>
      </c>
      <c r="N165" s="365">
        <f t="shared" si="25"/>
        <v>0</v>
      </c>
      <c r="O165" s="57">
        <f t="shared" si="26"/>
        <v>0</v>
      </c>
      <c r="P165" s="57">
        <f t="shared" si="27"/>
        <v>0</v>
      </c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</row>
    <row r="166" spans="2:29" ht="15.75" customHeight="1" x14ac:dyDescent="0.45">
      <c r="B166" s="287">
        <v>8443459190</v>
      </c>
      <c r="C166" s="220" t="s">
        <v>577</v>
      </c>
      <c r="D166" s="194" t="s">
        <v>511</v>
      </c>
      <c r="E166" s="219">
        <v>2</v>
      </c>
      <c r="F166" s="219">
        <v>84</v>
      </c>
      <c r="G166" s="219"/>
      <c r="H166" s="219">
        <f>(G100/(0.007*100)/2000)</f>
        <v>0</v>
      </c>
      <c r="I166" s="219">
        <f>(30*BC!$B$47/F166)</f>
        <v>0</v>
      </c>
      <c r="J166" s="285">
        <f t="shared" si="22"/>
        <v>0</v>
      </c>
      <c r="K166" s="194">
        <f t="shared" si="23"/>
        <v>0</v>
      </c>
      <c r="L166" s="194">
        <f t="shared" si="24"/>
        <v>0</v>
      </c>
      <c r="M166" s="364">
        <v>73</v>
      </c>
      <c r="N166" s="365">
        <f t="shared" si="25"/>
        <v>0</v>
      </c>
      <c r="O166" s="57">
        <f t="shared" si="26"/>
        <v>0</v>
      </c>
      <c r="P166" s="57">
        <f t="shared" si="27"/>
        <v>0</v>
      </c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</row>
    <row r="167" spans="2:29" ht="15.75" customHeight="1" x14ac:dyDescent="0.45">
      <c r="B167" s="287">
        <v>7212780190</v>
      </c>
      <c r="C167" s="220" t="s">
        <v>578</v>
      </c>
      <c r="D167" s="194" t="s">
        <v>511</v>
      </c>
      <c r="E167" s="219">
        <v>2</v>
      </c>
      <c r="F167" s="219">
        <v>84</v>
      </c>
      <c r="G167" s="219"/>
      <c r="H167" s="219">
        <f>(G101/(0.0005*100)/2000)</f>
        <v>0</v>
      </c>
      <c r="I167" s="219">
        <f>(30*BC!$B$47/F167)</f>
        <v>0</v>
      </c>
      <c r="J167" s="285">
        <f t="shared" si="22"/>
        <v>0</v>
      </c>
      <c r="K167" s="194">
        <f t="shared" si="23"/>
        <v>0</v>
      </c>
      <c r="L167" s="194">
        <f t="shared" si="24"/>
        <v>0</v>
      </c>
      <c r="M167" s="364">
        <v>235</v>
      </c>
      <c r="N167" s="365">
        <f t="shared" si="25"/>
        <v>0</v>
      </c>
      <c r="O167" s="57">
        <f t="shared" si="26"/>
        <v>0</v>
      </c>
      <c r="P167" s="57">
        <f t="shared" si="27"/>
        <v>0</v>
      </c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</row>
    <row r="168" spans="2:29" ht="15.75" customHeight="1" x14ac:dyDescent="0.45">
      <c r="B168" s="287">
        <v>9038116190</v>
      </c>
      <c r="C168" s="220" t="s">
        <v>579</v>
      </c>
      <c r="D168" s="194" t="s">
        <v>511</v>
      </c>
      <c r="E168" s="219">
        <v>2</v>
      </c>
      <c r="F168" s="219">
        <v>84</v>
      </c>
      <c r="G168" s="219"/>
      <c r="H168" s="219">
        <f>(G102/(0.0009*100)/2000)</f>
        <v>0</v>
      </c>
      <c r="I168" s="219">
        <f>(30*BC!$B$47/F168)</f>
        <v>0</v>
      </c>
      <c r="J168" s="285">
        <f t="shared" si="22"/>
        <v>0</v>
      </c>
      <c r="K168" s="194">
        <f t="shared" si="23"/>
        <v>0</v>
      </c>
      <c r="L168" s="194">
        <f t="shared" si="24"/>
        <v>0</v>
      </c>
      <c r="M168" s="364">
        <v>635</v>
      </c>
      <c r="N168" s="365">
        <f t="shared" si="25"/>
        <v>0</v>
      </c>
      <c r="O168" s="57">
        <f t="shared" si="26"/>
        <v>0</v>
      </c>
      <c r="P168" s="57">
        <f t="shared" si="27"/>
        <v>0</v>
      </c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</row>
    <row r="169" spans="2:29" ht="15.75" customHeight="1" x14ac:dyDescent="0.45">
      <c r="B169" s="378" t="s">
        <v>277</v>
      </c>
      <c r="C169" s="380"/>
      <c r="D169" s="380"/>
      <c r="E169" s="380" t="s">
        <v>183</v>
      </c>
      <c r="F169" s="380" t="s">
        <v>649</v>
      </c>
      <c r="G169" s="382"/>
      <c r="H169" s="379" t="s">
        <v>53</v>
      </c>
      <c r="I169" s="379" t="s">
        <v>52</v>
      </c>
      <c r="J169" s="379" t="s">
        <v>51</v>
      </c>
      <c r="K169" s="379"/>
      <c r="L169" s="379" t="s">
        <v>50</v>
      </c>
      <c r="M169" s="379" t="s">
        <v>49</v>
      </c>
      <c r="N169" s="379" t="s">
        <v>48</v>
      </c>
      <c r="O169" s="381" t="s">
        <v>318</v>
      </c>
      <c r="P169" s="381" t="s">
        <v>319</v>
      </c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</row>
    <row r="170" spans="2:29" ht="15.75" customHeight="1" x14ac:dyDescent="0.45">
      <c r="B170" s="287">
        <v>9216928190</v>
      </c>
      <c r="C170" s="299" t="s">
        <v>580</v>
      </c>
      <c r="D170" s="194" t="s">
        <v>511</v>
      </c>
      <c r="E170" s="219">
        <v>2</v>
      </c>
      <c r="F170" s="219">
        <v>28</v>
      </c>
      <c r="G170" s="219"/>
      <c r="H170" s="219">
        <f>(G21/(0.00001*300)/3000)</f>
        <v>0</v>
      </c>
      <c r="I170" s="219">
        <f>(30*BC!$B$47/F170)</f>
        <v>0</v>
      </c>
      <c r="J170" s="285">
        <f t="shared" si="22"/>
        <v>0</v>
      </c>
      <c r="K170" s="194">
        <f t="shared" si="23"/>
        <v>0</v>
      </c>
      <c r="L170" s="194">
        <f t="shared" si="24"/>
        <v>0</v>
      </c>
      <c r="M170" s="364">
        <v>69</v>
      </c>
      <c r="N170" s="365">
        <f t="shared" ref="N170:N200" si="28">((M170/E170)*L170)</f>
        <v>0</v>
      </c>
      <c r="O170" s="57">
        <f t="shared" ref="O170:O200" si="29">L170/E170</f>
        <v>0</v>
      </c>
      <c r="P170" s="57">
        <f t="shared" si="27"/>
        <v>0</v>
      </c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</row>
    <row r="171" spans="2:29" ht="15.75" customHeight="1" x14ac:dyDescent="0.45">
      <c r="B171" s="285">
        <v>5942322190</v>
      </c>
      <c r="C171" s="306" t="s">
        <v>581</v>
      </c>
      <c r="D171" s="194" t="s">
        <v>511</v>
      </c>
      <c r="E171" s="194">
        <v>3</v>
      </c>
      <c r="F171" s="194">
        <v>84</v>
      </c>
      <c r="G171" s="194"/>
      <c r="H171" s="194">
        <f>(G33/(0.00002*300)/3000)</f>
        <v>0</v>
      </c>
      <c r="I171" s="219">
        <f>(30*BC!$B$47/F171)</f>
        <v>0</v>
      </c>
      <c r="J171" s="285">
        <f t="shared" si="22"/>
        <v>0</v>
      </c>
      <c r="K171" s="194">
        <f t="shared" si="23"/>
        <v>0</v>
      </c>
      <c r="L171" s="194">
        <f t="shared" si="24"/>
        <v>0</v>
      </c>
      <c r="M171" s="364">
        <v>589</v>
      </c>
      <c r="N171" s="365">
        <f t="shared" si="28"/>
        <v>0</v>
      </c>
      <c r="O171" s="57">
        <f t="shared" si="29"/>
        <v>0</v>
      </c>
      <c r="P171" s="57">
        <f t="shared" si="27"/>
        <v>0</v>
      </c>
      <c r="Q171" s="255"/>
      <c r="R171" s="255"/>
      <c r="S171" s="255"/>
      <c r="T171" s="255"/>
      <c r="U171" s="255"/>
      <c r="V171" s="255"/>
      <c r="W171" s="255"/>
      <c r="X171" s="255"/>
      <c r="Y171" s="255"/>
      <c r="Z171" s="255"/>
      <c r="AA171" s="255"/>
      <c r="AB171" s="255"/>
      <c r="AC171" s="255"/>
    </row>
    <row r="172" spans="2:29" ht="15.75" customHeight="1" x14ac:dyDescent="0.45">
      <c r="B172" s="285">
        <v>8335923190</v>
      </c>
      <c r="C172" s="285" t="s">
        <v>582</v>
      </c>
      <c r="D172" s="194" t="s">
        <v>511</v>
      </c>
      <c r="E172" s="194">
        <v>5</v>
      </c>
      <c r="F172" s="194"/>
      <c r="G172" s="194"/>
      <c r="H172" s="219"/>
      <c r="I172" s="219" t="e">
        <f>(30*BC!$B$47/F172)</f>
        <v>#DIV/0!</v>
      </c>
      <c r="J172" s="285" t="e">
        <f t="shared" si="22"/>
        <v>#DIV/0!</v>
      </c>
      <c r="K172" s="194">
        <f t="shared" si="23"/>
        <v>0</v>
      </c>
      <c r="L172" s="194">
        <f t="shared" si="24"/>
        <v>0</v>
      </c>
      <c r="M172" s="364">
        <v>246</v>
      </c>
      <c r="N172" s="365">
        <f t="shared" si="28"/>
        <v>0</v>
      </c>
      <c r="O172" s="57">
        <f t="shared" si="29"/>
        <v>0</v>
      </c>
      <c r="P172" s="57">
        <f t="shared" si="27"/>
        <v>0</v>
      </c>
      <c r="Q172" s="255"/>
      <c r="R172" s="255"/>
      <c r="S172" s="255"/>
      <c r="T172" s="255"/>
      <c r="U172" s="255"/>
      <c r="V172" s="255"/>
      <c r="W172" s="255"/>
      <c r="X172" s="255"/>
      <c r="Y172" s="255"/>
      <c r="Z172" s="255"/>
      <c r="AA172" s="255"/>
      <c r="AB172" s="255"/>
      <c r="AC172" s="255"/>
    </row>
    <row r="173" spans="2:29" ht="15.75" customHeight="1" x14ac:dyDescent="0.45">
      <c r="B173" s="285">
        <v>8740062190</v>
      </c>
      <c r="C173" s="316" t="s">
        <v>583</v>
      </c>
      <c r="D173" s="194" t="s">
        <v>511</v>
      </c>
      <c r="E173" s="194">
        <v>3</v>
      </c>
      <c r="F173" s="194">
        <v>84</v>
      </c>
      <c r="G173" s="194"/>
      <c r="H173" s="219">
        <f>(A28/(0.00001*300)/3000)</f>
        <v>0</v>
      </c>
      <c r="I173" s="219">
        <f>(30*BC!$B$47/F173)</f>
        <v>0</v>
      </c>
      <c r="J173" s="285">
        <f t="shared" si="22"/>
        <v>0</v>
      </c>
      <c r="K173" s="194">
        <f t="shared" si="23"/>
        <v>0</v>
      </c>
      <c r="L173" s="194">
        <f t="shared" si="24"/>
        <v>0</v>
      </c>
      <c r="M173" s="364">
        <v>671</v>
      </c>
      <c r="N173" s="365">
        <f t="shared" si="28"/>
        <v>0</v>
      </c>
      <c r="O173" s="57">
        <f t="shared" si="29"/>
        <v>0</v>
      </c>
      <c r="P173" s="57">
        <f t="shared" si="27"/>
        <v>0</v>
      </c>
      <c r="Q173" s="255"/>
      <c r="R173" s="255"/>
      <c r="S173" s="255"/>
      <c r="T173" s="255"/>
      <c r="U173" s="255"/>
      <c r="V173" s="255"/>
      <c r="W173" s="255"/>
      <c r="X173" s="255"/>
      <c r="Y173" s="255"/>
      <c r="Z173" s="255"/>
      <c r="AA173" s="255"/>
      <c r="AB173" s="255"/>
      <c r="AC173" s="255"/>
    </row>
    <row r="174" spans="2:29" ht="15.75" customHeight="1" x14ac:dyDescent="0.45">
      <c r="B174" s="285">
        <v>6709966190</v>
      </c>
      <c r="C174" s="285" t="s">
        <v>585</v>
      </c>
      <c r="D174" s="194" t="s">
        <v>511</v>
      </c>
      <c r="E174" s="194">
        <v>2</v>
      </c>
      <c r="F174" s="194"/>
      <c r="G174" s="194"/>
      <c r="H174" s="194"/>
      <c r="I174" s="219" t="e">
        <f>(30*BC!$B$47/F174)</f>
        <v>#DIV/0!</v>
      </c>
      <c r="J174" s="285" t="e">
        <f t="shared" si="22"/>
        <v>#DIV/0!</v>
      </c>
      <c r="K174" s="194">
        <f t="shared" si="23"/>
        <v>0</v>
      </c>
      <c r="L174" s="194">
        <f t="shared" si="24"/>
        <v>0</v>
      </c>
      <c r="M174" s="364">
        <v>476</v>
      </c>
      <c r="N174" s="365">
        <f t="shared" si="28"/>
        <v>0</v>
      </c>
      <c r="O174" s="57">
        <f t="shared" si="29"/>
        <v>0</v>
      </c>
      <c r="P174" s="57">
        <f t="shared" si="27"/>
        <v>0</v>
      </c>
      <c r="Q174" s="255"/>
      <c r="R174" s="255"/>
      <c r="S174" s="255"/>
      <c r="T174" s="255"/>
      <c r="U174" s="255"/>
      <c r="V174" s="255"/>
      <c r="W174" s="255"/>
      <c r="X174" s="255"/>
      <c r="Y174" s="255"/>
      <c r="Z174" s="255"/>
      <c r="AA174" s="255"/>
      <c r="AB174" s="255"/>
      <c r="AC174" s="255"/>
    </row>
    <row r="175" spans="2:29" ht="15.75" customHeight="1" x14ac:dyDescent="0.45">
      <c r="B175" s="285">
        <v>7957211190</v>
      </c>
      <c r="C175" s="289" t="s">
        <v>586</v>
      </c>
      <c r="D175" s="194" t="s">
        <v>511</v>
      </c>
      <c r="E175" s="194">
        <v>2</v>
      </c>
      <c r="F175" s="194">
        <v>28</v>
      </c>
      <c r="G175" s="194"/>
      <c r="H175" s="194">
        <f>(G11/(0.00001*300)/3000)</f>
        <v>0</v>
      </c>
      <c r="I175" s="219">
        <f>(30*BC!$B$47/F175)</f>
        <v>0</v>
      </c>
      <c r="J175" s="285">
        <f t="shared" si="22"/>
        <v>0</v>
      </c>
      <c r="K175" s="194">
        <f t="shared" si="23"/>
        <v>0</v>
      </c>
      <c r="L175" s="194">
        <f t="shared" si="24"/>
        <v>0</v>
      </c>
      <c r="M175" s="364">
        <v>391</v>
      </c>
      <c r="N175" s="365">
        <f t="shared" si="28"/>
        <v>0</v>
      </c>
      <c r="O175" s="57">
        <f t="shared" si="29"/>
        <v>0</v>
      </c>
      <c r="P175" s="57">
        <f t="shared" si="27"/>
        <v>0</v>
      </c>
      <c r="Q175" s="255"/>
      <c r="R175" s="255"/>
      <c r="S175" s="255"/>
      <c r="T175" s="255"/>
      <c r="U175" s="255"/>
      <c r="V175" s="255"/>
      <c r="W175" s="255"/>
      <c r="X175" s="255"/>
      <c r="Y175" s="255"/>
      <c r="Z175" s="255"/>
      <c r="AA175" s="255"/>
      <c r="AB175" s="255"/>
      <c r="AC175" s="255"/>
    </row>
    <row r="176" spans="2:29" ht="15.75" customHeight="1" x14ac:dyDescent="0.45">
      <c r="B176" s="285">
        <v>5031664190</v>
      </c>
      <c r="C176" s="291" t="s">
        <v>587</v>
      </c>
      <c r="D176" s="194" t="s">
        <v>511</v>
      </c>
      <c r="E176" s="194">
        <v>2</v>
      </c>
      <c r="F176" s="194">
        <v>28</v>
      </c>
      <c r="G176" s="194"/>
      <c r="H176" s="194">
        <f>(G13/(0.00005*300)/3000)</f>
        <v>0</v>
      </c>
      <c r="I176" s="219">
        <f>(30*BC!$B$47/F176)</f>
        <v>0</v>
      </c>
      <c r="J176" s="285">
        <f t="shared" si="22"/>
        <v>0</v>
      </c>
      <c r="K176" s="194">
        <f t="shared" si="23"/>
        <v>0</v>
      </c>
      <c r="L176" s="194">
        <f t="shared" si="24"/>
        <v>0</v>
      </c>
      <c r="M176" s="364">
        <v>207</v>
      </c>
      <c r="N176" s="365">
        <f t="shared" si="28"/>
        <v>0</v>
      </c>
      <c r="O176" s="57">
        <f t="shared" si="29"/>
        <v>0</v>
      </c>
      <c r="P176" s="57">
        <f t="shared" si="27"/>
        <v>0</v>
      </c>
      <c r="Q176" s="255"/>
      <c r="R176" s="255"/>
      <c r="S176" s="255"/>
      <c r="T176" s="255"/>
      <c r="U176" s="255"/>
      <c r="V176" s="255"/>
      <c r="W176" s="255"/>
      <c r="X176" s="255"/>
      <c r="Y176" s="255"/>
      <c r="Z176" s="255"/>
      <c r="AA176" s="255"/>
      <c r="AB176" s="255"/>
      <c r="AC176" s="255"/>
    </row>
    <row r="177" spans="2:29" ht="15.75" customHeight="1" x14ac:dyDescent="0.45">
      <c r="B177" s="285">
        <v>11876368122</v>
      </c>
      <c r="C177" s="293" t="s">
        <v>588</v>
      </c>
      <c r="D177" s="194" t="s">
        <v>511</v>
      </c>
      <c r="E177" s="194">
        <v>8</v>
      </c>
      <c r="F177" s="194">
        <v>56</v>
      </c>
      <c r="G177" s="194"/>
      <c r="H177" s="194">
        <f>(G15/(0.00001*300)/3000)</f>
        <v>0</v>
      </c>
      <c r="I177" s="219">
        <f>(30*BC!$B$47/F177)</f>
        <v>0</v>
      </c>
      <c r="J177" s="285">
        <f t="shared" si="22"/>
        <v>0</v>
      </c>
      <c r="K177" s="194">
        <f t="shared" si="23"/>
        <v>0</v>
      </c>
      <c r="L177" s="194">
        <f t="shared" si="24"/>
        <v>0</v>
      </c>
      <c r="M177" s="364">
        <v>424</v>
      </c>
      <c r="N177" s="365">
        <f t="shared" si="28"/>
        <v>0</v>
      </c>
      <c r="O177" s="57">
        <f t="shared" si="29"/>
        <v>0</v>
      </c>
      <c r="P177" s="57">
        <f t="shared" si="27"/>
        <v>0</v>
      </c>
      <c r="Q177" s="255"/>
      <c r="R177" s="255"/>
      <c r="S177" s="255"/>
      <c r="T177" s="255"/>
      <c r="U177" s="255"/>
      <c r="V177" s="255"/>
      <c r="W177" s="255"/>
      <c r="X177" s="255"/>
      <c r="Y177" s="255"/>
      <c r="Z177" s="255"/>
      <c r="AA177" s="255"/>
      <c r="AB177" s="255"/>
      <c r="AC177" s="255"/>
    </row>
    <row r="178" spans="2:29" ht="15.75" customHeight="1" x14ac:dyDescent="0.45">
      <c r="B178" s="285">
        <v>8086672190</v>
      </c>
      <c r="C178" s="292" t="s">
        <v>589</v>
      </c>
      <c r="D178" s="194" t="s">
        <v>511</v>
      </c>
      <c r="E178" s="194">
        <v>4</v>
      </c>
      <c r="F178" s="194">
        <v>56</v>
      </c>
      <c r="G178" s="194"/>
      <c r="H178" s="194">
        <f>(G14/(0.00001*300)/3000)</f>
        <v>0</v>
      </c>
      <c r="I178" s="219">
        <f>(30*BC!$B$47/F178)</f>
        <v>0</v>
      </c>
      <c r="J178" s="285">
        <f t="shared" si="22"/>
        <v>0</v>
      </c>
      <c r="K178" s="194">
        <f t="shared" si="23"/>
        <v>0</v>
      </c>
      <c r="L178" s="194">
        <f t="shared" si="24"/>
        <v>0</v>
      </c>
      <c r="M178" s="364">
        <v>142</v>
      </c>
      <c r="N178" s="365">
        <f t="shared" si="28"/>
        <v>0</v>
      </c>
      <c r="O178" s="57">
        <f t="shared" si="29"/>
        <v>0</v>
      </c>
      <c r="P178" s="57">
        <f t="shared" si="27"/>
        <v>0</v>
      </c>
      <c r="Q178" s="255"/>
      <c r="R178" s="255"/>
      <c r="S178" s="255"/>
      <c r="T178" s="255"/>
      <c r="U178" s="255"/>
      <c r="V178" s="255"/>
      <c r="W178" s="255"/>
      <c r="X178" s="255"/>
      <c r="Y178" s="255"/>
      <c r="Z178" s="255"/>
      <c r="AA178" s="255"/>
      <c r="AB178" s="255"/>
      <c r="AC178" s="255"/>
    </row>
    <row r="179" spans="2:29" ht="15.75" customHeight="1" x14ac:dyDescent="0.45">
      <c r="B179" s="285">
        <v>11876333122</v>
      </c>
      <c r="C179" s="294" t="s">
        <v>590</v>
      </c>
      <c r="D179" s="194" t="s">
        <v>511</v>
      </c>
      <c r="E179" s="194">
        <v>8</v>
      </c>
      <c r="F179" s="194">
        <v>56</v>
      </c>
      <c r="G179" s="194"/>
      <c r="H179" s="194">
        <f>(G16/(0.00001*300)/3000)</f>
        <v>0</v>
      </c>
      <c r="I179" s="219">
        <f>(30*BC!$B$47/F179)</f>
        <v>0</v>
      </c>
      <c r="J179" s="285">
        <f t="shared" si="22"/>
        <v>0</v>
      </c>
      <c r="K179" s="194">
        <f t="shared" si="23"/>
        <v>0</v>
      </c>
      <c r="L179" s="194">
        <f t="shared" si="24"/>
        <v>0</v>
      </c>
      <c r="M179" s="364">
        <v>379</v>
      </c>
      <c r="N179" s="365">
        <f t="shared" si="28"/>
        <v>0</v>
      </c>
      <c r="O179" s="57">
        <f t="shared" si="29"/>
        <v>0</v>
      </c>
      <c r="P179" s="57">
        <f t="shared" si="27"/>
        <v>0</v>
      </c>
      <c r="Q179" s="255"/>
      <c r="R179" s="255"/>
      <c r="S179" s="255"/>
      <c r="T179" s="255"/>
      <c r="U179" s="255"/>
      <c r="V179" s="255"/>
      <c r="W179" s="255"/>
      <c r="X179" s="255"/>
      <c r="Y179" s="255"/>
      <c r="Z179" s="255"/>
      <c r="AA179" s="255"/>
      <c r="AB179" s="255"/>
      <c r="AC179" s="255"/>
    </row>
    <row r="180" spans="2:29" ht="15.75" customHeight="1" x14ac:dyDescent="0.45">
      <c r="B180" s="285">
        <v>4927931190</v>
      </c>
      <c r="C180" s="295" t="s">
        <v>591</v>
      </c>
      <c r="D180" s="194" t="s">
        <v>511</v>
      </c>
      <c r="E180" s="194">
        <v>8</v>
      </c>
      <c r="F180" s="194">
        <v>56</v>
      </c>
      <c r="G180" s="194"/>
      <c r="H180" s="194">
        <f>(G17/(0.00001*300)/3000)</f>
        <v>0</v>
      </c>
      <c r="I180" s="219">
        <f>(30*BC!$B$47/F180)</f>
        <v>0</v>
      </c>
      <c r="J180" s="285">
        <f t="shared" si="22"/>
        <v>0</v>
      </c>
      <c r="K180" s="194">
        <f t="shared" si="23"/>
        <v>0</v>
      </c>
      <c r="L180" s="194">
        <f t="shared" si="24"/>
        <v>0</v>
      </c>
      <c r="M180" s="364">
        <v>73</v>
      </c>
      <c r="N180" s="365">
        <f t="shared" si="28"/>
        <v>0</v>
      </c>
      <c r="O180" s="57">
        <f t="shared" si="29"/>
        <v>0</v>
      </c>
      <c r="P180" s="57">
        <f t="shared" si="27"/>
        <v>0</v>
      </c>
      <c r="Q180" s="255"/>
      <c r="R180" s="255"/>
      <c r="S180" s="255"/>
      <c r="T180" s="255"/>
      <c r="U180" s="255"/>
      <c r="V180" s="255"/>
      <c r="W180" s="255"/>
      <c r="X180" s="255"/>
      <c r="Y180" s="255"/>
      <c r="Z180" s="255"/>
      <c r="AA180" s="255"/>
      <c r="AB180" s="255"/>
      <c r="AC180" s="255"/>
    </row>
    <row r="181" spans="2:29" ht="15.75" customHeight="1" x14ac:dyDescent="0.45">
      <c r="B181" s="285">
        <v>11876384122</v>
      </c>
      <c r="C181" s="296" t="s">
        <v>592</v>
      </c>
      <c r="D181" s="194" t="s">
        <v>511</v>
      </c>
      <c r="E181" s="194">
        <v>8</v>
      </c>
      <c r="F181" s="194">
        <v>56</v>
      </c>
      <c r="G181" s="194"/>
      <c r="H181" s="194">
        <f>(G18/(0.00001*300)/3000)</f>
        <v>0</v>
      </c>
      <c r="I181" s="219">
        <f>(30*BC!$B$47/F181)</f>
        <v>0</v>
      </c>
      <c r="J181" s="285">
        <f t="shared" si="22"/>
        <v>0</v>
      </c>
      <c r="K181" s="194">
        <f t="shared" si="23"/>
        <v>0</v>
      </c>
      <c r="L181" s="194">
        <f t="shared" si="24"/>
        <v>0</v>
      </c>
      <c r="M181" s="364">
        <v>217</v>
      </c>
      <c r="N181" s="365">
        <f t="shared" si="28"/>
        <v>0</v>
      </c>
      <c r="O181" s="57">
        <f t="shared" si="29"/>
        <v>0</v>
      </c>
      <c r="P181" s="57">
        <f t="shared" si="27"/>
        <v>0</v>
      </c>
      <c r="Q181" s="255"/>
      <c r="R181" s="255"/>
      <c r="S181" s="255"/>
      <c r="T181" s="255"/>
      <c r="U181" s="255"/>
      <c r="V181" s="255"/>
      <c r="W181" s="255"/>
      <c r="X181" s="255"/>
      <c r="Y181" s="255"/>
      <c r="Z181" s="255"/>
      <c r="AA181" s="255"/>
      <c r="AB181" s="255"/>
      <c r="AC181" s="255"/>
    </row>
    <row r="182" spans="2:29" ht="15.75" customHeight="1" x14ac:dyDescent="0.45">
      <c r="B182" s="285">
        <v>11876317122</v>
      </c>
      <c r="C182" s="350" t="s">
        <v>593</v>
      </c>
      <c r="D182" s="194" t="s">
        <v>511</v>
      </c>
      <c r="E182" s="194">
        <v>8</v>
      </c>
      <c r="F182" s="194">
        <v>56</v>
      </c>
      <c r="G182" s="194"/>
      <c r="H182" s="194">
        <f>(G19/(0.00001*300)/3000)</f>
        <v>0</v>
      </c>
      <c r="I182" s="219">
        <f>(30*BC!$B$47/F182)</f>
        <v>0</v>
      </c>
      <c r="J182" s="285">
        <f t="shared" si="22"/>
        <v>0</v>
      </c>
      <c r="K182" s="194">
        <f t="shared" si="23"/>
        <v>0</v>
      </c>
      <c r="L182" s="194">
        <f t="shared" si="24"/>
        <v>0</v>
      </c>
      <c r="M182" s="364">
        <v>205</v>
      </c>
      <c r="N182" s="365">
        <f t="shared" si="28"/>
        <v>0</v>
      </c>
      <c r="O182" s="57">
        <f t="shared" si="29"/>
        <v>0</v>
      </c>
      <c r="P182" s="57">
        <f t="shared" si="27"/>
        <v>0</v>
      </c>
      <c r="Q182" s="255"/>
      <c r="R182" s="255"/>
      <c r="S182" s="255"/>
      <c r="T182" s="255"/>
      <c r="U182" s="255"/>
      <c r="V182" s="255"/>
      <c r="W182" s="255"/>
      <c r="X182" s="255"/>
      <c r="Y182" s="255"/>
      <c r="Z182" s="255"/>
      <c r="AA182" s="255"/>
      <c r="AB182" s="255"/>
      <c r="AC182" s="255"/>
    </row>
    <row r="183" spans="2:29" ht="15.75" customHeight="1" x14ac:dyDescent="0.45">
      <c r="B183" s="285">
        <v>3290379190</v>
      </c>
      <c r="C183" s="351" t="s">
        <v>594</v>
      </c>
      <c r="D183" s="194" t="s">
        <v>511</v>
      </c>
      <c r="E183" s="194">
        <v>8</v>
      </c>
      <c r="F183" s="194">
        <v>56</v>
      </c>
      <c r="G183" s="194"/>
      <c r="H183" s="194">
        <f>(G20/(0.00001*300)/3000)</f>
        <v>0</v>
      </c>
      <c r="I183" s="219">
        <f>(30*BC!$B$47/F183)</f>
        <v>0</v>
      </c>
      <c r="J183" s="285">
        <f t="shared" si="22"/>
        <v>0</v>
      </c>
      <c r="K183" s="194">
        <f t="shared" si="23"/>
        <v>0</v>
      </c>
      <c r="L183" s="194">
        <f t="shared" si="24"/>
        <v>0</v>
      </c>
      <c r="M183" s="364">
        <v>149</v>
      </c>
      <c r="N183" s="365">
        <f t="shared" si="28"/>
        <v>0</v>
      </c>
      <c r="O183" s="57">
        <f t="shared" si="29"/>
        <v>0</v>
      </c>
      <c r="P183" s="57">
        <f t="shared" si="27"/>
        <v>0</v>
      </c>
      <c r="Q183" s="255"/>
      <c r="R183" s="255"/>
      <c r="S183" s="255"/>
      <c r="T183" s="255"/>
      <c r="U183" s="255"/>
      <c r="V183" s="255"/>
      <c r="W183" s="255"/>
      <c r="X183" s="255"/>
      <c r="Y183" s="255"/>
      <c r="Z183" s="255"/>
      <c r="AA183" s="255"/>
      <c r="AB183" s="255"/>
      <c r="AC183" s="255"/>
    </row>
    <row r="184" spans="2:29" ht="15.75" customHeight="1" x14ac:dyDescent="0.45">
      <c r="B184" s="285">
        <v>9289313190</v>
      </c>
      <c r="C184" s="300" t="s">
        <v>595</v>
      </c>
      <c r="D184" s="194" t="s">
        <v>511</v>
      </c>
      <c r="E184" s="194">
        <v>2</v>
      </c>
      <c r="F184" s="194">
        <v>84</v>
      </c>
      <c r="G184" s="194"/>
      <c r="H184" s="194">
        <f>(G22/(0.00001*300)/3000)</f>
        <v>0</v>
      </c>
      <c r="I184" s="219">
        <f>(30*BC!$B$47/F184)</f>
        <v>0</v>
      </c>
      <c r="J184" s="285">
        <f t="shared" si="22"/>
        <v>0</v>
      </c>
      <c r="K184" s="194">
        <f t="shared" si="23"/>
        <v>0</v>
      </c>
      <c r="L184" s="194">
        <f t="shared" si="24"/>
        <v>0</v>
      </c>
      <c r="M184" s="364">
        <v>184</v>
      </c>
      <c r="N184" s="365">
        <f t="shared" si="28"/>
        <v>0</v>
      </c>
      <c r="O184" s="57">
        <f t="shared" si="29"/>
        <v>0</v>
      </c>
      <c r="P184" s="57">
        <f t="shared" si="27"/>
        <v>0</v>
      </c>
      <c r="Q184" s="255"/>
      <c r="R184" s="255"/>
      <c r="S184" s="255"/>
      <c r="T184" s="255"/>
      <c r="U184" s="255"/>
      <c r="V184" s="255"/>
      <c r="W184" s="255"/>
      <c r="X184" s="255"/>
      <c r="Y184" s="255"/>
      <c r="Z184" s="255"/>
      <c r="AA184" s="255"/>
      <c r="AB184" s="255"/>
      <c r="AC184" s="255"/>
    </row>
    <row r="185" spans="2:29" ht="15.75" customHeight="1" x14ac:dyDescent="0.45">
      <c r="B185" s="285">
        <v>4917049190</v>
      </c>
      <c r="C185" s="305" t="s">
        <v>596</v>
      </c>
      <c r="D185" s="194" t="s">
        <v>511</v>
      </c>
      <c r="E185" s="194">
        <v>2</v>
      </c>
      <c r="F185" s="194">
        <v>84</v>
      </c>
      <c r="G185" s="194"/>
      <c r="H185" s="194">
        <f>(A25/(0.00005*300)/3000)</f>
        <v>0</v>
      </c>
      <c r="I185" s="219">
        <f>(30*BC!$B$47/F185)</f>
        <v>0</v>
      </c>
      <c r="J185" s="285">
        <f t="shared" si="22"/>
        <v>0</v>
      </c>
      <c r="K185" s="194">
        <f t="shared" si="23"/>
        <v>0</v>
      </c>
      <c r="L185" s="194">
        <f t="shared" si="24"/>
        <v>0</v>
      </c>
      <c r="M185" s="364">
        <v>127</v>
      </c>
      <c r="N185" s="365">
        <f t="shared" si="28"/>
        <v>0</v>
      </c>
      <c r="O185" s="57">
        <f t="shared" si="29"/>
        <v>0</v>
      </c>
      <c r="P185" s="57">
        <f t="shared" si="27"/>
        <v>0</v>
      </c>
      <c r="Q185" s="255"/>
      <c r="R185" s="255"/>
      <c r="S185" s="255"/>
      <c r="T185" s="255"/>
      <c r="U185" s="255"/>
      <c r="V185" s="255"/>
      <c r="W185" s="255"/>
      <c r="X185" s="255"/>
      <c r="Y185" s="255"/>
      <c r="Z185" s="255"/>
      <c r="AA185" s="255"/>
      <c r="AB185" s="255"/>
      <c r="AC185" s="255"/>
    </row>
    <row r="186" spans="2:29" ht="15.75" customHeight="1" x14ac:dyDescent="0.45">
      <c r="B186" s="285">
        <v>7092571190</v>
      </c>
      <c r="C186" s="304" t="s">
        <v>597</v>
      </c>
      <c r="D186" s="194" t="s">
        <v>511</v>
      </c>
      <c r="E186" s="194">
        <v>8</v>
      </c>
      <c r="F186" s="194">
        <v>28</v>
      </c>
      <c r="G186" s="194"/>
      <c r="H186" s="194">
        <f>(G31/(0.00001*300)/3000)</f>
        <v>0</v>
      </c>
      <c r="I186" s="219">
        <f>(30*BC!$B$47/F186)</f>
        <v>0</v>
      </c>
      <c r="J186" s="285">
        <f t="shared" ref="J186:J228" si="30">IF(I186&gt;H186,I186,H186)</f>
        <v>0</v>
      </c>
      <c r="K186" s="194">
        <f t="shared" ref="K186:K228" si="31">IF(H186=0,0,J186)</f>
        <v>0</v>
      </c>
      <c r="L186" s="194">
        <f t="shared" ref="L186:L228" si="32">ROUNDUP(K186,0)</f>
        <v>0</v>
      </c>
      <c r="M186" s="364">
        <v>284</v>
      </c>
      <c r="N186" s="365">
        <f t="shared" si="28"/>
        <v>0</v>
      </c>
      <c r="O186" s="57">
        <f t="shared" si="29"/>
        <v>0</v>
      </c>
      <c r="P186" s="57">
        <f t="shared" si="27"/>
        <v>0</v>
      </c>
    </row>
    <row r="187" spans="2:29" ht="15.75" customHeight="1" x14ac:dyDescent="0.45">
      <c r="B187" s="352">
        <v>4784600190</v>
      </c>
      <c r="C187" s="306" t="s">
        <v>598</v>
      </c>
      <c r="D187" s="194" t="s">
        <v>511</v>
      </c>
      <c r="E187" s="194">
        <v>8</v>
      </c>
      <c r="F187" s="194">
        <v>56</v>
      </c>
      <c r="G187" s="194"/>
      <c r="H187" s="194">
        <f>(G34/(0.00002*300)/3000)</f>
        <v>0</v>
      </c>
      <c r="I187" s="219">
        <f>(30*BC!$B$47/F187)</f>
        <v>0</v>
      </c>
      <c r="J187" s="285">
        <f t="shared" si="30"/>
        <v>0</v>
      </c>
      <c r="K187" s="194">
        <f t="shared" si="31"/>
        <v>0</v>
      </c>
      <c r="L187" s="194">
        <f t="shared" si="32"/>
        <v>0</v>
      </c>
      <c r="M187" s="364">
        <v>222</v>
      </c>
      <c r="N187" s="365">
        <f t="shared" si="28"/>
        <v>0</v>
      </c>
      <c r="O187" s="57">
        <f t="shared" si="29"/>
        <v>0</v>
      </c>
      <c r="P187" s="57">
        <f t="shared" si="27"/>
        <v>0</v>
      </c>
    </row>
    <row r="188" spans="2:29" ht="15.75" customHeight="1" x14ac:dyDescent="0.45">
      <c r="B188" s="285">
        <v>4784626190</v>
      </c>
      <c r="C188" s="353" t="s">
        <v>599</v>
      </c>
      <c r="D188" s="194" t="s">
        <v>511</v>
      </c>
      <c r="E188" s="194">
        <v>8</v>
      </c>
      <c r="F188" s="194">
        <v>56</v>
      </c>
      <c r="G188" s="194"/>
      <c r="H188" s="194">
        <f>(G35/(0.00002*300)/3000)</f>
        <v>0</v>
      </c>
      <c r="I188" s="219">
        <f>(30*BC!$B$47/F188)</f>
        <v>0</v>
      </c>
      <c r="J188" s="285">
        <f t="shared" si="30"/>
        <v>0</v>
      </c>
      <c r="K188" s="194">
        <f t="shared" si="31"/>
        <v>0</v>
      </c>
      <c r="L188" s="194">
        <f t="shared" si="32"/>
        <v>0</v>
      </c>
      <c r="M188" s="364">
        <v>153</v>
      </c>
      <c r="N188" s="365">
        <f t="shared" si="28"/>
        <v>0</v>
      </c>
      <c r="O188" s="57">
        <f t="shared" si="29"/>
        <v>0</v>
      </c>
      <c r="P188" s="57">
        <f t="shared" si="27"/>
        <v>0</v>
      </c>
    </row>
    <row r="189" spans="2:29" ht="15.75" customHeight="1" x14ac:dyDescent="0.45">
      <c r="B189" s="285">
        <v>8355436190</v>
      </c>
      <c r="C189" s="311" t="s">
        <v>600</v>
      </c>
      <c r="D189" s="194" t="s">
        <v>511</v>
      </c>
      <c r="E189" s="194">
        <v>4</v>
      </c>
      <c r="F189" s="194">
        <v>84</v>
      </c>
      <c r="G189" s="194"/>
      <c r="H189" s="194">
        <f>(G41/(0.00001*300)/3000)</f>
        <v>0</v>
      </c>
      <c r="I189" s="219">
        <f>(30*BC!$B$47/F189)</f>
        <v>0</v>
      </c>
      <c r="J189" s="285">
        <f t="shared" si="30"/>
        <v>0</v>
      </c>
      <c r="K189" s="194">
        <f t="shared" si="31"/>
        <v>0</v>
      </c>
      <c r="L189" s="194">
        <f t="shared" si="32"/>
        <v>0</v>
      </c>
      <c r="M189" s="364">
        <v>234</v>
      </c>
      <c r="N189" s="365">
        <f t="shared" si="28"/>
        <v>0</v>
      </c>
      <c r="O189" s="57">
        <f t="shared" si="29"/>
        <v>0</v>
      </c>
      <c r="P189" s="57">
        <f t="shared" si="27"/>
        <v>0</v>
      </c>
    </row>
    <row r="190" spans="2:29" ht="15.75" customHeight="1" x14ac:dyDescent="0.45">
      <c r="B190" s="285">
        <v>8355428190</v>
      </c>
      <c r="C190" s="312" t="s">
        <v>601</v>
      </c>
      <c r="D190" s="194" t="s">
        <v>511</v>
      </c>
      <c r="E190" s="194">
        <v>3</v>
      </c>
      <c r="F190" s="194">
        <v>112</v>
      </c>
      <c r="G190" s="194"/>
      <c r="H190" s="194">
        <f>(A34/(0.00001*300)/3000)</f>
        <v>0</v>
      </c>
      <c r="I190" s="219">
        <f>(30*BC!$B$47/F190)</f>
        <v>0</v>
      </c>
      <c r="J190" s="285">
        <f t="shared" si="30"/>
        <v>0</v>
      </c>
      <c r="K190" s="194">
        <f t="shared" si="31"/>
        <v>0</v>
      </c>
      <c r="L190" s="194">
        <f t="shared" si="32"/>
        <v>0</v>
      </c>
      <c r="M190" s="364">
        <v>973</v>
      </c>
      <c r="N190" s="365">
        <f t="shared" si="28"/>
        <v>0</v>
      </c>
      <c r="O190" s="57">
        <f t="shared" si="29"/>
        <v>0</v>
      </c>
      <c r="P190" s="57">
        <f t="shared" si="27"/>
        <v>0</v>
      </c>
    </row>
    <row r="191" spans="2:29" ht="15.75" customHeight="1" x14ac:dyDescent="0.45">
      <c r="B191" s="285">
        <v>7294131190</v>
      </c>
      <c r="C191" s="285" t="s">
        <v>602</v>
      </c>
      <c r="D191" s="194" t="s">
        <v>511</v>
      </c>
      <c r="E191" s="194">
        <v>1</v>
      </c>
      <c r="F191" s="194">
        <v>28</v>
      </c>
      <c r="G191" s="194"/>
      <c r="H191" s="194"/>
      <c r="I191" s="219">
        <f>(30*BC!$B$47/F191)</f>
        <v>0</v>
      </c>
      <c r="J191" s="285">
        <f t="shared" si="30"/>
        <v>0</v>
      </c>
      <c r="K191" s="194">
        <f t="shared" si="31"/>
        <v>0</v>
      </c>
      <c r="L191" s="194">
        <f t="shared" si="32"/>
        <v>0</v>
      </c>
      <c r="M191" s="364">
        <v>331</v>
      </c>
      <c r="N191" s="365">
        <f t="shared" si="28"/>
        <v>0</v>
      </c>
      <c r="O191" s="57">
        <f t="shared" si="29"/>
        <v>0</v>
      </c>
      <c r="P191" s="57">
        <f t="shared" si="27"/>
        <v>0</v>
      </c>
    </row>
    <row r="192" spans="2:29" ht="15.75" customHeight="1" x14ac:dyDescent="0.45">
      <c r="B192" s="285">
        <v>7476108190</v>
      </c>
      <c r="C192" s="324" t="s">
        <v>603</v>
      </c>
      <c r="D192" s="194" t="s">
        <v>511</v>
      </c>
      <c r="E192" s="194">
        <v>2</v>
      </c>
      <c r="F192" s="194">
        <v>31</v>
      </c>
      <c r="G192" s="194"/>
      <c r="H192" s="194">
        <f>(A37/(0.00002*300)/3000)</f>
        <v>0</v>
      </c>
      <c r="I192" s="219">
        <f>(30*BC!$B$47/F192)</f>
        <v>0</v>
      </c>
      <c r="J192" s="285">
        <f t="shared" si="30"/>
        <v>0</v>
      </c>
      <c r="K192" s="194">
        <f t="shared" si="31"/>
        <v>0</v>
      </c>
      <c r="L192" s="194">
        <f t="shared" si="32"/>
        <v>0</v>
      </c>
      <c r="M192" s="364">
        <v>472</v>
      </c>
      <c r="N192" s="365">
        <f t="shared" si="28"/>
        <v>0</v>
      </c>
      <c r="O192" s="57">
        <f t="shared" si="29"/>
        <v>0</v>
      </c>
      <c r="P192" s="57">
        <f t="shared" si="27"/>
        <v>0</v>
      </c>
    </row>
    <row r="193" spans="2:16" ht="15.75" customHeight="1" x14ac:dyDescent="0.45">
      <c r="B193" s="285">
        <v>11876376122</v>
      </c>
      <c r="C193" s="317" t="s">
        <v>604</v>
      </c>
      <c r="D193" s="194" t="s">
        <v>511</v>
      </c>
      <c r="E193" s="194">
        <v>8</v>
      </c>
      <c r="F193" s="194">
        <v>56</v>
      </c>
      <c r="G193" s="194"/>
      <c r="H193" s="194">
        <f>(G53/(0.00001*300)/3000)</f>
        <v>0</v>
      </c>
      <c r="I193" s="219">
        <f>(30*BC!$B$47/F193)</f>
        <v>0</v>
      </c>
      <c r="J193" s="285">
        <f t="shared" si="30"/>
        <v>0</v>
      </c>
      <c r="K193" s="194">
        <f t="shared" si="31"/>
        <v>0</v>
      </c>
      <c r="L193" s="194">
        <f t="shared" si="32"/>
        <v>0</v>
      </c>
      <c r="M193" s="364">
        <v>208</v>
      </c>
      <c r="N193" s="365">
        <f t="shared" si="28"/>
        <v>0</v>
      </c>
      <c r="O193" s="57">
        <f t="shared" si="29"/>
        <v>0</v>
      </c>
      <c r="P193" s="57">
        <f t="shared" si="27"/>
        <v>0</v>
      </c>
    </row>
    <row r="194" spans="2:16" ht="15.75" customHeight="1" x14ac:dyDescent="0.45">
      <c r="B194" s="285">
        <v>4687876190</v>
      </c>
      <c r="C194" s="354" t="s">
        <v>605</v>
      </c>
      <c r="D194" s="194" t="s">
        <v>511</v>
      </c>
      <c r="E194" s="194">
        <v>8</v>
      </c>
      <c r="F194" s="194">
        <v>56</v>
      </c>
      <c r="G194" s="194"/>
      <c r="H194" s="194">
        <f>(G54/(0.00001*300)/3000)</f>
        <v>0</v>
      </c>
      <c r="I194" s="219">
        <f>(30*BC!$B$47/F194)</f>
        <v>0</v>
      </c>
      <c r="J194" s="285">
        <f t="shared" si="30"/>
        <v>0</v>
      </c>
      <c r="K194" s="194">
        <f t="shared" si="31"/>
        <v>0</v>
      </c>
      <c r="L194" s="194">
        <f t="shared" si="32"/>
        <v>0</v>
      </c>
      <c r="M194" s="364">
        <v>212</v>
      </c>
      <c r="N194" s="365">
        <f t="shared" si="28"/>
        <v>0</v>
      </c>
      <c r="O194" s="57">
        <f t="shared" si="29"/>
        <v>0</v>
      </c>
      <c r="P194" s="57">
        <f t="shared" si="27"/>
        <v>0</v>
      </c>
    </row>
    <row r="195" spans="2:16" ht="15.75" customHeight="1" x14ac:dyDescent="0.45">
      <c r="B195" s="285">
        <v>7143745190</v>
      </c>
      <c r="C195" s="285" t="s">
        <v>606</v>
      </c>
      <c r="D195" s="194" t="s">
        <v>511</v>
      </c>
      <c r="E195" s="194">
        <v>5</v>
      </c>
      <c r="F195" s="194">
        <v>56</v>
      </c>
      <c r="G195" s="194"/>
      <c r="H195" s="194"/>
      <c r="I195" s="219">
        <f>(30*BC!$B$47/F195)</f>
        <v>0</v>
      </c>
      <c r="J195" s="285">
        <f t="shared" si="30"/>
        <v>0</v>
      </c>
      <c r="K195" s="194">
        <f t="shared" si="31"/>
        <v>0</v>
      </c>
      <c r="L195" s="194">
        <f t="shared" si="32"/>
        <v>0</v>
      </c>
      <c r="M195" s="364">
        <v>289</v>
      </c>
      <c r="N195" s="365">
        <f t="shared" si="28"/>
        <v>0</v>
      </c>
      <c r="O195" s="57">
        <f t="shared" si="29"/>
        <v>0</v>
      </c>
      <c r="P195" s="57">
        <f t="shared" si="27"/>
        <v>0</v>
      </c>
    </row>
    <row r="196" spans="2:16" ht="15.75" customHeight="1" x14ac:dyDescent="0.45">
      <c r="B196" s="285">
        <v>5950953190</v>
      </c>
      <c r="C196" s="319" t="s">
        <v>607</v>
      </c>
      <c r="D196" s="194" t="s">
        <v>511</v>
      </c>
      <c r="E196" s="194">
        <v>2</v>
      </c>
      <c r="F196" s="194">
        <v>28</v>
      </c>
      <c r="G196" s="194"/>
      <c r="H196" s="194">
        <f>(G57/(0.00002*300)/3000)</f>
        <v>0</v>
      </c>
      <c r="I196" s="219">
        <f>(30*BC!$B$47/F196)</f>
        <v>0</v>
      </c>
      <c r="J196" s="285">
        <f t="shared" si="30"/>
        <v>0</v>
      </c>
      <c r="K196" s="194">
        <f t="shared" si="31"/>
        <v>0</v>
      </c>
      <c r="L196" s="194">
        <f t="shared" si="32"/>
        <v>0</v>
      </c>
      <c r="M196" s="364">
        <v>237</v>
      </c>
      <c r="N196" s="365">
        <f t="shared" si="28"/>
        <v>0</v>
      </c>
      <c r="O196" s="57">
        <f t="shared" si="29"/>
        <v>0</v>
      </c>
      <c r="P196" s="57">
        <f t="shared" si="27"/>
        <v>0</v>
      </c>
    </row>
    <row r="197" spans="2:16" ht="15.75" customHeight="1" x14ac:dyDescent="0.45">
      <c r="B197" s="285">
        <v>6924107190</v>
      </c>
      <c r="C197" s="355" t="s">
        <v>608</v>
      </c>
      <c r="D197" s="194" t="s">
        <v>511</v>
      </c>
      <c r="E197" s="194">
        <v>3</v>
      </c>
      <c r="F197" s="194">
        <v>84</v>
      </c>
      <c r="G197" s="194"/>
      <c r="H197" s="194">
        <f>(G59/(0.00001*300)/3000)</f>
        <v>0</v>
      </c>
      <c r="I197" s="219">
        <f>(30*BC!$B$47/F197)</f>
        <v>0</v>
      </c>
      <c r="J197" s="285">
        <f t="shared" si="30"/>
        <v>0</v>
      </c>
      <c r="K197" s="194">
        <f t="shared" si="31"/>
        <v>0</v>
      </c>
      <c r="L197" s="194">
        <f t="shared" si="32"/>
        <v>0</v>
      </c>
      <c r="M197" s="364">
        <v>583</v>
      </c>
      <c r="N197" s="365">
        <f t="shared" si="28"/>
        <v>0</v>
      </c>
      <c r="O197" s="57">
        <f t="shared" si="29"/>
        <v>0</v>
      </c>
      <c r="P197" s="57">
        <f t="shared" si="27"/>
        <v>0</v>
      </c>
    </row>
    <row r="198" spans="2:16" ht="15.75" customHeight="1" x14ac:dyDescent="0.45">
      <c r="B198" s="285">
        <v>5572207190</v>
      </c>
      <c r="C198" s="356" t="s">
        <v>609</v>
      </c>
      <c r="D198" s="194" t="s">
        <v>511</v>
      </c>
      <c r="E198" s="194">
        <v>2</v>
      </c>
      <c r="F198" s="194">
        <v>28</v>
      </c>
      <c r="G198" s="194"/>
      <c r="H198" s="194">
        <f>(G88/(0.00001*300)/3000)</f>
        <v>0</v>
      </c>
      <c r="I198" s="219">
        <f>(30*BC!$B$47/F198)</f>
        <v>0</v>
      </c>
      <c r="J198" s="285">
        <f t="shared" si="30"/>
        <v>0</v>
      </c>
      <c r="K198" s="194">
        <f t="shared" si="31"/>
        <v>0</v>
      </c>
      <c r="L198" s="194">
        <f t="shared" si="32"/>
        <v>0</v>
      </c>
      <c r="M198" s="364">
        <v>420</v>
      </c>
      <c r="N198" s="365">
        <f t="shared" si="28"/>
        <v>0</v>
      </c>
      <c r="O198" s="57">
        <f t="shared" si="29"/>
        <v>0</v>
      </c>
      <c r="P198" s="57">
        <f t="shared" si="27"/>
        <v>0</v>
      </c>
    </row>
    <row r="199" spans="2:16" ht="15.75" customHeight="1" x14ac:dyDescent="0.45">
      <c r="B199" s="285">
        <v>7108133190</v>
      </c>
      <c r="C199" s="357" t="s">
        <v>610</v>
      </c>
      <c r="D199" s="194" t="s">
        <v>511</v>
      </c>
      <c r="E199" s="194">
        <v>3</v>
      </c>
      <c r="F199" s="194">
        <v>84</v>
      </c>
      <c r="G199" s="194"/>
      <c r="H199" s="194">
        <f>(G62/(0.00001*300)/3000)</f>
        <v>0</v>
      </c>
      <c r="I199" s="219">
        <f>(30*BC!$B$47/F199)</f>
        <v>0</v>
      </c>
      <c r="J199" s="285">
        <f t="shared" si="30"/>
        <v>0</v>
      </c>
      <c r="K199" s="194">
        <f t="shared" si="31"/>
        <v>0</v>
      </c>
      <c r="L199" s="194">
        <f t="shared" si="32"/>
        <v>0</v>
      </c>
      <c r="M199" s="364">
        <v>184</v>
      </c>
      <c r="N199" s="365">
        <f t="shared" si="28"/>
        <v>0</v>
      </c>
      <c r="O199" s="57">
        <f t="shared" si="29"/>
        <v>0</v>
      </c>
      <c r="P199" s="57">
        <f t="shared" si="27"/>
        <v>0</v>
      </c>
    </row>
    <row r="200" spans="2:16" ht="15.75" customHeight="1" x14ac:dyDescent="0.45">
      <c r="B200" s="285">
        <v>5889081190</v>
      </c>
      <c r="C200" s="285" t="s">
        <v>611</v>
      </c>
      <c r="D200" s="194" t="s">
        <v>511</v>
      </c>
      <c r="E200" s="194">
        <v>1</v>
      </c>
      <c r="F200" s="194">
        <v>28</v>
      </c>
      <c r="G200" s="194"/>
      <c r="H200" s="194"/>
      <c r="I200" s="219">
        <f>(30*BC!$B$47/F200)</f>
        <v>0</v>
      </c>
      <c r="J200" s="285">
        <f t="shared" si="30"/>
        <v>0</v>
      </c>
      <c r="K200" s="194">
        <f t="shared" si="31"/>
        <v>0</v>
      </c>
      <c r="L200" s="194">
        <f t="shared" si="32"/>
        <v>0</v>
      </c>
      <c r="M200" s="364">
        <v>656</v>
      </c>
      <c r="N200" s="365">
        <f t="shared" si="28"/>
        <v>0</v>
      </c>
      <c r="O200" s="57">
        <f t="shared" si="29"/>
        <v>0</v>
      </c>
      <c r="P200" s="57">
        <f t="shared" si="27"/>
        <v>0</v>
      </c>
    </row>
    <row r="201" spans="2:16" ht="15.75" customHeight="1" x14ac:dyDescent="0.45">
      <c r="B201" s="285">
        <v>7360070190</v>
      </c>
      <c r="C201" s="333" t="s">
        <v>612</v>
      </c>
      <c r="D201" s="194" t="s">
        <v>511</v>
      </c>
      <c r="E201" s="194">
        <v>2</v>
      </c>
      <c r="F201" s="194">
        <v>28</v>
      </c>
      <c r="G201" s="194"/>
      <c r="H201" s="194"/>
      <c r="I201" s="219">
        <f>(30*BC!$B$47/F201)</f>
        <v>0</v>
      </c>
      <c r="J201" s="285">
        <f t="shared" si="30"/>
        <v>0</v>
      </c>
      <c r="K201" s="194">
        <f t="shared" si="31"/>
        <v>0</v>
      </c>
      <c r="L201" s="194">
        <f t="shared" si="32"/>
        <v>0</v>
      </c>
      <c r="M201" s="364">
        <v>278</v>
      </c>
      <c r="N201" s="365">
        <f t="shared" ref="N201:N216" si="33">((M201/E201)*L201)</f>
        <v>0</v>
      </c>
      <c r="O201" s="57">
        <f t="shared" ref="O201:O216" si="34">L201/E201</f>
        <v>0</v>
      </c>
      <c r="P201" s="57">
        <f t="shared" si="27"/>
        <v>0</v>
      </c>
    </row>
    <row r="202" spans="2:16" ht="15.75" customHeight="1" x14ac:dyDescent="0.45">
      <c r="B202" s="285">
        <v>5341787190</v>
      </c>
      <c r="C202" s="284" t="s">
        <v>613</v>
      </c>
      <c r="D202" s="194" t="s">
        <v>511</v>
      </c>
      <c r="E202" s="194">
        <v>3</v>
      </c>
      <c r="F202" s="194">
        <v>31</v>
      </c>
      <c r="G202" s="194"/>
      <c r="H202" s="194">
        <f>(A10/(0.00001*300)/3000)</f>
        <v>0</v>
      </c>
      <c r="I202" s="219">
        <f>(30*BC!$B$47/F202)</f>
        <v>0</v>
      </c>
      <c r="J202" s="285">
        <f t="shared" si="30"/>
        <v>0</v>
      </c>
      <c r="K202" s="194">
        <f t="shared" si="31"/>
        <v>0</v>
      </c>
      <c r="L202" s="194">
        <f t="shared" si="32"/>
        <v>0</v>
      </c>
      <c r="M202" s="364">
        <v>425</v>
      </c>
      <c r="N202" s="365">
        <f t="shared" si="33"/>
        <v>0</v>
      </c>
      <c r="O202" s="57">
        <f t="shared" si="34"/>
        <v>0</v>
      </c>
      <c r="P202" s="57">
        <f t="shared" si="27"/>
        <v>0</v>
      </c>
    </row>
    <row r="203" spans="2:16" ht="15.75" customHeight="1" x14ac:dyDescent="0.45">
      <c r="B203" s="285">
        <v>6505988190</v>
      </c>
      <c r="C203" s="329" t="s">
        <v>614</v>
      </c>
      <c r="D203" s="194" t="s">
        <v>511</v>
      </c>
      <c r="E203" s="194">
        <v>2</v>
      </c>
      <c r="F203" s="194"/>
      <c r="G203" s="194"/>
      <c r="H203" s="194"/>
      <c r="I203" s="219" t="e">
        <f>(30*BC!$B$47/F203)</f>
        <v>#DIV/0!</v>
      </c>
      <c r="J203" s="285" t="e">
        <f t="shared" si="30"/>
        <v>#DIV/0!</v>
      </c>
      <c r="K203" s="194">
        <f t="shared" si="31"/>
        <v>0</v>
      </c>
      <c r="L203" s="194">
        <f t="shared" si="32"/>
        <v>0</v>
      </c>
      <c r="M203" s="364">
        <v>141</v>
      </c>
      <c r="N203" s="365">
        <f t="shared" si="33"/>
        <v>0</v>
      </c>
      <c r="O203" s="57">
        <f t="shared" si="34"/>
        <v>0</v>
      </c>
      <c r="P203" s="57">
        <f t="shared" si="27"/>
        <v>0</v>
      </c>
    </row>
    <row r="204" spans="2:16" ht="15.75" customHeight="1" x14ac:dyDescent="0.45">
      <c r="B204" s="285">
        <v>4618807190</v>
      </c>
      <c r="C204" s="358" t="s">
        <v>615</v>
      </c>
      <c r="D204" s="194" t="s">
        <v>511</v>
      </c>
      <c r="E204" s="194">
        <v>8</v>
      </c>
      <c r="F204" s="194">
        <v>56</v>
      </c>
      <c r="G204" s="194"/>
      <c r="H204" s="194">
        <f>(G82/(0.00002*300)/3000)</f>
        <v>0</v>
      </c>
      <c r="I204" s="219">
        <f>(30*BC!$B$47/F204)</f>
        <v>0</v>
      </c>
      <c r="J204" s="285">
        <f t="shared" si="30"/>
        <v>0</v>
      </c>
      <c r="K204" s="194">
        <f t="shared" si="31"/>
        <v>0</v>
      </c>
      <c r="L204" s="194">
        <f t="shared" si="32"/>
        <v>0</v>
      </c>
      <c r="M204" s="364">
        <v>225</v>
      </c>
      <c r="N204" s="365">
        <f t="shared" si="33"/>
        <v>0</v>
      </c>
      <c r="O204" s="57">
        <f t="shared" si="34"/>
        <v>0</v>
      </c>
      <c r="P204" s="57">
        <f t="shared" si="27"/>
        <v>0</v>
      </c>
    </row>
    <row r="205" spans="2:16" ht="15.75" customHeight="1" x14ac:dyDescent="0.45">
      <c r="B205" s="285">
        <v>9787518190</v>
      </c>
      <c r="C205" s="359" t="s">
        <v>616</v>
      </c>
      <c r="D205" s="194" t="s">
        <v>511</v>
      </c>
      <c r="E205" s="194">
        <v>4</v>
      </c>
      <c r="F205" s="194">
        <v>56</v>
      </c>
      <c r="G205" s="194"/>
      <c r="H205" s="194">
        <f>(G83/(0.00002*300)/3000)</f>
        <v>0</v>
      </c>
      <c r="I205" s="219">
        <f>(30*BC!$B$47/F205)</f>
        <v>0</v>
      </c>
      <c r="J205" s="285">
        <f t="shared" si="30"/>
        <v>0</v>
      </c>
      <c r="K205" s="194">
        <f t="shared" si="31"/>
        <v>0</v>
      </c>
      <c r="L205" s="194">
        <f t="shared" si="32"/>
        <v>0</v>
      </c>
      <c r="M205" s="364">
        <v>334</v>
      </c>
      <c r="N205" s="365">
        <f t="shared" si="33"/>
        <v>0</v>
      </c>
      <c r="O205" s="57">
        <f t="shared" si="34"/>
        <v>0</v>
      </c>
      <c r="P205" s="57">
        <f t="shared" si="27"/>
        <v>0</v>
      </c>
    </row>
    <row r="206" spans="2:16" ht="15.75" customHeight="1" x14ac:dyDescent="0.45">
      <c r="B206" s="285">
        <v>9345302190</v>
      </c>
      <c r="C206" s="332" t="s">
        <v>617</v>
      </c>
      <c r="D206" s="194" t="s">
        <v>511</v>
      </c>
      <c r="E206" s="194">
        <v>3</v>
      </c>
      <c r="F206" s="194">
        <v>21</v>
      </c>
      <c r="G206" s="194"/>
      <c r="H206" s="194"/>
      <c r="I206" s="219">
        <f>(30*BC!$B$47/F206)</f>
        <v>0</v>
      </c>
      <c r="J206" s="285">
        <f t="shared" si="30"/>
        <v>0</v>
      </c>
      <c r="K206" s="194">
        <f t="shared" si="31"/>
        <v>0</v>
      </c>
      <c r="L206" s="194">
        <f t="shared" si="32"/>
        <v>0</v>
      </c>
      <c r="M206" s="364">
        <v>287</v>
      </c>
      <c r="N206" s="365">
        <f t="shared" si="33"/>
        <v>0</v>
      </c>
      <c r="O206" s="57">
        <f t="shared" si="34"/>
        <v>0</v>
      </c>
      <c r="P206" s="57">
        <f t="shared" si="27"/>
        <v>0</v>
      </c>
    </row>
    <row r="207" spans="2:16" ht="15.75" customHeight="1" x14ac:dyDescent="0.45">
      <c r="B207" s="285">
        <v>6923364190</v>
      </c>
      <c r="C207" s="334" t="s">
        <v>618</v>
      </c>
      <c r="D207" s="194" t="s">
        <v>511</v>
      </c>
      <c r="E207" s="194">
        <v>2</v>
      </c>
      <c r="F207" s="194">
        <v>168</v>
      </c>
      <c r="G207" s="194"/>
      <c r="H207" s="194"/>
      <c r="I207" s="219">
        <f>(30*BC!$B$47/F207)</f>
        <v>0</v>
      </c>
      <c r="J207" s="285">
        <f t="shared" si="30"/>
        <v>0</v>
      </c>
      <c r="K207" s="194">
        <f t="shared" si="31"/>
        <v>0</v>
      </c>
      <c r="L207" s="194">
        <f t="shared" si="32"/>
        <v>0</v>
      </c>
      <c r="M207" s="364">
        <v>101</v>
      </c>
      <c r="N207" s="365">
        <f t="shared" si="33"/>
        <v>0</v>
      </c>
      <c r="O207" s="57">
        <f t="shared" si="34"/>
        <v>0</v>
      </c>
      <c r="P207" s="57">
        <f t="shared" si="27"/>
        <v>0</v>
      </c>
    </row>
    <row r="208" spans="2:16" ht="15.75" customHeight="1" x14ac:dyDescent="0.45">
      <c r="B208" s="285">
        <v>5042666191</v>
      </c>
      <c r="C208" s="301" t="s">
        <v>619</v>
      </c>
      <c r="D208" s="194" t="s">
        <v>511</v>
      </c>
      <c r="E208" s="194">
        <v>2</v>
      </c>
      <c r="F208" s="194">
        <v>28</v>
      </c>
      <c r="G208" s="194"/>
      <c r="H208" s="194">
        <f>(A13/(0.00008*300)/3000)</f>
        <v>0</v>
      </c>
      <c r="I208" s="219">
        <f>(30*BC!$B$47/F208)</f>
        <v>0</v>
      </c>
      <c r="J208" s="285">
        <f t="shared" si="30"/>
        <v>0</v>
      </c>
      <c r="K208" s="194">
        <f t="shared" si="31"/>
        <v>0</v>
      </c>
      <c r="L208" s="194">
        <f t="shared" si="32"/>
        <v>0</v>
      </c>
      <c r="M208" s="364">
        <v>191</v>
      </c>
      <c r="N208" s="365">
        <f t="shared" si="33"/>
        <v>0</v>
      </c>
      <c r="O208" s="57">
        <f t="shared" si="34"/>
        <v>0</v>
      </c>
      <c r="P208" s="57">
        <f t="shared" si="27"/>
        <v>0</v>
      </c>
    </row>
    <row r="209" spans="2:29" ht="15.75" customHeight="1" x14ac:dyDescent="0.45">
      <c r="B209" s="285">
        <v>4618823190</v>
      </c>
      <c r="C209" s="336" t="s">
        <v>620</v>
      </c>
      <c r="D209" s="194" t="s">
        <v>511</v>
      </c>
      <c r="E209" s="194">
        <v>8</v>
      </c>
      <c r="F209" s="194">
        <v>56</v>
      </c>
      <c r="G209" s="194"/>
      <c r="H209" s="194">
        <f>(G95/(0.00002*300)/3000)</f>
        <v>0</v>
      </c>
      <c r="I209" s="219">
        <f>(30*BC!$B$47/F209)</f>
        <v>0</v>
      </c>
      <c r="J209" s="285">
        <f t="shared" si="30"/>
        <v>0</v>
      </c>
      <c r="K209" s="194">
        <f t="shared" si="31"/>
        <v>0</v>
      </c>
      <c r="L209" s="194">
        <f t="shared" si="32"/>
        <v>0</v>
      </c>
      <c r="M209" s="364">
        <v>248</v>
      </c>
      <c r="N209" s="365">
        <f t="shared" si="33"/>
        <v>0</v>
      </c>
      <c r="O209" s="57">
        <f t="shared" si="34"/>
        <v>0</v>
      </c>
      <c r="P209" s="57">
        <f t="shared" si="27"/>
        <v>0</v>
      </c>
    </row>
    <row r="210" spans="2:29" ht="15.75" customHeight="1" x14ac:dyDescent="0.45">
      <c r="B210" s="285">
        <v>5802580190</v>
      </c>
      <c r="C210" s="360" t="s">
        <v>621</v>
      </c>
      <c r="D210" s="194" t="s">
        <v>511</v>
      </c>
      <c r="E210" s="194">
        <v>3</v>
      </c>
      <c r="F210" s="194">
        <v>56</v>
      </c>
      <c r="G210" s="194"/>
      <c r="H210" s="194"/>
      <c r="I210" s="219">
        <f>(30*BC!$B$47/F210)</f>
        <v>0</v>
      </c>
      <c r="J210" s="285">
        <f t="shared" si="30"/>
        <v>0</v>
      </c>
      <c r="K210" s="194">
        <f t="shared" si="31"/>
        <v>0</v>
      </c>
      <c r="L210" s="194">
        <f t="shared" si="32"/>
        <v>0</v>
      </c>
      <c r="M210" s="364">
        <v>1238</v>
      </c>
      <c r="N210" s="365">
        <f t="shared" si="33"/>
        <v>0</v>
      </c>
      <c r="O210" s="57">
        <f t="shared" si="34"/>
        <v>0</v>
      </c>
      <c r="P210" s="57">
        <f t="shared" si="27"/>
        <v>0</v>
      </c>
    </row>
    <row r="211" spans="2:29" ht="15.75" customHeight="1" x14ac:dyDescent="0.45">
      <c r="B211" s="285">
        <v>4618866190</v>
      </c>
      <c r="C211" s="361" t="s">
        <v>622</v>
      </c>
      <c r="D211" s="194" t="s">
        <v>511</v>
      </c>
      <c r="E211" s="194">
        <v>8</v>
      </c>
      <c r="F211" s="194">
        <v>56</v>
      </c>
      <c r="G211" s="194"/>
      <c r="H211" s="194">
        <f>(G96/(0.00002*300)/3000)</f>
        <v>0</v>
      </c>
      <c r="I211" s="219">
        <f>(30*BC!$B$47/F211)</f>
        <v>0</v>
      </c>
      <c r="J211" s="285">
        <f t="shared" si="30"/>
        <v>0</v>
      </c>
      <c r="K211" s="194">
        <f t="shared" si="31"/>
        <v>0</v>
      </c>
      <c r="L211" s="194">
        <f t="shared" si="32"/>
        <v>0</v>
      </c>
      <c r="M211" s="364">
        <v>268</v>
      </c>
      <c r="N211" s="365">
        <f t="shared" si="33"/>
        <v>0</v>
      </c>
      <c r="O211" s="57">
        <f t="shared" si="34"/>
        <v>0</v>
      </c>
      <c r="P211" s="57">
        <f t="shared" si="27"/>
        <v>0</v>
      </c>
    </row>
    <row r="212" spans="2:29" ht="15.75" customHeight="1" x14ac:dyDescent="0.45">
      <c r="B212" s="285">
        <v>5095107190</v>
      </c>
      <c r="C212" s="339" t="s">
        <v>623</v>
      </c>
      <c r="D212" s="194" t="s">
        <v>511</v>
      </c>
      <c r="E212" s="194">
        <v>2</v>
      </c>
      <c r="F212" s="194">
        <v>84</v>
      </c>
      <c r="G212" s="194"/>
      <c r="H212" s="194">
        <f>(A31/(0.00005*300)/3000)</f>
        <v>0</v>
      </c>
      <c r="I212" s="219">
        <f>(30*BC!$B$47/F212)</f>
        <v>0</v>
      </c>
      <c r="J212" s="285">
        <f t="shared" si="30"/>
        <v>0</v>
      </c>
      <c r="K212" s="194">
        <f t="shared" si="31"/>
        <v>0</v>
      </c>
      <c r="L212" s="194">
        <f t="shared" si="32"/>
        <v>0</v>
      </c>
      <c r="M212" s="364">
        <v>87</v>
      </c>
      <c r="N212" s="365">
        <f t="shared" si="33"/>
        <v>0</v>
      </c>
      <c r="O212" s="57">
        <f t="shared" si="34"/>
        <v>0</v>
      </c>
      <c r="P212" s="57">
        <f t="shared" si="27"/>
        <v>0</v>
      </c>
    </row>
    <row r="213" spans="2:29" ht="15.75" customHeight="1" x14ac:dyDescent="0.45">
      <c r="B213" s="285">
        <v>11776452122</v>
      </c>
      <c r="C213" s="303" t="s">
        <v>624</v>
      </c>
      <c r="D213" s="194" t="s">
        <v>511</v>
      </c>
      <c r="E213" s="194">
        <v>2</v>
      </c>
      <c r="F213" s="194">
        <v>28</v>
      </c>
      <c r="G213" s="194"/>
      <c r="H213" s="194">
        <f>(A22/(0.00021*300)/3000)</f>
        <v>0</v>
      </c>
      <c r="I213" s="219">
        <f>(30*BC!$B$47/F213)</f>
        <v>0</v>
      </c>
      <c r="J213" s="285">
        <f t="shared" si="30"/>
        <v>0</v>
      </c>
      <c r="K213" s="194">
        <f t="shared" si="31"/>
        <v>0</v>
      </c>
      <c r="L213" s="194">
        <f t="shared" si="32"/>
        <v>0</v>
      </c>
      <c r="M213" s="364">
        <v>189</v>
      </c>
      <c r="N213" s="365">
        <f t="shared" si="33"/>
        <v>0</v>
      </c>
      <c r="O213" s="57">
        <f t="shared" si="34"/>
        <v>0</v>
      </c>
      <c r="P213" s="57">
        <f t="shared" si="27"/>
        <v>0</v>
      </c>
    </row>
    <row r="214" spans="2:29" ht="15.75" customHeight="1" x14ac:dyDescent="0.45">
      <c r="B214" s="285">
        <v>11731416190</v>
      </c>
      <c r="C214" s="310" t="s">
        <v>625</v>
      </c>
      <c r="D214" s="194" t="s">
        <v>511</v>
      </c>
      <c r="E214" s="194">
        <v>2</v>
      </c>
      <c r="F214" s="194">
        <v>28</v>
      </c>
      <c r="G214" s="194"/>
      <c r="H214" s="194">
        <f>(A19/(0.0008*300)/3000)</f>
        <v>0</v>
      </c>
      <c r="I214" s="219">
        <f>(30*BC!$B$47/F214)</f>
        <v>0</v>
      </c>
      <c r="J214" s="285">
        <f t="shared" si="30"/>
        <v>0</v>
      </c>
      <c r="K214" s="194">
        <f t="shared" si="31"/>
        <v>0</v>
      </c>
      <c r="L214" s="194">
        <f t="shared" si="32"/>
        <v>0</v>
      </c>
      <c r="M214" s="364">
        <v>101</v>
      </c>
      <c r="N214" s="365">
        <f t="shared" si="33"/>
        <v>0</v>
      </c>
      <c r="O214" s="57">
        <f t="shared" si="34"/>
        <v>0</v>
      </c>
      <c r="P214" s="57">
        <f t="shared" si="27"/>
        <v>0</v>
      </c>
    </row>
    <row r="215" spans="2:29" ht="15.75" customHeight="1" x14ac:dyDescent="0.45">
      <c r="B215" s="285">
        <v>5618860190</v>
      </c>
      <c r="C215" s="315" t="s">
        <v>626</v>
      </c>
      <c r="D215" s="194" t="s">
        <v>511</v>
      </c>
      <c r="E215" s="194">
        <v>2</v>
      </c>
      <c r="F215" s="194">
        <v>28</v>
      </c>
      <c r="G215" s="194"/>
      <c r="H215" s="194">
        <f>(A16/(0.000018*300)/3000)</f>
        <v>0</v>
      </c>
      <c r="I215" s="219">
        <f>(30*BC!$B$47/F215)</f>
        <v>0</v>
      </c>
      <c r="J215" s="285">
        <f t="shared" si="30"/>
        <v>0</v>
      </c>
      <c r="K215" s="194">
        <f t="shared" si="31"/>
        <v>0</v>
      </c>
      <c r="L215" s="194">
        <f t="shared" si="32"/>
        <v>0</v>
      </c>
      <c r="M215" s="364">
        <v>355</v>
      </c>
      <c r="N215" s="365">
        <f t="shared" si="33"/>
        <v>0</v>
      </c>
      <c r="O215" s="57">
        <f t="shared" si="34"/>
        <v>0</v>
      </c>
      <c r="P215" s="57">
        <f t="shared" si="27"/>
        <v>0</v>
      </c>
    </row>
    <row r="216" spans="2:29" ht="15.75" customHeight="1" x14ac:dyDescent="0.45">
      <c r="B216" s="285">
        <v>9038124190</v>
      </c>
      <c r="C216" s="362" t="s">
        <v>627</v>
      </c>
      <c r="D216" s="194" t="s">
        <v>511</v>
      </c>
      <c r="E216" s="194">
        <v>3</v>
      </c>
      <c r="F216" s="194">
        <v>31</v>
      </c>
      <c r="G216" s="194"/>
      <c r="H216" s="194">
        <f>(G102/(0.00008*300)/3000)</f>
        <v>0</v>
      </c>
      <c r="I216" s="219">
        <f>(30*BC!$B$47/F216)</f>
        <v>0</v>
      </c>
      <c r="J216" s="285">
        <f t="shared" si="30"/>
        <v>0</v>
      </c>
      <c r="K216" s="194">
        <f t="shared" si="31"/>
        <v>0</v>
      </c>
      <c r="L216" s="194">
        <f t="shared" si="32"/>
        <v>0</v>
      </c>
      <c r="M216" s="364">
        <v>97</v>
      </c>
      <c r="N216" s="365">
        <f t="shared" si="33"/>
        <v>0</v>
      </c>
      <c r="O216" s="57">
        <f t="shared" si="34"/>
        <v>0</v>
      </c>
      <c r="P216" s="57">
        <f t="shared" si="27"/>
        <v>0</v>
      </c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</row>
    <row r="217" spans="2:29" ht="15.75" customHeight="1" x14ac:dyDescent="0.45">
      <c r="B217" s="384" t="s">
        <v>8</v>
      </c>
      <c r="C217" s="380"/>
      <c r="D217" s="380"/>
      <c r="E217" s="380" t="s">
        <v>183</v>
      </c>
      <c r="F217" s="380" t="s">
        <v>649</v>
      </c>
      <c r="G217" s="382"/>
      <c r="H217" s="379" t="s">
        <v>53</v>
      </c>
      <c r="I217" s="379" t="s">
        <v>52</v>
      </c>
      <c r="J217" s="379" t="s">
        <v>51</v>
      </c>
      <c r="K217" s="379"/>
      <c r="L217" s="379" t="s">
        <v>50</v>
      </c>
      <c r="M217" s="379" t="s">
        <v>49</v>
      </c>
      <c r="N217" s="379" t="s">
        <v>48</v>
      </c>
      <c r="O217" s="381" t="s">
        <v>318</v>
      </c>
      <c r="P217" s="381" t="s">
        <v>319</v>
      </c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97"/>
    </row>
    <row r="218" spans="2:29" ht="15.75" customHeight="1" x14ac:dyDescent="0.45">
      <c r="B218" s="285">
        <v>11706802001</v>
      </c>
      <c r="C218" s="285" t="s">
        <v>628</v>
      </c>
      <c r="D218" s="194" t="s">
        <v>511</v>
      </c>
      <c r="E218" s="194">
        <v>1</v>
      </c>
      <c r="F218" s="194">
        <v>365</v>
      </c>
      <c r="G218" s="219"/>
      <c r="H218" s="219">
        <f>(G103/(0.02*50)/2000)</f>
        <v>0</v>
      </c>
      <c r="I218" s="219">
        <f>(30*BC!$B$47/F218)</f>
        <v>0</v>
      </c>
      <c r="J218" s="285">
        <f t="shared" si="30"/>
        <v>0</v>
      </c>
      <c r="K218" s="194">
        <f t="shared" si="31"/>
        <v>0</v>
      </c>
      <c r="L218" s="194">
        <f t="shared" si="32"/>
        <v>0</v>
      </c>
      <c r="M218" s="364">
        <v>104</v>
      </c>
      <c r="N218" s="365">
        <f t="shared" ref="N218:N228" si="35">((M218/E218)*L218)</f>
        <v>0</v>
      </c>
      <c r="O218" s="57">
        <f t="shared" ref="O218:O228" si="36">L218/E218</f>
        <v>0</v>
      </c>
      <c r="P218" s="57">
        <f t="shared" si="27"/>
        <v>0</v>
      </c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</row>
    <row r="219" spans="2:29" ht="15.75" customHeight="1" x14ac:dyDescent="0.45">
      <c r="B219" s="285">
        <v>11706799001</v>
      </c>
      <c r="C219" s="285" t="s">
        <v>629</v>
      </c>
      <c r="D219" s="194" t="s">
        <v>511</v>
      </c>
      <c r="E219" s="194">
        <v>1</v>
      </c>
      <c r="F219" s="194">
        <v>365</v>
      </c>
      <c r="G219" s="219"/>
      <c r="H219" s="219">
        <f>(G103/(0.02*25)/2000)</f>
        <v>0</v>
      </c>
      <c r="I219" s="219">
        <f>(30*BC!$B$47/F219)</f>
        <v>0</v>
      </c>
      <c r="J219" s="285">
        <f t="shared" si="30"/>
        <v>0</v>
      </c>
      <c r="K219" s="194">
        <f t="shared" si="31"/>
        <v>0</v>
      </c>
      <c r="L219" s="194">
        <f t="shared" si="32"/>
        <v>0</v>
      </c>
      <c r="M219" s="364">
        <v>109</v>
      </c>
      <c r="N219" s="365">
        <f t="shared" si="35"/>
        <v>0</v>
      </c>
      <c r="O219" s="57">
        <f t="shared" si="36"/>
        <v>0</v>
      </c>
      <c r="P219" s="57">
        <f t="shared" si="27"/>
        <v>0</v>
      </c>
      <c r="Q219" s="97"/>
      <c r="R219" s="97"/>
      <c r="S219" s="97"/>
      <c r="T219" s="97"/>
      <c r="U219" s="97"/>
      <c r="V219" s="97"/>
      <c r="W219" s="97"/>
      <c r="X219" s="97"/>
      <c r="Y219" s="97"/>
      <c r="Z219" s="97"/>
      <c r="AA219" s="97"/>
      <c r="AB219" s="97"/>
      <c r="AC219" s="97"/>
    </row>
    <row r="220" spans="2:29" ht="15.75" customHeight="1" x14ac:dyDescent="0.45">
      <c r="B220" s="285">
        <v>4444191001</v>
      </c>
      <c r="C220" s="285" t="s">
        <v>630</v>
      </c>
      <c r="D220" s="194" t="s">
        <v>511</v>
      </c>
      <c r="E220" s="194">
        <v>1</v>
      </c>
      <c r="F220" s="194">
        <v>365</v>
      </c>
      <c r="G220" s="219"/>
      <c r="H220" s="219">
        <f>((G103-(G103*0.9))/F220)</f>
        <v>0</v>
      </c>
      <c r="I220" s="219">
        <f>(30*BC!$B$47/F220)</f>
        <v>0</v>
      </c>
      <c r="J220" s="285">
        <f t="shared" si="30"/>
        <v>0</v>
      </c>
      <c r="K220" s="194">
        <f t="shared" si="31"/>
        <v>0</v>
      </c>
      <c r="L220" s="194">
        <f t="shared" si="32"/>
        <v>0</v>
      </c>
      <c r="M220" s="366">
        <v>9</v>
      </c>
      <c r="N220" s="365">
        <f t="shared" si="35"/>
        <v>0</v>
      </c>
      <c r="O220" s="57">
        <f t="shared" si="36"/>
        <v>0</v>
      </c>
      <c r="P220" s="57">
        <f t="shared" si="27"/>
        <v>0</v>
      </c>
      <c r="Q220" s="97"/>
      <c r="R220" s="97"/>
      <c r="S220" s="97"/>
      <c r="T220" s="97"/>
      <c r="U220" s="97"/>
      <c r="V220" s="97"/>
      <c r="W220" s="97"/>
      <c r="X220" s="97"/>
      <c r="Y220" s="97"/>
      <c r="Z220" s="97"/>
      <c r="AA220" s="97"/>
      <c r="AB220" s="97"/>
      <c r="AC220" s="97"/>
    </row>
    <row r="221" spans="2:29" ht="15.75" customHeight="1" x14ac:dyDescent="0.45">
      <c r="B221" s="285">
        <v>11662970122</v>
      </c>
      <c r="C221" s="285" t="s">
        <v>631</v>
      </c>
      <c r="D221" s="194" t="s">
        <v>511</v>
      </c>
      <c r="E221" s="194">
        <v>6</v>
      </c>
      <c r="F221" s="194">
        <v>28</v>
      </c>
      <c r="G221" s="219"/>
      <c r="H221" s="219">
        <f>(G103/(0.00013*100)/12000)</f>
        <v>0</v>
      </c>
      <c r="I221" s="219">
        <f>(30*BC!$B$47/F221)</f>
        <v>0</v>
      </c>
      <c r="J221" s="285">
        <f t="shared" si="30"/>
        <v>0</v>
      </c>
      <c r="K221" s="194">
        <f t="shared" si="31"/>
        <v>0</v>
      </c>
      <c r="L221" s="194">
        <f t="shared" si="32"/>
        <v>0</v>
      </c>
      <c r="M221" s="364">
        <v>68</v>
      </c>
      <c r="N221" s="365">
        <f t="shared" si="35"/>
        <v>0</v>
      </c>
      <c r="O221" s="57">
        <f t="shared" si="36"/>
        <v>0</v>
      </c>
      <c r="P221" s="57">
        <f t="shared" si="27"/>
        <v>0</v>
      </c>
      <c r="Q221" s="97"/>
      <c r="R221" s="97"/>
      <c r="S221" s="97"/>
      <c r="T221" s="97"/>
      <c r="U221" s="97"/>
      <c r="V221" s="97"/>
      <c r="W221" s="97"/>
      <c r="X221" s="97"/>
      <c r="Y221" s="97"/>
      <c r="Z221" s="97"/>
      <c r="AA221" s="97"/>
      <c r="AB221" s="97"/>
      <c r="AC221" s="97"/>
    </row>
    <row r="222" spans="2:29" ht="15.75" customHeight="1" x14ac:dyDescent="0.45">
      <c r="B222" s="285">
        <v>11662988122</v>
      </c>
      <c r="C222" s="285" t="s">
        <v>632</v>
      </c>
      <c r="D222" s="194" t="s">
        <v>511</v>
      </c>
      <c r="E222" s="194">
        <v>6</v>
      </c>
      <c r="F222" s="194">
        <v>28</v>
      </c>
      <c r="G222" s="219"/>
      <c r="H222" s="219">
        <f>(G103/(0.00013*100)/12000)</f>
        <v>0</v>
      </c>
      <c r="I222" s="219">
        <f>(30*BC!$B$47/F222)</f>
        <v>0</v>
      </c>
      <c r="J222" s="285">
        <f t="shared" si="30"/>
        <v>0</v>
      </c>
      <c r="K222" s="194">
        <f t="shared" si="31"/>
        <v>0</v>
      </c>
      <c r="L222" s="194">
        <f t="shared" si="32"/>
        <v>0</v>
      </c>
      <c r="M222" s="364">
        <v>68</v>
      </c>
      <c r="N222" s="365">
        <f t="shared" si="35"/>
        <v>0</v>
      </c>
      <c r="O222" s="57">
        <f t="shared" si="36"/>
        <v>0</v>
      </c>
      <c r="P222" s="57">
        <f t="shared" si="27"/>
        <v>0</v>
      </c>
      <c r="Q222" s="97"/>
      <c r="R222" s="97"/>
      <c r="S222" s="97"/>
      <c r="T222" s="97"/>
      <c r="U222" s="97"/>
      <c r="V222" s="97"/>
      <c r="W222" s="97"/>
      <c r="X222" s="97"/>
      <c r="Y222" s="97"/>
      <c r="Z222" s="97"/>
      <c r="AA222" s="97"/>
      <c r="AB222" s="97"/>
      <c r="AC222" s="97"/>
    </row>
    <row r="223" spans="2:29" ht="15.75" customHeight="1" x14ac:dyDescent="0.45">
      <c r="B223" s="285">
        <v>11930346122</v>
      </c>
      <c r="C223" s="285" t="s">
        <v>633</v>
      </c>
      <c r="D223" s="194" t="s">
        <v>511</v>
      </c>
      <c r="E223" s="194">
        <v>1</v>
      </c>
      <c r="F223" s="194">
        <v>168</v>
      </c>
      <c r="G223" s="219"/>
      <c r="H223" s="219">
        <f>(G103/(0.03*200)/800)</f>
        <v>0</v>
      </c>
      <c r="I223" s="219">
        <f>(30*BC!$B$47/F223)</f>
        <v>0</v>
      </c>
      <c r="J223" s="285">
        <f t="shared" si="30"/>
        <v>0</v>
      </c>
      <c r="K223" s="194">
        <f t="shared" si="31"/>
        <v>0</v>
      </c>
      <c r="L223" s="194">
        <f t="shared" si="32"/>
        <v>0</v>
      </c>
      <c r="M223" s="364">
        <v>32</v>
      </c>
      <c r="N223" s="365">
        <f t="shared" si="35"/>
        <v>0</v>
      </c>
      <c r="O223" s="57">
        <f t="shared" si="36"/>
        <v>0</v>
      </c>
      <c r="P223" s="57">
        <f t="shared" ref="P223:P229" si="37">ROUNDUP(O223,0)</f>
        <v>0</v>
      </c>
      <c r="Q223" s="97"/>
      <c r="R223" s="97"/>
      <c r="S223" s="97"/>
      <c r="T223" s="97"/>
      <c r="U223" s="97"/>
      <c r="V223" s="97"/>
      <c r="W223" s="97"/>
      <c r="X223" s="97"/>
      <c r="Y223" s="97"/>
      <c r="Z223" s="97"/>
      <c r="AA223" s="97"/>
      <c r="AB223" s="97"/>
      <c r="AC223" s="97"/>
    </row>
    <row r="224" spans="2:29" ht="15.75" customHeight="1" x14ac:dyDescent="0.45">
      <c r="B224" s="285">
        <v>11298500316</v>
      </c>
      <c r="C224" s="285" t="s">
        <v>634</v>
      </c>
      <c r="D224" s="194" t="s">
        <v>511</v>
      </c>
      <c r="E224" s="194">
        <v>5</v>
      </c>
      <c r="F224" s="194">
        <v>365</v>
      </c>
      <c r="G224" s="219"/>
      <c r="H224" s="219">
        <f>(G103/(0.02*500)/800)</f>
        <v>0</v>
      </c>
      <c r="I224" s="219">
        <f>(30*BC!$B$47/F224)</f>
        <v>0</v>
      </c>
      <c r="J224" s="285">
        <f t="shared" si="30"/>
        <v>0</v>
      </c>
      <c r="K224" s="194">
        <f t="shared" si="31"/>
        <v>0</v>
      </c>
      <c r="L224" s="194">
        <f t="shared" si="32"/>
        <v>0</v>
      </c>
      <c r="M224" s="364">
        <v>98</v>
      </c>
      <c r="N224" s="365">
        <f t="shared" si="35"/>
        <v>0</v>
      </c>
      <c r="O224" s="57">
        <f t="shared" si="36"/>
        <v>0</v>
      </c>
      <c r="P224" s="57">
        <f t="shared" si="37"/>
        <v>0</v>
      </c>
      <c r="Q224" s="97"/>
      <c r="R224" s="97"/>
      <c r="S224" s="97"/>
      <c r="T224" s="97"/>
      <c r="U224" s="97"/>
      <c r="V224" s="97"/>
      <c r="W224" s="97"/>
      <c r="X224" s="97"/>
      <c r="Y224" s="97"/>
      <c r="Z224" s="97"/>
      <c r="AA224" s="97"/>
      <c r="AB224" s="97"/>
      <c r="AC224" s="97"/>
    </row>
    <row r="225" spans="2:29" ht="15.75" customHeight="1" x14ac:dyDescent="0.45">
      <c r="B225" s="285">
        <v>5151643001</v>
      </c>
      <c r="C225" s="285" t="s">
        <v>635</v>
      </c>
      <c r="D225" s="194" t="s">
        <v>511</v>
      </c>
      <c r="E225" s="216">
        <v>1</v>
      </c>
      <c r="F225" s="216">
        <v>365</v>
      </c>
      <c r="G225" s="57"/>
      <c r="H225" s="57"/>
      <c r="I225" s="219">
        <f>(30*BC!$B$47/F225)</f>
        <v>0</v>
      </c>
      <c r="J225" s="363">
        <f t="shared" si="30"/>
        <v>0</v>
      </c>
      <c r="K225" s="216">
        <f t="shared" si="31"/>
        <v>0</v>
      </c>
      <c r="L225" s="216">
        <f t="shared" si="32"/>
        <v>0</v>
      </c>
      <c r="M225" s="367">
        <v>2481</v>
      </c>
      <c r="N225" s="365">
        <f t="shared" si="35"/>
        <v>0</v>
      </c>
      <c r="O225" s="57">
        <f t="shared" si="36"/>
        <v>0</v>
      </c>
      <c r="P225" s="57">
        <f t="shared" si="37"/>
        <v>0</v>
      </c>
      <c r="Q225" s="97"/>
      <c r="R225" s="97"/>
      <c r="S225" s="97"/>
      <c r="T225" s="97"/>
      <c r="U225" s="97"/>
      <c r="V225" s="97"/>
      <c r="W225" s="97"/>
      <c r="X225" s="97"/>
      <c r="Y225" s="97"/>
      <c r="Z225" s="97"/>
      <c r="AA225" s="97"/>
      <c r="AB225" s="97"/>
      <c r="AC225" s="97"/>
    </row>
    <row r="226" spans="2:29" ht="15.75" customHeight="1" x14ac:dyDescent="0.45">
      <c r="B226" s="285">
        <v>11732277122</v>
      </c>
      <c r="C226" s="285" t="s">
        <v>636</v>
      </c>
      <c r="D226" s="194" t="s">
        <v>511</v>
      </c>
      <c r="E226" s="216">
        <v>2</v>
      </c>
      <c r="F226" s="216">
        <v>84</v>
      </c>
      <c r="G226" s="57"/>
      <c r="H226" s="57"/>
      <c r="I226" s="219">
        <f>(30*BC!$B$47/F226)</f>
        <v>0</v>
      </c>
      <c r="J226" s="363">
        <f t="shared" si="30"/>
        <v>0</v>
      </c>
      <c r="K226" s="216">
        <f t="shared" si="31"/>
        <v>0</v>
      </c>
      <c r="L226" s="216">
        <f t="shared" si="32"/>
        <v>0</v>
      </c>
      <c r="M226" s="367">
        <v>275</v>
      </c>
      <c r="N226" s="365">
        <f t="shared" si="35"/>
        <v>0</v>
      </c>
      <c r="O226" s="57">
        <f t="shared" si="36"/>
        <v>0</v>
      </c>
      <c r="P226" s="57">
        <f t="shared" si="37"/>
        <v>0</v>
      </c>
      <c r="Q226" s="97"/>
      <c r="R226" s="97"/>
      <c r="S226" s="97"/>
      <c r="T226" s="97"/>
      <c r="U226" s="97"/>
      <c r="V226" s="97"/>
      <c r="W226" s="97"/>
      <c r="X226" s="97"/>
      <c r="Y226" s="97"/>
      <c r="Z226" s="97"/>
      <c r="AA226" s="97"/>
      <c r="AB226" s="97"/>
      <c r="AC226" s="97"/>
    </row>
    <row r="227" spans="2:29" ht="15.75" customHeight="1" x14ac:dyDescent="0.45">
      <c r="B227" s="285">
        <v>3183971122</v>
      </c>
      <c r="C227" s="285" t="s">
        <v>637</v>
      </c>
      <c r="D227" s="194" t="s">
        <v>511</v>
      </c>
      <c r="E227" s="216">
        <v>1</v>
      </c>
      <c r="F227" s="216">
        <v>84</v>
      </c>
      <c r="G227" s="57"/>
      <c r="H227" s="57">
        <f>(A43/(0.02*100)/100)</f>
        <v>0</v>
      </c>
      <c r="I227" s="219">
        <f>(30*BC!$B$47/F227)</f>
        <v>0</v>
      </c>
      <c r="J227" s="363">
        <f t="shared" si="30"/>
        <v>0</v>
      </c>
      <c r="K227" s="216">
        <f t="shared" si="31"/>
        <v>0</v>
      </c>
      <c r="L227" s="216">
        <f t="shared" si="32"/>
        <v>0</v>
      </c>
      <c r="M227" s="367">
        <v>165</v>
      </c>
      <c r="N227" s="365">
        <f t="shared" si="35"/>
        <v>0</v>
      </c>
      <c r="O227" s="57">
        <f t="shared" si="36"/>
        <v>0</v>
      </c>
      <c r="P227" s="57">
        <f t="shared" si="37"/>
        <v>0</v>
      </c>
    </row>
    <row r="228" spans="2:29" ht="15.75" customHeight="1" x14ac:dyDescent="0.45">
      <c r="B228" s="287">
        <v>11800507001</v>
      </c>
      <c r="C228" s="197" t="s">
        <v>638</v>
      </c>
      <c r="D228" s="219" t="s">
        <v>511</v>
      </c>
      <c r="E228" s="57">
        <v>1</v>
      </c>
      <c r="F228" s="57">
        <v>365</v>
      </c>
      <c r="G228" s="57"/>
      <c r="H228" s="57"/>
      <c r="I228" s="219">
        <f>(30*BC!$B$47/F228)</f>
        <v>0</v>
      </c>
      <c r="J228" s="363">
        <f t="shared" si="30"/>
        <v>0</v>
      </c>
      <c r="K228" s="216">
        <f t="shared" si="31"/>
        <v>0</v>
      </c>
      <c r="L228" s="216">
        <f t="shared" si="32"/>
        <v>0</v>
      </c>
      <c r="M228" s="368">
        <v>51</v>
      </c>
      <c r="N228" s="365">
        <f t="shared" si="35"/>
        <v>0</v>
      </c>
      <c r="O228" s="57">
        <f t="shared" si="36"/>
        <v>0</v>
      </c>
      <c r="P228" s="57">
        <f t="shared" si="37"/>
        <v>0</v>
      </c>
    </row>
    <row r="229" spans="2:29" ht="15.75" customHeight="1" x14ac:dyDescent="0.45">
      <c r="B229" s="287"/>
      <c r="C229" s="56" t="s">
        <v>177</v>
      </c>
      <c r="D229" s="219"/>
      <c r="E229" s="57"/>
      <c r="F229" s="57"/>
      <c r="G229" s="57"/>
      <c r="H229" s="57"/>
      <c r="I229" s="57"/>
      <c r="J229" s="363"/>
      <c r="K229" s="216"/>
      <c r="L229" s="216">
        <f>BCB47</f>
        <v>0</v>
      </c>
      <c r="M229" s="368">
        <v>1200</v>
      </c>
      <c r="N229" s="369">
        <f>M229*L229</f>
        <v>0</v>
      </c>
      <c r="O229" s="57"/>
      <c r="P229" s="57">
        <f t="shared" si="37"/>
        <v>0</v>
      </c>
    </row>
    <row r="230" spans="2:29" ht="15.75" customHeight="1" x14ac:dyDescent="0.45">
      <c r="E230" s="72"/>
      <c r="F230" s="72"/>
      <c r="G230" s="72"/>
      <c r="H230" s="72"/>
      <c r="I230" s="72"/>
      <c r="J230" s="24"/>
      <c r="K230" s="72"/>
      <c r="L230" s="72"/>
      <c r="M230" s="370"/>
      <c r="N230" s="385">
        <f>SUM(N105:N229)</f>
        <v>0</v>
      </c>
      <c r="O230" s="24"/>
    </row>
    <row r="231" spans="2:29" ht="15.75" customHeight="1" x14ac:dyDescent="0.45">
      <c r="E231" s="72"/>
      <c r="F231" s="72"/>
      <c r="G231" s="72"/>
      <c r="H231" s="72"/>
      <c r="I231" s="72"/>
      <c r="J231" s="24"/>
      <c r="K231" s="72"/>
      <c r="L231" s="72"/>
      <c r="M231" s="24"/>
      <c r="N231" s="385" t="e">
        <f>N230/G103</f>
        <v>#DIV/0!</v>
      </c>
      <c r="O231" s="24"/>
    </row>
    <row r="232" spans="2:29" ht="15.75" customHeight="1" x14ac:dyDescent="0.45"/>
    <row r="233" spans="2:29" ht="15.75" customHeight="1" x14ac:dyDescent="0.45"/>
    <row r="234" spans="2:29" ht="15.75" customHeight="1" x14ac:dyDescent="0.45"/>
    <row r="235" spans="2:29" ht="15.75" customHeight="1" x14ac:dyDescent="0.45"/>
    <row r="236" spans="2:29" ht="15.75" customHeight="1" x14ac:dyDescent="0.45"/>
    <row r="237" spans="2:29" ht="15.75" customHeight="1" x14ac:dyDescent="0.45"/>
    <row r="238" spans="2:29" ht="15.75" customHeight="1" x14ac:dyDescent="0.45"/>
    <row r="239" spans="2:29" ht="15.75" customHeight="1" x14ac:dyDescent="0.45"/>
    <row r="240" spans="2:29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</sheetData>
  <mergeCells count="1">
    <mergeCell ref="B103:F10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34B8B-AA39-4A02-848A-203DAC5BCAD2}">
  <dimension ref="A1:AD983"/>
  <sheetViews>
    <sheetView topLeftCell="A172" zoomScale="70" zoomScaleNormal="70" workbookViewId="0">
      <selection activeCell="A202" sqref="A202:XFD202"/>
    </sheetView>
  </sheetViews>
  <sheetFormatPr baseColWidth="10" defaultColWidth="14.3984375" defaultRowHeight="14.25" x14ac:dyDescent="0.45"/>
  <cols>
    <col min="1" max="1" width="17.796875" bestFit="1" customWidth="1"/>
    <col min="2" max="2" width="9.59765625" bestFit="1" customWidth="1"/>
    <col min="3" max="3" width="28.06640625" bestFit="1" customWidth="1"/>
    <col min="4" max="4" width="34.1328125" bestFit="1" customWidth="1"/>
    <col min="5" max="5" width="12.86328125" style="21" bestFit="1" customWidth="1"/>
    <col min="6" max="6" width="14.59765625" style="21" bestFit="1" customWidth="1"/>
    <col min="7" max="7" width="9.19921875" style="21" bestFit="1" customWidth="1"/>
    <col min="8" max="8" width="9.19921875" style="21" customWidth="1"/>
    <col min="9" max="9" width="14.6640625" style="21" bestFit="1" customWidth="1"/>
    <col min="10" max="10" width="17.19921875" style="21" bestFit="1" customWidth="1"/>
    <col min="11" max="11" width="15" bestFit="1" customWidth="1"/>
    <col min="12" max="12" width="8.6640625" style="21" bestFit="1" customWidth="1"/>
    <col min="13" max="13" width="16.86328125" style="21" bestFit="1" customWidth="1"/>
    <col min="14" max="14" width="7.06640625" bestFit="1" customWidth="1"/>
    <col min="15" max="15" width="7.796875" bestFit="1" customWidth="1"/>
    <col min="16" max="16" width="11.73046875" bestFit="1" customWidth="1"/>
    <col min="17" max="17" width="11.3984375" bestFit="1" customWidth="1"/>
    <col min="18" max="18" width="10.19921875" bestFit="1" customWidth="1"/>
    <col min="19" max="19" width="6.06640625" bestFit="1" customWidth="1"/>
    <col min="20" max="20" width="7.9296875" bestFit="1" customWidth="1"/>
    <col min="21" max="21" width="11.73046875" bestFit="1" customWidth="1"/>
    <col min="22" max="22" width="10.86328125" bestFit="1" customWidth="1"/>
  </cols>
  <sheetData>
    <row r="1" spans="1:30" ht="15.75" customHeight="1" x14ac:dyDescent="0.45">
      <c r="B1" s="254" t="s">
        <v>60</v>
      </c>
      <c r="E1" s="268"/>
      <c r="F1" s="268"/>
      <c r="G1" s="268"/>
      <c r="H1" s="268"/>
      <c r="I1" s="268"/>
      <c r="J1" s="268"/>
      <c r="K1" s="97"/>
      <c r="L1" s="251"/>
      <c r="M1" s="251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</row>
    <row r="2" spans="1:30" ht="15.75" customHeight="1" x14ac:dyDescent="0.45">
      <c r="B2" s="254" t="s">
        <v>184</v>
      </c>
      <c r="E2" s="268"/>
      <c r="F2" s="268"/>
      <c r="G2" s="268"/>
      <c r="H2" s="268"/>
      <c r="I2" s="268"/>
      <c r="J2" s="268"/>
      <c r="K2" s="97"/>
      <c r="L2" s="251"/>
      <c r="M2" s="251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</row>
    <row r="3" spans="1:30" ht="15.75" customHeight="1" x14ac:dyDescent="0.45">
      <c r="B3" s="254" t="s">
        <v>185</v>
      </c>
      <c r="E3" s="269"/>
      <c r="F3" s="269"/>
      <c r="G3" s="269"/>
      <c r="H3" s="269"/>
      <c r="I3" s="269"/>
      <c r="J3" s="269"/>
      <c r="K3" s="97"/>
      <c r="L3" s="251"/>
      <c r="M3" s="251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</row>
    <row r="4" spans="1:30" ht="15.75" customHeight="1" x14ac:dyDescent="0.45">
      <c r="B4" s="254" t="s">
        <v>186</v>
      </c>
      <c r="D4" s="256" t="s">
        <v>187</v>
      </c>
      <c r="G4" s="268"/>
      <c r="H4" s="268"/>
      <c r="I4" s="268"/>
      <c r="J4" s="268"/>
      <c r="K4" s="97"/>
      <c r="L4" s="251"/>
      <c r="M4" s="251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</row>
    <row r="5" spans="1:30" ht="15.75" customHeight="1" x14ac:dyDescent="0.45">
      <c r="B5" s="254" t="s">
        <v>188</v>
      </c>
      <c r="D5" s="256" t="s">
        <v>187</v>
      </c>
      <c r="G5" s="268"/>
      <c r="H5" s="268"/>
      <c r="I5" s="268"/>
      <c r="J5" s="268"/>
      <c r="K5" s="97"/>
      <c r="L5" s="251"/>
      <c r="M5" s="251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</row>
    <row r="6" spans="1:30" ht="15.75" customHeight="1" x14ac:dyDescent="0.45">
      <c r="B6" s="257" t="s">
        <v>189</v>
      </c>
      <c r="C6" s="258" t="s">
        <v>321</v>
      </c>
      <c r="D6" s="259"/>
      <c r="E6" s="270"/>
      <c r="F6" s="270"/>
      <c r="G6" s="270"/>
      <c r="H6" s="270"/>
      <c r="I6" s="270"/>
      <c r="J6" s="270"/>
      <c r="K6" s="97"/>
      <c r="L6" s="251"/>
      <c r="M6" s="251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</row>
    <row r="7" spans="1:30" ht="15.75" customHeight="1" x14ac:dyDescent="0.45">
      <c r="B7" s="102"/>
      <c r="C7" s="97"/>
      <c r="D7" s="97"/>
      <c r="E7" s="251"/>
      <c r="F7" s="251"/>
      <c r="G7" s="251"/>
      <c r="H7" s="251"/>
      <c r="I7" s="251"/>
      <c r="J7" s="251"/>
      <c r="K7" s="97"/>
      <c r="L7" s="251"/>
      <c r="M7" s="251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</row>
    <row r="8" spans="1:30" s="277" customFormat="1" ht="42" x14ac:dyDescent="0.45">
      <c r="A8" s="376" t="s">
        <v>639</v>
      </c>
      <c r="B8" s="377" t="s">
        <v>191</v>
      </c>
      <c r="C8" s="377" t="s">
        <v>192</v>
      </c>
      <c r="D8" s="377" t="s">
        <v>322</v>
      </c>
      <c r="E8" s="377" t="s">
        <v>55</v>
      </c>
      <c r="F8" s="377" t="s">
        <v>54</v>
      </c>
      <c r="G8" s="377" t="s">
        <v>193</v>
      </c>
      <c r="H8" s="238" t="s">
        <v>320</v>
      </c>
      <c r="I8" s="377" t="s">
        <v>53</v>
      </c>
      <c r="J8" s="377" t="s">
        <v>52</v>
      </c>
      <c r="K8" s="377" t="s">
        <v>51</v>
      </c>
      <c r="L8" s="377"/>
      <c r="M8" s="377" t="s">
        <v>50</v>
      </c>
      <c r="N8" s="377" t="s">
        <v>49</v>
      </c>
      <c r="O8" s="377" t="s">
        <v>48</v>
      </c>
      <c r="P8" s="280" t="s">
        <v>162</v>
      </c>
      <c r="Q8" s="281" t="s">
        <v>163</v>
      </c>
      <c r="R8" s="281" t="s">
        <v>165</v>
      </c>
      <c r="S8" s="282" t="s">
        <v>169</v>
      </c>
      <c r="T8" s="282" t="s">
        <v>164</v>
      </c>
      <c r="U8" s="279" t="s">
        <v>47</v>
      </c>
      <c r="V8" s="19" t="s">
        <v>46</v>
      </c>
      <c r="W8" s="98"/>
      <c r="X8" s="98"/>
      <c r="Y8" s="98"/>
      <c r="Z8" s="98"/>
      <c r="AA8" s="98"/>
      <c r="AB8" s="98"/>
      <c r="AC8" s="98"/>
      <c r="AD8" s="98"/>
    </row>
    <row r="9" spans="1:30" ht="15.75" customHeight="1" x14ac:dyDescent="0.45">
      <c r="A9" s="263">
        <f>H9+H37+H58+H66+H74+H86</f>
        <v>0</v>
      </c>
      <c r="B9" s="283">
        <v>8946710190</v>
      </c>
      <c r="C9" s="284" t="s">
        <v>323</v>
      </c>
      <c r="D9" s="285" t="s">
        <v>324</v>
      </c>
      <c r="E9" s="194">
        <v>100</v>
      </c>
      <c r="F9" s="194">
        <v>84</v>
      </c>
      <c r="G9" s="386">
        <f>'e411'!F9</f>
        <v>0</v>
      </c>
      <c r="H9" s="57">
        <f>(G9*0.2)+(G9)</f>
        <v>0</v>
      </c>
      <c r="I9" s="219">
        <f>H9/E9</f>
        <v>0</v>
      </c>
      <c r="J9" s="219">
        <f>(30*BC!$B$47/F9)</f>
        <v>0</v>
      </c>
      <c r="K9" s="285">
        <f>IF(J9&gt;I9,J9,I9)</f>
        <v>0</v>
      </c>
      <c r="L9" s="194">
        <f>IF(I9=0,0,K9)</f>
        <v>0</v>
      </c>
      <c r="M9" s="194">
        <f>ROUNDUP(L9,0)</f>
        <v>0</v>
      </c>
      <c r="N9" s="364">
        <v>1329</v>
      </c>
      <c r="O9" s="365">
        <f>N9*M9</f>
        <v>0</v>
      </c>
      <c r="P9" s="371">
        <f>N9/E9</f>
        <v>13.29</v>
      </c>
      <c r="Q9" s="374" t="e">
        <f>(P9+$O$231)+((BC!$F$125)/$G$103)</f>
        <v>#DIV/0!</v>
      </c>
      <c r="R9" s="374" t="e">
        <f>Q9*G9</f>
        <v>#DIV/0!</v>
      </c>
      <c r="S9" s="375" t="e">
        <f>((Q9*0.15)+Q9)</f>
        <v>#DIV/0!</v>
      </c>
      <c r="T9" s="375" t="e">
        <f>S9*G9</f>
        <v>#DIV/0!</v>
      </c>
      <c r="U9" s="375" t="e">
        <f>SUM(T9:T102)</f>
        <v>#DIV/0!</v>
      </c>
      <c r="V9" s="374" t="e">
        <f>SUM(R9:R102)</f>
        <v>#DIV/0!</v>
      </c>
      <c r="W9" s="256"/>
      <c r="X9" s="256"/>
      <c r="Y9" s="256"/>
      <c r="Z9" s="256"/>
      <c r="AA9" s="256"/>
      <c r="AB9" s="256"/>
      <c r="AC9" s="256"/>
      <c r="AD9" s="256"/>
    </row>
    <row r="10" spans="1:30" ht="15.75" customHeight="1" x14ac:dyDescent="0.45">
      <c r="B10" s="287">
        <v>9015060190</v>
      </c>
      <c r="C10" s="288" t="s">
        <v>325</v>
      </c>
      <c r="D10" s="220" t="s">
        <v>326</v>
      </c>
      <c r="E10" s="219">
        <v>100</v>
      </c>
      <c r="F10" s="219">
        <v>56</v>
      </c>
      <c r="G10" s="386">
        <f>'e411'!F10</f>
        <v>0</v>
      </c>
      <c r="H10" s="57">
        <f t="shared" ref="H10:H69" si="0">(G10*0.2)+(G10)</f>
        <v>0</v>
      </c>
      <c r="I10" s="219">
        <f t="shared" ref="I10:I69" si="1">H10/E10</f>
        <v>0</v>
      </c>
      <c r="J10" s="219">
        <f>(30*BC!$B$47/F10)</f>
        <v>0</v>
      </c>
      <c r="K10" s="285">
        <f t="shared" ref="K10:K69" si="2">IF(J10&gt;I10,J10,I10)</f>
        <v>0</v>
      </c>
      <c r="L10" s="194">
        <f t="shared" ref="L10:L69" si="3">IF(I10=0,0,K10)</f>
        <v>0</v>
      </c>
      <c r="M10" s="194">
        <f t="shared" ref="M10:M69" si="4">ROUNDUP(L10,0)</f>
        <v>0</v>
      </c>
      <c r="N10" s="364">
        <v>157</v>
      </c>
      <c r="O10" s="365">
        <f t="shared" ref="O10:O69" si="5">N10*M10</f>
        <v>0</v>
      </c>
      <c r="P10" s="371">
        <f t="shared" ref="P10:P69" si="6">N10/E10</f>
        <v>1.57</v>
      </c>
      <c r="Q10" s="374" t="e">
        <f>(P10+$O$231)+((BC!$F$125)/$G$103)</f>
        <v>#DIV/0!</v>
      </c>
      <c r="R10" s="374" t="e">
        <f t="shared" ref="R10:R69" si="7">Q10*G10</f>
        <v>#DIV/0!</v>
      </c>
      <c r="S10" s="375" t="e">
        <f t="shared" ref="S10:S69" si="8">((Q10*0.15)+Q10)</f>
        <v>#DIV/0!</v>
      </c>
      <c r="T10" s="375" t="e">
        <f t="shared" ref="T10:T69" si="9">S10*G10</f>
        <v>#DIV/0!</v>
      </c>
      <c r="U10" s="373"/>
      <c r="V10" s="373"/>
      <c r="W10" s="97"/>
      <c r="X10" s="97"/>
      <c r="Y10" s="97"/>
      <c r="Z10" s="97"/>
      <c r="AA10" s="97"/>
      <c r="AB10" s="97"/>
      <c r="AC10" s="97"/>
      <c r="AD10" s="97"/>
    </row>
    <row r="11" spans="1:30" ht="15.75" customHeight="1" x14ac:dyDescent="0.45">
      <c r="A11" s="260" t="s">
        <v>641</v>
      </c>
      <c r="B11" s="283">
        <v>10059516190</v>
      </c>
      <c r="C11" s="289" t="s">
        <v>640</v>
      </c>
      <c r="D11" s="220" t="s">
        <v>327</v>
      </c>
      <c r="E11" s="194">
        <v>100</v>
      </c>
      <c r="F11" s="194"/>
      <c r="G11" s="386">
        <f>'e411'!F11</f>
        <v>0</v>
      </c>
      <c r="H11" s="57">
        <f t="shared" si="0"/>
        <v>0</v>
      </c>
      <c r="I11" s="219">
        <f t="shared" si="1"/>
        <v>0</v>
      </c>
      <c r="J11" s="219" t="e">
        <f>(30*BC!$B$47/F11)</f>
        <v>#DIV/0!</v>
      </c>
      <c r="K11" s="285" t="e">
        <f t="shared" si="2"/>
        <v>#DIV/0!</v>
      </c>
      <c r="L11" s="194">
        <f t="shared" si="3"/>
        <v>0</v>
      </c>
      <c r="M11" s="194">
        <f t="shared" si="4"/>
        <v>0</v>
      </c>
      <c r="N11" s="366">
        <v>1882</v>
      </c>
      <c r="O11" s="365">
        <f t="shared" si="5"/>
        <v>0</v>
      </c>
      <c r="P11" s="371">
        <f t="shared" si="6"/>
        <v>18.82</v>
      </c>
      <c r="Q11" s="374" t="e">
        <f>(P11+$O$231)+((BC!$F$125)/$G$103)</f>
        <v>#DIV/0!</v>
      </c>
      <c r="R11" s="374" t="e">
        <f t="shared" si="7"/>
        <v>#DIV/0!</v>
      </c>
      <c r="S11" s="375" t="e">
        <f t="shared" si="8"/>
        <v>#DIV/0!</v>
      </c>
      <c r="T11" s="375" t="e">
        <f t="shared" si="9"/>
        <v>#DIV/0!</v>
      </c>
      <c r="U11" s="373"/>
      <c r="V11" s="373"/>
      <c r="W11" s="97"/>
      <c r="X11" s="97"/>
      <c r="Y11" s="97"/>
      <c r="Z11" s="97"/>
      <c r="AA11" s="97"/>
      <c r="AB11" s="97"/>
      <c r="AC11" s="97"/>
      <c r="AD11" s="97"/>
    </row>
    <row r="12" spans="1:30" ht="15.75" customHeight="1" x14ac:dyDescent="0.45">
      <c r="A12" s="260">
        <f>H12+H23+H24</f>
        <v>0</v>
      </c>
      <c r="B12" s="287">
        <v>6368590190</v>
      </c>
      <c r="C12" s="290" t="s">
        <v>328</v>
      </c>
      <c r="D12" s="220" t="s">
        <v>329</v>
      </c>
      <c r="E12" s="219">
        <v>100</v>
      </c>
      <c r="F12" s="219">
        <v>15</v>
      </c>
      <c r="G12" s="386">
        <f>'e411'!F12</f>
        <v>0</v>
      </c>
      <c r="H12" s="57">
        <f t="shared" si="0"/>
        <v>0</v>
      </c>
      <c r="I12" s="219">
        <f t="shared" si="1"/>
        <v>0</v>
      </c>
      <c r="J12" s="219">
        <f>(30*BC!$B$47/F12)</f>
        <v>0</v>
      </c>
      <c r="K12" s="285">
        <f t="shared" si="2"/>
        <v>0</v>
      </c>
      <c r="L12" s="194">
        <f t="shared" si="3"/>
        <v>0</v>
      </c>
      <c r="M12" s="194">
        <f t="shared" si="4"/>
        <v>0</v>
      </c>
      <c r="N12" s="364">
        <v>548</v>
      </c>
      <c r="O12" s="365">
        <f t="shared" si="5"/>
        <v>0</v>
      </c>
      <c r="P12" s="371">
        <f t="shared" si="6"/>
        <v>5.48</v>
      </c>
      <c r="Q12" s="374" t="e">
        <f>(P12+$O$231)+((BC!$F$125)/$G$103)</f>
        <v>#DIV/0!</v>
      </c>
      <c r="R12" s="374" t="e">
        <f t="shared" si="7"/>
        <v>#DIV/0!</v>
      </c>
      <c r="S12" s="375" t="e">
        <f t="shared" si="8"/>
        <v>#DIV/0!</v>
      </c>
      <c r="T12" s="375" t="e">
        <f t="shared" si="9"/>
        <v>#DIV/0!</v>
      </c>
      <c r="U12" s="373"/>
      <c r="V12" s="373"/>
      <c r="W12" s="97"/>
      <c r="X12" s="97"/>
      <c r="Y12" s="97"/>
      <c r="Z12" s="97"/>
      <c r="AA12" s="97"/>
      <c r="AB12" s="97"/>
      <c r="AC12" s="97"/>
      <c r="AD12" s="97"/>
    </row>
    <row r="13" spans="1:30" ht="15.75" customHeight="1" x14ac:dyDescent="0.45">
      <c r="B13" s="283">
        <v>5031656190</v>
      </c>
      <c r="C13" s="291" t="s">
        <v>330</v>
      </c>
      <c r="D13" s="285" t="s">
        <v>331</v>
      </c>
      <c r="E13" s="194">
        <v>100</v>
      </c>
      <c r="F13" s="194">
        <v>28</v>
      </c>
      <c r="G13" s="386">
        <f>'e411'!F13</f>
        <v>0</v>
      </c>
      <c r="H13" s="57">
        <f t="shared" si="0"/>
        <v>0</v>
      </c>
      <c r="I13" s="219">
        <f t="shared" si="1"/>
        <v>0</v>
      </c>
      <c r="J13" s="219">
        <f>(30*BC!$B$47/F13)</f>
        <v>0</v>
      </c>
      <c r="K13" s="285">
        <f t="shared" si="2"/>
        <v>0</v>
      </c>
      <c r="L13" s="194">
        <f t="shared" si="3"/>
        <v>0</v>
      </c>
      <c r="M13" s="194">
        <f t="shared" si="4"/>
        <v>0</v>
      </c>
      <c r="N13" s="364">
        <v>861</v>
      </c>
      <c r="O13" s="365">
        <f t="shared" si="5"/>
        <v>0</v>
      </c>
      <c r="P13" s="371">
        <f t="shared" si="6"/>
        <v>8.61</v>
      </c>
      <c r="Q13" s="374" t="e">
        <f>(P13+$O$231)+((BC!$F$125)/$G$103)</f>
        <v>#DIV/0!</v>
      </c>
      <c r="R13" s="374" t="e">
        <f t="shared" si="7"/>
        <v>#DIV/0!</v>
      </c>
      <c r="S13" s="375" t="e">
        <f t="shared" si="8"/>
        <v>#DIV/0!</v>
      </c>
      <c r="T13" s="375" t="e">
        <f t="shared" si="9"/>
        <v>#DIV/0!</v>
      </c>
      <c r="U13" s="372"/>
      <c r="V13" s="372"/>
      <c r="W13" s="256"/>
      <c r="X13" s="256"/>
      <c r="Y13" s="256"/>
      <c r="Z13" s="256"/>
      <c r="AA13" s="256"/>
      <c r="AB13" s="256"/>
      <c r="AC13" s="256"/>
      <c r="AD13" s="256"/>
    </row>
    <row r="14" spans="1:30" ht="15.75" customHeight="1" x14ac:dyDescent="0.45">
      <c r="A14" s="261" t="s">
        <v>642</v>
      </c>
      <c r="B14" s="287">
        <v>8086630190</v>
      </c>
      <c r="C14" s="292" t="s">
        <v>332</v>
      </c>
      <c r="D14" s="285" t="s">
        <v>333</v>
      </c>
      <c r="E14" s="219">
        <v>100</v>
      </c>
      <c r="F14" s="219">
        <v>56</v>
      </c>
      <c r="G14" s="386">
        <f>'e411'!F14</f>
        <v>0</v>
      </c>
      <c r="H14" s="57">
        <f t="shared" si="0"/>
        <v>0</v>
      </c>
      <c r="I14" s="219">
        <f t="shared" si="1"/>
        <v>0</v>
      </c>
      <c r="J14" s="219">
        <f>(30*BC!$B$47/F14)</f>
        <v>0</v>
      </c>
      <c r="K14" s="285">
        <f t="shared" si="2"/>
        <v>0</v>
      </c>
      <c r="L14" s="194">
        <f t="shared" si="3"/>
        <v>0</v>
      </c>
      <c r="M14" s="194">
        <f t="shared" si="4"/>
        <v>0</v>
      </c>
      <c r="N14" s="364">
        <v>369</v>
      </c>
      <c r="O14" s="365">
        <f t="shared" si="5"/>
        <v>0</v>
      </c>
      <c r="P14" s="371">
        <f t="shared" si="6"/>
        <v>3.69</v>
      </c>
      <c r="Q14" s="374" t="e">
        <f>(P14+$O$231)+((BC!$F$125)/$G$103)</f>
        <v>#DIV/0!</v>
      </c>
      <c r="R14" s="374" t="e">
        <f t="shared" si="7"/>
        <v>#DIV/0!</v>
      </c>
      <c r="S14" s="375" t="e">
        <f t="shared" si="8"/>
        <v>#DIV/0!</v>
      </c>
      <c r="T14" s="375" t="e">
        <f t="shared" si="9"/>
        <v>#DIV/0!</v>
      </c>
      <c r="U14" s="74"/>
      <c r="V14" s="74"/>
    </row>
    <row r="15" spans="1:30" ht="15.75" customHeight="1" x14ac:dyDescent="0.45">
      <c r="A15" s="261">
        <f>H46+H70+H80+H81+H101</f>
        <v>0</v>
      </c>
      <c r="B15" s="287">
        <v>11820591122</v>
      </c>
      <c r="C15" s="293" t="s">
        <v>334</v>
      </c>
      <c r="D15" s="285" t="s">
        <v>335</v>
      </c>
      <c r="E15" s="219">
        <v>100</v>
      </c>
      <c r="F15" s="219">
        <v>56</v>
      </c>
      <c r="G15" s="386">
        <f>'e411'!F15</f>
        <v>0</v>
      </c>
      <c r="H15" s="57">
        <f t="shared" si="0"/>
        <v>0</v>
      </c>
      <c r="I15" s="219">
        <f t="shared" si="1"/>
        <v>0</v>
      </c>
      <c r="J15" s="219">
        <f>(30*BC!$B$47/F15)</f>
        <v>0</v>
      </c>
      <c r="K15" s="285">
        <f t="shared" si="2"/>
        <v>0</v>
      </c>
      <c r="L15" s="194">
        <f t="shared" si="3"/>
        <v>0</v>
      </c>
      <c r="M15" s="194">
        <f t="shared" si="4"/>
        <v>0</v>
      </c>
      <c r="N15" s="364">
        <v>508</v>
      </c>
      <c r="O15" s="365">
        <f t="shared" si="5"/>
        <v>0</v>
      </c>
      <c r="P15" s="371">
        <f t="shared" si="6"/>
        <v>5.08</v>
      </c>
      <c r="Q15" s="374" t="e">
        <f>(P15+$O$231)+((BC!$F$125)/$G$103)</f>
        <v>#DIV/0!</v>
      </c>
      <c r="R15" s="374" t="e">
        <f t="shared" si="7"/>
        <v>#DIV/0!</v>
      </c>
      <c r="S15" s="375" t="e">
        <f t="shared" si="8"/>
        <v>#DIV/0!</v>
      </c>
      <c r="T15" s="375" t="e">
        <f t="shared" si="9"/>
        <v>#DIV/0!</v>
      </c>
      <c r="U15" s="74"/>
      <c r="V15" s="74"/>
    </row>
    <row r="16" spans="1:30" ht="15.75" customHeight="1" x14ac:dyDescent="0.45">
      <c r="B16" s="287">
        <v>11820567122</v>
      </c>
      <c r="C16" s="294" t="s">
        <v>336</v>
      </c>
      <c r="D16" s="285" t="s">
        <v>337</v>
      </c>
      <c r="E16" s="219">
        <v>100</v>
      </c>
      <c r="F16" s="219">
        <v>28</v>
      </c>
      <c r="G16" s="386">
        <f>'e411'!F16</f>
        <v>0</v>
      </c>
      <c r="H16" s="57">
        <f t="shared" si="0"/>
        <v>0</v>
      </c>
      <c r="I16" s="219">
        <f t="shared" si="1"/>
        <v>0</v>
      </c>
      <c r="J16" s="219">
        <f>(30*BC!$B$47/F16)</f>
        <v>0</v>
      </c>
      <c r="K16" s="285">
        <f t="shared" si="2"/>
        <v>0</v>
      </c>
      <c r="L16" s="194">
        <f t="shared" si="3"/>
        <v>0</v>
      </c>
      <c r="M16" s="194">
        <f t="shared" si="4"/>
        <v>0</v>
      </c>
      <c r="N16" s="364">
        <v>559</v>
      </c>
      <c r="O16" s="365">
        <f t="shared" si="5"/>
        <v>0</v>
      </c>
      <c r="P16" s="371">
        <f t="shared" si="6"/>
        <v>5.59</v>
      </c>
      <c r="Q16" s="374" t="e">
        <f>(P16+$O$231)+((BC!$F$125)/$G$103)</f>
        <v>#DIV/0!</v>
      </c>
      <c r="R16" s="374" t="e">
        <f t="shared" si="7"/>
        <v>#DIV/0!</v>
      </c>
      <c r="S16" s="375" t="e">
        <f t="shared" si="8"/>
        <v>#DIV/0!</v>
      </c>
      <c r="T16" s="375" t="e">
        <f t="shared" si="9"/>
        <v>#DIV/0!</v>
      </c>
      <c r="U16" s="74"/>
      <c r="V16" s="74"/>
    </row>
    <row r="17" spans="1:30" ht="15.75" customHeight="1" x14ac:dyDescent="0.45">
      <c r="A17" s="262" t="s">
        <v>643</v>
      </c>
      <c r="B17" s="287">
        <v>9014918190</v>
      </c>
      <c r="C17" s="295" t="s">
        <v>338</v>
      </c>
      <c r="D17" s="285" t="s">
        <v>339</v>
      </c>
      <c r="E17" s="219">
        <v>100</v>
      </c>
      <c r="F17" s="219">
        <v>56</v>
      </c>
      <c r="G17" s="386">
        <f>'e411'!F17</f>
        <v>0</v>
      </c>
      <c r="H17" s="57">
        <f t="shared" si="0"/>
        <v>0</v>
      </c>
      <c r="I17" s="219">
        <f t="shared" si="1"/>
        <v>0</v>
      </c>
      <c r="J17" s="219">
        <f>(30*BC!$B$47/F17)</f>
        <v>0</v>
      </c>
      <c r="K17" s="285">
        <f t="shared" si="2"/>
        <v>0</v>
      </c>
      <c r="L17" s="194">
        <f t="shared" si="3"/>
        <v>0</v>
      </c>
      <c r="M17" s="194">
        <f t="shared" si="4"/>
        <v>0</v>
      </c>
      <c r="N17" s="364">
        <v>380</v>
      </c>
      <c r="O17" s="365">
        <f t="shared" si="5"/>
        <v>0</v>
      </c>
      <c r="P17" s="371">
        <f t="shared" si="6"/>
        <v>3.8</v>
      </c>
      <c r="Q17" s="374" t="e">
        <f>(P17+$O$231)+((BC!$F$125)/$G$103)</f>
        <v>#DIV/0!</v>
      </c>
      <c r="R17" s="374" t="e">
        <f t="shared" si="7"/>
        <v>#DIV/0!</v>
      </c>
      <c r="S17" s="375" t="e">
        <f t="shared" si="8"/>
        <v>#DIV/0!</v>
      </c>
      <c r="T17" s="375" t="e">
        <f t="shared" si="9"/>
        <v>#DIV/0!</v>
      </c>
      <c r="U17" s="74"/>
      <c r="V17" s="74"/>
    </row>
    <row r="18" spans="1:30" ht="15.75" customHeight="1" x14ac:dyDescent="0.45">
      <c r="A18" s="262">
        <f>H36+H39+H44+H49+H50+H51+H55+H63+H68+H77+H79+H87+H89+H90+H91+H92+H100</f>
        <v>0</v>
      </c>
      <c r="B18" s="287">
        <v>11820613122</v>
      </c>
      <c r="C18" s="296" t="s">
        <v>340</v>
      </c>
      <c r="D18" s="220" t="s">
        <v>341</v>
      </c>
      <c r="E18" s="219">
        <v>100</v>
      </c>
      <c r="F18" s="219">
        <v>56</v>
      </c>
      <c r="G18" s="386">
        <f>'e411'!F18</f>
        <v>0</v>
      </c>
      <c r="H18" s="57">
        <f t="shared" si="0"/>
        <v>0</v>
      </c>
      <c r="I18" s="219">
        <f t="shared" si="1"/>
        <v>0</v>
      </c>
      <c r="J18" s="219">
        <f>(30*BC!$B$47/F18)</f>
        <v>0</v>
      </c>
      <c r="K18" s="285">
        <f t="shared" si="2"/>
        <v>0</v>
      </c>
      <c r="L18" s="194">
        <f t="shared" si="3"/>
        <v>0</v>
      </c>
      <c r="M18" s="194">
        <f t="shared" si="4"/>
        <v>0</v>
      </c>
      <c r="N18" s="364">
        <v>591</v>
      </c>
      <c r="O18" s="365">
        <f t="shared" si="5"/>
        <v>0</v>
      </c>
      <c r="P18" s="371">
        <f t="shared" si="6"/>
        <v>5.91</v>
      </c>
      <c r="Q18" s="374" t="e">
        <f>(P18+$O$231)+((BC!$F$125)/$G$103)</f>
        <v>#DIV/0!</v>
      </c>
      <c r="R18" s="374" t="e">
        <f t="shared" si="7"/>
        <v>#DIV/0!</v>
      </c>
      <c r="S18" s="375" t="e">
        <f t="shared" si="8"/>
        <v>#DIV/0!</v>
      </c>
      <c r="T18" s="375" t="e">
        <f t="shared" si="9"/>
        <v>#DIV/0!</v>
      </c>
      <c r="U18" s="74"/>
      <c r="V18" s="74"/>
    </row>
    <row r="19" spans="1:30" ht="15.75" customHeight="1" x14ac:dyDescent="0.45">
      <c r="B19" s="287">
        <v>8498598190</v>
      </c>
      <c r="C19" s="297" t="s">
        <v>342</v>
      </c>
      <c r="D19" s="220" t="s">
        <v>343</v>
      </c>
      <c r="E19" s="219">
        <v>100</v>
      </c>
      <c r="F19" s="219">
        <v>56</v>
      </c>
      <c r="G19" s="386">
        <f>'e411'!F19</f>
        <v>0</v>
      </c>
      <c r="H19" s="57">
        <f t="shared" si="0"/>
        <v>0</v>
      </c>
      <c r="I19" s="219">
        <f t="shared" si="1"/>
        <v>0</v>
      </c>
      <c r="J19" s="219">
        <f>(30*BC!$B$47/F19)</f>
        <v>0</v>
      </c>
      <c r="K19" s="285">
        <f t="shared" si="2"/>
        <v>0</v>
      </c>
      <c r="L19" s="194">
        <f t="shared" si="3"/>
        <v>0</v>
      </c>
      <c r="M19" s="194">
        <f t="shared" si="4"/>
        <v>0</v>
      </c>
      <c r="N19" s="364">
        <v>270</v>
      </c>
      <c r="O19" s="365">
        <f t="shared" si="5"/>
        <v>0</v>
      </c>
      <c r="P19" s="371">
        <f t="shared" si="6"/>
        <v>2.7</v>
      </c>
      <c r="Q19" s="374" t="e">
        <f>(P19+$O$231)+((BC!$F$125)/$G$103)</f>
        <v>#DIV/0!</v>
      </c>
      <c r="R19" s="374" t="e">
        <f t="shared" si="7"/>
        <v>#DIV/0!</v>
      </c>
      <c r="S19" s="375" t="e">
        <f t="shared" si="8"/>
        <v>#DIV/0!</v>
      </c>
      <c r="T19" s="375" t="e">
        <f t="shared" si="9"/>
        <v>#DIV/0!</v>
      </c>
      <c r="U19" s="373"/>
      <c r="V19" s="373"/>
      <c r="W19" s="97"/>
      <c r="X19" s="97"/>
      <c r="Y19" s="97"/>
      <c r="Z19" s="97"/>
      <c r="AA19" s="97"/>
      <c r="AB19" s="97"/>
      <c r="AC19" s="97"/>
      <c r="AD19" s="97"/>
    </row>
    <row r="20" spans="1:30" ht="15.75" customHeight="1" x14ac:dyDescent="0.45">
      <c r="A20" s="247" t="s">
        <v>644</v>
      </c>
      <c r="B20" s="287">
        <v>8836981190</v>
      </c>
      <c r="C20" s="298" t="s">
        <v>344</v>
      </c>
      <c r="D20" s="220" t="s">
        <v>345</v>
      </c>
      <c r="E20" s="219">
        <v>100</v>
      </c>
      <c r="F20" s="219">
        <v>49</v>
      </c>
      <c r="G20" s="386">
        <f>'e411'!F20</f>
        <v>0</v>
      </c>
      <c r="H20" s="57">
        <f t="shared" si="0"/>
        <v>0</v>
      </c>
      <c r="I20" s="219">
        <f t="shared" si="1"/>
        <v>0</v>
      </c>
      <c r="J20" s="219">
        <f>(30*BC!$B$47/F20)</f>
        <v>0</v>
      </c>
      <c r="K20" s="285">
        <f t="shared" si="2"/>
        <v>0</v>
      </c>
      <c r="L20" s="194">
        <f t="shared" si="3"/>
        <v>0</v>
      </c>
      <c r="M20" s="194">
        <f t="shared" si="4"/>
        <v>0</v>
      </c>
      <c r="N20" s="364">
        <v>416</v>
      </c>
      <c r="O20" s="365">
        <f t="shared" si="5"/>
        <v>0</v>
      </c>
      <c r="P20" s="371">
        <f t="shared" si="6"/>
        <v>4.16</v>
      </c>
      <c r="Q20" s="374" t="e">
        <f>(P20+$O$231)+((BC!$F$125)/$G$103)</f>
        <v>#DIV/0!</v>
      </c>
      <c r="R20" s="374" t="e">
        <f t="shared" si="7"/>
        <v>#DIV/0!</v>
      </c>
      <c r="S20" s="375" t="e">
        <f t="shared" si="8"/>
        <v>#DIV/0!</v>
      </c>
      <c r="T20" s="375" t="e">
        <f t="shared" si="9"/>
        <v>#DIV/0!</v>
      </c>
      <c r="U20" s="373"/>
      <c r="V20" s="373"/>
      <c r="W20" s="97"/>
      <c r="X20" s="97"/>
      <c r="Y20" s="97"/>
      <c r="Z20" s="97"/>
      <c r="AA20" s="97"/>
      <c r="AB20" s="97"/>
      <c r="AC20" s="97"/>
      <c r="AD20" s="97"/>
    </row>
    <row r="21" spans="1:30" ht="15.75" customHeight="1" x14ac:dyDescent="0.45">
      <c r="A21" s="247">
        <f>H10+H26+H27+H28+H29+H30+H38+H45+H48+H56+H71+H93</f>
        <v>0</v>
      </c>
      <c r="B21" s="287">
        <v>9203095190</v>
      </c>
      <c r="C21" s="299" t="s">
        <v>346</v>
      </c>
      <c r="D21" s="285" t="s">
        <v>347</v>
      </c>
      <c r="E21" s="219">
        <v>200</v>
      </c>
      <c r="F21" s="219">
        <v>28</v>
      </c>
      <c r="G21" s="386">
        <f>'e411'!F21</f>
        <v>0</v>
      </c>
      <c r="H21" s="57">
        <f t="shared" si="0"/>
        <v>0</v>
      </c>
      <c r="I21" s="219">
        <f t="shared" si="1"/>
        <v>0</v>
      </c>
      <c r="J21" s="219">
        <f>(30*BC!$B$47/F21)</f>
        <v>0</v>
      </c>
      <c r="K21" s="285">
        <f t="shared" si="2"/>
        <v>0</v>
      </c>
      <c r="L21" s="194">
        <f t="shared" si="3"/>
        <v>0</v>
      </c>
      <c r="M21" s="194">
        <f t="shared" si="4"/>
        <v>0</v>
      </c>
      <c r="N21" s="364">
        <v>340</v>
      </c>
      <c r="O21" s="365">
        <f t="shared" si="5"/>
        <v>0</v>
      </c>
      <c r="P21" s="371">
        <f t="shared" si="6"/>
        <v>1.7</v>
      </c>
      <c r="Q21" s="374" t="e">
        <f>(P21+$O$231)+((BC!$F$125)/$G$103)</f>
        <v>#DIV/0!</v>
      </c>
      <c r="R21" s="374" t="e">
        <f t="shared" si="7"/>
        <v>#DIV/0!</v>
      </c>
      <c r="S21" s="375" t="e">
        <f t="shared" si="8"/>
        <v>#DIV/0!</v>
      </c>
      <c r="T21" s="375" t="e">
        <f t="shared" si="9"/>
        <v>#DIV/0!</v>
      </c>
      <c r="U21" s="74"/>
      <c r="V21" s="74"/>
    </row>
    <row r="22" spans="1:30" ht="15.75" customHeight="1" x14ac:dyDescent="0.45">
      <c r="B22" s="287">
        <v>9289267190</v>
      </c>
      <c r="C22" s="300" t="s">
        <v>348</v>
      </c>
      <c r="D22" s="285" t="s">
        <v>349</v>
      </c>
      <c r="E22" s="219">
        <v>200</v>
      </c>
      <c r="F22" s="219">
        <v>28</v>
      </c>
      <c r="G22" s="386">
        <f>'e411'!F22</f>
        <v>0</v>
      </c>
      <c r="H22" s="57">
        <f t="shared" si="0"/>
        <v>0</v>
      </c>
      <c r="I22" s="219">
        <f t="shared" si="1"/>
        <v>0</v>
      </c>
      <c r="J22" s="219">
        <f>(30*BC!$B$47/F22)</f>
        <v>0</v>
      </c>
      <c r="K22" s="285">
        <f t="shared" si="2"/>
        <v>0</v>
      </c>
      <c r="L22" s="194">
        <f t="shared" si="3"/>
        <v>0</v>
      </c>
      <c r="M22" s="194">
        <f t="shared" si="4"/>
        <v>0</v>
      </c>
      <c r="N22" s="364">
        <v>1112</v>
      </c>
      <c r="O22" s="365">
        <f t="shared" si="5"/>
        <v>0</v>
      </c>
      <c r="P22" s="371">
        <f t="shared" si="6"/>
        <v>5.56</v>
      </c>
      <c r="Q22" s="374" t="e">
        <f>(P22+$O$231)+((BC!$F$125)/$G$103)</f>
        <v>#DIV/0!</v>
      </c>
      <c r="R22" s="374" t="e">
        <f t="shared" si="7"/>
        <v>#DIV/0!</v>
      </c>
      <c r="S22" s="375" t="e">
        <f t="shared" si="8"/>
        <v>#DIV/0!</v>
      </c>
      <c r="T22" s="375" t="e">
        <f t="shared" si="9"/>
        <v>#DIV/0!</v>
      </c>
      <c r="U22" s="74"/>
      <c r="V22" s="74"/>
    </row>
    <row r="23" spans="1:30" ht="15.75" customHeight="1" x14ac:dyDescent="0.45">
      <c r="A23" s="264" t="s">
        <v>645</v>
      </c>
      <c r="B23" s="287">
        <v>9004998190</v>
      </c>
      <c r="C23" s="290" t="s">
        <v>350</v>
      </c>
      <c r="D23" s="220" t="s">
        <v>351</v>
      </c>
      <c r="E23" s="219">
        <v>100</v>
      </c>
      <c r="F23" s="219">
        <v>42</v>
      </c>
      <c r="G23" s="386">
        <f>'e411'!F23</f>
        <v>0</v>
      </c>
      <c r="H23" s="57">
        <f t="shared" si="0"/>
        <v>0</v>
      </c>
      <c r="I23" s="219">
        <f t="shared" si="1"/>
        <v>0</v>
      </c>
      <c r="J23" s="219">
        <f>(30*BC!$B$47/F23)</f>
        <v>0</v>
      </c>
      <c r="K23" s="285">
        <f t="shared" si="2"/>
        <v>0</v>
      </c>
      <c r="L23" s="194">
        <f t="shared" si="3"/>
        <v>0</v>
      </c>
      <c r="M23" s="194">
        <f t="shared" si="4"/>
        <v>0</v>
      </c>
      <c r="N23" s="364">
        <v>487</v>
      </c>
      <c r="O23" s="365">
        <f t="shared" si="5"/>
        <v>0</v>
      </c>
      <c r="P23" s="371">
        <f t="shared" si="6"/>
        <v>4.87</v>
      </c>
      <c r="Q23" s="374" t="e">
        <f>(P23+$O$231)+((BC!$F$125)/$G$103)</f>
        <v>#DIV/0!</v>
      </c>
      <c r="R23" s="374" t="e">
        <f t="shared" si="7"/>
        <v>#DIV/0!</v>
      </c>
      <c r="S23" s="375" t="e">
        <f t="shared" si="8"/>
        <v>#DIV/0!</v>
      </c>
      <c r="T23" s="375" t="e">
        <f t="shared" si="9"/>
        <v>#DIV/0!</v>
      </c>
      <c r="U23" s="373"/>
      <c r="V23" s="373"/>
      <c r="W23" s="97"/>
      <c r="X23" s="97"/>
      <c r="Y23" s="97"/>
      <c r="Z23" s="97"/>
      <c r="AA23" s="97"/>
      <c r="AB23" s="97"/>
      <c r="AC23" s="97"/>
      <c r="AD23" s="97"/>
    </row>
    <row r="24" spans="1:30" ht="15.75" customHeight="1" x14ac:dyDescent="0.45">
      <c r="A24" s="264">
        <f>H32+H40+H52+H69+H75+H82</f>
        <v>0</v>
      </c>
      <c r="B24" s="287">
        <v>8496609190</v>
      </c>
      <c r="C24" s="301" t="s">
        <v>352</v>
      </c>
      <c r="D24" s="285" t="s">
        <v>353</v>
      </c>
      <c r="E24" s="219">
        <v>100</v>
      </c>
      <c r="F24" s="219">
        <v>21</v>
      </c>
      <c r="G24" s="386">
        <f>'e411'!F24</f>
        <v>0</v>
      </c>
      <c r="H24" s="57">
        <f t="shared" si="0"/>
        <v>0</v>
      </c>
      <c r="I24" s="219">
        <f t="shared" si="1"/>
        <v>0</v>
      </c>
      <c r="J24" s="219">
        <f>(30*BC!$B$47/F24)</f>
        <v>0</v>
      </c>
      <c r="K24" s="285">
        <f t="shared" si="2"/>
        <v>0</v>
      </c>
      <c r="L24" s="194">
        <f t="shared" si="3"/>
        <v>0</v>
      </c>
      <c r="M24" s="194">
        <f t="shared" si="4"/>
        <v>0</v>
      </c>
      <c r="N24" s="364">
        <v>1655</v>
      </c>
      <c r="O24" s="365">
        <f t="shared" si="5"/>
        <v>0</v>
      </c>
      <c r="P24" s="371">
        <f t="shared" si="6"/>
        <v>16.55</v>
      </c>
      <c r="Q24" s="374" t="e">
        <f>(P24+$O$231)+((BC!$F$125)/$G$103)</f>
        <v>#DIV/0!</v>
      </c>
      <c r="R24" s="374" t="e">
        <f t="shared" si="7"/>
        <v>#DIV/0!</v>
      </c>
      <c r="S24" s="375" t="e">
        <f t="shared" si="8"/>
        <v>#DIV/0!</v>
      </c>
      <c r="T24" s="375" t="e">
        <f t="shared" si="9"/>
        <v>#DIV/0!</v>
      </c>
      <c r="U24" s="74"/>
      <c r="V24" s="74"/>
    </row>
    <row r="25" spans="1:30" ht="15.75" customHeight="1" x14ac:dyDescent="0.45">
      <c r="B25" s="287">
        <v>9005773190</v>
      </c>
      <c r="C25" s="302" t="s">
        <v>354</v>
      </c>
      <c r="D25" s="285" t="s">
        <v>355</v>
      </c>
      <c r="E25" s="219">
        <v>100</v>
      </c>
      <c r="F25" s="219">
        <v>56</v>
      </c>
      <c r="G25" s="386">
        <f>'e411'!F25</f>
        <v>0</v>
      </c>
      <c r="H25" s="57">
        <f t="shared" si="0"/>
        <v>0</v>
      </c>
      <c r="I25" s="219">
        <f t="shared" si="1"/>
        <v>0</v>
      </c>
      <c r="J25" s="219">
        <f>(30*BC!$B$47/F25)</f>
        <v>0</v>
      </c>
      <c r="K25" s="285">
        <f t="shared" si="2"/>
        <v>0</v>
      </c>
      <c r="L25" s="194">
        <f t="shared" si="3"/>
        <v>0</v>
      </c>
      <c r="M25" s="194">
        <f t="shared" si="4"/>
        <v>0</v>
      </c>
      <c r="N25" s="364">
        <v>543</v>
      </c>
      <c r="O25" s="365">
        <f t="shared" si="5"/>
        <v>0</v>
      </c>
      <c r="P25" s="371">
        <f t="shared" si="6"/>
        <v>5.43</v>
      </c>
      <c r="Q25" s="374" t="e">
        <f>(P25+$O$231)+((BC!$F$125)/$G$103)</f>
        <v>#DIV/0!</v>
      </c>
      <c r="R25" s="374" t="e">
        <f t="shared" si="7"/>
        <v>#DIV/0!</v>
      </c>
      <c r="S25" s="375" t="e">
        <f t="shared" si="8"/>
        <v>#DIV/0!</v>
      </c>
      <c r="T25" s="375" t="e">
        <f t="shared" si="9"/>
        <v>#DIV/0!</v>
      </c>
      <c r="U25" s="74"/>
      <c r="V25" s="74"/>
    </row>
    <row r="26" spans="1:30" ht="15.75" customHeight="1" x14ac:dyDescent="0.45">
      <c r="A26" s="265" t="s">
        <v>646</v>
      </c>
      <c r="B26" s="287">
        <v>11776223190</v>
      </c>
      <c r="C26" s="288" t="s">
        <v>356</v>
      </c>
      <c r="D26" s="285" t="s">
        <v>357</v>
      </c>
      <c r="E26" s="219">
        <v>100</v>
      </c>
      <c r="F26" s="219">
        <v>42</v>
      </c>
      <c r="G26" s="386">
        <f>'e411'!F26</f>
        <v>0</v>
      </c>
      <c r="H26" s="57">
        <f t="shared" si="0"/>
        <v>0</v>
      </c>
      <c r="I26" s="219">
        <f t="shared" si="1"/>
        <v>0</v>
      </c>
      <c r="J26" s="219">
        <f>(30*BC!$B$47/F26)</f>
        <v>0</v>
      </c>
      <c r="K26" s="285">
        <f t="shared" si="2"/>
        <v>0</v>
      </c>
      <c r="L26" s="194">
        <f t="shared" si="3"/>
        <v>0</v>
      </c>
      <c r="M26" s="194">
        <f t="shared" si="4"/>
        <v>0</v>
      </c>
      <c r="N26" s="364">
        <v>582</v>
      </c>
      <c r="O26" s="365">
        <f t="shared" si="5"/>
        <v>0</v>
      </c>
      <c r="P26" s="371">
        <f t="shared" si="6"/>
        <v>5.82</v>
      </c>
      <c r="Q26" s="374" t="e">
        <f>(P26+$O$231)+((BC!$F$125)/$G$103)</f>
        <v>#DIV/0!</v>
      </c>
      <c r="R26" s="374" t="e">
        <f t="shared" si="7"/>
        <v>#DIV/0!</v>
      </c>
      <c r="S26" s="375" t="e">
        <f t="shared" si="8"/>
        <v>#DIV/0!</v>
      </c>
      <c r="T26" s="375" t="e">
        <f t="shared" si="9"/>
        <v>#DIV/0!</v>
      </c>
      <c r="U26" s="373"/>
      <c r="V26" s="373"/>
      <c r="W26" s="97"/>
      <c r="X26" s="97"/>
      <c r="Y26" s="97"/>
      <c r="Z26" s="97"/>
      <c r="AA26" s="97"/>
      <c r="AB26" s="97"/>
      <c r="AC26" s="97"/>
      <c r="AD26" s="97"/>
    </row>
    <row r="27" spans="1:30" ht="15.75" customHeight="1" x14ac:dyDescent="0.45">
      <c r="A27" s="265">
        <f>H47+H72</f>
        <v>0</v>
      </c>
      <c r="B27" s="283">
        <v>3045838122</v>
      </c>
      <c r="C27" s="303" t="s">
        <v>358</v>
      </c>
      <c r="D27" s="285" t="s">
        <v>359</v>
      </c>
      <c r="E27" s="194">
        <v>100</v>
      </c>
      <c r="F27" s="194">
        <v>35</v>
      </c>
      <c r="G27" s="386">
        <f>'e411'!F27</f>
        <v>0</v>
      </c>
      <c r="H27" s="57">
        <f t="shared" si="0"/>
        <v>0</v>
      </c>
      <c r="I27" s="219">
        <f t="shared" si="1"/>
        <v>0</v>
      </c>
      <c r="J27" s="219">
        <f>(30*BC!$B$47/F27)</f>
        <v>0</v>
      </c>
      <c r="K27" s="285">
        <f t="shared" si="2"/>
        <v>0</v>
      </c>
      <c r="L27" s="194">
        <f t="shared" si="3"/>
        <v>0</v>
      </c>
      <c r="M27" s="194">
        <f t="shared" si="4"/>
        <v>0</v>
      </c>
      <c r="N27" s="364">
        <v>587</v>
      </c>
      <c r="O27" s="365">
        <f t="shared" si="5"/>
        <v>0</v>
      </c>
      <c r="P27" s="371">
        <f t="shared" si="6"/>
        <v>5.87</v>
      </c>
      <c r="Q27" s="374" t="e">
        <f>(P27+$O$231)+((BC!$F$125)/$G$103)</f>
        <v>#DIV/0!</v>
      </c>
      <c r="R27" s="374" t="e">
        <f t="shared" si="7"/>
        <v>#DIV/0!</v>
      </c>
      <c r="S27" s="375" t="e">
        <f t="shared" si="8"/>
        <v>#DIV/0!</v>
      </c>
      <c r="T27" s="375" t="e">
        <f t="shared" si="9"/>
        <v>#DIV/0!</v>
      </c>
      <c r="U27" s="372"/>
      <c r="V27" s="372"/>
      <c r="W27" s="256"/>
      <c r="X27" s="256"/>
      <c r="Y27" s="256"/>
      <c r="Z27" s="256"/>
      <c r="AA27" s="256"/>
      <c r="AB27" s="256"/>
      <c r="AC27" s="256"/>
      <c r="AD27" s="256"/>
    </row>
    <row r="28" spans="1:30" ht="15.75" customHeight="1" x14ac:dyDescent="0.45">
      <c r="B28" s="287">
        <v>11776193122</v>
      </c>
      <c r="C28" s="303" t="s">
        <v>360</v>
      </c>
      <c r="D28" s="285" t="s">
        <v>361</v>
      </c>
      <c r="E28" s="219">
        <v>100</v>
      </c>
      <c r="F28" s="219">
        <v>56</v>
      </c>
      <c r="G28" s="386">
        <f>'e411'!F28</f>
        <v>0</v>
      </c>
      <c r="H28" s="57">
        <f t="shared" si="0"/>
        <v>0</v>
      </c>
      <c r="I28" s="219">
        <f t="shared" si="1"/>
        <v>0</v>
      </c>
      <c r="J28" s="219">
        <f>(30*BC!$B$47/F28)</f>
        <v>0</v>
      </c>
      <c r="K28" s="285">
        <f t="shared" si="2"/>
        <v>0</v>
      </c>
      <c r="L28" s="194">
        <f t="shared" si="3"/>
        <v>0</v>
      </c>
      <c r="M28" s="194">
        <f t="shared" si="4"/>
        <v>0</v>
      </c>
      <c r="N28" s="364">
        <v>584</v>
      </c>
      <c r="O28" s="365">
        <f t="shared" si="5"/>
        <v>0</v>
      </c>
      <c r="P28" s="371">
        <f t="shared" si="6"/>
        <v>5.84</v>
      </c>
      <c r="Q28" s="374" t="e">
        <f>(P28+$O$231)+((BC!$F$125)/$G$103)</f>
        <v>#DIV/0!</v>
      </c>
      <c r="R28" s="374" t="e">
        <f t="shared" si="7"/>
        <v>#DIV/0!</v>
      </c>
      <c r="S28" s="375" t="e">
        <f t="shared" si="8"/>
        <v>#DIV/0!</v>
      </c>
      <c r="T28" s="375" t="e">
        <f t="shared" si="9"/>
        <v>#DIV/0!</v>
      </c>
      <c r="U28" s="74"/>
      <c r="V28" s="74"/>
    </row>
    <row r="29" spans="1:30" ht="15.75" customHeight="1" x14ac:dyDescent="0.45">
      <c r="A29" s="271" t="s">
        <v>623</v>
      </c>
      <c r="B29" s="283">
        <v>9005692190</v>
      </c>
      <c r="C29" s="303" t="s">
        <v>362</v>
      </c>
      <c r="D29" s="285" t="s">
        <v>363</v>
      </c>
      <c r="E29" s="194">
        <v>100</v>
      </c>
      <c r="F29" s="194">
        <v>56</v>
      </c>
      <c r="G29" s="386">
        <f>'e411'!F29</f>
        <v>0</v>
      </c>
      <c r="H29" s="57">
        <f t="shared" si="0"/>
        <v>0</v>
      </c>
      <c r="I29" s="219">
        <f t="shared" si="1"/>
        <v>0</v>
      </c>
      <c r="J29" s="219">
        <f>(30*BC!$B$47/F29)</f>
        <v>0</v>
      </c>
      <c r="K29" s="285">
        <f t="shared" si="2"/>
        <v>0</v>
      </c>
      <c r="L29" s="194">
        <f t="shared" si="3"/>
        <v>0</v>
      </c>
      <c r="M29" s="194">
        <f t="shared" si="4"/>
        <v>0</v>
      </c>
      <c r="N29" s="364">
        <v>666</v>
      </c>
      <c r="O29" s="365">
        <f t="shared" si="5"/>
        <v>0</v>
      </c>
      <c r="P29" s="371">
        <f t="shared" si="6"/>
        <v>6.66</v>
      </c>
      <c r="Q29" s="374" t="e">
        <f>(P29+$O$231)+((BC!$F$125)/$G$103)</f>
        <v>#DIV/0!</v>
      </c>
      <c r="R29" s="374" t="e">
        <f t="shared" si="7"/>
        <v>#DIV/0!</v>
      </c>
      <c r="S29" s="375" t="e">
        <f t="shared" si="8"/>
        <v>#DIV/0!</v>
      </c>
      <c r="T29" s="375" t="e">
        <f t="shared" si="9"/>
        <v>#DIV/0!</v>
      </c>
      <c r="U29" s="372"/>
      <c r="V29" s="372"/>
      <c r="W29" s="256"/>
      <c r="X29" s="256"/>
      <c r="Y29" s="256"/>
      <c r="Z29" s="256"/>
      <c r="AA29" s="256"/>
      <c r="AB29" s="256"/>
      <c r="AC29" s="256"/>
      <c r="AD29" s="256"/>
    </row>
    <row r="30" spans="1:30" ht="15.75" customHeight="1" x14ac:dyDescent="0.45">
      <c r="A30" s="272">
        <f>H97+H98+H99</f>
        <v>0</v>
      </c>
      <c r="B30" s="287">
        <v>11731629322</v>
      </c>
      <c r="C30" s="288" t="s">
        <v>364</v>
      </c>
      <c r="D30" s="220" t="s">
        <v>365</v>
      </c>
      <c r="E30" s="219">
        <v>100</v>
      </c>
      <c r="F30" s="219">
        <v>42</v>
      </c>
      <c r="G30" s="386">
        <f>'e411'!F30</f>
        <v>0</v>
      </c>
      <c r="H30" s="57">
        <f t="shared" si="0"/>
        <v>0</v>
      </c>
      <c r="I30" s="219">
        <f t="shared" si="1"/>
        <v>0</v>
      </c>
      <c r="J30" s="219">
        <f>(30*BC!$B$47/F30)</f>
        <v>0</v>
      </c>
      <c r="K30" s="285">
        <f t="shared" si="2"/>
        <v>0</v>
      </c>
      <c r="L30" s="194">
        <f t="shared" si="3"/>
        <v>0</v>
      </c>
      <c r="M30" s="194">
        <f t="shared" si="4"/>
        <v>0</v>
      </c>
      <c r="N30" s="364">
        <v>159</v>
      </c>
      <c r="O30" s="365">
        <f t="shared" si="5"/>
        <v>0</v>
      </c>
      <c r="P30" s="371">
        <f t="shared" si="6"/>
        <v>1.59</v>
      </c>
      <c r="Q30" s="374" t="e">
        <f>(P30+$O$231)+((BC!$F$125)/$G$103)</f>
        <v>#DIV/0!</v>
      </c>
      <c r="R30" s="374" t="e">
        <f t="shared" si="7"/>
        <v>#DIV/0!</v>
      </c>
      <c r="S30" s="375" t="e">
        <f t="shared" si="8"/>
        <v>#DIV/0!</v>
      </c>
      <c r="T30" s="375" t="e">
        <f t="shared" si="9"/>
        <v>#DIV/0!</v>
      </c>
      <c r="U30" s="373"/>
      <c r="V30" s="373"/>
      <c r="W30" s="97"/>
      <c r="X30" s="97"/>
      <c r="Y30" s="97"/>
      <c r="Z30" s="97"/>
      <c r="AA30" s="97"/>
      <c r="AB30" s="97"/>
      <c r="AC30" s="97"/>
      <c r="AD30" s="97"/>
    </row>
    <row r="31" spans="1:30" ht="15.75" customHeight="1" x14ac:dyDescent="0.45">
      <c r="B31" s="287">
        <v>9015566190</v>
      </c>
      <c r="C31" s="304" t="s">
        <v>366</v>
      </c>
      <c r="D31" s="285" t="s">
        <v>367</v>
      </c>
      <c r="E31" s="219">
        <v>100</v>
      </c>
      <c r="F31" s="219">
        <v>56</v>
      </c>
      <c r="G31" s="386">
        <f>'e411'!F31</f>
        <v>0</v>
      </c>
      <c r="H31" s="57">
        <f t="shared" si="0"/>
        <v>0</v>
      </c>
      <c r="I31" s="219">
        <f t="shared" si="1"/>
        <v>0</v>
      </c>
      <c r="J31" s="219">
        <f>(30*BC!$B$47/F31)</f>
        <v>0</v>
      </c>
      <c r="K31" s="285">
        <f t="shared" si="2"/>
        <v>0</v>
      </c>
      <c r="L31" s="194">
        <f t="shared" si="3"/>
        <v>0</v>
      </c>
      <c r="M31" s="194">
        <f t="shared" si="4"/>
        <v>0</v>
      </c>
      <c r="N31" s="364">
        <v>298</v>
      </c>
      <c r="O31" s="365">
        <f t="shared" si="5"/>
        <v>0</v>
      </c>
      <c r="P31" s="371">
        <f t="shared" si="6"/>
        <v>2.98</v>
      </c>
      <c r="Q31" s="374" t="e">
        <f>(P31+$O$231)+((BC!$F$125)/$G$103)</f>
        <v>#DIV/0!</v>
      </c>
      <c r="R31" s="374" t="e">
        <f t="shared" si="7"/>
        <v>#DIV/0!</v>
      </c>
      <c r="S31" s="375" t="e">
        <f t="shared" si="8"/>
        <v>#DIV/0!</v>
      </c>
      <c r="T31" s="375" t="e">
        <f t="shared" si="9"/>
        <v>#DIV/0!</v>
      </c>
      <c r="U31" s="74"/>
      <c r="V31" s="74"/>
    </row>
    <row r="32" spans="1:30" ht="15.75" customHeight="1" x14ac:dyDescent="0.45">
      <c r="A32" s="273" t="s">
        <v>601</v>
      </c>
      <c r="B32" s="287">
        <v>5957648190</v>
      </c>
      <c r="C32" s="305" t="s">
        <v>368</v>
      </c>
      <c r="D32" s="285" t="s">
        <v>369</v>
      </c>
      <c r="E32" s="219">
        <v>100</v>
      </c>
      <c r="F32" s="219">
        <v>56</v>
      </c>
      <c r="G32" s="386">
        <f>'e411'!F32</f>
        <v>0</v>
      </c>
      <c r="H32" s="57">
        <f t="shared" si="0"/>
        <v>0</v>
      </c>
      <c r="I32" s="219">
        <f t="shared" si="1"/>
        <v>0</v>
      </c>
      <c r="J32" s="219">
        <f>(30*BC!$B$47/F32)</f>
        <v>0</v>
      </c>
      <c r="K32" s="285">
        <f t="shared" si="2"/>
        <v>0</v>
      </c>
      <c r="L32" s="194">
        <f t="shared" si="3"/>
        <v>0</v>
      </c>
      <c r="M32" s="194">
        <f t="shared" si="4"/>
        <v>0</v>
      </c>
      <c r="N32" s="364">
        <v>276</v>
      </c>
      <c r="O32" s="365">
        <f t="shared" si="5"/>
        <v>0</v>
      </c>
      <c r="P32" s="371">
        <f t="shared" si="6"/>
        <v>2.76</v>
      </c>
      <c r="Q32" s="374" t="e">
        <f>(P32+$O$231)+((BC!$F$125)/$G$103)</f>
        <v>#DIV/0!</v>
      </c>
      <c r="R32" s="374" t="e">
        <f t="shared" si="7"/>
        <v>#DIV/0!</v>
      </c>
      <c r="S32" s="375" t="e">
        <f t="shared" si="8"/>
        <v>#DIV/0!</v>
      </c>
      <c r="T32" s="375" t="e">
        <f t="shared" si="9"/>
        <v>#DIV/0!</v>
      </c>
      <c r="U32" s="74"/>
      <c r="V32" s="74"/>
    </row>
    <row r="33" spans="1:30" ht="15.75" customHeight="1" x14ac:dyDescent="0.45">
      <c r="A33" s="274">
        <f>H42+H43</f>
        <v>0</v>
      </c>
      <c r="B33" s="287">
        <v>9342397190</v>
      </c>
      <c r="C33" s="306" t="s">
        <v>370</v>
      </c>
      <c r="D33" s="285" t="s">
        <v>371</v>
      </c>
      <c r="E33" s="219">
        <v>100</v>
      </c>
      <c r="F33" s="219">
        <v>56</v>
      </c>
      <c r="G33" s="386">
        <f>'e411'!F33</f>
        <v>0</v>
      </c>
      <c r="H33" s="57">
        <f t="shared" si="0"/>
        <v>0</v>
      </c>
      <c r="I33" s="219">
        <f t="shared" si="1"/>
        <v>0</v>
      </c>
      <c r="J33" s="219">
        <f>(30*BC!$B$47/F33)</f>
        <v>0</v>
      </c>
      <c r="K33" s="285">
        <f t="shared" si="2"/>
        <v>0</v>
      </c>
      <c r="L33" s="194">
        <f t="shared" si="3"/>
        <v>0</v>
      </c>
      <c r="M33" s="194">
        <f t="shared" si="4"/>
        <v>0</v>
      </c>
      <c r="N33" s="364">
        <v>860</v>
      </c>
      <c r="O33" s="365">
        <f t="shared" si="5"/>
        <v>0</v>
      </c>
      <c r="P33" s="371">
        <f t="shared" si="6"/>
        <v>8.6</v>
      </c>
      <c r="Q33" s="374" t="e">
        <f>(P33+$O$231)+((BC!$F$125)/$G$103)</f>
        <v>#DIV/0!</v>
      </c>
      <c r="R33" s="374" t="e">
        <f t="shared" si="7"/>
        <v>#DIV/0!</v>
      </c>
      <c r="S33" s="375" t="e">
        <f t="shared" si="8"/>
        <v>#DIV/0!</v>
      </c>
      <c r="T33" s="375" t="e">
        <f t="shared" si="9"/>
        <v>#DIV/0!</v>
      </c>
      <c r="U33" s="74"/>
      <c r="V33" s="74"/>
    </row>
    <row r="34" spans="1:30" ht="15.75" customHeight="1" x14ac:dyDescent="0.45">
      <c r="B34" s="287">
        <v>9118543190</v>
      </c>
      <c r="C34" s="307" t="s">
        <v>372</v>
      </c>
      <c r="D34" s="220" t="s">
        <v>373</v>
      </c>
      <c r="E34" s="219">
        <v>100</v>
      </c>
      <c r="F34" s="219">
        <v>21</v>
      </c>
      <c r="G34" s="386">
        <f>'e411'!F34</f>
        <v>0</v>
      </c>
      <c r="H34" s="57">
        <f t="shared" si="0"/>
        <v>0</v>
      </c>
      <c r="I34" s="219">
        <f t="shared" si="1"/>
        <v>0</v>
      </c>
      <c r="J34" s="219">
        <f>(30*BC!$B$47/F34)</f>
        <v>0</v>
      </c>
      <c r="K34" s="285">
        <f t="shared" si="2"/>
        <v>0</v>
      </c>
      <c r="L34" s="194">
        <f t="shared" si="3"/>
        <v>0</v>
      </c>
      <c r="M34" s="194">
        <f t="shared" si="4"/>
        <v>0</v>
      </c>
      <c r="N34" s="364">
        <v>278</v>
      </c>
      <c r="O34" s="365">
        <f t="shared" si="5"/>
        <v>0</v>
      </c>
      <c r="P34" s="371">
        <f t="shared" si="6"/>
        <v>2.78</v>
      </c>
      <c r="Q34" s="374" t="e">
        <f>(P34+$O$231)+((BC!$F$125)/$G$103)</f>
        <v>#DIV/0!</v>
      </c>
      <c r="R34" s="374" t="e">
        <f t="shared" si="7"/>
        <v>#DIV/0!</v>
      </c>
      <c r="S34" s="375" t="e">
        <f t="shared" si="8"/>
        <v>#DIV/0!</v>
      </c>
      <c r="T34" s="375" t="e">
        <f t="shared" si="9"/>
        <v>#DIV/0!</v>
      </c>
      <c r="U34" s="373"/>
      <c r="V34" s="373"/>
      <c r="W34" s="97"/>
      <c r="X34" s="97"/>
      <c r="Y34" s="97"/>
      <c r="Z34" s="97"/>
      <c r="AA34" s="97"/>
      <c r="AB34" s="97"/>
      <c r="AC34" s="97"/>
      <c r="AD34" s="97"/>
    </row>
    <row r="35" spans="1:30" ht="15.75" customHeight="1" x14ac:dyDescent="0.45">
      <c r="A35" s="275" t="s">
        <v>603</v>
      </c>
      <c r="B35" s="387">
        <v>4784618190</v>
      </c>
      <c r="C35" s="308" t="s">
        <v>374</v>
      </c>
      <c r="D35" s="220" t="s">
        <v>375</v>
      </c>
      <c r="E35" s="219">
        <v>100</v>
      </c>
      <c r="F35" s="219">
        <v>42</v>
      </c>
      <c r="G35" s="386">
        <f>'e411'!F35</f>
        <v>0</v>
      </c>
      <c r="H35" s="57">
        <f t="shared" si="0"/>
        <v>0</v>
      </c>
      <c r="I35" s="219">
        <f t="shared" si="1"/>
        <v>0</v>
      </c>
      <c r="J35" s="219">
        <f>(30*BC!$B$47/F35)</f>
        <v>0</v>
      </c>
      <c r="K35" s="285">
        <f t="shared" si="2"/>
        <v>0</v>
      </c>
      <c r="L35" s="194">
        <f t="shared" si="3"/>
        <v>0</v>
      </c>
      <c r="M35" s="194">
        <f t="shared" si="4"/>
        <v>0</v>
      </c>
      <c r="N35" s="364">
        <v>198</v>
      </c>
      <c r="O35" s="365">
        <f t="shared" si="5"/>
        <v>0</v>
      </c>
      <c r="P35" s="371">
        <f t="shared" si="6"/>
        <v>1.98</v>
      </c>
      <c r="Q35" s="374" t="e">
        <f>(P35+$O$231)+((BC!$F$125)/$G$103)</f>
        <v>#DIV/0!</v>
      </c>
      <c r="R35" s="374" t="e">
        <f t="shared" si="7"/>
        <v>#DIV/0!</v>
      </c>
      <c r="S35" s="375" t="e">
        <f t="shared" si="8"/>
        <v>#DIV/0!</v>
      </c>
      <c r="T35" s="375" t="e">
        <f t="shared" si="9"/>
        <v>#DIV/0!</v>
      </c>
      <c r="U35" s="373"/>
      <c r="V35" s="373"/>
      <c r="W35" s="97"/>
      <c r="X35" s="97"/>
      <c r="Y35" s="97"/>
      <c r="Z35" s="97"/>
      <c r="AA35" s="97"/>
      <c r="AB35" s="97"/>
      <c r="AC35" s="97"/>
      <c r="AD35" s="97"/>
    </row>
    <row r="36" spans="1:30" ht="15.75" customHeight="1" x14ac:dyDescent="0.45">
      <c r="A36" s="276">
        <f>H58+H64+H65</f>
        <v>0</v>
      </c>
      <c r="B36" s="387">
        <v>6687733190</v>
      </c>
      <c r="C36" s="309" t="s">
        <v>376</v>
      </c>
      <c r="D36" s="220" t="s">
        <v>377</v>
      </c>
      <c r="E36" s="219">
        <v>100</v>
      </c>
      <c r="F36" s="219">
        <v>56</v>
      </c>
      <c r="G36" s="386">
        <f>'e411'!F36</f>
        <v>0</v>
      </c>
      <c r="H36" s="57">
        <f t="shared" si="0"/>
        <v>0</v>
      </c>
      <c r="I36" s="219">
        <f t="shared" si="1"/>
        <v>0</v>
      </c>
      <c r="J36" s="219">
        <f>(30*BC!$B$47/F36)</f>
        <v>0</v>
      </c>
      <c r="K36" s="285">
        <f t="shared" si="2"/>
        <v>0</v>
      </c>
      <c r="L36" s="194">
        <f t="shared" si="3"/>
        <v>0</v>
      </c>
      <c r="M36" s="194">
        <f t="shared" si="4"/>
        <v>0</v>
      </c>
      <c r="N36" s="364">
        <v>388</v>
      </c>
      <c r="O36" s="365">
        <f t="shared" si="5"/>
        <v>0</v>
      </c>
      <c r="P36" s="371">
        <f t="shared" si="6"/>
        <v>3.88</v>
      </c>
      <c r="Q36" s="374" t="e">
        <f>(P36+$O$231)+((BC!$F$125)/$G$103)</f>
        <v>#DIV/0!</v>
      </c>
      <c r="R36" s="374" t="e">
        <f t="shared" si="7"/>
        <v>#DIV/0!</v>
      </c>
      <c r="S36" s="375" t="e">
        <f t="shared" si="8"/>
        <v>#DIV/0!</v>
      </c>
      <c r="T36" s="375" t="e">
        <f t="shared" si="9"/>
        <v>#DIV/0!</v>
      </c>
      <c r="U36" s="373"/>
      <c r="V36" s="373"/>
      <c r="W36" s="97"/>
      <c r="X36" s="97"/>
      <c r="Y36" s="97"/>
      <c r="Z36" s="97"/>
      <c r="AA36" s="97"/>
      <c r="AB36" s="97"/>
      <c r="AC36" s="97"/>
      <c r="AD36" s="97"/>
    </row>
    <row r="37" spans="1:30" ht="15.75" customHeight="1" x14ac:dyDescent="0.45">
      <c r="B37" s="283">
        <v>3184897190</v>
      </c>
      <c r="C37" s="284" t="s">
        <v>378</v>
      </c>
      <c r="D37" s="285" t="s">
        <v>379</v>
      </c>
      <c r="E37" s="194">
        <v>100</v>
      </c>
      <c r="F37" s="194">
        <v>56</v>
      </c>
      <c r="G37" s="386">
        <f>'e411'!F37</f>
        <v>0</v>
      </c>
      <c r="H37" s="57">
        <f t="shared" si="0"/>
        <v>0</v>
      </c>
      <c r="I37" s="219">
        <f t="shared" si="1"/>
        <v>0</v>
      </c>
      <c r="J37" s="219">
        <f>(30*BC!$B$47/F37)</f>
        <v>0</v>
      </c>
      <c r="K37" s="285">
        <f t="shared" si="2"/>
        <v>0</v>
      </c>
      <c r="L37" s="194">
        <f t="shared" si="3"/>
        <v>0</v>
      </c>
      <c r="M37" s="194">
        <f t="shared" si="4"/>
        <v>0</v>
      </c>
      <c r="N37" s="364">
        <v>317</v>
      </c>
      <c r="O37" s="365">
        <f t="shared" si="5"/>
        <v>0</v>
      </c>
      <c r="P37" s="371">
        <f t="shared" si="6"/>
        <v>3.17</v>
      </c>
      <c r="Q37" s="374" t="e">
        <f>(P37+$O$231)+((BC!$F$125)/$G$103)</f>
        <v>#DIV/0!</v>
      </c>
      <c r="R37" s="374" t="e">
        <f t="shared" si="7"/>
        <v>#DIV/0!</v>
      </c>
      <c r="S37" s="375" t="e">
        <f t="shared" si="8"/>
        <v>#DIV/0!</v>
      </c>
      <c r="T37" s="375" t="e">
        <f t="shared" si="9"/>
        <v>#DIV/0!</v>
      </c>
      <c r="U37" s="372"/>
      <c r="V37" s="372"/>
      <c r="W37" s="256"/>
      <c r="X37" s="256"/>
      <c r="Y37" s="256"/>
      <c r="Z37" s="256"/>
      <c r="AA37" s="256"/>
      <c r="AB37" s="256"/>
      <c r="AC37" s="256"/>
      <c r="AD37" s="256"/>
    </row>
    <row r="38" spans="1:30" ht="15.75" customHeight="1" x14ac:dyDescent="0.45">
      <c r="A38" s="388" t="s">
        <v>609</v>
      </c>
      <c r="B38" s="387">
        <v>11820966122</v>
      </c>
      <c r="C38" s="303" t="s">
        <v>380</v>
      </c>
      <c r="D38" s="285" t="s">
        <v>381</v>
      </c>
      <c r="E38" s="219">
        <v>100</v>
      </c>
      <c r="F38" s="219">
        <v>56</v>
      </c>
      <c r="G38" s="386">
        <f>'e411'!F38</f>
        <v>0</v>
      </c>
      <c r="H38" s="57">
        <f t="shared" si="0"/>
        <v>0</v>
      </c>
      <c r="I38" s="219">
        <f t="shared" si="1"/>
        <v>0</v>
      </c>
      <c r="J38" s="219">
        <f>(30*BC!$B$47/F38)</f>
        <v>0</v>
      </c>
      <c r="K38" s="285">
        <f t="shared" si="2"/>
        <v>0</v>
      </c>
      <c r="L38" s="194">
        <f t="shared" si="3"/>
        <v>0</v>
      </c>
      <c r="M38" s="194">
        <f t="shared" si="4"/>
        <v>0</v>
      </c>
      <c r="N38" s="364">
        <v>627</v>
      </c>
      <c r="O38" s="365">
        <f t="shared" si="5"/>
        <v>0</v>
      </c>
      <c r="P38" s="371">
        <f t="shared" si="6"/>
        <v>6.27</v>
      </c>
      <c r="Q38" s="374" t="e">
        <f>(P38+$O$231)+((BC!$F$125)/$G$103)</f>
        <v>#DIV/0!</v>
      </c>
      <c r="R38" s="374" t="e">
        <f t="shared" si="7"/>
        <v>#DIV/0!</v>
      </c>
      <c r="S38" s="375" t="e">
        <f t="shared" si="8"/>
        <v>#DIV/0!</v>
      </c>
      <c r="T38" s="375" t="e">
        <f t="shared" si="9"/>
        <v>#DIV/0!</v>
      </c>
      <c r="U38" s="74"/>
      <c r="V38" s="74"/>
    </row>
    <row r="39" spans="1:30" ht="15.75" customHeight="1" x14ac:dyDescent="0.45">
      <c r="A39" s="389">
        <f>H60+H61</f>
        <v>0</v>
      </c>
      <c r="B39" s="387">
        <v>3000087122</v>
      </c>
      <c r="C39" s="310" t="s">
        <v>382</v>
      </c>
      <c r="D39" s="285" t="s">
        <v>383</v>
      </c>
      <c r="E39" s="219">
        <v>100</v>
      </c>
      <c r="F39" s="219">
        <v>56</v>
      </c>
      <c r="G39" s="386">
        <f>'e411'!F39</f>
        <v>0</v>
      </c>
      <c r="H39" s="57">
        <f t="shared" si="0"/>
        <v>0</v>
      </c>
      <c r="I39" s="219">
        <f t="shared" si="1"/>
        <v>0</v>
      </c>
      <c r="J39" s="219">
        <f>(30*BC!$B$47/F39)</f>
        <v>0</v>
      </c>
      <c r="K39" s="285">
        <f t="shared" si="2"/>
        <v>0</v>
      </c>
      <c r="L39" s="194">
        <f t="shared" si="3"/>
        <v>0</v>
      </c>
      <c r="M39" s="194">
        <f t="shared" si="4"/>
        <v>0</v>
      </c>
      <c r="N39" s="364">
        <v>559</v>
      </c>
      <c r="O39" s="365">
        <f t="shared" si="5"/>
        <v>0</v>
      </c>
      <c r="P39" s="371">
        <f t="shared" si="6"/>
        <v>5.59</v>
      </c>
      <c r="Q39" s="374" t="e">
        <f>(P39+$O$231)+((BC!$F$125)/$G$103)</f>
        <v>#DIV/0!</v>
      </c>
      <c r="R39" s="374" t="e">
        <f t="shared" si="7"/>
        <v>#DIV/0!</v>
      </c>
      <c r="S39" s="375" t="e">
        <f t="shared" si="8"/>
        <v>#DIV/0!</v>
      </c>
      <c r="T39" s="375" t="e">
        <f t="shared" si="9"/>
        <v>#DIV/0!</v>
      </c>
      <c r="U39" s="373"/>
      <c r="V39" s="373"/>
      <c r="W39" s="97"/>
      <c r="X39" s="97"/>
      <c r="Y39" s="97"/>
      <c r="Z39" s="97"/>
      <c r="AA39" s="97"/>
      <c r="AB39" s="97"/>
      <c r="AC39" s="97"/>
      <c r="AD39" s="97"/>
    </row>
    <row r="40" spans="1:30" ht="15.75" customHeight="1" x14ac:dyDescent="0.45">
      <c r="B40" s="287">
        <v>11820796190</v>
      </c>
      <c r="C40" s="305" t="s">
        <v>384</v>
      </c>
      <c r="D40" s="285" t="s">
        <v>385</v>
      </c>
      <c r="E40" s="219">
        <v>100</v>
      </c>
      <c r="F40" s="219">
        <v>56</v>
      </c>
      <c r="G40" s="386">
        <f>'e411'!F40</f>
        <v>0</v>
      </c>
      <c r="H40" s="57">
        <f t="shared" si="0"/>
        <v>0</v>
      </c>
      <c r="I40" s="219">
        <f t="shared" si="1"/>
        <v>0</v>
      </c>
      <c r="J40" s="219">
        <f>(30*BC!$B$47/F40)</f>
        <v>0</v>
      </c>
      <c r="K40" s="285">
        <f t="shared" si="2"/>
        <v>0</v>
      </c>
      <c r="L40" s="194">
        <f t="shared" si="3"/>
        <v>0</v>
      </c>
      <c r="M40" s="194">
        <f t="shared" si="4"/>
        <v>0</v>
      </c>
      <c r="N40" s="364">
        <v>615</v>
      </c>
      <c r="O40" s="365">
        <f t="shared" si="5"/>
        <v>0</v>
      </c>
      <c r="P40" s="371">
        <f t="shared" si="6"/>
        <v>6.15</v>
      </c>
      <c r="Q40" s="374" t="e">
        <f>(P40+$O$231)+((BC!$F$125)/$G$103)</f>
        <v>#DIV/0!</v>
      </c>
      <c r="R40" s="374" t="e">
        <f t="shared" si="7"/>
        <v>#DIV/0!</v>
      </c>
      <c r="S40" s="375" t="e">
        <f t="shared" si="8"/>
        <v>#DIV/0!</v>
      </c>
      <c r="T40" s="375" t="e">
        <f t="shared" si="9"/>
        <v>#DIV/0!</v>
      </c>
      <c r="U40" s="74"/>
      <c r="V40" s="74"/>
    </row>
    <row r="41" spans="1:30" ht="15.75" customHeight="1" x14ac:dyDescent="0.45">
      <c r="A41" s="390" t="s">
        <v>648</v>
      </c>
      <c r="B41" s="287">
        <v>8355371190</v>
      </c>
      <c r="C41" s="311" t="s">
        <v>386</v>
      </c>
      <c r="D41" s="285" t="s">
        <v>387</v>
      </c>
      <c r="E41" s="219">
        <v>100</v>
      </c>
      <c r="F41" s="219">
        <v>28</v>
      </c>
      <c r="G41" s="386">
        <f>'e411'!F41</f>
        <v>0</v>
      </c>
      <c r="H41" s="57">
        <f t="shared" si="0"/>
        <v>0</v>
      </c>
      <c r="I41" s="219">
        <f t="shared" si="1"/>
        <v>0</v>
      </c>
      <c r="J41" s="219">
        <f>(30*BC!$B$47/F41)</f>
        <v>0</v>
      </c>
      <c r="K41" s="285">
        <f t="shared" si="2"/>
        <v>0</v>
      </c>
      <c r="L41" s="194">
        <f t="shared" si="3"/>
        <v>0</v>
      </c>
      <c r="M41" s="194">
        <f t="shared" si="4"/>
        <v>0</v>
      </c>
      <c r="N41" s="364">
        <v>278</v>
      </c>
      <c r="O41" s="365">
        <f t="shared" si="5"/>
        <v>0</v>
      </c>
      <c r="P41" s="371">
        <f t="shared" si="6"/>
        <v>2.78</v>
      </c>
      <c r="Q41" s="374" t="e">
        <f>(P41+$O$231)+((BC!$F$125)/$G$103)</f>
        <v>#DIV/0!</v>
      </c>
      <c r="R41" s="374" t="e">
        <f t="shared" si="7"/>
        <v>#DIV/0!</v>
      </c>
      <c r="S41" s="375" t="e">
        <f t="shared" si="8"/>
        <v>#DIV/0!</v>
      </c>
      <c r="T41" s="375" t="e">
        <f t="shared" si="9"/>
        <v>#DIV/0!</v>
      </c>
      <c r="U41" s="74"/>
      <c r="V41" s="74"/>
    </row>
    <row r="42" spans="1:30" ht="15.75" customHeight="1" x14ac:dyDescent="0.45">
      <c r="A42" s="390">
        <f>H33+H34+H35+H82+H83+H94+H95+H96</f>
        <v>0</v>
      </c>
      <c r="B42" s="287">
        <v>8355258190</v>
      </c>
      <c r="C42" s="312" t="s">
        <v>388</v>
      </c>
      <c r="D42" s="285" t="s">
        <v>389</v>
      </c>
      <c r="E42" s="219">
        <v>100</v>
      </c>
      <c r="F42" s="219">
        <v>28</v>
      </c>
      <c r="G42" s="386">
        <f>'e411'!F42</f>
        <v>0</v>
      </c>
      <c r="H42" s="57">
        <f t="shared" si="0"/>
        <v>0</v>
      </c>
      <c r="I42" s="219">
        <f t="shared" si="1"/>
        <v>0</v>
      </c>
      <c r="J42" s="219">
        <f>(30*BC!$B$47/F42)</f>
        <v>0</v>
      </c>
      <c r="K42" s="285">
        <f t="shared" si="2"/>
        <v>0</v>
      </c>
      <c r="L42" s="194">
        <f t="shared" si="3"/>
        <v>0</v>
      </c>
      <c r="M42" s="194">
        <f t="shared" si="4"/>
        <v>0</v>
      </c>
      <c r="N42" s="364">
        <v>712</v>
      </c>
      <c r="O42" s="365">
        <f t="shared" si="5"/>
        <v>0</v>
      </c>
      <c r="P42" s="371">
        <f t="shared" si="6"/>
        <v>7.12</v>
      </c>
      <c r="Q42" s="374" t="e">
        <f>(P42+$O$231)+((BC!$F$125)/$G$103)</f>
        <v>#DIV/0!</v>
      </c>
      <c r="R42" s="374" t="e">
        <f t="shared" si="7"/>
        <v>#DIV/0!</v>
      </c>
      <c r="S42" s="375" t="e">
        <f t="shared" si="8"/>
        <v>#DIV/0!</v>
      </c>
      <c r="T42" s="375" t="e">
        <f t="shared" si="9"/>
        <v>#DIV/0!</v>
      </c>
      <c r="U42" s="74"/>
      <c r="V42" s="74"/>
    </row>
    <row r="43" spans="1:30" ht="15.75" customHeight="1" x14ac:dyDescent="0.45">
      <c r="B43" s="287">
        <v>8355312190</v>
      </c>
      <c r="C43" s="312" t="s">
        <v>390</v>
      </c>
      <c r="D43" s="285" t="s">
        <v>391</v>
      </c>
      <c r="E43" s="219">
        <v>100</v>
      </c>
      <c r="F43" s="219">
        <v>28</v>
      </c>
      <c r="G43" s="386">
        <f>'e411'!F43</f>
        <v>0</v>
      </c>
      <c r="H43" s="57">
        <f t="shared" si="0"/>
        <v>0</v>
      </c>
      <c r="I43" s="219">
        <f t="shared" si="1"/>
        <v>0</v>
      </c>
      <c r="J43" s="219">
        <f>(30*BC!$B$47/F43)</f>
        <v>0</v>
      </c>
      <c r="K43" s="285">
        <f t="shared" si="2"/>
        <v>0</v>
      </c>
      <c r="L43" s="194">
        <f t="shared" si="3"/>
        <v>0</v>
      </c>
      <c r="M43" s="194">
        <f t="shared" si="4"/>
        <v>0</v>
      </c>
      <c r="N43" s="364">
        <v>505</v>
      </c>
      <c r="O43" s="365">
        <f t="shared" si="5"/>
        <v>0</v>
      </c>
      <c r="P43" s="371">
        <f t="shared" si="6"/>
        <v>5.05</v>
      </c>
      <c r="Q43" s="374" t="e">
        <f>(P43+$O$231)+((BC!$F$125)/$G$103)</f>
        <v>#DIV/0!</v>
      </c>
      <c r="R43" s="374" t="e">
        <f t="shared" si="7"/>
        <v>#DIV/0!</v>
      </c>
      <c r="S43" s="375" t="e">
        <f t="shared" si="8"/>
        <v>#DIV/0!</v>
      </c>
      <c r="T43" s="375" t="e">
        <f t="shared" si="9"/>
        <v>#DIV/0!</v>
      </c>
      <c r="U43" s="74"/>
      <c r="V43" s="74"/>
    </row>
    <row r="44" spans="1:30" ht="15.75" customHeight="1" x14ac:dyDescent="0.45">
      <c r="B44" s="287">
        <v>6656021190</v>
      </c>
      <c r="C44" s="309" t="s">
        <v>392</v>
      </c>
      <c r="D44" s="220" t="s">
        <v>393</v>
      </c>
      <c r="E44" s="219">
        <v>100</v>
      </c>
      <c r="F44" s="219">
        <v>56</v>
      </c>
      <c r="G44" s="386">
        <f>'e411'!F44</f>
        <v>0</v>
      </c>
      <c r="H44" s="57">
        <f t="shared" si="0"/>
        <v>0</v>
      </c>
      <c r="I44" s="219">
        <f t="shared" si="1"/>
        <v>0</v>
      </c>
      <c r="J44" s="219">
        <f>(30*BC!$B$47/F44)</f>
        <v>0</v>
      </c>
      <c r="K44" s="285">
        <f t="shared" si="2"/>
        <v>0</v>
      </c>
      <c r="L44" s="194">
        <f t="shared" si="3"/>
        <v>0</v>
      </c>
      <c r="M44" s="194">
        <f t="shared" si="4"/>
        <v>0</v>
      </c>
      <c r="N44" s="364">
        <v>166</v>
      </c>
      <c r="O44" s="365">
        <f t="shared" si="5"/>
        <v>0</v>
      </c>
      <c r="P44" s="371">
        <f t="shared" si="6"/>
        <v>1.66</v>
      </c>
      <c r="Q44" s="374" t="e">
        <f>(P44+$O$231)+((BC!$F$125)/$G$103)</f>
        <v>#DIV/0!</v>
      </c>
      <c r="R44" s="374" t="e">
        <f t="shared" si="7"/>
        <v>#DIV/0!</v>
      </c>
      <c r="S44" s="375" t="e">
        <f t="shared" si="8"/>
        <v>#DIV/0!</v>
      </c>
      <c r="T44" s="375" t="e">
        <f t="shared" si="9"/>
        <v>#DIV/0!</v>
      </c>
      <c r="U44" s="373"/>
      <c r="V44" s="373"/>
      <c r="W44" s="97"/>
      <c r="X44" s="97"/>
      <c r="Y44" s="97"/>
      <c r="Z44" s="97"/>
      <c r="AA44" s="97"/>
      <c r="AB44" s="97"/>
      <c r="AC44" s="97"/>
      <c r="AD44" s="97"/>
    </row>
    <row r="45" spans="1:30" ht="15.75" customHeight="1" x14ac:dyDescent="0.45">
      <c r="B45" s="313">
        <v>3737551190</v>
      </c>
      <c r="C45" s="314" t="s">
        <v>394</v>
      </c>
      <c r="D45" s="220" t="s">
        <v>395</v>
      </c>
      <c r="E45" s="219">
        <v>100</v>
      </c>
      <c r="F45" s="219">
        <v>42</v>
      </c>
      <c r="G45" s="386">
        <f>'e411'!F45</f>
        <v>0</v>
      </c>
      <c r="H45" s="57">
        <f t="shared" si="0"/>
        <v>0</v>
      </c>
      <c r="I45" s="219">
        <f t="shared" si="1"/>
        <v>0</v>
      </c>
      <c r="J45" s="219">
        <f>(30*BC!$B$47/F45)</f>
        <v>0</v>
      </c>
      <c r="K45" s="285">
        <f t="shared" si="2"/>
        <v>0</v>
      </c>
      <c r="L45" s="194">
        <f t="shared" si="3"/>
        <v>0</v>
      </c>
      <c r="M45" s="194">
        <f t="shared" si="4"/>
        <v>0</v>
      </c>
      <c r="N45" s="364">
        <v>378</v>
      </c>
      <c r="O45" s="365">
        <f t="shared" si="5"/>
        <v>0</v>
      </c>
      <c r="P45" s="371">
        <f t="shared" si="6"/>
        <v>3.78</v>
      </c>
      <c r="Q45" s="374" t="e">
        <f>(P45+$O$231)+((BC!$F$125)/$G$103)</f>
        <v>#DIV/0!</v>
      </c>
      <c r="R45" s="374" t="e">
        <f t="shared" si="7"/>
        <v>#DIV/0!</v>
      </c>
      <c r="S45" s="375" t="e">
        <f t="shared" si="8"/>
        <v>#DIV/0!</v>
      </c>
      <c r="T45" s="375" t="e">
        <f t="shared" si="9"/>
        <v>#DIV/0!</v>
      </c>
      <c r="U45" s="373"/>
      <c r="V45" s="373"/>
      <c r="W45" s="97"/>
      <c r="X45" s="97"/>
      <c r="Y45" s="97"/>
      <c r="Z45" s="97"/>
      <c r="AA45" s="97"/>
      <c r="AB45" s="97"/>
      <c r="AC45" s="97"/>
      <c r="AD45" s="97"/>
    </row>
    <row r="46" spans="1:30" ht="15.75" customHeight="1" x14ac:dyDescent="0.45">
      <c r="B46" s="287">
        <v>7559992190</v>
      </c>
      <c r="C46" s="315" t="s">
        <v>396</v>
      </c>
      <c r="D46" s="285" t="s">
        <v>397</v>
      </c>
      <c r="E46" s="219">
        <v>100</v>
      </c>
      <c r="F46" s="219">
        <v>28</v>
      </c>
      <c r="G46" s="386">
        <f>'e411'!F46</f>
        <v>0</v>
      </c>
      <c r="H46" s="57">
        <f t="shared" si="0"/>
        <v>0</v>
      </c>
      <c r="I46" s="219">
        <f t="shared" si="1"/>
        <v>0</v>
      </c>
      <c r="J46" s="219">
        <f>(30*BC!$B$47/F46)</f>
        <v>0</v>
      </c>
      <c r="K46" s="285">
        <f t="shared" si="2"/>
        <v>0</v>
      </c>
      <c r="L46" s="194">
        <f t="shared" si="3"/>
        <v>0</v>
      </c>
      <c r="M46" s="194">
        <f t="shared" si="4"/>
        <v>0</v>
      </c>
      <c r="N46" s="364">
        <v>330</v>
      </c>
      <c r="O46" s="365">
        <f t="shared" si="5"/>
        <v>0</v>
      </c>
      <c r="P46" s="371">
        <f t="shared" si="6"/>
        <v>3.3</v>
      </c>
      <c r="Q46" s="374" t="e">
        <f>(P46+$O$231)+((BC!$F$125)/$G$103)</f>
        <v>#DIV/0!</v>
      </c>
      <c r="R46" s="374" t="e">
        <f t="shared" si="7"/>
        <v>#DIV/0!</v>
      </c>
      <c r="S46" s="375" t="e">
        <f t="shared" si="8"/>
        <v>#DIV/0!</v>
      </c>
      <c r="T46" s="375" t="e">
        <f t="shared" si="9"/>
        <v>#DIV/0!</v>
      </c>
      <c r="U46" s="74"/>
      <c r="V46" s="74"/>
    </row>
    <row r="47" spans="1:30" ht="15.75" customHeight="1" x14ac:dyDescent="0.45">
      <c r="B47" s="287">
        <v>8860297190</v>
      </c>
      <c r="C47" s="316" t="s">
        <v>398</v>
      </c>
      <c r="D47" s="285" t="s">
        <v>399</v>
      </c>
      <c r="E47" s="219">
        <v>100</v>
      </c>
      <c r="F47" s="219">
        <v>28</v>
      </c>
      <c r="G47" s="386">
        <f>'e411'!F47</f>
        <v>0</v>
      </c>
      <c r="H47" s="57">
        <f t="shared" si="0"/>
        <v>0</v>
      </c>
      <c r="I47" s="219">
        <f t="shared" si="1"/>
        <v>0</v>
      </c>
      <c r="J47" s="219">
        <f>(30*BC!$B$47/F47)</f>
        <v>0</v>
      </c>
      <c r="K47" s="285">
        <f t="shared" si="2"/>
        <v>0</v>
      </c>
      <c r="L47" s="194">
        <f t="shared" si="3"/>
        <v>0</v>
      </c>
      <c r="M47" s="194">
        <f t="shared" si="4"/>
        <v>0</v>
      </c>
      <c r="N47" s="364">
        <v>1516</v>
      </c>
      <c r="O47" s="365">
        <f t="shared" si="5"/>
        <v>0</v>
      </c>
      <c r="P47" s="371">
        <f t="shared" si="6"/>
        <v>15.16</v>
      </c>
      <c r="Q47" s="374" t="e">
        <f>(P47+$O$231)+((BC!$F$125)/$G$103)</f>
        <v>#DIV/0!</v>
      </c>
      <c r="R47" s="374" t="e">
        <f t="shared" si="7"/>
        <v>#DIV/0!</v>
      </c>
      <c r="S47" s="375" t="e">
        <f t="shared" si="8"/>
        <v>#DIV/0!</v>
      </c>
      <c r="T47" s="375" t="e">
        <f t="shared" si="9"/>
        <v>#DIV/0!</v>
      </c>
      <c r="U47" s="74"/>
      <c r="V47" s="74"/>
    </row>
    <row r="48" spans="1:30" ht="15.75" customHeight="1" x14ac:dyDescent="0.45">
      <c r="B48" s="287">
        <v>8828601190</v>
      </c>
      <c r="C48" s="288" t="s">
        <v>400</v>
      </c>
      <c r="D48" s="220" t="s">
        <v>401</v>
      </c>
      <c r="E48" s="219">
        <v>100</v>
      </c>
      <c r="F48" s="219">
        <v>42</v>
      </c>
      <c r="G48" s="386">
        <f>'e411'!F48</f>
        <v>0</v>
      </c>
      <c r="H48" s="57">
        <f t="shared" si="0"/>
        <v>0</v>
      </c>
      <c r="I48" s="219">
        <f t="shared" si="1"/>
        <v>0</v>
      </c>
      <c r="J48" s="219">
        <f>(30*BC!$B$47/F48)</f>
        <v>0</v>
      </c>
      <c r="K48" s="285">
        <f t="shared" si="2"/>
        <v>0</v>
      </c>
      <c r="L48" s="194">
        <f t="shared" si="3"/>
        <v>0</v>
      </c>
      <c r="M48" s="194">
        <f t="shared" si="4"/>
        <v>0</v>
      </c>
      <c r="N48" s="364">
        <v>398</v>
      </c>
      <c r="O48" s="365">
        <f t="shared" si="5"/>
        <v>0</v>
      </c>
      <c r="P48" s="371">
        <f t="shared" si="6"/>
        <v>3.98</v>
      </c>
      <c r="Q48" s="374" t="e">
        <f>(P48+$O$231)+((BC!$F$125)/$G$103)</f>
        <v>#DIV/0!</v>
      </c>
      <c r="R48" s="374" t="e">
        <f t="shared" si="7"/>
        <v>#DIV/0!</v>
      </c>
      <c r="S48" s="375" t="e">
        <f t="shared" si="8"/>
        <v>#DIV/0!</v>
      </c>
      <c r="T48" s="375" t="e">
        <f t="shared" si="9"/>
        <v>#DIV/0!</v>
      </c>
      <c r="U48" s="373"/>
      <c r="V48" s="373"/>
      <c r="W48" s="97"/>
      <c r="X48" s="97"/>
      <c r="Y48" s="97"/>
      <c r="Z48" s="97"/>
      <c r="AA48" s="97"/>
      <c r="AB48" s="97"/>
      <c r="AC48" s="97"/>
      <c r="AD48" s="97"/>
    </row>
    <row r="49" spans="2:30" ht="15.75" customHeight="1" x14ac:dyDescent="0.45">
      <c r="B49" s="287">
        <v>8932352190</v>
      </c>
      <c r="C49" s="309" t="s">
        <v>402</v>
      </c>
      <c r="D49" s="220" t="s">
        <v>403</v>
      </c>
      <c r="E49" s="219">
        <v>100</v>
      </c>
      <c r="F49" s="219">
        <v>56</v>
      </c>
      <c r="G49" s="386">
        <f>'e411'!F49</f>
        <v>0</v>
      </c>
      <c r="H49" s="57">
        <f t="shared" si="0"/>
        <v>0</v>
      </c>
      <c r="I49" s="219">
        <f t="shared" si="1"/>
        <v>0</v>
      </c>
      <c r="J49" s="219">
        <f>(30*BC!$B$47/F49)</f>
        <v>0</v>
      </c>
      <c r="K49" s="285">
        <f t="shared" si="2"/>
        <v>0</v>
      </c>
      <c r="L49" s="194">
        <f t="shared" si="3"/>
        <v>0</v>
      </c>
      <c r="M49" s="194">
        <f t="shared" si="4"/>
        <v>0</v>
      </c>
      <c r="N49" s="364">
        <v>235</v>
      </c>
      <c r="O49" s="365">
        <f t="shared" si="5"/>
        <v>0</v>
      </c>
      <c r="P49" s="371">
        <f t="shared" si="6"/>
        <v>2.35</v>
      </c>
      <c r="Q49" s="374" t="e">
        <f>(P49+$O$231)+((BC!$F$125)/$G$103)</f>
        <v>#DIV/0!</v>
      </c>
      <c r="R49" s="374" t="e">
        <f t="shared" si="7"/>
        <v>#DIV/0!</v>
      </c>
      <c r="S49" s="375" t="e">
        <f t="shared" si="8"/>
        <v>#DIV/0!</v>
      </c>
      <c r="T49" s="375" t="e">
        <f t="shared" si="9"/>
        <v>#DIV/0!</v>
      </c>
      <c r="U49" s="373"/>
      <c r="V49" s="373"/>
      <c r="W49" s="97"/>
      <c r="X49" s="97"/>
      <c r="Y49" s="97"/>
      <c r="Z49" s="97"/>
      <c r="AA49" s="97"/>
      <c r="AB49" s="97"/>
      <c r="AC49" s="97"/>
      <c r="AD49" s="97"/>
    </row>
    <row r="50" spans="2:30" ht="15.75" customHeight="1" x14ac:dyDescent="0.45">
      <c r="B50" s="287">
        <v>9005803190</v>
      </c>
      <c r="C50" s="309" t="s">
        <v>404</v>
      </c>
      <c r="D50" s="220" t="s">
        <v>405</v>
      </c>
      <c r="E50" s="219">
        <v>200</v>
      </c>
      <c r="F50" s="219">
        <v>56</v>
      </c>
      <c r="G50" s="386">
        <f>'e411'!F50</f>
        <v>0</v>
      </c>
      <c r="H50" s="57">
        <f t="shared" si="0"/>
        <v>0</v>
      </c>
      <c r="I50" s="219">
        <f t="shared" si="1"/>
        <v>0</v>
      </c>
      <c r="J50" s="219">
        <f>(30*BC!$B$47/F50)</f>
        <v>0</v>
      </c>
      <c r="K50" s="285">
        <f t="shared" si="2"/>
        <v>0</v>
      </c>
      <c r="L50" s="194">
        <f t="shared" si="3"/>
        <v>0</v>
      </c>
      <c r="M50" s="194">
        <f t="shared" si="4"/>
        <v>0</v>
      </c>
      <c r="N50" s="364">
        <v>376</v>
      </c>
      <c r="O50" s="365">
        <f t="shared" si="5"/>
        <v>0</v>
      </c>
      <c r="P50" s="371">
        <f t="shared" si="6"/>
        <v>1.88</v>
      </c>
      <c r="Q50" s="374" t="e">
        <f>(P50+$O$231)+((BC!$F$125)/$G$103)</f>
        <v>#DIV/0!</v>
      </c>
      <c r="R50" s="374" t="e">
        <f t="shared" si="7"/>
        <v>#DIV/0!</v>
      </c>
      <c r="S50" s="375" t="e">
        <f t="shared" si="8"/>
        <v>#DIV/0!</v>
      </c>
      <c r="T50" s="375" t="e">
        <f t="shared" si="9"/>
        <v>#DIV/0!</v>
      </c>
      <c r="U50" s="373"/>
      <c r="V50" s="373"/>
      <c r="W50" s="97"/>
      <c r="X50" s="97"/>
      <c r="Y50" s="97"/>
      <c r="Z50" s="97"/>
      <c r="AA50" s="97"/>
      <c r="AB50" s="97"/>
      <c r="AC50" s="97"/>
      <c r="AD50" s="97"/>
    </row>
    <row r="51" spans="2:30" ht="15.75" customHeight="1" x14ac:dyDescent="0.45">
      <c r="B51" s="287">
        <v>9043276190</v>
      </c>
      <c r="C51" s="309" t="s">
        <v>406</v>
      </c>
      <c r="D51" s="220" t="s">
        <v>407</v>
      </c>
      <c r="E51" s="219">
        <v>200</v>
      </c>
      <c r="F51" s="219">
        <v>56</v>
      </c>
      <c r="G51" s="386">
        <f>'e411'!F51</f>
        <v>0</v>
      </c>
      <c r="H51" s="57">
        <f t="shared" si="0"/>
        <v>0</v>
      </c>
      <c r="I51" s="219">
        <f t="shared" si="1"/>
        <v>0</v>
      </c>
      <c r="J51" s="219">
        <f>(30*BC!$B$47/F51)</f>
        <v>0</v>
      </c>
      <c r="K51" s="285">
        <f t="shared" si="2"/>
        <v>0</v>
      </c>
      <c r="L51" s="194">
        <f t="shared" si="3"/>
        <v>0</v>
      </c>
      <c r="M51" s="194">
        <f t="shared" si="4"/>
        <v>0</v>
      </c>
      <c r="N51" s="364">
        <v>376</v>
      </c>
      <c r="O51" s="365">
        <f t="shared" si="5"/>
        <v>0</v>
      </c>
      <c r="P51" s="371">
        <f t="shared" si="6"/>
        <v>1.88</v>
      </c>
      <c r="Q51" s="374" t="e">
        <f>(P51+$O$231)+((BC!$F$125)/$G$103)</f>
        <v>#DIV/0!</v>
      </c>
      <c r="R51" s="374" t="e">
        <f t="shared" si="7"/>
        <v>#DIV/0!</v>
      </c>
      <c r="S51" s="375" t="e">
        <f t="shared" si="8"/>
        <v>#DIV/0!</v>
      </c>
      <c r="T51" s="375" t="e">
        <f t="shared" si="9"/>
        <v>#DIV/0!</v>
      </c>
      <c r="U51" s="373"/>
      <c r="V51" s="373"/>
      <c r="W51" s="97"/>
      <c r="X51" s="97"/>
      <c r="Y51" s="97"/>
      <c r="Z51" s="97"/>
      <c r="AA51" s="97"/>
      <c r="AB51" s="97"/>
      <c r="AC51" s="97"/>
      <c r="AD51" s="97"/>
    </row>
    <row r="52" spans="2:30" ht="15.75" customHeight="1" x14ac:dyDescent="0.45">
      <c r="B52" s="287">
        <v>8946779190</v>
      </c>
      <c r="C52" s="305" t="s">
        <v>408</v>
      </c>
      <c r="D52" s="285" t="s">
        <v>409</v>
      </c>
      <c r="E52" s="219">
        <v>100</v>
      </c>
      <c r="F52" s="219">
        <v>56</v>
      </c>
      <c r="G52" s="386">
        <f>'e411'!F52</f>
        <v>0</v>
      </c>
      <c r="H52" s="57">
        <f t="shared" si="0"/>
        <v>0</v>
      </c>
      <c r="I52" s="219">
        <f t="shared" si="1"/>
        <v>0</v>
      </c>
      <c r="J52" s="219">
        <f>(30*BC!$B$47/F52)</f>
        <v>0</v>
      </c>
      <c r="K52" s="285">
        <f t="shared" si="2"/>
        <v>0</v>
      </c>
      <c r="L52" s="194">
        <f t="shared" si="3"/>
        <v>0</v>
      </c>
      <c r="M52" s="194">
        <f t="shared" si="4"/>
        <v>0</v>
      </c>
      <c r="N52" s="364">
        <v>5845</v>
      </c>
      <c r="O52" s="365">
        <f t="shared" si="5"/>
        <v>0</v>
      </c>
      <c r="P52" s="371">
        <f t="shared" si="6"/>
        <v>58.45</v>
      </c>
      <c r="Q52" s="374" t="e">
        <f>(P52+$O$231)+((BC!$F$125)/$G$103)</f>
        <v>#DIV/0!</v>
      </c>
      <c r="R52" s="374" t="e">
        <f t="shared" si="7"/>
        <v>#DIV/0!</v>
      </c>
      <c r="S52" s="375" t="e">
        <f t="shared" si="8"/>
        <v>#DIV/0!</v>
      </c>
      <c r="T52" s="375" t="e">
        <f t="shared" si="9"/>
        <v>#DIV/0!</v>
      </c>
      <c r="U52" s="74"/>
      <c r="V52" s="74"/>
    </row>
    <row r="53" spans="2:30" ht="15.75" customHeight="1" x14ac:dyDescent="0.45">
      <c r="B53" s="287">
        <v>11820583122</v>
      </c>
      <c r="C53" s="317" t="s">
        <v>410</v>
      </c>
      <c r="D53" s="285" t="s">
        <v>411</v>
      </c>
      <c r="E53" s="219">
        <v>100</v>
      </c>
      <c r="F53" s="219">
        <v>56</v>
      </c>
      <c r="G53" s="386">
        <f>'e411'!F53</f>
        <v>0</v>
      </c>
      <c r="H53" s="57">
        <f t="shared" si="0"/>
        <v>0</v>
      </c>
      <c r="I53" s="219">
        <f t="shared" si="1"/>
        <v>0</v>
      </c>
      <c r="J53" s="219">
        <f>(30*BC!$B$47/F53)</f>
        <v>0</v>
      </c>
      <c r="K53" s="285">
        <f t="shared" si="2"/>
        <v>0</v>
      </c>
      <c r="L53" s="194">
        <f t="shared" si="3"/>
        <v>0</v>
      </c>
      <c r="M53" s="194">
        <f t="shared" si="4"/>
        <v>0</v>
      </c>
      <c r="N53" s="364">
        <v>344</v>
      </c>
      <c r="O53" s="365">
        <f t="shared" si="5"/>
        <v>0</v>
      </c>
      <c r="P53" s="371">
        <f t="shared" si="6"/>
        <v>3.44</v>
      </c>
      <c r="Q53" s="374" t="e">
        <f>(P53+$O$231)+((BC!$F$125)/$G$103)</f>
        <v>#DIV/0!</v>
      </c>
      <c r="R53" s="374" t="e">
        <f t="shared" si="7"/>
        <v>#DIV/0!</v>
      </c>
      <c r="S53" s="375" t="e">
        <f t="shared" si="8"/>
        <v>#DIV/0!</v>
      </c>
      <c r="T53" s="375" t="e">
        <f t="shared" si="9"/>
        <v>#DIV/0!</v>
      </c>
      <c r="U53" s="74"/>
      <c r="V53" s="74"/>
    </row>
    <row r="54" spans="2:30" ht="15.75" customHeight="1" x14ac:dyDescent="0.45">
      <c r="B54" s="287">
        <v>8814856190</v>
      </c>
      <c r="C54" s="318" t="s">
        <v>412</v>
      </c>
      <c r="D54" s="220" t="s">
        <v>413</v>
      </c>
      <c r="E54" s="219">
        <v>100</v>
      </c>
      <c r="F54" s="219">
        <v>42</v>
      </c>
      <c r="G54" s="386">
        <f>'e411'!F54</f>
        <v>0</v>
      </c>
      <c r="H54" s="57">
        <f t="shared" si="0"/>
        <v>0</v>
      </c>
      <c r="I54" s="219">
        <f t="shared" si="1"/>
        <v>0</v>
      </c>
      <c r="J54" s="219">
        <f>(30*BC!$B$47/F54)</f>
        <v>0</v>
      </c>
      <c r="K54" s="285">
        <f t="shared" si="2"/>
        <v>0</v>
      </c>
      <c r="L54" s="194">
        <f t="shared" si="3"/>
        <v>0</v>
      </c>
      <c r="M54" s="194">
        <f t="shared" si="4"/>
        <v>0</v>
      </c>
      <c r="N54" s="364">
        <v>270</v>
      </c>
      <c r="O54" s="365">
        <f t="shared" si="5"/>
        <v>0</v>
      </c>
      <c r="P54" s="371">
        <f t="shared" si="6"/>
        <v>2.7</v>
      </c>
      <c r="Q54" s="374" t="e">
        <f>(P54+$O$231)+((BC!$F$125)/$G$103)</f>
        <v>#DIV/0!</v>
      </c>
      <c r="R54" s="374" t="e">
        <f t="shared" si="7"/>
        <v>#DIV/0!</v>
      </c>
      <c r="S54" s="375" t="e">
        <f t="shared" si="8"/>
        <v>#DIV/0!</v>
      </c>
      <c r="T54" s="375" t="e">
        <f t="shared" si="9"/>
        <v>#DIV/0!</v>
      </c>
      <c r="U54" s="373"/>
      <c r="V54" s="373"/>
      <c r="W54" s="97"/>
      <c r="X54" s="97"/>
      <c r="Y54" s="97"/>
      <c r="Z54" s="97"/>
      <c r="AA54" s="97"/>
      <c r="AB54" s="97"/>
      <c r="AC54" s="97"/>
      <c r="AD54" s="97"/>
    </row>
    <row r="55" spans="2:30" ht="15.75" customHeight="1" x14ac:dyDescent="0.45">
      <c r="B55" s="287">
        <v>8890587190</v>
      </c>
      <c r="C55" s="310" t="s">
        <v>414</v>
      </c>
      <c r="D55" s="220" t="s">
        <v>415</v>
      </c>
      <c r="E55" s="219">
        <v>100</v>
      </c>
      <c r="F55" s="219">
        <v>28</v>
      </c>
      <c r="G55" s="386">
        <f>'e411'!F55</f>
        <v>0</v>
      </c>
      <c r="H55" s="57">
        <f t="shared" si="0"/>
        <v>0</v>
      </c>
      <c r="I55" s="219">
        <f t="shared" si="1"/>
        <v>0</v>
      </c>
      <c r="J55" s="219">
        <f>(30*BC!$B$47/F55)</f>
        <v>0</v>
      </c>
      <c r="K55" s="285">
        <f t="shared" si="2"/>
        <v>0</v>
      </c>
      <c r="L55" s="194">
        <f t="shared" si="3"/>
        <v>0</v>
      </c>
      <c r="M55" s="194">
        <f t="shared" si="4"/>
        <v>0</v>
      </c>
      <c r="N55" s="364">
        <v>408</v>
      </c>
      <c r="O55" s="365">
        <f t="shared" si="5"/>
        <v>0</v>
      </c>
      <c r="P55" s="371">
        <f t="shared" si="6"/>
        <v>4.08</v>
      </c>
      <c r="Q55" s="374" t="e">
        <f>(P55+$O$231)+((BC!$F$125)/$G$103)</f>
        <v>#DIV/0!</v>
      </c>
      <c r="R55" s="374" t="e">
        <f t="shared" si="7"/>
        <v>#DIV/0!</v>
      </c>
      <c r="S55" s="375" t="e">
        <f t="shared" si="8"/>
        <v>#DIV/0!</v>
      </c>
      <c r="T55" s="375" t="e">
        <f t="shared" si="9"/>
        <v>#DIV/0!</v>
      </c>
      <c r="U55" s="74"/>
      <c r="V55" s="74"/>
    </row>
    <row r="56" spans="2:30" ht="15.75" customHeight="1" x14ac:dyDescent="0.45">
      <c r="B56" s="313">
        <v>3271749190</v>
      </c>
      <c r="C56" s="309" t="s">
        <v>416</v>
      </c>
      <c r="D56" s="220" t="s">
        <v>417</v>
      </c>
      <c r="E56" s="219">
        <v>100</v>
      </c>
      <c r="F56" s="219">
        <v>28</v>
      </c>
      <c r="G56" s="386">
        <f>'e411'!F56</f>
        <v>0</v>
      </c>
      <c r="H56" s="57">
        <f t="shared" si="0"/>
        <v>0</v>
      </c>
      <c r="I56" s="219">
        <f t="shared" si="1"/>
        <v>0</v>
      </c>
      <c r="J56" s="219">
        <f>(30*BC!$B$47/F56)</f>
        <v>0</v>
      </c>
      <c r="K56" s="285">
        <f t="shared" si="2"/>
        <v>0</v>
      </c>
      <c r="L56" s="194">
        <f t="shared" si="3"/>
        <v>0</v>
      </c>
      <c r="M56" s="194">
        <f t="shared" si="4"/>
        <v>0</v>
      </c>
      <c r="N56" s="364">
        <v>148</v>
      </c>
      <c r="O56" s="365">
        <f t="shared" si="5"/>
        <v>0</v>
      </c>
      <c r="P56" s="371">
        <f t="shared" si="6"/>
        <v>1.48</v>
      </c>
      <c r="Q56" s="374" t="e">
        <f>(P56+$O$231)+((BC!$F$125)/$G$103)</f>
        <v>#DIV/0!</v>
      </c>
      <c r="R56" s="374" t="e">
        <f t="shared" si="7"/>
        <v>#DIV/0!</v>
      </c>
      <c r="S56" s="375" t="e">
        <f t="shared" si="8"/>
        <v>#DIV/0!</v>
      </c>
      <c r="T56" s="375" t="e">
        <f t="shared" si="9"/>
        <v>#DIV/0!</v>
      </c>
      <c r="U56" s="373"/>
      <c r="V56" s="373"/>
      <c r="W56" s="97"/>
      <c r="X56" s="97"/>
      <c r="Y56" s="97"/>
      <c r="Z56" s="97"/>
      <c r="AA56" s="97"/>
      <c r="AB56" s="97"/>
      <c r="AC56" s="97"/>
      <c r="AD56" s="97"/>
    </row>
    <row r="57" spans="2:30" ht="15.75" customHeight="1" x14ac:dyDescent="0.45">
      <c r="B57" s="287">
        <v>5950929190</v>
      </c>
      <c r="C57" s="319" t="s">
        <v>418</v>
      </c>
      <c r="D57" s="285" t="s">
        <v>419</v>
      </c>
      <c r="E57" s="219">
        <v>100</v>
      </c>
      <c r="F57" s="219">
        <v>28</v>
      </c>
      <c r="G57" s="386">
        <f>'e411'!F57</f>
        <v>0</v>
      </c>
      <c r="H57" s="57">
        <f t="shared" si="0"/>
        <v>0</v>
      </c>
      <c r="I57" s="219">
        <f t="shared" si="1"/>
        <v>0</v>
      </c>
      <c r="J57" s="219">
        <f>(30*BC!$B$47/F57)</f>
        <v>0</v>
      </c>
      <c r="K57" s="285">
        <f t="shared" si="2"/>
        <v>0</v>
      </c>
      <c r="L57" s="194">
        <f t="shared" si="3"/>
        <v>0</v>
      </c>
      <c r="M57" s="194">
        <f t="shared" si="4"/>
        <v>0</v>
      </c>
      <c r="N57" s="364">
        <v>1109</v>
      </c>
      <c r="O57" s="365">
        <f t="shared" si="5"/>
        <v>0</v>
      </c>
      <c r="P57" s="371">
        <f t="shared" si="6"/>
        <v>11.09</v>
      </c>
      <c r="Q57" s="374" t="e">
        <f>(P57+$O$231)+((BC!$F$125)/$G$103)</f>
        <v>#DIV/0!</v>
      </c>
      <c r="R57" s="374" t="e">
        <f t="shared" si="7"/>
        <v>#DIV/0!</v>
      </c>
      <c r="S57" s="375" t="e">
        <f t="shared" si="8"/>
        <v>#DIV/0!</v>
      </c>
      <c r="T57" s="375" t="e">
        <f t="shared" si="9"/>
        <v>#DIV/0!</v>
      </c>
      <c r="U57" s="74"/>
      <c r="V57" s="74"/>
    </row>
    <row r="58" spans="2:30" ht="15.75" customHeight="1" x14ac:dyDescent="0.45">
      <c r="B58" s="320">
        <v>5390125190</v>
      </c>
      <c r="C58" s="284" t="s">
        <v>420</v>
      </c>
      <c r="D58" s="285" t="s">
        <v>421</v>
      </c>
      <c r="E58" s="219">
        <v>100</v>
      </c>
      <c r="F58" s="219">
        <v>56</v>
      </c>
      <c r="G58" s="386">
        <f>'e411'!F58</f>
        <v>0</v>
      </c>
      <c r="H58" s="57">
        <f t="shared" si="0"/>
        <v>0</v>
      </c>
      <c r="I58" s="219">
        <f t="shared" si="1"/>
        <v>0</v>
      </c>
      <c r="J58" s="219">
        <f>(30*BC!$B$47/F58)</f>
        <v>0</v>
      </c>
      <c r="K58" s="285">
        <f t="shared" si="2"/>
        <v>0</v>
      </c>
      <c r="L58" s="194">
        <f t="shared" si="3"/>
        <v>0</v>
      </c>
      <c r="M58" s="194">
        <f t="shared" si="4"/>
        <v>0</v>
      </c>
      <c r="N58" s="364">
        <v>498</v>
      </c>
      <c r="O58" s="365">
        <f t="shared" si="5"/>
        <v>0</v>
      </c>
      <c r="P58" s="371">
        <f t="shared" si="6"/>
        <v>4.9800000000000004</v>
      </c>
      <c r="Q58" s="374" t="e">
        <f>(P58+$O$231)+((BC!$F$125)/$G$103)</f>
        <v>#DIV/0!</v>
      </c>
      <c r="R58" s="374" t="e">
        <f t="shared" si="7"/>
        <v>#DIV/0!</v>
      </c>
      <c r="S58" s="375" t="e">
        <f t="shared" si="8"/>
        <v>#DIV/0!</v>
      </c>
      <c r="T58" s="375" t="e">
        <f t="shared" si="9"/>
        <v>#DIV/0!</v>
      </c>
      <c r="U58" s="74"/>
      <c r="V58" s="74"/>
    </row>
    <row r="59" spans="2:30" ht="15.75" customHeight="1" x14ac:dyDescent="0.45">
      <c r="B59" s="287">
        <v>8924163190</v>
      </c>
      <c r="C59" s="321" t="s">
        <v>422</v>
      </c>
      <c r="D59" s="220" t="s">
        <v>423</v>
      </c>
      <c r="E59" s="219">
        <v>100</v>
      </c>
      <c r="F59" s="219">
        <v>28</v>
      </c>
      <c r="G59" s="386">
        <f>'e411'!F59</f>
        <v>0</v>
      </c>
      <c r="H59" s="57">
        <f t="shared" si="0"/>
        <v>0</v>
      </c>
      <c r="I59" s="219">
        <f t="shared" si="1"/>
        <v>0</v>
      </c>
      <c r="J59" s="219">
        <f>(30*BC!$B$47/F59)</f>
        <v>0</v>
      </c>
      <c r="K59" s="285">
        <f t="shared" si="2"/>
        <v>0</v>
      </c>
      <c r="L59" s="194">
        <f t="shared" si="3"/>
        <v>0</v>
      </c>
      <c r="M59" s="194">
        <f t="shared" si="4"/>
        <v>0</v>
      </c>
      <c r="N59" s="364">
        <v>886</v>
      </c>
      <c r="O59" s="365">
        <f t="shared" si="5"/>
        <v>0</v>
      </c>
      <c r="P59" s="371">
        <f t="shared" si="6"/>
        <v>8.86</v>
      </c>
      <c r="Q59" s="374" t="e">
        <f>(P59+$O$231)+((BC!$F$125)/$G$103)</f>
        <v>#DIV/0!</v>
      </c>
      <c r="R59" s="374" t="e">
        <f t="shared" si="7"/>
        <v>#DIV/0!</v>
      </c>
      <c r="S59" s="375" t="e">
        <f t="shared" si="8"/>
        <v>#DIV/0!</v>
      </c>
      <c r="T59" s="375" t="e">
        <f t="shared" si="9"/>
        <v>#DIV/0!</v>
      </c>
      <c r="U59" s="373"/>
      <c r="V59" s="373"/>
      <c r="W59" s="97"/>
      <c r="X59" s="97"/>
      <c r="Y59" s="97"/>
      <c r="Z59" s="97"/>
      <c r="AA59" s="97"/>
      <c r="AB59" s="97"/>
      <c r="AC59" s="97"/>
      <c r="AD59" s="97"/>
    </row>
    <row r="60" spans="2:30" ht="15.75" customHeight="1" x14ac:dyDescent="0.45">
      <c r="B60" s="287">
        <v>8948844190</v>
      </c>
      <c r="C60" s="322" t="s">
        <v>424</v>
      </c>
      <c r="D60" s="220" t="s">
        <v>425</v>
      </c>
      <c r="E60" s="219">
        <v>100</v>
      </c>
      <c r="F60" s="219">
        <v>28</v>
      </c>
      <c r="G60" s="386">
        <f>'e411'!F60</f>
        <v>0</v>
      </c>
      <c r="H60" s="57">
        <f t="shared" si="0"/>
        <v>0</v>
      </c>
      <c r="I60" s="219">
        <f t="shared" si="1"/>
        <v>0</v>
      </c>
      <c r="J60" s="219">
        <f>(30*BC!$B$47/F60)</f>
        <v>0</v>
      </c>
      <c r="K60" s="285">
        <f t="shared" si="2"/>
        <v>0</v>
      </c>
      <c r="L60" s="194">
        <f t="shared" si="3"/>
        <v>0</v>
      </c>
      <c r="M60" s="194">
        <f t="shared" si="4"/>
        <v>0</v>
      </c>
      <c r="N60" s="364">
        <v>548</v>
      </c>
      <c r="O60" s="365">
        <f t="shared" si="5"/>
        <v>0</v>
      </c>
      <c r="P60" s="371">
        <f t="shared" si="6"/>
        <v>5.48</v>
      </c>
      <c r="Q60" s="374" t="e">
        <f>(P60+$O$231)+((BC!$F$125)/$G$103)</f>
        <v>#DIV/0!</v>
      </c>
      <c r="R60" s="374" t="e">
        <f t="shared" si="7"/>
        <v>#DIV/0!</v>
      </c>
      <c r="S60" s="375" t="e">
        <f t="shared" si="8"/>
        <v>#DIV/0!</v>
      </c>
      <c r="T60" s="375" t="e">
        <f t="shared" si="9"/>
        <v>#DIV/0!</v>
      </c>
      <c r="U60" s="373"/>
      <c r="V60" s="373"/>
      <c r="W60" s="97"/>
      <c r="X60" s="97"/>
      <c r="Y60" s="97"/>
      <c r="Z60" s="97"/>
      <c r="AA60" s="97"/>
      <c r="AB60" s="97"/>
      <c r="AC60" s="97"/>
      <c r="AD60" s="97"/>
    </row>
    <row r="61" spans="2:30" ht="15.75" customHeight="1" x14ac:dyDescent="0.45">
      <c r="B61" s="287">
        <v>8948887190</v>
      </c>
      <c r="C61" s="322" t="s">
        <v>426</v>
      </c>
      <c r="D61" s="220" t="s">
        <v>427</v>
      </c>
      <c r="E61" s="219">
        <v>100</v>
      </c>
      <c r="F61" s="219">
        <v>28</v>
      </c>
      <c r="G61" s="386">
        <f>'e411'!F61</f>
        <v>0</v>
      </c>
      <c r="H61" s="57">
        <f t="shared" si="0"/>
        <v>0</v>
      </c>
      <c r="I61" s="219">
        <f t="shared" si="1"/>
        <v>0</v>
      </c>
      <c r="J61" s="219">
        <f>(30*BC!$B$47/F61)</f>
        <v>0</v>
      </c>
      <c r="K61" s="285">
        <f t="shared" si="2"/>
        <v>0</v>
      </c>
      <c r="L61" s="194">
        <f t="shared" si="3"/>
        <v>0</v>
      </c>
      <c r="M61" s="194">
        <f t="shared" si="4"/>
        <v>0</v>
      </c>
      <c r="N61" s="364">
        <v>439</v>
      </c>
      <c r="O61" s="365">
        <f t="shared" si="5"/>
        <v>0</v>
      </c>
      <c r="P61" s="371">
        <f t="shared" si="6"/>
        <v>4.3899999999999997</v>
      </c>
      <c r="Q61" s="374" t="e">
        <f>(P61+$O$231)+((BC!$F$125)/$G$103)</f>
        <v>#DIV/0!</v>
      </c>
      <c r="R61" s="374" t="e">
        <f t="shared" si="7"/>
        <v>#DIV/0!</v>
      </c>
      <c r="S61" s="375" t="e">
        <f t="shared" si="8"/>
        <v>#DIV/0!</v>
      </c>
      <c r="T61" s="375" t="e">
        <f t="shared" si="9"/>
        <v>#DIV/0!</v>
      </c>
      <c r="U61" s="373"/>
      <c r="V61" s="373"/>
      <c r="W61" s="97"/>
      <c r="X61" s="97"/>
      <c r="Y61" s="97"/>
      <c r="Z61" s="97"/>
      <c r="AA61" s="97"/>
      <c r="AB61" s="97"/>
      <c r="AC61" s="97"/>
      <c r="AD61" s="97"/>
    </row>
    <row r="62" spans="2:30" ht="15.75" customHeight="1" x14ac:dyDescent="0.45">
      <c r="B62" s="287">
        <v>9015175190</v>
      </c>
      <c r="C62" s="323" t="s">
        <v>428</v>
      </c>
      <c r="D62" s="220" t="s">
        <v>429</v>
      </c>
      <c r="E62" s="219">
        <v>100</v>
      </c>
      <c r="F62" s="219">
        <v>28</v>
      </c>
      <c r="G62" s="386">
        <f>'e411'!F62</f>
        <v>0</v>
      </c>
      <c r="H62" s="57">
        <f t="shared" si="0"/>
        <v>0</v>
      </c>
      <c r="I62" s="219">
        <f t="shared" si="1"/>
        <v>0</v>
      </c>
      <c r="J62" s="219">
        <f>(30*BC!$B$47/F62)</f>
        <v>0</v>
      </c>
      <c r="K62" s="285">
        <f t="shared" si="2"/>
        <v>0</v>
      </c>
      <c r="L62" s="194">
        <f t="shared" si="3"/>
        <v>0</v>
      </c>
      <c r="M62" s="194">
        <f t="shared" si="4"/>
        <v>0</v>
      </c>
      <c r="N62" s="364">
        <v>328</v>
      </c>
      <c r="O62" s="365">
        <f t="shared" si="5"/>
        <v>0</v>
      </c>
      <c r="P62" s="371">
        <f t="shared" si="6"/>
        <v>3.28</v>
      </c>
      <c r="Q62" s="374" t="e">
        <f>(P62+$O$231)+((BC!$F$125)/$G$103)</f>
        <v>#DIV/0!</v>
      </c>
      <c r="R62" s="374" t="e">
        <f t="shared" si="7"/>
        <v>#DIV/0!</v>
      </c>
      <c r="S62" s="375" t="e">
        <f t="shared" si="8"/>
        <v>#DIV/0!</v>
      </c>
      <c r="T62" s="375" t="e">
        <f t="shared" si="9"/>
        <v>#DIV/0!</v>
      </c>
      <c r="U62" s="373"/>
      <c r="V62" s="373"/>
      <c r="W62" s="97"/>
      <c r="X62" s="97"/>
      <c r="Y62" s="97"/>
      <c r="Z62" s="97"/>
      <c r="AA62" s="97"/>
      <c r="AB62" s="97"/>
      <c r="AC62" s="97"/>
      <c r="AD62" s="97"/>
    </row>
    <row r="63" spans="2:30" ht="15.75" customHeight="1" x14ac:dyDescent="0.45">
      <c r="B63" s="287">
        <v>4827031190</v>
      </c>
      <c r="C63" s="309" t="s">
        <v>430</v>
      </c>
      <c r="D63" s="220" t="s">
        <v>431</v>
      </c>
      <c r="E63" s="219">
        <v>100</v>
      </c>
      <c r="F63" s="219">
        <v>56</v>
      </c>
      <c r="G63" s="386">
        <f>'e411'!F63</f>
        <v>0</v>
      </c>
      <c r="H63" s="57">
        <f t="shared" si="0"/>
        <v>0</v>
      </c>
      <c r="I63" s="219">
        <f t="shared" si="1"/>
        <v>0</v>
      </c>
      <c r="J63" s="219">
        <f>(30*BC!$B$47/F63)</f>
        <v>0</v>
      </c>
      <c r="K63" s="285">
        <f t="shared" si="2"/>
        <v>0</v>
      </c>
      <c r="L63" s="194">
        <f t="shared" si="3"/>
        <v>0</v>
      </c>
      <c r="M63" s="194">
        <f t="shared" si="4"/>
        <v>0</v>
      </c>
      <c r="N63" s="364">
        <v>388</v>
      </c>
      <c r="O63" s="365">
        <f t="shared" si="5"/>
        <v>0</v>
      </c>
      <c r="P63" s="371">
        <f t="shared" si="6"/>
        <v>3.88</v>
      </c>
      <c r="Q63" s="374" t="e">
        <f>(P63+$O$231)+((BC!$F$125)/$G$103)</f>
        <v>#DIV/0!</v>
      </c>
      <c r="R63" s="374" t="e">
        <f t="shared" si="7"/>
        <v>#DIV/0!</v>
      </c>
      <c r="S63" s="375" t="e">
        <f t="shared" si="8"/>
        <v>#DIV/0!</v>
      </c>
      <c r="T63" s="375" t="e">
        <f t="shared" si="9"/>
        <v>#DIV/0!</v>
      </c>
      <c r="U63" s="373"/>
      <c r="V63" s="373"/>
      <c r="W63" s="97"/>
      <c r="X63" s="97"/>
      <c r="Y63" s="97"/>
      <c r="Z63" s="97"/>
      <c r="AA63" s="97"/>
      <c r="AB63" s="97"/>
      <c r="AC63" s="97"/>
      <c r="AD63" s="97"/>
    </row>
    <row r="64" spans="2:30" ht="15.75" customHeight="1" x14ac:dyDescent="0.45">
      <c r="B64" s="287">
        <v>7475896190</v>
      </c>
      <c r="C64" s="324" t="s">
        <v>432</v>
      </c>
      <c r="D64" s="285" t="s">
        <v>433</v>
      </c>
      <c r="E64" s="219">
        <v>100</v>
      </c>
      <c r="F64" s="219">
        <v>28</v>
      </c>
      <c r="G64" s="386">
        <f>'e411'!F64</f>
        <v>0</v>
      </c>
      <c r="H64" s="57">
        <f t="shared" si="0"/>
        <v>0</v>
      </c>
      <c r="I64" s="219">
        <f t="shared" si="1"/>
        <v>0</v>
      </c>
      <c r="J64" s="219">
        <f>(30*BC!$B$47/F64)</f>
        <v>0</v>
      </c>
      <c r="K64" s="285">
        <f t="shared" si="2"/>
        <v>0</v>
      </c>
      <c r="L64" s="194">
        <f t="shared" si="3"/>
        <v>0</v>
      </c>
      <c r="M64" s="194">
        <f t="shared" si="4"/>
        <v>0</v>
      </c>
      <c r="N64" s="364">
        <v>859</v>
      </c>
      <c r="O64" s="365">
        <f t="shared" si="5"/>
        <v>0</v>
      </c>
      <c r="P64" s="371">
        <f t="shared" si="6"/>
        <v>8.59</v>
      </c>
      <c r="Q64" s="374" t="e">
        <f>(P64+$O$231)+((BC!$F$125)/$G$103)</f>
        <v>#DIV/0!</v>
      </c>
      <c r="R64" s="374" t="e">
        <f t="shared" si="7"/>
        <v>#DIV/0!</v>
      </c>
      <c r="S64" s="375" t="e">
        <f t="shared" si="8"/>
        <v>#DIV/0!</v>
      </c>
      <c r="T64" s="375" t="e">
        <f t="shared" si="9"/>
        <v>#DIV/0!</v>
      </c>
      <c r="U64" s="74"/>
      <c r="V64" s="74"/>
    </row>
    <row r="65" spans="2:30" ht="15.75" customHeight="1" x14ac:dyDescent="0.45">
      <c r="B65" s="287">
        <v>7574690190</v>
      </c>
      <c r="C65" s="325" t="s">
        <v>434</v>
      </c>
      <c r="D65" s="197" t="s">
        <v>435</v>
      </c>
      <c r="E65" s="219">
        <v>100</v>
      </c>
      <c r="F65" s="219">
        <v>28</v>
      </c>
      <c r="G65" s="386">
        <f>'e411'!F65</f>
        <v>0</v>
      </c>
      <c r="H65" s="57">
        <f t="shared" si="0"/>
        <v>0</v>
      </c>
      <c r="I65" s="219">
        <f t="shared" si="1"/>
        <v>0</v>
      </c>
      <c r="J65" s="219">
        <f>(30*BC!$B$47/F65)</f>
        <v>0</v>
      </c>
      <c r="K65" s="285">
        <f t="shared" si="2"/>
        <v>0</v>
      </c>
      <c r="L65" s="194">
        <f t="shared" si="3"/>
        <v>0</v>
      </c>
      <c r="M65" s="194">
        <f t="shared" si="4"/>
        <v>0</v>
      </c>
      <c r="N65" s="364">
        <v>1239</v>
      </c>
      <c r="O65" s="365">
        <f t="shared" si="5"/>
        <v>0</v>
      </c>
      <c r="P65" s="371">
        <f t="shared" si="6"/>
        <v>12.39</v>
      </c>
      <c r="Q65" s="374" t="e">
        <f>(P65+$O$231)+((BC!$F$125)/$G$103)</f>
        <v>#DIV/0!</v>
      </c>
      <c r="R65" s="374" t="e">
        <f t="shared" si="7"/>
        <v>#DIV/0!</v>
      </c>
      <c r="S65" s="375" t="e">
        <f t="shared" si="8"/>
        <v>#DIV/0!</v>
      </c>
      <c r="T65" s="375" t="e">
        <f t="shared" si="9"/>
        <v>#DIV/0!</v>
      </c>
      <c r="U65" s="74"/>
      <c r="V65" s="74"/>
    </row>
    <row r="66" spans="2:30" ht="15.75" customHeight="1" x14ac:dyDescent="0.45">
      <c r="B66" s="287">
        <v>9015604190</v>
      </c>
      <c r="C66" s="326" t="s">
        <v>436</v>
      </c>
      <c r="D66" s="220" t="s">
        <v>437</v>
      </c>
      <c r="E66" s="219">
        <v>100</v>
      </c>
      <c r="F66" s="219">
        <v>28</v>
      </c>
      <c r="G66" s="386">
        <f>'e411'!F66</f>
        <v>0</v>
      </c>
      <c r="H66" s="57">
        <f t="shared" si="0"/>
        <v>0</v>
      </c>
      <c r="I66" s="219">
        <f t="shared" si="1"/>
        <v>0</v>
      </c>
      <c r="J66" s="219">
        <f>(30*BC!$B$47/F66)</f>
        <v>0</v>
      </c>
      <c r="K66" s="285">
        <f t="shared" si="2"/>
        <v>0</v>
      </c>
      <c r="L66" s="194">
        <f t="shared" si="3"/>
        <v>0</v>
      </c>
      <c r="M66" s="194">
        <f t="shared" si="4"/>
        <v>0</v>
      </c>
      <c r="N66" s="364">
        <v>1055</v>
      </c>
      <c r="O66" s="365">
        <f t="shared" si="5"/>
        <v>0</v>
      </c>
      <c r="P66" s="371">
        <f t="shared" si="6"/>
        <v>10.55</v>
      </c>
      <c r="Q66" s="374" t="e">
        <f>(P66+$O$231)+((BC!$F$125)/$G$103)</f>
        <v>#DIV/0!</v>
      </c>
      <c r="R66" s="374" t="e">
        <f t="shared" si="7"/>
        <v>#DIV/0!</v>
      </c>
      <c r="S66" s="375" t="e">
        <f t="shared" si="8"/>
        <v>#DIV/0!</v>
      </c>
      <c r="T66" s="375" t="e">
        <f t="shared" si="9"/>
        <v>#DIV/0!</v>
      </c>
      <c r="U66" s="373"/>
      <c r="V66" s="373"/>
      <c r="W66" s="97"/>
      <c r="X66" s="97"/>
      <c r="Y66" s="97"/>
      <c r="Z66" s="97"/>
      <c r="AA66" s="97"/>
      <c r="AB66" s="97"/>
      <c r="AC66" s="97"/>
      <c r="AD66" s="97"/>
    </row>
    <row r="67" spans="2:30" ht="15.75" customHeight="1" x14ac:dyDescent="0.45">
      <c r="B67" s="327">
        <v>12017547122</v>
      </c>
      <c r="C67" s="309" t="s">
        <v>438</v>
      </c>
      <c r="D67" s="220" t="s">
        <v>439</v>
      </c>
      <c r="E67" s="219">
        <v>100</v>
      </c>
      <c r="F67" s="219">
        <v>28</v>
      </c>
      <c r="G67" s="386">
        <f>'e411'!F67</f>
        <v>0</v>
      </c>
      <c r="H67" s="57">
        <f t="shared" si="0"/>
        <v>0</v>
      </c>
      <c r="I67" s="219">
        <f t="shared" si="1"/>
        <v>0</v>
      </c>
      <c r="J67" s="219">
        <f>(30*BC!$B$47/F67)</f>
        <v>0</v>
      </c>
      <c r="K67" s="285">
        <f t="shared" si="2"/>
        <v>0</v>
      </c>
      <c r="L67" s="194">
        <f t="shared" si="3"/>
        <v>0</v>
      </c>
      <c r="M67" s="194">
        <f t="shared" si="4"/>
        <v>0</v>
      </c>
      <c r="N67" s="364">
        <v>326</v>
      </c>
      <c r="O67" s="365">
        <f t="shared" si="5"/>
        <v>0</v>
      </c>
      <c r="P67" s="371">
        <f t="shared" si="6"/>
        <v>3.26</v>
      </c>
      <c r="Q67" s="374" t="e">
        <f>(P67+$O$231)+((BC!$F$125)/$G$103)</f>
        <v>#DIV/0!</v>
      </c>
      <c r="R67" s="374" t="e">
        <f t="shared" si="7"/>
        <v>#DIV/0!</v>
      </c>
      <c r="S67" s="375" t="e">
        <f t="shared" si="8"/>
        <v>#DIV/0!</v>
      </c>
      <c r="T67" s="375" t="e">
        <f t="shared" si="9"/>
        <v>#DIV/0!</v>
      </c>
      <c r="U67" s="373"/>
      <c r="V67" s="373"/>
      <c r="W67" s="97"/>
      <c r="X67" s="97"/>
      <c r="Y67" s="97"/>
      <c r="Z67" s="97"/>
      <c r="AA67" s="97"/>
      <c r="AB67" s="97"/>
      <c r="AC67" s="97"/>
      <c r="AD67" s="97"/>
    </row>
    <row r="68" spans="2:30" ht="15.75" customHeight="1" x14ac:dyDescent="0.45">
      <c r="B68" s="287">
        <v>11732234122</v>
      </c>
      <c r="C68" s="309" t="s">
        <v>440</v>
      </c>
      <c r="D68" s="220" t="s">
        <v>441</v>
      </c>
      <c r="E68" s="219">
        <v>100</v>
      </c>
      <c r="F68" s="219">
        <v>56</v>
      </c>
      <c r="G68" s="386">
        <f>'e411'!F68</f>
        <v>0</v>
      </c>
      <c r="H68" s="57">
        <f t="shared" si="0"/>
        <v>0</v>
      </c>
      <c r="I68" s="219">
        <f t="shared" si="1"/>
        <v>0</v>
      </c>
      <c r="J68" s="219">
        <f>(30*BC!$B$47/F68)</f>
        <v>0</v>
      </c>
      <c r="K68" s="285">
        <f t="shared" si="2"/>
        <v>0</v>
      </c>
      <c r="L68" s="194">
        <f t="shared" si="3"/>
        <v>0</v>
      </c>
      <c r="M68" s="194">
        <f t="shared" si="4"/>
        <v>0</v>
      </c>
      <c r="N68" s="364">
        <v>117</v>
      </c>
      <c r="O68" s="365">
        <f t="shared" si="5"/>
        <v>0</v>
      </c>
      <c r="P68" s="371">
        <f t="shared" si="6"/>
        <v>1.17</v>
      </c>
      <c r="Q68" s="374" t="e">
        <f>(P68+$O$231)+((BC!$F$125)/$G$103)</f>
        <v>#DIV/0!</v>
      </c>
      <c r="R68" s="374" t="e">
        <f t="shared" si="7"/>
        <v>#DIV/0!</v>
      </c>
      <c r="S68" s="375" t="e">
        <f t="shared" si="8"/>
        <v>#DIV/0!</v>
      </c>
      <c r="T68" s="375" t="e">
        <f t="shared" si="9"/>
        <v>#DIV/0!</v>
      </c>
      <c r="U68" s="373"/>
      <c r="V68" s="373"/>
      <c r="W68" s="97"/>
      <c r="X68" s="97"/>
      <c r="Y68" s="97"/>
      <c r="Z68" s="97"/>
      <c r="AA68" s="97"/>
      <c r="AB68" s="97"/>
      <c r="AC68" s="97"/>
      <c r="AD68" s="97"/>
    </row>
    <row r="69" spans="2:30" ht="15.75" customHeight="1" x14ac:dyDescent="0.45">
      <c r="B69" s="287">
        <v>11820788122</v>
      </c>
      <c r="C69" s="305" t="s">
        <v>442</v>
      </c>
      <c r="D69" s="285" t="s">
        <v>443</v>
      </c>
      <c r="E69" s="219">
        <v>100</v>
      </c>
      <c r="F69" s="219">
        <v>56</v>
      </c>
      <c r="G69" s="386">
        <f>'e411'!F69</f>
        <v>0</v>
      </c>
      <c r="H69" s="57">
        <f t="shared" si="0"/>
        <v>0</v>
      </c>
      <c r="I69" s="219">
        <f t="shared" si="1"/>
        <v>0</v>
      </c>
      <c r="J69" s="219">
        <f>(30*BC!$B$47/F69)</f>
        <v>0</v>
      </c>
      <c r="K69" s="285">
        <f t="shared" si="2"/>
        <v>0</v>
      </c>
      <c r="L69" s="194">
        <f t="shared" si="3"/>
        <v>0</v>
      </c>
      <c r="M69" s="194">
        <f t="shared" si="4"/>
        <v>0</v>
      </c>
      <c r="N69" s="364">
        <v>499</v>
      </c>
      <c r="O69" s="365">
        <f t="shared" si="5"/>
        <v>0</v>
      </c>
      <c r="P69" s="371">
        <f t="shared" si="6"/>
        <v>4.99</v>
      </c>
      <c r="Q69" s="374" t="e">
        <f>(P69+$O$231)+((BC!$F$125)/$G$103)</f>
        <v>#DIV/0!</v>
      </c>
      <c r="R69" s="374" t="e">
        <f t="shared" si="7"/>
        <v>#DIV/0!</v>
      </c>
      <c r="S69" s="375" t="e">
        <f t="shared" si="8"/>
        <v>#DIV/0!</v>
      </c>
      <c r="T69" s="375" t="e">
        <f t="shared" si="9"/>
        <v>#DIV/0!</v>
      </c>
      <c r="U69" s="74"/>
      <c r="V69" s="74"/>
    </row>
    <row r="70" spans="2:30" ht="15.75" customHeight="1" x14ac:dyDescent="0.45">
      <c r="B70" s="287">
        <v>12149133122</v>
      </c>
      <c r="C70" s="315" t="s">
        <v>444</v>
      </c>
      <c r="D70" s="285" t="s">
        <v>445</v>
      </c>
      <c r="E70" s="219">
        <v>100</v>
      </c>
      <c r="F70" s="219">
        <v>56</v>
      </c>
      <c r="G70" s="386">
        <f>'e411'!F70</f>
        <v>0</v>
      </c>
      <c r="H70" s="57">
        <f t="shared" ref="H70:H102" si="10">(G70*0.2)+(G70)</f>
        <v>0</v>
      </c>
      <c r="I70" s="219">
        <f t="shared" ref="I70:I102" si="11">H70/E70</f>
        <v>0</v>
      </c>
      <c r="J70" s="219">
        <f>(30*BC!$B$47/F70)</f>
        <v>0</v>
      </c>
      <c r="K70" s="285">
        <f t="shared" ref="K70:K126" si="12">IF(J70&gt;I70,J70,I70)</f>
        <v>0</v>
      </c>
      <c r="L70" s="194">
        <f t="shared" ref="L70:L126" si="13">IF(I70=0,0,K70)</f>
        <v>0</v>
      </c>
      <c r="M70" s="194">
        <f t="shared" ref="M70:M126" si="14">ROUNDUP(L70,0)</f>
        <v>0</v>
      </c>
      <c r="N70" s="364">
        <v>654</v>
      </c>
      <c r="O70" s="365">
        <f t="shared" ref="O70:O102" si="15">N70*M70</f>
        <v>0</v>
      </c>
      <c r="P70" s="371">
        <f t="shared" ref="P70:P102" si="16">N70/E70</f>
        <v>6.54</v>
      </c>
      <c r="Q70" s="374" t="e">
        <f>(P70+$O$231)+((BC!$F$125)/$G$103)</f>
        <v>#DIV/0!</v>
      </c>
      <c r="R70" s="374" t="e">
        <f t="shared" ref="R70:R102" si="17">Q70*G70</f>
        <v>#DIV/0!</v>
      </c>
      <c r="S70" s="375" t="e">
        <f t="shared" ref="S70:S102" si="18">((Q70*0.15)+Q70)</f>
        <v>#DIV/0!</v>
      </c>
      <c r="T70" s="375" t="e">
        <f t="shared" ref="T70:T102" si="19">S70*G70</f>
        <v>#DIV/0!</v>
      </c>
      <c r="U70" s="74"/>
      <c r="V70" s="74"/>
    </row>
    <row r="71" spans="2:30" ht="15.75" customHeight="1" x14ac:dyDescent="0.45">
      <c r="B71" s="287">
        <v>12133113122</v>
      </c>
      <c r="C71" s="303" t="s">
        <v>446</v>
      </c>
      <c r="D71" s="285" t="s">
        <v>447</v>
      </c>
      <c r="E71" s="219">
        <v>100</v>
      </c>
      <c r="F71" s="219">
        <v>56</v>
      </c>
      <c r="G71" s="386">
        <f>'e411'!F71</f>
        <v>0</v>
      </c>
      <c r="H71" s="57">
        <f t="shared" si="10"/>
        <v>0</v>
      </c>
      <c r="I71" s="219">
        <f t="shared" si="11"/>
        <v>0</v>
      </c>
      <c r="J71" s="219">
        <f>(30*BC!$B$47/F71)</f>
        <v>0</v>
      </c>
      <c r="K71" s="285">
        <f t="shared" si="12"/>
        <v>0</v>
      </c>
      <c r="L71" s="194">
        <f t="shared" si="13"/>
        <v>0</v>
      </c>
      <c r="M71" s="194">
        <f t="shared" si="14"/>
        <v>0</v>
      </c>
      <c r="N71" s="364">
        <v>1217</v>
      </c>
      <c r="O71" s="365">
        <f t="shared" si="15"/>
        <v>0</v>
      </c>
      <c r="P71" s="371">
        <f t="shared" si="16"/>
        <v>12.17</v>
      </c>
      <c r="Q71" s="374" t="e">
        <f>(P71+$O$231)+((BC!$F$125)/$G$103)</f>
        <v>#DIV/0!</v>
      </c>
      <c r="R71" s="374" t="e">
        <f t="shared" si="17"/>
        <v>#DIV/0!</v>
      </c>
      <c r="S71" s="375" t="e">
        <f t="shared" si="18"/>
        <v>#DIV/0!</v>
      </c>
      <c r="T71" s="375" t="e">
        <f t="shared" si="19"/>
        <v>#DIV/0!</v>
      </c>
      <c r="U71" s="74"/>
      <c r="V71" s="74"/>
    </row>
    <row r="72" spans="2:30" ht="15.75" customHeight="1" x14ac:dyDescent="0.45">
      <c r="B72" s="287">
        <v>8860173190</v>
      </c>
      <c r="C72" s="316" t="s">
        <v>448</v>
      </c>
      <c r="D72" s="285" t="s">
        <v>449</v>
      </c>
      <c r="E72" s="219">
        <v>100</v>
      </c>
      <c r="F72" s="219">
        <v>21</v>
      </c>
      <c r="G72" s="386">
        <f>'e411'!F72</f>
        <v>0</v>
      </c>
      <c r="H72" s="57">
        <f t="shared" si="10"/>
        <v>0</v>
      </c>
      <c r="I72" s="219">
        <f t="shared" si="11"/>
        <v>0</v>
      </c>
      <c r="J72" s="219">
        <f>(30*BC!$B$47/F72)</f>
        <v>0</v>
      </c>
      <c r="K72" s="285">
        <f t="shared" si="12"/>
        <v>0</v>
      </c>
      <c r="L72" s="194">
        <f t="shared" si="13"/>
        <v>0</v>
      </c>
      <c r="M72" s="194">
        <f t="shared" si="14"/>
        <v>0</v>
      </c>
      <c r="N72" s="364">
        <v>1459</v>
      </c>
      <c r="O72" s="365">
        <f t="shared" si="15"/>
        <v>0</v>
      </c>
      <c r="P72" s="371">
        <f t="shared" si="16"/>
        <v>14.59</v>
      </c>
      <c r="Q72" s="374" t="e">
        <f>(P72+$O$231)+((BC!$F$125)/$G$103)</f>
        <v>#DIV/0!</v>
      </c>
      <c r="R72" s="374" t="e">
        <f t="shared" si="17"/>
        <v>#DIV/0!</v>
      </c>
      <c r="S72" s="375" t="e">
        <f t="shared" si="18"/>
        <v>#DIV/0!</v>
      </c>
      <c r="T72" s="375" t="e">
        <f t="shared" si="19"/>
        <v>#DIV/0!</v>
      </c>
      <c r="U72" s="74"/>
      <c r="V72" s="74"/>
    </row>
    <row r="73" spans="2:30" ht="15.75" customHeight="1" x14ac:dyDescent="0.45">
      <c r="B73" s="287">
        <v>9318712190</v>
      </c>
      <c r="C73" s="220" t="s">
        <v>450</v>
      </c>
      <c r="D73" s="220" t="s">
        <v>451</v>
      </c>
      <c r="E73" s="219">
        <v>100</v>
      </c>
      <c r="F73" s="219">
        <v>28</v>
      </c>
      <c r="G73" s="386">
        <f>'e411'!F73</f>
        <v>0</v>
      </c>
      <c r="H73" s="57">
        <f t="shared" si="10"/>
        <v>0</v>
      </c>
      <c r="I73" s="219">
        <f t="shared" si="11"/>
        <v>0</v>
      </c>
      <c r="J73" s="219">
        <f>(30*BC!$B$47/F73)</f>
        <v>0</v>
      </c>
      <c r="K73" s="285">
        <f t="shared" si="12"/>
        <v>0</v>
      </c>
      <c r="L73" s="194">
        <f t="shared" si="13"/>
        <v>0</v>
      </c>
      <c r="M73" s="194">
        <f t="shared" si="14"/>
        <v>0</v>
      </c>
      <c r="N73" s="364">
        <v>1701</v>
      </c>
      <c r="O73" s="365">
        <f t="shared" si="15"/>
        <v>0</v>
      </c>
      <c r="P73" s="371">
        <f t="shared" si="16"/>
        <v>17.010000000000002</v>
      </c>
      <c r="Q73" s="374" t="e">
        <f>(P73+$O$231)+((BC!$F$125)/$G$103)</f>
        <v>#DIV/0!</v>
      </c>
      <c r="R73" s="374" t="e">
        <f t="shared" si="17"/>
        <v>#DIV/0!</v>
      </c>
      <c r="S73" s="375" t="e">
        <f t="shared" si="18"/>
        <v>#DIV/0!</v>
      </c>
      <c r="T73" s="375" t="e">
        <f t="shared" si="19"/>
        <v>#DIV/0!</v>
      </c>
      <c r="U73" s="373"/>
      <c r="V73" s="373"/>
      <c r="W73" s="97"/>
      <c r="X73" s="97"/>
      <c r="Y73" s="97"/>
      <c r="Z73" s="97"/>
      <c r="AA73" s="97"/>
      <c r="AB73" s="97"/>
      <c r="AC73" s="97"/>
      <c r="AD73" s="97"/>
    </row>
    <row r="74" spans="2:30" ht="15.75" customHeight="1" x14ac:dyDescent="0.45">
      <c r="B74" s="287">
        <v>5144671190</v>
      </c>
      <c r="C74" s="284" t="s">
        <v>452</v>
      </c>
      <c r="D74" s="285" t="s">
        <v>453</v>
      </c>
      <c r="E74" s="219">
        <v>100</v>
      </c>
      <c r="F74" s="219">
        <v>84</v>
      </c>
      <c r="G74" s="386">
        <f>'e411'!F74</f>
        <v>0</v>
      </c>
      <c r="H74" s="57">
        <f t="shared" si="10"/>
        <v>0</v>
      </c>
      <c r="I74" s="219">
        <f t="shared" si="11"/>
        <v>0</v>
      </c>
      <c r="J74" s="219">
        <f>(30*BC!$B$47/F74)</f>
        <v>0</v>
      </c>
      <c r="K74" s="285">
        <f t="shared" si="12"/>
        <v>0</v>
      </c>
      <c r="L74" s="194">
        <f t="shared" si="13"/>
        <v>0</v>
      </c>
      <c r="M74" s="194">
        <f t="shared" si="14"/>
        <v>0</v>
      </c>
      <c r="N74" s="364">
        <v>3059</v>
      </c>
      <c r="O74" s="365">
        <f t="shared" si="15"/>
        <v>0</v>
      </c>
      <c r="P74" s="371">
        <f t="shared" si="16"/>
        <v>30.59</v>
      </c>
      <c r="Q74" s="374" t="e">
        <f>(P74+$O$231)+((BC!$F$125)/$G$103)</f>
        <v>#DIV/0!</v>
      </c>
      <c r="R74" s="374" t="e">
        <f t="shared" si="17"/>
        <v>#DIV/0!</v>
      </c>
      <c r="S74" s="375" t="e">
        <f t="shared" si="18"/>
        <v>#DIV/0!</v>
      </c>
      <c r="T74" s="375" t="e">
        <f t="shared" si="19"/>
        <v>#DIV/0!</v>
      </c>
      <c r="U74" s="74"/>
      <c r="V74" s="74"/>
    </row>
    <row r="75" spans="2:30" ht="15.75" customHeight="1" x14ac:dyDescent="0.45">
      <c r="B75" s="287">
        <v>9315268190</v>
      </c>
      <c r="C75" s="328" t="s">
        <v>454</v>
      </c>
      <c r="D75" s="285" t="s">
        <v>455</v>
      </c>
      <c r="E75" s="219">
        <v>100</v>
      </c>
      <c r="F75" s="219">
        <v>56</v>
      </c>
      <c r="G75" s="386">
        <f>'e411'!F75</f>
        <v>0</v>
      </c>
      <c r="H75" s="57">
        <f t="shared" si="10"/>
        <v>0</v>
      </c>
      <c r="I75" s="219">
        <f t="shared" si="11"/>
        <v>0</v>
      </c>
      <c r="J75" s="219">
        <f>(30*BC!$B$47/F75)</f>
        <v>0</v>
      </c>
      <c r="K75" s="285">
        <f t="shared" si="12"/>
        <v>0</v>
      </c>
      <c r="L75" s="194">
        <f t="shared" si="13"/>
        <v>0</v>
      </c>
      <c r="M75" s="194">
        <f t="shared" si="14"/>
        <v>0</v>
      </c>
      <c r="N75" s="364">
        <v>1185</v>
      </c>
      <c r="O75" s="365">
        <f t="shared" si="15"/>
        <v>0</v>
      </c>
      <c r="P75" s="371">
        <f t="shared" si="16"/>
        <v>11.85</v>
      </c>
      <c r="Q75" s="374" t="e">
        <f>(P75+$O$231)+((BC!$F$125)/$G$103)</f>
        <v>#DIV/0!</v>
      </c>
      <c r="R75" s="374" t="e">
        <f t="shared" si="17"/>
        <v>#DIV/0!</v>
      </c>
      <c r="S75" s="375" t="e">
        <f t="shared" si="18"/>
        <v>#DIV/0!</v>
      </c>
      <c r="T75" s="375" t="e">
        <f t="shared" si="19"/>
        <v>#DIV/0!</v>
      </c>
      <c r="U75" s="373"/>
      <c r="V75" s="373"/>
      <c r="W75" s="97"/>
      <c r="X75" s="97"/>
      <c r="Y75" s="97"/>
      <c r="Z75" s="97"/>
      <c r="AA75" s="97"/>
      <c r="AB75" s="97"/>
      <c r="AC75" s="97"/>
      <c r="AD75" s="97"/>
    </row>
    <row r="76" spans="2:30" ht="15.75" customHeight="1" x14ac:dyDescent="0.45">
      <c r="B76" s="287">
        <v>8836744190</v>
      </c>
      <c r="C76" s="285" t="s">
        <v>456</v>
      </c>
      <c r="D76" s="285" t="s">
        <v>457</v>
      </c>
      <c r="E76" s="219">
        <v>100</v>
      </c>
      <c r="F76" s="219"/>
      <c r="G76" s="386">
        <f>'e411'!F76</f>
        <v>0</v>
      </c>
      <c r="H76" s="57">
        <f t="shared" si="10"/>
        <v>0</v>
      </c>
      <c r="I76" s="219">
        <f t="shared" si="11"/>
        <v>0</v>
      </c>
      <c r="J76" s="219" t="e">
        <f>(30*BC!$B$47/F76)</f>
        <v>#DIV/0!</v>
      </c>
      <c r="K76" s="285" t="e">
        <f t="shared" si="12"/>
        <v>#DIV/0!</v>
      </c>
      <c r="L76" s="194">
        <f t="shared" si="13"/>
        <v>0</v>
      </c>
      <c r="M76" s="194">
        <f t="shared" si="14"/>
        <v>0</v>
      </c>
      <c r="N76" s="364">
        <v>1185</v>
      </c>
      <c r="O76" s="365">
        <f t="shared" si="15"/>
        <v>0</v>
      </c>
      <c r="P76" s="371">
        <f t="shared" si="16"/>
        <v>11.85</v>
      </c>
      <c r="Q76" s="374" t="e">
        <f>(P76+$O$231)+((BC!$F$125)/$G$103)</f>
        <v>#DIV/0!</v>
      </c>
      <c r="R76" s="374" t="e">
        <f t="shared" si="17"/>
        <v>#DIV/0!</v>
      </c>
      <c r="S76" s="375" t="e">
        <f t="shared" si="18"/>
        <v>#DIV/0!</v>
      </c>
      <c r="T76" s="375" t="e">
        <f t="shared" si="19"/>
        <v>#DIV/0!</v>
      </c>
      <c r="U76" s="74"/>
      <c r="V76" s="74"/>
    </row>
    <row r="77" spans="2:30" ht="15.75" customHeight="1" x14ac:dyDescent="0.45">
      <c r="B77" s="287">
        <v>7092539190</v>
      </c>
      <c r="C77" s="309" t="s">
        <v>458</v>
      </c>
      <c r="D77" s="220" t="s">
        <v>459</v>
      </c>
      <c r="E77" s="219">
        <v>100</v>
      </c>
      <c r="F77" s="219">
        <v>56</v>
      </c>
      <c r="G77" s="386">
        <f>'e411'!F77</f>
        <v>0</v>
      </c>
      <c r="H77" s="57">
        <f t="shared" si="10"/>
        <v>0</v>
      </c>
      <c r="I77" s="219">
        <f t="shared" si="11"/>
        <v>0</v>
      </c>
      <c r="J77" s="219">
        <f>(30*BC!$B$47/F77)</f>
        <v>0</v>
      </c>
      <c r="K77" s="285">
        <f t="shared" si="12"/>
        <v>0</v>
      </c>
      <c r="L77" s="194">
        <f t="shared" si="13"/>
        <v>0</v>
      </c>
      <c r="M77" s="194">
        <f t="shared" si="14"/>
        <v>0</v>
      </c>
      <c r="N77" s="364">
        <v>120</v>
      </c>
      <c r="O77" s="365">
        <f t="shared" si="15"/>
        <v>0</v>
      </c>
      <c r="P77" s="371">
        <f t="shared" si="16"/>
        <v>1.2</v>
      </c>
      <c r="Q77" s="374" t="e">
        <f>(P77+$O$231)+((BC!$F$125)/$G$103)</f>
        <v>#DIV/0!</v>
      </c>
      <c r="R77" s="374" t="e">
        <f t="shared" si="17"/>
        <v>#DIV/0!</v>
      </c>
      <c r="S77" s="375" t="e">
        <f t="shared" si="18"/>
        <v>#DIV/0!</v>
      </c>
      <c r="T77" s="375" t="e">
        <f t="shared" si="19"/>
        <v>#DIV/0!</v>
      </c>
      <c r="U77" s="373"/>
      <c r="V77" s="373"/>
      <c r="W77" s="97"/>
      <c r="X77" s="97"/>
      <c r="Y77" s="97"/>
      <c r="Z77" s="97"/>
      <c r="AA77" s="97"/>
      <c r="AB77" s="97"/>
      <c r="AC77" s="97"/>
      <c r="AD77" s="97"/>
    </row>
    <row r="78" spans="2:30" ht="15.75" customHeight="1" x14ac:dyDescent="0.45">
      <c r="B78" s="287">
        <v>9007636190</v>
      </c>
      <c r="C78" s="329" t="s">
        <v>460</v>
      </c>
      <c r="D78" s="285" t="s">
        <v>461</v>
      </c>
      <c r="E78" s="219">
        <v>100</v>
      </c>
      <c r="F78" s="219">
        <v>42</v>
      </c>
      <c r="G78" s="386">
        <f>'e411'!F78</f>
        <v>0</v>
      </c>
      <c r="H78" s="57">
        <f t="shared" si="10"/>
        <v>0</v>
      </c>
      <c r="I78" s="219">
        <f t="shared" si="11"/>
        <v>0</v>
      </c>
      <c r="J78" s="219">
        <f>(30*BC!$B$47/F78)</f>
        <v>0</v>
      </c>
      <c r="K78" s="285">
        <f t="shared" si="12"/>
        <v>0</v>
      </c>
      <c r="L78" s="194">
        <f t="shared" si="13"/>
        <v>0</v>
      </c>
      <c r="M78" s="194">
        <f t="shared" si="14"/>
        <v>0</v>
      </c>
      <c r="N78" s="364">
        <v>756</v>
      </c>
      <c r="O78" s="365">
        <f t="shared" si="15"/>
        <v>0</v>
      </c>
      <c r="P78" s="371">
        <f t="shared" si="16"/>
        <v>7.56</v>
      </c>
      <c r="Q78" s="374" t="e">
        <f>(P78+$O$231)+((BC!$F$125)/$G$103)</f>
        <v>#DIV/0!</v>
      </c>
      <c r="R78" s="374" t="e">
        <f t="shared" si="17"/>
        <v>#DIV/0!</v>
      </c>
      <c r="S78" s="375" t="e">
        <f t="shared" si="18"/>
        <v>#DIV/0!</v>
      </c>
      <c r="T78" s="375" t="e">
        <f t="shared" si="19"/>
        <v>#DIV/0!</v>
      </c>
      <c r="U78" s="74"/>
      <c r="V78" s="74"/>
    </row>
    <row r="79" spans="2:30" ht="15.75" customHeight="1" x14ac:dyDescent="0.45">
      <c r="B79" s="287">
        <v>3203093190</v>
      </c>
      <c r="C79" s="309" t="s">
        <v>462</v>
      </c>
      <c r="D79" s="220" t="s">
        <v>463</v>
      </c>
      <c r="E79" s="219">
        <v>100</v>
      </c>
      <c r="F79" s="219">
        <v>56</v>
      </c>
      <c r="G79" s="386">
        <f>'e411'!F79</f>
        <v>0</v>
      </c>
      <c r="H79" s="57">
        <f t="shared" si="10"/>
        <v>0</v>
      </c>
      <c r="I79" s="219">
        <f t="shared" si="11"/>
        <v>0</v>
      </c>
      <c r="J79" s="219">
        <f>(30*BC!$B$47/F79)</f>
        <v>0</v>
      </c>
      <c r="K79" s="285">
        <f t="shared" si="12"/>
        <v>0</v>
      </c>
      <c r="L79" s="194">
        <f t="shared" si="13"/>
        <v>0</v>
      </c>
      <c r="M79" s="194">
        <f t="shared" si="14"/>
        <v>0</v>
      </c>
      <c r="N79" s="364">
        <v>122</v>
      </c>
      <c r="O79" s="365">
        <f t="shared" si="15"/>
        <v>0</v>
      </c>
      <c r="P79" s="371">
        <f t="shared" si="16"/>
        <v>1.22</v>
      </c>
      <c r="Q79" s="374" t="e">
        <f>(P79+$O$231)+((BC!$F$125)/$G$103)</f>
        <v>#DIV/0!</v>
      </c>
      <c r="R79" s="374" t="e">
        <f t="shared" si="17"/>
        <v>#DIV/0!</v>
      </c>
      <c r="S79" s="375" t="e">
        <f t="shared" si="18"/>
        <v>#DIV/0!</v>
      </c>
      <c r="T79" s="375" t="e">
        <f t="shared" si="19"/>
        <v>#DIV/0!</v>
      </c>
      <c r="U79" s="373"/>
      <c r="V79" s="373"/>
      <c r="W79" s="97"/>
      <c r="X79" s="97"/>
      <c r="Y79" s="97"/>
      <c r="Z79" s="97"/>
      <c r="AA79" s="97"/>
      <c r="AB79" s="97"/>
      <c r="AC79" s="97"/>
      <c r="AD79" s="97"/>
    </row>
    <row r="80" spans="2:30" ht="15.75" customHeight="1" x14ac:dyDescent="0.45">
      <c r="B80" s="287">
        <v>9005757190</v>
      </c>
      <c r="C80" s="315" t="s">
        <v>464</v>
      </c>
      <c r="D80" s="220" t="s">
        <v>465</v>
      </c>
      <c r="E80" s="219">
        <v>100</v>
      </c>
      <c r="F80" s="219">
        <v>56</v>
      </c>
      <c r="G80" s="386">
        <f>'e411'!F80</f>
        <v>0</v>
      </c>
      <c r="H80" s="57">
        <f t="shared" si="10"/>
        <v>0</v>
      </c>
      <c r="I80" s="219">
        <f t="shared" si="11"/>
        <v>0</v>
      </c>
      <c r="J80" s="219">
        <f>(30*BC!$B$47/F80)</f>
        <v>0</v>
      </c>
      <c r="K80" s="285">
        <f t="shared" si="12"/>
        <v>0</v>
      </c>
      <c r="L80" s="194">
        <f t="shared" si="13"/>
        <v>0</v>
      </c>
      <c r="M80" s="194">
        <f t="shared" si="14"/>
        <v>0</v>
      </c>
      <c r="N80" s="364">
        <v>1300</v>
      </c>
      <c r="O80" s="365">
        <f t="shared" si="15"/>
        <v>0</v>
      </c>
      <c r="P80" s="371">
        <f t="shared" si="16"/>
        <v>13</v>
      </c>
      <c r="Q80" s="374" t="e">
        <f>(P80+$O$231)+((BC!$F$125)/$G$103)</f>
        <v>#DIV/0!</v>
      </c>
      <c r="R80" s="374" t="e">
        <f t="shared" si="17"/>
        <v>#DIV/0!</v>
      </c>
      <c r="S80" s="375" t="e">
        <f t="shared" si="18"/>
        <v>#DIV/0!</v>
      </c>
      <c r="T80" s="375" t="e">
        <f t="shared" si="19"/>
        <v>#DIV/0!</v>
      </c>
      <c r="U80" s="74"/>
      <c r="V80" s="74"/>
    </row>
    <row r="81" spans="2:30" ht="15.75" customHeight="1" x14ac:dyDescent="0.45">
      <c r="B81" s="287">
        <v>8928380190</v>
      </c>
      <c r="C81" s="314" t="s">
        <v>466</v>
      </c>
      <c r="D81" s="220" t="s">
        <v>467</v>
      </c>
      <c r="E81" s="219">
        <v>100</v>
      </c>
      <c r="F81" s="219">
        <v>56</v>
      </c>
      <c r="G81" s="386">
        <f>'e411'!F81</f>
        <v>0</v>
      </c>
      <c r="H81" s="57">
        <f t="shared" si="10"/>
        <v>0</v>
      </c>
      <c r="I81" s="219">
        <f t="shared" si="11"/>
        <v>0</v>
      </c>
      <c r="J81" s="219">
        <f>(30*BC!$B$47/F81)</f>
        <v>0</v>
      </c>
      <c r="K81" s="285">
        <f t="shared" si="12"/>
        <v>0</v>
      </c>
      <c r="L81" s="194">
        <f t="shared" si="13"/>
        <v>0</v>
      </c>
      <c r="M81" s="194">
        <f t="shared" si="14"/>
        <v>0</v>
      </c>
      <c r="N81" s="364">
        <v>650</v>
      </c>
      <c r="O81" s="365">
        <f t="shared" si="15"/>
        <v>0</v>
      </c>
      <c r="P81" s="371">
        <f t="shared" si="16"/>
        <v>6.5</v>
      </c>
      <c r="Q81" s="374" t="e">
        <f>(P81+$O$231)+((BC!$F$125)/$G$103)</f>
        <v>#DIV/0!</v>
      </c>
      <c r="R81" s="374" t="e">
        <f t="shared" si="17"/>
        <v>#DIV/0!</v>
      </c>
      <c r="S81" s="375" t="e">
        <f t="shared" si="18"/>
        <v>#DIV/0!</v>
      </c>
      <c r="T81" s="375" t="e">
        <f t="shared" si="19"/>
        <v>#DIV/0!</v>
      </c>
      <c r="U81" s="373"/>
      <c r="V81" s="373"/>
      <c r="W81" s="97"/>
      <c r="X81" s="97"/>
      <c r="Y81" s="97"/>
      <c r="Z81" s="97"/>
      <c r="AA81" s="97"/>
      <c r="AB81" s="97"/>
      <c r="AC81" s="97"/>
      <c r="AD81" s="97"/>
    </row>
    <row r="82" spans="2:30" ht="15.75" customHeight="1" x14ac:dyDescent="0.45">
      <c r="B82" s="287">
        <v>4618793190</v>
      </c>
      <c r="C82" s="330" t="s">
        <v>468</v>
      </c>
      <c r="D82" s="220" t="s">
        <v>469</v>
      </c>
      <c r="E82" s="219">
        <v>100</v>
      </c>
      <c r="F82" s="219">
        <v>84</v>
      </c>
      <c r="G82" s="386">
        <f>'e411'!F82</f>
        <v>0</v>
      </c>
      <c r="H82" s="57">
        <f t="shared" si="10"/>
        <v>0</v>
      </c>
      <c r="I82" s="219">
        <f t="shared" si="11"/>
        <v>0</v>
      </c>
      <c r="J82" s="219">
        <f>(30*BC!$B$47/F82)</f>
        <v>0</v>
      </c>
      <c r="K82" s="285">
        <f t="shared" si="12"/>
        <v>0</v>
      </c>
      <c r="L82" s="194">
        <f t="shared" si="13"/>
        <v>0</v>
      </c>
      <c r="M82" s="194">
        <f t="shared" si="14"/>
        <v>0</v>
      </c>
      <c r="N82" s="364">
        <v>312</v>
      </c>
      <c r="O82" s="365">
        <f t="shared" si="15"/>
        <v>0</v>
      </c>
      <c r="P82" s="371">
        <f t="shared" si="16"/>
        <v>3.12</v>
      </c>
      <c r="Q82" s="374" t="e">
        <f>(P82+$O$231)+((BC!$F$125)/$G$103)</f>
        <v>#DIV/0!</v>
      </c>
      <c r="R82" s="374" t="e">
        <f t="shared" si="17"/>
        <v>#DIV/0!</v>
      </c>
      <c r="S82" s="375" t="e">
        <f t="shared" si="18"/>
        <v>#DIV/0!</v>
      </c>
      <c r="T82" s="375" t="e">
        <f t="shared" si="19"/>
        <v>#DIV/0!</v>
      </c>
      <c r="U82" s="373"/>
      <c r="V82" s="373"/>
      <c r="W82" s="97"/>
      <c r="X82" s="97"/>
      <c r="Y82" s="97"/>
      <c r="Z82" s="97"/>
      <c r="AA82" s="97"/>
      <c r="AB82" s="97"/>
      <c r="AC82" s="97"/>
      <c r="AD82" s="97"/>
    </row>
    <row r="83" spans="2:30" ht="15.75" customHeight="1" x14ac:dyDescent="0.45">
      <c r="B83" s="287">
        <v>4618831190</v>
      </c>
      <c r="C83" s="331" t="s">
        <v>470</v>
      </c>
      <c r="D83" s="220" t="s">
        <v>471</v>
      </c>
      <c r="E83" s="219">
        <v>100</v>
      </c>
      <c r="F83" s="219">
        <v>84</v>
      </c>
      <c r="G83" s="386">
        <f>'e411'!F83</f>
        <v>0</v>
      </c>
      <c r="H83" s="57">
        <f t="shared" si="10"/>
        <v>0</v>
      </c>
      <c r="I83" s="219">
        <f t="shared" si="11"/>
        <v>0</v>
      </c>
      <c r="J83" s="219">
        <f>(30*BC!$B$47/F83)</f>
        <v>0</v>
      </c>
      <c r="K83" s="285">
        <f t="shared" si="12"/>
        <v>0</v>
      </c>
      <c r="L83" s="194">
        <f t="shared" si="13"/>
        <v>0</v>
      </c>
      <c r="M83" s="194">
        <f t="shared" si="14"/>
        <v>0</v>
      </c>
      <c r="N83" s="364">
        <v>332</v>
      </c>
      <c r="O83" s="365">
        <f t="shared" si="15"/>
        <v>0</v>
      </c>
      <c r="P83" s="371">
        <f t="shared" si="16"/>
        <v>3.32</v>
      </c>
      <c r="Q83" s="374" t="e">
        <f>(P83+$O$231)+((BC!$F$125)/$G$103)</f>
        <v>#DIV/0!</v>
      </c>
      <c r="R83" s="374" t="e">
        <f t="shared" si="17"/>
        <v>#DIV/0!</v>
      </c>
      <c r="S83" s="375" t="e">
        <f t="shared" si="18"/>
        <v>#DIV/0!</v>
      </c>
      <c r="T83" s="375" t="e">
        <f t="shared" si="19"/>
        <v>#DIV/0!</v>
      </c>
      <c r="U83" s="373"/>
      <c r="V83" s="373"/>
      <c r="W83" s="97"/>
      <c r="X83" s="97"/>
      <c r="Y83" s="97"/>
      <c r="Z83" s="97"/>
      <c r="AA83" s="97"/>
      <c r="AB83" s="97"/>
      <c r="AC83" s="97"/>
      <c r="AD83" s="97"/>
    </row>
    <row r="84" spans="2:30" ht="15.75" customHeight="1" x14ac:dyDescent="0.45">
      <c r="B84" s="287">
        <v>9345272190</v>
      </c>
      <c r="C84" s="332" t="s">
        <v>472</v>
      </c>
      <c r="D84" s="285" t="s">
        <v>473</v>
      </c>
      <c r="E84" s="219">
        <v>200</v>
      </c>
      <c r="F84" s="219">
        <v>56</v>
      </c>
      <c r="G84" s="386">
        <f>'e411'!F84</f>
        <v>0</v>
      </c>
      <c r="H84" s="57">
        <f t="shared" si="10"/>
        <v>0</v>
      </c>
      <c r="I84" s="219">
        <f t="shared" si="11"/>
        <v>0</v>
      </c>
      <c r="J84" s="219">
        <f>(30*BC!$B$47/F84)</f>
        <v>0</v>
      </c>
      <c r="K84" s="285">
        <f t="shared" si="12"/>
        <v>0</v>
      </c>
      <c r="L84" s="194">
        <f t="shared" si="13"/>
        <v>0</v>
      </c>
      <c r="M84" s="194">
        <f t="shared" si="14"/>
        <v>0</v>
      </c>
      <c r="N84" s="364">
        <v>1106</v>
      </c>
      <c r="O84" s="365">
        <f t="shared" si="15"/>
        <v>0</v>
      </c>
      <c r="P84" s="371">
        <f t="shared" si="16"/>
        <v>5.53</v>
      </c>
      <c r="Q84" s="374" t="e">
        <f>(P84+$O$231)+((BC!$F$125)/$G$103)</f>
        <v>#DIV/0!</v>
      </c>
      <c r="R84" s="374" t="e">
        <f t="shared" si="17"/>
        <v>#DIV/0!</v>
      </c>
      <c r="S84" s="375" t="e">
        <f t="shared" si="18"/>
        <v>#DIV/0!</v>
      </c>
      <c r="T84" s="375" t="e">
        <f t="shared" si="19"/>
        <v>#DIV/0!</v>
      </c>
      <c r="U84" s="74"/>
      <c r="V84" s="74"/>
    </row>
    <row r="85" spans="2:30" ht="15.75" customHeight="1" x14ac:dyDescent="0.45">
      <c r="B85" s="287">
        <v>7126972190</v>
      </c>
      <c r="C85" s="333" t="s">
        <v>474</v>
      </c>
      <c r="D85" s="285" t="s">
        <v>475</v>
      </c>
      <c r="E85" s="219">
        <v>100</v>
      </c>
      <c r="F85" s="219">
        <v>49</v>
      </c>
      <c r="G85" s="386">
        <f>'e411'!F85</f>
        <v>0</v>
      </c>
      <c r="H85" s="57">
        <f t="shared" si="10"/>
        <v>0</v>
      </c>
      <c r="I85" s="219">
        <f t="shared" si="11"/>
        <v>0</v>
      </c>
      <c r="J85" s="219">
        <f>(30*BC!$B$47/F85)</f>
        <v>0</v>
      </c>
      <c r="K85" s="285">
        <f t="shared" si="12"/>
        <v>0</v>
      </c>
      <c r="L85" s="194">
        <f t="shared" si="13"/>
        <v>0</v>
      </c>
      <c r="M85" s="194">
        <f t="shared" si="14"/>
        <v>0</v>
      </c>
      <c r="N85" s="364">
        <v>577</v>
      </c>
      <c r="O85" s="365">
        <f t="shared" si="15"/>
        <v>0</v>
      </c>
      <c r="P85" s="371">
        <f t="shared" si="16"/>
        <v>5.77</v>
      </c>
      <c r="Q85" s="374" t="e">
        <f>(P85+$O$231)+((BC!$F$125)/$G$103)</f>
        <v>#DIV/0!</v>
      </c>
      <c r="R85" s="374" t="e">
        <f t="shared" si="17"/>
        <v>#DIV/0!</v>
      </c>
      <c r="S85" s="375" t="e">
        <f t="shared" si="18"/>
        <v>#DIV/0!</v>
      </c>
      <c r="T85" s="375" t="e">
        <f t="shared" si="19"/>
        <v>#DIV/0!</v>
      </c>
      <c r="U85" s="74"/>
      <c r="V85" s="74"/>
    </row>
    <row r="86" spans="2:30" ht="15.75" customHeight="1" x14ac:dyDescent="0.45">
      <c r="B86" s="287">
        <v>5109523190</v>
      </c>
      <c r="C86" s="284" t="s">
        <v>476</v>
      </c>
      <c r="D86" s="285" t="s">
        <v>477</v>
      </c>
      <c r="E86" s="219">
        <v>100</v>
      </c>
      <c r="F86" s="219">
        <v>84</v>
      </c>
      <c r="G86" s="386">
        <f>'e411'!F86</f>
        <v>0</v>
      </c>
      <c r="H86" s="57">
        <f t="shared" si="10"/>
        <v>0</v>
      </c>
      <c r="I86" s="219">
        <f t="shared" si="11"/>
        <v>0</v>
      </c>
      <c r="J86" s="219">
        <f>(30*BC!$B$47/F86)</f>
        <v>0</v>
      </c>
      <c r="K86" s="285">
        <f t="shared" si="12"/>
        <v>0</v>
      </c>
      <c r="L86" s="194">
        <f t="shared" si="13"/>
        <v>0</v>
      </c>
      <c r="M86" s="194">
        <f t="shared" si="14"/>
        <v>0</v>
      </c>
      <c r="N86" s="364">
        <v>3059</v>
      </c>
      <c r="O86" s="365">
        <f t="shared" si="15"/>
        <v>0</v>
      </c>
      <c r="P86" s="371">
        <f t="shared" si="16"/>
        <v>30.59</v>
      </c>
      <c r="Q86" s="374" t="e">
        <f>(P86+$O$231)+((BC!$F$125)/$G$103)</f>
        <v>#DIV/0!</v>
      </c>
      <c r="R86" s="374" t="e">
        <f t="shared" si="17"/>
        <v>#DIV/0!</v>
      </c>
      <c r="S86" s="375" t="e">
        <f t="shared" si="18"/>
        <v>#DIV/0!</v>
      </c>
      <c r="T86" s="375" t="e">
        <f t="shared" si="19"/>
        <v>#DIV/0!</v>
      </c>
      <c r="U86" s="74"/>
      <c r="V86" s="74"/>
    </row>
    <row r="87" spans="2:30" ht="15.75" customHeight="1" x14ac:dyDescent="0.45">
      <c r="B87" s="287">
        <v>3052001190</v>
      </c>
      <c r="C87" s="310" t="s">
        <v>478</v>
      </c>
      <c r="D87" s="285" t="s">
        <v>479</v>
      </c>
      <c r="E87" s="219">
        <v>100</v>
      </c>
      <c r="F87" s="219">
        <v>49</v>
      </c>
      <c r="G87" s="386">
        <f>'e411'!F87</f>
        <v>0</v>
      </c>
      <c r="H87" s="57">
        <f t="shared" si="10"/>
        <v>0</v>
      </c>
      <c r="I87" s="219">
        <f t="shared" si="11"/>
        <v>0</v>
      </c>
      <c r="J87" s="219">
        <f>(30*BC!$B$47/F87)</f>
        <v>0</v>
      </c>
      <c r="K87" s="285">
        <f t="shared" si="12"/>
        <v>0</v>
      </c>
      <c r="L87" s="194">
        <f t="shared" si="13"/>
        <v>0</v>
      </c>
      <c r="M87" s="194">
        <f t="shared" si="14"/>
        <v>0</v>
      </c>
      <c r="N87" s="364">
        <v>199</v>
      </c>
      <c r="O87" s="365">
        <f t="shared" si="15"/>
        <v>0</v>
      </c>
      <c r="P87" s="371">
        <f t="shared" si="16"/>
        <v>1.99</v>
      </c>
      <c r="Q87" s="374" t="e">
        <f>(P87+$O$231)+((BC!$F$125)/$G$103)</f>
        <v>#DIV/0!</v>
      </c>
      <c r="R87" s="374" t="e">
        <f t="shared" si="17"/>
        <v>#DIV/0!</v>
      </c>
      <c r="S87" s="375" t="e">
        <f t="shared" si="18"/>
        <v>#DIV/0!</v>
      </c>
      <c r="T87" s="375" t="e">
        <f t="shared" si="19"/>
        <v>#DIV/0!</v>
      </c>
      <c r="U87" s="74"/>
      <c r="V87" s="74"/>
    </row>
    <row r="88" spans="2:30" ht="15.75" customHeight="1" x14ac:dyDescent="0.45">
      <c r="B88" s="287">
        <v>9014977190</v>
      </c>
      <c r="C88" s="334" t="s">
        <v>480</v>
      </c>
      <c r="D88" s="285" t="s">
        <v>481</v>
      </c>
      <c r="E88" s="219">
        <v>100</v>
      </c>
      <c r="F88" s="219">
        <v>28</v>
      </c>
      <c r="G88" s="386">
        <f>'e411'!F88</f>
        <v>0</v>
      </c>
      <c r="H88" s="57">
        <f t="shared" si="10"/>
        <v>0</v>
      </c>
      <c r="I88" s="219">
        <f t="shared" si="11"/>
        <v>0</v>
      </c>
      <c r="J88" s="219">
        <f>(30*BC!$B$47/F88)</f>
        <v>0</v>
      </c>
      <c r="K88" s="285">
        <f t="shared" si="12"/>
        <v>0</v>
      </c>
      <c r="L88" s="194">
        <f t="shared" si="13"/>
        <v>0</v>
      </c>
      <c r="M88" s="194">
        <f t="shared" si="14"/>
        <v>0</v>
      </c>
      <c r="N88" s="364">
        <v>299</v>
      </c>
      <c r="O88" s="365">
        <f t="shared" si="15"/>
        <v>0</v>
      </c>
      <c r="P88" s="371">
        <f t="shared" si="16"/>
        <v>2.99</v>
      </c>
      <c r="Q88" s="374" t="e">
        <f>(P88+$O$231)+((BC!$F$125)/$G$103)</f>
        <v>#DIV/0!</v>
      </c>
      <c r="R88" s="374" t="e">
        <f t="shared" si="17"/>
        <v>#DIV/0!</v>
      </c>
      <c r="S88" s="375" t="e">
        <f t="shared" si="18"/>
        <v>#DIV/0!</v>
      </c>
      <c r="T88" s="375" t="e">
        <f t="shared" si="19"/>
        <v>#DIV/0!</v>
      </c>
      <c r="U88" s="74"/>
      <c r="V88" s="74"/>
    </row>
    <row r="89" spans="2:30" ht="15.75" customHeight="1" x14ac:dyDescent="0.45">
      <c r="B89" s="287">
        <v>9007725190</v>
      </c>
      <c r="C89" s="309" t="s">
        <v>482</v>
      </c>
      <c r="D89" s="220" t="s">
        <v>483</v>
      </c>
      <c r="E89" s="219">
        <v>200</v>
      </c>
      <c r="F89" s="219">
        <v>56</v>
      </c>
      <c r="G89" s="386">
        <f>'e411'!F89</f>
        <v>0</v>
      </c>
      <c r="H89" s="57">
        <f t="shared" si="10"/>
        <v>0</v>
      </c>
      <c r="I89" s="219">
        <f t="shared" si="11"/>
        <v>0</v>
      </c>
      <c r="J89" s="219">
        <f>(30*BC!$B$47/F89)</f>
        <v>0</v>
      </c>
      <c r="K89" s="285">
        <f t="shared" si="12"/>
        <v>0</v>
      </c>
      <c r="L89" s="194">
        <f t="shared" si="13"/>
        <v>0</v>
      </c>
      <c r="M89" s="194">
        <f t="shared" si="14"/>
        <v>0</v>
      </c>
      <c r="N89" s="364">
        <v>372</v>
      </c>
      <c r="O89" s="365">
        <f t="shared" si="15"/>
        <v>0</v>
      </c>
      <c r="P89" s="371">
        <f t="shared" si="16"/>
        <v>1.86</v>
      </c>
      <c r="Q89" s="374" t="e">
        <f>(P89+$O$231)+((BC!$F$125)/$G$103)</f>
        <v>#DIV/0!</v>
      </c>
      <c r="R89" s="374" t="e">
        <f t="shared" si="17"/>
        <v>#DIV/0!</v>
      </c>
      <c r="S89" s="375" t="e">
        <f t="shared" si="18"/>
        <v>#DIV/0!</v>
      </c>
      <c r="T89" s="375" t="e">
        <f t="shared" si="19"/>
        <v>#DIV/0!</v>
      </c>
      <c r="U89" s="373"/>
      <c r="V89" s="373"/>
      <c r="W89" s="97"/>
      <c r="X89" s="97"/>
      <c r="Y89" s="97"/>
      <c r="Z89" s="97"/>
      <c r="AA89" s="97"/>
      <c r="AB89" s="97"/>
      <c r="AC89" s="97"/>
      <c r="AD89" s="97"/>
    </row>
    <row r="90" spans="2:30" ht="15.75" customHeight="1" x14ac:dyDescent="0.45">
      <c r="B90" s="287">
        <v>9007741190</v>
      </c>
      <c r="C90" s="309" t="s">
        <v>484</v>
      </c>
      <c r="D90" s="220" t="s">
        <v>485</v>
      </c>
      <c r="E90" s="219">
        <v>200</v>
      </c>
      <c r="F90" s="219">
        <v>56</v>
      </c>
      <c r="G90" s="386">
        <f>'e411'!F90</f>
        <v>0</v>
      </c>
      <c r="H90" s="57">
        <f t="shared" si="10"/>
        <v>0</v>
      </c>
      <c r="I90" s="219">
        <f t="shared" si="11"/>
        <v>0</v>
      </c>
      <c r="J90" s="219">
        <f>(30*BC!$B$47/F90)</f>
        <v>0</v>
      </c>
      <c r="K90" s="285">
        <f t="shared" si="12"/>
        <v>0</v>
      </c>
      <c r="L90" s="194">
        <f t="shared" si="13"/>
        <v>0</v>
      </c>
      <c r="M90" s="194">
        <f t="shared" si="14"/>
        <v>0</v>
      </c>
      <c r="N90" s="364">
        <v>376</v>
      </c>
      <c r="O90" s="365">
        <f t="shared" si="15"/>
        <v>0</v>
      </c>
      <c r="P90" s="371">
        <f t="shared" si="16"/>
        <v>1.88</v>
      </c>
      <c r="Q90" s="374" t="e">
        <f>(P90+$O$231)+((BC!$F$125)/$G$103)</f>
        <v>#DIV/0!</v>
      </c>
      <c r="R90" s="374" t="e">
        <f t="shared" si="17"/>
        <v>#DIV/0!</v>
      </c>
      <c r="S90" s="375" t="e">
        <f t="shared" si="18"/>
        <v>#DIV/0!</v>
      </c>
      <c r="T90" s="375" t="e">
        <f t="shared" si="19"/>
        <v>#DIV/0!</v>
      </c>
      <c r="U90" s="373"/>
      <c r="V90" s="373"/>
      <c r="W90" s="97"/>
      <c r="X90" s="97"/>
      <c r="Y90" s="97"/>
      <c r="Z90" s="97"/>
      <c r="AA90" s="97"/>
      <c r="AB90" s="97"/>
      <c r="AC90" s="97"/>
      <c r="AD90" s="97"/>
    </row>
    <row r="91" spans="2:30" ht="15.75" customHeight="1" x14ac:dyDescent="0.45">
      <c r="B91" s="287">
        <v>8946353190</v>
      </c>
      <c r="C91" s="309" t="s">
        <v>486</v>
      </c>
      <c r="D91" s="220" t="s">
        <v>487</v>
      </c>
      <c r="E91" s="219">
        <v>100</v>
      </c>
      <c r="F91" s="219">
        <v>56</v>
      </c>
      <c r="G91" s="386">
        <f>'e411'!F91</f>
        <v>0</v>
      </c>
      <c r="H91" s="57">
        <f t="shared" si="10"/>
        <v>0</v>
      </c>
      <c r="I91" s="219">
        <f t="shared" si="11"/>
        <v>0</v>
      </c>
      <c r="J91" s="219">
        <f>(30*BC!$B$47/F91)</f>
        <v>0</v>
      </c>
      <c r="K91" s="285">
        <f t="shared" si="12"/>
        <v>0</v>
      </c>
      <c r="L91" s="194">
        <f t="shared" si="13"/>
        <v>0</v>
      </c>
      <c r="M91" s="194">
        <f t="shared" si="14"/>
        <v>0</v>
      </c>
      <c r="N91" s="364">
        <v>115</v>
      </c>
      <c r="O91" s="365">
        <f t="shared" si="15"/>
        <v>0</v>
      </c>
      <c r="P91" s="371">
        <f t="shared" si="16"/>
        <v>1.1499999999999999</v>
      </c>
      <c r="Q91" s="374" t="e">
        <f>(P91+$O$231)+((BC!$F$125)/$G$103)</f>
        <v>#DIV/0!</v>
      </c>
      <c r="R91" s="374" t="e">
        <f t="shared" si="17"/>
        <v>#DIV/0!</v>
      </c>
      <c r="S91" s="375" t="e">
        <f t="shared" si="18"/>
        <v>#DIV/0!</v>
      </c>
      <c r="T91" s="375" t="e">
        <f t="shared" si="19"/>
        <v>#DIV/0!</v>
      </c>
      <c r="U91" s="373"/>
      <c r="V91" s="373"/>
      <c r="W91" s="97"/>
      <c r="X91" s="97"/>
      <c r="Y91" s="97"/>
      <c r="Z91" s="97"/>
      <c r="AA91" s="97"/>
      <c r="AB91" s="97"/>
      <c r="AC91" s="97"/>
      <c r="AD91" s="97"/>
    </row>
    <row r="92" spans="2:30" ht="15.75" customHeight="1" x14ac:dyDescent="0.45">
      <c r="B92" s="287">
        <v>8906556190</v>
      </c>
      <c r="C92" s="309" t="s">
        <v>488</v>
      </c>
      <c r="D92" s="220" t="s">
        <v>489</v>
      </c>
      <c r="E92" s="219">
        <v>100</v>
      </c>
      <c r="F92" s="219">
        <v>28</v>
      </c>
      <c r="G92" s="386">
        <f>'e411'!F92</f>
        <v>0</v>
      </c>
      <c r="H92" s="57">
        <f t="shared" si="10"/>
        <v>0</v>
      </c>
      <c r="I92" s="219">
        <f t="shared" si="11"/>
        <v>0</v>
      </c>
      <c r="J92" s="219">
        <f>(30*BC!$B$47/F92)</f>
        <v>0</v>
      </c>
      <c r="K92" s="285">
        <f t="shared" si="12"/>
        <v>0</v>
      </c>
      <c r="L92" s="194">
        <f t="shared" si="13"/>
        <v>0</v>
      </c>
      <c r="M92" s="194">
        <f t="shared" si="14"/>
        <v>0</v>
      </c>
      <c r="N92" s="364">
        <v>185</v>
      </c>
      <c r="O92" s="365">
        <f t="shared" si="15"/>
        <v>0</v>
      </c>
      <c r="P92" s="371">
        <f t="shared" si="16"/>
        <v>1.85</v>
      </c>
      <c r="Q92" s="374" t="e">
        <f>(P92+$O$231)+((BC!$F$125)/$G$103)</f>
        <v>#DIV/0!</v>
      </c>
      <c r="R92" s="374" t="e">
        <f t="shared" si="17"/>
        <v>#DIV/0!</v>
      </c>
      <c r="S92" s="375" t="e">
        <f t="shared" si="18"/>
        <v>#DIV/0!</v>
      </c>
      <c r="T92" s="375" t="e">
        <f t="shared" si="19"/>
        <v>#DIV/0!</v>
      </c>
      <c r="U92" s="373"/>
      <c r="V92" s="373"/>
      <c r="W92" s="97"/>
      <c r="X92" s="97"/>
      <c r="Y92" s="97"/>
      <c r="Z92" s="97"/>
      <c r="AA92" s="97"/>
      <c r="AB92" s="97"/>
      <c r="AC92" s="97"/>
      <c r="AD92" s="97"/>
    </row>
    <row r="93" spans="2:30" ht="15.75" customHeight="1" x14ac:dyDescent="0.45">
      <c r="B93" s="287">
        <v>8791686190</v>
      </c>
      <c r="C93" s="288" t="s">
        <v>490</v>
      </c>
      <c r="D93" s="220" t="s">
        <v>491</v>
      </c>
      <c r="E93" s="219">
        <v>100</v>
      </c>
      <c r="F93" s="219">
        <v>56</v>
      </c>
      <c r="G93" s="386">
        <f>'e411'!F93</f>
        <v>0</v>
      </c>
      <c r="H93" s="57">
        <f t="shared" si="10"/>
        <v>0</v>
      </c>
      <c r="I93" s="219">
        <f t="shared" si="11"/>
        <v>0</v>
      </c>
      <c r="J93" s="219">
        <f>(30*BC!$B$47/F93)</f>
        <v>0</v>
      </c>
      <c r="K93" s="285">
        <f t="shared" si="12"/>
        <v>0</v>
      </c>
      <c r="L93" s="194">
        <f t="shared" si="13"/>
        <v>0</v>
      </c>
      <c r="M93" s="194">
        <f t="shared" si="14"/>
        <v>0</v>
      </c>
      <c r="N93" s="364">
        <v>388</v>
      </c>
      <c r="O93" s="365">
        <f t="shared" si="15"/>
        <v>0</v>
      </c>
      <c r="P93" s="371">
        <f t="shared" si="16"/>
        <v>3.88</v>
      </c>
      <c r="Q93" s="374" t="e">
        <f>(P93+$O$231)+((BC!$F$125)/$G$103)</f>
        <v>#DIV/0!</v>
      </c>
      <c r="R93" s="374" t="e">
        <f t="shared" si="17"/>
        <v>#DIV/0!</v>
      </c>
      <c r="S93" s="375" t="e">
        <f t="shared" si="18"/>
        <v>#DIV/0!</v>
      </c>
      <c r="T93" s="375" t="e">
        <f t="shared" si="19"/>
        <v>#DIV/0!</v>
      </c>
      <c r="U93" s="373"/>
      <c r="V93" s="373"/>
      <c r="W93" s="97"/>
      <c r="X93" s="97"/>
      <c r="Y93" s="97"/>
      <c r="Z93" s="97"/>
      <c r="AA93" s="97"/>
      <c r="AB93" s="97"/>
      <c r="AC93" s="97"/>
      <c r="AD93" s="97"/>
    </row>
    <row r="94" spans="2:30" ht="15.75" customHeight="1" x14ac:dyDescent="0.45">
      <c r="B94" s="335">
        <v>5802571190</v>
      </c>
      <c r="C94" s="336" t="s">
        <v>492</v>
      </c>
      <c r="D94" s="220" t="s">
        <v>493</v>
      </c>
      <c r="E94" s="219">
        <v>100</v>
      </c>
      <c r="F94" s="219">
        <v>84</v>
      </c>
      <c r="G94" s="386">
        <f>'e411'!F94</f>
        <v>0</v>
      </c>
      <c r="H94" s="57">
        <f t="shared" si="10"/>
        <v>0</v>
      </c>
      <c r="I94" s="219">
        <f t="shared" si="11"/>
        <v>0</v>
      </c>
      <c r="J94" s="219">
        <f>(30*BC!$B$47/F94)</f>
        <v>0</v>
      </c>
      <c r="K94" s="285">
        <f t="shared" si="12"/>
        <v>0</v>
      </c>
      <c r="L94" s="194">
        <f t="shared" si="13"/>
        <v>0</v>
      </c>
      <c r="M94" s="194">
        <f t="shared" si="14"/>
        <v>0</v>
      </c>
      <c r="N94" s="364">
        <v>585</v>
      </c>
      <c r="O94" s="365">
        <f t="shared" si="15"/>
        <v>0</v>
      </c>
      <c r="P94" s="371">
        <f t="shared" si="16"/>
        <v>5.85</v>
      </c>
      <c r="Q94" s="374" t="e">
        <f>(P94+$O$231)+((BC!$F$125)/$G$103)</f>
        <v>#DIV/0!</v>
      </c>
      <c r="R94" s="374" t="e">
        <f t="shared" si="17"/>
        <v>#DIV/0!</v>
      </c>
      <c r="S94" s="375" t="e">
        <f t="shared" si="18"/>
        <v>#DIV/0!</v>
      </c>
      <c r="T94" s="375" t="e">
        <f t="shared" si="19"/>
        <v>#DIV/0!</v>
      </c>
      <c r="U94" s="74"/>
      <c r="V94" s="74"/>
    </row>
    <row r="95" spans="2:30" ht="15.75" customHeight="1" x14ac:dyDescent="0.45">
      <c r="B95" s="287">
        <v>4618815190</v>
      </c>
      <c r="C95" s="337" t="s">
        <v>494</v>
      </c>
      <c r="D95" s="220" t="s">
        <v>495</v>
      </c>
      <c r="E95" s="219">
        <v>100</v>
      </c>
      <c r="F95" s="219">
        <v>84</v>
      </c>
      <c r="G95" s="386">
        <f>'e411'!F95</f>
        <v>0</v>
      </c>
      <c r="H95" s="57">
        <f t="shared" si="10"/>
        <v>0</v>
      </c>
      <c r="I95" s="219">
        <f t="shared" si="11"/>
        <v>0</v>
      </c>
      <c r="J95" s="219">
        <f>(30*BC!$B$47/F95)</f>
        <v>0</v>
      </c>
      <c r="K95" s="285">
        <f t="shared" si="12"/>
        <v>0</v>
      </c>
      <c r="L95" s="194">
        <f t="shared" si="13"/>
        <v>0</v>
      </c>
      <c r="M95" s="194">
        <f t="shared" si="14"/>
        <v>0</v>
      </c>
      <c r="N95" s="364">
        <v>296</v>
      </c>
      <c r="O95" s="365">
        <f t="shared" si="15"/>
        <v>0</v>
      </c>
      <c r="P95" s="371">
        <f t="shared" si="16"/>
        <v>2.96</v>
      </c>
      <c r="Q95" s="374" t="e">
        <f>(P95+$O$231)+((BC!$F$125)/$G$103)</f>
        <v>#DIV/0!</v>
      </c>
      <c r="R95" s="374" t="e">
        <f t="shared" si="17"/>
        <v>#DIV/0!</v>
      </c>
      <c r="S95" s="375" t="e">
        <f t="shared" si="18"/>
        <v>#DIV/0!</v>
      </c>
      <c r="T95" s="375" t="e">
        <f t="shared" si="19"/>
        <v>#DIV/0!</v>
      </c>
      <c r="U95" s="373"/>
      <c r="V95" s="373"/>
      <c r="W95" s="97"/>
      <c r="X95" s="97"/>
      <c r="Y95" s="97"/>
      <c r="Z95" s="97"/>
      <c r="AA95" s="97"/>
      <c r="AB95" s="97"/>
      <c r="AC95" s="97"/>
      <c r="AD95" s="97"/>
    </row>
    <row r="96" spans="2:30" ht="15.75" customHeight="1" x14ac:dyDescent="0.45">
      <c r="B96" s="287">
        <v>4618858190</v>
      </c>
      <c r="C96" s="338" t="s">
        <v>496</v>
      </c>
      <c r="D96" s="220" t="s">
        <v>497</v>
      </c>
      <c r="E96" s="219">
        <v>100</v>
      </c>
      <c r="F96" s="219">
        <v>84</v>
      </c>
      <c r="G96" s="386">
        <f>'e411'!F96</f>
        <v>0</v>
      </c>
      <c r="H96" s="57">
        <f t="shared" si="10"/>
        <v>0</v>
      </c>
      <c r="I96" s="219">
        <f t="shared" si="11"/>
        <v>0</v>
      </c>
      <c r="J96" s="219">
        <f>(30*BC!$B$47/F96)</f>
        <v>0</v>
      </c>
      <c r="K96" s="285">
        <f t="shared" si="12"/>
        <v>0</v>
      </c>
      <c r="L96" s="194">
        <f t="shared" si="13"/>
        <v>0</v>
      </c>
      <c r="M96" s="194">
        <f t="shared" si="14"/>
        <v>0</v>
      </c>
      <c r="N96" s="364">
        <v>296</v>
      </c>
      <c r="O96" s="365">
        <f t="shared" si="15"/>
        <v>0</v>
      </c>
      <c r="P96" s="371">
        <f t="shared" si="16"/>
        <v>2.96</v>
      </c>
      <c r="Q96" s="374" t="e">
        <f>(P96+$O$231)+((BC!$F$125)/$G$103)</f>
        <v>#DIV/0!</v>
      </c>
      <c r="R96" s="374" t="e">
        <f t="shared" si="17"/>
        <v>#DIV/0!</v>
      </c>
      <c r="S96" s="375" t="e">
        <f t="shared" si="18"/>
        <v>#DIV/0!</v>
      </c>
      <c r="T96" s="375" t="e">
        <f t="shared" si="19"/>
        <v>#DIV/0!</v>
      </c>
      <c r="U96" s="373"/>
      <c r="V96" s="373"/>
      <c r="W96" s="97"/>
      <c r="X96" s="97"/>
      <c r="Y96" s="97"/>
      <c r="Z96" s="97"/>
      <c r="AA96" s="97"/>
      <c r="AB96" s="97"/>
      <c r="AC96" s="97"/>
      <c r="AD96" s="97"/>
    </row>
    <row r="97" spans="2:30" ht="15.75" customHeight="1" x14ac:dyDescent="0.45">
      <c r="B97" s="287">
        <v>5094798190</v>
      </c>
      <c r="C97" s="339" t="s">
        <v>498</v>
      </c>
      <c r="D97" s="285" t="s">
        <v>499</v>
      </c>
      <c r="E97" s="219">
        <v>100</v>
      </c>
      <c r="F97" s="219">
        <v>14</v>
      </c>
      <c r="G97" s="386">
        <f>'e411'!F97</f>
        <v>0</v>
      </c>
      <c r="H97" s="57">
        <f t="shared" si="10"/>
        <v>0</v>
      </c>
      <c r="I97" s="219">
        <f t="shared" si="11"/>
        <v>0</v>
      </c>
      <c r="J97" s="219">
        <f>(30*BC!$B$47/F97)</f>
        <v>0</v>
      </c>
      <c r="K97" s="285">
        <f t="shared" si="12"/>
        <v>0</v>
      </c>
      <c r="L97" s="194">
        <f t="shared" si="13"/>
        <v>0</v>
      </c>
      <c r="M97" s="194">
        <f t="shared" si="14"/>
        <v>0</v>
      </c>
      <c r="N97" s="364">
        <v>608</v>
      </c>
      <c r="O97" s="365">
        <f t="shared" si="15"/>
        <v>0</v>
      </c>
      <c r="P97" s="371">
        <f t="shared" si="16"/>
        <v>6.08</v>
      </c>
      <c r="Q97" s="374" t="e">
        <f>(P97+$O$231)+((BC!$F$125)/$G$103)</f>
        <v>#DIV/0!</v>
      </c>
      <c r="R97" s="374" t="e">
        <f t="shared" si="17"/>
        <v>#DIV/0!</v>
      </c>
      <c r="S97" s="375" t="e">
        <f t="shared" si="18"/>
        <v>#DIV/0!</v>
      </c>
      <c r="T97" s="375" t="e">
        <f t="shared" si="19"/>
        <v>#DIV/0!</v>
      </c>
      <c r="U97" s="74"/>
      <c r="V97" s="74"/>
    </row>
    <row r="98" spans="2:30" ht="15.75" customHeight="1" x14ac:dyDescent="0.45">
      <c r="B98" s="287">
        <v>9315322190</v>
      </c>
      <c r="C98" s="340" t="s">
        <v>500</v>
      </c>
      <c r="D98" s="220" t="s">
        <v>501</v>
      </c>
      <c r="E98" s="219">
        <v>200</v>
      </c>
      <c r="F98" s="219">
        <v>28</v>
      </c>
      <c r="G98" s="386">
        <f>'e411'!F98</f>
        <v>0</v>
      </c>
      <c r="H98" s="57">
        <f t="shared" si="10"/>
        <v>0</v>
      </c>
      <c r="I98" s="219">
        <f t="shared" si="11"/>
        <v>0</v>
      </c>
      <c r="J98" s="219">
        <f>(30*BC!$B$47/F98)</f>
        <v>0</v>
      </c>
      <c r="K98" s="285">
        <f t="shared" si="12"/>
        <v>0</v>
      </c>
      <c r="L98" s="194">
        <f t="shared" si="13"/>
        <v>0</v>
      </c>
      <c r="M98" s="194">
        <f t="shared" si="14"/>
        <v>0</v>
      </c>
      <c r="N98" s="364">
        <v>1216</v>
      </c>
      <c r="O98" s="365">
        <f t="shared" si="15"/>
        <v>0</v>
      </c>
      <c r="P98" s="371">
        <f t="shared" si="16"/>
        <v>6.08</v>
      </c>
      <c r="Q98" s="374" t="e">
        <f>(P98+$O$231)+((BC!$F$125)/$G$103)</f>
        <v>#DIV/0!</v>
      </c>
      <c r="R98" s="374" t="e">
        <f t="shared" si="17"/>
        <v>#DIV/0!</v>
      </c>
      <c r="S98" s="375" t="e">
        <f t="shared" si="18"/>
        <v>#DIV/0!</v>
      </c>
      <c r="T98" s="375" t="e">
        <f t="shared" si="19"/>
        <v>#DIV/0!</v>
      </c>
      <c r="U98" s="373"/>
      <c r="V98" s="373"/>
      <c r="W98" s="97"/>
      <c r="X98" s="97"/>
      <c r="Y98" s="97"/>
      <c r="Z98" s="97"/>
      <c r="AA98" s="97"/>
      <c r="AB98" s="97"/>
      <c r="AC98" s="97"/>
      <c r="AD98" s="97"/>
    </row>
    <row r="99" spans="2:30" ht="15.75" customHeight="1" x14ac:dyDescent="0.45">
      <c r="B99" s="287">
        <v>9315349190</v>
      </c>
      <c r="C99" s="339" t="s">
        <v>502</v>
      </c>
      <c r="D99" s="285" t="s">
        <v>503</v>
      </c>
      <c r="E99" s="219">
        <v>100</v>
      </c>
      <c r="F99" s="219">
        <v>28</v>
      </c>
      <c r="G99" s="386">
        <f>'e411'!F99</f>
        <v>0</v>
      </c>
      <c r="H99" s="57">
        <f t="shared" si="10"/>
        <v>0</v>
      </c>
      <c r="I99" s="219">
        <f t="shared" si="11"/>
        <v>0</v>
      </c>
      <c r="J99" s="219">
        <f>(30*BC!$B$47/F99)</f>
        <v>0</v>
      </c>
      <c r="K99" s="285">
        <f t="shared" si="12"/>
        <v>0</v>
      </c>
      <c r="L99" s="194">
        <f t="shared" si="13"/>
        <v>0</v>
      </c>
      <c r="M99" s="194">
        <f t="shared" si="14"/>
        <v>0</v>
      </c>
      <c r="N99" s="364">
        <v>608</v>
      </c>
      <c r="O99" s="365">
        <f t="shared" si="15"/>
        <v>0</v>
      </c>
      <c r="P99" s="371">
        <f t="shared" si="16"/>
        <v>6.08</v>
      </c>
      <c r="Q99" s="374" t="e">
        <f>(P99+$O$231)+((BC!$F$125)/$G$103)</f>
        <v>#DIV/0!</v>
      </c>
      <c r="R99" s="374" t="e">
        <f t="shared" si="17"/>
        <v>#DIV/0!</v>
      </c>
      <c r="S99" s="375" t="e">
        <f t="shared" si="18"/>
        <v>#DIV/0!</v>
      </c>
      <c r="T99" s="375" t="e">
        <f t="shared" si="19"/>
        <v>#DIV/0!</v>
      </c>
      <c r="U99" s="74"/>
      <c r="V99" s="74"/>
    </row>
    <row r="100" spans="2:30" ht="15.75" customHeight="1" x14ac:dyDescent="0.45">
      <c r="B100" s="287">
        <v>8429324190</v>
      </c>
      <c r="C100" s="309" t="s">
        <v>504</v>
      </c>
      <c r="D100" s="220" t="s">
        <v>505</v>
      </c>
      <c r="E100" s="219">
        <v>200</v>
      </c>
      <c r="F100" s="219">
        <v>56</v>
      </c>
      <c r="G100" s="386">
        <f>'e411'!F100</f>
        <v>0</v>
      </c>
      <c r="H100" s="57">
        <f t="shared" si="10"/>
        <v>0</v>
      </c>
      <c r="I100" s="219">
        <f t="shared" si="11"/>
        <v>0</v>
      </c>
      <c r="J100" s="219">
        <f>(30*BC!$B$47/F100)</f>
        <v>0</v>
      </c>
      <c r="K100" s="285">
        <f t="shared" si="12"/>
        <v>0</v>
      </c>
      <c r="L100" s="194">
        <f t="shared" si="13"/>
        <v>0</v>
      </c>
      <c r="M100" s="194">
        <f t="shared" si="14"/>
        <v>0</v>
      </c>
      <c r="N100" s="364">
        <v>272</v>
      </c>
      <c r="O100" s="365">
        <f t="shared" si="15"/>
        <v>0</v>
      </c>
      <c r="P100" s="371">
        <f t="shared" si="16"/>
        <v>1.36</v>
      </c>
      <c r="Q100" s="374" t="e">
        <f>(P100+$O$231)+((BC!$F$125)/$G$103)</f>
        <v>#DIV/0!</v>
      </c>
      <c r="R100" s="374" t="e">
        <f t="shared" si="17"/>
        <v>#DIV/0!</v>
      </c>
      <c r="S100" s="375" t="e">
        <f t="shared" si="18"/>
        <v>#DIV/0!</v>
      </c>
      <c r="T100" s="375" t="e">
        <f t="shared" si="19"/>
        <v>#DIV/0!</v>
      </c>
      <c r="U100" s="373"/>
      <c r="V100" s="373"/>
      <c r="W100" s="97"/>
      <c r="X100" s="97"/>
      <c r="Y100" s="97"/>
      <c r="Z100" s="97"/>
      <c r="AA100" s="97"/>
      <c r="AB100" s="97"/>
      <c r="AC100" s="97"/>
      <c r="AD100" s="97"/>
    </row>
    <row r="101" spans="2:30" ht="15.75" customHeight="1" x14ac:dyDescent="0.45">
      <c r="B101" s="287">
        <v>7212771190</v>
      </c>
      <c r="C101" s="314" t="s">
        <v>506</v>
      </c>
      <c r="D101" s="220" t="s">
        <v>507</v>
      </c>
      <c r="E101" s="219">
        <v>100</v>
      </c>
      <c r="F101" s="219">
        <v>60</v>
      </c>
      <c r="G101" s="386">
        <f>'e411'!F101</f>
        <v>0</v>
      </c>
      <c r="H101" s="57">
        <f t="shared" si="10"/>
        <v>0</v>
      </c>
      <c r="I101" s="219">
        <f t="shared" si="11"/>
        <v>0</v>
      </c>
      <c r="J101" s="219">
        <f>(30*BC!$B$47/F101)</f>
        <v>0</v>
      </c>
      <c r="K101" s="285">
        <f t="shared" si="12"/>
        <v>0</v>
      </c>
      <c r="L101" s="194">
        <f t="shared" si="13"/>
        <v>0</v>
      </c>
      <c r="M101" s="194">
        <f t="shared" si="14"/>
        <v>0</v>
      </c>
      <c r="N101" s="364">
        <v>700</v>
      </c>
      <c r="O101" s="365">
        <f t="shared" si="15"/>
        <v>0</v>
      </c>
      <c r="P101" s="371">
        <f t="shared" si="16"/>
        <v>7</v>
      </c>
      <c r="Q101" s="374" t="e">
        <f>(P101+$O$231)+((BC!$F$125)/$G$103)</f>
        <v>#DIV/0!</v>
      </c>
      <c r="R101" s="374" t="e">
        <f t="shared" si="17"/>
        <v>#DIV/0!</v>
      </c>
      <c r="S101" s="375" t="e">
        <f t="shared" si="18"/>
        <v>#DIV/0!</v>
      </c>
      <c r="T101" s="375" t="e">
        <f t="shared" si="19"/>
        <v>#DIV/0!</v>
      </c>
      <c r="U101" s="373"/>
      <c r="V101" s="373"/>
      <c r="W101" s="97"/>
      <c r="X101" s="97"/>
      <c r="Y101" s="97"/>
      <c r="Z101" s="97"/>
      <c r="AA101" s="97"/>
      <c r="AB101" s="97"/>
      <c r="AC101" s="97"/>
      <c r="AD101" s="97"/>
    </row>
    <row r="102" spans="2:30" ht="15.75" customHeight="1" x14ac:dyDescent="0.45">
      <c r="B102" s="287">
        <v>9038078190</v>
      </c>
      <c r="C102" s="341" t="s">
        <v>508</v>
      </c>
      <c r="D102" s="220" t="s">
        <v>509</v>
      </c>
      <c r="E102" s="219">
        <v>100</v>
      </c>
      <c r="F102" s="219">
        <v>28</v>
      </c>
      <c r="G102" s="386">
        <f>'e411'!F102</f>
        <v>0</v>
      </c>
      <c r="H102" s="57">
        <f t="shared" si="10"/>
        <v>0</v>
      </c>
      <c r="I102" s="219">
        <f t="shared" si="11"/>
        <v>0</v>
      </c>
      <c r="J102" s="219">
        <f>(30*BC!$B$47/F102)</f>
        <v>0</v>
      </c>
      <c r="K102" s="285">
        <f t="shared" si="12"/>
        <v>0</v>
      </c>
      <c r="L102" s="194">
        <f t="shared" si="13"/>
        <v>0</v>
      </c>
      <c r="M102" s="194">
        <f t="shared" si="14"/>
        <v>0</v>
      </c>
      <c r="N102" s="364">
        <v>657</v>
      </c>
      <c r="O102" s="365">
        <f t="shared" si="15"/>
        <v>0</v>
      </c>
      <c r="P102" s="371">
        <f t="shared" si="16"/>
        <v>6.57</v>
      </c>
      <c r="Q102" s="374" t="e">
        <f>(P102+$O$231)+((BC!$F$125)/$G$103)</f>
        <v>#DIV/0!</v>
      </c>
      <c r="R102" s="374" t="e">
        <f t="shared" si="17"/>
        <v>#DIV/0!</v>
      </c>
      <c r="S102" s="375" t="e">
        <f t="shared" si="18"/>
        <v>#DIV/0!</v>
      </c>
      <c r="T102" s="375" t="e">
        <f t="shared" si="19"/>
        <v>#DIV/0!</v>
      </c>
      <c r="U102" s="373"/>
      <c r="V102" s="373"/>
      <c r="W102" s="97"/>
      <c r="X102" s="97"/>
      <c r="Y102" s="97"/>
      <c r="Z102" s="97"/>
      <c r="AA102" s="97"/>
      <c r="AB102" s="97"/>
      <c r="AC102" s="97"/>
      <c r="AD102" s="97"/>
    </row>
    <row r="103" spans="2:30" ht="15.75" customHeight="1" x14ac:dyDescent="0.45">
      <c r="B103" s="913" t="s">
        <v>19</v>
      </c>
      <c r="C103" s="913"/>
      <c r="D103" s="913"/>
      <c r="E103" s="913"/>
      <c r="F103" s="913"/>
      <c r="G103" s="342">
        <f>SUM(G9:G102)</f>
        <v>0</v>
      </c>
      <c r="H103" s="342">
        <f>SUM(H9:H102)</f>
        <v>0</v>
      </c>
      <c r="I103" s="342"/>
      <c r="J103" s="342"/>
      <c r="K103" s="343"/>
      <c r="L103" s="383"/>
      <c r="M103" s="383"/>
      <c r="N103" s="344"/>
      <c r="O103" s="345"/>
      <c r="P103" s="345"/>
      <c r="Q103" s="344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</row>
    <row r="104" spans="2:30" ht="15.75" customHeight="1" x14ac:dyDescent="0.45">
      <c r="B104" s="378" t="s">
        <v>255</v>
      </c>
      <c r="C104" s="380"/>
      <c r="D104" s="380"/>
      <c r="E104" s="380" t="s">
        <v>183</v>
      </c>
      <c r="F104" s="380" t="s">
        <v>649</v>
      </c>
      <c r="G104" s="382"/>
      <c r="H104" s="382"/>
      <c r="I104" s="379" t="s">
        <v>53</v>
      </c>
      <c r="J104" s="379" t="s">
        <v>52</v>
      </c>
      <c r="K104" s="379" t="s">
        <v>51</v>
      </c>
      <c r="L104" s="379"/>
      <c r="M104" s="379" t="s">
        <v>50</v>
      </c>
      <c r="N104" s="379" t="s">
        <v>49</v>
      </c>
      <c r="O104" s="379" t="s">
        <v>48</v>
      </c>
      <c r="P104" s="381" t="s">
        <v>318</v>
      </c>
      <c r="Q104" s="381" t="s">
        <v>319</v>
      </c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</row>
    <row r="105" spans="2:30" ht="15.75" customHeight="1" x14ac:dyDescent="0.45">
      <c r="B105" s="287">
        <v>8959820190</v>
      </c>
      <c r="C105" s="285" t="s">
        <v>510</v>
      </c>
      <c r="D105" s="194" t="s">
        <v>511</v>
      </c>
      <c r="E105" s="219">
        <v>2</v>
      </c>
      <c r="F105" s="219">
        <v>28</v>
      </c>
      <c r="G105" s="219"/>
      <c r="H105" s="219"/>
      <c r="I105" s="219">
        <f>(H9/(0.0005*100)/2000)</f>
        <v>0</v>
      </c>
      <c r="J105" s="219">
        <f>(30*BC!$B$47/F105)</f>
        <v>0</v>
      </c>
      <c r="K105" s="285">
        <f t="shared" si="12"/>
        <v>0</v>
      </c>
      <c r="L105" s="194">
        <f t="shared" si="13"/>
        <v>0</v>
      </c>
      <c r="M105" s="194">
        <f t="shared" si="14"/>
        <v>0</v>
      </c>
      <c r="N105" s="364">
        <v>355</v>
      </c>
      <c r="O105" s="365">
        <f>((N105/E105)*M105)</f>
        <v>0</v>
      </c>
      <c r="P105" s="57">
        <f>M105/E105</f>
        <v>0</v>
      </c>
      <c r="Q105" s="57">
        <f>ROUNDUP(P105,0)</f>
        <v>0</v>
      </c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</row>
    <row r="106" spans="2:30" ht="15.75" customHeight="1" x14ac:dyDescent="0.45">
      <c r="B106" s="287">
        <v>9227261190</v>
      </c>
      <c r="C106" s="220" t="s">
        <v>512</v>
      </c>
      <c r="D106" s="194" t="s">
        <v>511</v>
      </c>
      <c r="E106" s="219">
        <v>2</v>
      </c>
      <c r="F106" s="219">
        <v>84</v>
      </c>
      <c r="G106" s="219"/>
      <c r="H106" s="219"/>
      <c r="I106" s="219">
        <f>(H10/(0.0005*100)/2000)</f>
        <v>0</v>
      </c>
      <c r="J106" s="219">
        <f>(30*BC!$B$47/F106)</f>
        <v>0</v>
      </c>
      <c r="K106" s="285">
        <f t="shared" si="12"/>
        <v>0</v>
      </c>
      <c r="L106" s="194">
        <f t="shared" si="13"/>
        <v>0</v>
      </c>
      <c r="M106" s="194">
        <f t="shared" si="14"/>
        <v>0</v>
      </c>
      <c r="N106" s="364">
        <v>103</v>
      </c>
      <c r="O106" s="365">
        <f t="shared" ref="O106:O162" si="20">((N106/E106)*M106)</f>
        <v>0</v>
      </c>
      <c r="P106" s="57">
        <f t="shared" ref="P106:P162" si="21">M106/E106</f>
        <v>0</v>
      </c>
      <c r="Q106" s="57">
        <f t="shared" ref="Q106:Q162" si="22">ROUNDUP(P106,0)</f>
        <v>0</v>
      </c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</row>
    <row r="107" spans="2:30" ht="15.75" customHeight="1" x14ac:dyDescent="0.45">
      <c r="B107" s="287">
        <v>7957203190</v>
      </c>
      <c r="C107" s="285" t="s">
        <v>513</v>
      </c>
      <c r="D107" s="194" t="s">
        <v>511</v>
      </c>
      <c r="E107" s="219">
        <v>2</v>
      </c>
      <c r="F107" s="219">
        <v>28</v>
      </c>
      <c r="G107" s="219"/>
      <c r="H107" s="219"/>
      <c r="I107" s="219">
        <f>(H11/(0.0005*100)/2000)</f>
        <v>0</v>
      </c>
      <c r="J107" s="219">
        <f>(30*BC!$B$47/F107)</f>
        <v>0</v>
      </c>
      <c r="K107" s="285">
        <f t="shared" si="12"/>
        <v>0</v>
      </c>
      <c r="L107" s="194">
        <f t="shared" si="13"/>
        <v>0</v>
      </c>
      <c r="M107" s="194">
        <f t="shared" si="14"/>
        <v>0</v>
      </c>
      <c r="N107" s="364">
        <v>322</v>
      </c>
      <c r="O107" s="365">
        <f t="shared" si="20"/>
        <v>0</v>
      </c>
      <c r="P107" s="57">
        <f t="shared" si="21"/>
        <v>0</v>
      </c>
      <c r="Q107" s="57">
        <f t="shared" si="22"/>
        <v>0</v>
      </c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</row>
    <row r="108" spans="2:30" ht="15.75" customHeight="1" x14ac:dyDescent="0.45">
      <c r="B108" s="287">
        <v>9289291190</v>
      </c>
      <c r="C108" s="285" t="s">
        <v>514</v>
      </c>
      <c r="D108" s="194" t="s">
        <v>511</v>
      </c>
      <c r="E108" s="219">
        <v>2</v>
      </c>
      <c r="F108" s="219">
        <v>42</v>
      </c>
      <c r="G108" s="219"/>
      <c r="H108" s="219"/>
      <c r="I108" s="219">
        <f>(H22/(0.005*100)/2000)</f>
        <v>0</v>
      </c>
      <c r="J108" s="219">
        <f>(30*BC!$B$47/F108)</f>
        <v>0</v>
      </c>
      <c r="K108" s="285">
        <f t="shared" si="12"/>
        <v>0</v>
      </c>
      <c r="L108" s="194">
        <f t="shared" si="13"/>
        <v>0</v>
      </c>
      <c r="M108" s="194">
        <f t="shared" si="14"/>
        <v>0</v>
      </c>
      <c r="N108" s="364">
        <v>155</v>
      </c>
      <c r="O108" s="365">
        <f t="shared" si="20"/>
        <v>0</v>
      </c>
      <c r="P108" s="57">
        <f t="shared" si="21"/>
        <v>0</v>
      </c>
      <c r="Q108" s="57">
        <f t="shared" si="22"/>
        <v>0</v>
      </c>
      <c r="R108" s="97"/>
      <c r="S108" s="97"/>
      <c r="T108" s="97"/>
      <c r="U108" s="97"/>
      <c r="V108" s="97"/>
      <c r="W108" s="97"/>
      <c r="X108" s="97"/>
      <c r="Y108" s="97"/>
      <c r="Z108" s="97"/>
      <c r="AA108" s="97"/>
      <c r="AB108" s="97"/>
      <c r="AC108" s="97"/>
      <c r="AD108" s="97"/>
    </row>
    <row r="109" spans="2:30" ht="15.75" customHeight="1" x14ac:dyDescent="0.45">
      <c r="B109" s="287">
        <v>9005030190</v>
      </c>
      <c r="C109" s="220" t="s">
        <v>515</v>
      </c>
      <c r="D109" s="194" t="s">
        <v>511</v>
      </c>
      <c r="E109" s="219">
        <v>2</v>
      </c>
      <c r="F109" s="219">
        <v>42</v>
      </c>
      <c r="G109" s="219"/>
      <c r="H109" s="219"/>
      <c r="I109" s="219">
        <f>(H23/(0.0005*150)/2000)</f>
        <v>0</v>
      </c>
      <c r="J109" s="219">
        <f>(30*BC!$B$47/F109)</f>
        <v>0</v>
      </c>
      <c r="K109" s="285">
        <f t="shared" si="12"/>
        <v>0</v>
      </c>
      <c r="L109" s="194">
        <f t="shared" si="13"/>
        <v>0</v>
      </c>
      <c r="M109" s="194">
        <f t="shared" si="14"/>
        <v>0</v>
      </c>
      <c r="N109" s="364">
        <v>115</v>
      </c>
      <c r="O109" s="365">
        <f t="shared" si="20"/>
        <v>0</v>
      </c>
      <c r="P109" s="57">
        <f t="shared" si="21"/>
        <v>0</v>
      </c>
      <c r="Q109" s="57">
        <f t="shared" si="22"/>
        <v>0</v>
      </c>
      <c r="R109" s="97"/>
      <c r="S109" s="97"/>
      <c r="T109" s="97"/>
      <c r="U109" s="97"/>
      <c r="V109" s="97"/>
      <c r="W109" s="97"/>
      <c r="X109" s="97"/>
      <c r="Y109" s="97"/>
      <c r="Z109" s="97"/>
      <c r="AA109" s="97"/>
      <c r="AB109" s="97"/>
      <c r="AC109" s="97"/>
      <c r="AD109" s="97"/>
    </row>
    <row r="110" spans="2:30" ht="15.75" customHeight="1" x14ac:dyDescent="0.45">
      <c r="B110" s="287">
        <v>6472931190</v>
      </c>
      <c r="C110" s="197" t="s">
        <v>516</v>
      </c>
      <c r="D110" s="194" t="s">
        <v>511</v>
      </c>
      <c r="E110" s="219">
        <v>2</v>
      </c>
      <c r="F110" s="219">
        <v>56</v>
      </c>
      <c r="G110" s="219"/>
      <c r="H110" s="219"/>
      <c r="I110" s="219">
        <f>(H12/(0.0005*100)/2000)</f>
        <v>0</v>
      </c>
      <c r="J110" s="219">
        <f>(30*BC!$B$47/F110)</f>
        <v>0</v>
      </c>
      <c r="K110" s="285">
        <f t="shared" si="12"/>
        <v>0</v>
      </c>
      <c r="L110" s="194">
        <f t="shared" si="13"/>
        <v>0</v>
      </c>
      <c r="M110" s="194">
        <f t="shared" si="14"/>
        <v>0</v>
      </c>
      <c r="N110" s="364">
        <v>222</v>
      </c>
      <c r="O110" s="365">
        <f t="shared" si="20"/>
        <v>0</v>
      </c>
      <c r="P110" s="57">
        <f t="shared" si="21"/>
        <v>0</v>
      </c>
      <c r="Q110" s="57">
        <f t="shared" si="22"/>
        <v>0</v>
      </c>
      <c r="R110" s="97"/>
      <c r="S110" s="97"/>
      <c r="T110" s="97"/>
      <c r="U110" s="97"/>
      <c r="V110" s="97"/>
      <c r="W110" s="97"/>
      <c r="X110" s="97"/>
      <c r="Y110" s="97"/>
      <c r="Z110" s="97"/>
      <c r="AA110" s="97"/>
      <c r="AB110" s="97"/>
      <c r="AC110" s="97"/>
      <c r="AD110" s="97"/>
    </row>
    <row r="111" spans="2:30" ht="15.75" customHeight="1" x14ac:dyDescent="0.45">
      <c r="B111" s="287">
        <v>8496641190</v>
      </c>
      <c r="C111" s="285" t="s">
        <v>517</v>
      </c>
      <c r="D111" s="194" t="s">
        <v>511</v>
      </c>
      <c r="E111" s="219">
        <v>2</v>
      </c>
      <c r="F111" s="219">
        <v>84</v>
      </c>
      <c r="G111" s="219"/>
      <c r="H111" s="219"/>
      <c r="I111" s="219">
        <f t="shared" ref="I111:I117" si="23">(H24/(0.0005*100)/2000)</f>
        <v>0</v>
      </c>
      <c r="J111" s="219">
        <f>(30*BC!$B$47/F111)</f>
        <v>0</v>
      </c>
      <c r="K111" s="285">
        <f t="shared" si="12"/>
        <v>0</v>
      </c>
      <c r="L111" s="194">
        <f t="shared" si="13"/>
        <v>0</v>
      </c>
      <c r="M111" s="194">
        <f t="shared" si="14"/>
        <v>0</v>
      </c>
      <c r="N111" s="364">
        <v>178</v>
      </c>
      <c r="O111" s="365">
        <f t="shared" si="20"/>
        <v>0</v>
      </c>
      <c r="P111" s="57">
        <f t="shared" si="21"/>
        <v>0</v>
      </c>
      <c r="Q111" s="57">
        <f t="shared" si="22"/>
        <v>0</v>
      </c>
      <c r="R111" s="97"/>
      <c r="S111" s="97"/>
      <c r="T111" s="97"/>
      <c r="U111" s="97"/>
      <c r="V111" s="97"/>
      <c r="W111" s="97"/>
      <c r="X111" s="97"/>
      <c r="Y111" s="97"/>
      <c r="Z111" s="97"/>
      <c r="AA111" s="97"/>
      <c r="AB111" s="97"/>
      <c r="AC111" s="97"/>
      <c r="AD111" s="97"/>
    </row>
    <row r="112" spans="2:30" ht="15.75" customHeight="1" x14ac:dyDescent="0.45">
      <c r="B112" s="287">
        <v>11972316122</v>
      </c>
      <c r="C112" s="285" t="s">
        <v>518</v>
      </c>
      <c r="D112" s="194" t="s">
        <v>511</v>
      </c>
      <c r="E112" s="219">
        <v>2</v>
      </c>
      <c r="F112" s="219">
        <v>84</v>
      </c>
      <c r="G112" s="219"/>
      <c r="H112" s="219"/>
      <c r="I112" s="219">
        <f t="shared" si="23"/>
        <v>0</v>
      </c>
      <c r="J112" s="219">
        <f>(30*BC!$B$47/F112)</f>
        <v>0</v>
      </c>
      <c r="K112" s="285">
        <f t="shared" si="12"/>
        <v>0</v>
      </c>
      <c r="L112" s="194">
        <f t="shared" si="13"/>
        <v>0</v>
      </c>
      <c r="M112" s="194">
        <f t="shared" si="14"/>
        <v>0</v>
      </c>
      <c r="N112" s="364">
        <v>162</v>
      </c>
      <c r="O112" s="365">
        <f t="shared" si="20"/>
        <v>0</v>
      </c>
      <c r="P112" s="57">
        <f t="shared" si="21"/>
        <v>0</v>
      </c>
      <c r="Q112" s="57">
        <f t="shared" si="22"/>
        <v>0</v>
      </c>
      <c r="R112" s="97"/>
      <c r="S112" s="97"/>
      <c r="T112" s="97"/>
      <c r="U112" s="97"/>
      <c r="V112" s="97"/>
      <c r="W112" s="97"/>
      <c r="X112" s="97"/>
      <c r="Y112" s="97"/>
      <c r="Z112" s="97"/>
      <c r="AA112" s="97"/>
      <c r="AB112" s="97"/>
      <c r="AC112" s="97"/>
      <c r="AD112" s="97"/>
    </row>
    <row r="113" spans="2:30" ht="15.75" customHeight="1" x14ac:dyDescent="0.45">
      <c r="B113" s="287">
        <v>7030207190</v>
      </c>
      <c r="C113" s="220" t="s">
        <v>519</v>
      </c>
      <c r="D113" s="194" t="s">
        <v>511</v>
      </c>
      <c r="E113" s="219">
        <v>2</v>
      </c>
      <c r="F113" s="219">
        <v>140</v>
      </c>
      <c r="G113" s="219"/>
      <c r="H113" s="219"/>
      <c r="I113" s="219">
        <f t="shared" si="23"/>
        <v>0</v>
      </c>
      <c r="J113" s="219">
        <f>(30*BC!$B$47/F113)</f>
        <v>0</v>
      </c>
      <c r="K113" s="285">
        <f t="shared" si="12"/>
        <v>0</v>
      </c>
      <c r="L113" s="194">
        <f t="shared" si="13"/>
        <v>0</v>
      </c>
      <c r="M113" s="194">
        <f t="shared" si="14"/>
        <v>0</v>
      </c>
      <c r="N113" s="364">
        <v>184</v>
      </c>
      <c r="O113" s="365">
        <f t="shared" si="20"/>
        <v>0</v>
      </c>
      <c r="P113" s="57">
        <f t="shared" si="21"/>
        <v>0</v>
      </c>
      <c r="Q113" s="57">
        <f t="shared" si="22"/>
        <v>0</v>
      </c>
      <c r="R113" s="97"/>
      <c r="S113" s="97"/>
      <c r="T113" s="97"/>
      <c r="U113" s="97"/>
      <c r="V113" s="97"/>
      <c r="W113" s="97"/>
      <c r="X113" s="97"/>
      <c r="Y113" s="97"/>
      <c r="Z113" s="97"/>
      <c r="AA113" s="97"/>
      <c r="AB113" s="97"/>
      <c r="AC113" s="97"/>
      <c r="AD113" s="97"/>
    </row>
    <row r="114" spans="2:30" ht="15.75" customHeight="1" x14ac:dyDescent="0.45">
      <c r="B114" s="287">
        <v>3045846122</v>
      </c>
      <c r="C114" s="285" t="s">
        <v>520</v>
      </c>
      <c r="D114" s="194" t="s">
        <v>511</v>
      </c>
      <c r="E114" s="219">
        <v>2</v>
      </c>
      <c r="F114" s="219">
        <v>84</v>
      </c>
      <c r="G114" s="219"/>
      <c r="H114" s="219"/>
      <c r="I114" s="219">
        <f t="shared" si="23"/>
        <v>0</v>
      </c>
      <c r="J114" s="219">
        <f>(30*BC!$B$47/F114)</f>
        <v>0</v>
      </c>
      <c r="K114" s="285">
        <f t="shared" si="12"/>
        <v>0</v>
      </c>
      <c r="L114" s="194">
        <f t="shared" si="13"/>
        <v>0</v>
      </c>
      <c r="M114" s="194">
        <f t="shared" si="14"/>
        <v>0</v>
      </c>
      <c r="N114" s="364">
        <v>180</v>
      </c>
      <c r="O114" s="365">
        <f t="shared" si="20"/>
        <v>0</v>
      </c>
      <c r="P114" s="57">
        <f t="shared" si="21"/>
        <v>0</v>
      </c>
      <c r="Q114" s="57">
        <f t="shared" si="22"/>
        <v>0</v>
      </c>
      <c r="R114" s="97"/>
      <c r="S114" s="97"/>
      <c r="T114" s="97"/>
      <c r="U114" s="97"/>
      <c r="V114" s="97"/>
      <c r="W114" s="97"/>
      <c r="X114" s="97"/>
      <c r="Y114" s="97"/>
      <c r="Z114" s="97"/>
      <c r="AA114" s="97"/>
      <c r="AB114" s="97"/>
      <c r="AC114" s="97"/>
      <c r="AD114" s="97"/>
    </row>
    <row r="115" spans="2:30" ht="15.75" customHeight="1" x14ac:dyDescent="0.45">
      <c r="B115" s="287">
        <v>11776215122</v>
      </c>
      <c r="C115" s="285" t="s">
        <v>521</v>
      </c>
      <c r="D115" s="194" t="s">
        <v>511</v>
      </c>
      <c r="E115" s="219">
        <v>2</v>
      </c>
      <c r="F115" s="219">
        <v>56</v>
      </c>
      <c r="G115" s="219"/>
      <c r="H115" s="219"/>
      <c r="I115" s="219">
        <f t="shared" si="23"/>
        <v>0</v>
      </c>
      <c r="J115" s="219">
        <f>(30*BC!$B$47/F115)</f>
        <v>0</v>
      </c>
      <c r="K115" s="285">
        <f t="shared" si="12"/>
        <v>0</v>
      </c>
      <c r="L115" s="194">
        <f t="shared" si="13"/>
        <v>0</v>
      </c>
      <c r="M115" s="194">
        <f t="shared" si="14"/>
        <v>0</v>
      </c>
      <c r="N115" s="364">
        <v>182</v>
      </c>
      <c r="O115" s="365">
        <f t="shared" si="20"/>
        <v>0</v>
      </c>
      <c r="P115" s="57">
        <f t="shared" si="21"/>
        <v>0</v>
      </c>
      <c r="Q115" s="57">
        <f t="shared" si="22"/>
        <v>0</v>
      </c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</row>
    <row r="116" spans="2:30" ht="15.75" customHeight="1" x14ac:dyDescent="0.45">
      <c r="B116" s="287">
        <v>9175130190</v>
      </c>
      <c r="C116" s="285" t="s">
        <v>522</v>
      </c>
      <c r="D116" s="194" t="s">
        <v>511</v>
      </c>
      <c r="E116" s="219">
        <v>2</v>
      </c>
      <c r="F116" s="219">
        <v>42</v>
      </c>
      <c r="G116" s="219"/>
      <c r="H116" s="219"/>
      <c r="I116" s="219">
        <f t="shared" si="23"/>
        <v>0</v>
      </c>
      <c r="J116" s="219">
        <f>(30*BC!$B$47/F116)</f>
        <v>0</v>
      </c>
      <c r="K116" s="285">
        <f t="shared" si="12"/>
        <v>0</v>
      </c>
      <c r="L116" s="194">
        <f t="shared" si="13"/>
        <v>0</v>
      </c>
      <c r="M116" s="194">
        <f t="shared" si="14"/>
        <v>0</v>
      </c>
      <c r="N116" s="364">
        <v>148</v>
      </c>
      <c r="O116" s="365">
        <f t="shared" si="20"/>
        <v>0</v>
      </c>
      <c r="P116" s="57">
        <f t="shared" si="21"/>
        <v>0</v>
      </c>
      <c r="Q116" s="57">
        <f t="shared" si="22"/>
        <v>0</v>
      </c>
      <c r="R116" s="97"/>
      <c r="S116" s="97"/>
      <c r="T116" s="97"/>
      <c r="U116" s="97"/>
      <c r="V116" s="97"/>
      <c r="W116" s="97"/>
      <c r="X116" s="97"/>
      <c r="Y116" s="97"/>
      <c r="Z116" s="97"/>
      <c r="AA116" s="97"/>
      <c r="AB116" s="97"/>
      <c r="AC116" s="97"/>
      <c r="AD116" s="97"/>
    </row>
    <row r="117" spans="2:30" ht="15.75" customHeight="1" x14ac:dyDescent="0.45">
      <c r="B117" s="287">
        <v>11731645322</v>
      </c>
      <c r="C117" s="220" t="s">
        <v>523</v>
      </c>
      <c r="D117" s="194" t="s">
        <v>511</v>
      </c>
      <c r="E117" s="219">
        <v>2</v>
      </c>
      <c r="F117" s="219">
        <v>84</v>
      </c>
      <c r="G117" s="219"/>
      <c r="H117" s="219"/>
      <c r="I117" s="219">
        <f t="shared" si="23"/>
        <v>0</v>
      </c>
      <c r="J117" s="219">
        <f>(30*BC!$B$47/F117)</f>
        <v>0</v>
      </c>
      <c r="K117" s="285">
        <f t="shared" si="12"/>
        <v>0</v>
      </c>
      <c r="L117" s="194">
        <f t="shared" si="13"/>
        <v>0</v>
      </c>
      <c r="M117" s="194">
        <f t="shared" si="14"/>
        <v>0</v>
      </c>
      <c r="N117" s="364">
        <v>105</v>
      </c>
      <c r="O117" s="365">
        <f t="shared" si="20"/>
        <v>0</v>
      </c>
      <c r="P117" s="57">
        <f t="shared" si="21"/>
        <v>0</v>
      </c>
      <c r="Q117" s="57">
        <f t="shared" si="22"/>
        <v>0</v>
      </c>
      <c r="R117" s="97"/>
      <c r="S117" s="97"/>
      <c r="T117" s="97"/>
      <c r="U117" s="97"/>
      <c r="V117" s="97"/>
      <c r="W117" s="97"/>
      <c r="X117" s="97"/>
      <c r="Y117" s="97"/>
      <c r="Z117" s="97"/>
      <c r="AA117" s="97"/>
      <c r="AB117" s="97"/>
      <c r="AC117" s="97"/>
      <c r="AD117" s="97"/>
    </row>
    <row r="118" spans="2:30" ht="15.75" customHeight="1" x14ac:dyDescent="0.45">
      <c r="B118" s="287" t="s">
        <v>524</v>
      </c>
      <c r="C118" s="285" t="s">
        <v>525</v>
      </c>
      <c r="D118" s="194" t="s">
        <v>511</v>
      </c>
      <c r="E118" s="219">
        <v>2</v>
      </c>
      <c r="F118" s="219">
        <v>84</v>
      </c>
      <c r="G118" s="219"/>
      <c r="H118" s="219"/>
      <c r="I118" s="219">
        <f>(H32/(0.0005*100)/2000)</f>
        <v>0</v>
      </c>
      <c r="J118" s="219">
        <f>(30*BC!$B$47/F118)</f>
        <v>0</v>
      </c>
      <c r="K118" s="285">
        <f t="shared" si="12"/>
        <v>0</v>
      </c>
      <c r="L118" s="194">
        <f t="shared" si="13"/>
        <v>0</v>
      </c>
      <c r="M118" s="194">
        <f t="shared" si="14"/>
        <v>0</v>
      </c>
      <c r="N118" s="364">
        <v>186</v>
      </c>
      <c r="O118" s="365">
        <f t="shared" si="20"/>
        <v>0</v>
      </c>
      <c r="P118" s="57">
        <f t="shared" si="21"/>
        <v>0</v>
      </c>
      <c r="Q118" s="57">
        <f t="shared" si="22"/>
        <v>0</v>
      </c>
      <c r="R118" s="97"/>
      <c r="S118" s="97"/>
      <c r="T118" s="97"/>
      <c r="U118" s="97"/>
      <c r="V118" s="97"/>
      <c r="W118" s="97"/>
      <c r="X118" s="97"/>
      <c r="Y118" s="97"/>
      <c r="Z118" s="97"/>
      <c r="AA118" s="97"/>
      <c r="AB118" s="97"/>
      <c r="AC118" s="97"/>
      <c r="AD118" s="97"/>
    </row>
    <row r="119" spans="2:30" ht="15.75" customHeight="1" x14ac:dyDescent="0.45">
      <c r="B119" s="287">
        <v>6687750190</v>
      </c>
      <c r="C119" s="220" t="s">
        <v>526</v>
      </c>
      <c r="D119" s="194" t="s">
        <v>511</v>
      </c>
      <c r="E119" s="219">
        <v>2</v>
      </c>
      <c r="F119" s="219">
        <v>84</v>
      </c>
      <c r="G119" s="219"/>
      <c r="H119" s="219"/>
      <c r="I119" s="219">
        <f>(H36/(0.0005*100)/2000)</f>
        <v>0</v>
      </c>
      <c r="J119" s="219">
        <f>(30*BC!$B$47/F119)</f>
        <v>0</v>
      </c>
      <c r="K119" s="285">
        <f t="shared" si="12"/>
        <v>0</v>
      </c>
      <c r="L119" s="194">
        <f t="shared" si="13"/>
        <v>0</v>
      </c>
      <c r="M119" s="194">
        <f t="shared" si="14"/>
        <v>0</v>
      </c>
      <c r="N119" s="364">
        <v>222</v>
      </c>
      <c r="O119" s="365">
        <f t="shared" si="20"/>
        <v>0</v>
      </c>
      <c r="P119" s="57">
        <f t="shared" si="21"/>
        <v>0</v>
      </c>
      <c r="Q119" s="57">
        <f t="shared" si="22"/>
        <v>0</v>
      </c>
      <c r="R119" s="97"/>
      <c r="S119" s="97"/>
      <c r="T119" s="97"/>
      <c r="U119" s="97"/>
      <c r="V119" s="97"/>
      <c r="W119" s="97"/>
      <c r="X119" s="97"/>
      <c r="Y119" s="97"/>
      <c r="Z119" s="97"/>
      <c r="AA119" s="97"/>
      <c r="AB119" s="97"/>
      <c r="AC119" s="97"/>
      <c r="AD119" s="97"/>
    </row>
    <row r="120" spans="2:30" ht="15.75" customHeight="1" x14ac:dyDescent="0.45">
      <c r="B120" s="287">
        <v>3184919190</v>
      </c>
      <c r="C120" s="285" t="s">
        <v>527</v>
      </c>
      <c r="D120" s="194" t="s">
        <v>511</v>
      </c>
      <c r="E120" s="219">
        <v>2</v>
      </c>
      <c r="F120" s="219">
        <v>28</v>
      </c>
      <c r="G120" s="219"/>
      <c r="H120" s="219"/>
      <c r="I120" s="219">
        <f>(H37/(0.0005*100)/2000)</f>
        <v>0</v>
      </c>
      <c r="J120" s="219">
        <f>(30*BC!$B$47/F120)</f>
        <v>0</v>
      </c>
      <c r="K120" s="285">
        <f t="shared" si="12"/>
        <v>0</v>
      </c>
      <c r="L120" s="194">
        <f t="shared" si="13"/>
        <v>0</v>
      </c>
      <c r="M120" s="194">
        <f t="shared" si="14"/>
        <v>0</v>
      </c>
      <c r="N120" s="364">
        <v>192</v>
      </c>
      <c r="O120" s="365">
        <f t="shared" si="20"/>
        <v>0</v>
      </c>
      <c r="P120" s="57">
        <f t="shared" si="21"/>
        <v>0</v>
      </c>
      <c r="Q120" s="57">
        <f t="shared" si="22"/>
        <v>0</v>
      </c>
      <c r="R120" s="97"/>
      <c r="S120" s="97"/>
      <c r="T120" s="97"/>
      <c r="U120" s="97"/>
      <c r="V120" s="97"/>
      <c r="W120" s="97"/>
      <c r="X120" s="97"/>
      <c r="Y120" s="97"/>
      <c r="Z120" s="97"/>
      <c r="AA120" s="97"/>
      <c r="AB120" s="97"/>
      <c r="AC120" s="97"/>
      <c r="AD120" s="97"/>
    </row>
    <row r="121" spans="2:30" ht="15.75" customHeight="1" x14ac:dyDescent="0.45">
      <c r="B121" s="287">
        <v>11820974322</v>
      </c>
      <c r="C121" s="285" t="s">
        <v>528</v>
      </c>
      <c r="D121" s="194" t="s">
        <v>511</v>
      </c>
      <c r="E121" s="219">
        <v>2</v>
      </c>
      <c r="F121" s="219">
        <v>56</v>
      </c>
      <c r="G121" s="219"/>
      <c r="H121" s="219"/>
      <c r="I121" s="219">
        <f>(H38/(0.0005*100)/2000)</f>
        <v>0</v>
      </c>
      <c r="J121" s="219">
        <f>(30*BC!$B$47/F121)</f>
        <v>0</v>
      </c>
      <c r="K121" s="285">
        <f t="shared" si="12"/>
        <v>0</v>
      </c>
      <c r="L121" s="194">
        <f t="shared" si="13"/>
        <v>0</v>
      </c>
      <c r="M121" s="194">
        <f t="shared" si="14"/>
        <v>0</v>
      </c>
      <c r="N121" s="364">
        <v>251</v>
      </c>
      <c r="O121" s="365">
        <f t="shared" si="20"/>
        <v>0</v>
      </c>
      <c r="P121" s="57">
        <f t="shared" si="21"/>
        <v>0</v>
      </c>
      <c r="Q121" s="57">
        <f t="shared" si="22"/>
        <v>0</v>
      </c>
      <c r="R121" s="97"/>
      <c r="S121" s="97"/>
      <c r="T121" s="97"/>
      <c r="U121" s="97"/>
      <c r="V121" s="97"/>
      <c r="W121" s="97"/>
      <c r="X121" s="97"/>
      <c r="Y121" s="97"/>
      <c r="Z121" s="97"/>
      <c r="AA121" s="97"/>
      <c r="AB121" s="97"/>
      <c r="AC121" s="97"/>
      <c r="AD121" s="97"/>
    </row>
    <row r="122" spans="2:30" ht="15.75" customHeight="1" x14ac:dyDescent="0.45">
      <c r="B122" s="287">
        <v>3000095122</v>
      </c>
      <c r="C122" s="285" t="s">
        <v>529</v>
      </c>
      <c r="D122" s="194" t="s">
        <v>511</v>
      </c>
      <c r="E122" s="219">
        <v>2</v>
      </c>
      <c r="F122" s="219">
        <v>84</v>
      </c>
      <c r="G122" s="219"/>
      <c r="H122" s="219"/>
      <c r="I122" s="219">
        <f>(H39/(0.0005*100)/2000)</f>
        <v>0</v>
      </c>
      <c r="J122" s="219">
        <f>(30*BC!$B$47/F122)</f>
        <v>0</v>
      </c>
      <c r="K122" s="285">
        <f t="shared" si="12"/>
        <v>0</v>
      </c>
      <c r="L122" s="194">
        <f t="shared" si="13"/>
        <v>0</v>
      </c>
      <c r="M122" s="194">
        <f t="shared" si="14"/>
        <v>0</v>
      </c>
      <c r="N122" s="364">
        <v>205</v>
      </c>
      <c r="O122" s="365">
        <f t="shared" si="20"/>
        <v>0</v>
      </c>
      <c r="P122" s="57">
        <f t="shared" si="21"/>
        <v>0</v>
      </c>
      <c r="Q122" s="57">
        <f t="shared" si="22"/>
        <v>0</v>
      </c>
      <c r="R122" s="97"/>
      <c r="S122" s="97"/>
      <c r="T122" s="97"/>
      <c r="U122" s="97"/>
      <c r="V122" s="97"/>
      <c r="W122" s="97"/>
      <c r="X122" s="97"/>
      <c r="Y122" s="97"/>
      <c r="Z122" s="97"/>
      <c r="AA122" s="97"/>
      <c r="AB122" s="97"/>
      <c r="AC122" s="97"/>
      <c r="AD122" s="97"/>
    </row>
    <row r="123" spans="2:30" ht="15.75" customHeight="1" x14ac:dyDescent="0.45">
      <c r="B123" s="287">
        <v>11820907322</v>
      </c>
      <c r="C123" s="285" t="s">
        <v>530</v>
      </c>
      <c r="D123" s="194" t="s">
        <v>511</v>
      </c>
      <c r="E123" s="219">
        <v>2</v>
      </c>
      <c r="F123" s="219">
        <v>56</v>
      </c>
      <c r="G123" s="219"/>
      <c r="H123" s="219"/>
      <c r="I123" s="219">
        <f>(H40/(0.0005*100)/2000)</f>
        <v>0</v>
      </c>
      <c r="J123" s="219">
        <f>(30*BC!$B$47/F123)</f>
        <v>0</v>
      </c>
      <c r="K123" s="285">
        <f t="shared" si="12"/>
        <v>0</v>
      </c>
      <c r="L123" s="194">
        <f t="shared" si="13"/>
        <v>0</v>
      </c>
      <c r="M123" s="194">
        <f t="shared" si="14"/>
        <v>0</v>
      </c>
      <c r="N123" s="364">
        <v>189</v>
      </c>
      <c r="O123" s="365">
        <f t="shared" si="20"/>
        <v>0</v>
      </c>
      <c r="P123" s="57">
        <f t="shared" si="21"/>
        <v>0</v>
      </c>
      <c r="Q123" s="57">
        <f t="shared" si="22"/>
        <v>0</v>
      </c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</row>
    <row r="124" spans="2:30" ht="15.75" customHeight="1" x14ac:dyDescent="0.45">
      <c r="B124" s="287">
        <v>6656048190</v>
      </c>
      <c r="C124" s="197" t="s">
        <v>531</v>
      </c>
      <c r="D124" s="194" t="s">
        <v>511</v>
      </c>
      <c r="E124" s="219">
        <v>2</v>
      </c>
      <c r="F124" s="219">
        <v>31</v>
      </c>
      <c r="G124" s="219"/>
      <c r="H124" s="219"/>
      <c r="I124" s="219">
        <f>(H44/(0.0005*100)/2000)</f>
        <v>0</v>
      </c>
      <c r="J124" s="219">
        <f>(30*BC!$B$47/F124)</f>
        <v>0</v>
      </c>
      <c r="K124" s="285">
        <f t="shared" si="12"/>
        <v>0</v>
      </c>
      <c r="L124" s="194">
        <f t="shared" si="13"/>
        <v>0</v>
      </c>
      <c r="M124" s="194">
        <f t="shared" si="14"/>
        <v>0</v>
      </c>
      <c r="N124" s="364">
        <v>127</v>
      </c>
      <c r="O124" s="365">
        <f t="shared" si="20"/>
        <v>0</v>
      </c>
      <c r="P124" s="57">
        <f t="shared" si="21"/>
        <v>0</v>
      </c>
      <c r="Q124" s="57">
        <f t="shared" si="22"/>
        <v>0</v>
      </c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</row>
    <row r="125" spans="2:30" ht="15.75" customHeight="1" x14ac:dyDescent="0.45">
      <c r="B125" s="287">
        <v>3737586190</v>
      </c>
      <c r="C125" s="220" t="s">
        <v>532</v>
      </c>
      <c r="D125" s="194" t="s">
        <v>511</v>
      </c>
      <c r="E125" s="219">
        <v>2</v>
      </c>
      <c r="F125" s="219">
        <v>84</v>
      </c>
      <c r="G125" s="219"/>
      <c r="H125" s="219"/>
      <c r="I125" s="219">
        <f>(H45/(0.0005*100)/2000)</f>
        <v>0</v>
      </c>
      <c r="J125" s="219">
        <f>(30*BC!$B$47/F125)</f>
        <v>0</v>
      </c>
      <c r="K125" s="285">
        <f t="shared" si="12"/>
        <v>0</v>
      </c>
      <c r="L125" s="194">
        <f t="shared" si="13"/>
        <v>0</v>
      </c>
      <c r="M125" s="194">
        <f t="shared" si="14"/>
        <v>0</v>
      </c>
      <c r="N125" s="364">
        <v>189</v>
      </c>
      <c r="O125" s="365">
        <f t="shared" si="20"/>
        <v>0</v>
      </c>
      <c r="P125" s="57">
        <f t="shared" si="21"/>
        <v>0</v>
      </c>
      <c r="Q125" s="57">
        <f t="shared" si="22"/>
        <v>0</v>
      </c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</row>
    <row r="126" spans="2:30" ht="15.75" customHeight="1" x14ac:dyDescent="0.45">
      <c r="B126" s="287">
        <v>7560001190</v>
      </c>
      <c r="C126" s="285" t="s">
        <v>533</v>
      </c>
      <c r="D126" s="194" t="s">
        <v>511</v>
      </c>
      <c r="E126" s="219">
        <v>2</v>
      </c>
      <c r="F126" s="219">
        <v>84</v>
      </c>
      <c r="G126" s="219"/>
      <c r="H126" s="219"/>
      <c r="I126" s="219">
        <f>(H46/(0.0005*100)/2000)</f>
        <v>0</v>
      </c>
      <c r="J126" s="219">
        <f>(30*BC!$B$47/F126)</f>
        <v>0</v>
      </c>
      <c r="K126" s="285">
        <f t="shared" si="12"/>
        <v>0</v>
      </c>
      <c r="L126" s="194">
        <f t="shared" si="13"/>
        <v>0</v>
      </c>
      <c r="M126" s="194">
        <f t="shared" si="14"/>
        <v>0</v>
      </c>
      <c r="N126" s="364">
        <v>154</v>
      </c>
      <c r="O126" s="365">
        <f t="shared" si="20"/>
        <v>0</v>
      </c>
      <c r="P126" s="57">
        <f t="shared" si="21"/>
        <v>0</v>
      </c>
      <c r="Q126" s="57">
        <f t="shared" si="22"/>
        <v>0</v>
      </c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7"/>
    </row>
    <row r="127" spans="2:30" ht="15.75" customHeight="1" x14ac:dyDescent="0.45">
      <c r="B127" s="287">
        <v>4854080200</v>
      </c>
      <c r="C127" s="285" t="s">
        <v>534</v>
      </c>
      <c r="D127" s="194" t="s">
        <v>511</v>
      </c>
      <c r="E127" s="219">
        <v>2</v>
      </c>
      <c r="F127" s="219">
        <v>84</v>
      </c>
      <c r="G127" s="219"/>
      <c r="H127" s="219"/>
      <c r="I127" s="219">
        <f>(H47/(0.0005*150)/2000)</f>
        <v>0</v>
      </c>
      <c r="J127" s="219">
        <f>(30*BC!$B$47/F127)</f>
        <v>0</v>
      </c>
      <c r="K127" s="285">
        <f t="shared" ref="K127:K185" si="24">IF(J127&gt;I127,J127,I127)</f>
        <v>0</v>
      </c>
      <c r="L127" s="194">
        <f t="shared" ref="L127:L185" si="25">IF(I127=0,0,K127)</f>
        <v>0</v>
      </c>
      <c r="M127" s="194">
        <f t="shared" ref="M127:M185" si="26">ROUNDUP(L127,0)</f>
        <v>0</v>
      </c>
      <c r="N127" s="364">
        <v>675</v>
      </c>
      <c r="O127" s="365">
        <f t="shared" si="20"/>
        <v>0</v>
      </c>
      <c r="P127" s="57">
        <f t="shared" si="21"/>
        <v>0</v>
      </c>
      <c r="Q127" s="57">
        <f t="shared" si="22"/>
        <v>0</v>
      </c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</row>
    <row r="128" spans="2:30" ht="15.75" customHeight="1" x14ac:dyDescent="0.45">
      <c r="B128" s="287">
        <v>8851964190</v>
      </c>
      <c r="C128" s="220" t="s">
        <v>535</v>
      </c>
      <c r="D128" s="194" t="s">
        <v>511</v>
      </c>
      <c r="E128" s="219">
        <v>2</v>
      </c>
      <c r="F128" s="219">
        <v>84</v>
      </c>
      <c r="G128" s="219"/>
      <c r="H128" s="219"/>
      <c r="I128" s="219">
        <f>(H48/(0.0009*100)/2000)</f>
        <v>0</v>
      </c>
      <c r="J128" s="219">
        <f>(30*BC!$B$47/F128)</f>
        <v>0</v>
      </c>
      <c r="K128" s="285">
        <f t="shared" si="24"/>
        <v>0</v>
      </c>
      <c r="L128" s="194">
        <f t="shared" si="25"/>
        <v>0</v>
      </c>
      <c r="M128" s="194">
        <f t="shared" si="26"/>
        <v>0</v>
      </c>
      <c r="N128" s="364">
        <v>183</v>
      </c>
      <c r="O128" s="365">
        <f t="shared" si="20"/>
        <v>0</v>
      </c>
      <c r="P128" s="57">
        <f t="shared" si="21"/>
        <v>0</v>
      </c>
      <c r="Q128" s="57">
        <f t="shared" si="22"/>
        <v>0</v>
      </c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7"/>
    </row>
    <row r="129" spans="2:30" ht="15.75" customHeight="1" x14ac:dyDescent="0.45">
      <c r="B129" s="287">
        <v>9557440190</v>
      </c>
      <c r="C129" s="220" t="s">
        <v>647</v>
      </c>
      <c r="D129" s="194" t="s">
        <v>511</v>
      </c>
      <c r="E129" s="219">
        <v>2</v>
      </c>
      <c r="F129" s="219">
        <v>84</v>
      </c>
      <c r="G129" s="219"/>
      <c r="H129" s="219"/>
      <c r="I129" s="219">
        <f>(H49/(0.0009*100)/2000)</f>
        <v>0</v>
      </c>
      <c r="J129" s="219">
        <f>(30*BC!$B$47/F129)</f>
        <v>0</v>
      </c>
      <c r="K129" s="285">
        <f t="shared" si="24"/>
        <v>0</v>
      </c>
      <c r="L129" s="194">
        <f t="shared" si="25"/>
        <v>0</v>
      </c>
      <c r="M129" s="194">
        <f t="shared" si="26"/>
        <v>0</v>
      </c>
      <c r="N129" s="366">
        <v>264</v>
      </c>
      <c r="O129" s="365">
        <f t="shared" si="20"/>
        <v>0</v>
      </c>
      <c r="P129" s="57">
        <f t="shared" si="21"/>
        <v>0</v>
      </c>
      <c r="Q129" s="57">
        <f t="shared" si="22"/>
        <v>0</v>
      </c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</row>
    <row r="130" spans="2:30" ht="15.75" customHeight="1" x14ac:dyDescent="0.45">
      <c r="B130" s="347">
        <v>9077871190</v>
      </c>
      <c r="C130" s="220" t="s">
        <v>536</v>
      </c>
      <c r="D130" s="194" t="s">
        <v>511</v>
      </c>
      <c r="E130" s="219">
        <v>2</v>
      </c>
      <c r="F130" s="219">
        <v>56</v>
      </c>
      <c r="G130" s="219"/>
      <c r="H130" s="219"/>
      <c r="I130" s="219">
        <f>(H50/(0.002*100)/2000)</f>
        <v>0</v>
      </c>
      <c r="J130" s="219">
        <f>(30*BC!$B$47/F130)</f>
        <v>0</v>
      </c>
      <c r="K130" s="285">
        <f t="shared" si="24"/>
        <v>0</v>
      </c>
      <c r="L130" s="194">
        <f t="shared" si="25"/>
        <v>0</v>
      </c>
      <c r="M130" s="194">
        <f t="shared" si="26"/>
        <v>0</v>
      </c>
      <c r="N130" s="364">
        <v>93</v>
      </c>
      <c r="O130" s="365">
        <f t="shared" si="20"/>
        <v>0</v>
      </c>
      <c r="P130" s="57">
        <f t="shared" si="21"/>
        <v>0</v>
      </c>
      <c r="Q130" s="57">
        <f t="shared" si="22"/>
        <v>0</v>
      </c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</row>
    <row r="131" spans="2:30" ht="15.75" customHeight="1" x14ac:dyDescent="0.45">
      <c r="B131" s="287">
        <v>9043292190</v>
      </c>
      <c r="C131" s="220" t="s">
        <v>537</v>
      </c>
      <c r="D131" s="194" t="s">
        <v>511</v>
      </c>
      <c r="E131" s="219">
        <v>2</v>
      </c>
      <c r="F131" s="219">
        <v>84</v>
      </c>
      <c r="G131" s="219"/>
      <c r="H131" s="219"/>
      <c r="I131" s="219">
        <f>(H51/(0.004*100)/2000)</f>
        <v>0</v>
      </c>
      <c r="J131" s="219">
        <f>(30*BC!$B$47/F131)</f>
        <v>0</v>
      </c>
      <c r="K131" s="285">
        <f t="shared" si="24"/>
        <v>0</v>
      </c>
      <c r="L131" s="194">
        <f t="shared" si="25"/>
        <v>0</v>
      </c>
      <c r="M131" s="194">
        <f t="shared" si="26"/>
        <v>0</v>
      </c>
      <c r="N131" s="364">
        <v>192</v>
      </c>
      <c r="O131" s="365">
        <f t="shared" si="20"/>
        <v>0</v>
      </c>
      <c r="P131" s="57">
        <f t="shared" si="21"/>
        <v>0</v>
      </c>
      <c r="Q131" s="57">
        <f t="shared" si="22"/>
        <v>0</v>
      </c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</row>
    <row r="132" spans="2:30" ht="15.75" customHeight="1" x14ac:dyDescent="0.45">
      <c r="B132" s="287" t="s">
        <v>538</v>
      </c>
      <c r="C132" s="285" t="s">
        <v>539</v>
      </c>
      <c r="D132" s="194" t="s">
        <v>511</v>
      </c>
      <c r="E132" s="219">
        <v>2</v>
      </c>
      <c r="F132" s="219">
        <v>56</v>
      </c>
      <c r="G132" s="219"/>
      <c r="H132" s="219"/>
      <c r="I132" s="219">
        <f>(H52/(0.0005*100)/2000)</f>
        <v>0</v>
      </c>
      <c r="J132" s="219">
        <f>(30*BC!$B$47/F132)</f>
        <v>0</v>
      </c>
      <c r="K132" s="285">
        <f t="shared" si="24"/>
        <v>0</v>
      </c>
      <c r="L132" s="194">
        <f t="shared" si="25"/>
        <v>0</v>
      </c>
      <c r="M132" s="194">
        <f t="shared" si="26"/>
        <v>0</v>
      </c>
      <c r="N132" s="366"/>
      <c r="O132" s="365">
        <f t="shared" si="20"/>
        <v>0</v>
      </c>
      <c r="P132" s="57">
        <f t="shared" si="21"/>
        <v>0</v>
      </c>
      <c r="Q132" s="57">
        <f t="shared" si="22"/>
        <v>0</v>
      </c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</row>
    <row r="133" spans="2:30" ht="15.75" customHeight="1" x14ac:dyDescent="0.45">
      <c r="B133" s="287">
        <v>9013296190</v>
      </c>
      <c r="C133" s="285" t="s">
        <v>540</v>
      </c>
      <c r="D133" s="194" t="s">
        <v>511</v>
      </c>
      <c r="E133" s="219">
        <v>2</v>
      </c>
      <c r="F133" s="219">
        <v>84</v>
      </c>
      <c r="G133" s="219"/>
      <c r="H133" s="219"/>
      <c r="I133" s="219">
        <f>(H55/(0.0005*100)/2000)</f>
        <v>0</v>
      </c>
      <c r="J133" s="219">
        <f>(30*BC!$B$47/F133)</f>
        <v>0</v>
      </c>
      <c r="K133" s="285">
        <f t="shared" si="24"/>
        <v>0</v>
      </c>
      <c r="L133" s="194">
        <f t="shared" si="25"/>
        <v>0</v>
      </c>
      <c r="M133" s="194">
        <f t="shared" si="26"/>
        <v>0</v>
      </c>
      <c r="N133" s="364">
        <v>85</v>
      </c>
      <c r="O133" s="365">
        <f t="shared" si="20"/>
        <v>0</v>
      </c>
      <c r="P133" s="57">
        <f t="shared" si="21"/>
        <v>0</v>
      </c>
      <c r="Q133" s="57">
        <f t="shared" si="22"/>
        <v>0</v>
      </c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</row>
    <row r="134" spans="2:30" ht="15.75" customHeight="1" x14ac:dyDescent="0.45">
      <c r="B134" s="287">
        <v>3302652190</v>
      </c>
      <c r="C134" s="220" t="s">
        <v>541</v>
      </c>
      <c r="D134" s="194" t="s">
        <v>511</v>
      </c>
      <c r="E134" s="219">
        <v>2</v>
      </c>
      <c r="F134" s="219">
        <v>84</v>
      </c>
      <c r="G134" s="219"/>
      <c r="H134" s="219"/>
      <c r="I134" s="219">
        <f>(H56/(0.0005*100)/2000)</f>
        <v>0</v>
      </c>
      <c r="J134" s="219">
        <f>(30*BC!$B$47/F134)</f>
        <v>0</v>
      </c>
      <c r="K134" s="285">
        <f t="shared" si="24"/>
        <v>0</v>
      </c>
      <c r="L134" s="194">
        <f t="shared" si="25"/>
        <v>0</v>
      </c>
      <c r="M134" s="194">
        <f t="shared" si="26"/>
        <v>0</v>
      </c>
      <c r="N134" s="364">
        <v>66</v>
      </c>
      <c r="O134" s="365">
        <f t="shared" si="20"/>
        <v>0</v>
      </c>
      <c r="P134" s="57">
        <f t="shared" si="21"/>
        <v>0</v>
      </c>
      <c r="Q134" s="57">
        <f t="shared" si="22"/>
        <v>0</v>
      </c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</row>
    <row r="135" spans="2:30" ht="15.75" customHeight="1" x14ac:dyDescent="0.45">
      <c r="B135" s="287" t="s">
        <v>542</v>
      </c>
      <c r="C135" s="285" t="s">
        <v>543</v>
      </c>
      <c r="D135" s="194" t="s">
        <v>511</v>
      </c>
      <c r="E135" s="219">
        <v>2</v>
      </c>
      <c r="F135" s="219">
        <v>56</v>
      </c>
      <c r="G135" s="219"/>
      <c r="H135" s="219"/>
      <c r="I135" s="219">
        <f>(H57/(0.0005*100)/2000)</f>
        <v>0</v>
      </c>
      <c r="J135" s="219">
        <f>(30*BC!$B$47/F135)</f>
        <v>0</v>
      </c>
      <c r="K135" s="285">
        <f t="shared" si="24"/>
        <v>0</v>
      </c>
      <c r="L135" s="194">
        <f t="shared" si="25"/>
        <v>0</v>
      </c>
      <c r="M135" s="194">
        <f t="shared" si="26"/>
        <v>0</v>
      </c>
      <c r="N135" s="366"/>
      <c r="O135" s="365">
        <f t="shared" si="20"/>
        <v>0</v>
      </c>
      <c r="P135" s="57">
        <f t="shared" si="21"/>
        <v>0</v>
      </c>
      <c r="Q135" s="57">
        <f t="shared" si="22"/>
        <v>0</v>
      </c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</row>
    <row r="136" spans="2:30" ht="15.75" customHeight="1" x14ac:dyDescent="0.45">
      <c r="B136" s="287" t="s">
        <v>544</v>
      </c>
      <c r="C136" s="285" t="s">
        <v>545</v>
      </c>
      <c r="D136" s="194" t="s">
        <v>511</v>
      </c>
      <c r="E136" s="219">
        <v>2</v>
      </c>
      <c r="F136" s="219">
        <v>28</v>
      </c>
      <c r="G136" s="219"/>
      <c r="H136" s="219"/>
      <c r="I136" s="219">
        <f>(H58/(0.0005*100)/2000)</f>
        <v>0</v>
      </c>
      <c r="J136" s="219">
        <f>(30*BC!$B$47/F136)</f>
        <v>0</v>
      </c>
      <c r="K136" s="285">
        <f t="shared" si="24"/>
        <v>0</v>
      </c>
      <c r="L136" s="194">
        <f t="shared" si="25"/>
        <v>0</v>
      </c>
      <c r="M136" s="194">
        <f t="shared" si="26"/>
        <v>0</v>
      </c>
      <c r="N136" s="366"/>
      <c r="O136" s="365">
        <f t="shared" si="20"/>
        <v>0</v>
      </c>
      <c r="P136" s="57">
        <f t="shared" si="21"/>
        <v>0</v>
      </c>
      <c r="Q136" s="57">
        <f t="shared" si="22"/>
        <v>0</v>
      </c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</row>
    <row r="137" spans="2:30" ht="15.75" customHeight="1" x14ac:dyDescent="0.45">
      <c r="B137" s="287">
        <v>11930427122</v>
      </c>
      <c r="C137" s="220" t="s">
        <v>546</v>
      </c>
      <c r="D137" s="194" t="s">
        <v>511</v>
      </c>
      <c r="E137" s="219">
        <v>2</v>
      </c>
      <c r="F137" s="219">
        <v>84</v>
      </c>
      <c r="G137" s="219"/>
      <c r="H137" s="219"/>
      <c r="I137" s="219">
        <f>(H63/(0.0005*100)/2000)</f>
        <v>0</v>
      </c>
      <c r="J137" s="219">
        <f>(30*BC!$B$47/F137)</f>
        <v>0</v>
      </c>
      <c r="K137" s="285">
        <f t="shared" si="24"/>
        <v>0</v>
      </c>
      <c r="L137" s="194">
        <f t="shared" si="25"/>
        <v>0</v>
      </c>
      <c r="M137" s="194">
        <f t="shared" si="26"/>
        <v>0</v>
      </c>
      <c r="N137" s="364">
        <v>229</v>
      </c>
      <c r="O137" s="365">
        <f t="shared" si="20"/>
        <v>0</v>
      </c>
      <c r="P137" s="57">
        <f t="shared" si="21"/>
        <v>0</v>
      </c>
      <c r="Q137" s="57">
        <f t="shared" si="22"/>
        <v>0</v>
      </c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</row>
    <row r="138" spans="2:30" ht="15.75" customHeight="1" x14ac:dyDescent="0.45">
      <c r="B138" s="287">
        <v>7475969190</v>
      </c>
      <c r="C138" s="285" t="s">
        <v>547</v>
      </c>
      <c r="D138" s="194" t="s">
        <v>511</v>
      </c>
      <c r="E138" s="219">
        <v>2</v>
      </c>
      <c r="F138" s="219">
        <v>31</v>
      </c>
      <c r="G138" s="219"/>
      <c r="H138" s="219"/>
      <c r="I138" s="219">
        <f>(H64/(0.0005*100)/2000)</f>
        <v>0</v>
      </c>
      <c r="J138" s="219">
        <f>(30*BC!$B$47/F138)</f>
        <v>0</v>
      </c>
      <c r="K138" s="285">
        <f t="shared" si="24"/>
        <v>0</v>
      </c>
      <c r="L138" s="194">
        <f t="shared" si="25"/>
        <v>0</v>
      </c>
      <c r="M138" s="194">
        <f t="shared" si="26"/>
        <v>0</v>
      </c>
      <c r="N138" s="364">
        <v>370</v>
      </c>
      <c r="O138" s="365">
        <f t="shared" si="20"/>
        <v>0</v>
      </c>
      <c r="P138" s="57">
        <f t="shared" si="21"/>
        <v>0</v>
      </c>
      <c r="Q138" s="57">
        <f t="shared" si="22"/>
        <v>0</v>
      </c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</row>
    <row r="139" spans="2:30" ht="15.75" customHeight="1" x14ac:dyDescent="0.45">
      <c r="B139" s="287">
        <v>7574762190</v>
      </c>
      <c r="C139" s="285" t="s">
        <v>548</v>
      </c>
      <c r="D139" s="194" t="s">
        <v>511</v>
      </c>
      <c r="E139" s="219">
        <v>2</v>
      </c>
      <c r="F139" s="219">
        <v>84</v>
      </c>
      <c r="G139" s="219"/>
      <c r="H139" s="219"/>
      <c r="I139" s="219">
        <f>(H65/(0.0005*100)/2000)</f>
        <v>0</v>
      </c>
      <c r="J139" s="219">
        <f>(30*BC!$B$47/F139)</f>
        <v>0</v>
      </c>
      <c r="K139" s="285">
        <f t="shared" si="24"/>
        <v>0</v>
      </c>
      <c r="L139" s="194">
        <f t="shared" si="25"/>
        <v>0</v>
      </c>
      <c r="M139" s="194">
        <f t="shared" si="26"/>
        <v>0</v>
      </c>
      <c r="N139" s="364">
        <v>586</v>
      </c>
      <c r="O139" s="365">
        <f t="shared" si="20"/>
        <v>0</v>
      </c>
      <c r="P139" s="57">
        <f t="shared" si="21"/>
        <v>0</v>
      </c>
      <c r="Q139" s="57">
        <f t="shared" si="22"/>
        <v>0</v>
      </c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</row>
    <row r="140" spans="2:30" ht="15.75" customHeight="1" x14ac:dyDescent="0.45">
      <c r="B140" s="287">
        <v>5109469190</v>
      </c>
      <c r="C140" s="220" t="s">
        <v>549</v>
      </c>
      <c r="D140" s="194" t="s">
        <v>511</v>
      </c>
      <c r="E140" s="219">
        <v>2</v>
      </c>
      <c r="F140" s="219">
        <v>84</v>
      </c>
      <c r="G140" s="219"/>
      <c r="H140" s="219"/>
      <c r="I140" s="219">
        <f>(H66/(0.0005*100)/2000)</f>
        <v>0</v>
      </c>
      <c r="J140" s="219">
        <f>(30*BC!$B$47/F140)</f>
        <v>0</v>
      </c>
      <c r="K140" s="285">
        <f t="shared" si="24"/>
        <v>0</v>
      </c>
      <c r="L140" s="194">
        <f t="shared" si="25"/>
        <v>0</v>
      </c>
      <c r="M140" s="194">
        <f t="shared" si="26"/>
        <v>0</v>
      </c>
      <c r="N140" s="364">
        <v>264</v>
      </c>
      <c r="O140" s="365">
        <f t="shared" si="20"/>
        <v>0</v>
      </c>
      <c r="P140" s="57">
        <f t="shared" si="21"/>
        <v>0</v>
      </c>
      <c r="Q140" s="57">
        <f t="shared" si="22"/>
        <v>0</v>
      </c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</row>
    <row r="141" spans="2:30" ht="15.75" customHeight="1" x14ac:dyDescent="0.45">
      <c r="B141" s="287">
        <v>12017504122</v>
      </c>
      <c r="C141" s="220" t="s">
        <v>550</v>
      </c>
      <c r="D141" s="194" t="s">
        <v>511</v>
      </c>
      <c r="E141" s="219">
        <v>2</v>
      </c>
      <c r="F141" s="219">
        <v>84</v>
      </c>
      <c r="G141" s="219"/>
      <c r="H141" s="219"/>
      <c r="I141" s="219">
        <f>(H67/(0.0009*100)/2000)</f>
        <v>0</v>
      </c>
      <c r="J141" s="219">
        <f>(30*BC!$B$47/F141)</f>
        <v>0</v>
      </c>
      <c r="K141" s="285">
        <f t="shared" si="24"/>
        <v>0</v>
      </c>
      <c r="L141" s="194">
        <f t="shared" si="25"/>
        <v>0</v>
      </c>
      <c r="M141" s="194">
        <f t="shared" si="26"/>
        <v>0</v>
      </c>
      <c r="N141" s="364">
        <v>177</v>
      </c>
      <c r="O141" s="365">
        <f t="shared" si="20"/>
        <v>0</v>
      </c>
      <c r="P141" s="57">
        <f t="shared" si="21"/>
        <v>0</v>
      </c>
      <c r="Q141" s="57">
        <f t="shared" si="22"/>
        <v>0</v>
      </c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</row>
    <row r="142" spans="2:30" ht="15.75" customHeight="1" x14ac:dyDescent="0.45">
      <c r="B142" s="287">
        <v>9557423190</v>
      </c>
      <c r="C142" s="197" t="s">
        <v>551</v>
      </c>
      <c r="D142" s="194" t="s">
        <v>511</v>
      </c>
      <c r="E142" s="219">
        <v>2</v>
      </c>
      <c r="F142" s="219">
        <v>84</v>
      </c>
      <c r="G142" s="219"/>
      <c r="H142" s="219"/>
      <c r="I142" s="219">
        <f>(H68/(0.0009*100)/2000)</f>
        <v>0</v>
      </c>
      <c r="J142" s="219">
        <f>(30*BC!$B$47/F142)</f>
        <v>0</v>
      </c>
      <c r="K142" s="285">
        <f t="shared" si="24"/>
        <v>0</v>
      </c>
      <c r="L142" s="194">
        <f t="shared" si="25"/>
        <v>0</v>
      </c>
      <c r="M142" s="194">
        <f t="shared" si="26"/>
        <v>0</v>
      </c>
      <c r="N142" s="366">
        <v>77</v>
      </c>
      <c r="O142" s="365">
        <f t="shared" si="20"/>
        <v>0</v>
      </c>
      <c r="P142" s="57">
        <f t="shared" si="21"/>
        <v>0</v>
      </c>
      <c r="Q142" s="57">
        <f t="shared" si="22"/>
        <v>0</v>
      </c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</row>
    <row r="143" spans="2:30" ht="15.75" customHeight="1" x14ac:dyDescent="0.45">
      <c r="B143" s="287">
        <v>11820893122</v>
      </c>
      <c r="C143" s="285" t="s">
        <v>552</v>
      </c>
      <c r="D143" s="194" t="s">
        <v>511</v>
      </c>
      <c r="E143" s="219">
        <v>2</v>
      </c>
      <c r="F143" s="219">
        <v>84</v>
      </c>
      <c r="G143" s="219"/>
      <c r="H143" s="219"/>
      <c r="I143" s="219">
        <f>(H69/(0.0005*100)/2000)</f>
        <v>0</v>
      </c>
      <c r="J143" s="219">
        <f>(30*BC!$B$47/F143)</f>
        <v>0</v>
      </c>
      <c r="K143" s="285">
        <f t="shared" si="24"/>
        <v>0</v>
      </c>
      <c r="L143" s="194">
        <f t="shared" si="25"/>
        <v>0</v>
      </c>
      <c r="M143" s="194">
        <f t="shared" si="26"/>
        <v>0</v>
      </c>
      <c r="N143" s="364">
        <v>275</v>
      </c>
      <c r="O143" s="365">
        <f t="shared" si="20"/>
        <v>0</v>
      </c>
      <c r="P143" s="57">
        <f t="shared" si="21"/>
        <v>0</v>
      </c>
      <c r="Q143" s="57">
        <f t="shared" si="22"/>
        <v>0</v>
      </c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</row>
    <row r="144" spans="2:30" ht="15.75" customHeight="1" x14ac:dyDescent="0.45">
      <c r="B144" s="287">
        <v>11972111122</v>
      </c>
      <c r="C144" s="285" t="s">
        <v>553</v>
      </c>
      <c r="D144" s="194" t="s">
        <v>511</v>
      </c>
      <c r="E144" s="219">
        <v>2</v>
      </c>
      <c r="F144" s="219">
        <v>84</v>
      </c>
      <c r="G144" s="219"/>
      <c r="H144" s="219"/>
      <c r="I144" s="219">
        <f>(H70/(0.0005*100)/2000)</f>
        <v>0</v>
      </c>
      <c r="J144" s="219">
        <f>(30*BC!$B$47/F144)</f>
        <v>0</v>
      </c>
      <c r="K144" s="285">
        <f t="shared" si="24"/>
        <v>0</v>
      </c>
      <c r="L144" s="194">
        <f t="shared" si="25"/>
        <v>0</v>
      </c>
      <c r="M144" s="194">
        <f t="shared" si="26"/>
        <v>0</v>
      </c>
      <c r="N144" s="364">
        <v>335</v>
      </c>
      <c r="O144" s="365">
        <f t="shared" si="20"/>
        <v>0</v>
      </c>
      <c r="P144" s="57">
        <f t="shared" si="21"/>
        <v>0</v>
      </c>
      <c r="Q144" s="57">
        <f t="shared" si="22"/>
        <v>0</v>
      </c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7"/>
    </row>
    <row r="145" spans="2:30" ht="15.75" customHeight="1" x14ac:dyDescent="0.45">
      <c r="B145" s="287">
        <v>12133121122</v>
      </c>
      <c r="C145" s="285" t="s">
        <v>554</v>
      </c>
      <c r="D145" s="194" t="s">
        <v>511</v>
      </c>
      <c r="E145" s="219">
        <v>2</v>
      </c>
      <c r="F145" s="219">
        <v>42</v>
      </c>
      <c r="G145" s="219"/>
      <c r="H145" s="219"/>
      <c r="I145" s="219">
        <f>(H71/(0.0005*100)/2000)</f>
        <v>0</v>
      </c>
      <c r="J145" s="219">
        <f>(30*BC!$B$47/F145)</f>
        <v>0</v>
      </c>
      <c r="K145" s="285">
        <f t="shared" si="24"/>
        <v>0</v>
      </c>
      <c r="L145" s="194">
        <f t="shared" si="25"/>
        <v>0</v>
      </c>
      <c r="M145" s="194">
        <f t="shared" si="26"/>
        <v>0</v>
      </c>
      <c r="N145" s="364">
        <v>233</v>
      </c>
      <c r="O145" s="365">
        <f t="shared" si="20"/>
        <v>0</v>
      </c>
      <c r="P145" s="57">
        <f t="shared" si="21"/>
        <v>0</v>
      </c>
      <c r="Q145" s="57">
        <f t="shared" si="22"/>
        <v>0</v>
      </c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</row>
    <row r="146" spans="2:30" ht="15.75" customHeight="1" x14ac:dyDescent="0.45">
      <c r="B146" s="287">
        <v>4854101200</v>
      </c>
      <c r="C146" s="285" t="s">
        <v>555</v>
      </c>
      <c r="D146" s="194" t="s">
        <v>511</v>
      </c>
      <c r="E146" s="219">
        <v>2</v>
      </c>
      <c r="F146" s="219">
        <v>84</v>
      </c>
      <c r="G146" s="219"/>
      <c r="H146" s="219"/>
      <c r="I146" s="219">
        <f>(H72/(0.0005*100)/2000)</f>
        <v>0</v>
      </c>
      <c r="J146" s="219">
        <f>(30*BC!$B$47/F146)</f>
        <v>0</v>
      </c>
      <c r="K146" s="285">
        <f t="shared" si="24"/>
        <v>0</v>
      </c>
      <c r="L146" s="194">
        <f t="shared" si="25"/>
        <v>0</v>
      </c>
      <c r="M146" s="194">
        <f t="shared" si="26"/>
        <v>0</v>
      </c>
      <c r="N146" s="364">
        <v>483</v>
      </c>
      <c r="O146" s="365">
        <f t="shared" si="20"/>
        <v>0</v>
      </c>
      <c r="P146" s="57">
        <f t="shared" si="21"/>
        <v>0</v>
      </c>
      <c r="Q146" s="57">
        <f t="shared" si="22"/>
        <v>0</v>
      </c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</row>
    <row r="147" spans="2:30" ht="15.75" customHeight="1" x14ac:dyDescent="0.45">
      <c r="B147" s="287">
        <v>5144701190</v>
      </c>
      <c r="C147" s="285" t="s">
        <v>556</v>
      </c>
      <c r="D147" s="194" t="s">
        <v>511</v>
      </c>
      <c r="E147" s="219">
        <v>2</v>
      </c>
      <c r="F147" s="219">
        <v>28</v>
      </c>
      <c r="G147" s="219"/>
      <c r="H147" s="219"/>
      <c r="I147" s="219">
        <f>(H74/(0.0005*100)/2000)</f>
        <v>0</v>
      </c>
      <c r="J147" s="219">
        <f>(30*BC!$B$47/F147)</f>
        <v>0</v>
      </c>
      <c r="K147" s="285">
        <f t="shared" si="24"/>
        <v>0</v>
      </c>
      <c r="L147" s="194">
        <f t="shared" si="25"/>
        <v>0</v>
      </c>
      <c r="M147" s="194">
        <f t="shared" si="26"/>
        <v>0</v>
      </c>
      <c r="N147" s="364">
        <v>433</v>
      </c>
      <c r="O147" s="365">
        <f t="shared" si="20"/>
        <v>0</v>
      </c>
      <c r="P147" s="57">
        <f t="shared" si="21"/>
        <v>0</v>
      </c>
      <c r="Q147" s="57">
        <f t="shared" si="22"/>
        <v>0</v>
      </c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</row>
    <row r="148" spans="2:30" ht="15.75" customHeight="1" x14ac:dyDescent="0.45">
      <c r="B148" s="287">
        <v>9315292190</v>
      </c>
      <c r="C148" s="285" t="s">
        <v>557</v>
      </c>
      <c r="D148" s="194" t="s">
        <v>511</v>
      </c>
      <c r="E148" s="219">
        <v>2</v>
      </c>
      <c r="F148" s="219">
        <v>84</v>
      </c>
      <c r="G148" s="219"/>
      <c r="H148" s="219"/>
      <c r="I148" s="219">
        <f>(H75/(0.0005*100)/2000)</f>
        <v>0</v>
      </c>
      <c r="J148" s="219">
        <f>(30*BC!$B$47/F148)</f>
        <v>0</v>
      </c>
      <c r="K148" s="285">
        <f t="shared" si="24"/>
        <v>0</v>
      </c>
      <c r="L148" s="194">
        <f t="shared" si="25"/>
        <v>0</v>
      </c>
      <c r="M148" s="194">
        <f t="shared" si="26"/>
        <v>0</v>
      </c>
      <c r="N148" s="364">
        <v>138</v>
      </c>
      <c r="O148" s="365">
        <f t="shared" si="20"/>
        <v>0</v>
      </c>
      <c r="P148" s="57">
        <f t="shared" si="21"/>
        <v>0</v>
      </c>
      <c r="Q148" s="57">
        <f t="shared" si="22"/>
        <v>0</v>
      </c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7"/>
    </row>
    <row r="149" spans="2:30" ht="15.75" customHeight="1" x14ac:dyDescent="0.45">
      <c r="B149" s="287">
        <v>9315276190</v>
      </c>
      <c r="C149" s="348" t="s">
        <v>558</v>
      </c>
      <c r="D149" s="346" t="s">
        <v>511</v>
      </c>
      <c r="E149" s="286">
        <v>2</v>
      </c>
      <c r="F149" s="286"/>
      <c r="G149" s="286"/>
      <c r="H149" s="286"/>
      <c r="I149" s="286">
        <f>(H76/(0.0005*100)/2000)</f>
        <v>0</v>
      </c>
      <c r="J149" s="219" t="e">
        <f>(30*BC!$B$47/F149)</f>
        <v>#DIV/0!</v>
      </c>
      <c r="K149" s="285" t="e">
        <f t="shared" si="24"/>
        <v>#DIV/0!</v>
      </c>
      <c r="L149" s="194">
        <f t="shared" si="25"/>
        <v>0</v>
      </c>
      <c r="M149" s="194">
        <f t="shared" si="26"/>
        <v>0</v>
      </c>
      <c r="N149" s="366"/>
      <c r="O149" s="365">
        <f t="shared" si="20"/>
        <v>0</v>
      </c>
      <c r="P149" s="57">
        <f t="shared" si="21"/>
        <v>0</v>
      </c>
      <c r="Q149" s="57">
        <f t="shared" si="22"/>
        <v>0</v>
      </c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</row>
    <row r="150" spans="2:30" ht="15.75" customHeight="1" x14ac:dyDescent="0.45">
      <c r="B150" s="287">
        <v>7092547190</v>
      </c>
      <c r="C150" s="220" t="s">
        <v>559</v>
      </c>
      <c r="D150" s="194" t="s">
        <v>511</v>
      </c>
      <c r="E150" s="219">
        <v>2</v>
      </c>
      <c r="F150" s="219">
        <v>31</v>
      </c>
      <c r="G150" s="219"/>
      <c r="H150" s="219"/>
      <c r="I150" s="219">
        <f>(H77/(0.0005*100)/2000)</f>
        <v>0</v>
      </c>
      <c r="J150" s="219">
        <f>(30*BC!$B$47/F150)</f>
        <v>0</v>
      </c>
      <c r="K150" s="285">
        <f t="shared" si="24"/>
        <v>0</v>
      </c>
      <c r="L150" s="194">
        <f t="shared" si="25"/>
        <v>0</v>
      </c>
      <c r="M150" s="194">
        <f t="shared" si="26"/>
        <v>0</v>
      </c>
      <c r="N150" s="364">
        <v>79</v>
      </c>
      <c r="O150" s="365">
        <f t="shared" si="20"/>
        <v>0</v>
      </c>
      <c r="P150" s="57">
        <f t="shared" si="21"/>
        <v>0</v>
      </c>
      <c r="Q150" s="57">
        <f t="shared" si="22"/>
        <v>0</v>
      </c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7"/>
    </row>
    <row r="151" spans="2:30" ht="15.75" customHeight="1" x14ac:dyDescent="0.45">
      <c r="B151" s="287">
        <v>6505970190</v>
      </c>
      <c r="C151" s="285" t="s">
        <v>560</v>
      </c>
      <c r="D151" s="194" t="s">
        <v>511</v>
      </c>
      <c r="E151" s="219">
        <v>2</v>
      </c>
      <c r="F151" s="219">
        <v>56</v>
      </c>
      <c r="G151" s="219"/>
      <c r="H151" s="219"/>
      <c r="I151" s="219">
        <f>(H78/(0.0005*100)/2000)</f>
        <v>0</v>
      </c>
      <c r="J151" s="219">
        <f>(30*BC!$B$47/F151)</f>
        <v>0</v>
      </c>
      <c r="K151" s="285">
        <f t="shared" si="24"/>
        <v>0</v>
      </c>
      <c r="L151" s="194">
        <f t="shared" si="25"/>
        <v>0</v>
      </c>
      <c r="M151" s="194">
        <f t="shared" si="26"/>
        <v>0</v>
      </c>
      <c r="N151" s="364">
        <v>478</v>
      </c>
      <c r="O151" s="365">
        <f t="shared" si="20"/>
        <v>0</v>
      </c>
      <c r="P151" s="57">
        <f t="shared" si="21"/>
        <v>0</v>
      </c>
      <c r="Q151" s="57">
        <f t="shared" si="22"/>
        <v>0</v>
      </c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7"/>
    </row>
    <row r="152" spans="2:30" ht="15.75" customHeight="1" x14ac:dyDescent="0.45">
      <c r="B152" s="287">
        <v>3277356190</v>
      </c>
      <c r="C152" s="220" t="s">
        <v>561</v>
      </c>
      <c r="D152" s="194" t="s">
        <v>511</v>
      </c>
      <c r="E152" s="219">
        <v>2</v>
      </c>
      <c r="F152" s="219">
        <v>84</v>
      </c>
      <c r="G152" s="219"/>
      <c r="H152" s="219"/>
      <c r="I152" s="219">
        <f>(H79/(0.0009*100)/2000)</f>
        <v>0</v>
      </c>
      <c r="J152" s="219">
        <f>(30*BC!$B$47/F152)</f>
        <v>0</v>
      </c>
      <c r="K152" s="285">
        <f t="shared" si="24"/>
        <v>0</v>
      </c>
      <c r="L152" s="194">
        <f t="shared" si="25"/>
        <v>0</v>
      </c>
      <c r="M152" s="194">
        <f t="shared" si="26"/>
        <v>0</v>
      </c>
      <c r="N152" s="364">
        <v>69</v>
      </c>
      <c r="O152" s="365">
        <f t="shared" si="20"/>
        <v>0</v>
      </c>
      <c r="P152" s="57">
        <f t="shared" si="21"/>
        <v>0</v>
      </c>
      <c r="Q152" s="57">
        <f t="shared" si="22"/>
        <v>0</v>
      </c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  <c r="AD152" s="97"/>
    </row>
    <row r="153" spans="2:30" ht="15.75" customHeight="1" x14ac:dyDescent="0.45">
      <c r="B153" s="287">
        <v>5608554190</v>
      </c>
      <c r="C153" s="285" t="s">
        <v>562</v>
      </c>
      <c r="D153" s="194" t="s">
        <v>511</v>
      </c>
      <c r="E153" s="219">
        <v>2</v>
      </c>
      <c r="F153" s="219">
        <v>90</v>
      </c>
      <c r="G153" s="219"/>
      <c r="H153" s="219"/>
      <c r="I153" s="219">
        <f>(H80/(0.0005*100)/2000)</f>
        <v>0</v>
      </c>
      <c r="J153" s="219">
        <f>(30*BC!$B$47/F153)</f>
        <v>0</v>
      </c>
      <c r="K153" s="285">
        <f t="shared" si="24"/>
        <v>0</v>
      </c>
      <c r="L153" s="194">
        <f t="shared" si="25"/>
        <v>0</v>
      </c>
      <c r="M153" s="194">
        <f t="shared" si="26"/>
        <v>0</v>
      </c>
      <c r="N153" s="364">
        <v>456</v>
      </c>
      <c r="O153" s="365">
        <f t="shared" si="20"/>
        <v>0</v>
      </c>
      <c r="P153" s="57">
        <f t="shared" si="21"/>
        <v>0</v>
      </c>
      <c r="Q153" s="57">
        <f t="shared" si="22"/>
        <v>0</v>
      </c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</row>
    <row r="154" spans="2:30" ht="15.75" customHeight="1" x14ac:dyDescent="0.45">
      <c r="B154" s="287">
        <v>8928452190</v>
      </c>
      <c r="C154" s="220" t="s">
        <v>563</v>
      </c>
      <c r="D154" s="194" t="s">
        <v>511</v>
      </c>
      <c r="E154" s="219">
        <v>2</v>
      </c>
      <c r="F154" s="219">
        <v>84</v>
      </c>
      <c r="G154" s="219"/>
      <c r="H154" s="219"/>
      <c r="I154" s="219">
        <f>(H81/(0.0005*100)/2000)</f>
        <v>0</v>
      </c>
      <c r="J154" s="219">
        <f>(30*BC!$B$47/F154)</f>
        <v>0</v>
      </c>
      <c r="K154" s="285">
        <f t="shared" si="24"/>
        <v>0</v>
      </c>
      <c r="L154" s="194">
        <f t="shared" si="25"/>
        <v>0</v>
      </c>
      <c r="M154" s="194">
        <f t="shared" si="26"/>
        <v>0</v>
      </c>
      <c r="N154" s="364">
        <v>120</v>
      </c>
      <c r="O154" s="365">
        <f t="shared" si="20"/>
        <v>0</v>
      </c>
      <c r="P154" s="57">
        <f t="shared" si="21"/>
        <v>0</v>
      </c>
      <c r="Q154" s="57">
        <f t="shared" si="22"/>
        <v>0</v>
      </c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7"/>
    </row>
    <row r="155" spans="2:30" ht="15.75" customHeight="1" x14ac:dyDescent="0.45">
      <c r="B155" s="287">
        <v>7126999190</v>
      </c>
      <c r="C155" s="349" t="s">
        <v>564</v>
      </c>
      <c r="D155" s="194" t="s">
        <v>511</v>
      </c>
      <c r="E155" s="219">
        <v>2</v>
      </c>
      <c r="F155" s="219">
        <v>28</v>
      </c>
      <c r="G155" s="219"/>
      <c r="H155" s="219"/>
      <c r="I155" s="219">
        <f>(H85/(0.0005*100)/2000)</f>
        <v>0</v>
      </c>
      <c r="J155" s="219">
        <f>(30*BC!$B$47/F155)</f>
        <v>0</v>
      </c>
      <c r="K155" s="285">
        <f t="shared" si="24"/>
        <v>0</v>
      </c>
      <c r="L155" s="194">
        <f t="shared" si="25"/>
        <v>0</v>
      </c>
      <c r="M155" s="194">
        <f t="shared" si="26"/>
        <v>0</v>
      </c>
      <c r="N155" s="364">
        <v>219</v>
      </c>
      <c r="O155" s="365">
        <f t="shared" si="20"/>
        <v>0</v>
      </c>
      <c r="P155" s="57">
        <f t="shared" si="21"/>
        <v>0</v>
      </c>
      <c r="Q155" s="57">
        <f t="shared" si="22"/>
        <v>0</v>
      </c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</row>
    <row r="156" spans="2:30" ht="15.75" customHeight="1" x14ac:dyDescent="0.45">
      <c r="B156" s="287" t="s">
        <v>565</v>
      </c>
      <c r="C156" s="285" t="s">
        <v>566</v>
      </c>
      <c r="D156" s="194" t="s">
        <v>511</v>
      </c>
      <c r="E156" s="219">
        <v>2</v>
      </c>
      <c r="F156" s="219">
        <v>28</v>
      </c>
      <c r="G156" s="219"/>
      <c r="H156" s="219"/>
      <c r="I156" s="219">
        <f>(H86/(0.0005*100)/2000)</f>
        <v>0</v>
      </c>
      <c r="J156" s="219">
        <f>(30*BC!$B$47/F156)</f>
        <v>0</v>
      </c>
      <c r="K156" s="285">
        <f t="shared" si="24"/>
        <v>0</v>
      </c>
      <c r="L156" s="194">
        <f t="shared" si="25"/>
        <v>0</v>
      </c>
      <c r="M156" s="194">
        <f t="shared" si="26"/>
        <v>0</v>
      </c>
      <c r="N156" s="366"/>
      <c r="O156" s="365">
        <f t="shared" si="20"/>
        <v>0</v>
      </c>
      <c r="P156" s="57">
        <f t="shared" si="21"/>
        <v>0</v>
      </c>
      <c r="Q156" s="57">
        <f t="shared" si="22"/>
        <v>0</v>
      </c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D156" s="97"/>
    </row>
    <row r="157" spans="2:30" ht="15.75" customHeight="1" x14ac:dyDescent="0.45">
      <c r="B157" s="287">
        <v>3052028190</v>
      </c>
      <c r="C157" s="285" t="s">
        <v>567</v>
      </c>
      <c r="D157" s="194" t="s">
        <v>511</v>
      </c>
      <c r="E157" s="219">
        <v>2</v>
      </c>
      <c r="F157" s="219">
        <v>56</v>
      </c>
      <c r="G157" s="219"/>
      <c r="H157" s="219"/>
      <c r="I157" s="219">
        <f>(H87/(0.0005*100)/2000)</f>
        <v>0</v>
      </c>
      <c r="J157" s="219">
        <f>(30*BC!$B$47/F157)</f>
        <v>0</v>
      </c>
      <c r="K157" s="285">
        <f t="shared" si="24"/>
        <v>0</v>
      </c>
      <c r="L157" s="194">
        <f t="shared" si="25"/>
        <v>0</v>
      </c>
      <c r="M157" s="194">
        <f t="shared" si="26"/>
        <v>0</v>
      </c>
      <c r="N157" s="364">
        <v>116</v>
      </c>
      <c r="O157" s="365">
        <f t="shared" si="20"/>
        <v>0</v>
      </c>
      <c r="P157" s="57">
        <f t="shared" si="21"/>
        <v>0</v>
      </c>
      <c r="Q157" s="57">
        <f t="shared" si="22"/>
        <v>0</v>
      </c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7"/>
    </row>
    <row r="158" spans="2:30" ht="15.75" customHeight="1" x14ac:dyDescent="0.45">
      <c r="B158" s="287">
        <v>11731548122</v>
      </c>
      <c r="C158" s="220" t="s">
        <v>568</v>
      </c>
      <c r="D158" s="194" t="s">
        <v>511</v>
      </c>
      <c r="E158" s="219">
        <v>2</v>
      </c>
      <c r="F158" s="219">
        <v>56</v>
      </c>
      <c r="G158" s="219"/>
      <c r="H158" s="219"/>
      <c r="I158" s="219">
        <f>(H89/(0.0005*100)/2000)</f>
        <v>0</v>
      </c>
      <c r="J158" s="219">
        <f>(30*BC!$B$47/F158)</f>
        <v>0</v>
      </c>
      <c r="K158" s="285">
        <f t="shared" si="24"/>
        <v>0</v>
      </c>
      <c r="L158" s="194">
        <f t="shared" si="25"/>
        <v>0</v>
      </c>
      <c r="M158" s="194">
        <f t="shared" si="26"/>
        <v>0</v>
      </c>
      <c r="N158" s="364">
        <v>189</v>
      </c>
      <c r="O158" s="365">
        <f t="shared" si="20"/>
        <v>0</v>
      </c>
      <c r="P158" s="57">
        <f t="shared" si="21"/>
        <v>0</v>
      </c>
      <c r="Q158" s="57">
        <f t="shared" si="22"/>
        <v>0</v>
      </c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  <c r="AD158" s="97"/>
    </row>
    <row r="159" spans="2:30" ht="15.75" customHeight="1" x14ac:dyDescent="0.45">
      <c r="B159" s="287">
        <v>12017717122</v>
      </c>
      <c r="C159" s="220" t="s">
        <v>569</v>
      </c>
      <c r="D159" s="194" t="s">
        <v>511</v>
      </c>
      <c r="E159" s="219">
        <v>2</v>
      </c>
      <c r="F159" s="219">
        <v>84</v>
      </c>
      <c r="G159" s="219"/>
      <c r="H159" s="219"/>
      <c r="I159" s="219">
        <f>(H90/(0.0005*100)/2000)</f>
        <v>0</v>
      </c>
      <c r="J159" s="219">
        <f>(30*BC!$B$47/F159)</f>
        <v>0</v>
      </c>
      <c r="K159" s="285">
        <f t="shared" si="24"/>
        <v>0</v>
      </c>
      <c r="L159" s="194">
        <f t="shared" si="25"/>
        <v>0</v>
      </c>
      <c r="M159" s="194">
        <f t="shared" si="26"/>
        <v>0</v>
      </c>
      <c r="N159" s="364">
        <v>189</v>
      </c>
      <c r="O159" s="365">
        <f t="shared" si="20"/>
        <v>0</v>
      </c>
      <c r="P159" s="57">
        <f t="shared" si="21"/>
        <v>0</v>
      </c>
      <c r="Q159" s="57">
        <f t="shared" si="22"/>
        <v>0</v>
      </c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  <c r="AD159" s="97"/>
    </row>
    <row r="160" spans="2:30" ht="15.75" customHeight="1" x14ac:dyDescent="0.45">
      <c r="B160" s="287">
        <v>5202230190</v>
      </c>
      <c r="C160" s="220" t="s">
        <v>570</v>
      </c>
      <c r="D160" s="194" t="s">
        <v>511</v>
      </c>
      <c r="E160" s="219">
        <v>2</v>
      </c>
      <c r="F160" s="219">
        <v>84</v>
      </c>
      <c r="G160" s="219"/>
      <c r="H160" s="219"/>
      <c r="I160" s="219">
        <f>(H91/(0.0002*100)/2000)</f>
        <v>0</v>
      </c>
      <c r="J160" s="219">
        <f>(30*BC!$B$47/F160)</f>
        <v>0</v>
      </c>
      <c r="K160" s="285">
        <f t="shared" si="24"/>
        <v>0</v>
      </c>
      <c r="L160" s="194">
        <f t="shared" si="25"/>
        <v>0</v>
      </c>
      <c r="M160" s="194">
        <f t="shared" si="26"/>
        <v>0</v>
      </c>
      <c r="N160" s="364">
        <v>79</v>
      </c>
      <c r="O160" s="365">
        <f t="shared" si="20"/>
        <v>0</v>
      </c>
      <c r="P160" s="57">
        <f t="shared" si="21"/>
        <v>0</v>
      </c>
      <c r="Q160" s="57">
        <f t="shared" si="22"/>
        <v>0</v>
      </c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  <c r="AD160" s="97"/>
    </row>
    <row r="161" spans="2:30" ht="15.75" customHeight="1" x14ac:dyDescent="0.45">
      <c r="B161" s="287">
        <v>8991405190</v>
      </c>
      <c r="C161" s="220" t="s">
        <v>571</v>
      </c>
      <c r="D161" s="194" t="s">
        <v>511</v>
      </c>
      <c r="E161" s="219">
        <v>2</v>
      </c>
      <c r="F161" s="219">
        <v>93</v>
      </c>
      <c r="G161" s="219"/>
      <c r="H161" s="219"/>
      <c r="I161" s="219">
        <f>(H92/(0.0005*100)/2000)</f>
        <v>0</v>
      </c>
      <c r="J161" s="219">
        <f>(30*BC!$B$47/F161)</f>
        <v>0</v>
      </c>
      <c r="K161" s="285">
        <f t="shared" si="24"/>
        <v>0</v>
      </c>
      <c r="L161" s="194">
        <f t="shared" si="25"/>
        <v>0</v>
      </c>
      <c r="M161" s="194">
        <f t="shared" si="26"/>
        <v>0</v>
      </c>
      <c r="N161" s="364">
        <v>76</v>
      </c>
      <c r="O161" s="365">
        <f t="shared" si="20"/>
        <v>0</v>
      </c>
      <c r="P161" s="57">
        <f t="shared" si="21"/>
        <v>0</v>
      </c>
      <c r="Q161" s="57">
        <f t="shared" si="22"/>
        <v>0</v>
      </c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</row>
    <row r="162" spans="2:30" ht="15.75" customHeight="1" x14ac:dyDescent="0.45">
      <c r="B162" s="287">
        <v>8838534190</v>
      </c>
      <c r="C162" s="220" t="s">
        <v>572</v>
      </c>
      <c r="D162" s="194" t="s">
        <v>511</v>
      </c>
      <c r="E162" s="219">
        <v>2</v>
      </c>
      <c r="F162" s="219">
        <v>84</v>
      </c>
      <c r="G162" s="219"/>
      <c r="H162" s="219"/>
      <c r="I162" s="219">
        <f>(H93/(0.0009*100)/2000)</f>
        <v>0</v>
      </c>
      <c r="J162" s="219">
        <f>(30*BC!$B$47/F162)</f>
        <v>0</v>
      </c>
      <c r="K162" s="285">
        <f t="shared" si="24"/>
        <v>0</v>
      </c>
      <c r="L162" s="194">
        <f t="shared" si="25"/>
        <v>0</v>
      </c>
      <c r="M162" s="194">
        <f t="shared" si="26"/>
        <v>0</v>
      </c>
      <c r="N162" s="364">
        <v>194</v>
      </c>
      <c r="O162" s="365">
        <f t="shared" si="20"/>
        <v>0</v>
      </c>
      <c r="P162" s="57">
        <f t="shared" si="21"/>
        <v>0</v>
      </c>
      <c r="Q162" s="57">
        <f t="shared" si="22"/>
        <v>0</v>
      </c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  <c r="AD162" s="97"/>
    </row>
    <row r="163" spans="2:30" ht="15.75" customHeight="1" x14ac:dyDescent="0.45">
      <c r="B163" s="287" t="s">
        <v>573</v>
      </c>
      <c r="C163" s="285" t="s">
        <v>574</v>
      </c>
      <c r="D163" s="194" t="s">
        <v>511</v>
      </c>
      <c r="E163" s="219">
        <v>2</v>
      </c>
      <c r="F163" s="219">
        <v>84</v>
      </c>
      <c r="G163" s="219"/>
      <c r="H163" s="219"/>
      <c r="I163" s="219">
        <f>(H97/(0.0005*100)/2000)</f>
        <v>0</v>
      </c>
      <c r="J163" s="219">
        <f>(30*BC!$B$47/F163)</f>
        <v>0</v>
      </c>
      <c r="K163" s="285">
        <f t="shared" si="24"/>
        <v>0</v>
      </c>
      <c r="L163" s="194">
        <f t="shared" si="25"/>
        <v>0</v>
      </c>
      <c r="M163" s="194">
        <f t="shared" si="26"/>
        <v>0</v>
      </c>
      <c r="N163" s="364">
        <v>455</v>
      </c>
      <c r="O163" s="365">
        <f t="shared" ref="O163:O222" si="27">((N163/E163)*M163)</f>
        <v>0</v>
      </c>
      <c r="P163" s="57">
        <f t="shared" ref="P163:P222" si="28">M163/E163</f>
        <v>0</v>
      </c>
      <c r="Q163" s="57">
        <f t="shared" ref="Q163:Q222" si="29">ROUNDUP(P163,0)</f>
        <v>0</v>
      </c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</row>
    <row r="164" spans="2:30" ht="15.75" customHeight="1" x14ac:dyDescent="0.45">
      <c r="B164" s="287">
        <v>9315365190</v>
      </c>
      <c r="C164" s="220" t="s">
        <v>575</v>
      </c>
      <c r="D164" s="194" t="s">
        <v>511</v>
      </c>
      <c r="E164" s="219">
        <v>2</v>
      </c>
      <c r="F164" s="219">
        <v>84</v>
      </c>
      <c r="G164" s="219"/>
      <c r="H164" s="219"/>
      <c r="I164" s="219">
        <f>(H98/(0.0005*100)/2000)</f>
        <v>0</v>
      </c>
      <c r="J164" s="219">
        <f>(30*BC!$B$47/F164)</f>
        <v>0</v>
      </c>
      <c r="K164" s="285">
        <f t="shared" si="24"/>
        <v>0</v>
      </c>
      <c r="L164" s="194">
        <f t="shared" si="25"/>
        <v>0</v>
      </c>
      <c r="M164" s="194">
        <f t="shared" si="26"/>
        <v>0</v>
      </c>
      <c r="N164" s="364">
        <v>230</v>
      </c>
      <c r="O164" s="365">
        <f t="shared" si="27"/>
        <v>0</v>
      </c>
      <c r="P164" s="57">
        <f t="shared" si="28"/>
        <v>0</v>
      </c>
      <c r="Q164" s="57">
        <f t="shared" si="29"/>
        <v>0</v>
      </c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  <c r="AD164" s="97"/>
    </row>
    <row r="165" spans="2:30" ht="15.75" customHeight="1" x14ac:dyDescent="0.45">
      <c r="B165" s="287">
        <v>9315381190</v>
      </c>
      <c r="C165" s="285" t="s">
        <v>576</v>
      </c>
      <c r="D165" s="194" t="s">
        <v>511</v>
      </c>
      <c r="E165" s="219">
        <v>2</v>
      </c>
      <c r="F165" s="219">
        <v>84</v>
      </c>
      <c r="G165" s="219"/>
      <c r="H165" s="219"/>
      <c r="I165" s="219">
        <f>(H99/(0.0005*100)/2000)</f>
        <v>0</v>
      </c>
      <c r="J165" s="219">
        <f>(30*BC!$B$47/F165)</f>
        <v>0</v>
      </c>
      <c r="K165" s="285">
        <f t="shared" si="24"/>
        <v>0</v>
      </c>
      <c r="L165" s="194">
        <f t="shared" si="25"/>
        <v>0</v>
      </c>
      <c r="M165" s="194">
        <f t="shared" si="26"/>
        <v>0</v>
      </c>
      <c r="N165" s="364">
        <v>256</v>
      </c>
      <c r="O165" s="365">
        <f t="shared" si="27"/>
        <v>0</v>
      </c>
      <c r="P165" s="57">
        <f t="shared" si="28"/>
        <v>0</v>
      </c>
      <c r="Q165" s="57">
        <f t="shared" si="29"/>
        <v>0</v>
      </c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  <c r="AD165" s="97"/>
    </row>
    <row r="166" spans="2:30" ht="15.75" customHeight="1" x14ac:dyDescent="0.45">
      <c r="B166" s="287">
        <v>8443459190</v>
      </c>
      <c r="C166" s="220" t="s">
        <v>577</v>
      </c>
      <c r="D166" s="194" t="s">
        <v>511</v>
      </c>
      <c r="E166" s="219">
        <v>2</v>
      </c>
      <c r="F166" s="219">
        <v>84</v>
      </c>
      <c r="G166" s="219"/>
      <c r="H166" s="219"/>
      <c r="I166" s="219">
        <f>(H100/(0.007*100)/2000)</f>
        <v>0</v>
      </c>
      <c r="J166" s="219">
        <f>(30*BC!$B$47/F166)</f>
        <v>0</v>
      </c>
      <c r="K166" s="285">
        <f t="shared" si="24"/>
        <v>0</v>
      </c>
      <c r="L166" s="194">
        <f t="shared" si="25"/>
        <v>0</v>
      </c>
      <c r="M166" s="194">
        <f t="shared" si="26"/>
        <v>0</v>
      </c>
      <c r="N166" s="364">
        <v>73</v>
      </c>
      <c r="O166" s="365">
        <f t="shared" si="27"/>
        <v>0</v>
      </c>
      <c r="P166" s="57">
        <f t="shared" si="28"/>
        <v>0</v>
      </c>
      <c r="Q166" s="57">
        <f t="shared" si="29"/>
        <v>0</v>
      </c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</row>
    <row r="167" spans="2:30" ht="15.75" customHeight="1" x14ac:dyDescent="0.45">
      <c r="B167" s="287">
        <v>7212780190</v>
      </c>
      <c r="C167" s="220" t="s">
        <v>578</v>
      </c>
      <c r="D167" s="194" t="s">
        <v>511</v>
      </c>
      <c r="E167" s="219">
        <v>2</v>
      </c>
      <c r="F167" s="219">
        <v>84</v>
      </c>
      <c r="G167" s="219"/>
      <c r="H167" s="219"/>
      <c r="I167" s="219">
        <f>(H101/(0.0005*100)/2000)</f>
        <v>0</v>
      </c>
      <c r="J167" s="219">
        <f>(30*BC!$B$47/F167)</f>
        <v>0</v>
      </c>
      <c r="K167" s="285">
        <f t="shared" si="24"/>
        <v>0</v>
      </c>
      <c r="L167" s="194">
        <f t="shared" si="25"/>
        <v>0</v>
      </c>
      <c r="M167" s="194">
        <f t="shared" si="26"/>
        <v>0</v>
      </c>
      <c r="N167" s="364">
        <v>235</v>
      </c>
      <c r="O167" s="365">
        <f t="shared" si="27"/>
        <v>0</v>
      </c>
      <c r="P167" s="57">
        <f t="shared" si="28"/>
        <v>0</v>
      </c>
      <c r="Q167" s="57">
        <f t="shared" si="29"/>
        <v>0</v>
      </c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7"/>
    </row>
    <row r="168" spans="2:30" ht="15.75" customHeight="1" x14ac:dyDescent="0.45">
      <c r="B168" s="287">
        <v>9038116190</v>
      </c>
      <c r="C168" s="220" t="s">
        <v>579</v>
      </c>
      <c r="D168" s="194" t="s">
        <v>511</v>
      </c>
      <c r="E168" s="219">
        <v>2</v>
      </c>
      <c r="F168" s="219">
        <v>84</v>
      </c>
      <c r="G168" s="219"/>
      <c r="H168" s="219"/>
      <c r="I168" s="219">
        <f>(H102/(0.0009*100)/2000)</f>
        <v>0</v>
      </c>
      <c r="J168" s="219">
        <f>(30*BC!$B$47/F168)</f>
        <v>0</v>
      </c>
      <c r="K168" s="285">
        <f t="shared" si="24"/>
        <v>0</v>
      </c>
      <c r="L168" s="194">
        <f t="shared" si="25"/>
        <v>0</v>
      </c>
      <c r="M168" s="194">
        <f t="shared" si="26"/>
        <v>0</v>
      </c>
      <c r="N168" s="364">
        <v>635</v>
      </c>
      <c r="O168" s="365">
        <f t="shared" si="27"/>
        <v>0</v>
      </c>
      <c r="P168" s="57">
        <f t="shared" si="28"/>
        <v>0</v>
      </c>
      <c r="Q168" s="57">
        <f t="shared" si="29"/>
        <v>0</v>
      </c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  <c r="AD168" s="97"/>
    </row>
    <row r="169" spans="2:30" ht="15.75" customHeight="1" x14ac:dyDescent="0.45">
      <c r="B169" s="378" t="s">
        <v>277</v>
      </c>
      <c r="C169" s="380"/>
      <c r="D169" s="380"/>
      <c r="E169" s="380" t="s">
        <v>183</v>
      </c>
      <c r="F169" s="380" t="s">
        <v>649</v>
      </c>
      <c r="G169" s="382"/>
      <c r="H169" s="382"/>
      <c r="I169" s="379" t="s">
        <v>53</v>
      </c>
      <c r="J169" s="379" t="s">
        <v>52</v>
      </c>
      <c r="K169" s="379" t="s">
        <v>51</v>
      </c>
      <c r="L169" s="379"/>
      <c r="M169" s="379" t="s">
        <v>50</v>
      </c>
      <c r="N169" s="379" t="s">
        <v>49</v>
      </c>
      <c r="O169" s="379" t="s">
        <v>48</v>
      </c>
      <c r="P169" s="381" t="s">
        <v>318</v>
      </c>
      <c r="Q169" s="381" t="s">
        <v>319</v>
      </c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</row>
    <row r="170" spans="2:30" ht="15.75" customHeight="1" x14ac:dyDescent="0.45">
      <c r="B170" s="287">
        <v>9216928190</v>
      </c>
      <c r="C170" s="299" t="s">
        <v>580</v>
      </c>
      <c r="D170" s="194" t="s">
        <v>511</v>
      </c>
      <c r="E170" s="219">
        <v>2</v>
      </c>
      <c r="F170" s="219">
        <v>28</v>
      </c>
      <c r="G170" s="219"/>
      <c r="H170" s="219"/>
      <c r="I170" s="219">
        <f>(H21/(0.00001*300)/3000)</f>
        <v>0</v>
      </c>
      <c r="J170" s="219">
        <f>(30*BC!$B$47/F170)</f>
        <v>0</v>
      </c>
      <c r="K170" s="285">
        <f t="shared" si="24"/>
        <v>0</v>
      </c>
      <c r="L170" s="194">
        <f t="shared" si="25"/>
        <v>0</v>
      </c>
      <c r="M170" s="194">
        <f t="shared" si="26"/>
        <v>0</v>
      </c>
      <c r="N170" s="364">
        <v>69</v>
      </c>
      <c r="O170" s="365">
        <f t="shared" si="27"/>
        <v>0</v>
      </c>
      <c r="P170" s="57">
        <f t="shared" si="28"/>
        <v>0</v>
      </c>
      <c r="Q170" s="57">
        <f t="shared" si="29"/>
        <v>0</v>
      </c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  <c r="AD170" s="97"/>
    </row>
    <row r="171" spans="2:30" ht="15.75" customHeight="1" x14ac:dyDescent="0.45">
      <c r="B171" s="285">
        <v>5942322190</v>
      </c>
      <c r="C171" s="306" t="s">
        <v>581</v>
      </c>
      <c r="D171" s="194" t="s">
        <v>511</v>
      </c>
      <c r="E171" s="194">
        <v>3</v>
      </c>
      <c r="F171" s="194">
        <v>84</v>
      </c>
      <c r="G171" s="194"/>
      <c r="H171" s="194"/>
      <c r="I171" s="194">
        <f>(H33/(0.00002*300)/3000)</f>
        <v>0</v>
      </c>
      <c r="J171" s="219">
        <f>(30*BC!$B$47/F171)</f>
        <v>0</v>
      </c>
      <c r="K171" s="285">
        <f t="shared" si="24"/>
        <v>0</v>
      </c>
      <c r="L171" s="194">
        <f t="shared" si="25"/>
        <v>0</v>
      </c>
      <c r="M171" s="194">
        <f t="shared" si="26"/>
        <v>0</v>
      </c>
      <c r="N171" s="364">
        <v>589</v>
      </c>
      <c r="O171" s="365">
        <f t="shared" si="27"/>
        <v>0</v>
      </c>
      <c r="P171" s="57">
        <f t="shared" si="28"/>
        <v>0</v>
      </c>
      <c r="Q171" s="57">
        <f t="shared" si="29"/>
        <v>0</v>
      </c>
      <c r="R171" s="255"/>
      <c r="S171" s="255"/>
      <c r="T171" s="255"/>
      <c r="U171" s="255"/>
      <c r="V171" s="255"/>
      <c r="W171" s="255"/>
      <c r="X171" s="255"/>
      <c r="Y171" s="255"/>
      <c r="Z171" s="255"/>
      <c r="AA171" s="255"/>
      <c r="AB171" s="255"/>
      <c r="AC171" s="255"/>
      <c r="AD171" s="255"/>
    </row>
    <row r="172" spans="2:30" ht="15.75" customHeight="1" x14ac:dyDescent="0.45">
      <c r="B172" s="285">
        <v>8335923190</v>
      </c>
      <c r="C172" s="285" t="s">
        <v>582</v>
      </c>
      <c r="D172" s="194" t="s">
        <v>511</v>
      </c>
      <c r="E172" s="194">
        <v>5</v>
      </c>
      <c r="F172" s="194"/>
      <c r="G172" s="194"/>
      <c r="H172" s="194"/>
      <c r="I172" s="219"/>
      <c r="J172" s="219" t="e">
        <f>(30*BC!$B$47/F172)</f>
        <v>#DIV/0!</v>
      </c>
      <c r="K172" s="285" t="e">
        <f t="shared" si="24"/>
        <v>#DIV/0!</v>
      </c>
      <c r="L172" s="194">
        <f t="shared" si="25"/>
        <v>0</v>
      </c>
      <c r="M172" s="194">
        <f t="shared" si="26"/>
        <v>0</v>
      </c>
      <c r="N172" s="364">
        <v>246</v>
      </c>
      <c r="O172" s="365">
        <f t="shared" si="27"/>
        <v>0</v>
      </c>
      <c r="P172" s="57">
        <f t="shared" si="28"/>
        <v>0</v>
      </c>
      <c r="Q172" s="57">
        <f t="shared" si="29"/>
        <v>0</v>
      </c>
      <c r="R172" s="255"/>
      <c r="S172" s="255"/>
      <c r="T172" s="255"/>
      <c r="U172" s="255"/>
      <c r="V172" s="255"/>
      <c r="W172" s="255"/>
      <c r="X172" s="255"/>
      <c r="Y172" s="255"/>
      <c r="Z172" s="255"/>
      <c r="AA172" s="255"/>
      <c r="AB172" s="255"/>
      <c r="AC172" s="255"/>
      <c r="AD172" s="255"/>
    </row>
    <row r="173" spans="2:30" ht="15.75" customHeight="1" x14ac:dyDescent="0.45">
      <c r="B173" s="285">
        <v>8740062190</v>
      </c>
      <c r="C173" s="316" t="s">
        <v>583</v>
      </c>
      <c r="D173" s="194" t="s">
        <v>511</v>
      </c>
      <c r="E173" s="194">
        <v>3</v>
      </c>
      <c r="F173" s="194">
        <v>84</v>
      </c>
      <c r="G173" s="194"/>
      <c r="H173" s="194"/>
      <c r="I173" s="219">
        <f>(A27/(0.00001*300)/3000)</f>
        <v>0</v>
      </c>
      <c r="J173" s="219">
        <f>(30*BC!$B$47/F173)</f>
        <v>0</v>
      </c>
      <c r="K173" s="285">
        <f t="shared" si="24"/>
        <v>0</v>
      </c>
      <c r="L173" s="194">
        <f t="shared" si="25"/>
        <v>0</v>
      </c>
      <c r="M173" s="194">
        <f t="shared" si="26"/>
        <v>0</v>
      </c>
      <c r="N173" s="364">
        <v>671</v>
      </c>
      <c r="O173" s="365">
        <f t="shared" si="27"/>
        <v>0</v>
      </c>
      <c r="P173" s="57">
        <f t="shared" si="28"/>
        <v>0</v>
      </c>
      <c r="Q173" s="57">
        <f t="shared" si="29"/>
        <v>0</v>
      </c>
      <c r="R173" s="255"/>
      <c r="S173" s="255"/>
      <c r="T173" s="255"/>
      <c r="U173" s="255"/>
      <c r="V173" s="255"/>
      <c r="W173" s="255"/>
      <c r="X173" s="255"/>
      <c r="Y173" s="255"/>
      <c r="Z173" s="255"/>
      <c r="AA173" s="255"/>
      <c r="AB173" s="255"/>
      <c r="AC173" s="255"/>
      <c r="AD173" s="255"/>
    </row>
    <row r="174" spans="2:30" ht="15.75" customHeight="1" x14ac:dyDescent="0.45">
      <c r="B174" s="285">
        <v>6709966190</v>
      </c>
      <c r="C174" s="285" t="s">
        <v>585</v>
      </c>
      <c r="D174" s="194" t="s">
        <v>511</v>
      </c>
      <c r="E174" s="194">
        <v>2</v>
      </c>
      <c r="F174" s="194"/>
      <c r="G174" s="194"/>
      <c r="H174" s="194"/>
      <c r="I174" s="194"/>
      <c r="J174" s="219" t="e">
        <f>(30*BC!$B$47/F174)</f>
        <v>#DIV/0!</v>
      </c>
      <c r="K174" s="285" t="e">
        <f t="shared" si="24"/>
        <v>#DIV/0!</v>
      </c>
      <c r="L174" s="194">
        <f t="shared" si="25"/>
        <v>0</v>
      </c>
      <c r="M174" s="194">
        <f t="shared" si="26"/>
        <v>0</v>
      </c>
      <c r="N174" s="364">
        <v>476</v>
      </c>
      <c r="O174" s="365">
        <f t="shared" si="27"/>
        <v>0</v>
      </c>
      <c r="P174" s="57">
        <f t="shared" si="28"/>
        <v>0</v>
      </c>
      <c r="Q174" s="57">
        <f t="shared" si="29"/>
        <v>0</v>
      </c>
      <c r="R174" s="255"/>
      <c r="S174" s="255"/>
      <c r="T174" s="255"/>
      <c r="U174" s="255"/>
      <c r="V174" s="255"/>
      <c r="W174" s="255"/>
      <c r="X174" s="255"/>
      <c r="Y174" s="255"/>
      <c r="Z174" s="255"/>
      <c r="AA174" s="255"/>
      <c r="AB174" s="255"/>
      <c r="AC174" s="255"/>
      <c r="AD174" s="255"/>
    </row>
    <row r="175" spans="2:30" ht="15.75" customHeight="1" x14ac:dyDescent="0.45">
      <c r="B175" s="285">
        <v>7957211190</v>
      </c>
      <c r="C175" s="289" t="s">
        <v>586</v>
      </c>
      <c r="D175" s="194" t="s">
        <v>511</v>
      </c>
      <c r="E175" s="194">
        <v>2</v>
      </c>
      <c r="F175" s="194">
        <v>28</v>
      </c>
      <c r="G175" s="194"/>
      <c r="H175" s="194"/>
      <c r="I175" s="194">
        <f>(H11/(0.00001*300)/3000)</f>
        <v>0</v>
      </c>
      <c r="J175" s="219">
        <f>(30*BC!$B$47/F175)</f>
        <v>0</v>
      </c>
      <c r="K175" s="285">
        <f t="shared" si="24"/>
        <v>0</v>
      </c>
      <c r="L175" s="194">
        <f t="shared" si="25"/>
        <v>0</v>
      </c>
      <c r="M175" s="194">
        <f t="shared" si="26"/>
        <v>0</v>
      </c>
      <c r="N175" s="364">
        <v>391</v>
      </c>
      <c r="O175" s="365">
        <f t="shared" si="27"/>
        <v>0</v>
      </c>
      <c r="P175" s="57">
        <f t="shared" si="28"/>
        <v>0</v>
      </c>
      <c r="Q175" s="57">
        <f t="shared" si="29"/>
        <v>0</v>
      </c>
      <c r="R175" s="255"/>
      <c r="S175" s="255"/>
      <c r="T175" s="255"/>
      <c r="U175" s="255"/>
      <c r="V175" s="255"/>
      <c r="W175" s="255"/>
      <c r="X175" s="255"/>
      <c r="Y175" s="255"/>
      <c r="Z175" s="255"/>
      <c r="AA175" s="255"/>
      <c r="AB175" s="255"/>
      <c r="AC175" s="255"/>
      <c r="AD175" s="255"/>
    </row>
    <row r="176" spans="2:30" ht="15.75" customHeight="1" x14ac:dyDescent="0.45">
      <c r="B176" s="285">
        <v>5031664190</v>
      </c>
      <c r="C176" s="291" t="s">
        <v>587</v>
      </c>
      <c r="D176" s="194" t="s">
        <v>511</v>
      </c>
      <c r="E176" s="194">
        <v>2</v>
      </c>
      <c r="F176" s="194">
        <v>28</v>
      </c>
      <c r="G176" s="194"/>
      <c r="H176" s="194"/>
      <c r="I176" s="194">
        <f>(H13/(0.00005*300)/3000)</f>
        <v>0</v>
      </c>
      <c r="J176" s="219">
        <f>(30*BC!$B$47/F176)</f>
        <v>0</v>
      </c>
      <c r="K176" s="285">
        <f t="shared" si="24"/>
        <v>0</v>
      </c>
      <c r="L176" s="194">
        <f t="shared" si="25"/>
        <v>0</v>
      </c>
      <c r="M176" s="194">
        <f t="shared" si="26"/>
        <v>0</v>
      </c>
      <c r="N176" s="364">
        <v>207</v>
      </c>
      <c r="O176" s="365">
        <f t="shared" si="27"/>
        <v>0</v>
      </c>
      <c r="P176" s="57">
        <f t="shared" si="28"/>
        <v>0</v>
      </c>
      <c r="Q176" s="57">
        <f t="shared" si="29"/>
        <v>0</v>
      </c>
      <c r="R176" s="255"/>
      <c r="S176" s="255"/>
      <c r="T176" s="255"/>
      <c r="U176" s="255"/>
      <c r="V176" s="255"/>
      <c r="W176" s="255"/>
      <c r="X176" s="255"/>
      <c r="Y176" s="255"/>
      <c r="Z176" s="255"/>
      <c r="AA176" s="255"/>
      <c r="AB176" s="255"/>
      <c r="AC176" s="255"/>
      <c r="AD176" s="255"/>
    </row>
    <row r="177" spans="2:30" ht="15.75" customHeight="1" x14ac:dyDescent="0.45">
      <c r="B177" s="285">
        <v>11876368122</v>
      </c>
      <c r="C177" s="293" t="s">
        <v>588</v>
      </c>
      <c r="D177" s="194" t="s">
        <v>511</v>
      </c>
      <c r="E177" s="194">
        <v>8</v>
      </c>
      <c r="F177" s="194">
        <v>56</v>
      </c>
      <c r="G177" s="194"/>
      <c r="H177" s="194"/>
      <c r="I177" s="194">
        <f>(H15/(0.00001*300)/3000)</f>
        <v>0</v>
      </c>
      <c r="J177" s="219">
        <f>(30*BC!$B$47/F177)</f>
        <v>0</v>
      </c>
      <c r="K177" s="285">
        <f t="shared" si="24"/>
        <v>0</v>
      </c>
      <c r="L177" s="194">
        <f t="shared" si="25"/>
        <v>0</v>
      </c>
      <c r="M177" s="194">
        <f t="shared" si="26"/>
        <v>0</v>
      </c>
      <c r="N177" s="364">
        <v>424</v>
      </c>
      <c r="O177" s="365">
        <f t="shared" si="27"/>
        <v>0</v>
      </c>
      <c r="P177" s="57">
        <f t="shared" si="28"/>
        <v>0</v>
      </c>
      <c r="Q177" s="57">
        <f t="shared" si="29"/>
        <v>0</v>
      </c>
      <c r="R177" s="255"/>
      <c r="S177" s="255"/>
      <c r="T177" s="255"/>
      <c r="U177" s="255"/>
      <c r="V177" s="255"/>
      <c r="W177" s="255"/>
      <c r="X177" s="255"/>
      <c r="Y177" s="255"/>
      <c r="Z177" s="255"/>
      <c r="AA177" s="255"/>
      <c r="AB177" s="255"/>
      <c r="AC177" s="255"/>
      <c r="AD177" s="255"/>
    </row>
    <row r="178" spans="2:30" ht="15.75" customHeight="1" x14ac:dyDescent="0.45">
      <c r="B178" s="285">
        <v>8086672190</v>
      </c>
      <c r="C178" s="292" t="s">
        <v>589</v>
      </c>
      <c r="D178" s="194" t="s">
        <v>511</v>
      </c>
      <c r="E178" s="194">
        <v>4</v>
      </c>
      <c r="F178" s="194">
        <v>56</v>
      </c>
      <c r="G178" s="194"/>
      <c r="H178" s="194"/>
      <c r="I178" s="194">
        <f>(H14/(0.00001*300)/3000)</f>
        <v>0</v>
      </c>
      <c r="J178" s="219">
        <f>(30*BC!$B$47/F178)</f>
        <v>0</v>
      </c>
      <c r="K178" s="285">
        <f t="shared" si="24"/>
        <v>0</v>
      </c>
      <c r="L178" s="194">
        <f t="shared" si="25"/>
        <v>0</v>
      </c>
      <c r="M178" s="194">
        <f t="shared" si="26"/>
        <v>0</v>
      </c>
      <c r="N178" s="364">
        <v>142</v>
      </c>
      <c r="O178" s="365">
        <f t="shared" si="27"/>
        <v>0</v>
      </c>
      <c r="P178" s="57">
        <f t="shared" si="28"/>
        <v>0</v>
      </c>
      <c r="Q178" s="57">
        <f t="shared" si="29"/>
        <v>0</v>
      </c>
      <c r="R178" s="255"/>
      <c r="S178" s="255"/>
      <c r="T178" s="255"/>
      <c r="U178" s="255"/>
      <c r="V178" s="255"/>
      <c r="W178" s="255"/>
      <c r="X178" s="255"/>
      <c r="Y178" s="255"/>
      <c r="Z178" s="255"/>
      <c r="AA178" s="255"/>
      <c r="AB178" s="255"/>
      <c r="AC178" s="255"/>
      <c r="AD178" s="255"/>
    </row>
    <row r="179" spans="2:30" ht="15.75" customHeight="1" x14ac:dyDescent="0.45">
      <c r="B179" s="285">
        <v>11876333122</v>
      </c>
      <c r="C179" s="294" t="s">
        <v>590</v>
      </c>
      <c r="D179" s="194" t="s">
        <v>511</v>
      </c>
      <c r="E179" s="194">
        <v>8</v>
      </c>
      <c r="F179" s="194">
        <v>56</v>
      </c>
      <c r="G179" s="194"/>
      <c r="H179" s="194"/>
      <c r="I179" s="194">
        <f>(H16/(0.00001*300)/3000)</f>
        <v>0</v>
      </c>
      <c r="J179" s="219">
        <f>(30*BC!$B$47/F179)</f>
        <v>0</v>
      </c>
      <c r="K179" s="285">
        <f t="shared" si="24"/>
        <v>0</v>
      </c>
      <c r="L179" s="194">
        <f t="shared" si="25"/>
        <v>0</v>
      </c>
      <c r="M179" s="194">
        <f t="shared" si="26"/>
        <v>0</v>
      </c>
      <c r="N179" s="364">
        <v>379</v>
      </c>
      <c r="O179" s="365">
        <f t="shared" si="27"/>
        <v>0</v>
      </c>
      <c r="P179" s="57">
        <f t="shared" si="28"/>
        <v>0</v>
      </c>
      <c r="Q179" s="57">
        <f t="shared" si="29"/>
        <v>0</v>
      </c>
      <c r="R179" s="255"/>
      <c r="S179" s="255"/>
      <c r="T179" s="255"/>
      <c r="U179" s="255"/>
      <c r="V179" s="255"/>
      <c r="W179" s="255"/>
      <c r="X179" s="255"/>
      <c r="Y179" s="255"/>
      <c r="Z179" s="255"/>
      <c r="AA179" s="255"/>
      <c r="AB179" s="255"/>
      <c r="AC179" s="255"/>
      <c r="AD179" s="255"/>
    </row>
    <row r="180" spans="2:30" ht="15.75" customHeight="1" x14ac:dyDescent="0.45">
      <c r="B180" s="285">
        <v>4927931190</v>
      </c>
      <c r="C180" s="295" t="s">
        <v>591</v>
      </c>
      <c r="D180" s="194" t="s">
        <v>511</v>
      </c>
      <c r="E180" s="194">
        <v>8</v>
      </c>
      <c r="F180" s="194">
        <v>56</v>
      </c>
      <c r="G180" s="194"/>
      <c r="H180" s="194"/>
      <c r="I180" s="194">
        <f>(H17/(0.00001*300)/3000)</f>
        <v>0</v>
      </c>
      <c r="J180" s="219">
        <f>(30*BC!$B$47/F180)</f>
        <v>0</v>
      </c>
      <c r="K180" s="285">
        <f t="shared" si="24"/>
        <v>0</v>
      </c>
      <c r="L180" s="194">
        <f t="shared" si="25"/>
        <v>0</v>
      </c>
      <c r="M180" s="194">
        <f t="shared" si="26"/>
        <v>0</v>
      </c>
      <c r="N180" s="364">
        <v>73</v>
      </c>
      <c r="O180" s="365">
        <f t="shared" si="27"/>
        <v>0</v>
      </c>
      <c r="P180" s="57">
        <f t="shared" si="28"/>
        <v>0</v>
      </c>
      <c r="Q180" s="57">
        <f t="shared" si="29"/>
        <v>0</v>
      </c>
      <c r="R180" s="255"/>
      <c r="S180" s="255"/>
      <c r="T180" s="255"/>
      <c r="U180" s="255"/>
      <c r="V180" s="255"/>
      <c r="W180" s="255"/>
      <c r="X180" s="255"/>
      <c r="Y180" s="255"/>
      <c r="Z180" s="255"/>
      <c r="AA180" s="255"/>
      <c r="AB180" s="255"/>
      <c r="AC180" s="255"/>
      <c r="AD180" s="255"/>
    </row>
    <row r="181" spans="2:30" ht="15.75" customHeight="1" x14ac:dyDescent="0.45">
      <c r="B181" s="285">
        <v>11876384122</v>
      </c>
      <c r="C181" s="296" t="s">
        <v>592</v>
      </c>
      <c r="D181" s="194" t="s">
        <v>511</v>
      </c>
      <c r="E181" s="194">
        <v>8</v>
      </c>
      <c r="F181" s="194">
        <v>56</v>
      </c>
      <c r="G181" s="194"/>
      <c r="H181" s="194"/>
      <c r="I181" s="194">
        <f>(H18/(0.00001*300)/3000)</f>
        <v>0</v>
      </c>
      <c r="J181" s="219">
        <f>(30*BC!$B$47/F181)</f>
        <v>0</v>
      </c>
      <c r="K181" s="285">
        <f t="shared" si="24"/>
        <v>0</v>
      </c>
      <c r="L181" s="194">
        <f t="shared" si="25"/>
        <v>0</v>
      </c>
      <c r="M181" s="194">
        <f t="shared" si="26"/>
        <v>0</v>
      </c>
      <c r="N181" s="364">
        <v>217</v>
      </c>
      <c r="O181" s="365">
        <f t="shared" si="27"/>
        <v>0</v>
      </c>
      <c r="P181" s="57">
        <f t="shared" si="28"/>
        <v>0</v>
      </c>
      <c r="Q181" s="57">
        <f t="shared" si="29"/>
        <v>0</v>
      </c>
      <c r="R181" s="255"/>
      <c r="S181" s="255"/>
      <c r="T181" s="255"/>
      <c r="U181" s="255"/>
      <c r="V181" s="255"/>
      <c r="W181" s="255"/>
      <c r="X181" s="255"/>
      <c r="Y181" s="255"/>
      <c r="Z181" s="255"/>
      <c r="AA181" s="255"/>
      <c r="AB181" s="255"/>
      <c r="AC181" s="255"/>
      <c r="AD181" s="255"/>
    </row>
    <row r="182" spans="2:30" ht="15.75" customHeight="1" x14ac:dyDescent="0.45">
      <c r="B182" s="285">
        <v>11876317122</v>
      </c>
      <c r="C182" s="350" t="s">
        <v>593</v>
      </c>
      <c r="D182" s="194" t="s">
        <v>511</v>
      </c>
      <c r="E182" s="194">
        <v>8</v>
      </c>
      <c r="F182" s="194">
        <v>56</v>
      </c>
      <c r="G182" s="194"/>
      <c r="H182" s="194"/>
      <c r="I182" s="194">
        <f>(H19/(0.00001*300)/3000)</f>
        <v>0</v>
      </c>
      <c r="J182" s="219">
        <f>(30*BC!$B$47/F182)</f>
        <v>0</v>
      </c>
      <c r="K182" s="285">
        <f t="shared" si="24"/>
        <v>0</v>
      </c>
      <c r="L182" s="194">
        <f t="shared" si="25"/>
        <v>0</v>
      </c>
      <c r="M182" s="194">
        <f t="shared" si="26"/>
        <v>0</v>
      </c>
      <c r="N182" s="364">
        <v>205</v>
      </c>
      <c r="O182" s="365">
        <f t="shared" si="27"/>
        <v>0</v>
      </c>
      <c r="P182" s="57">
        <f t="shared" si="28"/>
        <v>0</v>
      </c>
      <c r="Q182" s="57">
        <f t="shared" si="29"/>
        <v>0</v>
      </c>
      <c r="R182" s="255"/>
      <c r="S182" s="255"/>
      <c r="T182" s="255"/>
      <c r="U182" s="255"/>
      <c r="V182" s="255"/>
      <c r="W182" s="255"/>
      <c r="X182" s="255"/>
      <c r="Y182" s="255"/>
      <c r="Z182" s="255"/>
      <c r="AA182" s="255"/>
      <c r="AB182" s="255"/>
      <c r="AC182" s="255"/>
      <c r="AD182" s="255"/>
    </row>
    <row r="183" spans="2:30" ht="15.75" customHeight="1" x14ac:dyDescent="0.45">
      <c r="B183" s="285">
        <v>3290379190</v>
      </c>
      <c r="C183" s="351" t="s">
        <v>594</v>
      </c>
      <c r="D183" s="194" t="s">
        <v>511</v>
      </c>
      <c r="E183" s="194">
        <v>8</v>
      </c>
      <c r="F183" s="194">
        <v>56</v>
      </c>
      <c r="G183" s="194"/>
      <c r="H183" s="194"/>
      <c r="I183" s="194">
        <f>(H20/(0.00001*300)/3000)</f>
        <v>0</v>
      </c>
      <c r="J183" s="219">
        <f>(30*BC!$B$47/F183)</f>
        <v>0</v>
      </c>
      <c r="K183" s="285">
        <f t="shared" si="24"/>
        <v>0</v>
      </c>
      <c r="L183" s="194">
        <f t="shared" si="25"/>
        <v>0</v>
      </c>
      <c r="M183" s="194">
        <f t="shared" si="26"/>
        <v>0</v>
      </c>
      <c r="N183" s="364">
        <v>149</v>
      </c>
      <c r="O183" s="365">
        <f t="shared" si="27"/>
        <v>0</v>
      </c>
      <c r="P183" s="57">
        <f t="shared" si="28"/>
        <v>0</v>
      </c>
      <c r="Q183" s="57">
        <f t="shared" si="29"/>
        <v>0</v>
      </c>
      <c r="R183" s="255"/>
      <c r="S183" s="255"/>
      <c r="T183" s="255"/>
      <c r="U183" s="255"/>
      <c r="V183" s="255"/>
      <c r="W183" s="255"/>
      <c r="X183" s="255"/>
      <c r="Y183" s="255"/>
      <c r="Z183" s="255"/>
      <c r="AA183" s="255"/>
      <c r="AB183" s="255"/>
      <c r="AC183" s="255"/>
      <c r="AD183" s="255"/>
    </row>
    <row r="184" spans="2:30" ht="15.75" customHeight="1" x14ac:dyDescent="0.45">
      <c r="B184" s="285">
        <v>9289313190</v>
      </c>
      <c r="C184" s="300" t="s">
        <v>595</v>
      </c>
      <c r="D184" s="194" t="s">
        <v>511</v>
      </c>
      <c r="E184" s="194">
        <v>2</v>
      </c>
      <c r="F184" s="194">
        <v>84</v>
      </c>
      <c r="G184" s="194"/>
      <c r="H184" s="194"/>
      <c r="I184" s="194">
        <f>(H22/(0.00001*300)/3000)</f>
        <v>0</v>
      </c>
      <c r="J184" s="219">
        <f>(30*BC!$B$47/F184)</f>
        <v>0</v>
      </c>
      <c r="K184" s="285">
        <f t="shared" si="24"/>
        <v>0</v>
      </c>
      <c r="L184" s="194">
        <f t="shared" si="25"/>
        <v>0</v>
      </c>
      <c r="M184" s="194">
        <f t="shared" si="26"/>
        <v>0</v>
      </c>
      <c r="N184" s="364">
        <v>184</v>
      </c>
      <c r="O184" s="365">
        <f t="shared" si="27"/>
        <v>0</v>
      </c>
      <c r="P184" s="57">
        <f t="shared" si="28"/>
        <v>0</v>
      </c>
      <c r="Q184" s="57">
        <f t="shared" si="29"/>
        <v>0</v>
      </c>
      <c r="R184" s="255"/>
      <c r="S184" s="255"/>
      <c r="T184" s="255"/>
      <c r="U184" s="255"/>
      <c r="V184" s="255"/>
      <c r="W184" s="255"/>
      <c r="X184" s="255"/>
      <c r="Y184" s="255"/>
      <c r="Z184" s="255"/>
      <c r="AA184" s="255"/>
      <c r="AB184" s="255"/>
      <c r="AC184" s="255"/>
      <c r="AD184" s="255"/>
    </row>
    <row r="185" spans="2:30" ht="15.75" customHeight="1" x14ac:dyDescent="0.45">
      <c r="B185" s="285">
        <v>4917049190</v>
      </c>
      <c r="C185" s="305" t="s">
        <v>596</v>
      </c>
      <c r="D185" s="194" t="s">
        <v>511</v>
      </c>
      <c r="E185" s="194">
        <v>2</v>
      </c>
      <c r="F185" s="194">
        <v>84</v>
      </c>
      <c r="G185" s="194"/>
      <c r="H185" s="194"/>
      <c r="I185" s="194">
        <f>(A24/(0.00005*300)/3000)</f>
        <v>0</v>
      </c>
      <c r="J185" s="219">
        <f>(30*BC!$B$47/F185)</f>
        <v>0</v>
      </c>
      <c r="K185" s="285">
        <f t="shared" si="24"/>
        <v>0</v>
      </c>
      <c r="L185" s="194">
        <f t="shared" si="25"/>
        <v>0</v>
      </c>
      <c r="M185" s="194">
        <f t="shared" si="26"/>
        <v>0</v>
      </c>
      <c r="N185" s="364">
        <v>127</v>
      </c>
      <c r="O185" s="365">
        <f t="shared" si="27"/>
        <v>0</v>
      </c>
      <c r="P185" s="57">
        <f t="shared" si="28"/>
        <v>0</v>
      </c>
      <c r="Q185" s="57">
        <f t="shared" si="29"/>
        <v>0</v>
      </c>
      <c r="R185" s="255"/>
      <c r="S185" s="255"/>
      <c r="T185" s="255"/>
      <c r="U185" s="255"/>
      <c r="V185" s="255"/>
      <c r="W185" s="255"/>
      <c r="X185" s="255"/>
      <c r="Y185" s="255"/>
      <c r="Z185" s="255"/>
      <c r="AA185" s="255"/>
      <c r="AB185" s="255"/>
      <c r="AC185" s="255"/>
      <c r="AD185" s="255"/>
    </row>
    <row r="186" spans="2:30" ht="15.75" customHeight="1" x14ac:dyDescent="0.45">
      <c r="B186" s="285">
        <v>7092571190</v>
      </c>
      <c r="C186" s="304" t="s">
        <v>597</v>
      </c>
      <c r="D186" s="194" t="s">
        <v>511</v>
      </c>
      <c r="E186" s="194">
        <v>8</v>
      </c>
      <c r="F186" s="194">
        <v>28</v>
      </c>
      <c r="G186" s="194"/>
      <c r="H186" s="194"/>
      <c r="I186" s="194">
        <f>(H31/(0.00001*300)/3000)</f>
        <v>0</v>
      </c>
      <c r="J186" s="219">
        <f>(30*BC!$B$47/F186)</f>
        <v>0</v>
      </c>
      <c r="K186" s="285">
        <f t="shared" ref="K186:K228" si="30">IF(J186&gt;I186,J186,I186)</f>
        <v>0</v>
      </c>
      <c r="L186" s="194">
        <f t="shared" ref="L186:L228" si="31">IF(I186=0,0,K186)</f>
        <v>0</v>
      </c>
      <c r="M186" s="194">
        <f t="shared" ref="M186:M228" si="32">ROUNDUP(L186,0)</f>
        <v>0</v>
      </c>
      <c r="N186" s="364">
        <v>284</v>
      </c>
      <c r="O186" s="365">
        <f t="shared" si="27"/>
        <v>0</v>
      </c>
      <c r="P186" s="57">
        <f t="shared" si="28"/>
        <v>0</v>
      </c>
      <c r="Q186" s="57">
        <f t="shared" si="29"/>
        <v>0</v>
      </c>
    </row>
    <row r="187" spans="2:30" ht="15.75" customHeight="1" x14ac:dyDescent="0.45">
      <c r="B187" s="352">
        <v>4784600190</v>
      </c>
      <c r="C187" s="306" t="s">
        <v>598</v>
      </c>
      <c r="D187" s="194" t="s">
        <v>511</v>
      </c>
      <c r="E187" s="194">
        <v>8</v>
      </c>
      <c r="F187" s="194">
        <v>56</v>
      </c>
      <c r="G187" s="194"/>
      <c r="H187" s="194"/>
      <c r="I187" s="194">
        <f>(H34/(0.00002*300)/3000)</f>
        <v>0</v>
      </c>
      <c r="J187" s="219">
        <f>(30*BC!$B$47/F187)</f>
        <v>0</v>
      </c>
      <c r="K187" s="285">
        <f t="shared" si="30"/>
        <v>0</v>
      </c>
      <c r="L187" s="194">
        <f t="shared" si="31"/>
        <v>0</v>
      </c>
      <c r="M187" s="194">
        <f t="shared" si="32"/>
        <v>0</v>
      </c>
      <c r="N187" s="364">
        <v>222</v>
      </c>
      <c r="O187" s="365">
        <f t="shared" si="27"/>
        <v>0</v>
      </c>
      <c r="P187" s="57">
        <f t="shared" si="28"/>
        <v>0</v>
      </c>
      <c r="Q187" s="57">
        <f t="shared" si="29"/>
        <v>0</v>
      </c>
    </row>
    <row r="188" spans="2:30" ht="15.75" customHeight="1" x14ac:dyDescent="0.45">
      <c r="B188" s="285">
        <v>4784626190</v>
      </c>
      <c r="C188" s="353" t="s">
        <v>599</v>
      </c>
      <c r="D188" s="194" t="s">
        <v>511</v>
      </c>
      <c r="E188" s="194">
        <v>8</v>
      </c>
      <c r="F188" s="194">
        <v>56</v>
      </c>
      <c r="G188" s="194"/>
      <c r="H188" s="194"/>
      <c r="I188" s="194">
        <f>(H35/(0.00002*300)/3000)</f>
        <v>0</v>
      </c>
      <c r="J188" s="219">
        <f>(30*BC!$B$47/F188)</f>
        <v>0</v>
      </c>
      <c r="K188" s="285">
        <f t="shared" si="30"/>
        <v>0</v>
      </c>
      <c r="L188" s="194">
        <f t="shared" si="31"/>
        <v>0</v>
      </c>
      <c r="M188" s="194">
        <f t="shared" si="32"/>
        <v>0</v>
      </c>
      <c r="N188" s="364">
        <v>153</v>
      </c>
      <c r="O188" s="365">
        <f t="shared" si="27"/>
        <v>0</v>
      </c>
      <c r="P188" s="57">
        <f t="shared" si="28"/>
        <v>0</v>
      </c>
      <c r="Q188" s="57">
        <f t="shared" si="29"/>
        <v>0</v>
      </c>
    </row>
    <row r="189" spans="2:30" ht="15.75" customHeight="1" x14ac:dyDescent="0.45">
      <c r="B189" s="285">
        <v>8355436190</v>
      </c>
      <c r="C189" s="311" t="s">
        <v>600</v>
      </c>
      <c r="D189" s="194" t="s">
        <v>511</v>
      </c>
      <c r="E189" s="194">
        <v>4</v>
      </c>
      <c r="F189" s="194">
        <v>84</v>
      </c>
      <c r="G189" s="194"/>
      <c r="H189" s="194"/>
      <c r="I189" s="194">
        <f>(H41/(0.00001*300)/3000)</f>
        <v>0</v>
      </c>
      <c r="J189" s="219">
        <f>(30*BC!$B$47/F189)</f>
        <v>0</v>
      </c>
      <c r="K189" s="285">
        <f t="shared" si="30"/>
        <v>0</v>
      </c>
      <c r="L189" s="194">
        <f t="shared" si="31"/>
        <v>0</v>
      </c>
      <c r="M189" s="194">
        <f t="shared" si="32"/>
        <v>0</v>
      </c>
      <c r="N189" s="364">
        <v>234</v>
      </c>
      <c r="O189" s="365">
        <f t="shared" si="27"/>
        <v>0</v>
      </c>
      <c r="P189" s="57">
        <f t="shared" si="28"/>
        <v>0</v>
      </c>
      <c r="Q189" s="57">
        <f t="shared" si="29"/>
        <v>0</v>
      </c>
    </row>
    <row r="190" spans="2:30" ht="15.75" customHeight="1" x14ac:dyDescent="0.45">
      <c r="B190" s="285">
        <v>8355428190</v>
      </c>
      <c r="C190" s="312" t="s">
        <v>601</v>
      </c>
      <c r="D190" s="194" t="s">
        <v>511</v>
      </c>
      <c r="E190" s="194">
        <v>3</v>
      </c>
      <c r="F190" s="194">
        <v>112</v>
      </c>
      <c r="G190" s="194"/>
      <c r="H190" s="194"/>
      <c r="I190" s="194">
        <f>(A33/(0.00001*300)/3000)</f>
        <v>0</v>
      </c>
      <c r="J190" s="219">
        <f>(30*BC!$B$47/F190)</f>
        <v>0</v>
      </c>
      <c r="K190" s="285">
        <f t="shared" si="30"/>
        <v>0</v>
      </c>
      <c r="L190" s="194">
        <f t="shared" si="31"/>
        <v>0</v>
      </c>
      <c r="M190" s="194">
        <f t="shared" si="32"/>
        <v>0</v>
      </c>
      <c r="N190" s="364">
        <v>973</v>
      </c>
      <c r="O190" s="365">
        <f t="shared" si="27"/>
        <v>0</v>
      </c>
      <c r="P190" s="57">
        <f t="shared" si="28"/>
        <v>0</v>
      </c>
      <c r="Q190" s="57">
        <f t="shared" si="29"/>
        <v>0</v>
      </c>
    </row>
    <row r="191" spans="2:30" ht="15.75" customHeight="1" x14ac:dyDescent="0.45">
      <c r="B191" s="285">
        <v>7294131190</v>
      </c>
      <c r="C191" s="285" t="s">
        <v>602</v>
      </c>
      <c r="D191" s="194" t="s">
        <v>511</v>
      </c>
      <c r="E191" s="194">
        <v>1</v>
      </c>
      <c r="F191" s="194">
        <v>28</v>
      </c>
      <c r="G191" s="194"/>
      <c r="H191" s="194"/>
      <c r="I191" s="194"/>
      <c r="J191" s="219">
        <f>(30*BC!$B$47/F191)</f>
        <v>0</v>
      </c>
      <c r="K191" s="285">
        <f t="shared" si="30"/>
        <v>0</v>
      </c>
      <c r="L191" s="194">
        <f t="shared" si="31"/>
        <v>0</v>
      </c>
      <c r="M191" s="194">
        <f t="shared" si="32"/>
        <v>0</v>
      </c>
      <c r="N191" s="364">
        <v>331</v>
      </c>
      <c r="O191" s="365">
        <f t="shared" si="27"/>
        <v>0</v>
      </c>
      <c r="P191" s="57">
        <f t="shared" si="28"/>
        <v>0</v>
      </c>
      <c r="Q191" s="57">
        <f t="shared" si="29"/>
        <v>0</v>
      </c>
    </row>
    <row r="192" spans="2:30" ht="15.75" customHeight="1" x14ac:dyDescent="0.45">
      <c r="B192" s="285">
        <v>7476108190</v>
      </c>
      <c r="C192" s="324" t="s">
        <v>603</v>
      </c>
      <c r="D192" s="194" t="s">
        <v>511</v>
      </c>
      <c r="E192" s="194">
        <v>2</v>
      </c>
      <c r="F192" s="194">
        <v>31</v>
      </c>
      <c r="G192" s="194"/>
      <c r="H192" s="194"/>
      <c r="I192" s="194">
        <f>(A36/(0.00002*300)/3000)</f>
        <v>0</v>
      </c>
      <c r="J192" s="219">
        <f>(30*BC!$B$47/F192)</f>
        <v>0</v>
      </c>
      <c r="K192" s="285">
        <f t="shared" si="30"/>
        <v>0</v>
      </c>
      <c r="L192" s="194">
        <f t="shared" si="31"/>
        <v>0</v>
      </c>
      <c r="M192" s="194">
        <f t="shared" si="32"/>
        <v>0</v>
      </c>
      <c r="N192" s="364">
        <v>472</v>
      </c>
      <c r="O192" s="365">
        <f t="shared" si="27"/>
        <v>0</v>
      </c>
      <c r="P192" s="57">
        <f t="shared" si="28"/>
        <v>0</v>
      </c>
      <c r="Q192" s="57">
        <f t="shared" si="29"/>
        <v>0</v>
      </c>
    </row>
    <row r="193" spans="2:17" ht="15.75" customHeight="1" x14ac:dyDescent="0.45">
      <c r="B193" s="285">
        <v>11876376122</v>
      </c>
      <c r="C193" s="317" t="s">
        <v>604</v>
      </c>
      <c r="D193" s="194" t="s">
        <v>511</v>
      </c>
      <c r="E193" s="194">
        <v>8</v>
      </c>
      <c r="F193" s="194">
        <v>56</v>
      </c>
      <c r="G193" s="194"/>
      <c r="H193" s="194"/>
      <c r="I193" s="194">
        <f>(H53/(0.00001*300)/3000)</f>
        <v>0</v>
      </c>
      <c r="J193" s="219">
        <f>(30*BC!$B$47/F193)</f>
        <v>0</v>
      </c>
      <c r="K193" s="285">
        <f t="shared" si="30"/>
        <v>0</v>
      </c>
      <c r="L193" s="194">
        <f t="shared" si="31"/>
        <v>0</v>
      </c>
      <c r="M193" s="194">
        <f t="shared" si="32"/>
        <v>0</v>
      </c>
      <c r="N193" s="364">
        <v>208</v>
      </c>
      <c r="O193" s="365">
        <f t="shared" si="27"/>
        <v>0</v>
      </c>
      <c r="P193" s="57">
        <f t="shared" si="28"/>
        <v>0</v>
      </c>
      <c r="Q193" s="57">
        <f t="shared" si="29"/>
        <v>0</v>
      </c>
    </row>
    <row r="194" spans="2:17" ht="15.75" customHeight="1" x14ac:dyDescent="0.45">
      <c r="B194" s="285">
        <v>4687876190</v>
      </c>
      <c r="C194" s="354" t="s">
        <v>605</v>
      </c>
      <c r="D194" s="194" t="s">
        <v>511</v>
      </c>
      <c r="E194" s="194">
        <v>8</v>
      </c>
      <c r="F194" s="194">
        <v>56</v>
      </c>
      <c r="G194" s="194"/>
      <c r="H194" s="194"/>
      <c r="I194" s="194">
        <f>(H54/(0.00001*300)/3000)</f>
        <v>0</v>
      </c>
      <c r="J194" s="219">
        <f>(30*BC!$B$47/F194)</f>
        <v>0</v>
      </c>
      <c r="K194" s="285">
        <f t="shared" si="30"/>
        <v>0</v>
      </c>
      <c r="L194" s="194">
        <f t="shared" si="31"/>
        <v>0</v>
      </c>
      <c r="M194" s="194">
        <f t="shared" si="32"/>
        <v>0</v>
      </c>
      <c r="N194" s="364">
        <v>212</v>
      </c>
      <c r="O194" s="365">
        <f t="shared" si="27"/>
        <v>0</v>
      </c>
      <c r="P194" s="57">
        <f t="shared" si="28"/>
        <v>0</v>
      </c>
      <c r="Q194" s="57">
        <f t="shared" si="29"/>
        <v>0</v>
      </c>
    </row>
    <row r="195" spans="2:17" ht="15.75" customHeight="1" x14ac:dyDescent="0.45">
      <c r="B195" s="285">
        <v>7143745190</v>
      </c>
      <c r="C195" s="285" t="s">
        <v>606</v>
      </c>
      <c r="D195" s="194" t="s">
        <v>511</v>
      </c>
      <c r="E195" s="194">
        <v>5</v>
      </c>
      <c r="F195" s="194">
        <v>56</v>
      </c>
      <c r="G195" s="194"/>
      <c r="H195" s="194"/>
      <c r="I195" s="194"/>
      <c r="J195" s="219">
        <f>(30*BC!$B$47/F195)</f>
        <v>0</v>
      </c>
      <c r="K195" s="285">
        <f t="shared" si="30"/>
        <v>0</v>
      </c>
      <c r="L195" s="194">
        <f t="shared" si="31"/>
        <v>0</v>
      </c>
      <c r="M195" s="194">
        <f t="shared" si="32"/>
        <v>0</v>
      </c>
      <c r="N195" s="364">
        <v>289</v>
      </c>
      <c r="O195" s="365">
        <f t="shared" si="27"/>
        <v>0</v>
      </c>
      <c r="P195" s="57">
        <f t="shared" si="28"/>
        <v>0</v>
      </c>
      <c r="Q195" s="57">
        <f t="shared" si="29"/>
        <v>0</v>
      </c>
    </row>
    <row r="196" spans="2:17" ht="15.75" customHeight="1" x14ac:dyDescent="0.45">
      <c r="B196" s="285">
        <v>5950953190</v>
      </c>
      <c r="C196" s="319" t="s">
        <v>607</v>
      </c>
      <c r="D196" s="194" t="s">
        <v>511</v>
      </c>
      <c r="E196" s="194">
        <v>2</v>
      </c>
      <c r="F196" s="194">
        <v>28</v>
      </c>
      <c r="G196" s="194"/>
      <c r="H196" s="194"/>
      <c r="I196" s="194">
        <f>(H57/(0.00002*300)/3000)</f>
        <v>0</v>
      </c>
      <c r="J196" s="219">
        <f>(30*BC!$B$47/F196)</f>
        <v>0</v>
      </c>
      <c r="K196" s="285">
        <f t="shared" si="30"/>
        <v>0</v>
      </c>
      <c r="L196" s="194">
        <f t="shared" si="31"/>
        <v>0</v>
      </c>
      <c r="M196" s="194">
        <f t="shared" si="32"/>
        <v>0</v>
      </c>
      <c r="N196" s="364">
        <v>237</v>
      </c>
      <c r="O196" s="365">
        <f t="shared" si="27"/>
        <v>0</v>
      </c>
      <c r="P196" s="57">
        <f t="shared" si="28"/>
        <v>0</v>
      </c>
      <c r="Q196" s="57">
        <f t="shared" si="29"/>
        <v>0</v>
      </c>
    </row>
    <row r="197" spans="2:17" ht="15.75" customHeight="1" x14ac:dyDescent="0.45">
      <c r="B197" s="285">
        <v>6924107190</v>
      </c>
      <c r="C197" s="355" t="s">
        <v>608</v>
      </c>
      <c r="D197" s="194" t="s">
        <v>511</v>
      </c>
      <c r="E197" s="194">
        <v>3</v>
      </c>
      <c r="F197" s="194">
        <v>84</v>
      </c>
      <c r="G197" s="194"/>
      <c r="H197" s="194"/>
      <c r="I197" s="194">
        <f>(H59/(0.00001*300)/3000)</f>
        <v>0</v>
      </c>
      <c r="J197" s="219">
        <f>(30*BC!$B$47/F197)</f>
        <v>0</v>
      </c>
      <c r="K197" s="285">
        <f t="shared" si="30"/>
        <v>0</v>
      </c>
      <c r="L197" s="194">
        <f t="shared" si="31"/>
        <v>0</v>
      </c>
      <c r="M197" s="194">
        <f t="shared" si="32"/>
        <v>0</v>
      </c>
      <c r="N197" s="364">
        <v>583</v>
      </c>
      <c r="O197" s="365">
        <f t="shared" si="27"/>
        <v>0</v>
      </c>
      <c r="P197" s="57">
        <f t="shared" si="28"/>
        <v>0</v>
      </c>
      <c r="Q197" s="57">
        <f t="shared" si="29"/>
        <v>0</v>
      </c>
    </row>
    <row r="198" spans="2:17" ht="15.75" customHeight="1" x14ac:dyDescent="0.45">
      <c r="B198" s="285">
        <v>5572207190</v>
      </c>
      <c r="C198" s="356" t="s">
        <v>609</v>
      </c>
      <c r="D198" s="194" t="s">
        <v>511</v>
      </c>
      <c r="E198" s="194">
        <v>2</v>
      </c>
      <c r="F198" s="194">
        <v>28</v>
      </c>
      <c r="G198" s="194"/>
      <c r="H198" s="194"/>
      <c r="I198" s="194">
        <f>(H88/(0.00001*300)/3000)</f>
        <v>0</v>
      </c>
      <c r="J198" s="219">
        <f>(30*BC!$B$47/F198)</f>
        <v>0</v>
      </c>
      <c r="K198" s="285">
        <f t="shared" si="30"/>
        <v>0</v>
      </c>
      <c r="L198" s="194">
        <f t="shared" si="31"/>
        <v>0</v>
      </c>
      <c r="M198" s="194">
        <f t="shared" si="32"/>
        <v>0</v>
      </c>
      <c r="N198" s="364">
        <v>420</v>
      </c>
      <c r="O198" s="365">
        <f t="shared" si="27"/>
        <v>0</v>
      </c>
      <c r="P198" s="57">
        <f t="shared" si="28"/>
        <v>0</v>
      </c>
      <c r="Q198" s="57">
        <f t="shared" si="29"/>
        <v>0</v>
      </c>
    </row>
    <row r="199" spans="2:17" ht="15.75" customHeight="1" x14ac:dyDescent="0.45">
      <c r="B199" s="285">
        <v>7108133190</v>
      </c>
      <c r="C199" s="357" t="s">
        <v>610</v>
      </c>
      <c r="D199" s="194" t="s">
        <v>511</v>
      </c>
      <c r="E199" s="194">
        <v>3</v>
      </c>
      <c r="F199" s="194">
        <v>84</v>
      </c>
      <c r="G199" s="194"/>
      <c r="H199" s="194"/>
      <c r="I199" s="194">
        <f>(H62/(0.00001*300)/3000)</f>
        <v>0</v>
      </c>
      <c r="J199" s="219">
        <f>(30*BC!$B$47/F199)</f>
        <v>0</v>
      </c>
      <c r="K199" s="285">
        <f t="shared" si="30"/>
        <v>0</v>
      </c>
      <c r="L199" s="194">
        <f t="shared" si="31"/>
        <v>0</v>
      </c>
      <c r="M199" s="194">
        <f t="shared" si="32"/>
        <v>0</v>
      </c>
      <c r="N199" s="364">
        <v>184</v>
      </c>
      <c r="O199" s="365">
        <f t="shared" si="27"/>
        <v>0</v>
      </c>
      <c r="P199" s="57">
        <f t="shared" si="28"/>
        <v>0</v>
      </c>
      <c r="Q199" s="57">
        <f t="shared" si="29"/>
        <v>0</v>
      </c>
    </row>
    <row r="200" spans="2:17" ht="15.75" customHeight="1" x14ac:dyDescent="0.45">
      <c r="B200" s="285">
        <v>5889081190</v>
      </c>
      <c r="C200" s="285" t="s">
        <v>611</v>
      </c>
      <c r="D200" s="194" t="s">
        <v>511</v>
      </c>
      <c r="E200" s="194">
        <v>1</v>
      </c>
      <c r="F200" s="194">
        <v>28</v>
      </c>
      <c r="G200" s="194"/>
      <c r="H200" s="194"/>
      <c r="I200" s="194"/>
      <c r="J200" s="219">
        <f>(30*BC!$B$47/F200)</f>
        <v>0</v>
      </c>
      <c r="K200" s="285">
        <f t="shared" si="30"/>
        <v>0</v>
      </c>
      <c r="L200" s="194">
        <f t="shared" si="31"/>
        <v>0</v>
      </c>
      <c r="M200" s="194">
        <f t="shared" si="32"/>
        <v>0</v>
      </c>
      <c r="N200" s="364">
        <v>656</v>
      </c>
      <c r="O200" s="365">
        <f t="shared" si="27"/>
        <v>0</v>
      </c>
      <c r="P200" s="57">
        <f t="shared" si="28"/>
        <v>0</v>
      </c>
      <c r="Q200" s="57">
        <f t="shared" si="29"/>
        <v>0</v>
      </c>
    </row>
    <row r="201" spans="2:17" ht="15.75" customHeight="1" x14ac:dyDescent="0.45">
      <c r="B201" s="285">
        <v>7360070190</v>
      </c>
      <c r="C201" s="333" t="s">
        <v>612</v>
      </c>
      <c r="D201" s="194" t="s">
        <v>511</v>
      </c>
      <c r="E201" s="194">
        <v>2</v>
      </c>
      <c r="F201" s="194">
        <v>28</v>
      </c>
      <c r="G201" s="194"/>
      <c r="H201" s="194"/>
      <c r="I201" s="194"/>
      <c r="J201" s="219">
        <f>(30*BC!$B$47/F201)</f>
        <v>0</v>
      </c>
      <c r="K201" s="285">
        <f t="shared" si="30"/>
        <v>0</v>
      </c>
      <c r="L201" s="194">
        <f t="shared" si="31"/>
        <v>0</v>
      </c>
      <c r="M201" s="194">
        <f t="shared" si="32"/>
        <v>0</v>
      </c>
      <c r="N201" s="364">
        <v>278</v>
      </c>
      <c r="O201" s="365">
        <f t="shared" si="27"/>
        <v>0</v>
      </c>
      <c r="P201" s="57">
        <f t="shared" si="28"/>
        <v>0</v>
      </c>
      <c r="Q201" s="57">
        <f t="shared" si="29"/>
        <v>0</v>
      </c>
    </row>
    <row r="202" spans="2:17" ht="15.75" customHeight="1" x14ac:dyDescent="0.45">
      <c r="B202" s="285">
        <v>5341787190</v>
      </c>
      <c r="C202" s="284" t="s">
        <v>613</v>
      </c>
      <c r="D202" s="194" t="s">
        <v>511</v>
      </c>
      <c r="E202" s="194">
        <v>3</v>
      </c>
      <c r="F202" s="194">
        <v>31</v>
      </c>
      <c r="G202" s="194"/>
      <c r="H202" s="194"/>
      <c r="I202" s="194">
        <f>(A9/(0.00001*300)/3000)</f>
        <v>0</v>
      </c>
      <c r="J202" s="219">
        <f>(30*BC!$B$47/F202)</f>
        <v>0</v>
      </c>
      <c r="K202" s="285">
        <f t="shared" si="30"/>
        <v>0</v>
      </c>
      <c r="L202" s="194">
        <f t="shared" si="31"/>
        <v>0</v>
      </c>
      <c r="M202" s="194">
        <f t="shared" si="32"/>
        <v>0</v>
      </c>
      <c r="N202" s="364">
        <v>425</v>
      </c>
      <c r="O202" s="365">
        <f t="shared" si="27"/>
        <v>0</v>
      </c>
      <c r="P202" s="57">
        <f t="shared" si="28"/>
        <v>0</v>
      </c>
      <c r="Q202" s="57">
        <f t="shared" si="29"/>
        <v>0</v>
      </c>
    </row>
    <row r="203" spans="2:17" ht="15.75" customHeight="1" x14ac:dyDescent="0.45">
      <c r="B203" s="285">
        <v>6505988190</v>
      </c>
      <c r="C203" s="329" t="s">
        <v>614</v>
      </c>
      <c r="D203" s="194" t="s">
        <v>511</v>
      </c>
      <c r="E203" s="194">
        <v>2</v>
      </c>
      <c r="F203" s="194"/>
      <c r="G203" s="194"/>
      <c r="H203" s="194"/>
      <c r="I203" s="194"/>
      <c r="J203" s="219" t="e">
        <f>(30*BC!$B$47/F203)</f>
        <v>#DIV/0!</v>
      </c>
      <c r="K203" s="285" t="e">
        <f t="shared" si="30"/>
        <v>#DIV/0!</v>
      </c>
      <c r="L203" s="194">
        <f t="shared" si="31"/>
        <v>0</v>
      </c>
      <c r="M203" s="194">
        <f t="shared" si="32"/>
        <v>0</v>
      </c>
      <c r="N203" s="364">
        <v>141</v>
      </c>
      <c r="O203" s="365">
        <f t="shared" si="27"/>
        <v>0</v>
      </c>
      <c r="P203" s="57">
        <f t="shared" si="28"/>
        <v>0</v>
      </c>
      <c r="Q203" s="57">
        <f t="shared" si="29"/>
        <v>0</v>
      </c>
    </row>
    <row r="204" spans="2:17" ht="15.75" customHeight="1" x14ac:dyDescent="0.45">
      <c r="B204" s="285">
        <v>4618807190</v>
      </c>
      <c r="C204" s="358" t="s">
        <v>615</v>
      </c>
      <c r="D204" s="194" t="s">
        <v>511</v>
      </c>
      <c r="E204" s="194">
        <v>8</v>
      </c>
      <c r="F204" s="194">
        <v>56</v>
      </c>
      <c r="G204" s="194"/>
      <c r="H204" s="194"/>
      <c r="I204" s="194">
        <f>(G82/(0.00002*300)/3000)</f>
        <v>0</v>
      </c>
      <c r="J204" s="219">
        <f>(30*BC!$B$47/F204)</f>
        <v>0</v>
      </c>
      <c r="K204" s="285">
        <f t="shared" si="30"/>
        <v>0</v>
      </c>
      <c r="L204" s="194">
        <f t="shared" si="31"/>
        <v>0</v>
      </c>
      <c r="M204" s="194">
        <f t="shared" si="32"/>
        <v>0</v>
      </c>
      <c r="N204" s="364">
        <v>225</v>
      </c>
      <c r="O204" s="365">
        <f t="shared" si="27"/>
        <v>0</v>
      </c>
      <c r="P204" s="57">
        <f t="shared" si="28"/>
        <v>0</v>
      </c>
      <c r="Q204" s="57">
        <f t="shared" si="29"/>
        <v>0</v>
      </c>
    </row>
    <row r="205" spans="2:17" ht="15.75" customHeight="1" x14ac:dyDescent="0.45">
      <c r="B205" s="285">
        <v>9787518190</v>
      </c>
      <c r="C205" s="359" t="s">
        <v>616</v>
      </c>
      <c r="D205" s="194" t="s">
        <v>511</v>
      </c>
      <c r="E205" s="194">
        <v>4</v>
      </c>
      <c r="F205" s="194">
        <v>56</v>
      </c>
      <c r="G205" s="194"/>
      <c r="H205" s="194"/>
      <c r="I205" s="194">
        <f>(H83/(0.00002*300)/3000)</f>
        <v>0</v>
      </c>
      <c r="J205" s="219">
        <f>(30*BC!$B$47/F205)</f>
        <v>0</v>
      </c>
      <c r="K205" s="285">
        <f t="shared" si="30"/>
        <v>0</v>
      </c>
      <c r="L205" s="194">
        <f t="shared" si="31"/>
        <v>0</v>
      </c>
      <c r="M205" s="194">
        <f t="shared" si="32"/>
        <v>0</v>
      </c>
      <c r="N205" s="364">
        <v>334</v>
      </c>
      <c r="O205" s="365">
        <f t="shared" si="27"/>
        <v>0</v>
      </c>
      <c r="P205" s="57">
        <f t="shared" si="28"/>
        <v>0</v>
      </c>
      <c r="Q205" s="57">
        <f t="shared" si="29"/>
        <v>0</v>
      </c>
    </row>
    <row r="206" spans="2:17" ht="15.75" customHeight="1" x14ac:dyDescent="0.45">
      <c r="B206" s="285">
        <v>9345302190</v>
      </c>
      <c r="C206" s="332" t="s">
        <v>617</v>
      </c>
      <c r="D206" s="194" t="s">
        <v>511</v>
      </c>
      <c r="E206" s="194">
        <v>3</v>
      </c>
      <c r="F206" s="194">
        <v>21</v>
      </c>
      <c r="G206" s="194"/>
      <c r="H206" s="194"/>
      <c r="I206" s="194"/>
      <c r="J206" s="219">
        <f>(30*BC!$B$47/F206)</f>
        <v>0</v>
      </c>
      <c r="K206" s="285">
        <f t="shared" si="30"/>
        <v>0</v>
      </c>
      <c r="L206" s="194">
        <f t="shared" si="31"/>
        <v>0</v>
      </c>
      <c r="M206" s="194">
        <f t="shared" si="32"/>
        <v>0</v>
      </c>
      <c r="N206" s="364">
        <v>287</v>
      </c>
      <c r="O206" s="365">
        <f t="shared" si="27"/>
        <v>0</v>
      </c>
      <c r="P206" s="57">
        <f t="shared" si="28"/>
        <v>0</v>
      </c>
      <c r="Q206" s="57">
        <f t="shared" si="29"/>
        <v>0</v>
      </c>
    </row>
    <row r="207" spans="2:17" ht="15.75" customHeight="1" x14ac:dyDescent="0.45">
      <c r="B207" s="285">
        <v>6923364190</v>
      </c>
      <c r="C207" s="334" t="s">
        <v>618</v>
      </c>
      <c r="D207" s="194" t="s">
        <v>511</v>
      </c>
      <c r="E207" s="194">
        <v>2</v>
      </c>
      <c r="F207" s="194">
        <v>168</v>
      </c>
      <c r="G207" s="194"/>
      <c r="H207" s="194"/>
      <c r="I207" s="194"/>
      <c r="J207" s="219">
        <f>(30*BC!$B$47/F207)</f>
        <v>0</v>
      </c>
      <c r="K207" s="285">
        <f t="shared" si="30"/>
        <v>0</v>
      </c>
      <c r="L207" s="194">
        <f t="shared" si="31"/>
        <v>0</v>
      </c>
      <c r="M207" s="194">
        <f t="shared" si="32"/>
        <v>0</v>
      </c>
      <c r="N207" s="364">
        <v>101</v>
      </c>
      <c r="O207" s="365">
        <f t="shared" si="27"/>
        <v>0</v>
      </c>
      <c r="P207" s="57">
        <f t="shared" si="28"/>
        <v>0</v>
      </c>
      <c r="Q207" s="57">
        <f t="shared" si="29"/>
        <v>0</v>
      </c>
    </row>
    <row r="208" spans="2:17" ht="15.75" customHeight="1" x14ac:dyDescent="0.45">
      <c r="B208" s="285">
        <v>5042666191</v>
      </c>
      <c r="C208" s="301" t="s">
        <v>619</v>
      </c>
      <c r="D208" s="194" t="s">
        <v>511</v>
      </c>
      <c r="E208" s="194">
        <v>2</v>
      </c>
      <c r="F208" s="194">
        <v>28</v>
      </c>
      <c r="G208" s="194"/>
      <c r="H208" s="194"/>
      <c r="I208" s="194">
        <f>(A12/(0.00008*300)/3000)</f>
        <v>0</v>
      </c>
      <c r="J208" s="219">
        <f>(30*BC!$B$47/F208)</f>
        <v>0</v>
      </c>
      <c r="K208" s="285">
        <f t="shared" si="30"/>
        <v>0</v>
      </c>
      <c r="L208" s="194">
        <f t="shared" si="31"/>
        <v>0</v>
      </c>
      <c r="M208" s="194">
        <f t="shared" si="32"/>
        <v>0</v>
      </c>
      <c r="N208" s="364">
        <v>191</v>
      </c>
      <c r="O208" s="365">
        <f t="shared" si="27"/>
        <v>0</v>
      </c>
      <c r="P208" s="57">
        <f t="shared" si="28"/>
        <v>0</v>
      </c>
      <c r="Q208" s="57">
        <f t="shared" si="29"/>
        <v>0</v>
      </c>
    </row>
    <row r="209" spans="2:30" ht="15.75" customHeight="1" x14ac:dyDescent="0.45">
      <c r="B209" s="285">
        <v>4618823190</v>
      </c>
      <c r="C209" s="336" t="s">
        <v>620</v>
      </c>
      <c r="D209" s="194" t="s">
        <v>511</v>
      </c>
      <c r="E209" s="194">
        <v>8</v>
      </c>
      <c r="F209" s="194">
        <v>56</v>
      </c>
      <c r="G209" s="194"/>
      <c r="H209" s="194"/>
      <c r="I209" s="194">
        <f>(H95/(0.00002*300)/3000)</f>
        <v>0</v>
      </c>
      <c r="J209" s="219">
        <f>(30*BC!$B$47/F209)</f>
        <v>0</v>
      </c>
      <c r="K209" s="285">
        <f t="shared" si="30"/>
        <v>0</v>
      </c>
      <c r="L209" s="194">
        <f t="shared" si="31"/>
        <v>0</v>
      </c>
      <c r="M209" s="194">
        <f t="shared" si="32"/>
        <v>0</v>
      </c>
      <c r="N209" s="364">
        <v>248</v>
      </c>
      <c r="O209" s="365">
        <f t="shared" si="27"/>
        <v>0</v>
      </c>
      <c r="P209" s="57">
        <f t="shared" si="28"/>
        <v>0</v>
      </c>
      <c r="Q209" s="57">
        <f t="shared" si="29"/>
        <v>0</v>
      </c>
    </row>
    <row r="210" spans="2:30" ht="15.75" customHeight="1" x14ac:dyDescent="0.45">
      <c r="B210" s="285">
        <v>5802580190</v>
      </c>
      <c r="C210" s="360" t="s">
        <v>621</v>
      </c>
      <c r="D210" s="194" t="s">
        <v>511</v>
      </c>
      <c r="E210" s="194">
        <v>3</v>
      </c>
      <c r="F210" s="194">
        <v>56</v>
      </c>
      <c r="G210" s="194"/>
      <c r="H210" s="194"/>
      <c r="I210" s="194"/>
      <c r="J210" s="219">
        <f>(30*BC!$B$47/F210)</f>
        <v>0</v>
      </c>
      <c r="K210" s="285">
        <f t="shared" si="30"/>
        <v>0</v>
      </c>
      <c r="L210" s="194">
        <f t="shared" si="31"/>
        <v>0</v>
      </c>
      <c r="M210" s="194">
        <f t="shared" si="32"/>
        <v>0</v>
      </c>
      <c r="N210" s="364">
        <v>1238</v>
      </c>
      <c r="O210" s="365">
        <f t="shared" si="27"/>
        <v>0</v>
      </c>
      <c r="P210" s="57">
        <f t="shared" si="28"/>
        <v>0</v>
      </c>
      <c r="Q210" s="57">
        <f t="shared" si="29"/>
        <v>0</v>
      </c>
    </row>
    <row r="211" spans="2:30" ht="15.75" customHeight="1" x14ac:dyDescent="0.45">
      <c r="B211" s="285">
        <v>4618866190</v>
      </c>
      <c r="C211" s="361" t="s">
        <v>622</v>
      </c>
      <c r="D211" s="194" t="s">
        <v>511</v>
      </c>
      <c r="E211" s="194">
        <v>8</v>
      </c>
      <c r="F211" s="194">
        <v>56</v>
      </c>
      <c r="G211" s="194"/>
      <c r="H211" s="194"/>
      <c r="I211" s="194">
        <f>(H96/(0.00002*300)/3000)</f>
        <v>0</v>
      </c>
      <c r="J211" s="219">
        <f>(30*BC!$B$47/F211)</f>
        <v>0</v>
      </c>
      <c r="K211" s="285">
        <f t="shared" si="30"/>
        <v>0</v>
      </c>
      <c r="L211" s="194">
        <f t="shared" si="31"/>
        <v>0</v>
      </c>
      <c r="M211" s="194">
        <f t="shared" si="32"/>
        <v>0</v>
      </c>
      <c r="N211" s="364">
        <v>268</v>
      </c>
      <c r="O211" s="365">
        <f t="shared" si="27"/>
        <v>0</v>
      </c>
      <c r="P211" s="57">
        <f t="shared" si="28"/>
        <v>0</v>
      </c>
      <c r="Q211" s="57">
        <f t="shared" si="29"/>
        <v>0</v>
      </c>
    </row>
    <row r="212" spans="2:30" ht="15.75" customHeight="1" x14ac:dyDescent="0.45">
      <c r="B212" s="285">
        <v>5095107190</v>
      </c>
      <c r="C212" s="339" t="s">
        <v>623</v>
      </c>
      <c r="D212" s="194" t="s">
        <v>511</v>
      </c>
      <c r="E212" s="194">
        <v>2</v>
      </c>
      <c r="F212" s="194">
        <v>84</v>
      </c>
      <c r="G212" s="194"/>
      <c r="H212" s="194"/>
      <c r="I212" s="194">
        <f>(A30/(0.00005*300)/3000)</f>
        <v>0</v>
      </c>
      <c r="J212" s="219">
        <f>(30*BC!$B$47/F212)</f>
        <v>0</v>
      </c>
      <c r="K212" s="285">
        <f t="shared" si="30"/>
        <v>0</v>
      </c>
      <c r="L212" s="194">
        <f t="shared" si="31"/>
        <v>0</v>
      </c>
      <c r="M212" s="194">
        <f t="shared" si="32"/>
        <v>0</v>
      </c>
      <c r="N212" s="364">
        <v>87</v>
      </c>
      <c r="O212" s="365">
        <f t="shared" si="27"/>
        <v>0</v>
      </c>
      <c r="P212" s="57">
        <f t="shared" si="28"/>
        <v>0</v>
      </c>
      <c r="Q212" s="57">
        <f t="shared" si="29"/>
        <v>0</v>
      </c>
    </row>
    <row r="213" spans="2:30" ht="15.75" customHeight="1" x14ac:dyDescent="0.45">
      <c r="B213" s="285">
        <v>11776452122</v>
      </c>
      <c r="C213" s="303" t="s">
        <v>624</v>
      </c>
      <c r="D213" s="194" t="s">
        <v>511</v>
      </c>
      <c r="E213" s="194">
        <v>2</v>
      </c>
      <c r="F213" s="194">
        <v>28</v>
      </c>
      <c r="G213" s="194"/>
      <c r="H213" s="194"/>
      <c r="I213" s="194">
        <f>(A21/(0.00021*300)/3000)</f>
        <v>0</v>
      </c>
      <c r="J213" s="219">
        <f>(30*BC!$B$47/F213)</f>
        <v>0</v>
      </c>
      <c r="K213" s="285">
        <f t="shared" si="30"/>
        <v>0</v>
      </c>
      <c r="L213" s="194">
        <f t="shared" si="31"/>
        <v>0</v>
      </c>
      <c r="M213" s="194">
        <f t="shared" si="32"/>
        <v>0</v>
      </c>
      <c r="N213" s="364">
        <v>189</v>
      </c>
      <c r="O213" s="365">
        <f t="shared" si="27"/>
        <v>0</v>
      </c>
      <c r="P213" s="57">
        <f t="shared" si="28"/>
        <v>0</v>
      </c>
      <c r="Q213" s="57">
        <f t="shared" si="29"/>
        <v>0</v>
      </c>
    </row>
    <row r="214" spans="2:30" ht="15.75" customHeight="1" x14ac:dyDescent="0.45">
      <c r="B214" s="285">
        <v>11731416190</v>
      </c>
      <c r="C214" s="310" t="s">
        <v>625</v>
      </c>
      <c r="D214" s="194" t="s">
        <v>511</v>
      </c>
      <c r="E214" s="194">
        <v>2</v>
      </c>
      <c r="F214" s="194">
        <v>28</v>
      </c>
      <c r="G214" s="194"/>
      <c r="H214" s="194"/>
      <c r="I214" s="194">
        <f>(A18/(0.0008*300)/3000)</f>
        <v>0</v>
      </c>
      <c r="J214" s="219">
        <f>(30*BC!$B$47/F214)</f>
        <v>0</v>
      </c>
      <c r="K214" s="285">
        <f t="shared" si="30"/>
        <v>0</v>
      </c>
      <c r="L214" s="194">
        <f t="shared" si="31"/>
        <v>0</v>
      </c>
      <c r="M214" s="194">
        <f t="shared" si="32"/>
        <v>0</v>
      </c>
      <c r="N214" s="364">
        <v>101</v>
      </c>
      <c r="O214" s="365">
        <f t="shared" si="27"/>
        <v>0</v>
      </c>
      <c r="P214" s="57">
        <f t="shared" si="28"/>
        <v>0</v>
      </c>
      <c r="Q214" s="57">
        <f t="shared" si="29"/>
        <v>0</v>
      </c>
    </row>
    <row r="215" spans="2:30" ht="15.75" customHeight="1" x14ac:dyDescent="0.45">
      <c r="B215" s="285">
        <v>5618860190</v>
      </c>
      <c r="C215" s="315" t="s">
        <v>626</v>
      </c>
      <c r="D215" s="194" t="s">
        <v>511</v>
      </c>
      <c r="E215" s="194">
        <v>2</v>
      </c>
      <c r="F215" s="194">
        <v>28</v>
      </c>
      <c r="G215" s="194"/>
      <c r="H215" s="194"/>
      <c r="I215" s="194">
        <f>(A15/(0.000018*300)/3000)</f>
        <v>0</v>
      </c>
      <c r="J215" s="219">
        <f>(30*BC!$B$47/F215)</f>
        <v>0</v>
      </c>
      <c r="K215" s="285">
        <f t="shared" si="30"/>
        <v>0</v>
      </c>
      <c r="L215" s="194">
        <f t="shared" si="31"/>
        <v>0</v>
      </c>
      <c r="M215" s="194">
        <f t="shared" si="32"/>
        <v>0</v>
      </c>
      <c r="N215" s="364">
        <v>355</v>
      </c>
      <c r="O215" s="365">
        <f t="shared" si="27"/>
        <v>0</v>
      </c>
      <c r="P215" s="57">
        <f t="shared" si="28"/>
        <v>0</v>
      </c>
      <c r="Q215" s="57">
        <f t="shared" si="29"/>
        <v>0</v>
      </c>
    </row>
    <row r="216" spans="2:30" ht="15.75" customHeight="1" x14ac:dyDescent="0.45">
      <c r="B216" s="285">
        <v>9038124190</v>
      </c>
      <c r="C216" s="362" t="s">
        <v>627</v>
      </c>
      <c r="D216" s="194" t="s">
        <v>511</v>
      </c>
      <c r="E216" s="194">
        <v>3</v>
      </c>
      <c r="F216" s="194">
        <v>31</v>
      </c>
      <c r="G216" s="194"/>
      <c r="H216" s="194"/>
      <c r="I216" s="194">
        <f>(H102/(0.00008*300)/3000)</f>
        <v>0</v>
      </c>
      <c r="J216" s="219">
        <f>(30*BC!$B$47/F216)</f>
        <v>0</v>
      </c>
      <c r="K216" s="285">
        <f t="shared" si="30"/>
        <v>0</v>
      </c>
      <c r="L216" s="194">
        <f t="shared" si="31"/>
        <v>0</v>
      </c>
      <c r="M216" s="194">
        <f t="shared" si="32"/>
        <v>0</v>
      </c>
      <c r="N216" s="364">
        <v>97</v>
      </c>
      <c r="O216" s="365">
        <f t="shared" si="27"/>
        <v>0</v>
      </c>
      <c r="P216" s="57">
        <f t="shared" si="28"/>
        <v>0</v>
      </c>
      <c r="Q216" s="57">
        <f t="shared" si="29"/>
        <v>0</v>
      </c>
      <c r="R216" s="97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  <c r="AD216" s="97"/>
    </row>
    <row r="217" spans="2:30" ht="15.75" customHeight="1" x14ac:dyDescent="0.45">
      <c r="B217" s="384" t="s">
        <v>8</v>
      </c>
      <c r="C217" s="380"/>
      <c r="D217" s="380"/>
      <c r="E217" s="380" t="s">
        <v>183</v>
      </c>
      <c r="F217" s="380" t="s">
        <v>649</v>
      </c>
      <c r="G217" s="382"/>
      <c r="H217" s="382"/>
      <c r="I217" s="379" t="s">
        <v>53</v>
      </c>
      <c r="J217" s="379" t="s">
        <v>52</v>
      </c>
      <c r="K217" s="379" t="s">
        <v>51</v>
      </c>
      <c r="L217" s="379"/>
      <c r="M217" s="379" t="s">
        <v>50</v>
      </c>
      <c r="N217" s="379" t="s">
        <v>49</v>
      </c>
      <c r="O217" s="379" t="s">
        <v>48</v>
      </c>
      <c r="P217" s="381" t="s">
        <v>318</v>
      </c>
      <c r="Q217" s="381" t="s">
        <v>319</v>
      </c>
      <c r="R217" s="97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97"/>
      <c r="AD217" s="97"/>
    </row>
    <row r="218" spans="2:30" ht="15.75" customHeight="1" x14ac:dyDescent="0.45">
      <c r="B218" s="285">
        <v>11706802001</v>
      </c>
      <c r="C218" s="285" t="s">
        <v>628</v>
      </c>
      <c r="D218" s="194" t="s">
        <v>511</v>
      </c>
      <c r="E218" s="194">
        <v>1</v>
      </c>
      <c r="F218" s="194">
        <v>365</v>
      </c>
      <c r="G218" s="219"/>
      <c r="H218" s="219"/>
      <c r="I218" s="219">
        <f>(H103/(0.02*50)/2000)</f>
        <v>0</v>
      </c>
      <c r="J218" s="219">
        <f>(30*BC!$B$47/F218)</f>
        <v>0</v>
      </c>
      <c r="K218" s="285">
        <f t="shared" si="30"/>
        <v>0</v>
      </c>
      <c r="L218" s="194">
        <f t="shared" si="31"/>
        <v>0</v>
      </c>
      <c r="M218" s="194">
        <f t="shared" si="32"/>
        <v>0</v>
      </c>
      <c r="N218" s="364">
        <v>104</v>
      </c>
      <c r="O218" s="365">
        <f t="shared" si="27"/>
        <v>0</v>
      </c>
      <c r="P218" s="57">
        <f>M218/E218</f>
        <v>0</v>
      </c>
      <c r="Q218" s="57">
        <f t="shared" si="29"/>
        <v>0</v>
      </c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  <c r="AD218" s="97"/>
    </row>
    <row r="219" spans="2:30" ht="15.75" customHeight="1" x14ac:dyDescent="0.45">
      <c r="B219" s="285">
        <v>11706799001</v>
      </c>
      <c r="C219" s="285" t="s">
        <v>629</v>
      </c>
      <c r="D219" s="194" t="s">
        <v>511</v>
      </c>
      <c r="E219" s="194">
        <v>1</v>
      </c>
      <c r="F219" s="194">
        <v>365</v>
      </c>
      <c r="G219" s="219"/>
      <c r="H219" s="219"/>
      <c r="I219" s="219">
        <f>(H103/(0.02*25)/2000)</f>
        <v>0</v>
      </c>
      <c r="J219" s="219">
        <f>(30*BC!$B$47/F219)</f>
        <v>0</v>
      </c>
      <c r="K219" s="285">
        <f t="shared" si="30"/>
        <v>0</v>
      </c>
      <c r="L219" s="194">
        <f t="shared" si="31"/>
        <v>0</v>
      </c>
      <c r="M219" s="194">
        <f t="shared" si="32"/>
        <v>0</v>
      </c>
      <c r="N219" s="364">
        <v>109</v>
      </c>
      <c r="O219" s="365">
        <f t="shared" si="27"/>
        <v>0</v>
      </c>
      <c r="P219" s="57">
        <f t="shared" si="28"/>
        <v>0</v>
      </c>
      <c r="Q219" s="57">
        <f t="shared" si="29"/>
        <v>0</v>
      </c>
      <c r="R219" s="97"/>
      <c r="S219" s="97"/>
      <c r="T219" s="97"/>
      <c r="U219" s="97"/>
      <c r="V219" s="97"/>
      <c r="W219" s="97"/>
      <c r="X219" s="97"/>
      <c r="Y219" s="97"/>
      <c r="Z219" s="97"/>
      <c r="AA219" s="97"/>
      <c r="AB219" s="97"/>
      <c r="AC219" s="97"/>
      <c r="AD219" s="97"/>
    </row>
    <row r="220" spans="2:30" ht="15.75" customHeight="1" x14ac:dyDescent="0.45">
      <c r="B220" s="285">
        <v>4444191001</v>
      </c>
      <c r="C220" s="285" t="s">
        <v>630</v>
      </c>
      <c r="D220" s="194" t="s">
        <v>511</v>
      </c>
      <c r="E220" s="194">
        <v>1</v>
      </c>
      <c r="F220" s="194">
        <v>365</v>
      </c>
      <c r="G220" s="219"/>
      <c r="H220" s="219"/>
      <c r="I220" s="219">
        <f>((H103-(H103*0.9))/F220)</f>
        <v>0</v>
      </c>
      <c r="J220" s="219">
        <f>(30*BC!$B$47/F220)</f>
        <v>0</v>
      </c>
      <c r="K220" s="285">
        <f t="shared" si="30"/>
        <v>0</v>
      </c>
      <c r="L220" s="194">
        <f t="shared" si="31"/>
        <v>0</v>
      </c>
      <c r="M220" s="194">
        <f t="shared" si="32"/>
        <v>0</v>
      </c>
      <c r="N220" s="366">
        <v>9</v>
      </c>
      <c r="O220" s="365">
        <f t="shared" si="27"/>
        <v>0</v>
      </c>
      <c r="P220" s="57">
        <f t="shared" si="28"/>
        <v>0</v>
      </c>
      <c r="Q220" s="57">
        <f t="shared" si="29"/>
        <v>0</v>
      </c>
      <c r="R220" s="97"/>
      <c r="S220" s="97"/>
      <c r="T220" s="97"/>
      <c r="U220" s="97"/>
      <c r="V220" s="97"/>
      <c r="W220" s="97"/>
      <c r="X220" s="97"/>
      <c r="Y220" s="97"/>
      <c r="Z220" s="97"/>
      <c r="AA220" s="97"/>
      <c r="AB220" s="97"/>
      <c r="AC220" s="97"/>
      <c r="AD220" s="97"/>
    </row>
    <row r="221" spans="2:30" ht="15.75" customHeight="1" x14ac:dyDescent="0.45">
      <c r="B221" s="285">
        <v>11662970122</v>
      </c>
      <c r="C221" s="285" t="s">
        <v>631</v>
      </c>
      <c r="D221" s="194" t="s">
        <v>511</v>
      </c>
      <c r="E221" s="194">
        <v>6</v>
      </c>
      <c r="F221" s="194">
        <v>28</v>
      </c>
      <c r="G221" s="219"/>
      <c r="H221" s="219"/>
      <c r="I221" s="219">
        <f>(H103/(0.00013*100)/12000)</f>
        <v>0</v>
      </c>
      <c r="J221" s="219">
        <f>(30*BC!$B$47/F221)</f>
        <v>0</v>
      </c>
      <c r="K221" s="285">
        <f t="shared" si="30"/>
        <v>0</v>
      </c>
      <c r="L221" s="194">
        <f t="shared" si="31"/>
        <v>0</v>
      </c>
      <c r="M221" s="194">
        <f t="shared" si="32"/>
        <v>0</v>
      </c>
      <c r="N221" s="364">
        <v>68</v>
      </c>
      <c r="O221" s="365">
        <f t="shared" si="27"/>
        <v>0</v>
      </c>
      <c r="P221" s="57">
        <f t="shared" si="28"/>
        <v>0</v>
      </c>
      <c r="Q221" s="57">
        <f t="shared" si="29"/>
        <v>0</v>
      </c>
      <c r="R221" s="97"/>
      <c r="S221" s="97"/>
      <c r="T221" s="97"/>
      <c r="U221" s="97"/>
      <c r="V221" s="97"/>
      <c r="W221" s="97"/>
      <c r="X221" s="97"/>
      <c r="Y221" s="97"/>
      <c r="Z221" s="97"/>
      <c r="AA221" s="97"/>
      <c r="AB221" s="97"/>
      <c r="AC221" s="97"/>
      <c r="AD221" s="97"/>
    </row>
    <row r="222" spans="2:30" ht="15.75" customHeight="1" x14ac:dyDescent="0.45">
      <c r="B222" s="285">
        <v>11662988122</v>
      </c>
      <c r="C222" s="285" t="s">
        <v>632</v>
      </c>
      <c r="D222" s="194" t="s">
        <v>511</v>
      </c>
      <c r="E222" s="194">
        <v>6</v>
      </c>
      <c r="F222" s="194">
        <v>28</v>
      </c>
      <c r="G222" s="219"/>
      <c r="H222" s="219"/>
      <c r="I222" s="219">
        <f>(H103/(0.00013*100)/12000)</f>
        <v>0</v>
      </c>
      <c r="J222" s="219">
        <f>(30*BC!$B$47/F222)</f>
        <v>0</v>
      </c>
      <c r="K222" s="285">
        <f t="shared" si="30"/>
        <v>0</v>
      </c>
      <c r="L222" s="194">
        <f t="shared" si="31"/>
        <v>0</v>
      </c>
      <c r="M222" s="194">
        <f t="shared" si="32"/>
        <v>0</v>
      </c>
      <c r="N222" s="364">
        <v>68</v>
      </c>
      <c r="O222" s="365">
        <f t="shared" si="27"/>
        <v>0</v>
      </c>
      <c r="P222" s="57">
        <f t="shared" si="28"/>
        <v>0</v>
      </c>
      <c r="Q222" s="57">
        <f t="shared" si="29"/>
        <v>0</v>
      </c>
      <c r="R222" s="97"/>
      <c r="S222" s="97"/>
      <c r="T222" s="97"/>
      <c r="U222" s="97"/>
      <c r="V222" s="97"/>
      <c r="W222" s="97"/>
      <c r="X222" s="97"/>
      <c r="Y222" s="97"/>
      <c r="Z222" s="97"/>
      <c r="AA222" s="97"/>
      <c r="AB222" s="97"/>
      <c r="AC222" s="97"/>
      <c r="AD222" s="97"/>
    </row>
    <row r="223" spans="2:30" ht="15.75" customHeight="1" x14ac:dyDescent="0.45">
      <c r="B223" s="285">
        <v>11930346122</v>
      </c>
      <c r="C223" s="285" t="s">
        <v>633</v>
      </c>
      <c r="D223" s="194" t="s">
        <v>511</v>
      </c>
      <c r="E223" s="194">
        <v>1</v>
      </c>
      <c r="F223" s="194">
        <v>168</v>
      </c>
      <c r="G223" s="219"/>
      <c r="H223" s="219"/>
      <c r="I223" s="219">
        <f>(H103/(0.03*200)/800)</f>
        <v>0</v>
      </c>
      <c r="J223" s="219">
        <f>(30*BC!$B$47/F223)</f>
        <v>0</v>
      </c>
      <c r="K223" s="285">
        <f t="shared" si="30"/>
        <v>0</v>
      </c>
      <c r="L223" s="194">
        <f t="shared" si="31"/>
        <v>0</v>
      </c>
      <c r="M223" s="194">
        <f t="shared" si="32"/>
        <v>0</v>
      </c>
      <c r="N223" s="364">
        <v>32</v>
      </c>
      <c r="O223" s="365">
        <f t="shared" ref="O223:O228" si="33">((N223/E223)*M223)</f>
        <v>0</v>
      </c>
      <c r="P223" s="57">
        <f t="shared" ref="P223:P228" si="34">M223/E223</f>
        <v>0</v>
      </c>
      <c r="Q223" s="57">
        <f t="shared" ref="Q223:Q229" si="35">ROUNDUP(P223,0)</f>
        <v>0</v>
      </c>
      <c r="R223" s="97"/>
      <c r="S223" s="97"/>
      <c r="T223" s="97"/>
      <c r="U223" s="97"/>
      <c r="V223" s="97"/>
      <c r="W223" s="97"/>
      <c r="X223" s="97"/>
      <c r="Y223" s="97"/>
      <c r="Z223" s="97"/>
      <c r="AA223" s="97"/>
      <c r="AB223" s="97"/>
      <c r="AC223" s="97"/>
      <c r="AD223" s="97"/>
    </row>
    <row r="224" spans="2:30" ht="15.75" customHeight="1" x14ac:dyDescent="0.45">
      <c r="B224" s="285">
        <v>11298500316</v>
      </c>
      <c r="C224" s="285" t="s">
        <v>634</v>
      </c>
      <c r="D224" s="194" t="s">
        <v>511</v>
      </c>
      <c r="E224" s="194">
        <v>5</v>
      </c>
      <c r="F224" s="194">
        <v>365</v>
      </c>
      <c r="G224" s="219"/>
      <c r="H224" s="219"/>
      <c r="I224" s="219">
        <f>(H103/(0.02*500)/800)</f>
        <v>0</v>
      </c>
      <c r="J224" s="219">
        <f>(30*BC!$B$47/F224)</f>
        <v>0</v>
      </c>
      <c r="K224" s="285">
        <f t="shared" si="30"/>
        <v>0</v>
      </c>
      <c r="L224" s="194">
        <f t="shared" si="31"/>
        <v>0</v>
      </c>
      <c r="M224" s="194">
        <f t="shared" si="32"/>
        <v>0</v>
      </c>
      <c r="N224" s="364">
        <v>98</v>
      </c>
      <c r="O224" s="365">
        <f t="shared" si="33"/>
        <v>0</v>
      </c>
      <c r="P224" s="57">
        <f t="shared" si="34"/>
        <v>0</v>
      </c>
      <c r="Q224" s="57">
        <f t="shared" si="35"/>
        <v>0</v>
      </c>
      <c r="R224" s="97"/>
      <c r="S224" s="97"/>
      <c r="T224" s="97"/>
      <c r="U224" s="97"/>
      <c r="V224" s="97"/>
      <c r="W224" s="97"/>
      <c r="X224" s="97"/>
      <c r="Y224" s="97"/>
      <c r="Z224" s="97"/>
      <c r="AA224" s="97"/>
      <c r="AB224" s="97"/>
      <c r="AC224" s="97"/>
      <c r="AD224" s="97"/>
    </row>
    <row r="225" spans="2:30" ht="15.75" customHeight="1" x14ac:dyDescent="0.45">
      <c r="B225" s="285">
        <v>5151643001</v>
      </c>
      <c r="C225" s="285" t="s">
        <v>635</v>
      </c>
      <c r="D225" s="194" t="s">
        <v>511</v>
      </c>
      <c r="E225" s="216">
        <v>1</v>
      </c>
      <c r="F225" s="216">
        <v>365</v>
      </c>
      <c r="G225" s="57"/>
      <c r="H225" s="57"/>
      <c r="I225" s="57"/>
      <c r="J225" s="219">
        <f>(30*BC!$B$47/F225)</f>
        <v>0</v>
      </c>
      <c r="K225" s="363">
        <f t="shared" si="30"/>
        <v>0</v>
      </c>
      <c r="L225" s="216">
        <f t="shared" si="31"/>
        <v>0</v>
      </c>
      <c r="M225" s="216">
        <f t="shared" si="32"/>
        <v>0</v>
      </c>
      <c r="N225" s="367">
        <v>2481</v>
      </c>
      <c r="O225" s="365">
        <f t="shared" si="33"/>
        <v>0</v>
      </c>
      <c r="P225" s="57">
        <f t="shared" si="34"/>
        <v>0</v>
      </c>
      <c r="Q225" s="57">
        <f t="shared" si="35"/>
        <v>0</v>
      </c>
      <c r="R225" s="97"/>
      <c r="S225" s="97"/>
      <c r="T225" s="97"/>
      <c r="U225" s="97"/>
      <c r="V225" s="97"/>
      <c r="W225" s="97"/>
      <c r="X225" s="97"/>
      <c r="Y225" s="97"/>
      <c r="Z225" s="97"/>
      <c r="AA225" s="97"/>
      <c r="AB225" s="97"/>
      <c r="AC225" s="97"/>
      <c r="AD225" s="97"/>
    </row>
    <row r="226" spans="2:30" ht="15.75" customHeight="1" x14ac:dyDescent="0.45">
      <c r="B226" s="285">
        <v>11732277122</v>
      </c>
      <c r="C226" s="285" t="s">
        <v>636</v>
      </c>
      <c r="D226" s="194" t="s">
        <v>511</v>
      </c>
      <c r="E226" s="216">
        <v>2</v>
      </c>
      <c r="F226" s="216">
        <v>84</v>
      </c>
      <c r="G226" s="57"/>
      <c r="H226" s="57"/>
      <c r="I226" s="57"/>
      <c r="J226" s="219">
        <f>(30*BC!$B$47/F226)</f>
        <v>0</v>
      </c>
      <c r="K226" s="363">
        <f t="shared" si="30"/>
        <v>0</v>
      </c>
      <c r="L226" s="216">
        <f t="shared" si="31"/>
        <v>0</v>
      </c>
      <c r="M226" s="216">
        <f t="shared" si="32"/>
        <v>0</v>
      </c>
      <c r="N226" s="367">
        <v>275</v>
      </c>
      <c r="O226" s="365">
        <f t="shared" si="33"/>
        <v>0</v>
      </c>
      <c r="P226" s="57">
        <f t="shared" si="34"/>
        <v>0</v>
      </c>
      <c r="Q226" s="57">
        <f t="shared" si="35"/>
        <v>0</v>
      </c>
      <c r="R226" s="97"/>
      <c r="S226" s="97"/>
      <c r="T226" s="97"/>
      <c r="U226" s="97"/>
      <c r="V226" s="97"/>
      <c r="W226" s="97"/>
      <c r="X226" s="97"/>
      <c r="Y226" s="97"/>
      <c r="Z226" s="97"/>
      <c r="AA226" s="97"/>
      <c r="AB226" s="97"/>
      <c r="AC226" s="97"/>
      <c r="AD226" s="97"/>
    </row>
    <row r="227" spans="2:30" ht="15.75" customHeight="1" x14ac:dyDescent="0.45">
      <c r="B227" s="285">
        <v>3183971122</v>
      </c>
      <c r="C227" s="285" t="s">
        <v>637</v>
      </c>
      <c r="D227" s="194" t="s">
        <v>511</v>
      </c>
      <c r="E227" s="216">
        <v>1</v>
      </c>
      <c r="F227" s="216">
        <v>84</v>
      </c>
      <c r="G227" s="57"/>
      <c r="H227" s="57"/>
      <c r="I227" s="57">
        <f>(A42/(0.02*100)/100)</f>
        <v>0</v>
      </c>
      <c r="J227" s="219">
        <f>(30*BC!$B$47/F227)</f>
        <v>0</v>
      </c>
      <c r="K227" s="363">
        <f t="shared" si="30"/>
        <v>0</v>
      </c>
      <c r="L227" s="216">
        <f t="shared" si="31"/>
        <v>0</v>
      </c>
      <c r="M227" s="216">
        <f t="shared" si="32"/>
        <v>0</v>
      </c>
      <c r="N227" s="367">
        <v>165</v>
      </c>
      <c r="O227" s="365">
        <f t="shared" si="33"/>
        <v>0</v>
      </c>
      <c r="P227" s="57">
        <f t="shared" si="34"/>
        <v>0</v>
      </c>
      <c r="Q227" s="57">
        <f t="shared" si="35"/>
        <v>0</v>
      </c>
    </row>
    <row r="228" spans="2:30" ht="15.75" customHeight="1" x14ac:dyDescent="0.45">
      <c r="B228" s="287">
        <v>11800507001</v>
      </c>
      <c r="C228" s="197" t="s">
        <v>638</v>
      </c>
      <c r="D228" s="219" t="s">
        <v>511</v>
      </c>
      <c r="E228" s="57">
        <v>1</v>
      </c>
      <c r="F228" s="57">
        <v>365</v>
      </c>
      <c r="G228" s="57"/>
      <c r="H228" s="57"/>
      <c r="I228" s="57"/>
      <c r="J228" s="219">
        <f>(30*BC!$B$47/F228)</f>
        <v>0</v>
      </c>
      <c r="K228" s="363">
        <f t="shared" si="30"/>
        <v>0</v>
      </c>
      <c r="L228" s="216">
        <f t="shared" si="31"/>
        <v>0</v>
      </c>
      <c r="M228" s="216">
        <f t="shared" si="32"/>
        <v>0</v>
      </c>
      <c r="N228" s="368">
        <v>51</v>
      </c>
      <c r="O228" s="365">
        <f t="shared" si="33"/>
        <v>0</v>
      </c>
      <c r="P228" s="57">
        <f t="shared" si="34"/>
        <v>0</v>
      </c>
      <c r="Q228" s="57">
        <f t="shared" si="35"/>
        <v>0</v>
      </c>
    </row>
    <row r="229" spans="2:30" ht="15.75" customHeight="1" x14ac:dyDescent="0.45">
      <c r="B229" s="287"/>
      <c r="C229" s="56" t="s">
        <v>177</v>
      </c>
      <c r="D229" s="219"/>
      <c r="E229" s="57"/>
      <c r="F229" s="57"/>
      <c r="G229" s="57"/>
      <c r="H229" s="57"/>
      <c r="I229" s="57"/>
      <c r="J229" s="57"/>
      <c r="K229" s="363"/>
      <c r="L229" s="216"/>
      <c r="M229" s="216">
        <f>BCB47</f>
        <v>0</v>
      </c>
      <c r="N229" s="368">
        <v>1200</v>
      </c>
      <c r="O229" s="369">
        <f t="shared" ref="O229" si="36">N229*M229</f>
        <v>0</v>
      </c>
      <c r="P229" s="57"/>
      <c r="Q229" s="57">
        <f t="shared" si="35"/>
        <v>0</v>
      </c>
    </row>
    <row r="230" spans="2:30" ht="15.75" customHeight="1" x14ac:dyDescent="0.45">
      <c r="E230" s="72"/>
      <c r="F230" s="72"/>
      <c r="G230" s="72"/>
      <c r="H230" s="72"/>
      <c r="I230" s="72"/>
      <c r="J230" s="72"/>
      <c r="K230" s="24"/>
      <c r="L230" s="72"/>
      <c r="M230" s="72"/>
      <c r="N230" s="370"/>
      <c r="O230" s="385">
        <f>SUM(O105:O229)</f>
        <v>0</v>
      </c>
      <c r="P230" s="24"/>
    </row>
    <row r="231" spans="2:30" ht="15.75" customHeight="1" x14ac:dyDescent="0.45">
      <c r="E231" s="72"/>
      <c r="F231" s="72"/>
      <c r="G231" s="72"/>
      <c r="H231" s="72"/>
      <c r="I231" s="72"/>
      <c r="J231" s="72"/>
      <c r="K231" s="24"/>
      <c r="L231" s="72"/>
      <c r="M231" s="72"/>
      <c r="N231" s="24"/>
      <c r="O231" s="385" t="e">
        <f>O230/G103</f>
        <v>#DIV/0!</v>
      </c>
      <c r="P231" s="24"/>
    </row>
    <row r="232" spans="2:30" ht="15.75" customHeight="1" x14ac:dyDescent="0.45"/>
    <row r="233" spans="2:30" ht="15.75" customHeight="1" x14ac:dyDescent="0.45"/>
    <row r="234" spans="2:30" ht="15.75" customHeight="1" x14ac:dyDescent="0.45"/>
    <row r="235" spans="2:30" ht="15.75" customHeight="1" x14ac:dyDescent="0.45"/>
    <row r="236" spans="2:30" ht="15.75" customHeight="1" x14ac:dyDescent="0.45"/>
    <row r="237" spans="2:30" ht="15.75" customHeight="1" x14ac:dyDescent="0.45"/>
    <row r="238" spans="2:30" ht="15.75" customHeight="1" x14ac:dyDescent="0.45"/>
    <row r="239" spans="2:30" ht="15.75" customHeight="1" x14ac:dyDescent="0.45"/>
    <row r="240" spans="2:3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</sheetData>
  <mergeCells count="1">
    <mergeCell ref="B103:F10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26A00-881D-4155-9D04-75773BD51B14}">
  <dimension ref="A1:AE984"/>
  <sheetViews>
    <sheetView topLeftCell="B182" workbookViewId="0">
      <selection activeCell="B202" sqref="A202:XFD202"/>
    </sheetView>
  </sheetViews>
  <sheetFormatPr baseColWidth="10" defaultColWidth="14.3984375" defaultRowHeight="14.25" x14ac:dyDescent="0.45"/>
  <cols>
    <col min="1" max="1" width="17.796875" bestFit="1" customWidth="1"/>
    <col min="2" max="2" width="9.59765625" bestFit="1" customWidth="1"/>
    <col min="3" max="3" width="28.06640625" bestFit="1" customWidth="1"/>
    <col min="4" max="4" width="34.1328125" bestFit="1" customWidth="1"/>
    <col min="5" max="5" width="9.59765625" style="21" bestFit="1" customWidth="1"/>
    <col min="6" max="6" width="11.3984375" style="21" bestFit="1" customWidth="1"/>
    <col min="7" max="7" width="9.19921875" style="21" bestFit="1" customWidth="1"/>
    <col min="8" max="8" width="14.6640625" style="21" bestFit="1" customWidth="1"/>
    <col min="9" max="9" width="17.19921875" style="21" bestFit="1" customWidth="1"/>
    <col min="10" max="10" width="15" bestFit="1" customWidth="1"/>
    <col min="11" max="11" width="1.33203125" style="21" bestFit="1" customWidth="1"/>
    <col min="12" max="12" width="16.86328125" style="21" bestFit="1" customWidth="1"/>
    <col min="13" max="13" width="11.59765625" bestFit="1" customWidth="1"/>
    <col min="14" max="14" width="7.86328125" bestFit="1" customWidth="1"/>
    <col min="15" max="15" width="9.59765625" bestFit="1" customWidth="1"/>
    <col min="16" max="16" width="8.53125" bestFit="1" customWidth="1"/>
    <col min="17" max="17" width="11.73046875" bestFit="1" customWidth="1"/>
    <col min="18" max="18" width="11.3984375" bestFit="1" customWidth="1"/>
    <col min="19" max="19" width="10.19921875" bestFit="1" customWidth="1"/>
    <col min="20" max="20" width="6.06640625" bestFit="1" customWidth="1"/>
    <col min="21" max="21" width="7.9296875" bestFit="1" customWidth="1"/>
    <col min="22" max="22" width="11.73046875" bestFit="1" customWidth="1"/>
    <col min="23" max="23" width="10.86328125" bestFit="1" customWidth="1"/>
  </cols>
  <sheetData>
    <row r="1" spans="1:31" ht="15.75" customHeight="1" x14ac:dyDescent="0.45">
      <c r="B1" s="254" t="s">
        <v>60</v>
      </c>
      <c r="E1" s="268"/>
      <c r="F1" s="268"/>
      <c r="G1" s="268"/>
      <c r="H1" s="268"/>
      <c r="I1" s="268"/>
      <c r="J1" s="24"/>
      <c r="K1" s="72"/>
      <c r="L1" s="72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</row>
    <row r="2" spans="1:31" ht="15.75" customHeight="1" x14ac:dyDescent="0.45">
      <c r="B2" s="254" t="s">
        <v>184</v>
      </c>
      <c r="E2" s="268"/>
      <c r="F2" s="268"/>
      <c r="G2" s="268"/>
      <c r="H2" s="268"/>
      <c r="I2" s="268"/>
      <c r="J2" s="24"/>
      <c r="K2" s="72"/>
      <c r="L2" s="72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</row>
    <row r="3" spans="1:31" ht="15.75" customHeight="1" x14ac:dyDescent="0.45">
      <c r="B3" s="254" t="s">
        <v>185</v>
      </c>
      <c r="E3" s="805"/>
      <c r="F3" s="805"/>
      <c r="G3" s="805"/>
      <c r="H3" s="805"/>
      <c r="I3" s="805"/>
      <c r="J3" s="24"/>
      <c r="K3" s="72"/>
      <c r="L3" s="72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</row>
    <row r="4" spans="1:31" ht="15.75" customHeight="1" x14ac:dyDescent="0.45">
      <c r="B4" s="254" t="s">
        <v>186</v>
      </c>
      <c r="D4" s="43" t="s">
        <v>187</v>
      </c>
      <c r="G4" s="268"/>
      <c r="H4" s="268"/>
      <c r="I4" s="268"/>
      <c r="J4" s="24"/>
      <c r="K4" s="72"/>
      <c r="L4" s="72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</row>
    <row r="5" spans="1:31" ht="15.75" customHeight="1" x14ac:dyDescent="0.45">
      <c r="B5" s="254" t="s">
        <v>188</v>
      </c>
      <c r="D5" s="43" t="s">
        <v>187</v>
      </c>
      <c r="G5" s="268"/>
      <c r="H5" s="268"/>
      <c r="I5" s="268"/>
      <c r="J5" s="24"/>
      <c r="K5" s="72"/>
      <c r="L5" s="72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</row>
    <row r="6" spans="1:31" ht="15.75" customHeight="1" x14ac:dyDescent="0.45">
      <c r="B6" s="257" t="s">
        <v>189</v>
      </c>
      <c r="C6" s="258" t="s">
        <v>321</v>
      </c>
      <c r="D6" s="259"/>
      <c r="E6" s="270"/>
      <c r="F6" s="270"/>
      <c r="G6" s="270"/>
      <c r="H6" s="270"/>
      <c r="I6" s="270"/>
      <c r="J6" s="24"/>
      <c r="K6" s="72"/>
      <c r="L6" s="72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</row>
    <row r="7" spans="1:31" ht="15.75" customHeight="1" x14ac:dyDescent="0.45">
      <c r="B7" s="528"/>
      <c r="C7" s="24"/>
      <c r="D7" s="24"/>
      <c r="E7" s="72"/>
      <c r="F7" s="72"/>
      <c r="G7" s="72"/>
      <c r="H7" s="72"/>
      <c r="I7" s="72"/>
      <c r="J7" s="24"/>
      <c r="K7" s="72"/>
      <c r="L7" s="72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</row>
    <row r="8" spans="1:31" s="277" customFormat="1" ht="42" x14ac:dyDescent="0.45">
      <c r="B8" s="518" t="s">
        <v>191</v>
      </c>
      <c r="C8" s="518" t="s">
        <v>192</v>
      </c>
      <c r="D8" s="518" t="s">
        <v>322</v>
      </c>
      <c r="E8" s="518" t="s">
        <v>55</v>
      </c>
      <c r="F8" s="518" t="s">
        <v>54</v>
      </c>
      <c r="G8" s="518" t="s">
        <v>193</v>
      </c>
      <c r="H8" s="518" t="s">
        <v>53</v>
      </c>
      <c r="I8" s="518" t="s">
        <v>52</v>
      </c>
      <c r="J8" s="518" t="s">
        <v>51</v>
      </c>
      <c r="K8" s="518"/>
      <c r="L8" s="518" t="s">
        <v>50</v>
      </c>
      <c r="M8" s="518" t="s">
        <v>49</v>
      </c>
      <c r="N8" s="518" t="s">
        <v>48</v>
      </c>
      <c r="O8" s="92" t="s">
        <v>176</v>
      </c>
      <c r="P8" s="234" t="s">
        <v>178</v>
      </c>
      <c r="Q8" s="280" t="s">
        <v>162</v>
      </c>
      <c r="R8" s="281" t="s">
        <v>163</v>
      </c>
      <c r="S8" s="281" t="s">
        <v>165</v>
      </c>
      <c r="T8" s="282" t="s">
        <v>169</v>
      </c>
      <c r="U8" s="282" t="s">
        <v>164</v>
      </c>
      <c r="V8" s="279" t="s">
        <v>47</v>
      </c>
      <c r="W8" s="19" t="s">
        <v>46</v>
      </c>
      <c r="X8" s="23"/>
      <c r="Y8" s="23"/>
      <c r="Z8" s="23"/>
      <c r="AA8" s="23"/>
      <c r="AB8" s="23"/>
      <c r="AC8" s="23"/>
      <c r="AD8" s="23"/>
      <c r="AE8" s="23"/>
    </row>
    <row r="9" spans="1:31" ht="15.75" customHeight="1" x14ac:dyDescent="0.45">
      <c r="A9" s="376" t="s">
        <v>639</v>
      </c>
      <c r="B9" s="806">
        <v>8946710190</v>
      </c>
      <c r="C9" s="807" t="s">
        <v>323</v>
      </c>
      <c r="D9" s="363" t="s">
        <v>324</v>
      </c>
      <c r="E9" s="216">
        <v>100</v>
      </c>
      <c r="F9" s="216">
        <v>84</v>
      </c>
      <c r="G9" s="386">
        <f>'e411'!F9</f>
        <v>0</v>
      </c>
      <c r="H9" s="57">
        <f>G9/E9</f>
        <v>0</v>
      </c>
      <c r="I9" s="57">
        <f>(30*[1]BC!$B$47/F9)</f>
        <v>4.2857142857142856</v>
      </c>
      <c r="J9" s="363">
        <f>IF(I9&gt;H9,I9,H9)</f>
        <v>4.2857142857142856</v>
      </c>
      <c r="K9" s="216">
        <f>IF(H9=0,0,J9)</f>
        <v>0</v>
      </c>
      <c r="L9" s="216">
        <f>H9</f>
        <v>0</v>
      </c>
      <c r="M9" s="364">
        <v>1329</v>
      </c>
      <c r="N9" s="365">
        <f>M9*L9</f>
        <v>0</v>
      </c>
      <c r="O9" s="91" t="e">
        <f t="shared" ref="O9:O40" si="0">((M9*$L$233)+M9)</f>
        <v>#DIV/0!</v>
      </c>
      <c r="P9" s="148" t="e">
        <f t="shared" ref="P9:P72" si="1">O9*L9</f>
        <v>#DIV/0!</v>
      </c>
      <c r="Q9" s="808">
        <f>M9/E9</f>
        <v>13.29</v>
      </c>
      <c r="R9" s="809" t="e">
        <f>(Q9+$N$232)+(([1]BC!$F$125)/$G$103)</f>
        <v>#DIV/0!</v>
      </c>
      <c r="S9" s="809" t="e">
        <f>R9*G9</f>
        <v>#DIV/0!</v>
      </c>
      <c r="T9" s="810" t="e">
        <f>((R9*0.15)+R9)</f>
        <v>#DIV/0!</v>
      </c>
      <c r="U9" s="810" t="e">
        <f>T9*G9</f>
        <v>#DIV/0!</v>
      </c>
      <c r="V9" s="810" t="e">
        <f>SUM(U9:U102)</f>
        <v>#DIV/0!</v>
      </c>
      <c r="W9" s="809" t="e">
        <f>SUM(S9:S102)</f>
        <v>#DIV/0!</v>
      </c>
      <c r="X9" s="43"/>
      <c r="Y9" s="43"/>
      <c r="Z9" s="43"/>
      <c r="AA9" s="43"/>
      <c r="AB9" s="43"/>
      <c r="AC9" s="43"/>
      <c r="AD9" s="43"/>
      <c r="AE9" s="43"/>
    </row>
    <row r="10" spans="1:31" ht="15.75" customHeight="1" x14ac:dyDescent="0.45">
      <c r="A10" s="263">
        <f>G9+G37+G58+G66+G74+G86</f>
        <v>0</v>
      </c>
      <c r="B10" s="520">
        <v>9015060190</v>
      </c>
      <c r="C10" s="811" t="s">
        <v>325</v>
      </c>
      <c r="D10" s="55" t="s">
        <v>326</v>
      </c>
      <c r="E10" s="57">
        <v>100</v>
      </c>
      <c r="F10" s="57">
        <v>56</v>
      </c>
      <c r="G10" s="386">
        <f>'e411'!F10</f>
        <v>0</v>
      </c>
      <c r="H10" s="57">
        <f t="shared" ref="H10:H73" si="2">G10/E10</f>
        <v>0</v>
      </c>
      <c r="I10" s="57">
        <f>(30*[1]BC!$B$47/F10)</f>
        <v>6.4285714285714288</v>
      </c>
      <c r="J10" s="363">
        <f t="shared" ref="J10:J73" si="3">IF(I10&gt;H10,I10,H10)</f>
        <v>6.4285714285714288</v>
      </c>
      <c r="K10" s="216">
        <f t="shared" ref="K10:K73" si="4">IF(H10=0,0,J10)</f>
        <v>0</v>
      </c>
      <c r="L10" s="216">
        <f t="shared" ref="L10:L73" si="5">H10</f>
        <v>0</v>
      </c>
      <c r="M10" s="364">
        <v>157</v>
      </c>
      <c r="N10" s="365">
        <f t="shared" ref="N10:N73" si="6">M10*L10</f>
        <v>0</v>
      </c>
      <c r="O10" s="91" t="e">
        <f t="shared" si="0"/>
        <v>#DIV/0!</v>
      </c>
      <c r="P10" s="148" t="e">
        <f t="shared" si="1"/>
        <v>#DIV/0!</v>
      </c>
      <c r="Q10" s="808">
        <f t="shared" ref="Q10:Q73" si="7">M10/E10</f>
        <v>1.57</v>
      </c>
      <c r="R10" s="809" t="e">
        <f>(Q10+$N$232)+(([1]BC!$F$125)/$G$103)</f>
        <v>#DIV/0!</v>
      </c>
      <c r="S10" s="809" t="e">
        <f t="shared" ref="S10:S73" si="8">R10*G10</f>
        <v>#DIV/0!</v>
      </c>
      <c r="T10" s="810" t="e">
        <f t="shared" ref="T10:T73" si="9">((R10*0.15)+R10)</f>
        <v>#DIV/0!</v>
      </c>
      <c r="U10" s="810" t="e">
        <f t="shared" ref="U10:U73" si="10">T10*G10</f>
        <v>#DIV/0!</v>
      </c>
      <c r="V10" s="370"/>
      <c r="W10" s="370"/>
      <c r="X10" s="24"/>
      <c r="Y10" s="24"/>
      <c r="Z10" s="24"/>
      <c r="AA10" s="24"/>
      <c r="AB10" s="24"/>
      <c r="AC10" s="24"/>
      <c r="AD10" s="24"/>
      <c r="AE10" s="24"/>
    </row>
    <row r="11" spans="1:31" ht="15.75" customHeight="1" x14ac:dyDescent="0.45">
      <c r="B11" s="806">
        <v>10059516190</v>
      </c>
      <c r="C11" s="812" t="s">
        <v>640</v>
      </c>
      <c r="D11" s="55" t="s">
        <v>327</v>
      </c>
      <c r="E11" s="216">
        <v>100</v>
      </c>
      <c r="F11" s="216"/>
      <c r="G11" s="386">
        <f>'e411'!F11</f>
        <v>0</v>
      </c>
      <c r="H11" s="57">
        <f t="shared" si="2"/>
        <v>0</v>
      </c>
      <c r="I11" s="57" t="e">
        <f>(30*[1]BC!$B$47/F11)</f>
        <v>#DIV/0!</v>
      </c>
      <c r="J11" s="363" t="e">
        <f t="shared" si="3"/>
        <v>#DIV/0!</v>
      </c>
      <c r="K11" s="216">
        <f t="shared" si="4"/>
        <v>0</v>
      </c>
      <c r="L11" s="216">
        <f t="shared" si="5"/>
        <v>0</v>
      </c>
      <c r="M11" s="368">
        <v>1882</v>
      </c>
      <c r="N11" s="365">
        <f t="shared" si="6"/>
        <v>0</v>
      </c>
      <c r="O11" s="91" t="e">
        <f t="shared" si="0"/>
        <v>#DIV/0!</v>
      </c>
      <c r="P11" s="148" t="e">
        <f t="shared" si="1"/>
        <v>#DIV/0!</v>
      </c>
      <c r="Q11" s="808">
        <f t="shared" si="7"/>
        <v>18.82</v>
      </c>
      <c r="R11" s="809" t="e">
        <f>(Q11+$N$232)+(([1]BC!$F$125)/$G$103)</f>
        <v>#DIV/0!</v>
      </c>
      <c r="S11" s="809" t="e">
        <f t="shared" si="8"/>
        <v>#DIV/0!</v>
      </c>
      <c r="T11" s="810" t="e">
        <f t="shared" si="9"/>
        <v>#DIV/0!</v>
      </c>
      <c r="U11" s="810" t="e">
        <f t="shared" si="10"/>
        <v>#DIV/0!</v>
      </c>
      <c r="V11" s="370"/>
      <c r="W11" s="370"/>
      <c r="X11" s="24"/>
      <c r="Y11" s="24"/>
      <c r="Z11" s="24"/>
      <c r="AA11" s="24"/>
      <c r="AB11" s="24"/>
      <c r="AC11" s="24"/>
      <c r="AD11" s="24"/>
      <c r="AE11" s="24"/>
    </row>
    <row r="12" spans="1:31" ht="15.75" customHeight="1" x14ac:dyDescent="0.45">
      <c r="A12" s="260" t="s">
        <v>641</v>
      </c>
      <c r="B12" s="520">
        <v>6368590190</v>
      </c>
      <c r="C12" s="813" t="s">
        <v>328</v>
      </c>
      <c r="D12" s="55" t="s">
        <v>329</v>
      </c>
      <c r="E12" s="57">
        <v>100</v>
      </c>
      <c r="F12" s="57">
        <v>15</v>
      </c>
      <c r="G12" s="386">
        <f>'e411'!F12</f>
        <v>0</v>
      </c>
      <c r="H12" s="57">
        <f t="shared" si="2"/>
        <v>0</v>
      </c>
      <c r="I12" s="57">
        <f>(30*[1]BC!$B$47/F12)</f>
        <v>24</v>
      </c>
      <c r="J12" s="363">
        <f t="shared" si="3"/>
        <v>24</v>
      </c>
      <c r="K12" s="216">
        <f t="shared" si="4"/>
        <v>0</v>
      </c>
      <c r="L12" s="216">
        <f t="shared" si="5"/>
        <v>0</v>
      </c>
      <c r="M12" s="364">
        <v>548</v>
      </c>
      <c r="N12" s="365">
        <f t="shared" si="6"/>
        <v>0</v>
      </c>
      <c r="O12" s="91" t="e">
        <f t="shared" si="0"/>
        <v>#DIV/0!</v>
      </c>
      <c r="P12" s="148" t="e">
        <f t="shared" si="1"/>
        <v>#DIV/0!</v>
      </c>
      <c r="Q12" s="808">
        <f t="shared" si="7"/>
        <v>5.48</v>
      </c>
      <c r="R12" s="809" t="e">
        <f>(Q12+$N$232)+(([1]BC!$F$125)/$G$103)</f>
        <v>#DIV/0!</v>
      </c>
      <c r="S12" s="809" t="e">
        <f t="shared" si="8"/>
        <v>#DIV/0!</v>
      </c>
      <c r="T12" s="810" t="e">
        <f t="shared" si="9"/>
        <v>#DIV/0!</v>
      </c>
      <c r="U12" s="810" t="e">
        <f t="shared" si="10"/>
        <v>#DIV/0!</v>
      </c>
      <c r="V12" s="370"/>
      <c r="W12" s="370"/>
      <c r="X12" s="24"/>
      <c r="Y12" s="24"/>
      <c r="Z12" s="24"/>
      <c r="AA12" s="24"/>
      <c r="AB12" s="24"/>
      <c r="AC12" s="24"/>
      <c r="AD12" s="24"/>
      <c r="AE12" s="24"/>
    </row>
    <row r="13" spans="1:31" ht="15.75" customHeight="1" x14ac:dyDescent="0.45">
      <c r="A13" s="260">
        <f>G12+G23+G24</f>
        <v>0</v>
      </c>
      <c r="B13" s="806">
        <v>5031656190</v>
      </c>
      <c r="C13" s="814" t="s">
        <v>330</v>
      </c>
      <c r="D13" s="363" t="s">
        <v>331</v>
      </c>
      <c r="E13" s="216">
        <v>100</v>
      </c>
      <c r="F13" s="216">
        <v>28</v>
      </c>
      <c r="G13" s="386">
        <f>'e411'!F13</f>
        <v>0</v>
      </c>
      <c r="H13" s="57">
        <f t="shared" si="2"/>
        <v>0</v>
      </c>
      <c r="I13" s="57">
        <f>(30*[1]BC!$B$47/F13)</f>
        <v>12.857142857142858</v>
      </c>
      <c r="J13" s="363">
        <f t="shared" si="3"/>
        <v>12.857142857142858</v>
      </c>
      <c r="K13" s="216">
        <f t="shared" si="4"/>
        <v>0</v>
      </c>
      <c r="L13" s="216">
        <f t="shared" si="5"/>
        <v>0</v>
      </c>
      <c r="M13" s="364">
        <v>861</v>
      </c>
      <c r="N13" s="365">
        <f t="shared" si="6"/>
        <v>0</v>
      </c>
      <c r="O13" s="91" t="e">
        <f t="shared" si="0"/>
        <v>#DIV/0!</v>
      </c>
      <c r="P13" s="148" t="e">
        <f t="shared" si="1"/>
        <v>#DIV/0!</v>
      </c>
      <c r="Q13" s="808">
        <f t="shared" si="7"/>
        <v>8.61</v>
      </c>
      <c r="R13" s="809" t="e">
        <f>(Q13+$N$232)+(([1]BC!$F$125)/$G$103)</f>
        <v>#DIV/0!</v>
      </c>
      <c r="S13" s="809" t="e">
        <f t="shared" si="8"/>
        <v>#DIV/0!</v>
      </c>
      <c r="T13" s="810" t="e">
        <f t="shared" si="9"/>
        <v>#DIV/0!</v>
      </c>
      <c r="U13" s="810" t="e">
        <f t="shared" si="10"/>
        <v>#DIV/0!</v>
      </c>
      <c r="V13" s="815"/>
      <c r="W13" s="815"/>
      <c r="X13" s="43"/>
      <c r="Y13" s="43"/>
      <c r="Z13" s="43"/>
      <c r="AA13" s="43"/>
      <c r="AB13" s="43"/>
      <c r="AC13" s="43"/>
      <c r="AD13" s="43"/>
      <c r="AE13" s="43"/>
    </row>
    <row r="14" spans="1:31" ht="15.75" customHeight="1" x14ac:dyDescent="0.45">
      <c r="B14" s="520">
        <v>8086630190</v>
      </c>
      <c r="C14" s="816" t="s">
        <v>332</v>
      </c>
      <c r="D14" s="363" t="s">
        <v>333</v>
      </c>
      <c r="E14" s="57">
        <v>100</v>
      </c>
      <c r="F14" s="57">
        <v>56</v>
      </c>
      <c r="G14" s="386">
        <f>'e411'!F14</f>
        <v>0</v>
      </c>
      <c r="H14" s="57">
        <f t="shared" si="2"/>
        <v>0</v>
      </c>
      <c r="I14" s="57">
        <f>(30*[1]BC!$B$47/F14)</f>
        <v>6.4285714285714288</v>
      </c>
      <c r="J14" s="363">
        <f t="shared" si="3"/>
        <v>6.4285714285714288</v>
      </c>
      <c r="K14" s="216">
        <f t="shared" si="4"/>
        <v>0</v>
      </c>
      <c r="L14" s="216">
        <f t="shared" si="5"/>
        <v>0</v>
      </c>
      <c r="M14" s="364">
        <v>369</v>
      </c>
      <c r="N14" s="365">
        <f t="shared" si="6"/>
        <v>0</v>
      </c>
      <c r="O14" s="91" t="e">
        <f t="shared" si="0"/>
        <v>#DIV/0!</v>
      </c>
      <c r="P14" s="148" t="e">
        <f t="shared" si="1"/>
        <v>#DIV/0!</v>
      </c>
      <c r="Q14" s="808">
        <f t="shared" si="7"/>
        <v>3.69</v>
      </c>
      <c r="R14" s="809" t="e">
        <f>(Q14+$N$232)+(([1]BC!$F$125)/$G$103)</f>
        <v>#DIV/0!</v>
      </c>
      <c r="S14" s="809" t="e">
        <f t="shared" si="8"/>
        <v>#DIV/0!</v>
      </c>
      <c r="T14" s="810" t="e">
        <f t="shared" si="9"/>
        <v>#DIV/0!</v>
      </c>
      <c r="U14" s="810" t="e">
        <f t="shared" si="10"/>
        <v>#DIV/0!</v>
      </c>
      <c r="V14" s="74"/>
      <c r="W14" s="74"/>
    </row>
    <row r="15" spans="1:31" ht="15.75" customHeight="1" x14ac:dyDescent="0.45">
      <c r="A15" s="261" t="s">
        <v>642</v>
      </c>
      <c r="B15" s="520">
        <v>11820591122</v>
      </c>
      <c r="C15" s="817" t="s">
        <v>334</v>
      </c>
      <c r="D15" s="363" t="s">
        <v>335</v>
      </c>
      <c r="E15" s="57">
        <v>100</v>
      </c>
      <c r="F15" s="57">
        <v>56</v>
      </c>
      <c r="G15" s="386">
        <f>'e411'!F15</f>
        <v>0</v>
      </c>
      <c r="H15" s="57">
        <f t="shared" si="2"/>
        <v>0</v>
      </c>
      <c r="I15" s="57">
        <f>(30*[1]BC!$B$47/F15)</f>
        <v>6.4285714285714288</v>
      </c>
      <c r="J15" s="363">
        <f t="shared" si="3"/>
        <v>6.4285714285714288</v>
      </c>
      <c r="K15" s="216">
        <f t="shared" si="4"/>
        <v>0</v>
      </c>
      <c r="L15" s="216">
        <f t="shared" si="5"/>
        <v>0</v>
      </c>
      <c r="M15" s="364">
        <v>508</v>
      </c>
      <c r="N15" s="365">
        <f t="shared" si="6"/>
        <v>0</v>
      </c>
      <c r="O15" s="91" t="e">
        <f t="shared" si="0"/>
        <v>#DIV/0!</v>
      </c>
      <c r="P15" s="148" t="e">
        <f t="shared" si="1"/>
        <v>#DIV/0!</v>
      </c>
      <c r="Q15" s="808">
        <f t="shared" si="7"/>
        <v>5.08</v>
      </c>
      <c r="R15" s="809" t="e">
        <f>(Q15+$N$232)+(([1]BC!$F$125)/$G$103)</f>
        <v>#DIV/0!</v>
      </c>
      <c r="S15" s="809" t="e">
        <f t="shared" si="8"/>
        <v>#DIV/0!</v>
      </c>
      <c r="T15" s="810" t="e">
        <f t="shared" si="9"/>
        <v>#DIV/0!</v>
      </c>
      <c r="U15" s="810" t="e">
        <f t="shared" si="10"/>
        <v>#DIV/0!</v>
      </c>
      <c r="V15" s="74"/>
      <c r="W15" s="74"/>
    </row>
    <row r="16" spans="1:31" ht="15.75" customHeight="1" x14ac:dyDescent="0.45">
      <c r="A16" s="261">
        <f>G46+G70+G80+G81+G101</f>
        <v>0</v>
      </c>
      <c r="B16" s="520">
        <v>11820567122</v>
      </c>
      <c r="C16" s="818" t="s">
        <v>336</v>
      </c>
      <c r="D16" s="363" t="s">
        <v>337</v>
      </c>
      <c r="E16" s="57">
        <v>100</v>
      </c>
      <c r="F16" s="57">
        <v>28</v>
      </c>
      <c r="G16" s="386">
        <f>'e411'!F16</f>
        <v>0</v>
      </c>
      <c r="H16" s="57">
        <f t="shared" si="2"/>
        <v>0</v>
      </c>
      <c r="I16" s="57">
        <f>(30*[1]BC!$B$47/F16)</f>
        <v>12.857142857142858</v>
      </c>
      <c r="J16" s="363">
        <f t="shared" si="3"/>
        <v>12.857142857142858</v>
      </c>
      <c r="K16" s="216">
        <f t="shared" si="4"/>
        <v>0</v>
      </c>
      <c r="L16" s="216">
        <f t="shared" si="5"/>
        <v>0</v>
      </c>
      <c r="M16" s="364">
        <v>559</v>
      </c>
      <c r="N16" s="365">
        <f t="shared" si="6"/>
        <v>0</v>
      </c>
      <c r="O16" s="91" t="e">
        <f t="shared" si="0"/>
        <v>#DIV/0!</v>
      </c>
      <c r="P16" s="148" t="e">
        <f t="shared" si="1"/>
        <v>#DIV/0!</v>
      </c>
      <c r="Q16" s="808">
        <f t="shared" si="7"/>
        <v>5.59</v>
      </c>
      <c r="R16" s="809" t="e">
        <f>(Q16+$N$232)+(([1]BC!$F$125)/$G$103)</f>
        <v>#DIV/0!</v>
      </c>
      <c r="S16" s="809" t="e">
        <f t="shared" si="8"/>
        <v>#DIV/0!</v>
      </c>
      <c r="T16" s="810" t="e">
        <f t="shared" si="9"/>
        <v>#DIV/0!</v>
      </c>
      <c r="U16" s="810" t="e">
        <f t="shared" si="10"/>
        <v>#DIV/0!</v>
      </c>
      <c r="V16" s="74"/>
      <c r="W16" s="74"/>
    </row>
    <row r="17" spans="1:31" ht="15.75" customHeight="1" x14ac:dyDescent="0.45">
      <c r="B17" s="520">
        <v>9014918190</v>
      </c>
      <c r="C17" s="819" t="s">
        <v>338</v>
      </c>
      <c r="D17" s="363" t="s">
        <v>339</v>
      </c>
      <c r="E17" s="57">
        <v>100</v>
      </c>
      <c r="F17" s="57">
        <v>56</v>
      </c>
      <c r="G17" s="386">
        <f>'e411'!F17</f>
        <v>0</v>
      </c>
      <c r="H17" s="57">
        <f t="shared" si="2"/>
        <v>0</v>
      </c>
      <c r="I17" s="57">
        <f>(30*[1]BC!$B$47/F17)</f>
        <v>6.4285714285714288</v>
      </c>
      <c r="J17" s="363">
        <f t="shared" si="3"/>
        <v>6.4285714285714288</v>
      </c>
      <c r="K17" s="216">
        <f t="shared" si="4"/>
        <v>0</v>
      </c>
      <c r="L17" s="216">
        <f t="shared" si="5"/>
        <v>0</v>
      </c>
      <c r="M17" s="364">
        <v>380</v>
      </c>
      <c r="N17" s="365">
        <f t="shared" si="6"/>
        <v>0</v>
      </c>
      <c r="O17" s="91" t="e">
        <f t="shared" si="0"/>
        <v>#DIV/0!</v>
      </c>
      <c r="P17" s="148" t="e">
        <f t="shared" si="1"/>
        <v>#DIV/0!</v>
      </c>
      <c r="Q17" s="808">
        <f t="shared" si="7"/>
        <v>3.8</v>
      </c>
      <c r="R17" s="809" t="e">
        <f>(Q17+$N$232)+(([1]BC!$F$125)/$G$103)</f>
        <v>#DIV/0!</v>
      </c>
      <c r="S17" s="809" t="e">
        <f t="shared" si="8"/>
        <v>#DIV/0!</v>
      </c>
      <c r="T17" s="810" t="e">
        <f t="shared" si="9"/>
        <v>#DIV/0!</v>
      </c>
      <c r="U17" s="810" t="e">
        <f t="shared" si="10"/>
        <v>#DIV/0!</v>
      </c>
      <c r="V17" s="74"/>
      <c r="W17" s="74"/>
    </row>
    <row r="18" spans="1:31" ht="15.75" customHeight="1" x14ac:dyDescent="0.45">
      <c r="A18" s="262" t="s">
        <v>643</v>
      </c>
      <c r="B18" s="520">
        <v>11820613122</v>
      </c>
      <c r="C18" s="820" t="s">
        <v>340</v>
      </c>
      <c r="D18" s="55" t="s">
        <v>341</v>
      </c>
      <c r="E18" s="57">
        <v>100</v>
      </c>
      <c r="F18" s="57">
        <v>56</v>
      </c>
      <c r="G18" s="386">
        <f>'e411'!F18</f>
        <v>0</v>
      </c>
      <c r="H18" s="57">
        <f t="shared" si="2"/>
        <v>0</v>
      </c>
      <c r="I18" s="57">
        <f>(30*[1]BC!$B$47/F18)</f>
        <v>6.4285714285714288</v>
      </c>
      <c r="J18" s="363">
        <f t="shared" si="3"/>
        <v>6.4285714285714288</v>
      </c>
      <c r="K18" s="216">
        <f t="shared" si="4"/>
        <v>0</v>
      </c>
      <c r="L18" s="216">
        <f t="shared" si="5"/>
        <v>0</v>
      </c>
      <c r="M18" s="364">
        <v>591</v>
      </c>
      <c r="N18" s="365">
        <f t="shared" si="6"/>
        <v>0</v>
      </c>
      <c r="O18" s="91" t="e">
        <f t="shared" si="0"/>
        <v>#DIV/0!</v>
      </c>
      <c r="P18" s="148" t="e">
        <f t="shared" si="1"/>
        <v>#DIV/0!</v>
      </c>
      <c r="Q18" s="808">
        <f t="shared" si="7"/>
        <v>5.91</v>
      </c>
      <c r="R18" s="809" t="e">
        <f>(Q18+$N$232)+(([1]BC!$F$125)/$G$103)</f>
        <v>#DIV/0!</v>
      </c>
      <c r="S18" s="809" t="e">
        <f t="shared" si="8"/>
        <v>#DIV/0!</v>
      </c>
      <c r="T18" s="810" t="e">
        <f t="shared" si="9"/>
        <v>#DIV/0!</v>
      </c>
      <c r="U18" s="810" t="e">
        <f t="shared" si="10"/>
        <v>#DIV/0!</v>
      </c>
      <c r="V18" s="74"/>
      <c r="W18" s="74"/>
    </row>
    <row r="19" spans="1:31" ht="15.75" customHeight="1" x14ac:dyDescent="0.45">
      <c r="A19" s="262">
        <f>G36+G39+G44+G49+G50+G51+G55+G63+G68+G77+G79+G87+G89+G90+G91+G92+G100</f>
        <v>0</v>
      </c>
      <c r="B19" s="520">
        <v>8498598190</v>
      </c>
      <c r="C19" s="821" t="s">
        <v>342</v>
      </c>
      <c r="D19" s="55" t="s">
        <v>343</v>
      </c>
      <c r="E19" s="57">
        <v>100</v>
      </c>
      <c r="F19" s="57">
        <v>56</v>
      </c>
      <c r="G19" s="386">
        <f>'e411'!F19</f>
        <v>0</v>
      </c>
      <c r="H19" s="57">
        <f t="shared" si="2"/>
        <v>0</v>
      </c>
      <c r="I19" s="57">
        <f>(30*[1]BC!$B$47/F19)</f>
        <v>6.4285714285714288</v>
      </c>
      <c r="J19" s="363">
        <f t="shared" si="3"/>
        <v>6.4285714285714288</v>
      </c>
      <c r="K19" s="216">
        <f t="shared" si="4"/>
        <v>0</v>
      </c>
      <c r="L19" s="216">
        <f t="shared" si="5"/>
        <v>0</v>
      </c>
      <c r="M19" s="364">
        <v>270</v>
      </c>
      <c r="N19" s="365">
        <f t="shared" si="6"/>
        <v>0</v>
      </c>
      <c r="O19" s="91" t="e">
        <f t="shared" si="0"/>
        <v>#DIV/0!</v>
      </c>
      <c r="P19" s="148" t="e">
        <f t="shared" si="1"/>
        <v>#DIV/0!</v>
      </c>
      <c r="Q19" s="808">
        <f t="shared" si="7"/>
        <v>2.7</v>
      </c>
      <c r="R19" s="809" t="e">
        <f>(Q19+$N$232)+(([1]BC!$F$125)/$G$103)</f>
        <v>#DIV/0!</v>
      </c>
      <c r="S19" s="809" t="e">
        <f t="shared" si="8"/>
        <v>#DIV/0!</v>
      </c>
      <c r="T19" s="810" t="e">
        <f t="shared" si="9"/>
        <v>#DIV/0!</v>
      </c>
      <c r="U19" s="810" t="e">
        <f t="shared" si="10"/>
        <v>#DIV/0!</v>
      </c>
      <c r="V19" s="370"/>
      <c r="W19" s="370"/>
      <c r="X19" s="24"/>
      <c r="Y19" s="24"/>
      <c r="Z19" s="24"/>
      <c r="AA19" s="24"/>
      <c r="AB19" s="24"/>
      <c r="AC19" s="24"/>
      <c r="AD19" s="24"/>
      <c r="AE19" s="24"/>
    </row>
    <row r="20" spans="1:31" ht="15.75" customHeight="1" x14ac:dyDescent="0.45">
      <c r="B20" s="520">
        <v>8836981190</v>
      </c>
      <c r="C20" s="822" t="s">
        <v>344</v>
      </c>
      <c r="D20" s="55" t="s">
        <v>345</v>
      </c>
      <c r="E20" s="57">
        <v>100</v>
      </c>
      <c r="F20" s="57">
        <v>49</v>
      </c>
      <c r="G20" s="386">
        <f>'e411'!F20</f>
        <v>0</v>
      </c>
      <c r="H20" s="57">
        <f t="shared" si="2"/>
        <v>0</v>
      </c>
      <c r="I20" s="57">
        <f>(30*[1]BC!$B$47/F20)</f>
        <v>7.3469387755102042</v>
      </c>
      <c r="J20" s="363">
        <f t="shared" si="3"/>
        <v>7.3469387755102042</v>
      </c>
      <c r="K20" s="216">
        <f t="shared" si="4"/>
        <v>0</v>
      </c>
      <c r="L20" s="216">
        <f t="shared" si="5"/>
        <v>0</v>
      </c>
      <c r="M20" s="364">
        <v>416</v>
      </c>
      <c r="N20" s="365">
        <f t="shared" si="6"/>
        <v>0</v>
      </c>
      <c r="O20" s="91" t="e">
        <f t="shared" si="0"/>
        <v>#DIV/0!</v>
      </c>
      <c r="P20" s="148" t="e">
        <f t="shared" si="1"/>
        <v>#DIV/0!</v>
      </c>
      <c r="Q20" s="808">
        <f t="shared" si="7"/>
        <v>4.16</v>
      </c>
      <c r="R20" s="809" t="e">
        <f>(Q20+$N$232)+(([1]BC!$F$125)/$G$103)</f>
        <v>#DIV/0!</v>
      </c>
      <c r="S20" s="809" t="e">
        <f t="shared" si="8"/>
        <v>#DIV/0!</v>
      </c>
      <c r="T20" s="810" t="e">
        <f t="shared" si="9"/>
        <v>#DIV/0!</v>
      </c>
      <c r="U20" s="810" t="e">
        <f t="shared" si="10"/>
        <v>#DIV/0!</v>
      </c>
      <c r="V20" s="370"/>
      <c r="W20" s="370"/>
      <c r="X20" s="24"/>
      <c r="Y20" s="24"/>
      <c r="Z20" s="24"/>
      <c r="AA20" s="24"/>
      <c r="AB20" s="24"/>
      <c r="AC20" s="24"/>
      <c r="AD20" s="24"/>
      <c r="AE20" s="24"/>
    </row>
    <row r="21" spans="1:31" ht="15.75" customHeight="1" x14ac:dyDescent="0.45">
      <c r="A21" s="247" t="s">
        <v>644</v>
      </c>
      <c r="B21" s="520">
        <v>9203095190</v>
      </c>
      <c r="C21" s="823" t="s">
        <v>346</v>
      </c>
      <c r="D21" s="363" t="s">
        <v>347</v>
      </c>
      <c r="E21" s="57">
        <v>200</v>
      </c>
      <c r="F21" s="57">
        <v>28</v>
      </c>
      <c r="G21" s="386">
        <f>'e411'!F21</f>
        <v>0</v>
      </c>
      <c r="H21" s="57">
        <f t="shared" si="2"/>
        <v>0</v>
      </c>
      <c r="I21" s="57">
        <f>(30*[1]BC!$B$47/F21)</f>
        <v>12.857142857142858</v>
      </c>
      <c r="J21" s="363">
        <f t="shared" si="3"/>
        <v>12.857142857142858</v>
      </c>
      <c r="K21" s="216">
        <f t="shared" si="4"/>
        <v>0</v>
      </c>
      <c r="L21" s="216">
        <f t="shared" si="5"/>
        <v>0</v>
      </c>
      <c r="M21" s="364">
        <v>340</v>
      </c>
      <c r="N21" s="365">
        <f t="shared" si="6"/>
        <v>0</v>
      </c>
      <c r="O21" s="91" t="e">
        <f t="shared" si="0"/>
        <v>#DIV/0!</v>
      </c>
      <c r="P21" s="148" t="e">
        <f t="shared" si="1"/>
        <v>#DIV/0!</v>
      </c>
      <c r="Q21" s="808">
        <f t="shared" si="7"/>
        <v>1.7</v>
      </c>
      <c r="R21" s="809" t="e">
        <f>(Q21+$N$232)+(([1]BC!$F$125)/$G$103)</f>
        <v>#DIV/0!</v>
      </c>
      <c r="S21" s="809" t="e">
        <f t="shared" si="8"/>
        <v>#DIV/0!</v>
      </c>
      <c r="T21" s="810" t="e">
        <f t="shared" si="9"/>
        <v>#DIV/0!</v>
      </c>
      <c r="U21" s="810" t="e">
        <f t="shared" si="10"/>
        <v>#DIV/0!</v>
      </c>
      <c r="V21" s="74"/>
      <c r="W21" s="74"/>
    </row>
    <row r="22" spans="1:31" ht="15.75" customHeight="1" x14ac:dyDescent="0.45">
      <c r="A22" s="247">
        <f>G10+G26+G27+G28+G29+G30+G38+G45+G48+G56+G71+G93</f>
        <v>0</v>
      </c>
      <c r="B22" s="520">
        <v>9289267190</v>
      </c>
      <c r="C22" s="824" t="s">
        <v>348</v>
      </c>
      <c r="D22" s="363" t="s">
        <v>349</v>
      </c>
      <c r="E22" s="57">
        <v>200</v>
      </c>
      <c r="F22" s="57">
        <v>28</v>
      </c>
      <c r="G22" s="386">
        <f>'e411'!F22</f>
        <v>0</v>
      </c>
      <c r="H22" s="57">
        <f t="shared" si="2"/>
        <v>0</v>
      </c>
      <c r="I22" s="57">
        <f>(30*[1]BC!$B$47/F22)</f>
        <v>12.857142857142858</v>
      </c>
      <c r="J22" s="363">
        <f t="shared" si="3"/>
        <v>12.857142857142858</v>
      </c>
      <c r="K22" s="216">
        <f t="shared" si="4"/>
        <v>0</v>
      </c>
      <c r="L22" s="216">
        <f t="shared" si="5"/>
        <v>0</v>
      </c>
      <c r="M22" s="364">
        <v>1112</v>
      </c>
      <c r="N22" s="365">
        <f t="shared" si="6"/>
        <v>0</v>
      </c>
      <c r="O22" s="91" t="e">
        <f t="shared" si="0"/>
        <v>#DIV/0!</v>
      </c>
      <c r="P22" s="148" t="e">
        <f t="shared" si="1"/>
        <v>#DIV/0!</v>
      </c>
      <c r="Q22" s="808">
        <f t="shared" si="7"/>
        <v>5.56</v>
      </c>
      <c r="R22" s="809" t="e">
        <f>(Q22+$N$232)+(([1]BC!$F$125)/$G$103)</f>
        <v>#DIV/0!</v>
      </c>
      <c r="S22" s="809" t="e">
        <f t="shared" si="8"/>
        <v>#DIV/0!</v>
      </c>
      <c r="T22" s="810" t="e">
        <f t="shared" si="9"/>
        <v>#DIV/0!</v>
      </c>
      <c r="U22" s="810" t="e">
        <f t="shared" si="10"/>
        <v>#DIV/0!</v>
      </c>
      <c r="V22" s="74"/>
      <c r="W22" s="74"/>
    </row>
    <row r="23" spans="1:31" ht="15.75" customHeight="1" x14ac:dyDescent="0.45">
      <c r="B23" s="520">
        <v>9004998190</v>
      </c>
      <c r="C23" s="813" t="s">
        <v>350</v>
      </c>
      <c r="D23" s="55" t="s">
        <v>351</v>
      </c>
      <c r="E23" s="57">
        <v>100</v>
      </c>
      <c r="F23" s="57">
        <v>42</v>
      </c>
      <c r="G23" s="386">
        <f>'e411'!F23</f>
        <v>0</v>
      </c>
      <c r="H23" s="57">
        <f t="shared" si="2"/>
        <v>0</v>
      </c>
      <c r="I23" s="57">
        <f>(30*[1]BC!$B$47/F23)</f>
        <v>8.5714285714285712</v>
      </c>
      <c r="J23" s="363">
        <f t="shared" si="3"/>
        <v>8.5714285714285712</v>
      </c>
      <c r="K23" s="216">
        <f t="shared" si="4"/>
        <v>0</v>
      </c>
      <c r="L23" s="216">
        <f t="shared" si="5"/>
        <v>0</v>
      </c>
      <c r="M23" s="364">
        <v>487</v>
      </c>
      <c r="N23" s="365">
        <f t="shared" si="6"/>
        <v>0</v>
      </c>
      <c r="O23" s="91" t="e">
        <f t="shared" si="0"/>
        <v>#DIV/0!</v>
      </c>
      <c r="P23" s="148" t="e">
        <f t="shared" si="1"/>
        <v>#DIV/0!</v>
      </c>
      <c r="Q23" s="808">
        <f t="shared" si="7"/>
        <v>4.87</v>
      </c>
      <c r="R23" s="809" t="e">
        <f>(Q23+$N$232)+(([1]BC!$F$125)/$G$103)</f>
        <v>#DIV/0!</v>
      </c>
      <c r="S23" s="809" t="e">
        <f t="shared" si="8"/>
        <v>#DIV/0!</v>
      </c>
      <c r="T23" s="810" t="e">
        <f t="shared" si="9"/>
        <v>#DIV/0!</v>
      </c>
      <c r="U23" s="810" t="e">
        <f t="shared" si="10"/>
        <v>#DIV/0!</v>
      </c>
      <c r="V23" s="370"/>
      <c r="W23" s="370"/>
      <c r="X23" s="24"/>
      <c r="Y23" s="24"/>
      <c r="Z23" s="24"/>
      <c r="AA23" s="24"/>
      <c r="AB23" s="24"/>
      <c r="AC23" s="24"/>
      <c r="AD23" s="24"/>
      <c r="AE23" s="24"/>
    </row>
    <row r="24" spans="1:31" ht="15.75" customHeight="1" x14ac:dyDescent="0.45">
      <c r="A24" s="264" t="s">
        <v>645</v>
      </c>
      <c r="B24" s="520">
        <v>8496609190</v>
      </c>
      <c r="C24" s="825" t="s">
        <v>352</v>
      </c>
      <c r="D24" s="363" t="s">
        <v>353</v>
      </c>
      <c r="E24" s="57">
        <v>100</v>
      </c>
      <c r="F24" s="57">
        <v>21</v>
      </c>
      <c r="G24" s="386">
        <f>'e411'!F24</f>
        <v>0</v>
      </c>
      <c r="H24" s="57">
        <f t="shared" si="2"/>
        <v>0</v>
      </c>
      <c r="I24" s="57">
        <f>(30*[1]BC!$B$47/F24)</f>
        <v>17.142857142857142</v>
      </c>
      <c r="J24" s="363">
        <f t="shared" si="3"/>
        <v>17.142857142857142</v>
      </c>
      <c r="K24" s="216">
        <f t="shared" si="4"/>
        <v>0</v>
      </c>
      <c r="L24" s="216">
        <f t="shared" si="5"/>
        <v>0</v>
      </c>
      <c r="M24" s="364">
        <v>1655</v>
      </c>
      <c r="N24" s="365">
        <f t="shared" si="6"/>
        <v>0</v>
      </c>
      <c r="O24" s="91" t="e">
        <f t="shared" si="0"/>
        <v>#DIV/0!</v>
      </c>
      <c r="P24" s="148" t="e">
        <f t="shared" si="1"/>
        <v>#DIV/0!</v>
      </c>
      <c r="Q24" s="808">
        <f t="shared" si="7"/>
        <v>16.55</v>
      </c>
      <c r="R24" s="809" t="e">
        <f>(Q24+$N$232)+(([1]BC!$F$125)/$G$103)</f>
        <v>#DIV/0!</v>
      </c>
      <c r="S24" s="809" t="e">
        <f t="shared" si="8"/>
        <v>#DIV/0!</v>
      </c>
      <c r="T24" s="810" t="e">
        <f t="shared" si="9"/>
        <v>#DIV/0!</v>
      </c>
      <c r="U24" s="810" t="e">
        <f t="shared" si="10"/>
        <v>#DIV/0!</v>
      </c>
      <c r="V24" s="74"/>
      <c r="W24" s="74"/>
    </row>
    <row r="25" spans="1:31" ht="15.75" customHeight="1" x14ac:dyDescent="0.45">
      <c r="A25" s="264">
        <f>G32+G40+G52+G69+G75+G82</f>
        <v>0</v>
      </c>
      <c r="B25" s="520">
        <v>9005773190</v>
      </c>
      <c r="C25" s="826" t="s">
        <v>354</v>
      </c>
      <c r="D25" s="363" t="s">
        <v>355</v>
      </c>
      <c r="E25" s="57">
        <v>100</v>
      </c>
      <c r="F25" s="57">
        <v>56</v>
      </c>
      <c r="G25" s="386">
        <f>'e411'!F25</f>
        <v>0</v>
      </c>
      <c r="H25" s="57">
        <f t="shared" si="2"/>
        <v>0</v>
      </c>
      <c r="I25" s="57">
        <f>(30*[1]BC!$B$47/F25)</f>
        <v>6.4285714285714288</v>
      </c>
      <c r="J25" s="363">
        <f t="shared" si="3"/>
        <v>6.4285714285714288</v>
      </c>
      <c r="K25" s="216">
        <f t="shared" si="4"/>
        <v>0</v>
      </c>
      <c r="L25" s="216">
        <f t="shared" si="5"/>
        <v>0</v>
      </c>
      <c r="M25" s="364">
        <v>543</v>
      </c>
      <c r="N25" s="365">
        <f t="shared" si="6"/>
        <v>0</v>
      </c>
      <c r="O25" s="91" t="e">
        <f t="shared" si="0"/>
        <v>#DIV/0!</v>
      </c>
      <c r="P25" s="148" t="e">
        <f t="shared" si="1"/>
        <v>#DIV/0!</v>
      </c>
      <c r="Q25" s="808">
        <f t="shared" si="7"/>
        <v>5.43</v>
      </c>
      <c r="R25" s="809" t="e">
        <f>(Q25+$N$232)+(([1]BC!$F$125)/$G$103)</f>
        <v>#DIV/0!</v>
      </c>
      <c r="S25" s="809" t="e">
        <f t="shared" si="8"/>
        <v>#DIV/0!</v>
      </c>
      <c r="T25" s="810" t="e">
        <f t="shared" si="9"/>
        <v>#DIV/0!</v>
      </c>
      <c r="U25" s="810" t="e">
        <f t="shared" si="10"/>
        <v>#DIV/0!</v>
      </c>
      <c r="V25" s="74"/>
      <c r="W25" s="74"/>
    </row>
    <row r="26" spans="1:31" ht="15.75" customHeight="1" x14ac:dyDescent="0.45">
      <c r="B26" s="520">
        <v>11776223190</v>
      </c>
      <c r="C26" s="811" t="s">
        <v>356</v>
      </c>
      <c r="D26" s="363" t="s">
        <v>357</v>
      </c>
      <c r="E26" s="57">
        <v>100</v>
      </c>
      <c r="F26" s="57">
        <v>42</v>
      </c>
      <c r="G26" s="386">
        <f>'e411'!F26</f>
        <v>0</v>
      </c>
      <c r="H26" s="57">
        <f t="shared" si="2"/>
        <v>0</v>
      </c>
      <c r="I26" s="57">
        <f>(30*[1]BC!$B$47/F26)</f>
        <v>8.5714285714285712</v>
      </c>
      <c r="J26" s="363">
        <f t="shared" si="3"/>
        <v>8.5714285714285712</v>
      </c>
      <c r="K26" s="216">
        <f t="shared" si="4"/>
        <v>0</v>
      </c>
      <c r="L26" s="216">
        <f t="shared" si="5"/>
        <v>0</v>
      </c>
      <c r="M26" s="364">
        <v>582</v>
      </c>
      <c r="N26" s="365">
        <f t="shared" si="6"/>
        <v>0</v>
      </c>
      <c r="O26" s="91" t="e">
        <f t="shared" si="0"/>
        <v>#DIV/0!</v>
      </c>
      <c r="P26" s="148" t="e">
        <f t="shared" si="1"/>
        <v>#DIV/0!</v>
      </c>
      <c r="Q26" s="808">
        <f t="shared" si="7"/>
        <v>5.82</v>
      </c>
      <c r="R26" s="809" t="e">
        <f>(Q26+$N$232)+(([1]BC!$F$125)/$G$103)</f>
        <v>#DIV/0!</v>
      </c>
      <c r="S26" s="809" t="e">
        <f t="shared" si="8"/>
        <v>#DIV/0!</v>
      </c>
      <c r="T26" s="810" t="e">
        <f t="shared" si="9"/>
        <v>#DIV/0!</v>
      </c>
      <c r="U26" s="810" t="e">
        <f t="shared" si="10"/>
        <v>#DIV/0!</v>
      </c>
      <c r="V26" s="370"/>
      <c r="W26" s="370"/>
      <c r="X26" s="24"/>
      <c r="Y26" s="24"/>
      <c r="Z26" s="24"/>
      <c r="AA26" s="24"/>
      <c r="AB26" s="24"/>
      <c r="AC26" s="24"/>
      <c r="AD26" s="24"/>
      <c r="AE26" s="24"/>
    </row>
    <row r="27" spans="1:31" ht="15.75" customHeight="1" x14ac:dyDescent="0.45">
      <c r="A27" s="265" t="s">
        <v>646</v>
      </c>
      <c r="B27" s="806">
        <v>3045838122</v>
      </c>
      <c r="C27" s="827" t="s">
        <v>358</v>
      </c>
      <c r="D27" s="363" t="s">
        <v>359</v>
      </c>
      <c r="E27" s="216">
        <v>100</v>
      </c>
      <c r="F27" s="216">
        <v>35</v>
      </c>
      <c r="G27" s="386">
        <f>'e411'!F27</f>
        <v>0</v>
      </c>
      <c r="H27" s="57">
        <f t="shared" si="2"/>
        <v>0</v>
      </c>
      <c r="I27" s="57">
        <f>(30*[1]BC!$B$47/F27)</f>
        <v>10.285714285714286</v>
      </c>
      <c r="J27" s="363">
        <f t="shared" si="3"/>
        <v>10.285714285714286</v>
      </c>
      <c r="K27" s="216">
        <f t="shared" si="4"/>
        <v>0</v>
      </c>
      <c r="L27" s="216">
        <f t="shared" si="5"/>
        <v>0</v>
      </c>
      <c r="M27" s="364">
        <v>587</v>
      </c>
      <c r="N27" s="365">
        <f t="shared" si="6"/>
        <v>0</v>
      </c>
      <c r="O27" s="91" t="e">
        <f t="shared" si="0"/>
        <v>#DIV/0!</v>
      </c>
      <c r="P27" s="148" t="e">
        <f t="shared" si="1"/>
        <v>#DIV/0!</v>
      </c>
      <c r="Q27" s="808">
        <f t="shared" si="7"/>
        <v>5.87</v>
      </c>
      <c r="R27" s="809" t="e">
        <f>(Q27+$N$232)+(([1]BC!$F$125)/$G$103)</f>
        <v>#DIV/0!</v>
      </c>
      <c r="S27" s="809" t="e">
        <f t="shared" si="8"/>
        <v>#DIV/0!</v>
      </c>
      <c r="T27" s="810" t="e">
        <f t="shared" si="9"/>
        <v>#DIV/0!</v>
      </c>
      <c r="U27" s="810" t="e">
        <f t="shared" si="10"/>
        <v>#DIV/0!</v>
      </c>
      <c r="V27" s="815"/>
      <c r="W27" s="815"/>
      <c r="X27" s="43"/>
      <c r="Y27" s="43"/>
      <c r="Z27" s="43"/>
      <c r="AA27" s="43"/>
      <c r="AB27" s="43"/>
      <c r="AC27" s="43"/>
      <c r="AD27" s="43"/>
      <c r="AE27" s="43"/>
    </row>
    <row r="28" spans="1:31" ht="15.75" customHeight="1" x14ac:dyDescent="0.45">
      <c r="A28" s="265">
        <f>G47+G72</f>
        <v>0</v>
      </c>
      <c r="B28" s="520">
        <v>11776193122</v>
      </c>
      <c r="C28" s="827" t="s">
        <v>360</v>
      </c>
      <c r="D28" s="363" t="s">
        <v>361</v>
      </c>
      <c r="E28" s="57">
        <v>100</v>
      </c>
      <c r="F28" s="57">
        <v>56</v>
      </c>
      <c r="G28" s="386">
        <f>'e411'!F28</f>
        <v>0</v>
      </c>
      <c r="H28" s="57">
        <f t="shared" si="2"/>
        <v>0</v>
      </c>
      <c r="I28" s="57">
        <f>(30*[1]BC!$B$47/F28)</f>
        <v>6.4285714285714288</v>
      </c>
      <c r="J28" s="363">
        <f t="shared" si="3"/>
        <v>6.4285714285714288</v>
      </c>
      <c r="K28" s="216">
        <f t="shared" si="4"/>
        <v>0</v>
      </c>
      <c r="L28" s="216">
        <f t="shared" si="5"/>
        <v>0</v>
      </c>
      <c r="M28" s="364">
        <v>584</v>
      </c>
      <c r="N28" s="365">
        <f t="shared" si="6"/>
        <v>0</v>
      </c>
      <c r="O28" s="91" t="e">
        <f t="shared" si="0"/>
        <v>#DIV/0!</v>
      </c>
      <c r="P28" s="148" t="e">
        <f t="shared" si="1"/>
        <v>#DIV/0!</v>
      </c>
      <c r="Q28" s="808">
        <f t="shared" si="7"/>
        <v>5.84</v>
      </c>
      <c r="R28" s="809" t="e">
        <f>(Q28+$N$232)+(([1]BC!$F$125)/$G$103)</f>
        <v>#DIV/0!</v>
      </c>
      <c r="S28" s="809" t="e">
        <f t="shared" si="8"/>
        <v>#DIV/0!</v>
      </c>
      <c r="T28" s="810" t="e">
        <f t="shared" si="9"/>
        <v>#DIV/0!</v>
      </c>
      <c r="U28" s="810" t="e">
        <f t="shared" si="10"/>
        <v>#DIV/0!</v>
      </c>
      <c r="V28" s="74"/>
      <c r="W28" s="74"/>
    </row>
    <row r="29" spans="1:31" ht="15.75" customHeight="1" x14ac:dyDescent="0.45">
      <c r="B29" s="806">
        <v>9005692190</v>
      </c>
      <c r="C29" s="827" t="s">
        <v>362</v>
      </c>
      <c r="D29" s="363" t="s">
        <v>363</v>
      </c>
      <c r="E29" s="216">
        <v>100</v>
      </c>
      <c r="F29" s="216">
        <v>56</v>
      </c>
      <c r="G29" s="386">
        <f>'e411'!F29</f>
        <v>0</v>
      </c>
      <c r="H29" s="57">
        <f t="shared" si="2"/>
        <v>0</v>
      </c>
      <c r="I29" s="57">
        <f>(30*[1]BC!$B$47/F29)</f>
        <v>6.4285714285714288</v>
      </c>
      <c r="J29" s="363">
        <f t="shared" si="3"/>
        <v>6.4285714285714288</v>
      </c>
      <c r="K29" s="216">
        <f t="shared" si="4"/>
        <v>0</v>
      </c>
      <c r="L29" s="216">
        <f t="shared" si="5"/>
        <v>0</v>
      </c>
      <c r="M29" s="364">
        <v>666</v>
      </c>
      <c r="N29" s="365">
        <f t="shared" si="6"/>
        <v>0</v>
      </c>
      <c r="O29" s="91" t="e">
        <f t="shared" si="0"/>
        <v>#DIV/0!</v>
      </c>
      <c r="P29" s="148" t="e">
        <f t="shared" si="1"/>
        <v>#DIV/0!</v>
      </c>
      <c r="Q29" s="808">
        <f t="shared" si="7"/>
        <v>6.66</v>
      </c>
      <c r="R29" s="809" t="e">
        <f>(Q29+$N$232)+(([1]BC!$F$125)/$G$103)</f>
        <v>#DIV/0!</v>
      </c>
      <c r="S29" s="809" t="e">
        <f t="shared" si="8"/>
        <v>#DIV/0!</v>
      </c>
      <c r="T29" s="810" t="e">
        <f t="shared" si="9"/>
        <v>#DIV/0!</v>
      </c>
      <c r="U29" s="810" t="e">
        <f t="shared" si="10"/>
        <v>#DIV/0!</v>
      </c>
      <c r="V29" s="815"/>
      <c r="W29" s="815"/>
      <c r="X29" s="43"/>
      <c r="Y29" s="43"/>
      <c r="Z29" s="43"/>
      <c r="AA29" s="43"/>
      <c r="AB29" s="43"/>
      <c r="AC29" s="43"/>
      <c r="AD29" s="43"/>
      <c r="AE29" s="43"/>
    </row>
    <row r="30" spans="1:31" ht="15.75" customHeight="1" x14ac:dyDescent="0.45">
      <c r="A30" s="828" t="s">
        <v>623</v>
      </c>
      <c r="B30" s="520">
        <v>11731629322</v>
      </c>
      <c r="C30" s="811" t="s">
        <v>364</v>
      </c>
      <c r="D30" s="55" t="s">
        <v>365</v>
      </c>
      <c r="E30" s="57">
        <v>100</v>
      </c>
      <c r="F30" s="57">
        <v>42</v>
      </c>
      <c r="G30" s="386">
        <f>'e411'!F30</f>
        <v>0</v>
      </c>
      <c r="H30" s="57">
        <f t="shared" si="2"/>
        <v>0</v>
      </c>
      <c r="I30" s="57">
        <f>(30*[1]BC!$B$47/F30)</f>
        <v>8.5714285714285712</v>
      </c>
      <c r="J30" s="363">
        <f t="shared" si="3"/>
        <v>8.5714285714285712</v>
      </c>
      <c r="K30" s="216">
        <f t="shared" si="4"/>
        <v>0</v>
      </c>
      <c r="L30" s="216">
        <f t="shared" si="5"/>
        <v>0</v>
      </c>
      <c r="M30" s="364">
        <v>159</v>
      </c>
      <c r="N30" s="365">
        <f t="shared" si="6"/>
        <v>0</v>
      </c>
      <c r="O30" s="91" t="e">
        <f t="shared" si="0"/>
        <v>#DIV/0!</v>
      </c>
      <c r="P30" s="148" t="e">
        <f t="shared" si="1"/>
        <v>#DIV/0!</v>
      </c>
      <c r="Q30" s="808">
        <f t="shared" si="7"/>
        <v>1.59</v>
      </c>
      <c r="R30" s="809" t="e">
        <f>(Q30+$N$232)+(([1]BC!$F$125)/$G$103)</f>
        <v>#DIV/0!</v>
      </c>
      <c r="S30" s="809" t="e">
        <f t="shared" si="8"/>
        <v>#DIV/0!</v>
      </c>
      <c r="T30" s="810" t="e">
        <f t="shared" si="9"/>
        <v>#DIV/0!</v>
      </c>
      <c r="U30" s="810" t="e">
        <f t="shared" si="10"/>
        <v>#DIV/0!</v>
      </c>
      <c r="V30" s="370"/>
      <c r="W30" s="370"/>
      <c r="X30" s="24"/>
      <c r="Y30" s="24"/>
      <c r="Z30" s="24"/>
      <c r="AA30" s="24"/>
      <c r="AB30" s="24"/>
      <c r="AC30" s="24"/>
      <c r="AD30" s="24"/>
      <c r="AE30" s="24"/>
    </row>
    <row r="31" spans="1:31" ht="15.75" customHeight="1" x14ac:dyDescent="0.45">
      <c r="A31" s="272">
        <f>G97+G98+G99</f>
        <v>0</v>
      </c>
      <c r="B31" s="520">
        <v>9015566190</v>
      </c>
      <c r="C31" s="829" t="s">
        <v>366</v>
      </c>
      <c r="D31" s="363" t="s">
        <v>367</v>
      </c>
      <c r="E31" s="57">
        <v>100</v>
      </c>
      <c r="F31" s="57">
        <v>56</v>
      </c>
      <c r="G31" s="386">
        <f>'e411'!F31</f>
        <v>0</v>
      </c>
      <c r="H31" s="57">
        <f t="shared" si="2"/>
        <v>0</v>
      </c>
      <c r="I31" s="57">
        <f>(30*[1]BC!$B$47/F31)</f>
        <v>6.4285714285714288</v>
      </c>
      <c r="J31" s="363">
        <f t="shared" si="3"/>
        <v>6.4285714285714288</v>
      </c>
      <c r="K31" s="216">
        <f t="shared" si="4"/>
        <v>0</v>
      </c>
      <c r="L31" s="216">
        <f t="shared" si="5"/>
        <v>0</v>
      </c>
      <c r="M31" s="364">
        <v>298</v>
      </c>
      <c r="N31" s="365">
        <f t="shared" si="6"/>
        <v>0</v>
      </c>
      <c r="O31" s="91" t="e">
        <f t="shared" si="0"/>
        <v>#DIV/0!</v>
      </c>
      <c r="P31" s="148" t="e">
        <f t="shared" si="1"/>
        <v>#DIV/0!</v>
      </c>
      <c r="Q31" s="808">
        <f t="shared" si="7"/>
        <v>2.98</v>
      </c>
      <c r="R31" s="809" t="e">
        <f>(Q31+$N$232)+(([1]BC!$F$125)/$G$103)</f>
        <v>#DIV/0!</v>
      </c>
      <c r="S31" s="809" t="e">
        <f t="shared" si="8"/>
        <v>#DIV/0!</v>
      </c>
      <c r="T31" s="810" t="e">
        <f t="shared" si="9"/>
        <v>#DIV/0!</v>
      </c>
      <c r="U31" s="810" t="e">
        <f t="shared" si="10"/>
        <v>#DIV/0!</v>
      </c>
      <c r="V31" s="74"/>
      <c r="W31" s="74"/>
    </row>
    <row r="32" spans="1:31" ht="15.75" customHeight="1" x14ac:dyDescent="0.45">
      <c r="B32" s="520">
        <v>5957648190</v>
      </c>
      <c r="C32" s="830" t="s">
        <v>368</v>
      </c>
      <c r="D32" s="363" t="s">
        <v>369</v>
      </c>
      <c r="E32" s="57">
        <v>100</v>
      </c>
      <c r="F32" s="57">
        <v>56</v>
      </c>
      <c r="G32" s="386">
        <f>'e411'!F32</f>
        <v>0</v>
      </c>
      <c r="H32" s="57">
        <f t="shared" si="2"/>
        <v>0</v>
      </c>
      <c r="I32" s="57">
        <f>(30*[1]BC!$B$47/F32)</f>
        <v>6.4285714285714288</v>
      </c>
      <c r="J32" s="363">
        <f t="shared" si="3"/>
        <v>6.4285714285714288</v>
      </c>
      <c r="K32" s="216">
        <f t="shared" si="4"/>
        <v>0</v>
      </c>
      <c r="L32" s="216">
        <f t="shared" si="5"/>
        <v>0</v>
      </c>
      <c r="M32" s="364">
        <v>276</v>
      </c>
      <c r="N32" s="365">
        <f t="shared" si="6"/>
        <v>0</v>
      </c>
      <c r="O32" s="91" t="e">
        <f t="shared" si="0"/>
        <v>#DIV/0!</v>
      </c>
      <c r="P32" s="148" t="e">
        <f t="shared" si="1"/>
        <v>#DIV/0!</v>
      </c>
      <c r="Q32" s="808">
        <f t="shared" si="7"/>
        <v>2.76</v>
      </c>
      <c r="R32" s="809" t="e">
        <f>(Q32+$N$232)+(([1]BC!$F$125)/$G$103)</f>
        <v>#DIV/0!</v>
      </c>
      <c r="S32" s="809" t="e">
        <f t="shared" si="8"/>
        <v>#DIV/0!</v>
      </c>
      <c r="T32" s="810" t="e">
        <f t="shared" si="9"/>
        <v>#DIV/0!</v>
      </c>
      <c r="U32" s="810" t="e">
        <f t="shared" si="10"/>
        <v>#DIV/0!</v>
      </c>
      <c r="V32" s="74"/>
      <c r="W32" s="74"/>
    </row>
    <row r="33" spans="1:31" ht="15.75" customHeight="1" x14ac:dyDescent="0.45">
      <c r="A33" s="831" t="s">
        <v>601</v>
      </c>
      <c r="B33" s="520">
        <v>9342397190</v>
      </c>
      <c r="C33" s="832" t="s">
        <v>370</v>
      </c>
      <c r="D33" s="363" t="s">
        <v>371</v>
      </c>
      <c r="E33" s="57">
        <v>100</v>
      </c>
      <c r="F33" s="57">
        <v>56</v>
      </c>
      <c r="G33" s="386">
        <f>'e411'!F33</f>
        <v>0</v>
      </c>
      <c r="H33" s="57">
        <f t="shared" si="2"/>
        <v>0</v>
      </c>
      <c r="I33" s="57">
        <f>(30*[1]BC!$B$47/F33)</f>
        <v>6.4285714285714288</v>
      </c>
      <c r="J33" s="363">
        <f t="shared" si="3"/>
        <v>6.4285714285714288</v>
      </c>
      <c r="K33" s="216">
        <f t="shared" si="4"/>
        <v>0</v>
      </c>
      <c r="L33" s="216">
        <f t="shared" si="5"/>
        <v>0</v>
      </c>
      <c r="M33" s="364">
        <v>860</v>
      </c>
      <c r="N33" s="365">
        <f t="shared" si="6"/>
        <v>0</v>
      </c>
      <c r="O33" s="91" t="e">
        <f t="shared" si="0"/>
        <v>#DIV/0!</v>
      </c>
      <c r="P33" s="148" t="e">
        <f t="shared" si="1"/>
        <v>#DIV/0!</v>
      </c>
      <c r="Q33" s="808">
        <f t="shared" si="7"/>
        <v>8.6</v>
      </c>
      <c r="R33" s="809" t="e">
        <f>(Q33+$N$232)+(([1]BC!$F$125)/$G$103)</f>
        <v>#DIV/0!</v>
      </c>
      <c r="S33" s="809" t="e">
        <f t="shared" si="8"/>
        <v>#DIV/0!</v>
      </c>
      <c r="T33" s="810" t="e">
        <f t="shared" si="9"/>
        <v>#DIV/0!</v>
      </c>
      <c r="U33" s="810" t="e">
        <f t="shared" si="10"/>
        <v>#DIV/0!</v>
      </c>
      <c r="V33" s="74"/>
      <c r="W33" s="74"/>
    </row>
    <row r="34" spans="1:31" ht="15.75" customHeight="1" x14ac:dyDescent="0.45">
      <c r="A34" s="274">
        <f>G42+G43</f>
        <v>0</v>
      </c>
      <c r="B34" s="520">
        <v>9118543190</v>
      </c>
      <c r="C34" s="833" t="s">
        <v>372</v>
      </c>
      <c r="D34" s="55" t="s">
        <v>373</v>
      </c>
      <c r="E34" s="57">
        <v>100</v>
      </c>
      <c r="F34" s="57">
        <v>21</v>
      </c>
      <c r="G34" s="386">
        <f>'e411'!F34</f>
        <v>0</v>
      </c>
      <c r="H34" s="57">
        <f t="shared" si="2"/>
        <v>0</v>
      </c>
      <c r="I34" s="57">
        <f>(30*[1]BC!$B$47/F34)</f>
        <v>17.142857142857142</v>
      </c>
      <c r="J34" s="363">
        <f t="shared" si="3"/>
        <v>17.142857142857142</v>
      </c>
      <c r="K34" s="216">
        <f t="shared" si="4"/>
        <v>0</v>
      </c>
      <c r="L34" s="216">
        <f t="shared" si="5"/>
        <v>0</v>
      </c>
      <c r="M34" s="364">
        <v>278</v>
      </c>
      <c r="N34" s="365">
        <f t="shared" si="6"/>
        <v>0</v>
      </c>
      <c r="O34" s="91" t="e">
        <f t="shared" si="0"/>
        <v>#DIV/0!</v>
      </c>
      <c r="P34" s="148" t="e">
        <f t="shared" si="1"/>
        <v>#DIV/0!</v>
      </c>
      <c r="Q34" s="808">
        <f t="shared" si="7"/>
        <v>2.78</v>
      </c>
      <c r="R34" s="809" t="e">
        <f>(Q34+$N$232)+(([1]BC!$F$125)/$G$103)</f>
        <v>#DIV/0!</v>
      </c>
      <c r="S34" s="809" t="e">
        <f t="shared" si="8"/>
        <v>#DIV/0!</v>
      </c>
      <c r="T34" s="810" t="e">
        <f t="shared" si="9"/>
        <v>#DIV/0!</v>
      </c>
      <c r="U34" s="810" t="e">
        <f t="shared" si="10"/>
        <v>#DIV/0!</v>
      </c>
      <c r="V34" s="370"/>
      <c r="W34" s="370"/>
      <c r="X34" s="24"/>
      <c r="Y34" s="24"/>
      <c r="Z34" s="24"/>
      <c r="AA34" s="24"/>
      <c r="AB34" s="24"/>
      <c r="AC34" s="24"/>
      <c r="AD34" s="24"/>
      <c r="AE34" s="24"/>
    </row>
    <row r="35" spans="1:31" ht="15.75" customHeight="1" x14ac:dyDescent="0.45">
      <c r="B35" s="834">
        <v>4784618190</v>
      </c>
      <c r="C35" s="835" t="s">
        <v>374</v>
      </c>
      <c r="D35" s="55" t="s">
        <v>375</v>
      </c>
      <c r="E35" s="57">
        <v>100</v>
      </c>
      <c r="F35" s="57">
        <v>42</v>
      </c>
      <c r="G35" s="386">
        <f>'e411'!F35</f>
        <v>0</v>
      </c>
      <c r="H35" s="57">
        <f t="shared" si="2"/>
        <v>0</v>
      </c>
      <c r="I35" s="57">
        <f>(30*[1]BC!$B$47/F35)</f>
        <v>8.5714285714285712</v>
      </c>
      <c r="J35" s="363">
        <f t="shared" si="3"/>
        <v>8.5714285714285712</v>
      </c>
      <c r="K35" s="216">
        <f t="shared" si="4"/>
        <v>0</v>
      </c>
      <c r="L35" s="216">
        <f t="shared" si="5"/>
        <v>0</v>
      </c>
      <c r="M35" s="364">
        <v>198</v>
      </c>
      <c r="N35" s="365">
        <f t="shared" si="6"/>
        <v>0</v>
      </c>
      <c r="O35" s="91" t="e">
        <f t="shared" si="0"/>
        <v>#DIV/0!</v>
      </c>
      <c r="P35" s="148" t="e">
        <f t="shared" si="1"/>
        <v>#DIV/0!</v>
      </c>
      <c r="Q35" s="808">
        <f t="shared" si="7"/>
        <v>1.98</v>
      </c>
      <c r="R35" s="809" t="e">
        <f>(Q35+$N$232)+(([1]BC!$F$125)/$G$103)</f>
        <v>#DIV/0!</v>
      </c>
      <c r="S35" s="809" t="e">
        <f t="shared" si="8"/>
        <v>#DIV/0!</v>
      </c>
      <c r="T35" s="810" t="e">
        <f t="shared" si="9"/>
        <v>#DIV/0!</v>
      </c>
      <c r="U35" s="810" t="e">
        <f t="shared" si="10"/>
        <v>#DIV/0!</v>
      </c>
      <c r="V35" s="370"/>
      <c r="W35" s="370"/>
      <c r="X35" s="24"/>
      <c r="Y35" s="24"/>
      <c r="Z35" s="24"/>
      <c r="AA35" s="24"/>
      <c r="AB35" s="24"/>
      <c r="AC35" s="24"/>
      <c r="AD35" s="24"/>
      <c r="AE35" s="24"/>
    </row>
    <row r="36" spans="1:31" ht="15.75" customHeight="1" x14ac:dyDescent="0.45">
      <c r="A36" s="836" t="s">
        <v>603</v>
      </c>
      <c r="B36" s="834">
        <v>6687733190</v>
      </c>
      <c r="C36" s="837" t="s">
        <v>376</v>
      </c>
      <c r="D36" s="55" t="s">
        <v>377</v>
      </c>
      <c r="E36" s="57">
        <v>100</v>
      </c>
      <c r="F36" s="57">
        <v>56</v>
      </c>
      <c r="G36" s="386">
        <f>'e411'!F36</f>
        <v>0</v>
      </c>
      <c r="H36" s="57">
        <f t="shared" si="2"/>
        <v>0</v>
      </c>
      <c r="I36" s="57">
        <f>(30*[1]BC!$B$47/F36)</f>
        <v>6.4285714285714288</v>
      </c>
      <c r="J36" s="363">
        <f t="shared" si="3"/>
        <v>6.4285714285714288</v>
      </c>
      <c r="K36" s="216">
        <f t="shared" si="4"/>
        <v>0</v>
      </c>
      <c r="L36" s="216">
        <f t="shared" si="5"/>
        <v>0</v>
      </c>
      <c r="M36" s="364">
        <v>388</v>
      </c>
      <c r="N36" s="365">
        <f t="shared" si="6"/>
        <v>0</v>
      </c>
      <c r="O36" s="91" t="e">
        <f t="shared" si="0"/>
        <v>#DIV/0!</v>
      </c>
      <c r="P36" s="148" t="e">
        <f t="shared" si="1"/>
        <v>#DIV/0!</v>
      </c>
      <c r="Q36" s="808">
        <f t="shared" si="7"/>
        <v>3.88</v>
      </c>
      <c r="R36" s="809" t="e">
        <f>(Q36+$N$232)+(([1]BC!$F$125)/$G$103)</f>
        <v>#DIV/0!</v>
      </c>
      <c r="S36" s="809" t="e">
        <f t="shared" si="8"/>
        <v>#DIV/0!</v>
      </c>
      <c r="T36" s="810" t="e">
        <f t="shared" si="9"/>
        <v>#DIV/0!</v>
      </c>
      <c r="U36" s="810" t="e">
        <f t="shared" si="10"/>
        <v>#DIV/0!</v>
      </c>
      <c r="V36" s="370"/>
      <c r="W36" s="370"/>
      <c r="X36" s="24"/>
      <c r="Y36" s="24"/>
      <c r="Z36" s="24"/>
      <c r="AA36" s="24"/>
      <c r="AB36" s="24"/>
      <c r="AC36" s="24"/>
      <c r="AD36" s="24"/>
      <c r="AE36" s="24"/>
    </row>
    <row r="37" spans="1:31" ht="15.75" customHeight="1" x14ac:dyDescent="0.45">
      <c r="A37" s="276">
        <f>G58+G64+G65</f>
        <v>0</v>
      </c>
      <c r="B37" s="806">
        <v>3184897190</v>
      </c>
      <c r="C37" s="807" t="s">
        <v>378</v>
      </c>
      <c r="D37" s="363" t="s">
        <v>379</v>
      </c>
      <c r="E37" s="216">
        <v>100</v>
      </c>
      <c r="F37" s="216">
        <v>56</v>
      </c>
      <c r="G37" s="386">
        <f>'e411'!F37</f>
        <v>0</v>
      </c>
      <c r="H37" s="57">
        <f t="shared" si="2"/>
        <v>0</v>
      </c>
      <c r="I37" s="57">
        <f>(30*[1]BC!$B$47/F37)</f>
        <v>6.4285714285714288</v>
      </c>
      <c r="J37" s="363">
        <f t="shared" si="3"/>
        <v>6.4285714285714288</v>
      </c>
      <c r="K37" s="216">
        <f t="shared" si="4"/>
        <v>0</v>
      </c>
      <c r="L37" s="216">
        <f t="shared" si="5"/>
        <v>0</v>
      </c>
      <c r="M37" s="364">
        <v>317</v>
      </c>
      <c r="N37" s="365">
        <f t="shared" si="6"/>
        <v>0</v>
      </c>
      <c r="O37" s="91" t="e">
        <f t="shared" si="0"/>
        <v>#DIV/0!</v>
      </c>
      <c r="P37" s="148" t="e">
        <f t="shared" si="1"/>
        <v>#DIV/0!</v>
      </c>
      <c r="Q37" s="808">
        <f t="shared" si="7"/>
        <v>3.17</v>
      </c>
      <c r="R37" s="809" t="e">
        <f>(Q37+$N$232)+(([1]BC!$F$125)/$G$103)</f>
        <v>#DIV/0!</v>
      </c>
      <c r="S37" s="809" t="e">
        <f t="shared" si="8"/>
        <v>#DIV/0!</v>
      </c>
      <c r="T37" s="810" t="e">
        <f t="shared" si="9"/>
        <v>#DIV/0!</v>
      </c>
      <c r="U37" s="810" t="e">
        <f t="shared" si="10"/>
        <v>#DIV/0!</v>
      </c>
      <c r="V37" s="815"/>
      <c r="W37" s="815"/>
      <c r="X37" s="43"/>
      <c r="Y37" s="43"/>
      <c r="Z37" s="43"/>
      <c r="AA37" s="43"/>
      <c r="AB37" s="43"/>
      <c r="AC37" s="43"/>
      <c r="AD37" s="43"/>
      <c r="AE37" s="43"/>
    </row>
    <row r="38" spans="1:31" ht="15.75" customHeight="1" x14ac:dyDescent="0.45">
      <c r="B38" s="834">
        <v>11820966122</v>
      </c>
      <c r="C38" s="827" t="s">
        <v>380</v>
      </c>
      <c r="D38" s="363" t="s">
        <v>381</v>
      </c>
      <c r="E38" s="57">
        <v>100</v>
      </c>
      <c r="F38" s="57">
        <v>56</v>
      </c>
      <c r="G38" s="386">
        <f>'e411'!F38</f>
        <v>0</v>
      </c>
      <c r="H38" s="57">
        <f t="shared" si="2"/>
        <v>0</v>
      </c>
      <c r="I38" s="57">
        <f>(30*[1]BC!$B$47/F38)</f>
        <v>6.4285714285714288</v>
      </c>
      <c r="J38" s="363">
        <f t="shared" si="3"/>
        <v>6.4285714285714288</v>
      </c>
      <c r="K38" s="216">
        <f t="shared" si="4"/>
        <v>0</v>
      </c>
      <c r="L38" s="216">
        <f t="shared" si="5"/>
        <v>0</v>
      </c>
      <c r="M38" s="364">
        <v>627</v>
      </c>
      <c r="N38" s="365">
        <f t="shared" si="6"/>
        <v>0</v>
      </c>
      <c r="O38" s="91" t="e">
        <f t="shared" si="0"/>
        <v>#DIV/0!</v>
      </c>
      <c r="P38" s="148" t="e">
        <f t="shared" si="1"/>
        <v>#DIV/0!</v>
      </c>
      <c r="Q38" s="808">
        <f t="shared" si="7"/>
        <v>6.27</v>
      </c>
      <c r="R38" s="809" t="e">
        <f>(Q38+$N$232)+(([1]BC!$F$125)/$G$103)</f>
        <v>#DIV/0!</v>
      </c>
      <c r="S38" s="809" t="e">
        <f t="shared" si="8"/>
        <v>#DIV/0!</v>
      </c>
      <c r="T38" s="810" t="e">
        <f t="shared" si="9"/>
        <v>#DIV/0!</v>
      </c>
      <c r="U38" s="810" t="e">
        <f t="shared" si="10"/>
        <v>#DIV/0!</v>
      </c>
      <c r="V38" s="74"/>
      <c r="W38" s="74"/>
    </row>
    <row r="39" spans="1:31" ht="15.75" customHeight="1" x14ac:dyDescent="0.45">
      <c r="A39" s="838" t="s">
        <v>609</v>
      </c>
      <c r="B39" s="834">
        <v>3000087122</v>
      </c>
      <c r="C39" s="839" t="s">
        <v>382</v>
      </c>
      <c r="D39" s="363" t="s">
        <v>383</v>
      </c>
      <c r="E39" s="57">
        <v>100</v>
      </c>
      <c r="F39" s="57">
        <v>56</v>
      </c>
      <c r="G39" s="386">
        <f>'e411'!F39</f>
        <v>0</v>
      </c>
      <c r="H39" s="57">
        <f t="shared" si="2"/>
        <v>0</v>
      </c>
      <c r="I39" s="57">
        <f>(30*[1]BC!$B$47/F39)</f>
        <v>6.4285714285714288</v>
      </c>
      <c r="J39" s="363">
        <f t="shared" si="3"/>
        <v>6.4285714285714288</v>
      </c>
      <c r="K39" s="216">
        <f t="shared" si="4"/>
        <v>0</v>
      </c>
      <c r="L39" s="216">
        <f t="shared" si="5"/>
        <v>0</v>
      </c>
      <c r="M39" s="364">
        <v>559</v>
      </c>
      <c r="N39" s="365">
        <f t="shared" si="6"/>
        <v>0</v>
      </c>
      <c r="O39" s="91" t="e">
        <f t="shared" si="0"/>
        <v>#DIV/0!</v>
      </c>
      <c r="P39" s="148" t="e">
        <f t="shared" si="1"/>
        <v>#DIV/0!</v>
      </c>
      <c r="Q39" s="808">
        <f t="shared" si="7"/>
        <v>5.59</v>
      </c>
      <c r="R39" s="809" t="e">
        <f>(Q39+$N$232)+(([1]BC!$F$125)/$G$103)</f>
        <v>#DIV/0!</v>
      </c>
      <c r="S39" s="809" t="e">
        <f t="shared" si="8"/>
        <v>#DIV/0!</v>
      </c>
      <c r="T39" s="810" t="e">
        <f t="shared" si="9"/>
        <v>#DIV/0!</v>
      </c>
      <c r="U39" s="810" t="e">
        <f t="shared" si="10"/>
        <v>#DIV/0!</v>
      </c>
      <c r="V39" s="370"/>
      <c r="W39" s="370"/>
      <c r="X39" s="24"/>
      <c r="Y39" s="24"/>
      <c r="Z39" s="24"/>
      <c r="AA39" s="24"/>
      <c r="AB39" s="24"/>
      <c r="AC39" s="24"/>
      <c r="AD39" s="24"/>
      <c r="AE39" s="24"/>
    </row>
    <row r="40" spans="1:31" ht="15.75" customHeight="1" x14ac:dyDescent="0.45">
      <c r="A40" s="389">
        <f>G60+G61</f>
        <v>0</v>
      </c>
      <c r="B40" s="520">
        <v>11820796190</v>
      </c>
      <c r="C40" s="830" t="s">
        <v>384</v>
      </c>
      <c r="D40" s="363" t="s">
        <v>385</v>
      </c>
      <c r="E40" s="57">
        <v>100</v>
      </c>
      <c r="F40" s="57">
        <v>56</v>
      </c>
      <c r="G40" s="386">
        <f>'e411'!F40</f>
        <v>0</v>
      </c>
      <c r="H40" s="57">
        <f t="shared" si="2"/>
        <v>0</v>
      </c>
      <c r="I40" s="57">
        <f>(30*[1]BC!$B$47/F40)</f>
        <v>6.4285714285714288</v>
      </c>
      <c r="J40" s="363">
        <f t="shared" si="3"/>
        <v>6.4285714285714288</v>
      </c>
      <c r="K40" s="216">
        <f t="shared" si="4"/>
        <v>0</v>
      </c>
      <c r="L40" s="216">
        <f t="shared" si="5"/>
        <v>0</v>
      </c>
      <c r="M40" s="364">
        <v>615</v>
      </c>
      <c r="N40" s="365">
        <f t="shared" si="6"/>
        <v>0</v>
      </c>
      <c r="O40" s="91" t="e">
        <f t="shared" si="0"/>
        <v>#DIV/0!</v>
      </c>
      <c r="P40" s="148" t="e">
        <f t="shared" si="1"/>
        <v>#DIV/0!</v>
      </c>
      <c r="Q40" s="808">
        <f t="shared" si="7"/>
        <v>6.15</v>
      </c>
      <c r="R40" s="809" t="e">
        <f>(Q40+$N$232)+(([1]BC!$F$125)/$G$103)</f>
        <v>#DIV/0!</v>
      </c>
      <c r="S40" s="809" t="e">
        <f t="shared" si="8"/>
        <v>#DIV/0!</v>
      </c>
      <c r="T40" s="810" t="e">
        <f t="shared" si="9"/>
        <v>#DIV/0!</v>
      </c>
      <c r="U40" s="810" t="e">
        <f t="shared" si="10"/>
        <v>#DIV/0!</v>
      </c>
      <c r="V40" s="74"/>
      <c r="W40" s="74"/>
    </row>
    <row r="41" spans="1:31" ht="15.75" customHeight="1" x14ac:dyDescent="0.45">
      <c r="B41" s="520">
        <v>8355371190</v>
      </c>
      <c r="C41" s="840" t="s">
        <v>386</v>
      </c>
      <c r="D41" s="363" t="s">
        <v>387</v>
      </c>
      <c r="E41" s="57">
        <v>100</v>
      </c>
      <c r="F41" s="57">
        <v>28</v>
      </c>
      <c r="G41" s="386">
        <f>'e411'!F41</f>
        <v>0</v>
      </c>
      <c r="H41" s="57">
        <f t="shared" si="2"/>
        <v>0</v>
      </c>
      <c r="I41" s="57">
        <f>(30*[1]BC!$B$47/F41)</f>
        <v>12.857142857142858</v>
      </c>
      <c r="J41" s="363">
        <f t="shared" si="3"/>
        <v>12.857142857142858</v>
      </c>
      <c r="K41" s="216">
        <f t="shared" si="4"/>
        <v>0</v>
      </c>
      <c r="L41" s="216">
        <f t="shared" si="5"/>
        <v>0</v>
      </c>
      <c r="M41" s="364">
        <v>278</v>
      </c>
      <c r="N41" s="365">
        <f t="shared" si="6"/>
        <v>0</v>
      </c>
      <c r="O41" s="91" t="e">
        <f t="shared" ref="O41:O72" si="11">((M41*$L$233)+M41)</f>
        <v>#DIV/0!</v>
      </c>
      <c r="P41" s="148" t="e">
        <f t="shared" si="1"/>
        <v>#DIV/0!</v>
      </c>
      <c r="Q41" s="808">
        <f t="shared" si="7"/>
        <v>2.78</v>
      </c>
      <c r="R41" s="809" t="e">
        <f>(Q41+$N$232)+(([1]BC!$F$125)/$G$103)</f>
        <v>#DIV/0!</v>
      </c>
      <c r="S41" s="809" t="e">
        <f t="shared" si="8"/>
        <v>#DIV/0!</v>
      </c>
      <c r="T41" s="810" t="e">
        <f t="shared" si="9"/>
        <v>#DIV/0!</v>
      </c>
      <c r="U41" s="810" t="e">
        <f t="shared" si="10"/>
        <v>#DIV/0!</v>
      </c>
      <c r="V41" s="74"/>
      <c r="W41" s="74"/>
    </row>
    <row r="42" spans="1:31" ht="15.75" customHeight="1" x14ac:dyDescent="0.45">
      <c r="A42" s="390" t="s">
        <v>648</v>
      </c>
      <c r="B42" s="520">
        <v>8355258190</v>
      </c>
      <c r="C42" s="841" t="s">
        <v>388</v>
      </c>
      <c r="D42" s="363" t="s">
        <v>389</v>
      </c>
      <c r="E42" s="57">
        <v>100</v>
      </c>
      <c r="F42" s="57">
        <v>28</v>
      </c>
      <c r="G42" s="386">
        <f>'e411'!F42</f>
        <v>0</v>
      </c>
      <c r="H42" s="57">
        <f t="shared" si="2"/>
        <v>0</v>
      </c>
      <c r="I42" s="57">
        <f>(30*[1]BC!$B$47/F42)</f>
        <v>12.857142857142858</v>
      </c>
      <c r="J42" s="363">
        <f t="shared" si="3"/>
        <v>12.857142857142858</v>
      </c>
      <c r="K42" s="216">
        <f t="shared" si="4"/>
        <v>0</v>
      </c>
      <c r="L42" s="216">
        <f t="shared" si="5"/>
        <v>0</v>
      </c>
      <c r="M42" s="364">
        <v>712</v>
      </c>
      <c r="N42" s="365">
        <f t="shared" si="6"/>
        <v>0</v>
      </c>
      <c r="O42" s="91" t="e">
        <f t="shared" si="11"/>
        <v>#DIV/0!</v>
      </c>
      <c r="P42" s="148" t="e">
        <f t="shared" si="1"/>
        <v>#DIV/0!</v>
      </c>
      <c r="Q42" s="808">
        <f t="shared" si="7"/>
        <v>7.12</v>
      </c>
      <c r="R42" s="809" t="e">
        <f>(Q42+$N$232)+(([1]BC!$F$125)/$G$103)</f>
        <v>#DIV/0!</v>
      </c>
      <c r="S42" s="809" t="e">
        <f t="shared" si="8"/>
        <v>#DIV/0!</v>
      </c>
      <c r="T42" s="810" t="e">
        <f t="shared" si="9"/>
        <v>#DIV/0!</v>
      </c>
      <c r="U42" s="810" t="e">
        <f t="shared" si="10"/>
        <v>#DIV/0!</v>
      </c>
      <c r="V42" s="74"/>
      <c r="W42" s="74"/>
    </row>
    <row r="43" spans="1:31" ht="15.75" customHeight="1" x14ac:dyDescent="0.45">
      <c r="A43" s="390">
        <f>G33+G34+G35+G82+G83+G94+G95+G96</f>
        <v>0</v>
      </c>
      <c r="B43" s="520">
        <v>8355312190</v>
      </c>
      <c r="C43" s="841" t="s">
        <v>390</v>
      </c>
      <c r="D43" s="363" t="s">
        <v>391</v>
      </c>
      <c r="E43" s="57">
        <v>100</v>
      </c>
      <c r="F43" s="57">
        <v>28</v>
      </c>
      <c r="G43" s="386">
        <f>'e411'!F43</f>
        <v>0</v>
      </c>
      <c r="H43" s="57">
        <f t="shared" si="2"/>
        <v>0</v>
      </c>
      <c r="I43" s="57">
        <f>(30*[1]BC!$B$47/F43)</f>
        <v>12.857142857142858</v>
      </c>
      <c r="J43" s="363">
        <f t="shared" si="3"/>
        <v>12.857142857142858</v>
      </c>
      <c r="K43" s="216">
        <f t="shared" si="4"/>
        <v>0</v>
      </c>
      <c r="L43" s="216">
        <f t="shared" si="5"/>
        <v>0</v>
      </c>
      <c r="M43" s="364">
        <v>505</v>
      </c>
      <c r="N43" s="365">
        <f t="shared" si="6"/>
        <v>0</v>
      </c>
      <c r="O43" s="91" t="e">
        <f t="shared" si="11"/>
        <v>#DIV/0!</v>
      </c>
      <c r="P43" s="148" t="e">
        <f t="shared" si="1"/>
        <v>#DIV/0!</v>
      </c>
      <c r="Q43" s="808">
        <f t="shared" si="7"/>
        <v>5.05</v>
      </c>
      <c r="R43" s="809" t="e">
        <f>(Q43+$N$232)+(([1]BC!$F$125)/$G$103)</f>
        <v>#DIV/0!</v>
      </c>
      <c r="S43" s="809" t="e">
        <f t="shared" si="8"/>
        <v>#DIV/0!</v>
      </c>
      <c r="T43" s="810" t="e">
        <f t="shared" si="9"/>
        <v>#DIV/0!</v>
      </c>
      <c r="U43" s="810" t="e">
        <f t="shared" si="10"/>
        <v>#DIV/0!</v>
      </c>
      <c r="V43" s="74"/>
      <c r="W43" s="74"/>
    </row>
    <row r="44" spans="1:31" ht="15.75" customHeight="1" x14ac:dyDescent="0.45">
      <c r="B44" s="520">
        <v>6656021190</v>
      </c>
      <c r="C44" s="837" t="s">
        <v>392</v>
      </c>
      <c r="D44" s="55" t="s">
        <v>393</v>
      </c>
      <c r="E44" s="57">
        <v>100</v>
      </c>
      <c r="F44" s="57">
        <v>56</v>
      </c>
      <c r="G44" s="386">
        <f>'e411'!F44</f>
        <v>0</v>
      </c>
      <c r="H44" s="57">
        <f t="shared" si="2"/>
        <v>0</v>
      </c>
      <c r="I44" s="57">
        <f>(30*[1]BC!$B$47/F44)</f>
        <v>6.4285714285714288</v>
      </c>
      <c r="J44" s="363">
        <f t="shared" si="3"/>
        <v>6.4285714285714288</v>
      </c>
      <c r="K44" s="216">
        <f t="shared" si="4"/>
        <v>0</v>
      </c>
      <c r="L44" s="216">
        <f t="shared" si="5"/>
        <v>0</v>
      </c>
      <c r="M44" s="364">
        <v>166</v>
      </c>
      <c r="N44" s="365">
        <f t="shared" si="6"/>
        <v>0</v>
      </c>
      <c r="O44" s="91" t="e">
        <f t="shared" si="11"/>
        <v>#DIV/0!</v>
      </c>
      <c r="P44" s="148" t="e">
        <f t="shared" si="1"/>
        <v>#DIV/0!</v>
      </c>
      <c r="Q44" s="808">
        <f t="shared" si="7"/>
        <v>1.66</v>
      </c>
      <c r="R44" s="809" t="e">
        <f>(Q44+$N$232)+(([1]BC!$F$125)/$G$103)</f>
        <v>#DIV/0!</v>
      </c>
      <c r="S44" s="809" t="e">
        <f t="shared" si="8"/>
        <v>#DIV/0!</v>
      </c>
      <c r="T44" s="810" t="e">
        <f t="shared" si="9"/>
        <v>#DIV/0!</v>
      </c>
      <c r="U44" s="810" t="e">
        <f t="shared" si="10"/>
        <v>#DIV/0!</v>
      </c>
      <c r="V44" s="370"/>
      <c r="W44" s="370"/>
      <c r="X44" s="24"/>
      <c r="Y44" s="24"/>
      <c r="Z44" s="24"/>
      <c r="AA44" s="24"/>
      <c r="AB44" s="24"/>
      <c r="AC44" s="24"/>
      <c r="AD44" s="24"/>
      <c r="AE44" s="24"/>
    </row>
    <row r="45" spans="1:31" ht="15.75" customHeight="1" x14ac:dyDescent="0.45">
      <c r="B45" s="842">
        <v>3737551190</v>
      </c>
      <c r="C45" s="843" t="s">
        <v>394</v>
      </c>
      <c r="D45" s="55" t="s">
        <v>395</v>
      </c>
      <c r="E45" s="57">
        <v>100</v>
      </c>
      <c r="F45" s="57">
        <v>42</v>
      </c>
      <c r="G45" s="386">
        <f>'e411'!F45</f>
        <v>0</v>
      </c>
      <c r="H45" s="57">
        <f t="shared" si="2"/>
        <v>0</v>
      </c>
      <c r="I45" s="57">
        <f>(30*[1]BC!$B$47/F45)</f>
        <v>8.5714285714285712</v>
      </c>
      <c r="J45" s="363">
        <f t="shared" si="3"/>
        <v>8.5714285714285712</v>
      </c>
      <c r="K45" s="216">
        <f t="shared" si="4"/>
        <v>0</v>
      </c>
      <c r="L45" s="216">
        <f t="shared" si="5"/>
        <v>0</v>
      </c>
      <c r="M45" s="364">
        <v>378</v>
      </c>
      <c r="N45" s="365">
        <f t="shared" si="6"/>
        <v>0</v>
      </c>
      <c r="O45" s="91" t="e">
        <f t="shared" si="11"/>
        <v>#DIV/0!</v>
      </c>
      <c r="P45" s="148" t="e">
        <f t="shared" si="1"/>
        <v>#DIV/0!</v>
      </c>
      <c r="Q45" s="808">
        <f t="shared" si="7"/>
        <v>3.78</v>
      </c>
      <c r="R45" s="809" t="e">
        <f>(Q45+$N$232)+(([1]BC!$F$125)/$G$103)</f>
        <v>#DIV/0!</v>
      </c>
      <c r="S45" s="809" t="e">
        <f t="shared" si="8"/>
        <v>#DIV/0!</v>
      </c>
      <c r="T45" s="810" t="e">
        <f t="shared" si="9"/>
        <v>#DIV/0!</v>
      </c>
      <c r="U45" s="810" t="e">
        <f t="shared" si="10"/>
        <v>#DIV/0!</v>
      </c>
      <c r="V45" s="370"/>
      <c r="W45" s="370"/>
      <c r="X45" s="24"/>
      <c r="Y45" s="24"/>
      <c r="Z45" s="24"/>
      <c r="AA45" s="24"/>
      <c r="AB45" s="24"/>
      <c r="AC45" s="24"/>
      <c r="AD45" s="24"/>
      <c r="AE45" s="24"/>
    </row>
    <row r="46" spans="1:31" ht="15.75" customHeight="1" x14ac:dyDescent="0.45">
      <c r="B46" s="520">
        <v>7559992190</v>
      </c>
      <c r="C46" s="844" t="s">
        <v>396</v>
      </c>
      <c r="D46" s="363" t="s">
        <v>397</v>
      </c>
      <c r="E46" s="57">
        <v>100</v>
      </c>
      <c r="F46" s="57">
        <v>28</v>
      </c>
      <c r="G46" s="386">
        <f>'e411'!F46</f>
        <v>0</v>
      </c>
      <c r="H46" s="57">
        <f t="shared" si="2"/>
        <v>0</v>
      </c>
      <c r="I46" s="57">
        <f>(30*[1]BC!$B$47/F46)</f>
        <v>12.857142857142858</v>
      </c>
      <c r="J46" s="363">
        <f t="shared" si="3"/>
        <v>12.857142857142858</v>
      </c>
      <c r="K46" s="216">
        <f t="shared" si="4"/>
        <v>0</v>
      </c>
      <c r="L46" s="216">
        <f t="shared" si="5"/>
        <v>0</v>
      </c>
      <c r="M46" s="364">
        <v>330</v>
      </c>
      <c r="N46" s="365">
        <f t="shared" si="6"/>
        <v>0</v>
      </c>
      <c r="O46" s="91" t="e">
        <f t="shared" si="11"/>
        <v>#DIV/0!</v>
      </c>
      <c r="P46" s="148" t="e">
        <f t="shared" si="1"/>
        <v>#DIV/0!</v>
      </c>
      <c r="Q46" s="808">
        <f t="shared" si="7"/>
        <v>3.3</v>
      </c>
      <c r="R46" s="809" t="e">
        <f>(Q46+$N$232)+(([1]BC!$F$125)/$G$103)</f>
        <v>#DIV/0!</v>
      </c>
      <c r="S46" s="809" t="e">
        <f t="shared" si="8"/>
        <v>#DIV/0!</v>
      </c>
      <c r="T46" s="810" t="e">
        <f t="shared" si="9"/>
        <v>#DIV/0!</v>
      </c>
      <c r="U46" s="810" t="e">
        <f t="shared" si="10"/>
        <v>#DIV/0!</v>
      </c>
      <c r="V46" s="74"/>
      <c r="W46" s="74"/>
    </row>
    <row r="47" spans="1:31" ht="15.75" customHeight="1" x14ac:dyDescent="0.45">
      <c r="B47" s="520">
        <v>8860297190</v>
      </c>
      <c r="C47" s="845" t="s">
        <v>398</v>
      </c>
      <c r="D47" s="363" t="s">
        <v>399</v>
      </c>
      <c r="E47" s="57">
        <v>100</v>
      </c>
      <c r="F47" s="57">
        <v>28</v>
      </c>
      <c r="G47" s="386">
        <f>'e411'!F47</f>
        <v>0</v>
      </c>
      <c r="H47" s="57">
        <f t="shared" si="2"/>
        <v>0</v>
      </c>
      <c r="I47" s="57">
        <f>(30*[1]BC!$B$47/F47)</f>
        <v>12.857142857142858</v>
      </c>
      <c r="J47" s="363">
        <f t="shared" si="3"/>
        <v>12.857142857142858</v>
      </c>
      <c r="K47" s="216">
        <f t="shared" si="4"/>
        <v>0</v>
      </c>
      <c r="L47" s="216">
        <f t="shared" si="5"/>
        <v>0</v>
      </c>
      <c r="M47" s="364">
        <v>1516</v>
      </c>
      <c r="N47" s="365">
        <f t="shared" si="6"/>
        <v>0</v>
      </c>
      <c r="O47" s="91" t="e">
        <f t="shared" si="11"/>
        <v>#DIV/0!</v>
      </c>
      <c r="P47" s="148" t="e">
        <f t="shared" si="1"/>
        <v>#DIV/0!</v>
      </c>
      <c r="Q47" s="808">
        <f t="shared" si="7"/>
        <v>15.16</v>
      </c>
      <c r="R47" s="809" t="e">
        <f>(Q47+$N$232)+(([1]BC!$F$125)/$G$103)</f>
        <v>#DIV/0!</v>
      </c>
      <c r="S47" s="809" t="e">
        <f t="shared" si="8"/>
        <v>#DIV/0!</v>
      </c>
      <c r="T47" s="810" t="e">
        <f t="shared" si="9"/>
        <v>#DIV/0!</v>
      </c>
      <c r="U47" s="810" t="e">
        <f t="shared" si="10"/>
        <v>#DIV/0!</v>
      </c>
      <c r="V47" s="74"/>
      <c r="W47" s="74"/>
    </row>
    <row r="48" spans="1:31" ht="15.75" customHeight="1" x14ac:dyDescent="0.45">
      <c r="B48" s="520">
        <v>8828601190</v>
      </c>
      <c r="C48" s="811" t="s">
        <v>400</v>
      </c>
      <c r="D48" s="55" t="s">
        <v>401</v>
      </c>
      <c r="E48" s="57">
        <v>100</v>
      </c>
      <c r="F48" s="57">
        <v>42</v>
      </c>
      <c r="G48" s="386">
        <f>'e411'!F48</f>
        <v>0</v>
      </c>
      <c r="H48" s="57">
        <f t="shared" si="2"/>
        <v>0</v>
      </c>
      <c r="I48" s="57">
        <f>(30*[1]BC!$B$47/F48)</f>
        <v>8.5714285714285712</v>
      </c>
      <c r="J48" s="363">
        <f t="shared" si="3"/>
        <v>8.5714285714285712</v>
      </c>
      <c r="K48" s="216">
        <f t="shared" si="4"/>
        <v>0</v>
      </c>
      <c r="L48" s="216">
        <f t="shared" si="5"/>
        <v>0</v>
      </c>
      <c r="M48" s="364">
        <v>398</v>
      </c>
      <c r="N48" s="365">
        <f t="shared" si="6"/>
        <v>0</v>
      </c>
      <c r="O48" s="91" t="e">
        <f t="shared" si="11"/>
        <v>#DIV/0!</v>
      </c>
      <c r="P48" s="148" t="e">
        <f t="shared" si="1"/>
        <v>#DIV/0!</v>
      </c>
      <c r="Q48" s="808">
        <f t="shared" si="7"/>
        <v>3.98</v>
      </c>
      <c r="R48" s="809" t="e">
        <f>(Q48+$N$232)+(([1]BC!$F$125)/$G$103)</f>
        <v>#DIV/0!</v>
      </c>
      <c r="S48" s="809" t="e">
        <f t="shared" si="8"/>
        <v>#DIV/0!</v>
      </c>
      <c r="T48" s="810" t="e">
        <f t="shared" si="9"/>
        <v>#DIV/0!</v>
      </c>
      <c r="U48" s="810" t="e">
        <f t="shared" si="10"/>
        <v>#DIV/0!</v>
      </c>
      <c r="V48" s="370"/>
      <c r="W48" s="370"/>
      <c r="X48" s="24"/>
      <c r="Y48" s="24"/>
      <c r="Z48" s="24"/>
      <c r="AA48" s="24"/>
      <c r="AB48" s="24"/>
      <c r="AC48" s="24"/>
      <c r="AD48" s="24"/>
      <c r="AE48" s="24"/>
    </row>
    <row r="49" spans="2:31" ht="15.75" customHeight="1" x14ac:dyDescent="0.45">
      <c r="B49" s="520">
        <v>8932352190</v>
      </c>
      <c r="C49" s="837" t="s">
        <v>402</v>
      </c>
      <c r="D49" s="55" t="s">
        <v>403</v>
      </c>
      <c r="E49" s="57">
        <v>100</v>
      </c>
      <c r="F49" s="57">
        <v>56</v>
      </c>
      <c r="G49" s="386">
        <f>'e411'!F49</f>
        <v>0</v>
      </c>
      <c r="H49" s="57">
        <f t="shared" si="2"/>
        <v>0</v>
      </c>
      <c r="I49" s="57">
        <f>(30*[1]BC!$B$47/F49)</f>
        <v>6.4285714285714288</v>
      </c>
      <c r="J49" s="363">
        <f t="shared" si="3"/>
        <v>6.4285714285714288</v>
      </c>
      <c r="K49" s="216">
        <f t="shared" si="4"/>
        <v>0</v>
      </c>
      <c r="L49" s="216">
        <f t="shared" si="5"/>
        <v>0</v>
      </c>
      <c r="M49" s="364">
        <v>235</v>
      </c>
      <c r="N49" s="365">
        <f t="shared" si="6"/>
        <v>0</v>
      </c>
      <c r="O49" s="91" t="e">
        <f t="shared" si="11"/>
        <v>#DIV/0!</v>
      </c>
      <c r="P49" s="148" t="e">
        <f t="shared" si="1"/>
        <v>#DIV/0!</v>
      </c>
      <c r="Q49" s="808">
        <f t="shared" si="7"/>
        <v>2.35</v>
      </c>
      <c r="R49" s="809" t="e">
        <f>(Q49+$N$232)+(([1]BC!$F$125)/$G$103)</f>
        <v>#DIV/0!</v>
      </c>
      <c r="S49" s="809" t="e">
        <f t="shared" si="8"/>
        <v>#DIV/0!</v>
      </c>
      <c r="T49" s="810" t="e">
        <f t="shared" si="9"/>
        <v>#DIV/0!</v>
      </c>
      <c r="U49" s="810" t="e">
        <f t="shared" si="10"/>
        <v>#DIV/0!</v>
      </c>
      <c r="V49" s="370"/>
      <c r="W49" s="370"/>
      <c r="X49" s="24"/>
      <c r="Y49" s="24"/>
      <c r="Z49" s="24"/>
      <c r="AA49" s="24"/>
      <c r="AB49" s="24"/>
      <c r="AC49" s="24"/>
      <c r="AD49" s="24"/>
      <c r="AE49" s="24"/>
    </row>
    <row r="50" spans="2:31" ht="15.75" customHeight="1" x14ac:dyDescent="0.45">
      <c r="B50" s="520">
        <v>9005803190</v>
      </c>
      <c r="C50" s="837" t="s">
        <v>404</v>
      </c>
      <c r="D50" s="55" t="s">
        <v>405</v>
      </c>
      <c r="E50" s="57">
        <v>200</v>
      </c>
      <c r="F50" s="57">
        <v>56</v>
      </c>
      <c r="G50" s="386">
        <f>'e411'!F50</f>
        <v>0</v>
      </c>
      <c r="H50" s="57">
        <f t="shared" si="2"/>
        <v>0</v>
      </c>
      <c r="I50" s="57">
        <f>(30*[1]BC!$B$47/F50)</f>
        <v>6.4285714285714288</v>
      </c>
      <c r="J50" s="363">
        <f t="shared" si="3"/>
        <v>6.4285714285714288</v>
      </c>
      <c r="K50" s="216">
        <f t="shared" si="4"/>
        <v>0</v>
      </c>
      <c r="L50" s="216">
        <f t="shared" si="5"/>
        <v>0</v>
      </c>
      <c r="M50" s="364">
        <v>376</v>
      </c>
      <c r="N50" s="365">
        <f t="shared" si="6"/>
        <v>0</v>
      </c>
      <c r="O50" s="91" t="e">
        <f t="shared" si="11"/>
        <v>#DIV/0!</v>
      </c>
      <c r="P50" s="148" t="e">
        <f t="shared" si="1"/>
        <v>#DIV/0!</v>
      </c>
      <c r="Q50" s="808">
        <f t="shared" si="7"/>
        <v>1.88</v>
      </c>
      <c r="R50" s="809" t="e">
        <f>(Q50+$N$232)+(([1]BC!$F$125)/$G$103)</f>
        <v>#DIV/0!</v>
      </c>
      <c r="S50" s="809" t="e">
        <f t="shared" si="8"/>
        <v>#DIV/0!</v>
      </c>
      <c r="T50" s="810" t="e">
        <f t="shared" si="9"/>
        <v>#DIV/0!</v>
      </c>
      <c r="U50" s="810" t="e">
        <f t="shared" si="10"/>
        <v>#DIV/0!</v>
      </c>
      <c r="V50" s="370"/>
      <c r="W50" s="370"/>
      <c r="X50" s="24"/>
      <c r="Y50" s="24"/>
      <c r="Z50" s="24"/>
      <c r="AA50" s="24"/>
      <c r="AB50" s="24"/>
      <c r="AC50" s="24"/>
      <c r="AD50" s="24"/>
      <c r="AE50" s="24"/>
    </row>
    <row r="51" spans="2:31" ht="15.75" customHeight="1" x14ac:dyDescent="0.45">
      <c r="B51" s="520">
        <v>9043276190</v>
      </c>
      <c r="C51" s="837" t="s">
        <v>406</v>
      </c>
      <c r="D51" s="55" t="s">
        <v>407</v>
      </c>
      <c r="E51" s="57">
        <v>200</v>
      </c>
      <c r="F51" s="57">
        <v>56</v>
      </c>
      <c r="G51" s="386">
        <f>'e411'!F51</f>
        <v>0</v>
      </c>
      <c r="H51" s="57">
        <f t="shared" si="2"/>
        <v>0</v>
      </c>
      <c r="I51" s="57">
        <f>(30*[1]BC!$B$47/F51)</f>
        <v>6.4285714285714288</v>
      </c>
      <c r="J51" s="363">
        <f t="shared" si="3"/>
        <v>6.4285714285714288</v>
      </c>
      <c r="K51" s="216">
        <f t="shared" si="4"/>
        <v>0</v>
      </c>
      <c r="L51" s="216">
        <f t="shared" si="5"/>
        <v>0</v>
      </c>
      <c r="M51" s="364">
        <v>376</v>
      </c>
      <c r="N51" s="365">
        <f t="shared" si="6"/>
        <v>0</v>
      </c>
      <c r="O51" s="91" t="e">
        <f t="shared" si="11"/>
        <v>#DIV/0!</v>
      </c>
      <c r="P51" s="148" t="e">
        <f t="shared" si="1"/>
        <v>#DIV/0!</v>
      </c>
      <c r="Q51" s="808">
        <f t="shared" si="7"/>
        <v>1.88</v>
      </c>
      <c r="R51" s="809" t="e">
        <f>(Q51+$N$232)+(([1]BC!$F$125)/$G$103)</f>
        <v>#DIV/0!</v>
      </c>
      <c r="S51" s="809" t="e">
        <f t="shared" si="8"/>
        <v>#DIV/0!</v>
      </c>
      <c r="T51" s="810" t="e">
        <f t="shared" si="9"/>
        <v>#DIV/0!</v>
      </c>
      <c r="U51" s="810" t="e">
        <f t="shared" si="10"/>
        <v>#DIV/0!</v>
      </c>
      <c r="V51" s="370"/>
      <c r="W51" s="370"/>
      <c r="X51" s="24"/>
      <c r="Y51" s="24"/>
      <c r="Z51" s="24"/>
      <c r="AA51" s="24"/>
      <c r="AB51" s="24"/>
      <c r="AC51" s="24"/>
      <c r="AD51" s="24"/>
      <c r="AE51" s="24"/>
    </row>
    <row r="52" spans="2:31" ht="15.75" customHeight="1" x14ac:dyDescent="0.45">
      <c r="B52" s="520">
        <v>8946779190</v>
      </c>
      <c r="C52" s="830" t="s">
        <v>408</v>
      </c>
      <c r="D52" s="363" t="s">
        <v>409</v>
      </c>
      <c r="E52" s="57">
        <v>100</v>
      </c>
      <c r="F52" s="57">
        <v>56</v>
      </c>
      <c r="G52" s="386">
        <f>'e411'!F52</f>
        <v>0</v>
      </c>
      <c r="H52" s="57">
        <f t="shared" si="2"/>
        <v>0</v>
      </c>
      <c r="I52" s="57">
        <f>(30*[1]BC!$B$47/F52)</f>
        <v>6.4285714285714288</v>
      </c>
      <c r="J52" s="363">
        <f t="shared" si="3"/>
        <v>6.4285714285714288</v>
      </c>
      <c r="K52" s="216">
        <f t="shared" si="4"/>
        <v>0</v>
      </c>
      <c r="L52" s="216">
        <f t="shared" si="5"/>
        <v>0</v>
      </c>
      <c r="M52" s="364">
        <v>5845</v>
      </c>
      <c r="N52" s="365">
        <f t="shared" si="6"/>
        <v>0</v>
      </c>
      <c r="O52" s="91" t="e">
        <f t="shared" si="11"/>
        <v>#DIV/0!</v>
      </c>
      <c r="P52" s="148" t="e">
        <f t="shared" si="1"/>
        <v>#DIV/0!</v>
      </c>
      <c r="Q52" s="808">
        <f t="shared" si="7"/>
        <v>58.45</v>
      </c>
      <c r="R52" s="809" t="e">
        <f>(Q52+$N$232)+(([1]BC!$F$125)/$G$103)</f>
        <v>#DIV/0!</v>
      </c>
      <c r="S52" s="809" t="e">
        <f t="shared" si="8"/>
        <v>#DIV/0!</v>
      </c>
      <c r="T52" s="810" t="e">
        <f t="shared" si="9"/>
        <v>#DIV/0!</v>
      </c>
      <c r="U52" s="810" t="e">
        <f t="shared" si="10"/>
        <v>#DIV/0!</v>
      </c>
      <c r="V52" s="74"/>
      <c r="W52" s="74"/>
    </row>
    <row r="53" spans="2:31" ht="15.75" customHeight="1" x14ac:dyDescent="0.45">
      <c r="B53" s="520">
        <v>11820583122</v>
      </c>
      <c r="C53" s="846" t="s">
        <v>410</v>
      </c>
      <c r="D53" s="363" t="s">
        <v>411</v>
      </c>
      <c r="E53" s="57">
        <v>100</v>
      </c>
      <c r="F53" s="57">
        <v>56</v>
      </c>
      <c r="G53" s="386">
        <f>'e411'!F53</f>
        <v>0</v>
      </c>
      <c r="H53" s="57">
        <f t="shared" si="2"/>
        <v>0</v>
      </c>
      <c r="I53" s="57">
        <f>(30*[1]BC!$B$47/F53)</f>
        <v>6.4285714285714288</v>
      </c>
      <c r="J53" s="363">
        <f t="shared" si="3"/>
        <v>6.4285714285714288</v>
      </c>
      <c r="K53" s="216">
        <f t="shared" si="4"/>
        <v>0</v>
      </c>
      <c r="L53" s="216">
        <f t="shared" si="5"/>
        <v>0</v>
      </c>
      <c r="M53" s="364">
        <v>344</v>
      </c>
      <c r="N53" s="365">
        <f t="shared" si="6"/>
        <v>0</v>
      </c>
      <c r="O53" s="91" t="e">
        <f t="shared" si="11"/>
        <v>#DIV/0!</v>
      </c>
      <c r="P53" s="148" t="e">
        <f t="shared" si="1"/>
        <v>#DIV/0!</v>
      </c>
      <c r="Q53" s="808">
        <f t="shared" si="7"/>
        <v>3.44</v>
      </c>
      <c r="R53" s="809" t="e">
        <f>(Q53+$N$232)+(([1]BC!$F$125)/$G$103)</f>
        <v>#DIV/0!</v>
      </c>
      <c r="S53" s="809" t="e">
        <f t="shared" si="8"/>
        <v>#DIV/0!</v>
      </c>
      <c r="T53" s="810" t="e">
        <f t="shared" si="9"/>
        <v>#DIV/0!</v>
      </c>
      <c r="U53" s="810" t="e">
        <f t="shared" si="10"/>
        <v>#DIV/0!</v>
      </c>
      <c r="V53" s="74"/>
      <c r="W53" s="74"/>
    </row>
    <row r="54" spans="2:31" ht="15.75" customHeight="1" x14ac:dyDescent="0.45">
      <c r="B54" s="520">
        <v>8814856190</v>
      </c>
      <c r="C54" s="847" t="s">
        <v>412</v>
      </c>
      <c r="D54" s="55" t="s">
        <v>413</v>
      </c>
      <c r="E54" s="57">
        <v>100</v>
      </c>
      <c r="F54" s="57">
        <v>42</v>
      </c>
      <c r="G54" s="386">
        <f>'e411'!F54</f>
        <v>0</v>
      </c>
      <c r="H54" s="57">
        <f t="shared" si="2"/>
        <v>0</v>
      </c>
      <c r="I54" s="57">
        <f>(30*[1]BC!$B$47/F54)</f>
        <v>8.5714285714285712</v>
      </c>
      <c r="J54" s="363">
        <f t="shared" si="3"/>
        <v>8.5714285714285712</v>
      </c>
      <c r="K54" s="216">
        <f t="shared" si="4"/>
        <v>0</v>
      </c>
      <c r="L54" s="216">
        <f t="shared" si="5"/>
        <v>0</v>
      </c>
      <c r="M54" s="364">
        <v>270</v>
      </c>
      <c r="N54" s="365">
        <f t="shared" si="6"/>
        <v>0</v>
      </c>
      <c r="O54" s="91" t="e">
        <f t="shared" si="11"/>
        <v>#DIV/0!</v>
      </c>
      <c r="P54" s="148" t="e">
        <f t="shared" si="1"/>
        <v>#DIV/0!</v>
      </c>
      <c r="Q54" s="808">
        <f t="shared" si="7"/>
        <v>2.7</v>
      </c>
      <c r="R54" s="809" t="e">
        <f>(Q54+$N$232)+(([1]BC!$F$125)/$G$103)</f>
        <v>#DIV/0!</v>
      </c>
      <c r="S54" s="809" t="e">
        <f t="shared" si="8"/>
        <v>#DIV/0!</v>
      </c>
      <c r="T54" s="810" t="e">
        <f t="shared" si="9"/>
        <v>#DIV/0!</v>
      </c>
      <c r="U54" s="810" t="e">
        <f t="shared" si="10"/>
        <v>#DIV/0!</v>
      </c>
      <c r="V54" s="370"/>
      <c r="W54" s="370"/>
      <c r="X54" s="24"/>
      <c r="Y54" s="24"/>
      <c r="Z54" s="24"/>
      <c r="AA54" s="24"/>
      <c r="AB54" s="24"/>
      <c r="AC54" s="24"/>
      <c r="AD54" s="24"/>
      <c r="AE54" s="24"/>
    </row>
    <row r="55" spans="2:31" ht="15.75" customHeight="1" x14ac:dyDescent="0.45">
      <c r="B55" s="520">
        <v>8890587190</v>
      </c>
      <c r="C55" s="839" t="s">
        <v>414</v>
      </c>
      <c r="D55" s="55" t="s">
        <v>415</v>
      </c>
      <c r="E55" s="57">
        <v>100</v>
      </c>
      <c r="F55" s="57">
        <v>28</v>
      </c>
      <c r="G55" s="386">
        <f>'e411'!F55</f>
        <v>0</v>
      </c>
      <c r="H55" s="57">
        <f t="shared" si="2"/>
        <v>0</v>
      </c>
      <c r="I55" s="57">
        <f>(30*[1]BC!$B$47/F55)</f>
        <v>12.857142857142858</v>
      </c>
      <c r="J55" s="363">
        <f t="shared" si="3"/>
        <v>12.857142857142858</v>
      </c>
      <c r="K55" s="216">
        <f t="shared" si="4"/>
        <v>0</v>
      </c>
      <c r="L55" s="216">
        <f t="shared" si="5"/>
        <v>0</v>
      </c>
      <c r="M55" s="364">
        <v>408</v>
      </c>
      <c r="N55" s="365">
        <f t="shared" si="6"/>
        <v>0</v>
      </c>
      <c r="O55" s="91" t="e">
        <f t="shared" si="11"/>
        <v>#DIV/0!</v>
      </c>
      <c r="P55" s="148" t="e">
        <f t="shared" si="1"/>
        <v>#DIV/0!</v>
      </c>
      <c r="Q55" s="808">
        <f t="shared" si="7"/>
        <v>4.08</v>
      </c>
      <c r="R55" s="809" t="e">
        <f>(Q55+$N$232)+(([1]BC!$F$125)/$G$103)</f>
        <v>#DIV/0!</v>
      </c>
      <c r="S55" s="809" t="e">
        <f t="shared" si="8"/>
        <v>#DIV/0!</v>
      </c>
      <c r="T55" s="810" t="e">
        <f t="shared" si="9"/>
        <v>#DIV/0!</v>
      </c>
      <c r="U55" s="810" t="e">
        <f t="shared" si="10"/>
        <v>#DIV/0!</v>
      </c>
      <c r="V55" s="74"/>
      <c r="W55" s="74"/>
    </row>
    <row r="56" spans="2:31" ht="15.75" customHeight="1" x14ac:dyDescent="0.45">
      <c r="B56" s="842">
        <v>3271749190</v>
      </c>
      <c r="C56" s="837" t="s">
        <v>416</v>
      </c>
      <c r="D56" s="55" t="s">
        <v>417</v>
      </c>
      <c r="E56" s="57">
        <v>100</v>
      </c>
      <c r="F56" s="57">
        <v>28</v>
      </c>
      <c r="G56" s="386">
        <f>'e411'!F56</f>
        <v>0</v>
      </c>
      <c r="H56" s="57">
        <f t="shared" si="2"/>
        <v>0</v>
      </c>
      <c r="I56" s="57">
        <f>(30*[1]BC!$B$47/F56)</f>
        <v>12.857142857142858</v>
      </c>
      <c r="J56" s="363">
        <f t="shared" si="3"/>
        <v>12.857142857142858</v>
      </c>
      <c r="K56" s="216">
        <f t="shared" si="4"/>
        <v>0</v>
      </c>
      <c r="L56" s="216">
        <f t="shared" si="5"/>
        <v>0</v>
      </c>
      <c r="M56" s="364">
        <v>148</v>
      </c>
      <c r="N56" s="365">
        <f t="shared" si="6"/>
        <v>0</v>
      </c>
      <c r="O56" s="91" t="e">
        <f t="shared" si="11"/>
        <v>#DIV/0!</v>
      </c>
      <c r="P56" s="148" t="e">
        <f t="shared" si="1"/>
        <v>#DIV/0!</v>
      </c>
      <c r="Q56" s="808">
        <f t="shared" si="7"/>
        <v>1.48</v>
      </c>
      <c r="R56" s="809" t="e">
        <f>(Q56+$N$232)+(([1]BC!$F$125)/$G$103)</f>
        <v>#DIV/0!</v>
      </c>
      <c r="S56" s="809" t="e">
        <f t="shared" si="8"/>
        <v>#DIV/0!</v>
      </c>
      <c r="T56" s="810" t="e">
        <f t="shared" si="9"/>
        <v>#DIV/0!</v>
      </c>
      <c r="U56" s="810" t="e">
        <f t="shared" si="10"/>
        <v>#DIV/0!</v>
      </c>
      <c r="V56" s="370"/>
      <c r="W56" s="370"/>
      <c r="X56" s="24"/>
      <c r="Y56" s="24"/>
      <c r="Z56" s="24"/>
      <c r="AA56" s="24"/>
      <c r="AB56" s="24"/>
      <c r="AC56" s="24"/>
      <c r="AD56" s="24"/>
      <c r="AE56" s="24"/>
    </row>
    <row r="57" spans="2:31" ht="15.75" customHeight="1" x14ac:dyDescent="0.45">
      <c r="B57" s="520">
        <v>5950929190</v>
      </c>
      <c r="C57" s="848" t="s">
        <v>418</v>
      </c>
      <c r="D57" s="363" t="s">
        <v>419</v>
      </c>
      <c r="E57" s="57">
        <v>100</v>
      </c>
      <c r="F57" s="57">
        <v>28</v>
      </c>
      <c r="G57" s="386">
        <f>'e411'!F57</f>
        <v>0</v>
      </c>
      <c r="H57" s="57">
        <f t="shared" si="2"/>
        <v>0</v>
      </c>
      <c r="I57" s="57">
        <f>(30*[1]BC!$B$47/F57)</f>
        <v>12.857142857142858</v>
      </c>
      <c r="J57" s="363">
        <f t="shared" si="3"/>
        <v>12.857142857142858</v>
      </c>
      <c r="K57" s="216">
        <f t="shared" si="4"/>
        <v>0</v>
      </c>
      <c r="L57" s="216">
        <f t="shared" si="5"/>
        <v>0</v>
      </c>
      <c r="M57" s="364">
        <v>1109</v>
      </c>
      <c r="N57" s="365">
        <f t="shared" si="6"/>
        <v>0</v>
      </c>
      <c r="O57" s="91" t="e">
        <f t="shared" si="11"/>
        <v>#DIV/0!</v>
      </c>
      <c r="P57" s="148" t="e">
        <f t="shared" si="1"/>
        <v>#DIV/0!</v>
      </c>
      <c r="Q57" s="808">
        <f t="shared" si="7"/>
        <v>11.09</v>
      </c>
      <c r="R57" s="809" t="e">
        <f>(Q57+$N$232)+(([1]BC!$F$125)/$G$103)</f>
        <v>#DIV/0!</v>
      </c>
      <c r="S57" s="809" t="e">
        <f t="shared" si="8"/>
        <v>#DIV/0!</v>
      </c>
      <c r="T57" s="810" t="e">
        <f t="shared" si="9"/>
        <v>#DIV/0!</v>
      </c>
      <c r="U57" s="810" t="e">
        <f t="shared" si="10"/>
        <v>#DIV/0!</v>
      </c>
      <c r="V57" s="74"/>
      <c r="W57" s="74"/>
    </row>
    <row r="58" spans="2:31" ht="15.75" customHeight="1" x14ac:dyDescent="0.45">
      <c r="B58" s="849">
        <v>5390125190</v>
      </c>
      <c r="C58" s="807" t="s">
        <v>420</v>
      </c>
      <c r="D58" s="363" t="s">
        <v>421</v>
      </c>
      <c r="E58" s="57">
        <v>100</v>
      </c>
      <c r="F58" s="57">
        <v>56</v>
      </c>
      <c r="G58" s="386">
        <f>'e411'!F58</f>
        <v>0</v>
      </c>
      <c r="H58" s="57">
        <f t="shared" si="2"/>
        <v>0</v>
      </c>
      <c r="I58" s="57">
        <f>(30*[1]BC!$B$47/F58)</f>
        <v>6.4285714285714288</v>
      </c>
      <c r="J58" s="363">
        <f t="shared" si="3"/>
        <v>6.4285714285714288</v>
      </c>
      <c r="K58" s="216">
        <f t="shared" si="4"/>
        <v>0</v>
      </c>
      <c r="L58" s="216">
        <f t="shared" si="5"/>
        <v>0</v>
      </c>
      <c r="M58" s="364">
        <v>498</v>
      </c>
      <c r="N58" s="365">
        <f t="shared" si="6"/>
        <v>0</v>
      </c>
      <c r="O58" s="91" t="e">
        <f t="shared" si="11"/>
        <v>#DIV/0!</v>
      </c>
      <c r="P58" s="148" t="e">
        <f t="shared" si="1"/>
        <v>#DIV/0!</v>
      </c>
      <c r="Q58" s="808">
        <f t="shared" si="7"/>
        <v>4.9800000000000004</v>
      </c>
      <c r="R58" s="809" t="e">
        <f>(Q58+$N$232)+(([1]BC!$F$125)/$G$103)</f>
        <v>#DIV/0!</v>
      </c>
      <c r="S58" s="809" t="e">
        <f t="shared" si="8"/>
        <v>#DIV/0!</v>
      </c>
      <c r="T58" s="810" t="e">
        <f t="shared" si="9"/>
        <v>#DIV/0!</v>
      </c>
      <c r="U58" s="810" t="e">
        <f t="shared" si="10"/>
        <v>#DIV/0!</v>
      </c>
      <c r="V58" s="74"/>
      <c r="W58" s="74"/>
    </row>
    <row r="59" spans="2:31" ht="15.75" customHeight="1" x14ac:dyDescent="0.45">
      <c r="B59" s="520">
        <v>8924163190</v>
      </c>
      <c r="C59" s="850" t="s">
        <v>422</v>
      </c>
      <c r="D59" s="55" t="s">
        <v>423</v>
      </c>
      <c r="E59" s="57">
        <v>100</v>
      </c>
      <c r="F59" s="57">
        <v>28</v>
      </c>
      <c r="G59" s="386">
        <f>'e411'!F59</f>
        <v>0</v>
      </c>
      <c r="H59" s="57">
        <f t="shared" si="2"/>
        <v>0</v>
      </c>
      <c r="I59" s="57">
        <f>(30*[1]BC!$B$47/F59)</f>
        <v>12.857142857142858</v>
      </c>
      <c r="J59" s="363">
        <f t="shared" si="3"/>
        <v>12.857142857142858</v>
      </c>
      <c r="K59" s="216">
        <f t="shared" si="4"/>
        <v>0</v>
      </c>
      <c r="L59" s="216">
        <f t="shared" si="5"/>
        <v>0</v>
      </c>
      <c r="M59" s="364">
        <v>886</v>
      </c>
      <c r="N59" s="365">
        <f t="shared" si="6"/>
        <v>0</v>
      </c>
      <c r="O59" s="91" t="e">
        <f t="shared" si="11"/>
        <v>#DIV/0!</v>
      </c>
      <c r="P59" s="148" t="e">
        <f t="shared" si="1"/>
        <v>#DIV/0!</v>
      </c>
      <c r="Q59" s="808">
        <f t="shared" si="7"/>
        <v>8.86</v>
      </c>
      <c r="R59" s="809" t="e">
        <f>(Q59+$N$232)+(([1]BC!$F$125)/$G$103)</f>
        <v>#DIV/0!</v>
      </c>
      <c r="S59" s="809" t="e">
        <f t="shared" si="8"/>
        <v>#DIV/0!</v>
      </c>
      <c r="T59" s="810" t="e">
        <f t="shared" si="9"/>
        <v>#DIV/0!</v>
      </c>
      <c r="U59" s="810" t="e">
        <f t="shared" si="10"/>
        <v>#DIV/0!</v>
      </c>
      <c r="V59" s="370"/>
      <c r="W59" s="370"/>
      <c r="X59" s="24"/>
      <c r="Y59" s="24"/>
      <c r="Z59" s="24"/>
      <c r="AA59" s="24"/>
      <c r="AB59" s="24"/>
      <c r="AC59" s="24"/>
      <c r="AD59" s="24"/>
      <c r="AE59" s="24"/>
    </row>
    <row r="60" spans="2:31" ht="15.75" customHeight="1" x14ac:dyDescent="0.45">
      <c r="B60" s="520">
        <v>8948844190</v>
      </c>
      <c r="C60" s="851" t="s">
        <v>424</v>
      </c>
      <c r="D60" s="55" t="s">
        <v>425</v>
      </c>
      <c r="E60" s="57">
        <v>100</v>
      </c>
      <c r="F60" s="57">
        <v>28</v>
      </c>
      <c r="G60" s="386">
        <f>'e411'!F60</f>
        <v>0</v>
      </c>
      <c r="H60" s="57">
        <f t="shared" si="2"/>
        <v>0</v>
      </c>
      <c r="I60" s="57">
        <f>(30*[1]BC!$B$47/F60)</f>
        <v>12.857142857142858</v>
      </c>
      <c r="J60" s="363">
        <f t="shared" si="3"/>
        <v>12.857142857142858</v>
      </c>
      <c r="K60" s="216">
        <f t="shared" si="4"/>
        <v>0</v>
      </c>
      <c r="L60" s="216">
        <f t="shared" si="5"/>
        <v>0</v>
      </c>
      <c r="M60" s="364">
        <v>548</v>
      </c>
      <c r="N60" s="365">
        <f t="shared" si="6"/>
        <v>0</v>
      </c>
      <c r="O60" s="91" t="e">
        <f t="shared" si="11"/>
        <v>#DIV/0!</v>
      </c>
      <c r="P60" s="148" t="e">
        <f t="shared" si="1"/>
        <v>#DIV/0!</v>
      </c>
      <c r="Q60" s="808">
        <f t="shared" si="7"/>
        <v>5.48</v>
      </c>
      <c r="R60" s="809" t="e">
        <f>(Q60+$N$232)+(([1]BC!$F$125)/$G$103)</f>
        <v>#DIV/0!</v>
      </c>
      <c r="S60" s="809" t="e">
        <f t="shared" si="8"/>
        <v>#DIV/0!</v>
      </c>
      <c r="T60" s="810" t="e">
        <f t="shared" si="9"/>
        <v>#DIV/0!</v>
      </c>
      <c r="U60" s="810" t="e">
        <f t="shared" si="10"/>
        <v>#DIV/0!</v>
      </c>
      <c r="V60" s="370"/>
      <c r="W60" s="370"/>
      <c r="X60" s="24"/>
      <c r="Y60" s="24"/>
      <c r="Z60" s="24"/>
      <c r="AA60" s="24"/>
      <c r="AB60" s="24"/>
      <c r="AC60" s="24"/>
      <c r="AD60" s="24"/>
      <c r="AE60" s="24"/>
    </row>
    <row r="61" spans="2:31" ht="15.75" customHeight="1" x14ac:dyDescent="0.45">
      <c r="B61" s="520">
        <v>8948887190</v>
      </c>
      <c r="C61" s="851" t="s">
        <v>426</v>
      </c>
      <c r="D61" s="55" t="s">
        <v>427</v>
      </c>
      <c r="E61" s="57">
        <v>100</v>
      </c>
      <c r="F61" s="57">
        <v>28</v>
      </c>
      <c r="G61" s="386">
        <f>'e411'!F61</f>
        <v>0</v>
      </c>
      <c r="H61" s="57">
        <f t="shared" si="2"/>
        <v>0</v>
      </c>
      <c r="I61" s="57">
        <f>(30*[1]BC!$B$47/F61)</f>
        <v>12.857142857142858</v>
      </c>
      <c r="J61" s="363">
        <f t="shared" si="3"/>
        <v>12.857142857142858</v>
      </c>
      <c r="K61" s="216">
        <f t="shared" si="4"/>
        <v>0</v>
      </c>
      <c r="L61" s="216">
        <f t="shared" si="5"/>
        <v>0</v>
      </c>
      <c r="M61" s="364">
        <v>439</v>
      </c>
      <c r="N61" s="365">
        <f t="shared" si="6"/>
        <v>0</v>
      </c>
      <c r="O61" s="91" t="e">
        <f t="shared" si="11"/>
        <v>#DIV/0!</v>
      </c>
      <c r="P61" s="148" t="e">
        <f t="shared" si="1"/>
        <v>#DIV/0!</v>
      </c>
      <c r="Q61" s="808">
        <f t="shared" si="7"/>
        <v>4.3899999999999997</v>
      </c>
      <c r="R61" s="809" t="e">
        <f>(Q61+$N$232)+(([1]BC!$F$125)/$G$103)</f>
        <v>#DIV/0!</v>
      </c>
      <c r="S61" s="809" t="e">
        <f t="shared" si="8"/>
        <v>#DIV/0!</v>
      </c>
      <c r="T61" s="810" t="e">
        <f t="shared" si="9"/>
        <v>#DIV/0!</v>
      </c>
      <c r="U61" s="810" t="e">
        <f t="shared" si="10"/>
        <v>#DIV/0!</v>
      </c>
      <c r="V61" s="370"/>
      <c r="W61" s="370"/>
      <c r="X61" s="24"/>
      <c r="Y61" s="24"/>
      <c r="Z61" s="24"/>
      <c r="AA61" s="24"/>
      <c r="AB61" s="24"/>
      <c r="AC61" s="24"/>
      <c r="AD61" s="24"/>
      <c r="AE61" s="24"/>
    </row>
    <row r="62" spans="2:31" ht="15.75" customHeight="1" x14ac:dyDescent="0.45">
      <c r="B62" s="520">
        <v>9015175190</v>
      </c>
      <c r="C62" s="852" t="s">
        <v>428</v>
      </c>
      <c r="D62" s="55" t="s">
        <v>429</v>
      </c>
      <c r="E62" s="57">
        <v>100</v>
      </c>
      <c r="F62" s="57">
        <v>28</v>
      </c>
      <c r="G62" s="386">
        <f>'e411'!F62</f>
        <v>0</v>
      </c>
      <c r="H62" s="57">
        <f t="shared" si="2"/>
        <v>0</v>
      </c>
      <c r="I62" s="57">
        <f>(30*[1]BC!$B$47/F62)</f>
        <v>12.857142857142858</v>
      </c>
      <c r="J62" s="363">
        <f t="shared" si="3"/>
        <v>12.857142857142858</v>
      </c>
      <c r="K62" s="216">
        <f t="shared" si="4"/>
        <v>0</v>
      </c>
      <c r="L62" s="216">
        <f t="shared" si="5"/>
        <v>0</v>
      </c>
      <c r="M62" s="364">
        <v>328</v>
      </c>
      <c r="N62" s="365">
        <f t="shared" si="6"/>
        <v>0</v>
      </c>
      <c r="O62" s="91" t="e">
        <f t="shared" si="11"/>
        <v>#DIV/0!</v>
      </c>
      <c r="P62" s="148" t="e">
        <f t="shared" si="1"/>
        <v>#DIV/0!</v>
      </c>
      <c r="Q62" s="808">
        <f t="shared" si="7"/>
        <v>3.28</v>
      </c>
      <c r="R62" s="809" t="e">
        <f>(Q62+$N$232)+(([1]BC!$F$125)/$G$103)</f>
        <v>#DIV/0!</v>
      </c>
      <c r="S62" s="809" t="e">
        <f t="shared" si="8"/>
        <v>#DIV/0!</v>
      </c>
      <c r="T62" s="810" t="e">
        <f t="shared" si="9"/>
        <v>#DIV/0!</v>
      </c>
      <c r="U62" s="810" t="e">
        <f t="shared" si="10"/>
        <v>#DIV/0!</v>
      </c>
      <c r="V62" s="370"/>
      <c r="W62" s="370"/>
      <c r="X62" s="24"/>
      <c r="Y62" s="24"/>
      <c r="Z62" s="24"/>
      <c r="AA62" s="24"/>
      <c r="AB62" s="24"/>
      <c r="AC62" s="24"/>
      <c r="AD62" s="24"/>
      <c r="AE62" s="24"/>
    </row>
    <row r="63" spans="2:31" ht="15.75" customHeight="1" x14ac:dyDescent="0.45">
      <c r="B63" s="520">
        <v>4827031190</v>
      </c>
      <c r="C63" s="837" t="s">
        <v>430</v>
      </c>
      <c r="D63" s="55" t="s">
        <v>431</v>
      </c>
      <c r="E63" s="57">
        <v>100</v>
      </c>
      <c r="F63" s="57">
        <v>56</v>
      </c>
      <c r="G63" s="386">
        <f>'e411'!F63</f>
        <v>0</v>
      </c>
      <c r="H63" s="57">
        <f t="shared" si="2"/>
        <v>0</v>
      </c>
      <c r="I63" s="57">
        <f>(30*[1]BC!$B$47/F63)</f>
        <v>6.4285714285714288</v>
      </c>
      <c r="J63" s="363">
        <f t="shared" si="3"/>
        <v>6.4285714285714288</v>
      </c>
      <c r="K63" s="216">
        <f t="shared" si="4"/>
        <v>0</v>
      </c>
      <c r="L63" s="216">
        <f t="shared" si="5"/>
        <v>0</v>
      </c>
      <c r="M63" s="364">
        <v>388</v>
      </c>
      <c r="N63" s="365">
        <f t="shared" si="6"/>
        <v>0</v>
      </c>
      <c r="O63" s="91" t="e">
        <f t="shared" si="11"/>
        <v>#DIV/0!</v>
      </c>
      <c r="P63" s="148" t="e">
        <f t="shared" si="1"/>
        <v>#DIV/0!</v>
      </c>
      <c r="Q63" s="808">
        <f t="shared" si="7"/>
        <v>3.88</v>
      </c>
      <c r="R63" s="809" t="e">
        <f>(Q63+$N$232)+(([1]BC!$F$125)/$G$103)</f>
        <v>#DIV/0!</v>
      </c>
      <c r="S63" s="809" t="e">
        <f t="shared" si="8"/>
        <v>#DIV/0!</v>
      </c>
      <c r="T63" s="810" t="e">
        <f t="shared" si="9"/>
        <v>#DIV/0!</v>
      </c>
      <c r="U63" s="810" t="e">
        <f t="shared" si="10"/>
        <v>#DIV/0!</v>
      </c>
      <c r="V63" s="370"/>
      <c r="W63" s="370"/>
      <c r="X63" s="24"/>
      <c r="Y63" s="24"/>
      <c r="Z63" s="24"/>
      <c r="AA63" s="24"/>
      <c r="AB63" s="24"/>
      <c r="AC63" s="24"/>
      <c r="AD63" s="24"/>
      <c r="AE63" s="24"/>
    </row>
    <row r="64" spans="2:31" ht="15.75" customHeight="1" x14ac:dyDescent="0.45">
      <c r="B64" s="520">
        <v>7475896190</v>
      </c>
      <c r="C64" s="853" t="s">
        <v>432</v>
      </c>
      <c r="D64" s="363" t="s">
        <v>433</v>
      </c>
      <c r="E64" s="57">
        <v>100</v>
      </c>
      <c r="F64" s="57">
        <v>28</v>
      </c>
      <c r="G64" s="386">
        <f>'e411'!F64</f>
        <v>0</v>
      </c>
      <c r="H64" s="57">
        <f t="shared" si="2"/>
        <v>0</v>
      </c>
      <c r="I64" s="57">
        <f>(30*[1]BC!$B$47/F64)</f>
        <v>12.857142857142858</v>
      </c>
      <c r="J64" s="363">
        <f t="shared" si="3"/>
        <v>12.857142857142858</v>
      </c>
      <c r="K64" s="216">
        <f t="shared" si="4"/>
        <v>0</v>
      </c>
      <c r="L64" s="216">
        <f t="shared" si="5"/>
        <v>0</v>
      </c>
      <c r="M64" s="364">
        <v>859</v>
      </c>
      <c r="N64" s="365">
        <f t="shared" si="6"/>
        <v>0</v>
      </c>
      <c r="O64" s="91" t="e">
        <f t="shared" si="11"/>
        <v>#DIV/0!</v>
      </c>
      <c r="P64" s="148" t="e">
        <f t="shared" si="1"/>
        <v>#DIV/0!</v>
      </c>
      <c r="Q64" s="808">
        <f t="shared" si="7"/>
        <v>8.59</v>
      </c>
      <c r="R64" s="809" t="e">
        <f>(Q64+$N$232)+(([1]BC!$F$125)/$G$103)</f>
        <v>#DIV/0!</v>
      </c>
      <c r="S64" s="809" t="e">
        <f t="shared" si="8"/>
        <v>#DIV/0!</v>
      </c>
      <c r="T64" s="810" t="e">
        <f t="shared" si="9"/>
        <v>#DIV/0!</v>
      </c>
      <c r="U64" s="810" t="e">
        <f t="shared" si="10"/>
        <v>#DIV/0!</v>
      </c>
      <c r="V64" s="74"/>
      <c r="W64" s="74"/>
    </row>
    <row r="65" spans="2:31" ht="15.75" customHeight="1" x14ac:dyDescent="0.45">
      <c r="B65" s="520">
        <v>7574690190</v>
      </c>
      <c r="C65" s="854" t="s">
        <v>434</v>
      </c>
      <c r="D65" s="56" t="s">
        <v>435</v>
      </c>
      <c r="E65" s="57">
        <v>100</v>
      </c>
      <c r="F65" s="57">
        <v>28</v>
      </c>
      <c r="G65" s="386">
        <f>'e411'!F65</f>
        <v>0</v>
      </c>
      <c r="H65" s="57">
        <f t="shared" si="2"/>
        <v>0</v>
      </c>
      <c r="I65" s="57">
        <f>(30*[1]BC!$B$47/F65)</f>
        <v>12.857142857142858</v>
      </c>
      <c r="J65" s="363">
        <f t="shared" si="3"/>
        <v>12.857142857142858</v>
      </c>
      <c r="K65" s="216">
        <f t="shared" si="4"/>
        <v>0</v>
      </c>
      <c r="L65" s="216">
        <f t="shared" si="5"/>
        <v>0</v>
      </c>
      <c r="M65" s="364">
        <v>1239</v>
      </c>
      <c r="N65" s="365">
        <f t="shared" si="6"/>
        <v>0</v>
      </c>
      <c r="O65" s="91" t="e">
        <f t="shared" si="11"/>
        <v>#DIV/0!</v>
      </c>
      <c r="P65" s="148" t="e">
        <f t="shared" si="1"/>
        <v>#DIV/0!</v>
      </c>
      <c r="Q65" s="808">
        <f t="shared" si="7"/>
        <v>12.39</v>
      </c>
      <c r="R65" s="809" t="e">
        <f>(Q65+$N$232)+(([1]BC!$F$125)/$G$103)</f>
        <v>#DIV/0!</v>
      </c>
      <c r="S65" s="809" t="e">
        <f t="shared" si="8"/>
        <v>#DIV/0!</v>
      </c>
      <c r="T65" s="810" t="e">
        <f t="shared" si="9"/>
        <v>#DIV/0!</v>
      </c>
      <c r="U65" s="810" t="e">
        <f t="shared" si="10"/>
        <v>#DIV/0!</v>
      </c>
      <c r="V65" s="74"/>
      <c r="W65" s="74"/>
    </row>
    <row r="66" spans="2:31" ht="15.75" customHeight="1" x14ac:dyDescent="0.45">
      <c r="B66" s="520">
        <v>9015604190</v>
      </c>
      <c r="C66" s="855" t="s">
        <v>436</v>
      </c>
      <c r="D66" s="55" t="s">
        <v>437</v>
      </c>
      <c r="E66" s="57">
        <v>100</v>
      </c>
      <c r="F66" s="57">
        <v>28</v>
      </c>
      <c r="G66" s="386">
        <f>'e411'!F66</f>
        <v>0</v>
      </c>
      <c r="H66" s="57">
        <f t="shared" si="2"/>
        <v>0</v>
      </c>
      <c r="I66" s="57">
        <f>(30*[1]BC!$B$47/F66)</f>
        <v>12.857142857142858</v>
      </c>
      <c r="J66" s="363">
        <f t="shared" si="3"/>
        <v>12.857142857142858</v>
      </c>
      <c r="K66" s="216">
        <f t="shared" si="4"/>
        <v>0</v>
      </c>
      <c r="L66" s="216">
        <f t="shared" si="5"/>
        <v>0</v>
      </c>
      <c r="M66" s="364">
        <v>1055</v>
      </c>
      <c r="N66" s="365">
        <f t="shared" si="6"/>
        <v>0</v>
      </c>
      <c r="O66" s="91" t="e">
        <f t="shared" si="11"/>
        <v>#DIV/0!</v>
      </c>
      <c r="P66" s="148" t="e">
        <f t="shared" si="1"/>
        <v>#DIV/0!</v>
      </c>
      <c r="Q66" s="808">
        <f t="shared" si="7"/>
        <v>10.55</v>
      </c>
      <c r="R66" s="809" t="e">
        <f>(Q66+$N$232)+(([1]BC!$F$125)/$G$103)</f>
        <v>#DIV/0!</v>
      </c>
      <c r="S66" s="809" t="e">
        <f t="shared" si="8"/>
        <v>#DIV/0!</v>
      </c>
      <c r="T66" s="810" t="e">
        <f t="shared" si="9"/>
        <v>#DIV/0!</v>
      </c>
      <c r="U66" s="810" t="e">
        <f t="shared" si="10"/>
        <v>#DIV/0!</v>
      </c>
      <c r="V66" s="370"/>
      <c r="W66" s="370"/>
      <c r="X66" s="24"/>
      <c r="Y66" s="24"/>
      <c r="Z66" s="24"/>
      <c r="AA66" s="24"/>
      <c r="AB66" s="24"/>
      <c r="AC66" s="24"/>
      <c r="AD66" s="24"/>
      <c r="AE66" s="24"/>
    </row>
    <row r="67" spans="2:31" ht="15.75" customHeight="1" x14ac:dyDescent="0.45">
      <c r="B67" s="856">
        <v>12017547122</v>
      </c>
      <c r="C67" s="837" t="s">
        <v>438</v>
      </c>
      <c r="D67" s="55" t="s">
        <v>439</v>
      </c>
      <c r="E67" s="57">
        <v>100</v>
      </c>
      <c r="F67" s="57">
        <v>28</v>
      </c>
      <c r="G67" s="386">
        <f>'e411'!F67</f>
        <v>0</v>
      </c>
      <c r="H67" s="57">
        <f t="shared" si="2"/>
        <v>0</v>
      </c>
      <c r="I67" s="57">
        <f>(30*[1]BC!$B$47/F67)</f>
        <v>12.857142857142858</v>
      </c>
      <c r="J67" s="363">
        <f t="shared" si="3"/>
        <v>12.857142857142858</v>
      </c>
      <c r="K67" s="216">
        <f t="shared" si="4"/>
        <v>0</v>
      </c>
      <c r="L67" s="216">
        <f t="shared" si="5"/>
        <v>0</v>
      </c>
      <c r="M67" s="364">
        <v>326</v>
      </c>
      <c r="N67" s="365">
        <f t="shared" si="6"/>
        <v>0</v>
      </c>
      <c r="O67" s="91" t="e">
        <f t="shared" si="11"/>
        <v>#DIV/0!</v>
      </c>
      <c r="P67" s="148" t="e">
        <f t="shared" si="1"/>
        <v>#DIV/0!</v>
      </c>
      <c r="Q67" s="808">
        <f t="shared" si="7"/>
        <v>3.26</v>
      </c>
      <c r="R67" s="809" t="e">
        <f>(Q67+$N$232)+(([1]BC!$F$125)/$G$103)</f>
        <v>#DIV/0!</v>
      </c>
      <c r="S67" s="809" t="e">
        <f t="shared" si="8"/>
        <v>#DIV/0!</v>
      </c>
      <c r="T67" s="810" t="e">
        <f t="shared" si="9"/>
        <v>#DIV/0!</v>
      </c>
      <c r="U67" s="810" t="e">
        <f t="shared" si="10"/>
        <v>#DIV/0!</v>
      </c>
      <c r="V67" s="370"/>
      <c r="W67" s="370"/>
      <c r="X67" s="24"/>
      <c r="Y67" s="24"/>
      <c r="Z67" s="24"/>
      <c r="AA67" s="24"/>
      <c r="AB67" s="24"/>
      <c r="AC67" s="24"/>
      <c r="AD67" s="24"/>
      <c r="AE67" s="24"/>
    </row>
    <row r="68" spans="2:31" ht="15.75" customHeight="1" x14ac:dyDescent="0.45">
      <c r="B68" s="520">
        <v>11732234122</v>
      </c>
      <c r="C68" s="837" t="s">
        <v>440</v>
      </c>
      <c r="D68" s="55" t="s">
        <v>441</v>
      </c>
      <c r="E68" s="57">
        <v>100</v>
      </c>
      <c r="F68" s="57">
        <v>56</v>
      </c>
      <c r="G68" s="386">
        <f>'e411'!F68</f>
        <v>0</v>
      </c>
      <c r="H68" s="57">
        <f t="shared" si="2"/>
        <v>0</v>
      </c>
      <c r="I68" s="57">
        <f>(30*[1]BC!$B$47/F68)</f>
        <v>6.4285714285714288</v>
      </c>
      <c r="J68" s="363">
        <f t="shared" si="3"/>
        <v>6.4285714285714288</v>
      </c>
      <c r="K68" s="216">
        <f t="shared" si="4"/>
        <v>0</v>
      </c>
      <c r="L68" s="216">
        <f t="shared" si="5"/>
        <v>0</v>
      </c>
      <c r="M68" s="364">
        <v>117</v>
      </c>
      <c r="N68" s="365">
        <f t="shared" si="6"/>
        <v>0</v>
      </c>
      <c r="O68" s="91" t="e">
        <f t="shared" si="11"/>
        <v>#DIV/0!</v>
      </c>
      <c r="P68" s="148" t="e">
        <f t="shared" si="1"/>
        <v>#DIV/0!</v>
      </c>
      <c r="Q68" s="808">
        <f t="shared" si="7"/>
        <v>1.17</v>
      </c>
      <c r="R68" s="809" t="e">
        <f>(Q68+$N$232)+(([1]BC!$F$125)/$G$103)</f>
        <v>#DIV/0!</v>
      </c>
      <c r="S68" s="809" t="e">
        <f t="shared" si="8"/>
        <v>#DIV/0!</v>
      </c>
      <c r="T68" s="810" t="e">
        <f t="shared" si="9"/>
        <v>#DIV/0!</v>
      </c>
      <c r="U68" s="810" t="e">
        <f t="shared" si="10"/>
        <v>#DIV/0!</v>
      </c>
      <c r="V68" s="370"/>
      <c r="W68" s="370"/>
      <c r="X68" s="24"/>
      <c r="Y68" s="24"/>
      <c r="Z68" s="24"/>
      <c r="AA68" s="24"/>
      <c r="AB68" s="24"/>
      <c r="AC68" s="24"/>
      <c r="AD68" s="24"/>
      <c r="AE68" s="24"/>
    </row>
    <row r="69" spans="2:31" ht="15.75" customHeight="1" x14ac:dyDescent="0.45">
      <c r="B69" s="520">
        <v>11820788122</v>
      </c>
      <c r="C69" s="830" t="s">
        <v>442</v>
      </c>
      <c r="D69" s="363" t="s">
        <v>443</v>
      </c>
      <c r="E69" s="57">
        <v>100</v>
      </c>
      <c r="F69" s="57">
        <v>56</v>
      </c>
      <c r="G69" s="386">
        <f>'e411'!F69</f>
        <v>0</v>
      </c>
      <c r="H69" s="57">
        <f t="shared" si="2"/>
        <v>0</v>
      </c>
      <c r="I69" s="57">
        <f>(30*[1]BC!$B$47/F69)</f>
        <v>6.4285714285714288</v>
      </c>
      <c r="J69" s="363">
        <f t="shared" si="3"/>
        <v>6.4285714285714288</v>
      </c>
      <c r="K69" s="216">
        <f t="shared" si="4"/>
        <v>0</v>
      </c>
      <c r="L69" s="216">
        <f t="shared" si="5"/>
        <v>0</v>
      </c>
      <c r="M69" s="364">
        <v>499</v>
      </c>
      <c r="N69" s="365">
        <f t="shared" si="6"/>
        <v>0</v>
      </c>
      <c r="O69" s="91" t="e">
        <f t="shared" si="11"/>
        <v>#DIV/0!</v>
      </c>
      <c r="P69" s="148" t="e">
        <f t="shared" si="1"/>
        <v>#DIV/0!</v>
      </c>
      <c r="Q69" s="808">
        <f t="shared" si="7"/>
        <v>4.99</v>
      </c>
      <c r="R69" s="809" t="e">
        <f>(Q69+$N$232)+(([1]BC!$F$125)/$G$103)</f>
        <v>#DIV/0!</v>
      </c>
      <c r="S69" s="809" t="e">
        <f t="shared" si="8"/>
        <v>#DIV/0!</v>
      </c>
      <c r="T69" s="810" t="e">
        <f t="shared" si="9"/>
        <v>#DIV/0!</v>
      </c>
      <c r="U69" s="810" t="e">
        <f t="shared" si="10"/>
        <v>#DIV/0!</v>
      </c>
      <c r="V69" s="74"/>
      <c r="W69" s="74"/>
    </row>
    <row r="70" spans="2:31" ht="15.75" customHeight="1" x14ac:dyDescent="0.45">
      <c r="B70" s="520">
        <v>12149133122</v>
      </c>
      <c r="C70" s="844" t="s">
        <v>444</v>
      </c>
      <c r="D70" s="363" t="s">
        <v>445</v>
      </c>
      <c r="E70" s="57">
        <v>100</v>
      </c>
      <c r="F70" s="57">
        <v>56</v>
      </c>
      <c r="G70" s="386">
        <f>'e411'!F70</f>
        <v>0</v>
      </c>
      <c r="H70" s="57">
        <f t="shared" si="2"/>
        <v>0</v>
      </c>
      <c r="I70" s="57">
        <f>(30*[1]BC!$B$47/F70)</f>
        <v>6.4285714285714288</v>
      </c>
      <c r="J70" s="363">
        <f t="shared" si="3"/>
        <v>6.4285714285714288</v>
      </c>
      <c r="K70" s="216">
        <f t="shared" si="4"/>
        <v>0</v>
      </c>
      <c r="L70" s="216">
        <f t="shared" si="5"/>
        <v>0</v>
      </c>
      <c r="M70" s="364">
        <v>654</v>
      </c>
      <c r="N70" s="365">
        <f t="shared" si="6"/>
        <v>0</v>
      </c>
      <c r="O70" s="91" t="e">
        <f t="shared" si="11"/>
        <v>#DIV/0!</v>
      </c>
      <c r="P70" s="148" t="e">
        <f t="shared" si="1"/>
        <v>#DIV/0!</v>
      </c>
      <c r="Q70" s="808">
        <f t="shared" si="7"/>
        <v>6.54</v>
      </c>
      <c r="R70" s="809" t="e">
        <f>(Q70+$N$232)+(([1]BC!$F$125)/$G$103)</f>
        <v>#DIV/0!</v>
      </c>
      <c r="S70" s="809" t="e">
        <f t="shared" si="8"/>
        <v>#DIV/0!</v>
      </c>
      <c r="T70" s="810" t="e">
        <f t="shared" si="9"/>
        <v>#DIV/0!</v>
      </c>
      <c r="U70" s="810" t="e">
        <f t="shared" si="10"/>
        <v>#DIV/0!</v>
      </c>
      <c r="V70" s="74"/>
      <c r="W70" s="74"/>
    </row>
    <row r="71" spans="2:31" ht="15.75" customHeight="1" x14ac:dyDescent="0.45">
      <c r="B71" s="520">
        <v>12133113122</v>
      </c>
      <c r="C71" s="827" t="s">
        <v>446</v>
      </c>
      <c r="D71" s="363" t="s">
        <v>447</v>
      </c>
      <c r="E71" s="57">
        <v>100</v>
      </c>
      <c r="F71" s="57">
        <v>56</v>
      </c>
      <c r="G71" s="386">
        <f>'e411'!F71</f>
        <v>0</v>
      </c>
      <c r="H71" s="57">
        <f t="shared" si="2"/>
        <v>0</v>
      </c>
      <c r="I71" s="57">
        <f>(30*[1]BC!$B$47/F71)</f>
        <v>6.4285714285714288</v>
      </c>
      <c r="J71" s="363">
        <f t="shared" si="3"/>
        <v>6.4285714285714288</v>
      </c>
      <c r="K71" s="216">
        <f t="shared" si="4"/>
        <v>0</v>
      </c>
      <c r="L71" s="216">
        <f t="shared" si="5"/>
        <v>0</v>
      </c>
      <c r="M71" s="364">
        <v>1217</v>
      </c>
      <c r="N71" s="365">
        <f t="shared" si="6"/>
        <v>0</v>
      </c>
      <c r="O71" s="91" t="e">
        <f t="shared" si="11"/>
        <v>#DIV/0!</v>
      </c>
      <c r="P71" s="148" t="e">
        <f t="shared" si="1"/>
        <v>#DIV/0!</v>
      </c>
      <c r="Q71" s="808">
        <f t="shared" si="7"/>
        <v>12.17</v>
      </c>
      <c r="R71" s="809" t="e">
        <f>(Q71+$N$232)+(([1]BC!$F$125)/$G$103)</f>
        <v>#DIV/0!</v>
      </c>
      <c r="S71" s="809" t="e">
        <f t="shared" si="8"/>
        <v>#DIV/0!</v>
      </c>
      <c r="T71" s="810" t="e">
        <f t="shared" si="9"/>
        <v>#DIV/0!</v>
      </c>
      <c r="U71" s="810" t="e">
        <f t="shared" si="10"/>
        <v>#DIV/0!</v>
      </c>
      <c r="V71" s="74"/>
      <c r="W71" s="74"/>
    </row>
    <row r="72" spans="2:31" ht="15.75" customHeight="1" x14ac:dyDescent="0.45">
      <c r="B72" s="520">
        <v>8860173190</v>
      </c>
      <c r="C72" s="845" t="s">
        <v>448</v>
      </c>
      <c r="D72" s="363" t="s">
        <v>449</v>
      </c>
      <c r="E72" s="57">
        <v>100</v>
      </c>
      <c r="F72" s="57">
        <v>21</v>
      </c>
      <c r="G72" s="386">
        <f>'e411'!F72</f>
        <v>0</v>
      </c>
      <c r="H72" s="57">
        <f t="shared" si="2"/>
        <v>0</v>
      </c>
      <c r="I72" s="57">
        <f>(30*[1]BC!$B$47/F72)</f>
        <v>17.142857142857142</v>
      </c>
      <c r="J72" s="363">
        <f t="shared" si="3"/>
        <v>17.142857142857142</v>
      </c>
      <c r="K72" s="216">
        <f t="shared" si="4"/>
        <v>0</v>
      </c>
      <c r="L72" s="216">
        <f t="shared" si="5"/>
        <v>0</v>
      </c>
      <c r="M72" s="364">
        <v>1459</v>
      </c>
      <c r="N72" s="365">
        <f t="shared" si="6"/>
        <v>0</v>
      </c>
      <c r="O72" s="91" t="e">
        <f t="shared" si="11"/>
        <v>#DIV/0!</v>
      </c>
      <c r="P72" s="148" t="e">
        <f t="shared" si="1"/>
        <v>#DIV/0!</v>
      </c>
      <c r="Q72" s="808">
        <f t="shared" si="7"/>
        <v>14.59</v>
      </c>
      <c r="R72" s="809" t="e">
        <f>(Q72+$N$232)+(([1]BC!$F$125)/$G$103)</f>
        <v>#DIV/0!</v>
      </c>
      <c r="S72" s="809" t="e">
        <f t="shared" si="8"/>
        <v>#DIV/0!</v>
      </c>
      <c r="T72" s="810" t="e">
        <f t="shared" si="9"/>
        <v>#DIV/0!</v>
      </c>
      <c r="U72" s="810" t="e">
        <f t="shared" si="10"/>
        <v>#DIV/0!</v>
      </c>
      <c r="V72" s="74"/>
      <c r="W72" s="74"/>
    </row>
    <row r="73" spans="2:31" ht="15.75" customHeight="1" x14ac:dyDescent="0.45">
      <c r="B73" s="520">
        <v>9318712190</v>
      </c>
      <c r="C73" s="55" t="s">
        <v>450</v>
      </c>
      <c r="D73" s="55" t="s">
        <v>451</v>
      </c>
      <c r="E73" s="57">
        <v>100</v>
      </c>
      <c r="F73" s="57">
        <v>28</v>
      </c>
      <c r="G73" s="386">
        <f>'e411'!F73</f>
        <v>0</v>
      </c>
      <c r="H73" s="57">
        <f t="shared" si="2"/>
        <v>0</v>
      </c>
      <c r="I73" s="57">
        <f>(30*[1]BC!$B$47/F73)</f>
        <v>12.857142857142858</v>
      </c>
      <c r="J73" s="363">
        <f t="shared" si="3"/>
        <v>12.857142857142858</v>
      </c>
      <c r="K73" s="216">
        <f t="shared" si="4"/>
        <v>0</v>
      </c>
      <c r="L73" s="216">
        <f t="shared" si="5"/>
        <v>0</v>
      </c>
      <c r="M73" s="364">
        <v>1701</v>
      </c>
      <c r="N73" s="365">
        <f t="shared" si="6"/>
        <v>0</v>
      </c>
      <c r="O73" s="91" t="e">
        <f t="shared" ref="O73:O102" si="12">((M73*$L$233)+M73)</f>
        <v>#DIV/0!</v>
      </c>
      <c r="P73" s="148" t="e">
        <f t="shared" ref="P73:P102" si="13">O73*L73</f>
        <v>#DIV/0!</v>
      </c>
      <c r="Q73" s="808">
        <f t="shared" si="7"/>
        <v>17.010000000000002</v>
      </c>
      <c r="R73" s="809" t="e">
        <f>(Q73+$N$232)+(([1]BC!$F$125)/$G$103)</f>
        <v>#DIV/0!</v>
      </c>
      <c r="S73" s="809" t="e">
        <f t="shared" si="8"/>
        <v>#DIV/0!</v>
      </c>
      <c r="T73" s="810" t="e">
        <f t="shared" si="9"/>
        <v>#DIV/0!</v>
      </c>
      <c r="U73" s="810" t="e">
        <f t="shared" si="10"/>
        <v>#DIV/0!</v>
      </c>
      <c r="V73" s="370"/>
      <c r="W73" s="370"/>
      <c r="X73" s="24"/>
      <c r="Y73" s="24"/>
      <c r="Z73" s="24"/>
      <c r="AA73" s="24"/>
      <c r="AB73" s="24"/>
      <c r="AC73" s="24"/>
      <c r="AD73" s="24"/>
      <c r="AE73" s="24"/>
    </row>
    <row r="74" spans="2:31" ht="15.75" customHeight="1" x14ac:dyDescent="0.45">
      <c r="B74" s="520">
        <v>5144671190</v>
      </c>
      <c r="C74" s="807" t="s">
        <v>452</v>
      </c>
      <c r="D74" s="363" t="s">
        <v>453</v>
      </c>
      <c r="E74" s="57">
        <v>100</v>
      </c>
      <c r="F74" s="57">
        <v>84</v>
      </c>
      <c r="G74" s="386">
        <f>'e411'!F74</f>
        <v>0</v>
      </c>
      <c r="H74" s="57">
        <f t="shared" ref="H74:H102" si="14">G74/E74</f>
        <v>0</v>
      </c>
      <c r="I74" s="57">
        <f>(30*[1]BC!$B$47/F74)</f>
        <v>4.2857142857142856</v>
      </c>
      <c r="J74" s="363">
        <f t="shared" ref="J74:J137" si="15">IF(I74&gt;H74,I74,H74)</f>
        <v>4.2857142857142856</v>
      </c>
      <c r="K74" s="216">
        <f t="shared" ref="K74:K137" si="16">IF(H74=0,0,J74)</f>
        <v>0</v>
      </c>
      <c r="L74" s="216">
        <f t="shared" ref="L74:L101" si="17">H74</f>
        <v>0</v>
      </c>
      <c r="M74" s="364">
        <v>3059</v>
      </c>
      <c r="N74" s="365">
        <f t="shared" ref="N74:N102" si="18">M74*L74</f>
        <v>0</v>
      </c>
      <c r="O74" s="91" t="e">
        <f t="shared" si="12"/>
        <v>#DIV/0!</v>
      </c>
      <c r="P74" s="148" t="e">
        <f t="shared" si="13"/>
        <v>#DIV/0!</v>
      </c>
      <c r="Q74" s="808">
        <f t="shared" ref="Q74:Q102" si="19">M74/E74</f>
        <v>30.59</v>
      </c>
      <c r="R74" s="809" t="e">
        <f>(Q74+$N$232)+(([1]BC!$F$125)/$G$103)</f>
        <v>#DIV/0!</v>
      </c>
      <c r="S74" s="809" t="e">
        <f t="shared" ref="S74:S102" si="20">R74*G74</f>
        <v>#DIV/0!</v>
      </c>
      <c r="T74" s="810" t="e">
        <f t="shared" ref="T74:T102" si="21">((R74*0.15)+R74)</f>
        <v>#DIV/0!</v>
      </c>
      <c r="U74" s="810" t="e">
        <f t="shared" ref="U74:U102" si="22">T74*G74</f>
        <v>#DIV/0!</v>
      </c>
      <c r="V74" s="74"/>
      <c r="W74" s="74"/>
    </row>
    <row r="75" spans="2:31" ht="15.75" customHeight="1" x14ac:dyDescent="0.45">
      <c r="B75" s="520">
        <v>9315268190</v>
      </c>
      <c r="C75" s="857" t="s">
        <v>454</v>
      </c>
      <c r="D75" s="363" t="s">
        <v>455</v>
      </c>
      <c r="E75" s="57">
        <v>100</v>
      </c>
      <c r="F75" s="57">
        <v>56</v>
      </c>
      <c r="G75" s="386">
        <f>'e411'!F75</f>
        <v>0</v>
      </c>
      <c r="H75" s="57">
        <f t="shared" si="14"/>
        <v>0</v>
      </c>
      <c r="I75" s="57">
        <f>(30*[1]BC!$B$47/F75)</f>
        <v>6.4285714285714288</v>
      </c>
      <c r="J75" s="363">
        <f t="shared" si="15"/>
        <v>6.4285714285714288</v>
      </c>
      <c r="K75" s="216">
        <f t="shared" si="16"/>
        <v>0</v>
      </c>
      <c r="L75" s="216">
        <f t="shared" si="17"/>
        <v>0</v>
      </c>
      <c r="M75" s="364">
        <v>1185</v>
      </c>
      <c r="N75" s="365">
        <f t="shared" si="18"/>
        <v>0</v>
      </c>
      <c r="O75" s="91" t="e">
        <f t="shared" si="12"/>
        <v>#DIV/0!</v>
      </c>
      <c r="P75" s="148" t="e">
        <f t="shared" si="13"/>
        <v>#DIV/0!</v>
      </c>
      <c r="Q75" s="808">
        <f t="shared" si="19"/>
        <v>11.85</v>
      </c>
      <c r="R75" s="809" t="e">
        <f>(Q75+$N$232)+(([1]BC!$F$125)/$G$103)</f>
        <v>#DIV/0!</v>
      </c>
      <c r="S75" s="809" t="e">
        <f t="shared" si="20"/>
        <v>#DIV/0!</v>
      </c>
      <c r="T75" s="810" t="e">
        <f t="shared" si="21"/>
        <v>#DIV/0!</v>
      </c>
      <c r="U75" s="810" t="e">
        <f t="shared" si="22"/>
        <v>#DIV/0!</v>
      </c>
      <c r="V75" s="370"/>
      <c r="W75" s="370"/>
      <c r="X75" s="24"/>
      <c r="Y75" s="24"/>
      <c r="Z75" s="24"/>
      <c r="AA75" s="24"/>
      <c r="AB75" s="24"/>
      <c r="AC75" s="24"/>
      <c r="AD75" s="24"/>
      <c r="AE75" s="24"/>
    </row>
    <row r="76" spans="2:31" ht="15.75" customHeight="1" x14ac:dyDescent="0.45">
      <c r="B76" s="520">
        <v>8836744190</v>
      </c>
      <c r="C76" s="363" t="s">
        <v>456</v>
      </c>
      <c r="D76" s="363" t="s">
        <v>457</v>
      </c>
      <c r="E76" s="57">
        <v>100</v>
      </c>
      <c r="F76" s="57"/>
      <c r="G76" s="386">
        <f>'e411'!F76</f>
        <v>0</v>
      </c>
      <c r="H76" s="57">
        <f t="shared" si="14"/>
        <v>0</v>
      </c>
      <c r="I76" s="57" t="e">
        <f>(30*[1]BC!$B$47/F76)</f>
        <v>#DIV/0!</v>
      </c>
      <c r="J76" s="363" t="e">
        <f t="shared" si="15"/>
        <v>#DIV/0!</v>
      </c>
      <c r="K76" s="216">
        <f t="shared" si="16"/>
        <v>0</v>
      </c>
      <c r="L76" s="216">
        <f t="shared" si="17"/>
        <v>0</v>
      </c>
      <c r="M76" s="364">
        <v>1185</v>
      </c>
      <c r="N76" s="365">
        <f t="shared" si="18"/>
        <v>0</v>
      </c>
      <c r="O76" s="91" t="e">
        <f t="shared" si="12"/>
        <v>#DIV/0!</v>
      </c>
      <c r="P76" s="148" t="e">
        <f t="shared" si="13"/>
        <v>#DIV/0!</v>
      </c>
      <c r="Q76" s="808">
        <f t="shared" si="19"/>
        <v>11.85</v>
      </c>
      <c r="R76" s="809" t="e">
        <f>(Q76+$N$232)+(([1]BC!$F$125)/$G$103)</f>
        <v>#DIV/0!</v>
      </c>
      <c r="S76" s="809" t="e">
        <f t="shared" si="20"/>
        <v>#DIV/0!</v>
      </c>
      <c r="T76" s="810" t="e">
        <f t="shared" si="21"/>
        <v>#DIV/0!</v>
      </c>
      <c r="U76" s="810" t="e">
        <f t="shared" si="22"/>
        <v>#DIV/0!</v>
      </c>
      <c r="V76" s="74"/>
      <c r="W76" s="74"/>
    </row>
    <row r="77" spans="2:31" ht="15.75" customHeight="1" x14ac:dyDescent="0.45">
      <c r="B77" s="520">
        <v>7092539190</v>
      </c>
      <c r="C77" s="837" t="s">
        <v>458</v>
      </c>
      <c r="D77" s="55" t="s">
        <v>459</v>
      </c>
      <c r="E77" s="57">
        <v>100</v>
      </c>
      <c r="F77" s="57">
        <v>56</v>
      </c>
      <c r="G77" s="386">
        <f>'e411'!F77</f>
        <v>0</v>
      </c>
      <c r="H77" s="57">
        <f t="shared" si="14"/>
        <v>0</v>
      </c>
      <c r="I77" s="57">
        <f>(30*[1]BC!$B$47/F77)</f>
        <v>6.4285714285714288</v>
      </c>
      <c r="J77" s="363">
        <f t="shared" si="15"/>
        <v>6.4285714285714288</v>
      </c>
      <c r="K77" s="216">
        <f t="shared" si="16"/>
        <v>0</v>
      </c>
      <c r="L77" s="216">
        <f t="shared" si="17"/>
        <v>0</v>
      </c>
      <c r="M77" s="364">
        <v>120</v>
      </c>
      <c r="N77" s="365">
        <f t="shared" si="18"/>
        <v>0</v>
      </c>
      <c r="O77" s="91" t="e">
        <f t="shared" si="12"/>
        <v>#DIV/0!</v>
      </c>
      <c r="P77" s="148" t="e">
        <f t="shared" si="13"/>
        <v>#DIV/0!</v>
      </c>
      <c r="Q77" s="808">
        <f t="shared" si="19"/>
        <v>1.2</v>
      </c>
      <c r="R77" s="809" t="e">
        <f>(Q77+$N$232)+(([1]BC!$F$125)/$G$103)</f>
        <v>#DIV/0!</v>
      </c>
      <c r="S77" s="809" t="e">
        <f t="shared" si="20"/>
        <v>#DIV/0!</v>
      </c>
      <c r="T77" s="810" t="e">
        <f t="shared" si="21"/>
        <v>#DIV/0!</v>
      </c>
      <c r="U77" s="810" t="e">
        <f t="shared" si="22"/>
        <v>#DIV/0!</v>
      </c>
      <c r="V77" s="370"/>
      <c r="W77" s="370"/>
      <c r="X77" s="24"/>
      <c r="Y77" s="24"/>
      <c r="Z77" s="24"/>
      <c r="AA77" s="24"/>
      <c r="AB77" s="24"/>
      <c r="AC77" s="24"/>
      <c r="AD77" s="24"/>
      <c r="AE77" s="24"/>
    </row>
    <row r="78" spans="2:31" ht="15.75" customHeight="1" x14ac:dyDescent="0.45">
      <c r="B78" s="520">
        <v>9007636190</v>
      </c>
      <c r="C78" s="858" t="s">
        <v>460</v>
      </c>
      <c r="D78" s="363" t="s">
        <v>461</v>
      </c>
      <c r="E78" s="57">
        <v>100</v>
      </c>
      <c r="F78" s="57">
        <v>42</v>
      </c>
      <c r="G78" s="386">
        <f>'e411'!F78</f>
        <v>0</v>
      </c>
      <c r="H78" s="57">
        <f t="shared" si="14"/>
        <v>0</v>
      </c>
      <c r="I78" s="57">
        <f>(30*[1]BC!$B$47/F78)</f>
        <v>8.5714285714285712</v>
      </c>
      <c r="J78" s="363">
        <f t="shared" si="15"/>
        <v>8.5714285714285712</v>
      </c>
      <c r="K78" s="216">
        <f t="shared" si="16"/>
        <v>0</v>
      </c>
      <c r="L78" s="216">
        <f t="shared" si="17"/>
        <v>0</v>
      </c>
      <c r="M78" s="364">
        <v>756</v>
      </c>
      <c r="N78" s="365">
        <f t="shared" si="18"/>
        <v>0</v>
      </c>
      <c r="O78" s="91" t="e">
        <f t="shared" si="12"/>
        <v>#DIV/0!</v>
      </c>
      <c r="P78" s="148" t="e">
        <f t="shared" si="13"/>
        <v>#DIV/0!</v>
      </c>
      <c r="Q78" s="808">
        <f t="shared" si="19"/>
        <v>7.56</v>
      </c>
      <c r="R78" s="809" t="e">
        <f>(Q78+$N$232)+(([1]BC!$F$125)/$G$103)</f>
        <v>#DIV/0!</v>
      </c>
      <c r="S78" s="809" t="e">
        <f t="shared" si="20"/>
        <v>#DIV/0!</v>
      </c>
      <c r="T78" s="810" t="e">
        <f t="shared" si="21"/>
        <v>#DIV/0!</v>
      </c>
      <c r="U78" s="810" t="e">
        <f t="shared" si="22"/>
        <v>#DIV/0!</v>
      </c>
      <c r="V78" s="74"/>
      <c r="W78" s="74"/>
    </row>
    <row r="79" spans="2:31" ht="15.75" customHeight="1" x14ac:dyDescent="0.45">
      <c r="B79" s="520">
        <v>3203093190</v>
      </c>
      <c r="C79" s="837" t="s">
        <v>462</v>
      </c>
      <c r="D79" s="55" t="s">
        <v>463</v>
      </c>
      <c r="E79" s="57">
        <v>100</v>
      </c>
      <c r="F79" s="57">
        <v>56</v>
      </c>
      <c r="G79" s="386">
        <f>'e411'!F79</f>
        <v>0</v>
      </c>
      <c r="H79" s="57">
        <f t="shared" si="14"/>
        <v>0</v>
      </c>
      <c r="I79" s="57">
        <f>(30*[1]BC!$B$47/F79)</f>
        <v>6.4285714285714288</v>
      </c>
      <c r="J79" s="363">
        <f t="shared" si="15"/>
        <v>6.4285714285714288</v>
      </c>
      <c r="K79" s="216">
        <f t="shared" si="16"/>
        <v>0</v>
      </c>
      <c r="L79" s="216">
        <f t="shared" si="17"/>
        <v>0</v>
      </c>
      <c r="M79" s="364">
        <v>122</v>
      </c>
      <c r="N79" s="365">
        <f t="shared" si="18"/>
        <v>0</v>
      </c>
      <c r="O79" s="91" t="e">
        <f t="shared" si="12"/>
        <v>#DIV/0!</v>
      </c>
      <c r="P79" s="148" t="e">
        <f t="shared" si="13"/>
        <v>#DIV/0!</v>
      </c>
      <c r="Q79" s="808">
        <f t="shared" si="19"/>
        <v>1.22</v>
      </c>
      <c r="R79" s="809" t="e">
        <f>(Q79+$N$232)+(([1]BC!$F$125)/$G$103)</f>
        <v>#DIV/0!</v>
      </c>
      <c r="S79" s="809" t="e">
        <f t="shared" si="20"/>
        <v>#DIV/0!</v>
      </c>
      <c r="T79" s="810" t="e">
        <f t="shared" si="21"/>
        <v>#DIV/0!</v>
      </c>
      <c r="U79" s="810" t="e">
        <f t="shared" si="22"/>
        <v>#DIV/0!</v>
      </c>
      <c r="V79" s="370"/>
      <c r="W79" s="370"/>
      <c r="X79" s="24"/>
      <c r="Y79" s="24"/>
      <c r="Z79" s="24"/>
      <c r="AA79" s="24"/>
      <c r="AB79" s="24"/>
      <c r="AC79" s="24"/>
      <c r="AD79" s="24"/>
      <c r="AE79" s="24"/>
    </row>
    <row r="80" spans="2:31" ht="15.75" customHeight="1" x14ac:dyDescent="0.45">
      <c r="B80" s="520">
        <v>9005757190</v>
      </c>
      <c r="C80" s="844" t="s">
        <v>464</v>
      </c>
      <c r="D80" s="55" t="s">
        <v>465</v>
      </c>
      <c r="E80" s="57">
        <v>100</v>
      </c>
      <c r="F80" s="57">
        <v>56</v>
      </c>
      <c r="G80" s="386">
        <f>'e411'!F80</f>
        <v>0</v>
      </c>
      <c r="H80" s="57">
        <f t="shared" si="14"/>
        <v>0</v>
      </c>
      <c r="I80" s="57">
        <f>(30*[1]BC!$B$47/F80)</f>
        <v>6.4285714285714288</v>
      </c>
      <c r="J80" s="363">
        <f t="shared" si="15"/>
        <v>6.4285714285714288</v>
      </c>
      <c r="K80" s="216">
        <f t="shared" si="16"/>
        <v>0</v>
      </c>
      <c r="L80" s="216">
        <f t="shared" si="17"/>
        <v>0</v>
      </c>
      <c r="M80" s="364">
        <v>1300</v>
      </c>
      <c r="N80" s="365">
        <f t="shared" si="18"/>
        <v>0</v>
      </c>
      <c r="O80" s="91" t="e">
        <f t="shared" si="12"/>
        <v>#DIV/0!</v>
      </c>
      <c r="P80" s="148" t="e">
        <f t="shared" si="13"/>
        <v>#DIV/0!</v>
      </c>
      <c r="Q80" s="808">
        <f t="shared" si="19"/>
        <v>13</v>
      </c>
      <c r="R80" s="809" t="e">
        <f>(Q80+$N$232)+(([1]BC!$F$125)/$G$103)</f>
        <v>#DIV/0!</v>
      </c>
      <c r="S80" s="809" t="e">
        <f t="shared" si="20"/>
        <v>#DIV/0!</v>
      </c>
      <c r="T80" s="810" t="e">
        <f t="shared" si="21"/>
        <v>#DIV/0!</v>
      </c>
      <c r="U80" s="810" t="e">
        <f t="shared" si="22"/>
        <v>#DIV/0!</v>
      </c>
      <c r="V80" s="74"/>
      <c r="W80" s="74"/>
    </row>
    <row r="81" spans="2:31" ht="15.75" customHeight="1" x14ac:dyDescent="0.45">
      <c r="B81" s="520">
        <v>8928380190</v>
      </c>
      <c r="C81" s="843" t="s">
        <v>466</v>
      </c>
      <c r="D81" s="55" t="s">
        <v>467</v>
      </c>
      <c r="E81" s="57">
        <v>100</v>
      </c>
      <c r="F81" s="57">
        <v>56</v>
      </c>
      <c r="G81" s="386">
        <f>'e411'!F81</f>
        <v>0</v>
      </c>
      <c r="H81" s="57">
        <f t="shared" si="14"/>
        <v>0</v>
      </c>
      <c r="I81" s="57">
        <f>(30*[1]BC!$B$47/F81)</f>
        <v>6.4285714285714288</v>
      </c>
      <c r="J81" s="363">
        <f t="shared" si="15"/>
        <v>6.4285714285714288</v>
      </c>
      <c r="K81" s="216">
        <f t="shared" si="16"/>
        <v>0</v>
      </c>
      <c r="L81" s="216">
        <f t="shared" si="17"/>
        <v>0</v>
      </c>
      <c r="M81" s="364">
        <v>650</v>
      </c>
      <c r="N81" s="365">
        <f t="shared" si="18"/>
        <v>0</v>
      </c>
      <c r="O81" s="91" t="e">
        <f t="shared" si="12"/>
        <v>#DIV/0!</v>
      </c>
      <c r="P81" s="148" t="e">
        <f t="shared" si="13"/>
        <v>#DIV/0!</v>
      </c>
      <c r="Q81" s="808">
        <f t="shared" si="19"/>
        <v>6.5</v>
      </c>
      <c r="R81" s="809" t="e">
        <f>(Q81+$N$232)+(([1]BC!$F$125)/$G$103)</f>
        <v>#DIV/0!</v>
      </c>
      <c r="S81" s="809" t="e">
        <f t="shared" si="20"/>
        <v>#DIV/0!</v>
      </c>
      <c r="T81" s="810" t="e">
        <f t="shared" si="21"/>
        <v>#DIV/0!</v>
      </c>
      <c r="U81" s="810" t="e">
        <f t="shared" si="22"/>
        <v>#DIV/0!</v>
      </c>
      <c r="V81" s="370"/>
      <c r="W81" s="370"/>
      <c r="X81" s="24"/>
      <c r="Y81" s="24"/>
      <c r="Z81" s="24"/>
      <c r="AA81" s="24"/>
      <c r="AB81" s="24"/>
      <c r="AC81" s="24"/>
      <c r="AD81" s="24"/>
      <c r="AE81" s="24"/>
    </row>
    <row r="82" spans="2:31" ht="15.75" customHeight="1" x14ac:dyDescent="0.45">
      <c r="B82" s="520">
        <v>4618793190</v>
      </c>
      <c r="C82" s="859" t="s">
        <v>468</v>
      </c>
      <c r="D82" s="55" t="s">
        <v>469</v>
      </c>
      <c r="E82" s="57">
        <v>100</v>
      </c>
      <c r="F82" s="57">
        <v>84</v>
      </c>
      <c r="G82" s="386">
        <f>'e411'!F82</f>
        <v>0</v>
      </c>
      <c r="H82" s="57">
        <f t="shared" si="14"/>
        <v>0</v>
      </c>
      <c r="I82" s="57">
        <f>(30*[1]BC!$B$47/F82)</f>
        <v>4.2857142857142856</v>
      </c>
      <c r="J82" s="363">
        <f t="shared" si="15"/>
        <v>4.2857142857142856</v>
      </c>
      <c r="K82" s="216">
        <f t="shared" si="16"/>
        <v>0</v>
      </c>
      <c r="L82" s="216">
        <f t="shared" si="17"/>
        <v>0</v>
      </c>
      <c r="M82" s="364">
        <v>312</v>
      </c>
      <c r="N82" s="365">
        <f t="shared" si="18"/>
        <v>0</v>
      </c>
      <c r="O82" s="91" t="e">
        <f t="shared" si="12"/>
        <v>#DIV/0!</v>
      </c>
      <c r="P82" s="148" t="e">
        <f t="shared" si="13"/>
        <v>#DIV/0!</v>
      </c>
      <c r="Q82" s="808">
        <f t="shared" si="19"/>
        <v>3.12</v>
      </c>
      <c r="R82" s="809" t="e">
        <f>(Q82+$N$232)+(([1]BC!$F$125)/$G$103)</f>
        <v>#DIV/0!</v>
      </c>
      <c r="S82" s="809" t="e">
        <f t="shared" si="20"/>
        <v>#DIV/0!</v>
      </c>
      <c r="T82" s="810" t="e">
        <f t="shared" si="21"/>
        <v>#DIV/0!</v>
      </c>
      <c r="U82" s="810" t="e">
        <f t="shared" si="22"/>
        <v>#DIV/0!</v>
      </c>
      <c r="V82" s="370"/>
      <c r="W82" s="370"/>
      <c r="X82" s="24"/>
      <c r="Y82" s="24"/>
      <c r="Z82" s="24"/>
      <c r="AA82" s="24"/>
      <c r="AB82" s="24"/>
      <c r="AC82" s="24"/>
      <c r="AD82" s="24"/>
      <c r="AE82" s="24"/>
    </row>
    <row r="83" spans="2:31" ht="15.75" customHeight="1" x14ac:dyDescent="0.45">
      <c r="B83" s="520">
        <v>4618831190</v>
      </c>
      <c r="C83" s="860" t="s">
        <v>470</v>
      </c>
      <c r="D83" s="55" t="s">
        <v>471</v>
      </c>
      <c r="E83" s="57">
        <v>100</v>
      </c>
      <c r="F83" s="57">
        <v>84</v>
      </c>
      <c r="G83" s="386">
        <f>'e411'!F83</f>
        <v>0</v>
      </c>
      <c r="H83" s="57">
        <f t="shared" si="14"/>
        <v>0</v>
      </c>
      <c r="I83" s="57">
        <f>(30*[1]BC!$B$47/F83)</f>
        <v>4.2857142857142856</v>
      </c>
      <c r="J83" s="363">
        <f t="shared" si="15"/>
        <v>4.2857142857142856</v>
      </c>
      <c r="K83" s="216">
        <f t="shared" si="16"/>
        <v>0</v>
      </c>
      <c r="L83" s="216">
        <f t="shared" si="17"/>
        <v>0</v>
      </c>
      <c r="M83" s="364">
        <v>332</v>
      </c>
      <c r="N83" s="365">
        <f t="shared" si="18"/>
        <v>0</v>
      </c>
      <c r="O83" s="91" t="e">
        <f t="shared" si="12"/>
        <v>#DIV/0!</v>
      </c>
      <c r="P83" s="148" t="e">
        <f t="shared" si="13"/>
        <v>#DIV/0!</v>
      </c>
      <c r="Q83" s="808">
        <f t="shared" si="19"/>
        <v>3.32</v>
      </c>
      <c r="R83" s="809" t="e">
        <f>(Q83+$N$232)+(([1]BC!$F$125)/$G$103)</f>
        <v>#DIV/0!</v>
      </c>
      <c r="S83" s="809" t="e">
        <f t="shared" si="20"/>
        <v>#DIV/0!</v>
      </c>
      <c r="T83" s="810" t="e">
        <f t="shared" si="21"/>
        <v>#DIV/0!</v>
      </c>
      <c r="U83" s="810" t="e">
        <f t="shared" si="22"/>
        <v>#DIV/0!</v>
      </c>
      <c r="V83" s="370"/>
      <c r="W83" s="370"/>
      <c r="X83" s="24"/>
      <c r="Y83" s="24"/>
      <c r="Z83" s="24"/>
      <c r="AA83" s="24"/>
      <c r="AB83" s="24"/>
      <c r="AC83" s="24"/>
      <c r="AD83" s="24"/>
      <c r="AE83" s="24"/>
    </row>
    <row r="84" spans="2:31" ht="15.75" customHeight="1" x14ac:dyDescent="0.45">
      <c r="B84" s="520">
        <v>9345272190</v>
      </c>
      <c r="C84" s="861" t="s">
        <v>472</v>
      </c>
      <c r="D84" s="363" t="s">
        <v>473</v>
      </c>
      <c r="E84" s="57">
        <v>200</v>
      </c>
      <c r="F84" s="57">
        <v>56</v>
      </c>
      <c r="G84" s="386">
        <f>'e411'!F84</f>
        <v>0</v>
      </c>
      <c r="H84" s="57">
        <f t="shared" si="14"/>
        <v>0</v>
      </c>
      <c r="I84" s="57">
        <f>(30*[1]BC!$B$47/F84)</f>
        <v>6.4285714285714288</v>
      </c>
      <c r="J84" s="363">
        <f t="shared" si="15"/>
        <v>6.4285714285714288</v>
      </c>
      <c r="K84" s="216">
        <f t="shared" si="16"/>
        <v>0</v>
      </c>
      <c r="L84" s="216">
        <f t="shared" si="17"/>
        <v>0</v>
      </c>
      <c r="M84" s="364">
        <v>1106</v>
      </c>
      <c r="N84" s="365">
        <f t="shared" si="18"/>
        <v>0</v>
      </c>
      <c r="O84" s="91" t="e">
        <f t="shared" si="12"/>
        <v>#DIV/0!</v>
      </c>
      <c r="P84" s="148" t="e">
        <f t="shared" si="13"/>
        <v>#DIV/0!</v>
      </c>
      <c r="Q84" s="808">
        <f t="shared" si="19"/>
        <v>5.53</v>
      </c>
      <c r="R84" s="809" t="e">
        <f>(Q84+$N$232)+(([1]BC!$F$125)/$G$103)</f>
        <v>#DIV/0!</v>
      </c>
      <c r="S84" s="809" t="e">
        <f t="shared" si="20"/>
        <v>#DIV/0!</v>
      </c>
      <c r="T84" s="810" t="e">
        <f t="shared" si="21"/>
        <v>#DIV/0!</v>
      </c>
      <c r="U84" s="810" t="e">
        <f t="shared" si="22"/>
        <v>#DIV/0!</v>
      </c>
      <c r="V84" s="74"/>
      <c r="W84" s="74"/>
    </row>
    <row r="85" spans="2:31" ht="15.75" customHeight="1" x14ac:dyDescent="0.45">
      <c r="B85" s="520">
        <v>7126972190</v>
      </c>
      <c r="C85" s="862" t="s">
        <v>474</v>
      </c>
      <c r="D85" s="363" t="s">
        <v>475</v>
      </c>
      <c r="E85" s="57">
        <v>100</v>
      </c>
      <c r="F85" s="57">
        <v>49</v>
      </c>
      <c r="G85" s="386">
        <f>'e411'!F85</f>
        <v>0</v>
      </c>
      <c r="H85" s="57">
        <f t="shared" si="14"/>
        <v>0</v>
      </c>
      <c r="I85" s="57">
        <f>(30*[1]BC!$B$47/F85)</f>
        <v>7.3469387755102042</v>
      </c>
      <c r="J85" s="363">
        <f t="shared" si="15"/>
        <v>7.3469387755102042</v>
      </c>
      <c r="K85" s="216">
        <f t="shared" si="16"/>
        <v>0</v>
      </c>
      <c r="L85" s="216">
        <f t="shared" si="17"/>
        <v>0</v>
      </c>
      <c r="M85" s="364">
        <v>577</v>
      </c>
      <c r="N85" s="365">
        <f t="shared" si="18"/>
        <v>0</v>
      </c>
      <c r="O85" s="91" t="e">
        <f t="shared" si="12"/>
        <v>#DIV/0!</v>
      </c>
      <c r="P85" s="148" t="e">
        <f t="shared" si="13"/>
        <v>#DIV/0!</v>
      </c>
      <c r="Q85" s="808">
        <f t="shared" si="19"/>
        <v>5.77</v>
      </c>
      <c r="R85" s="809" t="e">
        <f>(Q85+$N$232)+(([1]BC!$F$125)/$G$103)</f>
        <v>#DIV/0!</v>
      </c>
      <c r="S85" s="809" t="e">
        <f t="shared" si="20"/>
        <v>#DIV/0!</v>
      </c>
      <c r="T85" s="810" t="e">
        <f t="shared" si="21"/>
        <v>#DIV/0!</v>
      </c>
      <c r="U85" s="810" t="e">
        <f t="shared" si="22"/>
        <v>#DIV/0!</v>
      </c>
      <c r="V85" s="74"/>
      <c r="W85" s="74"/>
    </row>
    <row r="86" spans="2:31" ht="15.75" customHeight="1" x14ac:dyDescent="0.45">
      <c r="B86" s="520">
        <v>5109523190</v>
      </c>
      <c r="C86" s="807" t="s">
        <v>476</v>
      </c>
      <c r="D86" s="363" t="s">
        <v>477</v>
      </c>
      <c r="E86" s="57">
        <v>100</v>
      </c>
      <c r="F86" s="57">
        <v>84</v>
      </c>
      <c r="G86" s="386">
        <f>'e411'!F86</f>
        <v>0</v>
      </c>
      <c r="H86" s="57">
        <f t="shared" si="14"/>
        <v>0</v>
      </c>
      <c r="I86" s="57">
        <f>(30*[1]BC!$B$47/F86)</f>
        <v>4.2857142857142856</v>
      </c>
      <c r="J86" s="363">
        <f t="shared" si="15"/>
        <v>4.2857142857142856</v>
      </c>
      <c r="K86" s="216">
        <f t="shared" si="16"/>
        <v>0</v>
      </c>
      <c r="L86" s="216">
        <f t="shared" si="17"/>
        <v>0</v>
      </c>
      <c r="M86" s="364">
        <v>3059</v>
      </c>
      <c r="N86" s="365">
        <f t="shared" si="18"/>
        <v>0</v>
      </c>
      <c r="O86" s="91" t="e">
        <f t="shared" si="12"/>
        <v>#DIV/0!</v>
      </c>
      <c r="P86" s="148" t="e">
        <f t="shared" si="13"/>
        <v>#DIV/0!</v>
      </c>
      <c r="Q86" s="808">
        <f t="shared" si="19"/>
        <v>30.59</v>
      </c>
      <c r="R86" s="809" t="e">
        <f>(Q86+$N$232)+(([1]BC!$F$125)/$G$103)</f>
        <v>#DIV/0!</v>
      </c>
      <c r="S86" s="809" t="e">
        <f t="shared" si="20"/>
        <v>#DIV/0!</v>
      </c>
      <c r="T86" s="810" t="e">
        <f t="shared" si="21"/>
        <v>#DIV/0!</v>
      </c>
      <c r="U86" s="810" t="e">
        <f t="shared" si="22"/>
        <v>#DIV/0!</v>
      </c>
      <c r="V86" s="74"/>
      <c r="W86" s="74"/>
    </row>
    <row r="87" spans="2:31" ht="15.75" customHeight="1" x14ac:dyDescent="0.45">
      <c r="B87" s="520">
        <v>3052001190</v>
      </c>
      <c r="C87" s="839" t="s">
        <v>478</v>
      </c>
      <c r="D87" s="363" t="s">
        <v>479</v>
      </c>
      <c r="E87" s="57">
        <v>100</v>
      </c>
      <c r="F87" s="57">
        <v>49</v>
      </c>
      <c r="G87" s="386">
        <f>'e411'!F87</f>
        <v>0</v>
      </c>
      <c r="H87" s="57">
        <f t="shared" si="14"/>
        <v>0</v>
      </c>
      <c r="I87" s="57">
        <f>(30*[1]BC!$B$47/F87)</f>
        <v>7.3469387755102042</v>
      </c>
      <c r="J87" s="363">
        <f t="shared" si="15"/>
        <v>7.3469387755102042</v>
      </c>
      <c r="K87" s="216">
        <f t="shared" si="16"/>
        <v>0</v>
      </c>
      <c r="L87" s="216">
        <f t="shared" si="17"/>
        <v>0</v>
      </c>
      <c r="M87" s="364">
        <v>199</v>
      </c>
      <c r="N87" s="365">
        <f t="shared" si="18"/>
        <v>0</v>
      </c>
      <c r="O87" s="91" t="e">
        <f t="shared" si="12"/>
        <v>#DIV/0!</v>
      </c>
      <c r="P87" s="148" t="e">
        <f t="shared" si="13"/>
        <v>#DIV/0!</v>
      </c>
      <c r="Q87" s="808">
        <f t="shared" si="19"/>
        <v>1.99</v>
      </c>
      <c r="R87" s="809" t="e">
        <f>(Q87+$N$232)+(([1]BC!$F$125)/$G$103)</f>
        <v>#DIV/0!</v>
      </c>
      <c r="S87" s="809" t="e">
        <f t="shared" si="20"/>
        <v>#DIV/0!</v>
      </c>
      <c r="T87" s="810" t="e">
        <f t="shared" si="21"/>
        <v>#DIV/0!</v>
      </c>
      <c r="U87" s="810" t="e">
        <f t="shared" si="22"/>
        <v>#DIV/0!</v>
      </c>
      <c r="V87" s="74"/>
      <c r="W87" s="74"/>
    </row>
    <row r="88" spans="2:31" ht="15.75" customHeight="1" x14ac:dyDescent="0.45">
      <c r="B88" s="520">
        <v>9014977190</v>
      </c>
      <c r="C88" s="863" t="s">
        <v>480</v>
      </c>
      <c r="D88" s="363" t="s">
        <v>481</v>
      </c>
      <c r="E88" s="57">
        <v>100</v>
      </c>
      <c r="F88" s="57">
        <v>28</v>
      </c>
      <c r="G88" s="386">
        <f>'e411'!F88</f>
        <v>0</v>
      </c>
      <c r="H88" s="57">
        <f t="shared" si="14"/>
        <v>0</v>
      </c>
      <c r="I88" s="57">
        <f>(30*[1]BC!$B$47/F88)</f>
        <v>12.857142857142858</v>
      </c>
      <c r="J88" s="363">
        <f t="shared" si="15"/>
        <v>12.857142857142858</v>
      </c>
      <c r="K88" s="216">
        <f t="shared" si="16"/>
        <v>0</v>
      </c>
      <c r="L88" s="216">
        <f t="shared" si="17"/>
        <v>0</v>
      </c>
      <c r="M88" s="364">
        <v>299</v>
      </c>
      <c r="N88" s="365">
        <f t="shared" si="18"/>
        <v>0</v>
      </c>
      <c r="O88" s="91" t="e">
        <f t="shared" si="12"/>
        <v>#DIV/0!</v>
      </c>
      <c r="P88" s="148" t="e">
        <f t="shared" si="13"/>
        <v>#DIV/0!</v>
      </c>
      <c r="Q88" s="808">
        <f t="shared" si="19"/>
        <v>2.99</v>
      </c>
      <c r="R88" s="809" t="e">
        <f>(Q88+$N$232)+(([1]BC!$F$125)/$G$103)</f>
        <v>#DIV/0!</v>
      </c>
      <c r="S88" s="809" t="e">
        <f t="shared" si="20"/>
        <v>#DIV/0!</v>
      </c>
      <c r="T88" s="810" t="e">
        <f t="shared" si="21"/>
        <v>#DIV/0!</v>
      </c>
      <c r="U88" s="810" t="e">
        <f t="shared" si="22"/>
        <v>#DIV/0!</v>
      </c>
      <c r="V88" s="74"/>
      <c r="W88" s="74"/>
    </row>
    <row r="89" spans="2:31" ht="15.75" customHeight="1" x14ac:dyDescent="0.45">
      <c r="B89" s="520">
        <v>9007725190</v>
      </c>
      <c r="C89" s="837" t="s">
        <v>482</v>
      </c>
      <c r="D89" s="55" t="s">
        <v>483</v>
      </c>
      <c r="E89" s="57">
        <v>200</v>
      </c>
      <c r="F89" s="57">
        <v>56</v>
      </c>
      <c r="G89" s="386">
        <f>'e411'!F89</f>
        <v>0</v>
      </c>
      <c r="H89" s="57">
        <f t="shared" si="14"/>
        <v>0</v>
      </c>
      <c r="I89" s="57">
        <f>(30*[1]BC!$B$47/F89)</f>
        <v>6.4285714285714288</v>
      </c>
      <c r="J89" s="363">
        <f t="shared" si="15"/>
        <v>6.4285714285714288</v>
      </c>
      <c r="K89" s="216">
        <f t="shared" si="16"/>
        <v>0</v>
      </c>
      <c r="L89" s="216">
        <f t="shared" si="17"/>
        <v>0</v>
      </c>
      <c r="M89" s="364">
        <v>372</v>
      </c>
      <c r="N89" s="365">
        <f t="shared" si="18"/>
        <v>0</v>
      </c>
      <c r="O89" s="91" t="e">
        <f t="shared" si="12"/>
        <v>#DIV/0!</v>
      </c>
      <c r="P89" s="148" t="e">
        <f t="shared" si="13"/>
        <v>#DIV/0!</v>
      </c>
      <c r="Q89" s="808">
        <f t="shared" si="19"/>
        <v>1.86</v>
      </c>
      <c r="R89" s="809" t="e">
        <f>(Q89+$N$232)+(([1]BC!$F$125)/$G$103)</f>
        <v>#DIV/0!</v>
      </c>
      <c r="S89" s="809" t="e">
        <f t="shared" si="20"/>
        <v>#DIV/0!</v>
      </c>
      <c r="T89" s="810" t="e">
        <f t="shared" si="21"/>
        <v>#DIV/0!</v>
      </c>
      <c r="U89" s="810" t="e">
        <f t="shared" si="22"/>
        <v>#DIV/0!</v>
      </c>
      <c r="V89" s="370"/>
      <c r="W89" s="370"/>
      <c r="X89" s="24"/>
      <c r="Y89" s="24"/>
      <c r="Z89" s="24"/>
      <c r="AA89" s="24"/>
      <c r="AB89" s="24"/>
      <c r="AC89" s="24"/>
      <c r="AD89" s="24"/>
      <c r="AE89" s="24"/>
    </row>
    <row r="90" spans="2:31" ht="15.75" customHeight="1" x14ac:dyDescent="0.45">
      <c r="B90" s="520">
        <v>9007741190</v>
      </c>
      <c r="C90" s="837" t="s">
        <v>484</v>
      </c>
      <c r="D90" s="55" t="s">
        <v>485</v>
      </c>
      <c r="E90" s="57">
        <v>200</v>
      </c>
      <c r="F90" s="57">
        <v>56</v>
      </c>
      <c r="G90" s="386">
        <f>'e411'!F90</f>
        <v>0</v>
      </c>
      <c r="H90" s="57">
        <f t="shared" si="14"/>
        <v>0</v>
      </c>
      <c r="I90" s="57">
        <f>(30*[1]BC!$B$47/F90)</f>
        <v>6.4285714285714288</v>
      </c>
      <c r="J90" s="363">
        <f t="shared" si="15"/>
        <v>6.4285714285714288</v>
      </c>
      <c r="K90" s="216">
        <f t="shared" si="16"/>
        <v>0</v>
      </c>
      <c r="L90" s="216">
        <f t="shared" si="17"/>
        <v>0</v>
      </c>
      <c r="M90" s="364">
        <v>376</v>
      </c>
      <c r="N90" s="365">
        <f t="shared" si="18"/>
        <v>0</v>
      </c>
      <c r="O90" s="91" t="e">
        <f t="shared" si="12"/>
        <v>#DIV/0!</v>
      </c>
      <c r="P90" s="148" t="e">
        <f t="shared" si="13"/>
        <v>#DIV/0!</v>
      </c>
      <c r="Q90" s="808">
        <f t="shared" si="19"/>
        <v>1.88</v>
      </c>
      <c r="R90" s="809" t="e">
        <f>(Q90+$N$232)+(([1]BC!$F$125)/$G$103)</f>
        <v>#DIV/0!</v>
      </c>
      <c r="S90" s="809" t="e">
        <f t="shared" si="20"/>
        <v>#DIV/0!</v>
      </c>
      <c r="T90" s="810" t="e">
        <f t="shared" si="21"/>
        <v>#DIV/0!</v>
      </c>
      <c r="U90" s="810" t="e">
        <f t="shared" si="22"/>
        <v>#DIV/0!</v>
      </c>
      <c r="V90" s="370"/>
      <c r="W90" s="370"/>
      <c r="X90" s="24"/>
      <c r="Y90" s="24"/>
      <c r="Z90" s="24"/>
      <c r="AA90" s="24"/>
      <c r="AB90" s="24"/>
      <c r="AC90" s="24"/>
      <c r="AD90" s="24"/>
      <c r="AE90" s="24"/>
    </row>
    <row r="91" spans="2:31" ht="15.75" customHeight="1" x14ac:dyDescent="0.45">
      <c r="B91" s="520">
        <v>8946353190</v>
      </c>
      <c r="C91" s="837" t="s">
        <v>486</v>
      </c>
      <c r="D91" s="55" t="s">
        <v>487</v>
      </c>
      <c r="E91" s="57">
        <v>100</v>
      </c>
      <c r="F91" s="57">
        <v>56</v>
      </c>
      <c r="G91" s="386">
        <f>'e411'!F91</f>
        <v>0</v>
      </c>
      <c r="H91" s="57">
        <f t="shared" si="14"/>
        <v>0</v>
      </c>
      <c r="I91" s="57">
        <f>(30*[1]BC!$B$47/F91)</f>
        <v>6.4285714285714288</v>
      </c>
      <c r="J91" s="363">
        <f t="shared" si="15"/>
        <v>6.4285714285714288</v>
      </c>
      <c r="K91" s="216">
        <f t="shared" si="16"/>
        <v>0</v>
      </c>
      <c r="L91" s="216">
        <f t="shared" si="17"/>
        <v>0</v>
      </c>
      <c r="M91" s="364">
        <v>115</v>
      </c>
      <c r="N91" s="365">
        <f t="shared" si="18"/>
        <v>0</v>
      </c>
      <c r="O91" s="91" t="e">
        <f t="shared" si="12"/>
        <v>#DIV/0!</v>
      </c>
      <c r="P91" s="148" t="e">
        <f t="shared" si="13"/>
        <v>#DIV/0!</v>
      </c>
      <c r="Q91" s="808">
        <f t="shared" si="19"/>
        <v>1.1499999999999999</v>
      </c>
      <c r="R91" s="809" t="e">
        <f>(Q91+$N$232)+(([1]BC!$F$125)/$G$103)</f>
        <v>#DIV/0!</v>
      </c>
      <c r="S91" s="809" t="e">
        <f t="shared" si="20"/>
        <v>#DIV/0!</v>
      </c>
      <c r="T91" s="810" t="e">
        <f t="shared" si="21"/>
        <v>#DIV/0!</v>
      </c>
      <c r="U91" s="810" t="e">
        <f t="shared" si="22"/>
        <v>#DIV/0!</v>
      </c>
      <c r="V91" s="370"/>
      <c r="W91" s="370"/>
      <c r="X91" s="24"/>
      <c r="Y91" s="24"/>
      <c r="Z91" s="24"/>
      <c r="AA91" s="24"/>
      <c r="AB91" s="24"/>
      <c r="AC91" s="24"/>
      <c r="AD91" s="24"/>
      <c r="AE91" s="24"/>
    </row>
    <row r="92" spans="2:31" ht="15.75" customHeight="1" x14ac:dyDescent="0.45">
      <c r="B92" s="520">
        <v>8906556190</v>
      </c>
      <c r="C92" s="837" t="s">
        <v>488</v>
      </c>
      <c r="D92" s="55" t="s">
        <v>489</v>
      </c>
      <c r="E92" s="57">
        <v>100</v>
      </c>
      <c r="F92" s="57">
        <v>28</v>
      </c>
      <c r="G92" s="386">
        <f>'e411'!F92</f>
        <v>0</v>
      </c>
      <c r="H92" s="57">
        <f t="shared" si="14"/>
        <v>0</v>
      </c>
      <c r="I92" s="57">
        <f>(30*[1]BC!$B$47/F92)</f>
        <v>12.857142857142858</v>
      </c>
      <c r="J92" s="363">
        <f t="shared" si="15"/>
        <v>12.857142857142858</v>
      </c>
      <c r="K92" s="216">
        <f t="shared" si="16"/>
        <v>0</v>
      </c>
      <c r="L92" s="216">
        <f t="shared" si="17"/>
        <v>0</v>
      </c>
      <c r="M92" s="364">
        <v>185</v>
      </c>
      <c r="N92" s="365">
        <f t="shared" si="18"/>
        <v>0</v>
      </c>
      <c r="O92" s="91" t="e">
        <f t="shared" si="12"/>
        <v>#DIV/0!</v>
      </c>
      <c r="P92" s="148" t="e">
        <f t="shared" si="13"/>
        <v>#DIV/0!</v>
      </c>
      <c r="Q92" s="808">
        <f t="shared" si="19"/>
        <v>1.85</v>
      </c>
      <c r="R92" s="809" t="e">
        <f>(Q92+$N$232)+(([1]BC!$F$125)/$G$103)</f>
        <v>#DIV/0!</v>
      </c>
      <c r="S92" s="809" t="e">
        <f t="shared" si="20"/>
        <v>#DIV/0!</v>
      </c>
      <c r="T92" s="810" t="e">
        <f t="shared" si="21"/>
        <v>#DIV/0!</v>
      </c>
      <c r="U92" s="810" t="e">
        <f t="shared" si="22"/>
        <v>#DIV/0!</v>
      </c>
      <c r="V92" s="370"/>
      <c r="W92" s="370"/>
      <c r="X92" s="24"/>
      <c r="Y92" s="24"/>
      <c r="Z92" s="24"/>
      <c r="AA92" s="24"/>
      <c r="AB92" s="24"/>
      <c r="AC92" s="24"/>
      <c r="AD92" s="24"/>
      <c r="AE92" s="24"/>
    </row>
    <row r="93" spans="2:31" ht="15.75" customHeight="1" x14ac:dyDescent="0.45">
      <c r="B93" s="520">
        <v>8791686190</v>
      </c>
      <c r="C93" s="811" t="s">
        <v>490</v>
      </c>
      <c r="D93" s="55" t="s">
        <v>491</v>
      </c>
      <c r="E93" s="57">
        <v>100</v>
      </c>
      <c r="F93" s="57">
        <v>56</v>
      </c>
      <c r="G93" s="386">
        <f>'e411'!F93</f>
        <v>0</v>
      </c>
      <c r="H93" s="57">
        <f t="shared" si="14"/>
        <v>0</v>
      </c>
      <c r="I93" s="57">
        <f>(30*[1]BC!$B$47/F93)</f>
        <v>6.4285714285714288</v>
      </c>
      <c r="J93" s="363">
        <f t="shared" si="15"/>
        <v>6.4285714285714288</v>
      </c>
      <c r="K93" s="216">
        <f t="shared" si="16"/>
        <v>0</v>
      </c>
      <c r="L93" s="216">
        <f t="shared" si="17"/>
        <v>0</v>
      </c>
      <c r="M93" s="364">
        <v>388</v>
      </c>
      <c r="N93" s="365">
        <f t="shared" si="18"/>
        <v>0</v>
      </c>
      <c r="O93" s="91" t="e">
        <f t="shared" si="12"/>
        <v>#DIV/0!</v>
      </c>
      <c r="P93" s="148" t="e">
        <f t="shared" si="13"/>
        <v>#DIV/0!</v>
      </c>
      <c r="Q93" s="808">
        <f t="shared" si="19"/>
        <v>3.88</v>
      </c>
      <c r="R93" s="809" t="e">
        <f>(Q93+$N$232)+(([1]BC!$F$125)/$G$103)</f>
        <v>#DIV/0!</v>
      </c>
      <c r="S93" s="809" t="e">
        <f t="shared" si="20"/>
        <v>#DIV/0!</v>
      </c>
      <c r="T93" s="810" t="e">
        <f t="shared" si="21"/>
        <v>#DIV/0!</v>
      </c>
      <c r="U93" s="810" t="e">
        <f t="shared" si="22"/>
        <v>#DIV/0!</v>
      </c>
      <c r="V93" s="370"/>
      <c r="W93" s="370"/>
      <c r="X93" s="24"/>
      <c r="Y93" s="24"/>
      <c r="Z93" s="24"/>
      <c r="AA93" s="24"/>
      <c r="AB93" s="24"/>
      <c r="AC93" s="24"/>
      <c r="AD93" s="24"/>
      <c r="AE93" s="24"/>
    </row>
    <row r="94" spans="2:31" ht="15.75" customHeight="1" x14ac:dyDescent="0.45">
      <c r="B94" s="864">
        <v>5802571190</v>
      </c>
      <c r="C94" s="865" t="s">
        <v>492</v>
      </c>
      <c r="D94" s="55" t="s">
        <v>493</v>
      </c>
      <c r="E94" s="57">
        <v>100</v>
      </c>
      <c r="F94" s="57">
        <v>84</v>
      </c>
      <c r="G94" s="386">
        <f>'e411'!F94</f>
        <v>0</v>
      </c>
      <c r="H94" s="57">
        <f t="shared" si="14"/>
        <v>0</v>
      </c>
      <c r="I94" s="57">
        <f>(30*[1]BC!$B$47/F94)</f>
        <v>4.2857142857142856</v>
      </c>
      <c r="J94" s="363">
        <f t="shared" si="15"/>
        <v>4.2857142857142856</v>
      </c>
      <c r="K94" s="216">
        <f t="shared" si="16"/>
        <v>0</v>
      </c>
      <c r="L94" s="216">
        <f t="shared" si="17"/>
        <v>0</v>
      </c>
      <c r="M94" s="364">
        <v>585</v>
      </c>
      <c r="N94" s="365">
        <f t="shared" si="18"/>
        <v>0</v>
      </c>
      <c r="O94" s="91" t="e">
        <f t="shared" si="12"/>
        <v>#DIV/0!</v>
      </c>
      <c r="P94" s="148" t="e">
        <f t="shared" si="13"/>
        <v>#DIV/0!</v>
      </c>
      <c r="Q94" s="808">
        <f t="shared" si="19"/>
        <v>5.85</v>
      </c>
      <c r="R94" s="809" t="e">
        <f>(Q94+$N$232)+(([1]BC!$F$125)/$G$103)</f>
        <v>#DIV/0!</v>
      </c>
      <c r="S94" s="809" t="e">
        <f t="shared" si="20"/>
        <v>#DIV/0!</v>
      </c>
      <c r="T94" s="810" t="e">
        <f t="shared" si="21"/>
        <v>#DIV/0!</v>
      </c>
      <c r="U94" s="810" t="e">
        <f t="shared" si="22"/>
        <v>#DIV/0!</v>
      </c>
      <c r="V94" s="74"/>
      <c r="W94" s="74"/>
    </row>
    <row r="95" spans="2:31" ht="15.75" customHeight="1" x14ac:dyDescent="0.45">
      <c r="B95" s="520">
        <v>4618815190</v>
      </c>
      <c r="C95" s="866" t="s">
        <v>494</v>
      </c>
      <c r="D95" s="55" t="s">
        <v>495</v>
      </c>
      <c r="E95" s="57">
        <v>100</v>
      </c>
      <c r="F95" s="57">
        <v>84</v>
      </c>
      <c r="G95" s="386">
        <f>'e411'!F95</f>
        <v>0</v>
      </c>
      <c r="H95" s="57">
        <f t="shared" si="14"/>
        <v>0</v>
      </c>
      <c r="I95" s="57">
        <f>(30*[1]BC!$B$47/F95)</f>
        <v>4.2857142857142856</v>
      </c>
      <c r="J95" s="363">
        <f t="shared" si="15"/>
        <v>4.2857142857142856</v>
      </c>
      <c r="K95" s="216">
        <f t="shared" si="16"/>
        <v>0</v>
      </c>
      <c r="L95" s="216">
        <f t="shared" si="17"/>
        <v>0</v>
      </c>
      <c r="M95" s="364">
        <v>296</v>
      </c>
      <c r="N95" s="365">
        <f t="shared" si="18"/>
        <v>0</v>
      </c>
      <c r="O95" s="91" t="e">
        <f t="shared" si="12"/>
        <v>#DIV/0!</v>
      </c>
      <c r="P95" s="148" t="e">
        <f t="shared" si="13"/>
        <v>#DIV/0!</v>
      </c>
      <c r="Q95" s="808">
        <f t="shared" si="19"/>
        <v>2.96</v>
      </c>
      <c r="R95" s="809" t="e">
        <f>(Q95+$N$232)+(([1]BC!$F$125)/$G$103)</f>
        <v>#DIV/0!</v>
      </c>
      <c r="S95" s="809" t="e">
        <f t="shared" si="20"/>
        <v>#DIV/0!</v>
      </c>
      <c r="T95" s="810" t="e">
        <f t="shared" si="21"/>
        <v>#DIV/0!</v>
      </c>
      <c r="U95" s="810" t="e">
        <f t="shared" si="22"/>
        <v>#DIV/0!</v>
      </c>
      <c r="V95" s="370"/>
      <c r="W95" s="370"/>
      <c r="X95" s="24"/>
      <c r="Y95" s="24"/>
      <c r="Z95" s="24"/>
      <c r="AA95" s="24"/>
      <c r="AB95" s="24"/>
      <c r="AC95" s="24"/>
      <c r="AD95" s="24"/>
      <c r="AE95" s="24"/>
    </row>
    <row r="96" spans="2:31" ht="15.75" customHeight="1" x14ac:dyDescent="0.45">
      <c r="B96" s="520">
        <v>4618858190</v>
      </c>
      <c r="C96" s="867" t="s">
        <v>496</v>
      </c>
      <c r="D96" s="55" t="s">
        <v>497</v>
      </c>
      <c r="E96" s="57">
        <v>100</v>
      </c>
      <c r="F96" s="57">
        <v>84</v>
      </c>
      <c r="G96" s="386">
        <f>'e411'!F96</f>
        <v>0</v>
      </c>
      <c r="H96" s="57">
        <f t="shared" si="14"/>
        <v>0</v>
      </c>
      <c r="I96" s="57">
        <f>(30*[1]BC!$B$47/F96)</f>
        <v>4.2857142857142856</v>
      </c>
      <c r="J96" s="363">
        <f t="shared" si="15"/>
        <v>4.2857142857142856</v>
      </c>
      <c r="K96" s="216">
        <f t="shared" si="16"/>
        <v>0</v>
      </c>
      <c r="L96" s="216">
        <f t="shared" si="17"/>
        <v>0</v>
      </c>
      <c r="M96" s="364">
        <v>296</v>
      </c>
      <c r="N96" s="365">
        <f t="shared" si="18"/>
        <v>0</v>
      </c>
      <c r="O96" s="91" t="e">
        <f t="shared" si="12"/>
        <v>#DIV/0!</v>
      </c>
      <c r="P96" s="148" t="e">
        <f t="shared" si="13"/>
        <v>#DIV/0!</v>
      </c>
      <c r="Q96" s="808">
        <f t="shared" si="19"/>
        <v>2.96</v>
      </c>
      <c r="R96" s="809" t="e">
        <f>(Q96+$N$232)+(([1]BC!$F$125)/$G$103)</f>
        <v>#DIV/0!</v>
      </c>
      <c r="S96" s="809" t="e">
        <f t="shared" si="20"/>
        <v>#DIV/0!</v>
      </c>
      <c r="T96" s="810" t="e">
        <f t="shared" si="21"/>
        <v>#DIV/0!</v>
      </c>
      <c r="U96" s="810" t="e">
        <f t="shared" si="22"/>
        <v>#DIV/0!</v>
      </c>
      <c r="V96" s="370"/>
      <c r="W96" s="370"/>
      <c r="X96" s="24"/>
      <c r="Y96" s="24"/>
      <c r="Z96" s="24"/>
      <c r="AA96" s="24"/>
      <c r="AB96" s="24"/>
      <c r="AC96" s="24"/>
      <c r="AD96" s="24"/>
      <c r="AE96" s="24"/>
    </row>
    <row r="97" spans="2:31" ht="15.75" customHeight="1" x14ac:dyDescent="0.45">
      <c r="B97" s="520">
        <v>5094798190</v>
      </c>
      <c r="C97" s="868" t="s">
        <v>498</v>
      </c>
      <c r="D97" s="363" t="s">
        <v>499</v>
      </c>
      <c r="E97" s="57">
        <v>100</v>
      </c>
      <c r="F97" s="57">
        <v>14</v>
      </c>
      <c r="G97" s="386">
        <f>'e411'!F97</f>
        <v>0</v>
      </c>
      <c r="H97" s="57">
        <f t="shared" si="14"/>
        <v>0</v>
      </c>
      <c r="I97" s="57">
        <f>(30*[1]BC!$B$47/F97)</f>
        <v>25.714285714285715</v>
      </c>
      <c r="J97" s="363">
        <f t="shared" si="15"/>
        <v>25.714285714285715</v>
      </c>
      <c r="K97" s="216">
        <f t="shared" si="16"/>
        <v>0</v>
      </c>
      <c r="L97" s="216">
        <f t="shared" si="17"/>
        <v>0</v>
      </c>
      <c r="M97" s="364">
        <v>608</v>
      </c>
      <c r="N97" s="365">
        <f t="shared" si="18"/>
        <v>0</v>
      </c>
      <c r="O97" s="91" t="e">
        <f t="shared" si="12"/>
        <v>#DIV/0!</v>
      </c>
      <c r="P97" s="148" t="e">
        <f t="shared" si="13"/>
        <v>#DIV/0!</v>
      </c>
      <c r="Q97" s="808">
        <f t="shared" si="19"/>
        <v>6.08</v>
      </c>
      <c r="R97" s="809" t="e">
        <f>(Q97+$N$232)+(([1]BC!$F$125)/$G$103)</f>
        <v>#DIV/0!</v>
      </c>
      <c r="S97" s="809" t="e">
        <f t="shared" si="20"/>
        <v>#DIV/0!</v>
      </c>
      <c r="T97" s="810" t="e">
        <f t="shared" si="21"/>
        <v>#DIV/0!</v>
      </c>
      <c r="U97" s="810" t="e">
        <f t="shared" si="22"/>
        <v>#DIV/0!</v>
      </c>
      <c r="V97" s="74"/>
      <c r="W97" s="74"/>
    </row>
    <row r="98" spans="2:31" ht="15.75" customHeight="1" x14ac:dyDescent="0.45">
      <c r="B98" s="520">
        <v>9315322190</v>
      </c>
      <c r="C98" s="869" t="s">
        <v>500</v>
      </c>
      <c r="D98" s="55" t="s">
        <v>501</v>
      </c>
      <c r="E98" s="57">
        <v>200</v>
      </c>
      <c r="F98" s="57">
        <v>28</v>
      </c>
      <c r="G98" s="386">
        <f>'e411'!F98</f>
        <v>0</v>
      </c>
      <c r="H98" s="57">
        <f t="shared" si="14"/>
        <v>0</v>
      </c>
      <c r="I98" s="57">
        <f>(30*[1]BC!$B$47/F98)</f>
        <v>12.857142857142858</v>
      </c>
      <c r="J98" s="363">
        <f t="shared" si="15"/>
        <v>12.857142857142858</v>
      </c>
      <c r="K98" s="216">
        <f t="shared" si="16"/>
        <v>0</v>
      </c>
      <c r="L98" s="216">
        <f t="shared" si="17"/>
        <v>0</v>
      </c>
      <c r="M98" s="364">
        <v>1216</v>
      </c>
      <c r="N98" s="365">
        <f t="shared" si="18"/>
        <v>0</v>
      </c>
      <c r="O98" s="91" t="e">
        <f t="shared" si="12"/>
        <v>#DIV/0!</v>
      </c>
      <c r="P98" s="148" t="e">
        <f t="shared" si="13"/>
        <v>#DIV/0!</v>
      </c>
      <c r="Q98" s="808">
        <f t="shared" si="19"/>
        <v>6.08</v>
      </c>
      <c r="R98" s="809" t="e">
        <f>(Q98+$N$232)+(([1]BC!$F$125)/$G$103)</f>
        <v>#DIV/0!</v>
      </c>
      <c r="S98" s="809" t="e">
        <f t="shared" si="20"/>
        <v>#DIV/0!</v>
      </c>
      <c r="T98" s="810" t="e">
        <f t="shared" si="21"/>
        <v>#DIV/0!</v>
      </c>
      <c r="U98" s="810" t="e">
        <f t="shared" si="22"/>
        <v>#DIV/0!</v>
      </c>
      <c r="V98" s="370"/>
      <c r="W98" s="370"/>
      <c r="X98" s="24"/>
      <c r="Y98" s="24"/>
      <c r="Z98" s="24"/>
      <c r="AA98" s="24"/>
      <c r="AB98" s="24"/>
      <c r="AC98" s="24"/>
      <c r="AD98" s="24"/>
      <c r="AE98" s="24"/>
    </row>
    <row r="99" spans="2:31" ht="15.75" customHeight="1" x14ac:dyDescent="0.45">
      <c r="B99" s="520">
        <v>9315349190</v>
      </c>
      <c r="C99" s="868" t="s">
        <v>502</v>
      </c>
      <c r="D99" s="363" t="s">
        <v>503</v>
      </c>
      <c r="E99" s="57">
        <v>100</v>
      </c>
      <c r="F99" s="57">
        <v>28</v>
      </c>
      <c r="G99" s="386">
        <f>'e411'!F99</f>
        <v>0</v>
      </c>
      <c r="H99" s="57">
        <f t="shared" si="14"/>
        <v>0</v>
      </c>
      <c r="I99" s="57">
        <f>(30*[1]BC!$B$47/F99)</f>
        <v>12.857142857142858</v>
      </c>
      <c r="J99" s="363">
        <f t="shared" si="15"/>
        <v>12.857142857142858</v>
      </c>
      <c r="K99" s="216">
        <f t="shared" si="16"/>
        <v>0</v>
      </c>
      <c r="L99" s="216">
        <f t="shared" si="17"/>
        <v>0</v>
      </c>
      <c r="M99" s="364">
        <v>608</v>
      </c>
      <c r="N99" s="365">
        <f t="shared" si="18"/>
        <v>0</v>
      </c>
      <c r="O99" s="91" t="e">
        <f t="shared" si="12"/>
        <v>#DIV/0!</v>
      </c>
      <c r="P99" s="148" t="e">
        <f t="shared" si="13"/>
        <v>#DIV/0!</v>
      </c>
      <c r="Q99" s="808">
        <f t="shared" si="19"/>
        <v>6.08</v>
      </c>
      <c r="R99" s="809" t="e">
        <f>(Q99+$N$232)+(([1]BC!$F$125)/$G$103)</f>
        <v>#DIV/0!</v>
      </c>
      <c r="S99" s="809" t="e">
        <f t="shared" si="20"/>
        <v>#DIV/0!</v>
      </c>
      <c r="T99" s="810" t="e">
        <f t="shared" si="21"/>
        <v>#DIV/0!</v>
      </c>
      <c r="U99" s="810" t="e">
        <f t="shared" si="22"/>
        <v>#DIV/0!</v>
      </c>
      <c r="V99" s="74"/>
      <c r="W99" s="74"/>
    </row>
    <row r="100" spans="2:31" ht="15.75" customHeight="1" x14ac:dyDescent="0.45">
      <c r="B100" s="520">
        <v>8429324190</v>
      </c>
      <c r="C100" s="837" t="s">
        <v>504</v>
      </c>
      <c r="D100" s="55" t="s">
        <v>505</v>
      </c>
      <c r="E100" s="57">
        <v>200</v>
      </c>
      <c r="F100" s="57">
        <v>56</v>
      </c>
      <c r="G100" s="386">
        <f>'e411'!F100</f>
        <v>0</v>
      </c>
      <c r="H100" s="57">
        <f t="shared" si="14"/>
        <v>0</v>
      </c>
      <c r="I100" s="57">
        <f>(30*[1]BC!$B$47/F100)</f>
        <v>6.4285714285714288</v>
      </c>
      <c r="J100" s="363">
        <f t="shared" si="15"/>
        <v>6.4285714285714288</v>
      </c>
      <c r="K100" s="216">
        <f t="shared" si="16"/>
        <v>0</v>
      </c>
      <c r="L100" s="216">
        <f t="shared" si="17"/>
        <v>0</v>
      </c>
      <c r="M100" s="364">
        <v>272</v>
      </c>
      <c r="N100" s="365">
        <f t="shared" si="18"/>
        <v>0</v>
      </c>
      <c r="O100" s="91" t="e">
        <f t="shared" si="12"/>
        <v>#DIV/0!</v>
      </c>
      <c r="P100" s="148" t="e">
        <f t="shared" si="13"/>
        <v>#DIV/0!</v>
      </c>
      <c r="Q100" s="808">
        <f t="shared" si="19"/>
        <v>1.36</v>
      </c>
      <c r="R100" s="809" t="e">
        <f>(Q100+$N$232)+(([1]BC!$F$125)/$G$103)</f>
        <v>#DIV/0!</v>
      </c>
      <c r="S100" s="809" t="e">
        <f t="shared" si="20"/>
        <v>#DIV/0!</v>
      </c>
      <c r="T100" s="810" t="e">
        <f t="shared" si="21"/>
        <v>#DIV/0!</v>
      </c>
      <c r="U100" s="810" t="e">
        <f t="shared" si="22"/>
        <v>#DIV/0!</v>
      </c>
      <c r="V100" s="370"/>
      <c r="W100" s="370"/>
      <c r="X100" s="24"/>
      <c r="Y100" s="24"/>
      <c r="Z100" s="24"/>
      <c r="AA100" s="24"/>
      <c r="AB100" s="24"/>
      <c r="AC100" s="24"/>
      <c r="AD100" s="24"/>
      <c r="AE100" s="24"/>
    </row>
    <row r="101" spans="2:31" ht="15.75" customHeight="1" x14ac:dyDescent="0.45">
      <c r="B101" s="520">
        <v>7212771190</v>
      </c>
      <c r="C101" s="843" t="s">
        <v>506</v>
      </c>
      <c r="D101" s="55" t="s">
        <v>507</v>
      </c>
      <c r="E101" s="57">
        <v>100</v>
      </c>
      <c r="F101" s="57">
        <v>60</v>
      </c>
      <c r="G101" s="386">
        <f>'e411'!F101</f>
        <v>0</v>
      </c>
      <c r="H101" s="57">
        <f t="shared" si="14"/>
        <v>0</v>
      </c>
      <c r="I101" s="57">
        <f>(30*[1]BC!$B$47/F101)</f>
        <v>6</v>
      </c>
      <c r="J101" s="363">
        <f t="shared" si="15"/>
        <v>6</v>
      </c>
      <c r="K101" s="216">
        <f t="shared" si="16"/>
        <v>0</v>
      </c>
      <c r="L101" s="216">
        <f t="shared" si="17"/>
        <v>0</v>
      </c>
      <c r="M101" s="364">
        <v>700</v>
      </c>
      <c r="N101" s="365">
        <f t="shared" si="18"/>
        <v>0</v>
      </c>
      <c r="O101" s="91" t="e">
        <f t="shared" si="12"/>
        <v>#DIV/0!</v>
      </c>
      <c r="P101" s="148" t="e">
        <f t="shared" si="13"/>
        <v>#DIV/0!</v>
      </c>
      <c r="Q101" s="808">
        <f t="shared" si="19"/>
        <v>7</v>
      </c>
      <c r="R101" s="809" t="e">
        <f>(Q101+$N$232)+(([1]BC!$F$125)/$G$103)</f>
        <v>#DIV/0!</v>
      </c>
      <c r="S101" s="809" t="e">
        <f t="shared" si="20"/>
        <v>#DIV/0!</v>
      </c>
      <c r="T101" s="810" t="e">
        <f t="shared" si="21"/>
        <v>#DIV/0!</v>
      </c>
      <c r="U101" s="810" t="e">
        <f t="shared" si="22"/>
        <v>#DIV/0!</v>
      </c>
      <c r="V101" s="370"/>
      <c r="W101" s="370"/>
      <c r="X101" s="24"/>
      <c r="Y101" s="24"/>
      <c r="Z101" s="24"/>
      <c r="AA101" s="24"/>
      <c r="AB101" s="24"/>
      <c r="AC101" s="24"/>
      <c r="AD101" s="24"/>
      <c r="AE101" s="24"/>
    </row>
    <row r="102" spans="2:31" ht="15.75" customHeight="1" x14ac:dyDescent="0.45">
      <c r="B102" s="520">
        <v>9038078190</v>
      </c>
      <c r="C102" s="870" t="s">
        <v>508</v>
      </c>
      <c r="D102" s="55" t="s">
        <v>509</v>
      </c>
      <c r="E102" s="57">
        <v>100</v>
      </c>
      <c r="F102" s="57">
        <v>28</v>
      </c>
      <c r="G102" s="386">
        <f>'e411'!F102</f>
        <v>0</v>
      </c>
      <c r="H102" s="57">
        <f t="shared" si="14"/>
        <v>0</v>
      </c>
      <c r="I102" s="57">
        <f>(30*[1]BC!$B$47/F102)</f>
        <v>12.857142857142858</v>
      </c>
      <c r="J102" s="363">
        <f t="shared" si="15"/>
        <v>12.857142857142858</v>
      </c>
      <c r="K102" s="216">
        <f t="shared" si="16"/>
        <v>0</v>
      </c>
      <c r="L102" s="216">
        <f>H102</f>
        <v>0</v>
      </c>
      <c r="M102" s="364">
        <v>657</v>
      </c>
      <c r="N102" s="365">
        <f t="shared" si="18"/>
        <v>0</v>
      </c>
      <c r="O102" s="91" t="e">
        <f t="shared" si="12"/>
        <v>#DIV/0!</v>
      </c>
      <c r="P102" s="148" t="e">
        <f t="shared" si="13"/>
        <v>#DIV/0!</v>
      </c>
      <c r="Q102" s="808">
        <f t="shared" si="19"/>
        <v>6.57</v>
      </c>
      <c r="R102" s="809" t="e">
        <f>(Q102+$N$232)+(([1]BC!$F$125)/$G$103)</f>
        <v>#DIV/0!</v>
      </c>
      <c r="S102" s="809" t="e">
        <f t="shared" si="20"/>
        <v>#DIV/0!</v>
      </c>
      <c r="T102" s="810" t="e">
        <f t="shared" si="21"/>
        <v>#DIV/0!</v>
      </c>
      <c r="U102" s="810" t="e">
        <f t="shared" si="22"/>
        <v>#DIV/0!</v>
      </c>
      <c r="V102" s="370"/>
      <c r="W102" s="370"/>
      <c r="X102" s="24"/>
      <c r="Y102" s="24"/>
      <c r="Z102" s="24"/>
      <c r="AA102" s="24"/>
      <c r="AB102" s="24"/>
      <c r="AC102" s="24"/>
      <c r="AD102" s="24"/>
      <c r="AE102" s="24"/>
    </row>
    <row r="103" spans="2:31" ht="15.75" customHeight="1" x14ac:dyDescent="0.45">
      <c r="B103" s="912" t="s">
        <v>19</v>
      </c>
      <c r="C103" s="912"/>
      <c r="D103" s="912"/>
      <c r="E103" s="912"/>
      <c r="F103" s="912"/>
      <c r="G103" s="521">
        <f>SUM(G9:G102)</f>
        <v>0</v>
      </c>
      <c r="H103" s="521"/>
      <c r="I103" s="521"/>
      <c r="J103" s="523"/>
      <c r="K103" s="871"/>
      <c r="L103" s="871"/>
      <c r="M103" s="872"/>
      <c r="N103" s="345">
        <f>SUM(N9:N102)</f>
        <v>0</v>
      </c>
      <c r="O103" s="345"/>
      <c r="P103" s="392" t="e">
        <f>SUM(P9:P102)</f>
        <v>#DIV/0!</v>
      </c>
      <c r="Q103" s="345"/>
      <c r="R103" s="872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</row>
    <row r="104" spans="2:31" ht="15.75" customHeight="1" x14ac:dyDescent="0.45">
      <c r="B104" s="378" t="s">
        <v>255</v>
      </c>
      <c r="C104" s="380"/>
      <c r="D104" s="380"/>
      <c r="E104" s="380" t="s">
        <v>183</v>
      </c>
      <c r="F104" s="380" t="s">
        <v>649</v>
      </c>
      <c r="G104" s="382"/>
      <c r="H104" s="379" t="s">
        <v>53</v>
      </c>
      <c r="I104" s="379" t="s">
        <v>52</v>
      </c>
      <c r="J104" s="379" t="s">
        <v>51</v>
      </c>
      <c r="K104" s="379"/>
      <c r="L104" s="379" t="s">
        <v>50</v>
      </c>
      <c r="M104" s="379" t="s">
        <v>49</v>
      </c>
      <c r="N104" s="379" t="s">
        <v>48</v>
      </c>
      <c r="O104" s="379"/>
      <c r="P104" s="379"/>
      <c r="Q104" s="381" t="s">
        <v>318</v>
      </c>
      <c r="R104" s="381" t="s">
        <v>319</v>
      </c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</row>
    <row r="105" spans="2:31" ht="15.75" customHeight="1" x14ac:dyDescent="0.45">
      <c r="B105" s="520">
        <v>8959820190</v>
      </c>
      <c r="C105" s="363" t="s">
        <v>510</v>
      </c>
      <c r="D105" s="216" t="s">
        <v>511</v>
      </c>
      <c r="E105" s="57">
        <v>2</v>
      </c>
      <c r="F105" s="57">
        <v>28</v>
      </c>
      <c r="G105" s="57"/>
      <c r="H105" s="57">
        <f>(G9/(0.0005*100)/2000)</f>
        <v>0</v>
      </c>
      <c r="I105" s="57">
        <f>(30*[1]BC!$B$47/F105)</f>
        <v>12.857142857142858</v>
      </c>
      <c r="J105" s="363">
        <f t="shared" si="15"/>
        <v>12.857142857142858</v>
      </c>
      <c r="K105" s="216">
        <f t="shared" si="16"/>
        <v>0</v>
      </c>
      <c r="L105" s="216">
        <f t="shared" ref="L105:L168" si="23">ROUNDUP(K105,0)</f>
        <v>0</v>
      </c>
      <c r="M105" s="364">
        <v>355</v>
      </c>
      <c r="N105" s="365">
        <f t="shared" ref="N105:N168" si="24">((M105/E105)*L105)</f>
        <v>0</v>
      </c>
      <c r="O105" s="91" t="e">
        <f t="shared" ref="O105:O136" si="25">((M105*$L$233)+M105)</f>
        <v>#DIV/0!</v>
      </c>
      <c r="P105" s="365"/>
      <c r="Q105" s="57">
        <f>L105/E105</f>
        <v>0</v>
      </c>
      <c r="R105" s="57">
        <f>ROUNDUP(Q105,0)</f>
        <v>0</v>
      </c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</row>
    <row r="106" spans="2:31" ht="15.75" customHeight="1" x14ac:dyDescent="0.45">
      <c r="B106" s="520">
        <v>9227261190</v>
      </c>
      <c r="C106" s="55" t="s">
        <v>512</v>
      </c>
      <c r="D106" s="216" t="s">
        <v>511</v>
      </c>
      <c r="E106" s="57">
        <v>2</v>
      </c>
      <c r="F106" s="57">
        <v>84</v>
      </c>
      <c r="G106" s="57"/>
      <c r="H106" s="57">
        <f>(G10/(0.0005*100)/2000)</f>
        <v>0</v>
      </c>
      <c r="I106" s="57">
        <f>(30*[1]BC!$B$47/F106)</f>
        <v>4.2857142857142856</v>
      </c>
      <c r="J106" s="363">
        <f t="shared" si="15"/>
        <v>4.2857142857142856</v>
      </c>
      <c r="K106" s="216">
        <f t="shared" si="16"/>
        <v>0</v>
      </c>
      <c r="L106" s="216">
        <f t="shared" si="23"/>
        <v>0</v>
      </c>
      <c r="M106" s="364">
        <v>103</v>
      </c>
      <c r="N106" s="365">
        <f t="shared" si="24"/>
        <v>0</v>
      </c>
      <c r="O106" s="91" t="e">
        <f t="shared" si="25"/>
        <v>#DIV/0!</v>
      </c>
      <c r="P106" s="365"/>
      <c r="Q106" s="57">
        <f t="shared" ref="Q106:Q168" si="26">L106/E106</f>
        <v>0</v>
      </c>
      <c r="R106" s="57">
        <f t="shared" ref="R106:R168" si="27">ROUNDUP(Q106,0)</f>
        <v>0</v>
      </c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</row>
    <row r="107" spans="2:31" ht="15.75" customHeight="1" x14ac:dyDescent="0.45">
      <c r="B107" s="520">
        <v>7957203190</v>
      </c>
      <c r="C107" s="363" t="s">
        <v>513</v>
      </c>
      <c r="D107" s="216" t="s">
        <v>511</v>
      </c>
      <c r="E107" s="57">
        <v>2</v>
      </c>
      <c r="F107" s="57">
        <v>28</v>
      </c>
      <c r="G107" s="57"/>
      <c r="H107" s="57">
        <f>(G11/(0.0005*100)/2000)</f>
        <v>0</v>
      </c>
      <c r="I107" s="57">
        <f>(30*[1]BC!$B$47/F107)</f>
        <v>12.857142857142858</v>
      </c>
      <c r="J107" s="363">
        <f t="shared" si="15"/>
        <v>12.857142857142858</v>
      </c>
      <c r="K107" s="216">
        <f t="shared" si="16"/>
        <v>0</v>
      </c>
      <c r="L107" s="216">
        <f t="shared" si="23"/>
        <v>0</v>
      </c>
      <c r="M107" s="364">
        <v>322</v>
      </c>
      <c r="N107" s="365">
        <f t="shared" si="24"/>
        <v>0</v>
      </c>
      <c r="O107" s="91" t="e">
        <f t="shared" si="25"/>
        <v>#DIV/0!</v>
      </c>
      <c r="P107" s="365"/>
      <c r="Q107" s="57">
        <f t="shared" si="26"/>
        <v>0</v>
      </c>
      <c r="R107" s="57">
        <f t="shared" si="27"/>
        <v>0</v>
      </c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</row>
    <row r="108" spans="2:31" ht="15.75" customHeight="1" x14ac:dyDescent="0.45">
      <c r="B108" s="520">
        <v>9289291190</v>
      </c>
      <c r="C108" s="363" t="s">
        <v>514</v>
      </c>
      <c r="D108" s="216" t="s">
        <v>511</v>
      </c>
      <c r="E108" s="57">
        <v>2</v>
      </c>
      <c r="F108" s="57">
        <v>42</v>
      </c>
      <c r="G108" s="57"/>
      <c r="H108" s="57">
        <f>(G22/(0.005*100)/2000)</f>
        <v>0</v>
      </c>
      <c r="I108" s="57">
        <f>(30*[1]BC!$B$47/F108)</f>
        <v>8.5714285714285712</v>
      </c>
      <c r="J108" s="363">
        <f t="shared" si="15"/>
        <v>8.5714285714285712</v>
      </c>
      <c r="K108" s="216">
        <f t="shared" si="16"/>
        <v>0</v>
      </c>
      <c r="L108" s="216">
        <f t="shared" si="23"/>
        <v>0</v>
      </c>
      <c r="M108" s="364">
        <v>155</v>
      </c>
      <c r="N108" s="365">
        <f t="shared" si="24"/>
        <v>0</v>
      </c>
      <c r="O108" s="91" t="e">
        <f t="shared" si="25"/>
        <v>#DIV/0!</v>
      </c>
      <c r="P108" s="365"/>
      <c r="Q108" s="57">
        <f t="shared" si="26"/>
        <v>0</v>
      </c>
      <c r="R108" s="57">
        <f t="shared" si="27"/>
        <v>0</v>
      </c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</row>
    <row r="109" spans="2:31" ht="15.75" customHeight="1" x14ac:dyDescent="0.45">
      <c r="B109" s="520">
        <v>9005030190</v>
      </c>
      <c r="C109" s="55" t="s">
        <v>515</v>
      </c>
      <c r="D109" s="216" t="s">
        <v>511</v>
      </c>
      <c r="E109" s="57">
        <v>2</v>
      </c>
      <c r="F109" s="57">
        <v>42</v>
      </c>
      <c r="G109" s="57"/>
      <c r="H109" s="57">
        <f>(G23/(0.0005*150)/2000)</f>
        <v>0</v>
      </c>
      <c r="I109" s="57">
        <f>(30*[1]BC!$B$47/F109)</f>
        <v>8.5714285714285712</v>
      </c>
      <c r="J109" s="363">
        <f t="shared" si="15"/>
        <v>8.5714285714285712</v>
      </c>
      <c r="K109" s="216">
        <f t="shared" si="16"/>
        <v>0</v>
      </c>
      <c r="L109" s="216">
        <f t="shared" si="23"/>
        <v>0</v>
      </c>
      <c r="M109" s="364">
        <v>115</v>
      </c>
      <c r="N109" s="365">
        <f t="shared" si="24"/>
        <v>0</v>
      </c>
      <c r="O109" s="91" t="e">
        <f t="shared" si="25"/>
        <v>#DIV/0!</v>
      </c>
      <c r="P109" s="365"/>
      <c r="Q109" s="57">
        <f t="shared" si="26"/>
        <v>0</v>
      </c>
      <c r="R109" s="57">
        <f t="shared" si="27"/>
        <v>0</v>
      </c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</row>
    <row r="110" spans="2:31" ht="15.75" customHeight="1" x14ac:dyDescent="0.45">
      <c r="B110" s="520">
        <v>6472931190</v>
      </c>
      <c r="C110" s="56" t="s">
        <v>516</v>
      </c>
      <c r="D110" s="216" t="s">
        <v>511</v>
      </c>
      <c r="E110" s="57">
        <v>2</v>
      </c>
      <c r="F110" s="57">
        <v>56</v>
      </c>
      <c r="G110" s="57"/>
      <c r="H110" s="57">
        <f>(G12/(0.0005*100)/2000)</f>
        <v>0</v>
      </c>
      <c r="I110" s="57">
        <f>(30*[1]BC!$B$47/F110)</f>
        <v>6.4285714285714288</v>
      </c>
      <c r="J110" s="363">
        <f t="shared" si="15"/>
        <v>6.4285714285714288</v>
      </c>
      <c r="K110" s="216">
        <f t="shared" si="16"/>
        <v>0</v>
      </c>
      <c r="L110" s="216">
        <f t="shared" si="23"/>
        <v>0</v>
      </c>
      <c r="M110" s="364">
        <v>222</v>
      </c>
      <c r="N110" s="365">
        <f t="shared" si="24"/>
        <v>0</v>
      </c>
      <c r="O110" s="91" t="e">
        <f t="shared" si="25"/>
        <v>#DIV/0!</v>
      </c>
      <c r="P110" s="365"/>
      <c r="Q110" s="57">
        <f t="shared" si="26"/>
        <v>0</v>
      </c>
      <c r="R110" s="57">
        <f t="shared" si="27"/>
        <v>0</v>
      </c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</row>
    <row r="111" spans="2:31" ht="15.75" customHeight="1" x14ac:dyDescent="0.45">
      <c r="B111" s="520">
        <v>8496641190</v>
      </c>
      <c r="C111" s="363" t="s">
        <v>517</v>
      </c>
      <c r="D111" s="216" t="s">
        <v>511</v>
      </c>
      <c r="E111" s="57">
        <v>2</v>
      </c>
      <c r="F111" s="57">
        <v>84</v>
      </c>
      <c r="G111" s="57"/>
      <c r="H111" s="57">
        <f t="shared" ref="H111:H117" si="28">(G24/(0.0005*100)/2000)</f>
        <v>0</v>
      </c>
      <c r="I111" s="57">
        <f>(30*[1]BC!$B$47/F111)</f>
        <v>4.2857142857142856</v>
      </c>
      <c r="J111" s="363">
        <f t="shared" si="15"/>
        <v>4.2857142857142856</v>
      </c>
      <c r="K111" s="216">
        <f t="shared" si="16"/>
        <v>0</v>
      </c>
      <c r="L111" s="216">
        <f t="shared" si="23"/>
        <v>0</v>
      </c>
      <c r="M111" s="364">
        <v>178</v>
      </c>
      <c r="N111" s="365">
        <f t="shared" si="24"/>
        <v>0</v>
      </c>
      <c r="O111" s="91" t="e">
        <f t="shared" si="25"/>
        <v>#DIV/0!</v>
      </c>
      <c r="P111" s="365"/>
      <c r="Q111" s="57">
        <f t="shared" si="26"/>
        <v>0</v>
      </c>
      <c r="R111" s="57">
        <f t="shared" si="27"/>
        <v>0</v>
      </c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</row>
    <row r="112" spans="2:31" ht="15.75" customHeight="1" x14ac:dyDescent="0.45">
      <c r="B112" s="520">
        <v>11972316122</v>
      </c>
      <c r="C112" s="363" t="s">
        <v>518</v>
      </c>
      <c r="D112" s="216" t="s">
        <v>511</v>
      </c>
      <c r="E112" s="57">
        <v>2</v>
      </c>
      <c r="F112" s="57">
        <v>84</v>
      </c>
      <c r="G112" s="57"/>
      <c r="H112" s="57">
        <f t="shared" si="28"/>
        <v>0</v>
      </c>
      <c r="I112" s="57">
        <f>(30*[1]BC!$B$47/F112)</f>
        <v>4.2857142857142856</v>
      </c>
      <c r="J112" s="363">
        <f t="shared" si="15"/>
        <v>4.2857142857142856</v>
      </c>
      <c r="K112" s="216">
        <f t="shared" si="16"/>
        <v>0</v>
      </c>
      <c r="L112" s="216">
        <f t="shared" si="23"/>
        <v>0</v>
      </c>
      <c r="M112" s="364">
        <v>162</v>
      </c>
      <c r="N112" s="365">
        <f t="shared" si="24"/>
        <v>0</v>
      </c>
      <c r="O112" s="91" t="e">
        <f t="shared" si="25"/>
        <v>#DIV/0!</v>
      </c>
      <c r="P112" s="365"/>
      <c r="Q112" s="57">
        <f t="shared" si="26"/>
        <v>0</v>
      </c>
      <c r="R112" s="57">
        <f t="shared" si="27"/>
        <v>0</v>
      </c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</row>
    <row r="113" spans="2:31" ht="15.75" customHeight="1" x14ac:dyDescent="0.45">
      <c r="B113" s="520">
        <v>7030207190</v>
      </c>
      <c r="C113" s="55" t="s">
        <v>519</v>
      </c>
      <c r="D113" s="216" t="s">
        <v>511</v>
      </c>
      <c r="E113" s="57">
        <v>2</v>
      </c>
      <c r="F113" s="57">
        <v>140</v>
      </c>
      <c r="G113" s="57"/>
      <c r="H113" s="57">
        <f t="shared" si="28"/>
        <v>0</v>
      </c>
      <c r="I113" s="57">
        <f>(30*[1]BC!$B$47/F113)</f>
        <v>2.5714285714285716</v>
      </c>
      <c r="J113" s="363">
        <f t="shared" si="15"/>
        <v>2.5714285714285716</v>
      </c>
      <c r="K113" s="216">
        <f t="shared" si="16"/>
        <v>0</v>
      </c>
      <c r="L113" s="216">
        <f t="shared" si="23"/>
        <v>0</v>
      </c>
      <c r="M113" s="364">
        <v>184</v>
      </c>
      <c r="N113" s="365">
        <f t="shared" si="24"/>
        <v>0</v>
      </c>
      <c r="O113" s="91" t="e">
        <f t="shared" si="25"/>
        <v>#DIV/0!</v>
      </c>
      <c r="P113" s="365"/>
      <c r="Q113" s="57">
        <f t="shared" si="26"/>
        <v>0</v>
      </c>
      <c r="R113" s="57">
        <f t="shared" si="27"/>
        <v>0</v>
      </c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</row>
    <row r="114" spans="2:31" ht="15.75" customHeight="1" x14ac:dyDescent="0.45">
      <c r="B114" s="520">
        <v>3045846122</v>
      </c>
      <c r="C114" s="363" t="s">
        <v>520</v>
      </c>
      <c r="D114" s="216" t="s">
        <v>511</v>
      </c>
      <c r="E114" s="57">
        <v>2</v>
      </c>
      <c r="F114" s="57">
        <v>84</v>
      </c>
      <c r="G114" s="57"/>
      <c r="H114" s="57">
        <f t="shared" si="28"/>
        <v>0</v>
      </c>
      <c r="I114" s="57">
        <f>(30*[1]BC!$B$47/F114)</f>
        <v>4.2857142857142856</v>
      </c>
      <c r="J114" s="363">
        <f t="shared" si="15"/>
        <v>4.2857142857142856</v>
      </c>
      <c r="K114" s="216">
        <f t="shared" si="16"/>
        <v>0</v>
      </c>
      <c r="L114" s="216">
        <f t="shared" si="23"/>
        <v>0</v>
      </c>
      <c r="M114" s="364">
        <v>180</v>
      </c>
      <c r="N114" s="365">
        <f t="shared" si="24"/>
        <v>0</v>
      </c>
      <c r="O114" s="91" t="e">
        <f t="shared" si="25"/>
        <v>#DIV/0!</v>
      </c>
      <c r="P114" s="365"/>
      <c r="Q114" s="57">
        <f t="shared" si="26"/>
        <v>0</v>
      </c>
      <c r="R114" s="57">
        <f t="shared" si="27"/>
        <v>0</v>
      </c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</row>
    <row r="115" spans="2:31" ht="15.75" customHeight="1" x14ac:dyDescent="0.45">
      <c r="B115" s="520">
        <v>11776215122</v>
      </c>
      <c r="C115" s="363" t="s">
        <v>521</v>
      </c>
      <c r="D115" s="216" t="s">
        <v>511</v>
      </c>
      <c r="E115" s="57">
        <v>2</v>
      </c>
      <c r="F115" s="57">
        <v>56</v>
      </c>
      <c r="G115" s="57"/>
      <c r="H115" s="57">
        <f t="shared" si="28"/>
        <v>0</v>
      </c>
      <c r="I115" s="57">
        <f>(30*[1]BC!$B$47/F115)</f>
        <v>6.4285714285714288</v>
      </c>
      <c r="J115" s="363">
        <f t="shared" si="15"/>
        <v>6.4285714285714288</v>
      </c>
      <c r="K115" s="216">
        <f t="shared" si="16"/>
        <v>0</v>
      </c>
      <c r="L115" s="216">
        <f t="shared" si="23"/>
        <v>0</v>
      </c>
      <c r="M115" s="364">
        <v>182</v>
      </c>
      <c r="N115" s="365">
        <f t="shared" si="24"/>
        <v>0</v>
      </c>
      <c r="O115" s="91" t="e">
        <f t="shared" si="25"/>
        <v>#DIV/0!</v>
      </c>
      <c r="P115" s="365"/>
      <c r="Q115" s="57">
        <f t="shared" si="26"/>
        <v>0</v>
      </c>
      <c r="R115" s="57">
        <f t="shared" si="27"/>
        <v>0</v>
      </c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</row>
    <row r="116" spans="2:31" ht="15.75" customHeight="1" x14ac:dyDescent="0.45">
      <c r="B116" s="520">
        <v>9175130190</v>
      </c>
      <c r="C116" s="363" t="s">
        <v>522</v>
      </c>
      <c r="D116" s="216" t="s">
        <v>511</v>
      </c>
      <c r="E116" s="57">
        <v>2</v>
      </c>
      <c r="F116" s="57">
        <v>42</v>
      </c>
      <c r="G116" s="57"/>
      <c r="H116" s="57">
        <f t="shared" si="28"/>
        <v>0</v>
      </c>
      <c r="I116" s="57">
        <f>(30*[1]BC!$B$47/F116)</f>
        <v>8.5714285714285712</v>
      </c>
      <c r="J116" s="363">
        <f t="shared" si="15"/>
        <v>8.5714285714285712</v>
      </c>
      <c r="K116" s="216">
        <f t="shared" si="16"/>
        <v>0</v>
      </c>
      <c r="L116" s="216">
        <f t="shared" si="23"/>
        <v>0</v>
      </c>
      <c r="M116" s="364">
        <v>148</v>
      </c>
      <c r="N116" s="365">
        <f t="shared" si="24"/>
        <v>0</v>
      </c>
      <c r="O116" s="91" t="e">
        <f t="shared" si="25"/>
        <v>#DIV/0!</v>
      </c>
      <c r="P116" s="365"/>
      <c r="Q116" s="57">
        <f t="shared" si="26"/>
        <v>0</v>
      </c>
      <c r="R116" s="57">
        <f t="shared" si="27"/>
        <v>0</v>
      </c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</row>
    <row r="117" spans="2:31" ht="15.75" customHeight="1" x14ac:dyDescent="0.45">
      <c r="B117" s="520">
        <v>11731645322</v>
      </c>
      <c r="C117" s="55" t="s">
        <v>523</v>
      </c>
      <c r="D117" s="216" t="s">
        <v>511</v>
      </c>
      <c r="E117" s="57">
        <v>2</v>
      </c>
      <c r="F117" s="57">
        <v>84</v>
      </c>
      <c r="G117" s="57"/>
      <c r="H117" s="57">
        <f t="shared" si="28"/>
        <v>0</v>
      </c>
      <c r="I117" s="57">
        <f>(30*[1]BC!$B$47/F117)</f>
        <v>4.2857142857142856</v>
      </c>
      <c r="J117" s="363">
        <f t="shared" si="15"/>
        <v>4.2857142857142856</v>
      </c>
      <c r="K117" s="216">
        <f t="shared" si="16"/>
        <v>0</v>
      </c>
      <c r="L117" s="216">
        <f t="shared" si="23"/>
        <v>0</v>
      </c>
      <c r="M117" s="364">
        <v>105</v>
      </c>
      <c r="N117" s="365">
        <f t="shared" si="24"/>
        <v>0</v>
      </c>
      <c r="O117" s="91" t="e">
        <f t="shared" si="25"/>
        <v>#DIV/0!</v>
      </c>
      <c r="P117" s="365"/>
      <c r="Q117" s="57">
        <f t="shared" si="26"/>
        <v>0</v>
      </c>
      <c r="R117" s="57">
        <f t="shared" si="27"/>
        <v>0</v>
      </c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</row>
    <row r="118" spans="2:31" ht="15.75" customHeight="1" x14ac:dyDescent="0.45">
      <c r="B118" s="520" t="s">
        <v>524</v>
      </c>
      <c r="C118" s="363" t="s">
        <v>525</v>
      </c>
      <c r="D118" s="216" t="s">
        <v>511</v>
      </c>
      <c r="E118" s="57">
        <v>2</v>
      </c>
      <c r="F118" s="57">
        <v>84</v>
      </c>
      <c r="G118" s="57"/>
      <c r="H118" s="57">
        <f>(G32/(0.0005*100)/2000)</f>
        <v>0</v>
      </c>
      <c r="I118" s="57">
        <f>(30*[1]BC!$B$47/F118)</f>
        <v>4.2857142857142856</v>
      </c>
      <c r="J118" s="363">
        <f t="shared" si="15"/>
        <v>4.2857142857142856</v>
      </c>
      <c r="K118" s="216">
        <f t="shared" si="16"/>
        <v>0</v>
      </c>
      <c r="L118" s="216">
        <f t="shared" si="23"/>
        <v>0</v>
      </c>
      <c r="M118" s="364">
        <v>186</v>
      </c>
      <c r="N118" s="365">
        <f t="shared" si="24"/>
        <v>0</v>
      </c>
      <c r="O118" s="91" t="e">
        <f t="shared" si="25"/>
        <v>#DIV/0!</v>
      </c>
      <c r="P118" s="365"/>
      <c r="Q118" s="57">
        <f t="shared" si="26"/>
        <v>0</v>
      </c>
      <c r="R118" s="57">
        <f t="shared" si="27"/>
        <v>0</v>
      </c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</row>
    <row r="119" spans="2:31" ht="15.75" customHeight="1" x14ac:dyDescent="0.45">
      <c r="B119" s="520">
        <v>6687750190</v>
      </c>
      <c r="C119" s="55" t="s">
        <v>526</v>
      </c>
      <c r="D119" s="216" t="s">
        <v>511</v>
      </c>
      <c r="E119" s="57">
        <v>2</v>
      </c>
      <c r="F119" s="57">
        <v>84</v>
      </c>
      <c r="G119" s="57"/>
      <c r="H119" s="57">
        <f>(G36/(0.0005*100)/2000)</f>
        <v>0</v>
      </c>
      <c r="I119" s="57">
        <f>(30*[1]BC!$B$47/F119)</f>
        <v>4.2857142857142856</v>
      </c>
      <c r="J119" s="363">
        <f t="shared" si="15"/>
        <v>4.2857142857142856</v>
      </c>
      <c r="K119" s="216">
        <f t="shared" si="16"/>
        <v>0</v>
      </c>
      <c r="L119" s="216">
        <f t="shared" si="23"/>
        <v>0</v>
      </c>
      <c r="M119" s="364">
        <v>222</v>
      </c>
      <c r="N119" s="365">
        <f t="shared" si="24"/>
        <v>0</v>
      </c>
      <c r="O119" s="91" t="e">
        <f t="shared" si="25"/>
        <v>#DIV/0!</v>
      </c>
      <c r="P119" s="365"/>
      <c r="Q119" s="57">
        <f t="shared" si="26"/>
        <v>0</v>
      </c>
      <c r="R119" s="57">
        <f t="shared" si="27"/>
        <v>0</v>
      </c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</row>
    <row r="120" spans="2:31" ht="15.75" customHeight="1" x14ac:dyDescent="0.45">
      <c r="B120" s="520">
        <v>3184919190</v>
      </c>
      <c r="C120" s="363" t="s">
        <v>527</v>
      </c>
      <c r="D120" s="216" t="s">
        <v>511</v>
      </c>
      <c r="E120" s="57">
        <v>2</v>
      </c>
      <c r="F120" s="57">
        <v>28</v>
      </c>
      <c r="G120" s="57"/>
      <c r="H120" s="57">
        <f>(G37/(0.0005*100)/2000)</f>
        <v>0</v>
      </c>
      <c r="I120" s="57">
        <f>(30*[1]BC!$B$47/F120)</f>
        <v>12.857142857142858</v>
      </c>
      <c r="J120" s="363">
        <f t="shared" si="15"/>
        <v>12.857142857142858</v>
      </c>
      <c r="K120" s="216">
        <f t="shared" si="16"/>
        <v>0</v>
      </c>
      <c r="L120" s="216">
        <f t="shared" si="23"/>
        <v>0</v>
      </c>
      <c r="M120" s="364">
        <v>192</v>
      </c>
      <c r="N120" s="365">
        <f t="shared" si="24"/>
        <v>0</v>
      </c>
      <c r="O120" s="91" t="e">
        <f t="shared" si="25"/>
        <v>#DIV/0!</v>
      </c>
      <c r="P120" s="365"/>
      <c r="Q120" s="57">
        <f t="shared" si="26"/>
        <v>0</v>
      </c>
      <c r="R120" s="57">
        <f t="shared" si="27"/>
        <v>0</v>
      </c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</row>
    <row r="121" spans="2:31" ht="15.75" customHeight="1" x14ac:dyDescent="0.45">
      <c r="B121" s="520">
        <v>11820974322</v>
      </c>
      <c r="C121" s="363" t="s">
        <v>528</v>
      </c>
      <c r="D121" s="216" t="s">
        <v>511</v>
      </c>
      <c r="E121" s="57">
        <v>2</v>
      </c>
      <c r="F121" s="57">
        <v>56</v>
      </c>
      <c r="G121" s="57"/>
      <c r="H121" s="57">
        <f>(G38/(0.0005*100)/2000)</f>
        <v>0</v>
      </c>
      <c r="I121" s="57">
        <f>(30*[1]BC!$B$47/F121)</f>
        <v>6.4285714285714288</v>
      </c>
      <c r="J121" s="363">
        <f t="shared" si="15"/>
        <v>6.4285714285714288</v>
      </c>
      <c r="K121" s="216">
        <f t="shared" si="16"/>
        <v>0</v>
      </c>
      <c r="L121" s="216">
        <f t="shared" si="23"/>
        <v>0</v>
      </c>
      <c r="M121" s="364">
        <v>251</v>
      </c>
      <c r="N121" s="365">
        <f t="shared" si="24"/>
        <v>0</v>
      </c>
      <c r="O121" s="91" t="e">
        <f t="shared" si="25"/>
        <v>#DIV/0!</v>
      </c>
      <c r="P121" s="365"/>
      <c r="Q121" s="57">
        <f t="shared" si="26"/>
        <v>0</v>
      </c>
      <c r="R121" s="57">
        <f t="shared" si="27"/>
        <v>0</v>
      </c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</row>
    <row r="122" spans="2:31" ht="15.75" customHeight="1" x14ac:dyDescent="0.45">
      <c r="B122" s="520">
        <v>3000095122</v>
      </c>
      <c r="C122" s="363" t="s">
        <v>529</v>
      </c>
      <c r="D122" s="216" t="s">
        <v>511</v>
      </c>
      <c r="E122" s="57">
        <v>2</v>
      </c>
      <c r="F122" s="57">
        <v>84</v>
      </c>
      <c r="G122" s="57"/>
      <c r="H122" s="57">
        <f>(G39/(0.0005*100)/2000)</f>
        <v>0</v>
      </c>
      <c r="I122" s="57">
        <f>(30*[1]BC!$B$47/F122)</f>
        <v>4.2857142857142856</v>
      </c>
      <c r="J122" s="363">
        <f t="shared" si="15"/>
        <v>4.2857142857142856</v>
      </c>
      <c r="K122" s="216">
        <f t="shared" si="16"/>
        <v>0</v>
      </c>
      <c r="L122" s="216">
        <f t="shared" si="23"/>
        <v>0</v>
      </c>
      <c r="M122" s="364">
        <v>205</v>
      </c>
      <c r="N122" s="365">
        <f t="shared" si="24"/>
        <v>0</v>
      </c>
      <c r="O122" s="91" t="e">
        <f t="shared" si="25"/>
        <v>#DIV/0!</v>
      </c>
      <c r="P122" s="365"/>
      <c r="Q122" s="57">
        <f t="shared" si="26"/>
        <v>0</v>
      </c>
      <c r="R122" s="57">
        <f t="shared" si="27"/>
        <v>0</v>
      </c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</row>
    <row r="123" spans="2:31" ht="15.75" customHeight="1" x14ac:dyDescent="0.45">
      <c r="B123" s="520">
        <v>11820907322</v>
      </c>
      <c r="C123" s="363" t="s">
        <v>530</v>
      </c>
      <c r="D123" s="216" t="s">
        <v>511</v>
      </c>
      <c r="E123" s="57">
        <v>2</v>
      </c>
      <c r="F123" s="57">
        <v>56</v>
      </c>
      <c r="G123" s="57"/>
      <c r="H123" s="57">
        <f>(G40/(0.0005*100)/2000)</f>
        <v>0</v>
      </c>
      <c r="I123" s="57">
        <f>(30*[1]BC!$B$47/F123)</f>
        <v>6.4285714285714288</v>
      </c>
      <c r="J123" s="363">
        <f t="shared" si="15"/>
        <v>6.4285714285714288</v>
      </c>
      <c r="K123" s="216">
        <f t="shared" si="16"/>
        <v>0</v>
      </c>
      <c r="L123" s="216">
        <f t="shared" si="23"/>
        <v>0</v>
      </c>
      <c r="M123" s="364">
        <v>189</v>
      </c>
      <c r="N123" s="365">
        <f t="shared" si="24"/>
        <v>0</v>
      </c>
      <c r="O123" s="91" t="e">
        <f t="shared" si="25"/>
        <v>#DIV/0!</v>
      </c>
      <c r="P123" s="365"/>
      <c r="Q123" s="57">
        <f t="shared" si="26"/>
        <v>0</v>
      </c>
      <c r="R123" s="57">
        <f t="shared" si="27"/>
        <v>0</v>
      </c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</row>
    <row r="124" spans="2:31" ht="15.75" customHeight="1" x14ac:dyDescent="0.45">
      <c r="B124" s="520">
        <v>6656048190</v>
      </c>
      <c r="C124" s="56" t="s">
        <v>531</v>
      </c>
      <c r="D124" s="216" t="s">
        <v>511</v>
      </c>
      <c r="E124" s="57">
        <v>2</v>
      </c>
      <c r="F124" s="57">
        <v>31</v>
      </c>
      <c r="G124" s="57"/>
      <c r="H124" s="57">
        <f>(G44/(0.0005*100)/2000)</f>
        <v>0</v>
      </c>
      <c r="I124" s="57">
        <f>(30*[1]BC!$B$47/F124)</f>
        <v>11.612903225806452</v>
      </c>
      <c r="J124" s="363">
        <f t="shared" si="15"/>
        <v>11.612903225806452</v>
      </c>
      <c r="K124" s="216">
        <f t="shared" si="16"/>
        <v>0</v>
      </c>
      <c r="L124" s="216">
        <f t="shared" si="23"/>
        <v>0</v>
      </c>
      <c r="M124" s="364">
        <v>127</v>
      </c>
      <c r="N124" s="365">
        <f t="shared" si="24"/>
        <v>0</v>
      </c>
      <c r="O124" s="91" t="e">
        <f t="shared" si="25"/>
        <v>#DIV/0!</v>
      </c>
      <c r="P124" s="365"/>
      <c r="Q124" s="57">
        <f t="shared" si="26"/>
        <v>0</v>
      </c>
      <c r="R124" s="57">
        <f t="shared" si="27"/>
        <v>0</v>
      </c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</row>
    <row r="125" spans="2:31" ht="15.75" customHeight="1" x14ac:dyDescent="0.45">
      <c r="B125" s="520">
        <v>3737586190</v>
      </c>
      <c r="C125" s="55" t="s">
        <v>532</v>
      </c>
      <c r="D125" s="216" t="s">
        <v>511</v>
      </c>
      <c r="E125" s="57">
        <v>2</v>
      </c>
      <c r="F125" s="57">
        <v>84</v>
      </c>
      <c r="G125" s="57"/>
      <c r="H125" s="57">
        <f>(G45/(0.0005*100)/2000)</f>
        <v>0</v>
      </c>
      <c r="I125" s="57">
        <f>(30*[1]BC!$B$47/F125)</f>
        <v>4.2857142857142856</v>
      </c>
      <c r="J125" s="363">
        <f t="shared" si="15"/>
        <v>4.2857142857142856</v>
      </c>
      <c r="K125" s="216">
        <f t="shared" si="16"/>
        <v>0</v>
      </c>
      <c r="L125" s="216">
        <f t="shared" si="23"/>
        <v>0</v>
      </c>
      <c r="M125" s="364">
        <v>189</v>
      </c>
      <c r="N125" s="365">
        <f t="shared" si="24"/>
        <v>0</v>
      </c>
      <c r="O125" s="91" t="e">
        <f t="shared" si="25"/>
        <v>#DIV/0!</v>
      </c>
      <c r="P125" s="365"/>
      <c r="Q125" s="57">
        <f t="shared" si="26"/>
        <v>0</v>
      </c>
      <c r="R125" s="57">
        <f t="shared" si="27"/>
        <v>0</v>
      </c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</row>
    <row r="126" spans="2:31" ht="15.75" customHeight="1" x14ac:dyDescent="0.45">
      <c r="B126" s="520">
        <v>7560001190</v>
      </c>
      <c r="C126" s="363" t="s">
        <v>533</v>
      </c>
      <c r="D126" s="216" t="s">
        <v>511</v>
      </c>
      <c r="E126" s="57">
        <v>2</v>
      </c>
      <c r="F126" s="57">
        <v>84</v>
      </c>
      <c r="G126" s="57"/>
      <c r="H126" s="57">
        <f>(G46/(0.0005*100)/2000)</f>
        <v>0</v>
      </c>
      <c r="I126" s="57">
        <f>(30*[1]BC!$B$47/F126)</f>
        <v>4.2857142857142856</v>
      </c>
      <c r="J126" s="363">
        <f t="shared" si="15"/>
        <v>4.2857142857142856</v>
      </c>
      <c r="K126" s="216">
        <f t="shared" si="16"/>
        <v>0</v>
      </c>
      <c r="L126" s="216">
        <f t="shared" si="23"/>
        <v>0</v>
      </c>
      <c r="M126" s="364">
        <v>154</v>
      </c>
      <c r="N126" s="365">
        <f t="shared" si="24"/>
        <v>0</v>
      </c>
      <c r="O126" s="91" t="e">
        <f t="shared" si="25"/>
        <v>#DIV/0!</v>
      </c>
      <c r="P126" s="365"/>
      <c r="Q126" s="57">
        <f t="shared" si="26"/>
        <v>0</v>
      </c>
      <c r="R126" s="57">
        <f t="shared" si="27"/>
        <v>0</v>
      </c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</row>
    <row r="127" spans="2:31" ht="15.75" customHeight="1" x14ac:dyDescent="0.45">
      <c r="B127" s="520">
        <v>4854080200</v>
      </c>
      <c r="C127" s="363" t="s">
        <v>534</v>
      </c>
      <c r="D127" s="216" t="s">
        <v>511</v>
      </c>
      <c r="E127" s="57">
        <v>2</v>
      </c>
      <c r="F127" s="57">
        <v>84</v>
      </c>
      <c r="G127" s="57"/>
      <c r="H127" s="57">
        <f>(G47/(0.0005*150)/2000)</f>
        <v>0</v>
      </c>
      <c r="I127" s="57">
        <f>(30*[1]BC!$B$47/F127)</f>
        <v>4.2857142857142856</v>
      </c>
      <c r="J127" s="363">
        <f t="shared" si="15"/>
        <v>4.2857142857142856</v>
      </c>
      <c r="K127" s="216">
        <f t="shared" si="16"/>
        <v>0</v>
      </c>
      <c r="L127" s="216">
        <f t="shared" si="23"/>
        <v>0</v>
      </c>
      <c r="M127" s="364">
        <v>675</v>
      </c>
      <c r="N127" s="365">
        <f t="shared" si="24"/>
        <v>0</v>
      </c>
      <c r="O127" s="91" t="e">
        <f t="shared" si="25"/>
        <v>#DIV/0!</v>
      </c>
      <c r="P127" s="365"/>
      <c r="Q127" s="57">
        <f t="shared" si="26"/>
        <v>0</v>
      </c>
      <c r="R127" s="57">
        <f t="shared" si="27"/>
        <v>0</v>
      </c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</row>
    <row r="128" spans="2:31" ht="15.75" customHeight="1" x14ac:dyDescent="0.45">
      <c r="B128" s="520">
        <v>8851964190</v>
      </c>
      <c r="C128" s="55" t="s">
        <v>535</v>
      </c>
      <c r="D128" s="216" t="s">
        <v>511</v>
      </c>
      <c r="E128" s="57">
        <v>2</v>
      </c>
      <c r="F128" s="57">
        <v>84</v>
      </c>
      <c r="G128" s="57"/>
      <c r="H128" s="57">
        <f>(G48/(0.0009*100)/2000)</f>
        <v>0</v>
      </c>
      <c r="I128" s="57">
        <f>(30*[1]BC!$B$47/F128)</f>
        <v>4.2857142857142856</v>
      </c>
      <c r="J128" s="363">
        <f t="shared" si="15"/>
        <v>4.2857142857142856</v>
      </c>
      <c r="K128" s="216">
        <f t="shared" si="16"/>
        <v>0</v>
      </c>
      <c r="L128" s="216">
        <f t="shared" si="23"/>
        <v>0</v>
      </c>
      <c r="M128" s="364">
        <v>183</v>
      </c>
      <c r="N128" s="365">
        <f t="shared" si="24"/>
        <v>0</v>
      </c>
      <c r="O128" s="91" t="e">
        <f t="shared" si="25"/>
        <v>#DIV/0!</v>
      </c>
      <c r="P128" s="365"/>
      <c r="Q128" s="57">
        <f t="shared" si="26"/>
        <v>0</v>
      </c>
      <c r="R128" s="57">
        <f t="shared" si="27"/>
        <v>0</v>
      </c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</row>
    <row r="129" spans="2:31" ht="15.75" customHeight="1" x14ac:dyDescent="0.45">
      <c r="B129" s="520">
        <v>9557440190</v>
      </c>
      <c r="C129" s="55" t="s">
        <v>647</v>
      </c>
      <c r="D129" s="216" t="s">
        <v>511</v>
      </c>
      <c r="E129" s="57">
        <v>2</v>
      </c>
      <c r="F129" s="57">
        <v>84</v>
      </c>
      <c r="G129" s="57"/>
      <c r="H129" s="57">
        <f>(G49/(0.0009*100)/2000)</f>
        <v>0</v>
      </c>
      <c r="I129" s="57">
        <f>(30*[1]BC!$B$47/F129)</f>
        <v>4.2857142857142856</v>
      </c>
      <c r="J129" s="363">
        <f t="shared" si="15"/>
        <v>4.2857142857142856</v>
      </c>
      <c r="K129" s="216">
        <f t="shared" si="16"/>
        <v>0</v>
      </c>
      <c r="L129" s="216">
        <f t="shared" si="23"/>
        <v>0</v>
      </c>
      <c r="M129" s="368">
        <v>264</v>
      </c>
      <c r="N129" s="365">
        <f t="shared" si="24"/>
        <v>0</v>
      </c>
      <c r="O129" s="91" t="e">
        <f t="shared" si="25"/>
        <v>#DIV/0!</v>
      </c>
      <c r="P129" s="365"/>
      <c r="Q129" s="57">
        <f t="shared" si="26"/>
        <v>0</v>
      </c>
      <c r="R129" s="57">
        <f t="shared" si="27"/>
        <v>0</v>
      </c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</row>
    <row r="130" spans="2:31" ht="15.75" customHeight="1" x14ac:dyDescent="0.45">
      <c r="B130" s="873">
        <v>9077871190</v>
      </c>
      <c r="C130" s="55" t="s">
        <v>536</v>
      </c>
      <c r="D130" s="216" t="s">
        <v>511</v>
      </c>
      <c r="E130" s="57">
        <v>2</v>
      </c>
      <c r="F130" s="57">
        <v>56</v>
      </c>
      <c r="G130" s="57"/>
      <c r="H130" s="57">
        <f>(G50/(0.002*100)/2000)</f>
        <v>0</v>
      </c>
      <c r="I130" s="57">
        <f>(30*[1]BC!$B$47/F130)</f>
        <v>6.4285714285714288</v>
      </c>
      <c r="J130" s="363">
        <f t="shared" si="15"/>
        <v>6.4285714285714288</v>
      </c>
      <c r="K130" s="216">
        <f t="shared" si="16"/>
        <v>0</v>
      </c>
      <c r="L130" s="216">
        <f t="shared" si="23"/>
        <v>0</v>
      </c>
      <c r="M130" s="364">
        <v>93</v>
      </c>
      <c r="N130" s="365">
        <f t="shared" si="24"/>
        <v>0</v>
      </c>
      <c r="O130" s="91" t="e">
        <f t="shared" si="25"/>
        <v>#DIV/0!</v>
      </c>
      <c r="P130" s="365"/>
      <c r="Q130" s="57">
        <f t="shared" si="26"/>
        <v>0</v>
      </c>
      <c r="R130" s="57">
        <f t="shared" si="27"/>
        <v>0</v>
      </c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</row>
    <row r="131" spans="2:31" ht="15.75" customHeight="1" x14ac:dyDescent="0.45">
      <c r="B131" s="520">
        <v>9043292190</v>
      </c>
      <c r="C131" s="55" t="s">
        <v>537</v>
      </c>
      <c r="D131" s="216" t="s">
        <v>511</v>
      </c>
      <c r="E131" s="57">
        <v>2</v>
      </c>
      <c r="F131" s="57">
        <v>84</v>
      </c>
      <c r="G131" s="57"/>
      <c r="H131" s="57">
        <f>(G51/(0.004*100)/2000)</f>
        <v>0</v>
      </c>
      <c r="I131" s="57">
        <f>(30*[1]BC!$B$47/F131)</f>
        <v>4.2857142857142856</v>
      </c>
      <c r="J131" s="363">
        <f t="shared" si="15"/>
        <v>4.2857142857142856</v>
      </c>
      <c r="K131" s="216">
        <f t="shared" si="16"/>
        <v>0</v>
      </c>
      <c r="L131" s="216">
        <f t="shared" si="23"/>
        <v>0</v>
      </c>
      <c r="M131" s="364">
        <v>192</v>
      </c>
      <c r="N131" s="365">
        <f t="shared" si="24"/>
        <v>0</v>
      </c>
      <c r="O131" s="91" t="e">
        <f t="shared" si="25"/>
        <v>#DIV/0!</v>
      </c>
      <c r="P131" s="365"/>
      <c r="Q131" s="57">
        <f t="shared" si="26"/>
        <v>0</v>
      </c>
      <c r="R131" s="57">
        <f t="shared" si="27"/>
        <v>0</v>
      </c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</row>
    <row r="132" spans="2:31" ht="15.75" customHeight="1" x14ac:dyDescent="0.45">
      <c r="B132" s="520" t="s">
        <v>538</v>
      </c>
      <c r="C132" s="363" t="s">
        <v>539</v>
      </c>
      <c r="D132" s="216" t="s">
        <v>511</v>
      </c>
      <c r="E132" s="57">
        <v>2</v>
      </c>
      <c r="F132" s="57">
        <v>56</v>
      </c>
      <c r="G132" s="57"/>
      <c r="H132" s="57">
        <f>(G52/(0.0005*100)/2000)</f>
        <v>0</v>
      </c>
      <c r="I132" s="57">
        <f>(30*[1]BC!$B$47/F132)</f>
        <v>6.4285714285714288</v>
      </c>
      <c r="J132" s="363">
        <f t="shared" si="15"/>
        <v>6.4285714285714288</v>
      </c>
      <c r="K132" s="216">
        <f t="shared" si="16"/>
        <v>0</v>
      </c>
      <c r="L132" s="216">
        <f t="shared" si="23"/>
        <v>0</v>
      </c>
      <c r="M132" s="368"/>
      <c r="N132" s="365">
        <f t="shared" si="24"/>
        <v>0</v>
      </c>
      <c r="O132" s="91" t="e">
        <f t="shared" si="25"/>
        <v>#DIV/0!</v>
      </c>
      <c r="P132" s="365"/>
      <c r="Q132" s="57">
        <f t="shared" si="26"/>
        <v>0</v>
      </c>
      <c r="R132" s="57">
        <f t="shared" si="27"/>
        <v>0</v>
      </c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</row>
    <row r="133" spans="2:31" ht="15.75" customHeight="1" x14ac:dyDescent="0.45">
      <c r="B133" s="520">
        <v>9013296190</v>
      </c>
      <c r="C133" s="363" t="s">
        <v>540</v>
      </c>
      <c r="D133" s="216" t="s">
        <v>511</v>
      </c>
      <c r="E133" s="57">
        <v>2</v>
      </c>
      <c r="F133" s="57">
        <v>84</v>
      </c>
      <c r="G133" s="57"/>
      <c r="H133" s="57">
        <f>(G55/(0.0005*100)/2000)</f>
        <v>0</v>
      </c>
      <c r="I133" s="57">
        <f>(30*[1]BC!$B$47/F133)</f>
        <v>4.2857142857142856</v>
      </c>
      <c r="J133" s="363">
        <f t="shared" si="15"/>
        <v>4.2857142857142856</v>
      </c>
      <c r="K133" s="216">
        <f t="shared" si="16"/>
        <v>0</v>
      </c>
      <c r="L133" s="216">
        <f t="shared" si="23"/>
        <v>0</v>
      </c>
      <c r="M133" s="364">
        <v>85</v>
      </c>
      <c r="N133" s="365">
        <f t="shared" si="24"/>
        <v>0</v>
      </c>
      <c r="O133" s="91" t="e">
        <f t="shared" si="25"/>
        <v>#DIV/0!</v>
      </c>
      <c r="P133" s="365"/>
      <c r="Q133" s="57">
        <f t="shared" si="26"/>
        <v>0</v>
      </c>
      <c r="R133" s="57">
        <f t="shared" si="27"/>
        <v>0</v>
      </c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</row>
    <row r="134" spans="2:31" ht="15.75" customHeight="1" x14ac:dyDescent="0.45">
      <c r="B134" s="520">
        <v>3302652190</v>
      </c>
      <c r="C134" s="55" t="s">
        <v>541</v>
      </c>
      <c r="D134" s="216" t="s">
        <v>511</v>
      </c>
      <c r="E134" s="57">
        <v>2</v>
      </c>
      <c r="F134" s="57">
        <v>84</v>
      </c>
      <c r="G134" s="57"/>
      <c r="H134" s="57">
        <f>(G56/(0.0005*100)/2000)</f>
        <v>0</v>
      </c>
      <c r="I134" s="57">
        <f>(30*[1]BC!$B$47/F134)</f>
        <v>4.2857142857142856</v>
      </c>
      <c r="J134" s="363">
        <f t="shared" si="15"/>
        <v>4.2857142857142856</v>
      </c>
      <c r="K134" s="216">
        <f t="shared" si="16"/>
        <v>0</v>
      </c>
      <c r="L134" s="216">
        <f t="shared" si="23"/>
        <v>0</v>
      </c>
      <c r="M134" s="364">
        <v>66</v>
      </c>
      <c r="N134" s="365">
        <f t="shared" si="24"/>
        <v>0</v>
      </c>
      <c r="O134" s="91" t="e">
        <f t="shared" si="25"/>
        <v>#DIV/0!</v>
      </c>
      <c r="P134" s="365"/>
      <c r="Q134" s="57">
        <f t="shared" si="26"/>
        <v>0</v>
      </c>
      <c r="R134" s="57">
        <f t="shared" si="27"/>
        <v>0</v>
      </c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</row>
    <row r="135" spans="2:31" ht="15.75" customHeight="1" x14ac:dyDescent="0.45">
      <c r="B135" s="520" t="s">
        <v>542</v>
      </c>
      <c r="C135" s="363" t="s">
        <v>543</v>
      </c>
      <c r="D135" s="216" t="s">
        <v>511</v>
      </c>
      <c r="E135" s="57">
        <v>2</v>
      </c>
      <c r="F135" s="57">
        <v>56</v>
      </c>
      <c r="G135" s="57"/>
      <c r="H135" s="57">
        <f>(G57/(0.0005*100)/2000)</f>
        <v>0</v>
      </c>
      <c r="I135" s="57">
        <f>(30*[1]BC!$B$47/F135)</f>
        <v>6.4285714285714288</v>
      </c>
      <c r="J135" s="363">
        <f t="shared" si="15"/>
        <v>6.4285714285714288</v>
      </c>
      <c r="K135" s="216">
        <f t="shared" si="16"/>
        <v>0</v>
      </c>
      <c r="L135" s="216">
        <f t="shared" si="23"/>
        <v>0</v>
      </c>
      <c r="M135" s="368"/>
      <c r="N135" s="365">
        <f t="shared" si="24"/>
        <v>0</v>
      </c>
      <c r="O135" s="91" t="e">
        <f t="shared" si="25"/>
        <v>#DIV/0!</v>
      </c>
      <c r="P135" s="365"/>
      <c r="Q135" s="57">
        <f t="shared" si="26"/>
        <v>0</v>
      </c>
      <c r="R135" s="57">
        <f t="shared" si="27"/>
        <v>0</v>
      </c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</row>
    <row r="136" spans="2:31" ht="15.75" customHeight="1" x14ac:dyDescent="0.45">
      <c r="B136" s="520" t="s">
        <v>544</v>
      </c>
      <c r="C136" s="363" t="s">
        <v>545</v>
      </c>
      <c r="D136" s="216" t="s">
        <v>511</v>
      </c>
      <c r="E136" s="57">
        <v>2</v>
      </c>
      <c r="F136" s="57">
        <v>28</v>
      </c>
      <c r="G136" s="57"/>
      <c r="H136" s="57">
        <f>(G58/(0.0005*100)/2000)</f>
        <v>0</v>
      </c>
      <c r="I136" s="57">
        <f>(30*[1]BC!$B$47/F136)</f>
        <v>12.857142857142858</v>
      </c>
      <c r="J136" s="363">
        <f t="shared" si="15"/>
        <v>12.857142857142858</v>
      </c>
      <c r="K136" s="216">
        <f t="shared" si="16"/>
        <v>0</v>
      </c>
      <c r="L136" s="216">
        <f t="shared" si="23"/>
        <v>0</v>
      </c>
      <c r="M136" s="368"/>
      <c r="N136" s="365">
        <f t="shared" si="24"/>
        <v>0</v>
      </c>
      <c r="O136" s="91" t="e">
        <f t="shared" si="25"/>
        <v>#DIV/0!</v>
      </c>
      <c r="P136" s="365"/>
      <c r="Q136" s="57">
        <f t="shared" si="26"/>
        <v>0</v>
      </c>
      <c r="R136" s="57">
        <f t="shared" si="27"/>
        <v>0</v>
      </c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</row>
    <row r="137" spans="2:31" ht="15.75" customHeight="1" x14ac:dyDescent="0.45">
      <c r="B137" s="520">
        <v>11930427122</v>
      </c>
      <c r="C137" s="55" t="s">
        <v>546</v>
      </c>
      <c r="D137" s="216" t="s">
        <v>511</v>
      </c>
      <c r="E137" s="57">
        <v>2</v>
      </c>
      <c r="F137" s="57">
        <v>84</v>
      </c>
      <c r="G137" s="57"/>
      <c r="H137" s="57">
        <f>(G63/(0.0005*100)/2000)</f>
        <v>0</v>
      </c>
      <c r="I137" s="57">
        <f>(30*[1]BC!$B$47/F137)</f>
        <v>4.2857142857142856</v>
      </c>
      <c r="J137" s="363">
        <f t="shared" si="15"/>
        <v>4.2857142857142856</v>
      </c>
      <c r="K137" s="216">
        <f t="shared" si="16"/>
        <v>0</v>
      </c>
      <c r="L137" s="216">
        <f t="shared" si="23"/>
        <v>0</v>
      </c>
      <c r="M137" s="364">
        <v>229</v>
      </c>
      <c r="N137" s="365">
        <f t="shared" si="24"/>
        <v>0</v>
      </c>
      <c r="O137" s="91" t="e">
        <f t="shared" ref="O137:O168" si="29">((M137*$L$233)+M137)</f>
        <v>#DIV/0!</v>
      </c>
      <c r="P137" s="365"/>
      <c r="Q137" s="57">
        <f t="shared" si="26"/>
        <v>0</v>
      </c>
      <c r="R137" s="57">
        <f t="shared" si="27"/>
        <v>0</v>
      </c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</row>
    <row r="138" spans="2:31" ht="15.75" customHeight="1" x14ac:dyDescent="0.45">
      <c r="B138" s="520">
        <v>7475969190</v>
      </c>
      <c r="C138" s="363" t="s">
        <v>547</v>
      </c>
      <c r="D138" s="216" t="s">
        <v>511</v>
      </c>
      <c r="E138" s="57">
        <v>2</v>
      </c>
      <c r="F138" s="57">
        <v>31</v>
      </c>
      <c r="G138" s="57"/>
      <c r="H138" s="57">
        <f>(G64/(0.0005*100)/2000)</f>
        <v>0</v>
      </c>
      <c r="I138" s="57">
        <f>(30*[1]BC!$B$47/F138)</f>
        <v>11.612903225806452</v>
      </c>
      <c r="J138" s="363">
        <f t="shared" ref="J138:J200" si="30">IF(I138&gt;H138,I138,H138)</f>
        <v>11.612903225806452</v>
      </c>
      <c r="K138" s="216">
        <f t="shared" ref="K138:K200" si="31">IF(H138=0,0,J138)</f>
        <v>0</v>
      </c>
      <c r="L138" s="216">
        <f t="shared" si="23"/>
        <v>0</v>
      </c>
      <c r="M138" s="364">
        <v>370</v>
      </c>
      <c r="N138" s="365">
        <f t="shared" si="24"/>
        <v>0</v>
      </c>
      <c r="O138" s="91" t="e">
        <f t="shared" si="29"/>
        <v>#DIV/0!</v>
      </c>
      <c r="P138" s="365"/>
      <c r="Q138" s="57">
        <f t="shared" si="26"/>
        <v>0</v>
      </c>
      <c r="R138" s="57">
        <f t="shared" si="27"/>
        <v>0</v>
      </c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</row>
    <row r="139" spans="2:31" ht="15.75" customHeight="1" x14ac:dyDescent="0.45">
      <c r="B139" s="520">
        <v>7574762190</v>
      </c>
      <c r="C139" s="363" t="s">
        <v>548</v>
      </c>
      <c r="D139" s="216" t="s">
        <v>511</v>
      </c>
      <c r="E139" s="57">
        <v>2</v>
      </c>
      <c r="F139" s="57">
        <v>84</v>
      </c>
      <c r="G139" s="57"/>
      <c r="H139" s="57">
        <f>(G65/(0.0005*100)/2000)</f>
        <v>0</v>
      </c>
      <c r="I139" s="57">
        <f>(30*[1]BC!$B$47/F139)</f>
        <v>4.2857142857142856</v>
      </c>
      <c r="J139" s="363">
        <f t="shared" si="30"/>
        <v>4.2857142857142856</v>
      </c>
      <c r="K139" s="216">
        <f t="shared" si="31"/>
        <v>0</v>
      </c>
      <c r="L139" s="216">
        <f t="shared" si="23"/>
        <v>0</v>
      </c>
      <c r="M139" s="364">
        <v>586</v>
      </c>
      <c r="N139" s="365">
        <f t="shared" si="24"/>
        <v>0</v>
      </c>
      <c r="O139" s="91" t="e">
        <f t="shared" si="29"/>
        <v>#DIV/0!</v>
      </c>
      <c r="P139" s="365"/>
      <c r="Q139" s="57">
        <f t="shared" si="26"/>
        <v>0</v>
      </c>
      <c r="R139" s="57">
        <f t="shared" si="27"/>
        <v>0</v>
      </c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</row>
    <row r="140" spans="2:31" ht="15.75" customHeight="1" x14ac:dyDescent="0.45">
      <c r="B140" s="520">
        <v>5109469190</v>
      </c>
      <c r="C140" s="55" t="s">
        <v>549</v>
      </c>
      <c r="D140" s="216" t="s">
        <v>511</v>
      </c>
      <c r="E140" s="57">
        <v>2</v>
      </c>
      <c r="F140" s="57">
        <v>84</v>
      </c>
      <c r="G140" s="57"/>
      <c r="H140" s="57">
        <f>(G66/(0.0005*100)/2000)</f>
        <v>0</v>
      </c>
      <c r="I140" s="57">
        <f>(30*[1]BC!$B$47/F140)</f>
        <v>4.2857142857142856</v>
      </c>
      <c r="J140" s="363">
        <f t="shared" si="30"/>
        <v>4.2857142857142856</v>
      </c>
      <c r="K140" s="216">
        <f t="shared" si="31"/>
        <v>0</v>
      </c>
      <c r="L140" s="216">
        <f t="shared" si="23"/>
        <v>0</v>
      </c>
      <c r="M140" s="364">
        <v>264</v>
      </c>
      <c r="N140" s="365">
        <f t="shared" si="24"/>
        <v>0</v>
      </c>
      <c r="O140" s="91" t="e">
        <f t="shared" si="29"/>
        <v>#DIV/0!</v>
      </c>
      <c r="P140" s="365"/>
      <c r="Q140" s="57">
        <f t="shared" si="26"/>
        <v>0</v>
      </c>
      <c r="R140" s="57">
        <f t="shared" si="27"/>
        <v>0</v>
      </c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</row>
    <row r="141" spans="2:31" ht="15.75" customHeight="1" x14ac:dyDescent="0.45">
      <c r="B141" s="520">
        <v>12017504122</v>
      </c>
      <c r="C141" s="55" t="s">
        <v>550</v>
      </c>
      <c r="D141" s="216" t="s">
        <v>511</v>
      </c>
      <c r="E141" s="57">
        <v>2</v>
      </c>
      <c r="F141" s="57">
        <v>84</v>
      </c>
      <c r="G141" s="57"/>
      <c r="H141" s="57">
        <f>(G67/(0.0009*100)/2000)</f>
        <v>0</v>
      </c>
      <c r="I141" s="57">
        <f>(30*[1]BC!$B$47/F141)</f>
        <v>4.2857142857142856</v>
      </c>
      <c r="J141" s="363">
        <f t="shared" si="30"/>
        <v>4.2857142857142856</v>
      </c>
      <c r="K141" s="216">
        <f t="shared" si="31"/>
        <v>0</v>
      </c>
      <c r="L141" s="216">
        <f t="shared" si="23"/>
        <v>0</v>
      </c>
      <c r="M141" s="364">
        <v>177</v>
      </c>
      <c r="N141" s="365">
        <f t="shared" si="24"/>
        <v>0</v>
      </c>
      <c r="O141" s="91" t="e">
        <f t="shared" si="29"/>
        <v>#DIV/0!</v>
      </c>
      <c r="P141" s="365"/>
      <c r="Q141" s="57">
        <f t="shared" si="26"/>
        <v>0</v>
      </c>
      <c r="R141" s="57">
        <f t="shared" si="27"/>
        <v>0</v>
      </c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</row>
    <row r="142" spans="2:31" ht="15.75" customHeight="1" x14ac:dyDescent="0.45">
      <c r="B142" s="520">
        <v>9557423190</v>
      </c>
      <c r="C142" s="56" t="s">
        <v>551</v>
      </c>
      <c r="D142" s="216" t="s">
        <v>511</v>
      </c>
      <c r="E142" s="57">
        <v>2</v>
      </c>
      <c r="F142" s="57">
        <v>84</v>
      </c>
      <c r="G142" s="57"/>
      <c r="H142" s="57">
        <f>(G68/(0.0009*100)/2000)</f>
        <v>0</v>
      </c>
      <c r="I142" s="57">
        <f>(30*[1]BC!$B$47/F142)</f>
        <v>4.2857142857142856</v>
      </c>
      <c r="J142" s="363">
        <f t="shared" si="30"/>
        <v>4.2857142857142856</v>
      </c>
      <c r="K142" s="216">
        <f t="shared" si="31"/>
        <v>0</v>
      </c>
      <c r="L142" s="216">
        <f t="shared" si="23"/>
        <v>0</v>
      </c>
      <c r="M142" s="368">
        <v>77</v>
      </c>
      <c r="N142" s="365">
        <f t="shared" si="24"/>
        <v>0</v>
      </c>
      <c r="O142" s="91" t="e">
        <f t="shared" si="29"/>
        <v>#DIV/0!</v>
      </c>
      <c r="P142" s="365"/>
      <c r="Q142" s="57">
        <f t="shared" si="26"/>
        <v>0</v>
      </c>
      <c r="R142" s="57">
        <f t="shared" si="27"/>
        <v>0</v>
      </c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</row>
    <row r="143" spans="2:31" ht="15.75" customHeight="1" x14ac:dyDescent="0.45">
      <c r="B143" s="520">
        <v>11820893122</v>
      </c>
      <c r="C143" s="363" t="s">
        <v>552</v>
      </c>
      <c r="D143" s="216" t="s">
        <v>511</v>
      </c>
      <c r="E143" s="57">
        <v>2</v>
      </c>
      <c r="F143" s="57">
        <v>84</v>
      </c>
      <c r="G143" s="57"/>
      <c r="H143" s="57">
        <f>(G69/(0.0005*100)/2000)</f>
        <v>0</v>
      </c>
      <c r="I143" s="57">
        <f>(30*[1]BC!$B$47/F143)</f>
        <v>4.2857142857142856</v>
      </c>
      <c r="J143" s="363">
        <f t="shared" si="30"/>
        <v>4.2857142857142856</v>
      </c>
      <c r="K143" s="216">
        <f t="shared" si="31"/>
        <v>0</v>
      </c>
      <c r="L143" s="216">
        <f t="shared" si="23"/>
        <v>0</v>
      </c>
      <c r="M143" s="364">
        <v>275</v>
      </c>
      <c r="N143" s="365">
        <f t="shared" si="24"/>
        <v>0</v>
      </c>
      <c r="O143" s="91" t="e">
        <f t="shared" si="29"/>
        <v>#DIV/0!</v>
      </c>
      <c r="P143" s="365"/>
      <c r="Q143" s="57">
        <f t="shared" si="26"/>
        <v>0</v>
      </c>
      <c r="R143" s="57">
        <f t="shared" si="27"/>
        <v>0</v>
      </c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</row>
    <row r="144" spans="2:31" ht="15.75" customHeight="1" x14ac:dyDescent="0.45">
      <c r="B144" s="520">
        <v>11972111122</v>
      </c>
      <c r="C144" s="363" t="s">
        <v>553</v>
      </c>
      <c r="D144" s="216" t="s">
        <v>511</v>
      </c>
      <c r="E144" s="57">
        <v>2</v>
      </c>
      <c r="F144" s="57">
        <v>84</v>
      </c>
      <c r="G144" s="57"/>
      <c r="H144" s="57">
        <f>(G70/(0.0005*100)/2000)</f>
        <v>0</v>
      </c>
      <c r="I144" s="57">
        <f>(30*[1]BC!$B$47/F144)</f>
        <v>4.2857142857142856</v>
      </c>
      <c r="J144" s="363">
        <f t="shared" si="30"/>
        <v>4.2857142857142856</v>
      </c>
      <c r="K144" s="216">
        <f t="shared" si="31"/>
        <v>0</v>
      </c>
      <c r="L144" s="216">
        <f t="shared" si="23"/>
        <v>0</v>
      </c>
      <c r="M144" s="364">
        <v>335</v>
      </c>
      <c r="N144" s="365">
        <f t="shared" si="24"/>
        <v>0</v>
      </c>
      <c r="O144" s="91" t="e">
        <f t="shared" si="29"/>
        <v>#DIV/0!</v>
      </c>
      <c r="P144" s="365"/>
      <c r="Q144" s="57">
        <f t="shared" si="26"/>
        <v>0</v>
      </c>
      <c r="R144" s="57">
        <f t="shared" si="27"/>
        <v>0</v>
      </c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</row>
    <row r="145" spans="2:31" ht="15.75" customHeight="1" x14ac:dyDescent="0.45">
      <c r="B145" s="520">
        <v>12133121122</v>
      </c>
      <c r="C145" s="363" t="s">
        <v>554</v>
      </c>
      <c r="D145" s="216" t="s">
        <v>511</v>
      </c>
      <c r="E145" s="57">
        <v>2</v>
      </c>
      <c r="F145" s="57">
        <v>42</v>
      </c>
      <c r="G145" s="57"/>
      <c r="H145" s="57">
        <f>(G71/(0.0005*100)/2000)</f>
        <v>0</v>
      </c>
      <c r="I145" s="57">
        <f>(30*[1]BC!$B$47/F145)</f>
        <v>8.5714285714285712</v>
      </c>
      <c r="J145" s="363">
        <f t="shared" si="30"/>
        <v>8.5714285714285712</v>
      </c>
      <c r="K145" s="216">
        <f t="shared" si="31"/>
        <v>0</v>
      </c>
      <c r="L145" s="216">
        <f t="shared" si="23"/>
        <v>0</v>
      </c>
      <c r="M145" s="364">
        <v>233</v>
      </c>
      <c r="N145" s="365">
        <f t="shared" si="24"/>
        <v>0</v>
      </c>
      <c r="O145" s="91" t="e">
        <f t="shared" si="29"/>
        <v>#DIV/0!</v>
      </c>
      <c r="P145" s="365"/>
      <c r="Q145" s="57">
        <f t="shared" si="26"/>
        <v>0</v>
      </c>
      <c r="R145" s="57">
        <f t="shared" si="27"/>
        <v>0</v>
      </c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</row>
    <row r="146" spans="2:31" ht="15.75" customHeight="1" x14ac:dyDescent="0.45">
      <c r="B146" s="520">
        <v>4854101200</v>
      </c>
      <c r="C146" s="363" t="s">
        <v>555</v>
      </c>
      <c r="D146" s="216" t="s">
        <v>511</v>
      </c>
      <c r="E146" s="57">
        <v>2</v>
      </c>
      <c r="F146" s="57">
        <v>84</v>
      </c>
      <c r="G146" s="57"/>
      <c r="H146" s="57">
        <f>(G72/(0.0005*100)/2000)</f>
        <v>0</v>
      </c>
      <c r="I146" s="57">
        <f>(30*[1]BC!$B$47/F146)</f>
        <v>4.2857142857142856</v>
      </c>
      <c r="J146" s="363">
        <f t="shared" si="30"/>
        <v>4.2857142857142856</v>
      </c>
      <c r="K146" s="216">
        <f t="shared" si="31"/>
        <v>0</v>
      </c>
      <c r="L146" s="216">
        <f t="shared" si="23"/>
        <v>0</v>
      </c>
      <c r="M146" s="364">
        <v>483</v>
      </c>
      <c r="N146" s="365">
        <f t="shared" si="24"/>
        <v>0</v>
      </c>
      <c r="O146" s="91" t="e">
        <f t="shared" si="29"/>
        <v>#DIV/0!</v>
      </c>
      <c r="P146" s="365"/>
      <c r="Q146" s="57">
        <f t="shared" si="26"/>
        <v>0</v>
      </c>
      <c r="R146" s="57">
        <f t="shared" si="27"/>
        <v>0</v>
      </c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</row>
    <row r="147" spans="2:31" ht="15.75" customHeight="1" x14ac:dyDescent="0.45">
      <c r="B147" s="520">
        <v>5144701190</v>
      </c>
      <c r="C147" s="363" t="s">
        <v>556</v>
      </c>
      <c r="D147" s="216" t="s">
        <v>511</v>
      </c>
      <c r="E147" s="57">
        <v>2</v>
      </c>
      <c r="F147" s="57">
        <v>28</v>
      </c>
      <c r="G147" s="57"/>
      <c r="H147" s="57">
        <f>(G74/(0.0005*100)/2000)</f>
        <v>0</v>
      </c>
      <c r="I147" s="57">
        <f>(30*[1]BC!$B$47/F147)</f>
        <v>12.857142857142858</v>
      </c>
      <c r="J147" s="363">
        <f t="shared" si="30"/>
        <v>12.857142857142858</v>
      </c>
      <c r="K147" s="216">
        <f t="shared" si="31"/>
        <v>0</v>
      </c>
      <c r="L147" s="216">
        <f t="shared" si="23"/>
        <v>0</v>
      </c>
      <c r="M147" s="364">
        <v>433</v>
      </c>
      <c r="N147" s="365">
        <f t="shared" si="24"/>
        <v>0</v>
      </c>
      <c r="O147" s="91" t="e">
        <f t="shared" si="29"/>
        <v>#DIV/0!</v>
      </c>
      <c r="P147" s="365"/>
      <c r="Q147" s="57">
        <f t="shared" si="26"/>
        <v>0</v>
      </c>
      <c r="R147" s="57">
        <f t="shared" si="27"/>
        <v>0</v>
      </c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</row>
    <row r="148" spans="2:31" ht="15.75" customHeight="1" x14ac:dyDescent="0.45">
      <c r="B148" s="520">
        <v>9315292190</v>
      </c>
      <c r="C148" s="363" t="s">
        <v>557</v>
      </c>
      <c r="D148" s="216" t="s">
        <v>511</v>
      </c>
      <c r="E148" s="57">
        <v>2</v>
      </c>
      <c r="F148" s="57">
        <v>84</v>
      </c>
      <c r="G148" s="57"/>
      <c r="H148" s="57">
        <f>(G75/(0.0005*100)/2000)</f>
        <v>0</v>
      </c>
      <c r="I148" s="57">
        <f>(30*[1]BC!$B$47/F148)</f>
        <v>4.2857142857142856</v>
      </c>
      <c r="J148" s="363">
        <f t="shared" si="30"/>
        <v>4.2857142857142856</v>
      </c>
      <c r="K148" s="216">
        <f t="shared" si="31"/>
        <v>0</v>
      </c>
      <c r="L148" s="216">
        <f t="shared" si="23"/>
        <v>0</v>
      </c>
      <c r="M148" s="364">
        <v>138</v>
      </c>
      <c r="N148" s="365">
        <f t="shared" si="24"/>
        <v>0</v>
      </c>
      <c r="O148" s="91" t="e">
        <f t="shared" si="29"/>
        <v>#DIV/0!</v>
      </c>
      <c r="P148" s="365"/>
      <c r="Q148" s="57">
        <f t="shared" si="26"/>
        <v>0</v>
      </c>
      <c r="R148" s="57">
        <f t="shared" si="27"/>
        <v>0</v>
      </c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</row>
    <row r="149" spans="2:31" ht="15.75" customHeight="1" x14ac:dyDescent="0.45">
      <c r="B149" s="520">
        <v>9315276190</v>
      </c>
      <c r="C149" s="55" t="s">
        <v>558</v>
      </c>
      <c r="D149" s="216" t="s">
        <v>511</v>
      </c>
      <c r="E149" s="57">
        <v>2</v>
      </c>
      <c r="F149" s="57"/>
      <c r="G149" s="57"/>
      <c r="H149" s="57">
        <f>(G76/(0.0005*100)/2000)</f>
        <v>0</v>
      </c>
      <c r="I149" s="57" t="e">
        <f>(30*[1]BC!$B$47/F149)</f>
        <v>#DIV/0!</v>
      </c>
      <c r="J149" s="363" t="e">
        <f t="shared" si="30"/>
        <v>#DIV/0!</v>
      </c>
      <c r="K149" s="216">
        <f t="shared" si="31"/>
        <v>0</v>
      </c>
      <c r="L149" s="216">
        <f t="shared" si="23"/>
        <v>0</v>
      </c>
      <c r="M149" s="368"/>
      <c r="N149" s="365">
        <f t="shared" si="24"/>
        <v>0</v>
      </c>
      <c r="O149" s="91" t="e">
        <f t="shared" si="29"/>
        <v>#DIV/0!</v>
      </c>
      <c r="P149" s="365"/>
      <c r="Q149" s="57">
        <f t="shared" si="26"/>
        <v>0</v>
      </c>
      <c r="R149" s="57">
        <f t="shared" si="27"/>
        <v>0</v>
      </c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</row>
    <row r="150" spans="2:31" ht="15.75" customHeight="1" x14ac:dyDescent="0.45">
      <c r="B150" s="520">
        <v>7092547190</v>
      </c>
      <c r="C150" s="55" t="s">
        <v>559</v>
      </c>
      <c r="D150" s="216" t="s">
        <v>511</v>
      </c>
      <c r="E150" s="57">
        <v>2</v>
      </c>
      <c r="F150" s="57">
        <v>31</v>
      </c>
      <c r="G150" s="57"/>
      <c r="H150" s="57">
        <f>(G77/(0.0005*100)/2000)</f>
        <v>0</v>
      </c>
      <c r="I150" s="57">
        <f>(30*[1]BC!$B$47/F150)</f>
        <v>11.612903225806452</v>
      </c>
      <c r="J150" s="363">
        <f t="shared" si="30"/>
        <v>11.612903225806452</v>
      </c>
      <c r="K150" s="216">
        <f t="shared" si="31"/>
        <v>0</v>
      </c>
      <c r="L150" s="216">
        <f t="shared" si="23"/>
        <v>0</v>
      </c>
      <c r="M150" s="364">
        <v>79</v>
      </c>
      <c r="N150" s="365">
        <f t="shared" si="24"/>
        <v>0</v>
      </c>
      <c r="O150" s="91" t="e">
        <f t="shared" si="29"/>
        <v>#DIV/0!</v>
      </c>
      <c r="P150" s="365"/>
      <c r="Q150" s="57">
        <f t="shared" si="26"/>
        <v>0</v>
      </c>
      <c r="R150" s="57">
        <f t="shared" si="27"/>
        <v>0</v>
      </c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</row>
    <row r="151" spans="2:31" ht="15.75" customHeight="1" x14ac:dyDescent="0.45">
      <c r="B151" s="520">
        <v>6505970190</v>
      </c>
      <c r="C151" s="363" t="s">
        <v>560</v>
      </c>
      <c r="D151" s="216" t="s">
        <v>511</v>
      </c>
      <c r="E151" s="57">
        <v>2</v>
      </c>
      <c r="F151" s="57">
        <v>56</v>
      </c>
      <c r="G151" s="57"/>
      <c r="H151" s="57">
        <f>(G78/(0.0005*100)/2000)</f>
        <v>0</v>
      </c>
      <c r="I151" s="57">
        <f>(30*[1]BC!$B$47/F151)</f>
        <v>6.4285714285714288</v>
      </c>
      <c r="J151" s="363">
        <f t="shared" si="30"/>
        <v>6.4285714285714288</v>
      </c>
      <c r="K151" s="216">
        <f t="shared" si="31"/>
        <v>0</v>
      </c>
      <c r="L151" s="216">
        <f t="shared" si="23"/>
        <v>0</v>
      </c>
      <c r="M151" s="364">
        <v>478</v>
      </c>
      <c r="N151" s="365">
        <f t="shared" si="24"/>
        <v>0</v>
      </c>
      <c r="O151" s="91" t="e">
        <f t="shared" si="29"/>
        <v>#DIV/0!</v>
      </c>
      <c r="P151" s="365"/>
      <c r="Q151" s="57">
        <f t="shared" si="26"/>
        <v>0</v>
      </c>
      <c r="R151" s="57">
        <f t="shared" si="27"/>
        <v>0</v>
      </c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</row>
    <row r="152" spans="2:31" ht="15.75" customHeight="1" x14ac:dyDescent="0.45">
      <c r="B152" s="520">
        <v>3277356190</v>
      </c>
      <c r="C152" s="55" t="s">
        <v>561</v>
      </c>
      <c r="D152" s="216" t="s">
        <v>511</v>
      </c>
      <c r="E152" s="57">
        <v>2</v>
      </c>
      <c r="F152" s="57">
        <v>84</v>
      </c>
      <c r="G152" s="57"/>
      <c r="H152" s="57">
        <f>(G79/(0.0009*100)/2000)</f>
        <v>0</v>
      </c>
      <c r="I152" s="57">
        <f>(30*[1]BC!$B$47/F152)</f>
        <v>4.2857142857142856</v>
      </c>
      <c r="J152" s="363">
        <f t="shared" si="30"/>
        <v>4.2857142857142856</v>
      </c>
      <c r="K152" s="216">
        <f t="shared" si="31"/>
        <v>0</v>
      </c>
      <c r="L152" s="216">
        <f t="shared" si="23"/>
        <v>0</v>
      </c>
      <c r="M152" s="364">
        <v>69</v>
      </c>
      <c r="N152" s="365">
        <f t="shared" si="24"/>
        <v>0</v>
      </c>
      <c r="O152" s="91" t="e">
        <f t="shared" si="29"/>
        <v>#DIV/0!</v>
      </c>
      <c r="P152" s="365"/>
      <c r="Q152" s="57">
        <f t="shared" si="26"/>
        <v>0</v>
      </c>
      <c r="R152" s="57">
        <f t="shared" si="27"/>
        <v>0</v>
      </c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</row>
    <row r="153" spans="2:31" ht="15.75" customHeight="1" x14ac:dyDescent="0.45">
      <c r="B153" s="520">
        <v>5608554190</v>
      </c>
      <c r="C153" s="363" t="s">
        <v>562</v>
      </c>
      <c r="D153" s="216" t="s">
        <v>511</v>
      </c>
      <c r="E153" s="57">
        <v>2</v>
      </c>
      <c r="F153" s="57">
        <v>90</v>
      </c>
      <c r="G153" s="57"/>
      <c r="H153" s="57">
        <f>(G80/(0.0005*100)/2000)</f>
        <v>0</v>
      </c>
      <c r="I153" s="57">
        <f>(30*[1]BC!$B$47/F153)</f>
        <v>4</v>
      </c>
      <c r="J153" s="363">
        <f t="shared" si="30"/>
        <v>4</v>
      </c>
      <c r="K153" s="216">
        <f t="shared" si="31"/>
        <v>0</v>
      </c>
      <c r="L153" s="216">
        <f t="shared" si="23"/>
        <v>0</v>
      </c>
      <c r="M153" s="364">
        <v>456</v>
      </c>
      <c r="N153" s="365">
        <f t="shared" si="24"/>
        <v>0</v>
      </c>
      <c r="O153" s="91" t="e">
        <f t="shared" si="29"/>
        <v>#DIV/0!</v>
      </c>
      <c r="P153" s="365"/>
      <c r="Q153" s="57">
        <f t="shared" si="26"/>
        <v>0</v>
      </c>
      <c r="R153" s="57">
        <f t="shared" si="27"/>
        <v>0</v>
      </c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</row>
    <row r="154" spans="2:31" ht="15.75" customHeight="1" x14ac:dyDescent="0.45">
      <c r="B154" s="520">
        <v>8928452190</v>
      </c>
      <c r="C154" s="55" t="s">
        <v>563</v>
      </c>
      <c r="D154" s="216" t="s">
        <v>511</v>
      </c>
      <c r="E154" s="57">
        <v>2</v>
      </c>
      <c r="F154" s="57">
        <v>84</v>
      </c>
      <c r="G154" s="57"/>
      <c r="H154" s="57">
        <f>(G81/(0.0005*100)/2000)</f>
        <v>0</v>
      </c>
      <c r="I154" s="57">
        <f>(30*[1]BC!$B$47/F154)</f>
        <v>4.2857142857142856</v>
      </c>
      <c r="J154" s="363">
        <f t="shared" si="30"/>
        <v>4.2857142857142856</v>
      </c>
      <c r="K154" s="216">
        <f t="shared" si="31"/>
        <v>0</v>
      </c>
      <c r="L154" s="216">
        <f t="shared" si="23"/>
        <v>0</v>
      </c>
      <c r="M154" s="364">
        <v>120</v>
      </c>
      <c r="N154" s="365">
        <f t="shared" si="24"/>
        <v>0</v>
      </c>
      <c r="O154" s="91" t="e">
        <f t="shared" si="29"/>
        <v>#DIV/0!</v>
      </c>
      <c r="P154" s="365"/>
      <c r="Q154" s="57">
        <f t="shared" si="26"/>
        <v>0</v>
      </c>
      <c r="R154" s="57">
        <f t="shared" si="27"/>
        <v>0</v>
      </c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</row>
    <row r="155" spans="2:31" ht="15.75" customHeight="1" x14ac:dyDescent="0.45">
      <c r="B155" s="520">
        <v>7126999190</v>
      </c>
      <c r="C155" s="874" t="s">
        <v>564</v>
      </c>
      <c r="D155" s="216" t="s">
        <v>511</v>
      </c>
      <c r="E155" s="57">
        <v>2</v>
      </c>
      <c r="F155" s="57">
        <v>28</v>
      </c>
      <c r="G155" s="57"/>
      <c r="H155" s="57">
        <f>(G85/(0.0005*100)/2000)</f>
        <v>0</v>
      </c>
      <c r="I155" s="57">
        <f>(30*[1]BC!$B$47/F155)</f>
        <v>12.857142857142858</v>
      </c>
      <c r="J155" s="363">
        <f t="shared" si="30"/>
        <v>12.857142857142858</v>
      </c>
      <c r="K155" s="216">
        <f t="shared" si="31"/>
        <v>0</v>
      </c>
      <c r="L155" s="216">
        <f t="shared" si="23"/>
        <v>0</v>
      </c>
      <c r="M155" s="364">
        <v>219</v>
      </c>
      <c r="N155" s="365">
        <f t="shared" si="24"/>
        <v>0</v>
      </c>
      <c r="O155" s="91" t="e">
        <f t="shared" si="29"/>
        <v>#DIV/0!</v>
      </c>
      <c r="P155" s="365"/>
      <c r="Q155" s="57">
        <f t="shared" si="26"/>
        <v>0</v>
      </c>
      <c r="R155" s="57">
        <f t="shared" si="27"/>
        <v>0</v>
      </c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</row>
    <row r="156" spans="2:31" ht="15.75" customHeight="1" x14ac:dyDescent="0.45">
      <c r="B156" s="520" t="s">
        <v>565</v>
      </c>
      <c r="C156" s="363" t="s">
        <v>566</v>
      </c>
      <c r="D156" s="216" t="s">
        <v>511</v>
      </c>
      <c r="E156" s="57">
        <v>2</v>
      </c>
      <c r="F156" s="57">
        <v>28</v>
      </c>
      <c r="G156" s="57"/>
      <c r="H156" s="57">
        <f>(G86/(0.0005*100)/2000)</f>
        <v>0</v>
      </c>
      <c r="I156" s="57">
        <f>(30*[1]BC!$B$47/F156)</f>
        <v>12.857142857142858</v>
      </c>
      <c r="J156" s="363">
        <f t="shared" si="30"/>
        <v>12.857142857142858</v>
      </c>
      <c r="K156" s="216">
        <f t="shared" si="31"/>
        <v>0</v>
      </c>
      <c r="L156" s="216">
        <f t="shared" si="23"/>
        <v>0</v>
      </c>
      <c r="M156" s="368"/>
      <c r="N156" s="365">
        <f t="shared" si="24"/>
        <v>0</v>
      </c>
      <c r="O156" s="91" t="e">
        <f t="shared" si="29"/>
        <v>#DIV/0!</v>
      </c>
      <c r="P156" s="365"/>
      <c r="Q156" s="57">
        <f t="shared" si="26"/>
        <v>0</v>
      </c>
      <c r="R156" s="57">
        <f t="shared" si="27"/>
        <v>0</v>
      </c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</row>
    <row r="157" spans="2:31" ht="15.75" customHeight="1" x14ac:dyDescent="0.45">
      <c r="B157" s="520">
        <v>3052028190</v>
      </c>
      <c r="C157" s="363" t="s">
        <v>567</v>
      </c>
      <c r="D157" s="216" t="s">
        <v>511</v>
      </c>
      <c r="E157" s="57">
        <v>2</v>
      </c>
      <c r="F157" s="57">
        <v>56</v>
      </c>
      <c r="G157" s="57"/>
      <c r="H157" s="57">
        <f>(G87/(0.0005*100)/2000)</f>
        <v>0</v>
      </c>
      <c r="I157" s="57">
        <f>(30*[1]BC!$B$47/F157)</f>
        <v>6.4285714285714288</v>
      </c>
      <c r="J157" s="363">
        <f t="shared" si="30"/>
        <v>6.4285714285714288</v>
      </c>
      <c r="K157" s="216">
        <f t="shared" si="31"/>
        <v>0</v>
      </c>
      <c r="L157" s="216">
        <f t="shared" si="23"/>
        <v>0</v>
      </c>
      <c r="M157" s="364">
        <v>116</v>
      </c>
      <c r="N157" s="365">
        <f t="shared" si="24"/>
        <v>0</v>
      </c>
      <c r="O157" s="91" t="e">
        <f t="shared" si="29"/>
        <v>#DIV/0!</v>
      </c>
      <c r="P157" s="365"/>
      <c r="Q157" s="57">
        <f t="shared" si="26"/>
        <v>0</v>
      </c>
      <c r="R157" s="57">
        <f t="shared" si="27"/>
        <v>0</v>
      </c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</row>
    <row r="158" spans="2:31" ht="15.75" customHeight="1" x14ac:dyDescent="0.45">
      <c r="B158" s="520">
        <v>11731548122</v>
      </c>
      <c r="C158" s="55" t="s">
        <v>568</v>
      </c>
      <c r="D158" s="216" t="s">
        <v>511</v>
      </c>
      <c r="E158" s="57">
        <v>2</v>
      </c>
      <c r="F158" s="57">
        <v>56</v>
      </c>
      <c r="G158" s="57"/>
      <c r="H158" s="57">
        <f>(G89/(0.0005*100)/2000)</f>
        <v>0</v>
      </c>
      <c r="I158" s="57">
        <f>(30*[1]BC!$B$47/F158)</f>
        <v>6.4285714285714288</v>
      </c>
      <c r="J158" s="363">
        <f t="shared" si="30"/>
        <v>6.4285714285714288</v>
      </c>
      <c r="K158" s="216">
        <f t="shared" si="31"/>
        <v>0</v>
      </c>
      <c r="L158" s="216">
        <f t="shared" si="23"/>
        <v>0</v>
      </c>
      <c r="M158" s="364">
        <v>189</v>
      </c>
      <c r="N158" s="365">
        <f t="shared" si="24"/>
        <v>0</v>
      </c>
      <c r="O158" s="91" t="e">
        <f t="shared" si="29"/>
        <v>#DIV/0!</v>
      </c>
      <c r="P158" s="365"/>
      <c r="Q158" s="57">
        <f t="shared" si="26"/>
        <v>0</v>
      </c>
      <c r="R158" s="57">
        <f t="shared" si="27"/>
        <v>0</v>
      </c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</row>
    <row r="159" spans="2:31" ht="15.75" customHeight="1" x14ac:dyDescent="0.45">
      <c r="B159" s="520">
        <v>12017717122</v>
      </c>
      <c r="C159" s="55" t="s">
        <v>569</v>
      </c>
      <c r="D159" s="216" t="s">
        <v>511</v>
      </c>
      <c r="E159" s="57">
        <v>2</v>
      </c>
      <c r="F159" s="57">
        <v>84</v>
      </c>
      <c r="G159" s="57"/>
      <c r="H159" s="57">
        <f>(G90/(0.0005*100)/2000)</f>
        <v>0</v>
      </c>
      <c r="I159" s="57">
        <f>(30*[1]BC!$B$47/F159)</f>
        <v>4.2857142857142856</v>
      </c>
      <c r="J159" s="363">
        <f t="shared" si="30"/>
        <v>4.2857142857142856</v>
      </c>
      <c r="K159" s="216">
        <f t="shared" si="31"/>
        <v>0</v>
      </c>
      <c r="L159" s="216">
        <f t="shared" si="23"/>
        <v>0</v>
      </c>
      <c r="M159" s="364">
        <v>189</v>
      </c>
      <c r="N159" s="365">
        <f t="shared" si="24"/>
        <v>0</v>
      </c>
      <c r="O159" s="91" t="e">
        <f t="shared" si="29"/>
        <v>#DIV/0!</v>
      </c>
      <c r="P159" s="365"/>
      <c r="Q159" s="57">
        <f t="shared" si="26"/>
        <v>0</v>
      </c>
      <c r="R159" s="57">
        <f t="shared" si="27"/>
        <v>0</v>
      </c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</row>
    <row r="160" spans="2:31" ht="15.75" customHeight="1" x14ac:dyDescent="0.45">
      <c r="B160" s="520">
        <v>5202230190</v>
      </c>
      <c r="C160" s="55" t="s">
        <v>570</v>
      </c>
      <c r="D160" s="216" t="s">
        <v>511</v>
      </c>
      <c r="E160" s="57">
        <v>2</v>
      </c>
      <c r="F160" s="57">
        <v>84</v>
      </c>
      <c r="G160" s="57"/>
      <c r="H160" s="57">
        <f>(G91/(0.0002*100)/2000)</f>
        <v>0</v>
      </c>
      <c r="I160" s="57">
        <f>(30*[1]BC!$B$47/F160)</f>
        <v>4.2857142857142856</v>
      </c>
      <c r="J160" s="363">
        <f t="shared" si="30"/>
        <v>4.2857142857142856</v>
      </c>
      <c r="K160" s="216">
        <f t="shared" si="31"/>
        <v>0</v>
      </c>
      <c r="L160" s="216">
        <f t="shared" si="23"/>
        <v>0</v>
      </c>
      <c r="M160" s="364">
        <v>79</v>
      </c>
      <c r="N160" s="365">
        <f t="shared" si="24"/>
        <v>0</v>
      </c>
      <c r="O160" s="91" t="e">
        <f t="shared" si="29"/>
        <v>#DIV/0!</v>
      </c>
      <c r="P160" s="365"/>
      <c r="Q160" s="57">
        <f t="shared" si="26"/>
        <v>0</v>
      </c>
      <c r="R160" s="57">
        <f t="shared" si="27"/>
        <v>0</v>
      </c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</row>
    <row r="161" spans="2:31" ht="15.75" customHeight="1" x14ac:dyDescent="0.45">
      <c r="B161" s="520">
        <v>8991405190</v>
      </c>
      <c r="C161" s="55" t="s">
        <v>571</v>
      </c>
      <c r="D161" s="216" t="s">
        <v>511</v>
      </c>
      <c r="E161" s="57">
        <v>2</v>
      </c>
      <c r="F161" s="57">
        <v>93</v>
      </c>
      <c r="G161" s="57"/>
      <c r="H161" s="57">
        <f>(G92/(0.0005*100)/2000)</f>
        <v>0</v>
      </c>
      <c r="I161" s="57">
        <f>(30*[1]BC!$B$47/F161)</f>
        <v>3.870967741935484</v>
      </c>
      <c r="J161" s="363">
        <f t="shared" si="30"/>
        <v>3.870967741935484</v>
      </c>
      <c r="K161" s="216">
        <f t="shared" si="31"/>
        <v>0</v>
      </c>
      <c r="L161" s="216">
        <f t="shared" si="23"/>
        <v>0</v>
      </c>
      <c r="M161" s="364">
        <v>76</v>
      </c>
      <c r="N161" s="365">
        <f t="shared" si="24"/>
        <v>0</v>
      </c>
      <c r="O161" s="91" t="e">
        <f t="shared" si="29"/>
        <v>#DIV/0!</v>
      </c>
      <c r="P161" s="365"/>
      <c r="Q161" s="57">
        <f t="shared" si="26"/>
        <v>0</v>
      </c>
      <c r="R161" s="57">
        <f t="shared" si="27"/>
        <v>0</v>
      </c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</row>
    <row r="162" spans="2:31" ht="15.75" customHeight="1" x14ac:dyDescent="0.45">
      <c r="B162" s="520">
        <v>8838534190</v>
      </c>
      <c r="C162" s="55" t="s">
        <v>572</v>
      </c>
      <c r="D162" s="216" t="s">
        <v>511</v>
      </c>
      <c r="E162" s="57">
        <v>2</v>
      </c>
      <c r="F162" s="57">
        <v>84</v>
      </c>
      <c r="G162" s="57"/>
      <c r="H162" s="57">
        <f>(G93/(0.0009*100)/2000)</f>
        <v>0</v>
      </c>
      <c r="I162" s="57">
        <f>(30*[1]BC!$B$47/F162)</f>
        <v>4.2857142857142856</v>
      </c>
      <c r="J162" s="363">
        <f t="shared" si="30"/>
        <v>4.2857142857142856</v>
      </c>
      <c r="K162" s="216">
        <f t="shared" si="31"/>
        <v>0</v>
      </c>
      <c r="L162" s="216">
        <f t="shared" si="23"/>
        <v>0</v>
      </c>
      <c r="M162" s="364">
        <v>194</v>
      </c>
      <c r="N162" s="365">
        <f t="shared" si="24"/>
        <v>0</v>
      </c>
      <c r="O162" s="91" t="e">
        <f t="shared" si="29"/>
        <v>#DIV/0!</v>
      </c>
      <c r="P162" s="365"/>
      <c r="Q162" s="57">
        <f t="shared" si="26"/>
        <v>0</v>
      </c>
      <c r="R162" s="57">
        <f t="shared" si="27"/>
        <v>0</v>
      </c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</row>
    <row r="163" spans="2:31" ht="15.75" customHeight="1" x14ac:dyDescent="0.45">
      <c r="B163" s="520" t="s">
        <v>573</v>
      </c>
      <c r="C163" s="363" t="s">
        <v>574</v>
      </c>
      <c r="D163" s="216" t="s">
        <v>511</v>
      </c>
      <c r="E163" s="57">
        <v>2</v>
      </c>
      <c r="F163" s="57">
        <v>84</v>
      </c>
      <c r="G163" s="57"/>
      <c r="H163" s="57">
        <f>(G97/(0.0005*100)/2000)</f>
        <v>0</v>
      </c>
      <c r="I163" s="57">
        <f>(30*[1]BC!$B$47/F163)</f>
        <v>4.2857142857142856</v>
      </c>
      <c r="J163" s="363">
        <f t="shared" si="30"/>
        <v>4.2857142857142856</v>
      </c>
      <c r="K163" s="216">
        <f t="shared" si="31"/>
        <v>0</v>
      </c>
      <c r="L163" s="216">
        <f t="shared" si="23"/>
        <v>0</v>
      </c>
      <c r="M163" s="364">
        <v>455</v>
      </c>
      <c r="N163" s="365">
        <f t="shared" si="24"/>
        <v>0</v>
      </c>
      <c r="O163" s="91" t="e">
        <f t="shared" si="29"/>
        <v>#DIV/0!</v>
      </c>
      <c r="P163" s="365"/>
      <c r="Q163" s="57">
        <f t="shared" si="26"/>
        <v>0</v>
      </c>
      <c r="R163" s="57">
        <f t="shared" si="27"/>
        <v>0</v>
      </c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</row>
    <row r="164" spans="2:31" ht="15.75" customHeight="1" x14ac:dyDescent="0.45">
      <c r="B164" s="520">
        <v>9315365190</v>
      </c>
      <c r="C164" s="55" t="s">
        <v>575</v>
      </c>
      <c r="D164" s="216" t="s">
        <v>511</v>
      </c>
      <c r="E164" s="57">
        <v>2</v>
      </c>
      <c r="F164" s="57">
        <v>84</v>
      </c>
      <c r="G164" s="57"/>
      <c r="H164" s="57">
        <f>(G98/(0.0005*100)/2000)</f>
        <v>0</v>
      </c>
      <c r="I164" s="57">
        <f>(30*[1]BC!$B$47/F164)</f>
        <v>4.2857142857142856</v>
      </c>
      <c r="J164" s="363">
        <f t="shared" si="30"/>
        <v>4.2857142857142856</v>
      </c>
      <c r="K164" s="216">
        <f t="shared" si="31"/>
        <v>0</v>
      </c>
      <c r="L164" s="216">
        <f t="shared" si="23"/>
        <v>0</v>
      </c>
      <c r="M164" s="364">
        <v>230</v>
      </c>
      <c r="N164" s="365">
        <f t="shared" si="24"/>
        <v>0</v>
      </c>
      <c r="O164" s="91" t="e">
        <f t="shared" si="29"/>
        <v>#DIV/0!</v>
      </c>
      <c r="P164" s="365"/>
      <c r="Q164" s="57">
        <f t="shared" si="26"/>
        <v>0</v>
      </c>
      <c r="R164" s="57">
        <f t="shared" si="27"/>
        <v>0</v>
      </c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</row>
    <row r="165" spans="2:31" ht="15.75" customHeight="1" x14ac:dyDescent="0.45">
      <c r="B165" s="520">
        <v>9315381190</v>
      </c>
      <c r="C165" s="363" t="s">
        <v>576</v>
      </c>
      <c r="D165" s="216" t="s">
        <v>511</v>
      </c>
      <c r="E165" s="57">
        <v>2</v>
      </c>
      <c r="F165" s="57">
        <v>84</v>
      </c>
      <c r="G165" s="57"/>
      <c r="H165" s="57">
        <f>(G99/(0.0005*100)/2000)</f>
        <v>0</v>
      </c>
      <c r="I165" s="57">
        <f>(30*[1]BC!$B$47/F165)</f>
        <v>4.2857142857142856</v>
      </c>
      <c r="J165" s="363">
        <f t="shared" si="30"/>
        <v>4.2857142857142856</v>
      </c>
      <c r="K165" s="216">
        <f t="shared" si="31"/>
        <v>0</v>
      </c>
      <c r="L165" s="216">
        <f t="shared" si="23"/>
        <v>0</v>
      </c>
      <c r="M165" s="364">
        <v>256</v>
      </c>
      <c r="N165" s="365">
        <f t="shared" si="24"/>
        <v>0</v>
      </c>
      <c r="O165" s="91" t="e">
        <f t="shared" si="29"/>
        <v>#DIV/0!</v>
      </c>
      <c r="P165" s="365"/>
      <c r="Q165" s="57">
        <f t="shared" si="26"/>
        <v>0</v>
      </c>
      <c r="R165" s="57">
        <f t="shared" si="27"/>
        <v>0</v>
      </c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</row>
    <row r="166" spans="2:31" ht="15.75" customHeight="1" x14ac:dyDescent="0.45">
      <c r="B166" s="520">
        <v>8443459190</v>
      </c>
      <c r="C166" s="55" t="s">
        <v>577</v>
      </c>
      <c r="D166" s="216" t="s">
        <v>511</v>
      </c>
      <c r="E166" s="57">
        <v>2</v>
      </c>
      <c r="F166" s="57">
        <v>84</v>
      </c>
      <c r="G166" s="57"/>
      <c r="H166" s="57">
        <f>(G100/(0.007*100)/2000)</f>
        <v>0</v>
      </c>
      <c r="I166" s="57">
        <f>(30*[1]BC!$B$47/F166)</f>
        <v>4.2857142857142856</v>
      </c>
      <c r="J166" s="363">
        <f t="shared" si="30"/>
        <v>4.2857142857142856</v>
      </c>
      <c r="K166" s="216">
        <f t="shared" si="31"/>
        <v>0</v>
      </c>
      <c r="L166" s="216">
        <f t="shared" si="23"/>
        <v>0</v>
      </c>
      <c r="M166" s="364">
        <v>73</v>
      </c>
      <c r="N166" s="365">
        <f t="shared" si="24"/>
        <v>0</v>
      </c>
      <c r="O166" s="91" t="e">
        <f t="shared" si="29"/>
        <v>#DIV/0!</v>
      </c>
      <c r="P166" s="365"/>
      <c r="Q166" s="57">
        <f t="shared" si="26"/>
        <v>0</v>
      </c>
      <c r="R166" s="57">
        <f t="shared" si="27"/>
        <v>0</v>
      </c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</row>
    <row r="167" spans="2:31" ht="15.75" customHeight="1" x14ac:dyDescent="0.45">
      <c r="B167" s="520">
        <v>7212780190</v>
      </c>
      <c r="C167" s="55" t="s">
        <v>578</v>
      </c>
      <c r="D167" s="216" t="s">
        <v>511</v>
      </c>
      <c r="E167" s="57">
        <v>2</v>
      </c>
      <c r="F167" s="57">
        <v>84</v>
      </c>
      <c r="G167" s="57"/>
      <c r="H167" s="57">
        <f>(G101/(0.0005*100)/2000)</f>
        <v>0</v>
      </c>
      <c r="I167" s="57">
        <f>(30*[1]BC!$B$47/F167)</f>
        <v>4.2857142857142856</v>
      </c>
      <c r="J167" s="363">
        <f t="shared" si="30"/>
        <v>4.2857142857142856</v>
      </c>
      <c r="K167" s="216">
        <f t="shared" si="31"/>
        <v>0</v>
      </c>
      <c r="L167" s="216">
        <f t="shared" si="23"/>
        <v>0</v>
      </c>
      <c r="M167" s="364">
        <v>235</v>
      </c>
      <c r="N167" s="365">
        <f t="shared" si="24"/>
        <v>0</v>
      </c>
      <c r="O167" s="91" t="e">
        <f t="shared" si="29"/>
        <v>#DIV/0!</v>
      </c>
      <c r="P167" s="365"/>
      <c r="Q167" s="57">
        <f t="shared" si="26"/>
        <v>0</v>
      </c>
      <c r="R167" s="57">
        <f t="shared" si="27"/>
        <v>0</v>
      </c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</row>
    <row r="168" spans="2:31" ht="15.75" customHeight="1" x14ac:dyDescent="0.45">
      <c r="B168" s="520">
        <v>9038116190</v>
      </c>
      <c r="C168" s="55" t="s">
        <v>579</v>
      </c>
      <c r="D168" s="216" t="s">
        <v>511</v>
      </c>
      <c r="E168" s="57">
        <v>2</v>
      </c>
      <c r="F168" s="57">
        <v>84</v>
      </c>
      <c r="G168" s="57"/>
      <c r="H168" s="57">
        <f>(G102/(0.0009*100)/2000)</f>
        <v>0</v>
      </c>
      <c r="I168" s="57">
        <f>(30*[1]BC!$B$47/F168)</f>
        <v>4.2857142857142856</v>
      </c>
      <c r="J168" s="363">
        <f t="shared" si="30"/>
        <v>4.2857142857142856</v>
      </c>
      <c r="K168" s="216">
        <f t="shared" si="31"/>
        <v>0</v>
      </c>
      <c r="L168" s="216">
        <f t="shared" si="23"/>
        <v>0</v>
      </c>
      <c r="M168" s="364">
        <v>635</v>
      </c>
      <c r="N168" s="365">
        <f t="shared" si="24"/>
        <v>0</v>
      </c>
      <c r="O168" s="91" t="e">
        <f t="shared" si="29"/>
        <v>#DIV/0!</v>
      </c>
      <c r="P168" s="365"/>
      <c r="Q168" s="57">
        <f t="shared" si="26"/>
        <v>0</v>
      </c>
      <c r="R168" s="57">
        <f t="shared" si="27"/>
        <v>0</v>
      </c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</row>
    <row r="169" spans="2:31" ht="15.75" customHeight="1" x14ac:dyDescent="0.45">
      <c r="B169" s="378" t="s">
        <v>277</v>
      </c>
      <c r="C169" s="380"/>
      <c r="D169" s="380"/>
      <c r="E169" s="380" t="s">
        <v>183</v>
      </c>
      <c r="F169" s="380" t="s">
        <v>649</v>
      </c>
      <c r="G169" s="382"/>
      <c r="H169" s="379" t="s">
        <v>53</v>
      </c>
      <c r="I169" s="379" t="s">
        <v>52</v>
      </c>
      <c r="J169" s="379" t="s">
        <v>51</v>
      </c>
      <c r="K169" s="379"/>
      <c r="L169" s="379" t="s">
        <v>50</v>
      </c>
      <c r="M169" s="379" t="s">
        <v>49</v>
      </c>
      <c r="N169" s="379" t="s">
        <v>48</v>
      </c>
      <c r="O169" s="379"/>
      <c r="P169" s="379"/>
      <c r="Q169" s="381" t="s">
        <v>318</v>
      </c>
      <c r="R169" s="381" t="s">
        <v>319</v>
      </c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</row>
    <row r="170" spans="2:31" ht="15.75" customHeight="1" x14ac:dyDescent="0.45">
      <c r="B170" s="520">
        <v>9216928190</v>
      </c>
      <c r="C170" s="823" t="s">
        <v>580</v>
      </c>
      <c r="D170" s="216" t="s">
        <v>511</v>
      </c>
      <c r="E170" s="57">
        <v>2</v>
      </c>
      <c r="F170" s="57">
        <v>28</v>
      </c>
      <c r="G170" s="57"/>
      <c r="H170" s="57">
        <f>(G21/(0.00001*300)/3000)</f>
        <v>0</v>
      </c>
      <c r="I170" s="57">
        <f>(30*[1]BC!$B$47/F170)</f>
        <v>12.857142857142858</v>
      </c>
      <c r="J170" s="363">
        <f t="shared" si="30"/>
        <v>12.857142857142858</v>
      </c>
      <c r="K170" s="216">
        <f t="shared" si="31"/>
        <v>0</v>
      </c>
      <c r="L170" s="216">
        <f t="shared" ref="L170:L228" si="32">ROUNDUP(K170,0)</f>
        <v>0</v>
      </c>
      <c r="M170" s="364">
        <v>69</v>
      </c>
      <c r="N170" s="365">
        <f t="shared" ref="N170:N216" si="33">((M170/E170)*L170)</f>
        <v>0</v>
      </c>
      <c r="O170" s="91" t="e">
        <f t="shared" ref="O170:O216" si="34">((M170*$L$233)+M170)</f>
        <v>#DIV/0!</v>
      </c>
      <c r="P170" s="365"/>
      <c r="Q170" s="57">
        <f t="shared" ref="Q170:Q229" si="35">L170/E170</f>
        <v>0</v>
      </c>
      <c r="R170" s="57">
        <f t="shared" ref="R170:R230" si="36">ROUNDUP(Q170,0)</f>
        <v>0</v>
      </c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</row>
    <row r="171" spans="2:31" ht="15.75" customHeight="1" x14ac:dyDescent="0.45">
      <c r="B171" s="363">
        <v>5942322190</v>
      </c>
      <c r="C171" s="832" t="s">
        <v>581</v>
      </c>
      <c r="D171" s="216" t="s">
        <v>511</v>
      </c>
      <c r="E171" s="216">
        <v>3</v>
      </c>
      <c r="F171" s="216">
        <v>84</v>
      </c>
      <c r="G171" s="216"/>
      <c r="H171" s="216">
        <f>(G33/(0.00002*300)/3000)</f>
        <v>0</v>
      </c>
      <c r="I171" s="57">
        <f>(30*[1]BC!$B$47/F171)</f>
        <v>4.2857142857142856</v>
      </c>
      <c r="J171" s="363">
        <f t="shared" si="30"/>
        <v>4.2857142857142856</v>
      </c>
      <c r="K171" s="216">
        <f t="shared" si="31"/>
        <v>0</v>
      </c>
      <c r="L171" s="216">
        <f t="shared" si="32"/>
        <v>0</v>
      </c>
      <c r="M171" s="364">
        <v>589</v>
      </c>
      <c r="N171" s="365">
        <f t="shared" si="33"/>
        <v>0</v>
      </c>
      <c r="O171" s="91" t="e">
        <f t="shared" si="34"/>
        <v>#DIV/0!</v>
      </c>
      <c r="P171" s="365"/>
      <c r="Q171" s="57">
        <f t="shared" si="35"/>
        <v>0</v>
      </c>
      <c r="R171" s="57">
        <f t="shared" si="36"/>
        <v>0</v>
      </c>
      <c r="S171" s="255"/>
      <c r="T171" s="255"/>
      <c r="U171" s="255"/>
      <c r="V171" s="255"/>
      <c r="W171" s="255"/>
      <c r="X171" s="255"/>
      <c r="Y171" s="255"/>
      <c r="Z171" s="255"/>
      <c r="AA171" s="255"/>
      <c r="AB171" s="255"/>
      <c r="AC171" s="255"/>
      <c r="AD171" s="255"/>
      <c r="AE171" s="255"/>
    </row>
    <row r="172" spans="2:31" ht="15.75" customHeight="1" x14ac:dyDescent="0.45">
      <c r="B172" s="363">
        <v>8335923190</v>
      </c>
      <c r="C172" s="363" t="s">
        <v>582</v>
      </c>
      <c r="D172" s="216" t="s">
        <v>511</v>
      </c>
      <c r="E172" s="216">
        <v>5</v>
      </c>
      <c r="F172" s="216"/>
      <c r="G172" s="216"/>
      <c r="H172" s="57"/>
      <c r="I172" s="57" t="e">
        <f>(30*[1]BC!$B$47/F172)</f>
        <v>#DIV/0!</v>
      </c>
      <c r="J172" s="363" t="e">
        <f t="shared" si="30"/>
        <v>#DIV/0!</v>
      </c>
      <c r="K172" s="216">
        <f t="shared" si="31"/>
        <v>0</v>
      </c>
      <c r="L172" s="216">
        <f t="shared" si="32"/>
        <v>0</v>
      </c>
      <c r="M172" s="364">
        <v>246</v>
      </c>
      <c r="N172" s="365">
        <f t="shared" si="33"/>
        <v>0</v>
      </c>
      <c r="O172" s="91" t="e">
        <f t="shared" si="34"/>
        <v>#DIV/0!</v>
      </c>
      <c r="P172" s="365"/>
      <c r="Q172" s="57">
        <f t="shared" si="35"/>
        <v>0</v>
      </c>
      <c r="R172" s="57">
        <f t="shared" si="36"/>
        <v>0</v>
      </c>
      <c r="S172" s="255"/>
      <c r="T172" s="255"/>
      <c r="U172" s="255"/>
      <c r="V172" s="255"/>
      <c r="W172" s="255"/>
      <c r="X172" s="255"/>
      <c r="Y172" s="255"/>
      <c r="Z172" s="255"/>
      <c r="AA172" s="255"/>
      <c r="AB172" s="255"/>
      <c r="AC172" s="255"/>
      <c r="AD172" s="255"/>
      <c r="AE172" s="255"/>
    </row>
    <row r="173" spans="2:31" ht="15.75" customHeight="1" x14ac:dyDescent="0.45">
      <c r="B173" s="363">
        <v>8740062190</v>
      </c>
      <c r="C173" s="845" t="s">
        <v>583</v>
      </c>
      <c r="D173" s="216" t="s">
        <v>511</v>
      </c>
      <c r="E173" s="216">
        <v>3</v>
      </c>
      <c r="F173" s="216">
        <v>84</v>
      </c>
      <c r="G173" s="216"/>
      <c r="H173" s="57">
        <f>(A28/(0.00001*300)/3000)</f>
        <v>0</v>
      </c>
      <c r="I173" s="57">
        <f>(30*[1]BC!$B$47/F173)</f>
        <v>4.2857142857142856</v>
      </c>
      <c r="J173" s="363">
        <f t="shared" si="30"/>
        <v>4.2857142857142856</v>
      </c>
      <c r="K173" s="216">
        <f t="shared" si="31"/>
        <v>0</v>
      </c>
      <c r="L173" s="216">
        <f t="shared" si="32"/>
        <v>0</v>
      </c>
      <c r="M173" s="364">
        <v>671</v>
      </c>
      <c r="N173" s="365">
        <f t="shared" si="33"/>
        <v>0</v>
      </c>
      <c r="O173" s="91" t="e">
        <f t="shared" si="34"/>
        <v>#DIV/0!</v>
      </c>
      <c r="P173" s="365"/>
      <c r="Q173" s="57">
        <f t="shared" si="35"/>
        <v>0</v>
      </c>
      <c r="R173" s="57">
        <f t="shared" si="36"/>
        <v>0</v>
      </c>
      <c r="S173" s="255"/>
      <c r="T173" s="255"/>
      <c r="U173" s="255"/>
      <c r="V173" s="255"/>
      <c r="W173" s="255"/>
      <c r="X173" s="255"/>
      <c r="Y173" s="255"/>
      <c r="Z173" s="255"/>
      <c r="AA173" s="255"/>
      <c r="AB173" s="255"/>
      <c r="AC173" s="255"/>
      <c r="AD173" s="255"/>
      <c r="AE173" s="255"/>
    </row>
    <row r="174" spans="2:31" ht="15.75" customHeight="1" x14ac:dyDescent="0.45">
      <c r="B174" s="363">
        <v>6709966190</v>
      </c>
      <c r="C174" s="363" t="s">
        <v>585</v>
      </c>
      <c r="D174" s="216" t="s">
        <v>511</v>
      </c>
      <c r="E174" s="216">
        <v>2</v>
      </c>
      <c r="F174" s="216"/>
      <c r="G174" s="216"/>
      <c r="H174" s="216"/>
      <c r="I174" s="57" t="e">
        <f>(30*[1]BC!$B$47/F174)</f>
        <v>#DIV/0!</v>
      </c>
      <c r="J174" s="363" t="e">
        <f t="shared" si="30"/>
        <v>#DIV/0!</v>
      </c>
      <c r="K174" s="216">
        <f t="shared" si="31"/>
        <v>0</v>
      </c>
      <c r="L174" s="216">
        <f t="shared" si="32"/>
        <v>0</v>
      </c>
      <c r="M174" s="364">
        <v>476</v>
      </c>
      <c r="N174" s="365">
        <f t="shared" si="33"/>
        <v>0</v>
      </c>
      <c r="O174" s="91" t="e">
        <f t="shared" si="34"/>
        <v>#DIV/0!</v>
      </c>
      <c r="P174" s="365"/>
      <c r="Q174" s="57">
        <f t="shared" si="35"/>
        <v>0</v>
      </c>
      <c r="R174" s="57">
        <f t="shared" si="36"/>
        <v>0</v>
      </c>
      <c r="S174" s="255"/>
      <c r="T174" s="255"/>
      <c r="U174" s="255"/>
      <c r="V174" s="255"/>
      <c r="W174" s="255"/>
      <c r="X174" s="255"/>
      <c r="Y174" s="255"/>
      <c r="Z174" s="255"/>
      <c r="AA174" s="255"/>
      <c r="AB174" s="255"/>
      <c r="AC174" s="255"/>
      <c r="AD174" s="255"/>
      <c r="AE174" s="255"/>
    </row>
    <row r="175" spans="2:31" ht="15.75" customHeight="1" x14ac:dyDescent="0.45">
      <c r="B175" s="363">
        <v>7957211190</v>
      </c>
      <c r="C175" s="812" t="s">
        <v>586</v>
      </c>
      <c r="D175" s="216" t="s">
        <v>511</v>
      </c>
      <c r="E175" s="216">
        <v>2</v>
      </c>
      <c r="F175" s="216">
        <v>28</v>
      </c>
      <c r="G175" s="216"/>
      <c r="H175" s="216">
        <f>(G11/(0.00001*300)/3000)</f>
        <v>0</v>
      </c>
      <c r="I175" s="57">
        <f>(30*[1]BC!$B$47/F175)</f>
        <v>12.857142857142858</v>
      </c>
      <c r="J175" s="363">
        <f t="shared" si="30"/>
        <v>12.857142857142858</v>
      </c>
      <c r="K175" s="216">
        <f t="shared" si="31"/>
        <v>0</v>
      </c>
      <c r="L175" s="216">
        <f t="shared" si="32"/>
        <v>0</v>
      </c>
      <c r="M175" s="364">
        <v>391</v>
      </c>
      <c r="N175" s="365">
        <f t="shared" si="33"/>
        <v>0</v>
      </c>
      <c r="O175" s="91" t="e">
        <f t="shared" si="34"/>
        <v>#DIV/0!</v>
      </c>
      <c r="P175" s="365"/>
      <c r="Q175" s="57">
        <f t="shared" si="35"/>
        <v>0</v>
      </c>
      <c r="R175" s="57">
        <f t="shared" si="36"/>
        <v>0</v>
      </c>
      <c r="S175" s="255"/>
      <c r="T175" s="255"/>
      <c r="U175" s="255"/>
      <c r="V175" s="255"/>
      <c r="W175" s="255"/>
      <c r="X175" s="255"/>
      <c r="Y175" s="255"/>
      <c r="Z175" s="255"/>
      <c r="AA175" s="255"/>
      <c r="AB175" s="255"/>
      <c r="AC175" s="255"/>
      <c r="AD175" s="255"/>
      <c r="AE175" s="255"/>
    </row>
    <row r="176" spans="2:31" ht="15.75" customHeight="1" x14ac:dyDescent="0.45">
      <c r="B176" s="363">
        <v>5031664190</v>
      </c>
      <c r="C176" s="814" t="s">
        <v>587</v>
      </c>
      <c r="D176" s="216" t="s">
        <v>511</v>
      </c>
      <c r="E176" s="216">
        <v>2</v>
      </c>
      <c r="F176" s="216">
        <v>28</v>
      </c>
      <c r="G176" s="216"/>
      <c r="H176" s="216">
        <f>(G13/(0.00005*300)/3000)</f>
        <v>0</v>
      </c>
      <c r="I176" s="57">
        <f>(30*[1]BC!$B$47/F176)</f>
        <v>12.857142857142858</v>
      </c>
      <c r="J176" s="363">
        <f t="shared" si="30"/>
        <v>12.857142857142858</v>
      </c>
      <c r="K176" s="216">
        <f t="shared" si="31"/>
        <v>0</v>
      </c>
      <c r="L176" s="216">
        <f t="shared" si="32"/>
        <v>0</v>
      </c>
      <c r="M176" s="364">
        <v>207</v>
      </c>
      <c r="N176" s="365">
        <f t="shared" si="33"/>
        <v>0</v>
      </c>
      <c r="O176" s="91" t="e">
        <f t="shared" si="34"/>
        <v>#DIV/0!</v>
      </c>
      <c r="P176" s="365"/>
      <c r="Q176" s="57">
        <f t="shared" si="35"/>
        <v>0</v>
      </c>
      <c r="R176" s="57">
        <f t="shared" si="36"/>
        <v>0</v>
      </c>
      <c r="S176" s="255"/>
      <c r="T176" s="255"/>
      <c r="U176" s="255"/>
      <c r="V176" s="255"/>
      <c r="W176" s="255"/>
      <c r="X176" s="255"/>
      <c r="Y176" s="255"/>
      <c r="Z176" s="255"/>
      <c r="AA176" s="255"/>
      <c r="AB176" s="255"/>
      <c r="AC176" s="255"/>
      <c r="AD176" s="255"/>
      <c r="AE176" s="255"/>
    </row>
    <row r="177" spans="2:31" ht="15.75" customHeight="1" x14ac:dyDescent="0.45">
      <c r="B177" s="363">
        <v>11876368122</v>
      </c>
      <c r="C177" s="817" t="s">
        <v>588</v>
      </c>
      <c r="D177" s="216" t="s">
        <v>511</v>
      </c>
      <c r="E177" s="216">
        <v>8</v>
      </c>
      <c r="F177" s="216">
        <v>56</v>
      </c>
      <c r="G177" s="216"/>
      <c r="H177" s="216">
        <f>(G15/(0.00001*300)/3000)</f>
        <v>0</v>
      </c>
      <c r="I177" s="57">
        <f>(30*[1]BC!$B$47/F177)</f>
        <v>6.4285714285714288</v>
      </c>
      <c r="J177" s="363">
        <f t="shared" si="30"/>
        <v>6.4285714285714288</v>
      </c>
      <c r="K177" s="216">
        <f t="shared" si="31"/>
        <v>0</v>
      </c>
      <c r="L177" s="216">
        <f t="shared" si="32"/>
        <v>0</v>
      </c>
      <c r="M177" s="364">
        <v>424</v>
      </c>
      <c r="N177" s="365">
        <f t="shared" si="33"/>
        <v>0</v>
      </c>
      <c r="O177" s="91" t="e">
        <f t="shared" si="34"/>
        <v>#DIV/0!</v>
      </c>
      <c r="P177" s="365"/>
      <c r="Q177" s="57">
        <f t="shared" si="35"/>
        <v>0</v>
      </c>
      <c r="R177" s="57">
        <f t="shared" si="36"/>
        <v>0</v>
      </c>
      <c r="S177" s="255"/>
      <c r="T177" s="255"/>
      <c r="U177" s="255"/>
      <c r="V177" s="255"/>
      <c r="W177" s="255"/>
      <c r="X177" s="255"/>
      <c r="Y177" s="255"/>
      <c r="Z177" s="255"/>
      <c r="AA177" s="255"/>
      <c r="AB177" s="255"/>
      <c r="AC177" s="255"/>
      <c r="AD177" s="255"/>
      <c r="AE177" s="255"/>
    </row>
    <row r="178" spans="2:31" ht="15.75" customHeight="1" x14ac:dyDescent="0.45">
      <c r="B178" s="363">
        <v>8086672190</v>
      </c>
      <c r="C178" s="816" t="s">
        <v>589</v>
      </c>
      <c r="D178" s="216" t="s">
        <v>511</v>
      </c>
      <c r="E178" s="216">
        <v>4</v>
      </c>
      <c r="F178" s="216">
        <v>56</v>
      </c>
      <c r="G178" s="216"/>
      <c r="H178" s="216">
        <f>(G14/(0.00001*300)/3000)</f>
        <v>0</v>
      </c>
      <c r="I178" s="57">
        <f>(30*[1]BC!$B$47/F178)</f>
        <v>6.4285714285714288</v>
      </c>
      <c r="J178" s="363">
        <f t="shared" si="30"/>
        <v>6.4285714285714288</v>
      </c>
      <c r="K178" s="216">
        <f t="shared" si="31"/>
        <v>0</v>
      </c>
      <c r="L178" s="216">
        <f t="shared" si="32"/>
        <v>0</v>
      </c>
      <c r="M178" s="364">
        <v>142</v>
      </c>
      <c r="N178" s="365">
        <f t="shared" si="33"/>
        <v>0</v>
      </c>
      <c r="O178" s="91" t="e">
        <f t="shared" si="34"/>
        <v>#DIV/0!</v>
      </c>
      <c r="P178" s="365"/>
      <c r="Q178" s="57">
        <f t="shared" si="35"/>
        <v>0</v>
      </c>
      <c r="R178" s="57">
        <f t="shared" si="36"/>
        <v>0</v>
      </c>
      <c r="S178" s="255"/>
      <c r="T178" s="255"/>
      <c r="U178" s="255"/>
      <c r="V178" s="255"/>
      <c r="W178" s="255"/>
      <c r="X178" s="255"/>
      <c r="Y178" s="255"/>
      <c r="Z178" s="255"/>
      <c r="AA178" s="255"/>
      <c r="AB178" s="255"/>
      <c r="AC178" s="255"/>
      <c r="AD178" s="255"/>
      <c r="AE178" s="255"/>
    </row>
    <row r="179" spans="2:31" ht="15.75" customHeight="1" x14ac:dyDescent="0.45">
      <c r="B179" s="363">
        <v>11876333122</v>
      </c>
      <c r="C179" s="818" t="s">
        <v>590</v>
      </c>
      <c r="D179" s="216" t="s">
        <v>511</v>
      </c>
      <c r="E179" s="216">
        <v>8</v>
      </c>
      <c r="F179" s="216">
        <v>56</v>
      </c>
      <c r="G179" s="216"/>
      <c r="H179" s="216">
        <f>(G16/(0.00001*300)/3000)</f>
        <v>0</v>
      </c>
      <c r="I179" s="57">
        <f>(30*[1]BC!$B$47/F179)</f>
        <v>6.4285714285714288</v>
      </c>
      <c r="J179" s="363">
        <f t="shared" si="30"/>
        <v>6.4285714285714288</v>
      </c>
      <c r="K179" s="216">
        <f t="shared" si="31"/>
        <v>0</v>
      </c>
      <c r="L179" s="216">
        <f t="shared" si="32"/>
        <v>0</v>
      </c>
      <c r="M179" s="364">
        <v>379</v>
      </c>
      <c r="N179" s="365">
        <f t="shared" si="33"/>
        <v>0</v>
      </c>
      <c r="O179" s="91" t="e">
        <f t="shared" si="34"/>
        <v>#DIV/0!</v>
      </c>
      <c r="P179" s="365"/>
      <c r="Q179" s="57">
        <f t="shared" si="35"/>
        <v>0</v>
      </c>
      <c r="R179" s="57">
        <f t="shared" si="36"/>
        <v>0</v>
      </c>
      <c r="S179" s="255"/>
      <c r="T179" s="255"/>
      <c r="U179" s="255"/>
      <c r="V179" s="255"/>
      <c r="W179" s="255"/>
      <c r="X179" s="255"/>
      <c r="Y179" s="255"/>
      <c r="Z179" s="255"/>
      <c r="AA179" s="255"/>
      <c r="AB179" s="255"/>
      <c r="AC179" s="255"/>
      <c r="AD179" s="255"/>
      <c r="AE179" s="255"/>
    </row>
    <row r="180" spans="2:31" ht="15.75" customHeight="1" x14ac:dyDescent="0.45">
      <c r="B180" s="363">
        <v>4927931190</v>
      </c>
      <c r="C180" s="819" t="s">
        <v>591</v>
      </c>
      <c r="D180" s="216" t="s">
        <v>511</v>
      </c>
      <c r="E180" s="216">
        <v>8</v>
      </c>
      <c r="F180" s="216">
        <v>56</v>
      </c>
      <c r="G180" s="216"/>
      <c r="H180" s="216">
        <f>(G17/(0.00001*300)/3000)</f>
        <v>0</v>
      </c>
      <c r="I180" s="57">
        <f>(30*[1]BC!$B$47/F180)</f>
        <v>6.4285714285714288</v>
      </c>
      <c r="J180" s="363">
        <f t="shared" si="30"/>
        <v>6.4285714285714288</v>
      </c>
      <c r="K180" s="216">
        <f t="shared" si="31"/>
        <v>0</v>
      </c>
      <c r="L180" s="216">
        <f t="shared" si="32"/>
        <v>0</v>
      </c>
      <c r="M180" s="364">
        <v>73</v>
      </c>
      <c r="N180" s="365">
        <f t="shared" si="33"/>
        <v>0</v>
      </c>
      <c r="O180" s="91" t="e">
        <f t="shared" si="34"/>
        <v>#DIV/0!</v>
      </c>
      <c r="P180" s="365"/>
      <c r="Q180" s="57">
        <f t="shared" si="35"/>
        <v>0</v>
      </c>
      <c r="R180" s="57">
        <f t="shared" si="36"/>
        <v>0</v>
      </c>
      <c r="S180" s="255"/>
      <c r="T180" s="255"/>
      <c r="U180" s="255"/>
      <c r="V180" s="255"/>
      <c r="W180" s="255"/>
      <c r="X180" s="255"/>
      <c r="Y180" s="255"/>
      <c r="Z180" s="255"/>
      <c r="AA180" s="255"/>
      <c r="AB180" s="255"/>
      <c r="AC180" s="255"/>
      <c r="AD180" s="255"/>
      <c r="AE180" s="255"/>
    </row>
    <row r="181" spans="2:31" ht="15.75" customHeight="1" x14ac:dyDescent="0.45">
      <c r="B181" s="363">
        <v>11876384122</v>
      </c>
      <c r="C181" s="820" t="s">
        <v>592</v>
      </c>
      <c r="D181" s="216" t="s">
        <v>511</v>
      </c>
      <c r="E181" s="216">
        <v>8</v>
      </c>
      <c r="F181" s="216">
        <v>56</v>
      </c>
      <c r="G181" s="216"/>
      <c r="H181" s="216">
        <f>(G18/(0.00001*300)/3000)</f>
        <v>0</v>
      </c>
      <c r="I181" s="57">
        <f>(30*[1]BC!$B$47/F181)</f>
        <v>6.4285714285714288</v>
      </c>
      <c r="J181" s="363">
        <f t="shared" si="30"/>
        <v>6.4285714285714288</v>
      </c>
      <c r="K181" s="216">
        <f t="shared" si="31"/>
        <v>0</v>
      </c>
      <c r="L181" s="216">
        <f t="shared" si="32"/>
        <v>0</v>
      </c>
      <c r="M181" s="364">
        <v>217</v>
      </c>
      <c r="N181" s="365">
        <f t="shared" si="33"/>
        <v>0</v>
      </c>
      <c r="O181" s="91" t="e">
        <f t="shared" si="34"/>
        <v>#DIV/0!</v>
      </c>
      <c r="P181" s="365"/>
      <c r="Q181" s="57">
        <f t="shared" si="35"/>
        <v>0</v>
      </c>
      <c r="R181" s="57">
        <f t="shared" si="36"/>
        <v>0</v>
      </c>
      <c r="S181" s="255"/>
      <c r="T181" s="255"/>
      <c r="U181" s="255"/>
      <c r="V181" s="255"/>
      <c r="W181" s="255"/>
      <c r="X181" s="255"/>
      <c r="Y181" s="255"/>
      <c r="Z181" s="255"/>
      <c r="AA181" s="255"/>
      <c r="AB181" s="255"/>
      <c r="AC181" s="255"/>
      <c r="AD181" s="255"/>
      <c r="AE181" s="255"/>
    </row>
    <row r="182" spans="2:31" ht="15.75" customHeight="1" x14ac:dyDescent="0.45">
      <c r="B182" s="363">
        <v>11876317122</v>
      </c>
      <c r="C182" s="875" t="s">
        <v>593</v>
      </c>
      <c r="D182" s="216" t="s">
        <v>511</v>
      </c>
      <c r="E182" s="216">
        <v>8</v>
      </c>
      <c r="F182" s="216">
        <v>56</v>
      </c>
      <c r="G182" s="216"/>
      <c r="H182" s="216">
        <f>(G19/(0.00001*300)/3000)</f>
        <v>0</v>
      </c>
      <c r="I182" s="57">
        <f>(30*[1]BC!$B$47/F182)</f>
        <v>6.4285714285714288</v>
      </c>
      <c r="J182" s="363">
        <f t="shared" si="30"/>
        <v>6.4285714285714288</v>
      </c>
      <c r="K182" s="216">
        <f t="shared" si="31"/>
        <v>0</v>
      </c>
      <c r="L182" s="216">
        <f t="shared" si="32"/>
        <v>0</v>
      </c>
      <c r="M182" s="364">
        <v>205</v>
      </c>
      <c r="N182" s="365">
        <f t="shared" si="33"/>
        <v>0</v>
      </c>
      <c r="O182" s="91" t="e">
        <f t="shared" si="34"/>
        <v>#DIV/0!</v>
      </c>
      <c r="P182" s="365"/>
      <c r="Q182" s="57">
        <f t="shared" si="35"/>
        <v>0</v>
      </c>
      <c r="R182" s="57">
        <f t="shared" si="36"/>
        <v>0</v>
      </c>
      <c r="S182" s="255"/>
      <c r="T182" s="255"/>
      <c r="U182" s="255"/>
      <c r="V182" s="255"/>
      <c r="W182" s="255"/>
      <c r="X182" s="255"/>
      <c r="Y182" s="255"/>
      <c r="Z182" s="255"/>
      <c r="AA182" s="255"/>
      <c r="AB182" s="255"/>
      <c r="AC182" s="255"/>
      <c r="AD182" s="255"/>
      <c r="AE182" s="255"/>
    </row>
    <row r="183" spans="2:31" ht="15.75" customHeight="1" x14ac:dyDescent="0.45">
      <c r="B183" s="363">
        <v>3290379190</v>
      </c>
      <c r="C183" s="876" t="s">
        <v>594</v>
      </c>
      <c r="D183" s="216" t="s">
        <v>511</v>
      </c>
      <c r="E183" s="216">
        <v>8</v>
      </c>
      <c r="F183" s="216">
        <v>56</v>
      </c>
      <c r="G183" s="216"/>
      <c r="H183" s="216">
        <f>(G20/(0.00001*300)/3000)</f>
        <v>0</v>
      </c>
      <c r="I183" s="57">
        <f>(30*[1]BC!$B$47/F183)</f>
        <v>6.4285714285714288</v>
      </c>
      <c r="J183" s="363">
        <f t="shared" si="30"/>
        <v>6.4285714285714288</v>
      </c>
      <c r="K183" s="216">
        <f t="shared" si="31"/>
        <v>0</v>
      </c>
      <c r="L183" s="216">
        <f t="shared" si="32"/>
        <v>0</v>
      </c>
      <c r="M183" s="364">
        <v>149</v>
      </c>
      <c r="N183" s="365">
        <f t="shared" si="33"/>
        <v>0</v>
      </c>
      <c r="O183" s="91" t="e">
        <f t="shared" si="34"/>
        <v>#DIV/0!</v>
      </c>
      <c r="P183" s="365"/>
      <c r="Q183" s="57">
        <f t="shared" si="35"/>
        <v>0</v>
      </c>
      <c r="R183" s="57">
        <f t="shared" si="36"/>
        <v>0</v>
      </c>
      <c r="S183" s="255"/>
      <c r="T183" s="255"/>
      <c r="U183" s="255"/>
      <c r="V183" s="255"/>
      <c r="W183" s="255"/>
      <c r="X183" s="255"/>
      <c r="Y183" s="255"/>
      <c r="Z183" s="255"/>
      <c r="AA183" s="255"/>
      <c r="AB183" s="255"/>
      <c r="AC183" s="255"/>
      <c r="AD183" s="255"/>
      <c r="AE183" s="255"/>
    </row>
    <row r="184" spans="2:31" ht="15.75" customHeight="1" x14ac:dyDescent="0.45">
      <c r="B184" s="363">
        <v>9289313190</v>
      </c>
      <c r="C184" s="824" t="s">
        <v>595</v>
      </c>
      <c r="D184" s="216" t="s">
        <v>511</v>
      </c>
      <c r="E184" s="216">
        <v>2</v>
      </c>
      <c r="F184" s="216">
        <v>84</v>
      </c>
      <c r="G184" s="216"/>
      <c r="H184" s="216">
        <f>(G22/(0.00001*300)/3000)</f>
        <v>0</v>
      </c>
      <c r="I184" s="57">
        <f>(30*[1]BC!$B$47/F184)</f>
        <v>4.2857142857142856</v>
      </c>
      <c r="J184" s="363">
        <f t="shared" si="30"/>
        <v>4.2857142857142856</v>
      </c>
      <c r="K184" s="216">
        <f t="shared" si="31"/>
        <v>0</v>
      </c>
      <c r="L184" s="216">
        <f t="shared" si="32"/>
        <v>0</v>
      </c>
      <c r="M184" s="364">
        <v>184</v>
      </c>
      <c r="N184" s="365">
        <f t="shared" si="33"/>
        <v>0</v>
      </c>
      <c r="O184" s="91" t="e">
        <f t="shared" si="34"/>
        <v>#DIV/0!</v>
      </c>
      <c r="P184" s="365"/>
      <c r="Q184" s="57">
        <f t="shared" si="35"/>
        <v>0</v>
      </c>
      <c r="R184" s="57">
        <f t="shared" si="36"/>
        <v>0</v>
      </c>
      <c r="S184" s="255"/>
      <c r="T184" s="255"/>
      <c r="U184" s="255"/>
      <c r="V184" s="255"/>
      <c r="W184" s="255"/>
      <c r="X184" s="255"/>
      <c r="Y184" s="255"/>
      <c r="Z184" s="255"/>
      <c r="AA184" s="255"/>
      <c r="AB184" s="255"/>
      <c r="AC184" s="255"/>
      <c r="AD184" s="255"/>
      <c r="AE184" s="255"/>
    </row>
    <row r="185" spans="2:31" ht="15.75" customHeight="1" x14ac:dyDescent="0.45">
      <c r="B185" s="363">
        <v>4917049190</v>
      </c>
      <c r="C185" s="830" t="s">
        <v>596</v>
      </c>
      <c r="D185" s="216" t="s">
        <v>511</v>
      </c>
      <c r="E185" s="216">
        <v>2</v>
      </c>
      <c r="F185" s="216">
        <v>84</v>
      </c>
      <c r="G185" s="216"/>
      <c r="H185" s="216">
        <f>(A25/(0.00005*300)/3000)</f>
        <v>0</v>
      </c>
      <c r="I185" s="57">
        <f>(30*[1]BC!$B$47/F185)</f>
        <v>4.2857142857142856</v>
      </c>
      <c r="J185" s="363">
        <f t="shared" si="30"/>
        <v>4.2857142857142856</v>
      </c>
      <c r="K185" s="216">
        <f t="shared" si="31"/>
        <v>0</v>
      </c>
      <c r="L185" s="216">
        <f t="shared" si="32"/>
        <v>0</v>
      </c>
      <c r="M185" s="364">
        <v>127</v>
      </c>
      <c r="N185" s="365">
        <f t="shared" si="33"/>
        <v>0</v>
      </c>
      <c r="O185" s="91" t="e">
        <f t="shared" si="34"/>
        <v>#DIV/0!</v>
      </c>
      <c r="P185" s="365"/>
      <c r="Q185" s="57">
        <f t="shared" si="35"/>
        <v>0</v>
      </c>
      <c r="R185" s="57">
        <f t="shared" si="36"/>
        <v>0</v>
      </c>
      <c r="S185" s="255"/>
      <c r="T185" s="255"/>
      <c r="U185" s="255"/>
      <c r="V185" s="255"/>
      <c r="W185" s="255"/>
      <c r="X185" s="255"/>
      <c r="Y185" s="255"/>
      <c r="Z185" s="255"/>
      <c r="AA185" s="255"/>
      <c r="AB185" s="255"/>
      <c r="AC185" s="255"/>
      <c r="AD185" s="255"/>
      <c r="AE185" s="255"/>
    </row>
    <row r="186" spans="2:31" ht="15.75" customHeight="1" x14ac:dyDescent="0.45">
      <c r="B186" s="363">
        <v>7092571190</v>
      </c>
      <c r="C186" s="829" t="s">
        <v>597</v>
      </c>
      <c r="D186" s="216" t="s">
        <v>511</v>
      </c>
      <c r="E186" s="216">
        <v>8</v>
      </c>
      <c r="F186" s="216">
        <v>28</v>
      </c>
      <c r="G186" s="216"/>
      <c r="H186" s="216">
        <f>(G31/(0.00001*300)/3000)</f>
        <v>0</v>
      </c>
      <c r="I186" s="57">
        <f>(30*[1]BC!$B$47/F186)</f>
        <v>12.857142857142858</v>
      </c>
      <c r="J186" s="363">
        <f t="shared" si="30"/>
        <v>12.857142857142858</v>
      </c>
      <c r="K186" s="216">
        <f t="shared" si="31"/>
        <v>0</v>
      </c>
      <c r="L186" s="216">
        <f t="shared" si="32"/>
        <v>0</v>
      </c>
      <c r="M186" s="364">
        <v>284</v>
      </c>
      <c r="N186" s="365">
        <f t="shared" si="33"/>
        <v>0</v>
      </c>
      <c r="O186" s="91" t="e">
        <f t="shared" si="34"/>
        <v>#DIV/0!</v>
      </c>
      <c r="P186" s="365"/>
      <c r="Q186" s="57">
        <f t="shared" si="35"/>
        <v>0</v>
      </c>
      <c r="R186" s="57">
        <f t="shared" si="36"/>
        <v>0</v>
      </c>
      <c r="S186" s="255"/>
      <c r="T186" s="255"/>
      <c r="U186" s="255"/>
      <c r="V186" s="255"/>
      <c r="W186" s="255"/>
      <c r="X186" s="255"/>
      <c r="Y186" s="255"/>
      <c r="Z186" s="255"/>
      <c r="AA186" s="255"/>
      <c r="AB186" s="255"/>
      <c r="AC186" s="255"/>
      <c r="AD186" s="255"/>
      <c r="AE186" s="255"/>
    </row>
    <row r="187" spans="2:31" ht="15.75" customHeight="1" x14ac:dyDescent="0.45">
      <c r="B187" s="877">
        <v>4784600190</v>
      </c>
      <c r="C187" s="832" t="s">
        <v>598</v>
      </c>
      <c r="D187" s="216" t="s">
        <v>511</v>
      </c>
      <c r="E187" s="216">
        <v>8</v>
      </c>
      <c r="F187" s="216">
        <v>56</v>
      </c>
      <c r="G187" s="216"/>
      <c r="H187" s="216">
        <f>(G34/(0.00002*300)/3000)</f>
        <v>0</v>
      </c>
      <c r="I187" s="57">
        <f>(30*[1]BC!$B$47/F187)</f>
        <v>6.4285714285714288</v>
      </c>
      <c r="J187" s="363">
        <f t="shared" si="30"/>
        <v>6.4285714285714288</v>
      </c>
      <c r="K187" s="216">
        <f t="shared" si="31"/>
        <v>0</v>
      </c>
      <c r="L187" s="216">
        <f t="shared" si="32"/>
        <v>0</v>
      </c>
      <c r="M187" s="364">
        <v>222</v>
      </c>
      <c r="N187" s="365">
        <f t="shared" si="33"/>
        <v>0</v>
      </c>
      <c r="O187" s="91" t="e">
        <f t="shared" si="34"/>
        <v>#DIV/0!</v>
      </c>
      <c r="P187" s="365"/>
      <c r="Q187" s="57">
        <f t="shared" si="35"/>
        <v>0</v>
      </c>
      <c r="R187" s="57">
        <f t="shared" si="36"/>
        <v>0</v>
      </c>
    </row>
    <row r="188" spans="2:31" ht="15.75" customHeight="1" x14ac:dyDescent="0.45">
      <c r="B188" s="363">
        <v>4784626190</v>
      </c>
      <c r="C188" s="878" t="s">
        <v>599</v>
      </c>
      <c r="D188" s="216" t="s">
        <v>511</v>
      </c>
      <c r="E188" s="216">
        <v>8</v>
      </c>
      <c r="F188" s="216">
        <v>56</v>
      </c>
      <c r="G188" s="216"/>
      <c r="H188" s="216">
        <f>(G35/(0.00002*300)/3000)</f>
        <v>0</v>
      </c>
      <c r="I188" s="57">
        <f>(30*[1]BC!$B$47/F188)</f>
        <v>6.4285714285714288</v>
      </c>
      <c r="J188" s="363">
        <f t="shared" si="30"/>
        <v>6.4285714285714288</v>
      </c>
      <c r="K188" s="216">
        <f t="shared" si="31"/>
        <v>0</v>
      </c>
      <c r="L188" s="216">
        <f t="shared" si="32"/>
        <v>0</v>
      </c>
      <c r="M188" s="364">
        <v>153</v>
      </c>
      <c r="N188" s="365">
        <f t="shared" si="33"/>
        <v>0</v>
      </c>
      <c r="O188" s="91" t="e">
        <f t="shared" si="34"/>
        <v>#DIV/0!</v>
      </c>
      <c r="P188" s="365"/>
      <c r="Q188" s="57">
        <f t="shared" si="35"/>
        <v>0</v>
      </c>
      <c r="R188" s="57">
        <f t="shared" si="36"/>
        <v>0</v>
      </c>
    </row>
    <row r="189" spans="2:31" ht="15.75" customHeight="1" x14ac:dyDescent="0.45">
      <c r="B189" s="363">
        <v>8355436190</v>
      </c>
      <c r="C189" s="840" t="s">
        <v>600</v>
      </c>
      <c r="D189" s="216" t="s">
        <v>511</v>
      </c>
      <c r="E189" s="216">
        <v>4</v>
      </c>
      <c r="F189" s="216">
        <v>84</v>
      </c>
      <c r="G189" s="216"/>
      <c r="H189" s="216">
        <f>(G41/(0.00001*300)/3000)</f>
        <v>0</v>
      </c>
      <c r="I189" s="57">
        <f>(30*[1]BC!$B$47/F189)</f>
        <v>4.2857142857142856</v>
      </c>
      <c r="J189" s="363">
        <f t="shared" si="30"/>
        <v>4.2857142857142856</v>
      </c>
      <c r="K189" s="216">
        <f t="shared" si="31"/>
        <v>0</v>
      </c>
      <c r="L189" s="216">
        <f t="shared" si="32"/>
        <v>0</v>
      </c>
      <c r="M189" s="364">
        <v>234</v>
      </c>
      <c r="N189" s="365">
        <f t="shared" si="33"/>
        <v>0</v>
      </c>
      <c r="O189" s="91" t="e">
        <f t="shared" si="34"/>
        <v>#DIV/0!</v>
      </c>
      <c r="P189" s="365"/>
      <c r="Q189" s="57">
        <f t="shared" si="35"/>
        <v>0</v>
      </c>
      <c r="R189" s="57">
        <f t="shared" si="36"/>
        <v>0</v>
      </c>
    </row>
    <row r="190" spans="2:31" ht="15.75" customHeight="1" x14ac:dyDescent="0.45">
      <c r="B190" s="363">
        <v>8355428190</v>
      </c>
      <c r="C190" s="841" t="s">
        <v>601</v>
      </c>
      <c r="D190" s="216" t="s">
        <v>511</v>
      </c>
      <c r="E190" s="216">
        <v>3</v>
      </c>
      <c r="F190" s="216">
        <v>112</v>
      </c>
      <c r="G190" s="216"/>
      <c r="H190" s="216">
        <f>(A34/(0.00001*300)/3000)</f>
        <v>0</v>
      </c>
      <c r="I190" s="57">
        <f>(30*[1]BC!$B$47/F190)</f>
        <v>3.2142857142857144</v>
      </c>
      <c r="J190" s="363">
        <f t="shared" si="30"/>
        <v>3.2142857142857144</v>
      </c>
      <c r="K190" s="216">
        <f t="shared" si="31"/>
        <v>0</v>
      </c>
      <c r="L190" s="216">
        <f t="shared" si="32"/>
        <v>0</v>
      </c>
      <c r="M190" s="364">
        <v>973</v>
      </c>
      <c r="N190" s="365">
        <f t="shared" si="33"/>
        <v>0</v>
      </c>
      <c r="O190" s="91" t="e">
        <f t="shared" si="34"/>
        <v>#DIV/0!</v>
      </c>
      <c r="P190" s="365"/>
      <c r="Q190" s="57">
        <f t="shared" si="35"/>
        <v>0</v>
      </c>
      <c r="R190" s="57">
        <f t="shared" si="36"/>
        <v>0</v>
      </c>
    </row>
    <row r="191" spans="2:31" ht="15.75" customHeight="1" x14ac:dyDescent="0.45">
      <c r="B191" s="363">
        <v>7294131190</v>
      </c>
      <c r="C191" s="363" t="s">
        <v>602</v>
      </c>
      <c r="D191" s="216" t="s">
        <v>511</v>
      </c>
      <c r="E191" s="216">
        <v>1</v>
      </c>
      <c r="F191" s="216">
        <v>28</v>
      </c>
      <c r="G191" s="216"/>
      <c r="H191" s="216"/>
      <c r="I191" s="57">
        <f>(30*[1]BC!$B$47/F191)</f>
        <v>12.857142857142858</v>
      </c>
      <c r="J191" s="363">
        <f t="shared" si="30"/>
        <v>12.857142857142858</v>
      </c>
      <c r="K191" s="216">
        <f t="shared" si="31"/>
        <v>0</v>
      </c>
      <c r="L191" s="216">
        <f t="shared" si="32"/>
        <v>0</v>
      </c>
      <c r="M191" s="364">
        <v>331</v>
      </c>
      <c r="N191" s="365">
        <f t="shared" si="33"/>
        <v>0</v>
      </c>
      <c r="O191" s="91" t="e">
        <f t="shared" si="34"/>
        <v>#DIV/0!</v>
      </c>
      <c r="P191" s="365"/>
      <c r="Q191" s="57">
        <f t="shared" si="35"/>
        <v>0</v>
      </c>
      <c r="R191" s="57">
        <f t="shared" si="36"/>
        <v>0</v>
      </c>
    </row>
    <row r="192" spans="2:31" ht="15.75" customHeight="1" x14ac:dyDescent="0.45">
      <c r="B192" s="363">
        <v>7476108190</v>
      </c>
      <c r="C192" s="853" t="s">
        <v>603</v>
      </c>
      <c r="D192" s="216" t="s">
        <v>511</v>
      </c>
      <c r="E192" s="216">
        <v>2</v>
      </c>
      <c r="F192" s="216">
        <v>31</v>
      </c>
      <c r="G192" s="216"/>
      <c r="H192" s="216">
        <f>(A37/(0.00002*300)/3000)</f>
        <v>0</v>
      </c>
      <c r="I192" s="57">
        <f>(30*[1]BC!$B$47/F192)</f>
        <v>11.612903225806452</v>
      </c>
      <c r="J192" s="363">
        <f t="shared" si="30"/>
        <v>11.612903225806452</v>
      </c>
      <c r="K192" s="216">
        <f t="shared" si="31"/>
        <v>0</v>
      </c>
      <c r="L192" s="216">
        <f t="shared" si="32"/>
        <v>0</v>
      </c>
      <c r="M192" s="364">
        <v>472</v>
      </c>
      <c r="N192" s="365">
        <f t="shared" si="33"/>
        <v>0</v>
      </c>
      <c r="O192" s="91" t="e">
        <f t="shared" si="34"/>
        <v>#DIV/0!</v>
      </c>
      <c r="P192" s="365"/>
      <c r="Q192" s="57">
        <f t="shared" si="35"/>
        <v>0</v>
      </c>
      <c r="R192" s="57">
        <f t="shared" si="36"/>
        <v>0</v>
      </c>
    </row>
    <row r="193" spans="2:18" ht="15.75" customHeight="1" x14ac:dyDescent="0.45">
      <c r="B193" s="363">
        <v>11876376122</v>
      </c>
      <c r="C193" s="846" t="s">
        <v>604</v>
      </c>
      <c r="D193" s="216" t="s">
        <v>511</v>
      </c>
      <c r="E193" s="216">
        <v>8</v>
      </c>
      <c r="F193" s="216">
        <v>56</v>
      </c>
      <c r="G193" s="216"/>
      <c r="H193" s="216">
        <f>(G53/(0.00001*300)/3000)</f>
        <v>0</v>
      </c>
      <c r="I193" s="57">
        <f>(30*[1]BC!$B$47/F193)</f>
        <v>6.4285714285714288</v>
      </c>
      <c r="J193" s="363">
        <f t="shared" si="30"/>
        <v>6.4285714285714288</v>
      </c>
      <c r="K193" s="216">
        <f t="shared" si="31"/>
        <v>0</v>
      </c>
      <c r="L193" s="216">
        <f t="shared" si="32"/>
        <v>0</v>
      </c>
      <c r="M193" s="364">
        <v>208</v>
      </c>
      <c r="N193" s="365">
        <f t="shared" si="33"/>
        <v>0</v>
      </c>
      <c r="O193" s="91" t="e">
        <f t="shared" si="34"/>
        <v>#DIV/0!</v>
      </c>
      <c r="P193" s="365"/>
      <c r="Q193" s="57">
        <f t="shared" si="35"/>
        <v>0</v>
      </c>
      <c r="R193" s="57">
        <f t="shared" si="36"/>
        <v>0</v>
      </c>
    </row>
    <row r="194" spans="2:18" ht="15.75" customHeight="1" x14ac:dyDescent="0.45">
      <c r="B194" s="363">
        <v>4687876190</v>
      </c>
      <c r="C194" s="879" t="s">
        <v>605</v>
      </c>
      <c r="D194" s="216" t="s">
        <v>511</v>
      </c>
      <c r="E194" s="216">
        <v>8</v>
      </c>
      <c r="F194" s="216">
        <v>56</v>
      </c>
      <c r="G194" s="216"/>
      <c r="H194" s="216">
        <f>(G54/(0.00001*300)/3000)</f>
        <v>0</v>
      </c>
      <c r="I194" s="57">
        <f>(30*[1]BC!$B$47/F194)</f>
        <v>6.4285714285714288</v>
      </c>
      <c r="J194" s="363">
        <f t="shared" si="30"/>
        <v>6.4285714285714288</v>
      </c>
      <c r="K194" s="216">
        <f t="shared" si="31"/>
        <v>0</v>
      </c>
      <c r="L194" s="216">
        <f t="shared" si="32"/>
        <v>0</v>
      </c>
      <c r="M194" s="364">
        <v>212</v>
      </c>
      <c r="N194" s="365">
        <f t="shared" si="33"/>
        <v>0</v>
      </c>
      <c r="O194" s="91" t="e">
        <f t="shared" si="34"/>
        <v>#DIV/0!</v>
      </c>
      <c r="P194" s="365"/>
      <c r="Q194" s="57">
        <f t="shared" si="35"/>
        <v>0</v>
      </c>
      <c r="R194" s="57">
        <f t="shared" si="36"/>
        <v>0</v>
      </c>
    </row>
    <row r="195" spans="2:18" ht="15.75" customHeight="1" x14ac:dyDescent="0.45">
      <c r="B195" s="363">
        <v>7143745190</v>
      </c>
      <c r="C195" s="363" t="s">
        <v>606</v>
      </c>
      <c r="D195" s="216" t="s">
        <v>511</v>
      </c>
      <c r="E195" s="216">
        <v>5</v>
      </c>
      <c r="F195" s="216">
        <v>56</v>
      </c>
      <c r="G195" s="216"/>
      <c r="H195" s="216"/>
      <c r="I195" s="57">
        <f>(30*[1]BC!$B$47/F195)</f>
        <v>6.4285714285714288</v>
      </c>
      <c r="J195" s="363">
        <f t="shared" si="30"/>
        <v>6.4285714285714288</v>
      </c>
      <c r="K195" s="216">
        <f t="shared" si="31"/>
        <v>0</v>
      </c>
      <c r="L195" s="216">
        <f t="shared" si="32"/>
        <v>0</v>
      </c>
      <c r="M195" s="364">
        <v>289</v>
      </c>
      <c r="N195" s="365">
        <f t="shared" si="33"/>
        <v>0</v>
      </c>
      <c r="O195" s="91" t="e">
        <f t="shared" si="34"/>
        <v>#DIV/0!</v>
      </c>
      <c r="P195" s="365"/>
      <c r="Q195" s="57">
        <f t="shared" si="35"/>
        <v>0</v>
      </c>
      <c r="R195" s="57">
        <f t="shared" si="36"/>
        <v>0</v>
      </c>
    </row>
    <row r="196" spans="2:18" ht="15.75" customHeight="1" x14ac:dyDescent="0.45">
      <c r="B196" s="363">
        <v>5950953190</v>
      </c>
      <c r="C196" s="848" t="s">
        <v>607</v>
      </c>
      <c r="D196" s="216" t="s">
        <v>511</v>
      </c>
      <c r="E196" s="216">
        <v>2</v>
      </c>
      <c r="F196" s="216">
        <v>28</v>
      </c>
      <c r="G196" s="216"/>
      <c r="H196" s="216">
        <f>(G57/(0.00002*300)/3000)</f>
        <v>0</v>
      </c>
      <c r="I196" s="57">
        <f>(30*[1]BC!$B$47/F196)</f>
        <v>12.857142857142858</v>
      </c>
      <c r="J196" s="363">
        <f t="shared" si="30"/>
        <v>12.857142857142858</v>
      </c>
      <c r="K196" s="216">
        <f t="shared" si="31"/>
        <v>0</v>
      </c>
      <c r="L196" s="216">
        <f t="shared" si="32"/>
        <v>0</v>
      </c>
      <c r="M196" s="364">
        <v>237</v>
      </c>
      <c r="N196" s="365">
        <f t="shared" si="33"/>
        <v>0</v>
      </c>
      <c r="O196" s="91" t="e">
        <f t="shared" si="34"/>
        <v>#DIV/0!</v>
      </c>
      <c r="P196" s="365"/>
      <c r="Q196" s="57">
        <f t="shared" si="35"/>
        <v>0</v>
      </c>
      <c r="R196" s="57">
        <f t="shared" si="36"/>
        <v>0</v>
      </c>
    </row>
    <row r="197" spans="2:18" ht="15.75" customHeight="1" x14ac:dyDescent="0.45">
      <c r="B197" s="363">
        <v>6924107190</v>
      </c>
      <c r="C197" s="880" t="s">
        <v>608</v>
      </c>
      <c r="D197" s="216" t="s">
        <v>511</v>
      </c>
      <c r="E197" s="216">
        <v>3</v>
      </c>
      <c r="F197" s="216">
        <v>84</v>
      </c>
      <c r="G197" s="216"/>
      <c r="H197" s="216">
        <f>(G59/(0.00001*300)/3000)</f>
        <v>0</v>
      </c>
      <c r="I197" s="57">
        <f>(30*[1]BC!$B$47/F197)</f>
        <v>4.2857142857142856</v>
      </c>
      <c r="J197" s="363">
        <f t="shared" si="30"/>
        <v>4.2857142857142856</v>
      </c>
      <c r="K197" s="216">
        <f t="shared" si="31"/>
        <v>0</v>
      </c>
      <c r="L197" s="216">
        <f t="shared" si="32"/>
        <v>0</v>
      </c>
      <c r="M197" s="364">
        <v>583</v>
      </c>
      <c r="N197" s="365">
        <f t="shared" si="33"/>
        <v>0</v>
      </c>
      <c r="O197" s="91" t="e">
        <f t="shared" si="34"/>
        <v>#DIV/0!</v>
      </c>
      <c r="P197" s="365"/>
      <c r="Q197" s="57">
        <f t="shared" si="35"/>
        <v>0</v>
      </c>
      <c r="R197" s="57">
        <f t="shared" si="36"/>
        <v>0</v>
      </c>
    </row>
    <row r="198" spans="2:18" ht="15.75" customHeight="1" x14ac:dyDescent="0.45">
      <c r="B198" s="363">
        <v>5572207190</v>
      </c>
      <c r="C198" s="881" t="s">
        <v>609</v>
      </c>
      <c r="D198" s="216" t="s">
        <v>511</v>
      </c>
      <c r="E198" s="216">
        <v>2</v>
      </c>
      <c r="F198" s="216">
        <v>28</v>
      </c>
      <c r="G198" s="216"/>
      <c r="H198" s="216">
        <f>(G88/(0.00001*300)/3000)</f>
        <v>0</v>
      </c>
      <c r="I198" s="57">
        <f>(30*[1]BC!$B$47/F198)</f>
        <v>12.857142857142858</v>
      </c>
      <c r="J198" s="363">
        <f t="shared" si="30"/>
        <v>12.857142857142858</v>
      </c>
      <c r="K198" s="216">
        <f t="shared" si="31"/>
        <v>0</v>
      </c>
      <c r="L198" s="216">
        <f t="shared" si="32"/>
        <v>0</v>
      </c>
      <c r="M198" s="364">
        <v>420</v>
      </c>
      <c r="N198" s="365">
        <f t="shared" si="33"/>
        <v>0</v>
      </c>
      <c r="O198" s="91" t="e">
        <f t="shared" si="34"/>
        <v>#DIV/0!</v>
      </c>
      <c r="P198" s="365"/>
      <c r="Q198" s="57">
        <f t="shared" si="35"/>
        <v>0</v>
      </c>
      <c r="R198" s="57">
        <f t="shared" si="36"/>
        <v>0</v>
      </c>
    </row>
    <row r="199" spans="2:18" ht="15.75" customHeight="1" x14ac:dyDescent="0.45">
      <c r="B199" s="363">
        <v>7108133190</v>
      </c>
      <c r="C199" s="882" t="s">
        <v>610</v>
      </c>
      <c r="D199" s="216" t="s">
        <v>511</v>
      </c>
      <c r="E199" s="216">
        <v>3</v>
      </c>
      <c r="F199" s="216">
        <v>84</v>
      </c>
      <c r="G199" s="216"/>
      <c r="H199" s="216">
        <f>(G62/(0.00001*300)/3000)</f>
        <v>0</v>
      </c>
      <c r="I199" s="57">
        <f>(30*[1]BC!$B$47/F199)</f>
        <v>4.2857142857142856</v>
      </c>
      <c r="J199" s="363">
        <f t="shared" si="30"/>
        <v>4.2857142857142856</v>
      </c>
      <c r="K199" s="216">
        <f t="shared" si="31"/>
        <v>0</v>
      </c>
      <c r="L199" s="216">
        <f t="shared" si="32"/>
        <v>0</v>
      </c>
      <c r="M199" s="364">
        <v>184</v>
      </c>
      <c r="N199" s="365">
        <f t="shared" si="33"/>
        <v>0</v>
      </c>
      <c r="O199" s="91" t="e">
        <f t="shared" si="34"/>
        <v>#DIV/0!</v>
      </c>
      <c r="P199" s="365"/>
      <c r="Q199" s="57">
        <f t="shared" si="35"/>
        <v>0</v>
      </c>
      <c r="R199" s="57">
        <f t="shared" si="36"/>
        <v>0</v>
      </c>
    </row>
    <row r="200" spans="2:18" ht="15.75" customHeight="1" x14ac:dyDescent="0.45">
      <c r="B200" s="363">
        <v>5889081190</v>
      </c>
      <c r="C200" s="363" t="s">
        <v>611</v>
      </c>
      <c r="D200" s="216" t="s">
        <v>511</v>
      </c>
      <c r="E200" s="216">
        <v>1</v>
      </c>
      <c r="F200" s="216">
        <v>28</v>
      </c>
      <c r="G200" s="216"/>
      <c r="H200" s="216"/>
      <c r="I200" s="57">
        <f>(30*[1]BC!$B$47/F200)</f>
        <v>12.857142857142858</v>
      </c>
      <c r="J200" s="363">
        <f t="shared" si="30"/>
        <v>12.857142857142858</v>
      </c>
      <c r="K200" s="216">
        <f t="shared" si="31"/>
        <v>0</v>
      </c>
      <c r="L200" s="216">
        <f t="shared" si="32"/>
        <v>0</v>
      </c>
      <c r="M200" s="364">
        <v>656</v>
      </c>
      <c r="N200" s="365">
        <f t="shared" si="33"/>
        <v>0</v>
      </c>
      <c r="O200" s="91" t="e">
        <f t="shared" si="34"/>
        <v>#DIV/0!</v>
      </c>
      <c r="P200" s="365"/>
      <c r="Q200" s="57">
        <f t="shared" si="35"/>
        <v>0</v>
      </c>
      <c r="R200" s="57">
        <f t="shared" si="36"/>
        <v>0</v>
      </c>
    </row>
    <row r="201" spans="2:18" ht="15.75" customHeight="1" x14ac:dyDescent="0.45">
      <c r="B201" s="363">
        <v>7360070190</v>
      </c>
      <c r="C201" s="862" t="s">
        <v>612</v>
      </c>
      <c r="D201" s="216" t="s">
        <v>511</v>
      </c>
      <c r="E201" s="216">
        <v>2</v>
      </c>
      <c r="F201" s="216">
        <v>28</v>
      </c>
      <c r="G201" s="216"/>
      <c r="H201" s="216"/>
      <c r="I201" s="57">
        <f>(30*[1]BC!$B$47/F201)</f>
        <v>12.857142857142858</v>
      </c>
      <c r="J201" s="363">
        <f t="shared" ref="J201:J228" si="37">IF(I201&gt;H201,I201,H201)</f>
        <v>12.857142857142858</v>
      </c>
      <c r="K201" s="216">
        <f t="shared" ref="K201:K228" si="38">IF(H201=0,0,J201)</f>
        <v>0</v>
      </c>
      <c r="L201" s="216">
        <f t="shared" si="32"/>
        <v>0</v>
      </c>
      <c r="M201" s="364">
        <v>278</v>
      </c>
      <c r="N201" s="365">
        <f t="shared" si="33"/>
        <v>0</v>
      </c>
      <c r="O201" s="91" t="e">
        <f t="shared" si="34"/>
        <v>#DIV/0!</v>
      </c>
      <c r="P201" s="365"/>
      <c r="Q201" s="57">
        <f t="shared" si="35"/>
        <v>0</v>
      </c>
      <c r="R201" s="57">
        <f t="shared" si="36"/>
        <v>0</v>
      </c>
    </row>
    <row r="202" spans="2:18" ht="15.75" customHeight="1" x14ac:dyDescent="0.45">
      <c r="B202" s="363">
        <v>5341787190</v>
      </c>
      <c r="C202" s="807" t="s">
        <v>613</v>
      </c>
      <c r="D202" s="216" t="s">
        <v>511</v>
      </c>
      <c r="E202" s="216">
        <v>3</v>
      </c>
      <c r="F202" s="216">
        <v>31</v>
      </c>
      <c r="G202" s="216"/>
      <c r="H202" s="216">
        <f>(A10/(0.00001*300)/3000)</f>
        <v>0</v>
      </c>
      <c r="I202" s="57">
        <f>(30*[1]BC!$B$47/F202)</f>
        <v>11.612903225806452</v>
      </c>
      <c r="J202" s="363">
        <f t="shared" si="37"/>
        <v>11.612903225806452</v>
      </c>
      <c r="K202" s="216">
        <f t="shared" si="38"/>
        <v>0</v>
      </c>
      <c r="L202" s="216">
        <f t="shared" si="32"/>
        <v>0</v>
      </c>
      <c r="M202" s="364">
        <v>425</v>
      </c>
      <c r="N202" s="365">
        <f t="shared" si="33"/>
        <v>0</v>
      </c>
      <c r="O202" s="91" t="e">
        <f t="shared" si="34"/>
        <v>#DIV/0!</v>
      </c>
      <c r="P202" s="365"/>
      <c r="Q202" s="57">
        <f t="shared" si="35"/>
        <v>0</v>
      </c>
      <c r="R202" s="57">
        <f t="shared" si="36"/>
        <v>0</v>
      </c>
    </row>
    <row r="203" spans="2:18" ht="15.75" customHeight="1" x14ac:dyDescent="0.45">
      <c r="B203" s="363">
        <v>6505988190</v>
      </c>
      <c r="C203" s="858" t="s">
        <v>614</v>
      </c>
      <c r="D203" s="216" t="s">
        <v>511</v>
      </c>
      <c r="E203" s="216">
        <v>2</v>
      </c>
      <c r="F203" s="216"/>
      <c r="G203" s="216"/>
      <c r="H203" s="216"/>
      <c r="I203" s="57" t="e">
        <f>(30*[1]BC!$B$47/F203)</f>
        <v>#DIV/0!</v>
      </c>
      <c r="J203" s="363" t="e">
        <f t="shared" si="37"/>
        <v>#DIV/0!</v>
      </c>
      <c r="K203" s="216">
        <f t="shared" si="38"/>
        <v>0</v>
      </c>
      <c r="L203" s="216">
        <f t="shared" si="32"/>
        <v>0</v>
      </c>
      <c r="M203" s="364">
        <v>141</v>
      </c>
      <c r="N203" s="365">
        <f t="shared" si="33"/>
        <v>0</v>
      </c>
      <c r="O203" s="91" t="e">
        <f t="shared" si="34"/>
        <v>#DIV/0!</v>
      </c>
      <c r="P203" s="365"/>
      <c r="Q203" s="57">
        <f t="shared" si="35"/>
        <v>0</v>
      </c>
      <c r="R203" s="57">
        <f t="shared" si="36"/>
        <v>0</v>
      </c>
    </row>
    <row r="204" spans="2:18" ht="15.75" customHeight="1" x14ac:dyDescent="0.45">
      <c r="B204" s="363">
        <v>4618807190</v>
      </c>
      <c r="C204" s="883" t="s">
        <v>615</v>
      </c>
      <c r="D204" s="216" t="s">
        <v>511</v>
      </c>
      <c r="E204" s="216">
        <v>8</v>
      </c>
      <c r="F204" s="216">
        <v>56</v>
      </c>
      <c r="G204" s="216"/>
      <c r="H204" s="216">
        <f>(G82/(0.00002*300)/3000)</f>
        <v>0</v>
      </c>
      <c r="I204" s="57">
        <f>(30*[1]BC!$B$47/F204)</f>
        <v>6.4285714285714288</v>
      </c>
      <c r="J204" s="363">
        <f t="shared" si="37"/>
        <v>6.4285714285714288</v>
      </c>
      <c r="K204" s="216">
        <f t="shared" si="38"/>
        <v>0</v>
      </c>
      <c r="L204" s="216">
        <f t="shared" si="32"/>
        <v>0</v>
      </c>
      <c r="M204" s="364">
        <v>225</v>
      </c>
      <c r="N204" s="365">
        <f t="shared" si="33"/>
        <v>0</v>
      </c>
      <c r="O204" s="91" t="e">
        <f t="shared" si="34"/>
        <v>#DIV/0!</v>
      </c>
      <c r="P204" s="365"/>
      <c r="Q204" s="57">
        <f t="shared" si="35"/>
        <v>0</v>
      </c>
      <c r="R204" s="57">
        <f t="shared" si="36"/>
        <v>0</v>
      </c>
    </row>
    <row r="205" spans="2:18" ht="15.75" customHeight="1" x14ac:dyDescent="0.45">
      <c r="B205" s="363">
        <v>9787518190</v>
      </c>
      <c r="C205" s="884" t="s">
        <v>616</v>
      </c>
      <c r="D205" s="216" t="s">
        <v>511</v>
      </c>
      <c r="E205" s="216">
        <v>4</v>
      </c>
      <c r="F205" s="216">
        <v>56</v>
      </c>
      <c r="G205" s="216"/>
      <c r="H205" s="216">
        <f>(G83/(0.00002*300)/3000)</f>
        <v>0</v>
      </c>
      <c r="I205" s="57">
        <f>(30*[1]BC!$B$47/F205)</f>
        <v>6.4285714285714288</v>
      </c>
      <c r="J205" s="363">
        <f t="shared" si="37"/>
        <v>6.4285714285714288</v>
      </c>
      <c r="K205" s="216">
        <f t="shared" si="38"/>
        <v>0</v>
      </c>
      <c r="L205" s="216">
        <f t="shared" si="32"/>
        <v>0</v>
      </c>
      <c r="M205" s="364">
        <v>334</v>
      </c>
      <c r="N205" s="365">
        <f t="shared" si="33"/>
        <v>0</v>
      </c>
      <c r="O205" s="91" t="e">
        <f t="shared" si="34"/>
        <v>#DIV/0!</v>
      </c>
      <c r="P205" s="365"/>
      <c r="Q205" s="57">
        <f t="shared" si="35"/>
        <v>0</v>
      </c>
      <c r="R205" s="57">
        <f t="shared" si="36"/>
        <v>0</v>
      </c>
    </row>
    <row r="206" spans="2:18" ht="15.75" customHeight="1" x14ac:dyDescent="0.45">
      <c r="B206" s="363">
        <v>9345302190</v>
      </c>
      <c r="C206" s="861" t="s">
        <v>617</v>
      </c>
      <c r="D206" s="216" t="s">
        <v>511</v>
      </c>
      <c r="E206" s="216">
        <v>3</v>
      </c>
      <c r="F206" s="216">
        <v>21</v>
      </c>
      <c r="G206" s="216"/>
      <c r="H206" s="216"/>
      <c r="I206" s="57">
        <f>(30*[1]BC!$B$47/F206)</f>
        <v>17.142857142857142</v>
      </c>
      <c r="J206" s="363">
        <f t="shared" si="37"/>
        <v>17.142857142857142</v>
      </c>
      <c r="K206" s="216">
        <f t="shared" si="38"/>
        <v>0</v>
      </c>
      <c r="L206" s="216">
        <f t="shared" si="32"/>
        <v>0</v>
      </c>
      <c r="M206" s="364">
        <v>287</v>
      </c>
      <c r="N206" s="365">
        <f t="shared" si="33"/>
        <v>0</v>
      </c>
      <c r="O206" s="91" t="e">
        <f t="shared" si="34"/>
        <v>#DIV/0!</v>
      </c>
      <c r="P206" s="365"/>
      <c r="Q206" s="57">
        <f t="shared" si="35"/>
        <v>0</v>
      </c>
      <c r="R206" s="57">
        <f t="shared" si="36"/>
        <v>0</v>
      </c>
    </row>
    <row r="207" spans="2:18" ht="15.75" customHeight="1" x14ac:dyDescent="0.45">
      <c r="B207" s="363">
        <v>6923364190</v>
      </c>
      <c r="C207" s="863" t="s">
        <v>618</v>
      </c>
      <c r="D207" s="216" t="s">
        <v>511</v>
      </c>
      <c r="E207" s="216">
        <v>2</v>
      </c>
      <c r="F207" s="216">
        <v>168</v>
      </c>
      <c r="G207" s="216"/>
      <c r="H207" s="216"/>
      <c r="I207" s="57">
        <f>(30*[1]BC!$B$47/F207)</f>
        <v>2.1428571428571428</v>
      </c>
      <c r="J207" s="363">
        <f t="shared" si="37"/>
        <v>2.1428571428571428</v>
      </c>
      <c r="K207" s="216">
        <f t="shared" si="38"/>
        <v>0</v>
      </c>
      <c r="L207" s="216">
        <f t="shared" si="32"/>
        <v>0</v>
      </c>
      <c r="M207" s="364">
        <v>101</v>
      </c>
      <c r="N207" s="365">
        <f t="shared" si="33"/>
        <v>0</v>
      </c>
      <c r="O207" s="91" t="e">
        <f t="shared" si="34"/>
        <v>#DIV/0!</v>
      </c>
      <c r="P207" s="365"/>
      <c r="Q207" s="57">
        <f t="shared" si="35"/>
        <v>0</v>
      </c>
      <c r="R207" s="57">
        <f t="shared" si="36"/>
        <v>0</v>
      </c>
    </row>
    <row r="208" spans="2:18" ht="15.75" customHeight="1" x14ac:dyDescent="0.45">
      <c r="B208" s="363">
        <v>5042666191</v>
      </c>
      <c r="C208" s="825" t="s">
        <v>619</v>
      </c>
      <c r="D208" s="216" t="s">
        <v>511</v>
      </c>
      <c r="E208" s="216">
        <v>2</v>
      </c>
      <c r="F208" s="216">
        <v>28</v>
      </c>
      <c r="G208" s="216"/>
      <c r="H208" s="216">
        <f>(A13/(0.00008*300)/3000)</f>
        <v>0</v>
      </c>
      <c r="I208" s="57">
        <f>(30*[1]BC!$B$47/F208)</f>
        <v>12.857142857142858</v>
      </c>
      <c r="J208" s="363">
        <f t="shared" si="37"/>
        <v>12.857142857142858</v>
      </c>
      <c r="K208" s="216">
        <f t="shared" si="38"/>
        <v>0</v>
      </c>
      <c r="L208" s="216">
        <f t="shared" si="32"/>
        <v>0</v>
      </c>
      <c r="M208" s="364">
        <v>191</v>
      </c>
      <c r="N208" s="365">
        <f t="shared" si="33"/>
        <v>0</v>
      </c>
      <c r="O208" s="91" t="e">
        <f t="shared" si="34"/>
        <v>#DIV/0!</v>
      </c>
      <c r="P208" s="365"/>
      <c r="Q208" s="57">
        <f t="shared" si="35"/>
        <v>0</v>
      </c>
      <c r="R208" s="57">
        <f t="shared" si="36"/>
        <v>0</v>
      </c>
    </row>
    <row r="209" spans="2:31" ht="15.75" customHeight="1" x14ac:dyDescent="0.45">
      <c r="B209" s="363">
        <v>4618823190</v>
      </c>
      <c r="C209" s="865" t="s">
        <v>620</v>
      </c>
      <c r="D209" s="216" t="s">
        <v>511</v>
      </c>
      <c r="E209" s="216">
        <v>8</v>
      </c>
      <c r="F209" s="216">
        <v>56</v>
      </c>
      <c r="G209" s="216"/>
      <c r="H209" s="216">
        <f>(G95/(0.00002*300)/3000)</f>
        <v>0</v>
      </c>
      <c r="I209" s="57">
        <f>(30*[1]BC!$B$47/F209)</f>
        <v>6.4285714285714288</v>
      </c>
      <c r="J209" s="363">
        <f t="shared" si="37"/>
        <v>6.4285714285714288</v>
      </c>
      <c r="K209" s="216">
        <f t="shared" si="38"/>
        <v>0</v>
      </c>
      <c r="L209" s="216">
        <f t="shared" si="32"/>
        <v>0</v>
      </c>
      <c r="M209" s="364">
        <v>248</v>
      </c>
      <c r="N209" s="365">
        <f t="shared" si="33"/>
        <v>0</v>
      </c>
      <c r="O209" s="91" t="e">
        <f t="shared" si="34"/>
        <v>#DIV/0!</v>
      </c>
      <c r="P209" s="365"/>
      <c r="Q209" s="57">
        <f t="shared" si="35"/>
        <v>0</v>
      </c>
      <c r="R209" s="57">
        <f t="shared" si="36"/>
        <v>0</v>
      </c>
    </row>
    <row r="210" spans="2:31" ht="15.75" customHeight="1" x14ac:dyDescent="0.45">
      <c r="B210" s="363">
        <v>5802580190</v>
      </c>
      <c r="C210" s="885" t="s">
        <v>621</v>
      </c>
      <c r="D210" s="216" t="s">
        <v>511</v>
      </c>
      <c r="E210" s="216">
        <v>3</v>
      </c>
      <c r="F210" s="216">
        <v>56</v>
      </c>
      <c r="G210" s="216"/>
      <c r="H210" s="216"/>
      <c r="I210" s="57">
        <f>(30*[1]BC!$B$47/F210)</f>
        <v>6.4285714285714288</v>
      </c>
      <c r="J210" s="363">
        <f t="shared" si="37"/>
        <v>6.4285714285714288</v>
      </c>
      <c r="K210" s="216">
        <f t="shared" si="38"/>
        <v>0</v>
      </c>
      <c r="L210" s="216">
        <f t="shared" si="32"/>
        <v>0</v>
      </c>
      <c r="M210" s="364">
        <v>1238</v>
      </c>
      <c r="N210" s="365">
        <f t="shared" si="33"/>
        <v>0</v>
      </c>
      <c r="O210" s="91" t="e">
        <f t="shared" si="34"/>
        <v>#DIV/0!</v>
      </c>
      <c r="P210" s="365"/>
      <c r="Q210" s="57">
        <f t="shared" si="35"/>
        <v>0</v>
      </c>
      <c r="R210" s="57">
        <f t="shared" si="36"/>
        <v>0</v>
      </c>
    </row>
    <row r="211" spans="2:31" ht="15.75" customHeight="1" x14ac:dyDescent="0.45">
      <c r="B211" s="363">
        <v>4618866190</v>
      </c>
      <c r="C211" s="886" t="s">
        <v>622</v>
      </c>
      <c r="D211" s="216" t="s">
        <v>511</v>
      </c>
      <c r="E211" s="216">
        <v>8</v>
      </c>
      <c r="F211" s="216">
        <v>56</v>
      </c>
      <c r="G211" s="216"/>
      <c r="H211" s="216">
        <f>(G96/(0.00002*300)/3000)</f>
        <v>0</v>
      </c>
      <c r="I211" s="57">
        <f>(30*[1]BC!$B$47/F211)</f>
        <v>6.4285714285714288</v>
      </c>
      <c r="J211" s="363">
        <f t="shared" si="37"/>
        <v>6.4285714285714288</v>
      </c>
      <c r="K211" s="216">
        <f t="shared" si="38"/>
        <v>0</v>
      </c>
      <c r="L211" s="216">
        <f t="shared" si="32"/>
        <v>0</v>
      </c>
      <c r="M211" s="364">
        <v>268</v>
      </c>
      <c r="N211" s="365">
        <f t="shared" si="33"/>
        <v>0</v>
      </c>
      <c r="O211" s="91" t="e">
        <f t="shared" si="34"/>
        <v>#DIV/0!</v>
      </c>
      <c r="P211" s="365"/>
      <c r="Q211" s="57">
        <f t="shared" si="35"/>
        <v>0</v>
      </c>
      <c r="R211" s="57">
        <f t="shared" si="36"/>
        <v>0</v>
      </c>
    </row>
    <row r="212" spans="2:31" ht="15.75" customHeight="1" x14ac:dyDescent="0.45">
      <c r="B212" s="363">
        <v>5095107190</v>
      </c>
      <c r="C212" s="868" t="s">
        <v>623</v>
      </c>
      <c r="D212" s="216" t="s">
        <v>511</v>
      </c>
      <c r="E212" s="216">
        <v>2</v>
      </c>
      <c r="F212" s="216">
        <v>84</v>
      </c>
      <c r="G212" s="216"/>
      <c r="H212" s="216">
        <f>(A31/(0.00005*300)/3000)</f>
        <v>0</v>
      </c>
      <c r="I212" s="57">
        <f>(30*[1]BC!$B$47/F212)</f>
        <v>4.2857142857142856</v>
      </c>
      <c r="J212" s="363">
        <f t="shared" si="37"/>
        <v>4.2857142857142856</v>
      </c>
      <c r="K212" s="216">
        <f t="shared" si="38"/>
        <v>0</v>
      </c>
      <c r="L212" s="216">
        <f t="shared" si="32"/>
        <v>0</v>
      </c>
      <c r="M212" s="364">
        <v>87</v>
      </c>
      <c r="N212" s="365">
        <f t="shared" si="33"/>
        <v>0</v>
      </c>
      <c r="O212" s="91" t="e">
        <f t="shared" si="34"/>
        <v>#DIV/0!</v>
      </c>
      <c r="P212" s="365"/>
      <c r="Q212" s="57">
        <f t="shared" si="35"/>
        <v>0</v>
      </c>
      <c r="R212" s="57">
        <f t="shared" si="36"/>
        <v>0</v>
      </c>
    </row>
    <row r="213" spans="2:31" ht="15.75" customHeight="1" x14ac:dyDescent="0.45">
      <c r="B213" s="363">
        <v>11776452122</v>
      </c>
      <c r="C213" s="827" t="s">
        <v>624</v>
      </c>
      <c r="D213" s="216" t="s">
        <v>511</v>
      </c>
      <c r="E213" s="216">
        <v>2</v>
      </c>
      <c r="F213" s="216">
        <v>28</v>
      </c>
      <c r="G213" s="216"/>
      <c r="H213" s="216">
        <f>(A22/(0.00021*300)/3000)</f>
        <v>0</v>
      </c>
      <c r="I213" s="57">
        <f>(30*[1]BC!$B$47/F213)</f>
        <v>12.857142857142858</v>
      </c>
      <c r="J213" s="363">
        <f t="shared" si="37"/>
        <v>12.857142857142858</v>
      </c>
      <c r="K213" s="216">
        <f t="shared" si="38"/>
        <v>0</v>
      </c>
      <c r="L213" s="216">
        <f t="shared" si="32"/>
        <v>0</v>
      </c>
      <c r="M213" s="364">
        <v>189</v>
      </c>
      <c r="N213" s="365">
        <f t="shared" si="33"/>
        <v>0</v>
      </c>
      <c r="O213" s="91" t="e">
        <f t="shared" si="34"/>
        <v>#DIV/0!</v>
      </c>
      <c r="P213" s="365"/>
      <c r="Q213" s="57">
        <f t="shared" si="35"/>
        <v>0</v>
      </c>
      <c r="R213" s="57">
        <f t="shared" si="36"/>
        <v>0</v>
      </c>
    </row>
    <row r="214" spans="2:31" ht="15.75" customHeight="1" x14ac:dyDescent="0.45">
      <c r="B214" s="363">
        <v>11731416190</v>
      </c>
      <c r="C214" s="839" t="s">
        <v>625</v>
      </c>
      <c r="D214" s="216" t="s">
        <v>511</v>
      </c>
      <c r="E214" s="216">
        <v>2</v>
      </c>
      <c r="F214" s="216">
        <v>28</v>
      </c>
      <c r="G214" s="216"/>
      <c r="H214" s="216">
        <f>(A19/(0.0008*300)/3000)</f>
        <v>0</v>
      </c>
      <c r="I214" s="57">
        <f>(30*[1]BC!$B$47/F214)</f>
        <v>12.857142857142858</v>
      </c>
      <c r="J214" s="363">
        <f t="shared" si="37"/>
        <v>12.857142857142858</v>
      </c>
      <c r="K214" s="216">
        <f t="shared" si="38"/>
        <v>0</v>
      </c>
      <c r="L214" s="216">
        <f t="shared" si="32"/>
        <v>0</v>
      </c>
      <c r="M214" s="364">
        <v>101</v>
      </c>
      <c r="N214" s="365">
        <f t="shared" si="33"/>
        <v>0</v>
      </c>
      <c r="O214" s="91" t="e">
        <f t="shared" si="34"/>
        <v>#DIV/0!</v>
      </c>
      <c r="P214" s="365"/>
      <c r="Q214" s="57">
        <f t="shared" si="35"/>
        <v>0</v>
      </c>
      <c r="R214" s="57">
        <f t="shared" si="36"/>
        <v>0</v>
      </c>
    </row>
    <row r="215" spans="2:31" ht="15.75" customHeight="1" x14ac:dyDescent="0.45">
      <c r="B215" s="363">
        <v>5618860190</v>
      </c>
      <c r="C215" s="844" t="s">
        <v>626</v>
      </c>
      <c r="D215" s="216" t="s">
        <v>511</v>
      </c>
      <c r="E215" s="216">
        <v>2</v>
      </c>
      <c r="F215" s="216">
        <v>28</v>
      </c>
      <c r="G215" s="216"/>
      <c r="H215" s="216">
        <f>(A16/(0.000018*300)/3000)</f>
        <v>0</v>
      </c>
      <c r="I215" s="57">
        <f>(30*[1]BC!$B$47/F215)</f>
        <v>12.857142857142858</v>
      </c>
      <c r="J215" s="363">
        <f t="shared" si="37"/>
        <v>12.857142857142858</v>
      </c>
      <c r="K215" s="216">
        <f t="shared" si="38"/>
        <v>0</v>
      </c>
      <c r="L215" s="216">
        <f t="shared" si="32"/>
        <v>0</v>
      </c>
      <c r="M215" s="364">
        <v>355</v>
      </c>
      <c r="N215" s="365">
        <f t="shared" si="33"/>
        <v>0</v>
      </c>
      <c r="O215" s="91" t="e">
        <f t="shared" si="34"/>
        <v>#DIV/0!</v>
      </c>
      <c r="P215" s="365"/>
      <c r="Q215" s="57">
        <f t="shared" si="35"/>
        <v>0</v>
      </c>
      <c r="R215" s="57">
        <f t="shared" si="36"/>
        <v>0</v>
      </c>
    </row>
    <row r="216" spans="2:31" ht="15.75" customHeight="1" x14ac:dyDescent="0.45">
      <c r="B216" s="363">
        <v>9038124190</v>
      </c>
      <c r="C216" s="887" t="s">
        <v>627</v>
      </c>
      <c r="D216" s="216" t="s">
        <v>511</v>
      </c>
      <c r="E216" s="216">
        <v>3</v>
      </c>
      <c r="F216" s="216">
        <v>31</v>
      </c>
      <c r="G216" s="216"/>
      <c r="H216" s="216">
        <f>(G102/(0.00008*300)/3000)</f>
        <v>0</v>
      </c>
      <c r="I216" s="57">
        <f>(30*[1]BC!$B$47/F216)</f>
        <v>11.612903225806452</v>
      </c>
      <c r="J216" s="363">
        <f t="shared" si="37"/>
        <v>11.612903225806452</v>
      </c>
      <c r="K216" s="216">
        <f t="shared" si="38"/>
        <v>0</v>
      </c>
      <c r="L216" s="216">
        <f t="shared" si="32"/>
        <v>0</v>
      </c>
      <c r="M216" s="364">
        <v>97</v>
      </c>
      <c r="N216" s="365">
        <f t="shared" si="33"/>
        <v>0</v>
      </c>
      <c r="O216" s="91" t="e">
        <f t="shared" si="34"/>
        <v>#DIV/0!</v>
      </c>
      <c r="P216" s="365"/>
      <c r="Q216" s="57">
        <f t="shared" si="35"/>
        <v>0</v>
      </c>
      <c r="R216" s="57">
        <f t="shared" si="36"/>
        <v>0</v>
      </c>
    </row>
    <row r="217" spans="2:31" ht="15.75" customHeight="1" x14ac:dyDescent="0.45">
      <c r="B217" s="384" t="s">
        <v>8</v>
      </c>
      <c r="C217" s="380"/>
      <c r="D217" s="380"/>
      <c r="E217" s="380" t="s">
        <v>183</v>
      </c>
      <c r="F217" s="380" t="s">
        <v>649</v>
      </c>
      <c r="G217" s="382"/>
      <c r="H217" s="379" t="s">
        <v>53</v>
      </c>
      <c r="I217" s="379" t="s">
        <v>52</v>
      </c>
      <c r="J217" s="379" t="s">
        <v>51</v>
      </c>
      <c r="K217" s="379"/>
      <c r="L217" s="379" t="s">
        <v>50</v>
      </c>
      <c r="M217" s="379" t="s">
        <v>49</v>
      </c>
      <c r="N217" s="379" t="s">
        <v>48</v>
      </c>
      <c r="O217" s="379"/>
      <c r="P217" s="379"/>
      <c r="Q217" s="381" t="s">
        <v>318</v>
      </c>
      <c r="R217" s="381" t="s">
        <v>319</v>
      </c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</row>
    <row r="218" spans="2:31" ht="15.75" customHeight="1" x14ac:dyDescent="0.45">
      <c r="B218" s="363">
        <v>11706802001</v>
      </c>
      <c r="C218" s="363" t="s">
        <v>628</v>
      </c>
      <c r="D218" s="216" t="s">
        <v>511</v>
      </c>
      <c r="E218" s="216">
        <v>1</v>
      </c>
      <c r="F218" s="216">
        <v>365</v>
      </c>
      <c r="G218" s="57"/>
      <c r="H218" s="57">
        <f>(G103/(0.02*50)/2000)</f>
        <v>0</v>
      </c>
      <c r="I218" s="57">
        <f>(30*[1]BC!$B$47/F218)</f>
        <v>0.98630136986301364</v>
      </c>
      <c r="J218" s="363">
        <f t="shared" si="37"/>
        <v>0.98630136986301364</v>
      </c>
      <c r="K218" s="216">
        <f t="shared" si="38"/>
        <v>0</v>
      </c>
      <c r="L218" s="216">
        <f t="shared" si="32"/>
        <v>0</v>
      </c>
      <c r="M218" s="364">
        <v>104</v>
      </c>
      <c r="N218" s="365">
        <f t="shared" ref="N218:N228" si="39">((M218/E218)*L218)</f>
        <v>0</v>
      </c>
      <c r="O218" s="91" t="e">
        <f t="shared" ref="O218:O228" si="40">((M218*$L$233)+M218)</f>
        <v>#DIV/0!</v>
      </c>
      <c r="P218" s="365"/>
      <c r="Q218" s="57">
        <f>L218/E218</f>
        <v>0</v>
      </c>
      <c r="R218" s="57">
        <f t="shared" ref="R218" si="41">ROUNDUP(Q218,0)</f>
        <v>0</v>
      </c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</row>
    <row r="219" spans="2:31" ht="15.75" customHeight="1" x14ac:dyDescent="0.45">
      <c r="B219" s="363">
        <v>11706799001</v>
      </c>
      <c r="C219" s="363" t="s">
        <v>629</v>
      </c>
      <c r="D219" s="216" t="s">
        <v>511</v>
      </c>
      <c r="E219" s="216">
        <v>1</v>
      </c>
      <c r="F219" s="216">
        <v>365</v>
      </c>
      <c r="G219" s="57"/>
      <c r="H219" s="57">
        <f>(G103/(0.02*25)/2000)</f>
        <v>0</v>
      </c>
      <c r="I219" s="57">
        <f>(30*[1]BC!$B$47/F219)</f>
        <v>0.98630136986301364</v>
      </c>
      <c r="J219" s="363">
        <f t="shared" si="37"/>
        <v>0.98630136986301364</v>
      </c>
      <c r="K219" s="216">
        <f t="shared" si="38"/>
        <v>0</v>
      </c>
      <c r="L219" s="216">
        <f t="shared" si="32"/>
        <v>0</v>
      </c>
      <c r="M219" s="364">
        <v>109</v>
      </c>
      <c r="N219" s="365">
        <f t="shared" si="39"/>
        <v>0</v>
      </c>
      <c r="O219" s="91" t="e">
        <f t="shared" si="40"/>
        <v>#DIV/0!</v>
      </c>
      <c r="P219" s="365"/>
      <c r="Q219" s="57">
        <f>L219/E219</f>
        <v>0</v>
      </c>
      <c r="R219" s="57">
        <f t="shared" si="36"/>
        <v>0</v>
      </c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</row>
    <row r="220" spans="2:31" ht="15.75" customHeight="1" x14ac:dyDescent="0.45">
      <c r="B220" s="363">
        <v>4444191001</v>
      </c>
      <c r="C220" s="363" t="s">
        <v>630</v>
      </c>
      <c r="D220" s="216" t="s">
        <v>511</v>
      </c>
      <c r="E220" s="216">
        <v>1</v>
      </c>
      <c r="F220" s="216">
        <v>365</v>
      </c>
      <c r="G220" s="57"/>
      <c r="H220" s="57">
        <f>((G103-(G103*0.9))/F220)</f>
        <v>0</v>
      </c>
      <c r="I220" s="57">
        <f>(30*[1]BC!$B$47/F220)</f>
        <v>0.98630136986301364</v>
      </c>
      <c r="J220" s="363">
        <f t="shared" si="37"/>
        <v>0.98630136986301364</v>
      </c>
      <c r="K220" s="216">
        <f t="shared" si="38"/>
        <v>0</v>
      </c>
      <c r="L220" s="216">
        <f t="shared" si="32"/>
        <v>0</v>
      </c>
      <c r="M220" s="368">
        <v>9</v>
      </c>
      <c r="N220" s="365">
        <f t="shared" si="39"/>
        <v>0</v>
      </c>
      <c r="O220" s="91" t="e">
        <f t="shared" si="40"/>
        <v>#DIV/0!</v>
      </c>
      <c r="P220" s="365"/>
      <c r="Q220" s="57">
        <f t="shared" si="35"/>
        <v>0</v>
      </c>
      <c r="R220" s="57">
        <f t="shared" si="36"/>
        <v>0</v>
      </c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</row>
    <row r="221" spans="2:31" ht="15.75" customHeight="1" x14ac:dyDescent="0.45">
      <c r="B221" s="363">
        <v>11662970122</v>
      </c>
      <c r="C221" s="363" t="s">
        <v>631</v>
      </c>
      <c r="D221" s="216" t="s">
        <v>511</v>
      </c>
      <c r="E221" s="216">
        <v>6</v>
      </c>
      <c r="F221" s="216">
        <v>28</v>
      </c>
      <c r="G221" s="57"/>
      <c r="H221" s="57">
        <f>(G103/(0.00013*100)/12000)</f>
        <v>0</v>
      </c>
      <c r="I221" s="57">
        <f>(30*[1]BC!$B$47/F221)</f>
        <v>12.857142857142858</v>
      </c>
      <c r="J221" s="363">
        <f t="shared" si="37"/>
        <v>12.857142857142858</v>
      </c>
      <c r="K221" s="216">
        <f t="shared" si="38"/>
        <v>0</v>
      </c>
      <c r="L221" s="216">
        <f t="shared" si="32"/>
        <v>0</v>
      </c>
      <c r="M221" s="364">
        <v>68</v>
      </c>
      <c r="N221" s="365">
        <f t="shared" si="39"/>
        <v>0</v>
      </c>
      <c r="O221" s="91" t="e">
        <f t="shared" si="40"/>
        <v>#DIV/0!</v>
      </c>
      <c r="P221" s="365"/>
      <c r="Q221" s="57">
        <f t="shared" si="35"/>
        <v>0</v>
      </c>
      <c r="R221" s="57">
        <f t="shared" si="36"/>
        <v>0</v>
      </c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</row>
    <row r="222" spans="2:31" ht="15.75" customHeight="1" x14ac:dyDescent="0.45">
      <c r="B222" s="363">
        <v>11662988122</v>
      </c>
      <c r="C222" s="363" t="s">
        <v>632</v>
      </c>
      <c r="D222" s="216" t="s">
        <v>511</v>
      </c>
      <c r="E222" s="216">
        <v>6</v>
      </c>
      <c r="F222" s="216">
        <v>28</v>
      </c>
      <c r="G222" s="57"/>
      <c r="H222" s="57">
        <f>(G103/(0.00013*100)/12000)</f>
        <v>0</v>
      </c>
      <c r="I222" s="57">
        <f>(30*[1]BC!$B$47/F222)</f>
        <v>12.857142857142858</v>
      </c>
      <c r="J222" s="363">
        <f t="shared" si="37"/>
        <v>12.857142857142858</v>
      </c>
      <c r="K222" s="216">
        <f t="shared" si="38"/>
        <v>0</v>
      </c>
      <c r="L222" s="216">
        <f t="shared" si="32"/>
        <v>0</v>
      </c>
      <c r="M222" s="364">
        <v>68</v>
      </c>
      <c r="N222" s="365">
        <f t="shared" si="39"/>
        <v>0</v>
      </c>
      <c r="O222" s="91" t="e">
        <f t="shared" si="40"/>
        <v>#DIV/0!</v>
      </c>
      <c r="P222" s="365"/>
      <c r="Q222" s="57">
        <f t="shared" si="35"/>
        <v>0</v>
      </c>
      <c r="R222" s="57">
        <f t="shared" si="36"/>
        <v>0</v>
      </c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</row>
    <row r="223" spans="2:31" ht="15.75" customHeight="1" x14ac:dyDescent="0.45">
      <c r="B223" s="363">
        <v>11930346122</v>
      </c>
      <c r="C223" s="363" t="s">
        <v>633</v>
      </c>
      <c r="D223" s="216" t="s">
        <v>511</v>
      </c>
      <c r="E223" s="216">
        <v>1</v>
      </c>
      <c r="F223" s="216">
        <v>168</v>
      </c>
      <c r="G223" s="57"/>
      <c r="H223" s="57">
        <f>(G103/(0.03*200)/800)</f>
        <v>0</v>
      </c>
      <c r="I223" s="57">
        <f>(30*[1]BC!$B$47/F223)</f>
        <v>2.1428571428571428</v>
      </c>
      <c r="J223" s="363">
        <f t="shared" si="37"/>
        <v>2.1428571428571428</v>
      </c>
      <c r="K223" s="216">
        <f t="shared" si="38"/>
        <v>0</v>
      </c>
      <c r="L223" s="216">
        <f t="shared" si="32"/>
        <v>0</v>
      </c>
      <c r="M223" s="364">
        <v>32</v>
      </c>
      <c r="N223" s="365">
        <f t="shared" si="39"/>
        <v>0</v>
      </c>
      <c r="O223" s="91" t="e">
        <f t="shared" si="40"/>
        <v>#DIV/0!</v>
      </c>
      <c r="P223" s="365"/>
      <c r="Q223" s="57">
        <f t="shared" si="35"/>
        <v>0</v>
      </c>
      <c r="R223" s="57">
        <f t="shared" si="36"/>
        <v>0</v>
      </c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</row>
    <row r="224" spans="2:31" ht="15.75" customHeight="1" x14ac:dyDescent="0.45">
      <c r="B224" s="363">
        <v>11298500316</v>
      </c>
      <c r="C224" s="363" t="s">
        <v>634</v>
      </c>
      <c r="D224" s="216" t="s">
        <v>511</v>
      </c>
      <c r="E224" s="216">
        <v>5</v>
      </c>
      <c r="F224" s="216">
        <v>365</v>
      </c>
      <c r="G224" s="57"/>
      <c r="H224" s="57">
        <f>(G103/(0.02*500)/800)</f>
        <v>0</v>
      </c>
      <c r="I224" s="57">
        <f>(30*[1]BC!$B$47/F224)</f>
        <v>0.98630136986301364</v>
      </c>
      <c r="J224" s="363">
        <f t="shared" si="37"/>
        <v>0.98630136986301364</v>
      </c>
      <c r="K224" s="216">
        <f t="shared" si="38"/>
        <v>0</v>
      </c>
      <c r="L224" s="216">
        <f t="shared" si="32"/>
        <v>0</v>
      </c>
      <c r="M224" s="364">
        <v>98</v>
      </c>
      <c r="N224" s="365">
        <f t="shared" si="39"/>
        <v>0</v>
      </c>
      <c r="O224" s="91" t="e">
        <f t="shared" si="40"/>
        <v>#DIV/0!</v>
      </c>
      <c r="P224" s="365"/>
      <c r="Q224" s="57">
        <f t="shared" si="35"/>
        <v>0</v>
      </c>
      <c r="R224" s="57">
        <f t="shared" si="36"/>
        <v>0</v>
      </c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</row>
    <row r="225" spans="2:31" ht="15.75" customHeight="1" x14ac:dyDescent="0.45">
      <c r="B225" s="363">
        <v>5151643001</v>
      </c>
      <c r="C225" s="363" t="s">
        <v>635</v>
      </c>
      <c r="D225" s="216" t="s">
        <v>511</v>
      </c>
      <c r="E225" s="216">
        <v>1</v>
      </c>
      <c r="F225" s="216">
        <v>365</v>
      </c>
      <c r="G225" s="57"/>
      <c r="H225" s="57"/>
      <c r="I225" s="57">
        <f>(30*[1]BC!$B$47/F225)</f>
        <v>0.98630136986301364</v>
      </c>
      <c r="J225" s="363">
        <f t="shared" si="37"/>
        <v>0.98630136986301364</v>
      </c>
      <c r="K225" s="216">
        <f t="shared" si="38"/>
        <v>0</v>
      </c>
      <c r="L225" s="216">
        <f t="shared" si="32"/>
        <v>0</v>
      </c>
      <c r="M225" s="367">
        <v>2481</v>
      </c>
      <c r="N225" s="365">
        <f t="shared" si="39"/>
        <v>0</v>
      </c>
      <c r="O225" s="91" t="e">
        <f t="shared" si="40"/>
        <v>#DIV/0!</v>
      </c>
      <c r="P225" s="365"/>
      <c r="Q225" s="57">
        <f t="shared" si="35"/>
        <v>0</v>
      </c>
      <c r="R225" s="57">
        <f t="shared" si="36"/>
        <v>0</v>
      </c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</row>
    <row r="226" spans="2:31" ht="15.75" customHeight="1" x14ac:dyDescent="0.45">
      <c r="B226" s="363">
        <v>11732277122</v>
      </c>
      <c r="C226" s="363" t="s">
        <v>636</v>
      </c>
      <c r="D226" s="216" t="s">
        <v>511</v>
      </c>
      <c r="E226" s="216">
        <v>2</v>
      </c>
      <c r="F226" s="216">
        <v>84</v>
      </c>
      <c r="G226" s="57"/>
      <c r="H226" s="57"/>
      <c r="I226" s="57">
        <f>(30*[1]BC!$B$47/F226)</f>
        <v>4.2857142857142856</v>
      </c>
      <c r="J226" s="363">
        <f t="shared" si="37"/>
        <v>4.2857142857142856</v>
      </c>
      <c r="K226" s="216">
        <f t="shared" si="38"/>
        <v>0</v>
      </c>
      <c r="L226" s="216">
        <f t="shared" si="32"/>
        <v>0</v>
      </c>
      <c r="M226" s="367">
        <v>275</v>
      </c>
      <c r="N226" s="365">
        <f t="shared" si="39"/>
        <v>0</v>
      </c>
      <c r="O226" s="91" t="e">
        <f t="shared" si="40"/>
        <v>#DIV/0!</v>
      </c>
      <c r="P226" s="365"/>
      <c r="Q226" s="57">
        <f t="shared" si="35"/>
        <v>0</v>
      </c>
      <c r="R226" s="57">
        <f t="shared" si="36"/>
        <v>0</v>
      </c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</row>
    <row r="227" spans="2:31" ht="15.75" customHeight="1" x14ac:dyDescent="0.45">
      <c r="B227" s="363">
        <v>3183971122</v>
      </c>
      <c r="C227" s="363" t="s">
        <v>637</v>
      </c>
      <c r="D227" s="216" t="s">
        <v>511</v>
      </c>
      <c r="E227" s="216">
        <v>1</v>
      </c>
      <c r="F227" s="216">
        <v>84</v>
      </c>
      <c r="G227" s="57"/>
      <c r="H227" s="57">
        <f>(A43/(0.02*100)/100)</f>
        <v>0</v>
      </c>
      <c r="I227" s="57">
        <f>(30*[1]BC!$B$47/F227)</f>
        <v>4.2857142857142856</v>
      </c>
      <c r="J227" s="363">
        <f t="shared" si="37"/>
        <v>4.2857142857142856</v>
      </c>
      <c r="K227" s="216">
        <f t="shared" si="38"/>
        <v>0</v>
      </c>
      <c r="L227" s="216">
        <f t="shared" si="32"/>
        <v>0</v>
      </c>
      <c r="M227" s="367">
        <v>165</v>
      </c>
      <c r="N227" s="365">
        <f t="shared" si="39"/>
        <v>0</v>
      </c>
      <c r="O227" s="91" t="e">
        <f t="shared" si="40"/>
        <v>#DIV/0!</v>
      </c>
      <c r="P227" s="365"/>
      <c r="Q227" s="57">
        <f t="shared" si="35"/>
        <v>0</v>
      </c>
      <c r="R227" s="57">
        <f t="shared" si="36"/>
        <v>0</v>
      </c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</row>
    <row r="228" spans="2:31" ht="15.75" customHeight="1" x14ac:dyDescent="0.45">
      <c r="B228" s="520">
        <v>11800507001</v>
      </c>
      <c r="C228" s="56" t="s">
        <v>638</v>
      </c>
      <c r="D228" s="57" t="s">
        <v>511</v>
      </c>
      <c r="E228" s="57">
        <v>1</v>
      </c>
      <c r="F228" s="57">
        <v>365</v>
      </c>
      <c r="G228" s="57"/>
      <c r="H228" s="57"/>
      <c r="I228" s="57">
        <f>(30*[1]BC!$B$47/F228)</f>
        <v>0.98630136986301364</v>
      </c>
      <c r="J228" s="363">
        <f t="shared" si="37"/>
        <v>0.98630136986301364</v>
      </c>
      <c r="K228" s="216">
        <f t="shared" si="38"/>
        <v>0</v>
      </c>
      <c r="L228" s="216">
        <f t="shared" si="32"/>
        <v>0</v>
      </c>
      <c r="M228" s="368">
        <v>51</v>
      </c>
      <c r="N228" s="365">
        <f t="shared" si="39"/>
        <v>0</v>
      </c>
      <c r="O228" s="91" t="e">
        <f t="shared" si="40"/>
        <v>#DIV/0!</v>
      </c>
      <c r="P228" s="365"/>
      <c r="Q228" s="57">
        <f t="shared" si="35"/>
        <v>0</v>
      </c>
      <c r="R228" s="57">
        <f t="shared" si="36"/>
        <v>0</v>
      </c>
    </row>
    <row r="229" spans="2:31" ht="15.75" customHeight="1" x14ac:dyDescent="0.45">
      <c r="B229" s="520"/>
      <c r="C229" s="56" t="s">
        <v>177</v>
      </c>
      <c r="D229" s="57"/>
      <c r="E229" s="57"/>
      <c r="F229" s="57"/>
      <c r="G229" s="57"/>
      <c r="H229" s="57"/>
      <c r="I229" s="57"/>
      <c r="J229" s="363"/>
      <c r="K229" s="216"/>
      <c r="L229" s="216">
        <f>BC!B47</f>
        <v>0</v>
      </c>
      <c r="M229" s="368">
        <v>1200</v>
      </c>
      <c r="N229" s="394">
        <f>M229*L229</f>
        <v>0</v>
      </c>
      <c r="O229" s="91">
        <f t="shared" ref="O229" si="42">((M229*$M$234)+M229)</f>
        <v>1200</v>
      </c>
      <c r="P229" s="365"/>
      <c r="Q229" s="57" t="e">
        <f t="shared" si="35"/>
        <v>#DIV/0!</v>
      </c>
      <c r="R229" s="57" t="e">
        <f t="shared" si="36"/>
        <v>#DIV/0!</v>
      </c>
    </row>
    <row r="230" spans="2:31" ht="15.75" customHeight="1" x14ac:dyDescent="0.45">
      <c r="E230" s="72"/>
      <c r="F230" s="72"/>
      <c r="G230" s="72"/>
      <c r="H230" s="72"/>
      <c r="I230" s="72"/>
      <c r="J230" s="24"/>
      <c r="K230" s="72"/>
      <c r="L230" s="72"/>
      <c r="M230" s="370"/>
      <c r="N230" s="385">
        <f>SUM(N105:N229)</f>
        <v>0</v>
      </c>
      <c r="O230" s="369"/>
      <c r="P230" s="369"/>
      <c r="Q230" s="57"/>
      <c r="R230" s="57">
        <f t="shared" si="36"/>
        <v>0</v>
      </c>
    </row>
    <row r="231" spans="2:31" ht="15.75" customHeight="1" x14ac:dyDescent="0.45">
      <c r="E231" s="72"/>
      <c r="F231" s="72"/>
      <c r="G231" s="72"/>
      <c r="H231" s="72"/>
      <c r="I231" s="72"/>
      <c r="J231" s="24"/>
      <c r="K231" s="72"/>
      <c r="L231" s="72"/>
      <c r="M231" s="24"/>
      <c r="N231" s="385" t="e">
        <f>N230/G103</f>
        <v>#DIV/0!</v>
      </c>
      <c r="O231" s="391"/>
      <c r="P231" s="391"/>
      <c r="Q231" s="24"/>
    </row>
    <row r="232" spans="2:31" ht="15.75" customHeight="1" x14ac:dyDescent="0.45">
      <c r="O232" s="391"/>
      <c r="P232" s="391"/>
      <c r="Q232" s="24"/>
    </row>
    <row r="233" spans="2:31" ht="15.75" customHeight="1" x14ac:dyDescent="0.45">
      <c r="L233" s="253" t="e">
        <f>(M229/N103)*L229</f>
        <v>#DIV/0!</v>
      </c>
      <c r="M233" s="93" t="e">
        <f>P103-N103</f>
        <v>#DIV/0!</v>
      </c>
    </row>
    <row r="234" spans="2:31" ht="15.75" customHeight="1" x14ac:dyDescent="0.45"/>
    <row r="235" spans="2:31" ht="15.75" customHeight="1" x14ac:dyDescent="0.45"/>
    <row r="236" spans="2:31" ht="15.75" customHeight="1" x14ac:dyDescent="0.45"/>
    <row r="237" spans="2:31" ht="15.75" customHeight="1" x14ac:dyDescent="0.45"/>
    <row r="238" spans="2:31" ht="15.75" customHeight="1" x14ac:dyDescent="0.45"/>
    <row r="239" spans="2:31" ht="15.75" customHeight="1" x14ac:dyDescent="0.45"/>
    <row r="240" spans="2:31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</sheetData>
  <mergeCells count="1">
    <mergeCell ref="B103:F10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299B2-D7EF-4EF7-AC9F-99044C41CBE3}">
  <dimension ref="A1:Z994"/>
  <sheetViews>
    <sheetView topLeftCell="A28" workbookViewId="0">
      <selection activeCell="A45" sqref="A45"/>
    </sheetView>
  </sheetViews>
  <sheetFormatPr baseColWidth="10" defaultColWidth="14.3984375" defaultRowHeight="14.25" x14ac:dyDescent="0.45"/>
  <cols>
    <col min="1" max="1" width="8.6640625" bestFit="1" customWidth="1"/>
    <col min="2" max="2" width="25.33203125" bestFit="1" customWidth="1"/>
    <col min="3" max="3" width="25.19921875" bestFit="1" customWidth="1"/>
    <col min="4" max="4" width="10.53125" bestFit="1" customWidth="1"/>
    <col min="5" max="5" width="11" bestFit="1" customWidth="1"/>
    <col min="6" max="6" width="10.59765625" bestFit="1" customWidth="1"/>
    <col min="7" max="7" width="14.6640625" bestFit="1" customWidth="1"/>
    <col min="8" max="8" width="17.19921875" bestFit="1" customWidth="1"/>
    <col min="9" max="9" width="15" bestFit="1" customWidth="1"/>
    <col min="10" max="26" width="10.73046875" customWidth="1"/>
  </cols>
  <sheetData>
    <row r="1" spans="1:15" x14ac:dyDescent="0.45">
      <c r="A1" s="94" t="s">
        <v>60</v>
      </c>
      <c r="B1" s="95"/>
      <c r="C1" s="98"/>
      <c r="D1" s="95"/>
      <c r="E1" s="98"/>
      <c r="F1" s="98"/>
      <c r="G1" s="98"/>
      <c r="H1" s="97"/>
      <c r="I1" s="97"/>
      <c r="J1" s="97"/>
      <c r="K1" s="97"/>
      <c r="L1" s="97"/>
      <c r="M1" s="97"/>
      <c r="N1" s="97"/>
      <c r="O1" s="97"/>
    </row>
    <row r="2" spans="1:15" x14ac:dyDescent="0.45">
      <c r="A2" s="94" t="s">
        <v>184</v>
      </c>
      <c r="B2" s="409"/>
      <c r="C2" s="98"/>
      <c r="D2" s="95"/>
      <c r="E2" s="98"/>
      <c r="F2" s="98"/>
      <c r="G2" s="98"/>
      <c r="H2" s="97"/>
      <c r="I2" s="97"/>
      <c r="J2" s="97"/>
      <c r="K2" s="97"/>
      <c r="L2" s="97"/>
      <c r="M2" s="97"/>
      <c r="N2" s="97"/>
      <c r="O2" s="97"/>
    </row>
    <row r="3" spans="1:15" x14ac:dyDescent="0.45">
      <c r="A3" s="94" t="s">
        <v>185</v>
      </c>
      <c r="B3" s="95"/>
      <c r="C3" s="98"/>
      <c r="D3" s="95"/>
      <c r="E3" s="98"/>
      <c r="F3" s="98"/>
      <c r="G3" s="98"/>
      <c r="H3" s="97"/>
      <c r="I3" s="97"/>
      <c r="J3" s="97"/>
      <c r="K3" s="97"/>
      <c r="L3" s="97"/>
      <c r="M3" s="97"/>
      <c r="N3" s="97"/>
      <c r="O3" s="97"/>
    </row>
    <row r="4" spans="1:15" x14ac:dyDescent="0.45">
      <c r="A4" s="94" t="s">
        <v>186</v>
      </c>
      <c r="B4" s="95"/>
      <c r="C4" s="98" t="s">
        <v>187</v>
      </c>
      <c r="D4" s="95"/>
      <c r="E4" s="98"/>
      <c r="F4" s="98"/>
      <c r="G4" s="98"/>
      <c r="H4" s="97"/>
      <c r="I4" s="97"/>
      <c r="J4" s="97"/>
      <c r="K4" s="97"/>
      <c r="L4" s="97"/>
      <c r="M4" s="97"/>
      <c r="N4" s="97"/>
      <c r="O4" s="97"/>
    </row>
    <row r="5" spans="1:15" x14ac:dyDescent="0.45">
      <c r="A5" s="94" t="s">
        <v>188</v>
      </c>
      <c r="B5" s="95"/>
      <c r="C5" s="98" t="s">
        <v>187</v>
      </c>
      <c r="D5" s="95"/>
      <c r="E5" s="98"/>
      <c r="F5" s="98"/>
      <c r="G5" s="98"/>
      <c r="H5" s="97"/>
      <c r="I5" s="97"/>
      <c r="J5" s="97"/>
      <c r="K5" s="97"/>
      <c r="L5" s="97"/>
      <c r="M5" s="97"/>
      <c r="N5" s="97"/>
      <c r="O5" s="97"/>
    </row>
    <row r="6" spans="1:15" x14ac:dyDescent="0.45">
      <c r="A6" s="525" t="s">
        <v>189</v>
      </c>
      <c r="B6" s="526" t="s">
        <v>844</v>
      </c>
      <c r="C6" s="527"/>
      <c r="D6" s="526" t="s">
        <v>860</v>
      </c>
      <c r="E6" s="527" t="s">
        <v>1128</v>
      </c>
      <c r="F6" s="24"/>
      <c r="G6" s="24"/>
      <c r="H6" s="529"/>
      <c r="I6" s="24"/>
      <c r="J6" s="97"/>
      <c r="K6" s="97"/>
      <c r="L6" s="97"/>
      <c r="M6" s="97"/>
      <c r="N6" s="97"/>
      <c r="O6" s="97"/>
    </row>
    <row r="7" spans="1:15" x14ac:dyDescent="0.45">
      <c r="A7" s="24"/>
      <c r="B7" s="24"/>
      <c r="C7" s="24"/>
      <c r="D7" s="528"/>
      <c r="E7" s="528"/>
      <c r="F7" s="24"/>
      <c r="G7" s="24"/>
      <c r="H7" s="529"/>
      <c r="I7" s="24"/>
      <c r="J7" s="97"/>
      <c r="K7" s="97"/>
      <c r="L7" s="97"/>
      <c r="M7" s="97"/>
      <c r="N7" s="97"/>
      <c r="O7" s="97"/>
    </row>
    <row r="8" spans="1:15" s="570" customFormat="1" ht="21" x14ac:dyDescent="0.45">
      <c r="A8" s="530" t="s">
        <v>191</v>
      </c>
      <c r="B8" s="888" t="s">
        <v>192</v>
      </c>
      <c r="C8" s="892"/>
      <c r="D8" s="531" t="s">
        <v>55</v>
      </c>
      <c r="E8" s="532" t="s">
        <v>54</v>
      </c>
      <c r="F8" s="533" t="s">
        <v>193</v>
      </c>
      <c r="G8" s="532" t="s">
        <v>53</v>
      </c>
      <c r="H8" s="568" t="s">
        <v>52</v>
      </c>
      <c r="I8" s="532" t="s">
        <v>656</v>
      </c>
      <c r="J8" s="569"/>
      <c r="K8" s="569"/>
      <c r="L8" s="569"/>
      <c r="M8" s="569"/>
      <c r="N8" s="569"/>
      <c r="O8" s="569"/>
    </row>
    <row r="9" spans="1:15" x14ac:dyDescent="0.45">
      <c r="A9" s="534">
        <v>8058750190</v>
      </c>
      <c r="B9" s="535" t="s">
        <v>657</v>
      </c>
      <c r="C9" s="536" t="s">
        <v>658</v>
      </c>
      <c r="D9" s="537">
        <v>1300</v>
      </c>
      <c r="E9" s="538">
        <v>182</v>
      </c>
      <c r="F9" s="539"/>
      <c r="G9" s="159">
        <f>F9/D9</f>
        <v>0</v>
      </c>
      <c r="H9" s="163">
        <f>(360/E9)</f>
        <v>1.9780219780219781</v>
      </c>
      <c r="I9" s="540"/>
      <c r="J9" s="97"/>
      <c r="K9" s="97"/>
      <c r="L9" s="97"/>
      <c r="M9" s="97"/>
      <c r="N9" s="97"/>
      <c r="O9" s="97"/>
    </row>
    <row r="10" spans="1:15" x14ac:dyDescent="0.45">
      <c r="A10" s="534">
        <v>8056692190</v>
      </c>
      <c r="B10" s="535" t="s">
        <v>659</v>
      </c>
      <c r="C10" s="536" t="s">
        <v>660</v>
      </c>
      <c r="D10" s="537">
        <v>750</v>
      </c>
      <c r="E10" s="538">
        <v>182</v>
      </c>
      <c r="F10" s="539"/>
      <c r="G10" s="159">
        <f t="shared" ref="G10:G72" si="0">F10/D10</f>
        <v>0</v>
      </c>
      <c r="H10" s="163">
        <f t="shared" ref="H10:H72" si="1">(360/E10)</f>
        <v>1.9780219780219781</v>
      </c>
      <c r="I10" s="540"/>
      <c r="J10" s="97"/>
      <c r="K10" s="97"/>
      <c r="L10" s="97"/>
      <c r="M10" s="97"/>
      <c r="N10" s="97"/>
      <c r="O10" s="97"/>
    </row>
    <row r="11" spans="1:15" x14ac:dyDescent="0.45">
      <c r="A11" s="541">
        <v>8056811190</v>
      </c>
      <c r="B11" s="536" t="s">
        <v>661</v>
      </c>
      <c r="C11" s="536" t="s">
        <v>662</v>
      </c>
      <c r="D11" s="537">
        <v>750</v>
      </c>
      <c r="E11" s="538">
        <v>182</v>
      </c>
      <c r="F11" s="539"/>
      <c r="G11" s="159">
        <f t="shared" si="0"/>
        <v>0</v>
      </c>
      <c r="H11" s="163">
        <f t="shared" si="1"/>
        <v>1.9780219780219781</v>
      </c>
      <c r="I11" s="540"/>
      <c r="J11" s="97"/>
      <c r="K11" s="97"/>
      <c r="L11" s="97"/>
      <c r="M11" s="97"/>
      <c r="N11" s="97"/>
      <c r="O11" s="97"/>
    </row>
    <row r="12" spans="1:15" x14ac:dyDescent="0.45">
      <c r="A12" s="537">
        <v>8056820190</v>
      </c>
      <c r="B12" s="536" t="s">
        <v>663</v>
      </c>
      <c r="C12" s="536" t="s">
        <v>664</v>
      </c>
      <c r="D12" s="537">
        <v>450</v>
      </c>
      <c r="E12" s="538">
        <v>182</v>
      </c>
      <c r="F12" s="542"/>
      <c r="G12" s="159">
        <f t="shared" si="0"/>
        <v>0</v>
      </c>
      <c r="H12" s="163">
        <f t="shared" si="1"/>
        <v>1.9780219780219781</v>
      </c>
      <c r="I12" s="540"/>
      <c r="J12" s="97"/>
      <c r="K12" s="97"/>
      <c r="L12" s="97"/>
      <c r="M12" s="97"/>
      <c r="N12" s="97"/>
      <c r="O12" s="97"/>
    </row>
    <row r="13" spans="1:15" x14ac:dyDescent="0.45">
      <c r="A13" s="537">
        <v>10421436190</v>
      </c>
      <c r="B13" s="536" t="s">
        <v>665</v>
      </c>
      <c r="C13" s="536" t="s">
        <v>666</v>
      </c>
      <c r="D13" s="537">
        <v>1050</v>
      </c>
      <c r="E13" s="538">
        <v>182</v>
      </c>
      <c r="F13" s="539"/>
      <c r="G13" s="159">
        <f t="shared" si="0"/>
        <v>0</v>
      </c>
      <c r="H13" s="163">
        <f t="shared" si="1"/>
        <v>1.9780219780219781</v>
      </c>
      <c r="I13" s="540"/>
      <c r="J13" s="97"/>
      <c r="K13" s="97"/>
      <c r="L13" s="97"/>
      <c r="M13" s="97"/>
      <c r="N13" s="97"/>
      <c r="O13" s="97"/>
    </row>
    <row r="14" spans="1:15" x14ac:dyDescent="0.45">
      <c r="A14" s="537">
        <v>8056951190</v>
      </c>
      <c r="B14" s="536" t="s">
        <v>667</v>
      </c>
      <c r="C14" s="536" t="s">
        <v>668</v>
      </c>
      <c r="D14" s="537">
        <v>1000</v>
      </c>
      <c r="E14" s="538">
        <v>182</v>
      </c>
      <c r="F14" s="539"/>
      <c r="G14" s="159">
        <f t="shared" si="0"/>
        <v>0</v>
      </c>
      <c r="H14" s="163">
        <f t="shared" si="1"/>
        <v>1.9780219780219781</v>
      </c>
      <c r="I14" s="540"/>
      <c r="J14" s="97"/>
      <c r="K14" s="97"/>
      <c r="L14" s="97"/>
      <c r="M14" s="97"/>
      <c r="N14" s="97"/>
      <c r="O14" s="97"/>
    </row>
    <row r="15" spans="1:15" x14ac:dyDescent="0.45">
      <c r="A15" s="537">
        <v>8057427190</v>
      </c>
      <c r="B15" s="536" t="s">
        <v>669</v>
      </c>
      <c r="C15" s="536" t="s">
        <v>670</v>
      </c>
      <c r="D15" s="537">
        <v>1500</v>
      </c>
      <c r="E15" s="538">
        <v>182</v>
      </c>
      <c r="F15" s="539"/>
      <c r="G15" s="159">
        <f t="shared" si="0"/>
        <v>0</v>
      </c>
      <c r="H15" s="163">
        <f t="shared" si="1"/>
        <v>1.9780219780219781</v>
      </c>
      <c r="I15" s="540"/>
      <c r="J15" s="97"/>
      <c r="K15" s="97"/>
      <c r="L15" s="97"/>
      <c r="M15" s="97"/>
      <c r="N15" s="97"/>
      <c r="O15" s="97"/>
    </row>
    <row r="16" spans="1:15" x14ac:dyDescent="0.45">
      <c r="A16" s="537">
        <v>8057443190</v>
      </c>
      <c r="B16" s="536" t="s">
        <v>671</v>
      </c>
      <c r="C16" s="536" t="s">
        <v>672</v>
      </c>
      <c r="D16" s="537">
        <v>2600</v>
      </c>
      <c r="E16" s="538">
        <v>182</v>
      </c>
      <c r="F16" s="539"/>
      <c r="G16" s="159">
        <f t="shared" si="0"/>
        <v>0</v>
      </c>
      <c r="H16" s="163">
        <f t="shared" si="1"/>
        <v>1.9780219780219781</v>
      </c>
      <c r="I16" s="540"/>
      <c r="J16" s="97"/>
      <c r="K16" s="97"/>
      <c r="L16" s="97"/>
      <c r="M16" s="97"/>
      <c r="N16" s="97"/>
      <c r="O16" s="97"/>
    </row>
    <row r="17" spans="1:15" x14ac:dyDescent="0.45">
      <c r="A17" s="537">
        <v>8105561190</v>
      </c>
      <c r="B17" s="536" t="s">
        <v>673</v>
      </c>
      <c r="C17" s="536" t="s">
        <v>674</v>
      </c>
      <c r="D17" s="537">
        <v>1050</v>
      </c>
      <c r="E17" s="538">
        <v>182</v>
      </c>
      <c r="F17" s="542"/>
      <c r="G17" s="159">
        <f t="shared" si="0"/>
        <v>0</v>
      </c>
      <c r="H17" s="163">
        <f t="shared" si="1"/>
        <v>1.9780219780219781</v>
      </c>
      <c r="I17" s="540"/>
      <c r="J17" s="97"/>
      <c r="K17" s="97"/>
      <c r="L17" s="97"/>
      <c r="M17" s="97"/>
      <c r="N17" s="97"/>
      <c r="O17" s="97"/>
    </row>
    <row r="18" spans="1:15" x14ac:dyDescent="0.45">
      <c r="A18" s="537">
        <v>8057460190</v>
      </c>
      <c r="B18" s="536" t="s">
        <v>675</v>
      </c>
      <c r="C18" s="536" t="s">
        <v>676</v>
      </c>
      <c r="D18" s="537">
        <v>500</v>
      </c>
      <c r="E18" s="538">
        <v>56</v>
      </c>
      <c r="F18" s="539"/>
      <c r="G18" s="159">
        <f t="shared" si="0"/>
        <v>0</v>
      </c>
      <c r="H18" s="163">
        <f t="shared" si="1"/>
        <v>6.4285714285714288</v>
      </c>
      <c r="I18" s="540"/>
      <c r="J18" s="97"/>
      <c r="K18" s="97"/>
      <c r="L18" s="97"/>
      <c r="M18" s="97"/>
      <c r="N18" s="97"/>
      <c r="O18" s="97"/>
    </row>
    <row r="19" spans="1:15" x14ac:dyDescent="0.45">
      <c r="A19" s="537">
        <v>8056757190</v>
      </c>
      <c r="B19" s="536" t="s">
        <v>677</v>
      </c>
      <c r="C19" s="536" t="s">
        <v>678</v>
      </c>
      <c r="D19" s="537">
        <v>1100</v>
      </c>
      <c r="E19" s="538">
        <v>56</v>
      </c>
      <c r="F19" s="539"/>
      <c r="G19" s="159">
        <f t="shared" si="0"/>
        <v>0</v>
      </c>
      <c r="H19" s="163">
        <f t="shared" si="1"/>
        <v>6.4285714285714288</v>
      </c>
      <c r="I19" s="540"/>
      <c r="J19" s="97"/>
      <c r="K19" s="97"/>
      <c r="L19" s="97"/>
      <c r="M19" s="97"/>
      <c r="N19" s="97"/>
      <c r="O19" s="97"/>
    </row>
    <row r="20" spans="1:15" x14ac:dyDescent="0.45">
      <c r="A20" s="537">
        <v>8058610190</v>
      </c>
      <c r="B20" s="536" t="s">
        <v>679</v>
      </c>
      <c r="C20" s="536" t="s">
        <v>680</v>
      </c>
      <c r="D20" s="537">
        <v>750</v>
      </c>
      <c r="E20" s="538">
        <v>182</v>
      </c>
      <c r="F20" s="542"/>
      <c r="G20" s="159">
        <f t="shared" si="0"/>
        <v>0</v>
      </c>
      <c r="H20" s="163">
        <f t="shared" si="1"/>
        <v>1.9780219780219781</v>
      </c>
      <c r="I20" s="540"/>
      <c r="J20" s="97"/>
      <c r="K20" s="97"/>
      <c r="L20" s="97"/>
      <c r="M20" s="97"/>
      <c r="N20" s="97"/>
      <c r="O20" s="97"/>
    </row>
    <row r="21" spans="1:15" ht="15.75" customHeight="1" x14ac:dyDescent="0.45">
      <c r="A21" s="537">
        <v>8057796190</v>
      </c>
      <c r="B21" s="536" t="s">
        <v>681</v>
      </c>
      <c r="C21" s="536" t="s">
        <v>682</v>
      </c>
      <c r="D21" s="537">
        <v>400</v>
      </c>
      <c r="E21" s="538">
        <v>84</v>
      </c>
      <c r="F21" s="539"/>
      <c r="G21" s="159">
        <f t="shared" si="0"/>
        <v>0</v>
      </c>
      <c r="H21" s="163">
        <f t="shared" si="1"/>
        <v>4.2857142857142856</v>
      </c>
      <c r="I21" s="540"/>
      <c r="J21" s="97"/>
      <c r="K21" s="97"/>
      <c r="L21" s="97"/>
      <c r="M21" s="97"/>
      <c r="N21" s="97"/>
      <c r="O21" s="97"/>
    </row>
    <row r="22" spans="1:15" ht="15.75" customHeight="1" x14ac:dyDescent="0.45">
      <c r="A22" s="537">
        <v>8057800190</v>
      </c>
      <c r="B22" s="536" t="s">
        <v>683</v>
      </c>
      <c r="C22" s="536" t="s">
        <v>684</v>
      </c>
      <c r="D22" s="537">
        <v>3300</v>
      </c>
      <c r="E22" s="538">
        <v>182</v>
      </c>
      <c r="F22" s="539"/>
      <c r="G22" s="159">
        <f t="shared" si="0"/>
        <v>0</v>
      </c>
      <c r="H22" s="163">
        <f t="shared" si="1"/>
        <v>1.9780219780219781</v>
      </c>
      <c r="I22" s="540"/>
      <c r="J22" s="97"/>
      <c r="K22" s="97"/>
      <c r="L22" s="97"/>
      <c r="M22" s="97"/>
      <c r="N22" s="97"/>
      <c r="O22" s="97"/>
    </row>
    <row r="23" spans="1:15" ht="15.75" customHeight="1" x14ac:dyDescent="0.45">
      <c r="A23" s="537">
        <v>8057931190</v>
      </c>
      <c r="B23" s="536" t="s">
        <v>685</v>
      </c>
      <c r="C23" s="536" t="s">
        <v>686</v>
      </c>
      <c r="D23" s="537">
        <v>700</v>
      </c>
      <c r="E23" s="538">
        <v>84</v>
      </c>
      <c r="F23" s="539"/>
      <c r="G23" s="159">
        <f t="shared" si="0"/>
        <v>0</v>
      </c>
      <c r="H23" s="163">
        <f t="shared" si="1"/>
        <v>4.2857142857142856</v>
      </c>
      <c r="I23" s="540"/>
      <c r="J23" s="97"/>
      <c r="K23" s="97"/>
      <c r="L23" s="97"/>
      <c r="M23" s="97"/>
      <c r="N23" s="97"/>
      <c r="O23" s="97"/>
    </row>
    <row r="24" spans="1:15" ht="15.75" customHeight="1" x14ac:dyDescent="0.45">
      <c r="A24" s="537">
        <v>8057940190</v>
      </c>
      <c r="B24" s="536" t="s">
        <v>687</v>
      </c>
      <c r="C24" s="536" t="s">
        <v>688</v>
      </c>
      <c r="D24" s="537">
        <v>100</v>
      </c>
      <c r="E24" s="538">
        <v>84</v>
      </c>
      <c r="F24" s="542"/>
      <c r="G24" s="159">
        <f t="shared" si="0"/>
        <v>0</v>
      </c>
      <c r="H24" s="163">
        <f t="shared" si="1"/>
        <v>4.2857142857142856</v>
      </c>
      <c r="I24" s="540"/>
      <c r="J24" s="97"/>
      <c r="K24" s="97"/>
      <c r="L24" s="97"/>
      <c r="M24" s="97"/>
      <c r="N24" s="97"/>
      <c r="O24" s="97"/>
    </row>
    <row r="25" spans="1:15" ht="15.75" customHeight="1" x14ac:dyDescent="0.45">
      <c r="A25" s="537">
        <v>8057958190</v>
      </c>
      <c r="B25" s="536" t="s">
        <v>26</v>
      </c>
      <c r="C25" s="536" t="s">
        <v>689</v>
      </c>
      <c r="D25" s="537">
        <v>850</v>
      </c>
      <c r="E25" s="538">
        <v>182</v>
      </c>
      <c r="F25" s="539"/>
      <c r="G25" s="159">
        <f t="shared" si="0"/>
        <v>0</v>
      </c>
      <c r="H25" s="163">
        <f t="shared" si="1"/>
        <v>1.9780219780219781</v>
      </c>
      <c r="I25" s="540"/>
      <c r="J25" s="97"/>
      <c r="K25" s="97"/>
      <c r="L25" s="97"/>
      <c r="M25" s="97"/>
      <c r="N25" s="97"/>
      <c r="O25" s="97"/>
    </row>
    <row r="26" spans="1:15" ht="15.75" customHeight="1" x14ac:dyDescent="0.45">
      <c r="A26" s="537">
        <v>8057982190</v>
      </c>
      <c r="B26" s="536" t="s">
        <v>32</v>
      </c>
      <c r="C26" s="536" t="s">
        <v>690</v>
      </c>
      <c r="D26" s="537">
        <v>200</v>
      </c>
      <c r="E26" s="538">
        <v>28</v>
      </c>
      <c r="F26" s="539"/>
      <c r="G26" s="159">
        <f t="shared" si="0"/>
        <v>0</v>
      </c>
      <c r="H26" s="163">
        <f t="shared" si="1"/>
        <v>12.857142857142858</v>
      </c>
      <c r="I26" s="540"/>
      <c r="J26" s="97"/>
      <c r="K26" s="97"/>
      <c r="L26" s="97"/>
      <c r="M26" s="97"/>
      <c r="N26" s="97"/>
      <c r="O26" s="97"/>
    </row>
    <row r="27" spans="1:15" ht="15.75" customHeight="1" x14ac:dyDescent="0.45">
      <c r="A27" s="537">
        <v>8058016190</v>
      </c>
      <c r="B27" s="536" t="s">
        <v>691</v>
      </c>
      <c r="C27" s="536" t="s">
        <v>692</v>
      </c>
      <c r="D27" s="537">
        <v>690</v>
      </c>
      <c r="E27" s="538">
        <v>182</v>
      </c>
      <c r="F27" s="542"/>
      <c r="G27" s="159">
        <f t="shared" si="0"/>
        <v>0</v>
      </c>
      <c r="H27" s="163">
        <f t="shared" si="1"/>
        <v>1.9780219780219781</v>
      </c>
      <c r="I27" s="540"/>
      <c r="J27" s="97"/>
      <c r="K27" s="97"/>
      <c r="L27" s="97"/>
      <c r="M27" s="97"/>
      <c r="N27" s="97"/>
      <c r="O27" s="97"/>
    </row>
    <row r="28" spans="1:15" ht="15.75" customHeight="1" x14ac:dyDescent="0.45">
      <c r="A28" s="537">
        <v>8104697190</v>
      </c>
      <c r="B28" s="536" t="s">
        <v>693</v>
      </c>
      <c r="C28" s="536" t="s">
        <v>694</v>
      </c>
      <c r="D28" s="537">
        <v>800</v>
      </c>
      <c r="E28" s="538">
        <v>182</v>
      </c>
      <c r="F28" s="539"/>
      <c r="G28" s="159">
        <f t="shared" si="0"/>
        <v>0</v>
      </c>
      <c r="H28" s="163">
        <f t="shared" si="1"/>
        <v>1.9780219780219781</v>
      </c>
      <c r="I28" s="540"/>
      <c r="J28" s="97"/>
      <c r="K28" s="97"/>
      <c r="L28" s="97"/>
      <c r="M28" s="97"/>
      <c r="N28" s="97"/>
      <c r="O28" s="97"/>
    </row>
    <row r="29" spans="1:15" ht="15.75" customHeight="1" x14ac:dyDescent="0.45">
      <c r="A29" s="537">
        <v>8104719190</v>
      </c>
      <c r="B29" s="536" t="s">
        <v>695</v>
      </c>
      <c r="C29" s="536" t="s">
        <v>696</v>
      </c>
      <c r="D29" s="537">
        <v>800</v>
      </c>
      <c r="E29" s="538">
        <v>182</v>
      </c>
      <c r="F29" s="539"/>
      <c r="G29" s="159">
        <f t="shared" si="0"/>
        <v>0</v>
      </c>
      <c r="H29" s="163">
        <f t="shared" si="1"/>
        <v>1.9780219780219781</v>
      </c>
      <c r="I29" s="540"/>
      <c r="J29" s="97"/>
      <c r="K29" s="97"/>
      <c r="L29" s="97"/>
      <c r="M29" s="97"/>
      <c r="N29" s="97"/>
      <c r="O29" s="97"/>
    </row>
    <row r="30" spans="1:15" ht="15.75" customHeight="1" x14ac:dyDescent="0.45">
      <c r="A30" s="537">
        <v>8058687190</v>
      </c>
      <c r="B30" s="536" t="s">
        <v>697</v>
      </c>
      <c r="C30" s="536" t="s">
        <v>698</v>
      </c>
      <c r="D30" s="537">
        <v>1000</v>
      </c>
      <c r="E30" s="538">
        <v>182</v>
      </c>
      <c r="F30" s="539"/>
      <c r="G30" s="159">
        <f t="shared" si="0"/>
        <v>0</v>
      </c>
      <c r="H30" s="163">
        <f t="shared" si="1"/>
        <v>1.9780219780219781</v>
      </c>
      <c r="I30" s="540"/>
      <c r="J30" s="97"/>
      <c r="K30" s="97"/>
      <c r="L30" s="97"/>
      <c r="M30" s="97"/>
      <c r="N30" s="97"/>
      <c r="O30" s="97"/>
    </row>
    <row r="31" spans="1:15" ht="15.75" customHeight="1" x14ac:dyDescent="0.45">
      <c r="A31" s="537">
        <v>8058806190</v>
      </c>
      <c r="B31" s="536" t="s">
        <v>699</v>
      </c>
      <c r="C31" s="536" t="s">
        <v>700</v>
      </c>
      <c r="D31" s="537">
        <v>600</v>
      </c>
      <c r="E31" s="538">
        <v>56</v>
      </c>
      <c r="F31" s="539"/>
      <c r="G31" s="159">
        <f t="shared" si="0"/>
        <v>0</v>
      </c>
      <c r="H31" s="163">
        <f t="shared" si="1"/>
        <v>6.4285714285714288</v>
      </c>
      <c r="I31" s="540"/>
      <c r="J31" s="97"/>
      <c r="K31" s="97"/>
      <c r="L31" s="97"/>
      <c r="M31" s="97"/>
      <c r="N31" s="97"/>
      <c r="O31" s="97"/>
    </row>
    <row r="32" spans="1:15" ht="15.75" customHeight="1" x14ac:dyDescent="0.45">
      <c r="A32" s="537">
        <v>8106053190</v>
      </c>
      <c r="B32" s="536" t="s">
        <v>1131</v>
      </c>
      <c r="C32" s="536" t="s">
        <v>701</v>
      </c>
      <c r="D32" s="537">
        <v>300</v>
      </c>
      <c r="E32" s="538">
        <v>182</v>
      </c>
      <c r="F32" s="542"/>
      <c r="G32" s="159">
        <f t="shared" si="0"/>
        <v>0</v>
      </c>
      <c r="H32" s="163">
        <f t="shared" si="1"/>
        <v>1.9780219780219781</v>
      </c>
      <c r="I32" s="540"/>
      <c r="J32" s="97"/>
      <c r="K32" s="97"/>
      <c r="L32" s="97"/>
      <c r="M32" s="97"/>
      <c r="N32" s="97"/>
      <c r="O32" s="97"/>
    </row>
    <row r="33" spans="1:15" ht="15.75" customHeight="1" x14ac:dyDescent="0.45">
      <c r="A33" s="536">
        <v>8056714190</v>
      </c>
      <c r="B33" s="536" t="s">
        <v>702</v>
      </c>
      <c r="C33" s="536" t="s">
        <v>703</v>
      </c>
      <c r="D33" s="537">
        <v>500</v>
      </c>
      <c r="E33" s="538">
        <v>182</v>
      </c>
      <c r="F33" s="542"/>
      <c r="G33" s="159">
        <f t="shared" si="0"/>
        <v>0</v>
      </c>
      <c r="H33" s="163">
        <f t="shared" si="1"/>
        <v>1.9780219780219781</v>
      </c>
      <c r="I33" s="540"/>
      <c r="J33" s="97"/>
      <c r="K33" s="97"/>
      <c r="L33" s="97"/>
      <c r="M33" s="97"/>
      <c r="N33" s="97"/>
      <c r="O33" s="97"/>
    </row>
    <row r="34" spans="1:15" ht="15.75" customHeight="1" x14ac:dyDescent="0.45">
      <c r="A34" s="536">
        <v>8058652190</v>
      </c>
      <c r="B34" s="536" t="s">
        <v>704</v>
      </c>
      <c r="C34" s="536" t="s">
        <v>705</v>
      </c>
      <c r="D34" s="537">
        <v>1050</v>
      </c>
      <c r="E34" s="538">
        <v>182</v>
      </c>
      <c r="F34" s="539"/>
      <c r="G34" s="159">
        <f t="shared" si="0"/>
        <v>0</v>
      </c>
      <c r="H34" s="163">
        <f t="shared" si="1"/>
        <v>1.9780219780219781</v>
      </c>
      <c r="I34" s="540"/>
      <c r="J34" s="97"/>
      <c r="K34" s="97"/>
      <c r="L34" s="97"/>
      <c r="M34" s="97"/>
      <c r="N34" s="97"/>
      <c r="O34" s="97"/>
    </row>
    <row r="35" spans="1:15" ht="15.75" customHeight="1" x14ac:dyDescent="0.45">
      <c r="A35" s="536">
        <v>8057524190</v>
      </c>
      <c r="B35" s="536" t="s">
        <v>706</v>
      </c>
      <c r="C35" s="536" t="s">
        <v>707</v>
      </c>
      <c r="D35" s="537">
        <v>600</v>
      </c>
      <c r="E35" s="538">
        <v>126</v>
      </c>
      <c r="F35" s="542"/>
      <c r="G35" s="159">
        <f t="shared" si="0"/>
        <v>0</v>
      </c>
      <c r="H35" s="163">
        <f t="shared" si="1"/>
        <v>2.8571428571428572</v>
      </c>
      <c r="I35" s="540"/>
      <c r="J35" s="97"/>
      <c r="K35" s="97"/>
      <c r="L35" s="97"/>
      <c r="M35" s="97"/>
      <c r="N35" s="97"/>
      <c r="O35" s="97"/>
    </row>
    <row r="36" spans="1:15" ht="15.75" customHeight="1" x14ac:dyDescent="0.45">
      <c r="A36" s="536">
        <v>8057532190</v>
      </c>
      <c r="B36" s="536" t="s">
        <v>708</v>
      </c>
      <c r="C36" s="536" t="s">
        <v>709</v>
      </c>
      <c r="D36" s="537">
        <v>2500</v>
      </c>
      <c r="E36" s="538">
        <v>182</v>
      </c>
      <c r="F36" s="539"/>
      <c r="G36" s="159">
        <f t="shared" si="0"/>
        <v>0</v>
      </c>
      <c r="H36" s="163">
        <f t="shared" si="1"/>
        <v>1.9780219780219781</v>
      </c>
      <c r="I36" s="540"/>
      <c r="J36" s="97"/>
      <c r="K36" s="97"/>
      <c r="L36" s="97"/>
      <c r="M36" s="97"/>
      <c r="N36" s="97"/>
      <c r="O36" s="97"/>
    </row>
    <row r="37" spans="1:15" ht="15.75" customHeight="1" x14ac:dyDescent="0.45">
      <c r="A37" s="536">
        <v>8057877190</v>
      </c>
      <c r="B37" s="536" t="s">
        <v>710</v>
      </c>
      <c r="C37" s="536" t="s">
        <v>711</v>
      </c>
      <c r="D37" s="537">
        <v>700</v>
      </c>
      <c r="E37" s="538">
        <v>84</v>
      </c>
      <c r="F37" s="539"/>
      <c r="G37" s="159">
        <f t="shared" si="0"/>
        <v>0</v>
      </c>
      <c r="H37" s="163">
        <f t="shared" si="1"/>
        <v>4.2857142857142856</v>
      </c>
      <c r="I37" s="540"/>
      <c r="J37" s="97"/>
      <c r="K37" s="97"/>
      <c r="L37" s="97"/>
      <c r="M37" s="97"/>
      <c r="N37" s="97"/>
      <c r="O37" s="97"/>
    </row>
    <row r="38" spans="1:15" ht="15.75" customHeight="1" x14ac:dyDescent="0.45">
      <c r="A38" s="536">
        <v>8057966190</v>
      </c>
      <c r="B38" s="536" t="s">
        <v>712</v>
      </c>
      <c r="C38" s="536" t="s">
        <v>713</v>
      </c>
      <c r="D38" s="537">
        <v>600</v>
      </c>
      <c r="E38" s="538">
        <v>182</v>
      </c>
      <c r="F38" s="542"/>
      <c r="G38" s="159">
        <f t="shared" si="0"/>
        <v>0</v>
      </c>
      <c r="H38" s="163">
        <f t="shared" si="1"/>
        <v>1.9780219780219781</v>
      </c>
      <c r="I38" s="540"/>
      <c r="J38" s="97"/>
      <c r="K38" s="97"/>
      <c r="L38" s="97"/>
      <c r="M38" s="97"/>
      <c r="N38" s="97"/>
      <c r="O38" s="97"/>
    </row>
    <row r="39" spans="1:15" ht="15.75" customHeight="1" x14ac:dyDescent="0.45">
      <c r="A39" s="536">
        <v>8105448190</v>
      </c>
      <c r="B39" s="536" t="s">
        <v>714</v>
      </c>
      <c r="C39" s="536" t="s">
        <v>715</v>
      </c>
      <c r="D39" s="537">
        <v>250</v>
      </c>
      <c r="E39" s="538">
        <v>182</v>
      </c>
      <c r="F39" s="542"/>
      <c r="G39" s="159">
        <f t="shared" si="0"/>
        <v>0</v>
      </c>
      <c r="H39" s="163">
        <f t="shared" si="1"/>
        <v>1.9780219780219781</v>
      </c>
      <c r="I39" s="540"/>
      <c r="J39" s="97"/>
      <c r="K39" s="97"/>
      <c r="L39" s="97"/>
      <c r="M39" s="97"/>
      <c r="N39" s="97"/>
      <c r="O39" s="97"/>
    </row>
    <row r="40" spans="1:15" ht="15.75" customHeight="1" x14ac:dyDescent="0.45">
      <c r="A40" s="536">
        <v>8105464190</v>
      </c>
      <c r="B40" s="536" t="s">
        <v>716</v>
      </c>
      <c r="C40" s="536" t="s">
        <v>717</v>
      </c>
      <c r="D40" s="537">
        <v>250</v>
      </c>
      <c r="E40" s="538">
        <v>182</v>
      </c>
      <c r="F40" s="542"/>
      <c r="G40" s="159">
        <f t="shared" si="0"/>
        <v>0</v>
      </c>
      <c r="H40" s="163">
        <f t="shared" si="1"/>
        <v>1.9780219780219781</v>
      </c>
      <c r="I40" s="540"/>
      <c r="J40" s="97"/>
      <c r="K40" s="97"/>
      <c r="L40" s="97"/>
      <c r="M40" s="97"/>
      <c r="N40" s="97"/>
      <c r="O40" s="97"/>
    </row>
    <row r="41" spans="1:15" ht="15.75" customHeight="1" x14ac:dyDescent="0.45">
      <c r="A41" s="536">
        <v>8063516190</v>
      </c>
      <c r="B41" s="536" t="s">
        <v>718</v>
      </c>
      <c r="C41" s="536" t="s">
        <v>719</v>
      </c>
      <c r="D41" s="537">
        <v>14500</v>
      </c>
      <c r="E41" s="538">
        <v>182</v>
      </c>
      <c r="F41" s="542"/>
      <c r="G41" s="159">
        <f t="shared" si="0"/>
        <v>0</v>
      </c>
      <c r="H41" s="163">
        <f t="shared" si="1"/>
        <v>1.9780219780219781</v>
      </c>
      <c r="I41" s="540"/>
      <c r="J41" s="97"/>
      <c r="K41" s="97"/>
      <c r="L41" s="97"/>
      <c r="M41" s="97"/>
      <c r="N41" s="97"/>
      <c r="O41" s="97"/>
    </row>
    <row r="42" spans="1:15" ht="15.75" customHeight="1" x14ac:dyDescent="0.45">
      <c r="A42" s="536">
        <v>8057486190</v>
      </c>
      <c r="B42" s="536" t="s">
        <v>720</v>
      </c>
      <c r="C42" s="536" t="s">
        <v>721</v>
      </c>
      <c r="D42" s="537">
        <v>150</v>
      </c>
      <c r="E42" s="538">
        <v>56</v>
      </c>
      <c r="F42" s="539"/>
      <c r="G42" s="159">
        <f t="shared" si="0"/>
        <v>0</v>
      </c>
      <c r="H42" s="163">
        <f t="shared" si="1"/>
        <v>6.4285714285714288</v>
      </c>
      <c r="I42" s="540"/>
      <c r="J42" s="97"/>
      <c r="K42" s="97"/>
      <c r="L42" s="97"/>
      <c r="M42" s="97"/>
      <c r="N42" s="97"/>
      <c r="O42" s="97"/>
    </row>
    <row r="43" spans="1:15" ht="15.75" customHeight="1" x14ac:dyDescent="0.45">
      <c r="A43" s="536">
        <v>8056722190</v>
      </c>
      <c r="B43" s="536" t="s">
        <v>655</v>
      </c>
      <c r="C43" s="536" t="s">
        <v>722</v>
      </c>
      <c r="D43" s="537">
        <v>500</v>
      </c>
      <c r="E43" s="538">
        <v>182</v>
      </c>
      <c r="F43" s="539"/>
      <c r="G43" s="159">
        <f t="shared" si="0"/>
        <v>0</v>
      </c>
      <c r="H43" s="163">
        <f t="shared" si="1"/>
        <v>1.9780219780219781</v>
      </c>
      <c r="I43" s="540"/>
      <c r="J43" s="97"/>
      <c r="K43" s="97"/>
      <c r="L43" s="97"/>
      <c r="M43" s="97"/>
      <c r="N43" s="97"/>
      <c r="O43" s="97"/>
    </row>
    <row r="44" spans="1:15" ht="15.75" customHeight="1" x14ac:dyDescent="0.45">
      <c r="A44" s="536">
        <v>8058679190</v>
      </c>
      <c r="B44" s="536" t="s">
        <v>723</v>
      </c>
      <c r="C44" s="536" t="s">
        <v>724</v>
      </c>
      <c r="D44" s="537">
        <v>650</v>
      </c>
      <c r="E44" s="538">
        <v>182</v>
      </c>
      <c r="F44" s="542"/>
      <c r="G44" s="159">
        <f t="shared" si="0"/>
        <v>0</v>
      </c>
      <c r="H44" s="163">
        <f t="shared" si="1"/>
        <v>1.9780219780219781</v>
      </c>
      <c r="I44" s="540"/>
      <c r="J44" s="97"/>
      <c r="K44" s="97"/>
      <c r="L44" s="97"/>
      <c r="M44" s="97"/>
      <c r="N44" s="97"/>
      <c r="O44" s="97"/>
    </row>
    <row r="45" spans="1:15" ht="15.75" customHeight="1" x14ac:dyDescent="0.45">
      <c r="A45" s="537">
        <v>8105472190</v>
      </c>
      <c r="B45" s="536" t="s">
        <v>726</v>
      </c>
      <c r="C45" s="536" t="s">
        <v>727</v>
      </c>
      <c r="D45" s="537">
        <v>200</v>
      </c>
      <c r="E45" s="538">
        <v>182</v>
      </c>
      <c r="F45" s="542"/>
      <c r="G45" s="159">
        <f t="shared" si="0"/>
        <v>0</v>
      </c>
      <c r="H45" s="163">
        <f t="shared" si="1"/>
        <v>1.9780219780219781</v>
      </c>
      <c r="I45" s="540"/>
      <c r="J45" s="97"/>
      <c r="K45" s="97"/>
      <c r="L45" s="97"/>
      <c r="M45" s="97"/>
      <c r="N45" s="97"/>
      <c r="O45" s="97"/>
    </row>
    <row r="46" spans="1:15" ht="15.75" customHeight="1" x14ac:dyDescent="0.45">
      <c r="A46" s="537">
        <v>8105553190</v>
      </c>
      <c r="B46" s="536" t="s">
        <v>728</v>
      </c>
      <c r="C46" s="536" t="s">
        <v>729</v>
      </c>
      <c r="D46" s="537">
        <v>200</v>
      </c>
      <c r="E46" s="538">
        <v>56</v>
      </c>
      <c r="F46" s="542"/>
      <c r="G46" s="159">
        <f t="shared" si="0"/>
        <v>0</v>
      </c>
      <c r="H46" s="163">
        <f t="shared" si="1"/>
        <v>6.4285714285714288</v>
      </c>
      <c r="I46" s="540"/>
      <c r="J46" s="97"/>
      <c r="K46" s="97"/>
      <c r="L46" s="97"/>
      <c r="M46" s="97"/>
      <c r="N46" s="97"/>
      <c r="O46" s="97"/>
    </row>
    <row r="47" spans="1:15" ht="15.75" customHeight="1" x14ac:dyDescent="0.45">
      <c r="A47" s="537">
        <v>8252645190</v>
      </c>
      <c r="B47" s="536" t="s">
        <v>730</v>
      </c>
      <c r="C47" s="536" t="s">
        <v>731</v>
      </c>
      <c r="D47" s="537">
        <v>200</v>
      </c>
      <c r="E47" s="538">
        <v>182</v>
      </c>
      <c r="F47" s="542"/>
      <c r="G47" s="159">
        <f t="shared" si="0"/>
        <v>0</v>
      </c>
      <c r="H47" s="163">
        <f t="shared" si="1"/>
        <v>1.9780219780219781</v>
      </c>
      <c r="I47" s="540"/>
      <c r="J47" s="97"/>
      <c r="K47" s="97"/>
      <c r="L47" s="97"/>
      <c r="M47" s="97"/>
      <c r="N47" s="97"/>
      <c r="O47" s="97"/>
    </row>
    <row r="48" spans="1:15" ht="15.75" customHeight="1" x14ac:dyDescent="0.45">
      <c r="A48" s="537">
        <v>8106070190</v>
      </c>
      <c r="B48" s="536" t="s">
        <v>1132</v>
      </c>
      <c r="C48" s="536" t="s">
        <v>732</v>
      </c>
      <c r="D48" s="537">
        <v>150</v>
      </c>
      <c r="E48" s="538">
        <v>182</v>
      </c>
      <c r="F48" s="542"/>
      <c r="G48" s="159">
        <f t="shared" si="0"/>
        <v>0</v>
      </c>
      <c r="H48" s="163">
        <f t="shared" si="1"/>
        <v>1.9780219780219781</v>
      </c>
      <c r="I48" s="540"/>
      <c r="J48" s="97"/>
      <c r="K48" s="97"/>
      <c r="L48" s="97"/>
      <c r="M48" s="97"/>
      <c r="N48" s="97"/>
      <c r="O48" s="97"/>
    </row>
    <row r="49" spans="1:15" ht="15.75" customHeight="1" x14ac:dyDescent="0.45">
      <c r="A49" s="537">
        <v>8106061190</v>
      </c>
      <c r="B49" s="536" t="s">
        <v>1133</v>
      </c>
      <c r="C49" s="536" t="s">
        <v>733</v>
      </c>
      <c r="D49" s="537">
        <v>150</v>
      </c>
      <c r="E49" s="538">
        <v>182</v>
      </c>
      <c r="F49" s="542"/>
      <c r="G49" s="159">
        <f t="shared" si="0"/>
        <v>0</v>
      </c>
      <c r="H49" s="163">
        <f t="shared" si="1"/>
        <v>1.9780219780219781</v>
      </c>
      <c r="I49" s="540"/>
      <c r="J49" s="97"/>
      <c r="K49" s="97"/>
      <c r="L49" s="97"/>
      <c r="M49" s="97"/>
      <c r="N49" s="97"/>
      <c r="O49" s="97"/>
    </row>
    <row r="50" spans="1:15" ht="15.75" customHeight="1" x14ac:dyDescent="0.45">
      <c r="A50" s="537">
        <v>8058776190</v>
      </c>
      <c r="B50" s="536" t="s">
        <v>734</v>
      </c>
      <c r="C50" s="536" t="s">
        <v>735</v>
      </c>
      <c r="D50" s="537">
        <v>100</v>
      </c>
      <c r="E50" s="538">
        <v>56</v>
      </c>
      <c r="F50" s="542"/>
      <c r="G50" s="159">
        <f t="shared" si="0"/>
        <v>0</v>
      </c>
      <c r="H50" s="163">
        <f t="shared" si="1"/>
        <v>6.4285714285714288</v>
      </c>
      <c r="I50" s="540"/>
      <c r="J50" s="97"/>
      <c r="K50" s="97"/>
      <c r="L50" s="97"/>
      <c r="M50" s="97"/>
      <c r="N50" s="97"/>
      <c r="O50" s="97"/>
    </row>
    <row r="51" spans="1:15" ht="15.75" customHeight="1" x14ac:dyDescent="0.45">
      <c r="A51" s="537">
        <v>8057591190</v>
      </c>
      <c r="B51" s="536" t="s">
        <v>736</v>
      </c>
      <c r="C51" s="536" t="s">
        <v>737</v>
      </c>
      <c r="D51" s="537">
        <v>500</v>
      </c>
      <c r="E51" s="538">
        <v>84</v>
      </c>
      <c r="F51" s="539"/>
      <c r="G51" s="159">
        <f t="shared" si="0"/>
        <v>0</v>
      </c>
      <c r="H51" s="163">
        <f t="shared" si="1"/>
        <v>4.2857142857142856</v>
      </c>
      <c r="I51" s="540"/>
      <c r="J51" s="97"/>
      <c r="K51" s="97"/>
      <c r="L51" s="97"/>
      <c r="M51" s="97"/>
      <c r="N51" s="97"/>
      <c r="O51" s="97"/>
    </row>
    <row r="52" spans="1:15" ht="15.75" customHeight="1" x14ac:dyDescent="0.45">
      <c r="A52" s="537">
        <v>8105545190</v>
      </c>
      <c r="B52" s="536" t="s">
        <v>738</v>
      </c>
      <c r="C52" s="536" t="s">
        <v>739</v>
      </c>
      <c r="D52" s="537">
        <v>150</v>
      </c>
      <c r="E52" s="538">
        <v>154</v>
      </c>
      <c r="F52" s="542"/>
      <c r="G52" s="159">
        <f t="shared" si="0"/>
        <v>0</v>
      </c>
      <c r="H52" s="163">
        <f t="shared" si="1"/>
        <v>2.3376623376623376</v>
      </c>
      <c r="I52" s="540"/>
      <c r="J52" s="97"/>
      <c r="K52" s="97"/>
      <c r="L52" s="97"/>
      <c r="M52" s="97"/>
      <c r="N52" s="97"/>
      <c r="O52" s="97"/>
    </row>
    <row r="53" spans="1:15" ht="15.75" customHeight="1" x14ac:dyDescent="0.45">
      <c r="A53" s="537">
        <v>8106045190</v>
      </c>
      <c r="B53" s="536" t="s">
        <v>740</v>
      </c>
      <c r="C53" s="536" t="s">
        <v>741</v>
      </c>
      <c r="D53" s="537">
        <v>200</v>
      </c>
      <c r="E53" s="538">
        <v>182</v>
      </c>
      <c r="F53" s="542"/>
      <c r="G53" s="159">
        <f t="shared" si="0"/>
        <v>0</v>
      </c>
      <c r="H53" s="163">
        <f t="shared" si="1"/>
        <v>1.9780219780219781</v>
      </c>
      <c r="I53" s="540"/>
      <c r="J53" s="97"/>
      <c r="K53" s="97"/>
      <c r="L53" s="97"/>
      <c r="M53" s="97"/>
      <c r="N53" s="97"/>
      <c r="O53" s="97"/>
    </row>
    <row r="54" spans="1:15" ht="15.75" customHeight="1" x14ac:dyDescent="0.45">
      <c r="A54" s="537">
        <v>8105537190</v>
      </c>
      <c r="B54" s="536" t="s">
        <v>742</v>
      </c>
      <c r="C54" s="536" t="s">
        <v>743</v>
      </c>
      <c r="D54" s="537">
        <v>150</v>
      </c>
      <c r="E54" s="538">
        <v>154</v>
      </c>
      <c r="F54" s="542"/>
      <c r="G54" s="159">
        <f t="shared" si="0"/>
        <v>0</v>
      </c>
      <c r="H54" s="163">
        <f t="shared" si="1"/>
        <v>2.3376623376623376</v>
      </c>
      <c r="I54" s="540"/>
      <c r="J54" s="97"/>
      <c r="K54" s="97"/>
      <c r="L54" s="97"/>
      <c r="M54" s="97"/>
      <c r="N54" s="97"/>
      <c r="O54" s="97"/>
    </row>
    <row r="55" spans="1:15" ht="15.75" customHeight="1" x14ac:dyDescent="0.45">
      <c r="A55" s="537">
        <v>8106088190</v>
      </c>
      <c r="B55" s="536" t="s">
        <v>744</v>
      </c>
      <c r="C55" s="536" t="s">
        <v>745</v>
      </c>
      <c r="D55" s="537">
        <v>100</v>
      </c>
      <c r="E55" s="538">
        <v>182</v>
      </c>
      <c r="F55" s="542"/>
      <c r="G55" s="159">
        <f t="shared" si="0"/>
        <v>0</v>
      </c>
      <c r="H55" s="163">
        <f t="shared" si="1"/>
        <v>1.9780219780219781</v>
      </c>
      <c r="I55" s="540"/>
      <c r="J55" s="97"/>
      <c r="K55" s="97"/>
      <c r="L55" s="97"/>
      <c r="M55" s="97"/>
      <c r="N55" s="97"/>
      <c r="O55" s="97"/>
    </row>
    <row r="56" spans="1:15" ht="15.75" customHeight="1" x14ac:dyDescent="0.45">
      <c r="A56" s="537">
        <v>8106096190</v>
      </c>
      <c r="B56" s="536" t="s">
        <v>746</v>
      </c>
      <c r="C56" s="536" t="s">
        <v>747</v>
      </c>
      <c r="D56" s="537">
        <v>100</v>
      </c>
      <c r="E56" s="538">
        <v>182</v>
      </c>
      <c r="F56" s="542"/>
      <c r="G56" s="159">
        <f t="shared" si="0"/>
        <v>0</v>
      </c>
      <c r="H56" s="163">
        <f t="shared" si="1"/>
        <v>1.9780219780219781</v>
      </c>
      <c r="I56" s="540"/>
      <c r="J56" s="97"/>
      <c r="K56" s="97"/>
      <c r="L56" s="97"/>
      <c r="M56" s="97"/>
      <c r="N56" s="97"/>
      <c r="O56" s="97"/>
    </row>
    <row r="57" spans="1:15" ht="15.75" customHeight="1" x14ac:dyDescent="0.45">
      <c r="A57" s="537">
        <v>8101396190</v>
      </c>
      <c r="B57" s="536" t="s">
        <v>1134</v>
      </c>
      <c r="C57" s="536" t="s">
        <v>748</v>
      </c>
      <c r="D57" s="537">
        <v>200</v>
      </c>
      <c r="E57" s="538">
        <v>182</v>
      </c>
      <c r="F57" s="542"/>
      <c r="G57" s="159">
        <f t="shared" si="0"/>
        <v>0</v>
      </c>
      <c r="H57" s="163">
        <f t="shared" si="1"/>
        <v>1.9780219780219781</v>
      </c>
      <c r="I57" s="540"/>
      <c r="J57" s="97"/>
      <c r="K57" s="97"/>
      <c r="L57" s="97"/>
      <c r="M57" s="97"/>
      <c r="N57" s="97"/>
      <c r="O57" s="97"/>
    </row>
    <row r="58" spans="1:15" ht="15.75" customHeight="1" x14ac:dyDescent="0.45">
      <c r="A58" s="537">
        <v>8058733190</v>
      </c>
      <c r="B58" s="536" t="s">
        <v>749</v>
      </c>
      <c r="C58" s="536" t="s">
        <v>750</v>
      </c>
      <c r="D58" s="537">
        <v>500</v>
      </c>
      <c r="E58" s="538">
        <v>182</v>
      </c>
      <c r="F58" s="542"/>
      <c r="G58" s="159">
        <f t="shared" si="0"/>
        <v>0</v>
      </c>
      <c r="H58" s="163">
        <f t="shared" si="1"/>
        <v>1.9780219780219781</v>
      </c>
      <c r="I58" s="540"/>
      <c r="J58" s="97"/>
      <c r="K58" s="97"/>
      <c r="L58" s="97"/>
      <c r="M58" s="97"/>
      <c r="N58" s="97"/>
      <c r="O58" s="97"/>
    </row>
    <row r="59" spans="1:15" ht="15.75" customHeight="1" x14ac:dyDescent="0.45">
      <c r="A59" s="537">
        <v>8057648190</v>
      </c>
      <c r="B59" s="536" t="s">
        <v>1135</v>
      </c>
      <c r="C59" s="536" t="s">
        <v>751</v>
      </c>
      <c r="D59" s="537">
        <v>400</v>
      </c>
      <c r="E59" s="538">
        <v>182</v>
      </c>
      <c r="F59" s="542"/>
      <c r="G59" s="159">
        <f t="shared" si="0"/>
        <v>0</v>
      </c>
      <c r="H59" s="163">
        <f t="shared" si="1"/>
        <v>1.9780219780219781</v>
      </c>
      <c r="I59" s="540"/>
      <c r="J59" s="97"/>
      <c r="K59" s="97"/>
      <c r="L59" s="97"/>
      <c r="M59" s="97"/>
      <c r="N59" s="97"/>
      <c r="O59" s="97"/>
    </row>
    <row r="60" spans="1:15" ht="15.75" customHeight="1" x14ac:dyDescent="0.45">
      <c r="A60" s="537">
        <v>8057923190</v>
      </c>
      <c r="B60" s="536" t="s">
        <v>752</v>
      </c>
      <c r="C60" s="536" t="s">
        <v>753</v>
      </c>
      <c r="D60" s="537">
        <v>300</v>
      </c>
      <c r="E60" s="538">
        <v>182</v>
      </c>
      <c r="F60" s="542"/>
      <c r="G60" s="159">
        <f t="shared" si="0"/>
        <v>0</v>
      </c>
      <c r="H60" s="163">
        <f t="shared" si="1"/>
        <v>1.9780219780219781</v>
      </c>
      <c r="I60" s="540"/>
      <c r="J60" s="97"/>
      <c r="K60" s="97"/>
      <c r="L60" s="97"/>
      <c r="M60" s="97"/>
      <c r="N60" s="97"/>
      <c r="O60" s="97"/>
    </row>
    <row r="61" spans="1:15" ht="15.75" customHeight="1" x14ac:dyDescent="0.45">
      <c r="A61" s="543" t="s">
        <v>754</v>
      </c>
      <c r="B61" s="536" t="s">
        <v>755</v>
      </c>
      <c r="C61" s="544" t="s">
        <v>725</v>
      </c>
      <c r="D61" s="537">
        <v>300</v>
      </c>
      <c r="E61" s="538">
        <v>182</v>
      </c>
      <c r="F61" s="542"/>
      <c r="G61" s="159">
        <f t="shared" si="0"/>
        <v>0</v>
      </c>
      <c r="H61" s="163">
        <f t="shared" si="1"/>
        <v>1.9780219780219781</v>
      </c>
      <c r="I61" s="540"/>
      <c r="J61" s="97"/>
      <c r="K61" s="97"/>
      <c r="L61" s="97"/>
      <c r="M61" s="97"/>
      <c r="N61" s="97"/>
      <c r="O61" s="97"/>
    </row>
    <row r="62" spans="1:15" ht="15.75" customHeight="1" x14ac:dyDescent="0.45">
      <c r="A62" s="537">
        <v>8057885190</v>
      </c>
      <c r="B62" s="536" t="s">
        <v>756</v>
      </c>
      <c r="C62" s="536" t="s">
        <v>757</v>
      </c>
      <c r="D62" s="537">
        <v>300</v>
      </c>
      <c r="E62" s="538">
        <v>182</v>
      </c>
      <c r="F62" s="542"/>
      <c r="G62" s="159">
        <f t="shared" si="0"/>
        <v>0</v>
      </c>
      <c r="H62" s="163">
        <f t="shared" si="1"/>
        <v>1.9780219780219781</v>
      </c>
      <c r="I62" s="540"/>
      <c r="J62" s="97"/>
      <c r="K62" s="97"/>
      <c r="L62" s="97"/>
      <c r="M62" s="97"/>
      <c r="N62" s="97"/>
      <c r="O62" s="97"/>
    </row>
    <row r="63" spans="1:15" ht="15.75" customHeight="1" x14ac:dyDescent="0.45">
      <c r="A63" s="536">
        <v>9529713190</v>
      </c>
      <c r="B63" s="536" t="s">
        <v>758</v>
      </c>
      <c r="C63" s="536" t="s">
        <v>1136</v>
      </c>
      <c r="D63" s="537">
        <v>500</v>
      </c>
      <c r="E63" s="538">
        <v>28</v>
      </c>
      <c r="F63" s="542"/>
      <c r="G63" s="159">
        <f t="shared" si="0"/>
        <v>0</v>
      </c>
      <c r="H63" s="163">
        <f t="shared" si="1"/>
        <v>12.857142857142858</v>
      </c>
      <c r="I63" s="540"/>
      <c r="J63" s="97"/>
      <c r="K63" s="97"/>
      <c r="L63" s="97"/>
      <c r="M63" s="97"/>
      <c r="N63" s="97"/>
      <c r="O63" s="97"/>
    </row>
    <row r="64" spans="1:15" ht="15.75" customHeight="1" x14ac:dyDescent="0.45">
      <c r="A64" s="536">
        <v>9529705190</v>
      </c>
      <c r="B64" s="536" t="s">
        <v>759</v>
      </c>
      <c r="C64" s="536" t="s">
        <v>1137</v>
      </c>
      <c r="D64" s="537">
        <v>200</v>
      </c>
      <c r="E64" s="538">
        <v>28</v>
      </c>
      <c r="F64" s="539"/>
      <c r="G64" s="159">
        <f t="shared" si="0"/>
        <v>0</v>
      </c>
      <c r="H64" s="163">
        <f t="shared" si="1"/>
        <v>12.857142857142858</v>
      </c>
      <c r="I64" s="540"/>
      <c r="J64" s="97"/>
      <c r="K64" s="97"/>
      <c r="L64" s="97"/>
      <c r="M64" s="97"/>
      <c r="N64" s="97"/>
      <c r="O64" s="97"/>
    </row>
    <row r="65" spans="1:15" ht="15.75" customHeight="1" x14ac:dyDescent="0.45">
      <c r="A65" s="536">
        <v>8105626190</v>
      </c>
      <c r="B65" s="536" t="s">
        <v>760</v>
      </c>
      <c r="C65" s="536" t="s">
        <v>761</v>
      </c>
      <c r="D65" s="537">
        <v>100</v>
      </c>
      <c r="E65" s="538">
        <v>182</v>
      </c>
      <c r="F65" s="539"/>
      <c r="G65" s="159">
        <f t="shared" si="0"/>
        <v>0</v>
      </c>
      <c r="H65" s="163">
        <f t="shared" si="1"/>
        <v>1.9780219780219781</v>
      </c>
      <c r="I65" s="540"/>
      <c r="J65" s="97"/>
      <c r="K65" s="97"/>
      <c r="L65" s="97"/>
      <c r="M65" s="97"/>
      <c r="N65" s="97"/>
      <c r="O65" s="97"/>
    </row>
    <row r="66" spans="1:15" ht="15.75" customHeight="1" x14ac:dyDescent="0.45">
      <c r="A66" s="536">
        <v>8105529190</v>
      </c>
      <c r="B66" s="536" t="s">
        <v>762</v>
      </c>
      <c r="C66" s="536" t="s">
        <v>763</v>
      </c>
      <c r="D66" s="537">
        <v>150</v>
      </c>
      <c r="E66" s="538">
        <v>84</v>
      </c>
      <c r="F66" s="542"/>
      <c r="G66" s="159">
        <f t="shared" si="0"/>
        <v>0</v>
      </c>
      <c r="H66" s="163">
        <f t="shared" si="1"/>
        <v>4.2857142857142856</v>
      </c>
      <c r="I66" s="540"/>
      <c r="J66" s="97"/>
      <c r="K66" s="97"/>
      <c r="L66" s="97"/>
      <c r="M66" s="97"/>
      <c r="N66" s="97"/>
      <c r="O66" s="97"/>
    </row>
    <row r="67" spans="1:15" ht="15.75" customHeight="1" x14ac:dyDescent="0.45">
      <c r="A67" s="536">
        <v>8106126190</v>
      </c>
      <c r="B67" s="536" t="s">
        <v>764</v>
      </c>
      <c r="C67" s="536" t="s">
        <v>765</v>
      </c>
      <c r="D67" s="537">
        <v>150</v>
      </c>
      <c r="E67" s="538">
        <v>182</v>
      </c>
      <c r="F67" s="542"/>
      <c r="G67" s="159">
        <f t="shared" si="0"/>
        <v>0</v>
      </c>
      <c r="H67" s="163">
        <f t="shared" si="1"/>
        <v>1.9780219780219781</v>
      </c>
      <c r="I67" s="540"/>
      <c r="J67" s="97"/>
      <c r="K67" s="97"/>
      <c r="L67" s="97"/>
      <c r="M67" s="97"/>
      <c r="N67" s="97"/>
      <c r="O67" s="97"/>
    </row>
    <row r="68" spans="1:15" ht="15.75" customHeight="1" x14ac:dyDescent="0.45">
      <c r="A68" s="536">
        <v>8105596190</v>
      </c>
      <c r="B68" s="536" t="s">
        <v>766</v>
      </c>
      <c r="C68" s="536" t="s">
        <v>767</v>
      </c>
      <c r="D68" s="537">
        <v>250</v>
      </c>
      <c r="E68" s="538">
        <v>182</v>
      </c>
      <c r="F68" s="542"/>
      <c r="G68" s="159">
        <f t="shared" si="0"/>
        <v>0</v>
      </c>
      <c r="H68" s="163">
        <f t="shared" si="1"/>
        <v>1.9780219780219781</v>
      </c>
      <c r="I68" s="540"/>
      <c r="J68" s="97"/>
      <c r="K68" s="97"/>
      <c r="L68" s="97"/>
      <c r="M68" s="97"/>
      <c r="N68" s="97"/>
      <c r="O68" s="97"/>
    </row>
    <row r="69" spans="1:15" ht="15.75" customHeight="1" x14ac:dyDescent="0.45">
      <c r="A69" s="536">
        <v>8057826190</v>
      </c>
      <c r="B69" s="536" t="s">
        <v>768</v>
      </c>
      <c r="C69" s="536" t="s">
        <v>769</v>
      </c>
      <c r="D69" s="537">
        <v>100</v>
      </c>
      <c r="E69" s="538">
        <v>28</v>
      </c>
      <c r="F69" s="542"/>
      <c r="G69" s="159">
        <f t="shared" si="0"/>
        <v>0</v>
      </c>
      <c r="H69" s="163">
        <f t="shared" si="1"/>
        <v>12.857142857142858</v>
      </c>
      <c r="I69" s="540"/>
      <c r="J69" s="97"/>
      <c r="K69" s="97"/>
      <c r="L69" s="97"/>
      <c r="M69" s="97"/>
      <c r="N69" s="97"/>
      <c r="O69" s="97"/>
    </row>
    <row r="70" spans="1:15" ht="15.75" customHeight="1" x14ac:dyDescent="0.45">
      <c r="A70" s="536">
        <v>8057494190</v>
      </c>
      <c r="B70" s="536" t="s">
        <v>770</v>
      </c>
      <c r="C70" s="536" t="s">
        <v>771</v>
      </c>
      <c r="D70" s="537">
        <v>250</v>
      </c>
      <c r="E70" s="538">
        <v>42</v>
      </c>
      <c r="F70" s="542"/>
      <c r="G70" s="159">
        <f t="shared" si="0"/>
        <v>0</v>
      </c>
      <c r="H70" s="163">
        <f t="shared" si="1"/>
        <v>8.5714285714285712</v>
      </c>
      <c r="I70" s="540"/>
      <c r="J70" s="97"/>
      <c r="K70" s="97"/>
      <c r="L70" s="97"/>
      <c r="M70" s="97"/>
      <c r="N70" s="97"/>
      <c r="O70" s="97"/>
    </row>
    <row r="71" spans="1:15" ht="15.75" customHeight="1" x14ac:dyDescent="0.45">
      <c r="A71" s="536">
        <v>8058024190</v>
      </c>
      <c r="B71" s="536" t="s">
        <v>772</v>
      </c>
      <c r="C71" s="536" t="s">
        <v>773</v>
      </c>
      <c r="D71" s="537">
        <v>300</v>
      </c>
      <c r="E71" s="538">
        <v>112</v>
      </c>
      <c r="F71" s="542"/>
      <c r="G71" s="159">
        <f t="shared" si="0"/>
        <v>0</v>
      </c>
      <c r="H71" s="163">
        <f t="shared" si="1"/>
        <v>3.2142857142857144</v>
      </c>
      <c r="I71" s="540"/>
      <c r="J71" s="97"/>
      <c r="K71" s="97"/>
      <c r="L71" s="97"/>
      <c r="M71" s="97"/>
      <c r="N71" s="97"/>
      <c r="O71" s="97"/>
    </row>
    <row r="72" spans="1:15" ht="15.75" customHeight="1" x14ac:dyDescent="0.45">
      <c r="A72" s="536">
        <v>8057630190</v>
      </c>
      <c r="B72" s="536" t="s">
        <v>774</v>
      </c>
      <c r="C72" s="536" t="s">
        <v>775</v>
      </c>
      <c r="D72" s="537">
        <v>850</v>
      </c>
      <c r="E72" s="538">
        <v>84</v>
      </c>
      <c r="F72" s="542"/>
      <c r="G72" s="159">
        <f t="shared" si="0"/>
        <v>0</v>
      </c>
      <c r="H72" s="163">
        <f t="shared" si="1"/>
        <v>4.2857142857142856</v>
      </c>
      <c r="I72" s="540"/>
      <c r="J72" s="97"/>
      <c r="K72" s="97"/>
      <c r="L72" s="97"/>
      <c r="M72" s="97"/>
      <c r="N72" s="97"/>
      <c r="O72" s="97"/>
    </row>
    <row r="73" spans="1:15" ht="15.75" customHeight="1" x14ac:dyDescent="0.45">
      <c r="A73" s="536">
        <v>8445672190</v>
      </c>
      <c r="B73" s="536" t="s">
        <v>776</v>
      </c>
      <c r="C73" s="536" t="s">
        <v>777</v>
      </c>
      <c r="D73" s="537">
        <v>150</v>
      </c>
      <c r="E73" s="538">
        <v>84</v>
      </c>
      <c r="F73" s="542"/>
      <c r="G73" s="159">
        <f t="shared" ref="G73:G81" si="2">F73/D73</f>
        <v>0</v>
      </c>
      <c r="H73" s="163">
        <f t="shared" ref="H73:H136" si="3">(360/E73)</f>
        <v>4.2857142857142856</v>
      </c>
      <c r="I73" s="540"/>
      <c r="J73" s="97"/>
      <c r="K73" s="97"/>
      <c r="L73" s="97"/>
      <c r="M73" s="97"/>
      <c r="N73" s="97"/>
      <c r="O73" s="97"/>
    </row>
    <row r="74" spans="1:15" ht="15.75" customHeight="1" x14ac:dyDescent="0.45">
      <c r="A74" s="536">
        <v>8105677190</v>
      </c>
      <c r="B74" s="536" t="s">
        <v>778</v>
      </c>
      <c r="C74" s="536" t="s">
        <v>779</v>
      </c>
      <c r="D74" s="537">
        <v>550</v>
      </c>
      <c r="E74" s="538">
        <v>56</v>
      </c>
      <c r="F74" s="542"/>
      <c r="G74" s="159">
        <f t="shared" si="2"/>
        <v>0</v>
      </c>
      <c r="H74" s="163">
        <f t="shared" si="3"/>
        <v>6.4285714285714288</v>
      </c>
      <c r="I74" s="540"/>
      <c r="J74" s="97"/>
      <c r="K74" s="97"/>
      <c r="L74" s="97"/>
      <c r="M74" s="97"/>
      <c r="N74" s="97"/>
      <c r="O74" s="97"/>
    </row>
    <row r="75" spans="1:15" ht="15.75" customHeight="1" x14ac:dyDescent="0.45">
      <c r="A75" s="536">
        <v>8252629190</v>
      </c>
      <c r="B75" s="536" t="s">
        <v>1138</v>
      </c>
      <c r="C75" s="536" t="s">
        <v>780</v>
      </c>
      <c r="D75" s="537">
        <v>200</v>
      </c>
      <c r="E75" s="538">
        <v>84</v>
      </c>
      <c r="F75" s="542"/>
      <c r="G75" s="159">
        <f t="shared" si="2"/>
        <v>0</v>
      </c>
      <c r="H75" s="163">
        <f t="shared" si="3"/>
        <v>4.2857142857142856</v>
      </c>
      <c r="I75" s="540"/>
      <c r="J75" s="97"/>
      <c r="K75" s="97"/>
      <c r="L75" s="97"/>
      <c r="M75" s="97"/>
      <c r="N75" s="97"/>
      <c r="O75" s="97"/>
    </row>
    <row r="76" spans="1:15" ht="15.75" customHeight="1" x14ac:dyDescent="0.45">
      <c r="A76" s="536">
        <v>8058628190</v>
      </c>
      <c r="B76" s="536" t="s">
        <v>781</v>
      </c>
      <c r="C76" s="536" t="s">
        <v>782</v>
      </c>
      <c r="D76" s="537">
        <v>400</v>
      </c>
      <c r="E76" s="538">
        <v>56</v>
      </c>
      <c r="F76" s="539"/>
      <c r="G76" s="159">
        <f t="shared" si="2"/>
        <v>0</v>
      </c>
      <c r="H76" s="163">
        <f t="shared" si="3"/>
        <v>6.4285714285714288</v>
      </c>
      <c r="I76" s="540"/>
      <c r="J76" s="97"/>
      <c r="K76" s="97"/>
      <c r="L76" s="97"/>
      <c r="M76" s="97"/>
      <c r="N76" s="97"/>
      <c r="O76" s="97"/>
    </row>
    <row r="77" spans="1:15" ht="15.75" customHeight="1" x14ac:dyDescent="0.45">
      <c r="A77" s="536">
        <v>8445567190</v>
      </c>
      <c r="B77" s="536" t="s">
        <v>1139</v>
      </c>
      <c r="C77" s="536" t="s">
        <v>783</v>
      </c>
      <c r="D77" s="537">
        <v>100</v>
      </c>
      <c r="E77" s="538">
        <v>84</v>
      </c>
      <c r="F77" s="542"/>
      <c r="G77" s="159">
        <f t="shared" si="2"/>
        <v>0</v>
      </c>
      <c r="H77" s="163">
        <f t="shared" si="3"/>
        <v>4.2857142857142856</v>
      </c>
      <c r="I77" s="540"/>
      <c r="J77" s="97"/>
      <c r="K77" s="97"/>
      <c r="L77" s="97"/>
      <c r="M77" s="97"/>
      <c r="N77" s="97"/>
      <c r="O77" s="97"/>
    </row>
    <row r="78" spans="1:15" ht="15.75" customHeight="1" x14ac:dyDescent="0.45">
      <c r="A78" s="536">
        <v>8058580190</v>
      </c>
      <c r="B78" s="536" t="s">
        <v>784</v>
      </c>
      <c r="C78" s="536" t="s">
        <v>785</v>
      </c>
      <c r="D78" s="537">
        <v>200</v>
      </c>
      <c r="E78" s="538">
        <v>90</v>
      </c>
      <c r="F78" s="542"/>
      <c r="G78" s="159">
        <f t="shared" si="2"/>
        <v>0</v>
      </c>
      <c r="H78" s="163">
        <f t="shared" si="3"/>
        <v>4</v>
      </c>
      <c r="I78" s="540"/>
      <c r="J78" s="97"/>
      <c r="K78" s="97"/>
      <c r="L78" s="97"/>
      <c r="M78" s="97"/>
      <c r="N78" s="97"/>
      <c r="O78" s="97"/>
    </row>
    <row r="79" spans="1:15" ht="15.75" customHeight="1" x14ac:dyDescent="0.45">
      <c r="A79" s="536">
        <v>8057435190</v>
      </c>
      <c r="B79" s="536" t="s">
        <v>786</v>
      </c>
      <c r="C79" s="536" t="s">
        <v>787</v>
      </c>
      <c r="D79" s="537">
        <v>500</v>
      </c>
      <c r="E79" s="538">
        <v>182</v>
      </c>
      <c r="F79" s="542"/>
      <c r="G79" s="159">
        <f t="shared" si="2"/>
        <v>0</v>
      </c>
      <c r="H79" s="163">
        <f t="shared" si="3"/>
        <v>1.9780219780219781</v>
      </c>
      <c r="I79" s="540"/>
      <c r="J79" s="97"/>
      <c r="K79" s="97"/>
      <c r="L79" s="97"/>
      <c r="M79" s="97"/>
      <c r="N79" s="97"/>
      <c r="O79" s="97"/>
    </row>
    <row r="80" spans="1:15" ht="15.75" customHeight="1" x14ac:dyDescent="0.45">
      <c r="A80" s="536">
        <v>8445575190</v>
      </c>
      <c r="B80" s="536" t="s">
        <v>788</v>
      </c>
      <c r="C80" s="536" t="s">
        <v>789</v>
      </c>
      <c r="D80" s="537">
        <v>200</v>
      </c>
      <c r="E80" s="538">
        <v>126</v>
      </c>
      <c r="F80" s="542"/>
      <c r="G80" s="159">
        <f t="shared" si="2"/>
        <v>0</v>
      </c>
      <c r="H80" s="163">
        <f t="shared" si="3"/>
        <v>2.8571428571428572</v>
      </c>
      <c r="I80" s="540"/>
      <c r="J80" s="97"/>
      <c r="K80" s="97"/>
      <c r="L80" s="97"/>
      <c r="M80" s="97"/>
      <c r="N80" s="97"/>
      <c r="O80" s="97"/>
    </row>
    <row r="81" spans="1:15" ht="15.75" customHeight="1" x14ac:dyDescent="0.45">
      <c r="A81" s="545">
        <v>8058849190</v>
      </c>
      <c r="B81" s="536" t="s">
        <v>790</v>
      </c>
      <c r="C81" s="536" t="s">
        <v>791</v>
      </c>
      <c r="D81" s="537">
        <v>200</v>
      </c>
      <c r="E81" s="538">
        <v>84</v>
      </c>
      <c r="F81" s="542"/>
      <c r="G81" s="159">
        <f t="shared" si="2"/>
        <v>0</v>
      </c>
      <c r="H81" s="163">
        <f t="shared" si="3"/>
        <v>4.2857142857142856</v>
      </c>
      <c r="I81" s="540"/>
      <c r="J81" s="97"/>
      <c r="K81" s="97"/>
      <c r="L81" s="97"/>
      <c r="M81" s="97"/>
      <c r="N81" s="97"/>
      <c r="O81" s="97"/>
    </row>
    <row r="82" spans="1:15" ht="15.75" customHeight="1" x14ac:dyDescent="0.45">
      <c r="A82" s="546"/>
      <c r="B82" s="546"/>
      <c r="C82" s="547"/>
      <c r="D82" s="548"/>
      <c r="E82" s="549" t="s">
        <v>19</v>
      </c>
      <c r="F82" s="550">
        <f>SUM(F9:F81)</f>
        <v>0</v>
      </c>
      <c r="G82" s="551"/>
      <c r="H82" s="552"/>
      <c r="I82" s="552"/>
      <c r="J82" s="97"/>
      <c r="K82" s="97"/>
      <c r="L82" s="97"/>
      <c r="M82" s="97"/>
      <c r="N82" s="97"/>
      <c r="O82" s="97"/>
    </row>
    <row r="83" spans="1:15" ht="15.75" customHeight="1" x14ac:dyDescent="0.45">
      <c r="A83" s="916" t="s">
        <v>792</v>
      </c>
      <c r="B83" s="917"/>
      <c r="C83" s="918"/>
      <c r="D83" s="553" t="s">
        <v>183</v>
      </c>
      <c r="E83" s="553" t="s">
        <v>649</v>
      </c>
      <c r="F83" s="554"/>
      <c r="G83" s="555" t="s">
        <v>53</v>
      </c>
      <c r="H83" s="556" t="s">
        <v>52</v>
      </c>
      <c r="I83" s="556" t="s">
        <v>51</v>
      </c>
      <c r="J83" s="97"/>
      <c r="K83" s="97"/>
      <c r="L83" s="97"/>
      <c r="M83" s="97"/>
      <c r="N83" s="97"/>
      <c r="O83" s="97"/>
    </row>
    <row r="84" spans="1:15" ht="15.75" customHeight="1" x14ac:dyDescent="0.45">
      <c r="A84" s="536">
        <v>10759350190</v>
      </c>
      <c r="B84" s="536" t="s">
        <v>260</v>
      </c>
      <c r="C84" s="536" t="s">
        <v>260</v>
      </c>
      <c r="D84" s="537">
        <v>12</v>
      </c>
      <c r="E84" s="537">
        <v>28</v>
      </c>
      <c r="F84" s="171"/>
      <c r="G84" s="557"/>
      <c r="H84" s="163">
        <f t="shared" si="3"/>
        <v>12.857142857142858</v>
      </c>
      <c r="I84" s="540"/>
      <c r="J84" s="97"/>
      <c r="K84" s="97"/>
      <c r="L84" s="97"/>
      <c r="M84" s="97"/>
      <c r="N84" s="97"/>
      <c r="O84" s="97"/>
    </row>
    <row r="85" spans="1:15" ht="15.75" customHeight="1" x14ac:dyDescent="0.45">
      <c r="A85" s="536">
        <v>3121313122</v>
      </c>
      <c r="B85" s="536" t="s">
        <v>292</v>
      </c>
      <c r="C85" s="536" t="s">
        <v>292</v>
      </c>
      <c r="D85" s="537">
        <v>4</v>
      </c>
      <c r="E85" s="537">
        <v>28</v>
      </c>
      <c r="F85" s="171"/>
      <c r="G85" s="557"/>
      <c r="H85" s="163">
        <f t="shared" si="3"/>
        <v>12.857142857142858</v>
      </c>
      <c r="I85" s="540"/>
      <c r="J85" s="97"/>
      <c r="K85" s="97"/>
      <c r="L85" s="97"/>
      <c r="M85" s="97"/>
      <c r="N85" s="97"/>
      <c r="O85" s="97"/>
    </row>
    <row r="86" spans="1:15" ht="15.75" customHeight="1" x14ac:dyDescent="0.45">
      <c r="A86" s="536">
        <v>3121291122</v>
      </c>
      <c r="B86" s="536" t="s">
        <v>294</v>
      </c>
      <c r="C86" s="536" t="s">
        <v>294</v>
      </c>
      <c r="D86" s="537">
        <v>4</v>
      </c>
      <c r="E86" s="537">
        <v>28</v>
      </c>
      <c r="F86" s="171"/>
      <c r="G86" s="557"/>
      <c r="H86" s="163">
        <f t="shared" si="3"/>
        <v>12.857142857142858</v>
      </c>
      <c r="I86" s="540"/>
      <c r="J86" s="97"/>
      <c r="K86" s="97"/>
      <c r="L86" s="97"/>
      <c r="M86" s="97"/>
      <c r="N86" s="97"/>
      <c r="O86" s="97"/>
    </row>
    <row r="87" spans="1:15" ht="15.75" customHeight="1" x14ac:dyDescent="0.45">
      <c r="A87" s="536">
        <v>12172623122</v>
      </c>
      <c r="B87" s="536" t="s">
        <v>263</v>
      </c>
      <c r="C87" s="536" t="s">
        <v>793</v>
      </c>
      <c r="D87" s="537">
        <v>3</v>
      </c>
      <c r="E87" s="537">
        <v>28</v>
      </c>
      <c r="F87" s="171"/>
      <c r="G87" s="557"/>
      <c r="H87" s="163">
        <f t="shared" si="3"/>
        <v>12.857142857142858</v>
      </c>
      <c r="I87" s="540"/>
      <c r="J87" s="97"/>
      <c r="K87" s="97"/>
      <c r="L87" s="97"/>
      <c r="M87" s="97"/>
      <c r="N87" s="97"/>
      <c r="O87" s="97"/>
    </row>
    <row r="88" spans="1:15" ht="15.75" customHeight="1" x14ac:dyDescent="0.45">
      <c r="A88" s="536">
        <v>11447394216</v>
      </c>
      <c r="B88" s="536" t="s">
        <v>261</v>
      </c>
      <c r="C88" s="536" t="s">
        <v>794</v>
      </c>
      <c r="D88" s="537">
        <v>3</v>
      </c>
      <c r="E88" s="537">
        <v>28</v>
      </c>
      <c r="F88" s="171"/>
      <c r="G88" s="557"/>
      <c r="H88" s="163">
        <f t="shared" si="3"/>
        <v>12.857142857142858</v>
      </c>
      <c r="I88" s="540"/>
      <c r="J88" s="97"/>
      <c r="K88" s="97"/>
      <c r="L88" s="97"/>
      <c r="M88" s="97"/>
      <c r="N88" s="97"/>
      <c r="O88" s="97"/>
    </row>
    <row r="89" spans="1:15" ht="15.75" customHeight="1" x14ac:dyDescent="0.45">
      <c r="A89" s="536">
        <v>3121305122</v>
      </c>
      <c r="B89" s="536" t="s">
        <v>268</v>
      </c>
      <c r="C89" s="536" t="s">
        <v>795</v>
      </c>
      <c r="D89" s="537">
        <v>5</v>
      </c>
      <c r="E89" s="537">
        <v>28</v>
      </c>
      <c r="F89" s="171"/>
      <c r="G89" s="557"/>
      <c r="H89" s="163">
        <f t="shared" si="3"/>
        <v>12.857142857142858</v>
      </c>
      <c r="I89" s="540"/>
      <c r="J89" s="97"/>
      <c r="K89" s="97"/>
      <c r="L89" s="97"/>
      <c r="M89" s="97"/>
      <c r="N89" s="97"/>
      <c r="O89" s="97"/>
    </row>
    <row r="90" spans="1:15" ht="15.75" customHeight="1" x14ac:dyDescent="0.45">
      <c r="A90" s="537">
        <v>3555941190</v>
      </c>
      <c r="B90" s="536" t="s">
        <v>259</v>
      </c>
      <c r="C90" s="536" t="s">
        <v>259</v>
      </c>
      <c r="D90" s="537">
        <v>3</v>
      </c>
      <c r="E90" s="537">
        <v>14</v>
      </c>
      <c r="F90" s="171"/>
      <c r="G90" s="557"/>
      <c r="H90" s="163">
        <f t="shared" si="3"/>
        <v>25.714285714285715</v>
      </c>
      <c r="I90" s="540"/>
      <c r="J90" s="97"/>
      <c r="K90" s="97"/>
      <c r="L90" s="97"/>
      <c r="M90" s="97"/>
      <c r="N90" s="97"/>
      <c r="O90" s="97"/>
    </row>
    <row r="91" spans="1:15" ht="15.75" customHeight="1" x14ac:dyDescent="0.45">
      <c r="A91" s="537">
        <v>6533850190</v>
      </c>
      <c r="B91" s="536" t="s">
        <v>262</v>
      </c>
      <c r="C91" s="536" t="s">
        <v>262</v>
      </c>
      <c r="D91" s="537">
        <v>3</v>
      </c>
      <c r="E91" s="537">
        <v>14</v>
      </c>
      <c r="F91" s="171"/>
      <c r="G91" s="557"/>
      <c r="H91" s="163">
        <f t="shared" si="3"/>
        <v>25.714285714285715</v>
      </c>
      <c r="I91" s="540"/>
      <c r="J91" s="97"/>
      <c r="K91" s="97"/>
      <c r="L91" s="97"/>
      <c r="M91" s="97"/>
      <c r="N91" s="97"/>
      <c r="O91" s="97"/>
    </row>
    <row r="92" spans="1:15" ht="15.75" customHeight="1" x14ac:dyDescent="0.45">
      <c r="A92" s="537">
        <v>12146401216</v>
      </c>
      <c r="B92" s="536" t="s">
        <v>270</v>
      </c>
      <c r="C92" s="536" t="s">
        <v>270</v>
      </c>
      <c r="D92" s="537">
        <v>1</v>
      </c>
      <c r="E92" s="537">
        <v>183</v>
      </c>
      <c r="F92" s="171"/>
      <c r="G92" s="557"/>
      <c r="H92" s="163">
        <f t="shared" si="3"/>
        <v>1.9672131147540983</v>
      </c>
      <c r="I92" s="540"/>
      <c r="J92" s="97"/>
      <c r="K92" s="97"/>
      <c r="L92" s="97"/>
      <c r="M92" s="97"/>
      <c r="N92" s="97"/>
      <c r="O92" s="97"/>
    </row>
    <row r="93" spans="1:15" ht="15.75" customHeight="1" x14ac:dyDescent="0.45">
      <c r="A93" s="537">
        <v>11355279216</v>
      </c>
      <c r="B93" s="536" t="s">
        <v>264</v>
      </c>
      <c r="C93" s="536" t="s">
        <v>264</v>
      </c>
      <c r="D93" s="537">
        <v>5</v>
      </c>
      <c r="E93" s="537">
        <v>28</v>
      </c>
      <c r="F93" s="171"/>
      <c r="G93" s="557"/>
      <c r="H93" s="163">
        <f t="shared" si="3"/>
        <v>12.857142857142858</v>
      </c>
      <c r="I93" s="540"/>
      <c r="J93" s="97"/>
      <c r="K93" s="97"/>
      <c r="L93" s="97"/>
      <c r="M93" s="97"/>
      <c r="N93" s="97"/>
      <c r="O93" s="97"/>
    </row>
    <row r="94" spans="1:15" ht="15.75" customHeight="1" x14ac:dyDescent="0.45">
      <c r="A94" s="537">
        <v>5117003190</v>
      </c>
      <c r="B94" s="536" t="s">
        <v>796</v>
      </c>
      <c r="C94" s="536" t="s">
        <v>796</v>
      </c>
      <c r="D94" s="537">
        <v>20</v>
      </c>
      <c r="E94" s="537">
        <v>28</v>
      </c>
      <c r="F94" s="171"/>
      <c r="G94" s="557"/>
      <c r="H94" s="163">
        <f t="shared" si="3"/>
        <v>12.857142857142858</v>
      </c>
      <c r="I94" s="540"/>
      <c r="J94" s="97"/>
      <c r="K94" s="97"/>
      <c r="L94" s="97"/>
      <c r="M94" s="97"/>
      <c r="N94" s="97"/>
      <c r="O94" s="97"/>
    </row>
    <row r="95" spans="1:15" ht="15.75" customHeight="1" x14ac:dyDescent="0.45">
      <c r="A95" s="537">
        <v>5117216190</v>
      </c>
      <c r="B95" s="536" t="s">
        <v>797</v>
      </c>
      <c r="C95" s="536" t="s">
        <v>797</v>
      </c>
      <c r="D95" s="537">
        <v>20</v>
      </c>
      <c r="E95" s="537">
        <v>14</v>
      </c>
      <c r="F95" s="171"/>
      <c r="G95" s="557"/>
      <c r="H95" s="163">
        <f t="shared" si="3"/>
        <v>25.714285714285715</v>
      </c>
      <c r="I95" s="540"/>
      <c r="J95" s="97"/>
      <c r="K95" s="97"/>
      <c r="L95" s="97"/>
      <c r="M95" s="97"/>
      <c r="N95" s="97"/>
      <c r="O95" s="97"/>
    </row>
    <row r="96" spans="1:15" ht="15.75" customHeight="1" x14ac:dyDescent="0.45">
      <c r="A96" s="537">
        <v>5117208922</v>
      </c>
      <c r="B96" s="536" t="s">
        <v>798</v>
      </c>
      <c r="C96" s="536" t="s">
        <v>798</v>
      </c>
      <c r="D96" s="537">
        <v>20</v>
      </c>
      <c r="E96" s="537"/>
      <c r="F96" s="171"/>
      <c r="G96" s="557"/>
      <c r="H96" s="163" t="e">
        <f t="shared" si="3"/>
        <v>#DIV/0!</v>
      </c>
      <c r="I96" s="540"/>
      <c r="J96" s="97"/>
      <c r="K96" s="97"/>
      <c r="L96" s="97"/>
      <c r="M96" s="97"/>
      <c r="N96" s="97"/>
      <c r="O96" s="97"/>
    </row>
    <row r="97" spans="1:15" ht="15.75" customHeight="1" x14ac:dyDescent="0.45">
      <c r="A97" s="537">
        <v>5117291922</v>
      </c>
      <c r="B97" s="536" t="s">
        <v>799</v>
      </c>
      <c r="C97" s="536" t="s">
        <v>799</v>
      </c>
      <c r="D97" s="537">
        <v>20</v>
      </c>
      <c r="E97" s="537"/>
      <c r="F97" s="171"/>
      <c r="G97" s="557"/>
      <c r="H97" s="163" t="e">
        <f t="shared" si="3"/>
        <v>#DIV/0!</v>
      </c>
      <c r="I97" s="540"/>
      <c r="J97" s="97"/>
      <c r="K97" s="97"/>
      <c r="L97" s="97"/>
      <c r="M97" s="97"/>
      <c r="N97" s="97"/>
      <c r="O97" s="97"/>
    </row>
    <row r="98" spans="1:15" ht="15.75" customHeight="1" x14ac:dyDescent="0.45">
      <c r="A98" s="537">
        <v>5947626190</v>
      </c>
      <c r="B98" s="536" t="s">
        <v>286</v>
      </c>
      <c r="C98" s="536" t="s">
        <v>286</v>
      </c>
      <c r="D98" s="537">
        <v>4</v>
      </c>
      <c r="E98" s="537">
        <v>14</v>
      </c>
      <c r="F98" s="171"/>
      <c r="G98" s="557"/>
      <c r="H98" s="163">
        <f t="shared" si="3"/>
        <v>25.714285714285715</v>
      </c>
      <c r="I98" s="540"/>
      <c r="J98" s="97"/>
      <c r="K98" s="97"/>
      <c r="L98" s="97"/>
      <c r="M98" s="97"/>
      <c r="N98" s="97"/>
      <c r="O98" s="97"/>
    </row>
    <row r="99" spans="1:15" ht="15.75" customHeight="1" x14ac:dyDescent="0.45">
      <c r="A99" s="537">
        <v>5947774190</v>
      </c>
      <c r="B99" s="536" t="s">
        <v>287</v>
      </c>
      <c r="C99" s="536" t="s">
        <v>287</v>
      </c>
      <c r="D99" s="537">
        <v>4</v>
      </c>
      <c r="E99" s="537">
        <v>14</v>
      </c>
      <c r="F99" s="171"/>
      <c r="G99" s="557"/>
      <c r="H99" s="163">
        <f t="shared" si="3"/>
        <v>25.714285714285715</v>
      </c>
      <c r="I99" s="540"/>
      <c r="J99" s="97"/>
      <c r="K99" s="97"/>
      <c r="L99" s="97"/>
      <c r="M99" s="97"/>
      <c r="N99" s="97"/>
      <c r="O99" s="97"/>
    </row>
    <row r="100" spans="1:15" ht="15.75" customHeight="1" x14ac:dyDescent="0.45">
      <c r="A100" s="536">
        <v>4528417190</v>
      </c>
      <c r="B100" s="536" t="s">
        <v>267</v>
      </c>
      <c r="C100" s="536" t="s">
        <v>267</v>
      </c>
      <c r="D100" s="537">
        <v>3</v>
      </c>
      <c r="E100" s="537">
        <v>84</v>
      </c>
      <c r="F100" s="536"/>
      <c r="G100" s="557"/>
      <c r="H100" s="163">
        <f t="shared" si="3"/>
        <v>4.2857142857142856</v>
      </c>
      <c r="I100" s="540"/>
      <c r="J100" s="97"/>
      <c r="K100" s="97"/>
      <c r="L100" s="97"/>
      <c r="M100" s="97"/>
      <c r="N100" s="97"/>
      <c r="O100" s="97"/>
    </row>
    <row r="101" spans="1:15" ht="15.75" customHeight="1" x14ac:dyDescent="0.45">
      <c r="A101" s="536">
        <v>5479207190</v>
      </c>
      <c r="B101" s="536" t="s">
        <v>288</v>
      </c>
      <c r="C101" s="536" t="s">
        <v>288</v>
      </c>
      <c r="D101" s="537">
        <v>4</v>
      </c>
      <c r="E101" s="537">
        <v>28</v>
      </c>
      <c r="F101" s="171"/>
      <c r="G101" s="557"/>
      <c r="H101" s="163">
        <f t="shared" si="3"/>
        <v>12.857142857142858</v>
      </c>
      <c r="I101" s="540"/>
      <c r="J101" s="97"/>
      <c r="K101" s="97"/>
      <c r="L101" s="97"/>
      <c r="M101" s="97"/>
      <c r="N101" s="97"/>
      <c r="O101" s="97"/>
    </row>
    <row r="102" spans="1:15" ht="15.75" customHeight="1" x14ac:dyDescent="0.45">
      <c r="A102" s="536">
        <v>5912504190</v>
      </c>
      <c r="B102" s="536" t="s">
        <v>289</v>
      </c>
      <c r="C102" s="536" t="s">
        <v>289</v>
      </c>
      <c r="D102" s="537">
        <v>4</v>
      </c>
      <c r="E102" s="537">
        <v>28</v>
      </c>
      <c r="F102" s="171"/>
      <c r="G102" s="557"/>
      <c r="H102" s="163">
        <f t="shared" si="3"/>
        <v>12.857142857142858</v>
      </c>
      <c r="I102" s="540"/>
      <c r="J102" s="97"/>
      <c r="K102" s="97"/>
      <c r="L102" s="97"/>
      <c r="M102" s="97"/>
      <c r="N102" s="97"/>
      <c r="O102" s="97"/>
    </row>
    <row r="103" spans="1:15" ht="15.75" customHeight="1" x14ac:dyDescent="0.45">
      <c r="A103" s="536">
        <v>5050901190</v>
      </c>
      <c r="B103" s="536" t="s">
        <v>269</v>
      </c>
      <c r="C103" s="536"/>
      <c r="D103" s="537">
        <v>1</v>
      </c>
      <c r="E103" s="537">
        <v>84</v>
      </c>
      <c r="F103" s="171"/>
      <c r="G103" s="557"/>
      <c r="H103" s="163">
        <f t="shared" si="3"/>
        <v>4.2857142857142856</v>
      </c>
      <c r="I103" s="540"/>
      <c r="J103" s="97"/>
      <c r="K103" s="97"/>
      <c r="L103" s="97"/>
      <c r="M103" s="97"/>
      <c r="N103" s="97"/>
      <c r="O103" s="97"/>
    </row>
    <row r="104" spans="1:15" ht="15.75" customHeight="1" x14ac:dyDescent="0.45">
      <c r="A104" s="536">
        <v>5050936190</v>
      </c>
      <c r="B104" s="536" t="s">
        <v>283</v>
      </c>
      <c r="C104" s="536"/>
      <c r="D104" s="537">
        <v>2</v>
      </c>
      <c r="E104" s="537">
        <v>84</v>
      </c>
      <c r="F104" s="171"/>
      <c r="G104" s="557"/>
      <c r="H104" s="163">
        <f t="shared" si="3"/>
        <v>4.2857142857142856</v>
      </c>
      <c r="I104" s="540"/>
      <c r="J104" s="97"/>
      <c r="K104" s="97"/>
      <c r="L104" s="97"/>
      <c r="M104" s="97"/>
      <c r="N104" s="97"/>
      <c r="O104" s="97"/>
    </row>
    <row r="105" spans="1:15" ht="15.75" customHeight="1" x14ac:dyDescent="0.45">
      <c r="A105" s="536">
        <v>8047545190</v>
      </c>
      <c r="B105" s="536" t="s">
        <v>266</v>
      </c>
      <c r="C105" s="536"/>
      <c r="D105" s="537">
        <v>2</v>
      </c>
      <c r="E105" s="537">
        <v>84</v>
      </c>
      <c r="F105" s="171"/>
      <c r="G105" s="557"/>
      <c r="H105" s="163">
        <f t="shared" si="3"/>
        <v>4.2857142857142856</v>
      </c>
      <c r="I105" s="540"/>
      <c r="J105" s="97"/>
      <c r="K105" s="97"/>
      <c r="L105" s="97"/>
      <c r="M105" s="97"/>
      <c r="N105" s="97"/>
      <c r="O105" s="97"/>
    </row>
    <row r="106" spans="1:15" ht="15.75" customHeight="1" x14ac:dyDescent="0.45">
      <c r="A106" s="536">
        <v>8362785190</v>
      </c>
      <c r="B106" s="536" t="s">
        <v>280</v>
      </c>
      <c r="C106" s="536"/>
      <c r="D106" s="537">
        <v>2</v>
      </c>
      <c r="E106" s="537">
        <v>84</v>
      </c>
      <c r="F106" s="171"/>
      <c r="G106" s="557"/>
      <c r="H106" s="163">
        <f t="shared" si="3"/>
        <v>4.2857142857142856</v>
      </c>
      <c r="I106" s="540"/>
      <c r="J106" s="97"/>
      <c r="K106" s="97"/>
      <c r="L106" s="97"/>
      <c r="M106" s="97"/>
      <c r="N106" s="97"/>
      <c r="O106" s="97"/>
    </row>
    <row r="107" spans="1:15" ht="15.75" customHeight="1" x14ac:dyDescent="0.45">
      <c r="A107" s="536">
        <v>5852641190</v>
      </c>
      <c r="B107" s="536" t="s">
        <v>275</v>
      </c>
      <c r="C107" s="536"/>
      <c r="D107" s="537">
        <v>1</v>
      </c>
      <c r="E107" s="537">
        <v>14</v>
      </c>
      <c r="F107" s="171"/>
      <c r="G107" s="557"/>
      <c r="H107" s="163">
        <f t="shared" si="3"/>
        <v>25.714285714285715</v>
      </c>
      <c r="I107" s="540"/>
      <c r="J107" s="97"/>
      <c r="K107" s="97"/>
      <c r="L107" s="97"/>
      <c r="M107" s="97"/>
      <c r="N107" s="97"/>
      <c r="O107" s="97"/>
    </row>
    <row r="108" spans="1:15" ht="15.75" customHeight="1" x14ac:dyDescent="0.45">
      <c r="A108" s="536">
        <v>5852650190</v>
      </c>
      <c r="B108" s="536" t="s">
        <v>290</v>
      </c>
      <c r="C108" s="536"/>
      <c r="D108" s="537">
        <v>2</v>
      </c>
      <c r="E108" s="537">
        <v>14</v>
      </c>
      <c r="F108" s="171"/>
      <c r="G108" s="557"/>
      <c r="H108" s="163">
        <f t="shared" si="3"/>
        <v>25.714285714285715</v>
      </c>
      <c r="I108" s="540"/>
      <c r="J108" s="97"/>
      <c r="K108" s="97"/>
      <c r="L108" s="97"/>
      <c r="M108" s="97"/>
      <c r="N108" s="97"/>
      <c r="O108" s="97"/>
    </row>
    <row r="109" spans="1:15" ht="15.75" customHeight="1" x14ac:dyDescent="0.45">
      <c r="A109" s="536">
        <v>4975901191</v>
      </c>
      <c r="B109" s="536" t="s">
        <v>257</v>
      </c>
      <c r="C109" s="536"/>
      <c r="D109" s="537">
        <v>1</v>
      </c>
      <c r="E109" s="537">
        <v>30</v>
      </c>
      <c r="F109" s="171"/>
      <c r="G109" s="557"/>
      <c r="H109" s="163">
        <f t="shared" si="3"/>
        <v>12</v>
      </c>
      <c r="I109" s="540"/>
      <c r="J109" s="97"/>
      <c r="K109" s="97"/>
      <c r="L109" s="97"/>
      <c r="M109" s="97"/>
      <c r="N109" s="97"/>
      <c r="O109" s="97"/>
    </row>
    <row r="110" spans="1:15" ht="15.75" customHeight="1" x14ac:dyDescent="0.45">
      <c r="A110" s="536">
        <v>6729371190</v>
      </c>
      <c r="B110" s="536" t="s">
        <v>282</v>
      </c>
      <c r="C110" s="536"/>
      <c r="D110" s="537">
        <v>3</v>
      </c>
      <c r="E110" s="537">
        <v>30</v>
      </c>
      <c r="F110" s="171"/>
      <c r="G110" s="557"/>
      <c r="H110" s="163">
        <f t="shared" si="3"/>
        <v>12</v>
      </c>
      <c r="I110" s="540"/>
      <c r="J110" s="97"/>
      <c r="K110" s="97"/>
      <c r="L110" s="97"/>
      <c r="M110" s="97"/>
      <c r="N110" s="97"/>
      <c r="O110" s="97"/>
    </row>
    <row r="111" spans="1:15" ht="15.75" customHeight="1" x14ac:dyDescent="0.45">
      <c r="A111" s="536">
        <v>5385504190</v>
      </c>
      <c r="B111" s="536" t="s">
        <v>271</v>
      </c>
      <c r="C111" s="536"/>
      <c r="D111" s="537">
        <v>2</v>
      </c>
      <c r="E111" s="537">
        <v>28</v>
      </c>
      <c r="F111" s="171"/>
      <c r="G111" s="557"/>
      <c r="H111" s="163">
        <f t="shared" si="3"/>
        <v>12.857142857142858</v>
      </c>
      <c r="I111" s="540"/>
      <c r="J111" s="97"/>
      <c r="K111" s="97"/>
      <c r="L111" s="97"/>
      <c r="M111" s="97"/>
      <c r="N111" s="97"/>
      <c r="O111" s="97"/>
    </row>
    <row r="112" spans="1:15" ht="15.75" customHeight="1" x14ac:dyDescent="0.45">
      <c r="A112" s="536">
        <v>5142423190</v>
      </c>
      <c r="B112" s="536" t="s">
        <v>284</v>
      </c>
      <c r="C112" s="536"/>
      <c r="D112" s="537">
        <v>2</v>
      </c>
      <c r="E112" s="537">
        <v>28</v>
      </c>
      <c r="F112" s="171"/>
      <c r="G112" s="557"/>
      <c r="H112" s="163">
        <f t="shared" si="3"/>
        <v>12.857142857142858</v>
      </c>
      <c r="I112" s="540"/>
      <c r="J112" s="97"/>
      <c r="K112" s="97"/>
      <c r="L112" s="97"/>
      <c r="M112" s="97"/>
      <c r="N112" s="97"/>
      <c r="O112" s="97"/>
    </row>
    <row r="113" spans="1:15" ht="15.75" customHeight="1" x14ac:dyDescent="0.45">
      <c r="A113" s="536">
        <v>20751995190</v>
      </c>
      <c r="B113" s="536" t="s">
        <v>256</v>
      </c>
      <c r="C113" s="536" t="s">
        <v>800</v>
      </c>
      <c r="D113" s="537">
        <v>2</v>
      </c>
      <c r="E113" s="537">
        <v>56</v>
      </c>
      <c r="F113" s="171"/>
      <c r="G113" s="557"/>
      <c r="H113" s="163">
        <f t="shared" si="3"/>
        <v>6.4285714285714288</v>
      </c>
      <c r="I113" s="540"/>
      <c r="J113" s="97"/>
      <c r="K113" s="97"/>
      <c r="L113" s="97"/>
      <c r="M113" s="97"/>
      <c r="N113" s="97"/>
      <c r="O113" s="97"/>
    </row>
    <row r="114" spans="1:15" ht="15.75" customHeight="1" x14ac:dyDescent="0.45">
      <c r="A114" s="536">
        <v>20752401190</v>
      </c>
      <c r="B114" s="536" t="s">
        <v>278</v>
      </c>
      <c r="C114" s="536" t="s">
        <v>801</v>
      </c>
      <c r="D114" s="537">
        <v>5</v>
      </c>
      <c r="E114" s="537">
        <v>56</v>
      </c>
      <c r="F114" s="171"/>
      <c r="G114" s="557"/>
      <c r="H114" s="163">
        <f t="shared" si="3"/>
        <v>6.4285714285714288</v>
      </c>
      <c r="I114" s="540"/>
      <c r="J114" s="97"/>
      <c r="K114" s="97"/>
      <c r="L114" s="97"/>
      <c r="M114" s="97"/>
      <c r="N114" s="97"/>
      <c r="O114" s="97"/>
    </row>
    <row r="115" spans="1:15" ht="15.75" customHeight="1" x14ac:dyDescent="0.45">
      <c r="A115" s="536">
        <v>20753009190</v>
      </c>
      <c r="B115" s="536" t="s">
        <v>279</v>
      </c>
      <c r="C115" s="536" t="s">
        <v>802</v>
      </c>
      <c r="D115" s="537">
        <v>5</v>
      </c>
      <c r="E115" s="537">
        <v>56</v>
      </c>
      <c r="F115" s="171"/>
      <c r="G115" s="557"/>
      <c r="H115" s="163">
        <f t="shared" si="3"/>
        <v>6.4285714285714288</v>
      </c>
      <c r="I115" s="540"/>
      <c r="J115" s="97"/>
      <c r="K115" s="97"/>
      <c r="L115" s="97"/>
      <c r="M115" s="97"/>
      <c r="N115" s="97"/>
      <c r="O115" s="97"/>
    </row>
    <row r="116" spans="1:15" ht="15.75" customHeight="1" x14ac:dyDescent="0.45">
      <c r="A116" s="536">
        <v>11098993122</v>
      </c>
      <c r="B116" s="536" t="s">
        <v>273</v>
      </c>
      <c r="C116" s="536" t="s">
        <v>803</v>
      </c>
      <c r="D116" s="537">
        <v>3</v>
      </c>
      <c r="E116" s="537">
        <v>28</v>
      </c>
      <c r="F116" s="171"/>
      <c r="G116" s="557"/>
      <c r="H116" s="163">
        <f t="shared" si="3"/>
        <v>12.857142857142858</v>
      </c>
      <c r="I116" s="540"/>
      <c r="J116" s="97"/>
      <c r="K116" s="97"/>
      <c r="L116" s="97"/>
      <c r="M116" s="97"/>
      <c r="N116" s="97"/>
      <c r="O116" s="97"/>
    </row>
    <row r="117" spans="1:15" ht="15.75" customHeight="1" x14ac:dyDescent="0.45">
      <c r="A117" s="536">
        <v>11098985122</v>
      </c>
      <c r="B117" s="536" t="s">
        <v>291</v>
      </c>
      <c r="C117" s="536"/>
      <c r="D117" s="537">
        <v>3</v>
      </c>
      <c r="E117" s="537">
        <v>28</v>
      </c>
      <c r="F117" s="171"/>
      <c r="G117" s="557"/>
      <c r="H117" s="163">
        <f t="shared" si="3"/>
        <v>12.857142857142858</v>
      </c>
      <c r="I117" s="540"/>
      <c r="J117" s="97"/>
      <c r="K117" s="97"/>
      <c r="L117" s="97"/>
      <c r="M117" s="97"/>
      <c r="N117" s="97"/>
      <c r="O117" s="97"/>
    </row>
    <row r="118" spans="1:15" ht="15.75" customHeight="1" x14ac:dyDescent="0.45">
      <c r="A118" s="536">
        <v>11174118122</v>
      </c>
      <c r="B118" s="536" t="s">
        <v>293</v>
      </c>
      <c r="C118" s="536"/>
      <c r="D118" s="537">
        <v>3</v>
      </c>
      <c r="E118" s="537">
        <v>28</v>
      </c>
      <c r="F118" s="171"/>
      <c r="G118" s="557"/>
      <c r="H118" s="163">
        <f t="shared" si="3"/>
        <v>12.857142857142858</v>
      </c>
      <c r="I118" s="540"/>
      <c r="J118" s="97"/>
      <c r="K118" s="97"/>
      <c r="L118" s="97"/>
      <c r="M118" s="97"/>
      <c r="N118" s="97"/>
      <c r="O118" s="97"/>
    </row>
    <row r="119" spans="1:15" ht="15.75" customHeight="1" x14ac:dyDescent="0.45">
      <c r="A119" s="536">
        <v>4580044190</v>
      </c>
      <c r="B119" s="536" t="s">
        <v>258</v>
      </c>
      <c r="C119" s="536"/>
      <c r="D119" s="537">
        <v>3</v>
      </c>
      <c r="E119" s="537">
        <v>28</v>
      </c>
      <c r="F119" s="171"/>
      <c r="G119" s="557"/>
      <c r="H119" s="163">
        <f t="shared" si="3"/>
        <v>12.857142857142858</v>
      </c>
      <c r="I119" s="540"/>
      <c r="J119" s="97"/>
      <c r="K119" s="97"/>
      <c r="L119" s="97"/>
      <c r="M119" s="97"/>
      <c r="N119" s="97"/>
      <c r="O119" s="97"/>
    </row>
    <row r="120" spans="1:15" ht="15.75" customHeight="1" x14ac:dyDescent="0.45">
      <c r="A120" s="536">
        <v>11730835216</v>
      </c>
      <c r="B120" s="536" t="s">
        <v>285</v>
      </c>
      <c r="C120" s="536"/>
      <c r="D120" s="537">
        <v>2</v>
      </c>
      <c r="E120" s="537">
        <v>56</v>
      </c>
      <c r="F120" s="171"/>
      <c r="G120" s="557"/>
      <c r="H120" s="163">
        <f t="shared" si="3"/>
        <v>6.4285714285714288</v>
      </c>
      <c r="I120" s="540"/>
      <c r="J120" s="97"/>
      <c r="K120" s="97"/>
      <c r="L120" s="97"/>
      <c r="M120" s="97"/>
      <c r="N120" s="97"/>
      <c r="O120" s="97"/>
    </row>
    <row r="121" spans="1:15" ht="15.75" customHeight="1" x14ac:dyDescent="0.45">
      <c r="A121" s="536">
        <v>12172828322</v>
      </c>
      <c r="B121" s="536" t="s">
        <v>276</v>
      </c>
      <c r="C121" s="536"/>
      <c r="D121" s="537">
        <v>1</v>
      </c>
      <c r="E121" s="537">
        <v>30</v>
      </c>
      <c r="F121" s="171"/>
      <c r="G121" s="557"/>
      <c r="H121" s="163">
        <f t="shared" si="3"/>
        <v>12</v>
      </c>
      <c r="I121" s="540"/>
      <c r="J121" s="97"/>
      <c r="K121" s="97"/>
      <c r="L121" s="97"/>
      <c r="M121" s="97"/>
      <c r="N121" s="97"/>
      <c r="O121" s="97"/>
    </row>
    <row r="122" spans="1:15" ht="15.75" customHeight="1" x14ac:dyDescent="0.45">
      <c r="A122" s="536">
        <v>3005496122</v>
      </c>
      <c r="B122" s="536" t="s">
        <v>295</v>
      </c>
      <c r="C122" s="536"/>
      <c r="D122" s="537">
        <v>4</v>
      </c>
      <c r="E122" s="537">
        <v>30</v>
      </c>
      <c r="F122" s="171"/>
      <c r="G122" s="557"/>
      <c r="H122" s="163">
        <f t="shared" si="3"/>
        <v>12</v>
      </c>
      <c r="I122" s="540"/>
      <c r="J122" s="97"/>
      <c r="K122" s="97"/>
      <c r="L122" s="97"/>
      <c r="M122" s="97"/>
      <c r="N122" s="97"/>
      <c r="O122" s="97"/>
    </row>
    <row r="123" spans="1:15" ht="15.75" customHeight="1" x14ac:dyDescent="0.45">
      <c r="A123" s="536">
        <v>3375790190</v>
      </c>
      <c r="B123" s="536" t="s">
        <v>272</v>
      </c>
      <c r="C123" s="536"/>
      <c r="D123" s="537">
        <v>6</v>
      </c>
      <c r="E123" s="537">
        <v>280</v>
      </c>
      <c r="F123" s="171"/>
      <c r="G123" s="557"/>
      <c r="H123" s="163">
        <f t="shared" si="3"/>
        <v>1.2857142857142858</v>
      </c>
      <c r="I123" s="540"/>
      <c r="J123" s="97"/>
      <c r="K123" s="97"/>
      <c r="L123" s="97"/>
      <c r="M123" s="97"/>
      <c r="N123" s="97"/>
      <c r="O123" s="97"/>
    </row>
    <row r="124" spans="1:15" ht="15.75" customHeight="1" x14ac:dyDescent="0.45">
      <c r="A124" s="536">
        <v>4521536190</v>
      </c>
      <c r="B124" s="536" t="s">
        <v>296</v>
      </c>
      <c r="C124" s="536"/>
      <c r="D124" s="537">
        <v>6</v>
      </c>
      <c r="E124" s="537">
        <v>336</v>
      </c>
      <c r="F124" s="171"/>
      <c r="G124" s="557"/>
      <c r="H124" s="163">
        <f t="shared" si="3"/>
        <v>1.0714285714285714</v>
      </c>
      <c r="I124" s="540"/>
      <c r="J124" s="97"/>
      <c r="K124" s="97"/>
      <c r="L124" s="97"/>
      <c r="M124" s="97"/>
      <c r="N124" s="97"/>
      <c r="O124" s="97"/>
    </row>
    <row r="125" spans="1:15" ht="15.75" customHeight="1" x14ac:dyDescent="0.45">
      <c r="A125" s="914" t="s">
        <v>8</v>
      </c>
      <c r="B125" s="915"/>
      <c r="C125" s="919"/>
      <c r="D125" s="553" t="s">
        <v>183</v>
      </c>
      <c r="E125" s="553" t="s">
        <v>649</v>
      </c>
      <c r="F125" s="554"/>
      <c r="G125" s="555" t="s">
        <v>53</v>
      </c>
      <c r="H125" s="556" t="s">
        <v>52</v>
      </c>
      <c r="I125" s="556" t="s">
        <v>51</v>
      </c>
      <c r="J125" s="97"/>
      <c r="K125" s="97"/>
      <c r="L125" s="97"/>
      <c r="M125" s="97"/>
      <c r="N125" s="97"/>
      <c r="O125" s="97"/>
    </row>
    <row r="126" spans="1:15" ht="15.75" customHeight="1" x14ac:dyDescent="0.45">
      <c r="A126" s="536">
        <v>7700814001</v>
      </c>
      <c r="B126" s="536" t="s">
        <v>804</v>
      </c>
      <c r="C126" s="536" t="s">
        <v>845</v>
      </c>
      <c r="D126" s="537">
        <v>1</v>
      </c>
      <c r="E126" s="537">
        <v>60</v>
      </c>
      <c r="F126" s="171"/>
      <c r="G126" s="557"/>
      <c r="H126" s="163">
        <f t="shared" si="3"/>
        <v>6</v>
      </c>
      <c r="I126" s="540"/>
      <c r="J126" s="97"/>
      <c r="K126" s="97"/>
      <c r="L126" s="97"/>
      <c r="M126" s="97"/>
      <c r="N126" s="97"/>
      <c r="O126" s="97"/>
    </row>
    <row r="127" spans="1:15" ht="15.75" customHeight="1" x14ac:dyDescent="0.45">
      <c r="A127" s="537">
        <v>9033408001</v>
      </c>
      <c r="B127" s="536" t="s">
        <v>816</v>
      </c>
      <c r="C127" s="536" t="s">
        <v>845</v>
      </c>
      <c r="D127" s="558">
        <v>1</v>
      </c>
      <c r="E127" s="558">
        <v>60</v>
      </c>
      <c r="F127" s="559"/>
      <c r="G127" s="557"/>
      <c r="H127" s="163">
        <f t="shared" si="3"/>
        <v>6</v>
      </c>
      <c r="I127" s="540"/>
      <c r="J127" s="97"/>
      <c r="K127" s="97"/>
      <c r="L127" s="97"/>
      <c r="M127" s="97"/>
      <c r="N127" s="97"/>
      <c r="O127" s="97"/>
    </row>
    <row r="128" spans="1:15" ht="15.75" customHeight="1" x14ac:dyDescent="0.45">
      <c r="A128" s="536">
        <v>8063354190</v>
      </c>
      <c r="B128" s="536" t="s">
        <v>852</v>
      </c>
      <c r="C128" s="536" t="s">
        <v>805</v>
      </c>
      <c r="D128" s="537">
        <v>1</v>
      </c>
      <c r="E128" s="537">
        <v>28</v>
      </c>
      <c r="F128" s="171"/>
      <c r="G128" s="557"/>
      <c r="H128" s="163">
        <f t="shared" si="3"/>
        <v>12.857142857142858</v>
      </c>
      <c r="I128" s="540"/>
      <c r="J128" s="97"/>
      <c r="K128" s="97"/>
      <c r="L128" s="97"/>
      <c r="M128" s="97"/>
      <c r="N128" s="97"/>
      <c r="O128" s="97"/>
    </row>
    <row r="129" spans="1:15" ht="15.75" customHeight="1" x14ac:dyDescent="0.45">
      <c r="A129" s="536">
        <v>8063354190</v>
      </c>
      <c r="B129" s="536" t="s">
        <v>853</v>
      </c>
      <c r="C129" s="536" t="s">
        <v>805</v>
      </c>
      <c r="D129" s="537">
        <v>1</v>
      </c>
      <c r="E129" s="537">
        <v>28</v>
      </c>
      <c r="F129" s="171"/>
      <c r="G129" s="557"/>
      <c r="H129" s="163">
        <f t="shared" si="3"/>
        <v>12.857142857142858</v>
      </c>
      <c r="I129" s="540"/>
      <c r="J129" s="97"/>
      <c r="K129" s="97"/>
      <c r="L129" s="97"/>
      <c r="M129" s="97"/>
      <c r="N129" s="97"/>
      <c r="O129" s="97"/>
    </row>
    <row r="130" spans="1:15" ht="15.75" customHeight="1" x14ac:dyDescent="0.45">
      <c r="A130" s="536">
        <v>8063451190</v>
      </c>
      <c r="B130" s="536" t="s">
        <v>859</v>
      </c>
      <c r="C130" s="536" t="s">
        <v>805</v>
      </c>
      <c r="D130" s="537">
        <v>1</v>
      </c>
      <c r="E130" s="537">
        <v>84</v>
      </c>
      <c r="F130" s="171"/>
      <c r="G130" s="557"/>
      <c r="H130" s="163">
        <f t="shared" si="3"/>
        <v>4.2857142857142856</v>
      </c>
      <c r="I130" s="540"/>
      <c r="J130" s="97"/>
      <c r="K130" s="97"/>
      <c r="L130" s="97"/>
      <c r="M130" s="97"/>
      <c r="N130" s="97"/>
      <c r="O130" s="97"/>
    </row>
    <row r="131" spans="1:15" ht="15.75" customHeight="1" x14ac:dyDescent="0.45">
      <c r="A131" s="536">
        <v>8063451190</v>
      </c>
      <c r="B131" s="536" t="s">
        <v>854</v>
      </c>
      <c r="C131" s="536" t="s">
        <v>805</v>
      </c>
      <c r="D131" s="537">
        <v>1</v>
      </c>
      <c r="E131" s="537">
        <v>84</v>
      </c>
      <c r="F131" s="171"/>
      <c r="G131" s="557"/>
      <c r="H131" s="163">
        <f t="shared" si="3"/>
        <v>4.2857142857142856</v>
      </c>
      <c r="I131" s="540"/>
      <c r="J131" s="97"/>
      <c r="K131" s="97"/>
      <c r="L131" s="97"/>
      <c r="M131" s="97"/>
      <c r="N131" s="97"/>
      <c r="O131" s="97"/>
    </row>
    <row r="132" spans="1:15" ht="15.75" customHeight="1" x14ac:dyDescent="0.45">
      <c r="A132" s="536">
        <v>8063494190</v>
      </c>
      <c r="B132" s="536" t="s">
        <v>806</v>
      </c>
      <c r="C132" s="536" t="s">
        <v>805</v>
      </c>
      <c r="D132" s="560">
        <v>1</v>
      </c>
      <c r="E132" s="560">
        <v>182</v>
      </c>
      <c r="F132" s="171"/>
      <c r="G132" s="557"/>
      <c r="H132" s="163">
        <f t="shared" si="3"/>
        <v>1.9780219780219781</v>
      </c>
      <c r="I132" s="540"/>
      <c r="J132" s="97"/>
      <c r="K132" s="97"/>
      <c r="L132" s="97"/>
      <c r="M132" s="97"/>
      <c r="N132" s="97"/>
      <c r="O132" s="97"/>
    </row>
    <row r="133" spans="1:15" ht="15.75" customHeight="1" x14ac:dyDescent="0.45">
      <c r="A133" s="536">
        <v>8063478190</v>
      </c>
      <c r="B133" s="536" t="s">
        <v>807</v>
      </c>
      <c r="C133" s="536" t="s">
        <v>805</v>
      </c>
      <c r="D133" s="537">
        <v>1</v>
      </c>
      <c r="E133" s="537">
        <v>84</v>
      </c>
      <c r="F133" s="171"/>
      <c r="G133" s="557"/>
      <c r="H133" s="163">
        <f t="shared" si="3"/>
        <v>4.2857142857142856</v>
      </c>
      <c r="I133" s="540"/>
      <c r="J133" s="97"/>
      <c r="K133" s="97"/>
      <c r="L133" s="97"/>
      <c r="M133" s="97"/>
      <c r="N133" s="97"/>
      <c r="O133" s="97"/>
    </row>
    <row r="134" spans="1:15" ht="15.75" customHeight="1" x14ac:dyDescent="0.45">
      <c r="A134" s="536">
        <v>8302723190</v>
      </c>
      <c r="B134" s="536" t="s">
        <v>855</v>
      </c>
      <c r="C134" s="536" t="s">
        <v>808</v>
      </c>
      <c r="D134" s="537">
        <v>2</v>
      </c>
      <c r="E134" s="537">
        <v>84</v>
      </c>
      <c r="F134" s="171"/>
      <c r="G134" s="557"/>
      <c r="H134" s="163">
        <f t="shared" si="3"/>
        <v>4.2857142857142856</v>
      </c>
      <c r="I134" s="540"/>
      <c r="J134" s="97"/>
      <c r="K134" s="97"/>
      <c r="L134" s="97"/>
      <c r="M134" s="97"/>
      <c r="N134" s="97"/>
      <c r="O134" s="97"/>
    </row>
    <row r="135" spans="1:15" ht="15.75" customHeight="1" x14ac:dyDescent="0.45">
      <c r="A135" s="536">
        <v>8302723190</v>
      </c>
      <c r="B135" s="536" t="s">
        <v>856</v>
      </c>
      <c r="C135" s="536" t="s">
        <v>808</v>
      </c>
      <c r="D135" s="537">
        <v>2</v>
      </c>
      <c r="E135" s="537">
        <v>84</v>
      </c>
      <c r="F135" s="171"/>
      <c r="G135" s="557"/>
      <c r="H135" s="163">
        <f t="shared" si="3"/>
        <v>4.2857142857142856</v>
      </c>
      <c r="I135" s="540"/>
      <c r="J135" s="97"/>
      <c r="K135" s="97"/>
      <c r="L135" s="97"/>
      <c r="M135" s="97"/>
      <c r="N135" s="97"/>
      <c r="O135" s="97"/>
    </row>
    <row r="136" spans="1:15" ht="15.75" customHeight="1" x14ac:dyDescent="0.45">
      <c r="A136" s="536">
        <v>8463093190</v>
      </c>
      <c r="B136" s="536" t="s">
        <v>809</v>
      </c>
      <c r="C136" s="536" t="s">
        <v>805</v>
      </c>
      <c r="D136" s="537">
        <v>1</v>
      </c>
      <c r="E136" s="537">
        <v>7</v>
      </c>
      <c r="F136" s="171"/>
      <c r="G136" s="557"/>
      <c r="H136" s="163">
        <f t="shared" si="3"/>
        <v>51.428571428571431</v>
      </c>
      <c r="I136" s="540"/>
      <c r="J136" s="97"/>
      <c r="K136" s="97"/>
      <c r="L136" s="97"/>
      <c r="M136" s="97"/>
      <c r="N136" s="97"/>
      <c r="O136" s="97"/>
    </row>
    <row r="137" spans="1:15" ht="15.75" customHeight="1" x14ac:dyDescent="0.45">
      <c r="A137" s="536">
        <v>8302545190</v>
      </c>
      <c r="B137" s="536" t="s">
        <v>857</v>
      </c>
      <c r="C137" s="536" t="s">
        <v>808</v>
      </c>
      <c r="D137" s="537">
        <v>2</v>
      </c>
      <c r="E137" s="537">
        <v>70</v>
      </c>
      <c r="F137" s="171"/>
      <c r="G137" s="557"/>
      <c r="H137" s="163">
        <f t="shared" ref="H137:H145" si="4">(360/E137)</f>
        <v>5.1428571428571432</v>
      </c>
      <c r="I137" s="540"/>
      <c r="J137" s="97"/>
      <c r="K137" s="97"/>
      <c r="L137" s="97"/>
      <c r="M137" s="97"/>
      <c r="N137" s="97"/>
      <c r="O137" s="97"/>
    </row>
    <row r="138" spans="1:15" ht="15.75" customHeight="1" x14ac:dyDescent="0.45">
      <c r="A138" s="536">
        <v>8302545190</v>
      </c>
      <c r="B138" s="536" t="s">
        <v>858</v>
      </c>
      <c r="C138" s="536" t="s">
        <v>808</v>
      </c>
      <c r="D138" s="537">
        <v>2</v>
      </c>
      <c r="E138" s="537">
        <v>70</v>
      </c>
      <c r="F138" s="171"/>
      <c r="G138" s="557"/>
      <c r="H138" s="163">
        <f t="shared" si="4"/>
        <v>5.1428571428571432</v>
      </c>
      <c r="I138" s="540"/>
      <c r="J138" s="97"/>
      <c r="K138" s="97"/>
      <c r="L138" s="97"/>
      <c r="M138" s="97"/>
      <c r="N138" s="97"/>
      <c r="O138" s="97"/>
    </row>
    <row r="139" spans="1:15" ht="15.75" customHeight="1" x14ac:dyDescent="0.45">
      <c r="A139" s="536">
        <v>4444191001</v>
      </c>
      <c r="B139" s="536" t="s">
        <v>630</v>
      </c>
      <c r="C139" s="561" t="s">
        <v>846</v>
      </c>
      <c r="D139" s="537">
        <v>1</v>
      </c>
      <c r="E139" s="537">
        <v>365</v>
      </c>
      <c r="F139" s="171"/>
      <c r="G139" s="557"/>
      <c r="H139" s="163">
        <f t="shared" si="4"/>
        <v>0.98630136986301364</v>
      </c>
      <c r="I139" s="540"/>
      <c r="J139" s="97"/>
      <c r="K139" s="97"/>
      <c r="L139" s="97"/>
      <c r="M139" s="97"/>
      <c r="N139" s="97"/>
      <c r="O139" s="97"/>
    </row>
    <row r="140" spans="1:15" ht="15.75" customHeight="1" x14ac:dyDescent="0.45">
      <c r="A140" s="536">
        <v>8463107190</v>
      </c>
      <c r="B140" s="536" t="s">
        <v>810</v>
      </c>
      <c r="C140" s="536" t="s">
        <v>805</v>
      </c>
      <c r="D140" s="537">
        <v>1</v>
      </c>
      <c r="E140" s="537">
        <v>28</v>
      </c>
      <c r="F140" s="171"/>
      <c r="G140" s="557"/>
      <c r="H140" s="163">
        <f t="shared" si="4"/>
        <v>12.857142857142858</v>
      </c>
      <c r="I140" s="540"/>
      <c r="J140" s="97"/>
      <c r="K140" s="97"/>
      <c r="L140" s="97"/>
      <c r="M140" s="97"/>
      <c r="N140" s="97"/>
      <c r="O140" s="97"/>
    </row>
    <row r="141" spans="1:15" ht="15.75" customHeight="1" x14ac:dyDescent="0.45">
      <c r="A141" s="536">
        <v>8059322190</v>
      </c>
      <c r="B141" s="536" t="s">
        <v>811</v>
      </c>
      <c r="C141" s="536" t="s">
        <v>812</v>
      </c>
      <c r="D141" s="537">
        <v>1</v>
      </c>
      <c r="E141" s="537">
        <v>182</v>
      </c>
      <c r="F141" s="171"/>
      <c r="G141" s="557"/>
      <c r="H141" s="163">
        <f t="shared" si="4"/>
        <v>1.9780219780219781</v>
      </c>
      <c r="I141" s="540"/>
      <c r="J141" s="97"/>
      <c r="K141" s="97"/>
      <c r="L141" s="97"/>
      <c r="M141" s="97"/>
      <c r="N141" s="97"/>
      <c r="O141" s="97"/>
    </row>
    <row r="142" spans="1:15" ht="15.75" customHeight="1" x14ac:dyDescent="0.45">
      <c r="A142" s="536">
        <v>5870020001</v>
      </c>
      <c r="B142" s="536" t="s">
        <v>813</v>
      </c>
      <c r="C142" s="561" t="s">
        <v>847</v>
      </c>
      <c r="D142" s="537">
        <v>1</v>
      </c>
      <c r="E142" s="537"/>
      <c r="F142" s="171"/>
      <c r="G142" s="557"/>
      <c r="H142" s="163" t="e">
        <f t="shared" si="4"/>
        <v>#DIV/0!</v>
      </c>
      <c r="I142" s="540"/>
      <c r="J142" s="97"/>
      <c r="K142" s="97"/>
      <c r="L142" s="97"/>
      <c r="M142" s="97"/>
      <c r="N142" s="97"/>
      <c r="O142" s="97"/>
    </row>
    <row r="143" spans="1:15" ht="15.75" customHeight="1" x14ac:dyDescent="0.45">
      <c r="A143" s="536">
        <v>4419987001</v>
      </c>
      <c r="B143" s="536" t="s">
        <v>814</v>
      </c>
      <c r="C143" s="561" t="s">
        <v>848</v>
      </c>
      <c r="D143" s="537">
        <v>1</v>
      </c>
      <c r="E143" s="537"/>
      <c r="F143" s="171"/>
      <c r="G143" s="557"/>
      <c r="H143" s="163" t="e">
        <f t="shared" si="4"/>
        <v>#DIV/0!</v>
      </c>
      <c r="I143" s="540"/>
      <c r="J143" s="97"/>
      <c r="K143" s="97"/>
      <c r="L143" s="97"/>
      <c r="M143" s="97"/>
      <c r="N143" s="97"/>
      <c r="O143" s="97"/>
    </row>
    <row r="144" spans="1:15" ht="15.75" customHeight="1" x14ac:dyDescent="0.45">
      <c r="A144" s="537">
        <v>4740955001</v>
      </c>
      <c r="B144" s="536" t="s">
        <v>815</v>
      </c>
      <c r="C144" s="561"/>
      <c r="D144" s="537">
        <v>1</v>
      </c>
      <c r="E144" s="537"/>
      <c r="F144" s="561"/>
      <c r="G144" s="557"/>
      <c r="H144" s="163" t="e">
        <f t="shared" si="4"/>
        <v>#DIV/0!</v>
      </c>
      <c r="I144" s="540"/>
      <c r="J144" s="97"/>
      <c r="K144" s="97"/>
      <c r="L144" s="97"/>
      <c r="M144" s="97"/>
      <c r="N144" s="97"/>
      <c r="O144" s="97"/>
    </row>
    <row r="145" spans="1:26" ht="15.75" customHeight="1" x14ac:dyDescent="0.45">
      <c r="A145" s="537">
        <v>4813707001</v>
      </c>
      <c r="B145" s="536" t="s">
        <v>306</v>
      </c>
      <c r="C145" s="562"/>
      <c r="D145" s="563">
        <v>1</v>
      </c>
      <c r="E145" s="563"/>
      <c r="F145" s="562"/>
      <c r="G145" s="557"/>
      <c r="H145" s="163" t="e">
        <f t="shared" si="4"/>
        <v>#DIV/0!</v>
      </c>
      <c r="I145" s="540"/>
      <c r="J145" s="97"/>
      <c r="K145" s="97"/>
      <c r="L145" s="97"/>
      <c r="M145" s="97"/>
      <c r="N145" s="97"/>
      <c r="O145" s="97"/>
    </row>
    <row r="146" spans="1:26" ht="21.75" x14ac:dyDescent="0.45">
      <c r="A146" s="539">
        <v>4516303001</v>
      </c>
      <c r="B146" s="542" t="s">
        <v>1162</v>
      </c>
      <c r="C146" s="562"/>
      <c r="D146" s="539">
        <v>1</v>
      </c>
      <c r="E146" s="539">
        <v>365</v>
      </c>
      <c r="F146" s="898"/>
      <c r="G146" s="898"/>
      <c r="H146" s="539" t="s">
        <v>1154</v>
      </c>
      <c r="I146" s="898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 spans="1:26" x14ac:dyDescent="0.45">
      <c r="A147" s="539" t="s">
        <v>1163</v>
      </c>
      <c r="B147" s="542" t="s">
        <v>1164</v>
      </c>
      <c r="C147" s="562"/>
      <c r="D147" s="539">
        <v>1</v>
      </c>
      <c r="E147" s="539">
        <v>365</v>
      </c>
      <c r="F147" s="898"/>
      <c r="G147" s="898"/>
      <c r="H147" s="539" t="s">
        <v>1154</v>
      </c>
      <c r="I147" s="898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 spans="1:26" ht="21.75" x14ac:dyDescent="0.45">
      <c r="A148" s="539">
        <v>4516265001</v>
      </c>
      <c r="B148" s="542" t="s">
        <v>304</v>
      </c>
      <c r="C148" s="562"/>
      <c r="D148" s="539">
        <v>1</v>
      </c>
      <c r="E148" s="539">
        <v>365</v>
      </c>
      <c r="F148" s="898"/>
      <c r="G148" s="898"/>
      <c r="H148" s="539" t="s">
        <v>1154</v>
      </c>
      <c r="I148" s="898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 spans="1:26" ht="21.75" x14ac:dyDescent="0.45">
      <c r="A149" s="539">
        <v>4516273001</v>
      </c>
      <c r="B149" s="542" t="s">
        <v>303</v>
      </c>
      <c r="C149" s="562"/>
      <c r="D149" s="539">
        <v>1</v>
      </c>
      <c r="E149" s="539">
        <v>365</v>
      </c>
      <c r="F149" s="898"/>
      <c r="G149" s="898"/>
      <c r="H149" s="539" t="s">
        <v>1154</v>
      </c>
      <c r="I149" s="898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 spans="1:26" ht="21.75" x14ac:dyDescent="0.45">
      <c r="A150" s="539">
        <v>4554124001</v>
      </c>
      <c r="B150" s="542" t="s">
        <v>302</v>
      </c>
      <c r="C150" s="562"/>
      <c r="D150" s="539">
        <v>1</v>
      </c>
      <c r="E150" s="539">
        <v>365</v>
      </c>
      <c r="F150" s="898"/>
      <c r="G150" s="898"/>
      <c r="H150" s="539" t="s">
        <v>1154</v>
      </c>
      <c r="I150" s="898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 spans="1:26" ht="21.75" x14ac:dyDescent="0.45">
      <c r="A151" s="539" t="s">
        <v>1165</v>
      </c>
      <c r="B151" s="542" t="s">
        <v>1166</v>
      </c>
      <c r="C151" s="562"/>
      <c r="D151" s="539">
        <v>1</v>
      </c>
      <c r="E151" s="539">
        <v>365</v>
      </c>
      <c r="F151" s="898"/>
      <c r="G151" s="898"/>
      <c r="H151" s="539" t="s">
        <v>1154</v>
      </c>
      <c r="I151" s="898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 spans="1:26" ht="15.75" customHeight="1" x14ac:dyDescent="0.45">
      <c r="A152" s="914" t="s">
        <v>817</v>
      </c>
      <c r="B152" s="915"/>
      <c r="C152" s="533" t="s">
        <v>193</v>
      </c>
      <c r="D152" s="553" t="s">
        <v>183</v>
      </c>
      <c r="E152" s="553" t="s">
        <v>649</v>
      </c>
      <c r="F152" s="554"/>
      <c r="G152" s="555" t="s">
        <v>53</v>
      </c>
      <c r="H152" s="555" t="s">
        <v>52</v>
      </c>
      <c r="I152" s="555" t="s">
        <v>51</v>
      </c>
      <c r="J152" s="97"/>
      <c r="K152" s="97"/>
      <c r="L152" s="97"/>
      <c r="M152" s="97"/>
      <c r="N152" s="97"/>
      <c r="O152" s="97"/>
    </row>
    <row r="153" spans="1:26" ht="15.75" customHeight="1" x14ac:dyDescent="0.45">
      <c r="A153" s="536">
        <v>11183974216</v>
      </c>
      <c r="B153" s="725" t="s">
        <v>818</v>
      </c>
      <c r="C153" s="727">
        <v>3300</v>
      </c>
      <c r="D153" s="159">
        <v>10</v>
      </c>
      <c r="E153" s="159">
        <v>1</v>
      </c>
      <c r="F153" s="159"/>
      <c r="G153" s="564"/>
      <c r="H153" s="159">
        <f t="shared" ref="H153:H165" si="5">(360/E153)</f>
        <v>360</v>
      </c>
      <c r="I153" s="565"/>
      <c r="J153" s="97"/>
      <c r="K153" s="97"/>
      <c r="L153" s="97"/>
      <c r="M153" s="97"/>
      <c r="N153" s="97"/>
      <c r="O153" s="97"/>
    </row>
    <row r="154" spans="1:26" ht="15.75" customHeight="1" x14ac:dyDescent="0.45">
      <c r="A154" s="536">
        <v>11183982216</v>
      </c>
      <c r="B154" s="725" t="s">
        <v>819</v>
      </c>
      <c r="C154" s="726"/>
      <c r="D154" s="159">
        <v>10</v>
      </c>
      <c r="E154" s="159">
        <v>1</v>
      </c>
      <c r="F154" s="159"/>
      <c r="G154" s="564"/>
      <c r="H154" s="159">
        <f t="shared" si="5"/>
        <v>360</v>
      </c>
      <c r="I154" s="565"/>
      <c r="J154" s="97"/>
      <c r="K154" s="97"/>
      <c r="L154" s="97"/>
      <c r="M154" s="97"/>
      <c r="N154" s="97"/>
      <c r="O154" s="97"/>
    </row>
    <row r="155" spans="1:26" ht="15.75" customHeight="1" x14ac:dyDescent="0.45">
      <c r="A155" s="536">
        <v>11298500316</v>
      </c>
      <c r="B155" s="725" t="s">
        <v>820</v>
      </c>
      <c r="C155" s="726"/>
      <c r="D155" s="159">
        <v>5</v>
      </c>
      <c r="E155" s="159">
        <v>73</v>
      </c>
      <c r="F155" s="159"/>
      <c r="G155" s="564"/>
      <c r="H155" s="163">
        <f t="shared" si="5"/>
        <v>4.9315068493150687</v>
      </c>
      <c r="I155" s="540"/>
      <c r="J155" s="97"/>
      <c r="K155" s="97"/>
      <c r="L155" s="97"/>
      <c r="M155" s="97"/>
      <c r="N155" s="97"/>
      <c r="O155" s="97"/>
    </row>
    <row r="156" spans="1:26" ht="15.75" customHeight="1" x14ac:dyDescent="0.45">
      <c r="A156" s="536">
        <v>4663632190</v>
      </c>
      <c r="B156" s="725" t="s">
        <v>821</v>
      </c>
      <c r="C156" s="726"/>
      <c r="D156" s="159">
        <v>9</v>
      </c>
      <c r="E156" s="159">
        <v>12</v>
      </c>
      <c r="F156" s="159"/>
      <c r="G156" s="564"/>
      <c r="H156" s="163">
        <f t="shared" si="5"/>
        <v>30</v>
      </c>
      <c r="I156" s="540"/>
      <c r="J156" s="97"/>
      <c r="K156" s="97"/>
      <c r="L156" s="97"/>
      <c r="M156" s="97"/>
      <c r="N156" s="97"/>
      <c r="O156" s="97"/>
    </row>
    <row r="157" spans="1:26" ht="15.75" customHeight="1" x14ac:dyDescent="0.45">
      <c r="A157" s="537">
        <v>20763071122</v>
      </c>
      <c r="B157" s="725" t="s">
        <v>822</v>
      </c>
      <c r="C157" s="726"/>
      <c r="D157" s="159">
        <v>6</v>
      </c>
      <c r="E157" s="159">
        <v>56</v>
      </c>
      <c r="F157" s="159"/>
      <c r="G157" s="564"/>
      <c r="H157" s="163">
        <f t="shared" si="5"/>
        <v>6.4285714285714288</v>
      </c>
      <c r="I157" s="540"/>
      <c r="J157" s="97"/>
      <c r="K157" s="97"/>
      <c r="L157" s="97"/>
      <c r="M157" s="97"/>
      <c r="N157" s="97"/>
      <c r="O157" s="97"/>
    </row>
    <row r="158" spans="1:26" ht="15.75" customHeight="1" x14ac:dyDescent="0.45">
      <c r="A158" s="536">
        <v>4880480190</v>
      </c>
      <c r="B158" s="725" t="s">
        <v>823</v>
      </c>
      <c r="C158" s="726"/>
      <c r="D158" s="159">
        <v>2</v>
      </c>
      <c r="E158" s="159">
        <v>42</v>
      </c>
      <c r="F158" s="159"/>
      <c r="G158" s="564"/>
      <c r="H158" s="163">
        <f t="shared" si="5"/>
        <v>8.5714285714285712</v>
      </c>
      <c r="I158" s="540"/>
      <c r="J158" s="97"/>
      <c r="K158" s="97"/>
      <c r="L158" s="97"/>
      <c r="M158" s="97"/>
      <c r="N158" s="97"/>
      <c r="O158" s="97"/>
    </row>
    <row r="159" spans="1:26" ht="15.75" customHeight="1" x14ac:dyDescent="0.45">
      <c r="A159" s="536">
        <v>4880455190</v>
      </c>
      <c r="B159" s="725" t="s">
        <v>824</v>
      </c>
      <c r="C159" s="726"/>
      <c r="D159" s="159">
        <v>2</v>
      </c>
      <c r="E159" s="159">
        <v>42</v>
      </c>
      <c r="F159" s="159"/>
      <c r="G159" s="564"/>
      <c r="H159" s="163">
        <f t="shared" si="5"/>
        <v>8.5714285714285712</v>
      </c>
      <c r="I159" s="540"/>
      <c r="J159" s="97"/>
      <c r="K159" s="97"/>
      <c r="L159" s="97"/>
      <c r="M159" s="97"/>
      <c r="N159" s="97"/>
      <c r="O159" s="97"/>
    </row>
    <row r="160" spans="1:26" ht="15.75" customHeight="1" x14ac:dyDescent="0.45">
      <c r="A160" s="536">
        <v>8392013190</v>
      </c>
      <c r="B160" s="725" t="s">
        <v>825</v>
      </c>
      <c r="C160" s="726"/>
      <c r="D160" s="159">
        <v>2</v>
      </c>
      <c r="E160" s="159">
        <v>365</v>
      </c>
      <c r="F160" s="159"/>
      <c r="G160" s="564"/>
      <c r="H160" s="163">
        <f t="shared" si="5"/>
        <v>0.98630136986301364</v>
      </c>
      <c r="I160" s="540"/>
      <c r="J160" s="97"/>
      <c r="K160" s="97"/>
      <c r="L160" s="97"/>
      <c r="M160" s="97"/>
      <c r="N160" s="97"/>
      <c r="O160" s="97"/>
    </row>
    <row r="161" spans="1:15" ht="15.75" customHeight="1" x14ac:dyDescent="0.45">
      <c r="A161" s="536">
        <v>10820652216</v>
      </c>
      <c r="B161" s="725" t="s">
        <v>826</v>
      </c>
      <c r="C161" s="726"/>
      <c r="D161" s="159">
        <v>1</v>
      </c>
      <c r="E161" s="159">
        <v>365</v>
      </c>
      <c r="F161" s="159"/>
      <c r="G161" s="564"/>
      <c r="H161" s="163">
        <f t="shared" si="5"/>
        <v>0.98630136986301364</v>
      </c>
      <c r="I161" s="540"/>
      <c r="J161" s="97"/>
      <c r="K161" s="97"/>
      <c r="L161" s="97"/>
      <c r="M161" s="97"/>
      <c r="N161" s="97"/>
      <c r="O161" s="97"/>
    </row>
    <row r="162" spans="1:15" ht="15.75" customHeight="1" x14ac:dyDescent="0.45">
      <c r="A162" s="536">
        <v>3149501001</v>
      </c>
      <c r="B162" s="725" t="s">
        <v>827</v>
      </c>
      <c r="C162" s="726"/>
      <c r="D162" s="159">
        <v>1</v>
      </c>
      <c r="E162" s="159">
        <v>168</v>
      </c>
      <c r="F162" s="159"/>
      <c r="G162" s="564"/>
      <c r="H162" s="163">
        <f t="shared" si="5"/>
        <v>2.1428571428571428</v>
      </c>
      <c r="I162" s="540"/>
      <c r="J162" s="97"/>
      <c r="K162" s="97"/>
      <c r="L162" s="97"/>
      <c r="M162" s="97"/>
      <c r="N162" s="97"/>
      <c r="O162" s="97"/>
    </row>
    <row r="163" spans="1:15" ht="15.75" customHeight="1" x14ac:dyDescent="0.45">
      <c r="A163" s="536">
        <v>10825468001</v>
      </c>
      <c r="B163" s="725" t="s">
        <v>828</v>
      </c>
      <c r="C163" s="726"/>
      <c r="D163" s="159">
        <v>1</v>
      </c>
      <c r="E163" s="159">
        <v>56</v>
      </c>
      <c r="F163" s="159"/>
      <c r="G163" s="564"/>
      <c r="H163" s="163">
        <f t="shared" si="5"/>
        <v>6.4285714285714288</v>
      </c>
      <c r="I163" s="540"/>
      <c r="J163" s="97"/>
      <c r="K163" s="97"/>
      <c r="L163" s="97"/>
      <c r="M163" s="97"/>
      <c r="N163" s="97"/>
      <c r="O163" s="97"/>
    </row>
    <row r="164" spans="1:15" ht="15.75" customHeight="1" x14ac:dyDescent="0.45">
      <c r="A164" s="536">
        <v>10825441001</v>
      </c>
      <c r="B164" s="725" t="s">
        <v>829</v>
      </c>
      <c r="C164" s="726"/>
      <c r="D164" s="159">
        <v>1</v>
      </c>
      <c r="E164" s="159">
        <v>56</v>
      </c>
      <c r="F164" s="159"/>
      <c r="G164" s="564"/>
      <c r="H164" s="163">
        <f t="shared" si="5"/>
        <v>6.4285714285714288</v>
      </c>
      <c r="I164" s="540"/>
      <c r="J164" s="97"/>
      <c r="K164" s="97"/>
      <c r="L164" s="97"/>
      <c r="M164" s="97"/>
      <c r="N164" s="97"/>
      <c r="O164" s="97"/>
    </row>
    <row r="165" spans="1:15" ht="15.75" customHeight="1" x14ac:dyDescent="0.45">
      <c r="A165" s="536">
        <v>3246353001</v>
      </c>
      <c r="B165" s="725" t="s">
        <v>830</v>
      </c>
      <c r="C165" s="726"/>
      <c r="D165" s="159">
        <v>1</v>
      </c>
      <c r="E165" s="159">
        <v>56</v>
      </c>
      <c r="F165" s="159"/>
      <c r="G165" s="564"/>
      <c r="H165" s="163">
        <f t="shared" si="5"/>
        <v>6.4285714285714288</v>
      </c>
      <c r="I165" s="540"/>
      <c r="J165" s="97"/>
      <c r="K165" s="97"/>
      <c r="L165" s="97"/>
      <c r="M165" s="97"/>
      <c r="N165" s="97"/>
      <c r="O165" s="97"/>
    </row>
    <row r="166" spans="1:15" ht="15.75" customHeight="1" x14ac:dyDescent="0.45">
      <c r="A166" s="97"/>
      <c r="B166" s="97"/>
      <c r="C166" s="251"/>
      <c r="D166" s="102"/>
      <c r="E166" s="251"/>
      <c r="F166" s="416"/>
      <c r="G166" s="97"/>
      <c r="H166" s="97"/>
      <c r="I166" s="97"/>
      <c r="J166" s="97"/>
      <c r="K166" s="97"/>
      <c r="L166" s="97"/>
      <c r="M166" s="97"/>
      <c r="N166" s="97"/>
      <c r="O166" s="97"/>
    </row>
    <row r="167" spans="1:15" ht="15.75" customHeight="1" x14ac:dyDescent="0.45">
      <c r="A167" s="97"/>
      <c r="B167" s="97"/>
      <c r="C167" s="97"/>
      <c r="D167" s="102"/>
      <c r="E167" s="251"/>
      <c r="F167" s="416"/>
      <c r="G167" s="97"/>
      <c r="H167" s="97"/>
      <c r="I167" s="97"/>
      <c r="J167" s="97"/>
      <c r="K167" s="97"/>
      <c r="L167" s="97"/>
      <c r="M167" s="97"/>
      <c r="N167" s="97"/>
      <c r="O167" s="97"/>
    </row>
    <row r="168" spans="1:15" ht="15.75" customHeight="1" x14ac:dyDescent="0.45">
      <c r="A168" s="97"/>
      <c r="B168" s="97"/>
      <c r="C168" s="97"/>
      <c r="D168" s="102"/>
      <c r="E168" s="251"/>
      <c r="F168" s="416"/>
      <c r="G168" s="97"/>
      <c r="H168" s="97"/>
      <c r="I168" s="97"/>
      <c r="J168" s="97"/>
      <c r="K168" s="97"/>
      <c r="L168" s="97"/>
      <c r="M168" s="97"/>
      <c r="N168" s="97"/>
      <c r="O168" s="97"/>
    </row>
    <row r="169" spans="1:15" ht="15.75" customHeight="1" x14ac:dyDescent="0.45">
      <c r="A169" s="97"/>
      <c r="B169" s="97"/>
      <c r="C169" s="97"/>
      <c r="D169" s="102"/>
      <c r="E169" s="251"/>
      <c r="F169" s="416"/>
      <c r="G169" s="97"/>
      <c r="H169" s="97"/>
      <c r="I169" s="97"/>
      <c r="J169" s="97"/>
      <c r="K169" s="97"/>
      <c r="L169" s="97"/>
      <c r="M169" s="97"/>
      <c r="N169" s="97"/>
      <c r="O169" s="97"/>
    </row>
    <row r="170" spans="1:15" ht="15.75" customHeight="1" x14ac:dyDescent="0.45">
      <c r="A170" s="97"/>
      <c r="B170" s="97"/>
      <c r="C170" s="97"/>
      <c r="D170" s="102"/>
      <c r="E170" s="251"/>
      <c r="F170" s="416"/>
      <c r="G170" s="97"/>
      <c r="H170" s="97"/>
      <c r="I170" s="97"/>
      <c r="J170" s="97"/>
      <c r="K170" s="97"/>
      <c r="L170" s="97"/>
      <c r="M170" s="97"/>
      <c r="N170" s="97"/>
      <c r="O170" s="97"/>
    </row>
    <row r="171" spans="1:15" ht="15.75" customHeight="1" x14ac:dyDescent="0.45">
      <c r="A171" s="97"/>
      <c r="B171" s="97"/>
      <c r="C171" s="97"/>
      <c r="D171" s="102"/>
      <c r="E171" s="251"/>
      <c r="F171" s="416"/>
      <c r="G171" s="97"/>
      <c r="H171" s="97"/>
      <c r="I171" s="97"/>
      <c r="J171" s="97"/>
      <c r="K171" s="97"/>
      <c r="L171" s="97"/>
      <c r="M171" s="97"/>
      <c r="N171" s="97"/>
      <c r="O171" s="97"/>
    </row>
    <row r="172" spans="1:15" ht="15.75" customHeight="1" x14ac:dyDescent="0.45">
      <c r="A172" s="97"/>
      <c r="B172" s="97"/>
      <c r="C172" s="97"/>
      <c r="D172" s="102"/>
      <c r="E172" s="251"/>
      <c r="F172" s="416"/>
      <c r="G172" s="97"/>
      <c r="H172" s="97"/>
      <c r="I172" s="97"/>
      <c r="J172" s="97"/>
      <c r="K172" s="97"/>
      <c r="L172" s="97"/>
      <c r="M172" s="97"/>
      <c r="N172" s="97"/>
      <c r="O172" s="97"/>
    </row>
    <row r="173" spans="1:15" ht="15.75" customHeight="1" x14ac:dyDescent="0.45">
      <c r="A173" s="97"/>
      <c r="B173" s="97"/>
      <c r="C173" s="97"/>
      <c r="D173" s="102"/>
      <c r="E173" s="251"/>
      <c r="F173" s="416"/>
      <c r="G173" s="97"/>
      <c r="H173" s="97"/>
      <c r="I173" s="97"/>
      <c r="J173" s="97"/>
      <c r="K173" s="97"/>
      <c r="L173" s="97"/>
      <c r="M173" s="97"/>
      <c r="N173" s="97"/>
      <c r="O173" s="97"/>
    </row>
    <row r="174" spans="1:15" ht="15.75" customHeight="1" x14ac:dyDescent="0.45">
      <c r="A174" s="97"/>
      <c r="B174" s="97"/>
      <c r="C174" s="97"/>
      <c r="D174" s="102"/>
      <c r="E174" s="251"/>
      <c r="F174" s="416"/>
      <c r="G174" s="97"/>
      <c r="H174" s="97"/>
      <c r="I174" s="97"/>
      <c r="J174" s="97"/>
      <c r="K174" s="97"/>
      <c r="L174" s="97"/>
      <c r="M174" s="97"/>
      <c r="N174" s="97"/>
      <c r="O174" s="97"/>
    </row>
    <row r="175" spans="1:15" ht="15.75" customHeight="1" x14ac:dyDescent="0.45">
      <c r="A175" s="97"/>
      <c r="B175" s="97"/>
      <c r="C175" s="97"/>
      <c r="D175" s="102"/>
      <c r="E175" s="251"/>
      <c r="F175" s="416"/>
      <c r="G175" s="97"/>
      <c r="H175" s="97"/>
      <c r="I175" s="97"/>
      <c r="J175" s="97"/>
      <c r="K175" s="97"/>
      <c r="L175" s="97"/>
      <c r="M175" s="97"/>
      <c r="N175" s="97"/>
      <c r="O175" s="97"/>
    </row>
    <row r="176" spans="1:15" ht="15.75" customHeight="1" x14ac:dyDescent="0.45">
      <c r="A176" s="97"/>
      <c r="B176" s="97"/>
      <c r="C176" s="97"/>
      <c r="D176" s="102"/>
      <c r="E176" s="251"/>
      <c r="F176" s="416"/>
      <c r="G176" s="97"/>
      <c r="H176" s="97"/>
      <c r="I176" s="97"/>
      <c r="J176" s="97"/>
      <c r="K176" s="97"/>
      <c r="L176" s="97"/>
      <c r="M176" s="97"/>
      <c r="N176" s="97"/>
      <c r="O176" s="97"/>
    </row>
    <row r="177" spans="1:15" ht="15.75" customHeight="1" x14ac:dyDescent="0.45">
      <c r="A177" s="97"/>
      <c r="B177" s="97"/>
      <c r="C177" s="97"/>
      <c r="D177" s="102"/>
      <c r="E177" s="251"/>
      <c r="F177" s="416"/>
      <c r="G177" s="97"/>
      <c r="H177" s="97"/>
      <c r="I177" s="97"/>
      <c r="J177" s="97"/>
      <c r="K177" s="97"/>
      <c r="L177" s="97"/>
      <c r="M177" s="97"/>
      <c r="N177" s="97"/>
      <c r="O177" s="97"/>
    </row>
    <row r="178" spans="1:15" ht="15.75" customHeight="1" x14ac:dyDescent="0.45">
      <c r="A178" s="97"/>
      <c r="B178" s="97"/>
      <c r="C178" s="97"/>
      <c r="D178" s="102"/>
      <c r="E178" s="251"/>
      <c r="F178" s="416"/>
      <c r="G178" s="97"/>
      <c r="H178" s="97"/>
      <c r="I178" s="97"/>
      <c r="J178" s="97"/>
      <c r="K178" s="97"/>
      <c r="L178" s="97"/>
      <c r="M178" s="97"/>
      <c r="N178" s="97"/>
      <c r="O178" s="97"/>
    </row>
    <row r="179" spans="1:15" ht="15.75" customHeight="1" x14ac:dyDescent="0.45">
      <c r="A179" s="97"/>
      <c r="B179" s="97"/>
      <c r="C179" s="97"/>
      <c r="D179" s="102"/>
      <c r="E179" s="251"/>
      <c r="F179" s="416"/>
      <c r="G179" s="97"/>
      <c r="H179" s="97"/>
      <c r="I179" s="97"/>
      <c r="J179" s="97"/>
      <c r="K179" s="97"/>
      <c r="L179" s="97"/>
      <c r="M179" s="97"/>
      <c r="N179" s="97"/>
      <c r="O179" s="97"/>
    </row>
    <row r="180" spans="1:15" ht="15.75" customHeight="1" x14ac:dyDescent="0.45">
      <c r="A180" s="97"/>
      <c r="B180" s="97"/>
      <c r="C180" s="97"/>
      <c r="D180" s="102"/>
      <c r="E180" s="251"/>
      <c r="F180" s="416"/>
      <c r="G180" s="97"/>
      <c r="H180" s="97"/>
      <c r="I180" s="97"/>
      <c r="J180" s="97"/>
      <c r="K180" s="97"/>
      <c r="L180" s="97"/>
      <c r="M180" s="97"/>
      <c r="N180" s="97"/>
      <c r="O180" s="97"/>
    </row>
    <row r="181" spans="1:15" ht="15.75" customHeight="1" x14ac:dyDescent="0.45">
      <c r="A181" s="97"/>
      <c r="B181" s="97"/>
      <c r="C181" s="97"/>
      <c r="D181" s="102"/>
      <c r="E181" s="251"/>
      <c r="F181" s="416"/>
      <c r="G181" s="97"/>
      <c r="H181" s="97"/>
      <c r="I181" s="97"/>
      <c r="J181" s="97"/>
      <c r="K181" s="97"/>
      <c r="L181" s="97"/>
      <c r="M181" s="97"/>
      <c r="N181" s="97"/>
      <c r="O181" s="97"/>
    </row>
    <row r="182" spans="1:15" ht="15.75" customHeight="1" x14ac:dyDescent="0.45">
      <c r="A182" s="97"/>
      <c r="B182" s="97"/>
      <c r="C182" s="97"/>
      <c r="D182" s="102"/>
      <c r="E182" s="251"/>
      <c r="F182" s="416"/>
      <c r="G182" s="97"/>
      <c r="H182" s="97"/>
      <c r="I182" s="97"/>
      <c r="J182" s="97"/>
      <c r="K182" s="97"/>
      <c r="L182" s="97"/>
      <c r="M182" s="97"/>
      <c r="N182" s="97"/>
      <c r="O182" s="97"/>
    </row>
    <row r="183" spans="1:15" ht="15.75" customHeight="1" x14ac:dyDescent="0.45">
      <c r="A183" s="97"/>
      <c r="B183" s="97"/>
      <c r="C183" s="97"/>
      <c r="D183" s="102"/>
      <c r="E183" s="251"/>
      <c r="F183" s="416"/>
      <c r="G183" s="97"/>
      <c r="H183" s="97"/>
      <c r="I183" s="97"/>
      <c r="J183" s="97"/>
      <c r="K183" s="97"/>
      <c r="L183" s="97"/>
      <c r="M183" s="97"/>
      <c r="N183" s="97"/>
      <c r="O183" s="97"/>
    </row>
    <row r="184" spans="1:15" ht="15.75" customHeight="1" x14ac:dyDescent="0.45">
      <c r="A184" s="97"/>
      <c r="B184" s="97"/>
      <c r="C184" s="97"/>
      <c r="D184" s="102"/>
      <c r="E184" s="251"/>
      <c r="F184" s="416"/>
      <c r="G184" s="97"/>
      <c r="H184" s="97"/>
      <c r="I184" s="97"/>
      <c r="J184" s="97"/>
      <c r="K184" s="97"/>
      <c r="L184" s="97"/>
      <c r="M184" s="97"/>
      <c r="N184" s="97"/>
      <c r="O184" s="97"/>
    </row>
    <row r="185" spans="1:15" ht="15.75" customHeight="1" x14ac:dyDescent="0.45">
      <c r="A185" s="97"/>
      <c r="B185" s="97"/>
      <c r="C185" s="97"/>
      <c r="D185" s="102"/>
      <c r="E185" s="251"/>
      <c r="F185" s="416"/>
      <c r="G185" s="97"/>
      <c r="H185" s="97"/>
      <c r="I185" s="97"/>
      <c r="J185" s="97"/>
      <c r="K185" s="97"/>
      <c r="L185" s="97"/>
      <c r="M185" s="97"/>
      <c r="N185" s="97"/>
      <c r="O185" s="97"/>
    </row>
    <row r="186" spans="1:15" ht="15.75" customHeight="1" x14ac:dyDescent="0.45">
      <c r="A186" s="97"/>
      <c r="B186" s="97"/>
      <c r="C186" s="97"/>
      <c r="D186" s="102"/>
      <c r="E186" s="251"/>
      <c r="F186" s="416"/>
      <c r="G186" s="97"/>
      <c r="H186" s="97"/>
      <c r="I186" s="97"/>
      <c r="J186" s="97"/>
      <c r="K186" s="97"/>
      <c r="L186" s="97"/>
      <c r="M186" s="97"/>
      <c r="N186" s="97"/>
      <c r="O186" s="97"/>
    </row>
    <row r="187" spans="1:15" ht="15.75" customHeight="1" x14ac:dyDescent="0.45">
      <c r="A187" s="97"/>
      <c r="B187" s="97"/>
      <c r="C187" s="97"/>
      <c r="D187" s="102"/>
      <c r="E187" s="251"/>
      <c r="F187" s="416"/>
      <c r="G187" s="97"/>
      <c r="H187" s="97"/>
      <c r="I187" s="97"/>
      <c r="J187" s="97"/>
      <c r="K187" s="97"/>
      <c r="L187" s="97"/>
      <c r="M187" s="97"/>
      <c r="N187" s="97"/>
      <c r="O187" s="97"/>
    </row>
    <row r="188" spans="1:15" ht="15.75" customHeight="1" x14ac:dyDescent="0.45">
      <c r="A188" s="97"/>
      <c r="B188" s="97"/>
      <c r="C188" s="97"/>
      <c r="D188" s="102"/>
      <c r="E188" s="251"/>
      <c r="F188" s="416"/>
      <c r="G188" s="97"/>
      <c r="H188" s="97"/>
      <c r="I188" s="97"/>
      <c r="J188" s="97"/>
      <c r="K188" s="97"/>
      <c r="L188" s="97"/>
      <c r="M188" s="97"/>
      <c r="N188" s="97"/>
      <c r="O188" s="97"/>
    </row>
    <row r="189" spans="1:15" ht="15.75" customHeight="1" x14ac:dyDescent="0.45">
      <c r="A189" s="97"/>
      <c r="B189" s="97"/>
      <c r="C189" s="97"/>
      <c r="D189" s="102"/>
      <c r="E189" s="251"/>
      <c r="F189" s="416"/>
      <c r="G189" s="97"/>
      <c r="H189" s="97"/>
      <c r="I189" s="97"/>
      <c r="J189" s="97"/>
      <c r="K189" s="97"/>
      <c r="L189" s="97"/>
      <c r="M189" s="97"/>
      <c r="N189" s="97"/>
      <c r="O189" s="97"/>
    </row>
    <row r="190" spans="1:15" ht="15.75" customHeight="1" x14ac:dyDescent="0.45">
      <c r="A190" s="97"/>
      <c r="B190" s="97"/>
      <c r="C190" s="97"/>
      <c r="D190" s="102"/>
      <c r="E190" s="251"/>
      <c r="F190" s="416"/>
      <c r="G190" s="97"/>
      <c r="H190" s="97"/>
      <c r="I190" s="97"/>
      <c r="J190" s="97"/>
      <c r="K190" s="97"/>
      <c r="L190" s="97"/>
      <c r="M190" s="97"/>
      <c r="N190" s="97"/>
      <c r="O190" s="97"/>
    </row>
    <row r="191" spans="1:15" ht="15.75" customHeight="1" x14ac:dyDescent="0.45">
      <c r="A191" s="97"/>
      <c r="B191" s="97"/>
      <c r="C191" s="97"/>
      <c r="D191" s="102"/>
      <c r="E191" s="251"/>
      <c r="F191" s="416"/>
      <c r="G191" s="97"/>
      <c r="H191" s="97"/>
      <c r="I191" s="97"/>
      <c r="J191" s="97"/>
      <c r="K191" s="97"/>
      <c r="L191" s="97"/>
      <c r="M191" s="97"/>
      <c r="N191" s="97"/>
      <c r="O191" s="97"/>
    </row>
    <row r="192" spans="1:15" ht="15.75" customHeight="1" x14ac:dyDescent="0.45">
      <c r="A192" s="97"/>
      <c r="B192" s="97"/>
      <c r="C192" s="97"/>
      <c r="D192" s="102"/>
      <c r="E192" s="251"/>
      <c r="F192" s="416"/>
      <c r="G192" s="97"/>
      <c r="H192" s="97"/>
      <c r="I192" s="97"/>
      <c r="J192" s="97"/>
      <c r="K192" s="97"/>
      <c r="L192" s="97"/>
      <c r="M192" s="97"/>
      <c r="N192" s="97"/>
      <c r="O192" s="97"/>
    </row>
    <row r="193" spans="1:15" ht="15.75" customHeight="1" x14ac:dyDescent="0.45">
      <c r="A193" s="97"/>
      <c r="B193" s="97"/>
      <c r="C193" s="97"/>
      <c r="D193" s="102"/>
      <c r="E193" s="251"/>
      <c r="F193" s="416"/>
      <c r="G193" s="97"/>
      <c r="H193" s="97"/>
      <c r="I193" s="97"/>
      <c r="J193" s="97"/>
      <c r="K193" s="97"/>
      <c r="L193" s="97"/>
      <c r="M193" s="97"/>
      <c r="N193" s="97"/>
      <c r="O193" s="97"/>
    </row>
    <row r="194" spans="1:15" ht="15.75" customHeight="1" x14ac:dyDescent="0.45">
      <c r="A194" s="97"/>
      <c r="B194" s="97"/>
      <c r="C194" s="97"/>
      <c r="D194" s="102"/>
      <c r="E194" s="251"/>
      <c r="F194" s="416"/>
      <c r="G194" s="97"/>
      <c r="H194" s="97"/>
      <c r="I194" s="97"/>
      <c r="J194" s="97"/>
      <c r="K194" s="97"/>
      <c r="L194" s="97"/>
      <c r="M194" s="97"/>
      <c r="N194" s="97"/>
      <c r="O194" s="97"/>
    </row>
    <row r="195" spans="1:15" ht="15.75" customHeight="1" x14ac:dyDescent="0.45">
      <c r="A195" s="97"/>
      <c r="B195" s="97"/>
      <c r="C195" s="97"/>
      <c r="D195" s="102"/>
      <c r="E195" s="251"/>
      <c r="F195" s="416"/>
      <c r="G195" s="97"/>
      <c r="H195" s="97"/>
      <c r="I195" s="97"/>
      <c r="J195" s="97"/>
      <c r="K195" s="97"/>
      <c r="L195" s="97"/>
      <c r="M195" s="97"/>
      <c r="N195" s="97"/>
      <c r="O195" s="97"/>
    </row>
    <row r="196" spans="1:15" ht="15.75" customHeight="1" x14ac:dyDescent="0.45">
      <c r="A196" s="97"/>
      <c r="B196" s="97"/>
      <c r="C196" s="97"/>
      <c r="D196" s="102"/>
      <c r="E196" s="251"/>
      <c r="F196" s="416"/>
      <c r="G196" s="97"/>
      <c r="H196" s="97"/>
      <c r="I196" s="97"/>
      <c r="J196" s="97"/>
      <c r="K196" s="97"/>
      <c r="L196" s="97"/>
      <c r="M196" s="97"/>
      <c r="N196" s="97"/>
      <c r="O196" s="97"/>
    </row>
    <row r="197" spans="1:15" ht="15.75" customHeight="1" x14ac:dyDescent="0.45">
      <c r="A197" s="97"/>
      <c r="B197" s="97"/>
      <c r="C197" s="97"/>
      <c r="D197" s="102"/>
      <c r="E197" s="251"/>
      <c r="F197" s="416"/>
      <c r="G197" s="97"/>
      <c r="H197" s="97"/>
      <c r="I197" s="97"/>
      <c r="J197" s="97"/>
      <c r="K197" s="97"/>
      <c r="L197" s="97"/>
      <c r="M197" s="97"/>
      <c r="N197" s="97"/>
      <c r="O197" s="97"/>
    </row>
    <row r="198" spans="1:15" ht="15.75" customHeight="1" x14ac:dyDescent="0.45">
      <c r="A198" s="97"/>
      <c r="B198" s="97"/>
      <c r="C198" s="97"/>
      <c r="D198" s="102"/>
      <c r="E198" s="251"/>
      <c r="F198" s="416"/>
      <c r="G198" s="97"/>
      <c r="H198" s="97"/>
      <c r="I198" s="97"/>
      <c r="J198" s="97"/>
      <c r="K198" s="97"/>
      <c r="L198" s="97"/>
      <c r="M198" s="97"/>
      <c r="N198" s="97"/>
      <c r="O198" s="97"/>
    </row>
    <row r="199" spans="1:15" ht="15.75" customHeight="1" x14ac:dyDescent="0.45">
      <c r="A199" s="97"/>
      <c r="B199" s="97"/>
      <c r="C199" s="97"/>
      <c r="D199" s="102"/>
      <c r="E199" s="251"/>
      <c r="F199" s="416"/>
      <c r="G199" s="97"/>
      <c r="H199" s="97"/>
      <c r="I199" s="97"/>
      <c r="J199" s="97"/>
      <c r="K199" s="97"/>
      <c r="L199" s="97"/>
      <c r="M199" s="97"/>
      <c r="N199" s="97"/>
      <c r="O199" s="97"/>
    </row>
    <row r="200" spans="1:15" ht="15.75" customHeight="1" x14ac:dyDescent="0.45">
      <c r="A200" s="97"/>
      <c r="B200" s="97"/>
      <c r="C200" s="97"/>
      <c r="D200" s="102"/>
      <c r="E200" s="251"/>
      <c r="F200" s="416"/>
      <c r="G200" s="97"/>
      <c r="H200" s="97"/>
      <c r="I200" s="97"/>
      <c r="J200" s="97"/>
      <c r="K200" s="97"/>
      <c r="L200" s="97"/>
      <c r="M200" s="97"/>
      <c r="N200" s="97"/>
      <c r="O200" s="97"/>
    </row>
    <row r="201" spans="1:15" ht="15.75" customHeight="1" x14ac:dyDescent="0.45">
      <c r="A201" s="97"/>
      <c r="B201" s="97"/>
      <c r="C201" s="97"/>
      <c r="D201" s="102"/>
      <c r="E201" s="251"/>
      <c r="F201" s="416"/>
      <c r="G201" s="97"/>
      <c r="H201" s="97"/>
      <c r="I201" s="97"/>
      <c r="J201" s="97"/>
      <c r="K201" s="97"/>
      <c r="L201" s="97"/>
      <c r="M201" s="97"/>
      <c r="N201" s="97"/>
      <c r="O201" s="97"/>
    </row>
    <row r="202" spans="1:15" ht="15.75" customHeight="1" x14ac:dyDescent="0.45">
      <c r="A202" s="97"/>
      <c r="B202" s="97"/>
      <c r="C202" s="97"/>
      <c r="D202" s="102"/>
      <c r="E202" s="251"/>
      <c r="F202" s="416"/>
      <c r="G202" s="97"/>
      <c r="H202" s="97"/>
      <c r="I202" s="97"/>
      <c r="J202" s="97"/>
      <c r="K202" s="97"/>
      <c r="L202" s="97"/>
      <c r="M202" s="97"/>
      <c r="N202" s="97"/>
      <c r="O202" s="97"/>
    </row>
    <row r="203" spans="1:15" ht="15.75" customHeight="1" x14ac:dyDescent="0.45">
      <c r="A203" s="97"/>
      <c r="B203" s="97"/>
      <c r="C203" s="97"/>
      <c r="D203" s="102"/>
      <c r="E203" s="251"/>
      <c r="F203" s="416"/>
      <c r="G203" s="97"/>
      <c r="H203" s="97"/>
      <c r="I203" s="97"/>
      <c r="J203" s="97"/>
      <c r="K203" s="97"/>
      <c r="L203" s="97"/>
      <c r="M203" s="97"/>
      <c r="N203" s="97"/>
      <c r="O203" s="97"/>
    </row>
    <row r="204" spans="1:15" ht="15.75" customHeight="1" x14ac:dyDescent="0.45">
      <c r="A204" s="97"/>
      <c r="B204" s="97"/>
      <c r="C204" s="97"/>
      <c r="D204" s="102"/>
      <c r="E204" s="251"/>
      <c r="F204" s="416"/>
      <c r="G204" s="97"/>
      <c r="H204" s="97"/>
      <c r="I204" s="97"/>
      <c r="J204" s="97"/>
      <c r="K204" s="97"/>
      <c r="L204" s="97"/>
      <c r="M204" s="97"/>
      <c r="N204" s="97"/>
      <c r="O204" s="97"/>
    </row>
    <row r="205" spans="1:15" ht="15.75" customHeight="1" x14ac:dyDescent="0.45">
      <c r="A205" s="97"/>
      <c r="B205" s="97"/>
      <c r="C205" s="97"/>
      <c r="D205" s="102"/>
      <c r="E205" s="251"/>
      <c r="F205" s="416"/>
      <c r="G205" s="97"/>
      <c r="H205" s="97"/>
      <c r="I205" s="97"/>
      <c r="J205" s="97"/>
      <c r="K205" s="97"/>
      <c r="L205" s="97"/>
      <c r="M205" s="97"/>
      <c r="N205" s="97"/>
      <c r="O205" s="97"/>
    </row>
    <row r="206" spans="1:15" ht="15.75" customHeight="1" x14ac:dyDescent="0.45">
      <c r="A206" s="97"/>
      <c r="B206" s="97"/>
      <c r="C206" s="97"/>
      <c r="D206" s="102"/>
      <c r="E206" s="251"/>
      <c r="F206" s="416"/>
      <c r="G206" s="97"/>
      <c r="H206" s="97"/>
      <c r="I206" s="97"/>
      <c r="J206" s="97"/>
      <c r="K206" s="97"/>
      <c r="L206" s="97"/>
      <c r="M206" s="97"/>
      <c r="N206" s="97"/>
      <c r="O206" s="97"/>
    </row>
    <row r="207" spans="1:15" ht="15.75" customHeight="1" x14ac:dyDescent="0.45">
      <c r="A207" s="97"/>
      <c r="B207" s="97"/>
      <c r="C207" s="97"/>
      <c r="D207" s="102"/>
      <c r="E207" s="251"/>
      <c r="F207" s="416"/>
      <c r="G207" s="97"/>
      <c r="H207" s="97"/>
      <c r="I207" s="97"/>
      <c r="J207" s="97"/>
      <c r="K207" s="97"/>
      <c r="L207" s="97"/>
      <c r="M207" s="97"/>
      <c r="N207" s="97"/>
      <c r="O207" s="97"/>
    </row>
    <row r="208" spans="1:15" ht="15.75" customHeight="1" x14ac:dyDescent="0.45">
      <c r="A208" s="97"/>
      <c r="B208" s="97"/>
      <c r="C208" s="97"/>
      <c r="D208" s="102"/>
      <c r="E208" s="251"/>
      <c r="F208" s="416"/>
      <c r="G208" s="97"/>
      <c r="H208" s="97"/>
      <c r="I208" s="97"/>
      <c r="J208" s="97"/>
      <c r="K208" s="97"/>
      <c r="L208" s="97"/>
      <c r="M208" s="97"/>
      <c r="N208" s="97"/>
      <c r="O208" s="97"/>
    </row>
    <row r="209" spans="1:15" ht="15.75" customHeight="1" x14ac:dyDescent="0.45">
      <c r="A209" s="97"/>
      <c r="B209" s="97"/>
      <c r="C209" s="97"/>
      <c r="D209" s="102"/>
      <c r="E209" s="251"/>
      <c r="F209" s="416"/>
      <c r="G209" s="97"/>
      <c r="H209" s="97"/>
      <c r="I209" s="97"/>
      <c r="J209" s="97"/>
      <c r="K209" s="97"/>
      <c r="L209" s="97"/>
      <c r="M209" s="97"/>
      <c r="N209" s="97"/>
      <c r="O209" s="97"/>
    </row>
    <row r="210" spans="1:15" ht="15.75" customHeight="1" x14ac:dyDescent="0.45">
      <c r="A210" s="97"/>
      <c r="B210" s="97"/>
      <c r="C210" s="97"/>
      <c r="D210" s="102"/>
      <c r="E210" s="251"/>
      <c r="F210" s="416"/>
      <c r="G210" s="97"/>
      <c r="H210" s="97"/>
      <c r="I210" s="97"/>
      <c r="J210" s="97"/>
      <c r="K210" s="97"/>
      <c r="L210" s="97"/>
      <c r="M210" s="97"/>
      <c r="N210" s="97"/>
      <c r="O210" s="97"/>
    </row>
    <row r="211" spans="1:15" ht="15.75" customHeight="1" x14ac:dyDescent="0.45">
      <c r="A211" s="97"/>
      <c r="B211" s="97"/>
      <c r="C211" s="97"/>
      <c r="D211" s="102"/>
      <c r="E211" s="251"/>
      <c r="F211" s="416"/>
      <c r="G211" s="97"/>
      <c r="H211" s="97"/>
      <c r="I211" s="97"/>
      <c r="J211" s="97"/>
      <c r="K211" s="97"/>
      <c r="L211" s="97"/>
      <c r="M211" s="97"/>
      <c r="N211" s="97"/>
      <c r="O211" s="97"/>
    </row>
    <row r="212" spans="1:15" ht="15.75" customHeight="1" x14ac:dyDescent="0.45">
      <c r="A212" s="97"/>
      <c r="B212" s="97"/>
      <c r="C212" s="97"/>
      <c r="D212" s="102"/>
      <c r="E212" s="251"/>
      <c r="F212" s="416"/>
      <c r="G212" s="97"/>
      <c r="H212" s="97"/>
      <c r="I212" s="97"/>
      <c r="J212" s="97"/>
      <c r="K212" s="97"/>
      <c r="L212" s="97"/>
      <c r="M212" s="97"/>
      <c r="N212" s="97"/>
      <c r="O212" s="97"/>
    </row>
    <row r="213" spans="1:15" ht="15.75" customHeight="1" x14ac:dyDescent="0.45">
      <c r="A213" s="97"/>
      <c r="B213" s="97"/>
      <c r="C213" s="97"/>
      <c r="D213" s="102"/>
      <c r="E213" s="251"/>
      <c r="F213" s="416"/>
      <c r="G213" s="97"/>
      <c r="H213" s="97"/>
      <c r="I213" s="97"/>
      <c r="J213" s="97"/>
      <c r="K213" s="97"/>
      <c r="L213" s="97"/>
      <c r="M213" s="97"/>
      <c r="N213" s="97"/>
      <c r="O213" s="97"/>
    </row>
    <row r="214" spans="1:15" ht="15.75" customHeight="1" x14ac:dyDescent="0.45">
      <c r="A214" s="97"/>
      <c r="B214" s="97"/>
      <c r="C214" s="97"/>
      <c r="D214" s="102"/>
      <c r="E214" s="251"/>
      <c r="F214" s="416"/>
      <c r="G214" s="97"/>
      <c r="H214" s="97"/>
      <c r="I214" s="97"/>
      <c r="J214" s="97"/>
      <c r="K214" s="97"/>
      <c r="L214" s="97"/>
      <c r="M214" s="97"/>
      <c r="N214" s="97"/>
      <c r="O214" s="97"/>
    </row>
    <row r="215" spans="1:15" ht="15.75" customHeight="1" x14ac:dyDescent="0.45">
      <c r="A215" s="97"/>
      <c r="B215" s="97"/>
      <c r="C215" s="97"/>
      <c r="D215" s="102"/>
      <c r="E215" s="251"/>
      <c r="F215" s="416"/>
      <c r="G215" s="97"/>
      <c r="H215" s="97"/>
      <c r="I215" s="97"/>
      <c r="J215" s="97"/>
      <c r="K215" s="97"/>
      <c r="L215" s="97"/>
      <c r="M215" s="97"/>
      <c r="N215" s="97"/>
      <c r="O215" s="97"/>
    </row>
    <row r="216" spans="1:15" ht="15.75" customHeight="1" x14ac:dyDescent="0.45">
      <c r="A216" s="97"/>
      <c r="B216" s="97"/>
      <c r="C216" s="97"/>
      <c r="D216" s="102"/>
      <c r="E216" s="251"/>
      <c r="F216" s="416"/>
      <c r="G216" s="97"/>
      <c r="H216" s="97"/>
      <c r="I216" s="97"/>
      <c r="J216" s="97"/>
      <c r="K216" s="97"/>
      <c r="L216" s="97"/>
      <c r="M216" s="97"/>
      <c r="N216" s="97"/>
      <c r="O216" s="97"/>
    </row>
    <row r="217" spans="1:15" ht="15.75" customHeight="1" x14ac:dyDescent="0.45">
      <c r="A217" s="97"/>
      <c r="B217" s="97"/>
      <c r="C217" s="97"/>
      <c r="D217" s="102"/>
      <c r="E217" s="251"/>
      <c r="F217" s="416"/>
      <c r="G217" s="97"/>
      <c r="H217" s="97"/>
      <c r="I217" s="97"/>
      <c r="J217" s="97"/>
      <c r="K217" s="97"/>
      <c r="L217" s="97"/>
      <c r="M217" s="97"/>
      <c r="N217" s="97"/>
      <c r="O217" s="97"/>
    </row>
    <row r="218" spans="1:15" ht="15.75" customHeight="1" x14ac:dyDescent="0.45">
      <c r="A218" s="97"/>
      <c r="B218" s="97"/>
      <c r="C218" s="97"/>
      <c r="D218" s="102"/>
      <c r="E218" s="251"/>
      <c r="F218" s="416"/>
      <c r="G218" s="97"/>
      <c r="H218" s="97"/>
      <c r="I218" s="97"/>
      <c r="J218" s="97"/>
      <c r="K218" s="97"/>
      <c r="L218" s="97"/>
      <c r="M218" s="97"/>
      <c r="N218" s="97"/>
      <c r="O218" s="97"/>
    </row>
    <row r="219" spans="1:15" ht="15.75" customHeight="1" x14ac:dyDescent="0.45">
      <c r="A219" s="97"/>
      <c r="B219" s="97"/>
      <c r="C219" s="97"/>
      <c r="D219" s="102"/>
      <c r="E219" s="251"/>
      <c r="F219" s="416"/>
      <c r="G219" s="97"/>
      <c r="H219" s="97"/>
      <c r="I219" s="97"/>
      <c r="J219" s="97"/>
      <c r="K219" s="97"/>
      <c r="L219" s="97"/>
      <c r="M219" s="97"/>
      <c r="N219" s="97"/>
      <c r="O219" s="97"/>
    </row>
    <row r="220" spans="1:15" ht="15.75" customHeight="1" x14ac:dyDescent="0.45">
      <c r="A220" s="97"/>
      <c r="B220" s="97"/>
      <c r="C220" s="97"/>
      <c r="D220" s="102"/>
      <c r="E220" s="251"/>
      <c r="F220" s="416"/>
      <c r="G220" s="97"/>
      <c r="H220" s="97"/>
      <c r="I220" s="97"/>
      <c r="J220" s="97"/>
      <c r="K220" s="97"/>
      <c r="L220" s="97"/>
      <c r="M220" s="97"/>
      <c r="N220" s="97"/>
      <c r="O220" s="97"/>
    </row>
    <row r="221" spans="1:15" ht="15.75" customHeight="1" x14ac:dyDescent="0.45">
      <c r="A221" s="97"/>
      <c r="B221" s="97"/>
      <c r="C221" s="97"/>
      <c r="D221" s="102"/>
      <c r="E221" s="251"/>
      <c r="F221" s="416"/>
      <c r="G221" s="97"/>
      <c r="H221" s="97"/>
      <c r="I221" s="97"/>
      <c r="J221" s="97"/>
      <c r="K221" s="97"/>
      <c r="L221" s="97"/>
      <c r="M221" s="97"/>
      <c r="N221" s="97"/>
      <c r="O221" s="97"/>
    </row>
    <row r="222" spans="1:15" ht="15.75" customHeight="1" x14ac:dyDescent="0.45">
      <c r="A222" s="97"/>
      <c r="B222" s="97"/>
      <c r="C222" s="97"/>
      <c r="D222" s="102"/>
      <c r="E222" s="251"/>
      <c r="F222" s="416"/>
      <c r="G222" s="97"/>
      <c r="H222" s="97"/>
      <c r="I222" s="97"/>
      <c r="J222" s="97"/>
      <c r="K222" s="97"/>
      <c r="L222" s="97"/>
      <c r="M222" s="97"/>
      <c r="N222" s="97"/>
      <c r="O222" s="97"/>
    </row>
    <row r="223" spans="1:15" ht="15.75" customHeight="1" x14ac:dyDescent="0.45">
      <c r="A223" s="97"/>
      <c r="B223" s="97"/>
      <c r="C223" s="97"/>
      <c r="D223" s="102"/>
      <c r="E223" s="251"/>
      <c r="F223" s="416"/>
      <c r="G223" s="97"/>
      <c r="H223" s="97"/>
      <c r="I223" s="97"/>
      <c r="J223" s="97"/>
      <c r="K223" s="97"/>
      <c r="L223" s="97"/>
      <c r="M223" s="97"/>
      <c r="N223" s="97"/>
      <c r="O223" s="97"/>
    </row>
    <row r="224" spans="1:15" ht="15.75" customHeight="1" x14ac:dyDescent="0.45">
      <c r="A224" s="97"/>
      <c r="B224" s="97"/>
      <c r="C224" s="97"/>
      <c r="D224" s="102"/>
      <c r="E224" s="251"/>
      <c r="F224" s="416"/>
      <c r="G224" s="97"/>
      <c r="H224" s="97"/>
      <c r="I224" s="97"/>
      <c r="J224" s="97"/>
      <c r="K224" s="97"/>
      <c r="L224" s="97"/>
      <c r="M224" s="97"/>
      <c r="N224" s="97"/>
      <c r="O224" s="97"/>
    </row>
    <row r="225" spans="1:15" ht="15.75" customHeight="1" x14ac:dyDescent="0.45">
      <c r="A225" s="97"/>
      <c r="B225" s="97"/>
      <c r="C225" s="97"/>
      <c r="D225" s="102"/>
      <c r="E225" s="251"/>
      <c r="F225" s="416"/>
      <c r="G225" s="97"/>
      <c r="H225" s="97"/>
      <c r="I225" s="97"/>
      <c r="J225" s="97"/>
      <c r="K225" s="97"/>
      <c r="L225" s="97"/>
      <c r="M225" s="97"/>
      <c r="N225" s="97"/>
      <c r="O225" s="97"/>
    </row>
    <row r="226" spans="1:15" ht="15.75" customHeight="1" x14ac:dyDescent="0.45">
      <c r="A226" s="97"/>
      <c r="B226" s="97"/>
      <c r="C226" s="97"/>
      <c r="D226" s="102"/>
      <c r="E226" s="251"/>
      <c r="F226" s="416"/>
      <c r="G226" s="97"/>
      <c r="H226" s="97"/>
      <c r="I226" s="97"/>
      <c r="J226" s="97"/>
      <c r="K226" s="97"/>
      <c r="L226" s="97"/>
      <c r="M226" s="97"/>
      <c r="N226" s="97"/>
      <c r="O226" s="97"/>
    </row>
    <row r="227" spans="1:15" ht="15.75" customHeight="1" x14ac:dyDescent="0.45">
      <c r="A227" s="97"/>
      <c r="B227" s="97"/>
      <c r="C227" s="97"/>
      <c r="D227" s="102"/>
      <c r="E227" s="251"/>
      <c r="F227" s="416"/>
      <c r="G227" s="97"/>
      <c r="H227" s="97"/>
      <c r="I227" s="97"/>
      <c r="J227" s="97"/>
      <c r="K227" s="97"/>
      <c r="L227" s="97"/>
      <c r="M227" s="97"/>
      <c r="N227" s="97"/>
      <c r="O227" s="97"/>
    </row>
    <row r="228" spans="1:15" ht="15.75" customHeight="1" x14ac:dyDescent="0.45">
      <c r="A228" s="97"/>
      <c r="B228" s="97"/>
      <c r="C228" s="97"/>
      <c r="D228" s="102"/>
      <c r="E228" s="251"/>
      <c r="F228" s="416"/>
      <c r="G228" s="97"/>
      <c r="H228" s="97"/>
      <c r="I228" s="97"/>
      <c r="J228" s="97"/>
      <c r="K228" s="97"/>
      <c r="L228" s="97"/>
      <c r="M228" s="97"/>
      <c r="N228" s="97"/>
      <c r="O228" s="97"/>
    </row>
    <row r="229" spans="1:15" ht="15.75" customHeight="1" x14ac:dyDescent="0.45">
      <c r="A229" s="97"/>
      <c r="B229" s="97"/>
      <c r="C229" s="97"/>
      <c r="D229" s="102"/>
      <c r="E229" s="251"/>
      <c r="F229" s="416"/>
      <c r="G229" s="97"/>
      <c r="H229" s="97"/>
      <c r="I229" s="97"/>
      <c r="J229" s="97"/>
      <c r="K229" s="97"/>
      <c r="L229" s="97"/>
      <c r="M229" s="97"/>
      <c r="N229" s="97"/>
      <c r="O229" s="97"/>
    </row>
    <row r="230" spans="1:15" ht="15.75" customHeight="1" x14ac:dyDescent="0.45">
      <c r="A230" s="97"/>
      <c r="B230" s="97"/>
      <c r="C230" s="97"/>
      <c r="D230" s="102"/>
      <c r="E230" s="251"/>
      <c r="F230" s="416"/>
      <c r="G230" s="97"/>
      <c r="H230" s="97"/>
      <c r="I230" s="97"/>
      <c r="J230" s="97"/>
      <c r="K230" s="97"/>
      <c r="L230" s="97"/>
      <c r="M230" s="97"/>
      <c r="N230" s="97"/>
      <c r="O230" s="97"/>
    </row>
    <row r="231" spans="1:15" ht="15.75" customHeight="1" x14ac:dyDescent="0.45">
      <c r="A231" s="97"/>
      <c r="B231" s="97"/>
      <c r="C231" s="97"/>
      <c r="D231" s="102"/>
      <c r="E231" s="251"/>
      <c r="F231" s="416"/>
      <c r="G231" s="97"/>
      <c r="H231" s="97"/>
      <c r="I231" s="97"/>
      <c r="J231" s="97"/>
      <c r="K231" s="97"/>
      <c r="L231" s="97"/>
      <c r="M231" s="97"/>
      <c r="N231" s="97"/>
      <c r="O231" s="97"/>
    </row>
    <row r="232" spans="1:15" ht="15.75" customHeight="1" x14ac:dyDescent="0.45">
      <c r="A232" s="97"/>
      <c r="B232" s="97"/>
      <c r="C232" s="97"/>
      <c r="D232" s="102"/>
      <c r="E232" s="251"/>
      <c r="F232" s="416"/>
      <c r="G232" s="97"/>
      <c r="H232" s="97"/>
      <c r="I232" s="97"/>
      <c r="J232" s="97"/>
      <c r="K232" s="97"/>
      <c r="L232" s="97"/>
      <c r="M232" s="97"/>
      <c r="N232" s="97"/>
      <c r="O232" s="97"/>
    </row>
    <row r="233" spans="1:15" ht="15.75" customHeight="1" x14ac:dyDescent="0.45">
      <c r="A233" s="97"/>
      <c r="B233" s="97"/>
      <c r="C233" s="97"/>
      <c r="D233" s="102"/>
      <c r="E233" s="251"/>
      <c r="F233" s="416"/>
      <c r="G233" s="97"/>
      <c r="H233" s="97"/>
      <c r="I233" s="97"/>
      <c r="J233" s="97"/>
      <c r="K233" s="97"/>
      <c r="L233" s="97"/>
      <c r="M233" s="97"/>
      <c r="N233" s="97"/>
      <c r="O233" s="97"/>
    </row>
    <row r="234" spans="1:15" ht="15.75" customHeight="1" x14ac:dyDescent="0.45">
      <c r="A234" s="97"/>
      <c r="B234" s="97"/>
      <c r="C234" s="97"/>
      <c r="D234" s="102"/>
      <c r="E234" s="251"/>
      <c r="F234" s="416"/>
      <c r="G234" s="97"/>
      <c r="H234" s="97"/>
      <c r="I234" s="97"/>
      <c r="J234" s="97"/>
      <c r="K234" s="97"/>
      <c r="L234" s="97"/>
      <c r="M234" s="97"/>
      <c r="N234" s="97"/>
      <c r="O234" s="97"/>
    </row>
    <row r="235" spans="1:15" ht="15.75" customHeight="1" x14ac:dyDescent="0.45">
      <c r="A235" s="97"/>
      <c r="B235" s="97"/>
      <c r="C235" s="97"/>
      <c r="D235" s="102"/>
      <c r="E235" s="251"/>
      <c r="F235" s="416"/>
      <c r="G235" s="97"/>
      <c r="H235" s="97"/>
      <c r="I235" s="97"/>
      <c r="J235" s="97"/>
      <c r="K235" s="97"/>
      <c r="L235" s="97"/>
      <c r="M235" s="97"/>
      <c r="N235" s="97"/>
      <c r="O235" s="97"/>
    </row>
    <row r="236" spans="1:15" ht="15.75" customHeight="1" x14ac:dyDescent="0.45">
      <c r="A236" s="97"/>
      <c r="B236" s="97"/>
      <c r="C236" s="97"/>
      <c r="D236" s="102"/>
      <c r="E236" s="251"/>
      <c r="F236" s="416"/>
      <c r="G236" s="97"/>
      <c r="H236" s="97"/>
      <c r="I236" s="97"/>
      <c r="J236" s="97"/>
      <c r="K236" s="97"/>
      <c r="L236" s="97"/>
      <c r="M236" s="97"/>
      <c r="N236" s="97"/>
      <c r="O236" s="97"/>
    </row>
    <row r="237" spans="1:15" ht="15.75" customHeight="1" x14ac:dyDescent="0.45">
      <c r="A237" s="97"/>
      <c r="B237" s="97"/>
      <c r="C237" s="97"/>
      <c r="D237" s="102"/>
      <c r="E237" s="251"/>
      <c r="F237" s="416"/>
      <c r="G237" s="97"/>
      <c r="H237" s="97"/>
      <c r="I237" s="97"/>
      <c r="J237" s="97"/>
      <c r="K237" s="97"/>
      <c r="L237" s="97"/>
      <c r="M237" s="97"/>
      <c r="N237" s="97"/>
      <c r="O237" s="97"/>
    </row>
    <row r="238" spans="1:15" ht="15.75" customHeight="1" x14ac:dyDescent="0.45">
      <c r="A238" s="97"/>
      <c r="B238" s="97"/>
      <c r="C238" s="97"/>
      <c r="D238" s="102"/>
      <c r="E238" s="251"/>
      <c r="F238" s="416"/>
      <c r="G238" s="97"/>
      <c r="H238" s="97"/>
      <c r="I238" s="97"/>
      <c r="J238" s="97"/>
      <c r="K238" s="97"/>
      <c r="L238" s="97"/>
      <c r="M238" s="97"/>
      <c r="N238" s="97"/>
      <c r="O238" s="97"/>
    </row>
    <row r="239" spans="1:15" ht="15.75" customHeight="1" x14ac:dyDescent="0.45">
      <c r="A239" s="97"/>
      <c r="B239" s="97"/>
      <c r="C239" s="97"/>
      <c r="D239" s="102"/>
      <c r="E239" s="251"/>
      <c r="F239" s="416"/>
      <c r="G239" s="97"/>
      <c r="H239" s="97"/>
      <c r="I239" s="97"/>
      <c r="J239" s="97"/>
      <c r="K239" s="97"/>
      <c r="L239" s="97"/>
      <c r="M239" s="97"/>
      <c r="N239" s="97"/>
      <c r="O239" s="97"/>
    </row>
    <row r="240" spans="1:15" ht="15.75" customHeight="1" x14ac:dyDescent="0.45">
      <c r="A240" s="97"/>
      <c r="B240" s="97"/>
      <c r="C240" s="97"/>
      <c r="D240" s="102"/>
      <c r="E240" s="251"/>
      <c r="F240" s="416"/>
      <c r="G240" s="97"/>
      <c r="H240" s="97"/>
      <c r="I240" s="97"/>
      <c r="J240" s="97"/>
      <c r="K240" s="97"/>
      <c r="L240" s="97"/>
      <c r="M240" s="97"/>
      <c r="N240" s="97"/>
      <c r="O240" s="97"/>
    </row>
    <row r="241" spans="1:15" ht="15.75" customHeight="1" x14ac:dyDescent="0.45">
      <c r="A241" s="97"/>
      <c r="B241" s="97"/>
      <c r="C241" s="97"/>
      <c r="D241" s="102"/>
      <c r="E241" s="251"/>
      <c r="F241" s="416"/>
      <c r="G241" s="97"/>
      <c r="H241" s="97"/>
      <c r="I241" s="97"/>
      <c r="J241" s="97"/>
      <c r="K241" s="97"/>
      <c r="L241" s="97"/>
      <c r="M241" s="97"/>
      <c r="N241" s="97"/>
      <c r="O241" s="97"/>
    </row>
    <row r="242" spans="1:15" ht="15.75" customHeight="1" x14ac:dyDescent="0.45">
      <c r="A242" s="97"/>
      <c r="B242" s="97"/>
      <c r="C242" s="97"/>
      <c r="D242" s="102"/>
      <c r="E242" s="251"/>
      <c r="F242" s="416"/>
      <c r="G242" s="97"/>
      <c r="H242" s="97"/>
      <c r="I242" s="97"/>
      <c r="J242" s="97"/>
      <c r="K242" s="97"/>
      <c r="L242" s="97"/>
      <c r="M242" s="97"/>
      <c r="N242" s="97"/>
      <c r="O242" s="97"/>
    </row>
    <row r="243" spans="1:15" ht="15.75" customHeight="1" x14ac:dyDescent="0.45">
      <c r="A243" s="97"/>
      <c r="B243" s="97"/>
      <c r="C243" s="97"/>
      <c r="D243" s="102"/>
      <c r="E243" s="251"/>
      <c r="F243" s="416"/>
      <c r="G243" s="97"/>
      <c r="H243" s="97"/>
      <c r="I243" s="97"/>
      <c r="J243" s="97"/>
      <c r="K243" s="97"/>
      <c r="L243" s="97"/>
      <c r="M243" s="97"/>
      <c r="N243" s="97"/>
      <c r="O243" s="97"/>
    </row>
    <row r="244" spans="1:15" ht="15.75" customHeight="1" x14ac:dyDescent="0.45">
      <c r="A244" s="97"/>
      <c r="B244" s="97"/>
      <c r="C244" s="97"/>
      <c r="D244" s="102"/>
      <c r="E244" s="251"/>
      <c r="F244" s="416"/>
      <c r="G244" s="97"/>
      <c r="H244" s="97"/>
      <c r="I244" s="97"/>
      <c r="J244" s="97"/>
      <c r="K244" s="97"/>
      <c r="L244" s="97"/>
      <c r="M244" s="97"/>
      <c r="N244" s="97"/>
      <c r="O244" s="97"/>
    </row>
    <row r="245" spans="1:15" ht="15.75" customHeight="1" x14ac:dyDescent="0.45">
      <c r="A245" s="97"/>
      <c r="B245" s="97"/>
      <c r="C245" s="97"/>
      <c r="D245" s="102"/>
      <c r="E245" s="251"/>
      <c r="F245" s="416"/>
      <c r="G245" s="97"/>
      <c r="H245" s="97"/>
      <c r="I245" s="97"/>
      <c r="J245" s="97"/>
      <c r="K245" s="97"/>
      <c r="L245" s="97"/>
      <c r="M245" s="97"/>
      <c r="N245" s="97"/>
      <c r="O245" s="97"/>
    </row>
    <row r="246" spans="1:15" ht="15.75" customHeight="1" x14ac:dyDescent="0.45">
      <c r="A246" s="97"/>
      <c r="B246" s="97"/>
      <c r="C246" s="97"/>
      <c r="D246" s="102"/>
      <c r="E246" s="251"/>
      <c r="F246" s="416"/>
      <c r="G246" s="97"/>
      <c r="H246" s="97"/>
      <c r="I246" s="97"/>
      <c r="J246" s="97"/>
      <c r="K246" s="97"/>
      <c r="L246" s="97"/>
      <c r="M246" s="97"/>
      <c r="N246" s="97"/>
      <c r="O246" s="97"/>
    </row>
    <row r="247" spans="1:15" ht="15.75" customHeight="1" x14ac:dyDescent="0.45">
      <c r="A247" s="97"/>
      <c r="B247" s="97"/>
      <c r="C247" s="97"/>
      <c r="D247" s="102"/>
      <c r="E247" s="251"/>
      <c r="F247" s="416"/>
      <c r="G247" s="97"/>
      <c r="H247" s="97"/>
      <c r="I247" s="97"/>
      <c r="J247" s="97"/>
      <c r="K247" s="97"/>
      <c r="L247" s="97"/>
      <c r="M247" s="97"/>
      <c r="N247" s="97"/>
      <c r="O247" s="97"/>
    </row>
    <row r="248" spans="1:15" ht="15.75" customHeight="1" x14ac:dyDescent="0.45">
      <c r="A248" s="97"/>
      <c r="B248" s="97"/>
      <c r="C248" s="97"/>
      <c r="D248" s="102"/>
      <c r="E248" s="251"/>
      <c r="F248" s="416"/>
      <c r="G248" s="97"/>
      <c r="H248" s="97"/>
      <c r="I248" s="97"/>
      <c r="J248" s="97"/>
      <c r="K248" s="97"/>
      <c r="L248" s="97"/>
      <c r="M248" s="97"/>
      <c r="N248" s="97"/>
      <c r="O248" s="97"/>
    </row>
    <row r="249" spans="1:15" ht="15.75" customHeight="1" x14ac:dyDescent="0.45">
      <c r="A249" s="97"/>
      <c r="B249" s="97"/>
      <c r="C249" s="97"/>
      <c r="D249" s="102"/>
      <c r="E249" s="251"/>
      <c r="F249" s="416"/>
      <c r="G249" s="97"/>
      <c r="H249" s="97"/>
      <c r="I249" s="97"/>
      <c r="J249" s="97"/>
      <c r="K249" s="97"/>
      <c r="L249" s="97"/>
      <c r="M249" s="97"/>
      <c r="N249" s="97"/>
      <c r="O249" s="97"/>
    </row>
    <row r="250" spans="1:15" ht="15.75" customHeight="1" x14ac:dyDescent="0.45">
      <c r="A250" s="97"/>
      <c r="B250" s="97"/>
      <c r="C250" s="97"/>
      <c r="D250" s="102"/>
      <c r="E250" s="251"/>
      <c r="F250" s="416"/>
      <c r="G250" s="97"/>
      <c r="H250" s="97"/>
      <c r="I250" s="97"/>
      <c r="J250" s="97"/>
      <c r="K250" s="97"/>
      <c r="L250" s="97"/>
      <c r="M250" s="97"/>
      <c r="N250" s="97"/>
      <c r="O250" s="97"/>
    </row>
    <row r="251" spans="1:15" ht="15.75" customHeight="1" x14ac:dyDescent="0.45">
      <c r="A251" s="97"/>
      <c r="B251" s="97"/>
      <c r="C251" s="97"/>
      <c r="D251" s="102"/>
      <c r="E251" s="251"/>
      <c r="F251" s="416"/>
      <c r="G251" s="97"/>
      <c r="H251" s="97"/>
      <c r="I251" s="97"/>
      <c r="J251" s="97"/>
      <c r="K251" s="97"/>
      <c r="L251" s="97"/>
      <c r="M251" s="97"/>
      <c r="N251" s="97"/>
      <c r="O251" s="97"/>
    </row>
    <row r="252" spans="1:15" ht="15.75" customHeight="1" x14ac:dyDescent="0.45">
      <c r="A252" s="97"/>
      <c r="B252" s="97"/>
      <c r="C252" s="97"/>
      <c r="D252" s="102"/>
      <c r="E252" s="251"/>
      <c r="F252" s="416"/>
      <c r="G252" s="97"/>
      <c r="H252" s="97"/>
      <c r="I252" s="97"/>
      <c r="J252" s="97"/>
      <c r="K252" s="97"/>
      <c r="L252" s="97"/>
      <c r="M252" s="97"/>
      <c r="N252" s="97"/>
      <c r="O252" s="97"/>
    </row>
    <row r="253" spans="1:15" ht="15.75" customHeight="1" x14ac:dyDescent="0.45">
      <c r="A253" s="97"/>
      <c r="B253" s="97"/>
      <c r="C253" s="97"/>
      <c r="D253" s="102"/>
      <c r="E253" s="251"/>
      <c r="F253" s="416"/>
      <c r="G253" s="97"/>
      <c r="H253" s="97"/>
      <c r="I253" s="97"/>
      <c r="J253" s="97"/>
      <c r="K253" s="97"/>
      <c r="L253" s="97"/>
      <c r="M253" s="97"/>
      <c r="N253" s="97"/>
      <c r="O253" s="97"/>
    </row>
    <row r="254" spans="1:15" ht="15.75" customHeight="1" x14ac:dyDescent="0.45">
      <c r="A254" s="97"/>
      <c r="B254" s="97"/>
      <c r="C254" s="97"/>
      <c r="D254" s="102"/>
      <c r="E254" s="251"/>
      <c r="F254" s="416"/>
      <c r="G254" s="97"/>
      <c r="H254" s="97"/>
      <c r="I254" s="97"/>
      <c r="J254" s="97"/>
      <c r="K254" s="97"/>
      <c r="L254" s="97"/>
      <c r="M254" s="97"/>
      <c r="N254" s="97"/>
      <c r="O254" s="97"/>
    </row>
    <row r="255" spans="1:15" ht="15.75" customHeight="1" x14ac:dyDescent="0.45">
      <c r="A255" s="97"/>
      <c r="B255" s="97"/>
      <c r="C255" s="97"/>
      <c r="D255" s="102"/>
      <c r="E255" s="251"/>
      <c r="F255" s="416"/>
      <c r="G255" s="97"/>
      <c r="H255" s="97"/>
      <c r="I255" s="97"/>
      <c r="J255" s="97"/>
      <c r="K255" s="97"/>
      <c r="L255" s="97"/>
      <c r="M255" s="97"/>
      <c r="N255" s="97"/>
      <c r="O255" s="97"/>
    </row>
    <row r="256" spans="1:15" ht="15.75" customHeight="1" x14ac:dyDescent="0.45">
      <c r="A256" s="97"/>
      <c r="B256" s="97"/>
      <c r="C256" s="97"/>
      <c r="D256" s="102"/>
      <c r="E256" s="251"/>
      <c r="F256" s="416"/>
      <c r="G256" s="97"/>
      <c r="H256" s="97"/>
      <c r="I256" s="97"/>
      <c r="J256" s="97"/>
      <c r="K256" s="97"/>
      <c r="L256" s="97"/>
      <c r="M256" s="97"/>
      <c r="N256" s="97"/>
      <c r="O256" s="97"/>
    </row>
    <row r="257" spans="1:15" ht="15.75" customHeight="1" x14ac:dyDescent="0.45">
      <c r="A257" s="97"/>
      <c r="B257" s="97"/>
      <c r="C257" s="97"/>
      <c r="D257" s="102"/>
      <c r="E257" s="251"/>
      <c r="F257" s="416"/>
      <c r="G257" s="97"/>
      <c r="H257" s="97"/>
      <c r="I257" s="97"/>
      <c r="J257" s="97"/>
      <c r="K257" s="97"/>
      <c r="L257" s="97"/>
      <c r="M257" s="97"/>
      <c r="N257" s="97"/>
      <c r="O257" s="97"/>
    </row>
    <row r="258" spans="1:15" ht="15.75" customHeight="1" x14ac:dyDescent="0.45">
      <c r="A258" s="97"/>
      <c r="B258" s="97"/>
      <c r="C258" s="97"/>
      <c r="D258" s="102"/>
      <c r="E258" s="251"/>
      <c r="F258" s="416"/>
      <c r="G258" s="97"/>
      <c r="H258" s="97"/>
      <c r="I258" s="97"/>
      <c r="J258" s="97"/>
      <c r="K258" s="97"/>
      <c r="L258" s="97"/>
      <c r="M258" s="97"/>
      <c r="N258" s="97"/>
      <c r="O258" s="97"/>
    </row>
    <row r="259" spans="1:15" ht="15.75" customHeight="1" x14ac:dyDescent="0.45">
      <c r="A259" s="97"/>
      <c r="B259" s="97"/>
      <c r="C259" s="97"/>
      <c r="D259" s="102"/>
      <c r="E259" s="251"/>
      <c r="F259" s="416"/>
      <c r="G259" s="97"/>
      <c r="H259" s="97"/>
      <c r="I259" s="97"/>
      <c r="J259" s="97"/>
      <c r="K259" s="97"/>
      <c r="L259" s="97"/>
      <c r="M259" s="97"/>
      <c r="N259" s="97"/>
      <c r="O259" s="97"/>
    </row>
    <row r="260" spans="1:15" ht="15.75" customHeight="1" x14ac:dyDescent="0.45">
      <c r="A260" s="97"/>
      <c r="B260" s="97"/>
      <c r="C260" s="97"/>
      <c r="D260" s="102"/>
      <c r="E260" s="251"/>
      <c r="F260" s="416"/>
      <c r="G260" s="97"/>
      <c r="H260" s="97"/>
      <c r="I260" s="97"/>
      <c r="J260" s="97"/>
      <c r="K260" s="97"/>
      <c r="L260" s="97"/>
      <c r="M260" s="97"/>
      <c r="N260" s="97"/>
      <c r="O260" s="97"/>
    </row>
    <row r="261" spans="1:15" ht="15.75" customHeight="1" x14ac:dyDescent="0.45">
      <c r="A261" s="97"/>
      <c r="B261" s="97"/>
      <c r="C261" s="97"/>
      <c r="D261" s="102"/>
      <c r="E261" s="251"/>
      <c r="F261" s="416"/>
      <c r="G261" s="97"/>
      <c r="H261" s="97"/>
      <c r="I261" s="97"/>
      <c r="J261" s="97"/>
      <c r="K261" s="97"/>
      <c r="L261" s="97"/>
      <c r="M261" s="97"/>
      <c r="N261" s="97"/>
      <c r="O261" s="97"/>
    </row>
    <row r="262" spans="1:15" ht="15.75" customHeight="1" x14ac:dyDescent="0.45">
      <c r="A262" s="97"/>
      <c r="B262" s="97"/>
      <c r="C262" s="97"/>
      <c r="D262" s="102"/>
      <c r="E262" s="251"/>
      <c r="F262" s="416"/>
      <c r="G262" s="97"/>
      <c r="H262" s="97"/>
      <c r="I262" s="97"/>
      <c r="J262" s="97"/>
      <c r="K262" s="97"/>
      <c r="L262" s="97"/>
      <c r="M262" s="97"/>
      <c r="N262" s="97"/>
      <c r="O262" s="97"/>
    </row>
    <row r="263" spans="1:15" ht="15.75" customHeight="1" x14ac:dyDescent="0.45">
      <c r="A263" s="97"/>
      <c r="B263" s="97"/>
      <c r="C263" s="97"/>
      <c r="D263" s="102"/>
      <c r="E263" s="251"/>
      <c r="F263" s="416"/>
      <c r="G263" s="97"/>
      <c r="H263" s="97"/>
      <c r="I263" s="97"/>
      <c r="J263" s="97"/>
      <c r="K263" s="97"/>
      <c r="L263" s="97"/>
      <c r="M263" s="97"/>
      <c r="N263" s="97"/>
      <c r="O263" s="97"/>
    </row>
    <row r="264" spans="1:15" ht="15.75" customHeight="1" x14ac:dyDescent="0.45">
      <c r="A264" s="97"/>
      <c r="B264" s="97"/>
      <c r="C264" s="97"/>
      <c r="D264" s="102"/>
      <c r="E264" s="251"/>
      <c r="F264" s="416"/>
      <c r="G264" s="97"/>
      <c r="H264" s="97"/>
      <c r="I264" s="97"/>
      <c r="J264" s="97"/>
      <c r="K264" s="97"/>
      <c r="L264" s="97"/>
      <c r="M264" s="97"/>
      <c r="N264" s="97"/>
      <c r="O264" s="97"/>
    </row>
    <row r="265" spans="1:15" ht="15.75" customHeight="1" x14ac:dyDescent="0.45">
      <c r="A265" s="97"/>
      <c r="B265" s="97"/>
      <c r="C265" s="97"/>
      <c r="D265" s="102"/>
      <c r="E265" s="251"/>
      <c r="F265" s="416"/>
      <c r="G265" s="97"/>
      <c r="H265" s="97"/>
      <c r="I265" s="97"/>
      <c r="J265" s="97"/>
      <c r="K265" s="97"/>
      <c r="L265" s="97"/>
      <c r="M265" s="97"/>
      <c r="N265" s="97"/>
      <c r="O265" s="97"/>
    </row>
    <row r="266" spans="1:15" ht="15.75" customHeight="1" x14ac:dyDescent="0.45">
      <c r="A266" s="97"/>
      <c r="B266" s="97"/>
      <c r="C266" s="97"/>
      <c r="D266" s="102"/>
      <c r="E266" s="251"/>
      <c r="F266" s="416"/>
      <c r="G266" s="97"/>
      <c r="H266" s="97"/>
      <c r="I266" s="97"/>
      <c r="J266" s="97"/>
      <c r="K266" s="97"/>
      <c r="L266" s="97"/>
      <c r="M266" s="97"/>
      <c r="N266" s="97"/>
      <c r="O266" s="97"/>
    </row>
    <row r="267" spans="1:15" ht="15.75" customHeight="1" x14ac:dyDescent="0.45">
      <c r="A267" s="97"/>
      <c r="B267" s="97"/>
      <c r="C267" s="97"/>
      <c r="D267" s="102"/>
      <c r="E267" s="251"/>
      <c r="F267" s="416"/>
      <c r="G267" s="97"/>
      <c r="H267" s="97"/>
      <c r="I267" s="97"/>
      <c r="J267" s="97"/>
      <c r="K267" s="97"/>
      <c r="L267" s="97"/>
      <c r="M267" s="97"/>
      <c r="N267" s="97"/>
      <c r="O267" s="97"/>
    </row>
    <row r="268" spans="1:15" ht="15.75" customHeight="1" x14ac:dyDescent="0.45">
      <c r="A268" s="97"/>
      <c r="B268" s="97"/>
      <c r="C268" s="97"/>
      <c r="D268" s="102"/>
      <c r="E268" s="251"/>
      <c r="F268" s="416"/>
      <c r="G268" s="97"/>
      <c r="H268" s="97"/>
      <c r="I268" s="97"/>
      <c r="J268" s="97"/>
      <c r="K268" s="97"/>
      <c r="L268" s="97"/>
      <c r="M268" s="97"/>
      <c r="N268" s="97"/>
      <c r="O268" s="97"/>
    </row>
    <row r="269" spans="1:15" ht="15.75" customHeight="1" x14ac:dyDescent="0.45">
      <c r="A269" s="97"/>
      <c r="B269" s="97"/>
      <c r="C269" s="97"/>
      <c r="D269" s="102"/>
      <c r="E269" s="251"/>
      <c r="F269" s="416"/>
      <c r="G269" s="97"/>
      <c r="H269" s="97"/>
      <c r="I269" s="97"/>
      <c r="J269" s="97"/>
      <c r="K269" s="97"/>
      <c r="L269" s="97"/>
      <c r="M269" s="97"/>
      <c r="N269" s="97"/>
      <c r="O269" s="97"/>
    </row>
    <row r="270" spans="1:15" ht="15.75" customHeight="1" x14ac:dyDescent="0.45">
      <c r="A270" s="97"/>
      <c r="B270" s="97"/>
      <c r="C270" s="97"/>
      <c r="D270" s="102"/>
      <c r="E270" s="251"/>
      <c r="F270" s="416"/>
      <c r="G270" s="97"/>
      <c r="H270" s="97"/>
      <c r="I270" s="97"/>
      <c r="J270" s="97"/>
      <c r="K270" s="97"/>
      <c r="L270" s="97"/>
      <c r="M270" s="97"/>
      <c r="N270" s="97"/>
      <c r="O270" s="97"/>
    </row>
    <row r="271" spans="1:15" ht="15.75" customHeight="1" x14ac:dyDescent="0.45">
      <c r="A271" s="97"/>
      <c r="B271" s="97"/>
      <c r="C271" s="97"/>
      <c r="D271" s="102"/>
      <c r="E271" s="251"/>
      <c r="F271" s="416"/>
      <c r="G271" s="97"/>
      <c r="H271" s="97"/>
      <c r="I271" s="97"/>
      <c r="J271" s="97"/>
      <c r="K271" s="97"/>
      <c r="L271" s="97"/>
      <c r="M271" s="97"/>
      <c r="N271" s="97"/>
      <c r="O271" s="97"/>
    </row>
    <row r="272" spans="1:15" ht="15.75" customHeight="1" x14ac:dyDescent="0.45">
      <c r="A272" s="97"/>
      <c r="B272" s="97"/>
      <c r="C272" s="97"/>
      <c r="D272" s="102"/>
      <c r="E272" s="251"/>
      <c r="F272" s="416"/>
      <c r="G272" s="97"/>
      <c r="H272" s="97"/>
      <c r="I272" s="97"/>
      <c r="J272" s="97"/>
      <c r="K272" s="97"/>
      <c r="L272" s="97"/>
      <c r="M272" s="97"/>
      <c r="N272" s="97"/>
      <c r="O272" s="97"/>
    </row>
    <row r="273" spans="1:15" ht="15.75" customHeight="1" x14ac:dyDescent="0.45">
      <c r="A273" s="97"/>
      <c r="B273" s="97"/>
      <c r="C273" s="97"/>
      <c r="D273" s="102"/>
      <c r="E273" s="251"/>
      <c r="F273" s="416"/>
      <c r="G273" s="97"/>
      <c r="H273" s="97"/>
      <c r="I273" s="97"/>
      <c r="J273" s="97"/>
      <c r="K273" s="97"/>
      <c r="L273" s="97"/>
      <c r="M273" s="97"/>
      <c r="N273" s="97"/>
      <c r="O273" s="97"/>
    </row>
    <row r="274" spans="1:15" ht="15.75" customHeight="1" x14ac:dyDescent="0.45">
      <c r="A274" s="97"/>
      <c r="B274" s="97"/>
      <c r="C274" s="97"/>
      <c r="D274" s="102"/>
      <c r="E274" s="251"/>
      <c r="F274" s="416"/>
      <c r="G274" s="97"/>
      <c r="H274" s="97"/>
      <c r="I274" s="97"/>
      <c r="J274" s="97"/>
      <c r="K274" s="97"/>
      <c r="L274" s="97"/>
      <c r="M274" s="97"/>
      <c r="N274" s="97"/>
      <c r="O274" s="97"/>
    </row>
    <row r="275" spans="1:15" ht="15.75" customHeight="1" x14ac:dyDescent="0.45">
      <c r="A275" s="97"/>
      <c r="B275" s="97"/>
      <c r="C275" s="97"/>
      <c r="D275" s="102"/>
      <c r="E275" s="251"/>
      <c r="F275" s="416"/>
      <c r="G275" s="97"/>
      <c r="H275" s="97"/>
      <c r="I275" s="97"/>
      <c r="J275" s="97"/>
      <c r="K275" s="97"/>
      <c r="L275" s="97"/>
      <c r="M275" s="97"/>
      <c r="N275" s="97"/>
      <c r="O275" s="97"/>
    </row>
    <row r="276" spans="1:15" ht="15.75" customHeight="1" x14ac:dyDescent="0.45">
      <c r="A276" s="97"/>
      <c r="B276" s="97"/>
      <c r="C276" s="97"/>
      <c r="D276" s="102"/>
      <c r="E276" s="251"/>
      <c r="F276" s="416"/>
      <c r="G276" s="97"/>
      <c r="H276" s="97"/>
      <c r="I276" s="97"/>
      <c r="J276" s="97"/>
      <c r="K276" s="97"/>
      <c r="L276" s="97"/>
      <c r="M276" s="97"/>
      <c r="N276" s="97"/>
      <c r="O276" s="97"/>
    </row>
    <row r="277" spans="1:15" ht="15.75" customHeight="1" x14ac:dyDescent="0.45">
      <c r="A277" s="97"/>
      <c r="B277" s="97"/>
      <c r="C277" s="97"/>
      <c r="D277" s="102"/>
      <c r="E277" s="251"/>
      <c r="F277" s="416"/>
      <c r="G277" s="97"/>
      <c r="H277" s="97"/>
      <c r="I277" s="97"/>
      <c r="J277" s="97"/>
      <c r="K277" s="97"/>
      <c r="L277" s="97"/>
      <c r="M277" s="97"/>
      <c r="N277" s="97"/>
      <c r="O277" s="97"/>
    </row>
    <row r="278" spans="1:15" ht="15.75" customHeight="1" x14ac:dyDescent="0.45">
      <c r="A278" s="97"/>
      <c r="B278" s="97"/>
      <c r="C278" s="97"/>
      <c r="D278" s="102"/>
      <c r="E278" s="251"/>
      <c r="F278" s="416"/>
      <c r="G278" s="97"/>
      <c r="H278" s="97"/>
      <c r="I278" s="97"/>
      <c r="J278" s="97"/>
      <c r="K278" s="97"/>
      <c r="L278" s="97"/>
      <c r="M278" s="97"/>
      <c r="N278" s="97"/>
      <c r="O278" s="97"/>
    </row>
    <row r="279" spans="1:15" ht="15.75" customHeight="1" x14ac:dyDescent="0.45">
      <c r="A279" s="97"/>
      <c r="B279" s="97"/>
      <c r="C279" s="97"/>
      <c r="D279" s="102"/>
      <c r="E279" s="251"/>
      <c r="F279" s="416"/>
      <c r="G279" s="97"/>
      <c r="H279" s="97"/>
      <c r="I279" s="97"/>
      <c r="J279" s="97"/>
      <c r="K279" s="97"/>
      <c r="L279" s="97"/>
      <c r="M279" s="97"/>
      <c r="N279" s="97"/>
      <c r="O279" s="97"/>
    </row>
    <row r="280" spans="1:15" ht="15.75" customHeight="1" x14ac:dyDescent="0.45">
      <c r="A280" s="97"/>
      <c r="B280" s="97"/>
      <c r="C280" s="97"/>
      <c r="D280" s="102"/>
      <c r="E280" s="251"/>
      <c r="F280" s="416"/>
      <c r="G280" s="97"/>
      <c r="H280" s="97"/>
      <c r="I280" s="97"/>
      <c r="J280" s="97"/>
      <c r="K280" s="97"/>
      <c r="L280" s="97"/>
      <c r="M280" s="97"/>
      <c r="N280" s="97"/>
      <c r="O280" s="97"/>
    </row>
    <row r="281" spans="1:15" ht="15.75" customHeight="1" x14ac:dyDescent="0.45">
      <c r="A281" s="97"/>
      <c r="B281" s="97"/>
      <c r="C281" s="97"/>
      <c r="D281" s="102"/>
      <c r="E281" s="251"/>
      <c r="F281" s="416"/>
      <c r="G281" s="97"/>
      <c r="H281" s="97"/>
      <c r="I281" s="97"/>
      <c r="J281" s="97"/>
      <c r="K281" s="97"/>
      <c r="L281" s="97"/>
      <c r="M281" s="97"/>
      <c r="N281" s="97"/>
      <c r="O281" s="97"/>
    </row>
    <row r="282" spans="1:15" ht="15.75" customHeight="1" x14ac:dyDescent="0.45">
      <c r="A282" s="97"/>
      <c r="B282" s="97"/>
      <c r="C282" s="97"/>
      <c r="D282" s="102"/>
      <c r="E282" s="251"/>
      <c r="F282" s="416"/>
      <c r="G282" s="97"/>
      <c r="H282" s="97"/>
      <c r="I282" s="97"/>
      <c r="J282" s="97"/>
      <c r="K282" s="97"/>
      <c r="L282" s="97"/>
      <c r="M282" s="97"/>
      <c r="N282" s="97"/>
      <c r="O282" s="97"/>
    </row>
    <row r="283" spans="1:15" ht="15.75" customHeight="1" x14ac:dyDescent="0.45">
      <c r="A283" s="97"/>
      <c r="B283" s="97"/>
      <c r="C283" s="97"/>
      <c r="D283" s="102"/>
      <c r="E283" s="251"/>
      <c r="F283" s="416"/>
      <c r="G283" s="97"/>
      <c r="H283" s="97"/>
      <c r="I283" s="97"/>
      <c r="J283" s="97"/>
      <c r="K283" s="97"/>
      <c r="L283" s="97"/>
      <c r="M283" s="97"/>
      <c r="N283" s="97"/>
      <c r="O283" s="97"/>
    </row>
    <row r="284" spans="1:15" ht="15.75" customHeight="1" x14ac:dyDescent="0.45">
      <c r="A284" s="97"/>
      <c r="B284" s="97"/>
      <c r="C284" s="97"/>
      <c r="D284" s="102"/>
      <c r="E284" s="251"/>
      <c r="F284" s="416"/>
      <c r="G284" s="97"/>
      <c r="H284" s="97"/>
      <c r="I284" s="97"/>
      <c r="J284" s="97"/>
      <c r="K284" s="97"/>
      <c r="L284" s="97"/>
      <c r="M284" s="97"/>
      <c r="N284" s="97"/>
      <c r="O284" s="97"/>
    </row>
    <row r="285" spans="1:15" ht="15.75" customHeight="1" x14ac:dyDescent="0.45">
      <c r="A285" s="97"/>
      <c r="B285" s="97"/>
      <c r="C285" s="97"/>
      <c r="D285" s="102"/>
      <c r="E285" s="251"/>
      <c r="F285" s="416"/>
      <c r="G285" s="97"/>
      <c r="H285" s="97"/>
      <c r="I285" s="97"/>
      <c r="J285" s="97"/>
      <c r="K285" s="97"/>
      <c r="L285" s="97"/>
      <c r="M285" s="97"/>
      <c r="N285" s="97"/>
      <c r="O285" s="97"/>
    </row>
    <row r="286" spans="1:15" ht="15.75" customHeight="1" x14ac:dyDescent="0.45">
      <c r="A286" s="97"/>
      <c r="B286" s="97"/>
      <c r="C286" s="97"/>
      <c r="D286" s="102"/>
      <c r="E286" s="251"/>
      <c r="F286" s="416"/>
      <c r="G286" s="97"/>
      <c r="H286" s="97"/>
      <c r="I286" s="97"/>
      <c r="J286" s="97"/>
      <c r="K286" s="97"/>
      <c r="L286" s="97"/>
      <c r="M286" s="97"/>
      <c r="N286" s="97"/>
      <c r="O286" s="97"/>
    </row>
    <row r="287" spans="1:15" ht="15.75" customHeight="1" x14ac:dyDescent="0.45">
      <c r="A287" s="97"/>
      <c r="B287" s="97"/>
      <c r="C287" s="97"/>
      <c r="D287" s="102"/>
      <c r="E287" s="251"/>
      <c r="F287" s="416"/>
      <c r="G287" s="97"/>
      <c r="H287" s="97"/>
      <c r="I287" s="97"/>
      <c r="J287" s="97"/>
      <c r="K287" s="97"/>
      <c r="L287" s="97"/>
      <c r="M287" s="97"/>
      <c r="N287" s="97"/>
      <c r="O287" s="97"/>
    </row>
    <row r="288" spans="1:15" ht="15.75" customHeight="1" x14ac:dyDescent="0.45">
      <c r="A288" s="97"/>
      <c r="B288" s="97"/>
      <c r="C288" s="97"/>
      <c r="D288" s="102"/>
      <c r="E288" s="251"/>
      <c r="F288" s="416"/>
      <c r="G288" s="97"/>
      <c r="H288" s="97"/>
      <c r="I288" s="97"/>
      <c r="J288" s="97"/>
      <c r="K288" s="97"/>
      <c r="L288" s="97"/>
      <c r="M288" s="97"/>
      <c r="N288" s="97"/>
      <c r="O288" s="97"/>
    </row>
    <row r="289" spans="1:15" ht="15.75" customHeight="1" x14ac:dyDescent="0.45">
      <c r="A289" s="97"/>
      <c r="B289" s="97"/>
      <c r="C289" s="97"/>
      <c r="D289" s="102"/>
      <c r="E289" s="251"/>
      <c r="F289" s="416"/>
      <c r="G289" s="97"/>
      <c r="H289" s="97"/>
      <c r="I289" s="97"/>
      <c r="J289" s="97"/>
      <c r="K289" s="97"/>
      <c r="L289" s="97"/>
      <c r="M289" s="97"/>
      <c r="N289" s="97"/>
      <c r="O289" s="97"/>
    </row>
    <row r="290" spans="1:15" ht="15.75" customHeight="1" x14ac:dyDescent="0.45">
      <c r="A290" s="97"/>
      <c r="B290" s="97"/>
      <c r="C290" s="97"/>
      <c r="D290" s="102"/>
      <c r="E290" s="251"/>
      <c r="F290" s="416"/>
      <c r="G290" s="97"/>
      <c r="H290" s="97"/>
      <c r="I290" s="97"/>
      <c r="J290" s="97"/>
      <c r="K290" s="97"/>
      <c r="L290" s="97"/>
      <c r="M290" s="97"/>
      <c r="N290" s="97"/>
      <c r="O290" s="97"/>
    </row>
    <row r="291" spans="1:15" ht="15.75" customHeight="1" x14ac:dyDescent="0.45">
      <c r="A291" s="97"/>
      <c r="B291" s="97"/>
      <c r="C291" s="97"/>
      <c r="D291" s="102"/>
      <c r="E291" s="251"/>
      <c r="F291" s="416"/>
      <c r="G291" s="97"/>
      <c r="H291" s="97"/>
      <c r="I291" s="97"/>
      <c r="J291" s="97"/>
      <c r="K291" s="97"/>
      <c r="L291" s="97"/>
      <c r="M291" s="97"/>
      <c r="N291" s="97"/>
      <c r="O291" s="97"/>
    </row>
    <row r="292" spans="1:15" ht="15.75" customHeight="1" x14ac:dyDescent="0.45">
      <c r="A292" s="97"/>
      <c r="B292" s="97"/>
      <c r="C292" s="97"/>
      <c r="D292" s="102"/>
      <c r="E292" s="251"/>
      <c r="F292" s="416"/>
      <c r="G292" s="97"/>
      <c r="H292" s="97"/>
      <c r="I292" s="97"/>
      <c r="J292" s="97"/>
      <c r="K292" s="97"/>
      <c r="L292" s="97"/>
      <c r="M292" s="97"/>
      <c r="N292" s="97"/>
      <c r="O292" s="97"/>
    </row>
    <row r="293" spans="1:15" ht="15.75" customHeight="1" x14ac:dyDescent="0.45">
      <c r="A293" s="97"/>
      <c r="B293" s="97"/>
      <c r="C293" s="97"/>
      <c r="D293" s="102"/>
      <c r="E293" s="251"/>
      <c r="F293" s="416"/>
      <c r="G293" s="97"/>
      <c r="H293" s="97"/>
      <c r="I293" s="97"/>
      <c r="J293" s="97"/>
      <c r="K293" s="97"/>
      <c r="L293" s="97"/>
      <c r="M293" s="97"/>
      <c r="N293" s="97"/>
      <c r="O293" s="97"/>
    </row>
    <row r="294" spans="1:15" ht="15.75" customHeight="1" x14ac:dyDescent="0.45">
      <c r="A294" s="97"/>
      <c r="B294" s="97"/>
      <c r="C294" s="97"/>
      <c r="D294" s="102"/>
      <c r="E294" s="251"/>
      <c r="F294" s="416"/>
      <c r="G294" s="97"/>
      <c r="H294" s="97"/>
      <c r="I294" s="97"/>
      <c r="J294" s="97"/>
      <c r="K294" s="97"/>
      <c r="L294" s="97"/>
      <c r="M294" s="97"/>
      <c r="N294" s="97"/>
      <c r="O294" s="97"/>
    </row>
    <row r="295" spans="1:15" ht="15.75" customHeight="1" x14ac:dyDescent="0.45">
      <c r="A295" s="97"/>
      <c r="B295" s="97"/>
      <c r="C295" s="97"/>
      <c r="D295" s="102"/>
      <c r="E295" s="251"/>
      <c r="F295" s="416"/>
      <c r="G295" s="97"/>
      <c r="H295" s="97"/>
      <c r="I295" s="97"/>
      <c r="J295" s="97"/>
      <c r="K295" s="97"/>
      <c r="L295" s="97"/>
      <c r="M295" s="97"/>
      <c r="N295" s="97"/>
      <c r="O295" s="97"/>
    </row>
    <row r="296" spans="1:15" ht="15.75" customHeight="1" x14ac:dyDescent="0.45">
      <c r="A296" s="97"/>
      <c r="B296" s="97"/>
      <c r="C296" s="97"/>
      <c r="D296" s="102"/>
      <c r="E296" s="251"/>
      <c r="F296" s="416"/>
      <c r="G296" s="97"/>
      <c r="H296" s="97"/>
      <c r="I296" s="97"/>
      <c r="J296" s="97"/>
      <c r="K296" s="97"/>
      <c r="L296" s="97"/>
      <c r="M296" s="97"/>
      <c r="N296" s="97"/>
      <c r="O296" s="97"/>
    </row>
    <row r="297" spans="1:15" ht="15.75" customHeight="1" x14ac:dyDescent="0.45">
      <c r="A297" s="97"/>
      <c r="B297" s="97"/>
      <c r="C297" s="97"/>
      <c r="D297" s="102"/>
      <c r="E297" s="251"/>
      <c r="F297" s="416"/>
      <c r="G297" s="97"/>
      <c r="H297" s="97"/>
      <c r="I297" s="97"/>
      <c r="J297" s="97"/>
      <c r="K297" s="97"/>
      <c r="L297" s="97"/>
      <c r="M297" s="97"/>
      <c r="N297" s="97"/>
      <c r="O297" s="97"/>
    </row>
    <row r="298" spans="1:15" ht="15.75" customHeight="1" x14ac:dyDescent="0.45">
      <c r="A298" s="97"/>
      <c r="B298" s="97"/>
      <c r="C298" s="97"/>
      <c r="D298" s="102"/>
      <c r="E298" s="251"/>
      <c r="F298" s="416"/>
      <c r="G298" s="97"/>
      <c r="H298" s="97"/>
      <c r="I298" s="97"/>
      <c r="J298" s="97"/>
      <c r="K298" s="97"/>
      <c r="L298" s="97"/>
      <c r="M298" s="97"/>
      <c r="N298" s="97"/>
      <c r="O298" s="97"/>
    </row>
    <row r="299" spans="1:15" ht="15.75" customHeight="1" x14ac:dyDescent="0.45">
      <c r="A299" s="97"/>
      <c r="B299" s="97"/>
      <c r="C299" s="97"/>
      <c r="D299" s="102"/>
      <c r="E299" s="251"/>
      <c r="F299" s="416"/>
      <c r="G299" s="97"/>
      <c r="H299" s="97"/>
      <c r="I299" s="97"/>
      <c r="J299" s="97"/>
      <c r="K299" s="97"/>
      <c r="L299" s="97"/>
      <c r="M299" s="97"/>
      <c r="N299" s="97"/>
      <c r="O299" s="97"/>
    </row>
    <row r="300" spans="1:15" ht="15.75" customHeight="1" x14ac:dyDescent="0.45">
      <c r="A300" s="97"/>
      <c r="B300" s="97"/>
      <c r="C300" s="97"/>
      <c r="D300" s="102"/>
      <c r="E300" s="251"/>
      <c r="F300" s="416"/>
      <c r="G300" s="97"/>
      <c r="H300" s="97"/>
      <c r="I300" s="97"/>
      <c r="J300" s="97"/>
      <c r="K300" s="97"/>
      <c r="L300" s="97"/>
      <c r="M300" s="97"/>
      <c r="N300" s="97"/>
      <c r="O300" s="97"/>
    </row>
    <row r="301" spans="1:15" ht="15.75" customHeight="1" x14ac:dyDescent="0.45">
      <c r="A301" s="97"/>
      <c r="B301" s="97"/>
      <c r="C301" s="97"/>
      <c r="D301" s="102"/>
      <c r="E301" s="251"/>
      <c r="F301" s="416"/>
      <c r="G301" s="97"/>
      <c r="H301" s="97"/>
      <c r="I301" s="97"/>
      <c r="J301" s="97"/>
      <c r="K301" s="97"/>
      <c r="L301" s="97"/>
      <c r="M301" s="97"/>
      <c r="N301" s="97"/>
      <c r="O301" s="97"/>
    </row>
    <row r="302" spans="1:15" ht="15.75" customHeight="1" x14ac:dyDescent="0.45">
      <c r="A302" s="97"/>
      <c r="B302" s="97"/>
      <c r="C302" s="97"/>
      <c r="D302" s="102"/>
      <c r="E302" s="251"/>
      <c r="F302" s="416"/>
      <c r="G302" s="97"/>
      <c r="H302" s="97"/>
      <c r="I302" s="97"/>
      <c r="J302" s="97"/>
      <c r="K302" s="97"/>
      <c r="L302" s="97"/>
      <c r="M302" s="97"/>
      <c r="N302" s="97"/>
      <c r="O302" s="97"/>
    </row>
    <row r="303" spans="1:15" ht="15.75" customHeight="1" x14ac:dyDescent="0.45">
      <c r="A303" s="97"/>
      <c r="B303" s="97"/>
      <c r="C303" s="97"/>
      <c r="D303" s="102"/>
      <c r="E303" s="251"/>
      <c r="F303" s="416"/>
      <c r="G303" s="97"/>
      <c r="H303" s="97"/>
      <c r="I303" s="97"/>
      <c r="J303" s="97"/>
      <c r="K303" s="97"/>
      <c r="L303" s="97"/>
      <c r="M303" s="97"/>
      <c r="N303" s="97"/>
      <c r="O303" s="97"/>
    </row>
    <row r="304" spans="1:15" ht="15.75" customHeight="1" x14ac:dyDescent="0.45">
      <c r="A304" s="97"/>
      <c r="B304" s="97"/>
      <c r="C304" s="97"/>
      <c r="D304" s="102"/>
      <c r="E304" s="251"/>
      <c r="F304" s="416"/>
      <c r="G304" s="97"/>
      <c r="H304" s="97"/>
      <c r="I304" s="97"/>
      <c r="J304" s="97"/>
      <c r="K304" s="97"/>
      <c r="L304" s="97"/>
      <c r="M304" s="97"/>
      <c r="N304" s="97"/>
      <c r="O304" s="97"/>
    </row>
    <row r="305" spans="1:15" ht="15.75" customHeight="1" x14ac:dyDescent="0.45">
      <c r="A305" s="97"/>
      <c r="B305" s="97"/>
      <c r="C305" s="97"/>
      <c r="D305" s="102"/>
      <c r="E305" s="251"/>
      <c r="F305" s="416"/>
      <c r="G305" s="97"/>
      <c r="H305" s="97"/>
      <c r="I305" s="97"/>
      <c r="J305" s="97"/>
      <c r="K305" s="97"/>
      <c r="L305" s="97"/>
      <c r="M305" s="97"/>
      <c r="N305" s="97"/>
      <c r="O305" s="97"/>
    </row>
    <row r="306" spans="1:15" ht="15.75" customHeight="1" x14ac:dyDescent="0.45">
      <c r="A306" s="97"/>
      <c r="B306" s="97"/>
      <c r="C306" s="97"/>
      <c r="D306" s="102"/>
      <c r="E306" s="251"/>
      <c r="F306" s="416"/>
      <c r="G306" s="97"/>
      <c r="H306" s="97"/>
      <c r="I306" s="97"/>
      <c r="J306" s="97"/>
      <c r="K306" s="97"/>
      <c r="L306" s="97"/>
      <c r="M306" s="97"/>
      <c r="N306" s="97"/>
      <c r="O306" s="97"/>
    </row>
    <row r="307" spans="1:15" ht="15.75" customHeight="1" x14ac:dyDescent="0.45">
      <c r="A307" s="97"/>
      <c r="B307" s="97"/>
      <c r="C307" s="97"/>
      <c r="D307" s="102"/>
      <c r="E307" s="251"/>
      <c r="F307" s="416"/>
      <c r="G307" s="97"/>
      <c r="H307" s="97"/>
      <c r="I307" s="97"/>
      <c r="J307" s="97"/>
      <c r="K307" s="97"/>
      <c r="L307" s="97"/>
      <c r="M307" s="97"/>
      <c r="N307" s="97"/>
      <c r="O307" s="97"/>
    </row>
    <row r="308" spans="1:15" ht="15.75" customHeight="1" x14ac:dyDescent="0.45">
      <c r="A308" s="97"/>
      <c r="B308" s="97"/>
      <c r="C308" s="97"/>
      <c r="D308" s="102"/>
      <c r="E308" s="251"/>
      <c r="F308" s="416"/>
      <c r="G308" s="97"/>
      <c r="H308" s="97"/>
      <c r="I308" s="97"/>
      <c r="J308" s="97"/>
      <c r="K308" s="97"/>
      <c r="L308" s="97"/>
      <c r="M308" s="97"/>
      <c r="N308" s="97"/>
      <c r="O308" s="97"/>
    </row>
    <row r="309" spans="1:15" ht="15.75" customHeight="1" x14ac:dyDescent="0.45">
      <c r="A309" s="97"/>
      <c r="B309" s="97"/>
      <c r="C309" s="97"/>
      <c r="D309" s="102"/>
      <c r="E309" s="251"/>
      <c r="F309" s="416"/>
      <c r="G309" s="97"/>
      <c r="H309" s="97"/>
      <c r="I309" s="97"/>
      <c r="J309" s="97"/>
      <c r="K309" s="97"/>
      <c r="L309" s="97"/>
      <c r="M309" s="97"/>
      <c r="N309" s="97"/>
      <c r="O309" s="97"/>
    </row>
    <row r="310" spans="1:15" ht="15.75" customHeight="1" x14ac:dyDescent="0.45">
      <c r="A310" s="97"/>
      <c r="B310" s="97"/>
      <c r="C310" s="97"/>
      <c r="D310" s="102"/>
      <c r="E310" s="251"/>
      <c r="F310" s="416"/>
      <c r="G310" s="97"/>
      <c r="H310" s="97"/>
      <c r="I310" s="97"/>
      <c r="J310" s="97"/>
      <c r="K310" s="97"/>
      <c r="L310" s="97"/>
      <c r="M310" s="97"/>
      <c r="N310" s="97"/>
      <c r="O310" s="97"/>
    </row>
    <row r="311" spans="1:15" ht="15.75" customHeight="1" x14ac:dyDescent="0.45">
      <c r="A311" s="97"/>
      <c r="B311" s="97"/>
      <c r="C311" s="97"/>
      <c r="D311" s="102"/>
      <c r="E311" s="251"/>
      <c r="F311" s="416"/>
      <c r="G311" s="97"/>
      <c r="H311" s="97"/>
      <c r="I311" s="97"/>
      <c r="J311" s="97"/>
      <c r="K311" s="97"/>
      <c r="L311" s="97"/>
      <c r="M311" s="97"/>
      <c r="N311" s="97"/>
      <c r="O311" s="97"/>
    </row>
    <row r="312" spans="1:15" ht="15.75" customHeight="1" x14ac:dyDescent="0.45">
      <c r="A312" s="97"/>
      <c r="B312" s="97"/>
      <c r="C312" s="97"/>
      <c r="D312" s="102"/>
      <c r="E312" s="251"/>
      <c r="F312" s="416"/>
      <c r="G312" s="97"/>
      <c r="H312" s="97"/>
      <c r="I312" s="97"/>
      <c r="J312" s="97"/>
      <c r="K312" s="97"/>
      <c r="L312" s="97"/>
      <c r="M312" s="97"/>
      <c r="N312" s="97"/>
      <c r="O312" s="97"/>
    </row>
    <row r="313" spans="1:15" ht="15.75" customHeight="1" x14ac:dyDescent="0.45">
      <c r="A313" s="97"/>
      <c r="B313" s="97"/>
      <c r="C313" s="97"/>
      <c r="D313" s="102"/>
      <c r="E313" s="251"/>
      <c r="F313" s="416"/>
      <c r="G313" s="97"/>
      <c r="H313" s="97"/>
      <c r="I313" s="97"/>
      <c r="J313" s="97"/>
      <c r="K313" s="97"/>
      <c r="L313" s="97"/>
      <c r="M313" s="97"/>
      <c r="N313" s="97"/>
      <c r="O313" s="97"/>
    </row>
    <row r="314" spans="1:15" ht="15.75" customHeight="1" x14ac:dyDescent="0.45">
      <c r="A314" s="97"/>
      <c r="B314" s="97"/>
      <c r="C314" s="97"/>
      <c r="D314" s="102"/>
      <c r="E314" s="251"/>
      <c r="F314" s="416"/>
      <c r="G314" s="97"/>
      <c r="H314" s="97"/>
      <c r="I314" s="97"/>
      <c r="J314" s="97"/>
      <c r="K314" s="97"/>
      <c r="L314" s="97"/>
      <c r="M314" s="97"/>
      <c r="N314" s="97"/>
      <c r="O314" s="97"/>
    </row>
    <row r="315" spans="1:15" ht="15.75" customHeight="1" x14ac:dyDescent="0.45">
      <c r="A315" s="97"/>
      <c r="B315" s="97"/>
      <c r="C315" s="97"/>
      <c r="D315" s="102"/>
      <c r="E315" s="251"/>
      <c r="F315" s="416"/>
      <c r="G315" s="97"/>
      <c r="H315" s="97"/>
      <c r="I315" s="97"/>
      <c r="J315" s="97"/>
      <c r="K315" s="97"/>
      <c r="L315" s="97"/>
      <c r="M315" s="97"/>
      <c r="N315" s="97"/>
      <c r="O315" s="97"/>
    </row>
    <row r="316" spans="1:15" ht="15.75" customHeight="1" x14ac:dyDescent="0.45">
      <c r="A316" s="97"/>
      <c r="B316" s="97"/>
      <c r="C316" s="97"/>
      <c r="D316" s="102"/>
      <c r="E316" s="251"/>
      <c r="F316" s="416"/>
      <c r="G316" s="97"/>
      <c r="H316" s="97"/>
      <c r="I316" s="97"/>
      <c r="J316" s="97"/>
      <c r="K316" s="97"/>
      <c r="L316" s="97"/>
      <c r="M316" s="97"/>
      <c r="N316" s="97"/>
      <c r="O316" s="97"/>
    </row>
    <row r="317" spans="1:15" ht="15.75" customHeight="1" x14ac:dyDescent="0.45">
      <c r="A317" s="97"/>
      <c r="B317" s="97"/>
      <c r="C317" s="97"/>
      <c r="D317" s="102"/>
      <c r="E317" s="251"/>
      <c r="F317" s="416"/>
      <c r="G317" s="97"/>
      <c r="H317" s="97"/>
      <c r="I317" s="97"/>
      <c r="J317" s="97"/>
      <c r="K317" s="97"/>
      <c r="L317" s="97"/>
      <c r="M317" s="97"/>
      <c r="N317" s="97"/>
      <c r="O317" s="97"/>
    </row>
    <row r="318" spans="1:15" ht="15.75" customHeight="1" x14ac:dyDescent="0.45">
      <c r="A318" s="97"/>
      <c r="B318" s="97"/>
      <c r="C318" s="97"/>
      <c r="D318" s="102"/>
      <c r="E318" s="251"/>
      <c r="F318" s="416"/>
      <c r="G318" s="97"/>
      <c r="H318" s="97"/>
      <c r="I318" s="97"/>
      <c r="J318" s="97"/>
      <c r="K318" s="97"/>
      <c r="L318" s="97"/>
      <c r="M318" s="97"/>
      <c r="N318" s="97"/>
      <c r="O318" s="97"/>
    </row>
    <row r="319" spans="1:15" ht="15.75" customHeight="1" x14ac:dyDescent="0.45">
      <c r="A319" s="97"/>
      <c r="B319" s="97"/>
      <c r="C319" s="97"/>
      <c r="D319" s="102"/>
      <c r="E319" s="251"/>
      <c r="F319" s="416"/>
      <c r="G319" s="97"/>
      <c r="H319" s="97"/>
      <c r="I319" s="97"/>
      <c r="J319" s="97"/>
      <c r="K319" s="97"/>
      <c r="L319" s="97"/>
      <c r="M319" s="97"/>
      <c r="N319" s="97"/>
      <c r="O319" s="97"/>
    </row>
    <row r="320" spans="1:15" ht="15.75" customHeight="1" x14ac:dyDescent="0.45">
      <c r="A320" s="97"/>
      <c r="B320" s="97"/>
      <c r="C320" s="97"/>
      <c r="D320" s="102"/>
      <c r="E320" s="251"/>
      <c r="F320" s="416"/>
      <c r="G320" s="97"/>
      <c r="H320" s="97"/>
      <c r="I320" s="97"/>
      <c r="J320" s="97"/>
      <c r="K320" s="97"/>
      <c r="L320" s="97"/>
      <c r="M320" s="97"/>
      <c r="N320" s="97"/>
      <c r="O320" s="97"/>
    </row>
    <row r="321" spans="1:15" ht="15.75" customHeight="1" x14ac:dyDescent="0.45">
      <c r="A321" s="97"/>
      <c r="B321" s="97"/>
      <c r="C321" s="97"/>
      <c r="D321" s="102"/>
      <c r="E321" s="251"/>
      <c r="F321" s="416"/>
      <c r="G321" s="97"/>
      <c r="H321" s="97"/>
      <c r="I321" s="97"/>
      <c r="J321" s="97"/>
      <c r="K321" s="97"/>
      <c r="L321" s="97"/>
      <c r="M321" s="97"/>
      <c r="N321" s="97"/>
      <c r="O321" s="97"/>
    </row>
    <row r="322" spans="1:15" ht="15.75" customHeight="1" x14ac:dyDescent="0.45">
      <c r="A322" s="97"/>
      <c r="B322" s="97"/>
      <c r="C322" s="97"/>
      <c r="D322" s="102"/>
      <c r="E322" s="251"/>
      <c r="F322" s="416"/>
      <c r="G322" s="97"/>
      <c r="H322" s="97"/>
      <c r="I322" s="97"/>
      <c r="J322" s="97"/>
      <c r="K322" s="97"/>
      <c r="L322" s="97"/>
      <c r="M322" s="97"/>
      <c r="N322" s="97"/>
      <c r="O322" s="97"/>
    </row>
    <row r="323" spans="1:15" ht="15.75" customHeight="1" x14ac:dyDescent="0.45">
      <c r="A323" s="97"/>
      <c r="B323" s="97"/>
      <c r="C323" s="97"/>
      <c r="D323" s="102"/>
      <c r="E323" s="251"/>
      <c r="F323" s="416"/>
      <c r="G323" s="97"/>
      <c r="H323" s="97"/>
      <c r="I323" s="97"/>
      <c r="J323" s="97"/>
      <c r="K323" s="97"/>
      <c r="L323" s="97"/>
      <c r="M323" s="97"/>
      <c r="N323" s="97"/>
      <c r="O323" s="97"/>
    </row>
    <row r="324" spans="1:15" ht="15.75" customHeight="1" x14ac:dyDescent="0.45">
      <c r="A324" s="97"/>
      <c r="B324" s="97"/>
      <c r="C324" s="97"/>
      <c r="D324" s="102"/>
      <c r="E324" s="251"/>
      <c r="F324" s="416"/>
      <c r="G324" s="97"/>
      <c r="H324" s="97"/>
      <c r="I324" s="97"/>
      <c r="J324" s="97"/>
      <c r="K324" s="97"/>
      <c r="L324" s="97"/>
      <c r="M324" s="97"/>
      <c r="N324" s="97"/>
      <c r="O324" s="97"/>
    </row>
    <row r="325" spans="1:15" ht="15.75" customHeight="1" x14ac:dyDescent="0.45">
      <c r="A325" s="97"/>
      <c r="B325" s="97"/>
      <c r="C325" s="97"/>
      <c r="D325" s="102"/>
      <c r="E325" s="251"/>
      <c r="F325" s="416"/>
      <c r="G325" s="97"/>
      <c r="H325" s="97"/>
      <c r="I325" s="97"/>
      <c r="J325" s="97"/>
      <c r="K325" s="97"/>
      <c r="L325" s="97"/>
      <c r="M325" s="97"/>
      <c r="N325" s="97"/>
      <c r="O325" s="97"/>
    </row>
    <row r="326" spans="1:15" ht="15.75" customHeight="1" x14ac:dyDescent="0.45">
      <c r="A326" s="97"/>
      <c r="B326" s="97"/>
      <c r="C326" s="97"/>
      <c r="D326" s="102"/>
      <c r="E326" s="251"/>
      <c r="F326" s="416"/>
      <c r="G326" s="97"/>
      <c r="H326" s="97"/>
      <c r="I326" s="97"/>
      <c r="J326" s="97"/>
      <c r="K326" s="97"/>
      <c r="L326" s="97"/>
      <c r="M326" s="97"/>
      <c r="N326" s="97"/>
      <c r="O326" s="97"/>
    </row>
    <row r="327" spans="1:15" ht="15.75" customHeight="1" x14ac:dyDescent="0.45">
      <c r="A327" s="97"/>
      <c r="B327" s="97"/>
      <c r="C327" s="97"/>
      <c r="D327" s="102"/>
      <c r="E327" s="251"/>
      <c r="F327" s="416"/>
      <c r="G327" s="97"/>
      <c r="H327" s="97"/>
      <c r="I327" s="97"/>
      <c r="J327" s="97"/>
      <c r="K327" s="97"/>
      <c r="L327" s="97"/>
      <c r="M327" s="97"/>
      <c r="N327" s="97"/>
      <c r="O327" s="97"/>
    </row>
    <row r="328" spans="1:15" ht="15.75" customHeight="1" x14ac:dyDescent="0.45">
      <c r="A328" s="97"/>
      <c r="B328" s="97"/>
      <c r="C328" s="97"/>
      <c r="D328" s="102"/>
      <c r="E328" s="251"/>
      <c r="F328" s="416"/>
      <c r="G328" s="97"/>
      <c r="H328" s="97"/>
      <c r="I328" s="97"/>
      <c r="J328" s="97"/>
      <c r="K328" s="97"/>
      <c r="L328" s="97"/>
      <c r="M328" s="97"/>
      <c r="N328" s="97"/>
      <c r="O328" s="97"/>
    </row>
    <row r="329" spans="1:15" ht="15.75" customHeight="1" x14ac:dyDescent="0.45">
      <c r="A329" s="97"/>
      <c r="B329" s="97"/>
      <c r="C329" s="97"/>
      <c r="D329" s="102"/>
      <c r="E329" s="251"/>
      <c r="F329" s="416"/>
      <c r="G329" s="97"/>
      <c r="H329" s="97"/>
      <c r="I329" s="97"/>
      <c r="J329" s="97"/>
      <c r="K329" s="97"/>
      <c r="L329" s="97"/>
      <c r="M329" s="97"/>
      <c r="N329" s="97"/>
      <c r="O329" s="97"/>
    </row>
    <row r="330" spans="1:15" ht="15.75" customHeight="1" x14ac:dyDescent="0.45">
      <c r="A330" s="97"/>
      <c r="B330" s="97"/>
      <c r="C330" s="97"/>
      <c r="D330" s="102"/>
      <c r="E330" s="251"/>
      <c r="F330" s="416"/>
      <c r="G330" s="97"/>
      <c r="H330" s="97"/>
      <c r="I330" s="97"/>
      <c r="J330" s="97"/>
      <c r="K330" s="97"/>
      <c r="L330" s="97"/>
      <c r="M330" s="97"/>
      <c r="N330" s="97"/>
      <c r="O330" s="97"/>
    </row>
    <row r="331" spans="1:15" ht="15.75" customHeight="1" x14ac:dyDescent="0.45">
      <c r="A331" s="97"/>
      <c r="B331" s="97"/>
      <c r="C331" s="97"/>
      <c r="D331" s="102"/>
      <c r="E331" s="251"/>
      <c r="F331" s="416"/>
      <c r="G331" s="97"/>
      <c r="H331" s="97"/>
      <c r="I331" s="97"/>
      <c r="J331" s="97"/>
      <c r="K331" s="97"/>
      <c r="L331" s="97"/>
      <c r="M331" s="97"/>
      <c r="N331" s="97"/>
      <c r="O331" s="97"/>
    </row>
    <row r="332" spans="1:15" ht="15.75" customHeight="1" x14ac:dyDescent="0.45">
      <c r="A332" s="97"/>
      <c r="B332" s="97"/>
      <c r="C332" s="97"/>
      <c r="D332" s="102"/>
      <c r="E332" s="251"/>
      <c r="F332" s="416"/>
      <c r="G332" s="97"/>
      <c r="H332" s="97"/>
      <c r="I332" s="97"/>
      <c r="J332" s="97"/>
      <c r="K332" s="97"/>
      <c r="L332" s="97"/>
      <c r="M332" s="97"/>
      <c r="N332" s="97"/>
      <c r="O332" s="97"/>
    </row>
    <row r="333" spans="1:15" ht="15.75" customHeight="1" x14ac:dyDescent="0.45">
      <c r="A333" s="97"/>
      <c r="B333" s="97"/>
      <c r="C333" s="97"/>
      <c r="D333" s="102"/>
      <c r="E333" s="251"/>
      <c r="F333" s="416"/>
      <c r="G333" s="97"/>
      <c r="H333" s="97"/>
      <c r="I333" s="97"/>
      <c r="J333" s="97"/>
      <c r="K333" s="97"/>
      <c r="L333" s="97"/>
      <c r="M333" s="97"/>
      <c r="N333" s="97"/>
      <c r="O333" s="97"/>
    </row>
    <row r="334" spans="1:15" ht="15.75" customHeight="1" x14ac:dyDescent="0.45">
      <c r="A334" s="97"/>
      <c r="B334" s="97"/>
      <c r="C334" s="97"/>
      <c r="D334" s="102"/>
      <c r="E334" s="251"/>
      <c r="F334" s="416"/>
      <c r="G334" s="97"/>
      <c r="H334" s="97"/>
      <c r="I334" s="97"/>
      <c r="J334" s="97"/>
      <c r="K334" s="97"/>
      <c r="L334" s="97"/>
      <c r="M334" s="97"/>
      <c r="N334" s="97"/>
      <c r="O334" s="97"/>
    </row>
    <row r="335" spans="1:15" ht="15.75" customHeight="1" x14ac:dyDescent="0.45">
      <c r="A335" s="97"/>
      <c r="B335" s="97"/>
      <c r="C335" s="97"/>
      <c r="D335" s="102"/>
      <c r="E335" s="251"/>
      <c r="F335" s="416"/>
      <c r="G335" s="97"/>
      <c r="H335" s="97"/>
      <c r="I335" s="97"/>
      <c r="J335" s="97"/>
      <c r="K335" s="97"/>
      <c r="L335" s="97"/>
      <c r="M335" s="97"/>
      <c r="N335" s="97"/>
      <c r="O335" s="97"/>
    </row>
    <row r="336" spans="1:15" ht="15.75" customHeight="1" x14ac:dyDescent="0.45">
      <c r="A336" s="97"/>
      <c r="B336" s="97"/>
      <c r="C336" s="97"/>
      <c r="D336" s="102"/>
      <c r="E336" s="251"/>
      <c r="F336" s="416"/>
      <c r="G336" s="97"/>
      <c r="H336" s="97"/>
      <c r="I336" s="97"/>
      <c r="J336" s="97"/>
      <c r="K336" s="97"/>
      <c r="L336" s="97"/>
      <c r="M336" s="97"/>
      <c r="N336" s="97"/>
      <c r="O336" s="97"/>
    </row>
    <row r="337" spans="1:15" ht="15.75" customHeight="1" x14ac:dyDescent="0.45">
      <c r="A337" s="97"/>
      <c r="B337" s="97"/>
      <c r="C337" s="97"/>
      <c r="D337" s="102"/>
      <c r="E337" s="251"/>
      <c r="F337" s="416"/>
      <c r="G337" s="97"/>
      <c r="H337" s="97"/>
      <c r="I337" s="97"/>
      <c r="J337" s="97"/>
      <c r="K337" s="97"/>
      <c r="L337" s="97"/>
      <c r="M337" s="97"/>
      <c r="N337" s="97"/>
      <c r="O337" s="97"/>
    </row>
    <row r="338" spans="1:15" ht="15.75" customHeight="1" x14ac:dyDescent="0.45">
      <c r="A338" s="97"/>
      <c r="B338" s="97"/>
      <c r="C338" s="97"/>
      <c r="D338" s="102"/>
      <c r="E338" s="251"/>
      <c r="F338" s="416"/>
      <c r="G338" s="97"/>
      <c r="H338" s="97"/>
      <c r="I338" s="97"/>
      <c r="J338" s="97"/>
      <c r="K338" s="97"/>
      <c r="L338" s="97"/>
      <c r="M338" s="97"/>
      <c r="N338" s="97"/>
      <c r="O338" s="97"/>
    </row>
    <row r="339" spans="1:15" ht="15.75" customHeight="1" x14ac:dyDescent="0.45">
      <c r="A339" s="97"/>
      <c r="B339" s="97"/>
      <c r="C339" s="97"/>
      <c r="D339" s="102"/>
      <c r="E339" s="251"/>
      <c r="F339" s="416"/>
      <c r="G339" s="97"/>
      <c r="H339" s="97"/>
      <c r="I339" s="97"/>
      <c r="J339" s="97"/>
      <c r="K339" s="97"/>
      <c r="L339" s="97"/>
      <c r="M339" s="97"/>
      <c r="N339" s="97"/>
      <c r="O339" s="97"/>
    </row>
    <row r="340" spans="1:15" ht="15.75" customHeight="1" x14ac:dyDescent="0.45">
      <c r="A340" s="97"/>
      <c r="B340" s="97"/>
      <c r="C340" s="97"/>
      <c r="D340" s="102"/>
      <c r="E340" s="251"/>
      <c r="F340" s="416"/>
      <c r="G340" s="97"/>
      <c r="H340" s="97"/>
      <c r="I340" s="97"/>
      <c r="J340" s="97"/>
      <c r="K340" s="97"/>
      <c r="L340" s="97"/>
      <c r="M340" s="97"/>
      <c r="N340" s="97"/>
      <c r="O340" s="97"/>
    </row>
    <row r="341" spans="1:15" ht="15.75" customHeight="1" x14ac:dyDescent="0.45">
      <c r="A341" s="97"/>
      <c r="B341" s="97"/>
      <c r="C341" s="97"/>
      <c r="D341" s="102"/>
      <c r="E341" s="251"/>
      <c r="F341" s="416"/>
      <c r="G341" s="97"/>
      <c r="H341" s="97"/>
      <c r="I341" s="97"/>
      <c r="J341" s="97"/>
      <c r="K341" s="97"/>
      <c r="L341" s="97"/>
      <c r="M341" s="97"/>
      <c r="N341" s="97"/>
      <c r="O341" s="97"/>
    </row>
    <row r="342" spans="1:15" ht="15.75" customHeight="1" x14ac:dyDescent="0.45">
      <c r="A342" s="97"/>
      <c r="B342" s="97"/>
      <c r="C342" s="97"/>
      <c r="D342" s="102"/>
      <c r="E342" s="251"/>
      <c r="F342" s="416"/>
      <c r="G342" s="97"/>
      <c r="H342" s="97"/>
      <c r="I342" s="97"/>
      <c r="J342" s="97"/>
      <c r="K342" s="97"/>
      <c r="L342" s="97"/>
      <c r="M342" s="97"/>
      <c r="N342" s="97"/>
      <c r="O342" s="97"/>
    </row>
    <row r="343" spans="1:15" ht="15.75" customHeight="1" x14ac:dyDescent="0.45">
      <c r="A343" s="97"/>
      <c r="B343" s="97"/>
      <c r="C343" s="97"/>
      <c r="D343" s="102"/>
      <c r="E343" s="251"/>
      <c r="F343" s="416"/>
      <c r="G343" s="97"/>
      <c r="H343" s="97"/>
      <c r="I343" s="97"/>
      <c r="J343" s="97"/>
      <c r="K343" s="97"/>
      <c r="L343" s="97"/>
      <c r="M343" s="97"/>
      <c r="N343" s="97"/>
      <c r="O343" s="97"/>
    </row>
    <row r="344" spans="1:15" ht="15.75" customHeight="1" x14ac:dyDescent="0.45">
      <c r="A344" s="97"/>
      <c r="B344" s="97"/>
      <c r="C344" s="97"/>
      <c r="D344" s="102"/>
      <c r="E344" s="251"/>
      <c r="F344" s="416"/>
      <c r="G344" s="97"/>
      <c r="H344" s="97"/>
      <c r="I344" s="97"/>
      <c r="J344" s="97"/>
      <c r="K344" s="97"/>
      <c r="L344" s="97"/>
      <c r="M344" s="97"/>
      <c r="N344" s="97"/>
      <c r="O344" s="97"/>
    </row>
    <row r="345" spans="1:15" ht="15.75" customHeight="1" x14ac:dyDescent="0.45">
      <c r="A345" s="97"/>
      <c r="B345" s="97"/>
      <c r="C345" s="97"/>
      <c r="D345" s="102"/>
      <c r="E345" s="251"/>
      <c r="F345" s="416"/>
      <c r="G345" s="97"/>
      <c r="H345" s="97"/>
      <c r="I345" s="97"/>
      <c r="J345" s="97"/>
      <c r="K345" s="97"/>
      <c r="L345" s="97"/>
      <c r="M345" s="97"/>
      <c r="N345" s="97"/>
      <c r="O345" s="97"/>
    </row>
    <row r="346" spans="1:15" ht="15.75" customHeight="1" x14ac:dyDescent="0.45">
      <c r="A346" s="97"/>
      <c r="B346" s="97"/>
      <c r="C346" s="97"/>
      <c r="D346" s="102"/>
      <c r="E346" s="251"/>
      <c r="F346" s="416"/>
      <c r="G346" s="97"/>
      <c r="H346" s="97"/>
      <c r="I346" s="97"/>
      <c r="J346" s="97"/>
      <c r="K346" s="97"/>
      <c r="L346" s="97"/>
      <c r="M346" s="97"/>
      <c r="N346" s="97"/>
      <c r="O346" s="97"/>
    </row>
    <row r="347" spans="1:15" ht="15.75" customHeight="1" x14ac:dyDescent="0.45">
      <c r="A347" s="97"/>
      <c r="B347" s="97"/>
      <c r="C347" s="97"/>
      <c r="D347" s="102"/>
      <c r="E347" s="251"/>
      <c r="F347" s="416"/>
      <c r="G347" s="97"/>
      <c r="H347" s="97"/>
      <c r="I347" s="97"/>
      <c r="J347" s="97"/>
      <c r="K347" s="97"/>
      <c r="L347" s="97"/>
      <c r="M347" s="97"/>
      <c r="N347" s="97"/>
      <c r="O347" s="97"/>
    </row>
    <row r="348" spans="1:15" ht="15.75" customHeight="1" x14ac:dyDescent="0.45">
      <c r="A348" s="97"/>
      <c r="B348" s="97"/>
      <c r="C348" s="97"/>
      <c r="D348" s="102"/>
      <c r="E348" s="251"/>
      <c r="F348" s="416"/>
      <c r="G348" s="97"/>
      <c r="H348" s="97"/>
      <c r="I348" s="97"/>
      <c r="J348" s="97"/>
      <c r="K348" s="97"/>
      <c r="L348" s="97"/>
      <c r="M348" s="97"/>
      <c r="N348" s="97"/>
      <c r="O348" s="97"/>
    </row>
    <row r="349" spans="1:15" ht="15.75" customHeight="1" x14ac:dyDescent="0.45">
      <c r="A349" s="97"/>
      <c r="B349" s="97"/>
      <c r="C349" s="97"/>
      <c r="D349" s="102"/>
      <c r="E349" s="251"/>
      <c r="F349" s="416"/>
      <c r="G349" s="97"/>
      <c r="H349" s="97"/>
      <c r="I349" s="97"/>
      <c r="J349" s="97"/>
      <c r="K349" s="97"/>
      <c r="L349" s="97"/>
      <c r="M349" s="97"/>
      <c r="N349" s="97"/>
      <c r="O349" s="97"/>
    </row>
    <row r="350" spans="1:15" ht="15.75" customHeight="1" x14ac:dyDescent="0.45">
      <c r="A350" s="97"/>
      <c r="B350" s="97"/>
      <c r="C350" s="97"/>
      <c r="D350" s="102"/>
      <c r="E350" s="251"/>
      <c r="F350" s="416"/>
      <c r="G350" s="97"/>
      <c r="H350" s="97"/>
      <c r="I350" s="97"/>
      <c r="J350" s="97"/>
      <c r="K350" s="97"/>
      <c r="L350" s="97"/>
      <c r="M350" s="97"/>
      <c r="N350" s="97"/>
      <c r="O350" s="97"/>
    </row>
    <row r="351" spans="1:15" ht="15.75" customHeight="1" x14ac:dyDescent="0.45">
      <c r="A351" s="97"/>
      <c r="B351" s="97"/>
      <c r="C351" s="97"/>
      <c r="D351" s="102"/>
      <c r="E351" s="251"/>
      <c r="F351" s="416"/>
      <c r="G351" s="97"/>
      <c r="H351" s="97"/>
      <c r="I351" s="97"/>
      <c r="J351" s="97"/>
      <c r="K351" s="97"/>
      <c r="L351" s="97"/>
      <c r="M351" s="97"/>
      <c r="N351" s="97"/>
      <c r="O351" s="97"/>
    </row>
    <row r="352" spans="1:15" ht="15.75" customHeight="1" x14ac:dyDescent="0.45">
      <c r="A352" s="97"/>
      <c r="B352" s="97"/>
      <c r="C352" s="97"/>
      <c r="D352" s="102"/>
      <c r="E352" s="251"/>
      <c r="F352" s="416"/>
      <c r="G352" s="97"/>
      <c r="H352" s="97"/>
      <c r="I352" s="97"/>
      <c r="J352" s="97"/>
      <c r="K352" s="97"/>
      <c r="L352" s="97"/>
      <c r="M352" s="97"/>
      <c r="N352" s="97"/>
      <c r="O352" s="97"/>
    </row>
    <row r="353" spans="1:15" ht="15.75" customHeight="1" x14ac:dyDescent="0.45">
      <c r="A353" s="97"/>
      <c r="B353" s="97"/>
      <c r="C353" s="97"/>
      <c r="D353" s="102"/>
      <c r="E353" s="251"/>
      <c r="F353" s="416"/>
      <c r="G353" s="97"/>
      <c r="H353" s="97"/>
      <c r="I353" s="97"/>
      <c r="J353" s="97"/>
      <c r="K353" s="97"/>
      <c r="L353" s="97"/>
      <c r="M353" s="97"/>
      <c r="N353" s="97"/>
      <c r="O353" s="97"/>
    </row>
    <row r="354" spans="1:15" ht="15.75" customHeight="1" x14ac:dyDescent="0.45">
      <c r="A354" s="97"/>
      <c r="B354" s="97"/>
      <c r="C354" s="97"/>
      <c r="D354" s="102"/>
      <c r="E354" s="251"/>
      <c r="F354" s="416"/>
      <c r="G354" s="97"/>
      <c r="H354" s="97"/>
      <c r="I354" s="97"/>
      <c r="J354" s="97"/>
      <c r="K354" s="97"/>
      <c r="L354" s="97"/>
      <c r="M354" s="97"/>
      <c r="N354" s="97"/>
      <c r="O354" s="97"/>
    </row>
    <row r="355" spans="1:15" ht="15.75" customHeight="1" x14ac:dyDescent="0.45">
      <c r="A355" s="97"/>
      <c r="B355" s="97"/>
      <c r="C355" s="97"/>
      <c r="D355" s="102"/>
      <c r="E355" s="251"/>
      <c r="F355" s="416"/>
      <c r="G355" s="97"/>
      <c r="H355" s="97"/>
      <c r="I355" s="97"/>
      <c r="J355" s="97"/>
      <c r="K355" s="97"/>
      <c r="L355" s="97"/>
      <c r="M355" s="97"/>
      <c r="N355" s="97"/>
      <c r="O355" s="97"/>
    </row>
    <row r="356" spans="1:15" ht="15.75" customHeight="1" x14ac:dyDescent="0.45">
      <c r="A356" s="97"/>
      <c r="B356" s="97"/>
      <c r="C356" s="97"/>
      <c r="D356" s="102"/>
      <c r="E356" s="251"/>
      <c r="F356" s="416"/>
      <c r="G356" s="97"/>
      <c r="H356" s="97"/>
      <c r="I356" s="97"/>
      <c r="J356" s="97"/>
      <c r="K356" s="97"/>
      <c r="L356" s="97"/>
      <c r="M356" s="97"/>
      <c r="N356" s="97"/>
      <c r="O356" s="97"/>
    </row>
    <row r="357" spans="1:15" ht="15.75" customHeight="1" x14ac:dyDescent="0.45">
      <c r="A357" s="97"/>
      <c r="B357" s="97"/>
      <c r="C357" s="97"/>
      <c r="D357" s="102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</row>
    <row r="358" spans="1:15" ht="15.75" customHeight="1" x14ac:dyDescent="0.45">
      <c r="A358" s="97"/>
      <c r="B358" s="97"/>
      <c r="C358" s="97"/>
      <c r="D358" s="102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</row>
    <row r="359" spans="1:15" ht="15.75" customHeight="1" x14ac:dyDescent="0.45">
      <c r="A359" s="97"/>
      <c r="B359" s="97"/>
      <c r="C359" s="97"/>
      <c r="D359" s="102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</row>
    <row r="360" spans="1:15" ht="15.75" customHeight="1" x14ac:dyDescent="0.45">
      <c r="A360" s="97"/>
      <c r="B360" s="97"/>
      <c r="C360" s="97"/>
      <c r="D360" s="102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</row>
    <row r="361" spans="1:15" ht="15.75" customHeight="1" x14ac:dyDescent="0.45">
      <c r="A361" s="97"/>
      <c r="B361" s="97"/>
      <c r="C361" s="97"/>
      <c r="D361" s="102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</row>
    <row r="362" spans="1:15" ht="15.75" customHeight="1" x14ac:dyDescent="0.45">
      <c r="A362" s="97"/>
      <c r="B362" s="97"/>
      <c r="C362" s="97"/>
      <c r="D362" s="102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</row>
    <row r="363" spans="1:15" ht="15.75" customHeight="1" x14ac:dyDescent="0.45">
      <c r="A363" s="97"/>
      <c r="B363" s="97"/>
      <c r="C363" s="97"/>
      <c r="D363" s="102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</row>
    <row r="364" spans="1:15" ht="15.75" customHeight="1" x14ac:dyDescent="0.45">
      <c r="A364" s="97"/>
      <c r="B364" s="97"/>
      <c r="C364" s="97"/>
      <c r="D364" s="102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</row>
    <row r="365" spans="1:15" ht="15.75" customHeight="1" x14ac:dyDescent="0.45">
      <c r="A365" s="97"/>
      <c r="B365" s="97"/>
      <c r="C365" s="97"/>
      <c r="D365" s="102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</row>
    <row r="366" spans="1:15" ht="15.75" customHeight="1" x14ac:dyDescent="0.45"/>
    <row r="367" spans="1:15" ht="15.75" customHeight="1" x14ac:dyDescent="0.45"/>
    <row r="368" spans="1:15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</sheetData>
  <mergeCells count="3">
    <mergeCell ref="A152:B152"/>
    <mergeCell ref="A83:C83"/>
    <mergeCell ref="A125:C12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FBC51-342D-409D-BCB5-16BDA710996A}">
  <dimension ref="A1:AC1001"/>
  <sheetViews>
    <sheetView topLeftCell="B31" zoomScale="85" zoomScaleNormal="85" workbookViewId="0">
      <selection activeCell="B45" sqref="A45:XFD45"/>
    </sheetView>
  </sheetViews>
  <sheetFormatPr baseColWidth="10" defaultColWidth="14.3984375" defaultRowHeight="14.25" x14ac:dyDescent="0.45"/>
  <cols>
    <col min="1" max="1" width="15.53125" bestFit="1" customWidth="1"/>
    <col min="2" max="2" width="8.6640625" customWidth="1"/>
    <col min="3" max="3" width="25.796875" bestFit="1" customWidth="1"/>
    <col min="4" max="4" width="25.33203125" bestFit="1" customWidth="1"/>
    <col min="5" max="5" width="10.6640625" bestFit="1" customWidth="1"/>
    <col min="6" max="6" width="11.59765625" bestFit="1" customWidth="1"/>
    <col min="7" max="7" width="10.59765625" bestFit="1" customWidth="1"/>
    <col min="8" max="8" width="15.06640625" bestFit="1" customWidth="1"/>
    <col min="9" max="9" width="17.53125" bestFit="1" customWidth="1"/>
    <col min="10" max="10" width="15.265625" bestFit="1" customWidth="1"/>
    <col min="11" max="11" width="5.6640625" bestFit="1" customWidth="1"/>
    <col min="12" max="12" width="17.06640625" bestFit="1" customWidth="1"/>
    <col min="13" max="13" width="7.06640625" bestFit="1" customWidth="1"/>
    <col min="14" max="14" width="9.3984375" bestFit="1" customWidth="1"/>
    <col min="15" max="15" width="11.46484375" bestFit="1" customWidth="1"/>
    <col min="16" max="16" width="12.46484375" bestFit="1" customWidth="1"/>
    <col min="17" max="17" width="10.46484375" bestFit="1" customWidth="1"/>
    <col min="18" max="18" width="11.265625" bestFit="1" customWidth="1"/>
    <col min="19" max="19" width="8.53125" bestFit="1" customWidth="1"/>
    <col min="20" max="20" width="9.265625" bestFit="1" customWidth="1"/>
    <col min="21" max="21" width="8.59765625" bestFit="1" customWidth="1"/>
    <col min="22" max="29" width="10.73046875" customWidth="1"/>
  </cols>
  <sheetData>
    <row r="1" spans="1:21" x14ac:dyDescent="0.45">
      <c r="B1" s="94" t="s">
        <v>60</v>
      </c>
      <c r="C1" s="95"/>
      <c r="D1" s="98"/>
      <c r="E1" s="95"/>
      <c r="F1" s="95"/>
      <c r="G1" s="98"/>
      <c r="H1" s="98"/>
      <c r="I1" s="98"/>
      <c r="J1" s="98"/>
      <c r="K1" s="97"/>
      <c r="L1" s="97"/>
      <c r="M1" s="97"/>
      <c r="N1" s="97"/>
      <c r="O1" s="97"/>
      <c r="P1" s="97"/>
      <c r="Q1" s="97"/>
      <c r="R1" s="97"/>
    </row>
    <row r="2" spans="1:21" x14ac:dyDescent="0.45">
      <c r="B2" s="94" t="s">
        <v>184</v>
      </c>
      <c r="C2" s="409"/>
      <c r="D2" s="98"/>
      <c r="E2" s="95"/>
      <c r="F2" s="95"/>
      <c r="G2" s="98"/>
      <c r="H2" s="98"/>
      <c r="I2" s="98"/>
      <c r="J2" s="98"/>
      <c r="K2" s="97"/>
      <c r="L2" s="97"/>
      <c r="M2" s="97"/>
      <c r="N2" s="97"/>
      <c r="O2" s="97"/>
      <c r="P2" s="97"/>
      <c r="Q2" s="97"/>
      <c r="R2" s="97"/>
    </row>
    <row r="3" spans="1:21" x14ac:dyDescent="0.45">
      <c r="B3" s="94" t="s">
        <v>185</v>
      </c>
      <c r="C3" s="95"/>
      <c r="D3" s="98"/>
      <c r="E3" s="95"/>
      <c r="F3" s="95"/>
      <c r="G3" s="98"/>
      <c r="H3" s="98"/>
      <c r="I3" s="98"/>
      <c r="J3" s="98"/>
      <c r="K3" s="97"/>
      <c r="L3" s="97"/>
      <c r="M3" s="97"/>
      <c r="N3" s="97"/>
      <c r="O3" s="97"/>
      <c r="P3" s="97"/>
      <c r="Q3" s="97"/>
      <c r="R3" s="97"/>
    </row>
    <row r="4" spans="1:21" x14ac:dyDescent="0.45">
      <c r="B4" s="94" t="s">
        <v>186</v>
      </c>
      <c r="C4" s="95"/>
      <c r="D4" s="98" t="s">
        <v>187</v>
      </c>
      <c r="E4" s="95"/>
      <c r="F4" s="95"/>
      <c r="G4" s="98"/>
      <c r="H4" s="98"/>
      <c r="I4" s="98"/>
      <c r="J4" s="98"/>
      <c r="K4" s="97"/>
      <c r="L4" s="97"/>
      <c r="M4" s="97"/>
      <c r="N4" s="97"/>
      <c r="O4" s="97"/>
      <c r="P4" s="97"/>
      <c r="Q4" s="97"/>
      <c r="R4" s="97"/>
    </row>
    <row r="5" spans="1:21" x14ac:dyDescent="0.45">
      <c r="B5" s="94" t="s">
        <v>188</v>
      </c>
      <c r="C5" s="95"/>
      <c r="D5" s="98" t="s">
        <v>187</v>
      </c>
      <c r="E5" s="95"/>
      <c r="F5" s="95"/>
      <c r="G5" s="98"/>
      <c r="H5" s="98"/>
      <c r="I5" s="98"/>
      <c r="J5" s="98"/>
      <c r="K5" s="97"/>
      <c r="L5" s="97"/>
      <c r="M5" s="97"/>
      <c r="N5" s="97"/>
      <c r="O5" s="97"/>
      <c r="P5" s="97"/>
      <c r="Q5" s="97"/>
      <c r="R5" s="97"/>
    </row>
    <row r="6" spans="1:21" x14ac:dyDescent="0.45">
      <c r="B6" s="484" t="s">
        <v>189</v>
      </c>
      <c r="C6" s="485" t="s">
        <v>844</v>
      </c>
      <c r="D6" s="488">
        <f>'c303-c503'!C6</f>
        <v>0</v>
      </c>
      <c r="E6" s="485" t="s">
        <v>860</v>
      </c>
      <c r="F6" s="488" t="str">
        <f>'c303-c503'!E6</f>
        <v>x</v>
      </c>
      <c r="G6" s="98"/>
      <c r="H6" s="98"/>
      <c r="I6" s="98"/>
      <c r="J6" s="98"/>
      <c r="K6" s="97"/>
      <c r="L6" s="97"/>
      <c r="M6" s="97"/>
      <c r="N6" s="97"/>
      <c r="O6" s="97"/>
      <c r="P6" s="97"/>
      <c r="Q6" s="97"/>
      <c r="R6" s="97"/>
    </row>
    <row r="7" spans="1:21" x14ac:dyDescent="0.45">
      <c r="B7" s="97"/>
      <c r="C7" s="97"/>
      <c r="D7" s="97"/>
      <c r="E7" s="102"/>
      <c r="F7" s="102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</row>
    <row r="8" spans="1:21" ht="31.5" x14ac:dyDescent="0.45">
      <c r="B8" s="475" t="s">
        <v>191</v>
      </c>
      <c r="C8" s="889" t="s">
        <v>192</v>
      </c>
      <c r="D8" s="893"/>
      <c r="E8" s="476" t="s">
        <v>55</v>
      </c>
      <c r="F8" s="477" t="s">
        <v>54</v>
      </c>
      <c r="G8" s="567" t="s">
        <v>193</v>
      </c>
      <c r="H8" s="477" t="s">
        <v>53</v>
      </c>
      <c r="I8" s="478" t="s">
        <v>52</v>
      </c>
      <c r="J8" s="477" t="s">
        <v>656</v>
      </c>
      <c r="K8" s="477"/>
      <c r="L8" s="478" t="s">
        <v>50</v>
      </c>
      <c r="M8" s="478" t="s">
        <v>49</v>
      </c>
      <c r="N8" s="478" t="s">
        <v>48</v>
      </c>
      <c r="O8" s="479" t="s">
        <v>162</v>
      </c>
      <c r="P8" s="281" t="s">
        <v>163</v>
      </c>
      <c r="Q8" s="281" t="s">
        <v>165</v>
      </c>
      <c r="R8" s="282" t="s">
        <v>169</v>
      </c>
      <c r="S8" s="282" t="s">
        <v>164</v>
      </c>
      <c r="T8" s="279" t="s">
        <v>47</v>
      </c>
      <c r="U8" s="19" t="s">
        <v>46</v>
      </c>
    </row>
    <row r="9" spans="1:21" x14ac:dyDescent="0.45">
      <c r="A9" s="440" t="s">
        <v>260</v>
      </c>
      <c r="B9" s="449">
        <v>8058750190</v>
      </c>
      <c r="C9" s="441" t="s">
        <v>657</v>
      </c>
      <c r="D9" s="396" t="s">
        <v>658</v>
      </c>
      <c r="E9" s="408">
        <v>1300</v>
      </c>
      <c r="F9" s="566">
        <v>182</v>
      </c>
      <c r="G9" s="578">
        <f>'c303-c503'!F9</f>
        <v>0</v>
      </c>
      <c r="H9" s="219">
        <f>G9/E9</f>
        <v>0</v>
      </c>
      <c r="I9" s="507">
        <f>(30*BC!$B$47/F9)</f>
        <v>0</v>
      </c>
      <c r="J9" s="508">
        <f>IF(I9&gt;H9,I9,H9)</f>
        <v>0</v>
      </c>
      <c r="K9" s="508">
        <f>IF(H9=0,0,J9)</f>
        <v>0</v>
      </c>
      <c r="L9" s="194">
        <f>ROUNDUP(K9,0)</f>
        <v>0</v>
      </c>
      <c r="M9" s="364">
        <v>286</v>
      </c>
      <c r="N9" s="365">
        <f>M9*L9</f>
        <v>0</v>
      </c>
      <c r="O9" s="371">
        <f>M9/E9</f>
        <v>0.22</v>
      </c>
      <c r="P9" s="295" t="e">
        <f>(O9+$N$155)+((BC!$F$125)/$G$82)</f>
        <v>#REF!</v>
      </c>
      <c r="Q9" s="514" t="e">
        <f>P9*G9</f>
        <v>#REF!</v>
      </c>
      <c r="R9" s="223" t="e">
        <f>((P9*0.15)+P9)</f>
        <v>#REF!</v>
      </c>
      <c r="S9" s="223" t="e">
        <f>R9*G9</f>
        <v>#REF!</v>
      </c>
      <c r="T9" s="225" t="e">
        <f>SUM(S9:S69)</f>
        <v>#REF!</v>
      </c>
      <c r="U9" s="226" t="e">
        <f>SUM(Q9:Q69)</f>
        <v>#REF!</v>
      </c>
    </row>
    <row r="10" spans="1:21" x14ac:dyDescent="0.45">
      <c r="A10" s="263">
        <f>G9+G10+G11+G12+G13+G14+G15+G16+G17+G18+G19+G20+G21+G22+G23+G24+G25+G26+G27+G28+G29+G30+G31+G32+G33+G34+G35+G36</f>
        <v>0</v>
      </c>
      <c r="B10" s="449">
        <v>8056692190</v>
      </c>
      <c r="C10" s="441" t="s">
        <v>659</v>
      </c>
      <c r="D10" s="396" t="s">
        <v>660</v>
      </c>
      <c r="E10" s="408">
        <v>750</v>
      </c>
      <c r="F10" s="566">
        <v>182</v>
      </c>
      <c r="G10" s="578">
        <f>'c303-c503'!F10</f>
        <v>0</v>
      </c>
      <c r="H10" s="219">
        <f t="shared" ref="H10:H67" si="0">G10/E10</f>
        <v>0</v>
      </c>
      <c r="I10" s="507">
        <f>(30*BC!$B$47/F10)</f>
        <v>0</v>
      </c>
      <c r="J10" s="508">
        <f t="shared" ref="J10:J67" si="1">IF(I10&gt;H10,I10,H10)</f>
        <v>0</v>
      </c>
      <c r="K10" s="508">
        <f t="shared" ref="K10:K67" si="2">IF(H10=0,0,J10)</f>
        <v>0</v>
      </c>
      <c r="L10" s="194">
        <f t="shared" ref="L10:L67" si="3">ROUNDUP(K10,0)</f>
        <v>0</v>
      </c>
      <c r="M10" s="364">
        <v>180</v>
      </c>
      <c r="N10" s="365">
        <f t="shared" ref="N10:N67" si="4">M10*L10</f>
        <v>0</v>
      </c>
      <c r="O10" s="371">
        <f t="shared" ref="O10:O67" si="5">M10/E10</f>
        <v>0.24</v>
      </c>
      <c r="P10" s="295" t="e">
        <f>(O10+$N$155)+((BC!$F$125)/$G$82)</f>
        <v>#REF!</v>
      </c>
      <c r="Q10" s="514" t="e">
        <f t="shared" ref="Q10:Q69" si="6">P10*G10</f>
        <v>#REF!</v>
      </c>
      <c r="R10" s="223" t="e">
        <f t="shared" ref="R10:R69" si="7">((P10*0.15)+P10)</f>
        <v>#REF!</v>
      </c>
      <c r="S10" s="223" t="e">
        <f t="shared" ref="S10:S69" si="8">R10*G10</f>
        <v>#REF!</v>
      </c>
    </row>
    <row r="11" spans="1:21" x14ac:dyDescent="0.45">
      <c r="B11" s="450">
        <v>8056811190</v>
      </c>
      <c r="C11" s="439" t="s">
        <v>661</v>
      </c>
      <c r="D11" s="396" t="s">
        <v>662</v>
      </c>
      <c r="E11" s="408">
        <v>750</v>
      </c>
      <c r="F11" s="566">
        <v>182</v>
      </c>
      <c r="G11" s="578">
        <f>'c303-c503'!F11</f>
        <v>0</v>
      </c>
      <c r="H11" s="219">
        <f t="shared" si="0"/>
        <v>0</v>
      </c>
      <c r="I11" s="507">
        <f>(30*BC!$B$47/F11)</f>
        <v>0</v>
      </c>
      <c r="J11" s="508">
        <f t="shared" si="1"/>
        <v>0</v>
      </c>
      <c r="K11" s="508">
        <f t="shared" si="2"/>
        <v>0</v>
      </c>
      <c r="L11" s="194">
        <f t="shared" si="3"/>
        <v>0</v>
      </c>
      <c r="M11" s="364">
        <v>495</v>
      </c>
      <c r="N11" s="365">
        <f t="shared" si="4"/>
        <v>0</v>
      </c>
      <c r="O11" s="371">
        <f t="shared" si="5"/>
        <v>0.66</v>
      </c>
      <c r="P11" s="295" t="e">
        <f>(O11+$N$155)+((BC!$F$125)/$G$82)</f>
        <v>#REF!</v>
      </c>
      <c r="Q11" s="514" t="e">
        <f t="shared" si="6"/>
        <v>#REF!</v>
      </c>
      <c r="R11" s="223" t="e">
        <f t="shared" si="7"/>
        <v>#REF!</v>
      </c>
      <c r="S11" s="223" t="e">
        <f t="shared" si="8"/>
        <v>#REF!</v>
      </c>
    </row>
    <row r="12" spans="1:21" x14ac:dyDescent="0.45">
      <c r="A12" s="261" t="s">
        <v>836</v>
      </c>
      <c r="B12" s="448">
        <v>8056820190</v>
      </c>
      <c r="C12" s="439" t="s">
        <v>663</v>
      </c>
      <c r="D12" s="396" t="s">
        <v>664</v>
      </c>
      <c r="E12" s="408">
        <v>450</v>
      </c>
      <c r="F12" s="566">
        <v>182</v>
      </c>
      <c r="G12" s="578">
        <f>'c303-c503'!F12</f>
        <v>0</v>
      </c>
      <c r="H12" s="219">
        <f t="shared" si="0"/>
        <v>0</v>
      </c>
      <c r="I12" s="507">
        <f>(30*BC!$B$47/F12)</f>
        <v>0</v>
      </c>
      <c r="J12" s="508">
        <f t="shared" si="1"/>
        <v>0</v>
      </c>
      <c r="K12" s="508">
        <f t="shared" si="2"/>
        <v>0</v>
      </c>
      <c r="L12" s="194">
        <f t="shared" si="3"/>
        <v>0</v>
      </c>
      <c r="M12" s="364">
        <v>297</v>
      </c>
      <c r="N12" s="365">
        <f t="shared" si="4"/>
        <v>0</v>
      </c>
      <c r="O12" s="371">
        <f t="shared" si="5"/>
        <v>0.66</v>
      </c>
      <c r="P12" s="295" t="e">
        <f>(O12+$N$155)+((BC!$F$125)/$G$82)</f>
        <v>#REF!</v>
      </c>
      <c r="Q12" s="514" t="e">
        <f t="shared" si="6"/>
        <v>#REF!</v>
      </c>
      <c r="R12" s="223" t="e">
        <f t="shared" si="7"/>
        <v>#REF!</v>
      </c>
      <c r="S12" s="223" t="e">
        <f t="shared" si="8"/>
        <v>#REF!</v>
      </c>
    </row>
    <row r="13" spans="1:21" x14ac:dyDescent="0.45">
      <c r="A13" s="261">
        <f>G37+G38+G39+G40</f>
        <v>0</v>
      </c>
      <c r="B13" s="448">
        <v>10421436190</v>
      </c>
      <c r="C13" s="439" t="s">
        <v>665</v>
      </c>
      <c r="D13" s="396" t="s">
        <v>666</v>
      </c>
      <c r="E13" s="408">
        <v>1050</v>
      </c>
      <c r="F13" s="566">
        <v>182</v>
      </c>
      <c r="G13" s="578">
        <f>'c303-c503'!F13</f>
        <v>0</v>
      </c>
      <c r="H13" s="219">
        <f t="shared" si="0"/>
        <v>0</v>
      </c>
      <c r="I13" s="507">
        <f>(30*BC!$B$47/F13)</f>
        <v>0</v>
      </c>
      <c r="J13" s="508">
        <f t="shared" si="1"/>
        <v>0</v>
      </c>
      <c r="K13" s="508">
        <f t="shared" si="2"/>
        <v>0</v>
      </c>
      <c r="L13" s="194">
        <f t="shared" si="3"/>
        <v>0</v>
      </c>
      <c r="M13" s="364">
        <v>357</v>
      </c>
      <c r="N13" s="365">
        <f t="shared" si="4"/>
        <v>0</v>
      </c>
      <c r="O13" s="371">
        <f t="shared" si="5"/>
        <v>0.34</v>
      </c>
      <c r="P13" s="295" t="e">
        <f>(O13+$N$155)+((BC!$F$125)/$G$82)</f>
        <v>#REF!</v>
      </c>
      <c r="Q13" s="514" t="e">
        <f t="shared" si="6"/>
        <v>#REF!</v>
      </c>
      <c r="R13" s="223" t="e">
        <f t="shared" si="7"/>
        <v>#REF!</v>
      </c>
      <c r="S13" s="223" t="e">
        <f t="shared" si="8"/>
        <v>#REF!</v>
      </c>
    </row>
    <row r="14" spans="1:21" x14ac:dyDescent="0.45">
      <c r="B14" s="448">
        <v>8056951190</v>
      </c>
      <c r="C14" s="439" t="s">
        <v>667</v>
      </c>
      <c r="D14" s="396" t="s">
        <v>668</v>
      </c>
      <c r="E14" s="408">
        <v>1000</v>
      </c>
      <c r="F14" s="566">
        <v>182</v>
      </c>
      <c r="G14" s="578">
        <f>'c303-c503'!F14</f>
        <v>0</v>
      </c>
      <c r="H14" s="219">
        <f t="shared" si="0"/>
        <v>0</v>
      </c>
      <c r="I14" s="507">
        <f>(30*BC!$B$47/F14)</f>
        <v>0</v>
      </c>
      <c r="J14" s="508">
        <f t="shared" si="1"/>
        <v>0</v>
      </c>
      <c r="K14" s="508">
        <f t="shared" si="2"/>
        <v>0</v>
      </c>
      <c r="L14" s="194">
        <f t="shared" si="3"/>
        <v>0</v>
      </c>
      <c r="M14" s="364">
        <v>410</v>
      </c>
      <c r="N14" s="365">
        <f t="shared" si="4"/>
        <v>0</v>
      </c>
      <c r="O14" s="371">
        <f t="shared" si="5"/>
        <v>0.41</v>
      </c>
      <c r="P14" s="295" t="e">
        <f>(O14+$N$155)+((BC!$F$125)/$G$82)</f>
        <v>#REF!</v>
      </c>
      <c r="Q14" s="514" t="e">
        <f t="shared" si="6"/>
        <v>#REF!</v>
      </c>
      <c r="R14" s="223" t="e">
        <f t="shared" si="7"/>
        <v>#REF!</v>
      </c>
      <c r="S14" s="223" t="e">
        <f t="shared" si="8"/>
        <v>#REF!</v>
      </c>
    </row>
    <row r="15" spans="1:21" x14ac:dyDescent="0.45">
      <c r="A15" s="241" t="s">
        <v>837</v>
      </c>
      <c r="B15" s="448">
        <v>8057427190</v>
      </c>
      <c r="C15" s="439" t="s">
        <v>669</v>
      </c>
      <c r="D15" s="396" t="s">
        <v>670</v>
      </c>
      <c r="E15" s="408">
        <v>1500</v>
      </c>
      <c r="F15" s="566">
        <v>182</v>
      </c>
      <c r="G15" s="578">
        <f>'c303-c503'!F15</f>
        <v>0</v>
      </c>
      <c r="H15" s="219">
        <f t="shared" si="0"/>
        <v>0</v>
      </c>
      <c r="I15" s="507">
        <f>(30*BC!$B$47/F15)</f>
        <v>0</v>
      </c>
      <c r="J15" s="508">
        <f t="shared" si="1"/>
        <v>0</v>
      </c>
      <c r="K15" s="508">
        <f t="shared" si="2"/>
        <v>0</v>
      </c>
      <c r="L15" s="194">
        <f t="shared" si="3"/>
        <v>0</v>
      </c>
      <c r="M15" s="364">
        <v>540</v>
      </c>
      <c r="N15" s="365">
        <f t="shared" si="4"/>
        <v>0</v>
      </c>
      <c r="O15" s="371">
        <f t="shared" si="5"/>
        <v>0.36</v>
      </c>
      <c r="P15" s="295" t="e">
        <f>(O15+$N$155)+((BC!$F$125)/$G$82)</f>
        <v>#REF!</v>
      </c>
      <c r="Q15" s="514" t="e">
        <f t="shared" si="6"/>
        <v>#REF!</v>
      </c>
      <c r="R15" s="223" t="e">
        <f t="shared" si="7"/>
        <v>#REF!</v>
      </c>
      <c r="S15" s="223" t="e">
        <f t="shared" si="8"/>
        <v>#REF!</v>
      </c>
    </row>
    <row r="16" spans="1:21" x14ac:dyDescent="0.45">
      <c r="A16" s="241">
        <f>G43+G44</f>
        <v>0</v>
      </c>
      <c r="B16" s="448">
        <v>8057443190</v>
      </c>
      <c r="C16" s="439" t="s">
        <v>671</v>
      </c>
      <c r="D16" s="396" t="s">
        <v>672</v>
      </c>
      <c r="E16" s="408">
        <v>2600</v>
      </c>
      <c r="F16" s="566">
        <v>182</v>
      </c>
      <c r="G16" s="578">
        <f>'c303-c503'!F16</f>
        <v>0</v>
      </c>
      <c r="H16" s="219">
        <f t="shared" si="0"/>
        <v>0</v>
      </c>
      <c r="I16" s="507">
        <f>(30*BC!$B$47/F16)</f>
        <v>0</v>
      </c>
      <c r="J16" s="508">
        <f t="shared" si="1"/>
        <v>0</v>
      </c>
      <c r="K16" s="508">
        <f t="shared" si="2"/>
        <v>0</v>
      </c>
      <c r="L16" s="194">
        <f t="shared" si="3"/>
        <v>0</v>
      </c>
      <c r="M16" s="364">
        <v>572</v>
      </c>
      <c r="N16" s="365">
        <f t="shared" si="4"/>
        <v>0</v>
      </c>
      <c r="O16" s="371">
        <f t="shared" si="5"/>
        <v>0.22</v>
      </c>
      <c r="P16" s="295" t="e">
        <f>(O16+$N$155)+((BC!$F$125)/$G$82)</f>
        <v>#REF!</v>
      </c>
      <c r="Q16" s="514" t="e">
        <f t="shared" si="6"/>
        <v>#REF!</v>
      </c>
      <c r="R16" s="223" t="e">
        <f t="shared" si="7"/>
        <v>#REF!</v>
      </c>
      <c r="S16" s="223" t="e">
        <f t="shared" si="8"/>
        <v>#REF!</v>
      </c>
    </row>
    <row r="17" spans="1:19" x14ac:dyDescent="0.45">
      <c r="B17" s="448">
        <v>8105561190</v>
      </c>
      <c r="C17" s="439" t="s">
        <v>673</v>
      </c>
      <c r="D17" s="396" t="s">
        <v>674</v>
      </c>
      <c r="E17" s="408">
        <v>1050</v>
      </c>
      <c r="F17" s="566">
        <v>182</v>
      </c>
      <c r="G17" s="578">
        <f>'c303-c503'!F17</f>
        <v>0</v>
      </c>
      <c r="H17" s="219">
        <f t="shared" si="0"/>
        <v>0</v>
      </c>
      <c r="I17" s="507">
        <f>(30*BC!$B$47/F17)</f>
        <v>0</v>
      </c>
      <c r="J17" s="508">
        <f t="shared" si="1"/>
        <v>0</v>
      </c>
      <c r="K17" s="508">
        <f t="shared" si="2"/>
        <v>0</v>
      </c>
      <c r="L17" s="194">
        <f t="shared" si="3"/>
        <v>0</v>
      </c>
      <c r="M17" s="364">
        <v>872</v>
      </c>
      <c r="N17" s="365">
        <f t="shared" si="4"/>
        <v>0</v>
      </c>
      <c r="O17" s="371">
        <f t="shared" si="5"/>
        <v>0.83047619047619048</v>
      </c>
      <c r="P17" s="295" t="e">
        <f>(O17+$N$155)+((BC!$F$125)/$G$82)</f>
        <v>#REF!</v>
      </c>
      <c r="Q17" s="514" t="e">
        <f t="shared" si="6"/>
        <v>#REF!</v>
      </c>
      <c r="R17" s="223" t="e">
        <f t="shared" si="7"/>
        <v>#REF!</v>
      </c>
      <c r="S17" s="223" t="e">
        <f t="shared" si="8"/>
        <v>#REF!</v>
      </c>
    </row>
    <row r="18" spans="1:19" x14ac:dyDescent="0.45">
      <c r="B18" s="448">
        <v>8057460190</v>
      </c>
      <c r="C18" s="439" t="s">
        <v>675</v>
      </c>
      <c r="D18" s="396" t="s">
        <v>676</v>
      </c>
      <c r="E18" s="408">
        <v>500</v>
      </c>
      <c r="F18" s="566">
        <v>56</v>
      </c>
      <c r="G18" s="578">
        <f>'c303-c503'!F18</f>
        <v>0</v>
      </c>
      <c r="H18" s="219">
        <f t="shared" si="0"/>
        <v>0</v>
      </c>
      <c r="I18" s="507">
        <f>(30*BC!$B$47/F18)</f>
        <v>0</v>
      </c>
      <c r="J18" s="508">
        <f t="shared" si="1"/>
        <v>0</v>
      </c>
      <c r="K18" s="508">
        <f t="shared" si="2"/>
        <v>0</v>
      </c>
      <c r="L18" s="194">
        <f t="shared" si="3"/>
        <v>0</v>
      </c>
      <c r="M18" s="364">
        <v>280</v>
      </c>
      <c r="N18" s="365">
        <f t="shared" si="4"/>
        <v>0</v>
      </c>
      <c r="O18" s="371">
        <f t="shared" si="5"/>
        <v>0.56000000000000005</v>
      </c>
      <c r="P18" s="295" t="e">
        <f>(O18+$N$155)+((BC!$F$125)/$G$82)</f>
        <v>#REF!</v>
      </c>
      <c r="Q18" s="514" t="e">
        <f t="shared" si="6"/>
        <v>#REF!</v>
      </c>
      <c r="R18" s="223" t="e">
        <f t="shared" si="7"/>
        <v>#REF!</v>
      </c>
      <c r="S18" s="223" t="e">
        <f t="shared" si="8"/>
        <v>#REF!</v>
      </c>
    </row>
    <row r="19" spans="1:19" ht="15.75" customHeight="1" x14ac:dyDescent="0.45">
      <c r="A19" s="242" t="s">
        <v>840</v>
      </c>
      <c r="B19" s="448">
        <v>8056757190</v>
      </c>
      <c r="C19" s="439" t="s">
        <v>677</v>
      </c>
      <c r="D19" s="396" t="s">
        <v>678</v>
      </c>
      <c r="E19" s="408">
        <v>1100</v>
      </c>
      <c r="F19" s="566">
        <v>56</v>
      </c>
      <c r="G19" s="578">
        <f>'c303-c503'!F19</f>
        <v>0</v>
      </c>
      <c r="H19" s="219">
        <f t="shared" si="0"/>
        <v>0</v>
      </c>
      <c r="I19" s="507">
        <f>(30*BC!$B$47/F19)</f>
        <v>0</v>
      </c>
      <c r="J19" s="508">
        <f t="shared" si="1"/>
        <v>0</v>
      </c>
      <c r="K19" s="508">
        <f t="shared" si="2"/>
        <v>0</v>
      </c>
      <c r="L19" s="194">
        <f t="shared" si="3"/>
        <v>0</v>
      </c>
      <c r="M19" s="364">
        <v>341</v>
      </c>
      <c r="N19" s="365">
        <f t="shared" si="4"/>
        <v>0</v>
      </c>
      <c r="O19" s="371">
        <f t="shared" si="5"/>
        <v>0.31</v>
      </c>
      <c r="P19" s="295" t="e">
        <f>(O19+$N$155)+((BC!$F$125)/$G$82)</f>
        <v>#REF!</v>
      </c>
      <c r="Q19" s="514" t="e">
        <f t="shared" si="6"/>
        <v>#REF!</v>
      </c>
      <c r="R19" s="223" t="e">
        <f t="shared" si="7"/>
        <v>#REF!</v>
      </c>
      <c r="S19" s="223" t="e">
        <f t="shared" si="8"/>
        <v>#REF!</v>
      </c>
    </row>
    <row r="20" spans="1:19" ht="15.75" customHeight="1" x14ac:dyDescent="0.45">
      <c r="A20" s="242" t="e">
        <f>#REF!+G51+G52+G53+G54+G55+G56+G57+G58+G59+G60+G61+G62</f>
        <v>#REF!</v>
      </c>
      <c r="B20" s="448">
        <v>8058610190</v>
      </c>
      <c r="C20" s="439" t="s">
        <v>679</v>
      </c>
      <c r="D20" s="396" t="s">
        <v>680</v>
      </c>
      <c r="E20" s="408">
        <v>750</v>
      </c>
      <c r="F20" s="566">
        <v>182</v>
      </c>
      <c r="G20" s="578">
        <f>'c303-c503'!F20</f>
        <v>0</v>
      </c>
      <c r="H20" s="219">
        <f t="shared" si="0"/>
        <v>0</v>
      </c>
      <c r="I20" s="507">
        <f>(30*BC!$B$47/F20)</f>
        <v>0</v>
      </c>
      <c r="J20" s="508">
        <f t="shared" si="1"/>
        <v>0</v>
      </c>
      <c r="K20" s="508">
        <f t="shared" si="2"/>
        <v>0</v>
      </c>
      <c r="L20" s="194">
        <f t="shared" si="3"/>
        <v>0</v>
      </c>
      <c r="M20" s="364">
        <v>203</v>
      </c>
      <c r="N20" s="365">
        <f t="shared" si="4"/>
        <v>0</v>
      </c>
      <c r="O20" s="371">
        <f t="shared" si="5"/>
        <v>0.27066666666666667</v>
      </c>
      <c r="P20" s="295" t="e">
        <f>(O20+$N$155)+((BC!$F$125)/$G$82)</f>
        <v>#REF!</v>
      </c>
      <c r="Q20" s="514" t="e">
        <f t="shared" si="6"/>
        <v>#REF!</v>
      </c>
      <c r="R20" s="223" t="e">
        <f t="shared" si="7"/>
        <v>#REF!</v>
      </c>
      <c r="S20" s="223" t="e">
        <f t="shared" si="8"/>
        <v>#REF!</v>
      </c>
    </row>
    <row r="21" spans="1:19" ht="15.75" customHeight="1" x14ac:dyDescent="0.45">
      <c r="B21" s="448">
        <v>8057796190</v>
      </c>
      <c r="C21" s="439" t="s">
        <v>681</v>
      </c>
      <c r="D21" s="396" t="s">
        <v>682</v>
      </c>
      <c r="E21" s="408">
        <v>400</v>
      </c>
      <c r="F21" s="566">
        <v>84</v>
      </c>
      <c r="G21" s="578">
        <f>'c303-c503'!F21</f>
        <v>0</v>
      </c>
      <c r="H21" s="219">
        <f t="shared" si="0"/>
        <v>0</v>
      </c>
      <c r="I21" s="507">
        <f>(30*BC!$B$47/F21)</f>
        <v>0</v>
      </c>
      <c r="J21" s="508">
        <f t="shared" si="1"/>
        <v>0</v>
      </c>
      <c r="K21" s="508">
        <f t="shared" si="2"/>
        <v>0</v>
      </c>
      <c r="L21" s="194">
        <f t="shared" si="3"/>
        <v>0</v>
      </c>
      <c r="M21" s="364">
        <v>192</v>
      </c>
      <c r="N21" s="365">
        <f t="shared" si="4"/>
        <v>0</v>
      </c>
      <c r="O21" s="371">
        <f t="shared" si="5"/>
        <v>0.48</v>
      </c>
      <c r="P21" s="295" t="e">
        <f>(O21+$N$155)+((BC!$F$125)/$G$82)</f>
        <v>#REF!</v>
      </c>
      <c r="Q21" s="514" t="e">
        <f t="shared" si="6"/>
        <v>#REF!</v>
      </c>
      <c r="R21" s="223" t="e">
        <f t="shared" si="7"/>
        <v>#REF!</v>
      </c>
      <c r="S21" s="223" t="e">
        <f t="shared" si="8"/>
        <v>#REF!</v>
      </c>
    </row>
    <row r="22" spans="1:19" ht="15.75" customHeight="1" x14ac:dyDescent="0.45">
      <c r="A22" s="447" t="s">
        <v>838</v>
      </c>
      <c r="B22" s="448">
        <v>8057800190</v>
      </c>
      <c r="C22" s="439" t="s">
        <v>683</v>
      </c>
      <c r="D22" s="396" t="s">
        <v>684</v>
      </c>
      <c r="E22" s="408">
        <v>3300</v>
      </c>
      <c r="F22" s="566">
        <v>182</v>
      </c>
      <c r="G22" s="578">
        <f>'c303-c503'!F22</f>
        <v>0</v>
      </c>
      <c r="H22" s="219">
        <f t="shared" si="0"/>
        <v>0</v>
      </c>
      <c r="I22" s="507">
        <f>(30*BC!$B$47/F22)</f>
        <v>0</v>
      </c>
      <c r="J22" s="508">
        <f t="shared" si="1"/>
        <v>0</v>
      </c>
      <c r="K22" s="508">
        <f t="shared" si="2"/>
        <v>0</v>
      </c>
      <c r="L22" s="194">
        <f t="shared" si="3"/>
        <v>0</v>
      </c>
      <c r="M22" s="364">
        <v>726</v>
      </c>
      <c r="N22" s="365">
        <f t="shared" si="4"/>
        <v>0</v>
      </c>
      <c r="O22" s="371">
        <f t="shared" si="5"/>
        <v>0.22</v>
      </c>
      <c r="P22" s="295" t="e">
        <f>(O22+$N$155)+((BC!$F$125)/$G$82)</f>
        <v>#REF!</v>
      </c>
      <c r="Q22" s="514" t="e">
        <f t="shared" si="6"/>
        <v>#REF!</v>
      </c>
      <c r="R22" s="223" t="e">
        <f t="shared" si="7"/>
        <v>#REF!</v>
      </c>
      <c r="S22" s="223" t="e">
        <f t="shared" si="8"/>
        <v>#REF!</v>
      </c>
    </row>
    <row r="23" spans="1:19" ht="15.75" customHeight="1" x14ac:dyDescent="0.45">
      <c r="A23" s="447" t="e">
        <f>G9+G10+G11+G12+G13+G14+G15+G16+G17+G18+G19+G20+G21+G22+G23+G24+G25+G26+G27+G28+G29+G30+G31+G32+G33+G34+G35+G36+G37+G38+G39+G40+G42+#REF!+G45+G46+G47+G48+G49+G50+G51+G52+G53+G54+G55+G56+G57+G58+G59+G60+G61+G62</f>
        <v>#REF!</v>
      </c>
      <c r="B23" s="448">
        <v>8057931190</v>
      </c>
      <c r="C23" s="439" t="s">
        <v>685</v>
      </c>
      <c r="D23" s="396" t="s">
        <v>686</v>
      </c>
      <c r="E23" s="408">
        <v>700</v>
      </c>
      <c r="F23" s="566">
        <v>84</v>
      </c>
      <c r="G23" s="578">
        <f>'c303-c503'!F23</f>
        <v>0</v>
      </c>
      <c r="H23" s="219">
        <f t="shared" si="0"/>
        <v>0</v>
      </c>
      <c r="I23" s="507">
        <f>(30*BC!$B$47/F23)</f>
        <v>0</v>
      </c>
      <c r="J23" s="508">
        <f t="shared" si="1"/>
        <v>0</v>
      </c>
      <c r="K23" s="508">
        <f t="shared" si="2"/>
        <v>0</v>
      </c>
      <c r="L23" s="194">
        <f t="shared" si="3"/>
        <v>0</v>
      </c>
      <c r="M23" s="364">
        <v>273</v>
      </c>
      <c r="N23" s="365">
        <f t="shared" si="4"/>
        <v>0</v>
      </c>
      <c r="O23" s="371">
        <f t="shared" si="5"/>
        <v>0.39</v>
      </c>
      <c r="P23" s="295" t="e">
        <f>(O23+$N$155)+((BC!$F$125)/$G$82)</f>
        <v>#REF!</v>
      </c>
      <c r="Q23" s="514" t="e">
        <f t="shared" si="6"/>
        <v>#REF!</v>
      </c>
      <c r="R23" s="223" t="e">
        <f t="shared" si="7"/>
        <v>#REF!</v>
      </c>
      <c r="S23" s="223" t="e">
        <f t="shared" si="8"/>
        <v>#REF!</v>
      </c>
    </row>
    <row r="24" spans="1:19" ht="15.75" customHeight="1" x14ac:dyDescent="0.45">
      <c r="B24" s="448">
        <v>8057940190</v>
      </c>
      <c r="C24" s="439" t="s">
        <v>687</v>
      </c>
      <c r="D24" s="396" t="s">
        <v>688</v>
      </c>
      <c r="E24" s="408">
        <v>100</v>
      </c>
      <c r="F24" s="566">
        <v>84</v>
      </c>
      <c r="G24" s="578">
        <f>'c303-c503'!F24</f>
        <v>0</v>
      </c>
      <c r="H24" s="219">
        <f t="shared" si="0"/>
        <v>0</v>
      </c>
      <c r="I24" s="507">
        <f>(30*BC!$B$47/F24)</f>
        <v>0</v>
      </c>
      <c r="J24" s="508">
        <f t="shared" si="1"/>
        <v>0</v>
      </c>
      <c r="K24" s="508">
        <f t="shared" si="2"/>
        <v>0</v>
      </c>
      <c r="L24" s="194">
        <f t="shared" si="3"/>
        <v>0</v>
      </c>
      <c r="M24" s="364">
        <v>152</v>
      </c>
      <c r="N24" s="365">
        <f t="shared" si="4"/>
        <v>0</v>
      </c>
      <c r="O24" s="371">
        <f t="shared" si="5"/>
        <v>1.52</v>
      </c>
      <c r="P24" s="295" t="e">
        <f>(O24+$N$155)+((BC!$F$125)/$G$82)</f>
        <v>#REF!</v>
      </c>
      <c r="Q24" s="514" t="e">
        <f t="shared" si="6"/>
        <v>#REF!</v>
      </c>
      <c r="R24" s="223" t="e">
        <f t="shared" si="7"/>
        <v>#REF!</v>
      </c>
      <c r="S24" s="223" t="e">
        <f t="shared" si="8"/>
        <v>#REF!</v>
      </c>
    </row>
    <row r="25" spans="1:19" ht="15.75" customHeight="1" x14ac:dyDescent="0.45">
      <c r="A25" s="243" t="s">
        <v>839</v>
      </c>
      <c r="B25" s="448">
        <v>8057958190</v>
      </c>
      <c r="C25" s="439" t="s">
        <v>26</v>
      </c>
      <c r="D25" s="396" t="s">
        <v>689</v>
      </c>
      <c r="E25" s="408">
        <v>850</v>
      </c>
      <c r="F25" s="566">
        <v>182</v>
      </c>
      <c r="G25" s="578">
        <f>'c303-c503'!F25</f>
        <v>0</v>
      </c>
      <c r="H25" s="219">
        <f t="shared" si="0"/>
        <v>0</v>
      </c>
      <c r="I25" s="507">
        <f>(30*BC!$B$47/F25)</f>
        <v>0</v>
      </c>
      <c r="J25" s="508">
        <f t="shared" si="1"/>
        <v>0</v>
      </c>
      <c r="K25" s="508">
        <f t="shared" si="2"/>
        <v>0</v>
      </c>
      <c r="L25" s="194">
        <f t="shared" si="3"/>
        <v>0</v>
      </c>
      <c r="M25" s="364">
        <v>323</v>
      </c>
      <c r="N25" s="365">
        <f t="shared" si="4"/>
        <v>0</v>
      </c>
      <c r="O25" s="371">
        <f t="shared" si="5"/>
        <v>0.38</v>
      </c>
      <c r="P25" s="295" t="e">
        <f>(O25+$N$155)+((BC!$F$125)/$G$82)</f>
        <v>#REF!</v>
      </c>
      <c r="Q25" s="514" t="e">
        <f t="shared" si="6"/>
        <v>#REF!</v>
      </c>
      <c r="R25" s="223" t="e">
        <f t="shared" si="7"/>
        <v>#REF!</v>
      </c>
      <c r="S25" s="223" t="e">
        <f t="shared" si="8"/>
        <v>#REF!</v>
      </c>
    </row>
    <row r="26" spans="1:19" ht="15.75" customHeight="1" x14ac:dyDescent="0.45">
      <c r="A26" s="243">
        <f>G45+G46+G47</f>
        <v>0</v>
      </c>
      <c r="B26" s="448">
        <v>8057982190</v>
      </c>
      <c r="C26" s="439" t="s">
        <v>32</v>
      </c>
      <c r="D26" s="396" t="s">
        <v>690</v>
      </c>
      <c r="E26" s="408">
        <v>200</v>
      </c>
      <c r="F26" s="566">
        <v>28</v>
      </c>
      <c r="G26" s="578">
        <f>'c303-c503'!F26</f>
        <v>0</v>
      </c>
      <c r="H26" s="219">
        <f t="shared" si="0"/>
        <v>0</v>
      </c>
      <c r="I26" s="507">
        <f>(30*BC!$B$47/F26)</f>
        <v>0</v>
      </c>
      <c r="J26" s="508">
        <f t="shared" si="1"/>
        <v>0</v>
      </c>
      <c r="K26" s="508">
        <f t="shared" si="2"/>
        <v>0</v>
      </c>
      <c r="L26" s="194">
        <f t="shared" si="3"/>
        <v>0</v>
      </c>
      <c r="M26" s="364">
        <v>190</v>
      </c>
      <c r="N26" s="365">
        <f t="shared" si="4"/>
        <v>0</v>
      </c>
      <c r="O26" s="371">
        <f t="shared" si="5"/>
        <v>0.95</v>
      </c>
      <c r="P26" s="295" t="e">
        <f>(O26+$N$155)+((BC!$F$125)/$G$82)</f>
        <v>#REF!</v>
      </c>
      <c r="Q26" s="514" t="e">
        <f t="shared" si="6"/>
        <v>#REF!</v>
      </c>
      <c r="R26" s="223" t="e">
        <f t="shared" si="7"/>
        <v>#REF!</v>
      </c>
      <c r="S26" s="223" t="e">
        <f t="shared" si="8"/>
        <v>#REF!</v>
      </c>
    </row>
    <row r="27" spans="1:19" ht="15.75" customHeight="1" x14ac:dyDescent="0.45">
      <c r="B27" s="448">
        <v>8058016190</v>
      </c>
      <c r="C27" s="439" t="s">
        <v>691</v>
      </c>
      <c r="D27" s="396" t="s">
        <v>692</v>
      </c>
      <c r="E27" s="408">
        <v>690</v>
      </c>
      <c r="F27" s="566">
        <v>182</v>
      </c>
      <c r="G27" s="578">
        <f>'c303-c503'!F27</f>
        <v>0</v>
      </c>
      <c r="H27" s="219">
        <f t="shared" si="0"/>
        <v>0</v>
      </c>
      <c r="I27" s="507">
        <f>(30*BC!$B$47/F27)</f>
        <v>0</v>
      </c>
      <c r="J27" s="508">
        <f t="shared" si="1"/>
        <v>0</v>
      </c>
      <c r="K27" s="508">
        <f t="shared" si="2"/>
        <v>0</v>
      </c>
      <c r="L27" s="194">
        <f t="shared" si="3"/>
        <v>0</v>
      </c>
      <c r="M27" s="364">
        <v>455</v>
      </c>
      <c r="N27" s="365">
        <f t="shared" si="4"/>
        <v>0</v>
      </c>
      <c r="O27" s="371">
        <f t="shared" si="5"/>
        <v>0.65942028985507251</v>
      </c>
      <c r="P27" s="295" t="e">
        <f>(O27+$N$155)+((BC!$F$125)/$G$82)</f>
        <v>#REF!</v>
      </c>
      <c r="Q27" s="514" t="e">
        <f t="shared" si="6"/>
        <v>#REF!</v>
      </c>
      <c r="R27" s="223" t="e">
        <f t="shared" si="7"/>
        <v>#REF!</v>
      </c>
      <c r="S27" s="223" t="e">
        <f t="shared" si="8"/>
        <v>#REF!</v>
      </c>
    </row>
    <row r="28" spans="1:19" ht="15.75" customHeight="1" x14ac:dyDescent="0.45">
      <c r="A28" s="245" t="s">
        <v>841</v>
      </c>
      <c r="B28" s="448">
        <v>8104697190</v>
      </c>
      <c r="C28" s="439" t="s">
        <v>693</v>
      </c>
      <c r="D28" s="396" t="s">
        <v>694</v>
      </c>
      <c r="E28" s="408">
        <v>800</v>
      </c>
      <c r="F28" s="566">
        <v>182</v>
      </c>
      <c r="G28" s="578">
        <f>'c303-c503'!F28</f>
        <v>0</v>
      </c>
      <c r="H28" s="219">
        <f t="shared" si="0"/>
        <v>0</v>
      </c>
      <c r="I28" s="507">
        <f>(30*BC!$B$47/F28)</f>
        <v>0</v>
      </c>
      <c r="J28" s="508">
        <f t="shared" si="1"/>
        <v>0</v>
      </c>
      <c r="K28" s="508">
        <f t="shared" si="2"/>
        <v>0</v>
      </c>
      <c r="L28" s="194">
        <f t="shared" si="3"/>
        <v>0</v>
      </c>
      <c r="M28" s="364">
        <v>232</v>
      </c>
      <c r="N28" s="365">
        <f t="shared" si="4"/>
        <v>0</v>
      </c>
      <c r="O28" s="371">
        <f t="shared" si="5"/>
        <v>0.28999999999999998</v>
      </c>
      <c r="P28" s="295" t="e">
        <f>(O28+$N$155)+((BC!$F$125)/$G$82)</f>
        <v>#REF!</v>
      </c>
      <c r="Q28" s="514" t="e">
        <f t="shared" si="6"/>
        <v>#REF!</v>
      </c>
      <c r="R28" s="223" t="e">
        <f t="shared" si="7"/>
        <v>#REF!</v>
      </c>
      <c r="S28" s="223" t="e">
        <f t="shared" si="8"/>
        <v>#REF!</v>
      </c>
    </row>
    <row r="29" spans="1:19" ht="15.75" customHeight="1" x14ac:dyDescent="0.45">
      <c r="A29" s="245">
        <f>G70+G71+G72+G73</f>
        <v>0</v>
      </c>
      <c r="B29" s="448">
        <v>8104719190</v>
      </c>
      <c r="C29" s="439" t="s">
        <v>695</v>
      </c>
      <c r="D29" s="396" t="s">
        <v>696</v>
      </c>
      <c r="E29" s="408">
        <v>800</v>
      </c>
      <c r="F29" s="566">
        <v>182</v>
      </c>
      <c r="G29" s="578">
        <f>'c303-c503'!F29</f>
        <v>0</v>
      </c>
      <c r="H29" s="219">
        <f t="shared" si="0"/>
        <v>0</v>
      </c>
      <c r="I29" s="507">
        <f>(30*BC!$B$47/F29)</f>
        <v>0</v>
      </c>
      <c r="J29" s="508">
        <f t="shared" si="1"/>
        <v>0</v>
      </c>
      <c r="K29" s="508">
        <f t="shared" si="2"/>
        <v>0</v>
      </c>
      <c r="L29" s="194">
        <f t="shared" si="3"/>
        <v>0</v>
      </c>
      <c r="M29" s="364">
        <v>232</v>
      </c>
      <c r="N29" s="365">
        <f t="shared" si="4"/>
        <v>0</v>
      </c>
      <c r="O29" s="371">
        <f t="shared" si="5"/>
        <v>0.28999999999999998</v>
      </c>
      <c r="P29" s="295" t="e">
        <f>(O29+$N$155)+((BC!$F$125)/$G$82)</f>
        <v>#REF!</v>
      </c>
      <c r="Q29" s="514" t="e">
        <f t="shared" si="6"/>
        <v>#REF!</v>
      </c>
      <c r="R29" s="223" t="e">
        <f t="shared" si="7"/>
        <v>#REF!</v>
      </c>
      <c r="S29" s="223" t="e">
        <f t="shared" si="8"/>
        <v>#REF!</v>
      </c>
    </row>
    <row r="30" spans="1:19" ht="15.75" customHeight="1" x14ac:dyDescent="0.45">
      <c r="B30" s="448">
        <v>8058687190</v>
      </c>
      <c r="C30" s="439" t="s">
        <v>697</v>
      </c>
      <c r="D30" s="396" t="s">
        <v>698</v>
      </c>
      <c r="E30" s="408">
        <v>1000</v>
      </c>
      <c r="F30" s="566">
        <v>182</v>
      </c>
      <c r="G30" s="578">
        <f>'c303-c503'!F30</f>
        <v>0</v>
      </c>
      <c r="H30" s="219">
        <f t="shared" si="0"/>
        <v>0</v>
      </c>
      <c r="I30" s="507">
        <f>(30*BC!$B$47/F30)</f>
        <v>0</v>
      </c>
      <c r="J30" s="508">
        <f t="shared" si="1"/>
        <v>0</v>
      </c>
      <c r="K30" s="508">
        <f t="shared" si="2"/>
        <v>0</v>
      </c>
      <c r="L30" s="194">
        <f t="shared" si="3"/>
        <v>0</v>
      </c>
      <c r="M30" s="364">
        <v>330</v>
      </c>
      <c r="N30" s="365">
        <f t="shared" si="4"/>
        <v>0</v>
      </c>
      <c r="O30" s="371">
        <f t="shared" si="5"/>
        <v>0.33</v>
      </c>
      <c r="P30" s="295" t="e">
        <f>(O30+$N$155)+((BC!$F$125)/$G$82)</f>
        <v>#REF!</v>
      </c>
      <c r="Q30" s="514" t="e">
        <f t="shared" si="6"/>
        <v>#REF!</v>
      </c>
      <c r="R30" s="223" t="e">
        <f t="shared" si="7"/>
        <v>#REF!</v>
      </c>
      <c r="S30" s="223" t="e">
        <f t="shared" si="8"/>
        <v>#REF!</v>
      </c>
    </row>
    <row r="31" spans="1:19" ht="15.75" customHeight="1" x14ac:dyDescent="0.45">
      <c r="A31" s="468" t="s">
        <v>842</v>
      </c>
      <c r="B31" s="448">
        <v>8058806190</v>
      </c>
      <c r="C31" s="439" t="s">
        <v>699</v>
      </c>
      <c r="D31" s="396" t="s">
        <v>700</v>
      </c>
      <c r="E31" s="408">
        <v>600</v>
      </c>
      <c r="F31" s="566">
        <v>56</v>
      </c>
      <c r="G31" s="578">
        <f>'c303-c503'!F31</f>
        <v>0</v>
      </c>
      <c r="H31" s="219">
        <f t="shared" si="0"/>
        <v>0</v>
      </c>
      <c r="I31" s="507">
        <f>(30*BC!$B$47/F31)</f>
        <v>0</v>
      </c>
      <c r="J31" s="508">
        <f t="shared" si="1"/>
        <v>0</v>
      </c>
      <c r="K31" s="508">
        <f t="shared" si="2"/>
        <v>0</v>
      </c>
      <c r="L31" s="194">
        <f t="shared" si="3"/>
        <v>0</v>
      </c>
      <c r="M31" s="364">
        <v>144</v>
      </c>
      <c r="N31" s="365">
        <f t="shared" si="4"/>
        <v>0</v>
      </c>
      <c r="O31" s="371">
        <f t="shared" si="5"/>
        <v>0.24</v>
      </c>
      <c r="P31" s="295" t="e">
        <f>(O31+$N$155)+((BC!$F$125)/$G$82)</f>
        <v>#REF!</v>
      </c>
      <c r="Q31" s="514" t="e">
        <f t="shared" si="6"/>
        <v>#REF!</v>
      </c>
      <c r="R31" s="223" t="e">
        <f t="shared" si="7"/>
        <v>#REF!</v>
      </c>
      <c r="S31" s="223" t="e">
        <f t="shared" si="8"/>
        <v>#REF!</v>
      </c>
    </row>
    <row r="32" spans="1:19" ht="15.75" customHeight="1" x14ac:dyDescent="0.45">
      <c r="A32" s="468">
        <f>G77+G78+G79+G80+G81</f>
        <v>0</v>
      </c>
      <c r="B32" s="448">
        <v>8106053190</v>
      </c>
      <c r="C32" s="439" t="s">
        <v>1131</v>
      </c>
      <c r="D32" s="396" t="s">
        <v>701</v>
      </c>
      <c r="E32" s="408">
        <v>300</v>
      </c>
      <c r="F32" s="566">
        <v>182</v>
      </c>
      <c r="G32" s="578">
        <f>'c303-c503'!F32</f>
        <v>0</v>
      </c>
      <c r="H32" s="219">
        <f t="shared" si="0"/>
        <v>0</v>
      </c>
      <c r="I32" s="507">
        <f>(30*BC!$B$47/F32)</f>
        <v>0</v>
      </c>
      <c r="J32" s="508">
        <f t="shared" si="1"/>
        <v>0</v>
      </c>
      <c r="K32" s="508">
        <f t="shared" si="2"/>
        <v>0</v>
      </c>
      <c r="L32" s="194">
        <f t="shared" si="3"/>
        <v>0</v>
      </c>
      <c r="M32" s="364">
        <v>462</v>
      </c>
      <c r="N32" s="365">
        <f t="shared" si="4"/>
        <v>0</v>
      </c>
      <c r="O32" s="371">
        <f t="shared" si="5"/>
        <v>1.54</v>
      </c>
      <c r="P32" s="295" t="e">
        <f>(O32+$N$155)+((BC!$F$125)/$G$82)</f>
        <v>#REF!</v>
      </c>
      <c r="Q32" s="514" t="e">
        <f t="shared" si="6"/>
        <v>#REF!</v>
      </c>
      <c r="R32" s="223" t="e">
        <f t="shared" si="7"/>
        <v>#REF!</v>
      </c>
      <c r="S32" s="223" t="e">
        <f t="shared" si="8"/>
        <v>#REF!</v>
      </c>
    </row>
    <row r="33" spans="1:19" ht="15.75" customHeight="1" x14ac:dyDescent="0.45">
      <c r="B33" s="451">
        <v>8056714190</v>
      </c>
      <c r="C33" s="439" t="s">
        <v>702</v>
      </c>
      <c r="D33" s="396" t="s">
        <v>703</v>
      </c>
      <c r="E33" s="408">
        <v>500</v>
      </c>
      <c r="F33" s="566">
        <v>182</v>
      </c>
      <c r="G33" s="578">
        <f>'c303-c503'!F33</f>
        <v>0</v>
      </c>
      <c r="H33" s="219">
        <f t="shared" si="0"/>
        <v>0</v>
      </c>
      <c r="I33" s="507">
        <f>(30*BC!$B$47/F33)</f>
        <v>0</v>
      </c>
      <c r="J33" s="508">
        <f t="shared" si="1"/>
        <v>0</v>
      </c>
      <c r="K33" s="508">
        <f t="shared" si="2"/>
        <v>0</v>
      </c>
      <c r="L33" s="194">
        <f t="shared" si="3"/>
        <v>0</v>
      </c>
      <c r="M33" s="364">
        <v>120</v>
      </c>
      <c r="N33" s="365">
        <f t="shared" si="4"/>
        <v>0</v>
      </c>
      <c r="O33" s="371">
        <f t="shared" si="5"/>
        <v>0.24</v>
      </c>
      <c r="P33" s="295" t="e">
        <f>(O33+$N$155)+((BC!$F$125)/$G$82)</f>
        <v>#REF!</v>
      </c>
      <c r="Q33" s="514" t="e">
        <f t="shared" si="6"/>
        <v>#REF!</v>
      </c>
      <c r="R33" s="223" t="e">
        <f t="shared" si="7"/>
        <v>#REF!</v>
      </c>
      <c r="S33" s="223" t="e">
        <f t="shared" si="8"/>
        <v>#REF!</v>
      </c>
    </row>
    <row r="34" spans="1:19" ht="15.75" customHeight="1" x14ac:dyDescent="0.45">
      <c r="A34" s="264" t="s">
        <v>843</v>
      </c>
      <c r="B34" s="451">
        <v>8058652190</v>
      </c>
      <c r="C34" s="439" t="s">
        <v>704</v>
      </c>
      <c r="D34" s="396" t="s">
        <v>705</v>
      </c>
      <c r="E34" s="408">
        <v>1050</v>
      </c>
      <c r="F34" s="566">
        <v>182</v>
      </c>
      <c r="G34" s="578">
        <f>'c303-c503'!F34</f>
        <v>0</v>
      </c>
      <c r="H34" s="219">
        <f t="shared" si="0"/>
        <v>0</v>
      </c>
      <c r="I34" s="507">
        <f>(30*BC!$B$47/F34)</f>
        <v>0</v>
      </c>
      <c r="J34" s="508">
        <f t="shared" si="1"/>
        <v>0</v>
      </c>
      <c r="K34" s="508">
        <f t="shared" si="2"/>
        <v>0</v>
      </c>
      <c r="L34" s="194">
        <f t="shared" si="3"/>
        <v>0</v>
      </c>
      <c r="M34" s="364">
        <v>200</v>
      </c>
      <c r="N34" s="365">
        <f t="shared" si="4"/>
        <v>0</v>
      </c>
      <c r="O34" s="371">
        <f t="shared" si="5"/>
        <v>0.19047619047619047</v>
      </c>
      <c r="P34" s="295" t="e">
        <f>(O34+$N$155)+((BC!$F$125)/$G$82)</f>
        <v>#REF!</v>
      </c>
      <c r="Q34" s="514" t="e">
        <f t="shared" si="6"/>
        <v>#REF!</v>
      </c>
      <c r="R34" s="223" t="e">
        <f t="shared" si="7"/>
        <v>#REF!</v>
      </c>
      <c r="S34" s="223" t="e">
        <f t="shared" si="8"/>
        <v>#REF!</v>
      </c>
    </row>
    <row r="35" spans="1:19" ht="15.75" customHeight="1" x14ac:dyDescent="0.45">
      <c r="A35" s="264">
        <f>G48+G49</f>
        <v>0</v>
      </c>
      <c r="B35" s="451">
        <v>8057524190</v>
      </c>
      <c r="C35" s="439" t="s">
        <v>706</v>
      </c>
      <c r="D35" s="396" t="s">
        <v>707</v>
      </c>
      <c r="E35" s="408">
        <v>600</v>
      </c>
      <c r="F35" s="566">
        <v>126</v>
      </c>
      <c r="G35" s="578">
        <f>'c303-c503'!F35</f>
        <v>0</v>
      </c>
      <c r="H35" s="219">
        <f t="shared" si="0"/>
        <v>0</v>
      </c>
      <c r="I35" s="507">
        <f>(30*BC!$B$47/F35)</f>
        <v>0</v>
      </c>
      <c r="J35" s="508">
        <f t="shared" si="1"/>
        <v>0</v>
      </c>
      <c r="K35" s="508">
        <f t="shared" si="2"/>
        <v>0</v>
      </c>
      <c r="L35" s="194">
        <f t="shared" si="3"/>
        <v>0</v>
      </c>
      <c r="M35" s="364">
        <v>174</v>
      </c>
      <c r="N35" s="365">
        <f t="shared" si="4"/>
        <v>0</v>
      </c>
      <c r="O35" s="371">
        <f t="shared" si="5"/>
        <v>0.28999999999999998</v>
      </c>
      <c r="P35" s="295" t="e">
        <f>(O35+$N$155)+((BC!$F$125)/$G$82)</f>
        <v>#REF!</v>
      </c>
      <c r="Q35" s="514" t="e">
        <f t="shared" si="6"/>
        <v>#REF!</v>
      </c>
      <c r="R35" s="223" t="e">
        <f t="shared" si="7"/>
        <v>#REF!</v>
      </c>
      <c r="S35" s="223" t="e">
        <f t="shared" si="8"/>
        <v>#REF!</v>
      </c>
    </row>
    <row r="36" spans="1:19" ht="15.75" customHeight="1" x14ac:dyDescent="0.45">
      <c r="B36" s="451">
        <v>8057532190</v>
      </c>
      <c r="C36" s="439" t="s">
        <v>708</v>
      </c>
      <c r="D36" s="396" t="s">
        <v>709</v>
      </c>
      <c r="E36" s="408">
        <v>2500</v>
      </c>
      <c r="F36" s="566">
        <v>182</v>
      </c>
      <c r="G36" s="578">
        <f>'c303-c503'!F36</f>
        <v>0</v>
      </c>
      <c r="H36" s="219">
        <f t="shared" si="0"/>
        <v>0</v>
      </c>
      <c r="I36" s="507">
        <f>(30*BC!$B$47/F36)</f>
        <v>0</v>
      </c>
      <c r="J36" s="508">
        <f t="shared" si="1"/>
        <v>0</v>
      </c>
      <c r="K36" s="508">
        <f t="shared" si="2"/>
        <v>0</v>
      </c>
      <c r="L36" s="194">
        <f t="shared" si="3"/>
        <v>0</v>
      </c>
      <c r="M36" s="364">
        <v>486</v>
      </c>
      <c r="N36" s="365">
        <f t="shared" si="4"/>
        <v>0</v>
      </c>
      <c r="O36" s="371">
        <f t="shared" si="5"/>
        <v>0.19439999999999999</v>
      </c>
      <c r="P36" s="295" t="e">
        <f>(O36+$N$155)+((BC!$F$125)/$G$82)</f>
        <v>#REF!</v>
      </c>
      <c r="Q36" s="514" t="e">
        <f t="shared" si="6"/>
        <v>#REF!</v>
      </c>
      <c r="R36" s="223" t="e">
        <f t="shared" si="7"/>
        <v>#REF!</v>
      </c>
      <c r="S36" s="223" t="e">
        <f t="shared" si="8"/>
        <v>#REF!</v>
      </c>
    </row>
    <row r="37" spans="1:19" ht="15.75" customHeight="1" x14ac:dyDescent="0.45">
      <c r="A37" s="389" t="s">
        <v>267</v>
      </c>
      <c r="B37" s="451">
        <v>8057877190</v>
      </c>
      <c r="C37" s="442" t="s">
        <v>710</v>
      </c>
      <c r="D37" s="396" t="s">
        <v>711</v>
      </c>
      <c r="E37" s="408">
        <v>700</v>
      </c>
      <c r="F37" s="566">
        <v>84</v>
      </c>
      <c r="G37" s="578">
        <f>'c303-c503'!F37</f>
        <v>0</v>
      </c>
      <c r="H37" s="219">
        <f t="shared" si="0"/>
        <v>0</v>
      </c>
      <c r="I37" s="507">
        <f>(30*BC!$B$47/F37)</f>
        <v>0</v>
      </c>
      <c r="J37" s="508">
        <f t="shared" si="1"/>
        <v>0</v>
      </c>
      <c r="K37" s="508">
        <f t="shared" si="2"/>
        <v>0</v>
      </c>
      <c r="L37" s="194">
        <f t="shared" si="3"/>
        <v>0</v>
      </c>
      <c r="M37" s="364">
        <v>1071</v>
      </c>
      <c r="N37" s="365">
        <f t="shared" si="4"/>
        <v>0</v>
      </c>
      <c r="O37" s="371">
        <f t="shared" si="5"/>
        <v>1.53</v>
      </c>
      <c r="P37" s="295" t="e">
        <f>(O37+$N$155)+((BC!$F$125)/$G$82)</f>
        <v>#REF!</v>
      </c>
      <c r="Q37" s="514" t="e">
        <f t="shared" si="6"/>
        <v>#REF!</v>
      </c>
      <c r="R37" s="223" t="e">
        <f t="shared" si="7"/>
        <v>#REF!</v>
      </c>
      <c r="S37" s="223" t="e">
        <f t="shared" si="8"/>
        <v>#REF!</v>
      </c>
    </row>
    <row r="38" spans="1:19" ht="15.75" customHeight="1" x14ac:dyDescent="0.45">
      <c r="A38" s="389">
        <f>G63+G64</f>
        <v>0</v>
      </c>
      <c r="B38" s="451">
        <v>8057966190</v>
      </c>
      <c r="C38" s="442" t="s">
        <v>712</v>
      </c>
      <c r="D38" s="396" t="s">
        <v>713</v>
      </c>
      <c r="E38" s="408">
        <v>600</v>
      </c>
      <c r="F38" s="566">
        <v>182</v>
      </c>
      <c r="G38" s="578">
        <f>'c303-c503'!F38</f>
        <v>0</v>
      </c>
      <c r="H38" s="219">
        <f t="shared" si="0"/>
        <v>0</v>
      </c>
      <c r="I38" s="507">
        <f>(30*BC!$B$47/F38)</f>
        <v>0</v>
      </c>
      <c r="J38" s="508">
        <f t="shared" si="1"/>
        <v>0</v>
      </c>
      <c r="K38" s="508">
        <f t="shared" si="2"/>
        <v>0</v>
      </c>
      <c r="L38" s="194">
        <f t="shared" si="3"/>
        <v>0</v>
      </c>
      <c r="M38" s="364">
        <v>924</v>
      </c>
      <c r="N38" s="365">
        <f t="shared" si="4"/>
        <v>0</v>
      </c>
      <c r="O38" s="371">
        <f t="shared" si="5"/>
        <v>1.54</v>
      </c>
      <c r="P38" s="295" t="e">
        <f>(O38+$N$155)+((BC!$F$125)/$G$82)</f>
        <v>#REF!</v>
      </c>
      <c r="Q38" s="514" t="e">
        <f t="shared" si="6"/>
        <v>#REF!</v>
      </c>
      <c r="R38" s="223" t="e">
        <f t="shared" si="7"/>
        <v>#REF!</v>
      </c>
      <c r="S38" s="223" t="e">
        <f t="shared" si="8"/>
        <v>#REF!</v>
      </c>
    </row>
    <row r="39" spans="1:19" ht="15.75" customHeight="1" x14ac:dyDescent="0.45">
      <c r="B39" s="451">
        <v>8105448190</v>
      </c>
      <c r="C39" s="442" t="s">
        <v>714</v>
      </c>
      <c r="D39" s="396" t="s">
        <v>715</v>
      </c>
      <c r="E39" s="408">
        <v>250</v>
      </c>
      <c r="F39" s="566">
        <v>182</v>
      </c>
      <c r="G39" s="578">
        <f>'c303-c503'!F39</f>
        <v>0</v>
      </c>
      <c r="H39" s="219">
        <f t="shared" si="0"/>
        <v>0</v>
      </c>
      <c r="I39" s="507">
        <f>(30*BC!$B$47/F39)</f>
        <v>0</v>
      </c>
      <c r="J39" s="508">
        <f t="shared" si="1"/>
        <v>0</v>
      </c>
      <c r="K39" s="508">
        <f t="shared" si="2"/>
        <v>0</v>
      </c>
      <c r="L39" s="194">
        <f t="shared" si="3"/>
        <v>0</v>
      </c>
      <c r="M39" s="364">
        <v>563</v>
      </c>
      <c r="N39" s="365">
        <f t="shared" si="4"/>
        <v>0</v>
      </c>
      <c r="O39" s="371">
        <f t="shared" si="5"/>
        <v>2.2519999999999998</v>
      </c>
      <c r="P39" s="295" t="e">
        <f>(O39+$N$155)+((BC!$F$125)/$G$82)</f>
        <v>#REF!</v>
      </c>
      <c r="Q39" s="514" t="e">
        <f t="shared" si="6"/>
        <v>#REF!</v>
      </c>
      <c r="R39" s="223" t="e">
        <f t="shared" si="7"/>
        <v>#REF!</v>
      </c>
      <c r="S39" s="223" t="e">
        <f t="shared" si="8"/>
        <v>#REF!</v>
      </c>
    </row>
    <row r="40" spans="1:19" ht="15.75" customHeight="1" x14ac:dyDescent="0.45">
      <c r="B40" s="451">
        <v>8105464190</v>
      </c>
      <c r="C40" s="442" t="s">
        <v>716</v>
      </c>
      <c r="D40" s="396" t="s">
        <v>717</v>
      </c>
      <c r="E40" s="408">
        <v>250</v>
      </c>
      <c r="F40" s="566">
        <v>182</v>
      </c>
      <c r="G40" s="578">
        <f>'c303-c503'!F40</f>
        <v>0</v>
      </c>
      <c r="H40" s="219">
        <f t="shared" si="0"/>
        <v>0</v>
      </c>
      <c r="I40" s="507">
        <f>(30*BC!$B$47/F40)</f>
        <v>0</v>
      </c>
      <c r="J40" s="508">
        <f t="shared" si="1"/>
        <v>0</v>
      </c>
      <c r="K40" s="508">
        <f t="shared" si="2"/>
        <v>0</v>
      </c>
      <c r="L40" s="194">
        <f t="shared" si="3"/>
        <v>0</v>
      </c>
      <c r="M40" s="364">
        <v>563</v>
      </c>
      <c r="N40" s="365">
        <f t="shared" si="4"/>
        <v>0</v>
      </c>
      <c r="O40" s="371">
        <f t="shared" si="5"/>
        <v>2.2519999999999998</v>
      </c>
      <c r="P40" s="295" t="e">
        <f>(O40+$N$155)+((BC!$F$125)/$G$82)</f>
        <v>#REF!</v>
      </c>
      <c r="Q40" s="514" t="e">
        <f t="shared" si="6"/>
        <v>#REF!</v>
      </c>
      <c r="R40" s="223" t="e">
        <f t="shared" si="7"/>
        <v>#REF!</v>
      </c>
      <c r="S40" s="223" t="e">
        <f t="shared" si="8"/>
        <v>#REF!</v>
      </c>
    </row>
    <row r="41" spans="1:19" ht="15.75" customHeight="1" x14ac:dyDescent="0.45">
      <c r="B41" s="396">
        <v>8063516190</v>
      </c>
      <c r="C41" s="396" t="s">
        <v>718</v>
      </c>
      <c r="D41" s="396" t="s">
        <v>719</v>
      </c>
      <c r="E41" s="408">
        <v>14500</v>
      </c>
      <c r="F41" s="566">
        <v>182</v>
      </c>
      <c r="G41" s="578">
        <f>'c303-c503'!F41</f>
        <v>0</v>
      </c>
      <c r="H41" s="219">
        <f t="shared" si="0"/>
        <v>0</v>
      </c>
      <c r="I41" s="507">
        <f>(30*BC!$B$47/F41)</f>
        <v>0</v>
      </c>
      <c r="J41" s="508">
        <f t="shared" si="1"/>
        <v>0</v>
      </c>
      <c r="K41" s="508">
        <f t="shared" si="2"/>
        <v>0</v>
      </c>
      <c r="L41" s="194">
        <f t="shared" si="3"/>
        <v>0</v>
      </c>
      <c r="M41" s="364">
        <v>9</v>
      </c>
      <c r="N41" s="365">
        <f t="shared" si="4"/>
        <v>0</v>
      </c>
      <c r="O41" s="371">
        <f t="shared" si="5"/>
        <v>6.2068965517241383E-4</v>
      </c>
      <c r="P41" s="295" t="e">
        <f>(O41+$N$155)+((BC!$F$125)/$G$82)</f>
        <v>#REF!</v>
      </c>
      <c r="Q41" s="514" t="e">
        <f t="shared" si="6"/>
        <v>#REF!</v>
      </c>
      <c r="R41" s="223" t="e">
        <f t="shared" si="7"/>
        <v>#REF!</v>
      </c>
      <c r="S41" s="223" t="e">
        <f t="shared" si="8"/>
        <v>#REF!</v>
      </c>
    </row>
    <row r="42" spans="1:19" ht="15.75" customHeight="1" x14ac:dyDescent="0.45">
      <c r="B42" s="451">
        <v>8057486190</v>
      </c>
      <c r="C42" s="443" t="s">
        <v>720</v>
      </c>
      <c r="D42" s="396" t="s">
        <v>721</v>
      </c>
      <c r="E42" s="408">
        <v>150</v>
      </c>
      <c r="F42" s="566">
        <v>56</v>
      </c>
      <c r="G42" s="578">
        <f>'c303-c503'!F42</f>
        <v>0</v>
      </c>
      <c r="H42" s="219">
        <f t="shared" si="0"/>
        <v>0</v>
      </c>
      <c r="I42" s="507">
        <f>(30*BC!$B$47/F42)</f>
        <v>0</v>
      </c>
      <c r="J42" s="508">
        <f t="shared" si="1"/>
        <v>0</v>
      </c>
      <c r="K42" s="508">
        <f t="shared" si="2"/>
        <v>0</v>
      </c>
      <c r="L42" s="194">
        <f t="shared" si="3"/>
        <v>0</v>
      </c>
      <c r="M42" s="364">
        <v>414</v>
      </c>
      <c r="N42" s="365">
        <f t="shared" si="4"/>
        <v>0</v>
      </c>
      <c r="O42" s="371">
        <f t="shared" si="5"/>
        <v>2.76</v>
      </c>
      <c r="P42" s="295" t="e">
        <f>(O42+$N$155)+((BC!$F$125)/$G$82)</f>
        <v>#REF!</v>
      </c>
      <c r="Q42" s="514" t="e">
        <f t="shared" si="6"/>
        <v>#REF!</v>
      </c>
      <c r="R42" s="223" t="e">
        <f t="shared" si="7"/>
        <v>#REF!</v>
      </c>
      <c r="S42" s="223" t="e">
        <f t="shared" si="8"/>
        <v>#REF!</v>
      </c>
    </row>
    <row r="43" spans="1:19" ht="15.75" customHeight="1" x14ac:dyDescent="0.45">
      <c r="B43" s="452">
        <v>8056722190</v>
      </c>
      <c r="C43" s="444" t="s">
        <v>655</v>
      </c>
      <c r="D43" s="396" t="s">
        <v>722</v>
      </c>
      <c r="E43" s="408">
        <v>500</v>
      </c>
      <c r="F43" s="566">
        <v>182</v>
      </c>
      <c r="G43" s="578">
        <f>'c303-c503'!F43</f>
        <v>0</v>
      </c>
      <c r="H43" s="219">
        <f t="shared" si="0"/>
        <v>0</v>
      </c>
      <c r="I43" s="507">
        <f>(30*BC!$B$47/F43)</f>
        <v>0</v>
      </c>
      <c r="J43" s="508">
        <f t="shared" si="1"/>
        <v>0</v>
      </c>
      <c r="K43" s="508">
        <f t="shared" si="2"/>
        <v>0</v>
      </c>
      <c r="L43" s="194">
        <f t="shared" si="3"/>
        <v>0</v>
      </c>
      <c r="M43" s="364">
        <v>1435</v>
      </c>
      <c r="N43" s="365">
        <f t="shared" si="4"/>
        <v>0</v>
      </c>
      <c r="O43" s="371">
        <f t="shared" si="5"/>
        <v>2.87</v>
      </c>
      <c r="P43" s="295" t="e">
        <f>(O43+$N$155)+((BC!$F$125)/$G$82)</f>
        <v>#REF!</v>
      </c>
      <c r="Q43" s="514" t="e">
        <f t="shared" si="6"/>
        <v>#REF!</v>
      </c>
      <c r="R43" s="223" t="e">
        <f t="shared" si="7"/>
        <v>#REF!</v>
      </c>
      <c r="S43" s="223" t="e">
        <f t="shared" si="8"/>
        <v>#REF!</v>
      </c>
    </row>
    <row r="44" spans="1:19" ht="15.75" customHeight="1" x14ac:dyDescent="0.45">
      <c r="B44" s="452">
        <v>8058679190</v>
      </c>
      <c r="C44" s="444" t="s">
        <v>723</v>
      </c>
      <c r="D44" s="396" t="s">
        <v>724</v>
      </c>
      <c r="E44" s="408">
        <v>650</v>
      </c>
      <c r="F44" s="566">
        <v>182</v>
      </c>
      <c r="G44" s="578">
        <f>'c303-c503'!F44</f>
        <v>0</v>
      </c>
      <c r="H44" s="219">
        <f t="shared" si="0"/>
        <v>0</v>
      </c>
      <c r="I44" s="507">
        <f>(30*BC!$B$47/F44)</f>
        <v>0</v>
      </c>
      <c r="J44" s="508">
        <f t="shared" si="1"/>
        <v>0</v>
      </c>
      <c r="K44" s="508">
        <f t="shared" si="2"/>
        <v>0</v>
      </c>
      <c r="L44" s="194">
        <f t="shared" si="3"/>
        <v>0</v>
      </c>
      <c r="M44" s="364">
        <v>923</v>
      </c>
      <c r="N44" s="365">
        <f t="shared" si="4"/>
        <v>0</v>
      </c>
      <c r="O44" s="371">
        <f t="shared" si="5"/>
        <v>1.42</v>
      </c>
      <c r="P44" s="295" t="e">
        <f>(O44+$N$155)+((BC!$F$125)/$G$82)</f>
        <v>#REF!</v>
      </c>
      <c r="Q44" s="514" t="e">
        <f t="shared" si="6"/>
        <v>#REF!</v>
      </c>
      <c r="R44" s="223" t="e">
        <f t="shared" si="7"/>
        <v>#REF!</v>
      </c>
      <c r="S44" s="223" t="e">
        <f t="shared" si="8"/>
        <v>#REF!</v>
      </c>
    </row>
    <row r="45" spans="1:19" ht="15.75" customHeight="1" x14ac:dyDescent="0.45">
      <c r="B45" s="448">
        <v>8105472190</v>
      </c>
      <c r="C45" s="446" t="s">
        <v>726</v>
      </c>
      <c r="D45" s="396" t="s">
        <v>727</v>
      </c>
      <c r="E45" s="408">
        <v>200</v>
      </c>
      <c r="F45" s="566">
        <v>182</v>
      </c>
      <c r="G45" s="578">
        <f>'c303-c503'!F45</f>
        <v>0</v>
      </c>
      <c r="H45" s="219">
        <f t="shared" si="0"/>
        <v>0</v>
      </c>
      <c r="I45" s="507">
        <f>(30*BC!$B$47/F45)</f>
        <v>0</v>
      </c>
      <c r="J45" s="508">
        <f t="shared" si="1"/>
        <v>0</v>
      </c>
      <c r="K45" s="508">
        <f t="shared" si="2"/>
        <v>0</v>
      </c>
      <c r="L45" s="194">
        <f t="shared" si="3"/>
        <v>0</v>
      </c>
      <c r="M45" s="364">
        <v>658</v>
      </c>
      <c r="N45" s="365">
        <f t="shared" si="4"/>
        <v>0</v>
      </c>
      <c r="O45" s="371">
        <f t="shared" si="5"/>
        <v>3.29</v>
      </c>
      <c r="P45" s="295" t="e">
        <f>(O45+$N$155)+((BC!$F$125)/$G$82)</f>
        <v>#REF!</v>
      </c>
      <c r="Q45" s="514" t="e">
        <f t="shared" si="6"/>
        <v>#REF!</v>
      </c>
      <c r="R45" s="223" t="e">
        <f t="shared" si="7"/>
        <v>#REF!</v>
      </c>
      <c r="S45" s="223" t="e">
        <f t="shared" si="8"/>
        <v>#REF!</v>
      </c>
    </row>
    <row r="46" spans="1:19" ht="15.75" customHeight="1" x14ac:dyDescent="0.45">
      <c r="B46" s="448">
        <v>8105553190</v>
      </c>
      <c r="C46" s="446" t="s">
        <v>728</v>
      </c>
      <c r="D46" s="396" t="s">
        <v>729</v>
      </c>
      <c r="E46" s="408">
        <v>200</v>
      </c>
      <c r="F46" s="566">
        <v>56</v>
      </c>
      <c r="G46" s="578">
        <f>'c303-c503'!F46</f>
        <v>0</v>
      </c>
      <c r="H46" s="219">
        <f t="shared" si="0"/>
        <v>0</v>
      </c>
      <c r="I46" s="507">
        <f>(30*BC!$B$47/F46)</f>
        <v>0</v>
      </c>
      <c r="J46" s="508">
        <f t="shared" si="1"/>
        <v>0</v>
      </c>
      <c r="K46" s="508">
        <f t="shared" si="2"/>
        <v>0</v>
      </c>
      <c r="L46" s="194">
        <f t="shared" si="3"/>
        <v>0</v>
      </c>
      <c r="M46" s="364">
        <v>518</v>
      </c>
      <c r="N46" s="365">
        <f t="shared" si="4"/>
        <v>0</v>
      </c>
      <c r="O46" s="371">
        <f t="shared" si="5"/>
        <v>2.59</v>
      </c>
      <c r="P46" s="295" t="e">
        <f>(O46+$N$155)+((BC!$F$125)/$G$82)</f>
        <v>#REF!</v>
      </c>
      <c r="Q46" s="514" t="e">
        <f t="shared" si="6"/>
        <v>#REF!</v>
      </c>
      <c r="R46" s="223" t="e">
        <f t="shared" si="7"/>
        <v>#REF!</v>
      </c>
      <c r="S46" s="223" t="e">
        <f t="shared" si="8"/>
        <v>#REF!</v>
      </c>
    </row>
    <row r="47" spans="1:19" ht="15.75" customHeight="1" x14ac:dyDescent="0.45">
      <c r="B47" s="448">
        <v>8252645190</v>
      </c>
      <c r="C47" s="446" t="s">
        <v>730</v>
      </c>
      <c r="D47" s="396" t="s">
        <v>731</v>
      </c>
      <c r="E47" s="408">
        <v>200</v>
      </c>
      <c r="F47" s="566">
        <v>182</v>
      </c>
      <c r="G47" s="578">
        <f>'c303-c503'!F47</f>
        <v>0</v>
      </c>
      <c r="H47" s="219">
        <f t="shared" si="0"/>
        <v>0</v>
      </c>
      <c r="I47" s="507">
        <f>(30*BC!$B$47/F47)</f>
        <v>0</v>
      </c>
      <c r="J47" s="508">
        <f t="shared" si="1"/>
        <v>0</v>
      </c>
      <c r="K47" s="508">
        <f t="shared" si="2"/>
        <v>0</v>
      </c>
      <c r="L47" s="194">
        <f t="shared" si="3"/>
        <v>0</v>
      </c>
      <c r="M47" s="364">
        <v>930</v>
      </c>
      <c r="N47" s="365">
        <f t="shared" si="4"/>
        <v>0</v>
      </c>
      <c r="O47" s="371">
        <f t="shared" si="5"/>
        <v>4.6500000000000004</v>
      </c>
      <c r="P47" s="295" t="e">
        <f>(O47+$N$155)+((BC!$F$125)/$G$82)</f>
        <v>#REF!</v>
      </c>
      <c r="Q47" s="514" t="e">
        <f t="shared" si="6"/>
        <v>#REF!</v>
      </c>
      <c r="R47" s="223" t="e">
        <f t="shared" si="7"/>
        <v>#REF!</v>
      </c>
      <c r="S47" s="223" t="e">
        <f t="shared" si="8"/>
        <v>#REF!</v>
      </c>
    </row>
    <row r="48" spans="1:19" ht="15.75" customHeight="1" x14ac:dyDescent="0.45">
      <c r="B48" s="448">
        <v>8106070190</v>
      </c>
      <c r="C48" s="453" t="s">
        <v>1132</v>
      </c>
      <c r="D48" s="396" t="s">
        <v>732</v>
      </c>
      <c r="E48" s="408">
        <v>150</v>
      </c>
      <c r="F48" s="566">
        <v>182</v>
      </c>
      <c r="G48" s="578">
        <f>'c303-c503'!F48</f>
        <v>0</v>
      </c>
      <c r="H48" s="219">
        <f t="shared" si="0"/>
        <v>0</v>
      </c>
      <c r="I48" s="507">
        <f>(30*BC!$B$47/F48)</f>
        <v>0</v>
      </c>
      <c r="J48" s="508">
        <f t="shared" si="1"/>
        <v>0</v>
      </c>
      <c r="K48" s="508">
        <f t="shared" si="2"/>
        <v>0</v>
      </c>
      <c r="L48" s="194">
        <f t="shared" si="3"/>
        <v>0</v>
      </c>
      <c r="M48" s="364">
        <v>360</v>
      </c>
      <c r="N48" s="365">
        <f t="shared" si="4"/>
        <v>0</v>
      </c>
      <c r="O48" s="371">
        <f t="shared" si="5"/>
        <v>2.4</v>
      </c>
      <c r="P48" s="295" t="e">
        <f>(O48+$N$155)+((BC!$F$125)/$G$82)</f>
        <v>#REF!</v>
      </c>
      <c r="Q48" s="514" t="e">
        <f t="shared" si="6"/>
        <v>#REF!</v>
      </c>
      <c r="R48" s="223" t="e">
        <f t="shared" si="7"/>
        <v>#REF!</v>
      </c>
      <c r="S48" s="223" t="e">
        <f t="shared" si="8"/>
        <v>#REF!</v>
      </c>
    </row>
    <row r="49" spans="2:19" ht="15.75" customHeight="1" x14ac:dyDescent="0.45">
      <c r="B49" s="448">
        <v>8106061190</v>
      </c>
      <c r="C49" s="453" t="s">
        <v>1133</v>
      </c>
      <c r="D49" s="396" t="s">
        <v>733</v>
      </c>
      <c r="E49" s="408">
        <v>150</v>
      </c>
      <c r="F49" s="566">
        <v>182</v>
      </c>
      <c r="G49" s="578">
        <f>'c303-c503'!F49</f>
        <v>0</v>
      </c>
      <c r="H49" s="219">
        <f t="shared" si="0"/>
        <v>0</v>
      </c>
      <c r="I49" s="507">
        <f>(30*BC!$B$47/F49)</f>
        <v>0</v>
      </c>
      <c r="J49" s="508">
        <f t="shared" si="1"/>
        <v>0</v>
      </c>
      <c r="K49" s="508">
        <f t="shared" si="2"/>
        <v>0</v>
      </c>
      <c r="L49" s="194">
        <f t="shared" si="3"/>
        <v>0</v>
      </c>
      <c r="M49" s="364">
        <v>411</v>
      </c>
      <c r="N49" s="365">
        <f t="shared" si="4"/>
        <v>0</v>
      </c>
      <c r="O49" s="371">
        <f t="shared" si="5"/>
        <v>2.74</v>
      </c>
      <c r="P49" s="295" t="e">
        <f>(O49+$N$155)+((BC!$F$125)/$G$82)</f>
        <v>#REF!</v>
      </c>
      <c r="Q49" s="514" t="e">
        <f t="shared" si="6"/>
        <v>#REF!</v>
      </c>
      <c r="R49" s="223" t="e">
        <f t="shared" si="7"/>
        <v>#REF!</v>
      </c>
      <c r="S49" s="223" t="e">
        <f t="shared" si="8"/>
        <v>#REF!</v>
      </c>
    </row>
    <row r="50" spans="2:19" ht="15.75" customHeight="1" x14ac:dyDescent="0.45">
      <c r="B50" s="448">
        <v>8058776190</v>
      </c>
      <c r="C50" s="454" t="s">
        <v>734</v>
      </c>
      <c r="D50" s="396" t="s">
        <v>735</v>
      </c>
      <c r="E50" s="408">
        <v>100</v>
      </c>
      <c r="F50" s="566">
        <v>56</v>
      </c>
      <c r="G50" s="578">
        <f>'c303-c503'!F50</f>
        <v>0</v>
      </c>
      <c r="H50" s="219">
        <f t="shared" si="0"/>
        <v>0</v>
      </c>
      <c r="I50" s="507">
        <f>(30*BC!$B$47/F50)</f>
        <v>0</v>
      </c>
      <c r="J50" s="508">
        <f t="shared" si="1"/>
        <v>0</v>
      </c>
      <c r="K50" s="508">
        <f t="shared" si="2"/>
        <v>0</v>
      </c>
      <c r="L50" s="194">
        <f t="shared" si="3"/>
        <v>0</v>
      </c>
      <c r="M50" s="364">
        <v>201</v>
      </c>
      <c r="N50" s="365">
        <f t="shared" si="4"/>
        <v>0</v>
      </c>
      <c r="O50" s="371">
        <f t="shared" si="5"/>
        <v>2.0099999999999998</v>
      </c>
      <c r="P50" s="295" t="e">
        <f>(O50+$N$155)+((BC!$F$125)/$G$82)</f>
        <v>#REF!</v>
      </c>
      <c r="Q50" s="514" t="e">
        <f t="shared" si="6"/>
        <v>#REF!</v>
      </c>
      <c r="R50" s="223" t="e">
        <f t="shared" si="7"/>
        <v>#REF!</v>
      </c>
      <c r="S50" s="223" t="e">
        <f t="shared" si="8"/>
        <v>#REF!</v>
      </c>
    </row>
    <row r="51" spans="2:19" ht="15.75" customHeight="1" x14ac:dyDescent="0.45">
      <c r="B51" s="448">
        <v>8057591190</v>
      </c>
      <c r="C51" s="445" t="s">
        <v>736</v>
      </c>
      <c r="D51" s="396" t="s">
        <v>737</v>
      </c>
      <c r="E51" s="408">
        <v>500</v>
      </c>
      <c r="F51" s="566">
        <v>84</v>
      </c>
      <c r="G51" s="578">
        <f>'c303-c503'!F51</f>
        <v>0</v>
      </c>
      <c r="H51" s="219">
        <f t="shared" si="0"/>
        <v>0</v>
      </c>
      <c r="I51" s="507">
        <f>(30*BC!$B$47/F51)</f>
        <v>0</v>
      </c>
      <c r="J51" s="508">
        <f t="shared" si="1"/>
        <v>0</v>
      </c>
      <c r="K51" s="508">
        <f t="shared" si="2"/>
        <v>0</v>
      </c>
      <c r="L51" s="194">
        <f t="shared" si="3"/>
        <v>0</v>
      </c>
      <c r="M51" s="364">
        <v>1285</v>
      </c>
      <c r="N51" s="365">
        <f t="shared" si="4"/>
        <v>0</v>
      </c>
      <c r="O51" s="371">
        <f t="shared" si="5"/>
        <v>2.57</v>
      </c>
      <c r="P51" s="295" t="e">
        <f>(O51+$N$155)+((BC!$F$125)/$G$82)</f>
        <v>#REF!</v>
      </c>
      <c r="Q51" s="514" t="e">
        <f t="shared" si="6"/>
        <v>#REF!</v>
      </c>
      <c r="R51" s="223" t="e">
        <f t="shared" si="7"/>
        <v>#REF!</v>
      </c>
      <c r="S51" s="223" t="e">
        <f t="shared" si="8"/>
        <v>#REF!</v>
      </c>
    </row>
    <row r="52" spans="2:19" ht="15.75" customHeight="1" x14ac:dyDescent="0.45">
      <c r="B52" s="448">
        <v>8105545190</v>
      </c>
      <c r="C52" s="445" t="s">
        <v>738</v>
      </c>
      <c r="D52" s="396" t="s">
        <v>739</v>
      </c>
      <c r="E52" s="408">
        <v>150</v>
      </c>
      <c r="F52" s="566">
        <v>154</v>
      </c>
      <c r="G52" s="578">
        <f>'c303-c503'!F52</f>
        <v>0</v>
      </c>
      <c r="H52" s="219">
        <f t="shared" si="0"/>
        <v>0</v>
      </c>
      <c r="I52" s="507">
        <f>(30*BC!$B$47/F52)</f>
        <v>0</v>
      </c>
      <c r="J52" s="508">
        <f t="shared" si="1"/>
        <v>0</v>
      </c>
      <c r="K52" s="508">
        <f t="shared" si="2"/>
        <v>0</v>
      </c>
      <c r="L52" s="194">
        <f t="shared" si="3"/>
        <v>0</v>
      </c>
      <c r="M52" s="364">
        <v>464</v>
      </c>
      <c r="N52" s="365">
        <f t="shared" si="4"/>
        <v>0</v>
      </c>
      <c r="O52" s="371">
        <f t="shared" si="5"/>
        <v>3.0933333333333333</v>
      </c>
      <c r="P52" s="295" t="e">
        <f>(O52+$N$155)+((BC!$F$125)/$G$82)</f>
        <v>#REF!</v>
      </c>
      <c r="Q52" s="514" t="e">
        <f t="shared" si="6"/>
        <v>#REF!</v>
      </c>
      <c r="R52" s="223" t="e">
        <f t="shared" si="7"/>
        <v>#REF!</v>
      </c>
      <c r="S52" s="223" t="e">
        <f t="shared" si="8"/>
        <v>#REF!</v>
      </c>
    </row>
    <row r="53" spans="2:19" ht="15.75" customHeight="1" x14ac:dyDescent="0.45">
      <c r="B53" s="448">
        <v>8106045190</v>
      </c>
      <c r="C53" s="445" t="s">
        <v>740</v>
      </c>
      <c r="D53" s="396" t="s">
        <v>741</v>
      </c>
      <c r="E53" s="408">
        <v>200</v>
      </c>
      <c r="F53" s="566">
        <v>182</v>
      </c>
      <c r="G53" s="578">
        <f>'c303-c503'!F53</f>
        <v>0</v>
      </c>
      <c r="H53" s="219">
        <f t="shared" si="0"/>
        <v>0</v>
      </c>
      <c r="I53" s="507">
        <f>(30*BC!$B$47/F53)</f>
        <v>0</v>
      </c>
      <c r="J53" s="508">
        <f t="shared" si="1"/>
        <v>0</v>
      </c>
      <c r="K53" s="508">
        <f t="shared" si="2"/>
        <v>0</v>
      </c>
      <c r="L53" s="194">
        <f t="shared" si="3"/>
        <v>0</v>
      </c>
      <c r="M53" s="364">
        <v>602</v>
      </c>
      <c r="N53" s="365">
        <f t="shared" si="4"/>
        <v>0</v>
      </c>
      <c r="O53" s="371">
        <f t="shared" si="5"/>
        <v>3.01</v>
      </c>
      <c r="P53" s="295" t="e">
        <f>(O53+$N$155)+((BC!$F$125)/$G$82)</f>
        <v>#REF!</v>
      </c>
      <c r="Q53" s="514" t="e">
        <f t="shared" si="6"/>
        <v>#REF!</v>
      </c>
      <c r="R53" s="223" t="e">
        <f t="shared" si="7"/>
        <v>#REF!</v>
      </c>
      <c r="S53" s="223" t="e">
        <f t="shared" si="8"/>
        <v>#REF!</v>
      </c>
    </row>
    <row r="54" spans="2:19" ht="15.75" customHeight="1" x14ac:dyDescent="0.45">
      <c r="B54" s="448">
        <v>8105537190</v>
      </c>
      <c r="C54" s="445" t="s">
        <v>742</v>
      </c>
      <c r="D54" s="396" t="s">
        <v>743</v>
      </c>
      <c r="E54" s="408">
        <v>150</v>
      </c>
      <c r="F54" s="566">
        <v>154</v>
      </c>
      <c r="G54" s="578">
        <f>'c303-c503'!F54</f>
        <v>0</v>
      </c>
      <c r="H54" s="219">
        <f t="shared" si="0"/>
        <v>0</v>
      </c>
      <c r="I54" s="507">
        <f>(30*BC!$B$47/F54)</f>
        <v>0</v>
      </c>
      <c r="J54" s="508">
        <f t="shared" si="1"/>
        <v>0</v>
      </c>
      <c r="K54" s="508">
        <f t="shared" si="2"/>
        <v>0</v>
      </c>
      <c r="L54" s="194">
        <f t="shared" si="3"/>
        <v>0</v>
      </c>
      <c r="M54" s="364">
        <v>461</v>
      </c>
      <c r="N54" s="365">
        <f t="shared" si="4"/>
        <v>0</v>
      </c>
      <c r="O54" s="371">
        <f t="shared" si="5"/>
        <v>3.0733333333333333</v>
      </c>
      <c r="P54" s="295" t="e">
        <f>(O54+$N$155)+((BC!$F$125)/$G$82)</f>
        <v>#REF!</v>
      </c>
      <c r="Q54" s="514" t="e">
        <f t="shared" si="6"/>
        <v>#REF!</v>
      </c>
      <c r="R54" s="223" t="e">
        <f t="shared" si="7"/>
        <v>#REF!</v>
      </c>
      <c r="S54" s="223" t="e">
        <f t="shared" si="8"/>
        <v>#REF!</v>
      </c>
    </row>
    <row r="55" spans="2:19" ht="15.75" customHeight="1" x14ac:dyDescent="0.45">
      <c r="B55" s="448">
        <v>8106088190</v>
      </c>
      <c r="C55" s="445" t="s">
        <v>744</v>
      </c>
      <c r="D55" s="396" t="s">
        <v>745</v>
      </c>
      <c r="E55" s="408">
        <v>100</v>
      </c>
      <c r="F55" s="566">
        <v>182</v>
      </c>
      <c r="G55" s="578">
        <f>'c303-c503'!F55</f>
        <v>0</v>
      </c>
      <c r="H55" s="219">
        <f t="shared" si="0"/>
        <v>0</v>
      </c>
      <c r="I55" s="507">
        <f>(30*BC!$B$47/F55)</f>
        <v>0</v>
      </c>
      <c r="J55" s="508">
        <f t="shared" si="1"/>
        <v>0</v>
      </c>
      <c r="K55" s="508">
        <f t="shared" si="2"/>
        <v>0</v>
      </c>
      <c r="L55" s="194">
        <f t="shared" si="3"/>
        <v>0</v>
      </c>
      <c r="M55" s="364">
        <v>474</v>
      </c>
      <c r="N55" s="365">
        <f t="shared" si="4"/>
        <v>0</v>
      </c>
      <c r="O55" s="371">
        <f t="shared" si="5"/>
        <v>4.74</v>
      </c>
      <c r="P55" s="295" t="e">
        <f>(O55+$N$155)+((BC!$F$125)/$G$82)</f>
        <v>#REF!</v>
      </c>
      <c r="Q55" s="514" t="e">
        <f t="shared" si="6"/>
        <v>#REF!</v>
      </c>
      <c r="R55" s="223" t="e">
        <f t="shared" si="7"/>
        <v>#REF!</v>
      </c>
      <c r="S55" s="223" t="e">
        <f t="shared" si="8"/>
        <v>#REF!</v>
      </c>
    </row>
    <row r="56" spans="2:19" ht="15.75" customHeight="1" x14ac:dyDescent="0.45">
      <c r="B56" s="448">
        <v>8106096190</v>
      </c>
      <c r="C56" s="445" t="s">
        <v>746</v>
      </c>
      <c r="D56" s="396" t="s">
        <v>747</v>
      </c>
      <c r="E56" s="408">
        <v>100</v>
      </c>
      <c r="F56" s="566">
        <v>182</v>
      </c>
      <c r="G56" s="578">
        <f>'c303-c503'!F56</f>
        <v>0</v>
      </c>
      <c r="H56" s="219">
        <f t="shared" si="0"/>
        <v>0</v>
      </c>
      <c r="I56" s="507">
        <f>(30*BC!$B$47/F56)</f>
        <v>0</v>
      </c>
      <c r="J56" s="508">
        <f t="shared" si="1"/>
        <v>0</v>
      </c>
      <c r="K56" s="508">
        <f t="shared" si="2"/>
        <v>0</v>
      </c>
      <c r="L56" s="194">
        <f t="shared" si="3"/>
        <v>0</v>
      </c>
      <c r="M56" s="364">
        <v>706</v>
      </c>
      <c r="N56" s="365">
        <f t="shared" si="4"/>
        <v>0</v>
      </c>
      <c r="O56" s="371">
        <f t="shared" si="5"/>
        <v>7.06</v>
      </c>
      <c r="P56" s="295" t="e">
        <f>(O56+$N$155)+((BC!$F$125)/$G$82)</f>
        <v>#REF!</v>
      </c>
      <c r="Q56" s="514" t="e">
        <f t="shared" si="6"/>
        <v>#REF!</v>
      </c>
      <c r="R56" s="223" t="e">
        <f t="shared" si="7"/>
        <v>#REF!</v>
      </c>
      <c r="S56" s="223" t="e">
        <f t="shared" si="8"/>
        <v>#REF!</v>
      </c>
    </row>
    <row r="57" spans="2:19" ht="15.75" customHeight="1" x14ac:dyDescent="0.45">
      <c r="B57" s="448">
        <v>8101396190</v>
      </c>
      <c r="C57" s="445" t="s">
        <v>1134</v>
      </c>
      <c r="D57" s="396" t="s">
        <v>748</v>
      </c>
      <c r="E57" s="408">
        <v>200</v>
      </c>
      <c r="F57" s="566">
        <v>182</v>
      </c>
      <c r="G57" s="578">
        <f>'c303-c503'!F57</f>
        <v>0</v>
      </c>
      <c r="H57" s="219">
        <f t="shared" si="0"/>
        <v>0</v>
      </c>
      <c r="I57" s="507">
        <f>(30*BC!$B$47/F57)</f>
        <v>0</v>
      </c>
      <c r="J57" s="508">
        <f t="shared" si="1"/>
        <v>0</v>
      </c>
      <c r="K57" s="508">
        <f t="shared" si="2"/>
        <v>0</v>
      </c>
      <c r="L57" s="194">
        <f t="shared" si="3"/>
        <v>0</v>
      </c>
      <c r="M57" s="364">
        <v>872</v>
      </c>
      <c r="N57" s="365">
        <f t="shared" si="4"/>
        <v>0</v>
      </c>
      <c r="O57" s="371">
        <f t="shared" si="5"/>
        <v>4.3600000000000003</v>
      </c>
      <c r="P57" s="295" t="e">
        <f>(O57+$N$155)+((BC!$F$125)/$G$82)</f>
        <v>#REF!</v>
      </c>
      <c r="Q57" s="514" t="e">
        <f t="shared" si="6"/>
        <v>#REF!</v>
      </c>
      <c r="R57" s="223" t="e">
        <f t="shared" si="7"/>
        <v>#REF!</v>
      </c>
      <c r="S57" s="223" t="e">
        <f t="shared" si="8"/>
        <v>#REF!</v>
      </c>
    </row>
    <row r="58" spans="2:19" ht="15.75" customHeight="1" x14ac:dyDescent="0.45">
      <c r="B58" s="448">
        <v>8058733190</v>
      </c>
      <c r="C58" s="445" t="s">
        <v>749</v>
      </c>
      <c r="D58" s="396" t="s">
        <v>750</v>
      </c>
      <c r="E58" s="408">
        <v>500</v>
      </c>
      <c r="F58" s="566">
        <v>182</v>
      </c>
      <c r="G58" s="578">
        <f>'c303-c503'!F58</f>
        <v>0</v>
      </c>
      <c r="H58" s="219">
        <f t="shared" si="0"/>
        <v>0</v>
      </c>
      <c r="I58" s="507">
        <f>(30*BC!$B$47/F58)</f>
        <v>0</v>
      </c>
      <c r="J58" s="508">
        <f t="shared" si="1"/>
        <v>0</v>
      </c>
      <c r="K58" s="508">
        <f t="shared" si="2"/>
        <v>0</v>
      </c>
      <c r="L58" s="194">
        <f t="shared" si="3"/>
        <v>0</v>
      </c>
      <c r="M58" s="364">
        <v>1210</v>
      </c>
      <c r="N58" s="365">
        <f t="shared" si="4"/>
        <v>0</v>
      </c>
      <c r="O58" s="371">
        <f t="shared" si="5"/>
        <v>2.42</v>
      </c>
      <c r="P58" s="295" t="e">
        <f>(O58+$N$155)+((BC!$F$125)/$G$82)</f>
        <v>#REF!</v>
      </c>
      <c r="Q58" s="514" t="e">
        <f t="shared" si="6"/>
        <v>#REF!</v>
      </c>
      <c r="R58" s="223" t="e">
        <f t="shared" si="7"/>
        <v>#REF!</v>
      </c>
      <c r="S58" s="223" t="e">
        <f t="shared" si="8"/>
        <v>#REF!</v>
      </c>
    </row>
    <row r="59" spans="2:19" ht="15.75" customHeight="1" x14ac:dyDescent="0.45">
      <c r="B59" s="448">
        <v>8057648190</v>
      </c>
      <c r="C59" s="445" t="s">
        <v>1135</v>
      </c>
      <c r="D59" s="396" t="s">
        <v>751</v>
      </c>
      <c r="E59" s="408">
        <v>400</v>
      </c>
      <c r="F59" s="566">
        <v>182</v>
      </c>
      <c r="G59" s="578">
        <f>'c303-c503'!F59</f>
        <v>0</v>
      </c>
      <c r="H59" s="219">
        <f t="shared" si="0"/>
        <v>0</v>
      </c>
      <c r="I59" s="507">
        <f>(30*BC!$B$47/F59)</f>
        <v>0</v>
      </c>
      <c r="J59" s="508">
        <f t="shared" si="1"/>
        <v>0</v>
      </c>
      <c r="K59" s="508">
        <f t="shared" si="2"/>
        <v>0</v>
      </c>
      <c r="L59" s="194">
        <f t="shared" si="3"/>
        <v>0</v>
      </c>
      <c r="M59" s="364">
        <v>1512</v>
      </c>
      <c r="N59" s="365">
        <f t="shared" si="4"/>
        <v>0</v>
      </c>
      <c r="O59" s="371">
        <f t="shared" si="5"/>
        <v>3.78</v>
      </c>
      <c r="P59" s="295" t="e">
        <f>(O59+$N$155)+((BC!$F$125)/$G$82)</f>
        <v>#REF!</v>
      </c>
      <c r="Q59" s="514" t="e">
        <f t="shared" si="6"/>
        <v>#REF!</v>
      </c>
      <c r="R59" s="223" t="e">
        <f t="shared" si="7"/>
        <v>#REF!</v>
      </c>
      <c r="S59" s="223" t="e">
        <f t="shared" si="8"/>
        <v>#REF!</v>
      </c>
    </row>
    <row r="60" spans="2:19" ht="15.75" customHeight="1" x14ac:dyDescent="0.45">
      <c r="B60" s="448">
        <v>8057923190</v>
      </c>
      <c r="C60" s="445" t="s">
        <v>752</v>
      </c>
      <c r="D60" s="396" t="s">
        <v>753</v>
      </c>
      <c r="E60" s="408">
        <v>300</v>
      </c>
      <c r="F60" s="566">
        <v>182</v>
      </c>
      <c r="G60" s="578">
        <f>'c303-c503'!F60</f>
        <v>0</v>
      </c>
      <c r="H60" s="219">
        <f t="shared" si="0"/>
        <v>0</v>
      </c>
      <c r="I60" s="507">
        <f>(30*BC!$B$47/F60)</f>
        <v>0</v>
      </c>
      <c r="J60" s="508">
        <f t="shared" si="1"/>
        <v>0</v>
      </c>
      <c r="K60" s="508">
        <f t="shared" si="2"/>
        <v>0</v>
      </c>
      <c r="L60" s="194">
        <f t="shared" si="3"/>
        <v>0</v>
      </c>
      <c r="M60" s="364">
        <v>720</v>
      </c>
      <c r="N60" s="365">
        <f t="shared" si="4"/>
        <v>0</v>
      </c>
      <c r="O60" s="371">
        <f t="shared" si="5"/>
        <v>2.4</v>
      </c>
      <c r="P60" s="295" t="e">
        <f>(O60+$N$155)+((BC!$F$125)/$G$82)</f>
        <v>#REF!</v>
      </c>
      <c r="Q60" s="514" t="e">
        <f t="shared" si="6"/>
        <v>#REF!</v>
      </c>
      <c r="R60" s="223" t="e">
        <f t="shared" si="7"/>
        <v>#REF!</v>
      </c>
      <c r="S60" s="223" t="e">
        <f t="shared" si="8"/>
        <v>#REF!</v>
      </c>
    </row>
    <row r="61" spans="2:19" ht="15.75" customHeight="1" x14ac:dyDescent="0.45">
      <c r="B61" s="455" t="s">
        <v>754</v>
      </c>
      <c r="C61" s="445" t="s">
        <v>755</v>
      </c>
      <c r="D61" s="412" t="s">
        <v>725</v>
      </c>
      <c r="E61" s="408">
        <v>300</v>
      </c>
      <c r="F61" s="566">
        <v>182</v>
      </c>
      <c r="G61" s="578">
        <f>'c303-c503'!F61</f>
        <v>0</v>
      </c>
      <c r="H61" s="219">
        <f t="shared" si="0"/>
        <v>0</v>
      </c>
      <c r="I61" s="507">
        <f>(30*BC!$B$47/F61)</f>
        <v>0</v>
      </c>
      <c r="J61" s="508">
        <f t="shared" si="1"/>
        <v>0</v>
      </c>
      <c r="K61" s="508">
        <f t="shared" si="2"/>
        <v>0</v>
      </c>
      <c r="L61" s="194">
        <f t="shared" si="3"/>
        <v>0</v>
      </c>
      <c r="M61" s="364">
        <v>720</v>
      </c>
      <c r="N61" s="365">
        <f t="shared" si="4"/>
        <v>0</v>
      </c>
      <c r="O61" s="371">
        <f t="shared" si="5"/>
        <v>2.4</v>
      </c>
      <c r="P61" s="295" t="e">
        <f>(O61+$N$155)+((BC!$F$125)/$G$82)</f>
        <v>#REF!</v>
      </c>
      <c r="Q61" s="514" t="e">
        <f t="shared" si="6"/>
        <v>#REF!</v>
      </c>
      <c r="R61" s="223" t="e">
        <f t="shared" si="7"/>
        <v>#REF!</v>
      </c>
      <c r="S61" s="223" t="e">
        <f t="shared" si="8"/>
        <v>#REF!</v>
      </c>
    </row>
    <row r="62" spans="2:19" ht="15.75" customHeight="1" x14ac:dyDescent="0.45">
      <c r="B62" s="448">
        <v>8057885190</v>
      </c>
      <c r="C62" s="445" t="s">
        <v>756</v>
      </c>
      <c r="D62" s="396" t="s">
        <v>757</v>
      </c>
      <c r="E62" s="408">
        <v>300</v>
      </c>
      <c r="F62" s="566">
        <v>182</v>
      </c>
      <c r="G62" s="578">
        <f>'c303-c503'!F62</f>
        <v>0</v>
      </c>
      <c r="H62" s="219">
        <f t="shared" si="0"/>
        <v>0</v>
      </c>
      <c r="I62" s="507">
        <f>(30*BC!$B$47/F62)</f>
        <v>0</v>
      </c>
      <c r="J62" s="508">
        <f t="shared" si="1"/>
        <v>0</v>
      </c>
      <c r="K62" s="508">
        <f t="shared" si="2"/>
        <v>0</v>
      </c>
      <c r="L62" s="194">
        <f t="shared" si="3"/>
        <v>0</v>
      </c>
      <c r="M62" s="364">
        <v>822</v>
      </c>
      <c r="N62" s="365">
        <f t="shared" si="4"/>
        <v>0</v>
      </c>
      <c r="O62" s="371">
        <f t="shared" si="5"/>
        <v>2.74</v>
      </c>
      <c r="P62" s="295" t="e">
        <f>(O62+$N$155)+((BC!$F$125)/$G$82)</f>
        <v>#REF!</v>
      </c>
      <c r="Q62" s="514" t="e">
        <f t="shared" si="6"/>
        <v>#REF!</v>
      </c>
      <c r="R62" s="223" t="e">
        <f t="shared" si="7"/>
        <v>#REF!</v>
      </c>
      <c r="S62" s="223" t="e">
        <f t="shared" si="8"/>
        <v>#REF!</v>
      </c>
    </row>
    <row r="63" spans="2:19" ht="15.75" customHeight="1" x14ac:dyDescent="0.45">
      <c r="B63" s="396">
        <v>9529713190</v>
      </c>
      <c r="C63" s="456" t="s">
        <v>758</v>
      </c>
      <c r="D63" s="396" t="s">
        <v>1136</v>
      </c>
      <c r="E63" s="408">
        <v>500</v>
      </c>
      <c r="F63" s="566">
        <v>28</v>
      </c>
      <c r="G63" s="578">
        <f>'c303-c503'!F63</f>
        <v>0</v>
      </c>
      <c r="H63" s="219">
        <f t="shared" si="0"/>
        <v>0</v>
      </c>
      <c r="I63" s="507">
        <f>(30*BC!$B$47/F63)</f>
        <v>0</v>
      </c>
      <c r="J63" s="508">
        <f t="shared" si="1"/>
        <v>0</v>
      </c>
      <c r="K63" s="508">
        <f t="shared" si="2"/>
        <v>0</v>
      </c>
      <c r="L63" s="194">
        <f t="shared" si="3"/>
        <v>0</v>
      </c>
      <c r="M63" s="364">
        <v>2435</v>
      </c>
      <c r="N63" s="365">
        <f t="shared" si="4"/>
        <v>0</v>
      </c>
      <c r="O63" s="371">
        <f t="shared" si="5"/>
        <v>4.87</v>
      </c>
      <c r="P63" s="295" t="e">
        <f>(O63+$N$155)+((BC!$F$125)/$G$82)</f>
        <v>#REF!</v>
      </c>
      <c r="Q63" s="514" t="e">
        <f t="shared" si="6"/>
        <v>#REF!</v>
      </c>
      <c r="R63" s="223" t="e">
        <f t="shared" si="7"/>
        <v>#REF!</v>
      </c>
      <c r="S63" s="223" t="e">
        <f t="shared" si="8"/>
        <v>#REF!</v>
      </c>
    </row>
    <row r="64" spans="2:19" ht="15.75" customHeight="1" x14ac:dyDescent="0.45">
      <c r="B64" s="396">
        <v>9529705190</v>
      </c>
      <c r="C64" s="456" t="s">
        <v>759</v>
      </c>
      <c r="D64" s="396" t="s">
        <v>1137</v>
      </c>
      <c r="E64" s="408">
        <v>200</v>
      </c>
      <c r="F64" s="566">
        <v>28</v>
      </c>
      <c r="G64" s="578">
        <f>'c303-c503'!F64</f>
        <v>0</v>
      </c>
      <c r="H64" s="219">
        <f t="shared" si="0"/>
        <v>0</v>
      </c>
      <c r="I64" s="507">
        <f>(30*BC!$B$47/F64)</f>
        <v>0</v>
      </c>
      <c r="J64" s="508">
        <f t="shared" si="1"/>
        <v>0</v>
      </c>
      <c r="K64" s="508">
        <f t="shared" si="2"/>
        <v>0</v>
      </c>
      <c r="L64" s="194">
        <f t="shared" si="3"/>
        <v>0</v>
      </c>
      <c r="M64" s="364">
        <v>974</v>
      </c>
      <c r="N64" s="365">
        <f t="shared" si="4"/>
        <v>0</v>
      </c>
      <c r="O64" s="371">
        <f t="shared" si="5"/>
        <v>4.87</v>
      </c>
      <c r="P64" s="295" t="e">
        <f>(O64+$N$155)+((BC!$F$125)/$G$82)</f>
        <v>#REF!</v>
      </c>
      <c r="Q64" s="514" t="e">
        <f t="shared" si="6"/>
        <v>#REF!</v>
      </c>
      <c r="R64" s="223" t="e">
        <f t="shared" si="7"/>
        <v>#REF!</v>
      </c>
      <c r="S64" s="223" t="e">
        <f t="shared" si="8"/>
        <v>#REF!</v>
      </c>
    </row>
    <row r="65" spans="2:19" ht="15.75" customHeight="1" x14ac:dyDescent="0.45">
      <c r="B65" s="396">
        <v>8105626190</v>
      </c>
      <c r="C65" s="458" t="s">
        <v>760</v>
      </c>
      <c r="D65" s="396" t="s">
        <v>761</v>
      </c>
      <c r="E65" s="408">
        <v>100</v>
      </c>
      <c r="F65" s="566">
        <v>182</v>
      </c>
      <c r="G65" s="578">
        <f>'c303-c503'!F65</f>
        <v>0</v>
      </c>
      <c r="H65" s="219">
        <f t="shared" si="0"/>
        <v>0</v>
      </c>
      <c r="I65" s="507">
        <f>(30*BC!$B$47/F65)</f>
        <v>0</v>
      </c>
      <c r="J65" s="508">
        <f t="shared" si="1"/>
        <v>0</v>
      </c>
      <c r="K65" s="508">
        <f t="shared" si="2"/>
        <v>0</v>
      </c>
      <c r="L65" s="194">
        <f t="shared" si="3"/>
        <v>0</v>
      </c>
      <c r="M65" s="364">
        <v>1066</v>
      </c>
      <c r="N65" s="365">
        <f t="shared" si="4"/>
        <v>0</v>
      </c>
      <c r="O65" s="371">
        <f t="shared" si="5"/>
        <v>10.66</v>
      </c>
      <c r="P65" s="295" t="e">
        <f>(O65+$N$155)+((BC!$F$125)/$G$82)</f>
        <v>#REF!</v>
      </c>
      <c r="Q65" s="514" t="e">
        <f t="shared" si="6"/>
        <v>#REF!</v>
      </c>
      <c r="R65" s="223" t="e">
        <f t="shared" si="7"/>
        <v>#REF!</v>
      </c>
      <c r="S65" s="223" t="e">
        <f t="shared" si="8"/>
        <v>#REF!</v>
      </c>
    </row>
    <row r="66" spans="2:19" ht="15.75" customHeight="1" x14ac:dyDescent="0.45">
      <c r="B66" s="396">
        <v>8105529190</v>
      </c>
      <c r="C66" s="459" t="s">
        <v>762</v>
      </c>
      <c r="D66" s="396" t="s">
        <v>763</v>
      </c>
      <c r="E66" s="408">
        <v>150</v>
      </c>
      <c r="F66" s="566">
        <v>84</v>
      </c>
      <c r="G66" s="578">
        <f>'c303-c503'!F66</f>
        <v>0</v>
      </c>
      <c r="H66" s="219">
        <f t="shared" si="0"/>
        <v>0</v>
      </c>
      <c r="I66" s="507">
        <f>(30*BC!$B$47/F66)</f>
        <v>0</v>
      </c>
      <c r="J66" s="508">
        <f t="shared" si="1"/>
        <v>0</v>
      </c>
      <c r="K66" s="508">
        <f t="shared" si="2"/>
        <v>0</v>
      </c>
      <c r="L66" s="194">
        <f t="shared" si="3"/>
        <v>0</v>
      </c>
      <c r="M66" s="364">
        <v>1252</v>
      </c>
      <c r="N66" s="365">
        <f t="shared" si="4"/>
        <v>0</v>
      </c>
      <c r="O66" s="371">
        <f t="shared" si="5"/>
        <v>8.3466666666666658</v>
      </c>
      <c r="P66" s="295" t="e">
        <f>(O66+$N$155)+((BC!$F$125)/$G$82)</f>
        <v>#REF!</v>
      </c>
      <c r="Q66" s="514" t="e">
        <f t="shared" si="6"/>
        <v>#REF!</v>
      </c>
      <c r="R66" s="223" t="e">
        <f t="shared" si="7"/>
        <v>#REF!</v>
      </c>
      <c r="S66" s="223" t="e">
        <f t="shared" si="8"/>
        <v>#REF!</v>
      </c>
    </row>
    <row r="67" spans="2:19" ht="15.75" customHeight="1" x14ac:dyDescent="0.45">
      <c r="B67" s="396">
        <v>8106126190</v>
      </c>
      <c r="C67" s="460" t="s">
        <v>764</v>
      </c>
      <c r="D67" s="396" t="s">
        <v>765</v>
      </c>
      <c r="E67" s="408">
        <v>150</v>
      </c>
      <c r="F67" s="566">
        <v>182</v>
      </c>
      <c r="G67" s="578">
        <f>'c303-c503'!F67</f>
        <v>0</v>
      </c>
      <c r="H67" s="219">
        <f t="shared" si="0"/>
        <v>0</v>
      </c>
      <c r="I67" s="507">
        <f>(30*BC!$B$47/F67)</f>
        <v>0</v>
      </c>
      <c r="J67" s="508">
        <f t="shared" si="1"/>
        <v>0</v>
      </c>
      <c r="K67" s="508">
        <f t="shared" si="2"/>
        <v>0</v>
      </c>
      <c r="L67" s="194">
        <f t="shared" si="3"/>
        <v>0</v>
      </c>
      <c r="M67" s="364">
        <v>1479</v>
      </c>
      <c r="N67" s="365">
        <f t="shared" si="4"/>
        <v>0</v>
      </c>
      <c r="O67" s="371">
        <f t="shared" si="5"/>
        <v>9.86</v>
      </c>
      <c r="P67" s="295" t="e">
        <f>(O67+$N$155)+((BC!$F$125)/$G$82)</f>
        <v>#REF!</v>
      </c>
      <c r="Q67" s="514" t="e">
        <f t="shared" si="6"/>
        <v>#REF!</v>
      </c>
      <c r="R67" s="223" t="e">
        <f t="shared" si="7"/>
        <v>#REF!</v>
      </c>
      <c r="S67" s="223" t="e">
        <f t="shared" si="8"/>
        <v>#REF!</v>
      </c>
    </row>
    <row r="68" spans="2:19" ht="15.75" customHeight="1" x14ac:dyDescent="0.45">
      <c r="B68" s="396">
        <v>8105596190</v>
      </c>
      <c r="C68" s="461" t="s">
        <v>766</v>
      </c>
      <c r="D68" s="396" t="s">
        <v>767</v>
      </c>
      <c r="E68" s="408">
        <v>250</v>
      </c>
      <c r="F68" s="566">
        <v>182</v>
      </c>
      <c r="G68" s="578">
        <f>'c303-c503'!F68</f>
        <v>0</v>
      </c>
      <c r="H68" s="219">
        <f t="shared" ref="H68:H81" si="9">G68/E68</f>
        <v>0</v>
      </c>
      <c r="I68" s="507">
        <f>(30*BC!$B$47/F68)</f>
        <v>0</v>
      </c>
      <c r="J68" s="508">
        <f t="shared" ref="J68:J81" si="10">IF(I68&gt;H68,I68,H68)</f>
        <v>0</v>
      </c>
      <c r="K68" s="508">
        <f t="shared" ref="K68:K84" si="11">IF(H68=0,0,J68)</f>
        <v>0</v>
      </c>
      <c r="L68" s="194">
        <f t="shared" ref="L68:L128" si="12">ROUNDUP(K68,0)</f>
        <v>0</v>
      </c>
      <c r="M68" s="364">
        <v>1424</v>
      </c>
      <c r="N68" s="365">
        <f t="shared" ref="N68:N81" si="13">M68*L68</f>
        <v>0</v>
      </c>
      <c r="O68" s="371">
        <f t="shared" ref="O68:O81" si="14">M68/E68</f>
        <v>5.6959999999999997</v>
      </c>
      <c r="P68" s="295" t="e">
        <f>(O68+$N$155)+((BC!$F$125)/$G$82)</f>
        <v>#REF!</v>
      </c>
      <c r="Q68" s="514" t="e">
        <f t="shared" si="6"/>
        <v>#REF!</v>
      </c>
      <c r="R68" s="223" t="e">
        <f t="shared" si="7"/>
        <v>#REF!</v>
      </c>
      <c r="S68" s="223" t="e">
        <f t="shared" si="8"/>
        <v>#REF!</v>
      </c>
    </row>
    <row r="69" spans="2:19" ht="15.75" customHeight="1" x14ac:dyDescent="0.45">
      <c r="B69" s="396">
        <v>8057826190</v>
      </c>
      <c r="C69" s="462" t="s">
        <v>768</v>
      </c>
      <c r="D69" s="396" t="s">
        <v>769</v>
      </c>
      <c r="E69" s="408">
        <v>100</v>
      </c>
      <c r="F69" s="566">
        <v>28</v>
      </c>
      <c r="G69" s="578">
        <f>'c303-c503'!F69</f>
        <v>0</v>
      </c>
      <c r="H69" s="219">
        <f t="shared" si="9"/>
        <v>0</v>
      </c>
      <c r="I69" s="507">
        <f>(30*BC!$B$47/F69)</f>
        <v>0</v>
      </c>
      <c r="J69" s="508">
        <f t="shared" si="10"/>
        <v>0</v>
      </c>
      <c r="K69" s="508">
        <f t="shared" si="11"/>
        <v>0</v>
      </c>
      <c r="L69" s="194">
        <f t="shared" si="12"/>
        <v>0</v>
      </c>
      <c r="M69" s="364">
        <v>1054</v>
      </c>
      <c r="N69" s="365">
        <f t="shared" si="13"/>
        <v>0</v>
      </c>
      <c r="O69" s="371">
        <f t="shared" si="14"/>
        <v>10.54</v>
      </c>
      <c r="P69" s="295" t="e">
        <f>(O69+$N$155)+((BC!$F$125)/$G$82)</f>
        <v>#REF!</v>
      </c>
      <c r="Q69" s="514" t="e">
        <f t="shared" si="6"/>
        <v>#REF!</v>
      </c>
      <c r="R69" s="223" t="e">
        <f t="shared" si="7"/>
        <v>#REF!</v>
      </c>
      <c r="S69" s="223" t="e">
        <f t="shared" si="8"/>
        <v>#REF!</v>
      </c>
    </row>
    <row r="70" spans="2:19" ht="15.75" customHeight="1" x14ac:dyDescent="0.45">
      <c r="B70" s="396">
        <v>8057494190</v>
      </c>
      <c r="C70" s="463" t="s">
        <v>770</v>
      </c>
      <c r="D70" s="396" t="s">
        <v>771</v>
      </c>
      <c r="E70" s="408">
        <v>250</v>
      </c>
      <c r="F70" s="566">
        <v>42</v>
      </c>
      <c r="G70" s="578">
        <f>'c303-c503'!F70</f>
        <v>0</v>
      </c>
      <c r="H70" s="219">
        <f t="shared" si="9"/>
        <v>0</v>
      </c>
      <c r="I70" s="507">
        <f>(30*BC!$B$47/F70)</f>
        <v>0</v>
      </c>
      <c r="J70" s="508">
        <f t="shared" si="10"/>
        <v>0</v>
      </c>
      <c r="K70" s="508">
        <f t="shared" si="11"/>
        <v>0</v>
      </c>
      <c r="L70" s="194">
        <f t="shared" si="12"/>
        <v>0</v>
      </c>
      <c r="M70" s="364">
        <v>174</v>
      </c>
      <c r="N70" s="365">
        <f t="shared" si="13"/>
        <v>0</v>
      </c>
      <c r="O70" s="371">
        <f t="shared" si="14"/>
        <v>0.69599999999999995</v>
      </c>
      <c r="P70" s="295" t="e">
        <f>(O70+$N$155)+((BC!$F$125)/$G$82)</f>
        <v>#REF!</v>
      </c>
      <c r="Q70" s="514" t="e">
        <f t="shared" ref="Q70:Q81" si="15">P70*G70</f>
        <v>#REF!</v>
      </c>
      <c r="R70" s="223" t="e">
        <f t="shared" ref="R70:R81" si="16">((P70*0.15)+P70)</f>
        <v>#REF!</v>
      </c>
      <c r="S70" s="223" t="e">
        <f t="shared" ref="S70:S81" si="17">R70*G70</f>
        <v>#REF!</v>
      </c>
    </row>
    <row r="71" spans="2:19" ht="15.75" customHeight="1" x14ac:dyDescent="0.45">
      <c r="B71" s="396">
        <v>8058024190</v>
      </c>
      <c r="C71" s="463" t="s">
        <v>772</v>
      </c>
      <c r="D71" s="396" t="s">
        <v>773</v>
      </c>
      <c r="E71" s="408">
        <v>300</v>
      </c>
      <c r="F71" s="566">
        <v>112</v>
      </c>
      <c r="G71" s="578">
        <f>'c303-c503'!F71</f>
        <v>0</v>
      </c>
      <c r="H71" s="219">
        <f t="shared" si="9"/>
        <v>0</v>
      </c>
      <c r="I71" s="507">
        <f>(30*BC!$B$47/F71)</f>
        <v>0</v>
      </c>
      <c r="J71" s="508">
        <f t="shared" si="10"/>
        <v>0</v>
      </c>
      <c r="K71" s="508">
        <f t="shared" si="11"/>
        <v>0</v>
      </c>
      <c r="L71" s="194">
        <f t="shared" si="12"/>
        <v>0</v>
      </c>
      <c r="M71" s="364">
        <v>696</v>
      </c>
      <c r="N71" s="365">
        <f t="shared" si="13"/>
        <v>0</v>
      </c>
      <c r="O71" s="371">
        <f t="shared" si="14"/>
        <v>2.3199999999999998</v>
      </c>
      <c r="P71" s="295" t="e">
        <f>(O71+$N$155)+((BC!$F$125)/$G$82)</f>
        <v>#REF!</v>
      </c>
      <c r="Q71" s="514" t="e">
        <f t="shared" si="15"/>
        <v>#REF!</v>
      </c>
      <c r="R71" s="223" t="e">
        <f t="shared" si="16"/>
        <v>#REF!</v>
      </c>
      <c r="S71" s="223" t="e">
        <f t="shared" si="17"/>
        <v>#REF!</v>
      </c>
    </row>
    <row r="72" spans="2:19" ht="15.75" customHeight="1" x14ac:dyDescent="0.45">
      <c r="B72" s="396">
        <v>8057630190</v>
      </c>
      <c r="C72" s="463" t="s">
        <v>774</v>
      </c>
      <c r="D72" s="396" t="s">
        <v>775</v>
      </c>
      <c r="E72" s="408">
        <v>850</v>
      </c>
      <c r="F72" s="566">
        <v>84</v>
      </c>
      <c r="G72" s="578">
        <f>'c303-c503'!F72</f>
        <v>0</v>
      </c>
      <c r="H72" s="219">
        <f t="shared" si="9"/>
        <v>0</v>
      </c>
      <c r="I72" s="507">
        <f>(30*BC!$B$47/F72)</f>
        <v>0</v>
      </c>
      <c r="J72" s="508">
        <f t="shared" si="10"/>
        <v>0</v>
      </c>
      <c r="K72" s="508">
        <f t="shared" si="11"/>
        <v>0</v>
      </c>
      <c r="L72" s="194">
        <f t="shared" si="12"/>
        <v>0</v>
      </c>
      <c r="M72" s="364">
        <v>2899</v>
      </c>
      <c r="N72" s="365">
        <f t="shared" si="13"/>
        <v>0</v>
      </c>
      <c r="O72" s="371">
        <f t="shared" si="14"/>
        <v>3.4105882352941177</v>
      </c>
      <c r="P72" s="295" t="e">
        <f>(O72+$N$155)+((BC!$F$125)/$G$82)</f>
        <v>#REF!</v>
      </c>
      <c r="Q72" s="514" t="e">
        <f t="shared" si="15"/>
        <v>#REF!</v>
      </c>
      <c r="R72" s="223" t="e">
        <f t="shared" si="16"/>
        <v>#REF!</v>
      </c>
      <c r="S72" s="223" t="e">
        <f t="shared" si="17"/>
        <v>#REF!</v>
      </c>
    </row>
    <row r="73" spans="2:19" ht="15.75" customHeight="1" x14ac:dyDescent="0.45">
      <c r="B73" s="396">
        <v>8445672190</v>
      </c>
      <c r="C73" s="463" t="s">
        <v>776</v>
      </c>
      <c r="D73" s="396" t="s">
        <v>777</v>
      </c>
      <c r="E73" s="408">
        <v>150</v>
      </c>
      <c r="F73" s="566">
        <v>84</v>
      </c>
      <c r="G73" s="578">
        <f>'c303-c503'!F73</f>
        <v>0</v>
      </c>
      <c r="H73" s="219">
        <f t="shared" si="9"/>
        <v>0</v>
      </c>
      <c r="I73" s="507">
        <f>(30*BC!$B$47/F73)</f>
        <v>0</v>
      </c>
      <c r="J73" s="508">
        <f t="shared" si="10"/>
        <v>0</v>
      </c>
      <c r="K73" s="508">
        <f t="shared" si="11"/>
        <v>0</v>
      </c>
      <c r="L73" s="194">
        <f t="shared" si="12"/>
        <v>0</v>
      </c>
      <c r="M73" s="364">
        <v>512</v>
      </c>
      <c r="N73" s="365">
        <f t="shared" si="13"/>
        <v>0</v>
      </c>
      <c r="O73" s="371">
        <f t="shared" si="14"/>
        <v>3.4133333333333336</v>
      </c>
      <c r="P73" s="295" t="e">
        <f>(O73+$N$155)+((BC!$F$125)/$G$82)</f>
        <v>#REF!</v>
      </c>
      <c r="Q73" s="514" t="e">
        <f t="shared" si="15"/>
        <v>#REF!</v>
      </c>
      <c r="R73" s="223" t="e">
        <f t="shared" si="16"/>
        <v>#REF!</v>
      </c>
      <c r="S73" s="223" t="e">
        <f t="shared" si="17"/>
        <v>#REF!</v>
      </c>
    </row>
    <row r="74" spans="2:19" ht="15.75" customHeight="1" x14ac:dyDescent="0.45">
      <c r="B74" s="396">
        <v>8105677190</v>
      </c>
      <c r="C74" s="464" t="s">
        <v>778</v>
      </c>
      <c r="D74" s="396" t="s">
        <v>779</v>
      </c>
      <c r="E74" s="408">
        <v>550</v>
      </c>
      <c r="F74" s="566">
        <v>56</v>
      </c>
      <c r="G74" s="578">
        <f>'c303-c503'!F74</f>
        <v>0</v>
      </c>
      <c r="H74" s="219">
        <f t="shared" si="9"/>
        <v>0</v>
      </c>
      <c r="I74" s="507">
        <f>(30*BC!$B$47/F74)</f>
        <v>0</v>
      </c>
      <c r="J74" s="508">
        <f t="shared" si="10"/>
        <v>0</v>
      </c>
      <c r="K74" s="508">
        <f t="shared" si="11"/>
        <v>0</v>
      </c>
      <c r="L74" s="194">
        <f t="shared" si="12"/>
        <v>0</v>
      </c>
      <c r="M74" s="364">
        <v>462</v>
      </c>
      <c r="N74" s="365">
        <f t="shared" si="13"/>
        <v>0</v>
      </c>
      <c r="O74" s="371">
        <f t="shared" si="14"/>
        <v>0.84</v>
      </c>
      <c r="P74" s="295" t="e">
        <f>(O74+$N$155)+((BC!$F$125)/$G$82)</f>
        <v>#REF!</v>
      </c>
      <c r="Q74" s="514" t="e">
        <f t="shared" si="15"/>
        <v>#REF!</v>
      </c>
      <c r="R74" s="223" t="e">
        <f t="shared" si="16"/>
        <v>#REF!</v>
      </c>
      <c r="S74" s="223" t="e">
        <f t="shared" si="17"/>
        <v>#REF!</v>
      </c>
    </row>
    <row r="75" spans="2:19" ht="15.75" customHeight="1" x14ac:dyDescent="0.45">
      <c r="B75" s="396">
        <v>8252629190</v>
      </c>
      <c r="C75" s="465" t="s">
        <v>1138</v>
      </c>
      <c r="D75" s="396" t="s">
        <v>780</v>
      </c>
      <c r="E75" s="408">
        <v>200</v>
      </c>
      <c r="F75" s="566">
        <v>84</v>
      </c>
      <c r="G75" s="578">
        <f>'c303-c503'!F75</f>
        <v>0</v>
      </c>
      <c r="H75" s="219">
        <f t="shared" si="9"/>
        <v>0</v>
      </c>
      <c r="I75" s="507">
        <f>(30*BC!$B$47/F75)</f>
        <v>0</v>
      </c>
      <c r="J75" s="508">
        <f t="shared" si="10"/>
        <v>0</v>
      </c>
      <c r="K75" s="508">
        <f t="shared" si="11"/>
        <v>0</v>
      </c>
      <c r="L75" s="194">
        <f t="shared" si="12"/>
        <v>0</v>
      </c>
      <c r="M75" s="364">
        <v>998</v>
      </c>
      <c r="N75" s="365">
        <f t="shared" si="13"/>
        <v>0</v>
      </c>
      <c r="O75" s="371">
        <f t="shared" si="14"/>
        <v>4.99</v>
      </c>
      <c r="P75" s="295" t="e">
        <f>(O75+$N$155)+((BC!$F$125)/$G$82)</f>
        <v>#REF!</v>
      </c>
      <c r="Q75" s="514" t="e">
        <f t="shared" si="15"/>
        <v>#REF!</v>
      </c>
      <c r="R75" s="223" t="e">
        <f t="shared" si="16"/>
        <v>#REF!</v>
      </c>
      <c r="S75" s="223" t="e">
        <f t="shared" si="17"/>
        <v>#REF!</v>
      </c>
    </row>
    <row r="76" spans="2:19" ht="15.75" customHeight="1" x14ac:dyDescent="0.45">
      <c r="B76" s="396">
        <v>8058628190</v>
      </c>
      <c r="C76" s="466" t="s">
        <v>781</v>
      </c>
      <c r="D76" s="396" t="s">
        <v>782</v>
      </c>
      <c r="E76" s="408">
        <v>400</v>
      </c>
      <c r="F76" s="566">
        <v>56</v>
      </c>
      <c r="G76" s="578">
        <f>'c303-c503'!F76</f>
        <v>0</v>
      </c>
      <c r="H76" s="219">
        <f t="shared" si="9"/>
        <v>0</v>
      </c>
      <c r="I76" s="507">
        <f>(30*BC!$B$47/F76)</f>
        <v>0</v>
      </c>
      <c r="J76" s="508">
        <f t="shared" si="10"/>
        <v>0</v>
      </c>
      <c r="K76" s="508">
        <f t="shared" si="11"/>
        <v>0</v>
      </c>
      <c r="L76" s="194">
        <f t="shared" si="12"/>
        <v>0</v>
      </c>
      <c r="M76" s="364">
        <v>1243</v>
      </c>
      <c r="N76" s="365">
        <f t="shared" si="13"/>
        <v>0</v>
      </c>
      <c r="O76" s="371">
        <f t="shared" si="14"/>
        <v>3.1074999999999999</v>
      </c>
      <c r="P76" s="295" t="e">
        <f>(O76+$N$155)+((BC!$F$125)/$G$82)</f>
        <v>#REF!</v>
      </c>
      <c r="Q76" s="514" t="e">
        <f t="shared" si="15"/>
        <v>#REF!</v>
      </c>
      <c r="R76" s="223" t="e">
        <f t="shared" si="16"/>
        <v>#REF!</v>
      </c>
      <c r="S76" s="223" t="e">
        <f t="shared" si="17"/>
        <v>#REF!</v>
      </c>
    </row>
    <row r="77" spans="2:19" ht="15.75" customHeight="1" x14ac:dyDescent="0.45">
      <c r="B77" s="396">
        <v>8445567190</v>
      </c>
      <c r="C77" s="467" t="s">
        <v>1139</v>
      </c>
      <c r="D77" s="396" t="s">
        <v>783</v>
      </c>
      <c r="E77" s="408">
        <v>100</v>
      </c>
      <c r="F77" s="566">
        <v>84</v>
      </c>
      <c r="G77" s="578">
        <f>'c303-c503'!F77</f>
        <v>0</v>
      </c>
      <c r="H77" s="219">
        <f t="shared" si="9"/>
        <v>0</v>
      </c>
      <c r="I77" s="507">
        <f>(30*BC!$B$47/F77)</f>
        <v>0</v>
      </c>
      <c r="J77" s="508">
        <f t="shared" si="10"/>
        <v>0</v>
      </c>
      <c r="K77" s="508">
        <f t="shared" si="11"/>
        <v>0</v>
      </c>
      <c r="L77" s="194">
        <f t="shared" si="12"/>
        <v>0</v>
      </c>
      <c r="M77" s="364">
        <v>581</v>
      </c>
      <c r="N77" s="365">
        <f t="shared" si="13"/>
        <v>0</v>
      </c>
      <c r="O77" s="371">
        <f t="shared" si="14"/>
        <v>5.81</v>
      </c>
      <c r="P77" s="295" t="e">
        <f>(O77+$N$155)+((BC!$F$125)/$G$82)</f>
        <v>#REF!</v>
      </c>
      <c r="Q77" s="514" t="e">
        <f t="shared" si="15"/>
        <v>#REF!</v>
      </c>
      <c r="R77" s="223" t="e">
        <f t="shared" si="16"/>
        <v>#REF!</v>
      </c>
      <c r="S77" s="223" t="e">
        <f t="shared" si="17"/>
        <v>#REF!</v>
      </c>
    </row>
    <row r="78" spans="2:19" ht="15.75" customHeight="1" x14ac:dyDescent="0.45">
      <c r="B78" s="396">
        <v>8058580190</v>
      </c>
      <c r="C78" s="467" t="s">
        <v>784</v>
      </c>
      <c r="D78" s="396" t="s">
        <v>785</v>
      </c>
      <c r="E78" s="408">
        <v>200</v>
      </c>
      <c r="F78" s="566">
        <v>90</v>
      </c>
      <c r="G78" s="578">
        <f>'c303-c503'!F78</f>
        <v>0</v>
      </c>
      <c r="H78" s="219">
        <f t="shared" si="9"/>
        <v>0</v>
      </c>
      <c r="I78" s="507">
        <f>(30*BC!$B$47/F78)</f>
        <v>0</v>
      </c>
      <c r="J78" s="508">
        <f t="shared" si="10"/>
        <v>0</v>
      </c>
      <c r="K78" s="508">
        <f t="shared" si="11"/>
        <v>0</v>
      </c>
      <c r="L78" s="194">
        <f t="shared" si="12"/>
        <v>0</v>
      </c>
      <c r="M78" s="364">
        <v>1446</v>
      </c>
      <c r="N78" s="365">
        <f t="shared" si="13"/>
        <v>0</v>
      </c>
      <c r="O78" s="371">
        <f t="shared" si="14"/>
        <v>7.23</v>
      </c>
      <c r="P78" s="295" t="e">
        <f>(O78+$N$155)+((BC!$F$125)/$G$82)</f>
        <v>#REF!</v>
      </c>
      <c r="Q78" s="514" t="e">
        <f t="shared" si="15"/>
        <v>#REF!</v>
      </c>
      <c r="R78" s="223" t="e">
        <f t="shared" si="16"/>
        <v>#REF!</v>
      </c>
      <c r="S78" s="223" t="e">
        <f t="shared" si="17"/>
        <v>#REF!</v>
      </c>
    </row>
    <row r="79" spans="2:19" ht="15.75" customHeight="1" x14ac:dyDescent="0.45">
      <c r="B79" s="396">
        <v>8057435190</v>
      </c>
      <c r="C79" s="467" t="s">
        <v>786</v>
      </c>
      <c r="D79" s="396" t="s">
        <v>787</v>
      </c>
      <c r="E79" s="408">
        <v>500</v>
      </c>
      <c r="F79" s="566">
        <v>182</v>
      </c>
      <c r="G79" s="578">
        <f>'c303-c503'!F79</f>
        <v>0</v>
      </c>
      <c r="H79" s="219">
        <f t="shared" si="9"/>
        <v>0</v>
      </c>
      <c r="I79" s="507">
        <f>(30*BC!$B$47/F79)</f>
        <v>0</v>
      </c>
      <c r="J79" s="508">
        <f t="shared" si="10"/>
        <v>0</v>
      </c>
      <c r="K79" s="508">
        <f t="shared" si="11"/>
        <v>0</v>
      </c>
      <c r="L79" s="194">
        <f t="shared" si="12"/>
        <v>0</v>
      </c>
      <c r="M79" s="364">
        <v>1015</v>
      </c>
      <c r="N79" s="365">
        <f t="shared" si="13"/>
        <v>0</v>
      </c>
      <c r="O79" s="371">
        <f t="shared" si="14"/>
        <v>2.0299999999999998</v>
      </c>
      <c r="P79" s="295" t="e">
        <f>(O79+$N$155)+((BC!$F$125)/$G$82)</f>
        <v>#REF!</v>
      </c>
      <c r="Q79" s="514" t="e">
        <f t="shared" si="15"/>
        <v>#REF!</v>
      </c>
      <c r="R79" s="223" t="e">
        <f t="shared" si="16"/>
        <v>#REF!</v>
      </c>
      <c r="S79" s="223" t="e">
        <f t="shared" si="17"/>
        <v>#REF!</v>
      </c>
    </row>
    <row r="80" spans="2:19" ht="15.75" customHeight="1" x14ac:dyDescent="0.45">
      <c r="B80" s="396">
        <v>8445575190</v>
      </c>
      <c r="C80" s="467" t="s">
        <v>788</v>
      </c>
      <c r="D80" s="396" t="s">
        <v>789</v>
      </c>
      <c r="E80" s="408">
        <v>200</v>
      </c>
      <c r="F80" s="566">
        <v>126</v>
      </c>
      <c r="G80" s="578">
        <f>'c303-c503'!F80</f>
        <v>0</v>
      </c>
      <c r="H80" s="219">
        <f t="shared" si="9"/>
        <v>0</v>
      </c>
      <c r="I80" s="507">
        <f>(30*BC!$B$47/F80)</f>
        <v>0</v>
      </c>
      <c r="J80" s="508">
        <f t="shared" si="10"/>
        <v>0</v>
      </c>
      <c r="K80" s="508">
        <f t="shared" si="11"/>
        <v>0</v>
      </c>
      <c r="L80" s="194">
        <f t="shared" si="12"/>
        <v>0</v>
      </c>
      <c r="M80" s="364">
        <v>1496</v>
      </c>
      <c r="N80" s="365">
        <f t="shared" si="13"/>
        <v>0</v>
      </c>
      <c r="O80" s="371">
        <f t="shared" si="14"/>
        <v>7.48</v>
      </c>
      <c r="P80" s="295" t="e">
        <f>(O80+$N$155)+((BC!$F$125)/$G$82)</f>
        <v>#REF!</v>
      </c>
      <c r="Q80" s="514" t="e">
        <f t="shared" si="15"/>
        <v>#REF!</v>
      </c>
      <c r="R80" s="223" t="e">
        <f t="shared" si="16"/>
        <v>#REF!</v>
      </c>
      <c r="S80" s="223" t="e">
        <f t="shared" si="17"/>
        <v>#REF!</v>
      </c>
    </row>
    <row r="81" spans="2:20" ht="15.75" customHeight="1" x14ac:dyDescent="0.45">
      <c r="B81" s="469">
        <v>8058849190</v>
      </c>
      <c r="C81" s="467" t="s">
        <v>790</v>
      </c>
      <c r="D81" s="396" t="s">
        <v>791</v>
      </c>
      <c r="E81" s="408">
        <v>200</v>
      </c>
      <c r="F81" s="566">
        <v>84</v>
      </c>
      <c r="G81" s="578">
        <f>'c303-c503'!F81</f>
        <v>0</v>
      </c>
      <c r="H81" s="219">
        <f t="shared" si="9"/>
        <v>0</v>
      </c>
      <c r="I81" s="507">
        <f>(30*BC!$B$47/F81)</f>
        <v>0</v>
      </c>
      <c r="J81" s="508">
        <f t="shared" si="10"/>
        <v>0</v>
      </c>
      <c r="K81" s="508">
        <f t="shared" si="11"/>
        <v>0</v>
      </c>
      <c r="L81" s="194">
        <f t="shared" si="12"/>
        <v>0</v>
      </c>
      <c r="M81" s="364">
        <v>1508</v>
      </c>
      <c r="N81" s="365">
        <f t="shared" si="13"/>
        <v>0</v>
      </c>
      <c r="O81" s="371">
        <f t="shared" si="14"/>
        <v>7.54</v>
      </c>
      <c r="P81" s="295" t="e">
        <f>(O81+$N$155)+((BC!$F$125)/$G$82)</f>
        <v>#REF!</v>
      </c>
      <c r="Q81" s="514" t="e">
        <f t="shared" si="15"/>
        <v>#REF!</v>
      </c>
      <c r="R81" s="223" t="e">
        <f t="shared" si="16"/>
        <v>#REF!</v>
      </c>
      <c r="S81" s="223" t="e">
        <f t="shared" si="17"/>
        <v>#REF!</v>
      </c>
    </row>
    <row r="82" spans="2:20" x14ac:dyDescent="0.45">
      <c r="B82" s="62"/>
      <c r="C82" s="187"/>
      <c r="D82" s="188"/>
      <c r="E82" s="189"/>
      <c r="F82" s="486" t="s">
        <v>19</v>
      </c>
      <c r="G82" s="487">
        <f>SUM(G9:G81)</f>
        <v>0</v>
      </c>
      <c r="H82" s="190"/>
      <c r="I82" s="511"/>
      <c r="J82" s="511"/>
      <c r="K82" s="511"/>
      <c r="L82" s="190"/>
      <c r="M82" s="252"/>
      <c r="N82" s="190"/>
      <c r="O82" s="190"/>
      <c r="P82" s="24"/>
      <c r="Q82" s="24"/>
      <c r="R82" s="24"/>
      <c r="S82" s="24"/>
      <c r="T82" s="24"/>
    </row>
    <row r="83" spans="2:20" ht="15.75" customHeight="1" x14ac:dyDescent="0.45">
      <c r="B83" s="920" t="s">
        <v>792</v>
      </c>
      <c r="C83" s="921"/>
      <c r="D83" s="922"/>
      <c r="E83" s="480" t="s">
        <v>183</v>
      </c>
      <c r="F83" s="480" t="s">
        <v>649</v>
      </c>
      <c r="G83" s="481"/>
      <c r="H83" s="482" t="s">
        <v>53</v>
      </c>
      <c r="I83" s="512" t="s">
        <v>52</v>
      </c>
      <c r="J83" s="512" t="s">
        <v>51</v>
      </c>
      <c r="K83" s="512"/>
      <c r="L83" s="482" t="s">
        <v>50</v>
      </c>
      <c r="M83" s="513" t="s">
        <v>49</v>
      </c>
      <c r="N83" s="482" t="s">
        <v>48</v>
      </c>
      <c r="O83" s="483" t="s">
        <v>318</v>
      </c>
      <c r="P83" s="483" t="s">
        <v>319</v>
      </c>
      <c r="Q83" s="97"/>
      <c r="R83" s="97"/>
    </row>
    <row r="84" spans="2:20" ht="15.75" customHeight="1" x14ac:dyDescent="0.45">
      <c r="B84" s="396">
        <v>10759350190</v>
      </c>
      <c r="C84" s="457" t="s">
        <v>260</v>
      </c>
      <c r="D84" s="396" t="s">
        <v>260</v>
      </c>
      <c r="E84" s="408">
        <v>12</v>
      </c>
      <c r="F84" s="408">
        <v>28</v>
      </c>
      <c r="G84" s="397"/>
      <c r="H84" s="411">
        <f>(A10/(0.005*400)/3000)</f>
        <v>0</v>
      </c>
      <c r="I84" s="507">
        <f>(30*BC!$B$47/F84)</f>
        <v>0</v>
      </c>
      <c r="J84" s="508">
        <f>IF(I84&gt;H84,I84,H84)</f>
        <v>0</v>
      </c>
      <c r="K84" s="508">
        <f t="shared" si="11"/>
        <v>0</v>
      </c>
      <c r="L84" s="194">
        <f t="shared" si="12"/>
        <v>0</v>
      </c>
      <c r="M84" s="721">
        <v>144</v>
      </c>
      <c r="N84" s="721">
        <f>((M84/E84)*L84)</f>
        <v>0</v>
      </c>
      <c r="O84" s="57">
        <f>L84/E84</f>
        <v>0</v>
      </c>
      <c r="P84" s="57">
        <f>ROUNDUP(O84,0)</f>
        <v>0</v>
      </c>
      <c r="Q84" s="97"/>
      <c r="R84" s="97"/>
    </row>
    <row r="85" spans="2:20" ht="15.75" customHeight="1" x14ac:dyDescent="0.45">
      <c r="B85" s="396">
        <v>3121313122</v>
      </c>
      <c r="C85" s="444" t="s">
        <v>292</v>
      </c>
      <c r="D85" s="396" t="s">
        <v>292</v>
      </c>
      <c r="E85" s="408">
        <v>4</v>
      </c>
      <c r="F85" s="408">
        <v>28</v>
      </c>
      <c r="G85" s="397"/>
      <c r="H85" s="411">
        <f>(A16*(0.008*(250/100)))</f>
        <v>0</v>
      </c>
      <c r="I85" s="507">
        <f>(30*BC!$B$47/F85)</f>
        <v>0</v>
      </c>
      <c r="J85" s="508">
        <f t="shared" ref="J85:J124" si="18">IF(I85&gt;H85,I85,H85)</f>
        <v>0</v>
      </c>
      <c r="K85" s="508">
        <f t="shared" ref="K85:K124" si="19">IF(H85=0,0,J85)</f>
        <v>0</v>
      </c>
      <c r="L85" s="194">
        <f t="shared" si="12"/>
        <v>0</v>
      </c>
      <c r="M85" s="504">
        <v>460</v>
      </c>
      <c r="N85" s="721">
        <f t="shared" ref="N85:N148" si="20">((M85/E85)*L85)</f>
        <v>0</v>
      </c>
      <c r="O85" s="57">
        <f t="shared" ref="O85:O124" si="21">L85/E85</f>
        <v>0</v>
      </c>
      <c r="P85" s="57">
        <f t="shared" ref="P85:P124" si="22">ROUNDUP(O85,0)</f>
        <v>0</v>
      </c>
      <c r="Q85" s="97"/>
      <c r="R85" s="97"/>
    </row>
    <row r="86" spans="2:20" ht="15.75" customHeight="1" x14ac:dyDescent="0.45">
      <c r="B86" s="396">
        <v>3121291122</v>
      </c>
      <c r="C86" s="444" t="s">
        <v>294</v>
      </c>
      <c r="D86" s="396" t="s">
        <v>294</v>
      </c>
      <c r="E86" s="408">
        <v>4</v>
      </c>
      <c r="F86" s="408">
        <v>28</v>
      </c>
      <c r="G86" s="397"/>
      <c r="H86" s="411">
        <f>(A16*(0.008*(250/100)))</f>
        <v>0</v>
      </c>
      <c r="I86" s="507">
        <f>(30*BC!$B$47/F86)</f>
        <v>0</v>
      </c>
      <c r="J86" s="508">
        <f t="shared" si="18"/>
        <v>0</v>
      </c>
      <c r="K86" s="508">
        <f t="shared" si="19"/>
        <v>0</v>
      </c>
      <c r="L86" s="194">
        <f t="shared" si="12"/>
        <v>0</v>
      </c>
      <c r="M86" s="504">
        <v>392</v>
      </c>
      <c r="N86" s="721">
        <f t="shared" si="20"/>
        <v>0</v>
      </c>
      <c r="O86" s="57">
        <f t="shared" si="21"/>
        <v>0</v>
      </c>
      <c r="P86" s="57">
        <f t="shared" si="22"/>
        <v>0</v>
      </c>
      <c r="Q86" s="97"/>
      <c r="R86" s="97"/>
    </row>
    <row r="87" spans="2:20" ht="15.75" customHeight="1" x14ac:dyDescent="0.45">
      <c r="B87" s="396">
        <v>12172623122</v>
      </c>
      <c r="C87" s="442" t="s">
        <v>263</v>
      </c>
      <c r="D87" s="396" t="s">
        <v>793</v>
      </c>
      <c r="E87" s="408">
        <v>3</v>
      </c>
      <c r="F87" s="408">
        <v>28</v>
      </c>
      <c r="G87" s="397"/>
      <c r="H87" s="411">
        <f>(A13*(0.003*(350/1000)))</f>
        <v>0</v>
      </c>
      <c r="I87" s="507">
        <f>(30*BC!$B$47/F87)</f>
        <v>0</v>
      </c>
      <c r="J87" s="508">
        <f t="shared" si="18"/>
        <v>0</v>
      </c>
      <c r="K87" s="508">
        <f t="shared" si="19"/>
        <v>0</v>
      </c>
      <c r="L87" s="194">
        <f t="shared" si="12"/>
        <v>0</v>
      </c>
      <c r="M87" s="504">
        <v>93</v>
      </c>
      <c r="N87" s="721">
        <f t="shared" si="20"/>
        <v>0</v>
      </c>
      <c r="O87" s="57">
        <f t="shared" si="21"/>
        <v>0</v>
      </c>
      <c r="P87" s="57">
        <f t="shared" si="22"/>
        <v>0</v>
      </c>
      <c r="Q87" s="97"/>
      <c r="R87" s="97"/>
    </row>
    <row r="88" spans="2:20" ht="15.75" customHeight="1" x14ac:dyDescent="0.45">
      <c r="B88" s="396">
        <v>11447394216</v>
      </c>
      <c r="C88" s="443" t="s">
        <v>261</v>
      </c>
      <c r="D88" s="396" t="s">
        <v>794</v>
      </c>
      <c r="E88" s="408">
        <v>3</v>
      </c>
      <c r="F88" s="408">
        <v>28</v>
      </c>
      <c r="G88" s="397"/>
      <c r="H88" s="411">
        <f>(G42*(0.003*(250/100)))</f>
        <v>0</v>
      </c>
      <c r="I88" s="507">
        <f>(30*BC!$B$47/F88)</f>
        <v>0</v>
      </c>
      <c r="J88" s="508">
        <f t="shared" si="18"/>
        <v>0</v>
      </c>
      <c r="K88" s="508">
        <f t="shared" si="19"/>
        <v>0</v>
      </c>
      <c r="L88" s="194">
        <f t="shared" si="12"/>
        <v>0</v>
      </c>
      <c r="M88" s="504">
        <v>76</v>
      </c>
      <c r="N88" s="721">
        <f t="shared" si="20"/>
        <v>0</v>
      </c>
      <c r="O88" s="57">
        <f t="shared" si="21"/>
        <v>0</v>
      </c>
      <c r="P88" s="57">
        <f t="shared" si="22"/>
        <v>0</v>
      </c>
      <c r="Q88" s="97"/>
      <c r="R88" s="97"/>
    </row>
    <row r="89" spans="2:20" ht="15.75" customHeight="1" x14ac:dyDescent="0.45">
      <c r="B89" s="396">
        <v>3121305122</v>
      </c>
      <c r="C89" s="444" t="s">
        <v>268</v>
      </c>
      <c r="D89" s="396" t="s">
        <v>795</v>
      </c>
      <c r="E89" s="408">
        <v>5</v>
      </c>
      <c r="F89" s="408">
        <v>28</v>
      </c>
      <c r="G89" s="397"/>
      <c r="H89" s="411">
        <f>(A16*(0.006*(250/100)))</f>
        <v>0</v>
      </c>
      <c r="I89" s="507">
        <f>(30*BC!$B$47/F89)</f>
        <v>0</v>
      </c>
      <c r="J89" s="508">
        <f t="shared" si="18"/>
        <v>0</v>
      </c>
      <c r="K89" s="508">
        <f t="shared" si="19"/>
        <v>0</v>
      </c>
      <c r="L89" s="194">
        <f t="shared" si="12"/>
        <v>0</v>
      </c>
      <c r="M89" s="504">
        <v>376</v>
      </c>
      <c r="N89" s="721">
        <f t="shared" si="20"/>
        <v>0</v>
      </c>
      <c r="O89" s="57">
        <f t="shared" si="21"/>
        <v>0</v>
      </c>
      <c r="P89" s="57">
        <f t="shared" si="22"/>
        <v>0</v>
      </c>
      <c r="Q89" s="97"/>
      <c r="R89" s="97"/>
    </row>
    <row r="90" spans="2:20" ht="15.75" customHeight="1" x14ac:dyDescent="0.45">
      <c r="B90" s="408">
        <v>3555941190</v>
      </c>
      <c r="C90" s="446" t="s">
        <v>259</v>
      </c>
      <c r="D90" s="396" t="s">
        <v>259</v>
      </c>
      <c r="E90" s="408">
        <v>3</v>
      </c>
      <c r="F90" s="408">
        <v>14</v>
      </c>
      <c r="G90" s="397"/>
      <c r="H90" s="411">
        <f>(A26*(0.04*(200/1000)))</f>
        <v>0</v>
      </c>
      <c r="I90" s="507">
        <f>(30*BC!$B$47/F90)</f>
        <v>0</v>
      </c>
      <c r="J90" s="508">
        <f t="shared" si="18"/>
        <v>0</v>
      </c>
      <c r="K90" s="508">
        <f t="shared" si="19"/>
        <v>0</v>
      </c>
      <c r="L90" s="194">
        <f t="shared" si="12"/>
        <v>0</v>
      </c>
      <c r="M90" s="504">
        <v>212</v>
      </c>
      <c r="N90" s="721">
        <f t="shared" si="20"/>
        <v>0</v>
      </c>
      <c r="O90" s="57">
        <f t="shared" si="21"/>
        <v>0</v>
      </c>
      <c r="P90" s="57">
        <f t="shared" si="22"/>
        <v>0</v>
      </c>
      <c r="Q90" s="97"/>
      <c r="R90" s="97"/>
    </row>
    <row r="91" spans="2:20" ht="15.75" customHeight="1" x14ac:dyDescent="0.45">
      <c r="B91" s="408">
        <v>6533850190</v>
      </c>
      <c r="C91" s="453" t="s">
        <v>262</v>
      </c>
      <c r="D91" s="396" t="s">
        <v>262</v>
      </c>
      <c r="E91" s="408">
        <v>3</v>
      </c>
      <c r="F91" s="408">
        <v>14</v>
      </c>
      <c r="G91" s="397"/>
      <c r="H91" s="411">
        <f>(A26*(0.04*(200/1000)))</f>
        <v>0</v>
      </c>
      <c r="I91" s="507">
        <f>(30*BC!$B$47/F91)</f>
        <v>0</v>
      </c>
      <c r="J91" s="508">
        <f t="shared" si="18"/>
        <v>0</v>
      </c>
      <c r="K91" s="508">
        <f t="shared" si="19"/>
        <v>0</v>
      </c>
      <c r="L91" s="194">
        <f t="shared" si="12"/>
        <v>0</v>
      </c>
      <c r="M91" s="504">
        <v>969</v>
      </c>
      <c r="N91" s="721">
        <f t="shared" si="20"/>
        <v>0</v>
      </c>
      <c r="O91" s="57">
        <f t="shared" si="21"/>
        <v>0</v>
      </c>
      <c r="P91" s="57">
        <f t="shared" si="22"/>
        <v>0</v>
      </c>
      <c r="Q91" s="97"/>
      <c r="R91" s="97"/>
    </row>
    <row r="92" spans="2:20" ht="15.75" customHeight="1" x14ac:dyDescent="0.45">
      <c r="B92" s="408">
        <v>12146401216</v>
      </c>
      <c r="C92" s="454" t="s">
        <v>270</v>
      </c>
      <c r="D92" s="396" t="s">
        <v>270</v>
      </c>
      <c r="E92" s="408">
        <v>1</v>
      </c>
      <c r="F92" s="408">
        <v>183</v>
      </c>
      <c r="G92" s="397"/>
      <c r="H92" s="411">
        <f>(G50*(0.01*(100/1000)))</f>
        <v>0</v>
      </c>
      <c r="I92" s="507">
        <f>(30*BC!$B$47/F92)</f>
        <v>0</v>
      </c>
      <c r="J92" s="508">
        <f t="shared" si="18"/>
        <v>0</v>
      </c>
      <c r="K92" s="508">
        <f t="shared" si="19"/>
        <v>0</v>
      </c>
      <c r="L92" s="194">
        <f t="shared" si="12"/>
        <v>0</v>
      </c>
      <c r="M92" s="504">
        <v>183</v>
      </c>
      <c r="N92" s="721">
        <f t="shared" si="20"/>
        <v>0</v>
      </c>
      <c r="O92" s="57">
        <f t="shared" si="21"/>
        <v>0</v>
      </c>
      <c r="P92" s="57">
        <f t="shared" si="22"/>
        <v>0</v>
      </c>
      <c r="Q92" s="97"/>
      <c r="R92" s="97"/>
    </row>
    <row r="93" spans="2:20" ht="15.75" customHeight="1" x14ac:dyDescent="0.45">
      <c r="B93" s="408">
        <v>11355279216</v>
      </c>
      <c r="C93" s="445" t="s">
        <v>264</v>
      </c>
      <c r="D93" s="396" t="s">
        <v>264</v>
      </c>
      <c r="E93" s="408">
        <v>5</v>
      </c>
      <c r="F93" s="408">
        <v>28</v>
      </c>
      <c r="G93" s="397"/>
      <c r="H93" s="411" t="e">
        <f>(A20*(0.002*(350/1000)))</f>
        <v>#REF!</v>
      </c>
      <c r="I93" s="507">
        <f>(30*BC!$B$47/F93)</f>
        <v>0</v>
      </c>
      <c r="J93" s="508" t="e">
        <f t="shared" si="18"/>
        <v>#REF!</v>
      </c>
      <c r="K93" s="508" t="e">
        <f t="shared" si="19"/>
        <v>#REF!</v>
      </c>
      <c r="L93" s="194" t="e">
        <f t="shared" si="12"/>
        <v>#REF!</v>
      </c>
      <c r="M93" s="504">
        <v>149</v>
      </c>
      <c r="N93" s="721" t="e">
        <f t="shared" si="20"/>
        <v>#REF!</v>
      </c>
      <c r="O93" s="57" t="e">
        <f t="shared" si="21"/>
        <v>#REF!</v>
      </c>
      <c r="P93" s="57" t="e">
        <f t="shared" si="22"/>
        <v>#REF!</v>
      </c>
      <c r="Q93" s="97"/>
      <c r="R93" s="97"/>
    </row>
    <row r="94" spans="2:20" ht="15.75" customHeight="1" x14ac:dyDescent="0.45">
      <c r="B94" s="408">
        <v>5117003190</v>
      </c>
      <c r="C94" s="396" t="s">
        <v>796</v>
      </c>
      <c r="D94" s="396" t="s">
        <v>796</v>
      </c>
      <c r="E94" s="408">
        <v>20</v>
      </c>
      <c r="F94" s="408">
        <v>28</v>
      </c>
      <c r="G94" s="397"/>
      <c r="H94" s="411"/>
      <c r="I94" s="507">
        <f>(30*BC!$B$47/F94)</f>
        <v>0</v>
      </c>
      <c r="J94" s="508">
        <f t="shared" si="18"/>
        <v>0</v>
      </c>
      <c r="K94" s="508">
        <f t="shared" si="19"/>
        <v>0</v>
      </c>
      <c r="L94" s="194">
        <f t="shared" si="12"/>
        <v>0</v>
      </c>
      <c r="M94" s="504">
        <v>531</v>
      </c>
      <c r="N94" s="721">
        <f t="shared" si="20"/>
        <v>0</v>
      </c>
      <c r="O94" s="57">
        <f t="shared" si="21"/>
        <v>0</v>
      </c>
      <c r="P94" s="57">
        <f t="shared" si="22"/>
        <v>0</v>
      </c>
      <c r="Q94" s="97"/>
      <c r="R94" s="97"/>
    </row>
    <row r="95" spans="2:20" ht="15.75" customHeight="1" x14ac:dyDescent="0.45">
      <c r="B95" s="408">
        <v>5117216190</v>
      </c>
      <c r="C95" s="396" t="s">
        <v>797</v>
      </c>
      <c r="D95" s="396" t="s">
        <v>797</v>
      </c>
      <c r="E95" s="408">
        <v>20</v>
      </c>
      <c r="F95" s="408">
        <v>14</v>
      </c>
      <c r="G95" s="397"/>
      <c r="H95" s="411"/>
      <c r="I95" s="507">
        <f>(30*BC!$B$47/F95)</f>
        <v>0</v>
      </c>
      <c r="J95" s="508">
        <f t="shared" si="18"/>
        <v>0</v>
      </c>
      <c r="K95" s="508">
        <f t="shared" si="19"/>
        <v>0</v>
      </c>
      <c r="L95" s="194">
        <f t="shared" si="12"/>
        <v>0</v>
      </c>
      <c r="M95" s="504">
        <v>643</v>
      </c>
      <c r="N95" s="721">
        <f t="shared" si="20"/>
        <v>0</v>
      </c>
      <c r="O95" s="57">
        <f t="shared" si="21"/>
        <v>0</v>
      </c>
      <c r="P95" s="57">
        <f t="shared" si="22"/>
        <v>0</v>
      </c>
      <c r="Q95" s="97"/>
      <c r="R95" s="97"/>
    </row>
    <row r="96" spans="2:20" ht="15.75" customHeight="1" x14ac:dyDescent="0.45">
      <c r="B96" s="408">
        <v>5117208922</v>
      </c>
      <c r="C96" s="396" t="s">
        <v>798</v>
      </c>
      <c r="D96" s="396" t="s">
        <v>798</v>
      </c>
      <c r="E96" s="408">
        <v>20</v>
      </c>
      <c r="F96" s="408"/>
      <c r="G96" s="397"/>
      <c r="H96" s="411"/>
      <c r="I96" s="507" t="e">
        <f>(30*BC!$B$47/F96)</f>
        <v>#DIV/0!</v>
      </c>
      <c r="J96" s="508" t="e">
        <f t="shared" si="18"/>
        <v>#DIV/0!</v>
      </c>
      <c r="K96" s="508">
        <f t="shared" si="19"/>
        <v>0</v>
      </c>
      <c r="L96" s="194">
        <f t="shared" si="12"/>
        <v>0</v>
      </c>
      <c r="M96" s="504">
        <v>1062</v>
      </c>
      <c r="N96" s="721">
        <f t="shared" si="20"/>
        <v>0</v>
      </c>
      <c r="O96" s="57">
        <f t="shared" si="21"/>
        <v>0</v>
      </c>
      <c r="P96" s="57">
        <f t="shared" si="22"/>
        <v>0</v>
      </c>
      <c r="Q96" s="97"/>
      <c r="R96" s="97"/>
    </row>
    <row r="97" spans="2:18" ht="15.75" customHeight="1" x14ac:dyDescent="0.45">
      <c r="B97" s="408">
        <v>5117291922</v>
      </c>
      <c r="C97" s="396" t="s">
        <v>799</v>
      </c>
      <c r="D97" s="396" t="s">
        <v>799</v>
      </c>
      <c r="E97" s="408">
        <v>20</v>
      </c>
      <c r="F97" s="408"/>
      <c r="G97" s="397"/>
      <c r="H97" s="411"/>
      <c r="I97" s="507" t="e">
        <f>(30*BC!$B$47/F97)</f>
        <v>#DIV/0!</v>
      </c>
      <c r="J97" s="508" t="e">
        <f t="shared" si="18"/>
        <v>#DIV/0!</v>
      </c>
      <c r="K97" s="508">
        <f t="shared" si="19"/>
        <v>0</v>
      </c>
      <c r="L97" s="194">
        <f t="shared" si="12"/>
        <v>0</v>
      </c>
      <c r="M97" s="504">
        <v>1180</v>
      </c>
      <c r="N97" s="721">
        <f t="shared" si="20"/>
        <v>0</v>
      </c>
      <c r="O97" s="57">
        <f t="shared" si="21"/>
        <v>0</v>
      </c>
      <c r="P97" s="57">
        <f t="shared" si="22"/>
        <v>0</v>
      </c>
      <c r="Q97" s="97"/>
      <c r="R97" s="97"/>
    </row>
    <row r="98" spans="2:18" ht="15.75" customHeight="1" x14ac:dyDescent="0.45">
      <c r="B98" s="408">
        <v>5947626190</v>
      </c>
      <c r="C98" s="451" t="s">
        <v>286</v>
      </c>
      <c r="D98" s="396" t="s">
        <v>286</v>
      </c>
      <c r="E98" s="408">
        <v>4</v>
      </c>
      <c r="F98" s="408">
        <v>14</v>
      </c>
      <c r="G98" s="397"/>
      <c r="H98" s="411" t="e">
        <f>(A23/(0.005*400)/3000)</f>
        <v>#REF!</v>
      </c>
      <c r="I98" s="507">
        <f>(30*BC!$B$47/F98)</f>
        <v>0</v>
      </c>
      <c r="J98" s="508" t="e">
        <f t="shared" si="18"/>
        <v>#REF!</v>
      </c>
      <c r="K98" s="508" t="e">
        <f t="shared" si="19"/>
        <v>#REF!</v>
      </c>
      <c r="L98" s="194" t="e">
        <f t="shared" si="12"/>
        <v>#REF!</v>
      </c>
      <c r="M98" s="504">
        <v>57</v>
      </c>
      <c r="N98" s="721" t="e">
        <f t="shared" si="20"/>
        <v>#REF!</v>
      </c>
      <c r="O98" s="57" t="e">
        <f t="shared" si="21"/>
        <v>#REF!</v>
      </c>
      <c r="P98" s="57" t="e">
        <f t="shared" si="22"/>
        <v>#REF!</v>
      </c>
      <c r="Q98" s="97"/>
      <c r="R98" s="97"/>
    </row>
    <row r="99" spans="2:18" ht="15.75" customHeight="1" x14ac:dyDescent="0.45">
      <c r="B99" s="408">
        <v>5947774190</v>
      </c>
      <c r="C99" s="451" t="s">
        <v>287</v>
      </c>
      <c r="D99" s="396" t="s">
        <v>287</v>
      </c>
      <c r="E99" s="408">
        <v>4</v>
      </c>
      <c r="F99" s="408">
        <v>14</v>
      </c>
      <c r="G99" s="397"/>
      <c r="H99" s="411" t="e">
        <f>(A23/(0.005*400)/3000)</f>
        <v>#REF!</v>
      </c>
      <c r="I99" s="507">
        <f>(30*BC!$B$47/F99)</f>
        <v>0</v>
      </c>
      <c r="J99" s="508" t="e">
        <f t="shared" si="18"/>
        <v>#REF!</v>
      </c>
      <c r="K99" s="508" t="e">
        <f t="shared" si="19"/>
        <v>#REF!</v>
      </c>
      <c r="L99" s="194" t="e">
        <f t="shared" si="12"/>
        <v>#REF!</v>
      </c>
      <c r="M99" s="504">
        <v>91</v>
      </c>
      <c r="N99" s="721" t="e">
        <f t="shared" si="20"/>
        <v>#REF!</v>
      </c>
      <c r="O99" s="57" t="e">
        <f t="shared" si="21"/>
        <v>#REF!</v>
      </c>
      <c r="P99" s="57" t="e">
        <f t="shared" si="22"/>
        <v>#REF!</v>
      </c>
      <c r="Q99" s="97"/>
      <c r="R99" s="97"/>
    </row>
    <row r="100" spans="2:18" ht="15.75" customHeight="1" x14ac:dyDescent="0.45">
      <c r="B100" s="396">
        <v>4528417190</v>
      </c>
      <c r="C100" s="456" t="s">
        <v>267</v>
      </c>
      <c r="D100" s="396" t="s">
        <v>267</v>
      </c>
      <c r="E100" s="408">
        <v>3</v>
      </c>
      <c r="F100" s="408">
        <v>84</v>
      </c>
      <c r="G100" s="396"/>
      <c r="H100" s="411">
        <f>(A38*(0.007*(500/2000)))</f>
        <v>0</v>
      </c>
      <c r="I100" s="507">
        <f>(30*BC!$B$47/F100)</f>
        <v>0</v>
      </c>
      <c r="J100" s="508">
        <f t="shared" si="18"/>
        <v>0</v>
      </c>
      <c r="K100" s="508">
        <f t="shared" si="19"/>
        <v>0</v>
      </c>
      <c r="L100" s="194">
        <f t="shared" si="12"/>
        <v>0</v>
      </c>
      <c r="M100" s="504">
        <v>451</v>
      </c>
      <c r="N100" s="721">
        <f t="shared" si="20"/>
        <v>0</v>
      </c>
      <c r="O100" s="57">
        <f t="shared" si="21"/>
        <v>0</v>
      </c>
      <c r="P100" s="57">
        <f t="shared" si="22"/>
        <v>0</v>
      </c>
      <c r="Q100" s="97"/>
      <c r="R100" s="97"/>
    </row>
    <row r="101" spans="2:18" ht="15.75" customHeight="1" x14ac:dyDescent="0.45">
      <c r="B101" s="396">
        <v>5479207190</v>
      </c>
      <c r="C101" s="456" t="s">
        <v>288</v>
      </c>
      <c r="D101" s="396" t="s">
        <v>288</v>
      </c>
      <c r="E101" s="408">
        <v>4</v>
      </c>
      <c r="F101" s="408">
        <v>28</v>
      </c>
      <c r="G101" s="397"/>
      <c r="H101" s="411">
        <f>(A38*(0.02*(500/2000)))</f>
        <v>0</v>
      </c>
      <c r="I101" s="507">
        <f>(30*BC!$B$47/F101)</f>
        <v>0</v>
      </c>
      <c r="J101" s="508">
        <f t="shared" si="18"/>
        <v>0</v>
      </c>
      <c r="K101" s="508">
        <f t="shared" si="19"/>
        <v>0</v>
      </c>
      <c r="L101" s="194">
        <f t="shared" si="12"/>
        <v>0</v>
      </c>
      <c r="M101" s="504">
        <v>309</v>
      </c>
      <c r="N101" s="721">
        <f t="shared" si="20"/>
        <v>0</v>
      </c>
      <c r="O101" s="57">
        <f t="shared" si="21"/>
        <v>0</v>
      </c>
      <c r="P101" s="57">
        <f t="shared" si="22"/>
        <v>0</v>
      </c>
      <c r="Q101" s="97"/>
      <c r="R101" s="97"/>
    </row>
    <row r="102" spans="2:18" ht="15.75" customHeight="1" x14ac:dyDescent="0.45">
      <c r="B102" s="396">
        <v>5912504190</v>
      </c>
      <c r="C102" s="456" t="s">
        <v>289</v>
      </c>
      <c r="D102" s="396" t="s">
        <v>289</v>
      </c>
      <c r="E102" s="408">
        <v>4</v>
      </c>
      <c r="F102" s="408">
        <v>28</v>
      </c>
      <c r="G102" s="397"/>
      <c r="H102" s="411">
        <f>(A38*(0.02*(500/2000)))</f>
        <v>0</v>
      </c>
      <c r="I102" s="507">
        <f>(30*BC!$B$47/F102)</f>
        <v>0</v>
      </c>
      <c r="J102" s="508">
        <f t="shared" si="18"/>
        <v>0</v>
      </c>
      <c r="K102" s="508">
        <f t="shared" si="19"/>
        <v>0</v>
      </c>
      <c r="L102" s="194">
        <f t="shared" si="12"/>
        <v>0</v>
      </c>
      <c r="M102" s="504">
        <v>618</v>
      </c>
      <c r="N102" s="721">
        <f t="shared" si="20"/>
        <v>0</v>
      </c>
      <c r="O102" s="57">
        <f t="shared" si="21"/>
        <v>0</v>
      </c>
      <c r="P102" s="57">
        <f t="shared" si="22"/>
        <v>0</v>
      </c>
      <c r="Q102" s="97"/>
      <c r="R102" s="97"/>
    </row>
    <row r="103" spans="2:18" ht="15.75" customHeight="1" x14ac:dyDescent="0.45">
      <c r="B103" s="396">
        <v>5050901190</v>
      </c>
      <c r="C103" s="458" t="s">
        <v>269</v>
      </c>
      <c r="D103" s="396"/>
      <c r="E103" s="408">
        <v>1</v>
      </c>
      <c r="F103" s="408">
        <v>84</v>
      </c>
      <c r="G103" s="397"/>
      <c r="H103" s="411">
        <f>(G65*(0.03*(350/1000)))</f>
        <v>0</v>
      </c>
      <c r="I103" s="507">
        <f>(30*BC!$B$47/F103)</f>
        <v>0</v>
      </c>
      <c r="J103" s="508">
        <f t="shared" si="18"/>
        <v>0</v>
      </c>
      <c r="K103" s="508">
        <f t="shared" si="19"/>
        <v>0</v>
      </c>
      <c r="L103" s="194">
        <f t="shared" si="12"/>
        <v>0</v>
      </c>
      <c r="M103" s="504">
        <v>282</v>
      </c>
      <c r="N103" s="721">
        <f t="shared" si="20"/>
        <v>0</v>
      </c>
      <c r="O103" s="57">
        <f t="shared" si="21"/>
        <v>0</v>
      </c>
      <c r="P103" s="57">
        <f t="shared" si="22"/>
        <v>0</v>
      </c>
      <c r="Q103" s="97"/>
      <c r="R103" s="97"/>
    </row>
    <row r="104" spans="2:18" ht="15.75" customHeight="1" x14ac:dyDescent="0.45">
      <c r="B104" s="396">
        <v>5050936190</v>
      </c>
      <c r="C104" s="458" t="s">
        <v>283</v>
      </c>
      <c r="D104" s="396"/>
      <c r="E104" s="408">
        <v>2</v>
      </c>
      <c r="F104" s="408">
        <v>84</v>
      </c>
      <c r="G104" s="397"/>
      <c r="H104" s="411">
        <f>(G65*(0.06*(350/1000)))</f>
        <v>0</v>
      </c>
      <c r="I104" s="507">
        <f>(30*BC!$B$47/F104)</f>
        <v>0</v>
      </c>
      <c r="J104" s="508">
        <f t="shared" si="18"/>
        <v>0</v>
      </c>
      <c r="K104" s="508">
        <f t="shared" si="19"/>
        <v>0</v>
      </c>
      <c r="L104" s="194">
        <f t="shared" si="12"/>
        <v>0</v>
      </c>
      <c r="M104" s="504">
        <v>488</v>
      </c>
      <c r="N104" s="721">
        <f t="shared" si="20"/>
        <v>0</v>
      </c>
      <c r="O104" s="57">
        <f t="shared" si="21"/>
        <v>0</v>
      </c>
      <c r="P104" s="57">
        <f t="shared" si="22"/>
        <v>0</v>
      </c>
      <c r="Q104" s="97"/>
      <c r="R104" s="97"/>
    </row>
    <row r="105" spans="2:18" ht="15.75" customHeight="1" x14ac:dyDescent="0.45">
      <c r="B105" s="396">
        <v>8047545190</v>
      </c>
      <c r="C105" s="459" t="s">
        <v>266</v>
      </c>
      <c r="D105" s="396"/>
      <c r="E105" s="408">
        <v>2</v>
      </c>
      <c r="F105" s="408">
        <v>84</v>
      </c>
      <c r="G105" s="397"/>
      <c r="H105" s="411">
        <f>(G66*(0.014*(500/2000)))</f>
        <v>0</v>
      </c>
      <c r="I105" s="507">
        <f>(30*BC!$B$47/F105)</f>
        <v>0</v>
      </c>
      <c r="J105" s="508">
        <f t="shared" si="18"/>
        <v>0</v>
      </c>
      <c r="K105" s="508">
        <f t="shared" si="19"/>
        <v>0</v>
      </c>
      <c r="L105" s="194">
        <f t="shared" si="12"/>
        <v>0</v>
      </c>
      <c r="M105" s="504">
        <v>51</v>
      </c>
      <c r="N105" s="721">
        <f t="shared" si="20"/>
        <v>0</v>
      </c>
      <c r="O105" s="57">
        <f t="shared" si="21"/>
        <v>0</v>
      </c>
      <c r="P105" s="57">
        <f t="shared" si="22"/>
        <v>0</v>
      </c>
      <c r="Q105" s="97"/>
      <c r="R105" s="97"/>
    </row>
    <row r="106" spans="2:18" ht="15.75" customHeight="1" x14ac:dyDescent="0.45">
      <c r="B106" s="396">
        <v>8362785190</v>
      </c>
      <c r="C106" s="459" t="s">
        <v>280</v>
      </c>
      <c r="D106" s="396"/>
      <c r="E106" s="408">
        <v>2</v>
      </c>
      <c r="F106" s="408">
        <v>84</v>
      </c>
      <c r="G106" s="397"/>
      <c r="H106" s="411">
        <f>(G66*(0.025*(500/2000)))</f>
        <v>0</v>
      </c>
      <c r="I106" s="507">
        <f>(30*BC!$B$47/F106)</f>
        <v>0</v>
      </c>
      <c r="J106" s="508">
        <f t="shared" si="18"/>
        <v>0</v>
      </c>
      <c r="K106" s="508">
        <f t="shared" si="19"/>
        <v>0</v>
      </c>
      <c r="L106" s="194">
        <f t="shared" si="12"/>
        <v>0</v>
      </c>
      <c r="M106" s="504">
        <v>244</v>
      </c>
      <c r="N106" s="721">
        <f t="shared" si="20"/>
        <v>0</v>
      </c>
      <c r="O106" s="57">
        <f t="shared" si="21"/>
        <v>0</v>
      </c>
      <c r="P106" s="57">
        <f t="shared" si="22"/>
        <v>0</v>
      </c>
      <c r="Q106" s="97"/>
      <c r="R106" s="97"/>
    </row>
    <row r="107" spans="2:18" ht="15.75" customHeight="1" x14ac:dyDescent="0.45">
      <c r="B107" s="396">
        <v>5852641190</v>
      </c>
      <c r="C107" s="460" t="s">
        <v>275</v>
      </c>
      <c r="D107" s="396"/>
      <c r="E107" s="408">
        <v>1</v>
      </c>
      <c r="F107" s="408">
        <v>14</v>
      </c>
      <c r="G107" s="397"/>
      <c r="H107" s="411">
        <f>(G67*(0.014*(500/2000)))</f>
        <v>0</v>
      </c>
      <c r="I107" s="507">
        <f>(30*BC!$B$47/F107)</f>
        <v>0</v>
      </c>
      <c r="J107" s="508">
        <f t="shared" si="18"/>
        <v>0</v>
      </c>
      <c r="K107" s="508">
        <f t="shared" si="19"/>
        <v>0</v>
      </c>
      <c r="L107" s="194">
        <f t="shared" si="12"/>
        <v>0</v>
      </c>
      <c r="M107" s="504">
        <v>384</v>
      </c>
      <c r="N107" s="721">
        <f t="shared" si="20"/>
        <v>0</v>
      </c>
      <c r="O107" s="57">
        <f t="shared" si="21"/>
        <v>0</v>
      </c>
      <c r="P107" s="57">
        <f t="shared" si="22"/>
        <v>0</v>
      </c>
      <c r="Q107" s="97"/>
      <c r="R107" s="97"/>
    </row>
    <row r="108" spans="2:18" ht="15.75" customHeight="1" x14ac:dyDescent="0.45">
      <c r="B108" s="396">
        <v>5852650190</v>
      </c>
      <c r="C108" s="460" t="s">
        <v>290</v>
      </c>
      <c r="D108" s="396"/>
      <c r="E108" s="408">
        <v>2</v>
      </c>
      <c r="F108" s="408">
        <v>14</v>
      </c>
      <c r="G108" s="397"/>
      <c r="H108" s="411">
        <f>(G67*(0.025*(500/2000)))</f>
        <v>0</v>
      </c>
      <c r="I108" s="507">
        <f>(30*BC!$B$47/F108)</f>
        <v>0</v>
      </c>
      <c r="J108" s="508">
        <f t="shared" si="18"/>
        <v>0</v>
      </c>
      <c r="K108" s="508">
        <f t="shared" si="19"/>
        <v>0</v>
      </c>
      <c r="L108" s="194">
        <f t="shared" si="12"/>
        <v>0</v>
      </c>
      <c r="M108" s="504">
        <v>572</v>
      </c>
      <c r="N108" s="721">
        <f t="shared" si="20"/>
        <v>0</v>
      </c>
      <c r="O108" s="57">
        <f t="shared" si="21"/>
        <v>0</v>
      </c>
      <c r="P108" s="57">
        <f t="shared" si="22"/>
        <v>0</v>
      </c>
      <c r="Q108" s="97"/>
      <c r="R108" s="97"/>
    </row>
    <row r="109" spans="2:18" ht="15.75" customHeight="1" x14ac:dyDescent="0.45">
      <c r="B109" s="396">
        <v>4975901191</v>
      </c>
      <c r="C109" s="461" t="s">
        <v>257</v>
      </c>
      <c r="D109" s="396"/>
      <c r="E109" s="408">
        <v>1</v>
      </c>
      <c r="F109" s="408">
        <v>30</v>
      </c>
      <c r="G109" s="397"/>
      <c r="H109" s="411">
        <f>(G68*(0.014*(500/2000)))</f>
        <v>0</v>
      </c>
      <c r="I109" s="507">
        <f>(30*BC!$B$47/F109)</f>
        <v>0</v>
      </c>
      <c r="J109" s="508">
        <f t="shared" si="18"/>
        <v>0</v>
      </c>
      <c r="K109" s="508">
        <f t="shared" si="19"/>
        <v>0</v>
      </c>
      <c r="L109" s="194">
        <f t="shared" si="12"/>
        <v>0</v>
      </c>
      <c r="M109" s="504">
        <v>1016</v>
      </c>
      <c r="N109" s="721">
        <f t="shared" si="20"/>
        <v>0</v>
      </c>
      <c r="O109" s="57">
        <f t="shared" si="21"/>
        <v>0</v>
      </c>
      <c r="P109" s="57">
        <f t="shared" si="22"/>
        <v>0</v>
      </c>
      <c r="Q109" s="97"/>
      <c r="R109" s="97"/>
    </row>
    <row r="110" spans="2:18" ht="15.75" customHeight="1" x14ac:dyDescent="0.45">
      <c r="B110" s="396">
        <v>6729371190</v>
      </c>
      <c r="C110" s="461" t="s">
        <v>282</v>
      </c>
      <c r="D110" s="396"/>
      <c r="E110" s="408">
        <v>3</v>
      </c>
      <c r="F110" s="408">
        <v>30</v>
      </c>
      <c r="G110" s="397"/>
      <c r="H110" s="411">
        <f>(G68*(0.025*(500/2000)))</f>
        <v>0</v>
      </c>
      <c r="I110" s="507">
        <f>(30*BC!$B$47/F110)</f>
        <v>0</v>
      </c>
      <c r="J110" s="508">
        <f t="shared" si="18"/>
        <v>0</v>
      </c>
      <c r="K110" s="508">
        <f t="shared" si="19"/>
        <v>0</v>
      </c>
      <c r="L110" s="194">
        <f t="shared" si="12"/>
        <v>0</v>
      </c>
      <c r="M110" s="504">
        <v>1581</v>
      </c>
      <c r="N110" s="721">
        <f t="shared" si="20"/>
        <v>0</v>
      </c>
      <c r="O110" s="57">
        <f t="shared" si="21"/>
        <v>0</v>
      </c>
      <c r="P110" s="57">
        <f t="shared" si="22"/>
        <v>0</v>
      </c>
      <c r="Q110" s="97"/>
      <c r="R110" s="97"/>
    </row>
    <row r="111" spans="2:18" ht="15.75" customHeight="1" x14ac:dyDescent="0.45">
      <c r="B111" s="396">
        <v>5385504190</v>
      </c>
      <c r="C111" s="462" t="s">
        <v>271</v>
      </c>
      <c r="D111" s="396"/>
      <c r="E111" s="408">
        <v>2</v>
      </c>
      <c r="F111" s="408">
        <v>28</v>
      </c>
      <c r="G111" s="397"/>
      <c r="H111" s="411">
        <f>(G69*(0.014*(500/2000)))</f>
        <v>0</v>
      </c>
      <c r="I111" s="507">
        <f>(30*BC!$B$47/F111)</f>
        <v>0</v>
      </c>
      <c r="J111" s="508">
        <f t="shared" si="18"/>
        <v>0</v>
      </c>
      <c r="K111" s="508">
        <f t="shared" si="19"/>
        <v>0</v>
      </c>
      <c r="L111" s="194">
        <f t="shared" si="12"/>
        <v>0</v>
      </c>
      <c r="M111" s="504">
        <v>80</v>
      </c>
      <c r="N111" s="721">
        <f t="shared" si="20"/>
        <v>0</v>
      </c>
      <c r="O111" s="57">
        <f t="shared" si="21"/>
        <v>0</v>
      </c>
      <c r="P111" s="57">
        <f t="shared" si="22"/>
        <v>0</v>
      </c>
      <c r="Q111" s="97"/>
      <c r="R111" s="97"/>
    </row>
    <row r="112" spans="2:18" ht="15.75" customHeight="1" x14ac:dyDescent="0.45">
      <c r="B112" s="396">
        <v>5142423190</v>
      </c>
      <c r="C112" s="462" t="s">
        <v>284</v>
      </c>
      <c r="D112" s="396"/>
      <c r="E112" s="408">
        <v>2</v>
      </c>
      <c r="F112" s="408">
        <v>28</v>
      </c>
      <c r="G112" s="397"/>
      <c r="H112" s="411">
        <f>(G69*(0.025*(500/2000)))</f>
        <v>0</v>
      </c>
      <c r="I112" s="507">
        <f>(30*BC!$B$47/F112)</f>
        <v>0</v>
      </c>
      <c r="J112" s="508">
        <f t="shared" si="18"/>
        <v>0</v>
      </c>
      <c r="K112" s="508">
        <f t="shared" si="19"/>
        <v>0</v>
      </c>
      <c r="L112" s="194">
        <f t="shared" si="12"/>
        <v>0</v>
      </c>
      <c r="M112" s="504">
        <v>74</v>
      </c>
      <c r="N112" s="721">
        <f t="shared" si="20"/>
        <v>0</v>
      </c>
      <c r="O112" s="57">
        <f t="shared" si="21"/>
        <v>0</v>
      </c>
      <c r="P112" s="57">
        <f t="shared" si="22"/>
        <v>0</v>
      </c>
      <c r="Q112" s="97"/>
      <c r="R112" s="97"/>
    </row>
    <row r="113" spans="2:18" ht="15.75" customHeight="1" x14ac:dyDescent="0.45">
      <c r="B113" s="396">
        <v>20751995190</v>
      </c>
      <c r="C113" s="463" t="s">
        <v>256</v>
      </c>
      <c r="D113" s="396" t="s">
        <v>800</v>
      </c>
      <c r="E113" s="408">
        <v>2</v>
      </c>
      <c r="F113" s="408">
        <v>56</v>
      </c>
      <c r="G113" s="397"/>
      <c r="H113" s="411">
        <f>(A29*(0.014*(500/2000)))</f>
        <v>0</v>
      </c>
      <c r="I113" s="507">
        <f>(30*BC!$B$47/F113)</f>
        <v>0</v>
      </c>
      <c r="J113" s="508">
        <f t="shared" si="18"/>
        <v>0</v>
      </c>
      <c r="K113" s="508">
        <f t="shared" si="19"/>
        <v>0</v>
      </c>
      <c r="L113" s="194">
        <f t="shared" si="12"/>
        <v>0</v>
      </c>
      <c r="M113" s="504">
        <v>627</v>
      </c>
      <c r="N113" s="721">
        <f t="shared" si="20"/>
        <v>0</v>
      </c>
      <c r="O113" s="57">
        <f t="shared" si="21"/>
        <v>0</v>
      </c>
      <c r="P113" s="57">
        <f t="shared" si="22"/>
        <v>0</v>
      </c>
      <c r="Q113" s="97"/>
      <c r="R113" s="97"/>
    </row>
    <row r="114" spans="2:18" ht="15.75" customHeight="1" x14ac:dyDescent="0.45">
      <c r="B114" s="396">
        <v>20752401190</v>
      </c>
      <c r="C114" s="463" t="s">
        <v>278</v>
      </c>
      <c r="D114" s="396" t="s">
        <v>801</v>
      </c>
      <c r="E114" s="408">
        <v>5</v>
      </c>
      <c r="F114" s="408">
        <v>56</v>
      </c>
      <c r="G114" s="397"/>
      <c r="H114" s="411">
        <f>(A29*(0.025*(500/2000)))</f>
        <v>0</v>
      </c>
      <c r="I114" s="507">
        <f>(30*BC!$B$47/F114)</f>
        <v>0</v>
      </c>
      <c r="J114" s="508">
        <f t="shared" si="18"/>
        <v>0</v>
      </c>
      <c r="K114" s="508">
        <f t="shared" si="19"/>
        <v>0</v>
      </c>
      <c r="L114" s="194">
        <f t="shared" si="12"/>
        <v>0</v>
      </c>
      <c r="M114" s="504">
        <v>207</v>
      </c>
      <c r="N114" s="721">
        <f t="shared" si="20"/>
        <v>0</v>
      </c>
      <c r="O114" s="57">
        <f t="shared" si="21"/>
        <v>0</v>
      </c>
      <c r="P114" s="57">
        <f t="shared" si="22"/>
        <v>0</v>
      </c>
      <c r="Q114" s="97"/>
      <c r="R114" s="97"/>
    </row>
    <row r="115" spans="2:18" ht="15.75" customHeight="1" x14ac:dyDescent="0.45">
      <c r="B115" s="396">
        <v>20753009190</v>
      </c>
      <c r="C115" s="463" t="s">
        <v>279</v>
      </c>
      <c r="D115" s="396" t="s">
        <v>802</v>
      </c>
      <c r="E115" s="408">
        <v>5</v>
      </c>
      <c r="F115" s="408">
        <v>56</v>
      </c>
      <c r="G115" s="397"/>
      <c r="H115" s="411">
        <f>(A29*(0.025*(500/2000)))</f>
        <v>0</v>
      </c>
      <c r="I115" s="507">
        <f>(30*BC!$B$47/F115)</f>
        <v>0</v>
      </c>
      <c r="J115" s="508">
        <f t="shared" si="18"/>
        <v>0</v>
      </c>
      <c r="K115" s="508">
        <f t="shared" si="19"/>
        <v>0</v>
      </c>
      <c r="L115" s="194">
        <f t="shared" si="12"/>
        <v>0</v>
      </c>
      <c r="M115" s="504">
        <v>227</v>
      </c>
      <c r="N115" s="721">
        <f t="shared" si="20"/>
        <v>0</v>
      </c>
      <c r="O115" s="57">
        <f t="shared" si="21"/>
        <v>0</v>
      </c>
      <c r="P115" s="57">
        <f t="shared" si="22"/>
        <v>0</v>
      </c>
      <c r="Q115" s="97"/>
      <c r="R115" s="97"/>
    </row>
    <row r="116" spans="2:18" ht="15.75" customHeight="1" x14ac:dyDescent="0.45">
      <c r="B116" s="396">
        <v>11098993122</v>
      </c>
      <c r="C116" s="464" t="s">
        <v>273</v>
      </c>
      <c r="D116" s="396" t="s">
        <v>803</v>
      </c>
      <c r="E116" s="408">
        <v>3</v>
      </c>
      <c r="F116" s="408">
        <v>28</v>
      </c>
      <c r="G116" s="397"/>
      <c r="H116" s="411">
        <f>(G74*(0.014*(500/2000)))</f>
        <v>0</v>
      </c>
      <c r="I116" s="507">
        <f>(30*BC!$B$47/F116)</f>
        <v>0</v>
      </c>
      <c r="J116" s="508">
        <f t="shared" si="18"/>
        <v>0</v>
      </c>
      <c r="K116" s="508">
        <f t="shared" si="19"/>
        <v>0</v>
      </c>
      <c r="L116" s="194">
        <f t="shared" si="12"/>
        <v>0</v>
      </c>
      <c r="M116" s="504">
        <v>80</v>
      </c>
      <c r="N116" s="721">
        <f t="shared" si="20"/>
        <v>0</v>
      </c>
      <c r="O116" s="57">
        <f t="shared" si="21"/>
        <v>0</v>
      </c>
      <c r="P116" s="57">
        <f t="shared" si="22"/>
        <v>0</v>
      </c>
      <c r="Q116" s="97"/>
      <c r="R116" s="97"/>
    </row>
    <row r="117" spans="2:18" ht="15.75" customHeight="1" x14ac:dyDescent="0.45">
      <c r="B117" s="396">
        <v>11098985122</v>
      </c>
      <c r="C117" s="464" t="s">
        <v>291</v>
      </c>
      <c r="D117" s="396"/>
      <c r="E117" s="408">
        <v>3</v>
      </c>
      <c r="F117" s="408">
        <v>28</v>
      </c>
      <c r="G117" s="397"/>
      <c r="H117" s="411">
        <f>(G74*(0.025*(500/2000)))</f>
        <v>0</v>
      </c>
      <c r="I117" s="507">
        <f>(30*BC!$B$47/F117)</f>
        <v>0</v>
      </c>
      <c r="J117" s="508">
        <f t="shared" si="18"/>
        <v>0</v>
      </c>
      <c r="K117" s="508">
        <f t="shared" si="19"/>
        <v>0</v>
      </c>
      <c r="L117" s="194">
        <f t="shared" si="12"/>
        <v>0</v>
      </c>
      <c r="M117" s="504">
        <v>63</v>
      </c>
      <c r="N117" s="721">
        <f t="shared" si="20"/>
        <v>0</v>
      </c>
      <c r="O117" s="57">
        <f t="shared" si="21"/>
        <v>0</v>
      </c>
      <c r="P117" s="57">
        <f t="shared" si="22"/>
        <v>0</v>
      </c>
      <c r="Q117" s="97"/>
      <c r="R117" s="97"/>
    </row>
    <row r="118" spans="2:18" ht="15.75" customHeight="1" x14ac:dyDescent="0.45">
      <c r="B118" s="396">
        <v>11174118122</v>
      </c>
      <c r="C118" s="464" t="s">
        <v>293</v>
      </c>
      <c r="D118" s="396"/>
      <c r="E118" s="408">
        <v>3</v>
      </c>
      <c r="F118" s="408">
        <v>28</v>
      </c>
      <c r="G118" s="397"/>
      <c r="H118" s="411">
        <f>(G74*(0.025*(500/2000)))</f>
        <v>0</v>
      </c>
      <c r="I118" s="507">
        <f>(30*BC!$B$47/F118)</f>
        <v>0</v>
      </c>
      <c r="J118" s="508">
        <f t="shared" si="18"/>
        <v>0</v>
      </c>
      <c r="K118" s="508">
        <f t="shared" si="19"/>
        <v>0</v>
      </c>
      <c r="L118" s="194">
        <f t="shared" si="12"/>
        <v>0</v>
      </c>
      <c r="M118" s="504">
        <v>71</v>
      </c>
      <c r="N118" s="721">
        <f t="shared" si="20"/>
        <v>0</v>
      </c>
      <c r="O118" s="57">
        <f t="shared" si="21"/>
        <v>0</v>
      </c>
      <c r="P118" s="57">
        <f t="shared" si="22"/>
        <v>0</v>
      </c>
      <c r="Q118" s="97"/>
      <c r="R118" s="97"/>
    </row>
    <row r="119" spans="2:18" ht="15.75" customHeight="1" x14ac:dyDescent="0.45">
      <c r="B119" s="396">
        <v>4580044190</v>
      </c>
      <c r="C119" s="465" t="s">
        <v>258</v>
      </c>
      <c r="D119" s="396"/>
      <c r="E119" s="408">
        <v>3</v>
      </c>
      <c r="F119" s="408">
        <v>28</v>
      </c>
      <c r="G119" s="397"/>
      <c r="H119" s="411">
        <f>(G75*(0.014*(500/2000)))</f>
        <v>0</v>
      </c>
      <c r="I119" s="507">
        <f>(30*BC!$B$47/F119)</f>
        <v>0</v>
      </c>
      <c r="J119" s="508">
        <f t="shared" si="18"/>
        <v>0</v>
      </c>
      <c r="K119" s="508">
        <f t="shared" si="19"/>
        <v>0</v>
      </c>
      <c r="L119" s="194">
        <f t="shared" si="12"/>
        <v>0</v>
      </c>
      <c r="M119" s="220"/>
      <c r="N119" s="721">
        <f t="shared" si="20"/>
        <v>0</v>
      </c>
      <c r="O119" s="57">
        <f t="shared" si="21"/>
        <v>0</v>
      </c>
      <c r="P119" s="57">
        <f t="shared" si="22"/>
        <v>0</v>
      </c>
      <c r="Q119" s="97"/>
      <c r="R119" s="97"/>
    </row>
    <row r="120" spans="2:18" ht="15.75" customHeight="1" x14ac:dyDescent="0.45">
      <c r="B120" s="396">
        <v>11730835216</v>
      </c>
      <c r="C120" s="465" t="s">
        <v>285</v>
      </c>
      <c r="D120" s="396"/>
      <c r="E120" s="408">
        <v>2</v>
      </c>
      <c r="F120" s="408">
        <v>56</v>
      </c>
      <c r="G120" s="397"/>
      <c r="H120" s="411">
        <f>(G75*(0.025*(500/2000)))</f>
        <v>0</v>
      </c>
      <c r="I120" s="507">
        <f>(30*BC!$B$47/F120)</f>
        <v>0</v>
      </c>
      <c r="J120" s="508">
        <f t="shared" si="18"/>
        <v>0</v>
      </c>
      <c r="K120" s="508">
        <f t="shared" si="19"/>
        <v>0</v>
      </c>
      <c r="L120" s="194">
        <f t="shared" si="12"/>
        <v>0</v>
      </c>
      <c r="M120" s="220"/>
      <c r="N120" s="721">
        <f t="shared" si="20"/>
        <v>0</v>
      </c>
      <c r="O120" s="57">
        <f t="shared" si="21"/>
        <v>0</v>
      </c>
      <c r="P120" s="57">
        <f t="shared" si="22"/>
        <v>0</v>
      </c>
      <c r="Q120" s="97"/>
      <c r="R120" s="97"/>
    </row>
    <row r="121" spans="2:18" ht="15.75" customHeight="1" x14ac:dyDescent="0.45">
      <c r="B121" s="396">
        <v>12172828322</v>
      </c>
      <c r="C121" s="466" t="s">
        <v>276</v>
      </c>
      <c r="D121" s="396"/>
      <c r="E121" s="408">
        <v>1</v>
      </c>
      <c r="F121" s="408">
        <v>30</v>
      </c>
      <c r="G121" s="397"/>
      <c r="H121" s="411">
        <f>(G76*(0.04*(350/1000)))</f>
        <v>0</v>
      </c>
      <c r="I121" s="507">
        <f>(30*BC!$B$47/F121)</f>
        <v>0</v>
      </c>
      <c r="J121" s="508">
        <f t="shared" si="18"/>
        <v>0</v>
      </c>
      <c r="K121" s="508">
        <f t="shared" si="19"/>
        <v>0</v>
      </c>
      <c r="L121" s="194">
        <f t="shared" si="12"/>
        <v>0</v>
      </c>
      <c r="M121" s="504">
        <v>197</v>
      </c>
      <c r="N121" s="721">
        <f t="shared" si="20"/>
        <v>0</v>
      </c>
      <c r="O121" s="57">
        <f t="shared" si="21"/>
        <v>0</v>
      </c>
      <c r="P121" s="57">
        <f t="shared" si="22"/>
        <v>0</v>
      </c>
      <c r="Q121" s="97"/>
      <c r="R121" s="97"/>
    </row>
    <row r="122" spans="2:18" ht="15.75" customHeight="1" x14ac:dyDescent="0.45">
      <c r="B122" s="396">
        <v>3005496122</v>
      </c>
      <c r="C122" s="466" t="s">
        <v>295</v>
      </c>
      <c r="D122" s="396"/>
      <c r="E122" s="408">
        <v>4</v>
      </c>
      <c r="F122" s="408">
        <v>30</v>
      </c>
      <c r="G122" s="397"/>
      <c r="H122" s="411">
        <f>(G76*(0.3*(350/1000)))</f>
        <v>0</v>
      </c>
      <c r="I122" s="507">
        <f>(30*BC!$B$47/F122)</f>
        <v>0</v>
      </c>
      <c r="J122" s="508">
        <f t="shared" si="18"/>
        <v>0</v>
      </c>
      <c r="K122" s="508">
        <f t="shared" si="19"/>
        <v>0</v>
      </c>
      <c r="L122" s="194">
        <f t="shared" si="12"/>
        <v>0</v>
      </c>
      <c r="M122" s="504">
        <v>211</v>
      </c>
      <c r="N122" s="721">
        <f t="shared" si="20"/>
        <v>0</v>
      </c>
      <c r="O122" s="57">
        <f t="shared" si="21"/>
        <v>0</v>
      </c>
      <c r="P122" s="57">
        <f t="shared" si="22"/>
        <v>0</v>
      </c>
      <c r="Q122" s="97"/>
      <c r="R122" s="97"/>
    </row>
    <row r="123" spans="2:18" ht="15.75" customHeight="1" x14ac:dyDescent="0.45">
      <c r="B123" s="396">
        <v>3375790190</v>
      </c>
      <c r="C123" s="467" t="s">
        <v>272</v>
      </c>
      <c r="D123" s="396"/>
      <c r="E123" s="408">
        <v>6</v>
      </c>
      <c r="F123" s="408">
        <v>280</v>
      </c>
      <c r="G123" s="397"/>
      <c r="H123" s="411">
        <f>(A32*(0.014*(500/2000)))</f>
        <v>0</v>
      </c>
      <c r="I123" s="507">
        <f>(30*BC!$B$47/F123)</f>
        <v>0</v>
      </c>
      <c r="J123" s="508">
        <f t="shared" si="18"/>
        <v>0</v>
      </c>
      <c r="K123" s="508">
        <f t="shared" si="19"/>
        <v>0</v>
      </c>
      <c r="L123" s="194">
        <f t="shared" si="12"/>
        <v>0</v>
      </c>
      <c r="M123" s="504">
        <v>969</v>
      </c>
      <c r="N123" s="721">
        <f t="shared" si="20"/>
        <v>0</v>
      </c>
      <c r="O123" s="57">
        <f t="shared" si="21"/>
        <v>0</v>
      </c>
      <c r="P123" s="57">
        <f t="shared" si="22"/>
        <v>0</v>
      </c>
      <c r="Q123" s="97"/>
      <c r="R123" s="97"/>
    </row>
    <row r="124" spans="2:18" ht="15.75" customHeight="1" x14ac:dyDescent="0.45">
      <c r="B124" s="396">
        <v>4521536190</v>
      </c>
      <c r="C124" s="467" t="s">
        <v>296</v>
      </c>
      <c r="D124" s="396"/>
      <c r="E124" s="408">
        <v>6</v>
      </c>
      <c r="F124" s="408">
        <v>336</v>
      </c>
      <c r="G124" s="397"/>
      <c r="H124" s="411">
        <f>(A32*(0.025*(500/2000)))</f>
        <v>0</v>
      </c>
      <c r="I124" s="507">
        <f>(30*BC!$B$47/F124)</f>
        <v>0</v>
      </c>
      <c r="J124" s="508">
        <f t="shared" si="18"/>
        <v>0</v>
      </c>
      <c r="K124" s="508">
        <f t="shared" si="19"/>
        <v>0</v>
      </c>
      <c r="L124" s="194">
        <f t="shared" si="12"/>
        <v>0</v>
      </c>
      <c r="M124" s="504">
        <v>303</v>
      </c>
      <c r="N124" s="721">
        <f t="shared" si="20"/>
        <v>0</v>
      </c>
      <c r="O124" s="57">
        <f t="shared" si="21"/>
        <v>0</v>
      </c>
      <c r="P124" s="57">
        <f t="shared" si="22"/>
        <v>0</v>
      </c>
      <c r="Q124" s="97"/>
      <c r="R124" s="97"/>
    </row>
    <row r="125" spans="2:18" ht="15.75" customHeight="1" x14ac:dyDescent="0.45">
      <c r="B125" s="923" t="s">
        <v>8</v>
      </c>
      <c r="C125" s="924"/>
      <c r="D125" s="925"/>
      <c r="E125" s="480" t="s">
        <v>183</v>
      </c>
      <c r="F125" s="480" t="s">
        <v>649</v>
      </c>
      <c r="G125" s="481"/>
      <c r="H125" s="482" t="s">
        <v>53</v>
      </c>
      <c r="I125" s="512" t="s">
        <v>52</v>
      </c>
      <c r="J125" s="512" t="s">
        <v>51</v>
      </c>
      <c r="K125" s="512"/>
      <c r="L125" s="482" t="s">
        <v>50</v>
      </c>
      <c r="M125" s="482" t="s">
        <v>1169</v>
      </c>
      <c r="N125" s="482" t="s">
        <v>48</v>
      </c>
      <c r="O125" s="483" t="s">
        <v>318</v>
      </c>
      <c r="P125" s="483" t="s">
        <v>319</v>
      </c>
      <c r="Q125" s="97"/>
      <c r="R125" s="97"/>
    </row>
    <row r="126" spans="2:18" ht="15.75" customHeight="1" x14ac:dyDescent="0.45">
      <c r="B126" s="396">
        <v>7700814001</v>
      </c>
      <c r="C126" s="396" t="s">
        <v>804</v>
      </c>
      <c r="D126" s="396" t="s">
        <v>845</v>
      </c>
      <c r="E126" s="408">
        <v>1</v>
      </c>
      <c r="F126" s="408">
        <v>60</v>
      </c>
      <c r="G126" s="397"/>
      <c r="H126" s="411">
        <f>(G82/(0.19*30)/6300)</f>
        <v>0</v>
      </c>
      <c r="I126" s="507">
        <f>(30*BC!$B$47/F126)</f>
        <v>0</v>
      </c>
      <c r="J126" s="508">
        <f t="shared" ref="J126" si="23">IF(I126&gt;H126,I126,H126)</f>
        <v>0</v>
      </c>
      <c r="K126" s="508">
        <f>IF(F6=0,0,J126)</f>
        <v>0</v>
      </c>
      <c r="L126" s="194">
        <f t="shared" si="12"/>
        <v>0</v>
      </c>
      <c r="M126" s="504">
        <v>1775</v>
      </c>
      <c r="N126" s="721">
        <f>((M126/E126)*L126)</f>
        <v>0</v>
      </c>
      <c r="O126" s="57">
        <f>L126/E126</f>
        <v>0</v>
      </c>
      <c r="P126" s="57">
        <f>ROUNDUP(O126,0)</f>
        <v>0</v>
      </c>
      <c r="Q126" s="97"/>
      <c r="R126" s="97"/>
    </row>
    <row r="127" spans="2:18" ht="15.75" customHeight="1" x14ac:dyDescent="0.45">
      <c r="B127" s="470">
        <v>9033408001</v>
      </c>
      <c r="C127" s="471" t="s">
        <v>816</v>
      </c>
      <c r="D127" s="396" t="s">
        <v>845</v>
      </c>
      <c r="E127" s="473">
        <v>1</v>
      </c>
      <c r="F127" s="473">
        <v>60</v>
      </c>
      <c r="G127" s="472"/>
      <c r="H127" s="474">
        <f>(G82/(0.19*30)/6300)</f>
        <v>0</v>
      </c>
      <c r="I127" s="507">
        <f>(30*BC!$B$47/F127)</f>
        <v>0</v>
      </c>
      <c r="J127" s="508">
        <f t="shared" ref="J127:J145" si="24">IF(I127&gt;H127,I127,H127)</f>
        <v>0</v>
      </c>
      <c r="K127" s="508">
        <f>IF(D6=0,0,J126)</f>
        <v>0</v>
      </c>
      <c r="L127" s="194">
        <f t="shared" si="12"/>
        <v>0</v>
      </c>
      <c r="M127" s="504">
        <v>1183</v>
      </c>
      <c r="N127" s="721">
        <f t="shared" si="20"/>
        <v>0</v>
      </c>
      <c r="O127" s="57">
        <f t="shared" ref="O127:O145" si="25">L127/E127</f>
        <v>0</v>
      </c>
      <c r="P127" s="57">
        <f t="shared" ref="P127:P145" si="26">ROUNDUP(O127,0)</f>
        <v>0</v>
      </c>
      <c r="Q127" s="24"/>
      <c r="R127" s="24"/>
    </row>
    <row r="128" spans="2:18" ht="15.75" customHeight="1" x14ac:dyDescent="0.45">
      <c r="B128" s="396">
        <v>8063354190</v>
      </c>
      <c r="C128" s="396" t="s">
        <v>852</v>
      </c>
      <c r="D128" s="396" t="s">
        <v>805</v>
      </c>
      <c r="E128" s="408">
        <v>1</v>
      </c>
      <c r="F128" s="408">
        <v>28</v>
      </c>
      <c r="G128" s="397"/>
      <c r="H128" s="411">
        <f>(G82/(0.6*100)/120)</f>
        <v>0</v>
      </c>
      <c r="I128" s="507">
        <f>(30*BC!$B$47/F128)</f>
        <v>0</v>
      </c>
      <c r="J128" s="508">
        <f t="shared" ref="J128" si="27">IF(I128&gt;H128,I128,H128)</f>
        <v>0</v>
      </c>
      <c r="K128" s="508">
        <f>IF(D6=0,0,J128)</f>
        <v>0</v>
      </c>
      <c r="L128" s="194">
        <f t="shared" si="12"/>
        <v>0</v>
      </c>
      <c r="M128" s="504">
        <v>38</v>
      </c>
      <c r="N128" s="721">
        <f t="shared" si="20"/>
        <v>0</v>
      </c>
      <c r="O128" s="57">
        <f t="shared" ref="O128" si="28">L128/E128</f>
        <v>0</v>
      </c>
      <c r="P128" s="57">
        <f t="shared" ref="P128" si="29">ROUNDUP(O128,0)</f>
        <v>0</v>
      </c>
      <c r="Q128" s="97"/>
      <c r="R128" s="97"/>
    </row>
    <row r="129" spans="2:18" ht="15.75" customHeight="1" x14ac:dyDescent="0.45">
      <c r="B129" s="396">
        <v>8063354190</v>
      </c>
      <c r="C129" s="396" t="s">
        <v>853</v>
      </c>
      <c r="D129" s="396" t="s">
        <v>805</v>
      </c>
      <c r="E129" s="408">
        <v>1</v>
      </c>
      <c r="F129" s="408">
        <v>28</v>
      </c>
      <c r="G129" s="397"/>
      <c r="H129" s="411">
        <f>(G82/(0.5*100)/120)</f>
        <v>0</v>
      </c>
      <c r="I129" s="507">
        <f>(30*BC!$B$47/F129)</f>
        <v>0</v>
      </c>
      <c r="J129" s="508">
        <f t="shared" si="24"/>
        <v>0</v>
      </c>
      <c r="K129" s="508">
        <f>IF(F6=0,0,J129)</f>
        <v>0</v>
      </c>
      <c r="L129" s="194">
        <f t="shared" ref="L129:L145" si="30">ROUNDUP(K129,0)</f>
        <v>0</v>
      </c>
      <c r="M129" s="504">
        <v>38</v>
      </c>
      <c r="N129" s="721">
        <f t="shared" si="20"/>
        <v>0</v>
      </c>
      <c r="O129" s="57">
        <f t="shared" si="25"/>
        <v>0</v>
      </c>
      <c r="P129" s="57">
        <f t="shared" si="26"/>
        <v>0</v>
      </c>
      <c r="Q129" s="97"/>
      <c r="R129" s="97"/>
    </row>
    <row r="130" spans="2:18" ht="15.75" customHeight="1" x14ac:dyDescent="0.45">
      <c r="B130" s="396">
        <v>8063451190</v>
      </c>
      <c r="C130" s="396" t="s">
        <v>859</v>
      </c>
      <c r="D130" s="396" t="s">
        <v>805</v>
      </c>
      <c r="E130" s="408">
        <v>1</v>
      </c>
      <c r="F130" s="408">
        <v>84</v>
      </c>
      <c r="G130" s="397"/>
      <c r="H130" s="411">
        <f>(G82/(0.0007*800)/12000)</f>
        <v>0</v>
      </c>
      <c r="I130" s="507">
        <f>(30*BC!$B$47/F130)</f>
        <v>0</v>
      </c>
      <c r="J130" s="508">
        <f t="shared" ref="J130" si="31">IF(I130&gt;H130,I130,H130)</f>
        <v>0</v>
      </c>
      <c r="K130" s="508">
        <f>IF(D6=0,0,J130)</f>
        <v>0</v>
      </c>
      <c r="L130" s="194">
        <f t="shared" ref="L130" si="32">ROUNDUP(K130,0)</f>
        <v>0</v>
      </c>
      <c r="M130" s="504">
        <v>38</v>
      </c>
      <c r="N130" s="721">
        <f t="shared" si="20"/>
        <v>0</v>
      </c>
      <c r="O130" s="57">
        <f t="shared" ref="O130" si="33">L130/E130</f>
        <v>0</v>
      </c>
      <c r="P130" s="57">
        <f t="shared" ref="P130" si="34">ROUNDUP(O130,0)</f>
        <v>0</v>
      </c>
      <c r="Q130" s="97"/>
      <c r="R130" s="97"/>
    </row>
    <row r="131" spans="2:18" ht="15.75" customHeight="1" x14ac:dyDescent="0.45">
      <c r="B131" s="396">
        <v>8063451190</v>
      </c>
      <c r="C131" s="396" t="s">
        <v>854</v>
      </c>
      <c r="D131" s="396" t="s">
        <v>805</v>
      </c>
      <c r="E131" s="408">
        <v>1</v>
      </c>
      <c r="F131" s="408">
        <v>84</v>
      </c>
      <c r="G131" s="397"/>
      <c r="H131" s="411">
        <f>(G82/(0.0007*800)/12000)</f>
        <v>0</v>
      </c>
      <c r="I131" s="507">
        <f>(30*BC!$B$47/F131)</f>
        <v>0</v>
      </c>
      <c r="J131" s="508">
        <f t="shared" si="24"/>
        <v>0</v>
      </c>
      <c r="K131" s="508">
        <f>IF(F6=0,0,J131)</f>
        <v>0</v>
      </c>
      <c r="L131" s="194">
        <f t="shared" si="30"/>
        <v>0</v>
      </c>
      <c r="M131" s="504">
        <v>38</v>
      </c>
      <c r="N131" s="721">
        <f t="shared" si="20"/>
        <v>0</v>
      </c>
      <c r="O131" s="57">
        <f t="shared" si="25"/>
        <v>0</v>
      </c>
      <c r="P131" s="57">
        <f t="shared" si="26"/>
        <v>0</v>
      </c>
      <c r="Q131" s="97"/>
      <c r="R131" s="97"/>
    </row>
    <row r="132" spans="2:18" ht="15.75" customHeight="1" x14ac:dyDescent="0.45">
      <c r="B132" s="396">
        <v>8063494190</v>
      </c>
      <c r="C132" s="396" t="s">
        <v>806</v>
      </c>
      <c r="D132" s="396" t="s">
        <v>805</v>
      </c>
      <c r="E132" s="413">
        <v>1</v>
      </c>
      <c r="F132" s="413">
        <v>182</v>
      </c>
      <c r="G132" s="397"/>
      <c r="H132" s="411">
        <f>(G82/(0.02*200)/12000)</f>
        <v>0</v>
      </c>
      <c r="I132" s="507">
        <f>(30*BC!$B$47/F132)</f>
        <v>0</v>
      </c>
      <c r="J132" s="508">
        <f t="shared" ref="J132" si="35">IF(I132&gt;H132,I132,H132)</f>
        <v>0</v>
      </c>
      <c r="K132" s="508">
        <f t="shared" ref="K132" si="36">IF(H132=0,0,J132)</f>
        <v>0</v>
      </c>
      <c r="L132" s="194">
        <f t="shared" ref="L132" si="37">ROUNDUP(K132,0)</f>
        <v>0</v>
      </c>
      <c r="M132" s="504">
        <v>38</v>
      </c>
      <c r="N132" s="721">
        <f t="shared" si="20"/>
        <v>0</v>
      </c>
      <c r="O132" s="57">
        <f t="shared" ref="O132" si="38">L132/E132</f>
        <v>0</v>
      </c>
      <c r="P132" s="57">
        <f t="shared" ref="P132" si="39">ROUNDUP(O132,0)</f>
        <v>0</v>
      </c>
      <c r="Q132" s="97"/>
      <c r="R132" s="97"/>
    </row>
    <row r="133" spans="2:18" ht="15.75" customHeight="1" x14ac:dyDescent="0.45">
      <c r="B133" s="396">
        <v>8063478190</v>
      </c>
      <c r="C133" s="396" t="s">
        <v>807</v>
      </c>
      <c r="D133" s="396" t="s">
        <v>805</v>
      </c>
      <c r="E133" s="408">
        <v>1</v>
      </c>
      <c r="F133" s="408">
        <v>84</v>
      </c>
      <c r="G133" s="397"/>
      <c r="H133" s="411">
        <f>(G82/(0.015*300)/12000)</f>
        <v>0</v>
      </c>
      <c r="I133" s="507">
        <f>(30*BC!$B$47/F133)</f>
        <v>0</v>
      </c>
      <c r="J133" s="508">
        <f t="shared" ref="J133" si="40">IF(I133&gt;H133,I133,H133)</f>
        <v>0</v>
      </c>
      <c r="K133" s="508">
        <f t="shared" ref="K133" si="41">IF(H133=0,0,J133)</f>
        <v>0</v>
      </c>
      <c r="L133" s="194">
        <f t="shared" ref="L133" si="42">ROUNDUP(K133,0)</f>
        <v>0</v>
      </c>
      <c r="M133" s="504">
        <v>6</v>
      </c>
      <c r="N133" s="721">
        <f t="shared" si="20"/>
        <v>0</v>
      </c>
      <c r="O133" s="57">
        <f t="shared" ref="O133" si="43">L133/E133</f>
        <v>0</v>
      </c>
      <c r="P133" s="57">
        <f t="shared" ref="P133" si="44">ROUNDUP(O133,0)</f>
        <v>0</v>
      </c>
      <c r="Q133" s="97"/>
      <c r="R133" s="97"/>
    </row>
    <row r="134" spans="2:18" ht="15.75" customHeight="1" x14ac:dyDescent="0.45">
      <c r="B134" s="396">
        <v>8302723190</v>
      </c>
      <c r="C134" s="396" t="s">
        <v>855</v>
      </c>
      <c r="D134" s="396" t="s">
        <v>808</v>
      </c>
      <c r="E134" s="408">
        <v>2</v>
      </c>
      <c r="F134" s="408">
        <v>84</v>
      </c>
      <c r="G134" s="397"/>
      <c r="H134" s="411">
        <f>(G82/(0.003*800)/12000)</f>
        <v>0</v>
      </c>
      <c r="I134" s="507">
        <f>(30*BC!$B$47/F134)</f>
        <v>0</v>
      </c>
      <c r="J134" s="508">
        <f t="shared" ref="J134" si="45">IF(I134&gt;H134,I134,H134)</f>
        <v>0</v>
      </c>
      <c r="K134" s="508">
        <f>IF(D6=0,0,J134)</f>
        <v>0</v>
      </c>
      <c r="L134" s="194">
        <f t="shared" ref="L134" si="46">ROUNDUP(K134,0)</f>
        <v>0</v>
      </c>
      <c r="M134" s="504">
        <v>38</v>
      </c>
      <c r="N134" s="721">
        <f t="shared" si="20"/>
        <v>0</v>
      </c>
      <c r="O134" s="57">
        <f t="shared" ref="O134" si="47">L134/E134</f>
        <v>0</v>
      </c>
      <c r="P134" s="57">
        <f t="shared" ref="P134" si="48">ROUNDUP(O134,0)</f>
        <v>0</v>
      </c>
      <c r="Q134" s="97"/>
      <c r="R134" s="97"/>
    </row>
    <row r="135" spans="2:18" ht="15.75" customHeight="1" x14ac:dyDescent="0.45">
      <c r="B135" s="396">
        <v>8302723190</v>
      </c>
      <c r="C135" s="396" t="s">
        <v>856</v>
      </c>
      <c r="D135" s="396" t="s">
        <v>808</v>
      </c>
      <c r="E135" s="408">
        <v>2</v>
      </c>
      <c r="F135" s="408">
        <v>84</v>
      </c>
      <c r="G135" s="397"/>
      <c r="H135" s="411">
        <f>(G82/(0.003*800)/12000)</f>
        <v>0</v>
      </c>
      <c r="I135" s="507">
        <f>(30*BC!$B$47/F135)</f>
        <v>0</v>
      </c>
      <c r="J135" s="508">
        <f t="shared" si="24"/>
        <v>0</v>
      </c>
      <c r="K135" s="508">
        <f>IF(F6=0,0,J135)</f>
        <v>0</v>
      </c>
      <c r="L135" s="194">
        <f t="shared" si="30"/>
        <v>0</v>
      </c>
      <c r="M135" s="504">
        <v>38</v>
      </c>
      <c r="N135" s="721">
        <f t="shared" si="20"/>
        <v>0</v>
      </c>
      <c r="O135" s="57">
        <f t="shared" si="25"/>
        <v>0</v>
      </c>
      <c r="P135" s="57">
        <f t="shared" si="26"/>
        <v>0</v>
      </c>
      <c r="Q135" s="97"/>
      <c r="R135" s="97"/>
    </row>
    <row r="136" spans="2:18" ht="15.75" customHeight="1" x14ac:dyDescent="0.45">
      <c r="B136" s="396">
        <v>8463093190</v>
      </c>
      <c r="C136" s="456" t="s">
        <v>809</v>
      </c>
      <c r="D136" s="396" t="s">
        <v>805</v>
      </c>
      <c r="E136" s="408">
        <v>1</v>
      </c>
      <c r="F136" s="408">
        <v>7</v>
      </c>
      <c r="G136" s="397"/>
      <c r="H136" s="411">
        <f>(A38/(0.26*10)/120)</f>
        <v>0</v>
      </c>
      <c r="I136" s="507">
        <f>(30*BC!$B$47/F136)</f>
        <v>0</v>
      </c>
      <c r="J136" s="508">
        <f t="shared" ref="J136" si="49">IF(I136&gt;H136,I136,H136)</f>
        <v>0</v>
      </c>
      <c r="K136" s="508">
        <f t="shared" ref="K136" si="50">IF(H136=0,0,J136)</f>
        <v>0</v>
      </c>
      <c r="L136" s="194">
        <f t="shared" ref="L136" si="51">ROUNDUP(K136,0)</f>
        <v>0</v>
      </c>
      <c r="M136" s="504">
        <v>38</v>
      </c>
      <c r="N136" s="721">
        <f t="shared" si="20"/>
        <v>0</v>
      </c>
      <c r="O136" s="57">
        <f t="shared" ref="O136" si="52">L136/E136</f>
        <v>0</v>
      </c>
      <c r="P136" s="57">
        <f t="shared" ref="P136" si="53">ROUNDUP(O136,0)</f>
        <v>0</v>
      </c>
      <c r="Q136" s="97"/>
      <c r="R136" s="97"/>
    </row>
    <row r="137" spans="2:18" ht="15.75" customHeight="1" x14ac:dyDescent="0.45">
      <c r="B137" s="396">
        <v>8302545190</v>
      </c>
      <c r="C137" s="396" t="s">
        <v>857</v>
      </c>
      <c r="D137" s="396" t="s">
        <v>808</v>
      </c>
      <c r="E137" s="408">
        <v>2</v>
      </c>
      <c r="F137" s="408">
        <v>70</v>
      </c>
      <c r="G137" s="397"/>
      <c r="H137" s="411">
        <f>(G82/(0.0003*900)/12000)</f>
        <v>0</v>
      </c>
      <c r="I137" s="507">
        <f>(30*BC!$B$47/F137)</f>
        <v>0</v>
      </c>
      <c r="J137" s="508">
        <f t="shared" ref="J137" si="54">IF(I137&gt;H137,I137,H137)</f>
        <v>0</v>
      </c>
      <c r="K137" s="508">
        <f>IF(D6=0,0,J137)</f>
        <v>0</v>
      </c>
      <c r="L137" s="194">
        <f t="shared" ref="L137" si="55">ROUNDUP(K137,0)</f>
        <v>0</v>
      </c>
      <c r="M137" s="504">
        <v>38</v>
      </c>
      <c r="N137" s="721">
        <f t="shared" si="20"/>
        <v>0</v>
      </c>
      <c r="O137" s="57">
        <f t="shared" ref="O137" si="56">L137/E137</f>
        <v>0</v>
      </c>
      <c r="P137" s="57">
        <f t="shared" ref="P137" si="57">ROUNDUP(O137,0)</f>
        <v>0</v>
      </c>
      <c r="Q137" s="97"/>
      <c r="R137" s="97"/>
    </row>
    <row r="138" spans="2:18" ht="15.75" customHeight="1" x14ac:dyDescent="0.45">
      <c r="B138" s="396">
        <v>8302545190</v>
      </c>
      <c r="C138" s="396" t="s">
        <v>858</v>
      </c>
      <c r="D138" s="396" t="s">
        <v>808</v>
      </c>
      <c r="E138" s="408">
        <v>2</v>
      </c>
      <c r="F138" s="408">
        <v>70</v>
      </c>
      <c r="G138" s="397"/>
      <c r="H138" s="411">
        <f>(G82/(0.00016*900)/12000)</f>
        <v>0</v>
      </c>
      <c r="I138" s="507">
        <f>(30*BC!$B$47/F138)</f>
        <v>0</v>
      </c>
      <c r="J138" s="508">
        <f t="shared" si="24"/>
        <v>0</v>
      </c>
      <c r="K138" s="508">
        <f>IF(F6=0,0,J138)</f>
        <v>0</v>
      </c>
      <c r="L138" s="194">
        <f t="shared" si="30"/>
        <v>0</v>
      </c>
      <c r="M138" s="504">
        <v>38</v>
      </c>
      <c r="N138" s="721">
        <f t="shared" si="20"/>
        <v>0</v>
      </c>
      <c r="O138" s="57">
        <f t="shared" si="25"/>
        <v>0</v>
      </c>
      <c r="P138" s="57">
        <f t="shared" si="26"/>
        <v>0</v>
      </c>
      <c r="Q138" s="97"/>
      <c r="R138" s="97"/>
    </row>
    <row r="139" spans="2:18" ht="15.75" customHeight="1" x14ac:dyDescent="0.45">
      <c r="B139" s="396">
        <v>4444191001</v>
      </c>
      <c r="C139" s="396" t="s">
        <v>630</v>
      </c>
      <c r="D139" s="395" t="s">
        <v>846</v>
      </c>
      <c r="E139" s="408">
        <v>1</v>
      </c>
      <c r="F139" s="408">
        <v>365</v>
      </c>
      <c r="G139" s="397"/>
      <c r="H139" s="411">
        <f>((G82-(G82*0.95))/F139)</f>
        <v>0</v>
      </c>
      <c r="I139" s="507">
        <f>(30*BC!$B$47/F139)</f>
        <v>0</v>
      </c>
      <c r="J139" s="508">
        <f t="shared" si="24"/>
        <v>0</v>
      </c>
      <c r="K139" s="508">
        <f t="shared" ref="K139:K145" si="58">IF(H139=0,0,J139)</f>
        <v>0</v>
      </c>
      <c r="L139" s="194">
        <f t="shared" si="30"/>
        <v>0</v>
      </c>
      <c r="M139" s="504">
        <v>9</v>
      </c>
      <c r="N139" s="721">
        <f t="shared" si="20"/>
        <v>0</v>
      </c>
      <c r="O139" s="57">
        <f t="shared" si="25"/>
        <v>0</v>
      </c>
      <c r="P139" s="57">
        <f t="shared" si="26"/>
        <v>0</v>
      </c>
      <c r="Q139" s="97"/>
      <c r="R139" s="97"/>
    </row>
    <row r="140" spans="2:18" ht="15.75" customHeight="1" x14ac:dyDescent="0.45">
      <c r="B140" s="396">
        <v>8463107190</v>
      </c>
      <c r="C140" s="456" t="s">
        <v>810</v>
      </c>
      <c r="D140" s="396" t="s">
        <v>805</v>
      </c>
      <c r="E140" s="408">
        <v>1</v>
      </c>
      <c r="F140" s="408">
        <v>28</v>
      </c>
      <c r="G140" s="397"/>
      <c r="H140" s="411">
        <f>(A38/(0.006*500)/100)</f>
        <v>0</v>
      </c>
      <c r="I140" s="507">
        <f>(30*BC!$B$47/F140)</f>
        <v>0</v>
      </c>
      <c r="J140" s="508">
        <f t="shared" si="24"/>
        <v>0</v>
      </c>
      <c r="K140" s="508">
        <f t="shared" si="58"/>
        <v>0</v>
      </c>
      <c r="L140" s="194">
        <f t="shared" si="30"/>
        <v>0</v>
      </c>
      <c r="M140" s="504">
        <v>16</v>
      </c>
      <c r="N140" s="721">
        <f t="shared" si="20"/>
        <v>0</v>
      </c>
      <c r="O140" s="57">
        <f t="shared" si="25"/>
        <v>0</v>
      </c>
      <c r="P140" s="57">
        <f t="shared" si="26"/>
        <v>0</v>
      </c>
      <c r="Q140" s="97"/>
      <c r="R140" s="97"/>
    </row>
    <row r="141" spans="2:18" ht="15.75" customHeight="1" x14ac:dyDescent="0.45">
      <c r="B141" s="396">
        <v>8059322190</v>
      </c>
      <c r="C141" s="396" t="s">
        <v>811</v>
      </c>
      <c r="D141" s="396" t="s">
        <v>812</v>
      </c>
      <c r="E141" s="408">
        <v>1</v>
      </c>
      <c r="F141" s="408">
        <v>182</v>
      </c>
      <c r="G141" s="397"/>
      <c r="H141" s="411">
        <f>(G82/(0.4*30)/6300)</f>
        <v>0</v>
      </c>
      <c r="I141" s="507">
        <f>(30*BC!$B$47/F141)</f>
        <v>0</v>
      </c>
      <c r="J141" s="508">
        <f t="shared" si="24"/>
        <v>0</v>
      </c>
      <c r="K141" s="508">
        <f t="shared" si="58"/>
        <v>0</v>
      </c>
      <c r="L141" s="194">
        <f t="shared" si="30"/>
        <v>0</v>
      </c>
      <c r="M141" s="504">
        <v>32</v>
      </c>
      <c r="N141" s="721">
        <f t="shared" si="20"/>
        <v>0</v>
      </c>
      <c r="O141" s="57">
        <f t="shared" si="25"/>
        <v>0</v>
      </c>
      <c r="P141" s="57">
        <f t="shared" si="26"/>
        <v>0</v>
      </c>
      <c r="Q141" s="97"/>
      <c r="R141" s="97"/>
    </row>
    <row r="142" spans="2:18" ht="15.75" customHeight="1" x14ac:dyDescent="0.45">
      <c r="B142" s="396">
        <v>5870020001</v>
      </c>
      <c r="C142" s="396" t="s">
        <v>813</v>
      </c>
      <c r="D142" s="395" t="s">
        <v>847</v>
      </c>
      <c r="E142" s="408">
        <v>1</v>
      </c>
      <c r="F142" s="408">
        <v>2500</v>
      </c>
      <c r="G142" s="397"/>
      <c r="H142" s="411">
        <f>(G82/2000)/1.2</f>
        <v>0</v>
      </c>
      <c r="I142" s="507">
        <f>(30*BC!$B$47/F142)</f>
        <v>0</v>
      </c>
      <c r="J142" s="508">
        <f t="shared" si="24"/>
        <v>0</v>
      </c>
      <c r="K142" s="508">
        <f t="shared" si="58"/>
        <v>0</v>
      </c>
      <c r="L142" s="194">
        <f t="shared" si="30"/>
        <v>0</v>
      </c>
      <c r="M142" s="504">
        <v>11</v>
      </c>
      <c r="N142" s="721">
        <f t="shared" si="20"/>
        <v>0</v>
      </c>
      <c r="O142" s="57">
        <f t="shared" si="25"/>
        <v>0</v>
      </c>
      <c r="P142" s="57">
        <f t="shared" si="26"/>
        <v>0</v>
      </c>
      <c r="Q142" s="97"/>
      <c r="R142" s="97"/>
    </row>
    <row r="143" spans="2:18" ht="15.75" customHeight="1" x14ac:dyDescent="0.45">
      <c r="B143" s="396">
        <v>4419987001</v>
      </c>
      <c r="C143" s="396" t="s">
        <v>814</v>
      </c>
      <c r="D143" s="395" t="s">
        <v>848</v>
      </c>
      <c r="E143" s="408">
        <v>1</v>
      </c>
      <c r="F143" s="408">
        <v>500</v>
      </c>
      <c r="G143" s="397"/>
      <c r="H143" s="411">
        <f>(G82/(0.2*30)/6300)</f>
        <v>0</v>
      </c>
      <c r="I143" s="507">
        <f>(30*BC!$B$47/F143)</f>
        <v>0</v>
      </c>
      <c r="J143" s="508">
        <f t="shared" si="24"/>
        <v>0</v>
      </c>
      <c r="K143" s="508">
        <f t="shared" si="58"/>
        <v>0</v>
      </c>
      <c r="L143" s="194">
        <f t="shared" si="30"/>
        <v>0</v>
      </c>
      <c r="M143" s="504">
        <v>7</v>
      </c>
      <c r="N143" s="721">
        <f t="shared" si="20"/>
        <v>0</v>
      </c>
      <c r="O143" s="57">
        <f t="shared" si="25"/>
        <v>0</v>
      </c>
      <c r="P143" s="57">
        <f t="shared" si="26"/>
        <v>0</v>
      </c>
      <c r="Q143" s="97"/>
      <c r="R143" s="97"/>
    </row>
    <row r="144" spans="2:18" ht="15.75" customHeight="1" x14ac:dyDescent="0.45">
      <c r="B144" s="408">
        <v>4740955001</v>
      </c>
      <c r="C144" s="396" t="s">
        <v>815</v>
      </c>
      <c r="D144" s="395"/>
      <c r="E144" s="408">
        <v>1</v>
      </c>
      <c r="F144" s="408">
        <v>365</v>
      </c>
      <c r="G144" s="395"/>
      <c r="H144" s="411">
        <f>(G82/(1.4*30)/6300)</f>
        <v>0</v>
      </c>
      <c r="I144" s="507">
        <f>(30*BC!$B$47/F144)</f>
        <v>0</v>
      </c>
      <c r="J144" s="508">
        <f t="shared" si="24"/>
        <v>0</v>
      </c>
      <c r="K144" s="508">
        <f t="shared" si="58"/>
        <v>0</v>
      </c>
      <c r="L144" s="194">
        <f t="shared" si="30"/>
        <v>0</v>
      </c>
      <c r="M144" s="504">
        <v>452</v>
      </c>
      <c r="N144" s="721">
        <f t="shared" si="20"/>
        <v>0</v>
      </c>
      <c r="O144" s="57">
        <f t="shared" si="25"/>
        <v>0</v>
      </c>
      <c r="P144" s="57">
        <f t="shared" si="26"/>
        <v>0</v>
      </c>
      <c r="Q144" s="97"/>
      <c r="R144" s="97"/>
    </row>
    <row r="145" spans="2:29" ht="15.75" customHeight="1" x14ac:dyDescent="0.45">
      <c r="B145" s="408">
        <v>4813707001</v>
      </c>
      <c r="C145" s="396" t="s">
        <v>306</v>
      </c>
      <c r="D145" s="414"/>
      <c r="E145" s="415">
        <v>1</v>
      </c>
      <c r="F145" s="415">
        <v>365</v>
      </c>
      <c r="G145" s="414"/>
      <c r="H145" s="411">
        <f>(G82/(0.08*30)/6300)</f>
        <v>0</v>
      </c>
      <c r="I145" s="507">
        <f>(30*BC!$B$47/F145)</f>
        <v>0</v>
      </c>
      <c r="J145" s="508">
        <f t="shared" si="24"/>
        <v>0</v>
      </c>
      <c r="K145" s="508">
        <f t="shared" si="58"/>
        <v>0</v>
      </c>
      <c r="L145" s="510">
        <f t="shared" si="30"/>
        <v>0</v>
      </c>
      <c r="M145" s="504">
        <v>402</v>
      </c>
      <c r="N145" s="721">
        <f t="shared" si="20"/>
        <v>0</v>
      </c>
      <c r="O145" s="57">
        <f t="shared" si="25"/>
        <v>0</v>
      </c>
      <c r="P145" s="57">
        <f t="shared" si="26"/>
        <v>0</v>
      </c>
      <c r="Q145" s="97"/>
      <c r="R145" s="97"/>
    </row>
    <row r="146" spans="2:29" ht="21.75" x14ac:dyDescent="0.45">
      <c r="B146" s="539">
        <v>4516303001</v>
      </c>
      <c r="C146" s="542" t="s">
        <v>1162</v>
      </c>
      <c r="D146" s="414"/>
      <c r="E146" s="899">
        <v>1</v>
      </c>
      <c r="F146" s="899">
        <v>365</v>
      </c>
      <c r="G146" s="898"/>
      <c r="H146" s="57">
        <v>1</v>
      </c>
      <c r="I146" s="60">
        <f>30*BC!$B$47/F146</f>
        <v>0</v>
      </c>
      <c r="J146" s="57">
        <f t="shared" ref="J146:J151" si="59">IF(H146&gt;I146,H146,I146)</f>
        <v>1</v>
      </c>
      <c r="K146" s="60">
        <f t="shared" ref="K146:K151" si="60">ROUNDUP(J146,0)</f>
        <v>1</v>
      </c>
      <c r="L146" s="57">
        <f t="shared" ref="L146:L151" si="61">IF(F92&gt;0,K146,0)</f>
        <v>1</v>
      </c>
      <c r="M146" s="504">
        <v>859</v>
      </c>
      <c r="N146" s="721">
        <f t="shared" si="20"/>
        <v>859</v>
      </c>
      <c r="O146" s="57">
        <f t="shared" ref="O146:O151" si="62">L146/E146</f>
        <v>1</v>
      </c>
      <c r="P146" s="57">
        <f t="shared" ref="P146:P151" si="63">ROUNDUP(O146,0)</f>
        <v>1</v>
      </c>
      <c r="R146" s="97"/>
      <c r="S146" s="97"/>
      <c r="T146" s="97"/>
      <c r="U146" s="97"/>
      <c r="V146" s="97"/>
      <c r="W146" s="97"/>
      <c r="X146" s="97"/>
      <c r="Y146" s="97"/>
      <c r="Z146" s="97"/>
    </row>
    <row r="147" spans="2:29" x14ac:dyDescent="0.45">
      <c r="B147" s="539" t="s">
        <v>1163</v>
      </c>
      <c r="C147" s="542" t="s">
        <v>1164</v>
      </c>
      <c r="D147" s="414"/>
      <c r="E147" s="899">
        <v>1</v>
      </c>
      <c r="F147" s="899">
        <v>365</v>
      </c>
      <c r="G147" s="898"/>
      <c r="H147" s="57">
        <v>1</v>
      </c>
      <c r="I147" s="60">
        <f>30*BC!$B$47/F147</f>
        <v>0</v>
      </c>
      <c r="J147" s="57">
        <f t="shared" si="59"/>
        <v>1</v>
      </c>
      <c r="K147" s="60">
        <f t="shared" si="60"/>
        <v>1</v>
      </c>
      <c r="L147" s="57">
        <f t="shared" si="61"/>
        <v>1</v>
      </c>
      <c r="M147" s="504">
        <v>50</v>
      </c>
      <c r="N147" s="721">
        <f t="shared" si="20"/>
        <v>50</v>
      </c>
      <c r="O147" s="57">
        <f t="shared" si="62"/>
        <v>1</v>
      </c>
      <c r="P147" s="57">
        <f t="shared" si="63"/>
        <v>1</v>
      </c>
      <c r="R147" s="97"/>
      <c r="S147" s="97"/>
      <c r="T147" s="97"/>
      <c r="U147" s="97"/>
      <c r="V147" s="97"/>
      <c r="W147" s="97"/>
      <c r="X147" s="97"/>
      <c r="Y147" s="97"/>
      <c r="Z147" s="97"/>
    </row>
    <row r="148" spans="2:29" ht="21.75" x14ac:dyDescent="0.45">
      <c r="B148" s="539">
        <v>4516265001</v>
      </c>
      <c r="C148" s="542" t="s">
        <v>304</v>
      </c>
      <c r="D148" s="414"/>
      <c r="E148" s="899">
        <v>1</v>
      </c>
      <c r="F148" s="899">
        <v>365</v>
      </c>
      <c r="G148" s="898"/>
      <c r="H148" s="57">
        <v>1</v>
      </c>
      <c r="I148" s="60">
        <f>30*BC!$B$47/F148</f>
        <v>0</v>
      </c>
      <c r="J148" s="57">
        <f t="shared" si="59"/>
        <v>1</v>
      </c>
      <c r="K148" s="60">
        <f t="shared" si="60"/>
        <v>1</v>
      </c>
      <c r="L148" s="57">
        <f t="shared" si="61"/>
        <v>1</v>
      </c>
      <c r="M148" s="504">
        <v>61</v>
      </c>
      <c r="N148" s="721">
        <f t="shared" si="20"/>
        <v>61</v>
      </c>
      <c r="O148" s="57">
        <f t="shared" si="62"/>
        <v>1</v>
      </c>
      <c r="P148" s="57">
        <f t="shared" si="63"/>
        <v>1</v>
      </c>
      <c r="R148" s="97"/>
      <c r="S148" s="97"/>
      <c r="T148" s="97"/>
      <c r="U148" s="97"/>
      <c r="V148" s="97"/>
      <c r="W148" s="97"/>
      <c r="X148" s="97"/>
      <c r="Y148" s="97"/>
      <c r="Z148" s="97"/>
    </row>
    <row r="149" spans="2:29" ht="21.75" x14ac:dyDescent="0.45">
      <c r="B149" s="539">
        <v>4516273001</v>
      </c>
      <c r="C149" s="542" t="s">
        <v>303</v>
      </c>
      <c r="D149" s="414"/>
      <c r="E149" s="899">
        <v>1</v>
      </c>
      <c r="F149" s="899">
        <v>365</v>
      </c>
      <c r="G149" s="898"/>
      <c r="H149" s="57">
        <v>1</v>
      </c>
      <c r="I149" s="60">
        <f>30*BC!$B$47/F149</f>
        <v>0</v>
      </c>
      <c r="J149" s="57">
        <f t="shared" si="59"/>
        <v>1</v>
      </c>
      <c r="K149" s="60">
        <f t="shared" si="60"/>
        <v>1</v>
      </c>
      <c r="L149" s="57">
        <f t="shared" si="61"/>
        <v>1</v>
      </c>
      <c r="M149" s="504">
        <v>26</v>
      </c>
      <c r="N149" s="721">
        <f t="shared" ref="N149:N151" si="64">((M149/E149)*L149)</f>
        <v>26</v>
      </c>
      <c r="O149" s="57">
        <f t="shared" si="62"/>
        <v>1</v>
      </c>
      <c r="P149" s="57">
        <f t="shared" si="63"/>
        <v>1</v>
      </c>
      <c r="R149" s="97"/>
      <c r="S149" s="97"/>
      <c r="T149" s="97"/>
      <c r="U149" s="97"/>
      <c r="V149" s="97"/>
      <c r="W149" s="97"/>
      <c r="X149" s="97"/>
      <c r="Y149" s="97"/>
      <c r="Z149" s="97"/>
    </row>
    <row r="150" spans="2:29" ht="21.75" x14ac:dyDescent="0.45">
      <c r="B150" s="539">
        <v>4554124001</v>
      </c>
      <c r="C150" s="542" t="s">
        <v>302</v>
      </c>
      <c r="D150" s="414"/>
      <c r="E150" s="899">
        <v>1</v>
      </c>
      <c r="F150" s="899">
        <v>365</v>
      </c>
      <c r="G150" s="898"/>
      <c r="H150" s="57">
        <v>1</v>
      </c>
      <c r="I150" s="60">
        <f>30*BC!$B$47/F150</f>
        <v>0</v>
      </c>
      <c r="J150" s="57">
        <f t="shared" si="59"/>
        <v>1</v>
      </c>
      <c r="K150" s="60">
        <f t="shared" si="60"/>
        <v>1</v>
      </c>
      <c r="L150" s="57">
        <f t="shared" si="61"/>
        <v>0</v>
      </c>
      <c r="M150" s="504">
        <v>178</v>
      </c>
      <c r="N150" s="721">
        <f t="shared" si="64"/>
        <v>0</v>
      </c>
      <c r="O150" s="57">
        <f t="shared" si="62"/>
        <v>0</v>
      </c>
      <c r="P150" s="57">
        <f t="shared" si="63"/>
        <v>0</v>
      </c>
      <c r="R150" s="97"/>
      <c r="S150" s="97"/>
      <c r="T150" s="97"/>
      <c r="U150" s="97"/>
      <c r="V150" s="97"/>
      <c r="W150" s="97"/>
      <c r="X150" s="97"/>
      <c r="Y150" s="97"/>
      <c r="Z150" s="97"/>
    </row>
    <row r="151" spans="2:29" ht="21.75" x14ac:dyDescent="0.45">
      <c r="B151" s="539" t="s">
        <v>1165</v>
      </c>
      <c r="C151" s="542" t="s">
        <v>1166</v>
      </c>
      <c r="D151" s="414"/>
      <c r="E151" s="899">
        <v>1</v>
      </c>
      <c r="F151" s="899">
        <v>365</v>
      </c>
      <c r="G151" s="898"/>
      <c r="H151" s="57">
        <v>1</v>
      </c>
      <c r="I151" s="60">
        <f>30*BC!$B$47/F151</f>
        <v>0</v>
      </c>
      <c r="J151" s="57">
        <f t="shared" si="59"/>
        <v>1</v>
      </c>
      <c r="K151" s="60">
        <f t="shared" si="60"/>
        <v>1</v>
      </c>
      <c r="L151" s="57">
        <f t="shared" si="61"/>
        <v>0</v>
      </c>
      <c r="M151" s="504">
        <v>13</v>
      </c>
      <c r="N151" s="721">
        <f t="shared" si="64"/>
        <v>0</v>
      </c>
      <c r="O151" s="57">
        <f t="shared" si="62"/>
        <v>0</v>
      </c>
      <c r="P151" s="57">
        <f t="shared" si="63"/>
        <v>0</v>
      </c>
      <c r="R151" s="97"/>
      <c r="S151" s="97"/>
      <c r="T151" s="97"/>
      <c r="U151" s="97"/>
      <c r="V151" s="97"/>
      <c r="W151" s="97"/>
      <c r="X151" s="97"/>
      <c r="Y151" s="97"/>
      <c r="Z151" s="97"/>
    </row>
    <row r="152" spans="2:29" s="266" customFormat="1" ht="10.5" x14ac:dyDescent="0.35">
      <c r="B152" s="56"/>
      <c r="C152" s="55" t="s">
        <v>849</v>
      </c>
      <c r="D152" s="57"/>
      <c r="E152" s="58"/>
      <c r="F152" s="57"/>
      <c r="G152" s="57"/>
      <c r="H152" s="57"/>
      <c r="I152" s="57"/>
      <c r="J152" s="57"/>
      <c r="K152" s="160">
        <f>BCB46</f>
        <v>0</v>
      </c>
      <c r="L152" s="267">
        <v>2780</v>
      </c>
      <c r="N152" s="267">
        <f>IF(D6=0,0,L152)</f>
        <v>0</v>
      </c>
      <c r="O152" s="72"/>
    </row>
    <row r="153" spans="2:29" s="266" customFormat="1" ht="10.5" x14ac:dyDescent="0.35">
      <c r="B153" s="56"/>
      <c r="C153" s="55" t="s">
        <v>850</v>
      </c>
      <c r="D153" s="57"/>
      <c r="E153" s="58"/>
      <c r="F153" s="57"/>
      <c r="G153" s="57"/>
      <c r="H153" s="57"/>
      <c r="I153" s="57"/>
      <c r="J153" s="57"/>
      <c r="K153" s="160">
        <f>BCB46</f>
        <v>0</v>
      </c>
      <c r="L153" s="267">
        <v>5300</v>
      </c>
      <c r="N153" s="267">
        <f>IF(F6=0,0,L153)</f>
        <v>5300</v>
      </c>
      <c r="O153" s="72"/>
    </row>
    <row r="154" spans="2:29" ht="11.25" customHeight="1" x14ac:dyDescent="0.45">
      <c r="B154" s="97"/>
      <c r="C154" s="24"/>
      <c r="D154" s="97"/>
      <c r="E154" s="97"/>
      <c r="F154" s="72"/>
      <c r="G154" s="72"/>
      <c r="H154" s="72"/>
      <c r="I154" s="72"/>
      <c r="J154" s="72"/>
      <c r="K154" s="72"/>
      <c r="M154" s="72"/>
      <c r="N154" s="278" t="e">
        <f>SUM(N84:N153)</f>
        <v>#REF!</v>
      </c>
      <c r="O154" s="72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</row>
    <row r="155" spans="2:29" ht="11.25" customHeight="1" x14ac:dyDescent="0.45">
      <c r="B155" s="97"/>
      <c r="C155" s="97"/>
      <c r="D155" s="97"/>
      <c r="E155" s="97"/>
      <c r="F155" s="72"/>
      <c r="G155" s="72"/>
      <c r="H155" s="72"/>
      <c r="I155" s="72"/>
      <c r="J155" s="72"/>
      <c r="K155" s="72"/>
      <c r="M155" s="72"/>
      <c r="N155" s="221" t="e">
        <f>N154/G82</f>
        <v>#REF!</v>
      </c>
      <c r="O155" s="72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</row>
    <row r="156" spans="2:29" ht="11.25" customHeight="1" x14ac:dyDescent="0.45">
      <c r="B156" s="97"/>
      <c r="C156" s="97"/>
      <c r="D156" s="97"/>
      <c r="E156" s="97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</row>
    <row r="157" spans="2:29" s="427" customFormat="1" ht="15.75" customHeight="1" x14ac:dyDescent="0.45">
      <c r="B157" s="926" t="s">
        <v>817</v>
      </c>
      <c r="C157" s="927"/>
      <c r="D157" s="477" t="s">
        <v>193</v>
      </c>
      <c r="E157" s="573" t="s">
        <v>183</v>
      </c>
      <c r="F157" s="573" t="s">
        <v>649</v>
      </c>
      <c r="G157" s="573"/>
      <c r="H157" s="574" t="s">
        <v>53</v>
      </c>
      <c r="I157" s="574" t="s">
        <v>52</v>
      </c>
      <c r="J157" s="574" t="s">
        <v>51</v>
      </c>
      <c r="K157" s="574"/>
      <c r="L157" s="574" t="s">
        <v>50</v>
      </c>
      <c r="M157" s="574" t="s">
        <v>166</v>
      </c>
      <c r="N157" s="574" t="s">
        <v>863</v>
      </c>
      <c r="O157" s="574" t="s">
        <v>861</v>
      </c>
      <c r="P157" s="574" t="s">
        <v>862</v>
      </c>
      <c r="Q157" s="575" t="s">
        <v>318</v>
      </c>
      <c r="R157" s="575" t="s">
        <v>319</v>
      </c>
    </row>
    <row r="158" spans="2:29" ht="15.75" customHeight="1" x14ac:dyDescent="0.45">
      <c r="B158" s="396">
        <v>11183974216</v>
      </c>
      <c r="C158" s="396" t="s">
        <v>818</v>
      </c>
      <c r="D158" s="722">
        <f>'c303-c503'!C153</f>
        <v>3300</v>
      </c>
      <c r="E158" s="219">
        <v>10</v>
      </c>
      <c r="F158" s="219">
        <v>1</v>
      </c>
      <c r="G158" s="219"/>
      <c r="H158" s="509">
        <f>30*BC!$B$47/(F158*0.9)</f>
        <v>0</v>
      </c>
      <c r="I158" s="219">
        <f>(30*BC!$B$47/F158)</f>
        <v>0</v>
      </c>
      <c r="J158" s="194">
        <f>IF(I158&gt;H158,I158,H158)</f>
        <v>0</v>
      </c>
      <c r="K158" s="194">
        <f>IF(H158=0,0,J158)</f>
        <v>0</v>
      </c>
      <c r="L158" s="194">
        <f t="shared" ref="L158:L172" si="65">ROUNDUP(K158,0)</f>
        <v>0</v>
      </c>
      <c r="M158" s="576">
        <f>IF($D$158&gt;0,L158,0)</f>
        <v>0</v>
      </c>
      <c r="N158" s="505">
        <f t="shared" ref="N158:N172" si="66">O158/E158</f>
        <v>6.1</v>
      </c>
      <c r="O158" s="506">
        <v>61</v>
      </c>
      <c r="P158" s="61">
        <f>N158*M158</f>
        <v>0</v>
      </c>
      <c r="Q158" s="57">
        <f t="shared" ref="Q158:Q172" si="67">L158/E158</f>
        <v>0</v>
      </c>
      <c r="R158" s="57">
        <f t="shared" ref="R158:R172" si="68">ROUNDUP(Q158,0)</f>
        <v>0</v>
      </c>
    </row>
    <row r="159" spans="2:29" ht="15.75" customHeight="1" x14ac:dyDescent="0.45">
      <c r="B159" s="396">
        <v>11183982216</v>
      </c>
      <c r="C159" s="728" t="s">
        <v>819</v>
      </c>
      <c r="D159" s="723"/>
      <c r="E159" s="219">
        <v>10</v>
      </c>
      <c r="F159" s="219">
        <v>1</v>
      </c>
      <c r="G159" s="219"/>
      <c r="H159" s="509">
        <f>30*BC!$B$47/(F159*0.9)</f>
        <v>0</v>
      </c>
      <c r="I159" s="219">
        <f>(30*BC!$B$47/F159)</f>
        <v>0</v>
      </c>
      <c r="J159" s="194">
        <f t="shared" ref="J159:J172" si="69">IF(I159&gt;H159,I159,H159)</f>
        <v>0</v>
      </c>
      <c r="K159" s="194">
        <f t="shared" ref="K159:K172" si="70">IF(H159=0,0,J159)</f>
        <v>0</v>
      </c>
      <c r="L159" s="194">
        <f t="shared" si="65"/>
        <v>0</v>
      </c>
      <c r="M159" s="576">
        <f t="shared" ref="M159:M172" si="71">IF($D$158&gt;0,L159,0)</f>
        <v>0</v>
      </c>
      <c r="N159" s="505">
        <f t="shared" si="66"/>
        <v>6.1</v>
      </c>
      <c r="O159" s="506">
        <v>61</v>
      </c>
      <c r="P159" s="61">
        <f t="shared" ref="P159:P172" si="72">N159*M159</f>
        <v>0</v>
      </c>
      <c r="Q159" s="57">
        <f t="shared" si="67"/>
        <v>0</v>
      </c>
      <c r="R159" s="57">
        <f t="shared" si="68"/>
        <v>0</v>
      </c>
    </row>
    <row r="160" spans="2:29" ht="15.75" customHeight="1" x14ac:dyDescent="0.45">
      <c r="B160" s="396">
        <v>11298500316</v>
      </c>
      <c r="C160" s="728" t="s">
        <v>820</v>
      </c>
      <c r="D160" s="723"/>
      <c r="E160" s="219">
        <v>5</v>
      </c>
      <c r="F160" s="219">
        <v>73</v>
      </c>
      <c r="G160" s="219"/>
      <c r="H160" s="509">
        <f>(D158/(0.02*500)/100)</f>
        <v>3.3</v>
      </c>
      <c r="I160" s="219">
        <f>(30*BC!$B$47/F160)</f>
        <v>0</v>
      </c>
      <c r="J160" s="508">
        <f t="shared" si="69"/>
        <v>3.3</v>
      </c>
      <c r="K160" s="508">
        <f t="shared" si="70"/>
        <v>3.3</v>
      </c>
      <c r="L160" s="194">
        <f t="shared" si="65"/>
        <v>4</v>
      </c>
      <c r="M160" s="576">
        <f t="shared" si="71"/>
        <v>4</v>
      </c>
      <c r="N160" s="505">
        <f t="shared" si="66"/>
        <v>19.600000000000001</v>
      </c>
      <c r="O160" s="506">
        <v>98</v>
      </c>
      <c r="P160" s="61">
        <f t="shared" si="72"/>
        <v>78.400000000000006</v>
      </c>
      <c r="Q160" s="57">
        <f t="shared" si="67"/>
        <v>0.8</v>
      </c>
      <c r="R160" s="57">
        <f t="shared" si="68"/>
        <v>1</v>
      </c>
    </row>
    <row r="161" spans="2:18" ht="15.75" customHeight="1" x14ac:dyDescent="0.45">
      <c r="B161" s="396">
        <v>4663632190</v>
      </c>
      <c r="C161" s="728" t="s">
        <v>821</v>
      </c>
      <c r="D161" s="723"/>
      <c r="E161" s="219">
        <v>9</v>
      </c>
      <c r="F161" s="219">
        <v>12</v>
      </c>
      <c r="G161" s="219"/>
      <c r="H161" s="509">
        <f>365/F161</f>
        <v>30.416666666666668</v>
      </c>
      <c r="I161" s="219">
        <f>(30*BC!$B$47/F161)</f>
        <v>0</v>
      </c>
      <c r="J161" s="508">
        <f t="shared" si="69"/>
        <v>30.416666666666668</v>
      </c>
      <c r="K161" s="508">
        <f t="shared" si="70"/>
        <v>30.416666666666668</v>
      </c>
      <c r="L161" s="194">
        <f t="shared" si="65"/>
        <v>31</v>
      </c>
      <c r="M161" s="576">
        <f t="shared" si="71"/>
        <v>31</v>
      </c>
      <c r="N161" s="505">
        <f t="shared" si="66"/>
        <v>17.222222222222221</v>
      </c>
      <c r="O161" s="506">
        <v>155</v>
      </c>
      <c r="P161" s="61">
        <f t="shared" si="72"/>
        <v>533.88888888888891</v>
      </c>
      <c r="Q161" s="60">
        <f t="shared" si="67"/>
        <v>3.4444444444444446</v>
      </c>
      <c r="R161" s="57">
        <f t="shared" si="68"/>
        <v>4</v>
      </c>
    </row>
    <row r="162" spans="2:18" ht="15.75" customHeight="1" x14ac:dyDescent="0.45">
      <c r="B162" s="408">
        <v>20763071122</v>
      </c>
      <c r="C162" s="728" t="s">
        <v>822</v>
      </c>
      <c r="D162" s="723"/>
      <c r="E162" s="219">
        <v>6</v>
      </c>
      <c r="F162" s="219">
        <v>56</v>
      </c>
      <c r="G162" s="219"/>
      <c r="H162" s="509">
        <f>(D158/(0.5*30)/60)</f>
        <v>3.6666666666666665</v>
      </c>
      <c r="I162" s="219">
        <f>(30*BC!$B$47/F162)</f>
        <v>0</v>
      </c>
      <c r="J162" s="508">
        <f t="shared" si="69"/>
        <v>3.6666666666666665</v>
      </c>
      <c r="K162" s="508">
        <f t="shared" si="70"/>
        <v>3.6666666666666665</v>
      </c>
      <c r="L162" s="194">
        <f t="shared" si="65"/>
        <v>4</v>
      </c>
      <c r="M162" s="576">
        <f t="shared" si="71"/>
        <v>4</v>
      </c>
      <c r="N162" s="505">
        <f t="shared" si="66"/>
        <v>8.8333333333333339</v>
      </c>
      <c r="O162" s="506">
        <v>53</v>
      </c>
      <c r="P162" s="61">
        <f t="shared" si="72"/>
        <v>35.333333333333336</v>
      </c>
      <c r="Q162" s="57">
        <f t="shared" si="67"/>
        <v>0.66666666666666663</v>
      </c>
      <c r="R162" s="57">
        <f t="shared" si="68"/>
        <v>1</v>
      </c>
    </row>
    <row r="163" spans="2:18" ht="15.75" customHeight="1" x14ac:dyDescent="0.45">
      <c r="B163" s="396">
        <v>4880480190</v>
      </c>
      <c r="C163" s="728" t="s">
        <v>867</v>
      </c>
      <c r="D163" s="723"/>
      <c r="E163" s="219">
        <v>2</v>
      </c>
      <c r="F163" s="219">
        <v>42</v>
      </c>
      <c r="G163" s="219"/>
      <c r="H163" s="509">
        <f>(D158/(0.0075*110)/100)*(D158*0.0024)</f>
        <v>316.79999999999995</v>
      </c>
      <c r="I163" s="219">
        <f>(30*BC!$B$47/F163)</f>
        <v>0</v>
      </c>
      <c r="J163" s="508">
        <f t="shared" ref="J163" si="73">IF(I163&gt;H163,I163,H163)</f>
        <v>316.79999999999995</v>
      </c>
      <c r="K163" s="508">
        <f>IF(F6=0,0,J163)</f>
        <v>316.79999999999995</v>
      </c>
      <c r="L163" s="194">
        <f t="shared" ref="L163" si="74">ROUNDUP(K163,0)</f>
        <v>317</v>
      </c>
      <c r="M163" s="576">
        <f t="shared" si="71"/>
        <v>317</v>
      </c>
      <c r="N163" s="505">
        <f t="shared" ref="N163" si="75">O163/E163</f>
        <v>120</v>
      </c>
      <c r="O163" s="506">
        <v>240</v>
      </c>
      <c r="P163" s="61">
        <f t="shared" ref="P163" si="76">N163*M163</f>
        <v>38040</v>
      </c>
      <c r="Q163" s="57">
        <f t="shared" ref="Q163" si="77">L163/E163</f>
        <v>158.5</v>
      </c>
      <c r="R163" s="57">
        <f t="shared" ref="R163" si="78">ROUNDUP(Q163,0)</f>
        <v>159</v>
      </c>
    </row>
    <row r="164" spans="2:18" ht="15.75" customHeight="1" x14ac:dyDescent="0.45">
      <c r="B164" s="396">
        <v>4880480190</v>
      </c>
      <c r="C164" s="729" t="s">
        <v>866</v>
      </c>
      <c r="D164" s="723"/>
      <c r="E164" s="219">
        <v>2</v>
      </c>
      <c r="F164" s="219">
        <v>42</v>
      </c>
      <c r="G164" s="219"/>
      <c r="H164" s="509">
        <f>(D158/(0.009*110)/100)*(D158*0.0012)</f>
        <v>132.00000000000003</v>
      </c>
      <c r="I164" s="219">
        <f>(30*BC!$B$47/F164)</f>
        <v>0</v>
      </c>
      <c r="J164" s="508">
        <f t="shared" si="69"/>
        <v>132.00000000000003</v>
      </c>
      <c r="K164" s="508">
        <f>IF(D6=0,0,J164)</f>
        <v>0</v>
      </c>
      <c r="L164" s="194">
        <f t="shared" si="65"/>
        <v>0</v>
      </c>
      <c r="M164" s="576">
        <f t="shared" si="71"/>
        <v>0</v>
      </c>
      <c r="N164" s="505">
        <f t="shared" si="66"/>
        <v>120</v>
      </c>
      <c r="O164" s="506">
        <v>240</v>
      </c>
      <c r="P164" s="61">
        <f t="shared" si="72"/>
        <v>0</v>
      </c>
      <c r="Q164" s="57">
        <f t="shared" si="67"/>
        <v>0</v>
      </c>
      <c r="R164" s="57">
        <f t="shared" si="68"/>
        <v>0</v>
      </c>
    </row>
    <row r="165" spans="2:18" ht="15.75" customHeight="1" x14ac:dyDescent="0.45">
      <c r="B165" s="396">
        <v>4880455190</v>
      </c>
      <c r="C165" s="729" t="s">
        <v>868</v>
      </c>
      <c r="D165" s="723"/>
      <c r="E165" s="219">
        <v>2</v>
      </c>
      <c r="F165" s="219">
        <v>42</v>
      </c>
      <c r="G165" s="219"/>
      <c r="H165" s="509">
        <f>(F165/(0.015*40)/100)*(D158*0.0031)</f>
        <v>7.1609999999999996</v>
      </c>
      <c r="I165" s="219">
        <f>(30*BC!$B$47/F165)</f>
        <v>0</v>
      </c>
      <c r="J165" s="508">
        <f t="shared" si="69"/>
        <v>7.1609999999999996</v>
      </c>
      <c r="K165" s="508">
        <f>IF(F6=0,0,J165)</f>
        <v>7.1609999999999996</v>
      </c>
      <c r="L165" s="194">
        <f t="shared" si="65"/>
        <v>8</v>
      </c>
      <c r="M165" s="576">
        <f t="shared" si="71"/>
        <v>8</v>
      </c>
      <c r="N165" s="505">
        <f t="shared" si="66"/>
        <v>161</v>
      </c>
      <c r="O165" s="506">
        <v>322</v>
      </c>
      <c r="P165" s="61">
        <f t="shared" si="72"/>
        <v>1288</v>
      </c>
      <c r="Q165" s="57">
        <f t="shared" si="67"/>
        <v>4</v>
      </c>
      <c r="R165" s="57">
        <f t="shared" si="68"/>
        <v>4</v>
      </c>
    </row>
    <row r="166" spans="2:18" ht="15.75" customHeight="1" x14ac:dyDescent="0.45">
      <c r="B166" s="396">
        <v>4880455190</v>
      </c>
      <c r="C166" s="729" t="s">
        <v>869</v>
      </c>
      <c r="D166" s="723"/>
      <c r="E166" s="219">
        <v>2</v>
      </c>
      <c r="F166" s="219">
        <v>42</v>
      </c>
      <c r="G166" s="219"/>
      <c r="H166" s="509">
        <f>(F166/(0.02*40)/100)*(D158*0.0016)</f>
        <v>2.7720000000000002</v>
      </c>
      <c r="I166" s="219">
        <f>(30*BC!$B$47/F166)</f>
        <v>0</v>
      </c>
      <c r="J166" s="508">
        <f t="shared" ref="J166" si="79">IF(I166&gt;H166,I166,H166)</f>
        <v>2.7720000000000002</v>
      </c>
      <c r="K166" s="508">
        <f>IF(D6=0,0,J166)</f>
        <v>0</v>
      </c>
      <c r="L166" s="194">
        <f t="shared" ref="L166" si="80">ROUNDUP(K166,0)</f>
        <v>0</v>
      </c>
      <c r="M166" s="576">
        <f t="shared" si="71"/>
        <v>0</v>
      </c>
      <c r="N166" s="505">
        <f t="shared" ref="N166" si="81">O166/E166</f>
        <v>161</v>
      </c>
      <c r="O166" s="506">
        <v>322</v>
      </c>
      <c r="P166" s="61">
        <f t="shared" ref="P166" si="82">N166*M166</f>
        <v>0</v>
      </c>
      <c r="Q166" s="57">
        <f t="shared" ref="Q166" si="83">L166/E166</f>
        <v>0</v>
      </c>
      <c r="R166" s="57">
        <f t="shared" ref="R166" si="84">ROUNDUP(Q166,0)</f>
        <v>0</v>
      </c>
    </row>
    <row r="167" spans="2:18" ht="15.75" customHeight="1" x14ac:dyDescent="0.45">
      <c r="B167" s="396">
        <v>8392013190</v>
      </c>
      <c r="C167" s="728" t="s">
        <v>865</v>
      </c>
      <c r="D167" s="723"/>
      <c r="E167" s="219">
        <v>2</v>
      </c>
      <c r="F167" s="219">
        <v>365</v>
      </c>
      <c r="G167" s="219"/>
      <c r="H167" s="509">
        <f>(F167/(0.027*50)/100)*(D158*0.013)</f>
        <v>115.98888888888888</v>
      </c>
      <c r="I167" s="219">
        <f>(30*BC!$B$47/F167)</f>
        <v>0</v>
      </c>
      <c r="J167" s="508">
        <f t="shared" si="69"/>
        <v>115.98888888888888</v>
      </c>
      <c r="K167" s="508">
        <f>IF(F6=0,0,J167)</f>
        <v>115.98888888888888</v>
      </c>
      <c r="L167" s="194">
        <f t="shared" si="65"/>
        <v>116</v>
      </c>
      <c r="M167" s="576">
        <f t="shared" si="71"/>
        <v>116</v>
      </c>
      <c r="N167" s="505">
        <f t="shared" si="66"/>
        <v>19.5</v>
      </c>
      <c r="O167" s="506">
        <v>39</v>
      </c>
      <c r="P167" s="61">
        <f t="shared" si="72"/>
        <v>2262</v>
      </c>
      <c r="Q167" s="57">
        <f t="shared" si="67"/>
        <v>58</v>
      </c>
      <c r="R167" s="57">
        <f t="shared" si="68"/>
        <v>58</v>
      </c>
    </row>
    <row r="168" spans="2:18" ht="15.75" customHeight="1" x14ac:dyDescent="0.45">
      <c r="B168" s="396">
        <v>10820652216</v>
      </c>
      <c r="C168" s="728" t="s">
        <v>864</v>
      </c>
      <c r="D168" s="723"/>
      <c r="E168" s="219">
        <v>1</v>
      </c>
      <c r="F168" s="219">
        <v>365</v>
      </c>
      <c r="G168" s="219"/>
      <c r="H168" s="509">
        <f>(F168/(0.026*50)/100)*(D158*0.009)</f>
        <v>83.388461538461542</v>
      </c>
      <c r="I168" s="219">
        <f>(30*BC!$B$47/F168)</f>
        <v>0</v>
      </c>
      <c r="J168" s="508">
        <f t="shared" si="69"/>
        <v>83.388461538461542</v>
      </c>
      <c r="K168" s="508">
        <f>IF(D6=0,0,J168)</f>
        <v>0</v>
      </c>
      <c r="L168" s="194">
        <f t="shared" si="65"/>
        <v>0</v>
      </c>
      <c r="M168" s="576">
        <f t="shared" si="71"/>
        <v>0</v>
      </c>
      <c r="N168" s="505">
        <f t="shared" si="66"/>
        <v>92</v>
      </c>
      <c r="O168" s="506">
        <v>92</v>
      </c>
      <c r="P168" s="61">
        <f t="shared" si="72"/>
        <v>0</v>
      </c>
      <c r="Q168" s="57">
        <f t="shared" si="67"/>
        <v>0</v>
      </c>
      <c r="R168" s="57">
        <f t="shared" si="68"/>
        <v>0</v>
      </c>
    </row>
    <row r="169" spans="2:18" ht="15.75" customHeight="1" x14ac:dyDescent="0.45">
      <c r="B169" s="396">
        <v>3149501001</v>
      </c>
      <c r="C169" s="728" t="s">
        <v>827</v>
      </c>
      <c r="D169" s="723"/>
      <c r="E169" s="219">
        <v>1</v>
      </c>
      <c r="F169" s="219">
        <v>168</v>
      </c>
      <c r="G169" s="219"/>
      <c r="H169" s="509">
        <f>30*BC!B47/F169</f>
        <v>0</v>
      </c>
      <c r="I169" s="219">
        <f>(30*BC!$B$47/F169)</f>
        <v>0</v>
      </c>
      <c r="J169" s="508">
        <f t="shared" si="69"/>
        <v>0</v>
      </c>
      <c r="K169" s="508">
        <f t="shared" si="70"/>
        <v>0</v>
      </c>
      <c r="L169" s="194">
        <f t="shared" si="65"/>
        <v>0</v>
      </c>
      <c r="M169" s="576">
        <f t="shared" si="71"/>
        <v>0</v>
      </c>
      <c r="N169" s="505">
        <f t="shared" si="66"/>
        <v>755</v>
      </c>
      <c r="O169" s="506">
        <v>755</v>
      </c>
      <c r="P169" s="61">
        <f t="shared" si="72"/>
        <v>0</v>
      </c>
      <c r="Q169" s="57">
        <f t="shared" si="67"/>
        <v>0</v>
      </c>
      <c r="R169" s="57">
        <f t="shared" si="68"/>
        <v>0</v>
      </c>
    </row>
    <row r="170" spans="2:18" ht="15.75" customHeight="1" x14ac:dyDescent="0.45">
      <c r="B170" s="396">
        <v>10825468001</v>
      </c>
      <c r="C170" s="728" t="s">
        <v>828</v>
      </c>
      <c r="D170" s="723"/>
      <c r="E170" s="219">
        <v>1</v>
      </c>
      <c r="F170" s="219">
        <v>56</v>
      </c>
      <c r="G170" s="219"/>
      <c r="H170" s="509">
        <f>30*BC!B47/F170</f>
        <v>0</v>
      </c>
      <c r="I170" s="219">
        <f>(30*BC!$B$47/F170)</f>
        <v>0</v>
      </c>
      <c r="J170" s="508">
        <f t="shared" si="69"/>
        <v>0</v>
      </c>
      <c r="K170" s="508">
        <f t="shared" si="70"/>
        <v>0</v>
      </c>
      <c r="L170" s="194">
        <f t="shared" si="65"/>
        <v>0</v>
      </c>
      <c r="M170" s="576">
        <f t="shared" si="71"/>
        <v>0</v>
      </c>
      <c r="N170" s="505">
        <f t="shared" si="66"/>
        <v>812</v>
      </c>
      <c r="O170" s="506">
        <v>812</v>
      </c>
      <c r="P170" s="61">
        <f t="shared" si="72"/>
        <v>0</v>
      </c>
      <c r="Q170" s="57">
        <f t="shared" si="67"/>
        <v>0</v>
      </c>
      <c r="R170" s="57">
        <f t="shared" si="68"/>
        <v>0</v>
      </c>
    </row>
    <row r="171" spans="2:18" ht="15.75" customHeight="1" x14ac:dyDescent="0.45">
      <c r="B171" s="396">
        <v>10825441001</v>
      </c>
      <c r="C171" s="728" t="s">
        <v>829</v>
      </c>
      <c r="D171" s="723"/>
      <c r="E171" s="219">
        <v>1</v>
      </c>
      <c r="F171" s="219">
        <v>56</v>
      </c>
      <c r="G171" s="219"/>
      <c r="H171" s="509">
        <f>30*BC!B47/F171</f>
        <v>0</v>
      </c>
      <c r="I171" s="219">
        <f>(30*BC!$B$47/F171)</f>
        <v>0</v>
      </c>
      <c r="J171" s="508">
        <f t="shared" si="69"/>
        <v>0</v>
      </c>
      <c r="K171" s="508">
        <f t="shared" si="70"/>
        <v>0</v>
      </c>
      <c r="L171" s="194">
        <f t="shared" si="65"/>
        <v>0</v>
      </c>
      <c r="M171" s="576">
        <f t="shared" si="71"/>
        <v>0</v>
      </c>
      <c r="N171" s="505">
        <f t="shared" si="66"/>
        <v>812</v>
      </c>
      <c r="O171" s="506">
        <v>812</v>
      </c>
      <c r="P171" s="61">
        <f t="shared" si="72"/>
        <v>0</v>
      </c>
      <c r="Q171" s="57">
        <f t="shared" si="67"/>
        <v>0</v>
      </c>
      <c r="R171" s="57">
        <f t="shared" si="68"/>
        <v>0</v>
      </c>
    </row>
    <row r="172" spans="2:18" ht="15.75" customHeight="1" x14ac:dyDescent="0.45">
      <c r="B172" s="396">
        <v>3246353001</v>
      </c>
      <c r="C172" s="728" t="s">
        <v>830</v>
      </c>
      <c r="D172" s="723"/>
      <c r="E172" s="219">
        <v>1</v>
      </c>
      <c r="F172" s="219">
        <v>56</v>
      </c>
      <c r="G172" s="219"/>
      <c r="H172" s="509">
        <f>30*BC!B47/F172</f>
        <v>0</v>
      </c>
      <c r="I172" s="219">
        <f>(30*BC!$B$47/F172)</f>
        <v>0</v>
      </c>
      <c r="J172" s="508">
        <f t="shared" si="69"/>
        <v>0</v>
      </c>
      <c r="K172" s="508">
        <f t="shared" si="70"/>
        <v>0</v>
      </c>
      <c r="L172" s="194">
        <f t="shared" si="65"/>
        <v>0</v>
      </c>
      <c r="M172" s="576">
        <f t="shared" si="71"/>
        <v>0</v>
      </c>
      <c r="N172" s="505">
        <f t="shared" si="66"/>
        <v>1135</v>
      </c>
      <c r="O172" s="506">
        <v>1135</v>
      </c>
      <c r="P172" s="61">
        <f t="shared" si="72"/>
        <v>0</v>
      </c>
      <c r="Q172" s="57">
        <f t="shared" si="67"/>
        <v>0</v>
      </c>
      <c r="R172" s="57">
        <f t="shared" si="68"/>
        <v>0</v>
      </c>
    </row>
    <row r="173" spans="2:18" ht="15.75" customHeight="1" x14ac:dyDescent="0.45">
      <c r="B173" s="97"/>
      <c r="C173" s="97"/>
      <c r="D173" s="97"/>
      <c r="E173" s="102"/>
      <c r="F173" s="102"/>
      <c r="G173" s="251"/>
      <c r="H173" s="416"/>
      <c r="I173" s="416"/>
      <c r="J173" s="97"/>
      <c r="K173" s="97"/>
      <c r="L173" s="97"/>
      <c r="O173" s="438" t="s">
        <v>48</v>
      </c>
      <c r="P173" s="221">
        <f>SUM(P158:P172)</f>
        <v>42237.62222222222</v>
      </c>
      <c r="Q173" s="97"/>
      <c r="R173" s="97"/>
    </row>
    <row r="174" spans="2:18" ht="15.75" customHeight="1" x14ac:dyDescent="0.45">
      <c r="B174" s="97"/>
      <c r="C174" s="97"/>
      <c r="D174" s="97"/>
      <c r="E174" s="102"/>
      <c r="F174" s="102"/>
      <c r="G174" s="251"/>
      <c r="H174" s="416"/>
      <c r="I174" s="416"/>
      <c r="J174" s="97"/>
      <c r="K174" s="97"/>
      <c r="L174" s="97"/>
      <c r="O174" s="438" t="s">
        <v>835</v>
      </c>
      <c r="P174" s="221">
        <f>P173/D158</f>
        <v>12.799279461279461</v>
      </c>
      <c r="Q174" s="97"/>
      <c r="R174" s="97"/>
    </row>
    <row r="175" spans="2:18" ht="15.75" customHeight="1" x14ac:dyDescent="0.45">
      <c r="B175" s="97"/>
      <c r="C175" s="97"/>
      <c r="D175" s="97"/>
      <c r="E175" s="102"/>
      <c r="F175" s="102"/>
      <c r="G175" s="251"/>
      <c r="H175" s="416"/>
      <c r="I175" s="416"/>
      <c r="J175" s="97"/>
      <c r="K175" s="97"/>
      <c r="L175" s="97"/>
      <c r="M175" s="97"/>
      <c r="N175" s="97"/>
      <c r="O175" s="577" t="s">
        <v>870</v>
      </c>
      <c r="P175" s="385">
        <f>P174/3</f>
        <v>4.2664264870931534</v>
      </c>
      <c r="Q175" s="97"/>
      <c r="R175" s="97"/>
    </row>
    <row r="176" spans="2:18" ht="15.75" customHeight="1" x14ac:dyDescent="0.45">
      <c r="B176" s="97"/>
      <c r="C176" s="97"/>
      <c r="D176" s="97"/>
      <c r="E176" s="102"/>
      <c r="F176" s="102"/>
      <c r="G176" s="251"/>
      <c r="H176" s="416"/>
      <c r="I176" s="416"/>
      <c r="J176" s="97"/>
      <c r="K176" s="97"/>
      <c r="L176" s="97"/>
      <c r="M176" s="97"/>
      <c r="N176" s="97"/>
      <c r="O176" s="97"/>
      <c r="P176" s="97"/>
      <c r="Q176" s="97"/>
      <c r="R176" s="97"/>
    </row>
    <row r="177" spans="2:18" ht="15.75" customHeight="1" x14ac:dyDescent="0.45">
      <c r="B177" s="97"/>
      <c r="C177" s="97"/>
      <c r="D177" s="97"/>
      <c r="E177" s="102"/>
      <c r="F177" s="102"/>
      <c r="G177" s="251"/>
      <c r="H177" s="416"/>
      <c r="I177" s="416"/>
      <c r="J177" s="97"/>
      <c r="K177" s="97"/>
      <c r="L177" s="97"/>
      <c r="M177" s="97"/>
      <c r="N177" s="97"/>
      <c r="O177" s="97"/>
      <c r="P177" s="97"/>
      <c r="Q177" s="97"/>
      <c r="R177" s="97"/>
    </row>
    <row r="178" spans="2:18" ht="15.75" customHeight="1" x14ac:dyDescent="0.45">
      <c r="B178" s="97"/>
      <c r="C178" s="97"/>
      <c r="D178" s="97"/>
      <c r="E178" s="102"/>
      <c r="F178" s="102"/>
      <c r="G178" s="251"/>
      <c r="H178" s="416"/>
      <c r="I178" s="416"/>
      <c r="J178" s="97"/>
      <c r="K178" s="97"/>
      <c r="L178" s="97"/>
      <c r="M178" s="97"/>
      <c r="N178" s="97"/>
      <c r="O178" s="97"/>
      <c r="P178" s="97"/>
      <c r="Q178" s="97"/>
      <c r="R178" s="97"/>
    </row>
    <row r="179" spans="2:18" ht="15.75" customHeight="1" x14ac:dyDescent="0.45">
      <c r="B179" s="97"/>
      <c r="C179" s="97"/>
      <c r="D179" s="97"/>
      <c r="E179" s="102"/>
      <c r="F179" s="102"/>
      <c r="G179" s="251"/>
      <c r="H179" s="416"/>
      <c r="I179" s="416"/>
      <c r="J179" s="97"/>
      <c r="K179" s="97"/>
      <c r="L179" s="97"/>
      <c r="M179" s="97"/>
      <c r="N179" s="97"/>
      <c r="O179" s="97"/>
      <c r="P179" s="97"/>
      <c r="Q179" s="97"/>
      <c r="R179" s="97"/>
    </row>
    <row r="180" spans="2:18" ht="15.75" customHeight="1" x14ac:dyDescent="0.45">
      <c r="B180" s="97"/>
      <c r="C180" s="97"/>
      <c r="D180" s="97"/>
      <c r="E180" s="102"/>
      <c r="F180" s="102"/>
      <c r="G180" s="251"/>
      <c r="H180" s="416"/>
      <c r="I180" s="416"/>
      <c r="J180" s="97"/>
      <c r="K180" s="97"/>
      <c r="L180" s="97"/>
      <c r="M180" s="97"/>
      <c r="N180" s="97"/>
      <c r="O180" s="97"/>
      <c r="P180" s="97"/>
      <c r="Q180" s="97"/>
      <c r="R180" s="97"/>
    </row>
    <row r="181" spans="2:18" ht="15.75" customHeight="1" x14ac:dyDescent="0.45">
      <c r="B181" s="97"/>
      <c r="C181" s="97"/>
      <c r="D181" s="97"/>
      <c r="E181" s="102"/>
      <c r="F181" s="102"/>
      <c r="G181" s="251"/>
      <c r="H181" s="416"/>
      <c r="I181" s="416"/>
      <c r="J181" s="97"/>
      <c r="K181" s="97"/>
      <c r="L181" s="97"/>
      <c r="M181" s="97"/>
      <c r="N181" s="97"/>
      <c r="O181" s="97"/>
      <c r="P181" s="97"/>
      <c r="Q181" s="97"/>
      <c r="R181" s="97"/>
    </row>
    <row r="182" spans="2:18" ht="15.75" customHeight="1" x14ac:dyDescent="0.45">
      <c r="B182" s="97"/>
      <c r="C182" s="97"/>
      <c r="D182" s="97"/>
      <c r="E182" s="102"/>
      <c r="F182" s="102"/>
      <c r="G182" s="251"/>
      <c r="H182" s="416"/>
      <c r="I182" s="416"/>
      <c r="J182" s="97"/>
      <c r="K182" s="97"/>
      <c r="L182" s="97"/>
      <c r="M182" s="97"/>
      <c r="N182" s="97"/>
      <c r="O182" s="97"/>
      <c r="P182" s="97"/>
      <c r="Q182" s="97"/>
      <c r="R182" s="97"/>
    </row>
    <row r="183" spans="2:18" ht="15.75" customHeight="1" x14ac:dyDescent="0.45">
      <c r="B183" s="97"/>
      <c r="C183" s="97"/>
      <c r="D183" s="97"/>
      <c r="E183" s="102"/>
      <c r="F183" s="102"/>
      <c r="G183" s="251"/>
      <c r="H183" s="416"/>
      <c r="I183" s="416"/>
      <c r="J183" s="97"/>
      <c r="K183" s="97"/>
      <c r="L183" s="97"/>
      <c r="M183" s="97"/>
      <c r="N183" s="97"/>
      <c r="O183" s="97"/>
      <c r="P183" s="97"/>
      <c r="Q183" s="97"/>
      <c r="R183" s="97"/>
    </row>
    <row r="184" spans="2:18" ht="15.75" customHeight="1" x14ac:dyDescent="0.45">
      <c r="B184" s="97"/>
      <c r="C184" s="97"/>
      <c r="D184" s="97"/>
      <c r="E184" s="102"/>
      <c r="F184" s="102"/>
      <c r="G184" s="251"/>
      <c r="H184" s="416"/>
      <c r="I184" s="416"/>
      <c r="J184" s="97"/>
      <c r="K184" s="97"/>
      <c r="L184" s="97"/>
      <c r="M184" s="97"/>
      <c r="N184" s="97"/>
      <c r="O184" s="97"/>
      <c r="P184" s="97"/>
      <c r="Q184" s="97"/>
      <c r="R184" s="97"/>
    </row>
    <row r="185" spans="2:18" ht="15.75" customHeight="1" x14ac:dyDescent="0.45">
      <c r="B185" s="97"/>
      <c r="C185" s="97"/>
      <c r="D185" s="97"/>
      <c r="E185" s="102"/>
      <c r="F185" s="102"/>
      <c r="G185" s="251"/>
      <c r="H185" s="416"/>
      <c r="I185" s="416"/>
      <c r="J185" s="97"/>
      <c r="K185" s="97"/>
      <c r="L185" s="97"/>
      <c r="M185" s="97"/>
      <c r="N185" s="97"/>
      <c r="O185" s="97"/>
      <c r="P185" s="97"/>
      <c r="Q185" s="97"/>
      <c r="R185" s="97"/>
    </row>
    <row r="186" spans="2:18" ht="15.75" customHeight="1" x14ac:dyDescent="0.45">
      <c r="B186" s="97"/>
      <c r="C186" s="97"/>
      <c r="D186" s="97"/>
      <c r="E186" s="102"/>
      <c r="F186" s="102"/>
      <c r="G186" s="251"/>
      <c r="H186" s="416"/>
      <c r="I186" s="416"/>
      <c r="J186" s="97"/>
      <c r="K186" s="97"/>
      <c r="L186" s="97"/>
      <c r="M186" s="97"/>
      <c r="N186" s="97"/>
      <c r="O186" s="97"/>
      <c r="P186" s="97"/>
      <c r="Q186" s="97"/>
      <c r="R186" s="97"/>
    </row>
    <row r="187" spans="2:18" ht="15.75" customHeight="1" x14ac:dyDescent="0.45">
      <c r="B187" s="97"/>
      <c r="C187" s="97"/>
      <c r="D187" s="97"/>
      <c r="E187" s="102"/>
      <c r="F187" s="102"/>
      <c r="G187" s="251"/>
      <c r="H187" s="416"/>
      <c r="I187" s="416"/>
      <c r="J187" s="97"/>
      <c r="K187" s="97"/>
      <c r="L187" s="97"/>
      <c r="M187" s="97"/>
      <c r="N187" s="97"/>
      <c r="O187" s="97"/>
      <c r="P187" s="97"/>
      <c r="Q187" s="97"/>
      <c r="R187" s="97"/>
    </row>
    <row r="188" spans="2:18" ht="15.75" customHeight="1" x14ac:dyDescent="0.45">
      <c r="B188" s="97"/>
      <c r="C188" s="97"/>
      <c r="D188" s="97"/>
      <c r="E188" s="102"/>
      <c r="F188" s="102"/>
      <c r="G188" s="251"/>
      <c r="H188" s="416"/>
      <c r="I188" s="416"/>
      <c r="J188" s="97"/>
      <c r="K188" s="97"/>
      <c r="L188" s="97"/>
      <c r="M188" s="97"/>
      <c r="N188" s="97"/>
      <c r="O188" s="97"/>
      <c r="P188" s="97"/>
      <c r="Q188" s="97"/>
      <c r="R188" s="97"/>
    </row>
    <row r="189" spans="2:18" ht="15.75" customHeight="1" x14ac:dyDescent="0.45">
      <c r="B189" s="97"/>
      <c r="C189" s="97"/>
      <c r="D189" s="97"/>
      <c r="E189" s="102"/>
      <c r="F189" s="102"/>
      <c r="G189" s="251"/>
      <c r="H189" s="416"/>
      <c r="I189" s="416"/>
      <c r="J189" s="97"/>
      <c r="K189" s="97"/>
      <c r="L189" s="97"/>
      <c r="M189" s="97"/>
      <c r="N189" s="97"/>
      <c r="O189" s="97"/>
      <c r="P189" s="97"/>
      <c r="Q189" s="97"/>
      <c r="R189" s="97"/>
    </row>
    <row r="190" spans="2:18" ht="15.75" customHeight="1" x14ac:dyDescent="0.45">
      <c r="B190" s="97"/>
      <c r="C190" s="97"/>
      <c r="D190" s="97"/>
      <c r="E190" s="102"/>
      <c r="F190" s="102"/>
      <c r="G190" s="251"/>
      <c r="H190" s="416"/>
      <c r="I190" s="416"/>
      <c r="J190" s="97"/>
      <c r="K190" s="97"/>
      <c r="L190" s="97"/>
      <c r="M190" s="97"/>
      <c r="N190" s="97"/>
      <c r="O190" s="97"/>
      <c r="P190" s="97"/>
      <c r="Q190" s="97"/>
      <c r="R190" s="97"/>
    </row>
    <row r="191" spans="2:18" ht="15.75" customHeight="1" x14ac:dyDescent="0.45">
      <c r="B191" s="97"/>
      <c r="C191" s="97"/>
      <c r="D191" s="97"/>
      <c r="E191" s="102"/>
      <c r="F191" s="102"/>
      <c r="G191" s="251"/>
      <c r="H191" s="416"/>
      <c r="I191" s="416"/>
      <c r="J191" s="97"/>
      <c r="K191" s="97"/>
      <c r="L191" s="97"/>
      <c r="M191" s="97"/>
      <c r="N191" s="97"/>
      <c r="O191" s="97"/>
      <c r="P191" s="97"/>
      <c r="Q191" s="97"/>
      <c r="R191" s="97"/>
    </row>
    <row r="192" spans="2:18" ht="15.75" customHeight="1" x14ac:dyDescent="0.45">
      <c r="B192" s="97"/>
      <c r="C192" s="97"/>
      <c r="D192" s="97"/>
      <c r="E192" s="102"/>
      <c r="F192" s="102"/>
      <c r="G192" s="251"/>
      <c r="H192" s="416"/>
      <c r="I192" s="416"/>
      <c r="J192" s="97"/>
      <c r="K192" s="97"/>
      <c r="L192" s="97"/>
      <c r="M192" s="97"/>
      <c r="N192" s="97"/>
      <c r="O192" s="97"/>
      <c r="P192" s="97"/>
      <c r="Q192" s="97"/>
      <c r="R192" s="97"/>
    </row>
    <row r="193" spans="2:18" ht="15.75" customHeight="1" x14ac:dyDescent="0.45">
      <c r="B193" s="97"/>
      <c r="C193" s="97"/>
      <c r="D193" s="97"/>
      <c r="E193" s="102"/>
      <c r="F193" s="102"/>
      <c r="G193" s="251"/>
      <c r="H193" s="416"/>
      <c r="I193" s="416"/>
      <c r="J193" s="97"/>
      <c r="K193" s="97"/>
      <c r="L193" s="97"/>
      <c r="M193" s="97"/>
      <c r="N193" s="97"/>
      <c r="O193" s="97"/>
      <c r="P193" s="97"/>
      <c r="Q193" s="97"/>
      <c r="R193" s="97"/>
    </row>
    <row r="194" spans="2:18" ht="15.75" customHeight="1" x14ac:dyDescent="0.45">
      <c r="B194" s="97"/>
      <c r="C194" s="97"/>
      <c r="D194" s="97"/>
      <c r="E194" s="102"/>
      <c r="F194" s="102"/>
      <c r="G194" s="251"/>
      <c r="H194" s="416"/>
      <c r="I194" s="416"/>
      <c r="J194" s="97"/>
      <c r="K194" s="97"/>
      <c r="L194" s="97"/>
      <c r="M194" s="97"/>
      <c r="N194" s="97"/>
      <c r="O194" s="97"/>
      <c r="P194" s="97"/>
      <c r="Q194" s="97"/>
      <c r="R194" s="97"/>
    </row>
    <row r="195" spans="2:18" ht="15.75" customHeight="1" x14ac:dyDescent="0.45">
      <c r="B195" s="97"/>
      <c r="C195" s="97"/>
      <c r="D195" s="97"/>
      <c r="E195" s="102"/>
      <c r="F195" s="102"/>
      <c r="G195" s="251"/>
      <c r="H195" s="416"/>
      <c r="I195" s="416"/>
      <c r="J195" s="97"/>
      <c r="K195" s="97"/>
      <c r="L195" s="97"/>
      <c r="M195" s="97"/>
      <c r="N195" s="97"/>
      <c r="O195" s="97"/>
      <c r="P195" s="97"/>
      <c r="Q195" s="97"/>
      <c r="R195" s="97"/>
    </row>
    <row r="196" spans="2:18" ht="15.75" customHeight="1" x14ac:dyDescent="0.45">
      <c r="B196" s="97"/>
      <c r="C196" s="97"/>
      <c r="D196" s="97"/>
      <c r="E196" s="102"/>
      <c r="F196" s="102"/>
      <c r="G196" s="251"/>
      <c r="H196" s="416"/>
      <c r="I196" s="416"/>
      <c r="J196" s="97"/>
      <c r="K196" s="97"/>
      <c r="L196" s="97"/>
      <c r="M196" s="97"/>
      <c r="N196" s="97"/>
      <c r="O196" s="97"/>
      <c r="P196" s="97"/>
      <c r="Q196" s="97"/>
      <c r="R196" s="97"/>
    </row>
    <row r="197" spans="2:18" ht="15.75" customHeight="1" x14ac:dyDescent="0.45">
      <c r="B197" s="97"/>
      <c r="C197" s="97"/>
      <c r="D197" s="97"/>
      <c r="E197" s="102"/>
      <c r="F197" s="102"/>
      <c r="G197" s="251"/>
      <c r="H197" s="416"/>
      <c r="I197" s="416"/>
      <c r="J197" s="97"/>
      <c r="K197" s="97"/>
      <c r="L197" s="97"/>
      <c r="M197" s="97"/>
      <c r="N197" s="97"/>
      <c r="O197" s="97"/>
      <c r="P197" s="97"/>
      <c r="Q197" s="97"/>
      <c r="R197" s="97"/>
    </row>
    <row r="198" spans="2:18" ht="15.75" customHeight="1" x14ac:dyDescent="0.45">
      <c r="B198" s="97"/>
      <c r="C198" s="97"/>
      <c r="D198" s="97"/>
      <c r="E198" s="102"/>
      <c r="F198" s="102"/>
      <c r="G198" s="251"/>
      <c r="H198" s="416"/>
      <c r="I198" s="416"/>
      <c r="J198" s="97"/>
      <c r="K198" s="97"/>
      <c r="L198" s="97"/>
      <c r="M198" s="97"/>
      <c r="N198" s="97"/>
      <c r="O198" s="97"/>
      <c r="P198" s="97"/>
      <c r="Q198" s="97"/>
      <c r="R198" s="97"/>
    </row>
    <row r="199" spans="2:18" ht="15.75" customHeight="1" x14ac:dyDescent="0.45">
      <c r="B199" s="97"/>
      <c r="C199" s="97"/>
      <c r="D199" s="97"/>
      <c r="E199" s="102"/>
      <c r="F199" s="102"/>
      <c r="G199" s="251"/>
      <c r="H199" s="416"/>
      <c r="I199" s="416"/>
      <c r="J199" s="97"/>
      <c r="K199" s="97"/>
      <c r="L199" s="97"/>
      <c r="M199" s="97"/>
      <c r="N199" s="97"/>
      <c r="O199" s="97"/>
      <c r="P199" s="97"/>
      <c r="Q199" s="97"/>
      <c r="R199" s="97"/>
    </row>
    <row r="200" spans="2:18" ht="15.75" customHeight="1" x14ac:dyDescent="0.45">
      <c r="B200" s="97"/>
      <c r="C200" s="97"/>
      <c r="D200" s="97"/>
      <c r="E200" s="102"/>
      <c r="F200" s="102"/>
      <c r="G200" s="251"/>
      <c r="H200" s="416"/>
      <c r="I200" s="416"/>
      <c r="J200" s="97"/>
      <c r="K200" s="97"/>
      <c r="L200" s="97"/>
      <c r="M200" s="97"/>
      <c r="N200" s="97"/>
      <c r="O200" s="97"/>
      <c r="P200" s="97"/>
      <c r="Q200" s="97"/>
      <c r="R200" s="97"/>
    </row>
    <row r="201" spans="2:18" ht="15.75" customHeight="1" x14ac:dyDescent="0.45">
      <c r="B201" s="97"/>
      <c r="C201" s="97"/>
      <c r="D201" s="97"/>
      <c r="E201" s="102"/>
      <c r="F201" s="102"/>
      <c r="G201" s="251"/>
      <c r="H201" s="416"/>
      <c r="I201" s="416"/>
      <c r="J201" s="97"/>
      <c r="K201" s="97"/>
      <c r="L201" s="97"/>
      <c r="M201" s="97"/>
      <c r="N201" s="97"/>
      <c r="O201" s="97"/>
      <c r="P201" s="97"/>
      <c r="Q201" s="97"/>
      <c r="R201" s="97"/>
    </row>
    <row r="202" spans="2:18" ht="15.75" customHeight="1" x14ac:dyDescent="0.45">
      <c r="B202" s="97"/>
      <c r="C202" s="97"/>
      <c r="D202" s="97"/>
      <c r="E202" s="102"/>
      <c r="F202" s="102"/>
      <c r="G202" s="251"/>
      <c r="H202" s="416"/>
      <c r="I202" s="416"/>
      <c r="J202" s="97"/>
      <c r="K202" s="97"/>
      <c r="L202" s="97"/>
      <c r="M202" s="97"/>
      <c r="N202" s="97"/>
      <c r="O202" s="97"/>
      <c r="P202" s="97"/>
      <c r="Q202" s="97"/>
      <c r="R202" s="97"/>
    </row>
    <row r="203" spans="2:18" ht="15.75" customHeight="1" x14ac:dyDescent="0.45">
      <c r="B203" s="97"/>
      <c r="C203" s="97"/>
      <c r="D203" s="97"/>
      <c r="E203" s="102"/>
      <c r="F203" s="102"/>
      <c r="G203" s="251"/>
      <c r="H203" s="416"/>
      <c r="I203" s="416"/>
      <c r="J203" s="97"/>
      <c r="K203" s="97"/>
      <c r="L203" s="97"/>
      <c r="M203" s="97"/>
      <c r="N203" s="97"/>
      <c r="O203" s="97"/>
      <c r="P203" s="97"/>
      <c r="Q203" s="97"/>
      <c r="R203" s="97"/>
    </row>
    <row r="204" spans="2:18" ht="15.75" customHeight="1" x14ac:dyDescent="0.45">
      <c r="B204" s="97"/>
      <c r="C204" s="97"/>
      <c r="D204" s="97"/>
      <c r="E204" s="102"/>
      <c r="F204" s="102"/>
      <c r="G204" s="251"/>
      <c r="H204" s="416"/>
      <c r="I204" s="416"/>
      <c r="J204" s="97"/>
      <c r="K204" s="97"/>
      <c r="L204" s="97"/>
      <c r="M204" s="97"/>
      <c r="N204" s="97"/>
      <c r="O204" s="97"/>
      <c r="P204" s="97"/>
      <c r="Q204" s="97"/>
      <c r="R204" s="97"/>
    </row>
    <row r="205" spans="2:18" ht="15.75" customHeight="1" x14ac:dyDescent="0.45">
      <c r="B205" s="97"/>
      <c r="C205" s="97"/>
      <c r="D205" s="97"/>
      <c r="E205" s="102"/>
      <c r="F205" s="102"/>
      <c r="G205" s="251"/>
      <c r="H205" s="416"/>
      <c r="I205" s="416"/>
      <c r="J205" s="97"/>
      <c r="K205" s="97"/>
      <c r="L205" s="97"/>
      <c r="M205" s="97"/>
      <c r="N205" s="97"/>
      <c r="O205" s="97"/>
      <c r="P205" s="97"/>
      <c r="Q205" s="97"/>
      <c r="R205" s="97"/>
    </row>
    <row r="206" spans="2:18" ht="15.75" customHeight="1" x14ac:dyDescent="0.45">
      <c r="B206" s="97"/>
      <c r="C206" s="97"/>
      <c r="D206" s="97"/>
      <c r="E206" s="102"/>
      <c r="F206" s="102"/>
      <c r="G206" s="251"/>
      <c r="H206" s="416"/>
      <c r="I206" s="416"/>
      <c r="J206" s="97"/>
      <c r="K206" s="97"/>
      <c r="L206" s="97"/>
      <c r="M206" s="97"/>
      <c r="N206" s="97"/>
      <c r="O206" s="97"/>
      <c r="P206" s="97"/>
      <c r="Q206" s="97"/>
      <c r="R206" s="97"/>
    </row>
    <row r="207" spans="2:18" ht="15.75" customHeight="1" x14ac:dyDescent="0.45">
      <c r="B207" s="97"/>
      <c r="C207" s="97"/>
      <c r="D207" s="97"/>
      <c r="E207" s="102"/>
      <c r="F207" s="102"/>
      <c r="G207" s="251"/>
      <c r="H207" s="416"/>
      <c r="I207" s="416"/>
      <c r="J207" s="97"/>
      <c r="K207" s="97"/>
      <c r="L207" s="97"/>
      <c r="M207" s="97"/>
      <c r="N207" s="97"/>
      <c r="O207" s="97"/>
      <c r="P207" s="97"/>
      <c r="Q207" s="97"/>
      <c r="R207" s="97"/>
    </row>
    <row r="208" spans="2:18" ht="15.75" customHeight="1" x14ac:dyDescent="0.45">
      <c r="B208" s="97"/>
      <c r="C208" s="97"/>
      <c r="D208" s="97"/>
      <c r="E208" s="102"/>
      <c r="F208" s="102"/>
      <c r="G208" s="251"/>
      <c r="H208" s="416"/>
      <c r="I208" s="416"/>
      <c r="J208" s="97"/>
      <c r="K208" s="97"/>
      <c r="L208" s="97"/>
      <c r="M208" s="97"/>
      <c r="N208" s="97"/>
      <c r="O208" s="97"/>
      <c r="P208" s="97"/>
      <c r="Q208" s="97"/>
      <c r="R208" s="97"/>
    </row>
    <row r="209" spans="2:18" ht="15.75" customHeight="1" x14ac:dyDescent="0.45">
      <c r="B209" s="97"/>
      <c r="C209" s="97"/>
      <c r="D209" s="97"/>
      <c r="E209" s="102"/>
      <c r="F209" s="102"/>
      <c r="G209" s="251"/>
      <c r="H209" s="416"/>
      <c r="I209" s="416"/>
      <c r="J209" s="97"/>
      <c r="K209" s="97"/>
      <c r="L209" s="97"/>
      <c r="M209" s="97"/>
      <c r="N209" s="97"/>
      <c r="O209" s="97"/>
      <c r="P209" s="97"/>
      <c r="Q209" s="97"/>
      <c r="R209" s="97"/>
    </row>
    <row r="210" spans="2:18" ht="15.75" customHeight="1" x14ac:dyDescent="0.45">
      <c r="B210" s="97"/>
      <c r="C210" s="97"/>
      <c r="D210" s="97"/>
      <c r="E210" s="102"/>
      <c r="F210" s="102"/>
      <c r="G210" s="251"/>
      <c r="H210" s="416"/>
      <c r="I210" s="416"/>
      <c r="J210" s="97"/>
      <c r="K210" s="97"/>
      <c r="L210" s="97"/>
      <c r="M210" s="97"/>
      <c r="N210" s="97"/>
      <c r="O210" s="97"/>
      <c r="P210" s="97"/>
      <c r="Q210" s="97"/>
      <c r="R210" s="97"/>
    </row>
    <row r="211" spans="2:18" ht="15.75" customHeight="1" x14ac:dyDescent="0.45">
      <c r="B211" s="97"/>
      <c r="C211" s="97"/>
      <c r="D211" s="97"/>
      <c r="E211" s="102"/>
      <c r="F211" s="102"/>
      <c r="G211" s="251"/>
      <c r="H211" s="416"/>
      <c r="I211" s="416"/>
      <c r="J211" s="97"/>
      <c r="K211" s="97"/>
      <c r="L211" s="97"/>
      <c r="M211" s="97"/>
      <c r="N211" s="97"/>
      <c r="O211" s="97"/>
      <c r="P211" s="97"/>
      <c r="Q211" s="97"/>
      <c r="R211" s="97"/>
    </row>
    <row r="212" spans="2:18" ht="15.75" customHeight="1" x14ac:dyDescent="0.45">
      <c r="B212" s="97"/>
      <c r="C212" s="97"/>
      <c r="D212" s="97"/>
      <c r="E212" s="102"/>
      <c r="F212" s="102"/>
      <c r="G212" s="251"/>
      <c r="H212" s="416"/>
      <c r="I212" s="416"/>
      <c r="J212" s="97"/>
      <c r="K212" s="97"/>
      <c r="L212" s="97"/>
      <c r="M212" s="97"/>
      <c r="N212" s="97"/>
      <c r="O212" s="97"/>
      <c r="P212" s="97"/>
      <c r="Q212" s="97"/>
      <c r="R212" s="97"/>
    </row>
    <row r="213" spans="2:18" ht="15.75" customHeight="1" x14ac:dyDescent="0.45">
      <c r="B213" s="97"/>
      <c r="C213" s="97"/>
      <c r="D213" s="97"/>
      <c r="E213" s="102"/>
      <c r="F213" s="102"/>
      <c r="G213" s="251"/>
      <c r="H213" s="416"/>
      <c r="I213" s="416"/>
      <c r="J213" s="97"/>
      <c r="K213" s="97"/>
      <c r="L213" s="97"/>
      <c r="M213" s="97"/>
      <c r="N213" s="97"/>
      <c r="O213" s="97"/>
      <c r="P213" s="97"/>
      <c r="Q213" s="97"/>
      <c r="R213" s="97"/>
    </row>
    <row r="214" spans="2:18" ht="15.75" customHeight="1" x14ac:dyDescent="0.45">
      <c r="B214" s="97"/>
      <c r="C214" s="97"/>
      <c r="D214" s="97"/>
      <c r="E214" s="102"/>
      <c r="F214" s="102"/>
      <c r="G214" s="251"/>
      <c r="H214" s="416"/>
      <c r="I214" s="416"/>
      <c r="J214" s="97"/>
      <c r="K214" s="97"/>
      <c r="L214" s="97"/>
      <c r="M214" s="97"/>
      <c r="N214" s="97"/>
      <c r="O214" s="97"/>
      <c r="P214" s="97"/>
      <c r="Q214" s="97"/>
      <c r="R214" s="97"/>
    </row>
    <row r="215" spans="2:18" ht="15.75" customHeight="1" x14ac:dyDescent="0.45">
      <c r="B215" s="97"/>
      <c r="C215" s="97"/>
      <c r="D215" s="97"/>
      <c r="E215" s="102"/>
      <c r="F215" s="102"/>
      <c r="G215" s="251"/>
      <c r="H215" s="416"/>
      <c r="I215" s="416"/>
      <c r="J215" s="97"/>
      <c r="K215" s="97"/>
      <c r="L215" s="97"/>
      <c r="M215" s="97"/>
      <c r="N215" s="97"/>
      <c r="O215" s="97"/>
      <c r="P215" s="97"/>
      <c r="Q215" s="97"/>
      <c r="R215" s="97"/>
    </row>
    <row r="216" spans="2:18" ht="15.75" customHeight="1" x14ac:dyDescent="0.45">
      <c r="B216" s="97"/>
      <c r="C216" s="97"/>
      <c r="D216" s="97"/>
      <c r="E216" s="102"/>
      <c r="F216" s="102"/>
      <c r="G216" s="251"/>
      <c r="H216" s="416"/>
      <c r="I216" s="416"/>
      <c r="J216" s="97"/>
      <c r="K216" s="97"/>
      <c r="L216" s="97"/>
      <c r="M216" s="97"/>
      <c r="N216" s="97"/>
      <c r="O216" s="97"/>
      <c r="P216" s="97"/>
      <c r="Q216" s="97"/>
      <c r="R216" s="97"/>
    </row>
    <row r="217" spans="2:18" ht="15.75" customHeight="1" x14ac:dyDescent="0.45">
      <c r="B217" s="97"/>
      <c r="C217" s="97"/>
      <c r="D217" s="97"/>
      <c r="E217" s="102"/>
      <c r="F217" s="102"/>
      <c r="G217" s="251"/>
      <c r="H217" s="416"/>
      <c r="I217" s="416"/>
      <c r="J217" s="97"/>
      <c r="K217" s="97"/>
      <c r="L217" s="97"/>
      <c r="M217" s="97"/>
      <c r="N217" s="97"/>
      <c r="O217" s="97"/>
      <c r="P217" s="97"/>
      <c r="Q217" s="97"/>
      <c r="R217" s="97"/>
    </row>
    <row r="218" spans="2:18" ht="15.75" customHeight="1" x14ac:dyDescent="0.45">
      <c r="B218" s="97"/>
      <c r="C218" s="97"/>
      <c r="D218" s="97"/>
      <c r="E218" s="102"/>
      <c r="F218" s="102"/>
      <c r="G218" s="251"/>
      <c r="H218" s="416"/>
      <c r="I218" s="416"/>
      <c r="J218" s="97"/>
      <c r="K218" s="97"/>
      <c r="L218" s="97"/>
      <c r="M218" s="97"/>
      <c r="N218" s="97"/>
      <c r="O218" s="97"/>
      <c r="P218" s="97"/>
      <c r="Q218" s="97"/>
      <c r="R218" s="97"/>
    </row>
    <row r="219" spans="2:18" ht="15.75" customHeight="1" x14ac:dyDescent="0.45">
      <c r="B219" s="97"/>
      <c r="C219" s="97"/>
      <c r="D219" s="97"/>
      <c r="E219" s="102"/>
      <c r="F219" s="102"/>
      <c r="G219" s="251"/>
      <c r="H219" s="416"/>
      <c r="I219" s="416"/>
      <c r="J219" s="97"/>
      <c r="K219" s="97"/>
      <c r="L219" s="97"/>
      <c r="M219" s="97"/>
      <c r="N219" s="97"/>
      <c r="O219" s="97"/>
      <c r="P219" s="97"/>
      <c r="Q219" s="97"/>
      <c r="R219" s="97"/>
    </row>
    <row r="220" spans="2:18" ht="15.75" customHeight="1" x14ac:dyDescent="0.45">
      <c r="B220" s="97"/>
      <c r="C220" s="97"/>
      <c r="D220" s="97"/>
      <c r="E220" s="102"/>
      <c r="F220" s="102"/>
      <c r="G220" s="251"/>
      <c r="H220" s="416"/>
      <c r="I220" s="416"/>
      <c r="J220" s="97"/>
      <c r="K220" s="97"/>
      <c r="L220" s="97"/>
      <c r="M220" s="97"/>
      <c r="N220" s="97"/>
      <c r="O220" s="97"/>
      <c r="P220" s="97"/>
      <c r="Q220" s="97"/>
      <c r="R220" s="97"/>
    </row>
    <row r="221" spans="2:18" ht="15.75" customHeight="1" x14ac:dyDescent="0.45">
      <c r="B221" s="97"/>
      <c r="C221" s="97"/>
      <c r="D221" s="97"/>
      <c r="E221" s="102"/>
      <c r="F221" s="102"/>
      <c r="G221" s="251"/>
      <c r="H221" s="416"/>
      <c r="I221" s="416"/>
      <c r="J221" s="97"/>
      <c r="K221" s="97"/>
      <c r="L221" s="97"/>
      <c r="M221" s="97"/>
      <c r="N221" s="97"/>
      <c r="O221" s="97"/>
      <c r="P221" s="97"/>
      <c r="Q221" s="97"/>
      <c r="R221" s="97"/>
    </row>
    <row r="222" spans="2:18" ht="15.75" customHeight="1" x14ac:dyDescent="0.45">
      <c r="B222" s="97"/>
      <c r="C222" s="97"/>
      <c r="D222" s="97"/>
      <c r="E222" s="102"/>
      <c r="F222" s="102"/>
      <c r="G222" s="251"/>
      <c r="H222" s="416"/>
      <c r="I222" s="416"/>
      <c r="J222" s="97"/>
      <c r="K222" s="97"/>
      <c r="L222" s="97"/>
      <c r="M222" s="97"/>
      <c r="N222" s="97"/>
      <c r="O222" s="97"/>
      <c r="P222" s="97"/>
      <c r="Q222" s="97"/>
      <c r="R222" s="97"/>
    </row>
    <row r="223" spans="2:18" ht="15.75" customHeight="1" x14ac:dyDescent="0.45">
      <c r="B223" s="97"/>
      <c r="C223" s="97"/>
      <c r="D223" s="97"/>
      <c r="E223" s="102"/>
      <c r="F223" s="102"/>
      <c r="G223" s="251"/>
      <c r="H223" s="416"/>
      <c r="I223" s="416"/>
      <c r="J223" s="97"/>
      <c r="K223" s="97"/>
      <c r="L223" s="97"/>
      <c r="M223" s="97"/>
      <c r="N223" s="97"/>
      <c r="O223" s="97"/>
      <c r="P223" s="97"/>
      <c r="Q223" s="97"/>
      <c r="R223" s="97"/>
    </row>
    <row r="224" spans="2:18" ht="15.75" customHeight="1" x14ac:dyDescent="0.45">
      <c r="B224" s="97"/>
      <c r="C224" s="97"/>
      <c r="D224" s="97"/>
      <c r="E224" s="102"/>
      <c r="F224" s="102"/>
      <c r="G224" s="251"/>
      <c r="H224" s="416"/>
      <c r="I224" s="416"/>
      <c r="J224" s="97"/>
      <c r="K224" s="97"/>
      <c r="L224" s="97"/>
      <c r="M224" s="97"/>
      <c r="N224" s="97"/>
      <c r="O224" s="97"/>
      <c r="P224" s="97"/>
      <c r="Q224" s="97"/>
      <c r="R224" s="97"/>
    </row>
    <row r="225" spans="2:18" ht="15.75" customHeight="1" x14ac:dyDescent="0.45">
      <c r="B225" s="97"/>
      <c r="C225" s="97"/>
      <c r="D225" s="97"/>
      <c r="E225" s="102"/>
      <c r="F225" s="102"/>
      <c r="G225" s="251"/>
      <c r="H225" s="416"/>
      <c r="I225" s="416"/>
      <c r="J225" s="97"/>
      <c r="K225" s="97"/>
      <c r="L225" s="97"/>
      <c r="M225" s="97"/>
      <c r="N225" s="97"/>
      <c r="O225" s="97"/>
      <c r="P225" s="97"/>
      <c r="Q225" s="97"/>
      <c r="R225" s="97"/>
    </row>
    <row r="226" spans="2:18" ht="15.75" customHeight="1" x14ac:dyDescent="0.45">
      <c r="B226" s="97"/>
      <c r="C226" s="97"/>
      <c r="D226" s="97"/>
      <c r="E226" s="102"/>
      <c r="F226" s="102"/>
      <c r="G226" s="251"/>
      <c r="H226" s="416"/>
      <c r="I226" s="416"/>
      <c r="J226" s="97"/>
      <c r="K226" s="97"/>
      <c r="L226" s="97"/>
      <c r="M226" s="97"/>
      <c r="N226" s="97"/>
      <c r="O226" s="97"/>
      <c r="P226" s="97"/>
      <c r="Q226" s="97"/>
      <c r="R226" s="97"/>
    </row>
    <row r="227" spans="2:18" ht="15.75" customHeight="1" x14ac:dyDescent="0.45">
      <c r="B227" s="97"/>
      <c r="C227" s="97"/>
      <c r="D227" s="97"/>
      <c r="E227" s="102"/>
      <c r="F227" s="102"/>
      <c r="G227" s="251"/>
      <c r="H227" s="416"/>
      <c r="I227" s="416"/>
      <c r="J227" s="97"/>
      <c r="K227" s="97"/>
      <c r="L227" s="97"/>
      <c r="M227" s="97"/>
      <c r="N227" s="97"/>
      <c r="O227" s="97"/>
      <c r="P227" s="97"/>
      <c r="Q227" s="97"/>
      <c r="R227" s="97"/>
    </row>
    <row r="228" spans="2:18" ht="15.75" customHeight="1" x14ac:dyDescent="0.45">
      <c r="B228" s="97"/>
      <c r="C228" s="97"/>
      <c r="D228" s="97"/>
      <c r="E228" s="102"/>
      <c r="F228" s="102"/>
      <c r="G228" s="251"/>
      <c r="H228" s="416"/>
      <c r="I228" s="416"/>
      <c r="J228" s="97"/>
      <c r="K228" s="97"/>
      <c r="L228" s="97"/>
      <c r="M228" s="97"/>
      <c r="N228" s="97"/>
      <c r="O228" s="97"/>
      <c r="P228" s="97"/>
      <c r="Q228" s="97"/>
      <c r="R228" s="97"/>
    </row>
    <row r="229" spans="2:18" ht="15.75" customHeight="1" x14ac:dyDescent="0.45">
      <c r="B229" s="97"/>
      <c r="C229" s="97"/>
      <c r="D229" s="97"/>
      <c r="E229" s="102"/>
      <c r="F229" s="102"/>
      <c r="G229" s="251"/>
      <c r="H229" s="416"/>
      <c r="I229" s="416"/>
      <c r="J229" s="97"/>
      <c r="K229" s="97"/>
      <c r="L229" s="97"/>
      <c r="M229" s="97"/>
      <c r="N229" s="97"/>
      <c r="O229" s="97"/>
      <c r="P229" s="97"/>
      <c r="Q229" s="97"/>
      <c r="R229" s="97"/>
    </row>
    <row r="230" spans="2:18" ht="15.75" customHeight="1" x14ac:dyDescent="0.45">
      <c r="B230" s="97"/>
      <c r="C230" s="97"/>
      <c r="D230" s="97"/>
      <c r="E230" s="102"/>
      <c r="F230" s="102"/>
      <c r="G230" s="251"/>
      <c r="H230" s="416"/>
      <c r="I230" s="416"/>
      <c r="J230" s="97"/>
      <c r="K230" s="97"/>
      <c r="L230" s="97"/>
      <c r="M230" s="97"/>
      <c r="N230" s="97"/>
      <c r="O230" s="97"/>
      <c r="P230" s="97"/>
      <c r="Q230" s="97"/>
      <c r="R230" s="97"/>
    </row>
    <row r="231" spans="2:18" ht="15.75" customHeight="1" x14ac:dyDescent="0.45">
      <c r="B231" s="97"/>
      <c r="C231" s="97"/>
      <c r="D231" s="97"/>
      <c r="E231" s="102"/>
      <c r="F231" s="102"/>
      <c r="G231" s="251"/>
      <c r="H231" s="416"/>
      <c r="I231" s="416"/>
      <c r="J231" s="97"/>
      <c r="K231" s="97"/>
      <c r="L231" s="97"/>
      <c r="M231" s="97"/>
      <c r="N231" s="97"/>
      <c r="O231" s="97"/>
      <c r="P231" s="97"/>
      <c r="Q231" s="97"/>
      <c r="R231" s="97"/>
    </row>
    <row r="232" spans="2:18" ht="15.75" customHeight="1" x14ac:dyDescent="0.45">
      <c r="B232" s="97"/>
      <c r="C232" s="97"/>
      <c r="D232" s="97"/>
      <c r="E232" s="102"/>
      <c r="F232" s="102"/>
      <c r="G232" s="251"/>
      <c r="H232" s="416"/>
      <c r="I232" s="416"/>
      <c r="J232" s="97"/>
      <c r="K232" s="97"/>
      <c r="L232" s="97"/>
      <c r="M232" s="97"/>
      <c r="N232" s="97"/>
      <c r="O232" s="97"/>
      <c r="P232" s="97"/>
      <c r="Q232" s="97"/>
      <c r="R232" s="97"/>
    </row>
    <row r="233" spans="2:18" ht="15.75" customHeight="1" x14ac:dyDescent="0.45">
      <c r="B233" s="97"/>
      <c r="C233" s="97"/>
      <c r="D233" s="97"/>
      <c r="E233" s="102"/>
      <c r="F233" s="102"/>
      <c r="G233" s="251"/>
      <c r="H233" s="416"/>
      <c r="I233" s="416"/>
      <c r="J233" s="97"/>
      <c r="K233" s="97"/>
      <c r="L233" s="97"/>
      <c r="M233" s="97"/>
      <c r="N233" s="97"/>
      <c r="O233" s="97"/>
      <c r="P233" s="97"/>
      <c r="Q233" s="97"/>
      <c r="R233" s="97"/>
    </row>
    <row r="234" spans="2:18" ht="15.75" customHeight="1" x14ac:dyDescent="0.45">
      <c r="B234" s="97"/>
      <c r="C234" s="97"/>
      <c r="D234" s="97"/>
      <c r="E234" s="102"/>
      <c r="F234" s="102"/>
      <c r="G234" s="251"/>
      <c r="H234" s="416"/>
      <c r="I234" s="416"/>
      <c r="J234" s="97"/>
      <c r="K234" s="97"/>
      <c r="L234" s="97"/>
      <c r="M234" s="97"/>
      <c r="N234" s="97"/>
      <c r="O234" s="97"/>
      <c r="P234" s="97"/>
      <c r="Q234" s="97"/>
      <c r="R234" s="97"/>
    </row>
    <row r="235" spans="2:18" ht="15.75" customHeight="1" x14ac:dyDescent="0.45">
      <c r="B235" s="97"/>
      <c r="C235" s="97"/>
      <c r="D235" s="97"/>
      <c r="E235" s="102"/>
      <c r="F235" s="102"/>
      <c r="G235" s="251"/>
      <c r="H235" s="416"/>
      <c r="I235" s="416"/>
      <c r="J235" s="97"/>
      <c r="K235" s="97"/>
      <c r="L235" s="97"/>
      <c r="M235" s="97"/>
      <c r="N235" s="97"/>
      <c r="O235" s="97"/>
      <c r="P235" s="97"/>
      <c r="Q235" s="97"/>
      <c r="R235" s="97"/>
    </row>
    <row r="236" spans="2:18" ht="15.75" customHeight="1" x14ac:dyDescent="0.45">
      <c r="B236" s="97"/>
      <c r="C236" s="97"/>
      <c r="D236" s="97"/>
      <c r="E236" s="102"/>
      <c r="F236" s="102"/>
      <c r="G236" s="251"/>
      <c r="H236" s="416"/>
      <c r="I236" s="416"/>
      <c r="J236" s="97"/>
      <c r="K236" s="97"/>
      <c r="L236" s="97"/>
      <c r="M236" s="97"/>
      <c r="N236" s="97"/>
      <c r="O236" s="97"/>
      <c r="P236" s="97"/>
      <c r="Q236" s="97"/>
      <c r="R236" s="97"/>
    </row>
    <row r="237" spans="2:18" ht="15.75" customHeight="1" x14ac:dyDescent="0.45">
      <c r="B237" s="97"/>
      <c r="C237" s="97"/>
      <c r="D237" s="97"/>
      <c r="E237" s="102"/>
      <c r="F237" s="102"/>
      <c r="G237" s="251"/>
      <c r="H237" s="416"/>
      <c r="I237" s="416"/>
      <c r="J237" s="97"/>
      <c r="K237" s="97"/>
      <c r="L237" s="97"/>
      <c r="M237" s="97"/>
      <c r="N237" s="97"/>
      <c r="O237" s="97"/>
      <c r="P237" s="97"/>
      <c r="Q237" s="97"/>
      <c r="R237" s="97"/>
    </row>
    <row r="238" spans="2:18" ht="15.75" customHeight="1" x14ac:dyDescent="0.45">
      <c r="B238" s="97"/>
      <c r="C238" s="97"/>
      <c r="D238" s="97"/>
      <c r="E238" s="102"/>
      <c r="F238" s="102"/>
      <c r="G238" s="251"/>
      <c r="H238" s="416"/>
      <c r="I238" s="416"/>
      <c r="J238" s="97"/>
      <c r="K238" s="97"/>
      <c r="L238" s="97"/>
      <c r="M238" s="97"/>
      <c r="N238" s="97"/>
      <c r="O238" s="97"/>
      <c r="P238" s="97"/>
      <c r="Q238" s="97"/>
      <c r="R238" s="97"/>
    </row>
    <row r="239" spans="2:18" ht="15.75" customHeight="1" x14ac:dyDescent="0.45">
      <c r="B239" s="97"/>
      <c r="C239" s="97"/>
      <c r="D239" s="97"/>
      <c r="E239" s="102"/>
      <c r="F239" s="102"/>
      <c r="G239" s="251"/>
      <c r="H239" s="416"/>
      <c r="I239" s="416"/>
      <c r="J239" s="97"/>
      <c r="K239" s="97"/>
      <c r="L239" s="97"/>
      <c r="M239" s="97"/>
      <c r="N239" s="97"/>
      <c r="O239" s="97"/>
      <c r="P239" s="97"/>
      <c r="Q239" s="97"/>
      <c r="R239" s="97"/>
    </row>
    <row r="240" spans="2:18" ht="15.75" customHeight="1" x14ac:dyDescent="0.45">
      <c r="B240" s="97"/>
      <c r="C240" s="97"/>
      <c r="D240" s="97"/>
      <c r="E240" s="102"/>
      <c r="F240" s="102"/>
      <c r="G240" s="251"/>
      <c r="H240" s="416"/>
      <c r="I240" s="416"/>
      <c r="J240" s="97"/>
      <c r="K240" s="97"/>
      <c r="L240" s="97"/>
      <c r="M240" s="97"/>
      <c r="N240" s="97"/>
      <c r="O240" s="97"/>
      <c r="P240" s="97"/>
      <c r="Q240" s="97"/>
      <c r="R240" s="97"/>
    </row>
    <row r="241" spans="2:18" ht="15.75" customHeight="1" x14ac:dyDescent="0.45">
      <c r="B241" s="97"/>
      <c r="C241" s="97"/>
      <c r="D241" s="97"/>
      <c r="E241" s="102"/>
      <c r="F241" s="102"/>
      <c r="G241" s="251"/>
      <c r="H241" s="416"/>
      <c r="I241" s="416"/>
      <c r="J241" s="97"/>
      <c r="K241" s="97"/>
      <c r="L241" s="97"/>
      <c r="M241" s="97"/>
      <c r="N241" s="97"/>
      <c r="O241" s="97"/>
      <c r="P241" s="97"/>
      <c r="Q241" s="97"/>
      <c r="R241" s="97"/>
    </row>
    <row r="242" spans="2:18" ht="15.75" customHeight="1" x14ac:dyDescent="0.45">
      <c r="B242" s="97"/>
      <c r="C242" s="97"/>
      <c r="D242" s="97"/>
      <c r="E242" s="102"/>
      <c r="F242" s="102"/>
      <c r="G242" s="251"/>
      <c r="H242" s="416"/>
      <c r="I242" s="416"/>
      <c r="J242" s="97"/>
      <c r="K242" s="97"/>
      <c r="L242" s="97"/>
      <c r="M242" s="97"/>
      <c r="N242" s="97"/>
      <c r="O242" s="97"/>
      <c r="P242" s="97"/>
      <c r="Q242" s="97"/>
      <c r="R242" s="97"/>
    </row>
    <row r="243" spans="2:18" ht="15.75" customHeight="1" x14ac:dyDescent="0.45">
      <c r="B243" s="97"/>
      <c r="C243" s="97"/>
      <c r="D243" s="97"/>
      <c r="E243" s="102"/>
      <c r="F243" s="102"/>
      <c r="G243" s="251"/>
      <c r="H243" s="416"/>
      <c r="I243" s="416"/>
      <c r="J243" s="97"/>
      <c r="K243" s="97"/>
      <c r="L243" s="97"/>
      <c r="M243" s="97"/>
      <c r="N243" s="97"/>
      <c r="O243" s="97"/>
      <c r="P243" s="97"/>
      <c r="Q243" s="97"/>
      <c r="R243" s="97"/>
    </row>
    <row r="244" spans="2:18" ht="15.75" customHeight="1" x14ac:dyDescent="0.45">
      <c r="B244" s="97"/>
      <c r="C244" s="97"/>
      <c r="D244" s="97"/>
      <c r="E244" s="102"/>
      <c r="F244" s="102"/>
      <c r="G244" s="251"/>
      <c r="H244" s="416"/>
      <c r="I244" s="416"/>
      <c r="J244" s="97"/>
      <c r="K244" s="97"/>
      <c r="L244" s="97"/>
      <c r="M244" s="97"/>
      <c r="N244" s="97"/>
      <c r="O244" s="97"/>
      <c r="P244" s="97"/>
      <c r="Q244" s="97"/>
      <c r="R244" s="97"/>
    </row>
    <row r="245" spans="2:18" ht="15.75" customHeight="1" x14ac:dyDescent="0.45">
      <c r="B245" s="97"/>
      <c r="C245" s="97"/>
      <c r="D245" s="97"/>
      <c r="E245" s="102"/>
      <c r="F245" s="102"/>
      <c r="G245" s="251"/>
      <c r="H245" s="416"/>
      <c r="I245" s="416"/>
      <c r="J245" s="97"/>
      <c r="K245" s="97"/>
      <c r="L245" s="97"/>
      <c r="M245" s="97"/>
      <c r="N245" s="97"/>
      <c r="O245" s="97"/>
      <c r="P245" s="97"/>
      <c r="Q245" s="97"/>
      <c r="R245" s="97"/>
    </row>
    <row r="246" spans="2:18" ht="15.75" customHeight="1" x14ac:dyDescent="0.45">
      <c r="B246" s="97"/>
      <c r="C246" s="97"/>
      <c r="D246" s="97"/>
      <c r="E246" s="102"/>
      <c r="F246" s="102"/>
      <c r="G246" s="251"/>
      <c r="H246" s="416"/>
      <c r="I246" s="416"/>
      <c r="J246" s="97"/>
      <c r="K246" s="97"/>
      <c r="L246" s="97"/>
      <c r="M246" s="97"/>
      <c r="N246" s="97"/>
      <c r="O246" s="97"/>
      <c r="P246" s="97"/>
      <c r="Q246" s="97"/>
      <c r="R246" s="97"/>
    </row>
    <row r="247" spans="2:18" ht="15.75" customHeight="1" x14ac:dyDescent="0.45">
      <c r="B247" s="97"/>
      <c r="C247" s="97"/>
      <c r="D247" s="97"/>
      <c r="E247" s="102"/>
      <c r="F247" s="102"/>
      <c r="G247" s="251"/>
      <c r="H247" s="416"/>
      <c r="I247" s="416"/>
      <c r="J247" s="97"/>
      <c r="K247" s="97"/>
      <c r="L247" s="97"/>
      <c r="M247" s="97"/>
      <c r="N247" s="97"/>
      <c r="O247" s="97"/>
      <c r="P247" s="97"/>
      <c r="Q247" s="97"/>
      <c r="R247" s="97"/>
    </row>
    <row r="248" spans="2:18" ht="15.75" customHeight="1" x14ac:dyDescent="0.45">
      <c r="B248" s="97"/>
      <c r="C248" s="97"/>
      <c r="D248" s="97"/>
      <c r="E248" s="102"/>
      <c r="F248" s="102"/>
      <c r="G248" s="251"/>
      <c r="H248" s="416"/>
      <c r="I248" s="416"/>
      <c r="J248" s="97"/>
      <c r="K248" s="97"/>
      <c r="L248" s="97"/>
      <c r="M248" s="97"/>
      <c r="N248" s="97"/>
      <c r="O248" s="97"/>
      <c r="P248" s="97"/>
      <c r="Q248" s="97"/>
      <c r="R248" s="97"/>
    </row>
    <row r="249" spans="2:18" ht="15.75" customHeight="1" x14ac:dyDescent="0.45">
      <c r="B249" s="97"/>
      <c r="C249" s="97"/>
      <c r="D249" s="97"/>
      <c r="E249" s="102"/>
      <c r="F249" s="102"/>
      <c r="G249" s="251"/>
      <c r="H249" s="416"/>
      <c r="I249" s="416"/>
      <c r="J249" s="97"/>
      <c r="K249" s="97"/>
      <c r="L249" s="97"/>
      <c r="M249" s="97"/>
      <c r="N249" s="97"/>
      <c r="O249" s="97"/>
      <c r="P249" s="97"/>
      <c r="Q249" s="97"/>
      <c r="R249" s="97"/>
    </row>
    <row r="250" spans="2:18" ht="15.75" customHeight="1" x14ac:dyDescent="0.45">
      <c r="B250" s="97"/>
      <c r="C250" s="97"/>
      <c r="D250" s="97"/>
      <c r="E250" s="102"/>
      <c r="F250" s="102"/>
      <c r="G250" s="251"/>
      <c r="H250" s="416"/>
      <c r="I250" s="416"/>
      <c r="J250" s="97"/>
      <c r="K250" s="97"/>
      <c r="L250" s="97"/>
      <c r="M250" s="97"/>
      <c r="N250" s="97"/>
      <c r="O250" s="97"/>
      <c r="P250" s="97"/>
      <c r="Q250" s="97"/>
      <c r="R250" s="97"/>
    </row>
    <row r="251" spans="2:18" ht="15.75" customHeight="1" x14ac:dyDescent="0.45">
      <c r="B251" s="97"/>
      <c r="C251" s="97"/>
      <c r="D251" s="97"/>
      <c r="E251" s="102"/>
      <c r="F251" s="102"/>
      <c r="G251" s="251"/>
      <c r="H251" s="416"/>
      <c r="I251" s="416"/>
      <c r="J251" s="97"/>
      <c r="K251" s="97"/>
      <c r="L251" s="97"/>
      <c r="M251" s="97"/>
      <c r="N251" s="97"/>
      <c r="O251" s="97"/>
      <c r="P251" s="97"/>
      <c r="Q251" s="97"/>
      <c r="R251" s="97"/>
    </row>
    <row r="252" spans="2:18" ht="15.75" customHeight="1" x14ac:dyDescent="0.45">
      <c r="B252" s="97"/>
      <c r="C252" s="97"/>
      <c r="D252" s="97"/>
      <c r="E252" s="102"/>
      <c r="F252" s="102"/>
      <c r="G252" s="251"/>
      <c r="H252" s="416"/>
      <c r="I252" s="416"/>
      <c r="J252" s="97"/>
      <c r="K252" s="97"/>
      <c r="L252" s="97"/>
      <c r="M252" s="97"/>
      <c r="N252" s="97"/>
      <c r="O252" s="97"/>
      <c r="P252" s="97"/>
      <c r="Q252" s="97"/>
      <c r="R252" s="97"/>
    </row>
    <row r="253" spans="2:18" ht="15.75" customHeight="1" x14ac:dyDescent="0.45">
      <c r="B253" s="97"/>
      <c r="C253" s="97"/>
      <c r="D253" s="97"/>
      <c r="E253" s="102"/>
      <c r="F253" s="102"/>
      <c r="G253" s="251"/>
      <c r="H253" s="416"/>
      <c r="I253" s="416"/>
      <c r="J253" s="97"/>
      <c r="K253" s="97"/>
      <c r="L253" s="97"/>
      <c r="M253" s="97"/>
      <c r="N253" s="97"/>
      <c r="O253" s="97"/>
      <c r="P253" s="97"/>
      <c r="Q253" s="97"/>
      <c r="R253" s="97"/>
    </row>
    <row r="254" spans="2:18" ht="15.75" customHeight="1" x14ac:dyDescent="0.45">
      <c r="B254" s="97"/>
      <c r="C254" s="97"/>
      <c r="D254" s="97"/>
      <c r="E254" s="102"/>
      <c r="F254" s="102"/>
      <c r="G254" s="251"/>
      <c r="H254" s="416"/>
      <c r="I254" s="416"/>
      <c r="J254" s="97"/>
      <c r="K254" s="97"/>
      <c r="L254" s="97"/>
      <c r="M254" s="97"/>
      <c r="N254" s="97"/>
      <c r="O254" s="97"/>
      <c r="P254" s="97"/>
      <c r="Q254" s="97"/>
      <c r="R254" s="97"/>
    </row>
    <row r="255" spans="2:18" ht="15.75" customHeight="1" x14ac:dyDescent="0.45">
      <c r="B255" s="97"/>
      <c r="C255" s="97"/>
      <c r="D255" s="97"/>
      <c r="E255" s="102"/>
      <c r="F255" s="102"/>
      <c r="G255" s="251"/>
      <c r="H255" s="416"/>
      <c r="I255" s="416"/>
      <c r="J255" s="97"/>
      <c r="K255" s="97"/>
      <c r="L255" s="97"/>
      <c r="M255" s="97"/>
      <c r="N255" s="97"/>
      <c r="O255" s="97"/>
      <c r="P255" s="97"/>
      <c r="Q255" s="97"/>
      <c r="R255" s="97"/>
    </row>
    <row r="256" spans="2:18" ht="15.75" customHeight="1" x14ac:dyDescent="0.45">
      <c r="B256" s="97"/>
      <c r="C256" s="97"/>
      <c r="D256" s="97"/>
      <c r="E256" s="102"/>
      <c r="F256" s="102"/>
      <c r="G256" s="251"/>
      <c r="H256" s="416"/>
      <c r="I256" s="416"/>
      <c r="J256" s="97"/>
      <c r="K256" s="97"/>
      <c r="L256" s="97"/>
      <c r="M256" s="97"/>
      <c r="N256" s="97"/>
      <c r="O256" s="97"/>
      <c r="P256" s="97"/>
      <c r="Q256" s="97"/>
      <c r="R256" s="97"/>
    </row>
    <row r="257" spans="2:18" ht="15.75" customHeight="1" x14ac:dyDescent="0.45">
      <c r="B257" s="97"/>
      <c r="C257" s="97"/>
      <c r="D257" s="97"/>
      <c r="E257" s="102"/>
      <c r="F257" s="102"/>
      <c r="G257" s="251"/>
      <c r="H257" s="416"/>
      <c r="I257" s="416"/>
      <c r="J257" s="97"/>
      <c r="K257" s="97"/>
      <c r="L257" s="97"/>
      <c r="M257" s="97"/>
      <c r="N257" s="97"/>
      <c r="O257" s="97"/>
      <c r="P257" s="97"/>
      <c r="Q257" s="97"/>
      <c r="R257" s="97"/>
    </row>
    <row r="258" spans="2:18" ht="15.75" customHeight="1" x14ac:dyDescent="0.45">
      <c r="B258" s="97"/>
      <c r="C258" s="97"/>
      <c r="D258" s="97"/>
      <c r="E258" s="102"/>
      <c r="F258" s="102"/>
      <c r="G258" s="251"/>
      <c r="H258" s="416"/>
      <c r="I258" s="416"/>
      <c r="J258" s="97"/>
      <c r="K258" s="97"/>
      <c r="L258" s="97"/>
      <c r="M258" s="97"/>
      <c r="N258" s="97"/>
      <c r="O258" s="97"/>
      <c r="P258" s="97"/>
      <c r="Q258" s="97"/>
      <c r="R258" s="97"/>
    </row>
    <row r="259" spans="2:18" ht="15.75" customHeight="1" x14ac:dyDescent="0.45">
      <c r="B259" s="97"/>
      <c r="C259" s="97"/>
      <c r="D259" s="97"/>
      <c r="E259" s="102"/>
      <c r="F259" s="102"/>
      <c r="G259" s="251"/>
      <c r="H259" s="416"/>
      <c r="I259" s="416"/>
      <c r="J259" s="97"/>
      <c r="K259" s="97"/>
      <c r="L259" s="97"/>
      <c r="M259" s="97"/>
      <c r="N259" s="97"/>
      <c r="O259" s="97"/>
      <c r="P259" s="97"/>
      <c r="Q259" s="97"/>
      <c r="R259" s="97"/>
    </row>
    <row r="260" spans="2:18" ht="15.75" customHeight="1" x14ac:dyDescent="0.45">
      <c r="B260" s="97"/>
      <c r="C260" s="97"/>
      <c r="D260" s="97"/>
      <c r="E260" s="102"/>
      <c r="F260" s="102"/>
      <c r="G260" s="251"/>
      <c r="H260" s="416"/>
      <c r="I260" s="416"/>
      <c r="J260" s="97"/>
      <c r="K260" s="97"/>
      <c r="L260" s="97"/>
      <c r="M260" s="97"/>
      <c r="N260" s="97"/>
      <c r="O260" s="97"/>
      <c r="P260" s="97"/>
      <c r="Q260" s="97"/>
      <c r="R260" s="97"/>
    </row>
    <row r="261" spans="2:18" ht="15.75" customHeight="1" x14ac:dyDescent="0.45">
      <c r="B261" s="97"/>
      <c r="C261" s="97"/>
      <c r="D261" s="97"/>
      <c r="E261" s="102"/>
      <c r="F261" s="102"/>
      <c r="G261" s="251"/>
      <c r="H261" s="416"/>
      <c r="I261" s="416"/>
      <c r="J261" s="97"/>
      <c r="K261" s="97"/>
      <c r="L261" s="97"/>
      <c r="M261" s="97"/>
      <c r="N261" s="97"/>
      <c r="O261" s="97"/>
      <c r="P261" s="97"/>
      <c r="Q261" s="97"/>
      <c r="R261" s="97"/>
    </row>
    <row r="262" spans="2:18" ht="15.75" customHeight="1" x14ac:dyDescent="0.45">
      <c r="B262" s="97"/>
      <c r="C262" s="97"/>
      <c r="D262" s="97"/>
      <c r="E262" s="102"/>
      <c r="F262" s="102"/>
      <c r="G262" s="251"/>
      <c r="H262" s="416"/>
      <c r="I262" s="416"/>
      <c r="J262" s="97"/>
      <c r="K262" s="97"/>
      <c r="L262" s="97"/>
      <c r="M262" s="97"/>
      <c r="N262" s="97"/>
      <c r="O262" s="97"/>
      <c r="P262" s="97"/>
      <c r="Q262" s="97"/>
      <c r="R262" s="97"/>
    </row>
    <row r="263" spans="2:18" ht="15.75" customHeight="1" x14ac:dyDescent="0.45">
      <c r="B263" s="97"/>
      <c r="C263" s="97"/>
      <c r="D263" s="97"/>
      <c r="E263" s="102"/>
      <c r="F263" s="102"/>
      <c r="G263" s="251"/>
      <c r="H263" s="416"/>
      <c r="I263" s="416"/>
      <c r="J263" s="97"/>
      <c r="K263" s="97"/>
      <c r="L263" s="97"/>
      <c r="M263" s="97"/>
      <c r="N263" s="97"/>
      <c r="O263" s="97"/>
      <c r="P263" s="97"/>
      <c r="Q263" s="97"/>
      <c r="R263" s="97"/>
    </row>
    <row r="264" spans="2:18" ht="15.75" customHeight="1" x14ac:dyDescent="0.45">
      <c r="B264" s="97"/>
      <c r="C264" s="97"/>
      <c r="D264" s="97"/>
      <c r="E264" s="102"/>
      <c r="F264" s="102"/>
      <c r="G264" s="251"/>
      <c r="H264" s="416"/>
      <c r="I264" s="416"/>
      <c r="J264" s="97"/>
      <c r="K264" s="97"/>
      <c r="L264" s="97"/>
      <c r="M264" s="97"/>
      <c r="N264" s="97"/>
      <c r="O264" s="97"/>
      <c r="P264" s="97"/>
      <c r="Q264" s="97"/>
      <c r="R264" s="97"/>
    </row>
    <row r="265" spans="2:18" ht="15.75" customHeight="1" x14ac:dyDescent="0.45">
      <c r="B265" s="97"/>
      <c r="C265" s="97"/>
      <c r="D265" s="97"/>
      <c r="E265" s="102"/>
      <c r="F265" s="102"/>
      <c r="G265" s="251"/>
      <c r="H265" s="416"/>
      <c r="I265" s="416"/>
      <c r="J265" s="97"/>
      <c r="K265" s="97"/>
      <c r="L265" s="97"/>
      <c r="M265" s="97"/>
      <c r="N265" s="97"/>
      <c r="O265" s="97"/>
      <c r="P265" s="97"/>
      <c r="Q265" s="97"/>
      <c r="R265" s="97"/>
    </row>
    <row r="266" spans="2:18" ht="15.75" customHeight="1" x14ac:dyDescent="0.45">
      <c r="B266" s="97"/>
      <c r="C266" s="97"/>
      <c r="D266" s="97"/>
      <c r="E266" s="102"/>
      <c r="F266" s="102"/>
      <c r="G266" s="251"/>
      <c r="H266" s="416"/>
      <c r="I266" s="416"/>
      <c r="J266" s="97"/>
      <c r="K266" s="97"/>
      <c r="L266" s="97"/>
      <c r="M266" s="97"/>
      <c r="N266" s="97"/>
      <c r="O266" s="97"/>
      <c r="P266" s="97"/>
      <c r="Q266" s="97"/>
      <c r="R266" s="97"/>
    </row>
    <row r="267" spans="2:18" ht="15.75" customHeight="1" x14ac:dyDescent="0.45">
      <c r="B267" s="97"/>
      <c r="C267" s="97"/>
      <c r="D267" s="97"/>
      <c r="E267" s="102"/>
      <c r="F267" s="102"/>
      <c r="G267" s="251"/>
      <c r="H267" s="416"/>
      <c r="I267" s="416"/>
      <c r="J267" s="97"/>
      <c r="K267" s="97"/>
      <c r="L267" s="97"/>
      <c r="M267" s="97"/>
      <c r="N267" s="97"/>
      <c r="O267" s="97"/>
      <c r="P267" s="97"/>
      <c r="Q267" s="97"/>
      <c r="R267" s="97"/>
    </row>
    <row r="268" spans="2:18" ht="15.75" customHeight="1" x14ac:dyDescent="0.45">
      <c r="B268" s="97"/>
      <c r="C268" s="97"/>
      <c r="D268" s="97"/>
      <c r="E268" s="102"/>
      <c r="F268" s="102"/>
      <c r="G268" s="251"/>
      <c r="H268" s="416"/>
      <c r="I268" s="416"/>
      <c r="J268" s="97"/>
      <c r="K268" s="97"/>
      <c r="L268" s="97"/>
      <c r="M268" s="97"/>
      <c r="N268" s="97"/>
      <c r="O268" s="97"/>
      <c r="P268" s="97"/>
      <c r="Q268" s="97"/>
      <c r="R268" s="97"/>
    </row>
    <row r="269" spans="2:18" ht="15.75" customHeight="1" x14ac:dyDescent="0.45">
      <c r="B269" s="97"/>
      <c r="C269" s="97"/>
      <c r="D269" s="97"/>
      <c r="E269" s="102"/>
      <c r="F269" s="102"/>
      <c r="G269" s="251"/>
      <c r="H269" s="416"/>
      <c r="I269" s="416"/>
      <c r="J269" s="97"/>
      <c r="K269" s="97"/>
      <c r="L269" s="97"/>
      <c r="M269" s="97"/>
      <c r="N269" s="97"/>
      <c r="O269" s="97"/>
      <c r="P269" s="97"/>
      <c r="Q269" s="97"/>
      <c r="R269" s="97"/>
    </row>
    <row r="270" spans="2:18" ht="15.75" customHeight="1" x14ac:dyDescent="0.45">
      <c r="B270" s="97"/>
      <c r="C270" s="97"/>
      <c r="D270" s="97"/>
      <c r="E270" s="102"/>
      <c r="F270" s="102"/>
      <c r="G270" s="251"/>
      <c r="H270" s="416"/>
      <c r="I270" s="416"/>
      <c r="J270" s="97"/>
      <c r="K270" s="97"/>
      <c r="L270" s="97"/>
      <c r="M270" s="97"/>
      <c r="N270" s="97"/>
      <c r="O270" s="97"/>
      <c r="P270" s="97"/>
      <c r="Q270" s="97"/>
      <c r="R270" s="97"/>
    </row>
    <row r="271" spans="2:18" ht="15.75" customHeight="1" x14ac:dyDescent="0.45">
      <c r="B271" s="97"/>
      <c r="C271" s="97"/>
      <c r="D271" s="97"/>
      <c r="E271" s="102"/>
      <c r="F271" s="102"/>
      <c r="G271" s="251"/>
      <c r="H271" s="416"/>
      <c r="I271" s="416"/>
      <c r="J271" s="97"/>
      <c r="K271" s="97"/>
      <c r="L271" s="97"/>
      <c r="M271" s="97"/>
      <c r="N271" s="97"/>
      <c r="O271" s="97"/>
      <c r="P271" s="97"/>
      <c r="Q271" s="97"/>
      <c r="R271" s="97"/>
    </row>
    <row r="272" spans="2:18" ht="15.75" customHeight="1" x14ac:dyDescent="0.45">
      <c r="B272" s="97"/>
      <c r="C272" s="97"/>
      <c r="D272" s="97"/>
      <c r="E272" s="102"/>
      <c r="F272" s="102"/>
      <c r="G272" s="251"/>
      <c r="H272" s="416"/>
      <c r="I272" s="416"/>
      <c r="J272" s="97"/>
      <c r="K272" s="97"/>
      <c r="L272" s="97"/>
      <c r="M272" s="97"/>
      <c r="N272" s="97"/>
      <c r="O272" s="97"/>
      <c r="P272" s="97"/>
      <c r="Q272" s="97"/>
      <c r="R272" s="97"/>
    </row>
    <row r="273" spans="2:18" ht="15.75" customHeight="1" x14ac:dyDescent="0.45">
      <c r="B273" s="97"/>
      <c r="C273" s="97"/>
      <c r="D273" s="97"/>
      <c r="E273" s="102"/>
      <c r="F273" s="102"/>
      <c r="G273" s="251"/>
      <c r="H273" s="416"/>
      <c r="I273" s="416"/>
      <c r="J273" s="97"/>
      <c r="K273" s="97"/>
      <c r="L273" s="97"/>
      <c r="M273" s="97"/>
      <c r="N273" s="97"/>
      <c r="O273" s="97"/>
      <c r="P273" s="97"/>
      <c r="Q273" s="97"/>
      <c r="R273" s="97"/>
    </row>
    <row r="274" spans="2:18" ht="15.75" customHeight="1" x14ac:dyDescent="0.45">
      <c r="B274" s="97"/>
      <c r="C274" s="97"/>
      <c r="D274" s="97"/>
      <c r="E274" s="102"/>
      <c r="F274" s="102"/>
      <c r="G274" s="251"/>
      <c r="H274" s="416"/>
      <c r="I274" s="416"/>
      <c r="J274" s="97"/>
      <c r="K274" s="97"/>
      <c r="L274" s="97"/>
      <c r="M274" s="97"/>
      <c r="N274" s="97"/>
      <c r="O274" s="97"/>
      <c r="P274" s="97"/>
      <c r="Q274" s="97"/>
      <c r="R274" s="97"/>
    </row>
    <row r="275" spans="2:18" ht="15.75" customHeight="1" x14ac:dyDescent="0.45">
      <c r="B275" s="97"/>
      <c r="C275" s="97"/>
      <c r="D275" s="97"/>
      <c r="E275" s="102"/>
      <c r="F275" s="102"/>
      <c r="G275" s="251"/>
      <c r="H275" s="416"/>
      <c r="I275" s="416"/>
      <c r="J275" s="97"/>
      <c r="K275" s="97"/>
      <c r="L275" s="97"/>
      <c r="M275" s="97"/>
      <c r="N275" s="97"/>
      <c r="O275" s="97"/>
      <c r="P275" s="97"/>
      <c r="Q275" s="97"/>
      <c r="R275" s="97"/>
    </row>
    <row r="276" spans="2:18" ht="15.75" customHeight="1" x14ac:dyDescent="0.45">
      <c r="B276" s="97"/>
      <c r="C276" s="97"/>
      <c r="D276" s="97"/>
      <c r="E276" s="102"/>
      <c r="F276" s="102"/>
      <c r="G276" s="251"/>
      <c r="H276" s="416"/>
      <c r="I276" s="416"/>
      <c r="J276" s="97"/>
      <c r="K276" s="97"/>
      <c r="L276" s="97"/>
      <c r="M276" s="97"/>
      <c r="N276" s="97"/>
      <c r="O276" s="97"/>
      <c r="P276" s="97"/>
      <c r="Q276" s="97"/>
      <c r="R276" s="97"/>
    </row>
    <row r="277" spans="2:18" ht="15.75" customHeight="1" x14ac:dyDescent="0.45">
      <c r="B277" s="97"/>
      <c r="C277" s="97"/>
      <c r="D277" s="97"/>
      <c r="E277" s="102"/>
      <c r="F277" s="102"/>
      <c r="G277" s="251"/>
      <c r="H277" s="416"/>
      <c r="I277" s="416"/>
      <c r="J277" s="97"/>
      <c r="K277" s="97"/>
      <c r="L277" s="97"/>
      <c r="M277" s="97"/>
      <c r="N277" s="97"/>
      <c r="O277" s="97"/>
      <c r="P277" s="97"/>
      <c r="Q277" s="97"/>
      <c r="R277" s="97"/>
    </row>
    <row r="278" spans="2:18" ht="15.75" customHeight="1" x14ac:dyDescent="0.45">
      <c r="B278" s="97"/>
      <c r="C278" s="97"/>
      <c r="D278" s="97"/>
      <c r="E278" s="102"/>
      <c r="F278" s="102"/>
      <c r="G278" s="251"/>
      <c r="H278" s="416"/>
      <c r="I278" s="416"/>
      <c r="J278" s="97"/>
      <c r="K278" s="97"/>
      <c r="L278" s="97"/>
      <c r="M278" s="97"/>
      <c r="N278" s="97"/>
      <c r="O278" s="97"/>
      <c r="P278" s="97"/>
      <c r="Q278" s="97"/>
      <c r="R278" s="97"/>
    </row>
    <row r="279" spans="2:18" ht="15.75" customHeight="1" x14ac:dyDescent="0.45">
      <c r="B279" s="97"/>
      <c r="C279" s="97"/>
      <c r="D279" s="97"/>
      <c r="E279" s="102"/>
      <c r="F279" s="102"/>
      <c r="G279" s="251"/>
      <c r="H279" s="416"/>
      <c r="I279" s="416"/>
      <c r="J279" s="97"/>
      <c r="K279" s="97"/>
      <c r="L279" s="97"/>
      <c r="M279" s="97"/>
      <c r="N279" s="97"/>
      <c r="O279" s="97"/>
      <c r="P279" s="97"/>
      <c r="Q279" s="97"/>
      <c r="R279" s="97"/>
    </row>
    <row r="280" spans="2:18" ht="15.75" customHeight="1" x14ac:dyDescent="0.45">
      <c r="B280" s="97"/>
      <c r="C280" s="97"/>
      <c r="D280" s="97"/>
      <c r="E280" s="102"/>
      <c r="F280" s="102"/>
      <c r="G280" s="251"/>
      <c r="H280" s="416"/>
      <c r="I280" s="416"/>
      <c r="J280" s="97"/>
      <c r="K280" s="97"/>
      <c r="L280" s="97"/>
      <c r="M280" s="97"/>
      <c r="N280" s="97"/>
      <c r="O280" s="97"/>
      <c r="P280" s="97"/>
      <c r="Q280" s="97"/>
      <c r="R280" s="97"/>
    </row>
    <row r="281" spans="2:18" ht="15.75" customHeight="1" x14ac:dyDescent="0.45">
      <c r="B281" s="97"/>
      <c r="C281" s="97"/>
      <c r="D281" s="97"/>
      <c r="E281" s="102"/>
      <c r="F281" s="102"/>
      <c r="G281" s="251"/>
      <c r="H281" s="416"/>
      <c r="I281" s="416"/>
      <c r="J281" s="97"/>
      <c r="K281" s="97"/>
      <c r="L281" s="97"/>
      <c r="M281" s="97"/>
      <c r="N281" s="97"/>
      <c r="O281" s="97"/>
      <c r="P281" s="97"/>
      <c r="Q281" s="97"/>
      <c r="R281" s="97"/>
    </row>
    <row r="282" spans="2:18" ht="15.75" customHeight="1" x14ac:dyDescent="0.45">
      <c r="B282" s="97"/>
      <c r="C282" s="97"/>
      <c r="D282" s="97"/>
      <c r="E282" s="102"/>
      <c r="F282" s="102"/>
      <c r="G282" s="251"/>
      <c r="H282" s="416"/>
      <c r="I282" s="416"/>
      <c r="J282" s="97"/>
      <c r="K282" s="97"/>
      <c r="L282" s="97"/>
      <c r="M282" s="97"/>
      <c r="N282" s="97"/>
      <c r="O282" s="97"/>
      <c r="P282" s="97"/>
      <c r="Q282" s="97"/>
      <c r="R282" s="97"/>
    </row>
    <row r="283" spans="2:18" ht="15.75" customHeight="1" x14ac:dyDescent="0.45">
      <c r="B283" s="97"/>
      <c r="C283" s="97"/>
      <c r="D283" s="97"/>
      <c r="E283" s="102"/>
      <c r="F283" s="102"/>
      <c r="G283" s="251"/>
      <c r="H283" s="416"/>
      <c r="I283" s="416"/>
      <c r="J283" s="97"/>
      <c r="K283" s="97"/>
      <c r="L283" s="97"/>
      <c r="M283" s="97"/>
      <c r="N283" s="97"/>
      <c r="O283" s="97"/>
      <c r="P283" s="97"/>
      <c r="Q283" s="97"/>
      <c r="R283" s="97"/>
    </row>
    <row r="284" spans="2:18" ht="15.75" customHeight="1" x14ac:dyDescent="0.45">
      <c r="B284" s="97"/>
      <c r="C284" s="97"/>
      <c r="D284" s="97"/>
      <c r="E284" s="102"/>
      <c r="F284" s="102"/>
      <c r="G284" s="251"/>
      <c r="H284" s="416"/>
      <c r="I284" s="416"/>
      <c r="J284" s="97"/>
      <c r="K284" s="97"/>
      <c r="L284" s="97"/>
      <c r="M284" s="97"/>
      <c r="N284" s="97"/>
      <c r="O284" s="97"/>
      <c r="P284" s="97"/>
      <c r="Q284" s="97"/>
      <c r="R284" s="97"/>
    </row>
    <row r="285" spans="2:18" ht="15.75" customHeight="1" x14ac:dyDescent="0.45">
      <c r="B285" s="97"/>
      <c r="C285" s="97"/>
      <c r="D285" s="97"/>
      <c r="E285" s="102"/>
      <c r="F285" s="102"/>
      <c r="G285" s="251"/>
      <c r="H285" s="416"/>
      <c r="I285" s="416"/>
      <c r="J285" s="97"/>
      <c r="K285" s="97"/>
      <c r="L285" s="97"/>
      <c r="M285" s="97"/>
      <c r="N285" s="97"/>
      <c r="O285" s="97"/>
      <c r="P285" s="97"/>
      <c r="Q285" s="97"/>
      <c r="R285" s="97"/>
    </row>
    <row r="286" spans="2:18" ht="15.75" customHeight="1" x14ac:dyDescent="0.45">
      <c r="B286" s="97"/>
      <c r="C286" s="97"/>
      <c r="D286" s="97"/>
      <c r="E286" s="102"/>
      <c r="F286" s="102"/>
      <c r="G286" s="251"/>
      <c r="H286" s="416"/>
      <c r="I286" s="416"/>
      <c r="J286" s="97"/>
      <c r="K286" s="97"/>
      <c r="L286" s="97"/>
      <c r="M286" s="97"/>
      <c r="N286" s="97"/>
      <c r="O286" s="97"/>
      <c r="P286" s="97"/>
      <c r="Q286" s="97"/>
      <c r="R286" s="97"/>
    </row>
    <row r="287" spans="2:18" ht="15.75" customHeight="1" x14ac:dyDescent="0.45">
      <c r="B287" s="97"/>
      <c r="C287" s="97"/>
      <c r="D287" s="97"/>
      <c r="E287" s="102"/>
      <c r="F287" s="102"/>
      <c r="G287" s="251"/>
      <c r="H287" s="416"/>
      <c r="I287" s="416"/>
      <c r="J287" s="97"/>
      <c r="K287" s="97"/>
      <c r="L287" s="97"/>
      <c r="M287" s="97"/>
      <c r="N287" s="97"/>
      <c r="O287" s="97"/>
      <c r="P287" s="97"/>
      <c r="Q287" s="97"/>
      <c r="R287" s="97"/>
    </row>
    <row r="288" spans="2:18" ht="15.75" customHeight="1" x14ac:dyDescent="0.45">
      <c r="B288" s="97"/>
      <c r="C288" s="97"/>
      <c r="D288" s="97"/>
      <c r="E288" s="102"/>
      <c r="F288" s="102"/>
      <c r="G288" s="251"/>
      <c r="H288" s="416"/>
      <c r="I288" s="416"/>
      <c r="J288" s="97"/>
      <c r="K288" s="97"/>
      <c r="L288" s="97"/>
      <c r="M288" s="97"/>
      <c r="N288" s="97"/>
      <c r="O288" s="97"/>
      <c r="P288" s="97"/>
      <c r="Q288" s="97"/>
      <c r="R288" s="97"/>
    </row>
    <row r="289" spans="2:18" ht="15.75" customHeight="1" x14ac:dyDescent="0.45">
      <c r="B289" s="97"/>
      <c r="C289" s="97"/>
      <c r="D289" s="97"/>
      <c r="E289" s="102"/>
      <c r="F289" s="102"/>
      <c r="G289" s="251"/>
      <c r="H289" s="416"/>
      <c r="I289" s="416"/>
      <c r="J289" s="97"/>
      <c r="K289" s="97"/>
      <c r="L289" s="97"/>
      <c r="M289" s="97"/>
      <c r="N289" s="97"/>
      <c r="O289" s="97"/>
      <c r="P289" s="97"/>
      <c r="Q289" s="97"/>
      <c r="R289" s="97"/>
    </row>
    <row r="290" spans="2:18" ht="15.75" customHeight="1" x14ac:dyDescent="0.45">
      <c r="B290" s="97"/>
      <c r="C290" s="97"/>
      <c r="D290" s="97"/>
      <c r="E290" s="102"/>
      <c r="F290" s="102"/>
      <c r="G290" s="251"/>
      <c r="H290" s="416"/>
      <c r="I290" s="416"/>
      <c r="J290" s="97"/>
      <c r="K290" s="97"/>
      <c r="L290" s="97"/>
      <c r="M290" s="97"/>
      <c r="N290" s="97"/>
      <c r="O290" s="97"/>
      <c r="P290" s="97"/>
      <c r="Q290" s="97"/>
      <c r="R290" s="97"/>
    </row>
    <row r="291" spans="2:18" ht="15.75" customHeight="1" x14ac:dyDescent="0.45">
      <c r="B291" s="97"/>
      <c r="C291" s="97"/>
      <c r="D291" s="97"/>
      <c r="E291" s="102"/>
      <c r="F291" s="102"/>
      <c r="G291" s="251"/>
      <c r="H291" s="416"/>
      <c r="I291" s="416"/>
      <c r="J291" s="97"/>
      <c r="K291" s="97"/>
      <c r="L291" s="97"/>
      <c r="M291" s="97"/>
      <c r="N291" s="97"/>
      <c r="O291" s="97"/>
      <c r="P291" s="97"/>
      <c r="Q291" s="97"/>
      <c r="R291" s="97"/>
    </row>
    <row r="292" spans="2:18" ht="15.75" customHeight="1" x14ac:dyDescent="0.45">
      <c r="B292" s="97"/>
      <c r="C292" s="97"/>
      <c r="D292" s="97"/>
      <c r="E292" s="102"/>
      <c r="F292" s="102"/>
      <c r="G292" s="251"/>
      <c r="H292" s="416"/>
      <c r="I292" s="416"/>
      <c r="J292" s="97"/>
      <c r="K292" s="97"/>
      <c r="L292" s="97"/>
      <c r="M292" s="97"/>
      <c r="N292" s="97"/>
      <c r="O292" s="97"/>
      <c r="P292" s="97"/>
      <c r="Q292" s="97"/>
      <c r="R292" s="97"/>
    </row>
    <row r="293" spans="2:18" ht="15.75" customHeight="1" x14ac:dyDescent="0.45">
      <c r="B293" s="97"/>
      <c r="C293" s="97"/>
      <c r="D293" s="97"/>
      <c r="E293" s="102"/>
      <c r="F293" s="102"/>
      <c r="G293" s="251"/>
      <c r="H293" s="416"/>
      <c r="I293" s="416"/>
      <c r="J293" s="97"/>
      <c r="K293" s="97"/>
      <c r="L293" s="97"/>
      <c r="M293" s="97"/>
      <c r="N293" s="97"/>
      <c r="O293" s="97"/>
      <c r="P293" s="97"/>
      <c r="Q293" s="97"/>
      <c r="R293" s="97"/>
    </row>
    <row r="294" spans="2:18" ht="15.75" customHeight="1" x14ac:dyDescent="0.45">
      <c r="B294" s="97"/>
      <c r="C294" s="97"/>
      <c r="D294" s="97"/>
      <c r="E294" s="102"/>
      <c r="F294" s="102"/>
      <c r="G294" s="251"/>
      <c r="H294" s="416"/>
      <c r="I294" s="416"/>
      <c r="J294" s="97"/>
      <c r="K294" s="97"/>
      <c r="L294" s="97"/>
      <c r="M294" s="97"/>
      <c r="N294" s="97"/>
      <c r="O294" s="97"/>
      <c r="P294" s="97"/>
      <c r="Q294" s="97"/>
      <c r="R294" s="97"/>
    </row>
    <row r="295" spans="2:18" ht="15.75" customHeight="1" x14ac:dyDescent="0.45">
      <c r="B295" s="97"/>
      <c r="C295" s="97"/>
      <c r="D295" s="97"/>
      <c r="E295" s="102"/>
      <c r="F295" s="102"/>
      <c r="G295" s="251"/>
      <c r="H295" s="416"/>
      <c r="I295" s="416"/>
      <c r="J295" s="97"/>
      <c r="K295" s="97"/>
      <c r="L295" s="97"/>
      <c r="M295" s="97"/>
      <c r="N295" s="97"/>
      <c r="O295" s="97"/>
      <c r="P295" s="97"/>
      <c r="Q295" s="97"/>
      <c r="R295" s="97"/>
    </row>
    <row r="296" spans="2:18" ht="15.75" customHeight="1" x14ac:dyDescent="0.45">
      <c r="B296" s="97"/>
      <c r="C296" s="97"/>
      <c r="D296" s="97"/>
      <c r="E296" s="102"/>
      <c r="F296" s="102"/>
      <c r="G296" s="251"/>
      <c r="H296" s="416"/>
      <c r="I296" s="416"/>
      <c r="J296" s="97"/>
      <c r="K296" s="97"/>
      <c r="L296" s="97"/>
      <c r="M296" s="97"/>
      <c r="N296" s="97"/>
      <c r="O296" s="97"/>
      <c r="P296" s="97"/>
      <c r="Q296" s="97"/>
      <c r="R296" s="97"/>
    </row>
    <row r="297" spans="2:18" ht="15.75" customHeight="1" x14ac:dyDescent="0.45">
      <c r="B297" s="97"/>
      <c r="C297" s="97"/>
      <c r="D297" s="97"/>
      <c r="E297" s="102"/>
      <c r="F297" s="102"/>
      <c r="G297" s="251"/>
      <c r="H297" s="416"/>
      <c r="I297" s="416"/>
      <c r="J297" s="97"/>
      <c r="K297" s="97"/>
      <c r="L297" s="97"/>
      <c r="M297" s="97"/>
      <c r="N297" s="97"/>
      <c r="O297" s="97"/>
      <c r="P297" s="97"/>
      <c r="Q297" s="97"/>
      <c r="R297" s="97"/>
    </row>
    <row r="298" spans="2:18" ht="15.75" customHeight="1" x14ac:dyDescent="0.45">
      <c r="B298" s="97"/>
      <c r="C298" s="97"/>
      <c r="D298" s="97"/>
      <c r="E298" s="102"/>
      <c r="F298" s="102"/>
      <c r="G298" s="251"/>
      <c r="H298" s="416"/>
      <c r="I298" s="416"/>
      <c r="J298" s="97"/>
      <c r="K298" s="97"/>
      <c r="L298" s="97"/>
      <c r="M298" s="97"/>
      <c r="N298" s="97"/>
      <c r="O298" s="97"/>
      <c r="P298" s="97"/>
      <c r="Q298" s="97"/>
      <c r="R298" s="97"/>
    </row>
    <row r="299" spans="2:18" ht="15.75" customHeight="1" x14ac:dyDescent="0.45">
      <c r="B299" s="97"/>
      <c r="C299" s="97"/>
      <c r="D299" s="97"/>
      <c r="E299" s="102"/>
      <c r="F299" s="102"/>
      <c r="G299" s="251"/>
      <c r="H299" s="416"/>
      <c r="I299" s="416"/>
      <c r="J299" s="97"/>
      <c r="K299" s="97"/>
      <c r="L299" s="97"/>
      <c r="M299" s="97"/>
      <c r="N299" s="97"/>
      <c r="O299" s="97"/>
      <c r="P299" s="97"/>
      <c r="Q299" s="97"/>
      <c r="R299" s="97"/>
    </row>
    <row r="300" spans="2:18" ht="15.75" customHeight="1" x14ac:dyDescent="0.45">
      <c r="B300" s="97"/>
      <c r="C300" s="97"/>
      <c r="D300" s="97"/>
      <c r="E300" s="102"/>
      <c r="F300" s="102"/>
      <c r="G300" s="251"/>
      <c r="H300" s="416"/>
      <c r="I300" s="416"/>
      <c r="J300" s="97"/>
      <c r="K300" s="97"/>
      <c r="L300" s="97"/>
      <c r="M300" s="97"/>
      <c r="N300" s="97"/>
      <c r="O300" s="97"/>
      <c r="P300" s="97"/>
      <c r="Q300" s="97"/>
      <c r="R300" s="97"/>
    </row>
    <row r="301" spans="2:18" ht="15.75" customHeight="1" x14ac:dyDescent="0.45">
      <c r="B301" s="97"/>
      <c r="C301" s="97"/>
      <c r="D301" s="97"/>
      <c r="E301" s="102"/>
      <c r="F301" s="102"/>
      <c r="G301" s="251"/>
      <c r="H301" s="416"/>
      <c r="I301" s="416"/>
      <c r="J301" s="97"/>
      <c r="K301" s="97"/>
      <c r="L301" s="97"/>
      <c r="M301" s="97"/>
      <c r="N301" s="97"/>
      <c r="O301" s="97"/>
      <c r="P301" s="97"/>
      <c r="Q301" s="97"/>
      <c r="R301" s="97"/>
    </row>
    <row r="302" spans="2:18" ht="15.75" customHeight="1" x14ac:dyDescent="0.45">
      <c r="B302" s="97"/>
      <c r="C302" s="97"/>
      <c r="D302" s="97"/>
      <c r="E302" s="102"/>
      <c r="F302" s="102"/>
      <c r="G302" s="251"/>
      <c r="H302" s="416"/>
      <c r="I302" s="416"/>
      <c r="J302" s="97"/>
      <c r="K302" s="97"/>
      <c r="L302" s="97"/>
      <c r="M302" s="97"/>
      <c r="N302" s="97"/>
      <c r="O302" s="97"/>
      <c r="P302" s="97"/>
      <c r="Q302" s="97"/>
      <c r="R302" s="97"/>
    </row>
    <row r="303" spans="2:18" ht="15.75" customHeight="1" x14ac:dyDescent="0.45">
      <c r="B303" s="97"/>
      <c r="C303" s="97"/>
      <c r="D303" s="97"/>
      <c r="E303" s="102"/>
      <c r="F303" s="102"/>
      <c r="G303" s="251"/>
      <c r="H303" s="416"/>
      <c r="I303" s="416"/>
      <c r="J303" s="97"/>
      <c r="K303" s="97"/>
      <c r="L303" s="97"/>
      <c r="M303" s="97"/>
      <c r="N303" s="97"/>
      <c r="O303" s="97"/>
      <c r="P303" s="97"/>
      <c r="Q303" s="97"/>
      <c r="R303" s="97"/>
    </row>
    <row r="304" spans="2:18" ht="15.75" customHeight="1" x14ac:dyDescent="0.45">
      <c r="B304" s="97"/>
      <c r="C304" s="97"/>
      <c r="D304" s="97"/>
      <c r="E304" s="102"/>
      <c r="F304" s="102"/>
      <c r="G304" s="251"/>
      <c r="H304" s="416"/>
      <c r="I304" s="416"/>
      <c r="J304" s="97"/>
      <c r="K304" s="97"/>
      <c r="L304" s="97"/>
      <c r="M304" s="97"/>
      <c r="N304" s="97"/>
      <c r="O304" s="97"/>
      <c r="P304" s="97"/>
      <c r="Q304" s="97"/>
      <c r="R304" s="97"/>
    </row>
    <row r="305" spans="2:18" ht="15.75" customHeight="1" x14ac:dyDescent="0.45">
      <c r="B305" s="97"/>
      <c r="C305" s="97"/>
      <c r="D305" s="97"/>
      <c r="E305" s="102"/>
      <c r="F305" s="102"/>
      <c r="G305" s="251"/>
      <c r="H305" s="416"/>
      <c r="I305" s="416"/>
      <c r="J305" s="97"/>
      <c r="K305" s="97"/>
      <c r="L305" s="97"/>
      <c r="M305" s="97"/>
      <c r="N305" s="97"/>
      <c r="O305" s="97"/>
      <c r="P305" s="97"/>
      <c r="Q305" s="97"/>
      <c r="R305" s="97"/>
    </row>
    <row r="306" spans="2:18" ht="15.75" customHeight="1" x14ac:dyDescent="0.45">
      <c r="B306" s="97"/>
      <c r="C306" s="97"/>
      <c r="D306" s="97"/>
      <c r="E306" s="102"/>
      <c r="F306" s="102"/>
      <c r="G306" s="251"/>
      <c r="H306" s="416"/>
      <c r="I306" s="416"/>
      <c r="J306" s="97"/>
      <c r="K306" s="97"/>
      <c r="L306" s="97"/>
      <c r="M306" s="97"/>
      <c r="N306" s="97"/>
      <c r="O306" s="97"/>
      <c r="P306" s="97"/>
      <c r="Q306" s="97"/>
      <c r="R306" s="97"/>
    </row>
    <row r="307" spans="2:18" ht="15.75" customHeight="1" x14ac:dyDescent="0.45">
      <c r="B307" s="97"/>
      <c r="C307" s="97"/>
      <c r="D307" s="97"/>
      <c r="E307" s="102"/>
      <c r="F307" s="102"/>
      <c r="G307" s="251"/>
      <c r="H307" s="416"/>
      <c r="I307" s="416"/>
      <c r="J307" s="97"/>
      <c r="K307" s="97"/>
      <c r="L307" s="97"/>
      <c r="M307" s="97"/>
      <c r="N307" s="97"/>
      <c r="O307" s="97"/>
      <c r="P307" s="97"/>
      <c r="Q307" s="97"/>
      <c r="R307" s="97"/>
    </row>
    <row r="308" spans="2:18" ht="15.75" customHeight="1" x14ac:dyDescent="0.45">
      <c r="B308" s="97"/>
      <c r="C308" s="97"/>
      <c r="D308" s="97"/>
      <c r="E308" s="102"/>
      <c r="F308" s="102"/>
      <c r="G308" s="251"/>
      <c r="H308" s="416"/>
      <c r="I308" s="416"/>
      <c r="J308" s="97"/>
      <c r="K308" s="97"/>
      <c r="L308" s="97"/>
      <c r="M308" s="97"/>
      <c r="N308" s="97"/>
      <c r="O308" s="97"/>
      <c r="P308" s="97"/>
      <c r="Q308" s="97"/>
      <c r="R308" s="97"/>
    </row>
    <row r="309" spans="2:18" ht="15.75" customHeight="1" x14ac:dyDescent="0.45">
      <c r="B309" s="97"/>
      <c r="C309" s="97"/>
      <c r="D309" s="97"/>
      <c r="E309" s="102"/>
      <c r="F309" s="102"/>
      <c r="G309" s="251"/>
      <c r="H309" s="416"/>
      <c r="I309" s="416"/>
      <c r="J309" s="97"/>
      <c r="K309" s="97"/>
      <c r="L309" s="97"/>
      <c r="M309" s="97"/>
      <c r="N309" s="97"/>
      <c r="O309" s="97"/>
      <c r="P309" s="97"/>
      <c r="Q309" s="97"/>
      <c r="R309" s="97"/>
    </row>
    <row r="310" spans="2:18" ht="15.75" customHeight="1" x14ac:dyDescent="0.45">
      <c r="B310" s="97"/>
      <c r="C310" s="97"/>
      <c r="D310" s="97"/>
      <c r="E310" s="102"/>
      <c r="F310" s="102"/>
      <c r="G310" s="251"/>
      <c r="H310" s="416"/>
      <c r="I310" s="416"/>
      <c r="J310" s="97"/>
      <c r="K310" s="97"/>
      <c r="L310" s="97"/>
      <c r="M310" s="97"/>
      <c r="N310" s="97"/>
      <c r="O310" s="97"/>
      <c r="P310" s="97"/>
      <c r="Q310" s="97"/>
      <c r="R310" s="97"/>
    </row>
    <row r="311" spans="2:18" ht="15.75" customHeight="1" x14ac:dyDescent="0.45">
      <c r="B311" s="97"/>
      <c r="C311" s="97"/>
      <c r="D311" s="97"/>
      <c r="E311" s="102"/>
      <c r="F311" s="102"/>
      <c r="G311" s="251"/>
      <c r="H311" s="416"/>
      <c r="I311" s="416"/>
      <c r="J311" s="97"/>
      <c r="K311" s="97"/>
      <c r="L311" s="97"/>
      <c r="M311" s="97"/>
      <c r="N311" s="97"/>
      <c r="O311" s="97"/>
      <c r="P311" s="97"/>
      <c r="Q311" s="97"/>
      <c r="R311" s="97"/>
    </row>
    <row r="312" spans="2:18" ht="15.75" customHeight="1" x14ac:dyDescent="0.45">
      <c r="B312" s="97"/>
      <c r="C312" s="97"/>
      <c r="D312" s="97"/>
      <c r="E312" s="102"/>
      <c r="F312" s="102"/>
      <c r="G312" s="251"/>
      <c r="H312" s="416"/>
      <c r="I312" s="416"/>
      <c r="J312" s="97"/>
      <c r="K312" s="97"/>
      <c r="L312" s="97"/>
      <c r="M312" s="97"/>
      <c r="N312" s="97"/>
      <c r="O312" s="97"/>
      <c r="P312" s="97"/>
      <c r="Q312" s="97"/>
      <c r="R312" s="97"/>
    </row>
    <row r="313" spans="2:18" ht="15.75" customHeight="1" x14ac:dyDescent="0.45">
      <c r="B313" s="97"/>
      <c r="C313" s="97"/>
      <c r="D313" s="97"/>
      <c r="E313" s="102"/>
      <c r="F313" s="102"/>
      <c r="G313" s="251"/>
      <c r="H313" s="416"/>
      <c r="I313" s="416"/>
      <c r="J313" s="97"/>
      <c r="K313" s="97"/>
      <c r="L313" s="97"/>
      <c r="M313" s="97"/>
      <c r="N313" s="97"/>
      <c r="O313" s="97"/>
      <c r="P313" s="97"/>
      <c r="Q313" s="97"/>
      <c r="R313" s="97"/>
    </row>
    <row r="314" spans="2:18" ht="15.75" customHeight="1" x14ac:dyDescent="0.45">
      <c r="B314" s="97"/>
      <c r="C314" s="97"/>
      <c r="D314" s="97"/>
      <c r="E314" s="102"/>
      <c r="F314" s="102"/>
      <c r="G314" s="251"/>
      <c r="H314" s="416"/>
      <c r="I314" s="416"/>
      <c r="J314" s="97"/>
      <c r="K314" s="97"/>
      <c r="L314" s="97"/>
      <c r="M314" s="97"/>
      <c r="N314" s="97"/>
      <c r="O314" s="97"/>
      <c r="P314" s="97"/>
      <c r="Q314" s="97"/>
      <c r="R314" s="97"/>
    </row>
    <row r="315" spans="2:18" ht="15.75" customHeight="1" x14ac:dyDescent="0.45">
      <c r="B315" s="97"/>
      <c r="C315" s="97"/>
      <c r="D315" s="97"/>
      <c r="E315" s="102"/>
      <c r="F315" s="102"/>
      <c r="G315" s="251"/>
      <c r="H315" s="416"/>
      <c r="I315" s="416"/>
      <c r="J315" s="97"/>
      <c r="K315" s="97"/>
      <c r="L315" s="97"/>
      <c r="M315" s="97"/>
      <c r="N315" s="97"/>
      <c r="O315" s="97"/>
      <c r="P315" s="97"/>
      <c r="Q315" s="97"/>
      <c r="R315" s="97"/>
    </row>
    <row r="316" spans="2:18" ht="15.75" customHeight="1" x14ac:dyDescent="0.45">
      <c r="B316" s="97"/>
      <c r="C316" s="97"/>
      <c r="D316" s="97"/>
      <c r="E316" s="102"/>
      <c r="F316" s="102"/>
      <c r="G316" s="251"/>
      <c r="H316" s="416"/>
      <c r="I316" s="416"/>
      <c r="J316" s="97"/>
      <c r="K316" s="97"/>
      <c r="L316" s="97"/>
      <c r="M316" s="97"/>
      <c r="N316" s="97"/>
      <c r="O316" s="97"/>
      <c r="P316" s="97"/>
      <c r="Q316" s="97"/>
      <c r="R316" s="97"/>
    </row>
    <row r="317" spans="2:18" ht="15.75" customHeight="1" x14ac:dyDescent="0.45">
      <c r="B317" s="97"/>
      <c r="C317" s="97"/>
      <c r="D317" s="97"/>
      <c r="E317" s="102"/>
      <c r="F317" s="102"/>
      <c r="G317" s="251"/>
      <c r="H317" s="416"/>
      <c r="I317" s="416"/>
      <c r="J317" s="97"/>
      <c r="K317" s="97"/>
      <c r="L317" s="97"/>
      <c r="M317" s="97"/>
      <c r="N317" s="97"/>
      <c r="O317" s="97"/>
      <c r="P317" s="97"/>
      <c r="Q317" s="97"/>
      <c r="R317" s="97"/>
    </row>
    <row r="318" spans="2:18" ht="15.75" customHeight="1" x14ac:dyDescent="0.45">
      <c r="B318" s="97"/>
      <c r="C318" s="97"/>
      <c r="D318" s="97"/>
      <c r="E318" s="102"/>
      <c r="F318" s="102"/>
      <c r="G318" s="251"/>
      <c r="H318" s="416"/>
      <c r="I318" s="416"/>
      <c r="J318" s="97"/>
      <c r="K318" s="97"/>
      <c r="L318" s="97"/>
      <c r="M318" s="97"/>
      <c r="N318" s="97"/>
      <c r="O318" s="97"/>
      <c r="P318" s="97"/>
      <c r="Q318" s="97"/>
      <c r="R318" s="97"/>
    </row>
    <row r="319" spans="2:18" ht="15.75" customHeight="1" x14ac:dyDescent="0.45">
      <c r="B319" s="97"/>
      <c r="C319" s="97"/>
      <c r="D319" s="97"/>
      <c r="E319" s="102"/>
      <c r="F319" s="102"/>
      <c r="G319" s="251"/>
      <c r="H319" s="416"/>
      <c r="I319" s="416"/>
      <c r="J319" s="97"/>
      <c r="K319" s="97"/>
      <c r="L319" s="97"/>
      <c r="M319" s="97"/>
      <c r="N319" s="97"/>
      <c r="O319" s="97"/>
      <c r="P319" s="97"/>
      <c r="Q319" s="97"/>
      <c r="R319" s="97"/>
    </row>
    <row r="320" spans="2:18" ht="15.75" customHeight="1" x14ac:dyDescent="0.45">
      <c r="B320" s="97"/>
      <c r="C320" s="97"/>
      <c r="D320" s="97"/>
      <c r="E320" s="102"/>
      <c r="F320" s="102"/>
      <c r="G320" s="251"/>
      <c r="H320" s="416"/>
      <c r="I320" s="416"/>
      <c r="J320" s="97"/>
      <c r="K320" s="97"/>
      <c r="L320" s="97"/>
      <c r="M320" s="97"/>
      <c r="N320" s="97"/>
      <c r="O320" s="97"/>
      <c r="P320" s="97"/>
      <c r="Q320" s="97"/>
      <c r="R320" s="97"/>
    </row>
    <row r="321" spans="2:18" ht="15.75" customHeight="1" x14ac:dyDescent="0.45">
      <c r="B321" s="97"/>
      <c r="C321" s="97"/>
      <c r="D321" s="97"/>
      <c r="E321" s="102"/>
      <c r="F321" s="102"/>
      <c r="G321" s="251"/>
      <c r="H321" s="416"/>
      <c r="I321" s="416"/>
      <c r="J321" s="97"/>
      <c r="K321" s="97"/>
      <c r="L321" s="97"/>
      <c r="M321" s="97"/>
      <c r="N321" s="97"/>
      <c r="O321" s="97"/>
      <c r="P321" s="97"/>
      <c r="Q321" s="97"/>
      <c r="R321" s="97"/>
    </row>
    <row r="322" spans="2:18" ht="15.75" customHeight="1" x14ac:dyDescent="0.45">
      <c r="B322" s="97"/>
      <c r="C322" s="97"/>
      <c r="D322" s="97"/>
      <c r="E322" s="102"/>
      <c r="F322" s="102"/>
      <c r="G322" s="251"/>
      <c r="H322" s="416"/>
      <c r="I322" s="416"/>
      <c r="J322" s="97"/>
      <c r="K322" s="97"/>
      <c r="L322" s="97"/>
      <c r="M322" s="97"/>
      <c r="N322" s="97"/>
      <c r="O322" s="97"/>
      <c r="P322" s="97"/>
      <c r="Q322" s="97"/>
      <c r="R322" s="97"/>
    </row>
    <row r="323" spans="2:18" ht="15.75" customHeight="1" x14ac:dyDescent="0.45">
      <c r="B323" s="97"/>
      <c r="C323" s="97"/>
      <c r="D323" s="97"/>
      <c r="E323" s="102"/>
      <c r="F323" s="102"/>
      <c r="G323" s="251"/>
      <c r="H323" s="416"/>
      <c r="I323" s="416"/>
      <c r="J323" s="97"/>
      <c r="K323" s="97"/>
      <c r="L323" s="97"/>
      <c r="M323" s="97"/>
      <c r="N323" s="97"/>
      <c r="O323" s="97"/>
      <c r="P323" s="97"/>
      <c r="Q323" s="97"/>
      <c r="R323" s="97"/>
    </row>
    <row r="324" spans="2:18" ht="15.75" customHeight="1" x14ac:dyDescent="0.45">
      <c r="B324" s="97"/>
      <c r="C324" s="97"/>
      <c r="D324" s="97"/>
      <c r="E324" s="102"/>
      <c r="F324" s="102"/>
      <c r="G324" s="251"/>
      <c r="H324" s="416"/>
      <c r="I324" s="416"/>
      <c r="J324" s="97"/>
      <c r="K324" s="97"/>
      <c r="L324" s="97"/>
      <c r="M324" s="97"/>
      <c r="N324" s="97"/>
      <c r="O324" s="97"/>
      <c r="P324" s="97"/>
      <c r="Q324" s="97"/>
      <c r="R324" s="97"/>
    </row>
    <row r="325" spans="2:18" ht="15.75" customHeight="1" x14ac:dyDescent="0.45">
      <c r="B325" s="97"/>
      <c r="C325" s="97"/>
      <c r="D325" s="97"/>
      <c r="E325" s="102"/>
      <c r="F325" s="102"/>
      <c r="G325" s="251"/>
      <c r="H325" s="416"/>
      <c r="I325" s="416"/>
      <c r="J325" s="97"/>
      <c r="K325" s="97"/>
      <c r="L325" s="97"/>
      <c r="M325" s="97"/>
      <c r="N325" s="97"/>
      <c r="O325" s="97"/>
      <c r="P325" s="97"/>
      <c r="Q325" s="97"/>
      <c r="R325" s="97"/>
    </row>
    <row r="326" spans="2:18" ht="15.75" customHeight="1" x14ac:dyDescent="0.45">
      <c r="B326" s="97"/>
      <c r="C326" s="97"/>
      <c r="D326" s="97"/>
      <c r="E326" s="102"/>
      <c r="F326" s="102"/>
      <c r="G326" s="251"/>
      <c r="H326" s="416"/>
      <c r="I326" s="416"/>
      <c r="J326" s="97"/>
      <c r="K326" s="97"/>
      <c r="L326" s="97"/>
      <c r="M326" s="97"/>
      <c r="N326" s="97"/>
      <c r="O326" s="97"/>
      <c r="P326" s="97"/>
      <c r="Q326" s="97"/>
      <c r="R326" s="97"/>
    </row>
    <row r="327" spans="2:18" ht="15.75" customHeight="1" x14ac:dyDescent="0.45">
      <c r="B327" s="97"/>
      <c r="C327" s="97"/>
      <c r="D327" s="97"/>
      <c r="E327" s="102"/>
      <c r="F327" s="102"/>
      <c r="G327" s="251"/>
      <c r="H327" s="416"/>
      <c r="I327" s="416"/>
      <c r="J327" s="97"/>
      <c r="K327" s="97"/>
      <c r="L327" s="97"/>
      <c r="M327" s="97"/>
      <c r="N327" s="97"/>
      <c r="O327" s="97"/>
      <c r="P327" s="97"/>
      <c r="Q327" s="97"/>
      <c r="R327" s="97"/>
    </row>
    <row r="328" spans="2:18" ht="15.75" customHeight="1" x14ac:dyDescent="0.45">
      <c r="B328" s="97"/>
      <c r="C328" s="97"/>
      <c r="D328" s="97"/>
      <c r="E328" s="102"/>
      <c r="F328" s="102"/>
      <c r="G328" s="251"/>
      <c r="H328" s="416"/>
      <c r="I328" s="416"/>
      <c r="J328" s="97"/>
      <c r="K328" s="97"/>
      <c r="L328" s="97"/>
      <c r="M328" s="97"/>
      <c r="N328" s="97"/>
      <c r="O328" s="97"/>
      <c r="P328" s="97"/>
      <c r="Q328" s="97"/>
      <c r="R328" s="97"/>
    </row>
    <row r="329" spans="2:18" ht="15.75" customHeight="1" x14ac:dyDescent="0.45">
      <c r="B329" s="97"/>
      <c r="C329" s="97"/>
      <c r="D329" s="97"/>
      <c r="E329" s="102"/>
      <c r="F329" s="102"/>
      <c r="G329" s="251"/>
      <c r="H329" s="416"/>
      <c r="I329" s="416"/>
      <c r="J329" s="97"/>
      <c r="K329" s="97"/>
      <c r="L329" s="97"/>
      <c r="M329" s="97"/>
      <c r="N329" s="97"/>
      <c r="O329" s="97"/>
      <c r="P329" s="97"/>
      <c r="Q329" s="97"/>
      <c r="R329" s="97"/>
    </row>
    <row r="330" spans="2:18" ht="15.75" customHeight="1" x14ac:dyDescent="0.45">
      <c r="B330" s="97"/>
      <c r="C330" s="97"/>
      <c r="D330" s="97"/>
      <c r="E330" s="102"/>
      <c r="F330" s="102"/>
      <c r="G330" s="251"/>
      <c r="H330" s="416"/>
      <c r="I330" s="416"/>
      <c r="J330" s="97"/>
      <c r="K330" s="97"/>
      <c r="L330" s="97"/>
      <c r="M330" s="97"/>
      <c r="N330" s="97"/>
      <c r="O330" s="97"/>
      <c r="P330" s="97"/>
      <c r="Q330" s="97"/>
      <c r="R330" s="97"/>
    </row>
    <row r="331" spans="2:18" ht="15.75" customHeight="1" x14ac:dyDescent="0.45">
      <c r="B331" s="97"/>
      <c r="C331" s="97"/>
      <c r="D331" s="97"/>
      <c r="E331" s="102"/>
      <c r="F331" s="102"/>
      <c r="G331" s="251"/>
      <c r="H331" s="416"/>
      <c r="I331" s="416"/>
      <c r="J331" s="97"/>
      <c r="K331" s="97"/>
      <c r="L331" s="97"/>
      <c r="M331" s="97"/>
      <c r="N331" s="97"/>
      <c r="O331" s="97"/>
      <c r="P331" s="97"/>
      <c r="Q331" s="97"/>
      <c r="R331" s="97"/>
    </row>
    <row r="332" spans="2:18" ht="15.75" customHeight="1" x14ac:dyDescent="0.45">
      <c r="B332" s="97"/>
      <c r="C332" s="97"/>
      <c r="D332" s="97"/>
      <c r="E332" s="102"/>
      <c r="F332" s="102"/>
      <c r="G332" s="251"/>
      <c r="H332" s="416"/>
      <c r="I332" s="416"/>
      <c r="J332" s="97"/>
      <c r="K332" s="97"/>
      <c r="L332" s="97"/>
      <c r="M332" s="97"/>
      <c r="N332" s="97"/>
      <c r="O332" s="97"/>
      <c r="P332" s="97"/>
      <c r="Q332" s="97"/>
      <c r="R332" s="97"/>
    </row>
    <row r="333" spans="2:18" ht="15.75" customHeight="1" x14ac:dyDescent="0.45">
      <c r="B333" s="97"/>
      <c r="C333" s="97"/>
      <c r="D333" s="97"/>
      <c r="E333" s="102"/>
      <c r="F333" s="102"/>
      <c r="G333" s="251"/>
      <c r="H333" s="416"/>
      <c r="I333" s="416"/>
      <c r="J333" s="97"/>
      <c r="K333" s="97"/>
      <c r="L333" s="97"/>
      <c r="M333" s="97"/>
      <c r="N333" s="97"/>
      <c r="O333" s="97"/>
      <c r="P333" s="97"/>
      <c r="Q333" s="97"/>
      <c r="R333" s="97"/>
    </row>
    <row r="334" spans="2:18" ht="15.75" customHeight="1" x14ac:dyDescent="0.45">
      <c r="B334" s="97"/>
      <c r="C334" s="97"/>
      <c r="D334" s="97"/>
      <c r="E334" s="102"/>
      <c r="F334" s="102"/>
      <c r="G334" s="251"/>
      <c r="H334" s="416"/>
      <c r="I334" s="416"/>
      <c r="J334" s="97"/>
      <c r="K334" s="97"/>
      <c r="L334" s="97"/>
      <c r="M334" s="97"/>
      <c r="N334" s="97"/>
      <c r="O334" s="97"/>
      <c r="P334" s="97"/>
      <c r="Q334" s="97"/>
      <c r="R334" s="97"/>
    </row>
    <row r="335" spans="2:18" ht="15.75" customHeight="1" x14ac:dyDescent="0.45">
      <c r="B335" s="97"/>
      <c r="C335" s="97"/>
      <c r="D335" s="97"/>
      <c r="E335" s="102"/>
      <c r="F335" s="102"/>
      <c r="G335" s="251"/>
      <c r="H335" s="416"/>
      <c r="I335" s="416"/>
      <c r="J335" s="97"/>
      <c r="K335" s="97"/>
      <c r="L335" s="97"/>
      <c r="M335" s="97"/>
      <c r="N335" s="97"/>
      <c r="O335" s="97"/>
      <c r="P335" s="97"/>
      <c r="Q335" s="97"/>
      <c r="R335" s="97"/>
    </row>
    <row r="336" spans="2:18" ht="15.75" customHeight="1" x14ac:dyDescent="0.45">
      <c r="B336" s="97"/>
      <c r="C336" s="97"/>
      <c r="D336" s="97"/>
      <c r="E336" s="102"/>
      <c r="F336" s="102"/>
      <c r="G336" s="251"/>
      <c r="H336" s="416"/>
      <c r="I336" s="416"/>
      <c r="J336" s="97"/>
      <c r="K336" s="97"/>
      <c r="L336" s="97"/>
      <c r="M336" s="97"/>
      <c r="N336" s="97"/>
      <c r="O336" s="97"/>
      <c r="P336" s="97"/>
      <c r="Q336" s="97"/>
      <c r="R336" s="97"/>
    </row>
    <row r="337" spans="2:18" ht="15.75" customHeight="1" x14ac:dyDescent="0.45">
      <c r="B337" s="97"/>
      <c r="C337" s="97"/>
      <c r="D337" s="97"/>
      <c r="E337" s="102"/>
      <c r="F337" s="102"/>
      <c r="G337" s="251"/>
      <c r="H337" s="416"/>
      <c r="I337" s="416"/>
      <c r="J337" s="97"/>
      <c r="K337" s="97"/>
      <c r="L337" s="97"/>
      <c r="M337" s="97"/>
      <c r="N337" s="97"/>
      <c r="O337" s="97"/>
      <c r="P337" s="97"/>
      <c r="Q337" s="97"/>
      <c r="R337" s="97"/>
    </row>
    <row r="338" spans="2:18" ht="15.75" customHeight="1" x14ac:dyDescent="0.45">
      <c r="B338" s="97"/>
      <c r="C338" s="97"/>
      <c r="D338" s="97"/>
      <c r="E338" s="102"/>
      <c r="F338" s="102"/>
      <c r="G338" s="251"/>
      <c r="H338" s="416"/>
      <c r="I338" s="416"/>
      <c r="J338" s="97"/>
      <c r="K338" s="97"/>
      <c r="L338" s="97"/>
      <c r="M338" s="97"/>
      <c r="N338" s="97"/>
      <c r="O338" s="97"/>
      <c r="P338" s="97"/>
      <c r="Q338" s="97"/>
      <c r="R338" s="97"/>
    </row>
    <row r="339" spans="2:18" ht="15.75" customHeight="1" x14ac:dyDescent="0.45">
      <c r="B339" s="97"/>
      <c r="C339" s="97"/>
      <c r="D339" s="97"/>
      <c r="E339" s="102"/>
      <c r="F339" s="102"/>
      <c r="G339" s="251"/>
      <c r="H339" s="416"/>
      <c r="I339" s="416"/>
      <c r="J339" s="97"/>
      <c r="K339" s="97"/>
      <c r="L339" s="97"/>
      <c r="M339" s="97"/>
      <c r="N339" s="97"/>
      <c r="O339" s="97"/>
      <c r="P339" s="97"/>
      <c r="Q339" s="97"/>
      <c r="R339" s="97"/>
    </row>
    <row r="340" spans="2:18" ht="15.75" customHeight="1" x14ac:dyDescent="0.45">
      <c r="B340" s="97"/>
      <c r="C340" s="97"/>
      <c r="D340" s="97"/>
      <c r="E340" s="102"/>
      <c r="F340" s="102"/>
      <c r="G340" s="251"/>
      <c r="H340" s="416"/>
      <c r="I340" s="416"/>
      <c r="J340" s="97"/>
      <c r="K340" s="97"/>
      <c r="L340" s="97"/>
      <c r="M340" s="97"/>
      <c r="N340" s="97"/>
      <c r="O340" s="97"/>
      <c r="P340" s="97"/>
      <c r="Q340" s="97"/>
      <c r="R340" s="97"/>
    </row>
    <row r="341" spans="2:18" ht="15.75" customHeight="1" x14ac:dyDescent="0.45">
      <c r="B341" s="97"/>
      <c r="C341" s="97"/>
      <c r="D341" s="97"/>
      <c r="E341" s="102"/>
      <c r="F341" s="102"/>
      <c r="G341" s="251"/>
      <c r="H341" s="416"/>
      <c r="I341" s="416"/>
      <c r="J341" s="97"/>
      <c r="K341" s="97"/>
      <c r="L341" s="97"/>
      <c r="M341" s="97"/>
      <c r="N341" s="97"/>
      <c r="O341" s="97"/>
      <c r="P341" s="97"/>
      <c r="Q341" s="97"/>
      <c r="R341" s="97"/>
    </row>
    <row r="342" spans="2:18" ht="15.75" customHeight="1" x14ac:dyDescent="0.45">
      <c r="B342" s="97"/>
      <c r="C342" s="97"/>
      <c r="D342" s="97"/>
      <c r="E342" s="102"/>
      <c r="F342" s="102"/>
      <c r="G342" s="251"/>
      <c r="H342" s="416"/>
      <c r="I342" s="416"/>
      <c r="J342" s="97"/>
      <c r="K342" s="97"/>
      <c r="L342" s="97"/>
      <c r="M342" s="97"/>
      <c r="N342" s="97"/>
      <c r="O342" s="97"/>
      <c r="P342" s="97"/>
      <c r="Q342" s="97"/>
      <c r="R342" s="97"/>
    </row>
    <row r="343" spans="2:18" ht="15.75" customHeight="1" x14ac:dyDescent="0.45">
      <c r="B343" s="97"/>
      <c r="C343" s="97"/>
      <c r="D343" s="97"/>
      <c r="E343" s="102"/>
      <c r="F343" s="102"/>
      <c r="G343" s="251"/>
      <c r="H343" s="416"/>
      <c r="I343" s="416"/>
      <c r="J343" s="97"/>
      <c r="K343" s="97"/>
      <c r="L343" s="97"/>
      <c r="M343" s="97"/>
      <c r="N343" s="97"/>
      <c r="O343" s="97"/>
      <c r="P343" s="97"/>
      <c r="Q343" s="97"/>
      <c r="R343" s="97"/>
    </row>
    <row r="344" spans="2:18" ht="15.75" customHeight="1" x14ac:dyDescent="0.45">
      <c r="B344" s="97"/>
      <c r="C344" s="97"/>
      <c r="D344" s="97"/>
      <c r="E344" s="102"/>
      <c r="F344" s="102"/>
      <c r="G344" s="251"/>
      <c r="H344" s="416"/>
      <c r="I344" s="416"/>
      <c r="J344" s="97"/>
      <c r="K344" s="97"/>
      <c r="L344" s="97"/>
      <c r="M344" s="97"/>
      <c r="N344" s="97"/>
      <c r="O344" s="97"/>
      <c r="P344" s="97"/>
      <c r="Q344" s="97"/>
      <c r="R344" s="97"/>
    </row>
    <row r="345" spans="2:18" ht="15.75" customHeight="1" x14ac:dyDescent="0.45">
      <c r="B345" s="97"/>
      <c r="C345" s="97"/>
      <c r="D345" s="97"/>
      <c r="E345" s="102"/>
      <c r="F345" s="102"/>
      <c r="G345" s="251"/>
      <c r="H345" s="416"/>
      <c r="I345" s="416"/>
      <c r="J345" s="97"/>
      <c r="K345" s="97"/>
      <c r="L345" s="97"/>
      <c r="M345" s="97"/>
      <c r="N345" s="97"/>
      <c r="O345" s="97"/>
      <c r="P345" s="97"/>
      <c r="Q345" s="97"/>
      <c r="R345" s="97"/>
    </row>
    <row r="346" spans="2:18" ht="15.75" customHeight="1" x14ac:dyDescent="0.45">
      <c r="B346" s="97"/>
      <c r="C346" s="97"/>
      <c r="D346" s="97"/>
      <c r="E346" s="102"/>
      <c r="F346" s="102"/>
      <c r="G346" s="251"/>
      <c r="H346" s="416"/>
      <c r="I346" s="416"/>
      <c r="J346" s="97"/>
      <c r="K346" s="97"/>
      <c r="L346" s="97"/>
      <c r="M346" s="97"/>
      <c r="N346" s="97"/>
      <c r="O346" s="97"/>
      <c r="P346" s="97"/>
      <c r="Q346" s="97"/>
      <c r="R346" s="97"/>
    </row>
    <row r="347" spans="2:18" ht="15.75" customHeight="1" x14ac:dyDescent="0.45">
      <c r="B347" s="97"/>
      <c r="C347" s="97"/>
      <c r="D347" s="97"/>
      <c r="E347" s="102"/>
      <c r="F347" s="102"/>
      <c r="G347" s="251"/>
      <c r="H347" s="416"/>
      <c r="I347" s="416"/>
      <c r="J347" s="97"/>
      <c r="K347" s="97"/>
      <c r="L347" s="97"/>
      <c r="M347" s="97"/>
      <c r="N347" s="97"/>
      <c r="O347" s="97"/>
      <c r="P347" s="97"/>
      <c r="Q347" s="97"/>
      <c r="R347" s="97"/>
    </row>
    <row r="348" spans="2:18" ht="15.75" customHeight="1" x14ac:dyDescent="0.45">
      <c r="B348" s="97"/>
      <c r="C348" s="97"/>
      <c r="D348" s="97"/>
      <c r="E348" s="102"/>
      <c r="F348" s="102"/>
      <c r="G348" s="251"/>
      <c r="H348" s="416"/>
      <c r="I348" s="416"/>
      <c r="J348" s="97"/>
      <c r="K348" s="97"/>
      <c r="L348" s="97"/>
      <c r="M348" s="97"/>
      <c r="N348" s="97"/>
      <c r="O348" s="97"/>
      <c r="P348" s="97"/>
      <c r="Q348" s="97"/>
      <c r="R348" s="97"/>
    </row>
    <row r="349" spans="2:18" ht="15.75" customHeight="1" x14ac:dyDescent="0.45">
      <c r="B349" s="97"/>
      <c r="C349" s="97"/>
      <c r="D349" s="97"/>
      <c r="E349" s="102"/>
      <c r="F349" s="102"/>
      <c r="G349" s="251"/>
      <c r="H349" s="416"/>
      <c r="I349" s="416"/>
      <c r="J349" s="97"/>
      <c r="K349" s="97"/>
      <c r="L349" s="97"/>
      <c r="M349" s="97"/>
      <c r="N349" s="97"/>
      <c r="O349" s="97"/>
      <c r="P349" s="97"/>
      <c r="Q349" s="97"/>
      <c r="R349" s="97"/>
    </row>
    <row r="350" spans="2:18" ht="15.75" customHeight="1" x14ac:dyDescent="0.45">
      <c r="B350" s="97"/>
      <c r="C350" s="97"/>
      <c r="D350" s="97"/>
      <c r="E350" s="102"/>
      <c r="F350" s="102"/>
      <c r="G350" s="251"/>
      <c r="H350" s="416"/>
      <c r="I350" s="416"/>
      <c r="J350" s="97"/>
      <c r="K350" s="97"/>
      <c r="L350" s="97"/>
      <c r="M350" s="97"/>
      <c r="N350" s="97"/>
      <c r="O350" s="97"/>
      <c r="P350" s="97"/>
      <c r="Q350" s="97"/>
      <c r="R350" s="97"/>
    </row>
    <row r="351" spans="2:18" ht="15.75" customHeight="1" x14ac:dyDescent="0.45">
      <c r="B351" s="97"/>
      <c r="C351" s="97"/>
      <c r="D351" s="97"/>
      <c r="E351" s="102"/>
      <c r="F351" s="102"/>
      <c r="G351" s="251"/>
      <c r="H351" s="416"/>
      <c r="I351" s="416"/>
      <c r="J351" s="97"/>
      <c r="K351" s="97"/>
      <c r="L351" s="97"/>
      <c r="M351" s="97"/>
      <c r="N351" s="97"/>
      <c r="O351" s="97"/>
      <c r="P351" s="97"/>
      <c r="Q351" s="97"/>
      <c r="R351" s="97"/>
    </row>
    <row r="352" spans="2:18" ht="15.75" customHeight="1" x14ac:dyDescent="0.45">
      <c r="B352" s="97"/>
      <c r="C352" s="97"/>
      <c r="D352" s="97"/>
      <c r="E352" s="102"/>
      <c r="F352" s="102"/>
      <c r="G352" s="251"/>
      <c r="H352" s="416"/>
      <c r="I352" s="416"/>
      <c r="J352" s="97"/>
      <c r="K352" s="97"/>
      <c r="L352" s="97"/>
      <c r="M352" s="97"/>
      <c r="N352" s="97"/>
      <c r="O352" s="97"/>
      <c r="P352" s="97"/>
      <c r="Q352" s="97"/>
      <c r="R352" s="97"/>
    </row>
    <row r="353" spans="2:18" ht="15.75" customHeight="1" x14ac:dyDescent="0.45">
      <c r="B353" s="97"/>
      <c r="C353" s="97"/>
      <c r="D353" s="97"/>
      <c r="E353" s="102"/>
      <c r="F353" s="102"/>
      <c r="G353" s="251"/>
      <c r="H353" s="416"/>
      <c r="I353" s="416"/>
      <c r="J353" s="97"/>
      <c r="K353" s="97"/>
      <c r="L353" s="97"/>
      <c r="M353" s="97"/>
      <c r="N353" s="97"/>
      <c r="O353" s="97"/>
      <c r="P353" s="97"/>
      <c r="Q353" s="97"/>
      <c r="R353" s="97"/>
    </row>
    <row r="354" spans="2:18" ht="15.75" customHeight="1" x14ac:dyDescent="0.45">
      <c r="B354" s="97"/>
      <c r="C354" s="97"/>
      <c r="D354" s="97"/>
      <c r="E354" s="102"/>
      <c r="F354" s="102"/>
      <c r="G354" s="251"/>
      <c r="H354" s="416"/>
      <c r="I354" s="416"/>
      <c r="J354" s="97"/>
      <c r="K354" s="97"/>
      <c r="L354" s="97"/>
      <c r="M354" s="97"/>
      <c r="N354" s="97"/>
      <c r="O354" s="97"/>
      <c r="P354" s="97"/>
      <c r="Q354" s="97"/>
      <c r="R354" s="97"/>
    </row>
    <row r="355" spans="2:18" ht="15.75" customHeight="1" x14ac:dyDescent="0.45">
      <c r="B355" s="97"/>
      <c r="C355" s="97"/>
      <c r="D355" s="97"/>
      <c r="E355" s="102"/>
      <c r="F355" s="102"/>
      <c r="G355" s="251"/>
      <c r="H355" s="416"/>
      <c r="I355" s="416"/>
      <c r="J355" s="97"/>
      <c r="K355" s="97"/>
      <c r="L355" s="97"/>
      <c r="M355" s="97"/>
      <c r="N355" s="97"/>
      <c r="O355" s="97"/>
      <c r="P355" s="97"/>
      <c r="Q355" s="97"/>
      <c r="R355" s="97"/>
    </row>
    <row r="356" spans="2:18" ht="15.75" customHeight="1" x14ac:dyDescent="0.45">
      <c r="B356" s="97"/>
      <c r="C356" s="97"/>
      <c r="D356" s="97"/>
      <c r="E356" s="102"/>
      <c r="F356" s="102"/>
      <c r="G356" s="251"/>
      <c r="H356" s="416"/>
      <c r="I356" s="416"/>
      <c r="J356" s="97"/>
      <c r="K356" s="97"/>
      <c r="L356" s="97"/>
      <c r="M356" s="97"/>
      <c r="N356" s="97"/>
      <c r="O356" s="97"/>
      <c r="P356" s="97"/>
      <c r="Q356" s="97"/>
      <c r="R356" s="97"/>
    </row>
    <row r="357" spans="2:18" ht="15.75" customHeight="1" x14ac:dyDescent="0.45">
      <c r="B357" s="97"/>
      <c r="C357" s="97"/>
      <c r="D357" s="97"/>
      <c r="E357" s="102"/>
      <c r="F357" s="102"/>
      <c r="G357" s="251"/>
      <c r="H357" s="416"/>
      <c r="I357" s="416"/>
      <c r="J357" s="97"/>
      <c r="K357" s="97"/>
      <c r="L357" s="97"/>
      <c r="M357" s="97"/>
      <c r="N357" s="97"/>
      <c r="O357" s="97"/>
      <c r="P357" s="97"/>
      <c r="Q357" s="97"/>
      <c r="R357" s="97"/>
    </row>
    <row r="358" spans="2:18" ht="15.75" customHeight="1" x14ac:dyDescent="0.45">
      <c r="B358" s="97"/>
      <c r="C358" s="97"/>
      <c r="D358" s="97"/>
      <c r="E358" s="102"/>
      <c r="F358" s="102"/>
      <c r="G358" s="251"/>
      <c r="H358" s="416"/>
      <c r="I358" s="416"/>
      <c r="J358" s="97"/>
      <c r="K358" s="97"/>
      <c r="L358" s="97"/>
      <c r="M358" s="97"/>
      <c r="N358" s="97"/>
      <c r="O358" s="97"/>
      <c r="P358" s="97"/>
      <c r="Q358" s="97"/>
      <c r="R358" s="97"/>
    </row>
    <row r="359" spans="2:18" ht="15.75" customHeight="1" x14ac:dyDescent="0.45">
      <c r="B359" s="97"/>
      <c r="C359" s="97"/>
      <c r="D359" s="97"/>
      <c r="E359" s="102"/>
      <c r="F359" s="102"/>
      <c r="G359" s="251"/>
      <c r="H359" s="416"/>
      <c r="I359" s="416"/>
      <c r="J359" s="97"/>
      <c r="K359" s="97"/>
      <c r="L359" s="97"/>
      <c r="M359" s="97"/>
      <c r="N359" s="97"/>
      <c r="O359" s="97"/>
      <c r="P359" s="97"/>
      <c r="Q359" s="97"/>
      <c r="R359" s="97"/>
    </row>
    <row r="360" spans="2:18" ht="15.75" customHeight="1" x14ac:dyDescent="0.45">
      <c r="B360" s="97"/>
      <c r="C360" s="97"/>
      <c r="D360" s="97"/>
      <c r="E360" s="102"/>
      <c r="F360" s="102"/>
      <c r="G360" s="251"/>
      <c r="H360" s="416"/>
      <c r="I360" s="416"/>
      <c r="J360" s="97"/>
      <c r="K360" s="97"/>
      <c r="L360" s="97"/>
      <c r="M360" s="97"/>
      <c r="N360" s="97"/>
      <c r="O360" s="97"/>
      <c r="P360" s="97"/>
      <c r="Q360" s="97"/>
      <c r="R360" s="97"/>
    </row>
    <row r="361" spans="2:18" ht="15.75" customHeight="1" x14ac:dyDescent="0.45">
      <c r="B361" s="97"/>
      <c r="C361" s="97"/>
      <c r="D361" s="97"/>
      <c r="E361" s="102"/>
      <c r="F361" s="102"/>
      <c r="G361" s="251"/>
      <c r="H361" s="416"/>
      <c r="I361" s="416"/>
      <c r="J361" s="97"/>
      <c r="K361" s="97"/>
      <c r="L361" s="97"/>
      <c r="M361" s="97"/>
      <c r="N361" s="97"/>
      <c r="O361" s="97"/>
      <c r="P361" s="97"/>
      <c r="Q361" s="97"/>
      <c r="R361" s="97"/>
    </row>
    <row r="362" spans="2:18" ht="15.75" customHeight="1" x14ac:dyDescent="0.45">
      <c r="B362" s="97"/>
      <c r="C362" s="97"/>
      <c r="D362" s="97"/>
      <c r="E362" s="102"/>
      <c r="F362" s="102"/>
      <c r="G362" s="251"/>
      <c r="H362" s="416"/>
      <c r="I362" s="416"/>
      <c r="J362" s="97"/>
      <c r="K362" s="97"/>
      <c r="L362" s="97"/>
      <c r="M362" s="97"/>
      <c r="N362" s="97"/>
      <c r="O362" s="97"/>
      <c r="P362" s="97"/>
      <c r="Q362" s="97"/>
      <c r="R362" s="97"/>
    </row>
    <row r="363" spans="2:18" ht="15.75" customHeight="1" x14ac:dyDescent="0.45">
      <c r="B363" s="97"/>
      <c r="C363" s="97"/>
      <c r="D363" s="97"/>
      <c r="E363" s="102"/>
      <c r="F363" s="102"/>
      <c r="G363" s="251"/>
      <c r="H363" s="416"/>
      <c r="I363" s="416"/>
      <c r="J363" s="97"/>
      <c r="K363" s="97"/>
      <c r="L363" s="97"/>
      <c r="M363" s="97"/>
      <c r="N363" s="97"/>
      <c r="O363" s="97"/>
      <c r="P363" s="97"/>
      <c r="Q363" s="97"/>
      <c r="R363" s="97"/>
    </row>
    <row r="364" spans="2:18" ht="15.75" customHeight="1" x14ac:dyDescent="0.45">
      <c r="B364" s="97"/>
      <c r="C364" s="97"/>
      <c r="D364" s="97"/>
      <c r="E364" s="102"/>
      <c r="F364" s="102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</row>
    <row r="365" spans="2:18" ht="15.75" customHeight="1" x14ac:dyDescent="0.45">
      <c r="B365" s="97"/>
      <c r="C365" s="97"/>
      <c r="D365" s="97"/>
      <c r="E365" s="102"/>
      <c r="F365" s="102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</row>
    <row r="366" spans="2:18" ht="15.75" customHeight="1" x14ac:dyDescent="0.45">
      <c r="B366" s="97"/>
      <c r="C366" s="97"/>
      <c r="D366" s="97"/>
      <c r="E366" s="102"/>
      <c r="F366" s="102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</row>
    <row r="367" spans="2:18" ht="15.75" customHeight="1" x14ac:dyDescent="0.45">
      <c r="B367" s="97"/>
      <c r="C367" s="97"/>
      <c r="D367" s="97"/>
      <c r="E367" s="102"/>
      <c r="F367" s="102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</row>
    <row r="368" spans="2:18" ht="15.75" customHeight="1" x14ac:dyDescent="0.45">
      <c r="B368" s="97"/>
      <c r="C368" s="97"/>
      <c r="D368" s="97"/>
      <c r="E368" s="102"/>
      <c r="F368" s="102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</row>
    <row r="369" spans="2:18" ht="15.75" customHeight="1" x14ac:dyDescent="0.45">
      <c r="B369" s="97"/>
      <c r="C369" s="97"/>
      <c r="D369" s="97"/>
      <c r="E369" s="102"/>
      <c r="F369" s="102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</row>
    <row r="370" spans="2:18" ht="15.75" customHeight="1" x14ac:dyDescent="0.45">
      <c r="B370" s="97"/>
      <c r="C370" s="97"/>
      <c r="D370" s="97"/>
      <c r="E370" s="102"/>
      <c r="F370" s="102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</row>
    <row r="371" spans="2:18" ht="15.75" customHeight="1" x14ac:dyDescent="0.45">
      <c r="B371" s="97"/>
      <c r="C371" s="97"/>
      <c r="D371" s="97"/>
      <c r="E371" s="102"/>
      <c r="F371" s="102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</row>
    <row r="372" spans="2:18" ht="15.75" customHeight="1" x14ac:dyDescent="0.45">
      <c r="B372" s="97"/>
      <c r="C372" s="97"/>
      <c r="D372" s="97"/>
      <c r="E372" s="102"/>
      <c r="F372" s="102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</row>
    <row r="373" spans="2:18" ht="15.75" customHeight="1" x14ac:dyDescent="0.45"/>
    <row r="374" spans="2:18" ht="15.75" customHeight="1" x14ac:dyDescent="0.45"/>
    <row r="375" spans="2:18" ht="15.75" customHeight="1" x14ac:dyDescent="0.45"/>
    <row r="376" spans="2:18" ht="15.75" customHeight="1" x14ac:dyDescent="0.45"/>
    <row r="377" spans="2:18" ht="15.75" customHeight="1" x14ac:dyDescent="0.45"/>
    <row r="378" spans="2:18" ht="15.75" customHeight="1" x14ac:dyDescent="0.45"/>
    <row r="379" spans="2:18" ht="15.75" customHeight="1" x14ac:dyDescent="0.45"/>
    <row r="380" spans="2:18" ht="15.75" customHeight="1" x14ac:dyDescent="0.45"/>
    <row r="381" spans="2:18" ht="15.75" customHeight="1" x14ac:dyDescent="0.45"/>
    <row r="382" spans="2:18" ht="15.75" customHeight="1" x14ac:dyDescent="0.45"/>
    <row r="383" spans="2:18" ht="15.75" customHeight="1" x14ac:dyDescent="0.45"/>
    <row r="384" spans="2:18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  <row r="1001" ht="15.75" customHeight="1" x14ac:dyDescent="0.45"/>
  </sheetData>
  <mergeCells count="3">
    <mergeCell ref="B83:D83"/>
    <mergeCell ref="B125:D125"/>
    <mergeCell ref="B157:C15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454B1-508B-4A7C-BE85-88F92092604E}">
  <dimension ref="A1:AD1001"/>
  <sheetViews>
    <sheetView topLeftCell="A43" workbookViewId="0">
      <selection activeCell="A45" sqref="A45:XFD45"/>
    </sheetView>
  </sheetViews>
  <sheetFormatPr baseColWidth="10" defaultColWidth="14.3984375" defaultRowHeight="14.25" x14ac:dyDescent="0.45"/>
  <cols>
    <col min="1" max="1" width="15.53125" bestFit="1" customWidth="1"/>
    <col min="2" max="2" width="8.6640625" bestFit="1" customWidth="1"/>
    <col min="3" max="3" width="25.796875" bestFit="1" customWidth="1"/>
    <col min="4" max="4" width="25.33203125" bestFit="1" customWidth="1"/>
    <col min="5" max="5" width="12.19921875" bestFit="1" customWidth="1"/>
    <col min="6" max="6" width="11.59765625" bestFit="1" customWidth="1"/>
    <col min="7" max="7" width="10.59765625" bestFit="1" customWidth="1"/>
    <col min="8" max="8" width="10.59765625" customWidth="1"/>
    <col min="9" max="9" width="15.06640625" bestFit="1" customWidth="1"/>
    <col min="10" max="10" width="17.53125" bestFit="1" customWidth="1"/>
    <col min="11" max="11" width="15.265625" bestFit="1" customWidth="1"/>
    <col min="12" max="12" width="5.6640625" bestFit="1" customWidth="1"/>
    <col min="13" max="13" width="17.06640625" bestFit="1" customWidth="1"/>
    <col min="14" max="14" width="7.06640625" bestFit="1" customWidth="1"/>
    <col min="15" max="15" width="9.3984375" bestFit="1" customWidth="1"/>
    <col min="16" max="16" width="11.46484375" bestFit="1" customWidth="1"/>
    <col min="17" max="17" width="12.46484375" bestFit="1" customWidth="1"/>
    <col min="18" max="18" width="10.46484375" bestFit="1" customWidth="1"/>
    <col min="19" max="19" width="11.265625" bestFit="1" customWidth="1"/>
    <col min="20" max="20" width="8.53125" bestFit="1" customWidth="1"/>
    <col min="21" max="21" width="9.265625" bestFit="1" customWidth="1"/>
    <col min="22" max="22" width="8.59765625" bestFit="1" customWidth="1"/>
    <col min="23" max="30" width="10.73046875" customWidth="1"/>
  </cols>
  <sheetData>
    <row r="1" spans="1:22" x14ac:dyDescent="0.45">
      <c r="B1" s="94" t="s">
        <v>60</v>
      </c>
      <c r="C1" s="95"/>
      <c r="D1" s="98"/>
      <c r="E1" s="95"/>
      <c r="F1" s="95"/>
      <c r="G1" s="98"/>
      <c r="H1" s="98"/>
      <c r="I1" s="98"/>
      <c r="J1" s="98"/>
      <c r="K1" s="98"/>
      <c r="L1" s="97"/>
      <c r="M1" s="97"/>
      <c r="N1" s="97"/>
      <c r="O1" s="97"/>
      <c r="P1" s="97"/>
      <c r="Q1" s="97"/>
      <c r="R1" s="97"/>
      <c r="S1" s="97"/>
    </row>
    <row r="2" spans="1:22" x14ac:dyDescent="0.45">
      <c r="B2" s="94" t="s">
        <v>184</v>
      </c>
      <c r="C2" s="409"/>
      <c r="D2" s="98"/>
      <c r="E2" s="95"/>
      <c r="F2" s="95"/>
      <c r="G2" s="98"/>
      <c r="H2" s="98"/>
      <c r="I2" s="98"/>
      <c r="J2" s="98"/>
      <c r="K2" s="98"/>
      <c r="L2" s="97"/>
      <c r="M2" s="97"/>
      <c r="N2" s="97"/>
      <c r="O2" s="97"/>
      <c r="P2" s="97"/>
      <c r="Q2" s="97"/>
      <c r="R2" s="97"/>
      <c r="S2" s="97"/>
    </row>
    <row r="3" spans="1:22" x14ac:dyDescent="0.45">
      <c r="B3" s="94" t="s">
        <v>185</v>
      </c>
      <c r="C3" s="95"/>
      <c r="D3" s="98"/>
      <c r="E3" s="95"/>
      <c r="F3" s="95"/>
      <c r="G3" s="98"/>
      <c r="H3" s="98"/>
      <c r="I3" s="98"/>
      <c r="J3" s="98"/>
      <c r="K3" s="98"/>
      <c r="L3" s="97"/>
      <c r="M3" s="97"/>
      <c r="N3" s="97"/>
      <c r="O3" s="97"/>
      <c r="P3" s="97"/>
      <c r="Q3" s="97"/>
      <c r="R3" s="97"/>
      <c r="S3" s="97"/>
    </row>
    <row r="4" spans="1:22" x14ac:dyDescent="0.45">
      <c r="B4" s="94" t="s">
        <v>186</v>
      </c>
      <c r="C4" s="95"/>
      <c r="D4" s="98" t="s">
        <v>187</v>
      </c>
      <c r="E4" s="95"/>
      <c r="F4" s="95"/>
      <c r="G4" s="98"/>
      <c r="H4" s="98"/>
      <c r="I4" s="98"/>
      <c r="J4" s="98"/>
      <c r="K4" s="98"/>
      <c r="L4" s="97"/>
      <c r="M4" s="97"/>
      <c r="N4" s="97"/>
      <c r="O4" s="97"/>
      <c r="P4" s="97"/>
      <c r="Q4" s="97"/>
      <c r="R4" s="97"/>
      <c r="S4" s="97"/>
    </row>
    <row r="5" spans="1:22" x14ac:dyDescent="0.45">
      <c r="B5" s="94" t="s">
        <v>188</v>
      </c>
      <c r="C5" s="95"/>
      <c r="D5" s="98" t="s">
        <v>187</v>
      </c>
      <c r="E5" s="95"/>
      <c r="F5" s="95"/>
      <c r="G5" s="98"/>
      <c r="H5" s="98"/>
      <c r="I5" s="98"/>
      <c r="J5" s="98"/>
      <c r="K5" s="98"/>
      <c r="L5" s="97"/>
      <c r="M5" s="97"/>
      <c r="N5" s="97"/>
      <c r="O5" s="97"/>
      <c r="P5" s="97"/>
      <c r="Q5" s="97"/>
      <c r="R5" s="97"/>
      <c r="S5" s="97"/>
    </row>
    <row r="6" spans="1:22" x14ac:dyDescent="0.45">
      <c r="B6" s="484" t="s">
        <v>189</v>
      </c>
      <c r="C6" s="485" t="s">
        <v>844</v>
      </c>
      <c r="D6" s="488">
        <f>'c303-c503'!C6</f>
        <v>0</v>
      </c>
      <c r="E6" s="485" t="s">
        <v>860</v>
      </c>
      <c r="F6" s="488" t="str">
        <f>'c303-c503'!E6</f>
        <v>x</v>
      </c>
      <c r="G6" s="98"/>
      <c r="H6" s="98"/>
      <c r="I6" s="98"/>
      <c r="J6" s="98"/>
      <c r="K6" s="98"/>
      <c r="L6" s="97"/>
      <c r="M6" s="97"/>
      <c r="N6" s="97"/>
      <c r="O6" s="97"/>
      <c r="P6" s="97"/>
      <c r="Q6" s="97"/>
      <c r="R6" s="97"/>
      <c r="S6" s="97"/>
    </row>
    <row r="7" spans="1:22" x14ac:dyDescent="0.45">
      <c r="B7" s="97"/>
      <c r="C7" s="97"/>
      <c r="D7" s="97"/>
      <c r="E7" s="102"/>
      <c r="F7" s="102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</row>
    <row r="8" spans="1:22" ht="31.5" x14ac:dyDescent="0.45">
      <c r="B8" s="475" t="s">
        <v>191</v>
      </c>
      <c r="C8" s="889" t="s">
        <v>192</v>
      </c>
      <c r="D8" s="893"/>
      <c r="E8" s="476" t="s">
        <v>55</v>
      </c>
      <c r="F8" s="477" t="s">
        <v>54</v>
      </c>
      <c r="G8" s="567" t="s">
        <v>193</v>
      </c>
      <c r="H8" s="238" t="s">
        <v>320</v>
      </c>
      <c r="I8" s="477" t="s">
        <v>53</v>
      </c>
      <c r="J8" s="478" t="s">
        <v>52</v>
      </c>
      <c r="K8" s="477" t="s">
        <v>656</v>
      </c>
      <c r="L8" s="477"/>
      <c r="M8" s="478" t="s">
        <v>50</v>
      </c>
      <c r="N8" s="478" t="s">
        <v>49</v>
      </c>
      <c r="O8" s="478" t="s">
        <v>48</v>
      </c>
      <c r="P8" s="479" t="s">
        <v>162</v>
      </c>
      <c r="Q8" s="281" t="s">
        <v>163</v>
      </c>
      <c r="R8" s="281" t="s">
        <v>165</v>
      </c>
      <c r="S8" s="282" t="s">
        <v>169</v>
      </c>
      <c r="T8" s="282" t="s">
        <v>164</v>
      </c>
      <c r="U8" s="279" t="s">
        <v>47</v>
      </c>
      <c r="V8" s="19" t="s">
        <v>46</v>
      </c>
    </row>
    <row r="9" spans="1:22" x14ac:dyDescent="0.45">
      <c r="A9" s="440" t="s">
        <v>260</v>
      </c>
      <c r="B9" s="449">
        <v>8058750190</v>
      </c>
      <c r="C9" s="441" t="s">
        <v>657</v>
      </c>
      <c r="D9" s="396" t="s">
        <v>658</v>
      </c>
      <c r="E9" s="408">
        <v>1300</v>
      </c>
      <c r="F9" s="566">
        <v>182</v>
      </c>
      <c r="G9" s="578">
        <f>'c303-c503'!F9</f>
        <v>0</v>
      </c>
      <c r="H9" s="57">
        <f>(G9*0.2)+(G9)</f>
        <v>0</v>
      </c>
      <c r="I9" s="219">
        <f>H9/E9</f>
        <v>0</v>
      </c>
      <c r="J9" s="507">
        <f>(30*BC!$B$47/F9)</f>
        <v>0</v>
      </c>
      <c r="K9" s="508">
        <f>IF(J9&gt;I9,J9,I9)</f>
        <v>0</v>
      </c>
      <c r="L9" s="508">
        <f>IF(I9=0,0,K9)</f>
        <v>0</v>
      </c>
      <c r="M9" s="194">
        <f>ROUNDUP(L9,0)</f>
        <v>0</v>
      </c>
      <c r="N9" s="364">
        <v>286</v>
      </c>
      <c r="O9" s="365">
        <f>N9*M9</f>
        <v>0</v>
      </c>
      <c r="P9" s="371">
        <f>N9/E9</f>
        <v>0.22</v>
      </c>
      <c r="Q9" s="374" t="e">
        <f>(P9+$O$155)+((BC!$F$125)/$G$82)</f>
        <v>#DIV/0!</v>
      </c>
      <c r="R9" s="514" t="e">
        <f>Q9*G9</f>
        <v>#DIV/0!</v>
      </c>
      <c r="S9" s="223" t="e">
        <f>((Q9*0.15)+Q9)</f>
        <v>#DIV/0!</v>
      </c>
      <c r="T9" s="223" t="e">
        <f>S9*G9</f>
        <v>#DIV/0!</v>
      </c>
      <c r="U9" s="225" t="e">
        <f>SUM(T9:T69)</f>
        <v>#DIV/0!</v>
      </c>
      <c r="V9" s="226" t="e">
        <f>SUM(R9:R69)</f>
        <v>#DIV/0!</v>
      </c>
    </row>
    <row r="10" spans="1:22" x14ac:dyDescent="0.45">
      <c r="A10" s="263">
        <f>H9+H10+H11+H12+H13+H14+H15+H16+H17+H18+H19+H20+H21+H22+H23+H24+H25+H26+H27+H28+H29+H30+H31+H32+H33+H34+H35+H36</f>
        <v>0</v>
      </c>
      <c r="B10" s="449">
        <v>8056692190</v>
      </c>
      <c r="C10" s="441" t="s">
        <v>659</v>
      </c>
      <c r="D10" s="396" t="s">
        <v>660</v>
      </c>
      <c r="E10" s="408">
        <v>750</v>
      </c>
      <c r="F10" s="566">
        <v>182</v>
      </c>
      <c r="G10" s="578">
        <f>'c303-c503'!F10</f>
        <v>0</v>
      </c>
      <c r="H10" s="57">
        <f t="shared" ref="H10:H72" si="0">(G10*0.2)+(G10)</f>
        <v>0</v>
      </c>
      <c r="I10" s="219">
        <f t="shared" ref="I10:I72" si="1">H10/E10</f>
        <v>0</v>
      </c>
      <c r="J10" s="507">
        <f>(30*BC!$B$47/F10)</f>
        <v>0</v>
      </c>
      <c r="K10" s="508">
        <f t="shared" ref="K10:K72" si="2">IF(J10&gt;I10,J10,I10)</f>
        <v>0</v>
      </c>
      <c r="L10" s="508">
        <f t="shared" ref="L10:L72" si="3">IF(I10=0,0,K10)</f>
        <v>0</v>
      </c>
      <c r="M10" s="194">
        <f t="shared" ref="M10:M72" si="4">ROUNDUP(L10,0)</f>
        <v>0</v>
      </c>
      <c r="N10" s="364">
        <v>180</v>
      </c>
      <c r="O10" s="365">
        <f t="shared" ref="O10:O72" si="5">N10*M10</f>
        <v>0</v>
      </c>
      <c r="P10" s="371">
        <f t="shared" ref="P10:P72" si="6">N10/E10</f>
        <v>0.24</v>
      </c>
      <c r="Q10" s="374" t="e">
        <f>(P10+$O$155)+((BC!$F$125)/$G$82)</f>
        <v>#DIV/0!</v>
      </c>
      <c r="R10" s="514" t="e">
        <f t="shared" ref="R10:R72" si="7">Q10*G10</f>
        <v>#DIV/0!</v>
      </c>
      <c r="S10" s="223" t="e">
        <f t="shared" ref="S10:S72" si="8">((Q10*0.15)+Q10)</f>
        <v>#DIV/0!</v>
      </c>
      <c r="T10" s="223" t="e">
        <f t="shared" ref="T10:T72" si="9">S10*G10</f>
        <v>#DIV/0!</v>
      </c>
    </row>
    <row r="11" spans="1:22" x14ac:dyDescent="0.45">
      <c r="B11" s="450">
        <v>8056811190</v>
      </c>
      <c r="C11" s="439" t="s">
        <v>661</v>
      </c>
      <c r="D11" s="396" t="s">
        <v>662</v>
      </c>
      <c r="E11" s="408">
        <v>750</v>
      </c>
      <c r="F11" s="566">
        <v>182</v>
      </c>
      <c r="G11" s="578">
        <f>'c303-c503'!F11</f>
        <v>0</v>
      </c>
      <c r="H11" s="57">
        <f t="shared" si="0"/>
        <v>0</v>
      </c>
      <c r="I11" s="219">
        <f t="shared" si="1"/>
        <v>0</v>
      </c>
      <c r="J11" s="507">
        <f>(30*BC!$B$47/F11)</f>
        <v>0</v>
      </c>
      <c r="K11" s="508">
        <f t="shared" si="2"/>
        <v>0</v>
      </c>
      <c r="L11" s="508">
        <f t="shared" si="3"/>
        <v>0</v>
      </c>
      <c r="M11" s="194">
        <f t="shared" si="4"/>
        <v>0</v>
      </c>
      <c r="N11" s="364">
        <v>495</v>
      </c>
      <c r="O11" s="365">
        <f t="shared" si="5"/>
        <v>0</v>
      </c>
      <c r="P11" s="371">
        <f t="shared" si="6"/>
        <v>0.66</v>
      </c>
      <c r="Q11" s="374" t="e">
        <f>(P11+$O$155)+((BC!$F$125)/$G$82)</f>
        <v>#DIV/0!</v>
      </c>
      <c r="R11" s="514" t="e">
        <f t="shared" si="7"/>
        <v>#DIV/0!</v>
      </c>
      <c r="S11" s="223" t="e">
        <f t="shared" si="8"/>
        <v>#DIV/0!</v>
      </c>
      <c r="T11" s="223" t="e">
        <f t="shared" si="9"/>
        <v>#DIV/0!</v>
      </c>
    </row>
    <row r="12" spans="1:22" x14ac:dyDescent="0.45">
      <c r="A12" s="261" t="s">
        <v>836</v>
      </c>
      <c r="B12" s="448">
        <v>8056820190</v>
      </c>
      <c r="C12" s="439" t="s">
        <v>663</v>
      </c>
      <c r="D12" s="396" t="s">
        <v>664</v>
      </c>
      <c r="E12" s="408">
        <v>450</v>
      </c>
      <c r="F12" s="566">
        <v>182</v>
      </c>
      <c r="G12" s="578">
        <f>'c303-c503'!F12</f>
        <v>0</v>
      </c>
      <c r="H12" s="57">
        <f t="shared" si="0"/>
        <v>0</v>
      </c>
      <c r="I12" s="219">
        <f t="shared" si="1"/>
        <v>0</v>
      </c>
      <c r="J12" s="507">
        <f>(30*BC!$B$47/F12)</f>
        <v>0</v>
      </c>
      <c r="K12" s="508">
        <f t="shared" si="2"/>
        <v>0</v>
      </c>
      <c r="L12" s="508">
        <f t="shared" si="3"/>
        <v>0</v>
      </c>
      <c r="M12" s="194">
        <f t="shared" si="4"/>
        <v>0</v>
      </c>
      <c r="N12" s="364">
        <v>297</v>
      </c>
      <c r="O12" s="365">
        <f t="shared" si="5"/>
        <v>0</v>
      </c>
      <c r="P12" s="371">
        <f t="shared" si="6"/>
        <v>0.66</v>
      </c>
      <c r="Q12" s="374" t="e">
        <f>(P12+$O$155)+((BC!$F$125)/$G$82)</f>
        <v>#DIV/0!</v>
      </c>
      <c r="R12" s="514" t="e">
        <f t="shared" si="7"/>
        <v>#DIV/0!</v>
      </c>
      <c r="S12" s="223" t="e">
        <f t="shared" si="8"/>
        <v>#DIV/0!</v>
      </c>
      <c r="T12" s="223" t="e">
        <f t="shared" si="9"/>
        <v>#DIV/0!</v>
      </c>
    </row>
    <row r="13" spans="1:22" x14ac:dyDescent="0.45">
      <c r="A13" s="261">
        <f>H37+H38+H39+H40</f>
        <v>0</v>
      </c>
      <c r="B13" s="448">
        <v>10421436190</v>
      </c>
      <c r="C13" s="439" t="s">
        <v>665</v>
      </c>
      <c r="D13" s="396" t="s">
        <v>666</v>
      </c>
      <c r="E13" s="408">
        <v>1050</v>
      </c>
      <c r="F13" s="566">
        <v>182</v>
      </c>
      <c r="G13" s="578">
        <f>'c303-c503'!F13</f>
        <v>0</v>
      </c>
      <c r="H13" s="57">
        <f t="shared" si="0"/>
        <v>0</v>
      </c>
      <c r="I13" s="219">
        <f t="shared" si="1"/>
        <v>0</v>
      </c>
      <c r="J13" s="507">
        <f>(30*BC!$B$47/F13)</f>
        <v>0</v>
      </c>
      <c r="K13" s="508">
        <f t="shared" si="2"/>
        <v>0</v>
      </c>
      <c r="L13" s="508">
        <f t="shared" si="3"/>
        <v>0</v>
      </c>
      <c r="M13" s="194">
        <f t="shared" si="4"/>
        <v>0</v>
      </c>
      <c r="N13" s="364">
        <v>357</v>
      </c>
      <c r="O13" s="365">
        <f t="shared" si="5"/>
        <v>0</v>
      </c>
      <c r="P13" s="371">
        <f t="shared" si="6"/>
        <v>0.34</v>
      </c>
      <c r="Q13" s="374" t="e">
        <f>(P13+$O$155)+((BC!$F$125)/$G$82)</f>
        <v>#DIV/0!</v>
      </c>
      <c r="R13" s="514" t="e">
        <f t="shared" si="7"/>
        <v>#DIV/0!</v>
      </c>
      <c r="S13" s="223" t="e">
        <f t="shared" si="8"/>
        <v>#DIV/0!</v>
      </c>
      <c r="T13" s="223" t="e">
        <f t="shared" si="9"/>
        <v>#DIV/0!</v>
      </c>
    </row>
    <row r="14" spans="1:22" x14ac:dyDescent="0.45">
      <c r="B14" s="448">
        <v>8056951190</v>
      </c>
      <c r="C14" s="439" t="s">
        <v>667</v>
      </c>
      <c r="D14" s="396" t="s">
        <v>668</v>
      </c>
      <c r="E14" s="408">
        <v>1000</v>
      </c>
      <c r="F14" s="566">
        <v>182</v>
      </c>
      <c r="G14" s="578">
        <f>'c303-c503'!F14</f>
        <v>0</v>
      </c>
      <c r="H14" s="57">
        <f t="shared" si="0"/>
        <v>0</v>
      </c>
      <c r="I14" s="219">
        <f t="shared" si="1"/>
        <v>0</v>
      </c>
      <c r="J14" s="507">
        <f>(30*BC!$B$47/F14)</f>
        <v>0</v>
      </c>
      <c r="K14" s="508">
        <f t="shared" si="2"/>
        <v>0</v>
      </c>
      <c r="L14" s="508">
        <f t="shared" si="3"/>
        <v>0</v>
      </c>
      <c r="M14" s="194">
        <f t="shared" si="4"/>
        <v>0</v>
      </c>
      <c r="N14" s="364">
        <v>410</v>
      </c>
      <c r="O14" s="365">
        <f t="shared" si="5"/>
        <v>0</v>
      </c>
      <c r="P14" s="371">
        <f t="shared" si="6"/>
        <v>0.41</v>
      </c>
      <c r="Q14" s="374" t="e">
        <f>(P14+$O$155)+((BC!$F$125)/$G$82)</f>
        <v>#DIV/0!</v>
      </c>
      <c r="R14" s="514" t="e">
        <f t="shared" si="7"/>
        <v>#DIV/0!</v>
      </c>
      <c r="S14" s="223" t="e">
        <f t="shared" si="8"/>
        <v>#DIV/0!</v>
      </c>
      <c r="T14" s="223" t="e">
        <f t="shared" si="9"/>
        <v>#DIV/0!</v>
      </c>
    </row>
    <row r="15" spans="1:22" x14ac:dyDescent="0.45">
      <c r="A15" s="241" t="s">
        <v>837</v>
      </c>
      <c r="B15" s="448">
        <v>8057427190</v>
      </c>
      <c r="C15" s="439" t="s">
        <v>669</v>
      </c>
      <c r="D15" s="396" t="s">
        <v>670</v>
      </c>
      <c r="E15" s="408">
        <v>1500</v>
      </c>
      <c r="F15" s="566">
        <v>182</v>
      </c>
      <c r="G15" s="578">
        <f>'c303-c503'!F15</f>
        <v>0</v>
      </c>
      <c r="H15" s="57">
        <f t="shared" si="0"/>
        <v>0</v>
      </c>
      <c r="I15" s="219">
        <f t="shared" si="1"/>
        <v>0</v>
      </c>
      <c r="J15" s="507">
        <f>(30*BC!$B$47/F15)</f>
        <v>0</v>
      </c>
      <c r="K15" s="508">
        <f t="shared" si="2"/>
        <v>0</v>
      </c>
      <c r="L15" s="508">
        <f t="shared" si="3"/>
        <v>0</v>
      </c>
      <c r="M15" s="194">
        <f t="shared" si="4"/>
        <v>0</v>
      </c>
      <c r="N15" s="364">
        <v>540</v>
      </c>
      <c r="O15" s="365">
        <f t="shared" si="5"/>
        <v>0</v>
      </c>
      <c r="P15" s="371">
        <f t="shared" si="6"/>
        <v>0.36</v>
      </c>
      <c r="Q15" s="374" t="e">
        <f>(P15+$O$155)+((BC!$F$125)/$G$82)</f>
        <v>#DIV/0!</v>
      </c>
      <c r="R15" s="514" t="e">
        <f t="shared" si="7"/>
        <v>#DIV/0!</v>
      </c>
      <c r="S15" s="223" t="e">
        <f t="shared" si="8"/>
        <v>#DIV/0!</v>
      </c>
      <c r="T15" s="223" t="e">
        <f t="shared" si="9"/>
        <v>#DIV/0!</v>
      </c>
    </row>
    <row r="16" spans="1:22" x14ac:dyDescent="0.45">
      <c r="A16" s="241">
        <f>H43+H44</f>
        <v>0</v>
      </c>
      <c r="B16" s="448">
        <v>8057443190</v>
      </c>
      <c r="C16" s="439" t="s">
        <v>671</v>
      </c>
      <c r="D16" s="396" t="s">
        <v>672</v>
      </c>
      <c r="E16" s="408">
        <v>2600</v>
      </c>
      <c r="F16" s="566">
        <v>182</v>
      </c>
      <c r="G16" s="578">
        <f>'c303-c503'!F16</f>
        <v>0</v>
      </c>
      <c r="H16" s="57">
        <f t="shared" si="0"/>
        <v>0</v>
      </c>
      <c r="I16" s="219">
        <f t="shared" si="1"/>
        <v>0</v>
      </c>
      <c r="J16" s="507">
        <f>(30*BC!$B$47/F16)</f>
        <v>0</v>
      </c>
      <c r="K16" s="508">
        <f t="shared" si="2"/>
        <v>0</v>
      </c>
      <c r="L16" s="508">
        <f t="shared" si="3"/>
        <v>0</v>
      </c>
      <c r="M16" s="194">
        <f t="shared" si="4"/>
        <v>0</v>
      </c>
      <c r="N16" s="364">
        <v>572</v>
      </c>
      <c r="O16" s="365">
        <f t="shared" si="5"/>
        <v>0</v>
      </c>
      <c r="P16" s="371">
        <f t="shared" si="6"/>
        <v>0.22</v>
      </c>
      <c r="Q16" s="374" t="e">
        <f>(P16+$O$155)+((BC!$F$125)/$G$82)</f>
        <v>#DIV/0!</v>
      </c>
      <c r="R16" s="514" t="e">
        <f t="shared" si="7"/>
        <v>#DIV/0!</v>
      </c>
      <c r="S16" s="223" t="e">
        <f t="shared" si="8"/>
        <v>#DIV/0!</v>
      </c>
      <c r="T16" s="223" t="e">
        <f t="shared" si="9"/>
        <v>#DIV/0!</v>
      </c>
    </row>
    <row r="17" spans="1:20" x14ac:dyDescent="0.45">
      <c r="B17" s="448">
        <v>8105561190</v>
      </c>
      <c r="C17" s="439" t="s">
        <v>673</v>
      </c>
      <c r="D17" s="396" t="s">
        <v>674</v>
      </c>
      <c r="E17" s="408">
        <v>1050</v>
      </c>
      <c r="F17" s="566">
        <v>182</v>
      </c>
      <c r="G17" s="578">
        <f>'c303-c503'!F17</f>
        <v>0</v>
      </c>
      <c r="H17" s="57">
        <f t="shared" si="0"/>
        <v>0</v>
      </c>
      <c r="I17" s="219">
        <f t="shared" si="1"/>
        <v>0</v>
      </c>
      <c r="J17" s="507">
        <f>(30*BC!$B$47/F17)</f>
        <v>0</v>
      </c>
      <c r="K17" s="508">
        <f t="shared" si="2"/>
        <v>0</v>
      </c>
      <c r="L17" s="508">
        <f t="shared" si="3"/>
        <v>0</v>
      </c>
      <c r="M17" s="194">
        <f t="shared" si="4"/>
        <v>0</v>
      </c>
      <c r="N17" s="364">
        <v>872</v>
      </c>
      <c r="O17" s="365">
        <f t="shared" si="5"/>
        <v>0</v>
      </c>
      <c r="P17" s="371">
        <f t="shared" si="6"/>
        <v>0.83047619047619048</v>
      </c>
      <c r="Q17" s="374" t="e">
        <f>(P17+$O$155)+((BC!$F$125)/$G$82)</f>
        <v>#DIV/0!</v>
      </c>
      <c r="R17" s="514" t="e">
        <f t="shared" si="7"/>
        <v>#DIV/0!</v>
      </c>
      <c r="S17" s="223" t="e">
        <f t="shared" si="8"/>
        <v>#DIV/0!</v>
      </c>
      <c r="T17" s="223" t="e">
        <f t="shared" si="9"/>
        <v>#DIV/0!</v>
      </c>
    </row>
    <row r="18" spans="1:20" x14ac:dyDescent="0.45">
      <c r="B18" s="448">
        <v>8057460190</v>
      </c>
      <c r="C18" s="439" t="s">
        <v>675</v>
      </c>
      <c r="D18" s="396" t="s">
        <v>676</v>
      </c>
      <c r="E18" s="408">
        <v>500</v>
      </c>
      <c r="F18" s="566">
        <v>56</v>
      </c>
      <c r="G18" s="578">
        <f>'c303-c503'!F18</f>
        <v>0</v>
      </c>
      <c r="H18" s="57">
        <f t="shared" si="0"/>
        <v>0</v>
      </c>
      <c r="I18" s="219">
        <f t="shared" si="1"/>
        <v>0</v>
      </c>
      <c r="J18" s="507">
        <f>(30*BC!$B$47/F18)</f>
        <v>0</v>
      </c>
      <c r="K18" s="508">
        <f t="shared" si="2"/>
        <v>0</v>
      </c>
      <c r="L18" s="508">
        <f t="shared" si="3"/>
        <v>0</v>
      </c>
      <c r="M18" s="194">
        <f t="shared" si="4"/>
        <v>0</v>
      </c>
      <c r="N18" s="364">
        <v>280</v>
      </c>
      <c r="O18" s="365">
        <f t="shared" si="5"/>
        <v>0</v>
      </c>
      <c r="P18" s="371">
        <f t="shared" si="6"/>
        <v>0.56000000000000005</v>
      </c>
      <c r="Q18" s="374" t="e">
        <f>(P18+$O$155)+((BC!$F$125)/$G$82)</f>
        <v>#DIV/0!</v>
      </c>
      <c r="R18" s="514" t="e">
        <f t="shared" si="7"/>
        <v>#DIV/0!</v>
      </c>
      <c r="S18" s="223" t="e">
        <f t="shared" si="8"/>
        <v>#DIV/0!</v>
      </c>
      <c r="T18" s="223" t="e">
        <f t="shared" si="9"/>
        <v>#DIV/0!</v>
      </c>
    </row>
    <row r="19" spans="1:20" ht="15.75" customHeight="1" x14ac:dyDescent="0.45">
      <c r="A19" s="242" t="s">
        <v>840</v>
      </c>
      <c r="B19" s="448">
        <v>8056757190</v>
      </c>
      <c r="C19" s="439" t="s">
        <v>677</v>
      </c>
      <c r="D19" s="396" t="s">
        <v>678</v>
      </c>
      <c r="E19" s="408">
        <v>1100</v>
      </c>
      <c r="F19" s="566">
        <v>56</v>
      </c>
      <c r="G19" s="578">
        <f>'c303-c503'!F19</f>
        <v>0</v>
      </c>
      <c r="H19" s="57">
        <f t="shared" si="0"/>
        <v>0</v>
      </c>
      <c r="I19" s="219">
        <f t="shared" si="1"/>
        <v>0</v>
      </c>
      <c r="J19" s="507">
        <f>(30*BC!$B$47/F19)</f>
        <v>0</v>
      </c>
      <c r="K19" s="508">
        <f t="shared" si="2"/>
        <v>0</v>
      </c>
      <c r="L19" s="508">
        <f t="shared" si="3"/>
        <v>0</v>
      </c>
      <c r="M19" s="194">
        <f t="shared" si="4"/>
        <v>0</v>
      </c>
      <c r="N19" s="364">
        <v>341</v>
      </c>
      <c r="O19" s="365">
        <f t="shared" si="5"/>
        <v>0</v>
      </c>
      <c r="P19" s="371">
        <f t="shared" si="6"/>
        <v>0.31</v>
      </c>
      <c r="Q19" s="374" t="e">
        <f>(P19+$O$155)+((BC!$F$125)/$G$82)</f>
        <v>#DIV/0!</v>
      </c>
      <c r="R19" s="514" t="e">
        <f t="shared" si="7"/>
        <v>#DIV/0!</v>
      </c>
      <c r="S19" s="223" t="e">
        <f t="shared" si="8"/>
        <v>#DIV/0!</v>
      </c>
      <c r="T19" s="223" t="e">
        <f t="shared" si="9"/>
        <v>#DIV/0!</v>
      </c>
    </row>
    <row r="20" spans="1:20" ht="15.75" customHeight="1" x14ac:dyDescent="0.45">
      <c r="A20" s="242" t="e">
        <f>#REF!+H51+H52+H53+H54+H55+H56+H57+H58+H59+H60+H61+H62</f>
        <v>#REF!</v>
      </c>
      <c r="B20" s="448">
        <v>8058610190</v>
      </c>
      <c r="C20" s="439" t="s">
        <v>679</v>
      </c>
      <c r="D20" s="396" t="s">
        <v>680</v>
      </c>
      <c r="E20" s="408">
        <v>750</v>
      </c>
      <c r="F20" s="566">
        <v>182</v>
      </c>
      <c r="G20" s="578">
        <f>'c303-c503'!F20</f>
        <v>0</v>
      </c>
      <c r="H20" s="57">
        <f t="shared" si="0"/>
        <v>0</v>
      </c>
      <c r="I20" s="219">
        <f t="shared" si="1"/>
        <v>0</v>
      </c>
      <c r="J20" s="507">
        <f>(30*BC!$B$47/F20)</f>
        <v>0</v>
      </c>
      <c r="K20" s="508">
        <f t="shared" si="2"/>
        <v>0</v>
      </c>
      <c r="L20" s="508">
        <f t="shared" si="3"/>
        <v>0</v>
      </c>
      <c r="M20" s="194">
        <f t="shared" si="4"/>
        <v>0</v>
      </c>
      <c r="N20" s="364">
        <v>203</v>
      </c>
      <c r="O20" s="365">
        <f t="shared" si="5"/>
        <v>0</v>
      </c>
      <c r="P20" s="371">
        <f t="shared" si="6"/>
        <v>0.27066666666666667</v>
      </c>
      <c r="Q20" s="374" t="e">
        <f>(P20+$O$155)+((BC!$F$125)/$G$82)</f>
        <v>#DIV/0!</v>
      </c>
      <c r="R20" s="514" t="e">
        <f t="shared" si="7"/>
        <v>#DIV/0!</v>
      </c>
      <c r="S20" s="223" t="e">
        <f t="shared" si="8"/>
        <v>#DIV/0!</v>
      </c>
      <c r="T20" s="223" t="e">
        <f t="shared" si="9"/>
        <v>#DIV/0!</v>
      </c>
    </row>
    <row r="21" spans="1:20" ht="15.75" customHeight="1" x14ac:dyDescent="0.45">
      <c r="B21" s="448">
        <v>8057796190</v>
      </c>
      <c r="C21" s="439" t="s">
        <v>681</v>
      </c>
      <c r="D21" s="396" t="s">
        <v>682</v>
      </c>
      <c r="E21" s="408">
        <v>400</v>
      </c>
      <c r="F21" s="566">
        <v>84</v>
      </c>
      <c r="G21" s="578">
        <f>'c303-c503'!F21</f>
        <v>0</v>
      </c>
      <c r="H21" s="57">
        <f t="shared" si="0"/>
        <v>0</v>
      </c>
      <c r="I21" s="219">
        <f t="shared" si="1"/>
        <v>0</v>
      </c>
      <c r="J21" s="507">
        <f>(30*BC!$B$47/F21)</f>
        <v>0</v>
      </c>
      <c r="K21" s="508">
        <f t="shared" si="2"/>
        <v>0</v>
      </c>
      <c r="L21" s="508">
        <f t="shared" si="3"/>
        <v>0</v>
      </c>
      <c r="M21" s="194">
        <f t="shared" si="4"/>
        <v>0</v>
      </c>
      <c r="N21" s="364">
        <v>192</v>
      </c>
      <c r="O21" s="365">
        <f t="shared" si="5"/>
        <v>0</v>
      </c>
      <c r="P21" s="371">
        <f t="shared" si="6"/>
        <v>0.48</v>
      </c>
      <c r="Q21" s="374" t="e">
        <f>(P21+$O$155)+((BC!$F$125)/$G$82)</f>
        <v>#DIV/0!</v>
      </c>
      <c r="R21" s="514" t="e">
        <f t="shared" si="7"/>
        <v>#DIV/0!</v>
      </c>
      <c r="S21" s="223" t="e">
        <f t="shared" si="8"/>
        <v>#DIV/0!</v>
      </c>
      <c r="T21" s="223" t="e">
        <f t="shared" si="9"/>
        <v>#DIV/0!</v>
      </c>
    </row>
    <row r="22" spans="1:20" ht="15.75" customHeight="1" x14ac:dyDescent="0.45">
      <c r="A22" s="447" t="s">
        <v>838</v>
      </c>
      <c r="B22" s="448">
        <v>8057800190</v>
      </c>
      <c r="C22" s="439" t="s">
        <v>683</v>
      </c>
      <c r="D22" s="396" t="s">
        <v>684</v>
      </c>
      <c r="E22" s="408">
        <v>3300</v>
      </c>
      <c r="F22" s="566">
        <v>182</v>
      </c>
      <c r="G22" s="578">
        <f>'c303-c503'!F22</f>
        <v>0</v>
      </c>
      <c r="H22" s="57">
        <f t="shared" si="0"/>
        <v>0</v>
      </c>
      <c r="I22" s="219">
        <f t="shared" si="1"/>
        <v>0</v>
      </c>
      <c r="J22" s="507">
        <f>(30*BC!$B$47/F22)</f>
        <v>0</v>
      </c>
      <c r="K22" s="508">
        <f t="shared" si="2"/>
        <v>0</v>
      </c>
      <c r="L22" s="508">
        <f t="shared" si="3"/>
        <v>0</v>
      </c>
      <c r="M22" s="194">
        <f t="shared" si="4"/>
        <v>0</v>
      </c>
      <c r="N22" s="364">
        <v>726</v>
      </c>
      <c r="O22" s="365">
        <f t="shared" si="5"/>
        <v>0</v>
      </c>
      <c r="P22" s="371">
        <f t="shared" si="6"/>
        <v>0.22</v>
      </c>
      <c r="Q22" s="374" t="e">
        <f>(P22+$O$155)+((BC!$F$125)/$G$82)</f>
        <v>#DIV/0!</v>
      </c>
      <c r="R22" s="514" t="e">
        <f t="shared" si="7"/>
        <v>#DIV/0!</v>
      </c>
      <c r="S22" s="223" t="e">
        <f t="shared" si="8"/>
        <v>#DIV/0!</v>
      </c>
      <c r="T22" s="223" t="e">
        <f t="shared" si="9"/>
        <v>#DIV/0!</v>
      </c>
    </row>
    <row r="23" spans="1:20" ht="15.75" customHeight="1" x14ac:dyDescent="0.45">
      <c r="A23" s="447" t="e">
        <f>H9+H10+H11+H12+H13+H14+H15+H16+H17+H18+H19+H20+H21+H22+H23+H24+H25+H26+H27+H28+H29+H30+H31+H32+H33+H34+H35+H36+H37+H38+H39+H40+H42+#REF!+H45+H46+H47+H48+H49+H50+H51+H52+H53+H54+H55+H56+H57+H58+H59+H60+H61+H62</f>
        <v>#REF!</v>
      </c>
      <c r="B23" s="448">
        <v>8057931190</v>
      </c>
      <c r="C23" s="439" t="s">
        <v>685</v>
      </c>
      <c r="D23" s="396" t="s">
        <v>686</v>
      </c>
      <c r="E23" s="408">
        <v>700</v>
      </c>
      <c r="F23" s="566">
        <v>84</v>
      </c>
      <c r="G23" s="578">
        <f>'c303-c503'!F23</f>
        <v>0</v>
      </c>
      <c r="H23" s="57">
        <f t="shared" si="0"/>
        <v>0</v>
      </c>
      <c r="I23" s="219">
        <f t="shared" si="1"/>
        <v>0</v>
      </c>
      <c r="J23" s="507">
        <f>(30*BC!$B$47/F23)</f>
        <v>0</v>
      </c>
      <c r="K23" s="508">
        <f t="shared" si="2"/>
        <v>0</v>
      </c>
      <c r="L23" s="508">
        <f t="shared" si="3"/>
        <v>0</v>
      </c>
      <c r="M23" s="194">
        <f t="shared" si="4"/>
        <v>0</v>
      </c>
      <c r="N23" s="364">
        <v>273</v>
      </c>
      <c r="O23" s="365">
        <f t="shared" si="5"/>
        <v>0</v>
      </c>
      <c r="P23" s="371">
        <f t="shared" si="6"/>
        <v>0.39</v>
      </c>
      <c r="Q23" s="374" t="e">
        <f>(P23+$O$155)+((BC!$F$125)/$G$82)</f>
        <v>#DIV/0!</v>
      </c>
      <c r="R23" s="514" t="e">
        <f t="shared" si="7"/>
        <v>#DIV/0!</v>
      </c>
      <c r="S23" s="223" t="e">
        <f t="shared" si="8"/>
        <v>#DIV/0!</v>
      </c>
      <c r="T23" s="223" t="e">
        <f t="shared" si="9"/>
        <v>#DIV/0!</v>
      </c>
    </row>
    <row r="24" spans="1:20" ht="15.75" customHeight="1" x14ac:dyDescent="0.45">
      <c r="B24" s="448">
        <v>8057940190</v>
      </c>
      <c r="C24" s="439" t="s">
        <v>687</v>
      </c>
      <c r="D24" s="396" t="s">
        <v>688</v>
      </c>
      <c r="E24" s="408">
        <v>100</v>
      </c>
      <c r="F24" s="566">
        <v>84</v>
      </c>
      <c r="G24" s="578">
        <f>'c303-c503'!F24</f>
        <v>0</v>
      </c>
      <c r="H24" s="57">
        <f t="shared" si="0"/>
        <v>0</v>
      </c>
      <c r="I24" s="219">
        <f t="shared" si="1"/>
        <v>0</v>
      </c>
      <c r="J24" s="507">
        <f>(30*BC!$B$47/F24)</f>
        <v>0</v>
      </c>
      <c r="K24" s="508">
        <f t="shared" si="2"/>
        <v>0</v>
      </c>
      <c r="L24" s="508">
        <f t="shared" si="3"/>
        <v>0</v>
      </c>
      <c r="M24" s="194">
        <f t="shared" si="4"/>
        <v>0</v>
      </c>
      <c r="N24" s="364">
        <v>152</v>
      </c>
      <c r="O24" s="365">
        <f t="shared" si="5"/>
        <v>0</v>
      </c>
      <c r="P24" s="371">
        <f t="shared" si="6"/>
        <v>1.52</v>
      </c>
      <c r="Q24" s="374" t="e">
        <f>(P24+$O$155)+((BC!$F$125)/$G$82)</f>
        <v>#DIV/0!</v>
      </c>
      <c r="R24" s="514" t="e">
        <f t="shared" si="7"/>
        <v>#DIV/0!</v>
      </c>
      <c r="S24" s="223" t="e">
        <f t="shared" si="8"/>
        <v>#DIV/0!</v>
      </c>
      <c r="T24" s="223" t="e">
        <f t="shared" si="9"/>
        <v>#DIV/0!</v>
      </c>
    </row>
    <row r="25" spans="1:20" ht="15.75" customHeight="1" x14ac:dyDescent="0.45">
      <c r="A25" s="243" t="s">
        <v>839</v>
      </c>
      <c r="B25" s="448">
        <v>8057958190</v>
      </c>
      <c r="C25" s="439" t="s">
        <v>26</v>
      </c>
      <c r="D25" s="396" t="s">
        <v>689</v>
      </c>
      <c r="E25" s="408">
        <v>850</v>
      </c>
      <c r="F25" s="566">
        <v>182</v>
      </c>
      <c r="G25" s="578">
        <f>'c303-c503'!F25</f>
        <v>0</v>
      </c>
      <c r="H25" s="57">
        <f t="shared" si="0"/>
        <v>0</v>
      </c>
      <c r="I25" s="219">
        <f t="shared" si="1"/>
        <v>0</v>
      </c>
      <c r="J25" s="507">
        <f>(30*BC!$B$47/F25)</f>
        <v>0</v>
      </c>
      <c r="K25" s="508">
        <f t="shared" si="2"/>
        <v>0</v>
      </c>
      <c r="L25" s="508">
        <f t="shared" si="3"/>
        <v>0</v>
      </c>
      <c r="M25" s="194">
        <f t="shared" si="4"/>
        <v>0</v>
      </c>
      <c r="N25" s="364">
        <v>323</v>
      </c>
      <c r="O25" s="365">
        <f t="shared" si="5"/>
        <v>0</v>
      </c>
      <c r="P25" s="371">
        <f t="shared" si="6"/>
        <v>0.38</v>
      </c>
      <c r="Q25" s="374" t="e">
        <f>(P25+$O$155)+((BC!$F$125)/$G$82)</f>
        <v>#DIV/0!</v>
      </c>
      <c r="R25" s="514" t="e">
        <f t="shared" si="7"/>
        <v>#DIV/0!</v>
      </c>
      <c r="S25" s="223" t="e">
        <f t="shared" si="8"/>
        <v>#DIV/0!</v>
      </c>
      <c r="T25" s="223" t="e">
        <f t="shared" si="9"/>
        <v>#DIV/0!</v>
      </c>
    </row>
    <row r="26" spans="1:20" ht="15.75" customHeight="1" x14ac:dyDescent="0.45">
      <c r="A26" s="243">
        <f>H45+H46+H47</f>
        <v>0</v>
      </c>
      <c r="B26" s="448">
        <v>8057982190</v>
      </c>
      <c r="C26" s="439" t="s">
        <v>32</v>
      </c>
      <c r="D26" s="396" t="s">
        <v>690</v>
      </c>
      <c r="E26" s="408">
        <v>200</v>
      </c>
      <c r="F26" s="566">
        <v>28</v>
      </c>
      <c r="G26" s="578">
        <f>'c303-c503'!F26</f>
        <v>0</v>
      </c>
      <c r="H26" s="57">
        <f t="shared" si="0"/>
        <v>0</v>
      </c>
      <c r="I26" s="219">
        <f t="shared" si="1"/>
        <v>0</v>
      </c>
      <c r="J26" s="507">
        <f>(30*BC!$B$47/F26)</f>
        <v>0</v>
      </c>
      <c r="K26" s="508">
        <f t="shared" si="2"/>
        <v>0</v>
      </c>
      <c r="L26" s="508">
        <f t="shared" si="3"/>
        <v>0</v>
      </c>
      <c r="M26" s="194">
        <f t="shared" si="4"/>
        <v>0</v>
      </c>
      <c r="N26" s="364">
        <v>190</v>
      </c>
      <c r="O26" s="365">
        <f t="shared" si="5"/>
        <v>0</v>
      </c>
      <c r="P26" s="371">
        <f t="shared" si="6"/>
        <v>0.95</v>
      </c>
      <c r="Q26" s="374" t="e">
        <f>(P26+$O$155)+((BC!$F$125)/$G$82)</f>
        <v>#DIV/0!</v>
      </c>
      <c r="R26" s="514" t="e">
        <f t="shared" si="7"/>
        <v>#DIV/0!</v>
      </c>
      <c r="S26" s="223" t="e">
        <f t="shared" si="8"/>
        <v>#DIV/0!</v>
      </c>
      <c r="T26" s="223" t="e">
        <f t="shared" si="9"/>
        <v>#DIV/0!</v>
      </c>
    </row>
    <row r="27" spans="1:20" ht="15.75" customHeight="1" x14ac:dyDescent="0.45">
      <c r="B27" s="448">
        <v>8058016190</v>
      </c>
      <c r="C27" s="439" t="s">
        <v>691</v>
      </c>
      <c r="D27" s="396" t="s">
        <v>692</v>
      </c>
      <c r="E27" s="408">
        <v>690</v>
      </c>
      <c r="F27" s="566">
        <v>182</v>
      </c>
      <c r="G27" s="578">
        <f>'c303-c503'!F27</f>
        <v>0</v>
      </c>
      <c r="H27" s="57">
        <f t="shared" si="0"/>
        <v>0</v>
      </c>
      <c r="I27" s="219">
        <f t="shared" si="1"/>
        <v>0</v>
      </c>
      <c r="J27" s="507">
        <f>(30*BC!$B$47/F27)</f>
        <v>0</v>
      </c>
      <c r="K27" s="508">
        <f t="shared" si="2"/>
        <v>0</v>
      </c>
      <c r="L27" s="508">
        <f t="shared" si="3"/>
        <v>0</v>
      </c>
      <c r="M27" s="194">
        <f t="shared" si="4"/>
        <v>0</v>
      </c>
      <c r="N27" s="364">
        <v>455</v>
      </c>
      <c r="O27" s="365">
        <f t="shared" si="5"/>
        <v>0</v>
      </c>
      <c r="P27" s="371">
        <f t="shared" si="6"/>
        <v>0.65942028985507251</v>
      </c>
      <c r="Q27" s="374" t="e">
        <f>(P27+$O$155)+((BC!$F$125)/$G$82)</f>
        <v>#DIV/0!</v>
      </c>
      <c r="R27" s="514" t="e">
        <f t="shared" si="7"/>
        <v>#DIV/0!</v>
      </c>
      <c r="S27" s="223" t="e">
        <f t="shared" si="8"/>
        <v>#DIV/0!</v>
      </c>
      <c r="T27" s="223" t="e">
        <f t="shared" si="9"/>
        <v>#DIV/0!</v>
      </c>
    </row>
    <row r="28" spans="1:20" ht="15.75" customHeight="1" x14ac:dyDescent="0.45">
      <c r="A28" s="245" t="s">
        <v>841</v>
      </c>
      <c r="B28" s="448">
        <v>8104697190</v>
      </c>
      <c r="C28" s="439" t="s">
        <v>693</v>
      </c>
      <c r="D28" s="396" t="s">
        <v>694</v>
      </c>
      <c r="E28" s="408">
        <v>800</v>
      </c>
      <c r="F28" s="566">
        <v>182</v>
      </c>
      <c r="G28" s="578">
        <f>'c303-c503'!F28</f>
        <v>0</v>
      </c>
      <c r="H28" s="57">
        <f t="shared" si="0"/>
        <v>0</v>
      </c>
      <c r="I28" s="219">
        <f t="shared" si="1"/>
        <v>0</v>
      </c>
      <c r="J28" s="507">
        <f>(30*BC!$B$47/F28)</f>
        <v>0</v>
      </c>
      <c r="K28" s="508">
        <f t="shared" si="2"/>
        <v>0</v>
      </c>
      <c r="L28" s="508">
        <f t="shared" si="3"/>
        <v>0</v>
      </c>
      <c r="M28" s="194">
        <f t="shared" si="4"/>
        <v>0</v>
      </c>
      <c r="N28" s="364">
        <v>232</v>
      </c>
      <c r="O28" s="365">
        <f t="shared" si="5"/>
        <v>0</v>
      </c>
      <c r="P28" s="371">
        <f t="shared" si="6"/>
        <v>0.28999999999999998</v>
      </c>
      <c r="Q28" s="374" t="e">
        <f>(P28+$O$155)+((BC!$F$125)/$G$82)</f>
        <v>#DIV/0!</v>
      </c>
      <c r="R28" s="514" t="e">
        <f t="shared" si="7"/>
        <v>#DIV/0!</v>
      </c>
      <c r="S28" s="223" t="e">
        <f t="shared" si="8"/>
        <v>#DIV/0!</v>
      </c>
      <c r="T28" s="223" t="e">
        <f t="shared" si="9"/>
        <v>#DIV/0!</v>
      </c>
    </row>
    <row r="29" spans="1:20" ht="15.75" customHeight="1" x14ac:dyDescent="0.45">
      <c r="A29" s="245">
        <f>H70+H71+H72+H73</f>
        <v>0</v>
      </c>
      <c r="B29" s="448">
        <v>8104719190</v>
      </c>
      <c r="C29" s="439" t="s">
        <v>695</v>
      </c>
      <c r="D29" s="396" t="s">
        <v>696</v>
      </c>
      <c r="E29" s="408">
        <v>800</v>
      </c>
      <c r="F29" s="566">
        <v>182</v>
      </c>
      <c r="G29" s="578">
        <f>'c303-c503'!F29</f>
        <v>0</v>
      </c>
      <c r="H29" s="57">
        <f t="shared" si="0"/>
        <v>0</v>
      </c>
      <c r="I29" s="219">
        <f t="shared" si="1"/>
        <v>0</v>
      </c>
      <c r="J29" s="507">
        <f>(30*BC!$B$47/F29)</f>
        <v>0</v>
      </c>
      <c r="K29" s="508">
        <f t="shared" si="2"/>
        <v>0</v>
      </c>
      <c r="L29" s="508">
        <f t="shared" si="3"/>
        <v>0</v>
      </c>
      <c r="M29" s="194">
        <f t="shared" si="4"/>
        <v>0</v>
      </c>
      <c r="N29" s="364">
        <v>232</v>
      </c>
      <c r="O29" s="365">
        <f t="shared" si="5"/>
        <v>0</v>
      </c>
      <c r="P29" s="371">
        <f t="shared" si="6"/>
        <v>0.28999999999999998</v>
      </c>
      <c r="Q29" s="374" t="e">
        <f>(P29+$O$155)+((BC!$F$125)/$G$82)</f>
        <v>#DIV/0!</v>
      </c>
      <c r="R29" s="514" t="e">
        <f t="shared" si="7"/>
        <v>#DIV/0!</v>
      </c>
      <c r="S29" s="223" t="e">
        <f t="shared" si="8"/>
        <v>#DIV/0!</v>
      </c>
      <c r="T29" s="223" t="e">
        <f t="shared" si="9"/>
        <v>#DIV/0!</v>
      </c>
    </row>
    <row r="30" spans="1:20" ht="15.75" customHeight="1" x14ac:dyDescent="0.45">
      <c r="B30" s="448">
        <v>8058687190</v>
      </c>
      <c r="C30" s="439" t="s">
        <v>697</v>
      </c>
      <c r="D30" s="396" t="s">
        <v>698</v>
      </c>
      <c r="E30" s="408">
        <v>1000</v>
      </c>
      <c r="F30" s="566">
        <v>182</v>
      </c>
      <c r="G30" s="578">
        <f>'c303-c503'!F30</f>
        <v>0</v>
      </c>
      <c r="H30" s="57">
        <f t="shared" si="0"/>
        <v>0</v>
      </c>
      <c r="I30" s="219">
        <f t="shared" si="1"/>
        <v>0</v>
      </c>
      <c r="J30" s="507">
        <f>(30*BC!$B$47/F30)</f>
        <v>0</v>
      </c>
      <c r="K30" s="508">
        <f t="shared" si="2"/>
        <v>0</v>
      </c>
      <c r="L30" s="508">
        <f t="shared" si="3"/>
        <v>0</v>
      </c>
      <c r="M30" s="194">
        <f t="shared" si="4"/>
        <v>0</v>
      </c>
      <c r="N30" s="364">
        <v>330</v>
      </c>
      <c r="O30" s="365">
        <f t="shared" si="5"/>
        <v>0</v>
      </c>
      <c r="P30" s="371">
        <f t="shared" si="6"/>
        <v>0.33</v>
      </c>
      <c r="Q30" s="374" t="e">
        <f>(P30+$O$155)+((BC!$F$125)/$G$82)</f>
        <v>#DIV/0!</v>
      </c>
      <c r="R30" s="514" t="e">
        <f t="shared" si="7"/>
        <v>#DIV/0!</v>
      </c>
      <c r="S30" s="223" t="e">
        <f t="shared" si="8"/>
        <v>#DIV/0!</v>
      </c>
      <c r="T30" s="223" t="e">
        <f t="shared" si="9"/>
        <v>#DIV/0!</v>
      </c>
    </row>
    <row r="31" spans="1:20" ht="15.75" customHeight="1" x14ac:dyDescent="0.45">
      <c r="A31" s="468" t="s">
        <v>842</v>
      </c>
      <c r="B31" s="448">
        <v>8058806190</v>
      </c>
      <c r="C31" s="439" t="s">
        <v>699</v>
      </c>
      <c r="D31" s="396" t="s">
        <v>700</v>
      </c>
      <c r="E31" s="408">
        <v>600</v>
      </c>
      <c r="F31" s="566">
        <v>56</v>
      </c>
      <c r="G31" s="578">
        <f>'c303-c503'!F31</f>
        <v>0</v>
      </c>
      <c r="H31" s="57">
        <f t="shared" si="0"/>
        <v>0</v>
      </c>
      <c r="I31" s="219">
        <f t="shared" si="1"/>
        <v>0</v>
      </c>
      <c r="J31" s="507">
        <f>(30*BC!$B$47/F31)</f>
        <v>0</v>
      </c>
      <c r="K31" s="508">
        <f t="shared" si="2"/>
        <v>0</v>
      </c>
      <c r="L31" s="508">
        <f t="shared" si="3"/>
        <v>0</v>
      </c>
      <c r="M31" s="194">
        <f t="shared" si="4"/>
        <v>0</v>
      </c>
      <c r="N31" s="364">
        <v>144</v>
      </c>
      <c r="O31" s="365">
        <f t="shared" si="5"/>
        <v>0</v>
      </c>
      <c r="P31" s="371">
        <f t="shared" si="6"/>
        <v>0.24</v>
      </c>
      <c r="Q31" s="374" t="e">
        <f>(P31+$O$155)+((BC!$F$125)/$G$82)</f>
        <v>#DIV/0!</v>
      </c>
      <c r="R31" s="514" t="e">
        <f t="shared" si="7"/>
        <v>#DIV/0!</v>
      </c>
      <c r="S31" s="223" t="e">
        <f t="shared" si="8"/>
        <v>#DIV/0!</v>
      </c>
      <c r="T31" s="223" t="e">
        <f t="shared" si="9"/>
        <v>#DIV/0!</v>
      </c>
    </row>
    <row r="32" spans="1:20" ht="15.75" customHeight="1" x14ac:dyDescent="0.45">
      <c r="A32" s="468">
        <f>H77+H78+H79+H80+H81</f>
        <v>0</v>
      </c>
      <c r="B32" s="448">
        <v>8106053190</v>
      </c>
      <c r="C32" s="439" t="s">
        <v>1131</v>
      </c>
      <c r="D32" s="396" t="s">
        <v>701</v>
      </c>
      <c r="E32" s="408">
        <v>300</v>
      </c>
      <c r="F32" s="566">
        <v>182</v>
      </c>
      <c r="G32" s="578">
        <f>'c303-c503'!F32</f>
        <v>0</v>
      </c>
      <c r="H32" s="57">
        <f t="shared" si="0"/>
        <v>0</v>
      </c>
      <c r="I32" s="219">
        <f t="shared" si="1"/>
        <v>0</v>
      </c>
      <c r="J32" s="507">
        <f>(30*BC!$B$47/F32)</f>
        <v>0</v>
      </c>
      <c r="K32" s="508">
        <f t="shared" si="2"/>
        <v>0</v>
      </c>
      <c r="L32" s="508">
        <f t="shared" si="3"/>
        <v>0</v>
      </c>
      <c r="M32" s="194">
        <f t="shared" si="4"/>
        <v>0</v>
      </c>
      <c r="N32" s="364">
        <v>462</v>
      </c>
      <c r="O32" s="365">
        <f t="shared" si="5"/>
        <v>0</v>
      </c>
      <c r="P32" s="371">
        <f t="shared" si="6"/>
        <v>1.54</v>
      </c>
      <c r="Q32" s="374" t="e">
        <f>(P32+$O$155)+((BC!$F$125)/$G$82)</f>
        <v>#DIV/0!</v>
      </c>
      <c r="R32" s="514" t="e">
        <f t="shared" si="7"/>
        <v>#DIV/0!</v>
      </c>
      <c r="S32" s="223" t="e">
        <f t="shared" si="8"/>
        <v>#DIV/0!</v>
      </c>
      <c r="T32" s="223" t="e">
        <f t="shared" si="9"/>
        <v>#DIV/0!</v>
      </c>
    </row>
    <row r="33" spans="1:20" ht="15.75" customHeight="1" x14ac:dyDescent="0.45">
      <c r="B33" s="451">
        <v>8056714190</v>
      </c>
      <c r="C33" s="439" t="s">
        <v>702</v>
      </c>
      <c r="D33" s="396" t="s">
        <v>703</v>
      </c>
      <c r="E33" s="408">
        <v>500</v>
      </c>
      <c r="F33" s="566">
        <v>182</v>
      </c>
      <c r="G33" s="578">
        <f>'c303-c503'!F33</f>
        <v>0</v>
      </c>
      <c r="H33" s="57">
        <f t="shared" si="0"/>
        <v>0</v>
      </c>
      <c r="I33" s="219">
        <f t="shared" si="1"/>
        <v>0</v>
      </c>
      <c r="J33" s="507">
        <f>(30*BC!$B$47/F33)</f>
        <v>0</v>
      </c>
      <c r="K33" s="508">
        <f t="shared" si="2"/>
        <v>0</v>
      </c>
      <c r="L33" s="508">
        <f t="shared" si="3"/>
        <v>0</v>
      </c>
      <c r="M33" s="194">
        <f t="shared" si="4"/>
        <v>0</v>
      </c>
      <c r="N33" s="364">
        <v>120</v>
      </c>
      <c r="O33" s="365">
        <f t="shared" si="5"/>
        <v>0</v>
      </c>
      <c r="P33" s="371">
        <f t="shared" si="6"/>
        <v>0.24</v>
      </c>
      <c r="Q33" s="374" t="e">
        <f>(P33+$O$155)+((BC!$F$125)/$G$82)</f>
        <v>#DIV/0!</v>
      </c>
      <c r="R33" s="514" t="e">
        <f t="shared" si="7"/>
        <v>#DIV/0!</v>
      </c>
      <c r="S33" s="223" t="e">
        <f t="shared" si="8"/>
        <v>#DIV/0!</v>
      </c>
      <c r="T33" s="223" t="e">
        <f t="shared" si="9"/>
        <v>#DIV/0!</v>
      </c>
    </row>
    <row r="34" spans="1:20" ht="15.75" customHeight="1" x14ac:dyDescent="0.45">
      <c r="A34" s="264" t="s">
        <v>843</v>
      </c>
      <c r="B34" s="451">
        <v>8058652190</v>
      </c>
      <c r="C34" s="439" t="s">
        <v>704</v>
      </c>
      <c r="D34" s="396" t="s">
        <v>705</v>
      </c>
      <c r="E34" s="408">
        <v>1050</v>
      </c>
      <c r="F34" s="566">
        <v>182</v>
      </c>
      <c r="G34" s="578">
        <f>'c303-c503'!F34</f>
        <v>0</v>
      </c>
      <c r="H34" s="57">
        <f t="shared" si="0"/>
        <v>0</v>
      </c>
      <c r="I34" s="219">
        <f t="shared" si="1"/>
        <v>0</v>
      </c>
      <c r="J34" s="507">
        <f>(30*BC!$B$47/F34)</f>
        <v>0</v>
      </c>
      <c r="K34" s="508">
        <f t="shared" si="2"/>
        <v>0</v>
      </c>
      <c r="L34" s="508">
        <f t="shared" si="3"/>
        <v>0</v>
      </c>
      <c r="M34" s="194">
        <f t="shared" si="4"/>
        <v>0</v>
      </c>
      <c r="N34" s="364">
        <v>200</v>
      </c>
      <c r="O34" s="365">
        <f t="shared" si="5"/>
        <v>0</v>
      </c>
      <c r="P34" s="371">
        <f t="shared" si="6"/>
        <v>0.19047619047619047</v>
      </c>
      <c r="Q34" s="374" t="e">
        <f>(P34+$O$155)+((BC!$F$125)/$G$82)</f>
        <v>#DIV/0!</v>
      </c>
      <c r="R34" s="514" t="e">
        <f t="shared" si="7"/>
        <v>#DIV/0!</v>
      </c>
      <c r="S34" s="223" t="e">
        <f t="shared" si="8"/>
        <v>#DIV/0!</v>
      </c>
      <c r="T34" s="223" t="e">
        <f t="shared" si="9"/>
        <v>#DIV/0!</v>
      </c>
    </row>
    <row r="35" spans="1:20" ht="15.75" customHeight="1" x14ac:dyDescent="0.45">
      <c r="A35" s="264">
        <f>H48+H49</f>
        <v>0</v>
      </c>
      <c r="B35" s="451">
        <v>8057524190</v>
      </c>
      <c r="C35" s="439" t="s">
        <v>706</v>
      </c>
      <c r="D35" s="396" t="s">
        <v>707</v>
      </c>
      <c r="E35" s="408">
        <v>600</v>
      </c>
      <c r="F35" s="566">
        <v>126</v>
      </c>
      <c r="G35" s="578">
        <f>'c303-c503'!F35</f>
        <v>0</v>
      </c>
      <c r="H35" s="57">
        <f t="shared" si="0"/>
        <v>0</v>
      </c>
      <c r="I35" s="219">
        <f t="shared" si="1"/>
        <v>0</v>
      </c>
      <c r="J35" s="507">
        <f>(30*BC!$B$47/F35)</f>
        <v>0</v>
      </c>
      <c r="K35" s="508">
        <f t="shared" si="2"/>
        <v>0</v>
      </c>
      <c r="L35" s="508">
        <f t="shared" si="3"/>
        <v>0</v>
      </c>
      <c r="M35" s="194">
        <f t="shared" si="4"/>
        <v>0</v>
      </c>
      <c r="N35" s="364">
        <v>174</v>
      </c>
      <c r="O35" s="365">
        <f t="shared" si="5"/>
        <v>0</v>
      </c>
      <c r="P35" s="371">
        <f t="shared" si="6"/>
        <v>0.28999999999999998</v>
      </c>
      <c r="Q35" s="374" t="e">
        <f>(P35+$O$155)+((BC!$F$125)/$G$82)</f>
        <v>#DIV/0!</v>
      </c>
      <c r="R35" s="514" t="e">
        <f t="shared" si="7"/>
        <v>#DIV/0!</v>
      </c>
      <c r="S35" s="223" t="e">
        <f t="shared" si="8"/>
        <v>#DIV/0!</v>
      </c>
      <c r="T35" s="223" t="e">
        <f t="shared" si="9"/>
        <v>#DIV/0!</v>
      </c>
    </row>
    <row r="36" spans="1:20" ht="15.75" customHeight="1" x14ac:dyDescent="0.45">
      <c r="B36" s="451">
        <v>8057532190</v>
      </c>
      <c r="C36" s="439" t="s">
        <v>708</v>
      </c>
      <c r="D36" s="396" t="s">
        <v>709</v>
      </c>
      <c r="E36" s="408">
        <v>2500</v>
      </c>
      <c r="F36" s="566">
        <v>182</v>
      </c>
      <c r="G36" s="578">
        <f>'c303-c503'!F36</f>
        <v>0</v>
      </c>
      <c r="H36" s="57">
        <f t="shared" si="0"/>
        <v>0</v>
      </c>
      <c r="I36" s="219">
        <f t="shared" si="1"/>
        <v>0</v>
      </c>
      <c r="J36" s="507">
        <f>(30*BC!$B$47/F36)</f>
        <v>0</v>
      </c>
      <c r="K36" s="508">
        <f t="shared" si="2"/>
        <v>0</v>
      </c>
      <c r="L36" s="508">
        <f t="shared" si="3"/>
        <v>0</v>
      </c>
      <c r="M36" s="194">
        <f t="shared" si="4"/>
        <v>0</v>
      </c>
      <c r="N36" s="364">
        <v>486</v>
      </c>
      <c r="O36" s="365">
        <f t="shared" si="5"/>
        <v>0</v>
      </c>
      <c r="P36" s="371">
        <f t="shared" si="6"/>
        <v>0.19439999999999999</v>
      </c>
      <c r="Q36" s="374" t="e">
        <f>(P36+$O$155)+((BC!$F$125)/$G$82)</f>
        <v>#DIV/0!</v>
      </c>
      <c r="R36" s="514" t="e">
        <f t="shared" si="7"/>
        <v>#DIV/0!</v>
      </c>
      <c r="S36" s="223" t="e">
        <f t="shared" si="8"/>
        <v>#DIV/0!</v>
      </c>
      <c r="T36" s="223" t="e">
        <f t="shared" si="9"/>
        <v>#DIV/0!</v>
      </c>
    </row>
    <row r="37" spans="1:20" ht="15.75" customHeight="1" x14ac:dyDescent="0.45">
      <c r="A37" s="389" t="s">
        <v>267</v>
      </c>
      <c r="B37" s="451">
        <v>8057877190</v>
      </c>
      <c r="C37" s="442" t="s">
        <v>710</v>
      </c>
      <c r="D37" s="396" t="s">
        <v>711</v>
      </c>
      <c r="E37" s="408">
        <v>700</v>
      </c>
      <c r="F37" s="566">
        <v>84</v>
      </c>
      <c r="G37" s="578">
        <f>'c303-c503'!F37</f>
        <v>0</v>
      </c>
      <c r="H37" s="57">
        <f t="shared" si="0"/>
        <v>0</v>
      </c>
      <c r="I37" s="219">
        <f t="shared" si="1"/>
        <v>0</v>
      </c>
      <c r="J37" s="507">
        <f>(30*BC!$B$47/F37)</f>
        <v>0</v>
      </c>
      <c r="K37" s="508">
        <f t="shared" si="2"/>
        <v>0</v>
      </c>
      <c r="L37" s="508">
        <f t="shared" si="3"/>
        <v>0</v>
      </c>
      <c r="M37" s="194">
        <f t="shared" si="4"/>
        <v>0</v>
      </c>
      <c r="N37" s="364">
        <v>1071</v>
      </c>
      <c r="O37" s="365">
        <f t="shared" si="5"/>
        <v>0</v>
      </c>
      <c r="P37" s="371">
        <f t="shared" si="6"/>
        <v>1.53</v>
      </c>
      <c r="Q37" s="374" t="e">
        <f>(P37+$O$155)+((BC!$F$125)/$G$82)</f>
        <v>#DIV/0!</v>
      </c>
      <c r="R37" s="514" t="e">
        <f t="shared" si="7"/>
        <v>#DIV/0!</v>
      </c>
      <c r="S37" s="223" t="e">
        <f t="shared" si="8"/>
        <v>#DIV/0!</v>
      </c>
      <c r="T37" s="223" t="e">
        <f t="shared" si="9"/>
        <v>#DIV/0!</v>
      </c>
    </row>
    <row r="38" spans="1:20" ht="15.75" customHeight="1" x14ac:dyDescent="0.45">
      <c r="A38" s="389">
        <f>H63+H64</f>
        <v>0</v>
      </c>
      <c r="B38" s="451">
        <v>8057966190</v>
      </c>
      <c r="C38" s="442" t="s">
        <v>712</v>
      </c>
      <c r="D38" s="396" t="s">
        <v>713</v>
      </c>
      <c r="E38" s="408">
        <v>600</v>
      </c>
      <c r="F38" s="566">
        <v>182</v>
      </c>
      <c r="G38" s="578">
        <f>'c303-c503'!F38</f>
        <v>0</v>
      </c>
      <c r="H38" s="57">
        <f t="shared" si="0"/>
        <v>0</v>
      </c>
      <c r="I38" s="219">
        <f t="shared" si="1"/>
        <v>0</v>
      </c>
      <c r="J38" s="507">
        <f>(30*BC!$B$47/F38)</f>
        <v>0</v>
      </c>
      <c r="K38" s="508">
        <f t="shared" si="2"/>
        <v>0</v>
      </c>
      <c r="L38" s="508">
        <f t="shared" si="3"/>
        <v>0</v>
      </c>
      <c r="M38" s="194">
        <f t="shared" si="4"/>
        <v>0</v>
      </c>
      <c r="N38" s="364">
        <v>924</v>
      </c>
      <c r="O38" s="365">
        <f t="shared" si="5"/>
        <v>0</v>
      </c>
      <c r="P38" s="371">
        <f t="shared" si="6"/>
        <v>1.54</v>
      </c>
      <c r="Q38" s="374" t="e">
        <f>(P38+$O$155)+((BC!$F$125)/$G$82)</f>
        <v>#DIV/0!</v>
      </c>
      <c r="R38" s="514" t="e">
        <f t="shared" si="7"/>
        <v>#DIV/0!</v>
      </c>
      <c r="S38" s="223" t="e">
        <f t="shared" si="8"/>
        <v>#DIV/0!</v>
      </c>
      <c r="T38" s="223" t="e">
        <f t="shared" si="9"/>
        <v>#DIV/0!</v>
      </c>
    </row>
    <row r="39" spans="1:20" ht="15.75" customHeight="1" x14ac:dyDescent="0.45">
      <c r="B39" s="451">
        <v>8105448190</v>
      </c>
      <c r="C39" s="442" t="s">
        <v>714</v>
      </c>
      <c r="D39" s="396" t="s">
        <v>715</v>
      </c>
      <c r="E39" s="408">
        <v>250</v>
      </c>
      <c r="F39" s="566">
        <v>182</v>
      </c>
      <c r="G39" s="578">
        <f>'c303-c503'!F39</f>
        <v>0</v>
      </c>
      <c r="H39" s="57">
        <f t="shared" si="0"/>
        <v>0</v>
      </c>
      <c r="I39" s="219">
        <f t="shared" si="1"/>
        <v>0</v>
      </c>
      <c r="J39" s="507">
        <f>(30*BC!$B$47/F39)</f>
        <v>0</v>
      </c>
      <c r="K39" s="508">
        <f t="shared" si="2"/>
        <v>0</v>
      </c>
      <c r="L39" s="508">
        <f t="shared" si="3"/>
        <v>0</v>
      </c>
      <c r="M39" s="194">
        <f t="shared" si="4"/>
        <v>0</v>
      </c>
      <c r="N39" s="364">
        <v>563</v>
      </c>
      <c r="O39" s="365">
        <f t="shared" si="5"/>
        <v>0</v>
      </c>
      <c r="P39" s="371">
        <f t="shared" si="6"/>
        <v>2.2519999999999998</v>
      </c>
      <c r="Q39" s="374" t="e">
        <f>(P39+$O$155)+((BC!$F$125)/$G$82)</f>
        <v>#DIV/0!</v>
      </c>
      <c r="R39" s="514" t="e">
        <f t="shared" si="7"/>
        <v>#DIV/0!</v>
      </c>
      <c r="S39" s="223" t="e">
        <f t="shared" si="8"/>
        <v>#DIV/0!</v>
      </c>
      <c r="T39" s="223" t="e">
        <f t="shared" si="9"/>
        <v>#DIV/0!</v>
      </c>
    </row>
    <row r="40" spans="1:20" ht="15.75" customHeight="1" x14ac:dyDescent="0.45">
      <c r="B40" s="451">
        <v>8105464190</v>
      </c>
      <c r="C40" s="442" t="s">
        <v>716</v>
      </c>
      <c r="D40" s="396" t="s">
        <v>717</v>
      </c>
      <c r="E40" s="408">
        <v>250</v>
      </c>
      <c r="F40" s="566">
        <v>182</v>
      </c>
      <c r="G40" s="578">
        <f>'c303-c503'!F40</f>
        <v>0</v>
      </c>
      <c r="H40" s="57">
        <f t="shared" si="0"/>
        <v>0</v>
      </c>
      <c r="I40" s="219">
        <f t="shared" si="1"/>
        <v>0</v>
      </c>
      <c r="J40" s="507">
        <f>(30*BC!$B$47/F40)</f>
        <v>0</v>
      </c>
      <c r="K40" s="508">
        <f t="shared" si="2"/>
        <v>0</v>
      </c>
      <c r="L40" s="508">
        <f t="shared" si="3"/>
        <v>0</v>
      </c>
      <c r="M40" s="194">
        <f t="shared" si="4"/>
        <v>0</v>
      </c>
      <c r="N40" s="364">
        <v>563</v>
      </c>
      <c r="O40" s="365">
        <f t="shared" si="5"/>
        <v>0</v>
      </c>
      <c r="P40" s="371">
        <f t="shared" si="6"/>
        <v>2.2519999999999998</v>
      </c>
      <c r="Q40" s="374" t="e">
        <f>(P40+$O$155)+((BC!$F$125)/$G$82)</f>
        <v>#DIV/0!</v>
      </c>
      <c r="R40" s="514" t="e">
        <f t="shared" si="7"/>
        <v>#DIV/0!</v>
      </c>
      <c r="S40" s="223" t="e">
        <f t="shared" si="8"/>
        <v>#DIV/0!</v>
      </c>
      <c r="T40" s="223" t="e">
        <f t="shared" si="9"/>
        <v>#DIV/0!</v>
      </c>
    </row>
    <row r="41" spans="1:20" ht="15.75" customHeight="1" x14ac:dyDescent="0.45">
      <c r="B41" s="396">
        <v>8063516190</v>
      </c>
      <c r="C41" s="396" t="s">
        <v>718</v>
      </c>
      <c r="D41" s="396" t="s">
        <v>719</v>
      </c>
      <c r="E41" s="408">
        <v>14500</v>
      </c>
      <c r="F41" s="566">
        <v>182</v>
      </c>
      <c r="G41" s="578">
        <f>'c303-c503'!F41</f>
        <v>0</v>
      </c>
      <c r="H41" s="57">
        <f t="shared" si="0"/>
        <v>0</v>
      </c>
      <c r="I41" s="219">
        <f t="shared" si="1"/>
        <v>0</v>
      </c>
      <c r="J41" s="507">
        <f>(30*BC!$B$47/F41)</f>
        <v>0</v>
      </c>
      <c r="K41" s="508">
        <f t="shared" si="2"/>
        <v>0</v>
      </c>
      <c r="L41" s="508">
        <f t="shared" si="3"/>
        <v>0</v>
      </c>
      <c r="M41" s="194">
        <f t="shared" si="4"/>
        <v>0</v>
      </c>
      <c r="N41" s="364">
        <v>9</v>
      </c>
      <c r="O41" s="365">
        <f t="shared" si="5"/>
        <v>0</v>
      </c>
      <c r="P41" s="371">
        <f t="shared" si="6"/>
        <v>6.2068965517241383E-4</v>
      </c>
      <c r="Q41" s="374" t="e">
        <f>(P41+$O$155)+((BC!$F$125)/$G$82)</f>
        <v>#DIV/0!</v>
      </c>
      <c r="R41" s="514" t="e">
        <f t="shared" si="7"/>
        <v>#DIV/0!</v>
      </c>
      <c r="S41" s="223" t="e">
        <f t="shared" si="8"/>
        <v>#DIV/0!</v>
      </c>
      <c r="T41" s="223" t="e">
        <f t="shared" si="9"/>
        <v>#DIV/0!</v>
      </c>
    </row>
    <row r="42" spans="1:20" ht="15.75" customHeight="1" x14ac:dyDescent="0.45">
      <c r="B42" s="451">
        <v>8057486190</v>
      </c>
      <c r="C42" s="443" t="s">
        <v>720</v>
      </c>
      <c r="D42" s="396" t="s">
        <v>721</v>
      </c>
      <c r="E42" s="408">
        <v>150</v>
      </c>
      <c r="F42" s="566">
        <v>56</v>
      </c>
      <c r="G42" s="578">
        <f>'c303-c503'!F42</f>
        <v>0</v>
      </c>
      <c r="H42" s="57">
        <f t="shared" si="0"/>
        <v>0</v>
      </c>
      <c r="I42" s="219">
        <f t="shared" si="1"/>
        <v>0</v>
      </c>
      <c r="J42" s="507">
        <f>(30*BC!$B$47/F42)</f>
        <v>0</v>
      </c>
      <c r="K42" s="508">
        <f t="shared" si="2"/>
        <v>0</v>
      </c>
      <c r="L42" s="508">
        <f t="shared" si="3"/>
        <v>0</v>
      </c>
      <c r="M42" s="194">
        <f t="shared" si="4"/>
        <v>0</v>
      </c>
      <c r="N42" s="364">
        <v>414</v>
      </c>
      <c r="O42" s="365">
        <f t="shared" si="5"/>
        <v>0</v>
      </c>
      <c r="P42" s="371">
        <f t="shared" si="6"/>
        <v>2.76</v>
      </c>
      <c r="Q42" s="374" t="e">
        <f>(P42+$O$155)+((BC!$F$125)/$G$82)</f>
        <v>#DIV/0!</v>
      </c>
      <c r="R42" s="514" t="e">
        <f t="shared" si="7"/>
        <v>#DIV/0!</v>
      </c>
      <c r="S42" s="223" t="e">
        <f t="shared" si="8"/>
        <v>#DIV/0!</v>
      </c>
      <c r="T42" s="223" t="e">
        <f t="shared" si="9"/>
        <v>#DIV/0!</v>
      </c>
    </row>
    <row r="43" spans="1:20" ht="15.75" customHeight="1" x14ac:dyDescent="0.45">
      <c r="B43" s="452">
        <v>8056722190</v>
      </c>
      <c r="C43" s="444" t="s">
        <v>655</v>
      </c>
      <c r="D43" s="396" t="s">
        <v>722</v>
      </c>
      <c r="E43" s="408">
        <v>500</v>
      </c>
      <c r="F43" s="566">
        <v>182</v>
      </c>
      <c r="G43" s="578">
        <f>'c303-c503'!F43</f>
        <v>0</v>
      </c>
      <c r="H43" s="57">
        <f t="shared" si="0"/>
        <v>0</v>
      </c>
      <c r="I43" s="219">
        <f t="shared" si="1"/>
        <v>0</v>
      </c>
      <c r="J43" s="507">
        <f>(30*BC!$B$47/F43)</f>
        <v>0</v>
      </c>
      <c r="K43" s="508">
        <f t="shared" si="2"/>
        <v>0</v>
      </c>
      <c r="L43" s="508">
        <f t="shared" si="3"/>
        <v>0</v>
      </c>
      <c r="M43" s="194">
        <f t="shared" si="4"/>
        <v>0</v>
      </c>
      <c r="N43" s="364">
        <v>1435</v>
      </c>
      <c r="O43" s="365">
        <f t="shared" si="5"/>
        <v>0</v>
      </c>
      <c r="P43" s="371">
        <f t="shared" si="6"/>
        <v>2.87</v>
      </c>
      <c r="Q43" s="374" t="e">
        <f>(P43+$O$155)+((BC!$F$125)/$G$82)</f>
        <v>#DIV/0!</v>
      </c>
      <c r="R43" s="514" t="e">
        <f t="shared" si="7"/>
        <v>#DIV/0!</v>
      </c>
      <c r="S43" s="223" t="e">
        <f t="shared" si="8"/>
        <v>#DIV/0!</v>
      </c>
      <c r="T43" s="223" t="e">
        <f t="shared" si="9"/>
        <v>#DIV/0!</v>
      </c>
    </row>
    <row r="44" spans="1:20" ht="15.75" customHeight="1" x14ac:dyDescent="0.45">
      <c r="B44" s="452">
        <v>8058679190</v>
      </c>
      <c r="C44" s="444" t="s">
        <v>723</v>
      </c>
      <c r="D44" s="396" t="s">
        <v>724</v>
      </c>
      <c r="E44" s="408">
        <v>650</v>
      </c>
      <c r="F44" s="566">
        <v>182</v>
      </c>
      <c r="G44" s="578">
        <f>'c303-c503'!F44</f>
        <v>0</v>
      </c>
      <c r="H44" s="57">
        <f t="shared" si="0"/>
        <v>0</v>
      </c>
      <c r="I44" s="219">
        <f t="shared" si="1"/>
        <v>0</v>
      </c>
      <c r="J44" s="507">
        <f>(30*BC!$B$47/F44)</f>
        <v>0</v>
      </c>
      <c r="K44" s="508">
        <f t="shared" si="2"/>
        <v>0</v>
      </c>
      <c r="L44" s="508">
        <f t="shared" si="3"/>
        <v>0</v>
      </c>
      <c r="M44" s="194">
        <f t="shared" si="4"/>
        <v>0</v>
      </c>
      <c r="N44" s="364">
        <v>923</v>
      </c>
      <c r="O44" s="365">
        <f t="shared" si="5"/>
        <v>0</v>
      </c>
      <c r="P44" s="371">
        <f t="shared" si="6"/>
        <v>1.42</v>
      </c>
      <c r="Q44" s="374" t="e">
        <f>(P44+$O$155)+((BC!$F$125)/$G$82)</f>
        <v>#DIV/0!</v>
      </c>
      <c r="R44" s="514" t="e">
        <f t="shared" si="7"/>
        <v>#DIV/0!</v>
      </c>
      <c r="S44" s="223" t="e">
        <f t="shared" si="8"/>
        <v>#DIV/0!</v>
      </c>
      <c r="T44" s="223" t="e">
        <f t="shared" si="9"/>
        <v>#DIV/0!</v>
      </c>
    </row>
    <row r="45" spans="1:20" ht="15.75" customHeight="1" x14ac:dyDescent="0.45">
      <c r="B45" s="448">
        <v>8105472190</v>
      </c>
      <c r="C45" s="446" t="s">
        <v>726</v>
      </c>
      <c r="D45" s="396" t="s">
        <v>727</v>
      </c>
      <c r="E45" s="408">
        <v>200</v>
      </c>
      <c r="F45" s="566">
        <v>182</v>
      </c>
      <c r="G45" s="578">
        <f>'c303-c503'!F45</f>
        <v>0</v>
      </c>
      <c r="H45" s="57">
        <f t="shared" si="0"/>
        <v>0</v>
      </c>
      <c r="I45" s="219">
        <f t="shared" si="1"/>
        <v>0</v>
      </c>
      <c r="J45" s="507">
        <f>(30*BC!$B$47/F45)</f>
        <v>0</v>
      </c>
      <c r="K45" s="508">
        <f t="shared" si="2"/>
        <v>0</v>
      </c>
      <c r="L45" s="508">
        <f t="shared" si="3"/>
        <v>0</v>
      </c>
      <c r="M45" s="194">
        <f t="shared" si="4"/>
        <v>0</v>
      </c>
      <c r="N45" s="364">
        <v>658</v>
      </c>
      <c r="O45" s="365">
        <f t="shared" si="5"/>
        <v>0</v>
      </c>
      <c r="P45" s="371">
        <f t="shared" si="6"/>
        <v>3.29</v>
      </c>
      <c r="Q45" s="374" t="e">
        <f>(P45+$O$155)+((BC!$F$125)/$G$82)</f>
        <v>#DIV/0!</v>
      </c>
      <c r="R45" s="514" t="e">
        <f t="shared" si="7"/>
        <v>#DIV/0!</v>
      </c>
      <c r="S45" s="223" t="e">
        <f t="shared" si="8"/>
        <v>#DIV/0!</v>
      </c>
      <c r="T45" s="223" t="e">
        <f t="shared" si="9"/>
        <v>#DIV/0!</v>
      </c>
    </row>
    <row r="46" spans="1:20" ht="15.75" customHeight="1" x14ac:dyDescent="0.45">
      <c r="B46" s="448">
        <v>8105553190</v>
      </c>
      <c r="C46" s="446" t="s">
        <v>728</v>
      </c>
      <c r="D46" s="396" t="s">
        <v>729</v>
      </c>
      <c r="E46" s="408">
        <v>200</v>
      </c>
      <c r="F46" s="566">
        <v>56</v>
      </c>
      <c r="G46" s="578">
        <f>'c303-c503'!F46</f>
        <v>0</v>
      </c>
      <c r="H46" s="57">
        <f t="shared" si="0"/>
        <v>0</v>
      </c>
      <c r="I46" s="219">
        <f t="shared" si="1"/>
        <v>0</v>
      </c>
      <c r="J46" s="507">
        <f>(30*BC!$B$47/F46)</f>
        <v>0</v>
      </c>
      <c r="K46" s="508">
        <f t="shared" si="2"/>
        <v>0</v>
      </c>
      <c r="L46" s="508">
        <f t="shared" si="3"/>
        <v>0</v>
      </c>
      <c r="M46" s="194">
        <f t="shared" si="4"/>
        <v>0</v>
      </c>
      <c r="N46" s="364">
        <v>518</v>
      </c>
      <c r="O46" s="365">
        <f t="shared" si="5"/>
        <v>0</v>
      </c>
      <c r="P46" s="371">
        <f t="shared" si="6"/>
        <v>2.59</v>
      </c>
      <c r="Q46" s="374" t="e">
        <f>(P46+$O$155)+((BC!$F$125)/$G$82)</f>
        <v>#DIV/0!</v>
      </c>
      <c r="R46" s="514" t="e">
        <f t="shared" si="7"/>
        <v>#DIV/0!</v>
      </c>
      <c r="S46" s="223" t="e">
        <f t="shared" si="8"/>
        <v>#DIV/0!</v>
      </c>
      <c r="T46" s="223" t="e">
        <f t="shared" si="9"/>
        <v>#DIV/0!</v>
      </c>
    </row>
    <row r="47" spans="1:20" ht="15.75" customHeight="1" x14ac:dyDescent="0.45">
      <c r="B47" s="448">
        <v>8252645190</v>
      </c>
      <c r="C47" s="446" t="s">
        <v>730</v>
      </c>
      <c r="D47" s="396" t="s">
        <v>731</v>
      </c>
      <c r="E47" s="408">
        <v>200</v>
      </c>
      <c r="F47" s="566">
        <v>182</v>
      </c>
      <c r="G47" s="578">
        <f>'c303-c503'!F47</f>
        <v>0</v>
      </c>
      <c r="H47" s="57">
        <f t="shared" si="0"/>
        <v>0</v>
      </c>
      <c r="I47" s="219">
        <f t="shared" si="1"/>
        <v>0</v>
      </c>
      <c r="J47" s="507">
        <f>(30*BC!$B$47/F47)</f>
        <v>0</v>
      </c>
      <c r="K47" s="508">
        <f t="shared" si="2"/>
        <v>0</v>
      </c>
      <c r="L47" s="508">
        <f t="shared" si="3"/>
        <v>0</v>
      </c>
      <c r="M47" s="194">
        <f t="shared" si="4"/>
        <v>0</v>
      </c>
      <c r="N47" s="364">
        <v>930</v>
      </c>
      <c r="O47" s="365">
        <f t="shared" si="5"/>
        <v>0</v>
      </c>
      <c r="P47" s="371">
        <f t="shared" si="6"/>
        <v>4.6500000000000004</v>
      </c>
      <c r="Q47" s="374" t="e">
        <f>(P47+$O$155)+((BC!$F$125)/$G$82)</f>
        <v>#DIV/0!</v>
      </c>
      <c r="R47" s="514" t="e">
        <f t="shared" si="7"/>
        <v>#DIV/0!</v>
      </c>
      <c r="S47" s="223" t="e">
        <f t="shared" si="8"/>
        <v>#DIV/0!</v>
      </c>
      <c r="T47" s="223" t="e">
        <f t="shared" si="9"/>
        <v>#DIV/0!</v>
      </c>
    </row>
    <row r="48" spans="1:20" ht="15.75" customHeight="1" x14ac:dyDescent="0.45">
      <c r="B48" s="448">
        <v>8106070190</v>
      </c>
      <c r="C48" s="453" t="s">
        <v>1132</v>
      </c>
      <c r="D48" s="396" t="s">
        <v>732</v>
      </c>
      <c r="E48" s="408">
        <v>150</v>
      </c>
      <c r="F48" s="566">
        <v>182</v>
      </c>
      <c r="G48" s="578">
        <f>'c303-c503'!F48</f>
        <v>0</v>
      </c>
      <c r="H48" s="57">
        <f t="shared" si="0"/>
        <v>0</v>
      </c>
      <c r="I48" s="219">
        <f t="shared" si="1"/>
        <v>0</v>
      </c>
      <c r="J48" s="507">
        <f>(30*BC!$B$47/F48)</f>
        <v>0</v>
      </c>
      <c r="K48" s="508">
        <f t="shared" si="2"/>
        <v>0</v>
      </c>
      <c r="L48" s="508">
        <f t="shared" si="3"/>
        <v>0</v>
      </c>
      <c r="M48" s="194">
        <f t="shared" si="4"/>
        <v>0</v>
      </c>
      <c r="N48" s="364">
        <v>360</v>
      </c>
      <c r="O48" s="365">
        <f t="shared" si="5"/>
        <v>0</v>
      </c>
      <c r="P48" s="371">
        <f t="shared" si="6"/>
        <v>2.4</v>
      </c>
      <c r="Q48" s="374" t="e">
        <f>(P48+$O$155)+((BC!$F$125)/$G$82)</f>
        <v>#DIV/0!</v>
      </c>
      <c r="R48" s="514" t="e">
        <f t="shared" si="7"/>
        <v>#DIV/0!</v>
      </c>
      <c r="S48" s="223" t="e">
        <f t="shared" si="8"/>
        <v>#DIV/0!</v>
      </c>
      <c r="T48" s="223" t="e">
        <f t="shared" si="9"/>
        <v>#DIV/0!</v>
      </c>
    </row>
    <row r="49" spans="2:20" ht="15.75" customHeight="1" x14ac:dyDescent="0.45">
      <c r="B49" s="448">
        <v>8106061190</v>
      </c>
      <c r="C49" s="453" t="s">
        <v>1133</v>
      </c>
      <c r="D49" s="396" t="s">
        <v>733</v>
      </c>
      <c r="E49" s="408">
        <v>150</v>
      </c>
      <c r="F49" s="566">
        <v>182</v>
      </c>
      <c r="G49" s="578">
        <f>'c303-c503'!F49</f>
        <v>0</v>
      </c>
      <c r="H49" s="57">
        <f t="shared" si="0"/>
        <v>0</v>
      </c>
      <c r="I49" s="219">
        <f t="shared" si="1"/>
        <v>0</v>
      </c>
      <c r="J49" s="507">
        <f>(30*BC!$B$47/F49)</f>
        <v>0</v>
      </c>
      <c r="K49" s="508">
        <f t="shared" si="2"/>
        <v>0</v>
      </c>
      <c r="L49" s="508">
        <f t="shared" si="3"/>
        <v>0</v>
      </c>
      <c r="M49" s="194">
        <f t="shared" si="4"/>
        <v>0</v>
      </c>
      <c r="N49" s="364">
        <v>411</v>
      </c>
      <c r="O49" s="365">
        <f t="shared" si="5"/>
        <v>0</v>
      </c>
      <c r="P49" s="371">
        <f t="shared" si="6"/>
        <v>2.74</v>
      </c>
      <c r="Q49" s="374" t="e">
        <f>(P49+$O$155)+((BC!$F$125)/$G$82)</f>
        <v>#DIV/0!</v>
      </c>
      <c r="R49" s="514" t="e">
        <f t="shared" si="7"/>
        <v>#DIV/0!</v>
      </c>
      <c r="S49" s="223" t="e">
        <f t="shared" si="8"/>
        <v>#DIV/0!</v>
      </c>
      <c r="T49" s="223" t="e">
        <f t="shared" si="9"/>
        <v>#DIV/0!</v>
      </c>
    </row>
    <row r="50" spans="2:20" ht="15.75" customHeight="1" x14ac:dyDescent="0.45">
      <c r="B50" s="448">
        <v>8058776190</v>
      </c>
      <c r="C50" s="454" t="s">
        <v>734</v>
      </c>
      <c r="D50" s="396" t="s">
        <v>735</v>
      </c>
      <c r="E50" s="408">
        <v>100</v>
      </c>
      <c r="F50" s="566">
        <v>56</v>
      </c>
      <c r="G50" s="578">
        <f>'c303-c503'!F50</f>
        <v>0</v>
      </c>
      <c r="H50" s="57">
        <f t="shared" si="0"/>
        <v>0</v>
      </c>
      <c r="I50" s="219">
        <f t="shared" si="1"/>
        <v>0</v>
      </c>
      <c r="J50" s="507">
        <f>(30*BC!$B$47/F50)</f>
        <v>0</v>
      </c>
      <c r="K50" s="508">
        <f t="shared" si="2"/>
        <v>0</v>
      </c>
      <c r="L50" s="508">
        <f t="shared" si="3"/>
        <v>0</v>
      </c>
      <c r="M50" s="194">
        <f t="shared" si="4"/>
        <v>0</v>
      </c>
      <c r="N50" s="364">
        <v>201</v>
      </c>
      <c r="O50" s="365">
        <f t="shared" si="5"/>
        <v>0</v>
      </c>
      <c r="P50" s="371">
        <f t="shared" si="6"/>
        <v>2.0099999999999998</v>
      </c>
      <c r="Q50" s="374" t="e">
        <f>(P50+$O$155)+((BC!$F$125)/$G$82)</f>
        <v>#DIV/0!</v>
      </c>
      <c r="R50" s="514" t="e">
        <f t="shared" si="7"/>
        <v>#DIV/0!</v>
      </c>
      <c r="S50" s="223" t="e">
        <f t="shared" si="8"/>
        <v>#DIV/0!</v>
      </c>
      <c r="T50" s="223" t="e">
        <f t="shared" si="9"/>
        <v>#DIV/0!</v>
      </c>
    </row>
    <row r="51" spans="2:20" ht="15.75" customHeight="1" x14ac:dyDescent="0.45">
      <c r="B51" s="448">
        <v>8057591190</v>
      </c>
      <c r="C51" s="445" t="s">
        <v>736</v>
      </c>
      <c r="D51" s="396" t="s">
        <v>737</v>
      </c>
      <c r="E51" s="408">
        <v>500</v>
      </c>
      <c r="F51" s="566">
        <v>84</v>
      </c>
      <c r="G51" s="578">
        <f>'c303-c503'!F51</f>
        <v>0</v>
      </c>
      <c r="H51" s="57">
        <f t="shared" si="0"/>
        <v>0</v>
      </c>
      <c r="I51" s="219">
        <f t="shared" si="1"/>
        <v>0</v>
      </c>
      <c r="J51" s="507">
        <f>(30*BC!$B$47/F51)</f>
        <v>0</v>
      </c>
      <c r="K51" s="508">
        <f t="shared" si="2"/>
        <v>0</v>
      </c>
      <c r="L51" s="508">
        <f t="shared" si="3"/>
        <v>0</v>
      </c>
      <c r="M51" s="194">
        <f t="shared" si="4"/>
        <v>0</v>
      </c>
      <c r="N51" s="364">
        <v>1285</v>
      </c>
      <c r="O51" s="365">
        <f t="shared" si="5"/>
        <v>0</v>
      </c>
      <c r="P51" s="371">
        <f t="shared" si="6"/>
        <v>2.57</v>
      </c>
      <c r="Q51" s="374" t="e">
        <f>(P51+$O$155)+((BC!$F$125)/$G$82)</f>
        <v>#DIV/0!</v>
      </c>
      <c r="R51" s="514" t="e">
        <f t="shared" si="7"/>
        <v>#DIV/0!</v>
      </c>
      <c r="S51" s="223" t="e">
        <f t="shared" si="8"/>
        <v>#DIV/0!</v>
      </c>
      <c r="T51" s="223" t="e">
        <f t="shared" si="9"/>
        <v>#DIV/0!</v>
      </c>
    </row>
    <row r="52" spans="2:20" ht="15.75" customHeight="1" x14ac:dyDescent="0.45">
      <c r="B52" s="448">
        <v>8105545190</v>
      </c>
      <c r="C52" s="445" t="s">
        <v>738</v>
      </c>
      <c r="D52" s="396" t="s">
        <v>739</v>
      </c>
      <c r="E52" s="408">
        <v>150</v>
      </c>
      <c r="F52" s="566">
        <v>154</v>
      </c>
      <c r="G52" s="578">
        <f>'c303-c503'!F52</f>
        <v>0</v>
      </c>
      <c r="H52" s="57">
        <f t="shared" si="0"/>
        <v>0</v>
      </c>
      <c r="I52" s="219">
        <f t="shared" si="1"/>
        <v>0</v>
      </c>
      <c r="J52" s="507">
        <f>(30*BC!$B$47/F52)</f>
        <v>0</v>
      </c>
      <c r="K52" s="508">
        <f t="shared" si="2"/>
        <v>0</v>
      </c>
      <c r="L52" s="508">
        <f t="shared" si="3"/>
        <v>0</v>
      </c>
      <c r="M52" s="194">
        <f t="shared" si="4"/>
        <v>0</v>
      </c>
      <c r="N52" s="364">
        <v>464</v>
      </c>
      <c r="O52" s="365">
        <f t="shared" si="5"/>
        <v>0</v>
      </c>
      <c r="P52" s="371">
        <f t="shared" si="6"/>
        <v>3.0933333333333333</v>
      </c>
      <c r="Q52" s="374" t="e">
        <f>(P52+$O$155)+((BC!$F$125)/$G$82)</f>
        <v>#DIV/0!</v>
      </c>
      <c r="R52" s="514" t="e">
        <f t="shared" si="7"/>
        <v>#DIV/0!</v>
      </c>
      <c r="S52" s="223" t="e">
        <f t="shared" si="8"/>
        <v>#DIV/0!</v>
      </c>
      <c r="T52" s="223" t="e">
        <f t="shared" si="9"/>
        <v>#DIV/0!</v>
      </c>
    </row>
    <row r="53" spans="2:20" ht="15.75" customHeight="1" x14ac:dyDescent="0.45">
      <c r="B53" s="448">
        <v>8106045190</v>
      </c>
      <c r="C53" s="445" t="s">
        <v>740</v>
      </c>
      <c r="D53" s="396" t="s">
        <v>741</v>
      </c>
      <c r="E53" s="408">
        <v>200</v>
      </c>
      <c r="F53" s="566">
        <v>182</v>
      </c>
      <c r="G53" s="578">
        <f>'c303-c503'!F53</f>
        <v>0</v>
      </c>
      <c r="H53" s="57">
        <f t="shared" si="0"/>
        <v>0</v>
      </c>
      <c r="I53" s="219">
        <f t="shared" si="1"/>
        <v>0</v>
      </c>
      <c r="J53" s="507">
        <f>(30*BC!$B$47/F53)</f>
        <v>0</v>
      </c>
      <c r="K53" s="508">
        <f t="shared" si="2"/>
        <v>0</v>
      </c>
      <c r="L53" s="508">
        <f t="shared" si="3"/>
        <v>0</v>
      </c>
      <c r="M53" s="194">
        <f t="shared" si="4"/>
        <v>0</v>
      </c>
      <c r="N53" s="364">
        <v>602</v>
      </c>
      <c r="O53" s="365">
        <f t="shared" si="5"/>
        <v>0</v>
      </c>
      <c r="P53" s="371">
        <f t="shared" si="6"/>
        <v>3.01</v>
      </c>
      <c r="Q53" s="374" t="e">
        <f>(P53+$O$155)+((BC!$F$125)/$G$82)</f>
        <v>#DIV/0!</v>
      </c>
      <c r="R53" s="514" t="e">
        <f t="shared" si="7"/>
        <v>#DIV/0!</v>
      </c>
      <c r="S53" s="223" t="e">
        <f t="shared" si="8"/>
        <v>#DIV/0!</v>
      </c>
      <c r="T53" s="223" t="e">
        <f t="shared" si="9"/>
        <v>#DIV/0!</v>
      </c>
    </row>
    <row r="54" spans="2:20" ht="15.75" customHeight="1" x14ac:dyDescent="0.45">
      <c r="B54" s="448">
        <v>8105537190</v>
      </c>
      <c r="C54" s="445" t="s">
        <v>742</v>
      </c>
      <c r="D54" s="396" t="s">
        <v>743</v>
      </c>
      <c r="E54" s="408">
        <v>150</v>
      </c>
      <c r="F54" s="566">
        <v>154</v>
      </c>
      <c r="G54" s="578">
        <f>'c303-c503'!F54</f>
        <v>0</v>
      </c>
      <c r="H54" s="57">
        <f t="shared" si="0"/>
        <v>0</v>
      </c>
      <c r="I54" s="219">
        <f t="shared" si="1"/>
        <v>0</v>
      </c>
      <c r="J54" s="507">
        <f>(30*BC!$B$47/F54)</f>
        <v>0</v>
      </c>
      <c r="K54" s="508">
        <f t="shared" si="2"/>
        <v>0</v>
      </c>
      <c r="L54" s="508">
        <f t="shared" si="3"/>
        <v>0</v>
      </c>
      <c r="M54" s="194">
        <f t="shared" si="4"/>
        <v>0</v>
      </c>
      <c r="N54" s="364">
        <v>461</v>
      </c>
      <c r="O54" s="365">
        <f t="shared" si="5"/>
        <v>0</v>
      </c>
      <c r="P54" s="371">
        <f t="shared" si="6"/>
        <v>3.0733333333333333</v>
      </c>
      <c r="Q54" s="374" t="e">
        <f>(P54+$O$155)+((BC!$F$125)/$G$82)</f>
        <v>#DIV/0!</v>
      </c>
      <c r="R54" s="514" t="e">
        <f t="shared" si="7"/>
        <v>#DIV/0!</v>
      </c>
      <c r="S54" s="223" t="e">
        <f t="shared" si="8"/>
        <v>#DIV/0!</v>
      </c>
      <c r="T54" s="223" t="e">
        <f t="shared" si="9"/>
        <v>#DIV/0!</v>
      </c>
    </row>
    <row r="55" spans="2:20" ht="15.75" customHeight="1" x14ac:dyDescent="0.45">
      <c r="B55" s="448">
        <v>8106088190</v>
      </c>
      <c r="C55" s="445" t="s">
        <v>744</v>
      </c>
      <c r="D55" s="396" t="s">
        <v>745</v>
      </c>
      <c r="E55" s="408">
        <v>100</v>
      </c>
      <c r="F55" s="566">
        <v>182</v>
      </c>
      <c r="G55" s="578">
        <f>'c303-c503'!F55</f>
        <v>0</v>
      </c>
      <c r="H55" s="57">
        <f t="shared" si="0"/>
        <v>0</v>
      </c>
      <c r="I55" s="219">
        <f t="shared" si="1"/>
        <v>0</v>
      </c>
      <c r="J55" s="507">
        <f>(30*BC!$B$47/F55)</f>
        <v>0</v>
      </c>
      <c r="K55" s="508">
        <f t="shared" si="2"/>
        <v>0</v>
      </c>
      <c r="L55" s="508">
        <f t="shared" si="3"/>
        <v>0</v>
      </c>
      <c r="M55" s="194">
        <f t="shared" si="4"/>
        <v>0</v>
      </c>
      <c r="N55" s="364">
        <v>474</v>
      </c>
      <c r="O55" s="365">
        <f t="shared" si="5"/>
        <v>0</v>
      </c>
      <c r="P55" s="371">
        <f t="shared" si="6"/>
        <v>4.74</v>
      </c>
      <c r="Q55" s="374" t="e">
        <f>(P55+$O$155)+((BC!$F$125)/$G$82)</f>
        <v>#DIV/0!</v>
      </c>
      <c r="R55" s="514" t="e">
        <f t="shared" si="7"/>
        <v>#DIV/0!</v>
      </c>
      <c r="S55" s="223" t="e">
        <f t="shared" si="8"/>
        <v>#DIV/0!</v>
      </c>
      <c r="T55" s="223" t="e">
        <f t="shared" si="9"/>
        <v>#DIV/0!</v>
      </c>
    </row>
    <row r="56" spans="2:20" ht="15.75" customHeight="1" x14ac:dyDescent="0.45">
      <c r="B56" s="448">
        <v>8106096190</v>
      </c>
      <c r="C56" s="445" t="s">
        <v>746</v>
      </c>
      <c r="D56" s="396" t="s">
        <v>747</v>
      </c>
      <c r="E56" s="408">
        <v>100</v>
      </c>
      <c r="F56" s="566">
        <v>182</v>
      </c>
      <c r="G56" s="578">
        <f>'c303-c503'!F56</f>
        <v>0</v>
      </c>
      <c r="H56" s="57">
        <f t="shared" si="0"/>
        <v>0</v>
      </c>
      <c r="I56" s="219">
        <f t="shared" si="1"/>
        <v>0</v>
      </c>
      <c r="J56" s="507">
        <f>(30*BC!$B$47/F56)</f>
        <v>0</v>
      </c>
      <c r="K56" s="508">
        <f t="shared" si="2"/>
        <v>0</v>
      </c>
      <c r="L56" s="508">
        <f t="shared" si="3"/>
        <v>0</v>
      </c>
      <c r="M56" s="194">
        <f t="shared" si="4"/>
        <v>0</v>
      </c>
      <c r="N56" s="364">
        <v>706</v>
      </c>
      <c r="O56" s="365">
        <f t="shared" si="5"/>
        <v>0</v>
      </c>
      <c r="P56" s="371">
        <f t="shared" si="6"/>
        <v>7.06</v>
      </c>
      <c r="Q56" s="374" t="e">
        <f>(P56+$O$155)+((BC!$F$125)/$G$82)</f>
        <v>#DIV/0!</v>
      </c>
      <c r="R56" s="514" t="e">
        <f t="shared" si="7"/>
        <v>#DIV/0!</v>
      </c>
      <c r="S56" s="223" t="e">
        <f t="shared" si="8"/>
        <v>#DIV/0!</v>
      </c>
      <c r="T56" s="223" t="e">
        <f t="shared" si="9"/>
        <v>#DIV/0!</v>
      </c>
    </row>
    <row r="57" spans="2:20" ht="15.75" customHeight="1" x14ac:dyDescent="0.45">
      <c r="B57" s="448">
        <v>8101396190</v>
      </c>
      <c r="C57" s="445" t="s">
        <v>1134</v>
      </c>
      <c r="D57" s="396" t="s">
        <v>748</v>
      </c>
      <c r="E57" s="408">
        <v>200</v>
      </c>
      <c r="F57" s="566">
        <v>182</v>
      </c>
      <c r="G57" s="578">
        <f>'c303-c503'!F57</f>
        <v>0</v>
      </c>
      <c r="H57" s="57">
        <f t="shared" si="0"/>
        <v>0</v>
      </c>
      <c r="I57" s="219">
        <f t="shared" si="1"/>
        <v>0</v>
      </c>
      <c r="J57" s="507">
        <f>(30*BC!$B$47/F57)</f>
        <v>0</v>
      </c>
      <c r="K57" s="508">
        <f t="shared" si="2"/>
        <v>0</v>
      </c>
      <c r="L57" s="508">
        <f t="shared" si="3"/>
        <v>0</v>
      </c>
      <c r="M57" s="194">
        <f t="shared" si="4"/>
        <v>0</v>
      </c>
      <c r="N57" s="364">
        <v>872</v>
      </c>
      <c r="O57" s="365">
        <f t="shared" si="5"/>
        <v>0</v>
      </c>
      <c r="P57" s="371">
        <f t="shared" si="6"/>
        <v>4.3600000000000003</v>
      </c>
      <c r="Q57" s="374" t="e">
        <f>(P57+$O$155)+((BC!$F$125)/$G$82)</f>
        <v>#DIV/0!</v>
      </c>
      <c r="R57" s="514" t="e">
        <f t="shared" si="7"/>
        <v>#DIV/0!</v>
      </c>
      <c r="S57" s="223" t="e">
        <f t="shared" si="8"/>
        <v>#DIV/0!</v>
      </c>
      <c r="T57" s="223" t="e">
        <f t="shared" si="9"/>
        <v>#DIV/0!</v>
      </c>
    </row>
    <row r="58" spans="2:20" ht="15.75" customHeight="1" x14ac:dyDescent="0.45">
      <c r="B58" s="448">
        <v>8058733190</v>
      </c>
      <c r="C58" s="445" t="s">
        <v>749</v>
      </c>
      <c r="D58" s="396" t="s">
        <v>750</v>
      </c>
      <c r="E58" s="408">
        <v>500</v>
      </c>
      <c r="F58" s="566">
        <v>182</v>
      </c>
      <c r="G58" s="578">
        <f>'c303-c503'!F58</f>
        <v>0</v>
      </c>
      <c r="H58" s="57">
        <f t="shared" si="0"/>
        <v>0</v>
      </c>
      <c r="I58" s="219">
        <f t="shared" si="1"/>
        <v>0</v>
      </c>
      <c r="J58" s="507">
        <f>(30*BC!$B$47/F58)</f>
        <v>0</v>
      </c>
      <c r="K58" s="508">
        <f t="shared" si="2"/>
        <v>0</v>
      </c>
      <c r="L58" s="508">
        <f t="shared" si="3"/>
        <v>0</v>
      </c>
      <c r="M58" s="194">
        <f t="shared" si="4"/>
        <v>0</v>
      </c>
      <c r="N58" s="364">
        <v>1210</v>
      </c>
      <c r="O58" s="365">
        <f t="shared" si="5"/>
        <v>0</v>
      </c>
      <c r="P58" s="371">
        <f t="shared" si="6"/>
        <v>2.42</v>
      </c>
      <c r="Q58" s="374" t="e">
        <f>(P58+$O$155)+((BC!$F$125)/$G$82)</f>
        <v>#DIV/0!</v>
      </c>
      <c r="R58" s="514" t="e">
        <f t="shared" si="7"/>
        <v>#DIV/0!</v>
      </c>
      <c r="S58" s="223" t="e">
        <f t="shared" si="8"/>
        <v>#DIV/0!</v>
      </c>
      <c r="T58" s="223" t="e">
        <f t="shared" si="9"/>
        <v>#DIV/0!</v>
      </c>
    </row>
    <row r="59" spans="2:20" ht="15.75" customHeight="1" x14ac:dyDescent="0.45">
      <c r="B59" s="448">
        <v>8057648190</v>
      </c>
      <c r="C59" s="445" t="s">
        <v>1135</v>
      </c>
      <c r="D59" s="396" t="s">
        <v>751</v>
      </c>
      <c r="E59" s="408">
        <v>400</v>
      </c>
      <c r="F59" s="566">
        <v>182</v>
      </c>
      <c r="G59" s="578">
        <f>'c303-c503'!F59</f>
        <v>0</v>
      </c>
      <c r="H59" s="57">
        <f t="shared" si="0"/>
        <v>0</v>
      </c>
      <c r="I59" s="219">
        <f t="shared" si="1"/>
        <v>0</v>
      </c>
      <c r="J59" s="507">
        <f>(30*BC!$B$47/F59)</f>
        <v>0</v>
      </c>
      <c r="K59" s="508">
        <f t="shared" si="2"/>
        <v>0</v>
      </c>
      <c r="L59" s="508">
        <f t="shared" si="3"/>
        <v>0</v>
      </c>
      <c r="M59" s="194">
        <f t="shared" si="4"/>
        <v>0</v>
      </c>
      <c r="N59" s="364">
        <v>1512</v>
      </c>
      <c r="O59" s="365">
        <f t="shared" si="5"/>
        <v>0</v>
      </c>
      <c r="P59" s="371">
        <f t="shared" si="6"/>
        <v>3.78</v>
      </c>
      <c r="Q59" s="374" t="e">
        <f>(P59+$O$155)+((BC!$F$125)/$G$82)</f>
        <v>#DIV/0!</v>
      </c>
      <c r="R59" s="514" t="e">
        <f t="shared" si="7"/>
        <v>#DIV/0!</v>
      </c>
      <c r="S59" s="223" t="e">
        <f t="shared" si="8"/>
        <v>#DIV/0!</v>
      </c>
      <c r="T59" s="223" t="e">
        <f t="shared" si="9"/>
        <v>#DIV/0!</v>
      </c>
    </row>
    <row r="60" spans="2:20" ht="15.75" customHeight="1" x14ac:dyDescent="0.45">
      <c r="B60" s="448">
        <v>8057923190</v>
      </c>
      <c r="C60" s="445" t="s">
        <v>752</v>
      </c>
      <c r="D60" s="396" t="s">
        <v>753</v>
      </c>
      <c r="E60" s="408">
        <v>300</v>
      </c>
      <c r="F60" s="566">
        <v>182</v>
      </c>
      <c r="G60" s="578">
        <f>'c303-c503'!F60</f>
        <v>0</v>
      </c>
      <c r="H60" s="57">
        <f t="shared" si="0"/>
        <v>0</v>
      </c>
      <c r="I60" s="219">
        <f t="shared" si="1"/>
        <v>0</v>
      </c>
      <c r="J60" s="507">
        <f>(30*BC!$B$47/F60)</f>
        <v>0</v>
      </c>
      <c r="K60" s="508">
        <f t="shared" si="2"/>
        <v>0</v>
      </c>
      <c r="L60" s="508">
        <f t="shared" si="3"/>
        <v>0</v>
      </c>
      <c r="M60" s="194">
        <f t="shared" si="4"/>
        <v>0</v>
      </c>
      <c r="N60" s="364">
        <v>720</v>
      </c>
      <c r="O60" s="365">
        <f t="shared" si="5"/>
        <v>0</v>
      </c>
      <c r="P60" s="371">
        <f t="shared" si="6"/>
        <v>2.4</v>
      </c>
      <c r="Q60" s="374" t="e">
        <f>(P60+$O$155)+((BC!$F$125)/$G$82)</f>
        <v>#DIV/0!</v>
      </c>
      <c r="R60" s="514" t="e">
        <f t="shared" si="7"/>
        <v>#DIV/0!</v>
      </c>
      <c r="S60" s="223" t="e">
        <f t="shared" si="8"/>
        <v>#DIV/0!</v>
      </c>
      <c r="T60" s="223" t="e">
        <f t="shared" si="9"/>
        <v>#DIV/0!</v>
      </c>
    </row>
    <row r="61" spans="2:20" ht="15.75" customHeight="1" x14ac:dyDescent="0.45">
      <c r="B61" s="455" t="s">
        <v>754</v>
      </c>
      <c r="C61" s="445" t="s">
        <v>755</v>
      </c>
      <c r="D61" s="412" t="s">
        <v>725</v>
      </c>
      <c r="E61" s="408">
        <v>300</v>
      </c>
      <c r="F61" s="566">
        <v>182</v>
      </c>
      <c r="G61" s="578">
        <f>'c303-c503'!F61</f>
        <v>0</v>
      </c>
      <c r="H61" s="57">
        <f t="shared" si="0"/>
        <v>0</v>
      </c>
      <c r="I61" s="219">
        <f t="shared" si="1"/>
        <v>0</v>
      </c>
      <c r="J61" s="507">
        <f>(30*BC!$B$47/F61)</f>
        <v>0</v>
      </c>
      <c r="K61" s="508">
        <f t="shared" si="2"/>
        <v>0</v>
      </c>
      <c r="L61" s="508">
        <f t="shared" si="3"/>
        <v>0</v>
      </c>
      <c r="M61" s="194">
        <f t="shared" si="4"/>
        <v>0</v>
      </c>
      <c r="N61" s="364">
        <v>720</v>
      </c>
      <c r="O61" s="365">
        <f t="shared" si="5"/>
        <v>0</v>
      </c>
      <c r="P61" s="371">
        <f t="shared" si="6"/>
        <v>2.4</v>
      </c>
      <c r="Q61" s="374" t="e">
        <f>(P61+$O$155)+((BC!$F$125)/$G$82)</f>
        <v>#DIV/0!</v>
      </c>
      <c r="R61" s="514" t="e">
        <f t="shared" si="7"/>
        <v>#DIV/0!</v>
      </c>
      <c r="S61" s="223" t="e">
        <f t="shared" si="8"/>
        <v>#DIV/0!</v>
      </c>
      <c r="T61" s="223" t="e">
        <f t="shared" si="9"/>
        <v>#DIV/0!</v>
      </c>
    </row>
    <row r="62" spans="2:20" ht="15.75" customHeight="1" x14ac:dyDescent="0.45">
      <c r="B62" s="448">
        <v>8057885190</v>
      </c>
      <c r="C62" s="445" t="s">
        <v>756</v>
      </c>
      <c r="D62" s="396" t="s">
        <v>757</v>
      </c>
      <c r="E62" s="408">
        <v>300</v>
      </c>
      <c r="F62" s="566">
        <v>182</v>
      </c>
      <c r="G62" s="578">
        <f>'c303-c503'!F62</f>
        <v>0</v>
      </c>
      <c r="H62" s="57">
        <f t="shared" si="0"/>
        <v>0</v>
      </c>
      <c r="I62" s="219">
        <f t="shared" si="1"/>
        <v>0</v>
      </c>
      <c r="J62" s="507">
        <f>(30*BC!$B$47/F62)</f>
        <v>0</v>
      </c>
      <c r="K62" s="508">
        <f t="shared" si="2"/>
        <v>0</v>
      </c>
      <c r="L62" s="508">
        <f t="shared" si="3"/>
        <v>0</v>
      </c>
      <c r="M62" s="194">
        <f t="shared" si="4"/>
        <v>0</v>
      </c>
      <c r="N62" s="364">
        <v>822</v>
      </c>
      <c r="O62" s="365">
        <f t="shared" si="5"/>
        <v>0</v>
      </c>
      <c r="P62" s="371">
        <f t="shared" si="6"/>
        <v>2.74</v>
      </c>
      <c r="Q62" s="374" t="e">
        <f>(P62+$O$155)+((BC!$F$125)/$G$82)</f>
        <v>#DIV/0!</v>
      </c>
      <c r="R62" s="514" t="e">
        <f t="shared" si="7"/>
        <v>#DIV/0!</v>
      </c>
      <c r="S62" s="223" t="e">
        <f t="shared" si="8"/>
        <v>#DIV/0!</v>
      </c>
      <c r="T62" s="223" t="e">
        <f t="shared" si="9"/>
        <v>#DIV/0!</v>
      </c>
    </row>
    <row r="63" spans="2:20" ht="15.75" customHeight="1" x14ac:dyDescent="0.45">
      <c r="B63" s="396">
        <v>9529713190</v>
      </c>
      <c r="C63" s="456" t="s">
        <v>758</v>
      </c>
      <c r="D63" s="396" t="s">
        <v>1136</v>
      </c>
      <c r="E63" s="408">
        <v>500</v>
      </c>
      <c r="F63" s="566">
        <v>28</v>
      </c>
      <c r="G63" s="578">
        <f>'c303-c503'!F63</f>
        <v>0</v>
      </c>
      <c r="H63" s="57">
        <f t="shared" si="0"/>
        <v>0</v>
      </c>
      <c r="I63" s="219">
        <f t="shared" si="1"/>
        <v>0</v>
      </c>
      <c r="J63" s="507">
        <f>(30*BC!$B$47/F63)</f>
        <v>0</v>
      </c>
      <c r="K63" s="508">
        <f t="shared" si="2"/>
        <v>0</v>
      </c>
      <c r="L63" s="508">
        <f t="shared" si="3"/>
        <v>0</v>
      </c>
      <c r="M63" s="194">
        <f t="shared" si="4"/>
        <v>0</v>
      </c>
      <c r="N63" s="364">
        <v>2435</v>
      </c>
      <c r="O63" s="365">
        <f t="shared" si="5"/>
        <v>0</v>
      </c>
      <c r="P63" s="371">
        <f t="shared" si="6"/>
        <v>4.87</v>
      </c>
      <c r="Q63" s="374" t="e">
        <f>(P63+$O$155)+((BC!$F$125)/$G$82)</f>
        <v>#DIV/0!</v>
      </c>
      <c r="R63" s="514" t="e">
        <f t="shared" si="7"/>
        <v>#DIV/0!</v>
      </c>
      <c r="S63" s="223" t="e">
        <f t="shared" si="8"/>
        <v>#DIV/0!</v>
      </c>
      <c r="T63" s="223" t="e">
        <f t="shared" si="9"/>
        <v>#DIV/0!</v>
      </c>
    </row>
    <row r="64" spans="2:20" ht="15.75" customHeight="1" x14ac:dyDescent="0.45">
      <c r="B64" s="396">
        <v>9529705190</v>
      </c>
      <c r="C64" s="456" t="s">
        <v>759</v>
      </c>
      <c r="D64" s="396" t="s">
        <v>1137</v>
      </c>
      <c r="E64" s="408">
        <v>200</v>
      </c>
      <c r="F64" s="566">
        <v>28</v>
      </c>
      <c r="G64" s="578">
        <f>'c303-c503'!F64</f>
        <v>0</v>
      </c>
      <c r="H64" s="57">
        <f t="shared" si="0"/>
        <v>0</v>
      </c>
      <c r="I64" s="219">
        <f t="shared" si="1"/>
        <v>0</v>
      </c>
      <c r="J64" s="507">
        <f>(30*BC!$B$47/F64)</f>
        <v>0</v>
      </c>
      <c r="K64" s="508">
        <f t="shared" si="2"/>
        <v>0</v>
      </c>
      <c r="L64" s="508">
        <f t="shared" si="3"/>
        <v>0</v>
      </c>
      <c r="M64" s="194">
        <f t="shared" si="4"/>
        <v>0</v>
      </c>
      <c r="N64" s="364">
        <v>974</v>
      </c>
      <c r="O64" s="365">
        <f t="shared" si="5"/>
        <v>0</v>
      </c>
      <c r="P64" s="371">
        <f t="shared" si="6"/>
        <v>4.87</v>
      </c>
      <c r="Q64" s="374" t="e">
        <f>(P64+$O$155)+((BC!$F$125)/$G$82)</f>
        <v>#DIV/0!</v>
      </c>
      <c r="R64" s="514" t="e">
        <f t="shared" si="7"/>
        <v>#DIV/0!</v>
      </c>
      <c r="S64" s="223" t="e">
        <f t="shared" si="8"/>
        <v>#DIV/0!</v>
      </c>
      <c r="T64" s="223" t="e">
        <f t="shared" si="9"/>
        <v>#DIV/0!</v>
      </c>
    </row>
    <row r="65" spans="2:20" ht="15.75" customHeight="1" x14ac:dyDescent="0.45">
      <c r="B65" s="396">
        <v>8105626190</v>
      </c>
      <c r="C65" s="458" t="s">
        <v>760</v>
      </c>
      <c r="D65" s="396" t="s">
        <v>761</v>
      </c>
      <c r="E65" s="408">
        <v>100</v>
      </c>
      <c r="F65" s="566">
        <v>182</v>
      </c>
      <c r="G65" s="578">
        <f>'c303-c503'!F65</f>
        <v>0</v>
      </c>
      <c r="H65" s="57">
        <f t="shared" si="0"/>
        <v>0</v>
      </c>
      <c r="I65" s="219">
        <f t="shared" si="1"/>
        <v>0</v>
      </c>
      <c r="J65" s="507">
        <f>(30*BC!$B$47/F65)</f>
        <v>0</v>
      </c>
      <c r="K65" s="508">
        <f t="shared" si="2"/>
        <v>0</v>
      </c>
      <c r="L65" s="508">
        <f t="shared" si="3"/>
        <v>0</v>
      </c>
      <c r="M65" s="194">
        <f t="shared" si="4"/>
        <v>0</v>
      </c>
      <c r="N65" s="364">
        <v>1066</v>
      </c>
      <c r="O65" s="365">
        <f t="shared" si="5"/>
        <v>0</v>
      </c>
      <c r="P65" s="371">
        <f t="shared" si="6"/>
        <v>10.66</v>
      </c>
      <c r="Q65" s="374" t="e">
        <f>(P65+$O$155)+((BC!$F$125)/$G$82)</f>
        <v>#DIV/0!</v>
      </c>
      <c r="R65" s="514" t="e">
        <f t="shared" si="7"/>
        <v>#DIV/0!</v>
      </c>
      <c r="S65" s="223" t="e">
        <f t="shared" si="8"/>
        <v>#DIV/0!</v>
      </c>
      <c r="T65" s="223" t="e">
        <f t="shared" si="9"/>
        <v>#DIV/0!</v>
      </c>
    </row>
    <row r="66" spans="2:20" ht="15.75" customHeight="1" x14ac:dyDescent="0.45">
      <c r="B66" s="396">
        <v>8105529190</v>
      </c>
      <c r="C66" s="459" t="s">
        <v>762</v>
      </c>
      <c r="D66" s="396" t="s">
        <v>763</v>
      </c>
      <c r="E66" s="408">
        <v>150</v>
      </c>
      <c r="F66" s="566">
        <v>84</v>
      </c>
      <c r="G66" s="578">
        <f>'c303-c503'!F66</f>
        <v>0</v>
      </c>
      <c r="H66" s="57">
        <f t="shared" si="0"/>
        <v>0</v>
      </c>
      <c r="I66" s="219">
        <f t="shared" si="1"/>
        <v>0</v>
      </c>
      <c r="J66" s="507">
        <f>(30*BC!$B$47/F66)</f>
        <v>0</v>
      </c>
      <c r="K66" s="508">
        <f t="shared" si="2"/>
        <v>0</v>
      </c>
      <c r="L66" s="508">
        <f t="shared" si="3"/>
        <v>0</v>
      </c>
      <c r="M66" s="194">
        <f t="shared" si="4"/>
        <v>0</v>
      </c>
      <c r="N66" s="364">
        <v>1252</v>
      </c>
      <c r="O66" s="365">
        <f t="shared" si="5"/>
        <v>0</v>
      </c>
      <c r="P66" s="371">
        <f t="shared" si="6"/>
        <v>8.3466666666666658</v>
      </c>
      <c r="Q66" s="374" t="e">
        <f>(P66+$O$155)+((BC!$F$125)/$G$82)</f>
        <v>#DIV/0!</v>
      </c>
      <c r="R66" s="514" t="e">
        <f t="shared" si="7"/>
        <v>#DIV/0!</v>
      </c>
      <c r="S66" s="223" t="e">
        <f t="shared" si="8"/>
        <v>#DIV/0!</v>
      </c>
      <c r="T66" s="223" t="e">
        <f t="shared" si="9"/>
        <v>#DIV/0!</v>
      </c>
    </row>
    <row r="67" spans="2:20" ht="15.75" customHeight="1" x14ac:dyDescent="0.45">
      <c r="B67" s="396">
        <v>8106126190</v>
      </c>
      <c r="C67" s="460" t="s">
        <v>764</v>
      </c>
      <c r="D67" s="396" t="s">
        <v>765</v>
      </c>
      <c r="E67" s="408">
        <v>150</v>
      </c>
      <c r="F67" s="566">
        <v>182</v>
      </c>
      <c r="G67" s="578">
        <f>'c303-c503'!F67</f>
        <v>0</v>
      </c>
      <c r="H67" s="57">
        <f t="shared" si="0"/>
        <v>0</v>
      </c>
      <c r="I67" s="219">
        <f t="shared" si="1"/>
        <v>0</v>
      </c>
      <c r="J67" s="507">
        <f>(30*BC!$B$47/F67)</f>
        <v>0</v>
      </c>
      <c r="K67" s="508">
        <f t="shared" si="2"/>
        <v>0</v>
      </c>
      <c r="L67" s="508">
        <f t="shared" si="3"/>
        <v>0</v>
      </c>
      <c r="M67" s="194">
        <f t="shared" si="4"/>
        <v>0</v>
      </c>
      <c r="N67" s="364">
        <v>1479</v>
      </c>
      <c r="O67" s="365">
        <f t="shared" si="5"/>
        <v>0</v>
      </c>
      <c r="P67" s="371">
        <f t="shared" si="6"/>
        <v>9.86</v>
      </c>
      <c r="Q67" s="374" t="e">
        <f>(P67+$O$155)+((BC!$F$125)/$G$82)</f>
        <v>#DIV/0!</v>
      </c>
      <c r="R67" s="514" t="e">
        <f t="shared" si="7"/>
        <v>#DIV/0!</v>
      </c>
      <c r="S67" s="223" t="e">
        <f t="shared" si="8"/>
        <v>#DIV/0!</v>
      </c>
      <c r="T67" s="223" t="e">
        <f t="shared" si="9"/>
        <v>#DIV/0!</v>
      </c>
    </row>
    <row r="68" spans="2:20" ht="15.75" customHeight="1" x14ac:dyDescent="0.45">
      <c r="B68" s="396">
        <v>8105596190</v>
      </c>
      <c r="C68" s="461" t="s">
        <v>766</v>
      </c>
      <c r="D68" s="396" t="s">
        <v>767</v>
      </c>
      <c r="E68" s="408">
        <v>250</v>
      </c>
      <c r="F68" s="566">
        <v>182</v>
      </c>
      <c r="G68" s="578">
        <f>'c303-c503'!F68</f>
        <v>0</v>
      </c>
      <c r="H68" s="57">
        <f t="shared" si="0"/>
        <v>0</v>
      </c>
      <c r="I68" s="219">
        <f t="shared" si="1"/>
        <v>0</v>
      </c>
      <c r="J68" s="507">
        <f>(30*BC!$B$47/F68)</f>
        <v>0</v>
      </c>
      <c r="K68" s="508">
        <f t="shared" si="2"/>
        <v>0</v>
      </c>
      <c r="L68" s="508">
        <f t="shared" si="3"/>
        <v>0</v>
      </c>
      <c r="M68" s="194">
        <f t="shared" si="4"/>
        <v>0</v>
      </c>
      <c r="N68" s="364">
        <v>1424</v>
      </c>
      <c r="O68" s="365">
        <f t="shared" si="5"/>
        <v>0</v>
      </c>
      <c r="P68" s="371">
        <f t="shared" si="6"/>
        <v>5.6959999999999997</v>
      </c>
      <c r="Q68" s="374" t="e">
        <f>(P68+$O$155)+((BC!$F$125)/$G$82)</f>
        <v>#DIV/0!</v>
      </c>
      <c r="R68" s="514" t="e">
        <f t="shared" si="7"/>
        <v>#DIV/0!</v>
      </c>
      <c r="S68" s="223" t="e">
        <f t="shared" si="8"/>
        <v>#DIV/0!</v>
      </c>
      <c r="T68" s="223" t="e">
        <f t="shared" si="9"/>
        <v>#DIV/0!</v>
      </c>
    </row>
    <row r="69" spans="2:20" ht="15.75" customHeight="1" x14ac:dyDescent="0.45">
      <c r="B69" s="396">
        <v>8057826190</v>
      </c>
      <c r="C69" s="462" t="s">
        <v>768</v>
      </c>
      <c r="D69" s="396" t="s">
        <v>769</v>
      </c>
      <c r="E69" s="408">
        <v>100</v>
      </c>
      <c r="F69" s="566">
        <v>28</v>
      </c>
      <c r="G69" s="578">
        <f>'c303-c503'!F69</f>
        <v>0</v>
      </c>
      <c r="H69" s="57">
        <f t="shared" si="0"/>
        <v>0</v>
      </c>
      <c r="I69" s="219">
        <f t="shared" si="1"/>
        <v>0</v>
      </c>
      <c r="J69" s="507">
        <f>(30*BC!$B$47/F69)</f>
        <v>0</v>
      </c>
      <c r="K69" s="508">
        <f t="shared" si="2"/>
        <v>0</v>
      </c>
      <c r="L69" s="508">
        <f t="shared" si="3"/>
        <v>0</v>
      </c>
      <c r="M69" s="194">
        <f t="shared" si="4"/>
        <v>0</v>
      </c>
      <c r="N69" s="364">
        <v>1054</v>
      </c>
      <c r="O69" s="365">
        <f t="shared" si="5"/>
        <v>0</v>
      </c>
      <c r="P69" s="371">
        <f t="shared" si="6"/>
        <v>10.54</v>
      </c>
      <c r="Q69" s="374" t="e">
        <f>(P69+$O$155)+((BC!$F$125)/$G$82)</f>
        <v>#DIV/0!</v>
      </c>
      <c r="R69" s="514" t="e">
        <f t="shared" si="7"/>
        <v>#DIV/0!</v>
      </c>
      <c r="S69" s="223" t="e">
        <f t="shared" si="8"/>
        <v>#DIV/0!</v>
      </c>
      <c r="T69" s="223" t="e">
        <f t="shared" si="9"/>
        <v>#DIV/0!</v>
      </c>
    </row>
    <row r="70" spans="2:20" ht="15.75" customHeight="1" x14ac:dyDescent="0.45">
      <c r="B70" s="396">
        <v>8057494190</v>
      </c>
      <c r="C70" s="463" t="s">
        <v>770</v>
      </c>
      <c r="D70" s="396" t="s">
        <v>771</v>
      </c>
      <c r="E70" s="408">
        <v>250</v>
      </c>
      <c r="F70" s="566">
        <v>42</v>
      </c>
      <c r="G70" s="578">
        <f>'c303-c503'!F70</f>
        <v>0</v>
      </c>
      <c r="H70" s="57">
        <f t="shared" si="0"/>
        <v>0</v>
      </c>
      <c r="I70" s="219">
        <f t="shared" si="1"/>
        <v>0</v>
      </c>
      <c r="J70" s="507">
        <f>(30*BC!$B$47/F70)</f>
        <v>0</v>
      </c>
      <c r="K70" s="508">
        <f t="shared" si="2"/>
        <v>0</v>
      </c>
      <c r="L70" s="508">
        <f t="shared" si="3"/>
        <v>0</v>
      </c>
      <c r="M70" s="194">
        <f t="shared" si="4"/>
        <v>0</v>
      </c>
      <c r="N70" s="364">
        <v>174</v>
      </c>
      <c r="O70" s="365">
        <f t="shared" si="5"/>
        <v>0</v>
      </c>
      <c r="P70" s="371">
        <f t="shared" si="6"/>
        <v>0.69599999999999995</v>
      </c>
      <c r="Q70" s="374" t="e">
        <f>(P70+$O$155)+((BC!$F$125)/$G$82)</f>
        <v>#DIV/0!</v>
      </c>
      <c r="R70" s="514" t="e">
        <f t="shared" si="7"/>
        <v>#DIV/0!</v>
      </c>
      <c r="S70" s="223" t="e">
        <f t="shared" si="8"/>
        <v>#DIV/0!</v>
      </c>
      <c r="T70" s="223" t="e">
        <f t="shared" si="9"/>
        <v>#DIV/0!</v>
      </c>
    </row>
    <row r="71" spans="2:20" ht="15.75" customHeight="1" x14ac:dyDescent="0.45">
      <c r="B71" s="396">
        <v>8058024190</v>
      </c>
      <c r="C71" s="463" t="s">
        <v>772</v>
      </c>
      <c r="D71" s="396" t="s">
        <v>773</v>
      </c>
      <c r="E71" s="408">
        <v>300</v>
      </c>
      <c r="F71" s="566">
        <v>112</v>
      </c>
      <c r="G71" s="578">
        <f>'c303-c503'!F71</f>
        <v>0</v>
      </c>
      <c r="H71" s="57">
        <f t="shared" si="0"/>
        <v>0</v>
      </c>
      <c r="I71" s="219">
        <f t="shared" si="1"/>
        <v>0</v>
      </c>
      <c r="J71" s="507">
        <f>(30*BC!$B$47/F71)</f>
        <v>0</v>
      </c>
      <c r="K71" s="508">
        <f t="shared" si="2"/>
        <v>0</v>
      </c>
      <c r="L71" s="508">
        <f t="shared" si="3"/>
        <v>0</v>
      </c>
      <c r="M71" s="194">
        <f t="shared" si="4"/>
        <v>0</v>
      </c>
      <c r="N71" s="364">
        <v>696</v>
      </c>
      <c r="O71" s="365">
        <f t="shared" si="5"/>
        <v>0</v>
      </c>
      <c r="P71" s="371">
        <f t="shared" si="6"/>
        <v>2.3199999999999998</v>
      </c>
      <c r="Q71" s="374" t="e">
        <f>(P71+$O$155)+((BC!$F$125)/$G$82)</f>
        <v>#DIV/0!</v>
      </c>
      <c r="R71" s="514" t="e">
        <f t="shared" si="7"/>
        <v>#DIV/0!</v>
      </c>
      <c r="S71" s="223" t="e">
        <f t="shared" si="8"/>
        <v>#DIV/0!</v>
      </c>
      <c r="T71" s="223" t="e">
        <f t="shared" si="9"/>
        <v>#DIV/0!</v>
      </c>
    </row>
    <row r="72" spans="2:20" ht="15.75" customHeight="1" x14ac:dyDescent="0.45">
      <c r="B72" s="396">
        <v>8057630190</v>
      </c>
      <c r="C72" s="463" t="s">
        <v>774</v>
      </c>
      <c r="D72" s="396" t="s">
        <v>775</v>
      </c>
      <c r="E72" s="408">
        <v>850</v>
      </c>
      <c r="F72" s="566">
        <v>84</v>
      </c>
      <c r="G72" s="578">
        <f>'c303-c503'!F72</f>
        <v>0</v>
      </c>
      <c r="H72" s="57">
        <f t="shared" si="0"/>
        <v>0</v>
      </c>
      <c r="I72" s="219">
        <f t="shared" si="1"/>
        <v>0</v>
      </c>
      <c r="J72" s="507">
        <f>(30*BC!$B$47/F72)</f>
        <v>0</v>
      </c>
      <c r="K72" s="508">
        <f t="shared" si="2"/>
        <v>0</v>
      </c>
      <c r="L72" s="508">
        <f t="shared" si="3"/>
        <v>0</v>
      </c>
      <c r="M72" s="194">
        <f t="shared" si="4"/>
        <v>0</v>
      </c>
      <c r="N72" s="364">
        <v>2899</v>
      </c>
      <c r="O72" s="365">
        <f t="shared" si="5"/>
        <v>0</v>
      </c>
      <c r="P72" s="371">
        <f t="shared" si="6"/>
        <v>3.4105882352941177</v>
      </c>
      <c r="Q72" s="374" t="e">
        <f>(P72+$O$155)+((BC!$F$125)/$G$82)</f>
        <v>#DIV/0!</v>
      </c>
      <c r="R72" s="514" t="e">
        <f t="shared" si="7"/>
        <v>#DIV/0!</v>
      </c>
      <c r="S72" s="223" t="e">
        <f t="shared" si="8"/>
        <v>#DIV/0!</v>
      </c>
      <c r="T72" s="223" t="e">
        <f t="shared" si="9"/>
        <v>#DIV/0!</v>
      </c>
    </row>
    <row r="73" spans="2:20" ht="15.75" customHeight="1" x14ac:dyDescent="0.45">
      <c r="B73" s="396">
        <v>8445672190</v>
      </c>
      <c r="C73" s="463" t="s">
        <v>776</v>
      </c>
      <c r="D73" s="396" t="s">
        <v>777</v>
      </c>
      <c r="E73" s="408">
        <v>150</v>
      </c>
      <c r="F73" s="566">
        <v>84</v>
      </c>
      <c r="G73" s="578">
        <f>'c303-c503'!F73</f>
        <v>0</v>
      </c>
      <c r="H73" s="57">
        <f t="shared" ref="H73:H81" si="10">(G73*0.2)+(G73)</f>
        <v>0</v>
      </c>
      <c r="I73" s="219">
        <f t="shared" ref="I73:I81" si="11">H73/E73</f>
        <v>0</v>
      </c>
      <c r="J73" s="507">
        <f>(30*BC!$B$47/F73)</f>
        <v>0</v>
      </c>
      <c r="K73" s="508">
        <f t="shared" ref="K73:K81" si="12">IF(J73&gt;I73,J73,I73)</f>
        <v>0</v>
      </c>
      <c r="L73" s="508">
        <f t="shared" ref="L73:L124" si="13">IF(I73=0,0,K73)</f>
        <v>0</v>
      </c>
      <c r="M73" s="194">
        <f t="shared" ref="M73:M136" si="14">ROUNDUP(L73,0)</f>
        <v>0</v>
      </c>
      <c r="N73" s="364">
        <v>512</v>
      </c>
      <c r="O73" s="365">
        <f t="shared" ref="O73:O81" si="15">N73*M73</f>
        <v>0</v>
      </c>
      <c r="P73" s="371">
        <f t="shared" ref="P73:P81" si="16">N73/E73</f>
        <v>3.4133333333333336</v>
      </c>
      <c r="Q73" s="374" t="e">
        <f>(P73+$O$155)+((BC!$F$125)/$G$82)</f>
        <v>#DIV/0!</v>
      </c>
      <c r="R73" s="514" t="e">
        <f t="shared" ref="R73:R81" si="17">Q73*G73</f>
        <v>#DIV/0!</v>
      </c>
      <c r="S73" s="223" t="e">
        <f t="shared" ref="S73:S81" si="18">((Q73*0.15)+Q73)</f>
        <v>#DIV/0!</v>
      </c>
      <c r="T73" s="223" t="e">
        <f t="shared" ref="T73:T81" si="19">S73*G73</f>
        <v>#DIV/0!</v>
      </c>
    </row>
    <row r="74" spans="2:20" ht="15.75" customHeight="1" x14ac:dyDescent="0.45">
      <c r="B74" s="396">
        <v>8105677190</v>
      </c>
      <c r="C74" s="464" t="s">
        <v>778</v>
      </c>
      <c r="D74" s="396" t="s">
        <v>779</v>
      </c>
      <c r="E74" s="408">
        <v>550</v>
      </c>
      <c r="F74" s="566">
        <v>56</v>
      </c>
      <c r="G74" s="578">
        <f>'c303-c503'!F74</f>
        <v>0</v>
      </c>
      <c r="H74" s="57">
        <f t="shared" si="10"/>
        <v>0</v>
      </c>
      <c r="I74" s="219">
        <f t="shared" si="11"/>
        <v>0</v>
      </c>
      <c r="J74" s="507">
        <f>(30*BC!$B$47/F74)</f>
        <v>0</v>
      </c>
      <c r="K74" s="508">
        <f t="shared" si="12"/>
        <v>0</v>
      </c>
      <c r="L74" s="508">
        <f t="shared" si="13"/>
        <v>0</v>
      </c>
      <c r="M74" s="194">
        <f t="shared" si="14"/>
        <v>0</v>
      </c>
      <c r="N74" s="364">
        <v>462</v>
      </c>
      <c r="O74" s="365">
        <f t="shared" si="15"/>
        <v>0</v>
      </c>
      <c r="P74" s="371">
        <f t="shared" si="16"/>
        <v>0.84</v>
      </c>
      <c r="Q74" s="374" t="e">
        <f>(P74+$O$155)+((BC!$F$125)/$G$82)</f>
        <v>#DIV/0!</v>
      </c>
      <c r="R74" s="514" t="e">
        <f t="shared" si="17"/>
        <v>#DIV/0!</v>
      </c>
      <c r="S74" s="223" t="e">
        <f t="shared" si="18"/>
        <v>#DIV/0!</v>
      </c>
      <c r="T74" s="223" t="e">
        <f t="shared" si="19"/>
        <v>#DIV/0!</v>
      </c>
    </row>
    <row r="75" spans="2:20" ht="15.75" customHeight="1" x14ac:dyDescent="0.45">
      <c r="B75" s="396">
        <v>8252629190</v>
      </c>
      <c r="C75" s="465" t="s">
        <v>1138</v>
      </c>
      <c r="D75" s="396" t="s">
        <v>780</v>
      </c>
      <c r="E75" s="408">
        <v>200</v>
      </c>
      <c r="F75" s="566">
        <v>84</v>
      </c>
      <c r="G75" s="578">
        <f>'c303-c503'!F75</f>
        <v>0</v>
      </c>
      <c r="H75" s="57">
        <f t="shared" si="10"/>
        <v>0</v>
      </c>
      <c r="I75" s="219">
        <f t="shared" si="11"/>
        <v>0</v>
      </c>
      <c r="J75" s="507">
        <f>(30*BC!$B$47/F75)</f>
        <v>0</v>
      </c>
      <c r="K75" s="508">
        <f t="shared" si="12"/>
        <v>0</v>
      </c>
      <c r="L75" s="508">
        <f t="shared" si="13"/>
        <v>0</v>
      </c>
      <c r="M75" s="194">
        <f t="shared" si="14"/>
        <v>0</v>
      </c>
      <c r="N75" s="364">
        <v>998</v>
      </c>
      <c r="O75" s="365">
        <f t="shared" si="15"/>
        <v>0</v>
      </c>
      <c r="P75" s="371">
        <f t="shared" si="16"/>
        <v>4.99</v>
      </c>
      <c r="Q75" s="374" t="e">
        <f>(P75+$O$155)+((BC!$F$125)/$G$82)</f>
        <v>#DIV/0!</v>
      </c>
      <c r="R75" s="514" t="e">
        <f t="shared" si="17"/>
        <v>#DIV/0!</v>
      </c>
      <c r="S75" s="223" t="e">
        <f t="shared" si="18"/>
        <v>#DIV/0!</v>
      </c>
      <c r="T75" s="223" t="e">
        <f t="shared" si="19"/>
        <v>#DIV/0!</v>
      </c>
    </row>
    <row r="76" spans="2:20" ht="15.75" customHeight="1" x14ac:dyDescent="0.45">
      <c r="B76" s="396">
        <v>8058628190</v>
      </c>
      <c r="C76" s="466" t="s">
        <v>781</v>
      </c>
      <c r="D76" s="396" t="s">
        <v>782</v>
      </c>
      <c r="E76" s="408">
        <v>400</v>
      </c>
      <c r="F76" s="566">
        <v>56</v>
      </c>
      <c r="G76" s="578">
        <f>'c303-c503'!F76</f>
        <v>0</v>
      </c>
      <c r="H76" s="57">
        <f t="shared" si="10"/>
        <v>0</v>
      </c>
      <c r="I76" s="219">
        <f t="shared" si="11"/>
        <v>0</v>
      </c>
      <c r="J76" s="507">
        <f>(30*BC!$B$47/F76)</f>
        <v>0</v>
      </c>
      <c r="K76" s="508">
        <f t="shared" si="12"/>
        <v>0</v>
      </c>
      <c r="L76" s="508">
        <f t="shared" si="13"/>
        <v>0</v>
      </c>
      <c r="M76" s="194">
        <f t="shared" si="14"/>
        <v>0</v>
      </c>
      <c r="N76" s="364">
        <v>1243</v>
      </c>
      <c r="O76" s="365">
        <f t="shared" si="15"/>
        <v>0</v>
      </c>
      <c r="P76" s="371">
        <f t="shared" si="16"/>
        <v>3.1074999999999999</v>
      </c>
      <c r="Q76" s="374" t="e">
        <f>(P76+$O$155)+((BC!$F$125)/$G$82)</f>
        <v>#DIV/0!</v>
      </c>
      <c r="R76" s="514" t="e">
        <f t="shared" si="17"/>
        <v>#DIV/0!</v>
      </c>
      <c r="S76" s="223" t="e">
        <f t="shared" si="18"/>
        <v>#DIV/0!</v>
      </c>
      <c r="T76" s="223" t="e">
        <f t="shared" si="19"/>
        <v>#DIV/0!</v>
      </c>
    </row>
    <row r="77" spans="2:20" ht="15.75" customHeight="1" x14ac:dyDescent="0.45">
      <c r="B77" s="396">
        <v>8445567190</v>
      </c>
      <c r="C77" s="467" t="s">
        <v>1139</v>
      </c>
      <c r="D77" s="396" t="s">
        <v>783</v>
      </c>
      <c r="E77" s="408">
        <v>100</v>
      </c>
      <c r="F77" s="566">
        <v>84</v>
      </c>
      <c r="G77" s="578">
        <f>'c303-c503'!F77</f>
        <v>0</v>
      </c>
      <c r="H77" s="57">
        <f t="shared" si="10"/>
        <v>0</v>
      </c>
      <c r="I77" s="219">
        <f t="shared" si="11"/>
        <v>0</v>
      </c>
      <c r="J77" s="507">
        <f>(30*BC!$B$47/F77)</f>
        <v>0</v>
      </c>
      <c r="K77" s="508">
        <f t="shared" si="12"/>
        <v>0</v>
      </c>
      <c r="L77" s="508">
        <f t="shared" si="13"/>
        <v>0</v>
      </c>
      <c r="M77" s="194">
        <f t="shared" si="14"/>
        <v>0</v>
      </c>
      <c r="N77" s="364">
        <v>581</v>
      </c>
      <c r="O77" s="365">
        <f t="shared" si="15"/>
        <v>0</v>
      </c>
      <c r="P77" s="371">
        <f t="shared" si="16"/>
        <v>5.81</v>
      </c>
      <c r="Q77" s="374" t="e">
        <f>(P77+$O$155)+((BC!$F$125)/$G$82)</f>
        <v>#DIV/0!</v>
      </c>
      <c r="R77" s="514" t="e">
        <f t="shared" si="17"/>
        <v>#DIV/0!</v>
      </c>
      <c r="S77" s="223" t="e">
        <f t="shared" si="18"/>
        <v>#DIV/0!</v>
      </c>
      <c r="T77" s="223" t="e">
        <f t="shared" si="19"/>
        <v>#DIV/0!</v>
      </c>
    </row>
    <row r="78" spans="2:20" ht="15.75" customHeight="1" x14ac:dyDescent="0.45">
      <c r="B78" s="396">
        <v>8058580190</v>
      </c>
      <c r="C78" s="467" t="s">
        <v>784</v>
      </c>
      <c r="D78" s="396" t="s">
        <v>785</v>
      </c>
      <c r="E78" s="408">
        <v>200</v>
      </c>
      <c r="F78" s="566">
        <v>90</v>
      </c>
      <c r="G78" s="578">
        <f>'c303-c503'!F78</f>
        <v>0</v>
      </c>
      <c r="H78" s="57">
        <f t="shared" si="10"/>
        <v>0</v>
      </c>
      <c r="I78" s="219">
        <f t="shared" si="11"/>
        <v>0</v>
      </c>
      <c r="J78" s="507">
        <f>(30*BC!$B$47/F78)</f>
        <v>0</v>
      </c>
      <c r="K78" s="508">
        <f t="shared" si="12"/>
        <v>0</v>
      </c>
      <c r="L78" s="508">
        <f t="shared" si="13"/>
        <v>0</v>
      </c>
      <c r="M78" s="194">
        <f t="shared" si="14"/>
        <v>0</v>
      </c>
      <c r="N78" s="364">
        <v>1446</v>
      </c>
      <c r="O78" s="365">
        <f t="shared" si="15"/>
        <v>0</v>
      </c>
      <c r="P78" s="371">
        <f t="shared" si="16"/>
        <v>7.23</v>
      </c>
      <c r="Q78" s="374" t="e">
        <f>(P78+$O$155)+((BC!$F$125)/$G$82)</f>
        <v>#DIV/0!</v>
      </c>
      <c r="R78" s="514" t="e">
        <f t="shared" si="17"/>
        <v>#DIV/0!</v>
      </c>
      <c r="S78" s="223" t="e">
        <f t="shared" si="18"/>
        <v>#DIV/0!</v>
      </c>
      <c r="T78" s="223" t="e">
        <f t="shared" si="19"/>
        <v>#DIV/0!</v>
      </c>
    </row>
    <row r="79" spans="2:20" ht="15.75" customHeight="1" x14ac:dyDescent="0.45">
      <c r="B79" s="396">
        <v>8057435190</v>
      </c>
      <c r="C79" s="467" t="s">
        <v>786</v>
      </c>
      <c r="D79" s="396" t="s">
        <v>787</v>
      </c>
      <c r="E79" s="408">
        <v>500</v>
      </c>
      <c r="F79" s="566">
        <v>182</v>
      </c>
      <c r="G79" s="578">
        <f>'c303-c503'!F79</f>
        <v>0</v>
      </c>
      <c r="H79" s="57">
        <f t="shared" si="10"/>
        <v>0</v>
      </c>
      <c r="I79" s="219">
        <f t="shared" si="11"/>
        <v>0</v>
      </c>
      <c r="J79" s="507">
        <f>(30*BC!$B$47/F79)</f>
        <v>0</v>
      </c>
      <c r="K79" s="508">
        <f t="shared" si="12"/>
        <v>0</v>
      </c>
      <c r="L79" s="508">
        <f t="shared" si="13"/>
        <v>0</v>
      </c>
      <c r="M79" s="194">
        <f t="shared" si="14"/>
        <v>0</v>
      </c>
      <c r="N79" s="364">
        <v>1015</v>
      </c>
      <c r="O79" s="365">
        <f t="shared" si="15"/>
        <v>0</v>
      </c>
      <c r="P79" s="371">
        <f t="shared" si="16"/>
        <v>2.0299999999999998</v>
      </c>
      <c r="Q79" s="374" t="e">
        <f>(P79+$O$155)+((BC!$F$125)/$G$82)</f>
        <v>#DIV/0!</v>
      </c>
      <c r="R79" s="514" t="e">
        <f t="shared" si="17"/>
        <v>#DIV/0!</v>
      </c>
      <c r="S79" s="223" t="e">
        <f t="shared" si="18"/>
        <v>#DIV/0!</v>
      </c>
      <c r="T79" s="223" t="e">
        <f t="shared" si="19"/>
        <v>#DIV/0!</v>
      </c>
    </row>
    <row r="80" spans="2:20" ht="15.75" customHeight="1" x14ac:dyDescent="0.45">
      <c r="B80" s="396">
        <v>8445575190</v>
      </c>
      <c r="C80" s="467" t="s">
        <v>788</v>
      </c>
      <c r="D80" s="396" t="s">
        <v>789</v>
      </c>
      <c r="E80" s="408">
        <v>200</v>
      </c>
      <c r="F80" s="566">
        <v>126</v>
      </c>
      <c r="G80" s="578">
        <f>'c303-c503'!F80</f>
        <v>0</v>
      </c>
      <c r="H80" s="57">
        <f t="shared" si="10"/>
        <v>0</v>
      </c>
      <c r="I80" s="219">
        <f t="shared" si="11"/>
        <v>0</v>
      </c>
      <c r="J80" s="507">
        <f>(30*BC!$B$47/F80)</f>
        <v>0</v>
      </c>
      <c r="K80" s="508">
        <f t="shared" si="12"/>
        <v>0</v>
      </c>
      <c r="L80" s="508">
        <f t="shared" si="13"/>
        <v>0</v>
      </c>
      <c r="M80" s="194">
        <f t="shared" si="14"/>
        <v>0</v>
      </c>
      <c r="N80" s="364">
        <v>1496</v>
      </c>
      <c r="O80" s="365">
        <f t="shared" si="15"/>
        <v>0</v>
      </c>
      <c r="P80" s="371">
        <f t="shared" si="16"/>
        <v>7.48</v>
      </c>
      <c r="Q80" s="374" t="e">
        <f>(P80+$O$155)+((BC!$F$125)/$G$82)</f>
        <v>#DIV/0!</v>
      </c>
      <c r="R80" s="514" t="e">
        <f t="shared" si="17"/>
        <v>#DIV/0!</v>
      </c>
      <c r="S80" s="223" t="e">
        <f t="shared" si="18"/>
        <v>#DIV/0!</v>
      </c>
      <c r="T80" s="223" t="e">
        <f t="shared" si="19"/>
        <v>#DIV/0!</v>
      </c>
    </row>
    <row r="81" spans="2:21" ht="15.75" customHeight="1" x14ac:dyDescent="0.45">
      <c r="B81" s="469">
        <v>8058849190</v>
      </c>
      <c r="C81" s="467" t="s">
        <v>790</v>
      </c>
      <c r="D81" s="396" t="s">
        <v>791</v>
      </c>
      <c r="E81" s="408">
        <v>200</v>
      </c>
      <c r="F81" s="566">
        <v>84</v>
      </c>
      <c r="G81" s="578">
        <f>'c303-c503'!F81</f>
        <v>0</v>
      </c>
      <c r="H81" s="57">
        <f t="shared" si="10"/>
        <v>0</v>
      </c>
      <c r="I81" s="219">
        <f t="shared" si="11"/>
        <v>0</v>
      </c>
      <c r="J81" s="507">
        <f>(30*BC!$B$47/F81)</f>
        <v>0</v>
      </c>
      <c r="K81" s="508">
        <f t="shared" si="12"/>
        <v>0</v>
      </c>
      <c r="L81" s="508">
        <f t="shared" si="13"/>
        <v>0</v>
      </c>
      <c r="M81" s="194">
        <f t="shared" si="14"/>
        <v>0</v>
      </c>
      <c r="N81" s="364">
        <v>1508</v>
      </c>
      <c r="O81" s="365">
        <f t="shared" si="15"/>
        <v>0</v>
      </c>
      <c r="P81" s="371">
        <f t="shared" si="16"/>
        <v>7.54</v>
      </c>
      <c r="Q81" s="374" t="e">
        <f>(P81+$O$155)+((BC!$F$125)/$G$82)</f>
        <v>#DIV/0!</v>
      </c>
      <c r="R81" s="514" t="e">
        <f t="shared" si="17"/>
        <v>#DIV/0!</v>
      </c>
      <c r="S81" s="223" t="e">
        <f t="shared" si="18"/>
        <v>#DIV/0!</v>
      </c>
      <c r="T81" s="223" t="e">
        <f t="shared" si="19"/>
        <v>#DIV/0!</v>
      </c>
    </row>
    <row r="82" spans="2:21" x14ac:dyDescent="0.45">
      <c r="B82" s="62"/>
      <c r="C82" s="187"/>
      <c r="D82" s="188"/>
      <c r="E82" s="189"/>
      <c r="F82" s="486" t="s">
        <v>19</v>
      </c>
      <c r="G82" s="487">
        <f>SUM(G9:G81)</f>
        <v>0</v>
      </c>
      <c r="H82" s="487">
        <f>SUM(H9:H81)</f>
        <v>0</v>
      </c>
      <c r="I82" s="190"/>
      <c r="J82" s="511"/>
      <c r="K82" s="511"/>
      <c r="L82" s="511"/>
      <c r="M82" s="190"/>
      <c r="N82" s="252"/>
      <c r="O82" s="190"/>
      <c r="P82" s="190"/>
      <c r="Q82" s="24"/>
      <c r="R82" s="24"/>
      <c r="S82" s="24"/>
      <c r="T82" s="24"/>
      <c r="U82" s="24"/>
    </row>
    <row r="83" spans="2:21" ht="15.75" customHeight="1" x14ac:dyDescent="0.45">
      <c r="B83" s="920" t="s">
        <v>792</v>
      </c>
      <c r="C83" s="921"/>
      <c r="D83" s="922"/>
      <c r="E83" s="480" t="s">
        <v>183</v>
      </c>
      <c r="F83" s="480" t="s">
        <v>649</v>
      </c>
      <c r="G83" s="481"/>
      <c r="H83" s="481"/>
      <c r="I83" s="482" t="s">
        <v>53</v>
      </c>
      <c r="J83" s="512" t="s">
        <v>52</v>
      </c>
      <c r="K83" s="512" t="s">
        <v>51</v>
      </c>
      <c r="L83" s="512"/>
      <c r="M83" s="482" t="s">
        <v>50</v>
      </c>
      <c r="N83" s="513" t="s">
        <v>49</v>
      </c>
      <c r="O83" s="482" t="s">
        <v>48</v>
      </c>
      <c r="P83" s="483" t="s">
        <v>318</v>
      </c>
      <c r="Q83" s="483" t="s">
        <v>319</v>
      </c>
      <c r="R83" s="97"/>
      <c r="S83" s="97"/>
    </row>
    <row r="84" spans="2:21" ht="15.75" customHeight="1" x14ac:dyDescent="0.45">
      <c r="B84" s="396">
        <v>10759350190</v>
      </c>
      <c r="C84" s="457" t="s">
        <v>260</v>
      </c>
      <c r="D84" s="396" t="s">
        <v>260</v>
      </c>
      <c r="E84" s="408">
        <v>12</v>
      </c>
      <c r="F84" s="408">
        <v>28</v>
      </c>
      <c r="G84" s="397"/>
      <c r="H84" s="397"/>
      <c r="I84" s="411">
        <f>(A10/(0.005*400)/3000)</f>
        <v>0</v>
      </c>
      <c r="J84" s="507">
        <f>(30*BC!$B$47/F84)</f>
        <v>0</v>
      </c>
      <c r="K84" s="508">
        <f>IF(J84&gt;I84,J84,I84)</f>
        <v>0</v>
      </c>
      <c r="L84" s="508">
        <f t="shared" si="13"/>
        <v>0</v>
      </c>
      <c r="M84" s="194">
        <f t="shared" si="14"/>
        <v>0</v>
      </c>
      <c r="N84" s="366">
        <f>O84/E84</f>
        <v>12</v>
      </c>
      <c r="O84" s="504">
        <v>144</v>
      </c>
      <c r="P84" s="57">
        <f>M84/E84</f>
        <v>0</v>
      </c>
      <c r="Q84" s="57">
        <f>ROUNDUP(P84,0)</f>
        <v>0</v>
      </c>
      <c r="R84" s="97"/>
      <c r="S84" s="97"/>
    </row>
    <row r="85" spans="2:21" ht="15.75" customHeight="1" x14ac:dyDescent="0.45">
      <c r="B85" s="396">
        <v>3121313122</v>
      </c>
      <c r="C85" s="444" t="s">
        <v>292</v>
      </c>
      <c r="D85" s="396" t="s">
        <v>292</v>
      </c>
      <c r="E85" s="408">
        <v>4</v>
      </c>
      <c r="F85" s="408">
        <v>28</v>
      </c>
      <c r="G85" s="397"/>
      <c r="H85" s="397"/>
      <c r="I85" s="411">
        <f>(A16*(0.008*(250/100)))</f>
        <v>0</v>
      </c>
      <c r="J85" s="507">
        <f>(30*BC!$B$47/F85)</f>
        <v>0</v>
      </c>
      <c r="K85" s="508">
        <f t="shared" ref="K85:K124" si="20">IF(J85&gt;I85,J85,I85)</f>
        <v>0</v>
      </c>
      <c r="L85" s="508">
        <f t="shared" si="13"/>
        <v>0</v>
      </c>
      <c r="M85" s="194">
        <f t="shared" si="14"/>
        <v>0</v>
      </c>
      <c r="N85" s="366">
        <f t="shared" ref="N85:N145" si="21">O85/E85</f>
        <v>115</v>
      </c>
      <c r="O85" s="504">
        <v>460</v>
      </c>
      <c r="P85" s="57">
        <f t="shared" ref="P85:P124" si="22">M85/E85</f>
        <v>0</v>
      </c>
      <c r="Q85" s="57">
        <f t="shared" ref="Q85:Q124" si="23">ROUNDUP(P85,0)</f>
        <v>0</v>
      </c>
      <c r="R85" s="97"/>
      <c r="S85" s="97"/>
    </row>
    <row r="86" spans="2:21" ht="15.75" customHeight="1" x14ac:dyDescent="0.45">
      <c r="B86" s="396">
        <v>3121291122</v>
      </c>
      <c r="C86" s="444" t="s">
        <v>294</v>
      </c>
      <c r="D86" s="396" t="s">
        <v>294</v>
      </c>
      <c r="E86" s="408">
        <v>4</v>
      </c>
      <c r="F86" s="408">
        <v>28</v>
      </c>
      <c r="G86" s="397"/>
      <c r="H86" s="397"/>
      <c r="I86" s="411">
        <f>(A16*(0.008*(250/100)))</f>
        <v>0</v>
      </c>
      <c r="J86" s="507">
        <f>(30*BC!$B$47/F86)</f>
        <v>0</v>
      </c>
      <c r="K86" s="508">
        <f t="shared" si="20"/>
        <v>0</v>
      </c>
      <c r="L86" s="508">
        <f t="shared" si="13"/>
        <v>0</v>
      </c>
      <c r="M86" s="194">
        <f t="shared" si="14"/>
        <v>0</v>
      </c>
      <c r="N86" s="366">
        <f t="shared" si="21"/>
        <v>98</v>
      </c>
      <c r="O86" s="504">
        <v>392</v>
      </c>
      <c r="P86" s="57">
        <f t="shared" si="22"/>
        <v>0</v>
      </c>
      <c r="Q86" s="57">
        <f t="shared" si="23"/>
        <v>0</v>
      </c>
      <c r="R86" s="97"/>
      <c r="S86" s="97"/>
    </row>
    <row r="87" spans="2:21" ht="15.75" customHeight="1" x14ac:dyDescent="0.45">
      <c r="B87" s="396">
        <v>12172623122</v>
      </c>
      <c r="C87" s="442" t="s">
        <v>263</v>
      </c>
      <c r="D87" s="396" t="s">
        <v>793</v>
      </c>
      <c r="E87" s="408">
        <v>3</v>
      </c>
      <c r="F87" s="408">
        <v>28</v>
      </c>
      <c r="G87" s="397"/>
      <c r="H87" s="397"/>
      <c r="I87" s="411">
        <f>(A13*(0.003*(350/1000)))</f>
        <v>0</v>
      </c>
      <c r="J87" s="507">
        <f>(30*BC!$B$47/F87)</f>
        <v>0</v>
      </c>
      <c r="K87" s="508">
        <f t="shared" si="20"/>
        <v>0</v>
      </c>
      <c r="L87" s="508">
        <f t="shared" si="13"/>
        <v>0</v>
      </c>
      <c r="M87" s="194">
        <f t="shared" si="14"/>
        <v>0</v>
      </c>
      <c r="N87" s="366">
        <f t="shared" si="21"/>
        <v>31</v>
      </c>
      <c r="O87" s="504">
        <v>93</v>
      </c>
      <c r="P87" s="57">
        <f t="shared" si="22"/>
        <v>0</v>
      </c>
      <c r="Q87" s="57">
        <f t="shared" si="23"/>
        <v>0</v>
      </c>
      <c r="R87" s="97"/>
      <c r="S87" s="97"/>
    </row>
    <row r="88" spans="2:21" ht="15.75" customHeight="1" x14ac:dyDescent="0.45">
      <c r="B88" s="396">
        <v>11447394216</v>
      </c>
      <c r="C88" s="443" t="s">
        <v>261</v>
      </c>
      <c r="D88" s="396" t="s">
        <v>794</v>
      </c>
      <c r="E88" s="408">
        <v>3</v>
      </c>
      <c r="F88" s="408">
        <v>28</v>
      </c>
      <c r="G88" s="397"/>
      <c r="H88" s="397"/>
      <c r="I88" s="411">
        <f>(H42*(0.003*(250/100)))</f>
        <v>0</v>
      </c>
      <c r="J88" s="507">
        <f>(30*BC!$B$47/F88)</f>
        <v>0</v>
      </c>
      <c r="K88" s="508">
        <f t="shared" si="20"/>
        <v>0</v>
      </c>
      <c r="L88" s="508">
        <f t="shared" si="13"/>
        <v>0</v>
      </c>
      <c r="M88" s="194">
        <f t="shared" si="14"/>
        <v>0</v>
      </c>
      <c r="N88" s="366">
        <f t="shared" si="21"/>
        <v>25.333333333333332</v>
      </c>
      <c r="O88" s="504">
        <v>76</v>
      </c>
      <c r="P88" s="57">
        <f t="shared" si="22"/>
        <v>0</v>
      </c>
      <c r="Q88" s="57">
        <f t="shared" si="23"/>
        <v>0</v>
      </c>
      <c r="R88" s="97"/>
      <c r="S88" s="97"/>
    </row>
    <row r="89" spans="2:21" ht="15.75" customHeight="1" x14ac:dyDescent="0.45">
      <c r="B89" s="396">
        <v>3121305122</v>
      </c>
      <c r="C89" s="444" t="s">
        <v>268</v>
      </c>
      <c r="D89" s="396" t="s">
        <v>795</v>
      </c>
      <c r="E89" s="408">
        <v>5</v>
      </c>
      <c r="F89" s="408">
        <v>28</v>
      </c>
      <c r="G89" s="397"/>
      <c r="H89" s="397"/>
      <c r="I89" s="411">
        <f>(A16*(0.006*(250/100)))</f>
        <v>0</v>
      </c>
      <c r="J89" s="507">
        <f>(30*BC!$B$47/F89)</f>
        <v>0</v>
      </c>
      <c r="K89" s="508">
        <f t="shared" si="20"/>
        <v>0</v>
      </c>
      <c r="L89" s="508">
        <f t="shared" si="13"/>
        <v>0</v>
      </c>
      <c r="M89" s="194">
        <f t="shared" si="14"/>
        <v>0</v>
      </c>
      <c r="N89" s="366">
        <f t="shared" si="21"/>
        <v>75.2</v>
      </c>
      <c r="O89" s="504">
        <v>376</v>
      </c>
      <c r="P89" s="57">
        <f t="shared" si="22"/>
        <v>0</v>
      </c>
      <c r="Q89" s="57">
        <f t="shared" si="23"/>
        <v>0</v>
      </c>
      <c r="R89" s="97"/>
      <c r="S89" s="97"/>
    </row>
    <row r="90" spans="2:21" ht="15.75" customHeight="1" x14ac:dyDescent="0.45">
      <c r="B90" s="408">
        <v>3555941190</v>
      </c>
      <c r="C90" s="446" t="s">
        <v>259</v>
      </c>
      <c r="D90" s="396" t="s">
        <v>259</v>
      </c>
      <c r="E90" s="408">
        <v>3</v>
      </c>
      <c r="F90" s="408">
        <v>14</v>
      </c>
      <c r="G90" s="397"/>
      <c r="H90" s="397"/>
      <c r="I90" s="411">
        <f>(A26*(0.04*(200/1000)))</f>
        <v>0</v>
      </c>
      <c r="J90" s="507">
        <f>(30*BC!$B$47/F90)</f>
        <v>0</v>
      </c>
      <c r="K90" s="508">
        <f t="shared" si="20"/>
        <v>0</v>
      </c>
      <c r="L90" s="508">
        <f t="shared" si="13"/>
        <v>0</v>
      </c>
      <c r="M90" s="194">
        <f t="shared" si="14"/>
        <v>0</v>
      </c>
      <c r="N90" s="366">
        <f t="shared" si="21"/>
        <v>70.666666666666671</v>
      </c>
      <c r="O90" s="504">
        <v>212</v>
      </c>
      <c r="P90" s="57">
        <f t="shared" si="22"/>
        <v>0</v>
      </c>
      <c r="Q90" s="57">
        <f t="shared" si="23"/>
        <v>0</v>
      </c>
      <c r="R90" s="97"/>
      <c r="S90" s="97"/>
    </row>
    <row r="91" spans="2:21" ht="15.75" customHeight="1" x14ac:dyDescent="0.45">
      <c r="B91" s="408">
        <v>6533850190</v>
      </c>
      <c r="C91" s="453" t="s">
        <v>262</v>
      </c>
      <c r="D91" s="396" t="s">
        <v>262</v>
      </c>
      <c r="E91" s="408">
        <v>3</v>
      </c>
      <c r="F91" s="408">
        <v>14</v>
      </c>
      <c r="G91" s="397"/>
      <c r="H91" s="397"/>
      <c r="I91" s="411">
        <f>(A26*(0.04*(200/1000)))</f>
        <v>0</v>
      </c>
      <c r="J91" s="507">
        <f>(30*BC!$B$47/F91)</f>
        <v>0</v>
      </c>
      <c r="K91" s="508">
        <f t="shared" si="20"/>
        <v>0</v>
      </c>
      <c r="L91" s="508">
        <f t="shared" si="13"/>
        <v>0</v>
      </c>
      <c r="M91" s="194">
        <f t="shared" si="14"/>
        <v>0</v>
      </c>
      <c r="N91" s="366">
        <f t="shared" si="21"/>
        <v>323</v>
      </c>
      <c r="O91" s="504">
        <v>969</v>
      </c>
      <c r="P91" s="57">
        <f t="shared" si="22"/>
        <v>0</v>
      </c>
      <c r="Q91" s="57">
        <f t="shared" si="23"/>
        <v>0</v>
      </c>
      <c r="R91" s="97"/>
      <c r="S91" s="97"/>
    </row>
    <row r="92" spans="2:21" ht="15.75" customHeight="1" x14ac:dyDescent="0.45">
      <c r="B92" s="408">
        <v>12146401216</v>
      </c>
      <c r="C92" s="454" t="s">
        <v>270</v>
      </c>
      <c r="D92" s="396" t="s">
        <v>270</v>
      </c>
      <c r="E92" s="408">
        <v>1</v>
      </c>
      <c r="F92" s="408">
        <v>183</v>
      </c>
      <c r="G92" s="397"/>
      <c r="H92" s="397"/>
      <c r="I92" s="411">
        <f>(H50*(0.01*(100/1000)))</f>
        <v>0</v>
      </c>
      <c r="J92" s="507">
        <f>(30*BC!$B$47/F92)</f>
        <v>0</v>
      </c>
      <c r="K92" s="508">
        <f t="shared" si="20"/>
        <v>0</v>
      </c>
      <c r="L92" s="508">
        <f t="shared" si="13"/>
        <v>0</v>
      </c>
      <c r="M92" s="194">
        <f t="shared" si="14"/>
        <v>0</v>
      </c>
      <c r="N92" s="366">
        <f t="shared" si="21"/>
        <v>183</v>
      </c>
      <c r="O92" s="504">
        <v>183</v>
      </c>
      <c r="P92" s="57">
        <f t="shared" si="22"/>
        <v>0</v>
      </c>
      <c r="Q92" s="57">
        <f t="shared" si="23"/>
        <v>0</v>
      </c>
      <c r="R92" s="97"/>
      <c r="S92" s="97"/>
    </row>
    <row r="93" spans="2:21" ht="15.75" customHeight="1" x14ac:dyDescent="0.45">
      <c r="B93" s="408">
        <v>11355279216</v>
      </c>
      <c r="C93" s="445" t="s">
        <v>264</v>
      </c>
      <c r="D93" s="396" t="s">
        <v>264</v>
      </c>
      <c r="E93" s="408">
        <v>5</v>
      </c>
      <c r="F93" s="408">
        <v>28</v>
      </c>
      <c r="G93" s="397"/>
      <c r="H93" s="397"/>
      <c r="I93" s="411" t="e">
        <f>(A20*(0.002*(350/1000)))</f>
        <v>#REF!</v>
      </c>
      <c r="J93" s="507">
        <f>(30*BC!$B$47/F93)</f>
        <v>0</v>
      </c>
      <c r="K93" s="508" t="e">
        <f t="shared" si="20"/>
        <v>#REF!</v>
      </c>
      <c r="L93" s="508" t="e">
        <f t="shared" si="13"/>
        <v>#REF!</v>
      </c>
      <c r="M93" s="194" t="e">
        <f t="shared" si="14"/>
        <v>#REF!</v>
      </c>
      <c r="N93" s="366">
        <f t="shared" si="21"/>
        <v>29.8</v>
      </c>
      <c r="O93" s="504">
        <v>149</v>
      </c>
      <c r="P93" s="57" t="e">
        <f t="shared" si="22"/>
        <v>#REF!</v>
      </c>
      <c r="Q93" s="57" t="e">
        <f t="shared" si="23"/>
        <v>#REF!</v>
      </c>
      <c r="R93" s="97"/>
      <c r="S93" s="97"/>
    </row>
    <row r="94" spans="2:21" ht="15.75" customHeight="1" x14ac:dyDescent="0.45">
      <c r="B94" s="408">
        <v>5117003190</v>
      </c>
      <c r="C94" s="396" t="s">
        <v>796</v>
      </c>
      <c r="D94" s="396" t="s">
        <v>796</v>
      </c>
      <c r="E94" s="408">
        <v>20</v>
      </c>
      <c r="F94" s="408">
        <v>28</v>
      </c>
      <c r="G94" s="397"/>
      <c r="H94" s="397"/>
      <c r="I94" s="411"/>
      <c r="J94" s="507">
        <f>(30*BC!$B$47/F94)</f>
        <v>0</v>
      </c>
      <c r="K94" s="508">
        <f t="shared" si="20"/>
        <v>0</v>
      </c>
      <c r="L94" s="508">
        <f t="shared" si="13"/>
        <v>0</v>
      </c>
      <c r="M94" s="194">
        <f t="shared" si="14"/>
        <v>0</v>
      </c>
      <c r="N94" s="366">
        <f t="shared" si="21"/>
        <v>26.55</v>
      </c>
      <c r="O94" s="504">
        <v>531</v>
      </c>
      <c r="P94" s="57">
        <f t="shared" si="22"/>
        <v>0</v>
      </c>
      <c r="Q94" s="57">
        <f t="shared" si="23"/>
        <v>0</v>
      </c>
      <c r="R94" s="97"/>
      <c r="S94" s="97"/>
    </row>
    <row r="95" spans="2:21" ht="15.75" customHeight="1" x14ac:dyDescent="0.45">
      <c r="B95" s="408">
        <v>5117216190</v>
      </c>
      <c r="C95" s="396" t="s">
        <v>797</v>
      </c>
      <c r="D95" s="396" t="s">
        <v>797</v>
      </c>
      <c r="E95" s="408">
        <v>20</v>
      </c>
      <c r="F95" s="408">
        <v>14</v>
      </c>
      <c r="G95" s="397"/>
      <c r="H95" s="397"/>
      <c r="I95" s="411"/>
      <c r="J95" s="507">
        <f>(30*BC!$B$47/F95)</f>
        <v>0</v>
      </c>
      <c r="K95" s="508">
        <f t="shared" si="20"/>
        <v>0</v>
      </c>
      <c r="L95" s="508">
        <f t="shared" si="13"/>
        <v>0</v>
      </c>
      <c r="M95" s="194">
        <f t="shared" si="14"/>
        <v>0</v>
      </c>
      <c r="N95" s="366">
        <f t="shared" si="21"/>
        <v>32.15</v>
      </c>
      <c r="O95" s="504">
        <v>643</v>
      </c>
      <c r="P95" s="57">
        <f t="shared" si="22"/>
        <v>0</v>
      </c>
      <c r="Q95" s="57">
        <f t="shared" si="23"/>
        <v>0</v>
      </c>
      <c r="R95" s="97"/>
      <c r="S95" s="97"/>
    </row>
    <row r="96" spans="2:21" ht="15.75" customHeight="1" x14ac:dyDescent="0.45">
      <c r="B96" s="408">
        <v>5117208922</v>
      </c>
      <c r="C96" s="396" t="s">
        <v>798</v>
      </c>
      <c r="D96" s="396" t="s">
        <v>798</v>
      </c>
      <c r="E96" s="408">
        <v>20</v>
      </c>
      <c r="F96" s="408"/>
      <c r="G96" s="397"/>
      <c r="H96" s="397"/>
      <c r="I96" s="411"/>
      <c r="J96" s="507" t="e">
        <f>(30*BC!$B$47/F96)</f>
        <v>#DIV/0!</v>
      </c>
      <c r="K96" s="508" t="e">
        <f t="shared" si="20"/>
        <v>#DIV/0!</v>
      </c>
      <c r="L96" s="508">
        <f t="shared" si="13"/>
        <v>0</v>
      </c>
      <c r="M96" s="194">
        <f t="shared" si="14"/>
        <v>0</v>
      </c>
      <c r="N96" s="366">
        <f t="shared" si="21"/>
        <v>53.1</v>
      </c>
      <c r="O96" s="504">
        <v>1062</v>
      </c>
      <c r="P96" s="57">
        <f t="shared" si="22"/>
        <v>0</v>
      </c>
      <c r="Q96" s="57">
        <f t="shared" si="23"/>
        <v>0</v>
      </c>
      <c r="R96" s="97"/>
      <c r="S96" s="97"/>
    </row>
    <row r="97" spans="2:19" ht="15.75" customHeight="1" x14ac:dyDescent="0.45">
      <c r="B97" s="408">
        <v>5117291922</v>
      </c>
      <c r="C97" s="396" t="s">
        <v>799</v>
      </c>
      <c r="D97" s="396" t="s">
        <v>799</v>
      </c>
      <c r="E97" s="408">
        <v>20</v>
      </c>
      <c r="F97" s="408"/>
      <c r="G97" s="397"/>
      <c r="H97" s="397"/>
      <c r="I97" s="411"/>
      <c r="J97" s="507" t="e">
        <f>(30*BC!$B$47/F97)</f>
        <v>#DIV/0!</v>
      </c>
      <c r="K97" s="508" t="e">
        <f t="shared" si="20"/>
        <v>#DIV/0!</v>
      </c>
      <c r="L97" s="508">
        <f t="shared" si="13"/>
        <v>0</v>
      </c>
      <c r="M97" s="194">
        <f t="shared" si="14"/>
        <v>0</v>
      </c>
      <c r="N97" s="366">
        <f t="shared" si="21"/>
        <v>59</v>
      </c>
      <c r="O97" s="504">
        <v>1180</v>
      </c>
      <c r="P97" s="57">
        <f t="shared" si="22"/>
        <v>0</v>
      </c>
      <c r="Q97" s="57">
        <f t="shared" si="23"/>
        <v>0</v>
      </c>
      <c r="R97" s="97"/>
      <c r="S97" s="97"/>
    </row>
    <row r="98" spans="2:19" ht="15.75" customHeight="1" x14ac:dyDescent="0.45">
      <c r="B98" s="408">
        <v>5947626190</v>
      </c>
      <c r="C98" s="451" t="s">
        <v>286</v>
      </c>
      <c r="D98" s="396" t="s">
        <v>286</v>
      </c>
      <c r="E98" s="408">
        <v>4</v>
      </c>
      <c r="F98" s="408">
        <v>14</v>
      </c>
      <c r="G98" s="397"/>
      <c r="H98" s="397"/>
      <c r="I98" s="411" t="e">
        <f>(A23/(0.005*400)/3000)</f>
        <v>#REF!</v>
      </c>
      <c r="J98" s="507">
        <f>(30*BC!$B$47/F98)</f>
        <v>0</v>
      </c>
      <c r="K98" s="508" t="e">
        <f t="shared" si="20"/>
        <v>#REF!</v>
      </c>
      <c r="L98" s="508" t="e">
        <f t="shared" si="13"/>
        <v>#REF!</v>
      </c>
      <c r="M98" s="194" t="e">
        <f t="shared" si="14"/>
        <v>#REF!</v>
      </c>
      <c r="N98" s="366">
        <f t="shared" si="21"/>
        <v>14.25</v>
      </c>
      <c r="O98" s="504">
        <v>57</v>
      </c>
      <c r="P98" s="57" t="e">
        <f t="shared" si="22"/>
        <v>#REF!</v>
      </c>
      <c r="Q98" s="57" t="e">
        <f t="shared" si="23"/>
        <v>#REF!</v>
      </c>
      <c r="R98" s="97"/>
      <c r="S98" s="97"/>
    </row>
    <row r="99" spans="2:19" ht="15.75" customHeight="1" x14ac:dyDescent="0.45">
      <c r="B99" s="408">
        <v>5947774190</v>
      </c>
      <c r="C99" s="451" t="s">
        <v>287</v>
      </c>
      <c r="D99" s="396" t="s">
        <v>287</v>
      </c>
      <c r="E99" s="408">
        <v>4</v>
      </c>
      <c r="F99" s="408">
        <v>14</v>
      </c>
      <c r="G99" s="397"/>
      <c r="H99" s="397"/>
      <c r="I99" s="411" t="e">
        <f>(A23/(0.005*400)/3000)</f>
        <v>#REF!</v>
      </c>
      <c r="J99" s="507">
        <f>(30*BC!$B$47/F99)</f>
        <v>0</v>
      </c>
      <c r="K99" s="508" t="e">
        <f t="shared" si="20"/>
        <v>#REF!</v>
      </c>
      <c r="L99" s="508" t="e">
        <f t="shared" si="13"/>
        <v>#REF!</v>
      </c>
      <c r="M99" s="194" t="e">
        <f t="shared" si="14"/>
        <v>#REF!</v>
      </c>
      <c r="N99" s="366">
        <f t="shared" si="21"/>
        <v>22.75</v>
      </c>
      <c r="O99" s="504">
        <v>91</v>
      </c>
      <c r="P99" s="57" t="e">
        <f t="shared" si="22"/>
        <v>#REF!</v>
      </c>
      <c r="Q99" s="57" t="e">
        <f t="shared" si="23"/>
        <v>#REF!</v>
      </c>
      <c r="R99" s="97"/>
      <c r="S99" s="97"/>
    </row>
    <row r="100" spans="2:19" ht="15.75" customHeight="1" x14ac:dyDescent="0.45">
      <c r="B100" s="396">
        <v>4528417190</v>
      </c>
      <c r="C100" s="456" t="s">
        <v>267</v>
      </c>
      <c r="D100" s="396" t="s">
        <v>267</v>
      </c>
      <c r="E100" s="408">
        <v>3</v>
      </c>
      <c r="F100" s="408">
        <v>84</v>
      </c>
      <c r="G100" s="396"/>
      <c r="H100" s="396"/>
      <c r="I100" s="411">
        <f>(A38*(0.007*(500/2000)))</f>
        <v>0</v>
      </c>
      <c r="J100" s="507">
        <f>(30*BC!$B$47/F100)</f>
        <v>0</v>
      </c>
      <c r="K100" s="508">
        <f t="shared" si="20"/>
        <v>0</v>
      </c>
      <c r="L100" s="508">
        <f t="shared" si="13"/>
        <v>0</v>
      </c>
      <c r="M100" s="194">
        <f t="shared" si="14"/>
        <v>0</v>
      </c>
      <c r="N100" s="366">
        <f t="shared" si="21"/>
        <v>150.33333333333334</v>
      </c>
      <c r="O100" s="504">
        <v>451</v>
      </c>
      <c r="P100" s="57">
        <f t="shared" si="22"/>
        <v>0</v>
      </c>
      <c r="Q100" s="57">
        <f t="shared" si="23"/>
        <v>0</v>
      </c>
      <c r="R100" s="97"/>
      <c r="S100" s="97"/>
    </row>
    <row r="101" spans="2:19" ht="15.75" customHeight="1" x14ac:dyDescent="0.45">
      <c r="B101" s="396">
        <v>5479207190</v>
      </c>
      <c r="C101" s="456" t="s">
        <v>288</v>
      </c>
      <c r="D101" s="396" t="s">
        <v>288</v>
      </c>
      <c r="E101" s="408">
        <v>4</v>
      </c>
      <c r="F101" s="408">
        <v>28</v>
      </c>
      <c r="G101" s="397"/>
      <c r="H101" s="397"/>
      <c r="I101" s="411">
        <f>(A38*(0.02*(500/2000)))</f>
        <v>0</v>
      </c>
      <c r="J101" s="507">
        <f>(30*BC!$B$47/F101)</f>
        <v>0</v>
      </c>
      <c r="K101" s="508">
        <f t="shared" si="20"/>
        <v>0</v>
      </c>
      <c r="L101" s="508">
        <f t="shared" si="13"/>
        <v>0</v>
      </c>
      <c r="M101" s="194">
        <f t="shared" si="14"/>
        <v>0</v>
      </c>
      <c r="N101" s="366">
        <f t="shared" si="21"/>
        <v>77.25</v>
      </c>
      <c r="O101" s="504">
        <v>309</v>
      </c>
      <c r="P101" s="57">
        <f t="shared" si="22"/>
        <v>0</v>
      </c>
      <c r="Q101" s="57">
        <f t="shared" si="23"/>
        <v>0</v>
      </c>
      <c r="R101" s="97"/>
      <c r="S101" s="97"/>
    </row>
    <row r="102" spans="2:19" ht="15.75" customHeight="1" x14ac:dyDescent="0.45">
      <c r="B102" s="396">
        <v>5912504190</v>
      </c>
      <c r="C102" s="456" t="s">
        <v>289</v>
      </c>
      <c r="D102" s="396" t="s">
        <v>289</v>
      </c>
      <c r="E102" s="408">
        <v>4</v>
      </c>
      <c r="F102" s="408">
        <v>28</v>
      </c>
      <c r="G102" s="397"/>
      <c r="H102" s="397"/>
      <c r="I102" s="411">
        <f>(A38*(0.02*(500/2000)))</f>
        <v>0</v>
      </c>
      <c r="J102" s="507">
        <f>(30*BC!$B$47/F102)</f>
        <v>0</v>
      </c>
      <c r="K102" s="508">
        <f t="shared" si="20"/>
        <v>0</v>
      </c>
      <c r="L102" s="508">
        <f t="shared" si="13"/>
        <v>0</v>
      </c>
      <c r="M102" s="194">
        <f t="shared" si="14"/>
        <v>0</v>
      </c>
      <c r="N102" s="366">
        <f t="shared" si="21"/>
        <v>154.5</v>
      </c>
      <c r="O102" s="504">
        <v>618</v>
      </c>
      <c r="P102" s="57">
        <f t="shared" si="22"/>
        <v>0</v>
      </c>
      <c r="Q102" s="57">
        <f t="shared" si="23"/>
        <v>0</v>
      </c>
      <c r="R102" s="97"/>
      <c r="S102" s="97"/>
    </row>
    <row r="103" spans="2:19" ht="15.75" customHeight="1" x14ac:dyDescent="0.45">
      <c r="B103" s="396">
        <v>5050901190</v>
      </c>
      <c r="C103" s="458" t="s">
        <v>269</v>
      </c>
      <c r="D103" s="396"/>
      <c r="E103" s="408">
        <v>1</v>
      </c>
      <c r="F103" s="408">
        <v>84</v>
      </c>
      <c r="G103" s="397"/>
      <c r="H103" s="397"/>
      <c r="I103" s="411">
        <f>(H65*(0.03*(350/1000)))</f>
        <v>0</v>
      </c>
      <c r="J103" s="507">
        <f>(30*BC!$B$47/F103)</f>
        <v>0</v>
      </c>
      <c r="K103" s="508">
        <f t="shared" si="20"/>
        <v>0</v>
      </c>
      <c r="L103" s="508">
        <f t="shared" si="13"/>
        <v>0</v>
      </c>
      <c r="M103" s="194">
        <f t="shared" si="14"/>
        <v>0</v>
      </c>
      <c r="N103" s="366">
        <f t="shared" si="21"/>
        <v>282</v>
      </c>
      <c r="O103" s="504">
        <v>282</v>
      </c>
      <c r="P103" s="57">
        <f t="shared" si="22"/>
        <v>0</v>
      </c>
      <c r="Q103" s="57">
        <f t="shared" si="23"/>
        <v>0</v>
      </c>
      <c r="R103" s="97"/>
      <c r="S103" s="97"/>
    </row>
    <row r="104" spans="2:19" ht="15.75" customHeight="1" x14ac:dyDescent="0.45">
      <c r="B104" s="396">
        <v>5050936190</v>
      </c>
      <c r="C104" s="458" t="s">
        <v>283</v>
      </c>
      <c r="D104" s="396"/>
      <c r="E104" s="408">
        <v>2</v>
      </c>
      <c r="F104" s="408">
        <v>84</v>
      </c>
      <c r="G104" s="397"/>
      <c r="H104" s="397"/>
      <c r="I104" s="411">
        <f>(H65*(0.06*(350/1000)))</f>
        <v>0</v>
      </c>
      <c r="J104" s="507">
        <f>(30*BC!$B$47/F104)</f>
        <v>0</v>
      </c>
      <c r="K104" s="508">
        <f t="shared" si="20"/>
        <v>0</v>
      </c>
      <c r="L104" s="508">
        <f t="shared" si="13"/>
        <v>0</v>
      </c>
      <c r="M104" s="194">
        <f t="shared" si="14"/>
        <v>0</v>
      </c>
      <c r="N104" s="366">
        <f t="shared" si="21"/>
        <v>244</v>
      </c>
      <c r="O104" s="504">
        <v>488</v>
      </c>
      <c r="P104" s="57">
        <f t="shared" si="22"/>
        <v>0</v>
      </c>
      <c r="Q104" s="57">
        <f t="shared" si="23"/>
        <v>0</v>
      </c>
      <c r="R104" s="97"/>
      <c r="S104" s="97"/>
    </row>
    <row r="105" spans="2:19" ht="15.75" customHeight="1" x14ac:dyDescent="0.45">
      <c r="B105" s="396">
        <v>8047545190</v>
      </c>
      <c r="C105" s="459" t="s">
        <v>266</v>
      </c>
      <c r="D105" s="396"/>
      <c r="E105" s="408">
        <v>2</v>
      </c>
      <c r="F105" s="408">
        <v>84</v>
      </c>
      <c r="G105" s="397"/>
      <c r="H105" s="397"/>
      <c r="I105" s="411">
        <f>(H66*(0.014*(500/2000)))</f>
        <v>0</v>
      </c>
      <c r="J105" s="507">
        <f>(30*BC!$B$47/F105)</f>
        <v>0</v>
      </c>
      <c r="K105" s="508">
        <f t="shared" si="20"/>
        <v>0</v>
      </c>
      <c r="L105" s="508">
        <f t="shared" si="13"/>
        <v>0</v>
      </c>
      <c r="M105" s="194">
        <f t="shared" si="14"/>
        <v>0</v>
      </c>
      <c r="N105" s="366">
        <f t="shared" si="21"/>
        <v>25.5</v>
      </c>
      <c r="O105" s="504">
        <v>51</v>
      </c>
      <c r="P105" s="57">
        <f t="shared" si="22"/>
        <v>0</v>
      </c>
      <c r="Q105" s="57">
        <f t="shared" si="23"/>
        <v>0</v>
      </c>
      <c r="R105" s="97"/>
      <c r="S105" s="97"/>
    </row>
    <row r="106" spans="2:19" ht="15.75" customHeight="1" x14ac:dyDescent="0.45">
      <c r="B106" s="396">
        <v>8362785190</v>
      </c>
      <c r="C106" s="459" t="s">
        <v>280</v>
      </c>
      <c r="D106" s="396"/>
      <c r="E106" s="408">
        <v>2</v>
      </c>
      <c r="F106" s="408">
        <v>84</v>
      </c>
      <c r="G106" s="397"/>
      <c r="H106" s="397"/>
      <c r="I106" s="411">
        <f>(H66*(0.025*(500/2000)))</f>
        <v>0</v>
      </c>
      <c r="J106" s="507">
        <f>(30*BC!$B$47/F106)</f>
        <v>0</v>
      </c>
      <c r="K106" s="508">
        <f t="shared" si="20"/>
        <v>0</v>
      </c>
      <c r="L106" s="508">
        <f t="shared" si="13"/>
        <v>0</v>
      </c>
      <c r="M106" s="194">
        <f t="shared" si="14"/>
        <v>0</v>
      </c>
      <c r="N106" s="366">
        <f t="shared" si="21"/>
        <v>122</v>
      </c>
      <c r="O106" s="504">
        <v>244</v>
      </c>
      <c r="P106" s="57">
        <f t="shared" si="22"/>
        <v>0</v>
      </c>
      <c r="Q106" s="57">
        <f t="shared" si="23"/>
        <v>0</v>
      </c>
      <c r="R106" s="97"/>
      <c r="S106" s="97"/>
    </row>
    <row r="107" spans="2:19" ht="15.75" customHeight="1" x14ac:dyDescent="0.45">
      <c r="B107" s="396">
        <v>5852641190</v>
      </c>
      <c r="C107" s="460" t="s">
        <v>275</v>
      </c>
      <c r="D107" s="396"/>
      <c r="E107" s="408">
        <v>1</v>
      </c>
      <c r="F107" s="408">
        <v>14</v>
      </c>
      <c r="G107" s="397"/>
      <c r="H107" s="397"/>
      <c r="I107" s="411">
        <f>(H67*(0.014*(500/2000)))</f>
        <v>0</v>
      </c>
      <c r="J107" s="507">
        <f>(30*BC!$B$47/F107)</f>
        <v>0</v>
      </c>
      <c r="K107" s="508">
        <f t="shared" si="20"/>
        <v>0</v>
      </c>
      <c r="L107" s="508">
        <f t="shared" si="13"/>
        <v>0</v>
      </c>
      <c r="M107" s="194">
        <f t="shared" si="14"/>
        <v>0</v>
      </c>
      <c r="N107" s="366">
        <f t="shared" si="21"/>
        <v>384</v>
      </c>
      <c r="O107" s="504">
        <v>384</v>
      </c>
      <c r="P107" s="57">
        <f t="shared" si="22"/>
        <v>0</v>
      </c>
      <c r="Q107" s="57">
        <f t="shared" si="23"/>
        <v>0</v>
      </c>
      <c r="R107" s="97"/>
      <c r="S107" s="97"/>
    </row>
    <row r="108" spans="2:19" ht="15.75" customHeight="1" x14ac:dyDescent="0.45">
      <c r="B108" s="396">
        <v>5852650190</v>
      </c>
      <c r="C108" s="460" t="s">
        <v>290</v>
      </c>
      <c r="D108" s="396"/>
      <c r="E108" s="408">
        <v>2</v>
      </c>
      <c r="F108" s="408">
        <v>14</v>
      </c>
      <c r="G108" s="397"/>
      <c r="H108" s="397"/>
      <c r="I108" s="411">
        <f>(H67*(0.025*(500/2000)))</f>
        <v>0</v>
      </c>
      <c r="J108" s="507">
        <f>(30*BC!$B$47/F108)</f>
        <v>0</v>
      </c>
      <c r="K108" s="508">
        <f t="shared" si="20"/>
        <v>0</v>
      </c>
      <c r="L108" s="508">
        <f t="shared" si="13"/>
        <v>0</v>
      </c>
      <c r="M108" s="194">
        <f t="shared" si="14"/>
        <v>0</v>
      </c>
      <c r="N108" s="366">
        <f t="shared" si="21"/>
        <v>286</v>
      </c>
      <c r="O108" s="504">
        <v>572</v>
      </c>
      <c r="P108" s="57">
        <f t="shared" si="22"/>
        <v>0</v>
      </c>
      <c r="Q108" s="57">
        <f t="shared" si="23"/>
        <v>0</v>
      </c>
      <c r="R108" s="97"/>
      <c r="S108" s="97"/>
    </row>
    <row r="109" spans="2:19" ht="15.75" customHeight="1" x14ac:dyDescent="0.45">
      <c r="B109" s="396">
        <v>4975901191</v>
      </c>
      <c r="C109" s="461" t="s">
        <v>257</v>
      </c>
      <c r="D109" s="396"/>
      <c r="E109" s="408">
        <v>1</v>
      </c>
      <c r="F109" s="408">
        <v>30</v>
      </c>
      <c r="G109" s="397"/>
      <c r="H109" s="397"/>
      <c r="I109" s="411">
        <f>(H68*(0.014*(500/2000)))</f>
        <v>0</v>
      </c>
      <c r="J109" s="507">
        <f>(30*BC!$B$47/F109)</f>
        <v>0</v>
      </c>
      <c r="K109" s="508">
        <f t="shared" si="20"/>
        <v>0</v>
      </c>
      <c r="L109" s="508">
        <f t="shared" si="13"/>
        <v>0</v>
      </c>
      <c r="M109" s="194">
        <f t="shared" si="14"/>
        <v>0</v>
      </c>
      <c r="N109" s="366">
        <f t="shared" si="21"/>
        <v>1016</v>
      </c>
      <c r="O109" s="504">
        <v>1016</v>
      </c>
      <c r="P109" s="57">
        <f t="shared" si="22"/>
        <v>0</v>
      </c>
      <c r="Q109" s="57">
        <f t="shared" si="23"/>
        <v>0</v>
      </c>
      <c r="R109" s="97"/>
      <c r="S109" s="97"/>
    </row>
    <row r="110" spans="2:19" ht="15.75" customHeight="1" x14ac:dyDescent="0.45">
      <c r="B110" s="396">
        <v>6729371190</v>
      </c>
      <c r="C110" s="461" t="s">
        <v>282</v>
      </c>
      <c r="D110" s="396"/>
      <c r="E110" s="408">
        <v>3</v>
      </c>
      <c r="F110" s="408">
        <v>30</v>
      </c>
      <c r="G110" s="397"/>
      <c r="H110" s="397"/>
      <c r="I110" s="411">
        <f>(H68*(0.025*(500/2000)))</f>
        <v>0</v>
      </c>
      <c r="J110" s="507">
        <f>(30*BC!$B$47/F110)</f>
        <v>0</v>
      </c>
      <c r="K110" s="508">
        <f t="shared" si="20"/>
        <v>0</v>
      </c>
      <c r="L110" s="508">
        <f t="shared" si="13"/>
        <v>0</v>
      </c>
      <c r="M110" s="194">
        <f t="shared" si="14"/>
        <v>0</v>
      </c>
      <c r="N110" s="366">
        <f t="shared" si="21"/>
        <v>527</v>
      </c>
      <c r="O110" s="504">
        <v>1581</v>
      </c>
      <c r="P110" s="57">
        <f t="shared" si="22"/>
        <v>0</v>
      </c>
      <c r="Q110" s="57">
        <f t="shared" si="23"/>
        <v>0</v>
      </c>
      <c r="R110" s="97"/>
      <c r="S110" s="97"/>
    </row>
    <row r="111" spans="2:19" ht="15.75" customHeight="1" x14ac:dyDescent="0.45">
      <c r="B111" s="396">
        <v>5385504190</v>
      </c>
      <c r="C111" s="462" t="s">
        <v>271</v>
      </c>
      <c r="D111" s="396"/>
      <c r="E111" s="408">
        <v>2</v>
      </c>
      <c r="F111" s="408">
        <v>28</v>
      </c>
      <c r="G111" s="397"/>
      <c r="H111" s="397"/>
      <c r="I111" s="411">
        <f>(H69*(0.014*(500/2000)))</f>
        <v>0</v>
      </c>
      <c r="J111" s="507">
        <f>(30*BC!$B$47/F111)</f>
        <v>0</v>
      </c>
      <c r="K111" s="508">
        <f t="shared" si="20"/>
        <v>0</v>
      </c>
      <c r="L111" s="508">
        <f t="shared" si="13"/>
        <v>0</v>
      </c>
      <c r="M111" s="194">
        <f t="shared" si="14"/>
        <v>0</v>
      </c>
      <c r="N111" s="366">
        <f t="shared" si="21"/>
        <v>40</v>
      </c>
      <c r="O111" s="504">
        <v>80</v>
      </c>
      <c r="P111" s="57">
        <f t="shared" si="22"/>
        <v>0</v>
      </c>
      <c r="Q111" s="57">
        <f t="shared" si="23"/>
        <v>0</v>
      </c>
      <c r="R111" s="97"/>
      <c r="S111" s="97"/>
    </row>
    <row r="112" spans="2:19" ht="15.75" customHeight="1" x14ac:dyDescent="0.45">
      <c r="B112" s="396">
        <v>5142423190</v>
      </c>
      <c r="C112" s="462" t="s">
        <v>284</v>
      </c>
      <c r="D112" s="396"/>
      <c r="E112" s="408">
        <v>2</v>
      </c>
      <c r="F112" s="408">
        <v>28</v>
      </c>
      <c r="G112" s="397"/>
      <c r="H112" s="397"/>
      <c r="I112" s="411">
        <f>(H69*(0.025*(500/2000)))</f>
        <v>0</v>
      </c>
      <c r="J112" s="507">
        <f>(30*BC!$B$47/F112)</f>
        <v>0</v>
      </c>
      <c r="K112" s="508">
        <f t="shared" si="20"/>
        <v>0</v>
      </c>
      <c r="L112" s="508">
        <f t="shared" si="13"/>
        <v>0</v>
      </c>
      <c r="M112" s="194">
        <f t="shared" si="14"/>
        <v>0</v>
      </c>
      <c r="N112" s="366">
        <f t="shared" si="21"/>
        <v>37</v>
      </c>
      <c r="O112" s="504">
        <v>74</v>
      </c>
      <c r="P112" s="57">
        <f t="shared" si="22"/>
        <v>0</v>
      </c>
      <c r="Q112" s="57">
        <f t="shared" si="23"/>
        <v>0</v>
      </c>
      <c r="R112" s="97"/>
      <c r="S112" s="97"/>
    </row>
    <row r="113" spans="2:19" ht="15.75" customHeight="1" x14ac:dyDescent="0.45">
      <c r="B113" s="396">
        <v>20751995190</v>
      </c>
      <c r="C113" s="463" t="s">
        <v>256</v>
      </c>
      <c r="D113" s="396" t="s">
        <v>800</v>
      </c>
      <c r="E113" s="408">
        <v>2</v>
      </c>
      <c r="F113" s="408">
        <v>56</v>
      </c>
      <c r="G113" s="397"/>
      <c r="H113" s="397"/>
      <c r="I113" s="411">
        <f>(A29*(0.014*(500/2000)))</f>
        <v>0</v>
      </c>
      <c r="J113" s="507">
        <f>(30*BC!$B$47/F113)</f>
        <v>0</v>
      </c>
      <c r="K113" s="508">
        <f t="shared" si="20"/>
        <v>0</v>
      </c>
      <c r="L113" s="508">
        <f t="shared" si="13"/>
        <v>0</v>
      </c>
      <c r="M113" s="194">
        <f t="shared" si="14"/>
        <v>0</v>
      </c>
      <c r="N113" s="366">
        <f t="shared" si="21"/>
        <v>313.5</v>
      </c>
      <c r="O113" s="504">
        <v>627</v>
      </c>
      <c r="P113" s="57">
        <f t="shared" si="22"/>
        <v>0</v>
      </c>
      <c r="Q113" s="57">
        <f t="shared" si="23"/>
        <v>0</v>
      </c>
      <c r="R113" s="97"/>
      <c r="S113" s="97"/>
    </row>
    <row r="114" spans="2:19" ht="15.75" customHeight="1" x14ac:dyDescent="0.45">
      <c r="B114" s="396">
        <v>20752401190</v>
      </c>
      <c r="C114" s="463" t="s">
        <v>278</v>
      </c>
      <c r="D114" s="396" t="s">
        <v>801</v>
      </c>
      <c r="E114" s="408">
        <v>5</v>
      </c>
      <c r="F114" s="408">
        <v>56</v>
      </c>
      <c r="G114" s="397"/>
      <c r="H114" s="397"/>
      <c r="I114" s="411">
        <f>(A29*(0.025*(500/2000)))</f>
        <v>0</v>
      </c>
      <c r="J114" s="507">
        <f>(30*BC!$B$47/F114)</f>
        <v>0</v>
      </c>
      <c r="K114" s="508">
        <f t="shared" si="20"/>
        <v>0</v>
      </c>
      <c r="L114" s="508">
        <f t="shared" si="13"/>
        <v>0</v>
      </c>
      <c r="M114" s="194">
        <f t="shared" si="14"/>
        <v>0</v>
      </c>
      <c r="N114" s="366">
        <f t="shared" si="21"/>
        <v>41.4</v>
      </c>
      <c r="O114" s="504">
        <v>207</v>
      </c>
      <c r="P114" s="57">
        <f t="shared" si="22"/>
        <v>0</v>
      </c>
      <c r="Q114" s="57">
        <f t="shared" si="23"/>
        <v>0</v>
      </c>
      <c r="R114" s="97"/>
      <c r="S114" s="97"/>
    </row>
    <row r="115" spans="2:19" ht="15.75" customHeight="1" x14ac:dyDescent="0.45">
      <c r="B115" s="396">
        <v>20753009190</v>
      </c>
      <c r="C115" s="463" t="s">
        <v>279</v>
      </c>
      <c r="D115" s="396" t="s">
        <v>802</v>
      </c>
      <c r="E115" s="408">
        <v>5</v>
      </c>
      <c r="F115" s="408">
        <v>56</v>
      </c>
      <c r="G115" s="397"/>
      <c r="H115" s="397"/>
      <c r="I115" s="411">
        <f>(A29*(0.025*(500/2000)))</f>
        <v>0</v>
      </c>
      <c r="J115" s="507">
        <f>(30*BC!$B$47/F115)</f>
        <v>0</v>
      </c>
      <c r="K115" s="508">
        <f t="shared" si="20"/>
        <v>0</v>
      </c>
      <c r="L115" s="508">
        <f t="shared" si="13"/>
        <v>0</v>
      </c>
      <c r="M115" s="194">
        <f t="shared" si="14"/>
        <v>0</v>
      </c>
      <c r="N115" s="366">
        <f t="shared" si="21"/>
        <v>45.4</v>
      </c>
      <c r="O115" s="504">
        <v>227</v>
      </c>
      <c r="P115" s="57">
        <f t="shared" si="22"/>
        <v>0</v>
      </c>
      <c r="Q115" s="57">
        <f t="shared" si="23"/>
        <v>0</v>
      </c>
      <c r="R115" s="97"/>
      <c r="S115" s="97"/>
    </row>
    <row r="116" spans="2:19" ht="15.75" customHeight="1" x14ac:dyDescent="0.45">
      <c r="B116" s="396">
        <v>11098993122</v>
      </c>
      <c r="C116" s="464" t="s">
        <v>273</v>
      </c>
      <c r="D116" s="396" t="s">
        <v>803</v>
      </c>
      <c r="E116" s="408">
        <v>3</v>
      </c>
      <c r="F116" s="408">
        <v>28</v>
      </c>
      <c r="G116" s="397"/>
      <c r="H116" s="397"/>
      <c r="I116" s="411">
        <f>(H74*(0.014*(500/2000)))</f>
        <v>0</v>
      </c>
      <c r="J116" s="507">
        <f>(30*BC!$B$47/F116)</f>
        <v>0</v>
      </c>
      <c r="K116" s="508">
        <f t="shared" si="20"/>
        <v>0</v>
      </c>
      <c r="L116" s="508">
        <f t="shared" si="13"/>
        <v>0</v>
      </c>
      <c r="M116" s="194">
        <f t="shared" si="14"/>
        <v>0</v>
      </c>
      <c r="N116" s="366">
        <f t="shared" si="21"/>
        <v>26.666666666666668</v>
      </c>
      <c r="O116" s="504">
        <v>80</v>
      </c>
      <c r="P116" s="57">
        <f t="shared" si="22"/>
        <v>0</v>
      </c>
      <c r="Q116" s="57">
        <f t="shared" si="23"/>
        <v>0</v>
      </c>
      <c r="R116" s="97"/>
      <c r="S116" s="97"/>
    </row>
    <row r="117" spans="2:19" ht="15.75" customHeight="1" x14ac:dyDescent="0.45">
      <c r="B117" s="396">
        <v>11098985122</v>
      </c>
      <c r="C117" s="464" t="s">
        <v>291</v>
      </c>
      <c r="D117" s="396"/>
      <c r="E117" s="408">
        <v>3</v>
      </c>
      <c r="F117" s="408">
        <v>28</v>
      </c>
      <c r="G117" s="397"/>
      <c r="H117" s="397"/>
      <c r="I117" s="411">
        <f>(H74*(0.025*(500/2000)))</f>
        <v>0</v>
      </c>
      <c r="J117" s="507">
        <f>(30*BC!$B$47/F117)</f>
        <v>0</v>
      </c>
      <c r="K117" s="508">
        <f t="shared" si="20"/>
        <v>0</v>
      </c>
      <c r="L117" s="508">
        <f t="shared" si="13"/>
        <v>0</v>
      </c>
      <c r="M117" s="194">
        <f t="shared" si="14"/>
        <v>0</v>
      </c>
      <c r="N117" s="366">
        <f t="shared" si="21"/>
        <v>21</v>
      </c>
      <c r="O117" s="504">
        <v>63</v>
      </c>
      <c r="P117" s="57">
        <f t="shared" si="22"/>
        <v>0</v>
      </c>
      <c r="Q117" s="57">
        <f t="shared" si="23"/>
        <v>0</v>
      </c>
      <c r="R117" s="97"/>
      <c r="S117" s="97"/>
    </row>
    <row r="118" spans="2:19" ht="15.75" customHeight="1" x14ac:dyDescent="0.45">
      <c r="B118" s="396">
        <v>11174118122</v>
      </c>
      <c r="C118" s="464" t="s">
        <v>293</v>
      </c>
      <c r="D118" s="396"/>
      <c r="E118" s="408">
        <v>3</v>
      </c>
      <c r="F118" s="408">
        <v>28</v>
      </c>
      <c r="G118" s="397"/>
      <c r="H118" s="397"/>
      <c r="I118" s="411">
        <f>(H74*(0.025*(500/2000)))</f>
        <v>0</v>
      </c>
      <c r="J118" s="507">
        <f>(30*BC!$B$47/F118)</f>
        <v>0</v>
      </c>
      <c r="K118" s="508">
        <f t="shared" si="20"/>
        <v>0</v>
      </c>
      <c r="L118" s="508">
        <f t="shared" si="13"/>
        <v>0</v>
      </c>
      <c r="M118" s="194">
        <f t="shared" si="14"/>
        <v>0</v>
      </c>
      <c r="N118" s="366">
        <f t="shared" si="21"/>
        <v>23.666666666666668</v>
      </c>
      <c r="O118" s="504">
        <v>71</v>
      </c>
      <c r="P118" s="57">
        <f t="shared" si="22"/>
        <v>0</v>
      </c>
      <c r="Q118" s="57">
        <f t="shared" si="23"/>
        <v>0</v>
      </c>
      <c r="R118" s="97"/>
      <c r="S118" s="97"/>
    </row>
    <row r="119" spans="2:19" ht="15.75" customHeight="1" x14ac:dyDescent="0.45">
      <c r="B119" s="396">
        <v>4580044190</v>
      </c>
      <c r="C119" s="465" t="s">
        <v>258</v>
      </c>
      <c r="D119" s="396"/>
      <c r="E119" s="408">
        <v>3</v>
      </c>
      <c r="F119" s="408">
        <v>28</v>
      </c>
      <c r="G119" s="397"/>
      <c r="H119" s="397"/>
      <c r="I119" s="411">
        <f>(H75*(0.014*(500/2000)))</f>
        <v>0</v>
      </c>
      <c r="J119" s="507">
        <f>(30*BC!$B$47/F119)</f>
        <v>0</v>
      </c>
      <c r="K119" s="508">
        <f t="shared" si="20"/>
        <v>0</v>
      </c>
      <c r="L119" s="508">
        <f t="shared" si="13"/>
        <v>0</v>
      </c>
      <c r="M119" s="194">
        <f t="shared" si="14"/>
        <v>0</v>
      </c>
      <c r="N119" s="366">
        <f t="shared" si="21"/>
        <v>0</v>
      </c>
      <c r="O119" s="220"/>
      <c r="P119" s="57">
        <f t="shared" si="22"/>
        <v>0</v>
      </c>
      <c r="Q119" s="57">
        <f t="shared" si="23"/>
        <v>0</v>
      </c>
      <c r="R119" s="97"/>
      <c r="S119" s="97"/>
    </row>
    <row r="120" spans="2:19" ht="15.75" customHeight="1" x14ac:dyDescent="0.45">
      <c r="B120" s="396">
        <v>11730835216</v>
      </c>
      <c r="C120" s="465" t="s">
        <v>285</v>
      </c>
      <c r="D120" s="396"/>
      <c r="E120" s="408">
        <v>2</v>
      </c>
      <c r="F120" s="408">
        <v>56</v>
      </c>
      <c r="G120" s="397"/>
      <c r="H120" s="397"/>
      <c r="I120" s="411">
        <f>(H75*(0.025*(500/2000)))</f>
        <v>0</v>
      </c>
      <c r="J120" s="507">
        <f>(30*BC!$B$47/F120)</f>
        <v>0</v>
      </c>
      <c r="K120" s="508">
        <f t="shared" si="20"/>
        <v>0</v>
      </c>
      <c r="L120" s="508">
        <f t="shared" si="13"/>
        <v>0</v>
      </c>
      <c r="M120" s="194">
        <f t="shared" si="14"/>
        <v>0</v>
      </c>
      <c r="N120" s="366">
        <f t="shared" si="21"/>
        <v>0</v>
      </c>
      <c r="O120" s="220"/>
      <c r="P120" s="57">
        <f t="shared" si="22"/>
        <v>0</v>
      </c>
      <c r="Q120" s="57">
        <f t="shared" si="23"/>
        <v>0</v>
      </c>
      <c r="R120" s="97"/>
      <c r="S120" s="97"/>
    </row>
    <row r="121" spans="2:19" ht="15.75" customHeight="1" x14ac:dyDescent="0.45">
      <c r="B121" s="396">
        <v>12172828322</v>
      </c>
      <c r="C121" s="466" t="s">
        <v>276</v>
      </c>
      <c r="D121" s="396"/>
      <c r="E121" s="408">
        <v>1</v>
      </c>
      <c r="F121" s="408">
        <v>30</v>
      </c>
      <c r="G121" s="397"/>
      <c r="H121" s="397"/>
      <c r="I121" s="411">
        <f>(H76*(0.04*(350/1000)))</f>
        <v>0</v>
      </c>
      <c r="J121" s="507">
        <f>(30*BC!$B$47/F121)</f>
        <v>0</v>
      </c>
      <c r="K121" s="508">
        <f t="shared" si="20"/>
        <v>0</v>
      </c>
      <c r="L121" s="508">
        <f t="shared" si="13"/>
        <v>0</v>
      </c>
      <c r="M121" s="194">
        <f t="shared" si="14"/>
        <v>0</v>
      </c>
      <c r="N121" s="366">
        <f t="shared" si="21"/>
        <v>197</v>
      </c>
      <c r="O121" s="504">
        <v>197</v>
      </c>
      <c r="P121" s="57">
        <f t="shared" si="22"/>
        <v>0</v>
      </c>
      <c r="Q121" s="57">
        <f t="shared" si="23"/>
        <v>0</v>
      </c>
      <c r="R121" s="97"/>
      <c r="S121" s="97"/>
    </row>
    <row r="122" spans="2:19" ht="15.75" customHeight="1" x14ac:dyDescent="0.45">
      <c r="B122" s="396">
        <v>3005496122</v>
      </c>
      <c r="C122" s="466" t="s">
        <v>295</v>
      </c>
      <c r="D122" s="396"/>
      <c r="E122" s="408">
        <v>4</v>
      </c>
      <c r="F122" s="408">
        <v>30</v>
      </c>
      <c r="G122" s="397"/>
      <c r="H122" s="397"/>
      <c r="I122" s="411">
        <f>(H76*(0.3*(350/1000)))</f>
        <v>0</v>
      </c>
      <c r="J122" s="507">
        <f>(30*BC!$B$47/F122)</f>
        <v>0</v>
      </c>
      <c r="K122" s="508">
        <f t="shared" si="20"/>
        <v>0</v>
      </c>
      <c r="L122" s="508">
        <f t="shared" si="13"/>
        <v>0</v>
      </c>
      <c r="M122" s="194">
        <f t="shared" si="14"/>
        <v>0</v>
      </c>
      <c r="N122" s="366">
        <f t="shared" si="21"/>
        <v>52.75</v>
      </c>
      <c r="O122" s="504">
        <v>211</v>
      </c>
      <c r="P122" s="57">
        <f t="shared" si="22"/>
        <v>0</v>
      </c>
      <c r="Q122" s="57">
        <f t="shared" si="23"/>
        <v>0</v>
      </c>
      <c r="R122" s="97"/>
      <c r="S122" s="97"/>
    </row>
    <row r="123" spans="2:19" ht="15.75" customHeight="1" x14ac:dyDescent="0.45">
      <c r="B123" s="396">
        <v>3375790190</v>
      </c>
      <c r="C123" s="467" t="s">
        <v>272</v>
      </c>
      <c r="D123" s="396"/>
      <c r="E123" s="408">
        <v>6</v>
      </c>
      <c r="F123" s="408">
        <v>280</v>
      </c>
      <c r="G123" s="397"/>
      <c r="H123" s="397"/>
      <c r="I123" s="411">
        <f>(A32*(0.014*(500/2000)))</f>
        <v>0</v>
      </c>
      <c r="J123" s="507">
        <f>(30*BC!$B$47/F123)</f>
        <v>0</v>
      </c>
      <c r="K123" s="508">
        <f t="shared" si="20"/>
        <v>0</v>
      </c>
      <c r="L123" s="508">
        <f t="shared" si="13"/>
        <v>0</v>
      </c>
      <c r="M123" s="194">
        <f t="shared" si="14"/>
        <v>0</v>
      </c>
      <c r="N123" s="366">
        <f t="shared" si="21"/>
        <v>161.5</v>
      </c>
      <c r="O123" s="504">
        <v>969</v>
      </c>
      <c r="P123" s="57">
        <f t="shared" si="22"/>
        <v>0</v>
      </c>
      <c r="Q123" s="57">
        <f t="shared" si="23"/>
        <v>0</v>
      </c>
      <c r="R123" s="97"/>
      <c r="S123" s="97"/>
    </row>
    <row r="124" spans="2:19" ht="15.75" customHeight="1" x14ac:dyDescent="0.45">
      <c r="B124" s="396">
        <v>4521536190</v>
      </c>
      <c r="C124" s="467" t="s">
        <v>296</v>
      </c>
      <c r="D124" s="396"/>
      <c r="E124" s="408">
        <v>6</v>
      </c>
      <c r="F124" s="408">
        <v>336</v>
      </c>
      <c r="G124" s="397"/>
      <c r="H124" s="397"/>
      <c r="I124" s="411">
        <f>(A32*(0.025*(500/2000)))</f>
        <v>0</v>
      </c>
      <c r="J124" s="507">
        <f>(30*BC!$B$47/F124)</f>
        <v>0</v>
      </c>
      <c r="K124" s="508">
        <f t="shared" si="20"/>
        <v>0</v>
      </c>
      <c r="L124" s="508">
        <f t="shared" si="13"/>
        <v>0</v>
      </c>
      <c r="M124" s="194">
        <f t="shared" si="14"/>
        <v>0</v>
      </c>
      <c r="N124" s="366">
        <f t="shared" si="21"/>
        <v>50.5</v>
      </c>
      <c r="O124" s="504">
        <v>303</v>
      </c>
      <c r="P124" s="57">
        <f t="shared" si="22"/>
        <v>0</v>
      </c>
      <c r="Q124" s="57">
        <f t="shared" si="23"/>
        <v>0</v>
      </c>
      <c r="R124" s="97"/>
      <c r="S124" s="97"/>
    </row>
    <row r="125" spans="2:19" ht="15.75" customHeight="1" x14ac:dyDescent="0.45">
      <c r="B125" s="923" t="s">
        <v>8</v>
      </c>
      <c r="C125" s="924"/>
      <c r="D125" s="925"/>
      <c r="E125" s="480" t="s">
        <v>183</v>
      </c>
      <c r="F125" s="480" t="s">
        <v>649</v>
      </c>
      <c r="G125" s="481"/>
      <c r="H125" s="481"/>
      <c r="I125" s="482" t="s">
        <v>53</v>
      </c>
      <c r="J125" s="512" t="s">
        <v>52</v>
      </c>
      <c r="K125" s="512" t="s">
        <v>51</v>
      </c>
      <c r="L125" s="512"/>
      <c r="M125" s="482" t="s">
        <v>50</v>
      </c>
      <c r="N125" s="513" t="s">
        <v>49</v>
      </c>
      <c r="O125" s="482" t="s">
        <v>48</v>
      </c>
      <c r="P125" s="483" t="s">
        <v>318</v>
      </c>
      <c r="Q125" s="483" t="s">
        <v>319</v>
      </c>
      <c r="R125" s="97"/>
      <c r="S125" s="97"/>
    </row>
    <row r="126" spans="2:19" ht="15.75" customHeight="1" x14ac:dyDescent="0.45">
      <c r="B126" s="396">
        <v>7700814001</v>
      </c>
      <c r="C126" s="396" t="s">
        <v>804</v>
      </c>
      <c r="D126" s="396" t="s">
        <v>845</v>
      </c>
      <c r="E126" s="408">
        <v>1</v>
      </c>
      <c r="F126" s="408">
        <v>60</v>
      </c>
      <c r="G126" s="397"/>
      <c r="H126" s="397"/>
      <c r="I126" s="411">
        <f>(H82/(0.19*30)/6300)</f>
        <v>0</v>
      </c>
      <c r="J126" s="507">
        <f>(30*BC!$B$47/F126)</f>
        <v>0</v>
      </c>
      <c r="K126" s="508">
        <f t="shared" ref="K126:K145" si="24">IF(J126&gt;I126,J126,I126)</f>
        <v>0</v>
      </c>
      <c r="L126" s="508">
        <f>IF(F6=0,0,K126)</f>
        <v>0</v>
      </c>
      <c r="M126" s="194">
        <f t="shared" si="14"/>
        <v>0</v>
      </c>
      <c r="N126" s="366">
        <f t="shared" si="21"/>
        <v>1775</v>
      </c>
      <c r="O126" s="504">
        <v>1775</v>
      </c>
      <c r="P126" s="57">
        <f>M126/E126</f>
        <v>0</v>
      </c>
      <c r="Q126" s="57">
        <f>ROUNDUP(P126,0)</f>
        <v>0</v>
      </c>
      <c r="R126" s="97"/>
      <c r="S126" s="97"/>
    </row>
    <row r="127" spans="2:19" ht="15.75" customHeight="1" x14ac:dyDescent="0.45">
      <c r="B127" s="470">
        <v>9033408001</v>
      </c>
      <c r="C127" s="471" t="s">
        <v>816</v>
      </c>
      <c r="D127" s="396" t="s">
        <v>845</v>
      </c>
      <c r="E127" s="473">
        <v>1</v>
      </c>
      <c r="F127" s="473">
        <v>60</v>
      </c>
      <c r="G127" s="472"/>
      <c r="H127" s="472"/>
      <c r="I127" s="474">
        <f>(H82/(0.19*30)/6300)</f>
        <v>0</v>
      </c>
      <c r="J127" s="507">
        <f>(30*BC!$B$47/F127)</f>
        <v>0</v>
      </c>
      <c r="K127" s="508">
        <f t="shared" si="24"/>
        <v>0</v>
      </c>
      <c r="L127" s="508">
        <f>IF(D6=0,0,K126)</f>
        <v>0</v>
      </c>
      <c r="M127" s="194">
        <f t="shared" si="14"/>
        <v>0</v>
      </c>
      <c r="N127" s="366">
        <f t="shared" si="21"/>
        <v>1183</v>
      </c>
      <c r="O127" s="504">
        <v>1183</v>
      </c>
      <c r="P127" s="57">
        <f t="shared" ref="P127:P145" si="25">M127/E127</f>
        <v>0</v>
      </c>
      <c r="Q127" s="57">
        <f t="shared" ref="Q127:Q145" si="26">ROUNDUP(P127,0)</f>
        <v>0</v>
      </c>
      <c r="R127" s="24"/>
      <c r="S127" s="24"/>
    </row>
    <row r="128" spans="2:19" ht="15.75" customHeight="1" x14ac:dyDescent="0.45">
      <c r="B128" s="396">
        <v>8063354190</v>
      </c>
      <c r="C128" s="396" t="s">
        <v>852</v>
      </c>
      <c r="D128" s="396" t="s">
        <v>805</v>
      </c>
      <c r="E128" s="408">
        <v>1</v>
      </c>
      <c r="F128" s="408">
        <v>28</v>
      </c>
      <c r="G128" s="397"/>
      <c r="H128" s="397"/>
      <c r="I128" s="411">
        <f>(H82/(0.6*100)/120)</f>
        <v>0</v>
      </c>
      <c r="J128" s="507">
        <f>(30*BC!$B$47/F128)</f>
        <v>0</v>
      </c>
      <c r="K128" s="508">
        <f t="shared" si="24"/>
        <v>0</v>
      </c>
      <c r="L128" s="508">
        <f>IF(D6=0,0,K128)</f>
        <v>0</v>
      </c>
      <c r="M128" s="194">
        <f t="shared" si="14"/>
        <v>0</v>
      </c>
      <c r="N128" s="366">
        <f t="shared" si="21"/>
        <v>38</v>
      </c>
      <c r="O128" s="504">
        <v>38</v>
      </c>
      <c r="P128" s="57">
        <f t="shared" si="25"/>
        <v>0</v>
      </c>
      <c r="Q128" s="57">
        <f t="shared" si="26"/>
        <v>0</v>
      </c>
      <c r="R128" s="97"/>
      <c r="S128" s="97"/>
    </row>
    <row r="129" spans="2:19" ht="15.75" customHeight="1" x14ac:dyDescent="0.45">
      <c r="B129" s="396">
        <v>8063354190</v>
      </c>
      <c r="C129" s="396" t="s">
        <v>853</v>
      </c>
      <c r="D129" s="396" t="s">
        <v>805</v>
      </c>
      <c r="E129" s="408">
        <v>1</v>
      </c>
      <c r="F129" s="408">
        <v>28</v>
      </c>
      <c r="G129" s="397"/>
      <c r="H129" s="397"/>
      <c r="I129" s="411">
        <f>(H82/(0.5*100)/120)</f>
        <v>0</v>
      </c>
      <c r="J129" s="507">
        <f>(30*BC!$B$47/F129)</f>
        <v>0</v>
      </c>
      <c r="K129" s="508">
        <f t="shared" si="24"/>
        <v>0</v>
      </c>
      <c r="L129" s="508">
        <f>IF(F6=0,0,K129)</f>
        <v>0</v>
      </c>
      <c r="M129" s="194">
        <f t="shared" si="14"/>
        <v>0</v>
      </c>
      <c r="N129" s="366">
        <f t="shared" si="21"/>
        <v>38</v>
      </c>
      <c r="O129" s="504">
        <v>38</v>
      </c>
      <c r="P129" s="57">
        <f t="shared" si="25"/>
        <v>0</v>
      </c>
      <c r="Q129" s="57">
        <f t="shared" si="26"/>
        <v>0</v>
      </c>
      <c r="R129" s="97"/>
      <c r="S129" s="97"/>
    </row>
    <row r="130" spans="2:19" ht="15.75" customHeight="1" x14ac:dyDescent="0.45">
      <c r="B130" s="396">
        <v>8063451190</v>
      </c>
      <c r="C130" s="396" t="s">
        <v>859</v>
      </c>
      <c r="D130" s="396" t="s">
        <v>805</v>
      </c>
      <c r="E130" s="408">
        <v>1</v>
      </c>
      <c r="F130" s="408">
        <v>84</v>
      </c>
      <c r="G130" s="397"/>
      <c r="H130" s="397"/>
      <c r="I130" s="411">
        <f>(H82/(0.0007*800)/12000)</f>
        <v>0</v>
      </c>
      <c r="J130" s="507">
        <f>(30*BC!$B$47/F130)</f>
        <v>0</v>
      </c>
      <c r="K130" s="508">
        <f t="shared" si="24"/>
        <v>0</v>
      </c>
      <c r="L130" s="508">
        <f>IF(D6=0,0,K130)</f>
        <v>0</v>
      </c>
      <c r="M130" s="194">
        <f t="shared" si="14"/>
        <v>0</v>
      </c>
      <c r="N130" s="366">
        <f t="shared" si="21"/>
        <v>38</v>
      </c>
      <c r="O130" s="504">
        <v>38</v>
      </c>
      <c r="P130" s="57">
        <f t="shared" si="25"/>
        <v>0</v>
      </c>
      <c r="Q130" s="57">
        <f t="shared" si="26"/>
        <v>0</v>
      </c>
      <c r="R130" s="97"/>
      <c r="S130" s="97"/>
    </row>
    <row r="131" spans="2:19" ht="15.75" customHeight="1" x14ac:dyDescent="0.45">
      <c r="B131" s="396">
        <v>8063451190</v>
      </c>
      <c r="C131" s="396" t="s">
        <v>854</v>
      </c>
      <c r="D131" s="396" t="s">
        <v>805</v>
      </c>
      <c r="E131" s="408">
        <v>1</v>
      </c>
      <c r="F131" s="408">
        <v>84</v>
      </c>
      <c r="G131" s="397"/>
      <c r="H131" s="397"/>
      <c r="I131" s="411">
        <f>(H82/(0.0007*800)/12000)</f>
        <v>0</v>
      </c>
      <c r="J131" s="507">
        <f>(30*BC!$B$47/F131)</f>
        <v>0</v>
      </c>
      <c r="K131" s="508">
        <f t="shared" si="24"/>
        <v>0</v>
      </c>
      <c r="L131" s="508">
        <f>IF(F6=0,0,K131)</f>
        <v>0</v>
      </c>
      <c r="M131" s="194">
        <f t="shared" si="14"/>
        <v>0</v>
      </c>
      <c r="N131" s="366">
        <f t="shared" si="21"/>
        <v>38</v>
      </c>
      <c r="O131" s="504">
        <v>38</v>
      </c>
      <c r="P131" s="57">
        <f t="shared" si="25"/>
        <v>0</v>
      </c>
      <c r="Q131" s="57">
        <f t="shared" si="26"/>
        <v>0</v>
      </c>
      <c r="R131" s="97"/>
      <c r="S131" s="97"/>
    </row>
    <row r="132" spans="2:19" ht="15.75" customHeight="1" x14ac:dyDescent="0.45">
      <c r="B132" s="396">
        <v>8063494190</v>
      </c>
      <c r="C132" s="396" t="s">
        <v>806</v>
      </c>
      <c r="D132" s="396" t="s">
        <v>805</v>
      </c>
      <c r="E132" s="413">
        <v>1</v>
      </c>
      <c r="F132" s="413">
        <v>182</v>
      </c>
      <c r="G132" s="397"/>
      <c r="H132" s="397"/>
      <c r="I132" s="411">
        <f>(H82/(0.02*200)/12000)</f>
        <v>0</v>
      </c>
      <c r="J132" s="507">
        <f>(30*BC!$B$47/F132)</f>
        <v>0</v>
      </c>
      <c r="K132" s="508">
        <f t="shared" si="24"/>
        <v>0</v>
      </c>
      <c r="L132" s="508">
        <f t="shared" ref="L132:L133" si="27">IF(I132=0,0,K132)</f>
        <v>0</v>
      </c>
      <c r="M132" s="194">
        <f t="shared" si="14"/>
        <v>0</v>
      </c>
      <c r="N132" s="366">
        <f t="shared" si="21"/>
        <v>38</v>
      </c>
      <c r="O132" s="504">
        <v>38</v>
      </c>
      <c r="P132" s="57">
        <f t="shared" si="25"/>
        <v>0</v>
      </c>
      <c r="Q132" s="57">
        <f t="shared" si="26"/>
        <v>0</v>
      </c>
      <c r="R132" s="97"/>
      <c r="S132" s="97"/>
    </row>
    <row r="133" spans="2:19" ht="15.75" customHeight="1" x14ac:dyDescent="0.45">
      <c r="B133" s="396">
        <v>8063478190</v>
      </c>
      <c r="C133" s="396" t="s">
        <v>807</v>
      </c>
      <c r="D133" s="396" t="s">
        <v>805</v>
      </c>
      <c r="E133" s="408">
        <v>1</v>
      </c>
      <c r="F133" s="408">
        <v>84</v>
      </c>
      <c r="G133" s="397"/>
      <c r="H133" s="397"/>
      <c r="I133" s="411">
        <f>(H82/(0.015*300)/12000)</f>
        <v>0</v>
      </c>
      <c r="J133" s="507">
        <f>(30*BC!$B$47/F133)</f>
        <v>0</v>
      </c>
      <c r="K133" s="508">
        <f t="shared" si="24"/>
        <v>0</v>
      </c>
      <c r="L133" s="508">
        <f t="shared" si="27"/>
        <v>0</v>
      </c>
      <c r="M133" s="194">
        <f t="shared" si="14"/>
        <v>0</v>
      </c>
      <c r="N133" s="366">
        <f t="shared" si="21"/>
        <v>6</v>
      </c>
      <c r="O133" s="504">
        <v>6</v>
      </c>
      <c r="P133" s="57">
        <f t="shared" si="25"/>
        <v>0</v>
      </c>
      <c r="Q133" s="57">
        <f t="shared" si="26"/>
        <v>0</v>
      </c>
      <c r="R133" s="97"/>
      <c r="S133" s="97"/>
    </row>
    <row r="134" spans="2:19" ht="15.75" customHeight="1" x14ac:dyDescent="0.45">
      <c r="B134" s="396">
        <v>8302723190</v>
      </c>
      <c r="C134" s="396" t="s">
        <v>855</v>
      </c>
      <c r="D134" s="396" t="s">
        <v>808</v>
      </c>
      <c r="E134" s="408">
        <v>2</v>
      </c>
      <c r="F134" s="408">
        <v>84</v>
      </c>
      <c r="G134" s="397"/>
      <c r="H134" s="397"/>
      <c r="I134" s="411">
        <f>(H82/(0.003*800)/12000)</f>
        <v>0</v>
      </c>
      <c r="J134" s="507">
        <f>(30*BC!$B$47/F134)</f>
        <v>0</v>
      </c>
      <c r="K134" s="508">
        <f t="shared" si="24"/>
        <v>0</v>
      </c>
      <c r="L134" s="508">
        <f>IF(D6=0,0,K134)</f>
        <v>0</v>
      </c>
      <c r="M134" s="194">
        <f t="shared" si="14"/>
        <v>0</v>
      </c>
      <c r="N134" s="366">
        <f t="shared" si="21"/>
        <v>19</v>
      </c>
      <c r="O134" s="504">
        <v>38</v>
      </c>
      <c r="P134" s="57">
        <f t="shared" si="25"/>
        <v>0</v>
      </c>
      <c r="Q134" s="57">
        <f t="shared" si="26"/>
        <v>0</v>
      </c>
      <c r="R134" s="97"/>
      <c r="S134" s="97"/>
    </row>
    <row r="135" spans="2:19" ht="15.75" customHeight="1" x14ac:dyDescent="0.45">
      <c r="B135" s="396">
        <v>8302723190</v>
      </c>
      <c r="C135" s="396" t="s">
        <v>856</v>
      </c>
      <c r="D135" s="396" t="s">
        <v>808</v>
      </c>
      <c r="E135" s="408">
        <v>2</v>
      </c>
      <c r="F135" s="408">
        <v>84</v>
      </c>
      <c r="G135" s="397"/>
      <c r="H135" s="397"/>
      <c r="I135" s="411">
        <f>(H82/(0.002*800)/12000)</f>
        <v>0</v>
      </c>
      <c r="J135" s="507">
        <f>(30*BC!$B$47/F135)</f>
        <v>0</v>
      </c>
      <c r="K135" s="508">
        <f t="shared" si="24"/>
        <v>0</v>
      </c>
      <c r="L135" s="508">
        <f>IF(F6=0,0,K135)</f>
        <v>0</v>
      </c>
      <c r="M135" s="194">
        <f t="shared" si="14"/>
        <v>0</v>
      </c>
      <c r="N135" s="366">
        <f t="shared" si="21"/>
        <v>19</v>
      </c>
      <c r="O135" s="504">
        <v>38</v>
      </c>
      <c r="P135" s="57">
        <f t="shared" si="25"/>
        <v>0</v>
      </c>
      <c r="Q135" s="57">
        <f t="shared" si="26"/>
        <v>0</v>
      </c>
      <c r="R135" s="97"/>
      <c r="S135" s="97"/>
    </row>
    <row r="136" spans="2:19" ht="15.75" customHeight="1" x14ac:dyDescent="0.45">
      <c r="B136" s="396">
        <v>8463093190</v>
      </c>
      <c r="C136" s="456" t="s">
        <v>809</v>
      </c>
      <c r="D136" s="396" t="s">
        <v>805</v>
      </c>
      <c r="E136" s="408">
        <v>1</v>
      </c>
      <c r="F136" s="408">
        <v>7</v>
      </c>
      <c r="G136" s="397"/>
      <c r="H136" s="397"/>
      <c r="I136" s="411">
        <f>(A38/(0.26*10)/120)</f>
        <v>0</v>
      </c>
      <c r="J136" s="507">
        <f>(30*BC!$B$47/F136)</f>
        <v>0</v>
      </c>
      <c r="K136" s="508">
        <f t="shared" si="24"/>
        <v>0</v>
      </c>
      <c r="L136" s="508">
        <f t="shared" ref="L136" si="28">IF(I136=0,0,K136)</f>
        <v>0</v>
      </c>
      <c r="M136" s="194">
        <f t="shared" si="14"/>
        <v>0</v>
      </c>
      <c r="N136" s="366">
        <f t="shared" si="21"/>
        <v>38</v>
      </c>
      <c r="O136" s="504">
        <v>38</v>
      </c>
      <c r="P136" s="57">
        <f t="shared" si="25"/>
        <v>0</v>
      </c>
      <c r="Q136" s="57">
        <f t="shared" si="26"/>
        <v>0</v>
      </c>
      <c r="R136" s="97"/>
      <c r="S136" s="97"/>
    </row>
    <row r="137" spans="2:19" ht="15.75" customHeight="1" x14ac:dyDescent="0.45">
      <c r="B137" s="396">
        <v>8302545190</v>
      </c>
      <c r="C137" s="396" t="s">
        <v>857</v>
      </c>
      <c r="D137" s="396" t="s">
        <v>808</v>
      </c>
      <c r="E137" s="408">
        <v>2</v>
      </c>
      <c r="F137" s="408">
        <v>70</v>
      </c>
      <c r="G137" s="397"/>
      <c r="H137" s="397"/>
      <c r="I137" s="411">
        <f>(H82/(0.0003*900)/12000)</f>
        <v>0</v>
      </c>
      <c r="J137" s="507">
        <f>(30*BC!$B$47/F137)</f>
        <v>0</v>
      </c>
      <c r="K137" s="508">
        <f t="shared" si="24"/>
        <v>0</v>
      </c>
      <c r="L137" s="508">
        <f>IF(D6=0,0,K137)</f>
        <v>0</v>
      </c>
      <c r="M137" s="194">
        <f t="shared" ref="M137:M145" si="29">ROUNDUP(L137,0)</f>
        <v>0</v>
      </c>
      <c r="N137" s="366">
        <f t="shared" si="21"/>
        <v>19</v>
      </c>
      <c r="O137" s="504">
        <v>38</v>
      </c>
      <c r="P137" s="57">
        <f t="shared" si="25"/>
        <v>0</v>
      </c>
      <c r="Q137" s="57">
        <f t="shared" si="26"/>
        <v>0</v>
      </c>
      <c r="R137" s="97"/>
      <c r="S137" s="97"/>
    </row>
    <row r="138" spans="2:19" ht="15.75" customHeight="1" x14ac:dyDescent="0.45">
      <c r="B138" s="396">
        <v>8302545190</v>
      </c>
      <c r="C138" s="396" t="s">
        <v>858</v>
      </c>
      <c r="D138" s="396" t="s">
        <v>808</v>
      </c>
      <c r="E138" s="408">
        <v>2</v>
      </c>
      <c r="F138" s="408">
        <v>70</v>
      </c>
      <c r="G138" s="397"/>
      <c r="H138" s="397"/>
      <c r="I138" s="411">
        <f>(H82/(0.00016*900)/12000)</f>
        <v>0</v>
      </c>
      <c r="J138" s="507">
        <f>(30*BC!$B$47/F138)</f>
        <v>0</v>
      </c>
      <c r="K138" s="508">
        <f t="shared" si="24"/>
        <v>0</v>
      </c>
      <c r="L138" s="508">
        <f>IF(F6=0,0,K138)</f>
        <v>0</v>
      </c>
      <c r="M138" s="194">
        <f t="shared" si="29"/>
        <v>0</v>
      </c>
      <c r="N138" s="366">
        <f t="shared" si="21"/>
        <v>19</v>
      </c>
      <c r="O138" s="504">
        <v>38</v>
      </c>
      <c r="P138" s="57">
        <f t="shared" si="25"/>
        <v>0</v>
      </c>
      <c r="Q138" s="57">
        <f t="shared" si="26"/>
        <v>0</v>
      </c>
      <c r="R138" s="97"/>
      <c r="S138" s="97"/>
    </row>
    <row r="139" spans="2:19" ht="15.75" customHeight="1" x14ac:dyDescent="0.45">
      <c r="B139" s="396">
        <v>4444191001</v>
      </c>
      <c r="C139" s="396" t="s">
        <v>630</v>
      </c>
      <c r="D139" s="395" t="s">
        <v>846</v>
      </c>
      <c r="E139" s="408">
        <v>1</v>
      </c>
      <c r="F139" s="408">
        <v>365</v>
      </c>
      <c r="G139" s="397"/>
      <c r="H139" s="397"/>
      <c r="I139" s="411">
        <f>((H82-(H82*0.95))/F139)</f>
        <v>0</v>
      </c>
      <c r="J139" s="507">
        <f>(30*BC!$B$47/F139)</f>
        <v>0</v>
      </c>
      <c r="K139" s="508">
        <f t="shared" si="24"/>
        <v>0</v>
      </c>
      <c r="L139" s="508">
        <f t="shared" ref="L139:L145" si="30">IF(I139=0,0,K139)</f>
        <v>0</v>
      </c>
      <c r="M139" s="194">
        <f t="shared" si="29"/>
        <v>0</v>
      </c>
      <c r="N139" s="366">
        <f t="shared" si="21"/>
        <v>9</v>
      </c>
      <c r="O139" s="504">
        <v>9</v>
      </c>
      <c r="P139" s="57">
        <f t="shared" si="25"/>
        <v>0</v>
      </c>
      <c r="Q139" s="57">
        <f t="shared" si="26"/>
        <v>0</v>
      </c>
      <c r="R139" s="97"/>
      <c r="S139" s="97"/>
    </row>
    <row r="140" spans="2:19" ht="15.75" customHeight="1" x14ac:dyDescent="0.45">
      <c r="B140" s="396">
        <v>8463107190</v>
      </c>
      <c r="C140" s="456" t="s">
        <v>810</v>
      </c>
      <c r="D140" s="396" t="s">
        <v>805</v>
      </c>
      <c r="E140" s="408">
        <v>1</v>
      </c>
      <c r="F140" s="408">
        <v>28</v>
      </c>
      <c r="G140" s="397"/>
      <c r="H140" s="397"/>
      <c r="I140" s="411">
        <f>(A38/(0.006*500)/100)</f>
        <v>0</v>
      </c>
      <c r="J140" s="507">
        <f>(30*BC!$B$47/F140)</f>
        <v>0</v>
      </c>
      <c r="K140" s="508">
        <f t="shared" si="24"/>
        <v>0</v>
      </c>
      <c r="L140" s="508">
        <f t="shared" si="30"/>
        <v>0</v>
      </c>
      <c r="M140" s="194">
        <f t="shared" si="29"/>
        <v>0</v>
      </c>
      <c r="N140" s="366">
        <f t="shared" si="21"/>
        <v>16</v>
      </c>
      <c r="O140" s="504">
        <v>16</v>
      </c>
      <c r="P140" s="57">
        <f t="shared" si="25"/>
        <v>0</v>
      </c>
      <c r="Q140" s="57">
        <f t="shared" si="26"/>
        <v>0</v>
      </c>
      <c r="R140" s="97"/>
      <c r="S140" s="97"/>
    </row>
    <row r="141" spans="2:19" ht="15.75" customHeight="1" x14ac:dyDescent="0.45">
      <c r="B141" s="396">
        <v>8059322190</v>
      </c>
      <c r="C141" s="396" t="s">
        <v>811</v>
      </c>
      <c r="D141" s="396" t="s">
        <v>812</v>
      </c>
      <c r="E141" s="408">
        <v>1</v>
      </c>
      <c r="F141" s="408">
        <v>182</v>
      </c>
      <c r="G141" s="397"/>
      <c r="H141" s="397"/>
      <c r="I141" s="411">
        <f>(H82/(0.4*30)/6300)</f>
        <v>0</v>
      </c>
      <c r="J141" s="507">
        <f>(30*BC!$B$47/F141)</f>
        <v>0</v>
      </c>
      <c r="K141" s="508">
        <f t="shared" si="24"/>
        <v>0</v>
      </c>
      <c r="L141" s="508">
        <f t="shared" si="30"/>
        <v>0</v>
      </c>
      <c r="M141" s="194">
        <f t="shared" si="29"/>
        <v>0</v>
      </c>
      <c r="N141" s="366">
        <f t="shared" si="21"/>
        <v>32</v>
      </c>
      <c r="O141" s="504">
        <v>32</v>
      </c>
      <c r="P141" s="57">
        <f t="shared" si="25"/>
        <v>0</v>
      </c>
      <c r="Q141" s="57">
        <f t="shared" si="26"/>
        <v>0</v>
      </c>
      <c r="R141" s="97"/>
      <c r="S141" s="97"/>
    </row>
    <row r="142" spans="2:19" ht="15.75" customHeight="1" x14ac:dyDescent="0.45">
      <c r="B142" s="396">
        <v>5870020001</v>
      </c>
      <c r="C142" s="396" t="s">
        <v>813</v>
      </c>
      <c r="D142" s="395" t="s">
        <v>847</v>
      </c>
      <c r="E142" s="408">
        <v>1</v>
      </c>
      <c r="F142" s="408"/>
      <c r="G142" s="397"/>
      <c r="H142" s="397"/>
      <c r="I142" s="411">
        <f>(H82/2000)/1.2</f>
        <v>0</v>
      </c>
      <c r="J142" s="507" t="e">
        <f>(30*BC!$B$47/F142)</f>
        <v>#DIV/0!</v>
      </c>
      <c r="K142" s="508" t="e">
        <f t="shared" si="24"/>
        <v>#DIV/0!</v>
      </c>
      <c r="L142" s="508">
        <f t="shared" si="30"/>
        <v>0</v>
      </c>
      <c r="M142" s="194">
        <f t="shared" si="29"/>
        <v>0</v>
      </c>
      <c r="N142" s="366">
        <f t="shared" si="21"/>
        <v>11</v>
      </c>
      <c r="O142" s="504">
        <v>11</v>
      </c>
      <c r="P142" s="57">
        <f t="shared" si="25"/>
        <v>0</v>
      </c>
      <c r="Q142" s="57">
        <f t="shared" si="26"/>
        <v>0</v>
      </c>
      <c r="R142" s="97"/>
      <c r="S142" s="97"/>
    </row>
    <row r="143" spans="2:19" ht="15.75" customHeight="1" x14ac:dyDescent="0.45">
      <c r="B143" s="396">
        <v>4419987001</v>
      </c>
      <c r="C143" s="396" t="s">
        <v>814</v>
      </c>
      <c r="D143" s="395" t="s">
        <v>848</v>
      </c>
      <c r="E143" s="408">
        <v>1</v>
      </c>
      <c r="F143" s="408"/>
      <c r="G143" s="397"/>
      <c r="H143" s="397"/>
      <c r="I143" s="411">
        <f>(H82/(0.2*30)/6300)</f>
        <v>0</v>
      </c>
      <c r="J143" s="507" t="e">
        <f>(30*BC!$B$47/F143)</f>
        <v>#DIV/0!</v>
      </c>
      <c r="K143" s="508" t="e">
        <f t="shared" si="24"/>
        <v>#DIV/0!</v>
      </c>
      <c r="L143" s="508">
        <f t="shared" si="30"/>
        <v>0</v>
      </c>
      <c r="M143" s="194">
        <f t="shared" si="29"/>
        <v>0</v>
      </c>
      <c r="N143" s="366">
        <f t="shared" si="21"/>
        <v>7</v>
      </c>
      <c r="O143" s="504">
        <v>7</v>
      </c>
      <c r="P143" s="57">
        <f t="shared" si="25"/>
        <v>0</v>
      </c>
      <c r="Q143" s="57">
        <f t="shared" si="26"/>
        <v>0</v>
      </c>
      <c r="R143" s="97"/>
      <c r="S143" s="97"/>
    </row>
    <row r="144" spans="2:19" ht="15.75" customHeight="1" x14ac:dyDescent="0.45">
      <c r="B144" s="408">
        <v>4740955001</v>
      </c>
      <c r="C144" s="396" t="s">
        <v>815</v>
      </c>
      <c r="D144" s="395"/>
      <c r="E144" s="408">
        <v>1</v>
      </c>
      <c r="F144" s="408"/>
      <c r="G144" s="395"/>
      <c r="H144" s="395"/>
      <c r="I144" s="411">
        <f>(H82/(1.4*30)/6300)</f>
        <v>0</v>
      </c>
      <c r="J144" s="507" t="e">
        <f>(30*BC!$B$47/F144)</f>
        <v>#DIV/0!</v>
      </c>
      <c r="K144" s="508" t="e">
        <f t="shared" si="24"/>
        <v>#DIV/0!</v>
      </c>
      <c r="L144" s="508">
        <f t="shared" si="30"/>
        <v>0</v>
      </c>
      <c r="M144" s="194">
        <f t="shared" si="29"/>
        <v>0</v>
      </c>
      <c r="N144" s="366">
        <f t="shared" si="21"/>
        <v>452</v>
      </c>
      <c r="O144" s="504">
        <v>452</v>
      </c>
      <c r="P144" s="57">
        <f t="shared" si="25"/>
        <v>0</v>
      </c>
      <c r="Q144" s="57">
        <f t="shared" si="26"/>
        <v>0</v>
      </c>
      <c r="R144" s="97"/>
      <c r="S144" s="97"/>
    </row>
    <row r="145" spans="2:30" ht="15.75" customHeight="1" x14ac:dyDescent="0.45">
      <c r="B145" s="408">
        <v>4813707001</v>
      </c>
      <c r="C145" s="396" t="s">
        <v>306</v>
      </c>
      <c r="D145" s="414"/>
      <c r="E145" s="415">
        <v>1</v>
      </c>
      <c r="F145" s="415"/>
      <c r="G145" s="414"/>
      <c r="H145" s="414"/>
      <c r="I145" s="411">
        <f>(H82/(0.08*30)/6300)</f>
        <v>0</v>
      </c>
      <c r="J145" s="507" t="e">
        <f>(30*BC!$B$47/F145)</f>
        <v>#DIV/0!</v>
      </c>
      <c r="K145" s="508" t="e">
        <f t="shared" si="24"/>
        <v>#DIV/0!</v>
      </c>
      <c r="L145" s="508">
        <f t="shared" si="30"/>
        <v>0</v>
      </c>
      <c r="M145" s="510">
        <f t="shared" si="29"/>
        <v>0</v>
      </c>
      <c r="N145" s="366">
        <f t="shared" si="21"/>
        <v>402</v>
      </c>
      <c r="O145" s="504">
        <v>402</v>
      </c>
      <c r="P145" s="57">
        <f t="shared" si="25"/>
        <v>0</v>
      </c>
      <c r="Q145" s="57">
        <f t="shared" si="26"/>
        <v>0</v>
      </c>
      <c r="R145" s="97"/>
      <c r="S145" s="97"/>
    </row>
    <row r="146" spans="2:30" ht="21.75" x14ac:dyDescent="0.45">
      <c r="B146" s="539">
        <v>4516303001</v>
      </c>
      <c r="C146" s="542" t="s">
        <v>1162</v>
      </c>
      <c r="D146" s="414"/>
      <c r="E146" s="899">
        <v>1</v>
      </c>
      <c r="F146" s="899">
        <v>365</v>
      </c>
      <c r="G146" s="898"/>
      <c r="H146" s="57">
        <v>1</v>
      </c>
      <c r="I146" s="411">
        <f t="shared" ref="I146:I151" si="31">(H83/(0.08*30)/6300)</f>
        <v>0</v>
      </c>
      <c r="J146" s="507">
        <f>(30*BC!$B$47/F146)</f>
        <v>0</v>
      </c>
      <c r="K146" s="508">
        <f t="shared" ref="K146:K151" si="32">IF(J146&gt;I146,J146,I146)</f>
        <v>0</v>
      </c>
      <c r="L146" s="508">
        <f t="shared" ref="L146:L151" si="33">IF(I146=0,0,K146)</f>
        <v>0</v>
      </c>
      <c r="M146" s="510">
        <f t="shared" ref="M146:M151" si="34">ROUNDUP(L146,0)</f>
        <v>0</v>
      </c>
      <c r="N146" s="504">
        <v>859</v>
      </c>
      <c r="O146" s="721">
        <f t="shared" ref="O146:O151" si="35">((N146/E146)*L146)</f>
        <v>0</v>
      </c>
      <c r="P146" s="57">
        <f t="shared" ref="P146:P151" si="36">L146/E146</f>
        <v>0</v>
      </c>
      <c r="Q146" s="57">
        <f t="shared" ref="Q146:Q151" si="37">ROUNDUP(P146,0)</f>
        <v>0</v>
      </c>
      <c r="R146" s="97"/>
      <c r="S146" s="97"/>
      <c r="T146" s="97"/>
      <c r="U146" s="97"/>
      <c r="V146" s="97"/>
      <c r="W146" s="97"/>
      <c r="X146" s="97"/>
      <c r="Y146" s="97"/>
      <c r="Z146" s="97"/>
    </row>
    <row r="147" spans="2:30" x14ac:dyDescent="0.45">
      <c r="B147" s="539" t="s">
        <v>1163</v>
      </c>
      <c r="C147" s="542" t="s">
        <v>1164</v>
      </c>
      <c r="D147" s="414"/>
      <c r="E147" s="899">
        <v>1</v>
      </c>
      <c r="F147" s="899">
        <v>365</v>
      </c>
      <c r="G147" s="898"/>
      <c r="H147" s="57">
        <v>1</v>
      </c>
      <c r="I147" s="411">
        <f t="shared" si="31"/>
        <v>0</v>
      </c>
      <c r="J147" s="507">
        <f>(30*BC!$B$47/F147)</f>
        <v>0</v>
      </c>
      <c r="K147" s="508">
        <f t="shared" si="32"/>
        <v>0</v>
      </c>
      <c r="L147" s="508">
        <f t="shared" si="33"/>
        <v>0</v>
      </c>
      <c r="M147" s="510">
        <f t="shared" si="34"/>
        <v>0</v>
      </c>
      <c r="N147" s="504">
        <v>50</v>
      </c>
      <c r="O147" s="721">
        <f t="shared" si="35"/>
        <v>0</v>
      </c>
      <c r="P147" s="57">
        <f t="shared" si="36"/>
        <v>0</v>
      </c>
      <c r="Q147" s="57">
        <f t="shared" si="37"/>
        <v>0</v>
      </c>
      <c r="R147" s="97"/>
      <c r="S147" s="97"/>
      <c r="T147" s="97"/>
      <c r="U147" s="97"/>
      <c r="V147" s="97"/>
      <c r="W147" s="97"/>
      <c r="X147" s="97"/>
      <c r="Y147" s="97"/>
      <c r="Z147" s="97"/>
    </row>
    <row r="148" spans="2:30" ht="21.75" x14ac:dyDescent="0.45">
      <c r="B148" s="539">
        <v>4516265001</v>
      </c>
      <c r="C148" s="542" t="s">
        <v>304</v>
      </c>
      <c r="D148" s="414"/>
      <c r="E148" s="899">
        <v>1</v>
      </c>
      <c r="F148" s="899">
        <v>365</v>
      </c>
      <c r="G148" s="898"/>
      <c r="H148" s="57">
        <v>1</v>
      </c>
      <c r="I148" s="411">
        <f t="shared" si="31"/>
        <v>0</v>
      </c>
      <c r="J148" s="507">
        <f>(30*BC!$B$47/F148)</f>
        <v>0</v>
      </c>
      <c r="K148" s="508">
        <f t="shared" si="32"/>
        <v>0</v>
      </c>
      <c r="L148" s="508">
        <f t="shared" si="33"/>
        <v>0</v>
      </c>
      <c r="M148" s="510">
        <f t="shared" si="34"/>
        <v>0</v>
      </c>
      <c r="N148" s="504">
        <v>61</v>
      </c>
      <c r="O148" s="721">
        <f t="shared" si="35"/>
        <v>0</v>
      </c>
      <c r="P148" s="57">
        <f t="shared" si="36"/>
        <v>0</v>
      </c>
      <c r="Q148" s="57">
        <f t="shared" si="37"/>
        <v>0</v>
      </c>
      <c r="R148" s="97"/>
      <c r="S148" s="97"/>
      <c r="T148" s="97"/>
      <c r="U148" s="97"/>
      <c r="V148" s="97"/>
      <c r="W148" s="97"/>
      <c r="X148" s="97"/>
      <c r="Y148" s="97"/>
      <c r="Z148" s="97"/>
    </row>
    <row r="149" spans="2:30" ht="21.75" x14ac:dyDescent="0.45">
      <c r="B149" s="539">
        <v>4516273001</v>
      </c>
      <c r="C149" s="542" t="s">
        <v>303</v>
      </c>
      <c r="D149" s="414"/>
      <c r="E149" s="899">
        <v>1</v>
      </c>
      <c r="F149" s="899">
        <v>365</v>
      </c>
      <c r="G149" s="898"/>
      <c r="H149" s="57">
        <v>1</v>
      </c>
      <c r="I149" s="411">
        <f t="shared" si="31"/>
        <v>0</v>
      </c>
      <c r="J149" s="507">
        <f>(30*BC!$B$47/F149)</f>
        <v>0</v>
      </c>
      <c r="K149" s="508">
        <f t="shared" si="32"/>
        <v>0</v>
      </c>
      <c r="L149" s="508">
        <f t="shared" si="33"/>
        <v>0</v>
      </c>
      <c r="M149" s="510">
        <f t="shared" si="34"/>
        <v>0</v>
      </c>
      <c r="N149" s="504">
        <v>26</v>
      </c>
      <c r="O149" s="721">
        <f t="shared" si="35"/>
        <v>0</v>
      </c>
      <c r="P149" s="57">
        <f t="shared" si="36"/>
        <v>0</v>
      </c>
      <c r="Q149" s="57">
        <f t="shared" si="37"/>
        <v>0</v>
      </c>
      <c r="R149" s="97"/>
      <c r="S149" s="97"/>
      <c r="T149" s="97"/>
      <c r="U149" s="97"/>
      <c r="V149" s="97"/>
      <c r="W149" s="97"/>
      <c r="X149" s="97"/>
      <c r="Y149" s="97"/>
      <c r="Z149" s="97"/>
    </row>
    <row r="150" spans="2:30" ht="21.75" x14ac:dyDescent="0.45">
      <c r="B150" s="539">
        <v>4554124001</v>
      </c>
      <c r="C150" s="542" t="s">
        <v>302</v>
      </c>
      <c r="D150" s="414"/>
      <c r="E150" s="899">
        <v>1</v>
      </c>
      <c r="F150" s="899">
        <v>365</v>
      </c>
      <c r="G150" s="898"/>
      <c r="H150" s="57">
        <v>1</v>
      </c>
      <c r="I150" s="411">
        <f t="shared" si="31"/>
        <v>0</v>
      </c>
      <c r="J150" s="507">
        <f>(30*BC!$B$47/F150)</f>
        <v>0</v>
      </c>
      <c r="K150" s="508">
        <f t="shared" si="32"/>
        <v>0</v>
      </c>
      <c r="L150" s="508">
        <f t="shared" si="33"/>
        <v>0</v>
      </c>
      <c r="M150" s="510">
        <f t="shared" si="34"/>
        <v>0</v>
      </c>
      <c r="N150" s="504">
        <v>178</v>
      </c>
      <c r="O150" s="721">
        <f t="shared" si="35"/>
        <v>0</v>
      </c>
      <c r="P150" s="57">
        <f t="shared" si="36"/>
        <v>0</v>
      </c>
      <c r="Q150" s="57">
        <f t="shared" si="37"/>
        <v>0</v>
      </c>
      <c r="R150" s="97"/>
      <c r="S150" s="97"/>
      <c r="T150" s="97"/>
      <c r="U150" s="97"/>
      <c r="V150" s="97"/>
      <c r="W150" s="97"/>
      <c r="X150" s="97"/>
      <c r="Y150" s="97"/>
      <c r="Z150" s="97"/>
    </row>
    <row r="151" spans="2:30" ht="21.75" x14ac:dyDescent="0.45">
      <c r="B151" s="539" t="s">
        <v>1165</v>
      </c>
      <c r="C151" s="542" t="s">
        <v>1166</v>
      </c>
      <c r="D151" s="414"/>
      <c r="E151" s="899">
        <v>1</v>
      </c>
      <c r="F151" s="899">
        <v>365</v>
      </c>
      <c r="G151" s="898"/>
      <c r="H151" s="57">
        <v>1</v>
      </c>
      <c r="I151" s="411">
        <f t="shared" si="31"/>
        <v>0</v>
      </c>
      <c r="J151" s="507">
        <f>(30*BC!$B$47/F151)</f>
        <v>0</v>
      </c>
      <c r="K151" s="508">
        <f t="shared" si="32"/>
        <v>0</v>
      </c>
      <c r="L151" s="508">
        <f t="shared" si="33"/>
        <v>0</v>
      </c>
      <c r="M151" s="510">
        <f t="shared" si="34"/>
        <v>0</v>
      </c>
      <c r="N151" s="504">
        <v>13</v>
      </c>
      <c r="O151" s="721">
        <f t="shared" si="35"/>
        <v>0</v>
      </c>
      <c r="P151" s="57">
        <f t="shared" si="36"/>
        <v>0</v>
      </c>
      <c r="Q151" s="57">
        <f t="shared" si="37"/>
        <v>0</v>
      </c>
      <c r="R151" s="97"/>
      <c r="S151" s="97"/>
      <c r="T151" s="97"/>
      <c r="U151" s="97"/>
      <c r="V151" s="97"/>
      <c r="W151" s="97"/>
      <c r="X151" s="97"/>
      <c r="Y151" s="97"/>
      <c r="Z151" s="97"/>
    </row>
    <row r="152" spans="2:30" s="266" customFormat="1" ht="10.5" x14ac:dyDescent="0.35">
      <c r="B152" s="56"/>
      <c r="C152" s="55" t="s">
        <v>849</v>
      </c>
      <c r="D152" s="57"/>
      <c r="E152" s="58"/>
      <c r="F152" s="57"/>
      <c r="G152" s="57"/>
      <c r="H152" s="57"/>
      <c r="I152" s="57"/>
      <c r="J152" s="57"/>
      <c r="K152" s="57"/>
      <c r="L152" s="160">
        <f>BCB46</f>
        <v>0</v>
      </c>
      <c r="M152" s="267">
        <v>2780</v>
      </c>
      <c r="N152" s="267">
        <f>IF(D6=0,0,M152)</f>
        <v>0</v>
      </c>
      <c r="O152" s="267">
        <f>N152*L152</f>
        <v>0</v>
      </c>
      <c r="P152" s="72"/>
    </row>
    <row r="153" spans="2:30" s="266" customFormat="1" ht="10.5" x14ac:dyDescent="0.35">
      <c r="B153" s="56"/>
      <c r="C153" s="55" t="s">
        <v>850</v>
      </c>
      <c r="D153" s="57"/>
      <c r="E153" s="58"/>
      <c r="F153" s="57"/>
      <c r="G153" s="57"/>
      <c r="H153" s="57"/>
      <c r="I153" s="57"/>
      <c r="J153" s="57"/>
      <c r="K153" s="57"/>
      <c r="L153" s="160">
        <f>BCB46</f>
        <v>0</v>
      </c>
      <c r="M153" s="267">
        <v>5300</v>
      </c>
      <c r="N153" s="267">
        <f>IF(F6=0,0,M153)</f>
        <v>5300</v>
      </c>
      <c r="O153" s="267">
        <f>N153*L153</f>
        <v>0</v>
      </c>
      <c r="P153" s="72"/>
    </row>
    <row r="154" spans="2:30" ht="11.25" customHeight="1" x14ac:dyDescent="0.45">
      <c r="B154" s="97"/>
      <c r="C154" s="24"/>
      <c r="D154" s="97"/>
      <c r="E154" s="97"/>
      <c r="F154" s="72"/>
      <c r="G154" s="72"/>
      <c r="H154" s="72"/>
      <c r="I154" s="72"/>
      <c r="J154" s="72"/>
      <c r="K154" s="72"/>
      <c r="L154" s="72"/>
      <c r="N154" s="72"/>
      <c r="O154" s="278">
        <f>SUM(O84:O153)</f>
        <v>19996</v>
      </c>
      <c r="P154" s="72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7"/>
    </row>
    <row r="155" spans="2:30" ht="11.25" customHeight="1" x14ac:dyDescent="0.45">
      <c r="B155" s="97"/>
      <c r="C155" s="97"/>
      <c r="D155" s="97"/>
      <c r="E155" s="97"/>
      <c r="F155" s="72"/>
      <c r="G155" s="72"/>
      <c r="H155" s="72"/>
      <c r="I155" s="72"/>
      <c r="J155" s="72"/>
      <c r="K155" s="72"/>
      <c r="L155" s="72"/>
      <c r="N155" s="72"/>
      <c r="O155" s="221" t="e">
        <f>O154/G82</f>
        <v>#DIV/0!</v>
      </c>
      <c r="P155" s="72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</row>
    <row r="156" spans="2:30" ht="11.25" customHeight="1" x14ac:dyDescent="0.45">
      <c r="B156" s="97"/>
      <c r="C156" s="97"/>
      <c r="D156" s="97"/>
      <c r="E156" s="97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D156" s="97"/>
    </row>
    <row r="157" spans="2:30" s="427" customFormat="1" ht="15.75" customHeight="1" x14ac:dyDescent="0.45">
      <c r="B157" s="926" t="s">
        <v>817</v>
      </c>
      <c r="C157" s="927"/>
      <c r="D157" s="477" t="s">
        <v>193</v>
      </c>
      <c r="E157" s="571" t="s">
        <v>320</v>
      </c>
      <c r="F157" s="573" t="s">
        <v>183</v>
      </c>
      <c r="G157" s="573" t="s">
        <v>649</v>
      </c>
      <c r="H157" s="573"/>
      <c r="I157" s="573"/>
      <c r="J157" s="574" t="s">
        <v>53</v>
      </c>
      <c r="K157" s="574" t="s">
        <v>52</v>
      </c>
      <c r="L157" s="574" t="s">
        <v>51</v>
      </c>
      <c r="M157" s="574"/>
      <c r="N157" s="574" t="s">
        <v>50</v>
      </c>
      <c r="O157" s="574" t="s">
        <v>166</v>
      </c>
      <c r="P157" s="574" t="s">
        <v>863</v>
      </c>
      <c r="Q157" s="574" t="s">
        <v>861</v>
      </c>
      <c r="R157" s="574" t="s">
        <v>862</v>
      </c>
      <c r="S157" s="575" t="s">
        <v>318</v>
      </c>
      <c r="T157" s="575" t="s">
        <v>319</v>
      </c>
    </row>
    <row r="158" spans="2:30" ht="15.75" customHeight="1" x14ac:dyDescent="0.45">
      <c r="B158" s="396">
        <v>11183974216</v>
      </c>
      <c r="C158" s="396" t="s">
        <v>818</v>
      </c>
      <c r="D158" s="722">
        <f>'c303-c503'!C153</f>
        <v>3300</v>
      </c>
      <c r="E158" s="730">
        <f>((D158*0.2)+D158)</f>
        <v>3960</v>
      </c>
      <c r="F158" s="219">
        <v>10</v>
      </c>
      <c r="G158" s="219">
        <v>1</v>
      </c>
      <c r="H158" s="219"/>
      <c r="I158" s="219"/>
      <c r="J158" s="509">
        <f>30*BC!$B$47/G158</f>
        <v>0</v>
      </c>
      <c r="K158" s="219">
        <f t="shared" ref="K158:K172" si="38">(360/G158)</f>
        <v>360</v>
      </c>
      <c r="L158" s="194">
        <f>IF(K158&gt;J158,K158,J158)</f>
        <v>360</v>
      </c>
      <c r="M158" s="194">
        <f>IF(J158=0,0,L158)</f>
        <v>0</v>
      </c>
      <c r="N158" s="194">
        <f t="shared" ref="N158:N172" si="39">ROUNDUP(M158,0)</f>
        <v>0</v>
      </c>
      <c r="O158" s="576">
        <f>IF($D$158&gt;0,N158,0)</f>
        <v>0</v>
      </c>
      <c r="P158" s="505">
        <f t="shared" ref="P158:P172" si="40">Q158/F158</f>
        <v>6.1</v>
      </c>
      <c r="Q158" s="506">
        <v>61</v>
      </c>
      <c r="R158" s="61">
        <f>P158*O158</f>
        <v>0</v>
      </c>
      <c r="S158" s="57">
        <f t="shared" ref="S158:S172" si="41">N158/F158</f>
        <v>0</v>
      </c>
      <c r="T158" s="57">
        <f t="shared" ref="T158:T172" si="42">ROUNDUP(S158,0)</f>
        <v>0</v>
      </c>
    </row>
    <row r="159" spans="2:30" ht="15.75" customHeight="1" x14ac:dyDescent="0.45">
      <c r="B159" s="396">
        <v>11183982216</v>
      </c>
      <c r="C159" s="728" t="s">
        <v>819</v>
      </c>
      <c r="D159" s="723"/>
      <c r="E159" s="730"/>
      <c r="F159" s="219">
        <v>10</v>
      </c>
      <c r="G159" s="219">
        <v>1</v>
      </c>
      <c r="H159" s="219"/>
      <c r="I159" s="219"/>
      <c r="J159" s="509">
        <f>30*BC!$B$47/G159</f>
        <v>0</v>
      </c>
      <c r="K159" s="219">
        <f t="shared" si="38"/>
        <v>360</v>
      </c>
      <c r="L159" s="194">
        <f t="shared" ref="L159:L172" si="43">IF(K159&gt;J159,K159,J159)</f>
        <v>360</v>
      </c>
      <c r="M159" s="194">
        <f t="shared" ref="M159:M172" si="44">IF(J159=0,0,L159)</f>
        <v>0</v>
      </c>
      <c r="N159" s="194">
        <f t="shared" si="39"/>
        <v>0</v>
      </c>
      <c r="O159" s="576">
        <f t="shared" ref="O159:O172" si="45">IF($D$158&gt;0,N159,0)</f>
        <v>0</v>
      </c>
      <c r="P159" s="505">
        <f t="shared" si="40"/>
        <v>6.1</v>
      </c>
      <c r="Q159" s="506">
        <v>61</v>
      </c>
      <c r="R159" s="61">
        <f t="shared" ref="R159:R172" si="46">P159*O159</f>
        <v>0</v>
      </c>
      <c r="S159" s="57">
        <f t="shared" si="41"/>
        <v>0</v>
      </c>
      <c r="T159" s="57">
        <f t="shared" si="42"/>
        <v>0</v>
      </c>
    </row>
    <row r="160" spans="2:30" ht="15.75" customHeight="1" x14ac:dyDescent="0.45">
      <c r="B160" s="396">
        <v>11298500316</v>
      </c>
      <c r="C160" s="728" t="s">
        <v>820</v>
      </c>
      <c r="D160" s="723"/>
      <c r="E160" s="730"/>
      <c r="F160" s="219">
        <v>5</v>
      </c>
      <c r="G160" s="219">
        <v>73</v>
      </c>
      <c r="H160" s="219"/>
      <c r="I160" s="219"/>
      <c r="J160" s="509">
        <f>30*BC!$B$47/G160</f>
        <v>0</v>
      </c>
      <c r="K160" s="507">
        <f t="shared" si="38"/>
        <v>4.9315068493150687</v>
      </c>
      <c r="L160" s="508">
        <f t="shared" si="43"/>
        <v>4.9315068493150687</v>
      </c>
      <c r="M160" s="508">
        <f t="shared" si="44"/>
        <v>0</v>
      </c>
      <c r="N160" s="194">
        <f t="shared" si="39"/>
        <v>0</v>
      </c>
      <c r="O160" s="576">
        <f t="shared" si="45"/>
        <v>0</v>
      </c>
      <c r="P160" s="505">
        <f t="shared" si="40"/>
        <v>19.600000000000001</v>
      </c>
      <c r="Q160" s="506">
        <v>98</v>
      </c>
      <c r="R160" s="61">
        <f t="shared" si="46"/>
        <v>0</v>
      </c>
      <c r="S160" s="57">
        <f t="shared" si="41"/>
        <v>0</v>
      </c>
      <c r="T160" s="57">
        <f t="shared" si="42"/>
        <v>0</v>
      </c>
    </row>
    <row r="161" spans="2:20" ht="15.75" customHeight="1" x14ac:dyDescent="0.45">
      <c r="B161" s="396">
        <v>4663632190</v>
      </c>
      <c r="C161" s="728" t="s">
        <v>821</v>
      </c>
      <c r="D161" s="723"/>
      <c r="E161" s="730"/>
      <c r="F161" s="219">
        <v>9</v>
      </c>
      <c r="G161" s="219">
        <v>12</v>
      </c>
      <c r="H161" s="219"/>
      <c r="I161" s="219"/>
      <c r="J161" s="509">
        <f>30*BC!$B$47/G161</f>
        <v>0</v>
      </c>
      <c r="K161" s="507">
        <f t="shared" si="38"/>
        <v>30</v>
      </c>
      <c r="L161" s="508">
        <f t="shared" si="43"/>
        <v>30</v>
      </c>
      <c r="M161" s="508">
        <f t="shared" si="44"/>
        <v>0</v>
      </c>
      <c r="N161" s="194">
        <f t="shared" si="39"/>
        <v>0</v>
      </c>
      <c r="O161" s="576">
        <f t="shared" si="45"/>
        <v>0</v>
      </c>
      <c r="P161" s="505">
        <f t="shared" si="40"/>
        <v>17.222222222222221</v>
      </c>
      <c r="Q161" s="506">
        <v>155</v>
      </c>
      <c r="R161" s="61">
        <f t="shared" si="46"/>
        <v>0</v>
      </c>
      <c r="S161" s="60">
        <f t="shared" si="41"/>
        <v>0</v>
      </c>
      <c r="T161" s="57">
        <f t="shared" si="42"/>
        <v>0</v>
      </c>
    </row>
    <row r="162" spans="2:20" ht="15.75" customHeight="1" x14ac:dyDescent="0.45">
      <c r="B162" s="408">
        <v>20763071122</v>
      </c>
      <c r="C162" s="728" t="s">
        <v>822</v>
      </c>
      <c r="D162" s="723"/>
      <c r="E162" s="730"/>
      <c r="F162" s="219">
        <v>6</v>
      </c>
      <c r="G162" s="219">
        <v>56</v>
      </c>
      <c r="H162" s="219"/>
      <c r="I162" s="219"/>
      <c r="J162" s="509">
        <f>30*BC!$B$47/G162</f>
        <v>0</v>
      </c>
      <c r="K162" s="507">
        <f t="shared" si="38"/>
        <v>6.4285714285714288</v>
      </c>
      <c r="L162" s="508">
        <f t="shared" si="43"/>
        <v>6.4285714285714288</v>
      </c>
      <c r="M162" s="508">
        <f t="shared" si="44"/>
        <v>0</v>
      </c>
      <c r="N162" s="194">
        <f t="shared" si="39"/>
        <v>0</v>
      </c>
      <c r="O162" s="576">
        <f t="shared" si="45"/>
        <v>0</v>
      </c>
      <c r="P162" s="505">
        <f t="shared" si="40"/>
        <v>8.8333333333333339</v>
      </c>
      <c r="Q162" s="506">
        <v>53</v>
      </c>
      <c r="R162" s="61">
        <f t="shared" si="46"/>
        <v>0</v>
      </c>
      <c r="S162" s="57">
        <f t="shared" si="41"/>
        <v>0</v>
      </c>
      <c r="T162" s="57">
        <f t="shared" si="42"/>
        <v>0</v>
      </c>
    </row>
    <row r="163" spans="2:20" ht="15.75" customHeight="1" x14ac:dyDescent="0.45">
      <c r="B163" s="396">
        <v>4880480190</v>
      </c>
      <c r="C163" s="728" t="s">
        <v>867</v>
      </c>
      <c r="D163" s="723"/>
      <c r="E163" s="730"/>
      <c r="F163" s="219">
        <v>2</v>
      </c>
      <c r="G163" s="219">
        <v>42</v>
      </c>
      <c r="H163" s="219"/>
      <c r="I163" s="219"/>
      <c r="J163" s="509">
        <f>(30*BC!$B$47/G163)*(D158*0.0024)</f>
        <v>0</v>
      </c>
      <c r="K163" s="507">
        <f t="shared" si="38"/>
        <v>8.5714285714285712</v>
      </c>
      <c r="L163" s="508">
        <f t="shared" si="43"/>
        <v>8.5714285714285712</v>
      </c>
      <c r="M163" s="508">
        <f>IF(F6=0,0,L163)</f>
        <v>8.5714285714285712</v>
      </c>
      <c r="N163" s="194">
        <f t="shared" si="39"/>
        <v>9</v>
      </c>
      <c r="O163" s="576">
        <f t="shared" si="45"/>
        <v>9</v>
      </c>
      <c r="P163" s="505">
        <f t="shared" si="40"/>
        <v>120</v>
      </c>
      <c r="Q163" s="506">
        <v>240</v>
      </c>
      <c r="R163" s="61">
        <f t="shared" si="46"/>
        <v>1080</v>
      </c>
      <c r="S163" s="57">
        <f t="shared" si="41"/>
        <v>4.5</v>
      </c>
      <c r="T163" s="57">
        <f t="shared" si="42"/>
        <v>5</v>
      </c>
    </row>
    <row r="164" spans="2:20" ht="15.75" customHeight="1" x14ac:dyDescent="0.45">
      <c r="B164" s="396">
        <v>4880480190</v>
      </c>
      <c r="C164" s="729" t="s">
        <v>866</v>
      </c>
      <c r="D164" s="723"/>
      <c r="E164" s="730"/>
      <c r="F164" s="219">
        <v>2</v>
      </c>
      <c r="G164" s="219">
        <v>42</v>
      </c>
      <c r="H164" s="219"/>
      <c r="I164" s="219"/>
      <c r="J164" s="509">
        <f>(30*BC!$B$47/G164)*(D158*0.0012)</f>
        <v>0</v>
      </c>
      <c r="K164" s="507">
        <f t="shared" si="38"/>
        <v>8.5714285714285712</v>
      </c>
      <c r="L164" s="508">
        <f t="shared" si="43"/>
        <v>8.5714285714285712</v>
      </c>
      <c r="M164" s="508">
        <f>IF(D6=0,0,L164)</f>
        <v>0</v>
      </c>
      <c r="N164" s="194">
        <f t="shared" si="39"/>
        <v>0</v>
      </c>
      <c r="O164" s="576">
        <f t="shared" si="45"/>
        <v>0</v>
      </c>
      <c r="P164" s="505">
        <f t="shared" si="40"/>
        <v>120</v>
      </c>
      <c r="Q164" s="506">
        <v>240</v>
      </c>
      <c r="R164" s="61">
        <f t="shared" si="46"/>
        <v>0</v>
      </c>
      <c r="S164" s="57">
        <f t="shared" si="41"/>
        <v>0</v>
      </c>
      <c r="T164" s="57">
        <f t="shared" si="42"/>
        <v>0</v>
      </c>
    </row>
    <row r="165" spans="2:20" ht="15.75" customHeight="1" x14ac:dyDescent="0.45">
      <c r="B165" s="396">
        <v>4880455190</v>
      </c>
      <c r="C165" s="729" t="s">
        <v>868</v>
      </c>
      <c r="D165" s="723"/>
      <c r="E165" s="730"/>
      <c r="F165" s="219">
        <v>2</v>
      </c>
      <c r="G165" s="219">
        <v>42</v>
      </c>
      <c r="H165" s="219"/>
      <c r="I165" s="219"/>
      <c r="J165" s="509">
        <f>(30*BC!$B$47/G165)*(D158*0.0031)</f>
        <v>0</v>
      </c>
      <c r="K165" s="507">
        <f t="shared" si="38"/>
        <v>8.5714285714285712</v>
      </c>
      <c r="L165" s="508">
        <f t="shared" si="43"/>
        <v>8.5714285714285712</v>
      </c>
      <c r="M165" s="508">
        <f>IF(F6=0,0,L165)</f>
        <v>8.5714285714285712</v>
      </c>
      <c r="N165" s="194">
        <f t="shared" si="39"/>
        <v>9</v>
      </c>
      <c r="O165" s="576">
        <f t="shared" si="45"/>
        <v>9</v>
      </c>
      <c r="P165" s="505">
        <f t="shared" si="40"/>
        <v>161</v>
      </c>
      <c r="Q165" s="506">
        <v>322</v>
      </c>
      <c r="R165" s="61">
        <f t="shared" si="46"/>
        <v>1449</v>
      </c>
      <c r="S165" s="57">
        <f t="shared" si="41"/>
        <v>4.5</v>
      </c>
      <c r="T165" s="57">
        <f t="shared" si="42"/>
        <v>5</v>
      </c>
    </row>
    <row r="166" spans="2:20" ht="15.75" customHeight="1" x14ac:dyDescent="0.45">
      <c r="B166" s="396">
        <v>4880455190</v>
      </c>
      <c r="C166" s="729" t="s">
        <v>869</v>
      </c>
      <c r="D166" s="723"/>
      <c r="E166" s="730"/>
      <c r="F166" s="219">
        <v>2</v>
      </c>
      <c r="G166" s="219">
        <v>42</v>
      </c>
      <c r="H166" s="219"/>
      <c r="I166" s="219"/>
      <c r="J166" s="509">
        <f>(30*BC!$B$47/G166)*(D158*0.0016)</f>
        <v>0</v>
      </c>
      <c r="K166" s="507">
        <f t="shared" si="38"/>
        <v>8.5714285714285712</v>
      </c>
      <c r="L166" s="508">
        <f t="shared" si="43"/>
        <v>8.5714285714285712</v>
      </c>
      <c r="M166" s="508">
        <f>IF(D6=0,0,L166)</f>
        <v>0</v>
      </c>
      <c r="N166" s="194">
        <f t="shared" si="39"/>
        <v>0</v>
      </c>
      <c r="O166" s="576">
        <f t="shared" si="45"/>
        <v>0</v>
      </c>
      <c r="P166" s="505">
        <f t="shared" si="40"/>
        <v>161</v>
      </c>
      <c r="Q166" s="506">
        <v>322</v>
      </c>
      <c r="R166" s="61">
        <f t="shared" si="46"/>
        <v>0</v>
      </c>
      <c r="S166" s="57">
        <f t="shared" si="41"/>
        <v>0</v>
      </c>
      <c r="T166" s="57">
        <f t="shared" si="42"/>
        <v>0</v>
      </c>
    </row>
    <row r="167" spans="2:20" ht="15.75" customHeight="1" x14ac:dyDescent="0.45">
      <c r="B167" s="396">
        <v>8392013190</v>
      </c>
      <c r="C167" s="728" t="s">
        <v>865</v>
      </c>
      <c r="D167" s="723"/>
      <c r="E167" s="730"/>
      <c r="F167" s="219">
        <v>2</v>
      </c>
      <c r="G167" s="219">
        <v>365</v>
      </c>
      <c r="H167" s="219"/>
      <c r="I167" s="219"/>
      <c r="J167" s="509">
        <f>(30*BC!$B$47/G167)*(D158*0.013)</f>
        <v>0</v>
      </c>
      <c r="K167" s="507">
        <f t="shared" si="38"/>
        <v>0.98630136986301364</v>
      </c>
      <c r="L167" s="508">
        <f t="shared" si="43"/>
        <v>0.98630136986301364</v>
      </c>
      <c r="M167" s="508">
        <f>IF(F6=0,0,L167)</f>
        <v>0.98630136986301364</v>
      </c>
      <c r="N167" s="194">
        <f t="shared" si="39"/>
        <v>1</v>
      </c>
      <c r="O167" s="576">
        <f t="shared" si="45"/>
        <v>1</v>
      </c>
      <c r="P167" s="505">
        <f t="shared" si="40"/>
        <v>19.5</v>
      </c>
      <c r="Q167" s="506">
        <v>39</v>
      </c>
      <c r="R167" s="61">
        <f t="shared" si="46"/>
        <v>19.5</v>
      </c>
      <c r="S167" s="57">
        <f t="shared" si="41"/>
        <v>0.5</v>
      </c>
      <c r="T167" s="57">
        <f t="shared" si="42"/>
        <v>1</v>
      </c>
    </row>
    <row r="168" spans="2:20" ht="15.75" customHeight="1" x14ac:dyDescent="0.45">
      <c r="B168" s="396">
        <v>10820652216</v>
      </c>
      <c r="C168" s="728" t="s">
        <v>864</v>
      </c>
      <c r="D168" s="723"/>
      <c r="E168" s="730"/>
      <c r="F168" s="219">
        <v>1</v>
      </c>
      <c r="G168" s="219">
        <v>365</v>
      </c>
      <c r="H168" s="219"/>
      <c r="I168" s="219"/>
      <c r="J168" s="509">
        <f>(30*BC!$B$47/G168)*(D158*0.009)</f>
        <v>0</v>
      </c>
      <c r="K168" s="507">
        <f t="shared" si="38"/>
        <v>0.98630136986301364</v>
      </c>
      <c r="L168" s="508">
        <f t="shared" si="43"/>
        <v>0.98630136986301364</v>
      </c>
      <c r="M168" s="508">
        <f>IF(D6=0,0,L168)</f>
        <v>0</v>
      </c>
      <c r="N168" s="194">
        <f t="shared" si="39"/>
        <v>0</v>
      </c>
      <c r="O168" s="576">
        <f t="shared" si="45"/>
        <v>0</v>
      </c>
      <c r="P168" s="505">
        <f t="shared" si="40"/>
        <v>92</v>
      </c>
      <c r="Q168" s="506">
        <v>92</v>
      </c>
      <c r="R168" s="61">
        <f t="shared" si="46"/>
        <v>0</v>
      </c>
      <c r="S168" s="57">
        <f t="shared" si="41"/>
        <v>0</v>
      </c>
      <c r="T168" s="57">
        <f t="shared" si="42"/>
        <v>0</v>
      </c>
    </row>
    <row r="169" spans="2:20" ht="15.75" customHeight="1" x14ac:dyDescent="0.45">
      <c r="B169" s="396">
        <v>3149501001</v>
      </c>
      <c r="C169" s="728" t="s">
        <v>827</v>
      </c>
      <c r="D169" s="723"/>
      <c r="E169" s="730"/>
      <c r="F169" s="219">
        <v>1</v>
      </c>
      <c r="G169" s="219">
        <v>168</v>
      </c>
      <c r="H169" s="219"/>
      <c r="I169" s="219"/>
      <c r="J169" s="509">
        <f>30*BC!$B$47/G169</f>
        <v>0</v>
      </c>
      <c r="K169" s="507">
        <f t="shared" si="38"/>
        <v>2.1428571428571428</v>
      </c>
      <c r="L169" s="508">
        <f t="shared" si="43"/>
        <v>2.1428571428571428</v>
      </c>
      <c r="M169" s="508">
        <f t="shared" si="44"/>
        <v>0</v>
      </c>
      <c r="N169" s="194">
        <f t="shared" si="39"/>
        <v>0</v>
      </c>
      <c r="O169" s="576">
        <f t="shared" si="45"/>
        <v>0</v>
      </c>
      <c r="P169" s="505">
        <f t="shared" si="40"/>
        <v>755</v>
      </c>
      <c r="Q169" s="506">
        <v>755</v>
      </c>
      <c r="R169" s="61">
        <f t="shared" si="46"/>
        <v>0</v>
      </c>
      <c r="S169" s="57">
        <f t="shared" si="41"/>
        <v>0</v>
      </c>
      <c r="T169" s="57">
        <f t="shared" si="42"/>
        <v>0</v>
      </c>
    </row>
    <row r="170" spans="2:20" ht="15.75" customHeight="1" x14ac:dyDescent="0.45">
      <c r="B170" s="396">
        <v>10825468001</v>
      </c>
      <c r="C170" s="728" t="s">
        <v>828</v>
      </c>
      <c r="D170" s="723"/>
      <c r="E170" s="730"/>
      <c r="F170" s="219">
        <v>1</v>
      </c>
      <c r="G170" s="219">
        <v>56</v>
      </c>
      <c r="H170" s="219"/>
      <c r="I170" s="219"/>
      <c r="J170" s="509">
        <f>30*BC!$B$47/G170</f>
        <v>0</v>
      </c>
      <c r="K170" s="507">
        <f t="shared" si="38"/>
        <v>6.4285714285714288</v>
      </c>
      <c r="L170" s="508">
        <f t="shared" si="43"/>
        <v>6.4285714285714288</v>
      </c>
      <c r="M170" s="508">
        <f t="shared" si="44"/>
        <v>0</v>
      </c>
      <c r="N170" s="194">
        <f t="shared" si="39"/>
        <v>0</v>
      </c>
      <c r="O170" s="576">
        <f t="shared" si="45"/>
        <v>0</v>
      </c>
      <c r="P170" s="505">
        <f t="shared" si="40"/>
        <v>812</v>
      </c>
      <c r="Q170" s="506">
        <v>812</v>
      </c>
      <c r="R170" s="61">
        <f t="shared" si="46"/>
        <v>0</v>
      </c>
      <c r="S170" s="57">
        <f t="shared" si="41"/>
        <v>0</v>
      </c>
      <c r="T170" s="57">
        <f t="shared" si="42"/>
        <v>0</v>
      </c>
    </row>
    <row r="171" spans="2:20" ht="15.75" customHeight="1" x14ac:dyDescent="0.45">
      <c r="B171" s="396">
        <v>10825441001</v>
      </c>
      <c r="C171" s="728" t="s">
        <v>829</v>
      </c>
      <c r="D171" s="723"/>
      <c r="E171" s="730"/>
      <c r="F171" s="219">
        <v>1</v>
      </c>
      <c r="G171" s="219">
        <v>56</v>
      </c>
      <c r="H171" s="219"/>
      <c r="I171" s="219"/>
      <c r="J171" s="509">
        <f>30*BC!$B$47/G171</f>
        <v>0</v>
      </c>
      <c r="K171" s="507">
        <f t="shared" si="38"/>
        <v>6.4285714285714288</v>
      </c>
      <c r="L171" s="508">
        <f t="shared" si="43"/>
        <v>6.4285714285714288</v>
      </c>
      <c r="M171" s="508">
        <f t="shared" si="44"/>
        <v>0</v>
      </c>
      <c r="N171" s="194">
        <f t="shared" si="39"/>
        <v>0</v>
      </c>
      <c r="O171" s="576">
        <f t="shared" si="45"/>
        <v>0</v>
      </c>
      <c r="P171" s="505">
        <f t="shared" si="40"/>
        <v>812</v>
      </c>
      <c r="Q171" s="506">
        <v>812</v>
      </c>
      <c r="R171" s="61">
        <f t="shared" si="46"/>
        <v>0</v>
      </c>
      <c r="S171" s="57">
        <f t="shared" si="41"/>
        <v>0</v>
      </c>
      <c r="T171" s="57">
        <f t="shared" si="42"/>
        <v>0</v>
      </c>
    </row>
    <row r="172" spans="2:20" ht="15.75" customHeight="1" x14ac:dyDescent="0.45">
      <c r="B172" s="396">
        <v>3246353001</v>
      </c>
      <c r="C172" s="728" t="s">
        <v>830</v>
      </c>
      <c r="D172" s="723"/>
      <c r="E172" s="730"/>
      <c r="F172" s="219">
        <v>1</v>
      </c>
      <c r="G172" s="219">
        <v>56</v>
      </c>
      <c r="H172" s="219"/>
      <c r="I172" s="219"/>
      <c r="J172" s="509">
        <f>30*BC!$B$47/G172</f>
        <v>0</v>
      </c>
      <c r="K172" s="507">
        <f t="shared" si="38"/>
        <v>6.4285714285714288</v>
      </c>
      <c r="L172" s="508">
        <f t="shared" si="43"/>
        <v>6.4285714285714288</v>
      </c>
      <c r="M172" s="508">
        <f t="shared" si="44"/>
        <v>0</v>
      </c>
      <c r="N172" s="194">
        <f t="shared" si="39"/>
        <v>0</v>
      </c>
      <c r="O172" s="576">
        <f t="shared" si="45"/>
        <v>0</v>
      </c>
      <c r="P172" s="505">
        <f t="shared" si="40"/>
        <v>1135</v>
      </c>
      <c r="Q172" s="506">
        <v>1135</v>
      </c>
      <c r="R172" s="61">
        <f t="shared" si="46"/>
        <v>0</v>
      </c>
      <c r="S172" s="57">
        <f t="shared" si="41"/>
        <v>0</v>
      </c>
      <c r="T172" s="57">
        <f t="shared" si="42"/>
        <v>0</v>
      </c>
    </row>
    <row r="173" spans="2:20" ht="15.75" customHeight="1" x14ac:dyDescent="0.45">
      <c r="B173" s="97"/>
      <c r="C173" s="97"/>
      <c r="D173" s="97"/>
      <c r="F173" s="102"/>
      <c r="G173" s="102"/>
      <c r="H173" s="251"/>
      <c r="I173" s="251"/>
      <c r="J173" s="416"/>
      <c r="K173" s="416"/>
      <c r="L173" s="97"/>
      <c r="M173" s="97"/>
      <c r="N173" s="97"/>
      <c r="Q173" s="438" t="s">
        <v>48</v>
      </c>
      <c r="R173" s="221">
        <f>SUM(R158:R172)</f>
        <v>2548.5</v>
      </c>
      <c r="S173" s="97"/>
      <c r="T173" s="97"/>
    </row>
    <row r="174" spans="2:20" ht="15.75" customHeight="1" x14ac:dyDescent="0.45">
      <c r="B174" s="97"/>
      <c r="C174" s="97"/>
      <c r="D174" s="97"/>
      <c r="F174" s="102"/>
      <c r="G174" s="102"/>
      <c r="H174" s="251"/>
      <c r="I174" s="251"/>
      <c r="J174" s="416"/>
      <c r="K174" s="416"/>
      <c r="L174" s="97"/>
      <c r="M174" s="97"/>
      <c r="N174" s="97"/>
      <c r="Q174" s="438" t="s">
        <v>835</v>
      </c>
      <c r="R174" s="221">
        <f>R173/D158</f>
        <v>0.77227272727272722</v>
      </c>
      <c r="S174" s="97"/>
      <c r="T174" s="97"/>
    </row>
    <row r="175" spans="2:20" ht="15.75" customHeight="1" x14ac:dyDescent="0.45">
      <c r="B175" s="97"/>
      <c r="C175" s="97"/>
      <c r="D175" s="97"/>
      <c r="F175" s="102"/>
      <c r="G175" s="102"/>
      <c r="H175" s="251"/>
      <c r="I175" s="251"/>
      <c r="J175" s="416"/>
      <c r="K175" s="416"/>
      <c r="L175" s="97"/>
      <c r="M175" s="97"/>
      <c r="N175" s="97"/>
      <c r="O175" s="97"/>
      <c r="P175" s="97"/>
      <c r="Q175" s="577" t="s">
        <v>870</v>
      </c>
      <c r="R175" s="385">
        <f>R174/3</f>
        <v>0.25742424242424239</v>
      </c>
      <c r="S175" s="97"/>
      <c r="T175" s="97"/>
    </row>
    <row r="176" spans="2:20" ht="15.75" customHeight="1" x14ac:dyDescent="0.45">
      <c r="B176" s="97"/>
      <c r="C176" s="97"/>
      <c r="D176" s="97"/>
      <c r="E176" s="102"/>
      <c r="F176" s="102"/>
      <c r="G176" s="251"/>
      <c r="H176" s="251"/>
      <c r="I176" s="416"/>
      <c r="J176" s="416"/>
      <c r="K176" s="97"/>
      <c r="L176" s="97"/>
      <c r="M176" s="97"/>
      <c r="N176" s="97"/>
      <c r="O176" s="97"/>
      <c r="P176" s="97"/>
      <c r="Q176" s="97"/>
      <c r="R176" s="97"/>
      <c r="S176" s="97"/>
    </row>
    <row r="177" spans="2:19" ht="15.75" customHeight="1" x14ac:dyDescent="0.45">
      <c r="B177" s="97"/>
      <c r="C177" s="97"/>
      <c r="D177" s="97"/>
      <c r="E177" s="102"/>
      <c r="F177" s="102"/>
      <c r="G177" s="251"/>
      <c r="H177" s="251"/>
      <c r="I177" s="416"/>
      <c r="J177" s="416"/>
      <c r="K177" s="97"/>
      <c r="L177" s="97"/>
      <c r="M177" s="97"/>
      <c r="N177" s="97"/>
      <c r="O177" s="97"/>
      <c r="P177" s="97"/>
      <c r="Q177" s="97"/>
      <c r="R177" s="97"/>
      <c r="S177" s="97"/>
    </row>
    <row r="178" spans="2:19" ht="15.75" customHeight="1" x14ac:dyDescent="0.45">
      <c r="B178" s="97"/>
      <c r="C178" s="97"/>
      <c r="D178" s="97"/>
      <c r="E178" s="102"/>
      <c r="F178" s="102"/>
      <c r="G178" s="251"/>
      <c r="H178" s="251"/>
      <c r="I178" s="416"/>
      <c r="J178" s="416"/>
      <c r="K178" s="97"/>
      <c r="L178" s="97"/>
      <c r="M178" s="97"/>
      <c r="N178" s="97"/>
      <c r="O178" s="97"/>
      <c r="P178" s="97"/>
      <c r="Q178" s="97"/>
      <c r="R178" s="97"/>
      <c r="S178" s="97"/>
    </row>
    <row r="179" spans="2:19" ht="15.75" customHeight="1" x14ac:dyDescent="0.45">
      <c r="B179" s="97"/>
      <c r="C179" s="97"/>
      <c r="D179" s="97"/>
      <c r="E179" s="102"/>
      <c r="F179" s="102"/>
      <c r="G179" s="251"/>
      <c r="H179" s="251"/>
      <c r="I179" s="416"/>
      <c r="J179" s="416"/>
      <c r="K179" s="97"/>
      <c r="L179" s="97"/>
      <c r="M179" s="97"/>
      <c r="N179" s="97"/>
      <c r="O179" s="97"/>
      <c r="P179" s="97"/>
      <c r="Q179" s="97"/>
      <c r="R179" s="97"/>
      <c r="S179" s="97"/>
    </row>
    <row r="180" spans="2:19" ht="15.75" customHeight="1" x14ac:dyDescent="0.45">
      <c r="B180" s="97"/>
      <c r="C180" s="97"/>
      <c r="D180" s="97"/>
      <c r="E180" s="102"/>
      <c r="F180" s="102"/>
      <c r="G180" s="251"/>
      <c r="H180" s="251"/>
      <c r="I180" s="416"/>
      <c r="J180" s="416"/>
      <c r="K180" s="97"/>
      <c r="L180" s="97"/>
      <c r="M180" s="97"/>
      <c r="N180" s="97"/>
      <c r="O180" s="97"/>
      <c r="P180" s="97"/>
      <c r="Q180" s="97"/>
      <c r="R180" s="97"/>
      <c r="S180" s="97"/>
    </row>
    <row r="181" spans="2:19" ht="15.75" customHeight="1" x14ac:dyDescent="0.45">
      <c r="B181" s="97"/>
      <c r="C181" s="97"/>
      <c r="D181" s="97"/>
      <c r="E181" s="102"/>
      <c r="F181" s="102"/>
      <c r="G181" s="251"/>
      <c r="H181" s="251"/>
      <c r="I181" s="416"/>
      <c r="J181" s="416"/>
      <c r="K181" s="97"/>
      <c r="L181" s="97"/>
      <c r="M181" s="97"/>
      <c r="N181" s="97"/>
      <c r="O181" s="97"/>
      <c r="P181" s="97"/>
      <c r="Q181" s="97"/>
      <c r="R181" s="97"/>
      <c r="S181" s="97"/>
    </row>
    <row r="182" spans="2:19" ht="15.75" customHeight="1" x14ac:dyDescent="0.45">
      <c r="B182" s="97"/>
      <c r="C182" s="97"/>
      <c r="D182" s="97"/>
      <c r="E182" s="102"/>
      <c r="F182" s="102"/>
      <c r="G182" s="251"/>
      <c r="H182" s="251"/>
      <c r="I182" s="416"/>
      <c r="J182" s="416"/>
      <c r="K182" s="97"/>
      <c r="L182" s="97"/>
      <c r="M182" s="97"/>
      <c r="N182" s="97"/>
      <c r="O182" s="97"/>
      <c r="P182" s="97"/>
      <c r="Q182" s="97"/>
      <c r="R182" s="97"/>
      <c r="S182" s="97"/>
    </row>
    <row r="183" spans="2:19" ht="15.75" customHeight="1" x14ac:dyDescent="0.45">
      <c r="B183" s="97"/>
      <c r="C183" s="97"/>
      <c r="D183" s="97"/>
      <c r="E183" s="102"/>
      <c r="F183" s="102"/>
      <c r="G183" s="251"/>
      <c r="H183" s="251"/>
      <c r="I183" s="416"/>
      <c r="J183" s="416"/>
      <c r="K183" s="97"/>
      <c r="L183" s="97"/>
      <c r="M183" s="97"/>
      <c r="N183" s="97"/>
      <c r="O183" s="97"/>
      <c r="P183" s="97"/>
      <c r="Q183" s="97"/>
      <c r="R183" s="97"/>
      <c r="S183" s="97"/>
    </row>
    <row r="184" spans="2:19" ht="15.75" customHeight="1" x14ac:dyDescent="0.45">
      <c r="B184" s="97"/>
      <c r="C184" s="97"/>
      <c r="D184" s="97"/>
      <c r="E184" s="102"/>
      <c r="F184" s="102"/>
      <c r="G184" s="251"/>
      <c r="H184" s="251"/>
      <c r="I184" s="416"/>
      <c r="J184" s="416"/>
      <c r="K184" s="97"/>
      <c r="L184" s="97"/>
      <c r="M184" s="97"/>
      <c r="N184" s="97"/>
      <c r="O184" s="97"/>
      <c r="P184" s="97"/>
      <c r="Q184" s="97"/>
      <c r="R184" s="97"/>
      <c r="S184" s="97"/>
    </row>
    <row r="185" spans="2:19" ht="15.75" customHeight="1" x14ac:dyDescent="0.45">
      <c r="B185" s="97"/>
      <c r="C185" s="97"/>
      <c r="D185" s="97"/>
      <c r="E185" s="102"/>
      <c r="F185" s="102"/>
      <c r="G185" s="251"/>
      <c r="H185" s="251"/>
      <c r="I185" s="416"/>
      <c r="J185" s="416"/>
      <c r="K185" s="97"/>
      <c r="L185" s="97"/>
      <c r="M185" s="97"/>
      <c r="N185" s="97"/>
      <c r="O185" s="97"/>
      <c r="P185" s="97"/>
      <c r="Q185" s="97"/>
      <c r="R185" s="97"/>
      <c r="S185" s="97"/>
    </row>
    <row r="186" spans="2:19" ht="15.75" customHeight="1" x14ac:dyDescent="0.45">
      <c r="B186" s="97"/>
      <c r="C186" s="97"/>
      <c r="D186" s="97"/>
      <c r="E186" s="102"/>
      <c r="F186" s="102"/>
      <c r="G186" s="251"/>
      <c r="H186" s="251"/>
      <c r="I186" s="416"/>
      <c r="J186" s="416"/>
      <c r="K186" s="97"/>
      <c r="L186" s="97"/>
      <c r="M186" s="97"/>
      <c r="N186" s="97"/>
      <c r="O186" s="97"/>
      <c r="P186" s="97"/>
      <c r="Q186" s="97"/>
      <c r="R186" s="97"/>
      <c r="S186" s="97"/>
    </row>
    <row r="187" spans="2:19" ht="15.75" customHeight="1" x14ac:dyDescent="0.45">
      <c r="B187" s="97"/>
      <c r="C187" s="97"/>
      <c r="D187" s="97"/>
      <c r="E187" s="102"/>
      <c r="F187" s="102"/>
      <c r="G187" s="251"/>
      <c r="H187" s="251"/>
      <c r="I187" s="416"/>
      <c r="J187" s="416"/>
      <c r="K187" s="97"/>
      <c r="L187" s="97"/>
      <c r="M187" s="97"/>
      <c r="N187" s="97"/>
      <c r="O187" s="97"/>
      <c r="P187" s="97"/>
      <c r="Q187" s="97"/>
      <c r="R187" s="97"/>
      <c r="S187" s="97"/>
    </row>
    <row r="188" spans="2:19" ht="15.75" customHeight="1" x14ac:dyDescent="0.45">
      <c r="B188" s="97"/>
      <c r="C188" s="97"/>
      <c r="D188" s="97"/>
      <c r="E188" s="102"/>
      <c r="F188" s="102"/>
      <c r="G188" s="251"/>
      <c r="H188" s="251"/>
      <c r="I188" s="416"/>
      <c r="J188" s="416"/>
      <c r="K188" s="97"/>
      <c r="L188" s="97"/>
      <c r="M188" s="97"/>
      <c r="N188" s="97"/>
      <c r="O188" s="97"/>
      <c r="P188" s="97"/>
      <c r="Q188" s="97"/>
      <c r="R188" s="97"/>
      <c r="S188" s="97"/>
    </row>
    <row r="189" spans="2:19" ht="15.75" customHeight="1" x14ac:dyDescent="0.45">
      <c r="B189" s="97"/>
      <c r="C189" s="97"/>
      <c r="D189" s="97"/>
      <c r="E189" s="102"/>
      <c r="F189" s="102"/>
      <c r="G189" s="251"/>
      <c r="H189" s="251"/>
      <c r="I189" s="416"/>
      <c r="J189" s="416"/>
      <c r="K189" s="97"/>
      <c r="L189" s="97"/>
      <c r="M189" s="97"/>
      <c r="N189" s="97"/>
      <c r="O189" s="97"/>
      <c r="P189" s="97"/>
      <c r="Q189" s="97"/>
      <c r="R189" s="97"/>
      <c r="S189" s="97"/>
    </row>
    <row r="190" spans="2:19" ht="15.75" customHeight="1" x14ac:dyDescent="0.45">
      <c r="B190" s="97"/>
      <c r="C190" s="97"/>
      <c r="D190" s="97"/>
      <c r="E190" s="102"/>
      <c r="F190" s="102"/>
      <c r="G190" s="251"/>
      <c r="H190" s="251"/>
      <c r="I190" s="416"/>
      <c r="J190" s="416"/>
      <c r="K190" s="97"/>
      <c r="L190" s="97"/>
      <c r="M190" s="97"/>
      <c r="N190" s="97"/>
      <c r="O190" s="97"/>
      <c r="P190" s="97"/>
      <c r="Q190" s="97"/>
      <c r="R190" s="97"/>
      <c r="S190" s="97"/>
    </row>
    <row r="191" spans="2:19" ht="15.75" customHeight="1" x14ac:dyDescent="0.45">
      <c r="B191" s="97"/>
      <c r="C191" s="97"/>
      <c r="D191" s="97"/>
      <c r="E191" s="102"/>
      <c r="F191" s="102"/>
      <c r="G191" s="251"/>
      <c r="H191" s="251"/>
      <c r="I191" s="416"/>
      <c r="J191" s="416"/>
      <c r="K191" s="97"/>
      <c r="L191" s="97"/>
      <c r="M191" s="97"/>
      <c r="N191" s="97"/>
      <c r="O191" s="97"/>
      <c r="P191" s="97"/>
      <c r="Q191" s="97"/>
      <c r="R191" s="97"/>
      <c r="S191" s="97"/>
    </row>
    <row r="192" spans="2:19" ht="15.75" customHeight="1" x14ac:dyDescent="0.45">
      <c r="B192" s="97"/>
      <c r="C192" s="97"/>
      <c r="D192" s="97"/>
      <c r="E192" s="102"/>
      <c r="F192" s="102"/>
      <c r="G192" s="251"/>
      <c r="H192" s="251"/>
      <c r="I192" s="416"/>
      <c r="J192" s="416"/>
      <c r="K192" s="97"/>
      <c r="L192" s="97"/>
      <c r="M192" s="97"/>
      <c r="N192" s="97"/>
      <c r="O192" s="97"/>
      <c r="P192" s="97"/>
      <c r="Q192" s="97"/>
      <c r="R192" s="97"/>
      <c r="S192" s="97"/>
    </row>
    <row r="193" spans="2:19" ht="15.75" customHeight="1" x14ac:dyDescent="0.45">
      <c r="B193" s="97"/>
      <c r="C193" s="97"/>
      <c r="D193" s="97"/>
      <c r="E193" s="102"/>
      <c r="F193" s="102"/>
      <c r="G193" s="251"/>
      <c r="H193" s="251"/>
      <c r="I193" s="416"/>
      <c r="J193" s="416"/>
      <c r="K193" s="97"/>
      <c r="L193" s="97"/>
      <c r="M193" s="97"/>
      <c r="N193" s="97"/>
      <c r="O193" s="97"/>
      <c r="P193" s="97"/>
      <c r="Q193" s="97"/>
      <c r="R193" s="97"/>
      <c r="S193" s="97"/>
    </row>
    <row r="194" spans="2:19" ht="15.75" customHeight="1" x14ac:dyDescent="0.45">
      <c r="B194" s="97"/>
      <c r="C194" s="97"/>
      <c r="D194" s="97"/>
      <c r="E194" s="102"/>
      <c r="F194" s="102"/>
      <c r="G194" s="251"/>
      <c r="H194" s="251"/>
      <c r="I194" s="416"/>
      <c r="J194" s="416"/>
      <c r="K194" s="97"/>
      <c r="L194" s="97"/>
      <c r="M194" s="97"/>
      <c r="N194" s="97"/>
      <c r="O194" s="97"/>
      <c r="P194" s="97"/>
      <c r="Q194" s="97"/>
      <c r="R194" s="97"/>
      <c r="S194" s="97"/>
    </row>
    <row r="195" spans="2:19" ht="15.75" customHeight="1" x14ac:dyDescent="0.45">
      <c r="B195" s="97"/>
      <c r="C195" s="97"/>
      <c r="D195" s="97"/>
      <c r="E195" s="102"/>
      <c r="F195" s="102"/>
      <c r="G195" s="251"/>
      <c r="H195" s="251"/>
      <c r="I195" s="416"/>
      <c r="J195" s="416"/>
      <c r="K195" s="97"/>
      <c r="L195" s="97"/>
      <c r="M195" s="97"/>
      <c r="N195" s="97"/>
      <c r="O195" s="97"/>
      <c r="P195" s="97"/>
      <c r="Q195" s="97"/>
      <c r="R195" s="97"/>
      <c r="S195" s="97"/>
    </row>
    <row r="196" spans="2:19" ht="15.75" customHeight="1" x14ac:dyDescent="0.45">
      <c r="B196" s="97"/>
      <c r="C196" s="97"/>
      <c r="D196" s="97"/>
      <c r="E196" s="102"/>
      <c r="F196" s="102"/>
      <c r="G196" s="251"/>
      <c r="H196" s="251"/>
      <c r="I196" s="416"/>
      <c r="J196" s="416"/>
      <c r="K196" s="97"/>
      <c r="L196" s="97"/>
      <c r="M196" s="97"/>
      <c r="N196" s="97"/>
      <c r="O196" s="97"/>
      <c r="P196" s="97"/>
      <c r="Q196" s="97"/>
      <c r="R196" s="97"/>
      <c r="S196" s="97"/>
    </row>
    <row r="197" spans="2:19" ht="15.75" customHeight="1" x14ac:dyDescent="0.45">
      <c r="B197" s="97"/>
      <c r="C197" s="97"/>
      <c r="D197" s="97"/>
      <c r="E197" s="102"/>
      <c r="F197" s="102"/>
      <c r="G197" s="251"/>
      <c r="H197" s="251"/>
      <c r="I197" s="416"/>
      <c r="J197" s="416"/>
      <c r="K197" s="97"/>
      <c r="L197" s="97"/>
      <c r="M197" s="97"/>
      <c r="N197" s="97"/>
      <c r="O197" s="97"/>
      <c r="P197" s="97"/>
      <c r="Q197" s="97"/>
      <c r="R197" s="97"/>
      <c r="S197" s="97"/>
    </row>
    <row r="198" spans="2:19" ht="15.75" customHeight="1" x14ac:dyDescent="0.45">
      <c r="B198" s="97"/>
      <c r="C198" s="97"/>
      <c r="D198" s="97"/>
      <c r="E198" s="102"/>
      <c r="F198" s="102"/>
      <c r="G198" s="251"/>
      <c r="H198" s="251"/>
      <c r="I198" s="416"/>
      <c r="J198" s="416"/>
      <c r="K198" s="97"/>
      <c r="L198" s="97"/>
      <c r="M198" s="97"/>
      <c r="N198" s="97"/>
      <c r="O198" s="97"/>
      <c r="P198" s="97"/>
      <c r="Q198" s="97"/>
      <c r="R198" s="97"/>
      <c r="S198" s="97"/>
    </row>
    <row r="199" spans="2:19" ht="15.75" customHeight="1" x14ac:dyDescent="0.45">
      <c r="B199" s="97"/>
      <c r="C199" s="97"/>
      <c r="D199" s="97"/>
      <c r="E199" s="102"/>
      <c r="F199" s="102"/>
      <c r="G199" s="251"/>
      <c r="H199" s="251"/>
      <c r="I199" s="416"/>
      <c r="J199" s="416"/>
      <c r="K199" s="97"/>
      <c r="L199" s="97"/>
      <c r="M199" s="97"/>
      <c r="N199" s="97"/>
      <c r="O199" s="97"/>
      <c r="P199" s="97"/>
      <c r="Q199" s="97"/>
      <c r="R199" s="97"/>
      <c r="S199" s="97"/>
    </row>
    <row r="200" spans="2:19" ht="15.75" customHeight="1" x14ac:dyDescent="0.45">
      <c r="B200" s="97"/>
      <c r="C200" s="97"/>
      <c r="D200" s="97"/>
      <c r="E200" s="102"/>
      <c r="F200" s="102"/>
      <c r="G200" s="251"/>
      <c r="H200" s="251"/>
      <c r="I200" s="416"/>
      <c r="J200" s="416"/>
      <c r="K200" s="97"/>
      <c r="L200" s="97"/>
      <c r="M200" s="97"/>
      <c r="N200" s="97"/>
      <c r="O200" s="97"/>
      <c r="P200" s="97"/>
      <c r="Q200" s="97"/>
      <c r="R200" s="97"/>
      <c r="S200" s="97"/>
    </row>
    <row r="201" spans="2:19" ht="15.75" customHeight="1" x14ac:dyDescent="0.45">
      <c r="B201" s="97"/>
      <c r="C201" s="97"/>
      <c r="D201" s="97"/>
      <c r="E201" s="102"/>
      <c r="F201" s="102"/>
      <c r="G201" s="251"/>
      <c r="H201" s="251"/>
      <c r="I201" s="416"/>
      <c r="J201" s="416"/>
      <c r="K201" s="97"/>
      <c r="L201" s="97"/>
      <c r="M201" s="97"/>
      <c r="N201" s="97"/>
      <c r="O201" s="97"/>
      <c r="P201" s="97"/>
      <c r="Q201" s="97"/>
      <c r="R201" s="97"/>
      <c r="S201" s="97"/>
    </row>
    <row r="202" spans="2:19" ht="15.75" customHeight="1" x14ac:dyDescent="0.45">
      <c r="B202" s="97"/>
      <c r="C202" s="97"/>
      <c r="D202" s="97"/>
      <c r="E202" s="102"/>
      <c r="F202" s="102"/>
      <c r="G202" s="251"/>
      <c r="H202" s="251"/>
      <c r="I202" s="416"/>
      <c r="J202" s="416"/>
      <c r="K202" s="97"/>
      <c r="L202" s="97"/>
      <c r="M202" s="97"/>
      <c r="N202" s="97"/>
      <c r="O202" s="97"/>
      <c r="P202" s="97"/>
      <c r="Q202" s="97"/>
      <c r="R202" s="97"/>
      <c r="S202" s="97"/>
    </row>
    <row r="203" spans="2:19" ht="15.75" customHeight="1" x14ac:dyDescent="0.45">
      <c r="B203" s="97"/>
      <c r="C203" s="97"/>
      <c r="D203" s="97"/>
      <c r="E203" s="102"/>
      <c r="F203" s="102"/>
      <c r="G203" s="251"/>
      <c r="H203" s="251"/>
      <c r="I203" s="416"/>
      <c r="J203" s="416"/>
      <c r="K203" s="97"/>
      <c r="L203" s="97"/>
      <c r="M203" s="97"/>
      <c r="N203" s="97"/>
      <c r="O203" s="97"/>
      <c r="P203" s="97"/>
      <c r="Q203" s="97"/>
      <c r="R203" s="97"/>
      <c r="S203" s="97"/>
    </row>
    <row r="204" spans="2:19" ht="15.75" customHeight="1" x14ac:dyDescent="0.45">
      <c r="B204" s="97"/>
      <c r="C204" s="97"/>
      <c r="D204" s="97"/>
      <c r="E204" s="102"/>
      <c r="F204" s="102"/>
      <c r="G204" s="251"/>
      <c r="H204" s="251"/>
      <c r="I204" s="416"/>
      <c r="J204" s="416"/>
      <c r="K204" s="97"/>
      <c r="L204" s="97"/>
      <c r="M204" s="97"/>
      <c r="N204" s="97"/>
      <c r="O204" s="97"/>
      <c r="P204" s="97"/>
      <c r="Q204" s="97"/>
      <c r="R204" s="97"/>
      <c r="S204" s="97"/>
    </row>
    <row r="205" spans="2:19" ht="15.75" customHeight="1" x14ac:dyDescent="0.45">
      <c r="B205" s="97"/>
      <c r="C205" s="97"/>
      <c r="D205" s="97"/>
      <c r="E205" s="102"/>
      <c r="F205" s="102"/>
      <c r="G205" s="251"/>
      <c r="H205" s="251"/>
      <c r="I205" s="416"/>
      <c r="J205" s="416"/>
      <c r="K205" s="97"/>
      <c r="L205" s="97"/>
      <c r="M205" s="97"/>
      <c r="N205" s="97"/>
      <c r="O205" s="97"/>
      <c r="P205" s="97"/>
      <c r="Q205" s="97"/>
      <c r="R205" s="97"/>
      <c r="S205" s="97"/>
    </row>
    <row r="206" spans="2:19" ht="15.75" customHeight="1" x14ac:dyDescent="0.45">
      <c r="B206" s="97"/>
      <c r="C206" s="97"/>
      <c r="D206" s="97"/>
      <c r="E206" s="102"/>
      <c r="F206" s="102"/>
      <c r="G206" s="251"/>
      <c r="H206" s="251"/>
      <c r="I206" s="416"/>
      <c r="J206" s="416"/>
      <c r="K206" s="97"/>
      <c r="L206" s="97"/>
      <c r="M206" s="97"/>
      <c r="N206" s="97"/>
      <c r="O206" s="97"/>
      <c r="P206" s="97"/>
      <c r="Q206" s="97"/>
      <c r="R206" s="97"/>
      <c r="S206" s="97"/>
    </row>
    <row r="207" spans="2:19" ht="15.75" customHeight="1" x14ac:dyDescent="0.45">
      <c r="B207" s="97"/>
      <c r="C207" s="97"/>
      <c r="D207" s="97"/>
      <c r="E207" s="102"/>
      <c r="F207" s="102"/>
      <c r="G207" s="251"/>
      <c r="H207" s="251"/>
      <c r="I207" s="416"/>
      <c r="J207" s="416"/>
      <c r="K207" s="97"/>
      <c r="L207" s="97"/>
      <c r="M207" s="97"/>
      <c r="N207" s="97"/>
      <c r="O207" s="97"/>
      <c r="P207" s="97"/>
      <c r="Q207" s="97"/>
      <c r="R207" s="97"/>
      <c r="S207" s="97"/>
    </row>
    <row r="208" spans="2:19" ht="15.75" customHeight="1" x14ac:dyDescent="0.45">
      <c r="B208" s="97"/>
      <c r="C208" s="97"/>
      <c r="D208" s="97"/>
      <c r="E208" s="102"/>
      <c r="F208" s="102"/>
      <c r="G208" s="251"/>
      <c r="H208" s="251"/>
      <c r="I208" s="416"/>
      <c r="J208" s="416"/>
      <c r="K208" s="97"/>
      <c r="L208" s="97"/>
      <c r="M208" s="97"/>
      <c r="N208" s="97"/>
      <c r="O208" s="97"/>
      <c r="P208" s="97"/>
      <c r="Q208" s="97"/>
      <c r="R208" s="97"/>
      <c r="S208" s="97"/>
    </row>
    <row r="209" spans="2:19" ht="15.75" customHeight="1" x14ac:dyDescent="0.45">
      <c r="B209" s="97"/>
      <c r="C209" s="97"/>
      <c r="D209" s="97"/>
      <c r="E209" s="102"/>
      <c r="F209" s="102"/>
      <c r="G209" s="251"/>
      <c r="H209" s="251"/>
      <c r="I209" s="416"/>
      <c r="J209" s="416"/>
      <c r="K209" s="97"/>
      <c r="L209" s="97"/>
      <c r="M209" s="97"/>
      <c r="N209" s="97"/>
      <c r="O209" s="97"/>
      <c r="P209" s="97"/>
      <c r="Q209" s="97"/>
      <c r="R209" s="97"/>
      <c r="S209" s="97"/>
    </row>
    <row r="210" spans="2:19" ht="15.75" customHeight="1" x14ac:dyDescent="0.45">
      <c r="B210" s="97"/>
      <c r="C210" s="97"/>
      <c r="D210" s="97"/>
      <c r="E210" s="102"/>
      <c r="F210" s="102"/>
      <c r="G210" s="251"/>
      <c r="H210" s="251"/>
      <c r="I210" s="416"/>
      <c r="J210" s="416"/>
      <c r="K210" s="97"/>
      <c r="L210" s="97"/>
      <c r="M210" s="97"/>
      <c r="N210" s="97"/>
      <c r="O210" s="97"/>
      <c r="P210" s="97"/>
      <c r="Q210" s="97"/>
      <c r="R210" s="97"/>
      <c r="S210" s="97"/>
    </row>
    <row r="211" spans="2:19" ht="15.75" customHeight="1" x14ac:dyDescent="0.45">
      <c r="B211" s="97"/>
      <c r="C211" s="97"/>
      <c r="D211" s="97"/>
      <c r="E211" s="102"/>
      <c r="F211" s="102"/>
      <c r="G211" s="251"/>
      <c r="H211" s="251"/>
      <c r="I211" s="416"/>
      <c r="J211" s="416"/>
      <c r="K211" s="97"/>
      <c r="L211" s="97"/>
      <c r="M211" s="97"/>
      <c r="N211" s="97"/>
      <c r="O211" s="97"/>
      <c r="P211" s="97"/>
      <c r="Q211" s="97"/>
      <c r="R211" s="97"/>
      <c r="S211" s="97"/>
    </row>
    <row r="212" spans="2:19" ht="15.75" customHeight="1" x14ac:dyDescent="0.45">
      <c r="B212" s="97"/>
      <c r="C212" s="97"/>
      <c r="D212" s="97"/>
      <c r="E212" s="102"/>
      <c r="F212" s="102"/>
      <c r="G212" s="251"/>
      <c r="H212" s="251"/>
      <c r="I212" s="416"/>
      <c r="J212" s="416"/>
      <c r="K212" s="97"/>
      <c r="L212" s="97"/>
      <c r="M212" s="97"/>
      <c r="N212" s="97"/>
      <c r="O212" s="97"/>
      <c r="P212" s="97"/>
      <c r="Q212" s="97"/>
      <c r="R212" s="97"/>
      <c r="S212" s="97"/>
    </row>
    <row r="213" spans="2:19" ht="15.75" customHeight="1" x14ac:dyDescent="0.45">
      <c r="B213" s="97"/>
      <c r="C213" s="97"/>
      <c r="D213" s="97"/>
      <c r="E213" s="102"/>
      <c r="F213" s="102"/>
      <c r="G213" s="251"/>
      <c r="H213" s="251"/>
      <c r="I213" s="416"/>
      <c r="J213" s="416"/>
      <c r="K213" s="97"/>
      <c r="L213" s="97"/>
      <c r="M213" s="97"/>
      <c r="N213" s="97"/>
      <c r="O213" s="97"/>
      <c r="P213" s="97"/>
      <c r="Q213" s="97"/>
      <c r="R213" s="97"/>
      <c r="S213" s="97"/>
    </row>
    <row r="214" spans="2:19" ht="15.75" customHeight="1" x14ac:dyDescent="0.45">
      <c r="B214" s="97"/>
      <c r="C214" s="97"/>
      <c r="D214" s="97"/>
      <c r="E214" s="102"/>
      <c r="F214" s="102"/>
      <c r="G214" s="251"/>
      <c r="H214" s="251"/>
      <c r="I214" s="416"/>
      <c r="J214" s="416"/>
      <c r="K214" s="97"/>
      <c r="L214" s="97"/>
      <c r="M214" s="97"/>
      <c r="N214" s="97"/>
      <c r="O214" s="97"/>
      <c r="P214" s="97"/>
      <c r="Q214" s="97"/>
      <c r="R214" s="97"/>
      <c r="S214" s="97"/>
    </row>
    <row r="215" spans="2:19" ht="15.75" customHeight="1" x14ac:dyDescent="0.45">
      <c r="B215" s="97"/>
      <c r="C215" s="97"/>
      <c r="D215" s="97"/>
      <c r="E215" s="102"/>
      <c r="F215" s="102"/>
      <c r="G215" s="251"/>
      <c r="H215" s="251"/>
      <c r="I215" s="416"/>
      <c r="J215" s="416"/>
      <c r="K215" s="97"/>
      <c r="L215" s="97"/>
      <c r="M215" s="97"/>
      <c r="N215" s="97"/>
      <c r="O215" s="97"/>
      <c r="P215" s="97"/>
      <c r="Q215" s="97"/>
      <c r="R215" s="97"/>
      <c r="S215" s="97"/>
    </row>
    <row r="216" spans="2:19" ht="15.75" customHeight="1" x14ac:dyDescent="0.45">
      <c r="B216" s="97"/>
      <c r="C216" s="97"/>
      <c r="D216" s="97"/>
      <c r="E216" s="102"/>
      <c r="F216" s="102"/>
      <c r="G216" s="251"/>
      <c r="H216" s="251"/>
      <c r="I216" s="416"/>
      <c r="J216" s="416"/>
      <c r="K216" s="97"/>
      <c r="L216" s="97"/>
      <c r="M216" s="97"/>
      <c r="N216" s="97"/>
      <c r="O216" s="97"/>
      <c r="P216" s="97"/>
      <c r="Q216" s="97"/>
      <c r="R216" s="97"/>
      <c r="S216" s="97"/>
    </row>
    <row r="217" spans="2:19" ht="15.75" customHeight="1" x14ac:dyDescent="0.45">
      <c r="B217" s="97"/>
      <c r="C217" s="97"/>
      <c r="D217" s="97"/>
      <c r="E217" s="102"/>
      <c r="F217" s="102"/>
      <c r="G217" s="251"/>
      <c r="H217" s="251"/>
      <c r="I217" s="416"/>
      <c r="J217" s="416"/>
      <c r="K217" s="97"/>
      <c r="L217" s="97"/>
      <c r="M217" s="97"/>
      <c r="N217" s="97"/>
      <c r="O217" s="97"/>
      <c r="P217" s="97"/>
      <c r="Q217" s="97"/>
      <c r="R217" s="97"/>
      <c r="S217" s="97"/>
    </row>
    <row r="218" spans="2:19" ht="15.75" customHeight="1" x14ac:dyDescent="0.45">
      <c r="B218" s="97"/>
      <c r="C218" s="97"/>
      <c r="D218" s="97"/>
      <c r="E218" s="102"/>
      <c r="F218" s="102"/>
      <c r="G218" s="251"/>
      <c r="H218" s="251"/>
      <c r="I218" s="416"/>
      <c r="J218" s="416"/>
      <c r="K218" s="97"/>
      <c r="L218" s="97"/>
      <c r="M218" s="97"/>
      <c r="N218" s="97"/>
      <c r="O218" s="97"/>
      <c r="P218" s="97"/>
      <c r="Q218" s="97"/>
      <c r="R218" s="97"/>
      <c r="S218" s="97"/>
    </row>
    <row r="219" spans="2:19" ht="15.75" customHeight="1" x14ac:dyDescent="0.45">
      <c r="B219" s="97"/>
      <c r="C219" s="97"/>
      <c r="D219" s="97"/>
      <c r="E219" s="102"/>
      <c r="F219" s="102"/>
      <c r="G219" s="251"/>
      <c r="H219" s="251"/>
      <c r="I219" s="416"/>
      <c r="J219" s="416"/>
      <c r="K219" s="97"/>
      <c r="L219" s="97"/>
      <c r="M219" s="97"/>
      <c r="N219" s="97"/>
      <c r="O219" s="97"/>
      <c r="P219" s="97"/>
      <c r="Q219" s="97"/>
      <c r="R219" s="97"/>
      <c r="S219" s="97"/>
    </row>
    <row r="220" spans="2:19" ht="15.75" customHeight="1" x14ac:dyDescent="0.45">
      <c r="B220" s="97"/>
      <c r="C220" s="97"/>
      <c r="D220" s="97"/>
      <c r="E220" s="102"/>
      <c r="F220" s="102"/>
      <c r="G220" s="251"/>
      <c r="H220" s="251"/>
      <c r="I220" s="416"/>
      <c r="J220" s="416"/>
      <c r="K220" s="97"/>
      <c r="L220" s="97"/>
      <c r="M220" s="97"/>
      <c r="N220" s="97"/>
      <c r="O220" s="97"/>
      <c r="P220" s="97"/>
      <c r="Q220" s="97"/>
      <c r="R220" s="97"/>
      <c r="S220" s="97"/>
    </row>
    <row r="221" spans="2:19" ht="15.75" customHeight="1" x14ac:dyDescent="0.45">
      <c r="B221" s="97"/>
      <c r="C221" s="97"/>
      <c r="D221" s="97"/>
      <c r="E221" s="102"/>
      <c r="F221" s="102"/>
      <c r="G221" s="251"/>
      <c r="H221" s="251"/>
      <c r="I221" s="416"/>
      <c r="J221" s="416"/>
      <c r="K221" s="97"/>
      <c r="L221" s="97"/>
      <c r="M221" s="97"/>
      <c r="N221" s="97"/>
      <c r="O221" s="97"/>
      <c r="P221" s="97"/>
      <c r="Q221" s="97"/>
      <c r="R221" s="97"/>
      <c r="S221" s="97"/>
    </row>
    <row r="222" spans="2:19" ht="15.75" customHeight="1" x14ac:dyDescent="0.45">
      <c r="B222" s="97"/>
      <c r="C222" s="97"/>
      <c r="D222" s="97"/>
      <c r="E222" s="102"/>
      <c r="F222" s="102"/>
      <c r="G222" s="251"/>
      <c r="H222" s="251"/>
      <c r="I222" s="416"/>
      <c r="J222" s="416"/>
      <c r="K222" s="97"/>
      <c r="L222" s="97"/>
      <c r="M222" s="97"/>
      <c r="N222" s="97"/>
      <c r="O222" s="97"/>
      <c r="P222" s="97"/>
      <c r="Q222" s="97"/>
      <c r="R222" s="97"/>
      <c r="S222" s="97"/>
    </row>
    <row r="223" spans="2:19" ht="15.75" customHeight="1" x14ac:dyDescent="0.45">
      <c r="B223" s="97"/>
      <c r="C223" s="97"/>
      <c r="D223" s="97"/>
      <c r="E223" s="102"/>
      <c r="F223" s="102"/>
      <c r="G223" s="251"/>
      <c r="H223" s="251"/>
      <c r="I223" s="416"/>
      <c r="J223" s="416"/>
      <c r="K223" s="97"/>
      <c r="L223" s="97"/>
      <c r="M223" s="97"/>
      <c r="N223" s="97"/>
      <c r="O223" s="97"/>
      <c r="P223" s="97"/>
      <c r="Q223" s="97"/>
      <c r="R223" s="97"/>
      <c r="S223" s="97"/>
    </row>
    <row r="224" spans="2:19" ht="15.75" customHeight="1" x14ac:dyDescent="0.45">
      <c r="B224" s="97"/>
      <c r="C224" s="97"/>
      <c r="D224" s="97"/>
      <c r="E224" s="102"/>
      <c r="F224" s="102"/>
      <c r="G224" s="251"/>
      <c r="H224" s="251"/>
      <c r="I224" s="416"/>
      <c r="J224" s="416"/>
      <c r="K224" s="97"/>
      <c r="L224" s="97"/>
      <c r="M224" s="97"/>
      <c r="N224" s="97"/>
      <c r="O224" s="97"/>
      <c r="P224" s="97"/>
      <c r="Q224" s="97"/>
      <c r="R224" s="97"/>
      <c r="S224" s="97"/>
    </row>
    <row r="225" spans="2:19" ht="15.75" customHeight="1" x14ac:dyDescent="0.45">
      <c r="B225" s="97"/>
      <c r="C225" s="97"/>
      <c r="D225" s="97"/>
      <c r="E225" s="102"/>
      <c r="F225" s="102"/>
      <c r="G225" s="251"/>
      <c r="H225" s="251"/>
      <c r="I225" s="416"/>
      <c r="J225" s="416"/>
      <c r="K225" s="97"/>
      <c r="L225" s="97"/>
      <c r="M225" s="97"/>
      <c r="N225" s="97"/>
      <c r="O225" s="97"/>
      <c r="P225" s="97"/>
      <c r="Q225" s="97"/>
      <c r="R225" s="97"/>
      <c r="S225" s="97"/>
    </row>
    <row r="226" spans="2:19" ht="15.75" customHeight="1" x14ac:dyDescent="0.45">
      <c r="B226" s="97"/>
      <c r="C226" s="97"/>
      <c r="D226" s="97"/>
      <c r="E226" s="102"/>
      <c r="F226" s="102"/>
      <c r="G226" s="251"/>
      <c r="H226" s="251"/>
      <c r="I226" s="416"/>
      <c r="J226" s="416"/>
      <c r="K226" s="97"/>
      <c r="L226" s="97"/>
      <c r="M226" s="97"/>
      <c r="N226" s="97"/>
      <c r="O226" s="97"/>
      <c r="P226" s="97"/>
      <c r="Q226" s="97"/>
      <c r="R226" s="97"/>
      <c r="S226" s="97"/>
    </row>
    <row r="227" spans="2:19" ht="15.75" customHeight="1" x14ac:dyDescent="0.45">
      <c r="B227" s="97"/>
      <c r="C227" s="97"/>
      <c r="D227" s="97"/>
      <c r="E227" s="102"/>
      <c r="F227" s="102"/>
      <c r="G227" s="251"/>
      <c r="H227" s="251"/>
      <c r="I227" s="416"/>
      <c r="J227" s="416"/>
      <c r="K227" s="97"/>
      <c r="L227" s="97"/>
      <c r="M227" s="97"/>
      <c r="N227" s="97"/>
      <c r="O227" s="97"/>
      <c r="P227" s="97"/>
      <c r="Q227" s="97"/>
      <c r="R227" s="97"/>
      <c r="S227" s="97"/>
    </row>
    <row r="228" spans="2:19" ht="15.75" customHeight="1" x14ac:dyDescent="0.45">
      <c r="B228" s="97"/>
      <c r="C228" s="97"/>
      <c r="D228" s="97"/>
      <c r="E228" s="102"/>
      <c r="F228" s="102"/>
      <c r="G228" s="251"/>
      <c r="H228" s="251"/>
      <c r="I228" s="416"/>
      <c r="J228" s="416"/>
      <c r="K228" s="97"/>
      <c r="L228" s="97"/>
      <c r="M228" s="97"/>
      <c r="N228" s="97"/>
      <c r="O228" s="97"/>
      <c r="P228" s="97"/>
      <c r="Q228" s="97"/>
      <c r="R228" s="97"/>
      <c r="S228" s="97"/>
    </row>
    <row r="229" spans="2:19" ht="15.75" customHeight="1" x14ac:dyDescent="0.45">
      <c r="B229" s="97"/>
      <c r="C229" s="97"/>
      <c r="D229" s="97"/>
      <c r="E229" s="102"/>
      <c r="F229" s="102"/>
      <c r="G229" s="251"/>
      <c r="H229" s="251"/>
      <c r="I229" s="416"/>
      <c r="J229" s="416"/>
      <c r="K229" s="97"/>
      <c r="L229" s="97"/>
      <c r="M229" s="97"/>
      <c r="N229" s="97"/>
      <c r="O229" s="97"/>
      <c r="P229" s="97"/>
      <c r="Q229" s="97"/>
      <c r="R229" s="97"/>
      <c r="S229" s="97"/>
    </row>
    <row r="230" spans="2:19" ht="15.75" customHeight="1" x14ac:dyDescent="0.45">
      <c r="B230" s="97"/>
      <c r="C230" s="97"/>
      <c r="D230" s="97"/>
      <c r="E230" s="102"/>
      <c r="F230" s="102"/>
      <c r="G230" s="251"/>
      <c r="H230" s="251"/>
      <c r="I230" s="416"/>
      <c r="J230" s="416"/>
      <c r="K230" s="97"/>
      <c r="L230" s="97"/>
      <c r="M230" s="97"/>
      <c r="N230" s="97"/>
      <c r="O230" s="97"/>
      <c r="P230" s="97"/>
      <c r="Q230" s="97"/>
      <c r="R230" s="97"/>
      <c r="S230" s="97"/>
    </row>
    <row r="231" spans="2:19" ht="15.75" customHeight="1" x14ac:dyDescent="0.45">
      <c r="B231" s="97"/>
      <c r="C231" s="97"/>
      <c r="D231" s="97"/>
      <c r="E231" s="102"/>
      <c r="F231" s="102"/>
      <c r="G231" s="251"/>
      <c r="H231" s="251"/>
      <c r="I231" s="416"/>
      <c r="J231" s="416"/>
      <c r="K231" s="97"/>
      <c r="L231" s="97"/>
      <c r="M231" s="97"/>
      <c r="N231" s="97"/>
      <c r="O231" s="97"/>
      <c r="P231" s="97"/>
      <c r="Q231" s="97"/>
      <c r="R231" s="97"/>
      <c r="S231" s="97"/>
    </row>
    <row r="232" spans="2:19" ht="15.75" customHeight="1" x14ac:dyDescent="0.45">
      <c r="B232" s="97"/>
      <c r="C232" s="97"/>
      <c r="D232" s="97"/>
      <c r="E232" s="102"/>
      <c r="F232" s="102"/>
      <c r="G232" s="251"/>
      <c r="H232" s="251"/>
      <c r="I232" s="416"/>
      <c r="J232" s="416"/>
      <c r="K232" s="97"/>
      <c r="L232" s="97"/>
      <c r="M232" s="97"/>
      <c r="N232" s="97"/>
      <c r="O232" s="97"/>
      <c r="P232" s="97"/>
      <c r="Q232" s="97"/>
      <c r="R232" s="97"/>
      <c r="S232" s="97"/>
    </row>
    <row r="233" spans="2:19" ht="15.75" customHeight="1" x14ac:dyDescent="0.45">
      <c r="B233" s="97"/>
      <c r="C233" s="97"/>
      <c r="D233" s="97"/>
      <c r="E233" s="102"/>
      <c r="F233" s="102"/>
      <c r="G233" s="251"/>
      <c r="H233" s="251"/>
      <c r="I233" s="416"/>
      <c r="J233" s="416"/>
      <c r="K233" s="97"/>
      <c r="L233" s="97"/>
      <c r="M233" s="97"/>
      <c r="N233" s="97"/>
      <c r="O233" s="97"/>
      <c r="P233" s="97"/>
      <c r="Q233" s="97"/>
      <c r="R233" s="97"/>
      <c r="S233" s="97"/>
    </row>
    <row r="234" spans="2:19" ht="15.75" customHeight="1" x14ac:dyDescent="0.45">
      <c r="B234" s="97"/>
      <c r="C234" s="97"/>
      <c r="D234" s="97"/>
      <c r="E234" s="102"/>
      <c r="F234" s="102"/>
      <c r="G234" s="251"/>
      <c r="H234" s="251"/>
      <c r="I234" s="416"/>
      <c r="J234" s="416"/>
      <c r="K234" s="97"/>
      <c r="L234" s="97"/>
      <c r="M234" s="97"/>
      <c r="N234" s="97"/>
      <c r="O234" s="97"/>
      <c r="P234" s="97"/>
      <c r="Q234" s="97"/>
      <c r="R234" s="97"/>
      <c r="S234" s="97"/>
    </row>
    <row r="235" spans="2:19" ht="15.75" customHeight="1" x14ac:dyDescent="0.45">
      <c r="B235" s="97"/>
      <c r="C235" s="97"/>
      <c r="D235" s="97"/>
      <c r="E235" s="102"/>
      <c r="F235" s="102"/>
      <c r="G235" s="251"/>
      <c r="H235" s="251"/>
      <c r="I235" s="416"/>
      <c r="J235" s="416"/>
      <c r="K235" s="97"/>
      <c r="L235" s="97"/>
      <c r="M235" s="97"/>
      <c r="N235" s="97"/>
      <c r="O235" s="97"/>
      <c r="P235" s="97"/>
      <c r="Q235" s="97"/>
      <c r="R235" s="97"/>
      <c r="S235" s="97"/>
    </row>
    <row r="236" spans="2:19" ht="15.75" customHeight="1" x14ac:dyDescent="0.45">
      <c r="B236" s="97"/>
      <c r="C236" s="97"/>
      <c r="D236" s="97"/>
      <c r="E236" s="102"/>
      <c r="F236" s="102"/>
      <c r="G236" s="251"/>
      <c r="H236" s="251"/>
      <c r="I236" s="416"/>
      <c r="J236" s="416"/>
      <c r="K236" s="97"/>
      <c r="L236" s="97"/>
      <c r="M236" s="97"/>
      <c r="N236" s="97"/>
      <c r="O236" s="97"/>
      <c r="P236" s="97"/>
      <c r="Q236" s="97"/>
      <c r="R236" s="97"/>
      <c r="S236" s="97"/>
    </row>
    <row r="237" spans="2:19" ht="15.75" customHeight="1" x14ac:dyDescent="0.45">
      <c r="B237" s="97"/>
      <c r="C237" s="97"/>
      <c r="D237" s="97"/>
      <c r="E237" s="102"/>
      <c r="F237" s="102"/>
      <c r="G237" s="251"/>
      <c r="H237" s="251"/>
      <c r="I237" s="416"/>
      <c r="J237" s="416"/>
      <c r="K237" s="97"/>
      <c r="L237" s="97"/>
      <c r="M237" s="97"/>
      <c r="N237" s="97"/>
      <c r="O237" s="97"/>
      <c r="P237" s="97"/>
      <c r="Q237" s="97"/>
      <c r="R237" s="97"/>
      <c r="S237" s="97"/>
    </row>
    <row r="238" spans="2:19" ht="15.75" customHeight="1" x14ac:dyDescent="0.45">
      <c r="B238" s="97"/>
      <c r="C238" s="97"/>
      <c r="D238" s="97"/>
      <c r="E238" s="102"/>
      <c r="F238" s="102"/>
      <c r="G238" s="251"/>
      <c r="H238" s="251"/>
      <c r="I238" s="416"/>
      <c r="J238" s="416"/>
      <c r="K238" s="97"/>
      <c r="L238" s="97"/>
      <c r="M238" s="97"/>
      <c r="N238" s="97"/>
      <c r="O238" s="97"/>
      <c r="P238" s="97"/>
      <c r="Q238" s="97"/>
      <c r="R238" s="97"/>
      <c r="S238" s="97"/>
    </row>
    <row r="239" spans="2:19" ht="15.75" customHeight="1" x14ac:dyDescent="0.45">
      <c r="B239" s="97"/>
      <c r="C239" s="97"/>
      <c r="D239" s="97"/>
      <c r="E239" s="102"/>
      <c r="F239" s="102"/>
      <c r="G239" s="251"/>
      <c r="H239" s="251"/>
      <c r="I239" s="416"/>
      <c r="J239" s="416"/>
      <c r="K239" s="97"/>
      <c r="L239" s="97"/>
      <c r="M239" s="97"/>
      <c r="N239" s="97"/>
      <c r="O239" s="97"/>
      <c r="P239" s="97"/>
      <c r="Q239" s="97"/>
      <c r="R239" s="97"/>
      <c r="S239" s="97"/>
    </row>
    <row r="240" spans="2:19" ht="15.75" customHeight="1" x14ac:dyDescent="0.45">
      <c r="B240" s="97"/>
      <c r="C240" s="97"/>
      <c r="D240" s="97"/>
      <c r="E240" s="102"/>
      <c r="F240" s="102"/>
      <c r="G240" s="251"/>
      <c r="H240" s="251"/>
      <c r="I240" s="416"/>
      <c r="J240" s="416"/>
      <c r="K240" s="97"/>
      <c r="L240" s="97"/>
      <c r="M240" s="97"/>
      <c r="N240" s="97"/>
      <c r="O240" s="97"/>
      <c r="P240" s="97"/>
      <c r="Q240" s="97"/>
      <c r="R240" s="97"/>
      <c r="S240" s="97"/>
    </row>
    <row r="241" spans="2:19" ht="15.75" customHeight="1" x14ac:dyDescent="0.45">
      <c r="B241" s="97"/>
      <c r="C241" s="97"/>
      <c r="D241" s="97"/>
      <c r="E241" s="102"/>
      <c r="F241" s="102"/>
      <c r="G241" s="251"/>
      <c r="H241" s="251"/>
      <c r="I241" s="416"/>
      <c r="J241" s="416"/>
      <c r="K241" s="97"/>
      <c r="L241" s="97"/>
      <c r="M241" s="97"/>
      <c r="N241" s="97"/>
      <c r="O241" s="97"/>
      <c r="P241" s="97"/>
      <c r="Q241" s="97"/>
      <c r="R241" s="97"/>
      <c r="S241" s="97"/>
    </row>
    <row r="242" spans="2:19" ht="15.75" customHeight="1" x14ac:dyDescent="0.45">
      <c r="B242" s="97"/>
      <c r="C242" s="97"/>
      <c r="D242" s="97"/>
      <c r="E242" s="102"/>
      <c r="F242" s="102"/>
      <c r="G242" s="251"/>
      <c r="H242" s="251"/>
      <c r="I242" s="416"/>
      <c r="J242" s="416"/>
      <c r="K242" s="97"/>
      <c r="L242" s="97"/>
      <c r="M242" s="97"/>
      <c r="N242" s="97"/>
      <c r="O242" s="97"/>
      <c r="P242" s="97"/>
      <c r="Q242" s="97"/>
      <c r="R242" s="97"/>
      <c r="S242" s="97"/>
    </row>
    <row r="243" spans="2:19" ht="15.75" customHeight="1" x14ac:dyDescent="0.45">
      <c r="B243" s="97"/>
      <c r="C243" s="97"/>
      <c r="D243" s="97"/>
      <c r="E243" s="102"/>
      <c r="F243" s="102"/>
      <c r="G243" s="251"/>
      <c r="H243" s="251"/>
      <c r="I243" s="416"/>
      <c r="J243" s="416"/>
      <c r="K243" s="97"/>
      <c r="L243" s="97"/>
      <c r="M243" s="97"/>
      <c r="N243" s="97"/>
      <c r="O243" s="97"/>
      <c r="P243" s="97"/>
      <c r="Q243" s="97"/>
      <c r="R243" s="97"/>
      <c r="S243" s="97"/>
    </row>
    <row r="244" spans="2:19" ht="15.75" customHeight="1" x14ac:dyDescent="0.45">
      <c r="B244" s="97"/>
      <c r="C244" s="97"/>
      <c r="D244" s="97"/>
      <c r="E244" s="102"/>
      <c r="F244" s="102"/>
      <c r="G244" s="251"/>
      <c r="H244" s="251"/>
      <c r="I244" s="416"/>
      <c r="J244" s="416"/>
      <c r="K244" s="97"/>
      <c r="L244" s="97"/>
      <c r="M244" s="97"/>
      <c r="N244" s="97"/>
      <c r="O244" s="97"/>
      <c r="P244" s="97"/>
      <c r="Q244" s="97"/>
      <c r="R244" s="97"/>
      <c r="S244" s="97"/>
    </row>
    <row r="245" spans="2:19" ht="15.75" customHeight="1" x14ac:dyDescent="0.45">
      <c r="B245" s="97"/>
      <c r="C245" s="97"/>
      <c r="D245" s="97"/>
      <c r="E245" s="102"/>
      <c r="F245" s="102"/>
      <c r="G245" s="251"/>
      <c r="H245" s="251"/>
      <c r="I245" s="416"/>
      <c r="J245" s="416"/>
      <c r="K245" s="97"/>
      <c r="L245" s="97"/>
      <c r="M245" s="97"/>
      <c r="N245" s="97"/>
      <c r="O245" s="97"/>
      <c r="P245" s="97"/>
      <c r="Q245" s="97"/>
      <c r="R245" s="97"/>
      <c r="S245" s="97"/>
    </row>
    <row r="246" spans="2:19" ht="15.75" customHeight="1" x14ac:dyDescent="0.45">
      <c r="B246" s="97"/>
      <c r="C246" s="97"/>
      <c r="D246" s="97"/>
      <c r="E246" s="102"/>
      <c r="F246" s="102"/>
      <c r="G246" s="251"/>
      <c r="H246" s="251"/>
      <c r="I246" s="416"/>
      <c r="J246" s="416"/>
      <c r="K246" s="97"/>
      <c r="L246" s="97"/>
      <c r="M246" s="97"/>
      <c r="N246" s="97"/>
      <c r="O246" s="97"/>
      <c r="P246" s="97"/>
      <c r="Q246" s="97"/>
      <c r="R246" s="97"/>
      <c r="S246" s="97"/>
    </row>
    <row r="247" spans="2:19" ht="15.75" customHeight="1" x14ac:dyDescent="0.45">
      <c r="B247" s="97"/>
      <c r="C247" s="97"/>
      <c r="D247" s="97"/>
      <c r="E247" s="102"/>
      <c r="F247" s="102"/>
      <c r="G247" s="251"/>
      <c r="H247" s="251"/>
      <c r="I247" s="416"/>
      <c r="J247" s="416"/>
      <c r="K247" s="97"/>
      <c r="L247" s="97"/>
      <c r="M247" s="97"/>
      <c r="N247" s="97"/>
      <c r="O247" s="97"/>
      <c r="P247" s="97"/>
      <c r="Q247" s="97"/>
      <c r="R247" s="97"/>
      <c r="S247" s="97"/>
    </row>
    <row r="248" spans="2:19" ht="15.75" customHeight="1" x14ac:dyDescent="0.45">
      <c r="B248" s="97"/>
      <c r="C248" s="97"/>
      <c r="D248" s="97"/>
      <c r="E248" s="102"/>
      <c r="F248" s="102"/>
      <c r="G248" s="251"/>
      <c r="H248" s="251"/>
      <c r="I248" s="416"/>
      <c r="J248" s="416"/>
      <c r="K248" s="97"/>
      <c r="L248" s="97"/>
      <c r="M248" s="97"/>
      <c r="N248" s="97"/>
      <c r="O248" s="97"/>
      <c r="P248" s="97"/>
      <c r="Q248" s="97"/>
      <c r="R248" s="97"/>
      <c r="S248" s="97"/>
    </row>
    <row r="249" spans="2:19" ht="15.75" customHeight="1" x14ac:dyDescent="0.45">
      <c r="B249" s="97"/>
      <c r="C249" s="97"/>
      <c r="D249" s="97"/>
      <c r="E249" s="102"/>
      <c r="F249" s="102"/>
      <c r="G249" s="251"/>
      <c r="H249" s="251"/>
      <c r="I249" s="416"/>
      <c r="J249" s="416"/>
      <c r="K249" s="97"/>
      <c r="L249" s="97"/>
      <c r="M249" s="97"/>
      <c r="N249" s="97"/>
      <c r="O249" s="97"/>
      <c r="P249" s="97"/>
      <c r="Q249" s="97"/>
      <c r="R249" s="97"/>
      <c r="S249" s="97"/>
    </row>
    <row r="250" spans="2:19" ht="15.75" customHeight="1" x14ac:dyDescent="0.45">
      <c r="B250" s="97"/>
      <c r="C250" s="97"/>
      <c r="D250" s="97"/>
      <c r="E250" s="102"/>
      <c r="F250" s="102"/>
      <c r="G250" s="251"/>
      <c r="H250" s="251"/>
      <c r="I250" s="416"/>
      <c r="J250" s="416"/>
      <c r="K250" s="97"/>
      <c r="L250" s="97"/>
      <c r="M250" s="97"/>
      <c r="N250" s="97"/>
      <c r="O250" s="97"/>
      <c r="P250" s="97"/>
      <c r="Q250" s="97"/>
      <c r="R250" s="97"/>
      <c r="S250" s="97"/>
    </row>
    <row r="251" spans="2:19" ht="15.75" customHeight="1" x14ac:dyDescent="0.45">
      <c r="B251" s="97"/>
      <c r="C251" s="97"/>
      <c r="D251" s="97"/>
      <c r="E251" s="102"/>
      <c r="F251" s="102"/>
      <c r="G251" s="251"/>
      <c r="H251" s="251"/>
      <c r="I251" s="416"/>
      <c r="J251" s="416"/>
      <c r="K251" s="97"/>
      <c r="L251" s="97"/>
      <c r="M251" s="97"/>
      <c r="N251" s="97"/>
      <c r="O251" s="97"/>
      <c r="P251" s="97"/>
      <c r="Q251" s="97"/>
      <c r="R251" s="97"/>
      <c r="S251" s="97"/>
    </row>
    <row r="252" spans="2:19" ht="15.75" customHeight="1" x14ac:dyDescent="0.45">
      <c r="B252" s="97"/>
      <c r="C252" s="97"/>
      <c r="D252" s="97"/>
      <c r="E252" s="102"/>
      <c r="F252" s="102"/>
      <c r="G252" s="251"/>
      <c r="H252" s="251"/>
      <c r="I252" s="416"/>
      <c r="J252" s="416"/>
      <c r="K252" s="97"/>
      <c r="L252" s="97"/>
      <c r="M252" s="97"/>
      <c r="N252" s="97"/>
      <c r="O252" s="97"/>
      <c r="P252" s="97"/>
      <c r="Q252" s="97"/>
      <c r="R252" s="97"/>
      <c r="S252" s="97"/>
    </row>
    <row r="253" spans="2:19" ht="15.75" customHeight="1" x14ac:dyDescent="0.45">
      <c r="B253" s="97"/>
      <c r="C253" s="97"/>
      <c r="D253" s="97"/>
      <c r="E253" s="102"/>
      <c r="F253" s="102"/>
      <c r="G253" s="251"/>
      <c r="H253" s="251"/>
      <c r="I253" s="416"/>
      <c r="J253" s="416"/>
      <c r="K253" s="97"/>
      <c r="L253" s="97"/>
      <c r="M253" s="97"/>
      <c r="N253" s="97"/>
      <c r="O253" s="97"/>
      <c r="P253" s="97"/>
      <c r="Q253" s="97"/>
      <c r="R253" s="97"/>
      <c r="S253" s="97"/>
    </row>
    <row r="254" spans="2:19" ht="15.75" customHeight="1" x14ac:dyDescent="0.45">
      <c r="B254" s="97"/>
      <c r="C254" s="97"/>
      <c r="D254" s="97"/>
      <c r="E254" s="102"/>
      <c r="F254" s="102"/>
      <c r="G254" s="251"/>
      <c r="H254" s="251"/>
      <c r="I254" s="416"/>
      <c r="J254" s="416"/>
      <c r="K254" s="97"/>
      <c r="L254" s="97"/>
      <c r="M254" s="97"/>
      <c r="N254" s="97"/>
      <c r="O254" s="97"/>
      <c r="P254" s="97"/>
      <c r="Q254" s="97"/>
      <c r="R254" s="97"/>
      <c r="S254" s="97"/>
    </row>
    <row r="255" spans="2:19" ht="15.75" customHeight="1" x14ac:dyDescent="0.45">
      <c r="B255" s="97"/>
      <c r="C255" s="97"/>
      <c r="D255" s="97"/>
      <c r="E255" s="102"/>
      <c r="F255" s="102"/>
      <c r="G255" s="251"/>
      <c r="H255" s="251"/>
      <c r="I255" s="416"/>
      <c r="J255" s="416"/>
      <c r="K255" s="97"/>
      <c r="L255" s="97"/>
      <c r="M255" s="97"/>
      <c r="N255" s="97"/>
      <c r="O255" s="97"/>
      <c r="P255" s="97"/>
      <c r="Q255" s="97"/>
      <c r="R255" s="97"/>
      <c r="S255" s="97"/>
    </row>
    <row r="256" spans="2:19" ht="15.75" customHeight="1" x14ac:dyDescent="0.45">
      <c r="B256" s="97"/>
      <c r="C256" s="97"/>
      <c r="D256" s="97"/>
      <c r="E256" s="102"/>
      <c r="F256" s="102"/>
      <c r="G256" s="251"/>
      <c r="H256" s="251"/>
      <c r="I256" s="416"/>
      <c r="J256" s="416"/>
      <c r="K256" s="97"/>
      <c r="L256" s="97"/>
      <c r="M256" s="97"/>
      <c r="N256" s="97"/>
      <c r="O256" s="97"/>
      <c r="P256" s="97"/>
      <c r="Q256" s="97"/>
      <c r="R256" s="97"/>
      <c r="S256" s="97"/>
    </row>
    <row r="257" spans="2:19" ht="15.75" customHeight="1" x14ac:dyDescent="0.45">
      <c r="B257" s="97"/>
      <c r="C257" s="97"/>
      <c r="D257" s="97"/>
      <c r="E257" s="102"/>
      <c r="F257" s="102"/>
      <c r="G257" s="251"/>
      <c r="H257" s="251"/>
      <c r="I257" s="416"/>
      <c r="J257" s="416"/>
      <c r="K257" s="97"/>
      <c r="L257" s="97"/>
      <c r="M257" s="97"/>
      <c r="N257" s="97"/>
      <c r="O257" s="97"/>
      <c r="P257" s="97"/>
      <c r="Q257" s="97"/>
      <c r="R257" s="97"/>
      <c r="S257" s="97"/>
    </row>
    <row r="258" spans="2:19" ht="15.75" customHeight="1" x14ac:dyDescent="0.45">
      <c r="B258" s="97"/>
      <c r="C258" s="97"/>
      <c r="D258" s="97"/>
      <c r="E258" s="102"/>
      <c r="F258" s="102"/>
      <c r="G258" s="251"/>
      <c r="H258" s="251"/>
      <c r="I258" s="416"/>
      <c r="J258" s="416"/>
      <c r="K258" s="97"/>
      <c r="L258" s="97"/>
      <c r="M258" s="97"/>
      <c r="N258" s="97"/>
      <c r="O258" s="97"/>
      <c r="P258" s="97"/>
      <c r="Q258" s="97"/>
      <c r="R258" s="97"/>
      <c r="S258" s="97"/>
    </row>
    <row r="259" spans="2:19" ht="15.75" customHeight="1" x14ac:dyDescent="0.45">
      <c r="B259" s="97"/>
      <c r="C259" s="97"/>
      <c r="D259" s="97"/>
      <c r="E259" s="102"/>
      <c r="F259" s="102"/>
      <c r="G259" s="251"/>
      <c r="H259" s="251"/>
      <c r="I259" s="416"/>
      <c r="J259" s="416"/>
      <c r="K259" s="97"/>
      <c r="L259" s="97"/>
      <c r="M259" s="97"/>
      <c r="N259" s="97"/>
      <c r="O259" s="97"/>
      <c r="P259" s="97"/>
      <c r="Q259" s="97"/>
      <c r="R259" s="97"/>
      <c r="S259" s="97"/>
    </row>
    <row r="260" spans="2:19" ht="15.75" customHeight="1" x14ac:dyDescent="0.45">
      <c r="B260" s="97"/>
      <c r="C260" s="97"/>
      <c r="D260" s="97"/>
      <c r="E260" s="102"/>
      <c r="F260" s="102"/>
      <c r="G260" s="251"/>
      <c r="H260" s="251"/>
      <c r="I260" s="416"/>
      <c r="J260" s="416"/>
      <c r="K260" s="97"/>
      <c r="L260" s="97"/>
      <c r="M260" s="97"/>
      <c r="N260" s="97"/>
      <c r="O260" s="97"/>
      <c r="P260" s="97"/>
      <c r="Q260" s="97"/>
      <c r="R260" s="97"/>
      <c r="S260" s="97"/>
    </row>
    <row r="261" spans="2:19" ht="15.75" customHeight="1" x14ac:dyDescent="0.45">
      <c r="B261" s="97"/>
      <c r="C261" s="97"/>
      <c r="D261" s="97"/>
      <c r="E261" s="102"/>
      <c r="F261" s="102"/>
      <c r="G261" s="251"/>
      <c r="H261" s="251"/>
      <c r="I261" s="416"/>
      <c r="J261" s="416"/>
      <c r="K261" s="97"/>
      <c r="L261" s="97"/>
      <c r="M261" s="97"/>
      <c r="N261" s="97"/>
      <c r="O261" s="97"/>
      <c r="P261" s="97"/>
      <c r="Q261" s="97"/>
      <c r="R261" s="97"/>
      <c r="S261" s="97"/>
    </row>
    <row r="262" spans="2:19" ht="15.75" customHeight="1" x14ac:dyDescent="0.45">
      <c r="B262" s="97"/>
      <c r="C262" s="97"/>
      <c r="D262" s="97"/>
      <c r="E262" s="102"/>
      <c r="F262" s="102"/>
      <c r="G262" s="251"/>
      <c r="H262" s="251"/>
      <c r="I262" s="416"/>
      <c r="J262" s="416"/>
      <c r="K262" s="97"/>
      <c r="L262" s="97"/>
      <c r="M262" s="97"/>
      <c r="N262" s="97"/>
      <c r="O262" s="97"/>
      <c r="P262" s="97"/>
      <c r="Q262" s="97"/>
      <c r="R262" s="97"/>
      <c r="S262" s="97"/>
    </row>
    <row r="263" spans="2:19" ht="15.75" customHeight="1" x14ac:dyDescent="0.45">
      <c r="B263" s="97"/>
      <c r="C263" s="97"/>
      <c r="D263" s="97"/>
      <c r="E263" s="102"/>
      <c r="F263" s="102"/>
      <c r="G263" s="251"/>
      <c r="H263" s="251"/>
      <c r="I263" s="416"/>
      <c r="J263" s="416"/>
      <c r="K263" s="97"/>
      <c r="L263" s="97"/>
      <c r="M263" s="97"/>
      <c r="N263" s="97"/>
      <c r="O263" s="97"/>
      <c r="P263" s="97"/>
      <c r="Q263" s="97"/>
      <c r="R263" s="97"/>
      <c r="S263" s="97"/>
    </row>
    <row r="264" spans="2:19" ht="15.75" customHeight="1" x14ac:dyDescent="0.45">
      <c r="B264" s="97"/>
      <c r="C264" s="97"/>
      <c r="D264" s="97"/>
      <c r="E264" s="102"/>
      <c r="F264" s="102"/>
      <c r="G264" s="251"/>
      <c r="H264" s="251"/>
      <c r="I264" s="416"/>
      <c r="J264" s="416"/>
      <c r="K264" s="97"/>
      <c r="L264" s="97"/>
      <c r="M264" s="97"/>
      <c r="N264" s="97"/>
      <c r="O264" s="97"/>
      <c r="P264" s="97"/>
      <c r="Q264" s="97"/>
      <c r="R264" s="97"/>
      <c r="S264" s="97"/>
    </row>
    <row r="265" spans="2:19" ht="15.75" customHeight="1" x14ac:dyDescent="0.45">
      <c r="B265" s="97"/>
      <c r="C265" s="97"/>
      <c r="D265" s="97"/>
      <c r="E265" s="102"/>
      <c r="F265" s="102"/>
      <c r="G265" s="251"/>
      <c r="H265" s="251"/>
      <c r="I265" s="416"/>
      <c r="J265" s="416"/>
      <c r="K265" s="97"/>
      <c r="L265" s="97"/>
      <c r="M265" s="97"/>
      <c r="N265" s="97"/>
      <c r="O265" s="97"/>
      <c r="P265" s="97"/>
      <c r="Q265" s="97"/>
      <c r="R265" s="97"/>
      <c r="S265" s="97"/>
    </row>
    <row r="266" spans="2:19" ht="15.75" customHeight="1" x14ac:dyDescent="0.45">
      <c r="B266" s="97"/>
      <c r="C266" s="97"/>
      <c r="D266" s="97"/>
      <c r="E266" s="102"/>
      <c r="F266" s="102"/>
      <c r="G266" s="251"/>
      <c r="H266" s="251"/>
      <c r="I266" s="416"/>
      <c r="J266" s="416"/>
      <c r="K266" s="97"/>
      <c r="L266" s="97"/>
      <c r="M266" s="97"/>
      <c r="N266" s="97"/>
      <c r="O266" s="97"/>
      <c r="P266" s="97"/>
      <c r="Q266" s="97"/>
      <c r="R266" s="97"/>
      <c r="S266" s="97"/>
    </row>
    <row r="267" spans="2:19" ht="15.75" customHeight="1" x14ac:dyDescent="0.45">
      <c r="B267" s="97"/>
      <c r="C267" s="97"/>
      <c r="D267" s="97"/>
      <c r="E267" s="102"/>
      <c r="F267" s="102"/>
      <c r="G267" s="251"/>
      <c r="H267" s="251"/>
      <c r="I267" s="416"/>
      <c r="J267" s="416"/>
      <c r="K267" s="97"/>
      <c r="L267" s="97"/>
      <c r="M267" s="97"/>
      <c r="N267" s="97"/>
      <c r="O267" s="97"/>
      <c r="P267" s="97"/>
      <c r="Q267" s="97"/>
      <c r="R267" s="97"/>
      <c r="S267" s="97"/>
    </row>
    <row r="268" spans="2:19" ht="15.75" customHeight="1" x14ac:dyDescent="0.45">
      <c r="B268" s="97"/>
      <c r="C268" s="97"/>
      <c r="D268" s="97"/>
      <c r="E268" s="102"/>
      <c r="F268" s="102"/>
      <c r="G268" s="251"/>
      <c r="H268" s="251"/>
      <c r="I268" s="416"/>
      <c r="J268" s="416"/>
      <c r="K268" s="97"/>
      <c r="L268" s="97"/>
      <c r="M268" s="97"/>
      <c r="N268" s="97"/>
      <c r="O268" s="97"/>
      <c r="P268" s="97"/>
      <c r="Q268" s="97"/>
      <c r="R268" s="97"/>
      <c r="S268" s="97"/>
    </row>
    <row r="269" spans="2:19" ht="15.75" customHeight="1" x14ac:dyDescent="0.45">
      <c r="B269" s="97"/>
      <c r="C269" s="97"/>
      <c r="D269" s="97"/>
      <c r="E269" s="102"/>
      <c r="F269" s="102"/>
      <c r="G269" s="251"/>
      <c r="H269" s="251"/>
      <c r="I269" s="416"/>
      <c r="J269" s="416"/>
      <c r="K269" s="97"/>
      <c r="L269" s="97"/>
      <c r="M269" s="97"/>
      <c r="N269" s="97"/>
      <c r="O269" s="97"/>
      <c r="P269" s="97"/>
      <c r="Q269" s="97"/>
      <c r="R269" s="97"/>
      <c r="S269" s="97"/>
    </row>
    <row r="270" spans="2:19" ht="15.75" customHeight="1" x14ac:dyDescent="0.45">
      <c r="B270" s="97"/>
      <c r="C270" s="97"/>
      <c r="D270" s="97"/>
      <c r="E270" s="102"/>
      <c r="F270" s="102"/>
      <c r="G270" s="251"/>
      <c r="H270" s="251"/>
      <c r="I270" s="416"/>
      <c r="J270" s="416"/>
      <c r="K270" s="97"/>
      <c r="L270" s="97"/>
      <c r="M270" s="97"/>
      <c r="N270" s="97"/>
      <c r="O270" s="97"/>
      <c r="P270" s="97"/>
      <c r="Q270" s="97"/>
      <c r="R270" s="97"/>
      <c r="S270" s="97"/>
    </row>
    <row r="271" spans="2:19" ht="15.75" customHeight="1" x14ac:dyDescent="0.45">
      <c r="B271" s="97"/>
      <c r="C271" s="97"/>
      <c r="D271" s="97"/>
      <c r="E271" s="102"/>
      <c r="F271" s="102"/>
      <c r="G271" s="251"/>
      <c r="H271" s="251"/>
      <c r="I271" s="416"/>
      <c r="J271" s="416"/>
      <c r="K271" s="97"/>
      <c r="L271" s="97"/>
      <c r="M271" s="97"/>
      <c r="N271" s="97"/>
      <c r="O271" s="97"/>
      <c r="P271" s="97"/>
      <c r="Q271" s="97"/>
      <c r="R271" s="97"/>
      <c r="S271" s="97"/>
    </row>
    <row r="272" spans="2:19" ht="15.75" customHeight="1" x14ac:dyDescent="0.45">
      <c r="B272" s="97"/>
      <c r="C272" s="97"/>
      <c r="D272" s="97"/>
      <c r="E272" s="102"/>
      <c r="F272" s="102"/>
      <c r="G272" s="251"/>
      <c r="H272" s="251"/>
      <c r="I272" s="416"/>
      <c r="J272" s="416"/>
      <c r="K272" s="97"/>
      <c r="L272" s="97"/>
      <c r="M272" s="97"/>
      <c r="N272" s="97"/>
      <c r="O272" s="97"/>
      <c r="P272" s="97"/>
      <c r="Q272" s="97"/>
      <c r="R272" s="97"/>
      <c r="S272" s="97"/>
    </row>
    <row r="273" spans="2:19" ht="15.75" customHeight="1" x14ac:dyDescent="0.45">
      <c r="B273" s="97"/>
      <c r="C273" s="97"/>
      <c r="D273" s="97"/>
      <c r="E273" s="102"/>
      <c r="F273" s="102"/>
      <c r="G273" s="251"/>
      <c r="H273" s="251"/>
      <c r="I273" s="416"/>
      <c r="J273" s="416"/>
      <c r="K273" s="97"/>
      <c r="L273" s="97"/>
      <c r="M273" s="97"/>
      <c r="N273" s="97"/>
      <c r="O273" s="97"/>
      <c r="P273" s="97"/>
      <c r="Q273" s="97"/>
      <c r="R273" s="97"/>
      <c r="S273" s="97"/>
    </row>
    <row r="274" spans="2:19" ht="15.75" customHeight="1" x14ac:dyDescent="0.45">
      <c r="B274" s="97"/>
      <c r="C274" s="97"/>
      <c r="D274" s="97"/>
      <c r="E274" s="102"/>
      <c r="F274" s="102"/>
      <c r="G274" s="251"/>
      <c r="H274" s="251"/>
      <c r="I274" s="416"/>
      <c r="J274" s="416"/>
      <c r="K274" s="97"/>
      <c r="L274" s="97"/>
      <c r="M274" s="97"/>
      <c r="N274" s="97"/>
      <c r="O274" s="97"/>
      <c r="P274" s="97"/>
      <c r="Q274" s="97"/>
      <c r="R274" s="97"/>
      <c r="S274" s="97"/>
    </row>
    <row r="275" spans="2:19" ht="15.75" customHeight="1" x14ac:dyDescent="0.45">
      <c r="B275" s="97"/>
      <c r="C275" s="97"/>
      <c r="D275" s="97"/>
      <c r="E275" s="102"/>
      <c r="F275" s="102"/>
      <c r="G275" s="251"/>
      <c r="H275" s="251"/>
      <c r="I275" s="416"/>
      <c r="J275" s="416"/>
      <c r="K275" s="97"/>
      <c r="L275" s="97"/>
      <c r="M275" s="97"/>
      <c r="N275" s="97"/>
      <c r="O275" s="97"/>
      <c r="P275" s="97"/>
      <c r="Q275" s="97"/>
      <c r="R275" s="97"/>
      <c r="S275" s="97"/>
    </row>
    <row r="276" spans="2:19" ht="15.75" customHeight="1" x14ac:dyDescent="0.45">
      <c r="B276" s="97"/>
      <c r="C276" s="97"/>
      <c r="D276" s="97"/>
      <c r="E276" s="102"/>
      <c r="F276" s="102"/>
      <c r="G276" s="251"/>
      <c r="H276" s="251"/>
      <c r="I276" s="416"/>
      <c r="J276" s="416"/>
      <c r="K276" s="97"/>
      <c r="L276" s="97"/>
      <c r="M276" s="97"/>
      <c r="N276" s="97"/>
      <c r="O276" s="97"/>
      <c r="P276" s="97"/>
      <c r="Q276" s="97"/>
      <c r="R276" s="97"/>
      <c r="S276" s="97"/>
    </row>
    <row r="277" spans="2:19" ht="15.75" customHeight="1" x14ac:dyDescent="0.45">
      <c r="B277" s="97"/>
      <c r="C277" s="97"/>
      <c r="D277" s="97"/>
      <c r="E277" s="102"/>
      <c r="F277" s="102"/>
      <c r="G277" s="251"/>
      <c r="H277" s="251"/>
      <c r="I277" s="416"/>
      <c r="J277" s="416"/>
      <c r="K277" s="97"/>
      <c r="L277" s="97"/>
      <c r="M277" s="97"/>
      <c r="N277" s="97"/>
      <c r="O277" s="97"/>
      <c r="P277" s="97"/>
      <c r="Q277" s="97"/>
      <c r="R277" s="97"/>
      <c r="S277" s="97"/>
    </row>
    <row r="278" spans="2:19" ht="15.75" customHeight="1" x14ac:dyDescent="0.45">
      <c r="B278" s="97"/>
      <c r="C278" s="97"/>
      <c r="D278" s="97"/>
      <c r="E278" s="102"/>
      <c r="F278" s="102"/>
      <c r="G278" s="251"/>
      <c r="H278" s="251"/>
      <c r="I278" s="416"/>
      <c r="J278" s="416"/>
      <c r="K278" s="97"/>
      <c r="L278" s="97"/>
      <c r="M278" s="97"/>
      <c r="N278" s="97"/>
      <c r="O278" s="97"/>
      <c r="P278" s="97"/>
      <c r="Q278" s="97"/>
      <c r="R278" s="97"/>
      <c r="S278" s="97"/>
    </row>
    <row r="279" spans="2:19" ht="15.75" customHeight="1" x14ac:dyDescent="0.45">
      <c r="B279" s="97"/>
      <c r="C279" s="97"/>
      <c r="D279" s="97"/>
      <c r="E279" s="102"/>
      <c r="F279" s="102"/>
      <c r="G279" s="251"/>
      <c r="H279" s="251"/>
      <c r="I279" s="416"/>
      <c r="J279" s="416"/>
      <c r="K279" s="97"/>
      <c r="L279" s="97"/>
      <c r="M279" s="97"/>
      <c r="N279" s="97"/>
      <c r="O279" s="97"/>
      <c r="P279" s="97"/>
      <c r="Q279" s="97"/>
      <c r="R279" s="97"/>
      <c r="S279" s="97"/>
    </row>
    <row r="280" spans="2:19" ht="15.75" customHeight="1" x14ac:dyDescent="0.45">
      <c r="B280" s="97"/>
      <c r="C280" s="97"/>
      <c r="D280" s="97"/>
      <c r="E280" s="102"/>
      <c r="F280" s="102"/>
      <c r="G280" s="251"/>
      <c r="H280" s="251"/>
      <c r="I280" s="416"/>
      <c r="J280" s="416"/>
      <c r="K280" s="97"/>
      <c r="L280" s="97"/>
      <c r="M280" s="97"/>
      <c r="N280" s="97"/>
      <c r="O280" s="97"/>
      <c r="P280" s="97"/>
      <c r="Q280" s="97"/>
      <c r="R280" s="97"/>
      <c r="S280" s="97"/>
    </row>
    <row r="281" spans="2:19" ht="15.75" customHeight="1" x14ac:dyDescent="0.45">
      <c r="B281" s="97"/>
      <c r="C281" s="97"/>
      <c r="D281" s="97"/>
      <c r="E281" s="102"/>
      <c r="F281" s="102"/>
      <c r="G281" s="251"/>
      <c r="H281" s="251"/>
      <c r="I281" s="416"/>
      <c r="J281" s="416"/>
      <c r="K281" s="97"/>
      <c r="L281" s="97"/>
      <c r="M281" s="97"/>
      <c r="N281" s="97"/>
      <c r="O281" s="97"/>
      <c r="P281" s="97"/>
      <c r="Q281" s="97"/>
      <c r="R281" s="97"/>
      <c r="S281" s="97"/>
    </row>
    <row r="282" spans="2:19" ht="15.75" customHeight="1" x14ac:dyDescent="0.45">
      <c r="B282" s="97"/>
      <c r="C282" s="97"/>
      <c r="D282" s="97"/>
      <c r="E282" s="102"/>
      <c r="F282" s="102"/>
      <c r="G282" s="251"/>
      <c r="H282" s="251"/>
      <c r="I282" s="416"/>
      <c r="J282" s="416"/>
      <c r="K282" s="97"/>
      <c r="L282" s="97"/>
      <c r="M282" s="97"/>
      <c r="N282" s="97"/>
      <c r="O282" s="97"/>
      <c r="P282" s="97"/>
      <c r="Q282" s="97"/>
      <c r="R282" s="97"/>
      <c r="S282" s="97"/>
    </row>
    <row r="283" spans="2:19" ht="15.75" customHeight="1" x14ac:dyDescent="0.45">
      <c r="B283" s="97"/>
      <c r="C283" s="97"/>
      <c r="D283" s="97"/>
      <c r="E283" s="102"/>
      <c r="F283" s="102"/>
      <c r="G283" s="251"/>
      <c r="H283" s="251"/>
      <c r="I283" s="416"/>
      <c r="J283" s="416"/>
      <c r="K283" s="97"/>
      <c r="L283" s="97"/>
      <c r="M283" s="97"/>
      <c r="N283" s="97"/>
      <c r="O283" s="97"/>
      <c r="P283" s="97"/>
      <c r="Q283" s="97"/>
      <c r="R283" s="97"/>
      <c r="S283" s="97"/>
    </row>
    <row r="284" spans="2:19" ht="15.75" customHeight="1" x14ac:dyDescent="0.45">
      <c r="B284" s="97"/>
      <c r="C284" s="97"/>
      <c r="D284" s="97"/>
      <c r="E284" s="102"/>
      <c r="F284" s="102"/>
      <c r="G284" s="251"/>
      <c r="H284" s="251"/>
      <c r="I284" s="416"/>
      <c r="J284" s="416"/>
      <c r="K284" s="97"/>
      <c r="L284" s="97"/>
      <c r="M284" s="97"/>
      <c r="N284" s="97"/>
      <c r="O284" s="97"/>
      <c r="P284" s="97"/>
      <c r="Q284" s="97"/>
      <c r="R284" s="97"/>
      <c r="S284" s="97"/>
    </row>
    <row r="285" spans="2:19" ht="15.75" customHeight="1" x14ac:dyDescent="0.45">
      <c r="B285" s="97"/>
      <c r="C285" s="97"/>
      <c r="D285" s="97"/>
      <c r="E285" s="102"/>
      <c r="F285" s="102"/>
      <c r="G285" s="251"/>
      <c r="H285" s="251"/>
      <c r="I285" s="416"/>
      <c r="J285" s="416"/>
      <c r="K285" s="97"/>
      <c r="L285" s="97"/>
      <c r="M285" s="97"/>
      <c r="N285" s="97"/>
      <c r="O285" s="97"/>
      <c r="P285" s="97"/>
      <c r="Q285" s="97"/>
      <c r="R285" s="97"/>
      <c r="S285" s="97"/>
    </row>
    <row r="286" spans="2:19" ht="15.75" customHeight="1" x14ac:dyDescent="0.45">
      <c r="B286" s="97"/>
      <c r="C286" s="97"/>
      <c r="D286" s="97"/>
      <c r="E286" s="102"/>
      <c r="F286" s="102"/>
      <c r="G286" s="251"/>
      <c r="H286" s="251"/>
      <c r="I286" s="416"/>
      <c r="J286" s="416"/>
      <c r="K286" s="97"/>
      <c r="L286" s="97"/>
      <c r="M286" s="97"/>
      <c r="N286" s="97"/>
      <c r="O286" s="97"/>
      <c r="P286" s="97"/>
      <c r="Q286" s="97"/>
      <c r="R286" s="97"/>
      <c r="S286" s="97"/>
    </row>
    <row r="287" spans="2:19" ht="15.75" customHeight="1" x14ac:dyDescent="0.45">
      <c r="B287" s="97"/>
      <c r="C287" s="97"/>
      <c r="D287" s="97"/>
      <c r="E287" s="102"/>
      <c r="F287" s="102"/>
      <c r="G287" s="251"/>
      <c r="H287" s="251"/>
      <c r="I287" s="416"/>
      <c r="J287" s="416"/>
      <c r="K287" s="97"/>
      <c r="L287" s="97"/>
      <c r="M287" s="97"/>
      <c r="N287" s="97"/>
      <c r="O287" s="97"/>
      <c r="P287" s="97"/>
      <c r="Q287" s="97"/>
      <c r="R287" s="97"/>
      <c r="S287" s="97"/>
    </row>
    <row r="288" spans="2:19" ht="15.75" customHeight="1" x14ac:dyDescent="0.45">
      <c r="B288" s="97"/>
      <c r="C288" s="97"/>
      <c r="D288" s="97"/>
      <c r="E288" s="102"/>
      <c r="F288" s="102"/>
      <c r="G288" s="251"/>
      <c r="H288" s="251"/>
      <c r="I288" s="416"/>
      <c r="J288" s="416"/>
      <c r="K288" s="97"/>
      <c r="L288" s="97"/>
      <c r="M288" s="97"/>
      <c r="N288" s="97"/>
      <c r="O288" s="97"/>
      <c r="P288" s="97"/>
      <c r="Q288" s="97"/>
      <c r="R288" s="97"/>
      <c r="S288" s="97"/>
    </row>
    <row r="289" spans="2:19" ht="15.75" customHeight="1" x14ac:dyDescent="0.45">
      <c r="B289" s="97"/>
      <c r="C289" s="97"/>
      <c r="D289" s="97"/>
      <c r="E289" s="102"/>
      <c r="F289" s="102"/>
      <c r="G289" s="251"/>
      <c r="H289" s="251"/>
      <c r="I289" s="416"/>
      <c r="J289" s="416"/>
      <c r="K289" s="97"/>
      <c r="L289" s="97"/>
      <c r="M289" s="97"/>
      <c r="N289" s="97"/>
      <c r="O289" s="97"/>
      <c r="P289" s="97"/>
      <c r="Q289" s="97"/>
      <c r="R289" s="97"/>
      <c r="S289" s="97"/>
    </row>
    <row r="290" spans="2:19" ht="15.75" customHeight="1" x14ac:dyDescent="0.45">
      <c r="B290" s="97"/>
      <c r="C290" s="97"/>
      <c r="D290" s="97"/>
      <c r="E290" s="102"/>
      <c r="F290" s="102"/>
      <c r="G290" s="251"/>
      <c r="H290" s="251"/>
      <c r="I290" s="416"/>
      <c r="J290" s="416"/>
      <c r="K290" s="97"/>
      <c r="L290" s="97"/>
      <c r="M290" s="97"/>
      <c r="N290" s="97"/>
      <c r="O290" s="97"/>
      <c r="P290" s="97"/>
      <c r="Q290" s="97"/>
      <c r="R290" s="97"/>
      <c r="S290" s="97"/>
    </row>
    <row r="291" spans="2:19" ht="15.75" customHeight="1" x14ac:dyDescent="0.45">
      <c r="B291" s="97"/>
      <c r="C291" s="97"/>
      <c r="D291" s="97"/>
      <c r="E291" s="102"/>
      <c r="F291" s="102"/>
      <c r="G291" s="251"/>
      <c r="H291" s="251"/>
      <c r="I291" s="416"/>
      <c r="J291" s="416"/>
      <c r="K291" s="97"/>
      <c r="L291" s="97"/>
      <c r="M291" s="97"/>
      <c r="N291" s="97"/>
      <c r="O291" s="97"/>
      <c r="P291" s="97"/>
      <c r="Q291" s="97"/>
      <c r="R291" s="97"/>
      <c r="S291" s="97"/>
    </row>
    <row r="292" spans="2:19" ht="15.75" customHeight="1" x14ac:dyDescent="0.45">
      <c r="B292" s="97"/>
      <c r="C292" s="97"/>
      <c r="D292" s="97"/>
      <c r="E292" s="102"/>
      <c r="F292" s="102"/>
      <c r="G292" s="251"/>
      <c r="H292" s="251"/>
      <c r="I292" s="416"/>
      <c r="J292" s="416"/>
      <c r="K292" s="97"/>
      <c r="L292" s="97"/>
      <c r="M292" s="97"/>
      <c r="N292" s="97"/>
      <c r="O292" s="97"/>
      <c r="P292" s="97"/>
      <c r="Q292" s="97"/>
      <c r="R292" s="97"/>
      <c r="S292" s="97"/>
    </row>
    <row r="293" spans="2:19" ht="15.75" customHeight="1" x14ac:dyDescent="0.45">
      <c r="B293" s="97"/>
      <c r="C293" s="97"/>
      <c r="D293" s="97"/>
      <c r="E293" s="102"/>
      <c r="F293" s="102"/>
      <c r="G293" s="251"/>
      <c r="H293" s="251"/>
      <c r="I293" s="416"/>
      <c r="J293" s="416"/>
      <c r="K293" s="97"/>
      <c r="L293" s="97"/>
      <c r="M293" s="97"/>
      <c r="N293" s="97"/>
      <c r="O293" s="97"/>
      <c r="P293" s="97"/>
      <c r="Q293" s="97"/>
      <c r="R293" s="97"/>
      <c r="S293" s="97"/>
    </row>
    <row r="294" spans="2:19" ht="15.75" customHeight="1" x14ac:dyDescent="0.45">
      <c r="B294" s="97"/>
      <c r="C294" s="97"/>
      <c r="D294" s="97"/>
      <c r="E294" s="102"/>
      <c r="F294" s="102"/>
      <c r="G294" s="251"/>
      <c r="H294" s="251"/>
      <c r="I294" s="416"/>
      <c r="J294" s="416"/>
      <c r="K294" s="97"/>
      <c r="L294" s="97"/>
      <c r="M294" s="97"/>
      <c r="N294" s="97"/>
      <c r="O294" s="97"/>
      <c r="P294" s="97"/>
      <c r="Q294" s="97"/>
      <c r="R294" s="97"/>
      <c r="S294" s="97"/>
    </row>
    <row r="295" spans="2:19" ht="15.75" customHeight="1" x14ac:dyDescent="0.45">
      <c r="B295" s="97"/>
      <c r="C295" s="97"/>
      <c r="D295" s="97"/>
      <c r="E295" s="102"/>
      <c r="F295" s="102"/>
      <c r="G295" s="251"/>
      <c r="H295" s="251"/>
      <c r="I295" s="416"/>
      <c r="J295" s="416"/>
      <c r="K295" s="97"/>
      <c r="L295" s="97"/>
      <c r="M295" s="97"/>
      <c r="N295" s="97"/>
      <c r="O295" s="97"/>
      <c r="P295" s="97"/>
      <c r="Q295" s="97"/>
      <c r="R295" s="97"/>
      <c r="S295" s="97"/>
    </row>
    <row r="296" spans="2:19" ht="15.75" customHeight="1" x14ac:dyDescent="0.45">
      <c r="B296" s="97"/>
      <c r="C296" s="97"/>
      <c r="D296" s="97"/>
      <c r="E296" s="102"/>
      <c r="F296" s="102"/>
      <c r="G296" s="251"/>
      <c r="H296" s="251"/>
      <c r="I296" s="416"/>
      <c r="J296" s="416"/>
      <c r="K296" s="97"/>
      <c r="L296" s="97"/>
      <c r="M296" s="97"/>
      <c r="N296" s="97"/>
      <c r="O296" s="97"/>
      <c r="P296" s="97"/>
      <c r="Q296" s="97"/>
      <c r="R296" s="97"/>
      <c r="S296" s="97"/>
    </row>
    <row r="297" spans="2:19" ht="15.75" customHeight="1" x14ac:dyDescent="0.45">
      <c r="B297" s="97"/>
      <c r="C297" s="97"/>
      <c r="D297" s="97"/>
      <c r="E297" s="102"/>
      <c r="F297" s="102"/>
      <c r="G297" s="251"/>
      <c r="H297" s="251"/>
      <c r="I297" s="416"/>
      <c r="J297" s="416"/>
      <c r="K297" s="97"/>
      <c r="L297" s="97"/>
      <c r="M297" s="97"/>
      <c r="N297" s="97"/>
      <c r="O297" s="97"/>
      <c r="P297" s="97"/>
      <c r="Q297" s="97"/>
      <c r="R297" s="97"/>
      <c r="S297" s="97"/>
    </row>
    <row r="298" spans="2:19" ht="15.75" customHeight="1" x14ac:dyDescent="0.45">
      <c r="B298" s="97"/>
      <c r="C298" s="97"/>
      <c r="D298" s="97"/>
      <c r="E298" s="102"/>
      <c r="F298" s="102"/>
      <c r="G298" s="251"/>
      <c r="H298" s="251"/>
      <c r="I298" s="416"/>
      <c r="J298" s="416"/>
      <c r="K298" s="97"/>
      <c r="L298" s="97"/>
      <c r="M298" s="97"/>
      <c r="N298" s="97"/>
      <c r="O298" s="97"/>
      <c r="P298" s="97"/>
      <c r="Q298" s="97"/>
      <c r="R298" s="97"/>
      <c r="S298" s="97"/>
    </row>
    <row r="299" spans="2:19" ht="15.75" customHeight="1" x14ac:dyDescent="0.45">
      <c r="B299" s="97"/>
      <c r="C299" s="97"/>
      <c r="D299" s="97"/>
      <c r="E299" s="102"/>
      <c r="F299" s="102"/>
      <c r="G299" s="251"/>
      <c r="H299" s="251"/>
      <c r="I299" s="416"/>
      <c r="J299" s="416"/>
      <c r="K299" s="97"/>
      <c r="L299" s="97"/>
      <c r="M299" s="97"/>
      <c r="N299" s="97"/>
      <c r="O299" s="97"/>
      <c r="P299" s="97"/>
      <c r="Q299" s="97"/>
      <c r="R299" s="97"/>
      <c r="S299" s="97"/>
    </row>
    <row r="300" spans="2:19" ht="15.75" customHeight="1" x14ac:dyDescent="0.45">
      <c r="B300" s="97"/>
      <c r="C300" s="97"/>
      <c r="D300" s="97"/>
      <c r="E300" s="102"/>
      <c r="F300" s="102"/>
      <c r="G300" s="251"/>
      <c r="H300" s="251"/>
      <c r="I300" s="416"/>
      <c r="J300" s="416"/>
      <c r="K300" s="97"/>
      <c r="L300" s="97"/>
      <c r="M300" s="97"/>
      <c r="N300" s="97"/>
      <c r="O300" s="97"/>
      <c r="P300" s="97"/>
      <c r="Q300" s="97"/>
      <c r="R300" s="97"/>
      <c r="S300" s="97"/>
    </row>
    <row r="301" spans="2:19" ht="15.75" customHeight="1" x14ac:dyDescent="0.45">
      <c r="B301" s="97"/>
      <c r="C301" s="97"/>
      <c r="D301" s="97"/>
      <c r="E301" s="102"/>
      <c r="F301" s="102"/>
      <c r="G301" s="251"/>
      <c r="H301" s="251"/>
      <c r="I301" s="416"/>
      <c r="J301" s="416"/>
      <c r="K301" s="97"/>
      <c r="L301" s="97"/>
      <c r="M301" s="97"/>
      <c r="N301" s="97"/>
      <c r="O301" s="97"/>
      <c r="P301" s="97"/>
      <c r="Q301" s="97"/>
      <c r="R301" s="97"/>
      <c r="S301" s="97"/>
    </row>
    <row r="302" spans="2:19" ht="15.75" customHeight="1" x14ac:dyDescent="0.45">
      <c r="B302" s="97"/>
      <c r="C302" s="97"/>
      <c r="D302" s="97"/>
      <c r="E302" s="102"/>
      <c r="F302" s="102"/>
      <c r="G302" s="251"/>
      <c r="H302" s="251"/>
      <c r="I302" s="416"/>
      <c r="J302" s="416"/>
      <c r="K302" s="97"/>
      <c r="L302" s="97"/>
      <c r="M302" s="97"/>
      <c r="N302" s="97"/>
      <c r="O302" s="97"/>
      <c r="P302" s="97"/>
      <c r="Q302" s="97"/>
      <c r="R302" s="97"/>
      <c r="S302" s="97"/>
    </row>
    <row r="303" spans="2:19" ht="15.75" customHeight="1" x14ac:dyDescent="0.45">
      <c r="B303" s="97"/>
      <c r="C303" s="97"/>
      <c r="D303" s="97"/>
      <c r="E303" s="102"/>
      <c r="F303" s="102"/>
      <c r="G303" s="251"/>
      <c r="H303" s="251"/>
      <c r="I303" s="416"/>
      <c r="J303" s="416"/>
      <c r="K303" s="97"/>
      <c r="L303" s="97"/>
      <c r="M303" s="97"/>
      <c r="N303" s="97"/>
      <c r="O303" s="97"/>
      <c r="P303" s="97"/>
      <c r="Q303" s="97"/>
      <c r="R303" s="97"/>
      <c r="S303" s="97"/>
    </row>
    <row r="304" spans="2:19" ht="15.75" customHeight="1" x14ac:dyDescent="0.45">
      <c r="B304" s="97"/>
      <c r="C304" s="97"/>
      <c r="D304" s="97"/>
      <c r="E304" s="102"/>
      <c r="F304" s="102"/>
      <c r="G304" s="251"/>
      <c r="H304" s="251"/>
      <c r="I304" s="416"/>
      <c r="J304" s="416"/>
      <c r="K304" s="97"/>
      <c r="L304" s="97"/>
      <c r="M304" s="97"/>
      <c r="N304" s="97"/>
      <c r="O304" s="97"/>
      <c r="P304" s="97"/>
      <c r="Q304" s="97"/>
      <c r="R304" s="97"/>
      <c r="S304" s="97"/>
    </row>
    <row r="305" spans="2:19" ht="15.75" customHeight="1" x14ac:dyDescent="0.45">
      <c r="B305" s="97"/>
      <c r="C305" s="97"/>
      <c r="D305" s="97"/>
      <c r="E305" s="102"/>
      <c r="F305" s="102"/>
      <c r="G305" s="251"/>
      <c r="H305" s="251"/>
      <c r="I305" s="416"/>
      <c r="J305" s="416"/>
      <c r="K305" s="97"/>
      <c r="L305" s="97"/>
      <c r="M305" s="97"/>
      <c r="N305" s="97"/>
      <c r="O305" s="97"/>
      <c r="P305" s="97"/>
      <c r="Q305" s="97"/>
      <c r="R305" s="97"/>
      <c r="S305" s="97"/>
    </row>
    <row r="306" spans="2:19" ht="15.75" customHeight="1" x14ac:dyDescent="0.45">
      <c r="B306" s="97"/>
      <c r="C306" s="97"/>
      <c r="D306" s="97"/>
      <c r="E306" s="102"/>
      <c r="F306" s="102"/>
      <c r="G306" s="251"/>
      <c r="H306" s="251"/>
      <c r="I306" s="416"/>
      <c r="J306" s="416"/>
      <c r="K306" s="97"/>
      <c r="L306" s="97"/>
      <c r="M306" s="97"/>
      <c r="N306" s="97"/>
      <c r="O306" s="97"/>
      <c r="P306" s="97"/>
      <c r="Q306" s="97"/>
      <c r="R306" s="97"/>
      <c r="S306" s="97"/>
    </row>
    <row r="307" spans="2:19" ht="15.75" customHeight="1" x14ac:dyDescent="0.45">
      <c r="B307" s="97"/>
      <c r="C307" s="97"/>
      <c r="D307" s="97"/>
      <c r="E307" s="102"/>
      <c r="F307" s="102"/>
      <c r="G307" s="251"/>
      <c r="H307" s="251"/>
      <c r="I307" s="416"/>
      <c r="J307" s="416"/>
      <c r="K307" s="97"/>
      <c r="L307" s="97"/>
      <c r="M307" s="97"/>
      <c r="N307" s="97"/>
      <c r="O307" s="97"/>
      <c r="P307" s="97"/>
      <c r="Q307" s="97"/>
      <c r="R307" s="97"/>
      <c r="S307" s="97"/>
    </row>
    <row r="308" spans="2:19" ht="15.75" customHeight="1" x14ac:dyDescent="0.45">
      <c r="B308" s="97"/>
      <c r="C308" s="97"/>
      <c r="D308" s="97"/>
      <c r="E308" s="102"/>
      <c r="F308" s="102"/>
      <c r="G308" s="251"/>
      <c r="H308" s="251"/>
      <c r="I308" s="416"/>
      <c r="J308" s="416"/>
      <c r="K308" s="97"/>
      <c r="L308" s="97"/>
      <c r="M308" s="97"/>
      <c r="N308" s="97"/>
      <c r="O308" s="97"/>
      <c r="P308" s="97"/>
      <c r="Q308" s="97"/>
      <c r="R308" s="97"/>
      <c r="S308" s="97"/>
    </row>
    <row r="309" spans="2:19" ht="15.75" customHeight="1" x14ac:dyDescent="0.45">
      <c r="B309" s="97"/>
      <c r="C309" s="97"/>
      <c r="D309" s="97"/>
      <c r="E309" s="102"/>
      <c r="F309" s="102"/>
      <c r="G309" s="251"/>
      <c r="H309" s="251"/>
      <c r="I309" s="416"/>
      <c r="J309" s="416"/>
      <c r="K309" s="97"/>
      <c r="L309" s="97"/>
      <c r="M309" s="97"/>
      <c r="N309" s="97"/>
      <c r="O309" s="97"/>
      <c r="P309" s="97"/>
      <c r="Q309" s="97"/>
      <c r="R309" s="97"/>
      <c r="S309" s="97"/>
    </row>
    <row r="310" spans="2:19" ht="15.75" customHeight="1" x14ac:dyDescent="0.45">
      <c r="B310" s="97"/>
      <c r="C310" s="97"/>
      <c r="D310" s="97"/>
      <c r="E310" s="102"/>
      <c r="F310" s="102"/>
      <c r="G310" s="251"/>
      <c r="H310" s="251"/>
      <c r="I310" s="416"/>
      <c r="J310" s="416"/>
      <c r="K310" s="97"/>
      <c r="L310" s="97"/>
      <c r="M310" s="97"/>
      <c r="N310" s="97"/>
      <c r="O310" s="97"/>
      <c r="P310" s="97"/>
      <c r="Q310" s="97"/>
      <c r="R310" s="97"/>
      <c r="S310" s="97"/>
    </row>
    <row r="311" spans="2:19" ht="15.75" customHeight="1" x14ac:dyDescent="0.45">
      <c r="B311" s="97"/>
      <c r="C311" s="97"/>
      <c r="D311" s="97"/>
      <c r="E311" s="102"/>
      <c r="F311" s="102"/>
      <c r="G311" s="251"/>
      <c r="H311" s="251"/>
      <c r="I311" s="416"/>
      <c r="J311" s="416"/>
      <c r="K311" s="97"/>
      <c r="L311" s="97"/>
      <c r="M311" s="97"/>
      <c r="N311" s="97"/>
      <c r="O311" s="97"/>
      <c r="P311" s="97"/>
      <c r="Q311" s="97"/>
      <c r="R311" s="97"/>
      <c r="S311" s="97"/>
    </row>
    <row r="312" spans="2:19" ht="15.75" customHeight="1" x14ac:dyDescent="0.45">
      <c r="B312" s="97"/>
      <c r="C312" s="97"/>
      <c r="D312" s="97"/>
      <c r="E312" s="102"/>
      <c r="F312" s="102"/>
      <c r="G312" s="251"/>
      <c r="H312" s="251"/>
      <c r="I312" s="416"/>
      <c r="J312" s="416"/>
      <c r="K312" s="97"/>
      <c r="L312" s="97"/>
      <c r="M312" s="97"/>
      <c r="N312" s="97"/>
      <c r="O312" s="97"/>
      <c r="P312" s="97"/>
      <c r="Q312" s="97"/>
      <c r="R312" s="97"/>
      <c r="S312" s="97"/>
    </row>
    <row r="313" spans="2:19" ht="15.75" customHeight="1" x14ac:dyDescent="0.45">
      <c r="B313" s="97"/>
      <c r="C313" s="97"/>
      <c r="D313" s="97"/>
      <c r="E313" s="102"/>
      <c r="F313" s="102"/>
      <c r="G313" s="251"/>
      <c r="H313" s="251"/>
      <c r="I313" s="416"/>
      <c r="J313" s="416"/>
      <c r="K313" s="97"/>
      <c r="L313" s="97"/>
      <c r="M313" s="97"/>
      <c r="N313" s="97"/>
      <c r="O313" s="97"/>
      <c r="P313" s="97"/>
      <c r="Q313" s="97"/>
      <c r="R313" s="97"/>
      <c r="S313" s="97"/>
    </row>
    <row r="314" spans="2:19" ht="15.75" customHeight="1" x14ac:dyDescent="0.45">
      <c r="B314" s="97"/>
      <c r="C314" s="97"/>
      <c r="D314" s="97"/>
      <c r="E314" s="102"/>
      <c r="F314" s="102"/>
      <c r="G314" s="251"/>
      <c r="H314" s="251"/>
      <c r="I314" s="416"/>
      <c r="J314" s="416"/>
      <c r="K314" s="97"/>
      <c r="L314" s="97"/>
      <c r="M314" s="97"/>
      <c r="N314" s="97"/>
      <c r="O314" s="97"/>
      <c r="P314" s="97"/>
      <c r="Q314" s="97"/>
      <c r="R314" s="97"/>
      <c r="S314" s="97"/>
    </row>
    <row r="315" spans="2:19" ht="15.75" customHeight="1" x14ac:dyDescent="0.45">
      <c r="B315" s="97"/>
      <c r="C315" s="97"/>
      <c r="D315" s="97"/>
      <c r="E315" s="102"/>
      <c r="F315" s="102"/>
      <c r="G315" s="251"/>
      <c r="H315" s="251"/>
      <c r="I315" s="416"/>
      <c r="J315" s="416"/>
      <c r="K315" s="97"/>
      <c r="L315" s="97"/>
      <c r="M315" s="97"/>
      <c r="N315" s="97"/>
      <c r="O315" s="97"/>
      <c r="P315" s="97"/>
      <c r="Q315" s="97"/>
      <c r="R315" s="97"/>
      <c r="S315" s="97"/>
    </row>
    <row r="316" spans="2:19" ht="15.75" customHeight="1" x14ac:dyDescent="0.45">
      <c r="B316" s="97"/>
      <c r="C316" s="97"/>
      <c r="D316" s="97"/>
      <c r="E316" s="102"/>
      <c r="F316" s="102"/>
      <c r="G316" s="251"/>
      <c r="H316" s="251"/>
      <c r="I316" s="416"/>
      <c r="J316" s="416"/>
      <c r="K316" s="97"/>
      <c r="L316" s="97"/>
      <c r="M316" s="97"/>
      <c r="N316" s="97"/>
      <c r="O316" s="97"/>
      <c r="P316" s="97"/>
      <c r="Q316" s="97"/>
      <c r="R316" s="97"/>
      <c r="S316" s="97"/>
    </row>
    <row r="317" spans="2:19" ht="15.75" customHeight="1" x14ac:dyDescent="0.45">
      <c r="B317" s="97"/>
      <c r="C317" s="97"/>
      <c r="D317" s="97"/>
      <c r="E317" s="102"/>
      <c r="F317" s="102"/>
      <c r="G317" s="251"/>
      <c r="H317" s="251"/>
      <c r="I317" s="416"/>
      <c r="J317" s="416"/>
      <c r="K317" s="97"/>
      <c r="L317" s="97"/>
      <c r="M317" s="97"/>
      <c r="N317" s="97"/>
      <c r="O317" s="97"/>
      <c r="P317" s="97"/>
      <c r="Q317" s="97"/>
      <c r="R317" s="97"/>
      <c r="S317" s="97"/>
    </row>
    <row r="318" spans="2:19" ht="15.75" customHeight="1" x14ac:dyDescent="0.45">
      <c r="B318" s="97"/>
      <c r="C318" s="97"/>
      <c r="D318" s="97"/>
      <c r="E318" s="102"/>
      <c r="F318" s="102"/>
      <c r="G318" s="251"/>
      <c r="H318" s="251"/>
      <c r="I318" s="416"/>
      <c r="J318" s="416"/>
      <c r="K318" s="97"/>
      <c r="L318" s="97"/>
      <c r="M318" s="97"/>
      <c r="N318" s="97"/>
      <c r="O318" s="97"/>
      <c r="P318" s="97"/>
      <c r="Q318" s="97"/>
      <c r="R318" s="97"/>
      <c r="S318" s="97"/>
    </row>
    <row r="319" spans="2:19" ht="15.75" customHeight="1" x14ac:dyDescent="0.45">
      <c r="B319" s="97"/>
      <c r="C319" s="97"/>
      <c r="D319" s="97"/>
      <c r="E319" s="102"/>
      <c r="F319" s="102"/>
      <c r="G319" s="251"/>
      <c r="H319" s="251"/>
      <c r="I319" s="416"/>
      <c r="J319" s="416"/>
      <c r="K319" s="97"/>
      <c r="L319" s="97"/>
      <c r="M319" s="97"/>
      <c r="N319" s="97"/>
      <c r="O319" s="97"/>
      <c r="P319" s="97"/>
      <c r="Q319" s="97"/>
      <c r="R319" s="97"/>
      <c r="S319" s="97"/>
    </row>
    <row r="320" spans="2:19" ht="15.75" customHeight="1" x14ac:dyDescent="0.45">
      <c r="B320" s="97"/>
      <c r="C320" s="97"/>
      <c r="D320" s="97"/>
      <c r="E320" s="102"/>
      <c r="F320" s="102"/>
      <c r="G320" s="251"/>
      <c r="H320" s="251"/>
      <c r="I320" s="416"/>
      <c r="J320" s="416"/>
      <c r="K320" s="97"/>
      <c r="L320" s="97"/>
      <c r="M320" s="97"/>
      <c r="N320" s="97"/>
      <c r="O320" s="97"/>
      <c r="P320" s="97"/>
      <c r="Q320" s="97"/>
      <c r="R320" s="97"/>
      <c r="S320" s="97"/>
    </row>
    <row r="321" spans="2:19" ht="15.75" customHeight="1" x14ac:dyDescent="0.45">
      <c r="B321" s="97"/>
      <c r="C321" s="97"/>
      <c r="D321" s="97"/>
      <c r="E321" s="102"/>
      <c r="F321" s="102"/>
      <c r="G321" s="251"/>
      <c r="H321" s="251"/>
      <c r="I321" s="416"/>
      <c r="J321" s="416"/>
      <c r="K321" s="97"/>
      <c r="L321" s="97"/>
      <c r="M321" s="97"/>
      <c r="N321" s="97"/>
      <c r="O321" s="97"/>
      <c r="P321" s="97"/>
      <c r="Q321" s="97"/>
      <c r="R321" s="97"/>
      <c r="S321" s="97"/>
    </row>
    <row r="322" spans="2:19" ht="15.75" customHeight="1" x14ac:dyDescent="0.45">
      <c r="B322" s="97"/>
      <c r="C322" s="97"/>
      <c r="D322" s="97"/>
      <c r="E322" s="102"/>
      <c r="F322" s="102"/>
      <c r="G322" s="251"/>
      <c r="H322" s="251"/>
      <c r="I322" s="416"/>
      <c r="J322" s="416"/>
      <c r="K322" s="97"/>
      <c r="L322" s="97"/>
      <c r="M322" s="97"/>
      <c r="N322" s="97"/>
      <c r="O322" s="97"/>
      <c r="P322" s="97"/>
      <c r="Q322" s="97"/>
      <c r="R322" s="97"/>
      <c r="S322" s="97"/>
    </row>
    <row r="323" spans="2:19" ht="15.75" customHeight="1" x14ac:dyDescent="0.45">
      <c r="B323" s="97"/>
      <c r="C323" s="97"/>
      <c r="D323" s="97"/>
      <c r="E323" s="102"/>
      <c r="F323" s="102"/>
      <c r="G323" s="251"/>
      <c r="H323" s="251"/>
      <c r="I323" s="416"/>
      <c r="J323" s="416"/>
      <c r="K323" s="97"/>
      <c r="L323" s="97"/>
      <c r="M323" s="97"/>
      <c r="N323" s="97"/>
      <c r="O323" s="97"/>
      <c r="P323" s="97"/>
      <c r="Q323" s="97"/>
      <c r="R323" s="97"/>
      <c r="S323" s="97"/>
    </row>
    <row r="324" spans="2:19" ht="15.75" customHeight="1" x14ac:dyDescent="0.45">
      <c r="B324" s="97"/>
      <c r="C324" s="97"/>
      <c r="D324" s="97"/>
      <c r="E324" s="102"/>
      <c r="F324" s="102"/>
      <c r="G324" s="251"/>
      <c r="H324" s="251"/>
      <c r="I324" s="416"/>
      <c r="J324" s="416"/>
      <c r="K324" s="97"/>
      <c r="L324" s="97"/>
      <c r="M324" s="97"/>
      <c r="N324" s="97"/>
      <c r="O324" s="97"/>
      <c r="P324" s="97"/>
      <c r="Q324" s="97"/>
      <c r="R324" s="97"/>
      <c r="S324" s="97"/>
    </row>
    <row r="325" spans="2:19" ht="15.75" customHeight="1" x14ac:dyDescent="0.45">
      <c r="B325" s="97"/>
      <c r="C325" s="97"/>
      <c r="D325" s="97"/>
      <c r="E325" s="102"/>
      <c r="F325" s="102"/>
      <c r="G325" s="251"/>
      <c r="H325" s="251"/>
      <c r="I325" s="416"/>
      <c r="J325" s="416"/>
      <c r="K325" s="97"/>
      <c r="L325" s="97"/>
      <c r="M325" s="97"/>
      <c r="N325" s="97"/>
      <c r="O325" s="97"/>
      <c r="P325" s="97"/>
      <c r="Q325" s="97"/>
      <c r="R325" s="97"/>
      <c r="S325" s="97"/>
    </row>
    <row r="326" spans="2:19" ht="15.75" customHeight="1" x14ac:dyDescent="0.45">
      <c r="B326" s="97"/>
      <c r="C326" s="97"/>
      <c r="D326" s="97"/>
      <c r="E326" s="102"/>
      <c r="F326" s="102"/>
      <c r="G326" s="251"/>
      <c r="H326" s="251"/>
      <c r="I326" s="416"/>
      <c r="J326" s="416"/>
      <c r="K326" s="97"/>
      <c r="L326" s="97"/>
      <c r="M326" s="97"/>
      <c r="N326" s="97"/>
      <c r="O326" s="97"/>
      <c r="P326" s="97"/>
      <c r="Q326" s="97"/>
      <c r="R326" s="97"/>
      <c r="S326" s="97"/>
    </row>
    <row r="327" spans="2:19" ht="15.75" customHeight="1" x14ac:dyDescent="0.45">
      <c r="B327" s="97"/>
      <c r="C327" s="97"/>
      <c r="D327" s="97"/>
      <c r="E327" s="102"/>
      <c r="F327" s="102"/>
      <c r="G327" s="251"/>
      <c r="H327" s="251"/>
      <c r="I327" s="416"/>
      <c r="J327" s="416"/>
      <c r="K327" s="97"/>
      <c r="L327" s="97"/>
      <c r="M327" s="97"/>
      <c r="N327" s="97"/>
      <c r="O327" s="97"/>
      <c r="P327" s="97"/>
      <c r="Q327" s="97"/>
      <c r="R327" s="97"/>
      <c r="S327" s="97"/>
    </row>
    <row r="328" spans="2:19" ht="15.75" customHeight="1" x14ac:dyDescent="0.45">
      <c r="B328" s="97"/>
      <c r="C328" s="97"/>
      <c r="D328" s="97"/>
      <c r="E328" s="102"/>
      <c r="F328" s="102"/>
      <c r="G328" s="251"/>
      <c r="H328" s="251"/>
      <c r="I328" s="416"/>
      <c r="J328" s="416"/>
      <c r="K328" s="97"/>
      <c r="L328" s="97"/>
      <c r="M328" s="97"/>
      <c r="N328" s="97"/>
      <c r="O328" s="97"/>
      <c r="P328" s="97"/>
      <c r="Q328" s="97"/>
      <c r="R328" s="97"/>
      <c r="S328" s="97"/>
    </row>
    <row r="329" spans="2:19" ht="15.75" customHeight="1" x14ac:dyDescent="0.45">
      <c r="B329" s="97"/>
      <c r="C329" s="97"/>
      <c r="D329" s="97"/>
      <c r="E329" s="102"/>
      <c r="F329" s="102"/>
      <c r="G329" s="251"/>
      <c r="H329" s="251"/>
      <c r="I329" s="416"/>
      <c r="J329" s="416"/>
      <c r="K329" s="97"/>
      <c r="L329" s="97"/>
      <c r="M329" s="97"/>
      <c r="N329" s="97"/>
      <c r="O329" s="97"/>
      <c r="P329" s="97"/>
      <c r="Q329" s="97"/>
      <c r="R329" s="97"/>
      <c r="S329" s="97"/>
    </row>
    <row r="330" spans="2:19" ht="15.75" customHeight="1" x14ac:dyDescent="0.45">
      <c r="B330" s="97"/>
      <c r="C330" s="97"/>
      <c r="D330" s="97"/>
      <c r="E330" s="102"/>
      <c r="F330" s="102"/>
      <c r="G330" s="251"/>
      <c r="H330" s="251"/>
      <c r="I330" s="416"/>
      <c r="J330" s="416"/>
      <c r="K330" s="97"/>
      <c r="L330" s="97"/>
      <c r="M330" s="97"/>
      <c r="N330" s="97"/>
      <c r="O330" s="97"/>
      <c r="P330" s="97"/>
      <c r="Q330" s="97"/>
      <c r="R330" s="97"/>
      <c r="S330" s="97"/>
    </row>
    <row r="331" spans="2:19" ht="15.75" customHeight="1" x14ac:dyDescent="0.45">
      <c r="B331" s="97"/>
      <c r="C331" s="97"/>
      <c r="D331" s="97"/>
      <c r="E331" s="102"/>
      <c r="F331" s="102"/>
      <c r="G331" s="251"/>
      <c r="H331" s="251"/>
      <c r="I331" s="416"/>
      <c r="J331" s="416"/>
      <c r="K331" s="97"/>
      <c r="L331" s="97"/>
      <c r="M331" s="97"/>
      <c r="N331" s="97"/>
      <c r="O331" s="97"/>
      <c r="P331" s="97"/>
      <c r="Q331" s="97"/>
      <c r="R331" s="97"/>
      <c r="S331" s="97"/>
    </row>
    <row r="332" spans="2:19" ht="15.75" customHeight="1" x14ac:dyDescent="0.45">
      <c r="B332" s="97"/>
      <c r="C332" s="97"/>
      <c r="D332" s="97"/>
      <c r="E332" s="102"/>
      <c r="F332" s="102"/>
      <c r="G332" s="251"/>
      <c r="H332" s="251"/>
      <c r="I332" s="416"/>
      <c r="J332" s="416"/>
      <c r="K332" s="97"/>
      <c r="L332" s="97"/>
      <c r="M332" s="97"/>
      <c r="N332" s="97"/>
      <c r="O332" s="97"/>
      <c r="P332" s="97"/>
      <c r="Q332" s="97"/>
      <c r="R332" s="97"/>
      <c r="S332" s="97"/>
    </row>
    <row r="333" spans="2:19" ht="15.75" customHeight="1" x14ac:dyDescent="0.45">
      <c r="B333" s="97"/>
      <c r="C333" s="97"/>
      <c r="D333" s="97"/>
      <c r="E333" s="102"/>
      <c r="F333" s="102"/>
      <c r="G333" s="251"/>
      <c r="H333" s="251"/>
      <c r="I333" s="416"/>
      <c r="J333" s="416"/>
      <c r="K333" s="97"/>
      <c r="L333" s="97"/>
      <c r="M333" s="97"/>
      <c r="N333" s="97"/>
      <c r="O333" s="97"/>
      <c r="P333" s="97"/>
      <c r="Q333" s="97"/>
      <c r="R333" s="97"/>
      <c r="S333" s="97"/>
    </row>
    <row r="334" spans="2:19" ht="15.75" customHeight="1" x14ac:dyDescent="0.45">
      <c r="B334" s="97"/>
      <c r="C334" s="97"/>
      <c r="D334" s="97"/>
      <c r="E334" s="102"/>
      <c r="F334" s="102"/>
      <c r="G334" s="251"/>
      <c r="H334" s="251"/>
      <c r="I334" s="416"/>
      <c r="J334" s="416"/>
      <c r="K334" s="97"/>
      <c r="L334" s="97"/>
      <c r="M334" s="97"/>
      <c r="N334" s="97"/>
      <c r="O334" s="97"/>
      <c r="P334" s="97"/>
      <c r="Q334" s="97"/>
      <c r="R334" s="97"/>
      <c r="S334" s="97"/>
    </row>
    <row r="335" spans="2:19" ht="15.75" customHeight="1" x14ac:dyDescent="0.45">
      <c r="B335" s="97"/>
      <c r="C335" s="97"/>
      <c r="D335" s="97"/>
      <c r="E335" s="102"/>
      <c r="F335" s="102"/>
      <c r="G335" s="251"/>
      <c r="H335" s="251"/>
      <c r="I335" s="416"/>
      <c r="J335" s="416"/>
      <c r="K335" s="97"/>
      <c r="L335" s="97"/>
      <c r="M335" s="97"/>
      <c r="N335" s="97"/>
      <c r="O335" s="97"/>
      <c r="P335" s="97"/>
      <c r="Q335" s="97"/>
      <c r="R335" s="97"/>
      <c r="S335" s="97"/>
    </row>
    <row r="336" spans="2:19" ht="15.75" customHeight="1" x14ac:dyDescent="0.45">
      <c r="B336" s="97"/>
      <c r="C336" s="97"/>
      <c r="D336" s="97"/>
      <c r="E336" s="102"/>
      <c r="F336" s="102"/>
      <c r="G336" s="251"/>
      <c r="H336" s="251"/>
      <c r="I336" s="416"/>
      <c r="J336" s="416"/>
      <c r="K336" s="97"/>
      <c r="L336" s="97"/>
      <c r="M336" s="97"/>
      <c r="N336" s="97"/>
      <c r="O336" s="97"/>
      <c r="P336" s="97"/>
      <c r="Q336" s="97"/>
      <c r="R336" s="97"/>
      <c r="S336" s="97"/>
    </row>
    <row r="337" spans="2:19" ht="15.75" customHeight="1" x14ac:dyDescent="0.45">
      <c r="B337" s="97"/>
      <c r="C337" s="97"/>
      <c r="D337" s="97"/>
      <c r="E337" s="102"/>
      <c r="F337" s="102"/>
      <c r="G337" s="251"/>
      <c r="H337" s="251"/>
      <c r="I337" s="416"/>
      <c r="J337" s="416"/>
      <c r="K337" s="97"/>
      <c r="L337" s="97"/>
      <c r="M337" s="97"/>
      <c r="N337" s="97"/>
      <c r="O337" s="97"/>
      <c r="P337" s="97"/>
      <c r="Q337" s="97"/>
      <c r="R337" s="97"/>
      <c r="S337" s="97"/>
    </row>
    <row r="338" spans="2:19" ht="15.75" customHeight="1" x14ac:dyDescent="0.45">
      <c r="B338" s="97"/>
      <c r="C338" s="97"/>
      <c r="D338" s="97"/>
      <c r="E338" s="102"/>
      <c r="F338" s="102"/>
      <c r="G338" s="251"/>
      <c r="H338" s="251"/>
      <c r="I338" s="416"/>
      <c r="J338" s="416"/>
      <c r="K338" s="97"/>
      <c r="L338" s="97"/>
      <c r="M338" s="97"/>
      <c r="N338" s="97"/>
      <c r="O338" s="97"/>
      <c r="P338" s="97"/>
      <c r="Q338" s="97"/>
      <c r="R338" s="97"/>
      <c r="S338" s="97"/>
    </row>
    <row r="339" spans="2:19" ht="15.75" customHeight="1" x14ac:dyDescent="0.45">
      <c r="B339" s="97"/>
      <c r="C339" s="97"/>
      <c r="D339" s="97"/>
      <c r="E339" s="102"/>
      <c r="F339" s="102"/>
      <c r="G339" s="251"/>
      <c r="H339" s="251"/>
      <c r="I339" s="416"/>
      <c r="J339" s="416"/>
      <c r="K339" s="97"/>
      <c r="L339" s="97"/>
      <c r="M339" s="97"/>
      <c r="N339" s="97"/>
      <c r="O339" s="97"/>
      <c r="P339" s="97"/>
      <c r="Q339" s="97"/>
      <c r="R339" s="97"/>
      <c r="S339" s="97"/>
    </row>
    <row r="340" spans="2:19" ht="15.75" customHeight="1" x14ac:dyDescent="0.45">
      <c r="B340" s="97"/>
      <c r="C340" s="97"/>
      <c r="D340" s="97"/>
      <c r="E340" s="102"/>
      <c r="F340" s="102"/>
      <c r="G340" s="251"/>
      <c r="H340" s="251"/>
      <c r="I340" s="416"/>
      <c r="J340" s="416"/>
      <c r="K340" s="97"/>
      <c r="L340" s="97"/>
      <c r="M340" s="97"/>
      <c r="N340" s="97"/>
      <c r="O340" s="97"/>
      <c r="P340" s="97"/>
      <c r="Q340" s="97"/>
      <c r="R340" s="97"/>
      <c r="S340" s="97"/>
    </row>
    <row r="341" spans="2:19" ht="15.75" customHeight="1" x14ac:dyDescent="0.45">
      <c r="B341" s="97"/>
      <c r="C341" s="97"/>
      <c r="D341" s="97"/>
      <c r="E341" s="102"/>
      <c r="F341" s="102"/>
      <c r="G341" s="251"/>
      <c r="H341" s="251"/>
      <c r="I341" s="416"/>
      <c r="J341" s="416"/>
      <c r="K341" s="97"/>
      <c r="L341" s="97"/>
      <c r="M341" s="97"/>
      <c r="N341" s="97"/>
      <c r="O341" s="97"/>
      <c r="P341" s="97"/>
      <c r="Q341" s="97"/>
      <c r="R341" s="97"/>
      <c r="S341" s="97"/>
    </row>
    <row r="342" spans="2:19" ht="15.75" customHeight="1" x14ac:dyDescent="0.45">
      <c r="B342" s="97"/>
      <c r="C342" s="97"/>
      <c r="D342" s="97"/>
      <c r="E342" s="102"/>
      <c r="F342" s="102"/>
      <c r="G342" s="251"/>
      <c r="H342" s="251"/>
      <c r="I342" s="416"/>
      <c r="J342" s="416"/>
      <c r="K342" s="97"/>
      <c r="L342" s="97"/>
      <c r="M342" s="97"/>
      <c r="N342" s="97"/>
      <c r="O342" s="97"/>
      <c r="P342" s="97"/>
      <c r="Q342" s="97"/>
      <c r="R342" s="97"/>
      <c r="S342" s="97"/>
    </row>
    <row r="343" spans="2:19" ht="15.75" customHeight="1" x14ac:dyDescent="0.45">
      <c r="B343" s="97"/>
      <c r="C343" s="97"/>
      <c r="D343" s="97"/>
      <c r="E343" s="102"/>
      <c r="F343" s="102"/>
      <c r="G343" s="251"/>
      <c r="H343" s="251"/>
      <c r="I343" s="416"/>
      <c r="J343" s="416"/>
      <c r="K343" s="97"/>
      <c r="L343" s="97"/>
      <c r="M343" s="97"/>
      <c r="N343" s="97"/>
      <c r="O343" s="97"/>
      <c r="P343" s="97"/>
      <c r="Q343" s="97"/>
      <c r="R343" s="97"/>
      <c r="S343" s="97"/>
    </row>
    <row r="344" spans="2:19" ht="15.75" customHeight="1" x14ac:dyDescent="0.45">
      <c r="B344" s="97"/>
      <c r="C344" s="97"/>
      <c r="D344" s="97"/>
      <c r="E344" s="102"/>
      <c r="F344" s="102"/>
      <c r="G344" s="251"/>
      <c r="H344" s="251"/>
      <c r="I344" s="416"/>
      <c r="J344" s="416"/>
      <c r="K344" s="97"/>
      <c r="L344" s="97"/>
      <c r="M344" s="97"/>
      <c r="N344" s="97"/>
      <c r="O344" s="97"/>
      <c r="P344" s="97"/>
      <c r="Q344" s="97"/>
      <c r="R344" s="97"/>
      <c r="S344" s="97"/>
    </row>
    <row r="345" spans="2:19" ht="15.75" customHeight="1" x14ac:dyDescent="0.45">
      <c r="B345" s="97"/>
      <c r="C345" s="97"/>
      <c r="D345" s="97"/>
      <c r="E345" s="102"/>
      <c r="F345" s="102"/>
      <c r="G345" s="251"/>
      <c r="H345" s="251"/>
      <c r="I345" s="416"/>
      <c r="J345" s="416"/>
      <c r="K345" s="97"/>
      <c r="L345" s="97"/>
      <c r="M345" s="97"/>
      <c r="N345" s="97"/>
      <c r="O345" s="97"/>
      <c r="P345" s="97"/>
      <c r="Q345" s="97"/>
      <c r="R345" s="97"/>
      <c r="S345" s="97"/>
    </row>
    <row r="346" spans="2:19" ht="15.75" customHeight="1" x14ac:dyDescent="0.45">
      <c r="B346" s="97"/>
      <c r="C346" s="97"/>
      <c r="D346" s="97"/>
      <c r="E346" s="102"/>
      <c r="F346" s="102"/>
      <c r="G346" s="251"/>
      <c r="H346" s="251"/>
      <c r="I346" s="416"/>
      <c r="J346" s="416"/>
      <c r="K346" s="97"/>
      <c r="L346" s="97"/>
      <c r="M346" s="97"/>
      <c r="N346" s="97"/>
      <c r="O346" s="97"/>
      <c r="P346" s="97"/>
      <c r="Q346" s="97"/>
      <c r="R346" s="97"/>
      <c r="S346" s="97"/>
    </row>
    <row r="347" spans="2:19" ht="15.75" customHeight="1" x14ac:dyDescent="0.45">
      <c r="B347" s="97"/>
      <c r="C347" s="97"/>
      <c r="D347" s="97"/>
      <c r="E347" s="102"/>
      <c r="F347" s="102"/>
      <c r="G347" s="251"/>
      <c r="H347" s="251"/>
      <c r="I347" s="416"/>
      <c r="J347" s="416"/>
      <c r="K347" s="97"/>
      <c r="L347" s="97"/>
      <c r="M347" s="97"/>
      <c r="N347" s="97"/>
      <c r="O347" s="97"/>
      <c r="P347" s="97"/>
      <c r="Q347" s="97"/>
      <c r="R347" s="97"/>
      <c r="S347" s="97"/>
    </row>
    <row r="348" spans="2:19" ht="15.75" customHeight="1" x14ac:dyDescent="0.45">
      <c r="B348" s="97"/>
      <c r="C348" s="97"/>
      <c r="D348" s="97"/>
      <c r="E348" s="102"/>
      <c r="F348" s="102"/>
      <c r="G348" s="251"/>
      <c r="H348" s="251"/>
      <c r="I348" s="416"/>
      <c r="J348" s="416"/>
      <c r="K348" s="97"/>
      <c r="L348" s="97"/>
      <c r="M348" s="97"/>
      <c r="N348" s="97"/>
      <c r="O348" s="97"/>
      <c r="P348" s="97"/>
      <c r="Q348" s="97"/>
      <c r="R348" s="97"/>
      <c r="S348" s="97"/>
    </row>
    <row r="349" spans="2:19" ht="15.75" customHeight="1" x14ac:dyDescent="0.45">
      <c r="B349" s="97"/>
      <c r="C349" s="97"/>
      <c r="D349" s="97"/>
      <c r="E349" s="102"/>
      <c r="F349" s="102"/>
      <c r="G349" s="251"/>
      <c r="H349" s="251"/>
      <c r="I349" s="416"/>
      <c r="J349" s="416"/>
      <c r="K349" s="97"/>
      <c r="L349" s="97"/>
      <c r="M349" s="97"/>
      <c r="N349" s="97"/>
      <c r="O349" s="97"/>
      <c r="P349" s="97"/>
      <c r="Q349" s="97"/>
      <c r="R349" s="97"/>
      <c r="S349" s="97"/>
    </row>
    <row r="350" spans="2:19" ht="15.75" customHeight="1" x14ac:dyDescent="0.45">
      <c r="B350" s="97"/>
      <c r="C350" s="97"/>
      <c r="D350" s="97"/>
      <c r="E350" s="102"/>
      <c r="F350" s="102"/>
      <c r="G350" s="251"/>
      <c r="H350" s="251"/>
      <c r="I350" s="416"/>
      <c r="J350" s="416"/>
      <c r="K350" s="97"/>
      <c r="L350" s="97"/>
      <c r="M350" s="97"/>
      <c r="N350" s="97"/>
      <c r="O350" s="97"/>
      <c r="P350" s="97"/>
      <c r="Q350" s="97"/>
      <c r="R350" s="97"/>
      <c r="S350" s="97"/>
    </row>
    <row r="351" spans="2:19" ht="15.75" customHeight="1" x14ac:dyDescent="0.45">
      <c r="B351" s="97"/>
      <c r="C351" s="97"/>
      <c r="D351" s="97"/>
      <c r="E351" s="102"/>
      <c r="F351" s="102"/>
      <c r="G351" s="251"/>
      <c r="H351" s="251"/>
      <c r="I351" s="416"/>
      <c r="J351" s="416"/>
      <c r="K351" s="97"/>
      <c r="L351" s="97"/>
      <c r="M351" s="97"/>
      <c r="N351" s="97"/>
      <c r="O351" s="97"/>
      <c r="P351" s="97"/>
      <c r="Q351" s="97"/>
      <c r="R351" s="97"/>
      <c r="S351" s="97"/>
    </row>
    <row r="352" spans="2:19" ht="15.75" customHeight="1" x14ac:dyDescent="0.45">
      <c r="B352" s="97"/>
      <c r="C352" s="97"/>
      <c r="D352" s="97"/>
      <c r="E352" s="102"/>
      <c r="F352" s="102"/>
      <c r="G352" s="251"/>
      <c r="H352" s="251"/>
      <c r="I352" s="416"/>
      <c r="J352" s="416"/>
      <c r="K352" s="97"/>
      <c r="L352" s="97"/>
      <c r="M352" s="97"/>
      <c r="N352" s="97"/>
      <c r="O352" s="97"/>
      <c r="P352" s="97"/>
      <c r="Q352" s="97"/>
      <c r="R352" s="97"/>
      <c r="S352" s="97"/>
    </row>
    <row r="353" spans="2:19" ht="15.75" customHeight="1" x14ac:dyDescent="0.45">
      <c r="B353" s="97"/>
      <c r="C353" s="97"/>
      <c r="D353" s="97"/>
      <c r="E353" s="102"/>
      <c r="F353" s="102"/>
      <c r="G353" s="251"/>
      <c r="H353" s="251"/>
      <c r="I353" s="416"/>
      <c r="J353" s="416"/>
      <c r="K353" s="97"/>
      <c r="L353" s="97"/>
      <c r="M353" s="97"/>
      <c r="N353" s="97"/>
      <c r="O353" s="97"/>
      <c r="P353" s="97"/>
      <c r="Q353" s="97"/>
      <c r="R353" s="97"/>
      <c r="S353" s="97"/>
    </row>
    <row r="354" spans="2:19" ht="15.75" customHeight="1" x14ac:dyDescent="0.45">
      <c r="B354" s="97"/>
      <c r="C354" s="97"/>
      <c r="D354" s="97"/>
      <c r="E354" s="102"/>
      <c r="F354" s="102"/>
      <c r="G354" s="251"/>
      <c r="H354" s="251"/>
      <c r="I354" s="416"/>
      <c r="J354" s="416"/>
      <c r="K354" s="97"/>
      <c r="L354" s="97"/>
      <c r="M354" s="97"/>
      <c r="N354" s="97"/>
      <c r="O354" s="97"/>
      <c r="P354" s="97"/>
      <c r="Q354" s="97"/>
      <c r="R354" s="97"/>
      <c r="S354" s="97"/>
    </row>
    <row r="355" spans="2:19" ht="15.75" customHeight="1" x14ac:dyDescent="0.45">
      <c r="B355" s="97"/>
      <c r="C355" s="97"/>
      <c r="D355" s="97"/>
      <c r="E355" s="102"/>
      <c r="F355" s="102"/>
      <c r="G355" s="251"/>
      <c r="H355" s="251"/>
      <c r="I355" s="416"/>
      <c r="J355" s="416"/>
      <c r="K355" s="97"/>
      <c r="L355" s="97"/>
      <c r="M355" s="97"/>
      <c r="N355" s="97"/>
      <c r="O355" s="97"/>
      <c r="P355" s="97"/>
      <c r="Q355" s="97"/>
      <c r="R355" s="97"/>
      <c r="S355" s="97"/>
    </row>
    <row r="356" spans="2:19" ht="15.75" customHeight="1" x14ac:dyDescent="0.45">
      <c r="B356" s="97"/>
      <c r="C356" s="97"/>
      <c r="D356" s="97"/>
      <c r="E356" s="102"/>
      <c r="F356" s="102"/>
      <c r="G356" s="251"/>
      <c r="H356" s="251"/>
      <c r="I356" s="416"/>
      <c r="J356" s="416"/>
      <c r="K356" s="97"/>
      <c r="L356" s="97"/>
      <c r="M356" s="97"/>
      <c r="N356" s="97"/>
      <c r="O356" s="97"/>
      <c r="P356" s="97"/>
      <c r="Q356" s="97"/>
      <c r="R356" s="97"/>
      <c r="S356" s="97"/>
    </row>
    <row r="357" spans="2:19" ht="15.75" customHeight="1" x14ac:dyDescent="0.45">
      <c r="B357" s="97"/>
      <c r="C357" s="97"/>
      <c r="D357" s="97"/>
      <c r="E357" s="102"/>
      <c r="F357" s="102"/>
      <c r="G357" s="251"/>
      <c r="H357" s="251"/>
      <c r="I357" s="416"/>
      <c r="J357" s="416"/>
      <c r="K357" s="97"/>
      <c r="L357" s="97"/>
      <c r="M357" s="97"/>
      <c r="N357" s="97"/>
      <c r="O357" s="97"/>
      <c r="P357" s="97"/>
      <c r="Q357" s="97"/>
      <c r="R357" s="97"/>
      <c r="S357" s="97"/>
    </row>
    <row r="358" spans="2:19" ht="15.75" customHeight="1" x14ac:dyDescent="0.45">
      <c r="B358" s="97"/>
      <c r="C358" s="97"/>
      <c r="D358" s="97"/>
      <c r="E358" s="102"/>
      <c r="F358" s="102"/>
      <c r="G358" s="251"/>
      <c r="H358" s="251"/>
      <c r="I358" s="416"/>
      <c r="J358" s="416"/>
      <c r="K358" s="97"/>
      <c r="L358" s="97"/>
      <c r="M358" s="97"/>
      <c r="N358" s="97"/>
      <c r="O358" s="97"/>
      <c r="P358" s="97"/>
      <c r="Q358" s="97"/>
      <c r="R358" s="97"/>
      <c r="S358" s="97"/>
    </row>
    <row r="359" spans="2:19" ht="15.75" customHeight="1" x14ac:dyDescent="0.45">
      <c r="B359" s="97"/>
      <c r="C359" s="97"/>
      <c r="D359" s="97"/>
      <c r="E359" s="102"/>
      <c r="F359" s="102"/>
      <c r="G359" s="251"/>
      <c r="H359" s="251"/>
      <c r="I359" s="416"/>
      <c r="J359" s="416"/>
      <c r="K359" s="97"/>
      <c r="L359" s="97"/>
      <c r="M359" s="97"/>
      <c r="N359" s="97"/>
      <c r="O359" s="97"/>
      <c r="P359" s="97"/>
      <c r="Q359" s="97"/>
      <c r="R359" s="97"/>
      <c r="S359" s="97"/>
    </row>
    <row r="360" spans="2:19" ht="15.75" customHeight="1" x14ac:dyDescent="0.45">
      <c r="B360" s="97"/>
      <c r="C360" s="97"/>
      <c r="D360" s="97"/>
      <c r="E360" s="102"/>
      <c r="F360" s="102"/>
      <c r="G360" s="251"/>
      <c r="H360" s="251"/>
      <c r="I360" s="416"/>
      <c r="J360" s="416"/>
      <c r="K360" s="97"/>
      <c r="L360" s="97"/>
      <c r="M360" s="97"/>
      <c r="N360" s="97"/>
      <c r="O360" s="97"/>
      <c r="P360" s="97"/>
      <c r="Q360" s="97"/>
      <c r="R360" s="97"/>
      <c r="S360" s="97"/>
    </row>
    <row r="361" spans="2:19" ht="15.75" customHeight="1" x14ac:dyDescent="0.45">
      <c r="B361" s="97"/>
      <c r="C361" s="97"/>
      <c r="D361" s="97"/>
      <c r="E361" s="102"/>
      <c r="F361" s="102"/>
      <c r="G361" s="251"/>
      <c r="H361" s="251"/>
      <c r="I361" s="416"/>
      <c r="J361" s="416"/>
      <c r="K361" s="97"/>
      <c r="L361" s="97"/>
      <c r="M361" s="97"/>
      <c r="N361" s="97"/>
      <c r="O361" s="97"/>
      <c r="P361" s="97"/>
      <c r="Q361" s="97"/>
      <c r="R361" s="97"/>
      <c r="S361" s="97"/>
    </row>
    <row r="362" spans="2:19" ht="15.75" customHeight="1" x14ac:dyDescent="0.45">
      <c r="B362" s="97"/>
      <c r="C362" s="97"/>
      <c r="D362" s="97"/>
      <c r="E362" s="102"/>
      <c r="F362" s="102"/>
      <c r="G362" s="251"/>
      <c r="H362" s="251"/>
      <c r="I362" s="416"/>
      <c r="J362" s="416"/>
      <c r="K362" s="97"/>
      <c r="L362" s="97"/>
      <c r="M362" s="97"/>
      <c r="N362" s="97"/>
      <c r="O362" s="97"/>
      <c r="P362" s="97"/>
      <c r="Q362" s="97"/>
      <c r="R362" s="97"/>
      <c r="S362" s="97"/>
    </row>
    <row r="363" spans="2:19" ht="15.75" customHeight="1" x14ac:dyDescent="0.45">
      <c r="B363" s="97"/>
      <c r="C363" s="97"/>
      <c r="D363" s="97"/>
      <c r="E363" s="102"/>
      <c r="F363" s="102"/>
      <c r="G363" s="251"/>
      <c r="H363" s="251"/>
      <c r="I363" s="416"/>
      <c r="J363" s="416"/>
      <c r="K363" s="97"/>
      <c r="L363" s="97"/>
      <c r="M363" s="97"/>
      <c r="N363" s="97"/>
      <c r="O363" s="97"/>
      <c r="P363" s="97"/>
      <c r="Q363" s="97"/>
      <c r="R363" s="97"/>
      <c r="S363" s="97"/>
    </row>
    <row r="364" spans="2:19" ht="15.75" customHeight="1" x14ac:dyDescent="0.45">
      <c r="B364" s="97"/>
      <c r="C364" s="97"/>
      <c r="D364" s="97"/>
      <c r="E364" s="102"/>
      <c r="F364" s="102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</row>
    <row r="365" spans="2:19" ht="15.75" customHeight="1" x14ac:dyDescent="0.45">
      <c r="B365" s="97"/>
      <c r="C365" s="97"/>
      <c r="D365" s="97"/>
      <c r="E365" s="102"/>
      <c r="F365" s="102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</row>
    <row r="366" spans="2:19" ht="15.75" customHeight="1" x14ac:dyDescent="0.45">
      <c r="B366" s="97"/>
      <c r="C366" s="97"/>
      <c r="D366" s="97"/>
      <c r="E366" s="102"/>
      <c r="F366" s="102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</row>
    <row r="367" spans="2:19" ht="15.75" customHeight="1" x14ac:dyDescent="0.45">
      <c r="B367" s="97"/>
      <c r="C367" s="97"/>
      <c r="D367" s="97"/>
      <c r="E367" s="102"/>
      <c r="F367" s="102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</row>
    <row r="368" spans="2:19" ht="15.75" customHeight="1" x14ac:dyDescent="0.45">
      <c r="B368" s="97"/>
      <c r="C368" s="97"/>
      <c r="D368" s="97"/>
      <c r="E368" s="102"/>
      <c r="F368" s="102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</row>
    <row r="369" spans="2:19" ht="15.75" customHeight="1" x14ac:dyDescent="0.45">
      <c r="B369" s="97"/>
      <c r="C369" s="97"/>
      <c r="D369" s="97"/>
      <c r="E369" s="102"/>
      <c r="F369" s="102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</row>
    <row r="370" spans="2:19" ht="15.75" customHeight="1" x14ac:dyDescent="0.45">
      <c r="B370" s="97"/>
      <c r="C370" s="97"/>
      <c r="D370" s="97"/>
      <c r="E370" s="102"/>
      <c r="F370" s="102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</row>
    <row r="371" spans="2:19" ht="15.75" customHeight="1" x14ac:dyDescent="0.45">
      <c r="B371" s="97"/>
      <c r="C371" s="97"/>
      <c r="D371" s="97"/>
      <c r="E371" s="102"/>
      <c r="F371" s="102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</row>
    <row r="372" spans="2:19" ht="15.75" customHeight="1" x14ac:dyDescent="0.45">
      <c r="B372" s="97"/>
      <c r="C372" s="97"/>
      <c r="D372" s="97"/>
      <c r="E372" s="102"/>
      <c r="F372" s="102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</row>
    <row r="373" spans="2:19" ht="15.75" customHeight="1" x14ac:dyDescent="0.45"/>
    <row r="374" spans="2:19" ht="15.75" customHeight="1" x14ac:dyDescent="0.45"/>
    <row r="375" spans="2:19" ht="15.75" customHeight="1" x14ac:dyDescent="0.45"/>
    <row r="376" spans="2:19" ht="15.75" customHeight="1" x14ac:dyDescent="0.45"/>
    <row r="377" spans="2:19" ht="15.75" customHeight="1" x14ac:dyDescent="0.45"/>
    <row r="378" spans="2:19" ht="15.75" customHeight="1" x14ac:dyDescent="0.45"/>
    <row r="379" spans="2:19" ht="15.75" customHeight="1" x14ac:dyDescent="0.45"/>
    <row r="380" spans="2:19" ht="15.75" customHeight="1" x14ac:dyDescent="0.45"/>
    <row r="381" spans="2:19" ht="15.75" customHeight="1" x14ac:dyDescent="0.45"/>
    <row r="382" spans="2:19" ht="15.75" customHeight="1" x14ac:dyDescent="0.45"/>
    <row r="383" spans="2:19" ht="15.75" customHeight="1" x14ac:dyDescent="0.45"/>
    <row r="384" spans="2:19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  <row r="1001" ht="15.75" customHeight="1" x14ac:dyDescent="0.45"/>
  </sheetData>
  <mergeCells count="3">
    <mergeCell ref="B83:D83"/>
    <mergeCell ref="B125:D125"/>
    <mergeCell ref="B157:C15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2A41C-9FE1-4712-A9D4-FD4F3E782BF8}">
  <dimension ref="A1:AE1004"/>
  <sheetViews>
    <sheetView topLeftCell="A67" workbookViewId="0">
      <selection activeCell="D45" sqref="D45"/>
    </sheetView>
  </sheetViews>
  <sheetFormatPr baseColWidth="10" defaultColWidth="14.3984375" defaultRowHeight="14.25" x14ac:dyDescent="0.45"/>
  <cols>
    <col min="1" max="1" width="15.53125" bestFit="1" customWidth="1"/>
    <col min="2" max="2" width="8.6640625" bestFit="1" customWidth="1"/>
    <col min="3" max="3" width="25.796875" bestFit="1" customWidth="1"/>
    <col min="4" max="4" width="25.33203125" bestFit="1" customWidth="1"/>
    <col min="5" max="5" width="10.6640625" bestFit="1" customWidth="1"/>
    <col min="6" max="6" width="11.59765625" bestFit="1" customWidth="1"/>
    <col min="7" max="7" width="10.59765625" bestFit="1" customWidth="1"/>
    <col min="8" max="8" width="15.06640625" bestFit="1" customWidth="1"/>
    <col min="9" max="9" width="17.53125" bestFit="1" customWidth="1"/>
    <col min="10" max="10" width="15.265625" bestFit="1" customWidth="1"/>
    <col min="11" max="11" width="5.6640625" bestFit="1" customWidth="1"/>
    <col min="12" max="12" width="17.06640625" bestFit="1" customWidth="1"/>
    <col min="13" max="13" width="9.59765625" bestFit="1" customWidth="1"/>
    <col min="14" max="14" width="10.59765625" bestFit="1" customWidth="1"/>
    <col min="15" max="15" width="11.59765625" bestFit="1" customWidth="1"/>
    <col min="16" max="16" width="8.53125" bestFit="1" customWidth="1"/>
    <col min="17" max="17" width="11.46484375" bestFit="1" customWidth="1"/>
    <col min="18" max="18" width="12.46484375" bestFit="1" customWidth="1"/>
    <col min="19" max="19" width="10.46484375" bestFit="1" customWidth="1"/>
    <col min="20" max="20" width="11.265625" bestFit="1" customWidth="1"/>
    <col min="21" max="21" width="8.53125" bestFit="1" customWidth="1"/>
    <col min="22" max="22" width="9.265625" bestFit="1" customWidth="1"/>
    <col min="23" max="23" width="8.59765625" bestFit="1" customWidth="1"/>
    <col min="24" max="31" width="10.73046875" customWidth="1"/>
  </cols>
  <sheetData>
    <row r="1" spans="1:23" x14ac:dyDescent="0.45">
      <c r="B1" s="94" t="s">
        <v>60</v>
      </c>
      <c r="C1" s="95"/>
      <c r="D1" s="98"/>
      <c r="E1" s="95"/>
      <c r="F1" s="95"/>
      <c r="G1" s="98"/>
      <c r="H1" s="98"/>
      <c r="I1" s="98"/>
      <c r="J1" s="98"/>
      <c r="K1" s="97"/>
      <c r="L1" s="97"/>
      <c r="M1" s="97"/>
      <c r="N1" s="97"/>
      <c r="O1" s="97"/>
      <c r="P1" s="97"/>
      <c r="Q1" s="97"/>
      <c r="R1" s="97"/>
      <c r="S1" s="97"/>
      <c r="T1" s="97"/>
    </row>
    <row r="2" spans="1:23" x14ac:dyDescent="0.45">
      <c r="B2" s="94" t="s">
        <v>184</v>
      </c>
      <c r="C2" s="409"/>
      <c r="D2" s="98"/>
      <c r="E2" s="95"/>
      <c r="F2" s="95"/>
      <c r="G2" s="98"/>
      <c r="H2" s="98"/>
      <c r="I2" s="98"/>
      <c r="J2" s="98"/>
      <c r="K2" s="97"/>
      <c r="L2" s="97"/>
      <c r="M2" s="97"/>
      <c r="N2" s="97"/>
      <c r="O2" s="97"/>
      <c r="P2" s="97"/>
      <c r="Q2" s="97"/>
      <c r="R2" s="97"/>
      <c r="S2" s="97"/>
      <c r="T2" s="97"/>
    </row>
    <row r="3" spans="1:23" x14ac:dyDescent="0.45">
      <c r="B3" s="94" t="s">
        <v>185</v>
      </c>
      <c r="C3" s="95"/>
      <c r="D3" s="98"/>
      <c r="E3" s="95"/>
      <c r="F3" s="95"/>
      <c r="G3" s="98"/>
      <c r="H3" s="98"/>
      <c r="I3" s="98"/>
      <c r="J3" s="98"/>
      <c r="K3" s="97"/>
      <c r="L3" s="97"/>
      <c r="M3" s="97"/>
      <c r="N3" s="97"/>
      <c r="O3" s="97"/>
      <c r="P3" s="97"/>
      <c r="Q3" s="97"/>
      <c r="R3" s="97"/>
      <c r="S3" s="97"/>
      <c r="T3" s="97"/>
    </row>
    <row r="4" spans="1:23" x14ac:dyDescent="0.45">
      <c r="B4" s="94" t="s">
        <v>186</v>
      </c>
      <c r="C4" s="95"/>
      <c r="D4" s="98" t="s">
        <v>187</v>
      </c>
      <c r="E4" s="95"/>
      <c r="F4" s="95"/>
      <c r="G4" s="98"/>
      <c r="H4" s="98"/>
      <c r="I4" s="98"/>
      <c r="J4" s="98"/>
      <c r="K4" s="97"/>
      <c r="L4" s="97"/>
      <c r="M4" s="97"/>
      <c r="N4" s="97"/>
      <c r="O4" s="97"/>
      <c r="P4" s="97"/>
      <c r="Q4" s="97"/>
      <c r="R4" s="97"/>
      <c r="S4" s="97"/>
      <c r="T4" s="97"/>
    </row>
    <row r="5" spans="1:23" x14ac:dyDescent="0.45">
      <c r="B5" s="94" t="s">
        <v>188</v>
      </c>
      <c r="C5" s="95"/>
      <c r="D5" s="98" t="s">
        <v>187</v>
      </c>
      <c r="E5" s="95"/>
      <c r="F5" s="95"/>
      <c r="G5" s="98"/>
      <c r="H5" s="98"/>
      <c r="I5" s="98"/>
      <c r="J5" s="98"/>
      <c r="K5" s="97"/>
      <c r="L5" s="97"/>
      <c r="M5" s="97"/>
      <c r="N5" s="97"/>
      <c r="O5" s="97"/>
      <c r="P5" s="97"/>
      <c r="Q5" s="97"/>
      <c r="R5" s="97"/>
      <c r="S5" s="97"/>
      <c r="T5" s="97"/>
    </row>
    <row r="6" spans="1:23" x14ac:dyDescent="0.45">
      <c r="B6" s="484" t="s">
        <v>189</v>
      </c>
      <c r="C6" s="485" t="s">
        <v>844</v>
      </c>
      <c r="D6" s="488">
        <f>'c303-c503'!C6</f>
        <v>0</v>
      </c>
      <c r="E6" s="485" t="s">
        <v>860</v>
      </c>
      <c r="F6" s="488" t="str">
        <f>'c303-c503'!E6</f>
        <v>x</v>
      </c>
      <c r="G6" s="410"/>
      <c r="H6" s="410"/>
      <c r="I6" s="410"/>
      <c r="J6" s="410"/>
      <c r="K6" s="97"/>
      <c r="L6" s="97"/>
      <c r="M6" s="97"/>
      <c r="N6" s="97"/>
      <c r="O6" s="97"/>
      <c r="P6" s="97"/>
      <c r="Q6" s="97"/>
      <c r="R6" s="97"/>
      <c r="S6" s="97"/>
      <c r="T6" s="97"/>
    </row>
    <row r="7" spans="1:23" x14ac:dyDescent="0.45">
      <c r="B7" s="97"/>
      <c r="C7" s="97"/>
      <c r="D7" s="97"/>
      <c r="E7" s="102"/>
      <c r="F7" s="102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</row>
    <row r="8" spans="1:23" ht="31.5" x14ac:dyDescent="0.45">
      <c r="B8" s="475" t="s">
        <v>191</v>
      </c>
      <c r="C8" s="889" t="s">
        <v>192</v>
      </c>
      <c r="D8" s="893"/>
      <c r="E8" s="476" t="s">
        <v>55</v>
      </c>
      <c r="F8" s="477" t="s">
        <v>54</v>
      </c>
      <c r="G8" s="567" t="s">
        <v>193</v>
      </c>
      <c r="H8" s="477" t="s">
        <v>53</v>
      </c>
      <c r="I8" s="478" t="s">
        <v>52</v>
      </c>
      <c r="J8" s="477" t="s">
        <v>656</v>
      </c>
      <c r="K8" s="477"/>
      <c r="L8" s="478" t="s">
        <v>50</v>
      </c>
      <c r="M8" s="478" t="s">
        <v>49</v>
      </c>
      <c r="N8" s="478" t="s">
        <v>48</v>
      </c>
      <c r="O8" s="92" t="s">
        <v>176</v>
      </c>
      <c r="P8" s="234" t="s">
        <v>178</v>
      </c>
      <c r="Q8" s="479" t="s">
        <v>162</v>
      </c>
      <c r="R8" s="281" t="s">
        <v>163</v>
      </c>
      <c r="S8" s="281" t="s">
        <v>165</v>
      </c>
      <c r="T8" s="282" t="s">
        <v>169</v>
      </c>
      <c r="U8" s="282" t="s">
        <v>164</v>
      </c>
      <c r="V8" s="279" t="s">
        <v>47</v>
      </c>
      <c r="W8" s="19" t="s">
        <v>46</v>
      </c>
    </row>
    <row r="9" spans="1:23" x14ac:dyDescent="0.45">
      <c r="A9" s="440" t="s">
        <v>260</v>
      </c>
      <c r="B9" s="449">
        <v>8058750190</v>
      </c>
      <c r="C9" s="441" t="s">
        <v>657</v>
      </c>
      <c r="D9" s="396" t="s">
        <v>658</v>
      </c>
      <c r="E9" s="408">
        <v>1300</v>
      </c>
      <c r="F9" s="566">
        <v>182</v>
      </c>
      <c r="G9" s="578">
        <f>'c303-c503'!F9</f>
        <v>0</v>
      </c>
      <c r="H9" s="219">
        <f t="shared" ref="H9:H40" si="0">G9/E9</f>
        <v>0</v>
      </c>
      <c r="I9" s="507">
        <f>(30*BC!$B$47/F9)</f>
        <v>0</v>
      </c>
      <c r="J9" s="508">
        <f t="shared" ref="J9:J40" si="1">IF(I9&gt;H9,I9,H9)</f>
        <v>0</v>
      </c>
      <c r="K9" s="508">
        <f t="shared" ref="K9:K40" si="2">IF(H9=0,0,J9)</f>
        <v>0</v>
      </c>
      <c r="L9" s="194">
        <f>ROUNDUP(K9,0)</f>
        <v>0</v>
      </c>
      <c r="M9" s="364">
        <v>286</v>
      </c>
      <c r="N9" s="365">
        <f>M9*L9</f>
        <v>0</v>
      </c>
      <c r="O9" s="91" t="e">
        <f t="shared" ref="O9:O40" si="3">((M9*$L$157)+M9)</f>
        <v>#DIV/0!</v>
      </c>
      <c r="P9" s="148" t="e">
        <f t="shared" ref="P9" si="4">O9*L9</f>
        <v>#DIV/0!</v>
      </c>
      <c r="Q9" s="371">
        <f t="shared" ref="Q9:Q40" si="5">M9/E9</f>
        <v>0.22</v>
      </c>
      <c r="R9" s="374" t="e">
        <f>(Q9+$N$155)+((BC!$F$125)/$G$82)</f>
        <v>#DIV/0!</v>
      </c>
      <c r="S9" s="514" t="e">
        <f t="shared" ref="S9:S40" si="6">R9*G9</f>
        <v>#DIV/0!</v>
      </c>
      <c r="T9" s="223" t="e">
        <f>((R9*0.15)+R9)</f>
        <v>#DIV/0!</v>
      </c>
      <c r="U9" s="223" t="e">
        <f t="shared" ref="U9:U40" si="7">T9*G9</f>
        <v>#DIV/0!</v>
      </c>
      <c r="V9" s="225" t="e">
        <f>SUM(U9:U69)</f>
        <v>#DIV/0!</v>
      </c>
      <c r="W9" s="226" t="e">
        <f>SUM(S9:S69)</f>
        <v>#DIV/0!</v>
      </c>
    </row>
    <row r="10" spans="1:23" x14ac:dyDescent="0.45">
      <c r="A10" s="263">
        <f>G9+G10+G11+G12+G13+G14+G15+G16+G17+G18+G19+G20+G21+G22+G23+G24+G25+G26+G27+G28+G29+G30+G31+G32+G33+G34+G35+G36</f>
        <v>0</v>
      </c>
      <c r="B10" s="449">
        <v>8056692190</v>
      </c>
      <c r="C10" s="441" t="s">
        <v>659</v>
      </c>
      <c r="D10" s="396" t="s">
        <v>660</v>
      </c>
      <c r="E10" s="408">
        <v>750</v>
      </c>
      <c r="F10" s="566">
        <v>182</v>
      </c>
      <c r="G10" s="578">
        <f>'c303-c503'!F10</f>
        <v>0</v>
      </c>
      <c r="H10" s="219">
        <f t="shared" si="0"/>
        <v>0</v>
      </c>
      <c r="I10" s="507">
        <f>(30*BC!$B$47/F10)</f>
        <v>0</v>
      </c>
      <c r="J10" s="508">
        <f t="shared" si="1"/>
        <v>0</v>
      </c>
      <c r="K10" s="508">
        <f t="shared" si="2"/>
        <v>0</v>
      </c>
      <c r="L10" s="194">
        <f t="shared" ref="L10:L72" si="8">ROUNDUP(K10,0)</f>
        <v>0</v>
      </c>
      <c r="M10" s="364">
        <v>180</v>
      </c>
      <c r="N10" s="365">
        <f t="shared" ref="N10:N72" si="9">M10*L10</f>
        <v>0</v>
      </c>
      <c r="O10" s="91" t="e">
        <f t="shared" si="3"/>
        <v>#DIV/0!</v>
      </c>
      <c r="P10" s="148" t="e">
        <f t="shared" ref="P10:P72" si="10">O10*L10</f>
        <v>#DIV/0!</v>
      </c>
      <c r="Q10" s="371">
        <f t="shared" si="5"/>
        <v>0.24</v>
      </c>
      <c r="R10" s="374" t="e">
        <f>(Q10+$N$155)+((BC!$F$125)/$G$82)</f>
        <v>#DIV/0!</v>
      </c>
      <c r="S10" s="514" t="e">
        <f t="shared" si="6"/>
        <v>#DIV/0!</v>
      </c>
      <c r="T10" s="223" t="e">
        <f t="shared" ref="T10:T72" si="11">((R10*0.15)+R10)</f>
        <v>#DIV/0!</v>
      </c>
      <c r="U10" s="223" t="e">
        <f t="shared" si="7"/>
        <v>#DIV/0!</v>
      </c>
    </row>
    <row r="11" spans="1:23" x14ac:dyDescent="0.45">
      <c r="B11" s="450">
        <v>8056811190</v>
      </c>
      <c r="C11" s="439" t="s">
        <v>661</v>
      </c>
      <c r="D11" s="396" t="s">
        <v>662</v>
      </c>
      <c r="E11" s="408">
        <v>750</v>
      </c>
      <c r="F11" s="566">
        <v>182</v>
      </c>
      <c r="G11" s="578">
        <f>'c303-c503'!F11</f>
        <v>0</v>
      </c>
      <c r="H11" s="219">
        <f t="shared" si="0"/>
        <v>0</v>
      </c>
      <c r="I11" s="507">
        <f>(30*BC!$B$47/F11)</f>
        <v>0</v>
      </c>
      <c r="J11" s="508">
        <f t="shared" si="1"/>
        <v>0</v>
      </c>
      <c r="K11" s="508">
        <f t="shared" si="2"/>
        <v>0</v>
      </c>
      <c r="L11" s="194">
        <f t="shared" si="8"/>
        <v>0</v>
      </c>
      <c r="M11" s="364">
        <v>495</v>
      </c>
      <c r="N11" s="365">
        <f t="shared" si="9"/>
        <v>0</v>
      </c>
      <c r="O11" s="91" t="e">
        <f t="shared" si="3"/>
        <v>#DIV/0!</v>
      </c>
      <c r="P11" s="148" t="e">
        <f t="shared" si="10"/>
        <v>#DIV/0!</v>
      </c>
      <c r="Q11" s="371">
        <f t="shared" si="5"/>
        <v>0.66</v>
      </c>
      <c r="R11" s="374" t="e">
        <f>(Q11+$N$155)+((BC!$F$125)/$G$82)</f>
        <v>#DIV/0!</v>
      </c>
      <c r="S11" s="514" t="e">
        <f t="shared" si="6"/>
        <v>#DIV/0!</v>
      </c>
      <c r="T11" s="223" t="e">
        <f t="shared" si="11"/>
        <v>#DIV/0!</v>
      </c>
      <c r="U11" s="223" t="e">
        <f t="shared" si="7"/>
        <v>#DIV/0!</v>
      </c>
    </row>
    <row r="12" spans="1:23" x14ac:dyDescent="0.45">
      <c r="A12" s="261" t="s">
        <v>836</v>
      </c>
      <c r="B12" s="448">
        <v>8056820190</v>
      </c>
      <c r="C12" s="439" t="s">
        <v>663</v>
      </c>
      <c r="D12" s="396" t="s">
        <v>664</v>
      </c>
      <c r="E12" s="408">
        <v>450</v>
      </c>
      <c r="F12" s="566">
        <v>182</v>
      </c>
      <c r="G12" s="578">
        <f>'c303-c503'!F12</f>
        <v>0</v>
      </c>
      <c r="H12" s="219">
        <f t="shared" si="0"/>
        <v>0</v>
      </c>
      <c r="I12" s="507">
        <f>(30*BC!$B$47/F12)</f>
        <v>0</v>
      </c>
      <c r="J12" s="508">
        <f t="shared" si="1"/>
        <v>0</v>
      </c>
      <c r="K12" s="508">
        <f t="shared" si="2"/>
        <v>0</v>
      </c>
      <c r="L12" s="194">
        <f t="shared" si="8"/>
        <v>0</v>
      </c>
      <c r="M12" s="364">
        <v>297</v>
      </c>
      <c r="N12" s="365">
        <f t="shared" si="9"/>
        <v>0</v>
      </c>
      <c r="O12" s="91" t="e">
        <f t="shared" si="3"/>
        <v>#DIV/0!</v>
      </c>
      <c r="P12" s="148" t="e">
        <f t="shared" si="10"/>
        <v>#DIV/0!</v>
      </c>
      <c r="Q12" s="371">
        <f t="shared" si="5"/>
        <v>0.66</v>
      </c>
      <c r="R12" s="374" t="e">
        <f>(Q12+$N$155)+((BC!$F$125)/$G$82)</f>
        <v>#DIV/0!</v>
      </c>
      <c r="S12" s="514" t="e">
        <f t="shared" si="6"/>
        <v>#DIV/0!</v>
      </c>
      <c r="T12" s="223" t="e">
        <f t="shared" si="11"/>
        <v>#DIV/0!</v>
      </c>
      <c r="U12" s="223" t="e">
        <f t="shared" si="7"/>
        <v>#DIV/0!</v>
      </c>
    </row>
    <row r="13" spans="1:23" x14ac:dyDescent="0.45">
      <c r="A13" s="261">
        <f>G37+G38+G39+G40</f>
        <v>0</v>
      </c>
      <c r="B13" s="448">
        <v>10421436190</v>
      </c>
      <c r="C13" s="439" t="s">
        <v>665</v>
      </c>
      <c r="D13" s="396" t="s">
        <v>666</v>
      </c>
      <c r="E13" s="408">
        <v>1050</v>
      </c>
      <c r="F13" s="566">
        <v>182</v>
      </c>
      <c r="G13" s="578">
        <f>'c303-c503'!F13</f>
        <v>0</v>
      </c>
      <c r="H13" s="219">
        <f t="shared" si="0"/>
        <v>0</v>
      </c>
      <c r="I13" s="507">
        <f>(30*BC!$B$47/F13)</f>
        <v>0</v>
      </c>
      <c r="J13" s="508">
        <f t="shared" si="1"/>
        <v>0</v>
      </c>
      <c r="K13" s="508">
        <f t="shared" si="2"/>
        <v>0</v>
      </c>
      <c r="L13" s="194">
        <f t="shared" si="8"/>
        <v>0</v>
      </c>
      <c r="M13" s="364">
        <v>357</v>
      </c>
      <c r="N13" s="365">
        <f t="shared" si="9"/>
        <v>0</v>
      </c>
      <c r="O13" s="91" t="e">
        <f t="shared" si="3"/>
        <v>#DIV/0!</v>
      </c>
      <c r="P13" s="148" t="e">
        <f t="shared" si="10"/>
        <v>#DIV/0!</v>
      </c>
      <c r="Q13" s="371">
        <f t="shared" si="5"/>
        <v>0.34</v>
      </c>
      <c r="R13" s="374" t="e">
        <f>(Q13+$N$155)+((BC!$F$125)/$G$82)</f>
        <v>#DIV/0!</v>
      </c>
      <c r="S13" s="514" t="e">
        <f t="shared" si="6"/>
        <v>#DIV/0!</v>
      </c>
      <c r="T13" s="223" t="e">
        <f t="shared" si="11"/>
        <v>#DIV/0!</v>
      </c>
      <c r="U13" s="223" t="e">
        <f t="shared" si="7"/>
        <v>#DIV/0!</v>
      </c>
    </row>
    <row r="14" spans="1:23" x14ac:dyDescent="0.45">
      <c r="B14" s="448">
        <v>8056951190</v>
      </c>
      <c r="C14" s="439" t="s">
        <v>667</v>
      </c>
      <c r="D14" s="396" t="s">
        <v>668</v>
      </c>
      <c r="E14" s="408">
        <v>1000</v>
      </c>
      <c r="F14" s="566">
        <v>182</v>
      </c>
      <c r="G14" s="578">
        <f>'c303-c503'!F14</f>
        <v>0</v>
      </c>
      <c r="H14" s="219">
        <f t="shared" si="0"/>
        <v>0</v>
      </c>
      <c r="I14" s="507">
        <f>(30*BC!$B$47/F14)</f>
        <v>0</v>
      </c>
      <c r="J14" s="508">
        <f t="shared" si="1"/>
        <v>0</v>
      </c>
      <c r="K14" s="508">
        <f t="shared" si="2"/>
        <v>0</v>
      </c>
      <c r="L14" s="194">
        <f t="shared" si="8"/>
        <v>0</v>
      </c>
      <c r="M14" s="364">
        <v>410</v>
      </c>
      <c r="N14" s="365">
        <f t="shared" si="9"/>
        <v>0</v>
      </c>
      <c r="O14" s="91" t="e">
        <f t="shared" si="3"/>
        <v>#DIV/0!</v>
      </c>
      <c r="P14" s="148" t="e">
        <f t="shared" si="10"/>
        <v>#DIV/0!</v>
      </c>
      <c r="Q14" s="371">
        <f t="shared" si="5"/>
        <v>0.41</v>
      </c>
      <c r="R14" s="374" t="e">
        <f>(Q14+$N$155)+((BC!$F$125)/$G$82)</f>
        <v>#DIV/0!</v>
      </c>
      <c r="S14" s="514" t="e">
        <f t="shared" si="6"/>
        <v>#DIV/0!</v>
      </c>
      <c r="T14" s="223" t="e">
        <f t="shared" si="11"/>
        <v>#DIV/0!</v>
      </c>
      <c r="U14" s="223" t="e">
        <f t="shared" si="7"/>
        <v>#DIV/0!</v>
      </c>
    </row>
    <row r="15" spans="1:23" x14ac:dyDescent="0.45">
      <c r="A15" s="241" t="s">
        <v>837</v>
      </c>
      <c r="B15" s="448">
        <v>8057427190</v>
      </c>
      <c r="C15" s="439" t="s">
        <v>669</v>
      </c>
      <c r="D15" s="396" t="s">
        <v>670</v>
      </c>
      <c r="E15" s="408">
        <v>1500</v>
      </c>
      <c r="F15" s="566">
        <v>182</v>
      </c>
      <c r="G15" s="578">
        <f>'c303-c503'!F15</f>
        <v>0</v>
      </c>
      <c r="H15" s="219">
        <f t="shared" si="0"/>
        <v>0</v>
      </c>
      <c r="I15" s="507">
        <f>(30*BC!$B$47/F15)</f>
        <v>0</v>
      </c>
      <c r="J15" s="508">
        <f t="shared" si="1"/>
        <v>0</v>
      </c>
      <c r="K15" s="508">
        <f t="shared" si="2"/>
        <v>0</v>
      </c>
      <c r="L15" s="194">
        <f t="shared" si="8"/>
        <v>0</v>
      </c>
      <c r="M15" s="364">
        <v>540</v>
      </c>
      <c r="N15" s="365">
        <f t="shared" si="9"/>
        <v>0</v>
      </c>
      <c r="O15" s="91" t="e">
        <f t="shared" si="3"/>
        <v>#DIV/0!</v>
      </c>
      <c r="P15" s="148" t="e">
        <f t="shared" si="10"/>
        <v>#DIV/0!</v>
      </c>
      <c r="Q15" s="371">
        <f t="shared" si="5"/>
        <v>0.36</v>
      </c>
      <c r="R15" s="374" t="e">
        <f>(Q15+$N$155)+((BC!$F$125)/$G$82)</f>
        <v>#DIV/0!</v>
      </c>
      <c r="S15" s="514" t="e">
        <f t="shared" si="6"/>
        <v>#DIV/0!</v>
      </c>
      <c r="T15" s="223" t="e">
        <f t="shared" si="11"/>
        <v>#DIV/0!</v>
      </c>
      <c r="U15" s="223" t="e">
        <f t="shared" si="7"/>
        <v>#DIV/0!</v>
      </c>
    </row>
    <row r="16" spans="1:23" x14ac:dyDescent="0.45">
      <c r="A16" s="241">
        <f>G43+G44</f>
        <v>0</v>
      </c>
      <c r="B16" s="448">
        <v>8057443190</v>
      </c>
      <c r="C16" s="439" t="s">
        <v>671</v>
      </c>
      <c r="D16" s="396" t="s">
        <v>672</v>
      </c>
      <c r="E16" s="408">
        <v>2600</v>
      </c>
      <c r="F16" s="566">
        <v>182</v>
      </c>
      <c r="G16" s="578">
        <f>'c303-c503'!F16</f>
        <v>0</v>
      </c>
      <c r="H16" s="219">
        <f t="shared" si="0"/>
        <v>0</v>
      </c>
      <c r="I16" s="507">
        <f>(30*BC!$B$47/F16)</f>
        <v>0</v>
      </c>
      <c r="J16" s="508">
        <f t="shared" si="1"/>
        <v>0</v>
      </c>
      <c r="K16" s="508">
        <f t="shared" si="2"/>
        <v>0</v>
      </c>
      <c r="L16" s="194">
        <f t="shared" si="8"/>
        <v>0</v>
      </c>
      <c r="M16" s="364">
        <v>572</v>
      </c>
      <c r="N16" s="365">
        <f t="shared" si="9"/>
        <v>0</v>
      </c>
      <c r="O16" s="91" t="e">
        <f t="shared" si="3"/>
        <v>#DIV/0!</v>
      </c>
      <c r="P16" s="148" t="e">
        <f t="shared" si="10"/>
        <v>#DIV/0!</v>
      </c>
      <c r="Q16" s="371">
        <f t="shared" si="5"/>
        <v>0.22</v>
      </c>
      <c r="R16" s="374" t="e">
        <f>(Q16+$N$155)+((BC!$F$125)/$G$82)</f>
        <v>#DIV/0!</v>
      </c>
      <c r="S16" s="514" t="e">
        <f t="shared" si="6"/>
        <v>#DIV/0!</v>
      </c>
      <c r="T16" s="223" t="e">
        <f t="shared" si="11"/>
        <v>#DIV/0!</v>
      </c>
      <c r="U16" s="223" t="e">
        <f t="shared" si="7"/>
        <v>#DIV/0!</v>
      </c>
    </row>
    <row r="17" spans="1:21" x14ac:dyDescent="0.45">
      <c r="B17" s="448">
        <v>8105561190</v>
      </c>
      <c r="C17" s="439" t="s">
        <v>673</v>
      </c>
      <c r="D17" s="396" t="s">
        <v>674</v>
      </c>
      <c r="E17" s="408">
        <v>1050</v>
      </c>
      <c r="F17" s="566">
        <v>182</v>
      </c>
      <c r="G17" s="578">
        <f>'c303-c503'!F17</f>
        <v>0</v>
      </c>
      <c r="H17" s="219">
        <f t="shared" si="0"/>
        <v>0</v>
      </c>
      <c r="I17" s="507">
        <f>(30*BC!$B$47/F17)</f>
        <v>0</v>
      </c>
      <c r="J17" s="508">
        <f t="shared" si="1"/>
        <v>0</v>
      </c>
      <c r="K17" s="508">
        <f t="shared" si="2"/>
        <v>0</v>
      </c>
      <c r="L17" s="194">
        <f t="shared" si="8"/>
        <v>0</v>
      </c>
      <c r="M17" s="364">
        <v>872</v>
      </c>
      <c r="N17" s="365">
        <f t="shared" si="9"/>
        <v>0</v>
      </c>
      <c r="O17" s="91" t="e">
        <f t="shared" si="3"/>
        <v>#DIV/0!</v>
      </c>
      <c r="P17" s="148" t="e">
        <f t="shared" si="10"/>
        <v>#DIV/0!</v>
      </c>
      <c r="Q17" s="371">
        <f t="shared" si="5"/>
        <v>0.83047619047619048</v>
      </c>
      <c r="R17" s="374" t="e">
        <f>(Q17+$N$155)+((BC!$F$125)/$G$82)</f>
        <v>#DIV/0!</v>
      </c>
      <c r="S17" s="514" t="e">
        <f t="shared" si="6"/>
        <v>#DIV/0!</v>
      </c>
      <c r="T17" s="223" t="e">
        <f t="shared" si="11"/>
        <v>#DIV/0!</v>
      </c>
      <c r="U17" s="223" t="e">
        <f t="shared" si="7"/>
        <v>#DIV/0!</v>
      </c>
    </row>
    <row r="18" spans="1:21" x14ac:dyDescent="0.45">
      <c r="B18" s="448">
        <v>8057460190</v>
      </c>
      <c r="C18" s="439" t="s">
        <v>675</v>
      </c>
      <c r="D18" s="396" t="s">
        <v>676</v>
      </c>
      <c r="E18" s="408">
        <v>500</v>
      </c>
      <c r="F18" s="566">
        <v>56</v>
      </c>
      <c r="G18" s="578">
        <f>'c303-c503'!F18</f>
        <v>0</v>
      </c>
      <c r="H18" s="219">
        <f t="shared" si="0"/>
        <v>0</v>
      </c>
      <c r="I18" s="507">
        <f>(30*BC!$B$47/F18)</f>
        <v>0</v>
      </c>
      <c r="J18" s="508">
        <f t="shared" si="1"/>
        <v>0</v>
      </c>
      <c r="K18" s="508">
        <f t="shared" si="2"/>
        <v>0</v>
      </c>
      <c r="L18" s="194">
        <f t="shared" si="8"/>
        <v>0</v>
      </c>
      <c r="M18" s="364">
        <v>280</v>
      </c>
      <c r="N18" s="365">
        <f t="shared" si="9"/>
        <v>0</v>
      </c>
      <c r="O18" s="91" t="e">
        <f t="shared" si="3"/>
        <v>#DIV/0!</v>
      </c>
      <c r="P18" s="148" t="e">
        <f t="shared" si="10"/>
        <v>#DIV/0!</v>
      </c>
      <c r="Q18" s="371">
        <f t="shared" si="5"/>
        <v>0.56000000000000005</v>
      </c>
      <c r="R18" s="374" t="e">
        <f>(Q18+$N$155)+((BC!$F$125)/$G$82)</f>
        <v>#DIV/0!</v>
      </c>
      <c r="S18" s="514" t="e">
        <f t="shared" si="6"/>
        <v>#DIV/0!</v>
      </c>
      <c r="T18" s="223" t="e">
        <f t="shared" si="11"/>
        <v>#DIV/0!</v>
      </c>
      <c r="U18" s="223" t="e">
        <f t="shared" si="7"/>
        <v>#DIV/0!</v>
      </c>
    </row>
    <row r="19" spans="1:21" ht="15.75" customHeight="1" x14ac:dyDescent="0.45">
      <c r="A19" s="242" t="s">
        <v>840</v>
      </c>
      <c r="B19" s="448">
        <v>8056757190</v>
      </c>
      <c r="C19" s="439" t="s">
        <v>677</v>
      </c>
      <c r="D19" s="396" t="s">
        <v>678</v>
      </c>
      <c r="E19" s="408">
        <v>1100</v>
      </c>
      <c r="F19" s="566">
        <v>56</v>
      </c>
      <c r="G19" s="578">
        <f>'c303-c503'!F19</f>
        <v>0</v>
      </c>
      <c r="H19" s="219">
        <f t="shared" si="0"/>
        <v>0</v>
      </c>
      <c r="I19" s="507">
        <f>(30*BC!$B$47/F19)</f>
        <v>0</v>
      </c>
      <c r="J19" s="508">
        <f t="shared" si="1"/>
        <v>0</v>
      </c>
      <c r="K19" s="508">
        <f t="shared" si="2"/>
        <v>0</v>
      </c>
      <c r="L19" s="194">
        <f t="shared" si="8"/>
        <v>0</v>
      </c>
      <c r="M19" s="364">
        <v>341</v>
      </c>
      <c r="N19" s="365">
        <f t="shared" si="9"/>
        <v>0</v>
      </c>
      <c r="O19" s="91" t="e">
        <f t="shared" si="3"/>
        <v>#DIV/0!</v>
      </c>
      <c r="P19" s="148" t="e">
        <f t="shared" si="10"/>
        <v>#DIV/0!</v>
      </c>
      <c r="Q19" s="371">
        <f t="shared" si="5"/>
        <v>0.31</v>
      </c>
      <c r="R19" s="374" t="e">
        <f>(Q19+$N$155)+((BC!$F$125)/$G$82)</f>
        <v>#DIV/0!</v>
      </c>
      <c r="S19" s="514" t="e">
        <f t="shared" si="6"/>
        <v>#DIV/0!</v>
      </c>
      <c r="T19" s="223" t="e">
        <f t="shared" si="11"/>
        <v>#DIV/0!</v>
      </c>
      <c r="U19" s="223" t="e">
        <f t="shared" si="7"/>
        <v>#DIV/0!</v>
      </c>
    </row>
    <row r="20" spans="1:21" ht="15.75" customHeight="1" x14ac:dyDescent="0.45">
      <c r="A20" s="242" t="e">
        <f>#REF!+G51+G52+G53+G54+G55+G56+G57+G58+G59+G60+G61+G62</f>
        <v>#REF!</v>
      </c>
      <c r="B20" s="448">
        <v>8058610190</v>
      </c>
      <c r="C20" s="439" t="s">
        <v>679</v>
      </c>
      <c r="D20" s="396" t="s">
        <v>680</v>
      </c>
      <c r="E20" s="408">
        <v>750</v>
      </c>
      <c r="F20" s="566">
        <v>182</v>
      </c>
      <c r="G20" s="578">
        <f>'c303-c503'!F20</f>
        <v>0</v>
      </c>
      <c r="H20" s="219">
        <f t="shared" si="0"/>
        <v>0</v>
      </c>
      <c r="I20" s="507">
        <f>(30*BC!$B$47/F20)</f>
        <v>0</v>
      </c>
      <c r="J20" s="508">
        <f t="shared" si="1"/>
        <v>0</v>
      </c>
      <c r="K20" s="508">
        <f t="shared" si="2"/>
        <v>0</v>
      </c>
      <c r="L20" s="194">
        <f t="shared" si="8"/>
        <v>0</v>
      </c>
      <c r="M20" s="364">
        <v>203</v>
      </c>
      <c r="N20" s="365">
        <f t="shared" si="9"/>
        <v>0</v>
      </c>
      <c r="O20" s="91" t="e">
        <f t="shared" si="3"/>
        <v>#DIV/0!</v>
      </c>
      <c r="P20" s="148" t="e">
        <f t="shared" si="10"/>
        <v>#DIV/0!</v>
      </c>
      <c r="Q20" s="371">
        <f t="shared" si="5"/>
        <v>0.27066666666666667</v>
      </c>
      <c r="R20" s="374" t="e">
        <f>(Q20+$N$155)+((BC!$F$125)/$G$82)</f>
        <v>#DIV/0!</v>
      </c>
      <c r="S20" s="514" t="e">
        <f t="shared" si="6"/>
        <v>#DIV/0!</v>
      </c>
      <c r="T20" s="223" t="e">
        <f t="shared" si="11"/>
        <v>#DIV/0!</v>
      </c>
      <c r="U20" s="223" t="e">
        <f t="shared" si="7"/>
        <v>#DIV/0!</v>
      </c>
    </row>
    <row r="21" spans="1:21" ht="15.75" customHeight="1" x14ac:dyDescent="0.45">
      <c r="B21" s="448">
        <v>8057796190</v>
      </c>
      <c r="C21" s="439" t="s">
        <v>681</v>
      </c>
      <c r="D21" s="396" t="s">
        <v>682</v>
      </c>
      <c r="E21" s="408">
        <v>400</v>
      </c>
      <c r="F21" s="566">
        <v>84</v>
      </c>
      <c r="G21" s="578">
        <f>'c303-c503'!F21</f>
        <v>0</v>
      </c>
      <c r="H21" s="219">
        <f t="shared" si="0"/>
        <v>0</v>
      </c>
      <c r="I21" s="507">
        <f>(30*BC!$B$47/F21)</f>
        <v>0</v>
      </c>
      <c r="J21" s="508">
        <f t="shared" si="1"/>
        <v>0</v>
      </c>
      <c r="K21" s="508">
        <f t="shared" si="2"/>
        <v>0</v>
      </c>
      <c r="L21" s="194">
        <f t="shared" si="8"/>
        <v>0</v>
      </c>
      <c r="M21" s="364">
        <v>192</v>
      </c>
      <c r="N21" s="365">
        <f t="shared" si="9"/>
        <v>0</v>
      </c>
      <c r="O21" s="91" t="e">
        <f t="shared" si="3"/>
        <v>#DIV/0!</v>
      </c>
      <c r="P21" s="148" t="e">
        <f t="shared" si="10"/>
        <v>#DIV/0!</v>
      </c>
      <c r="Q21" s="371">
        <f t="shared" si="5"/>
        <v>0.48</v>
      </c>
      <c r="R21" s="374" t="e">
        <f>(Q21+$N$155)+((BC!$F$125)/$G$82)</f>
        <v>#DIV/0!</v>
      </c>
      <c r="S21" s="514" t="e">
        <f t="shared" si="6"/>
        <v>#DIV/0!</v>
      </c>
      <c r="T21" s="223" t="e">
        <f t="shared" si="11"/>
        <v>#DIV/0!</v>
      </c>
      <c r="U21" s="223" t="e">
        <f t="shared" si="7"/>
        <v>#DIV/0!</v>
      </c>
    </row>
    <row r="22" spans="1:21" ht="15.75" customHeight="1" x14ac:dyDescent="0.45">
      <c r="A22" s="447" t="s">
        <v>838</v>
      </c>
      <c r="B22" s="448">
        <v>8057800190</v>
      </c>
      <c r="C22" s="439" t="s">
        <v>683</v>
      </c>
      <c r="D22" s="396" t="s">
        <v>684</v>
      </c>
      <c r="E22" s="408">
        <v>3300</v>
      </c>
      <c r="F22" s="566">
        <v>182</v>
      </c>
      <c r="G22" s="578">
        <f>'c303-c503'!F22</f>
        <v>0</v>
      </c>
      <c r="H22" s="219">
        <f t="shared" si="0"/>
        <v>0</v>
      </c>
      <c r="I22" s="507">
        <f>(30*BC!$B$47/F22)</f>
        <v>0</v>
      </c>
      <c r="J22" s="508">
        <f t="shared" si="1"/>
        <v>0</v>
      </c>
      <c r="K22" s="508">
        <f t="shared" si="2"/>
        <v>0</v>
      </c>
      <c r="L22" s="194">
        <f t="shared" si="8"/>
        <v>0</v>
      </c>
      <c r="M22" s="364">
        <v>726</v>
      </c>
      <c r="N22" s="365">
        <f t="shared" si="9"/>
        <v>0</v>
      </c>
      <c r="O22" s="91" t="e">
        <f t="shared" si="3"/>
        <v>#DIV/0!</v>
      </c>
      <c r="P22" s="148" t="e">
        <f t="shared" si="10"/>
        <v>#DIV/0!</v>
      </c>
      <c r="Q22" s="371">
        <f t="shared" si="5"/>
        <v>0.22</v>
      </c>
      <c r="R22" s="374" t="e">
        <f>(Q22+$N$155)+((BC!$F$125)/$G$82)</f>
        <v>#DIV/0!</v>
      </c>
      <c r="S22" s="514" t="e">
        <f t="shared" si="6"/>
        <v>#DIV/0!</v>
      </c>
      <c r="T22" s="223" t="e">
        <f t="shared" si="11"/>
        <v>#DIV/0!</v>
      </c>
      <c r="U22" s="223" t="e">
        <f t="shared" si="7"/>
        <v>#DIV/0!</v>
      </c>
    </row>
    <row r="23" spans="1:21" ht="15.75" customHeight="1" x14ac:dyDescent="0.45">
      <c r="A23" s="447" t="e">
        <f>G9+G10+G11+G12+G13+G14+G15+G16+G17+G18+G19+G20+G21+G22+G23+G24+G25+G26+G27+G28+G29+G30+G31+G32+G33+G34+G35+G36+G37+G38+G39+G40+G42+#REF!+G45+G46+G47+G48+G49+G50+G51+G52+G53+G54+G55+G56+G57+G58+G59+G60+G61+G62</f>
        <v>#REF!</v>
      </c>
      <c r="B23" s="448">
        <v>8057931190</v>
      </c>
      <c r="C23" s="439" t="s">
        <v>685</v>
      </c>
      <c r="D23" s="396" t="s">
        <v>686</v>
      </c>
      <c r="E23" s="408">
        <v>700</v>
      </c>
      <c r="F23" s="566">
        <v>84</v>
      </c>
      <c r="G23" s="578">
        <f>'c303-c503'!F23</f>
        <v>0</v>
      </c>
      <c r="H23" s="219">
        <f t="shared" si="0"/>
        <v>0</v>
      </c>
      <c r="I23" s="507">
        <f>(30*BC!$B$47/F23)</f>
        <v>0</v>
      </c>
      <c r="J23" s="508">
        <f t="shared" si="1"/>
        <v>0</v>
      </c>
      <c r="K23" s="508">
        <f t="shared" si="2"/>
        <v>0</v>
      </c>
      <c r="L23" s="194">
        <f t="shared" si="8"/>
        <v>0</v>
      </c>
      <c r="M23" s="364">
        <v>273</v>
      </c>
      <c r="N23" s="365">
        <f t="shared" si="9"/>
        <v>0</v>
      </c>
      <c r="O23" s="91" t="e">
        <f t="shared" si="3"/>
        <v>#DIV/0!</v>
      </c>
      <c r="P23" s="148" t="e">
        <f t="shared" si="10"/>
        <v>#DIV/0!</v>
      </c>
      <c r="Q23" s="371">
        <f t="shared" si="5"/>
        <v>0.39</v>
      </c>
      <c r="R23" s="374" t="e">
        <f>(Q23+$N$155)+((BC!$F$125)/$G$82)</f>
        <v>#DIV/0!</v>
      </c>
      <c r="S23" s="514" t="e">
        <f t="shared" si="6"/>
        <v>#DIV/0!</v>
      </c>
      <c r="T23" s="223" t="e">
        <f t="shared" si="11"/>
        <v>#DIV/0!</v>
      </c>
      <c r="U23" s="223" t="e">
        <f t="shared" si="7"/>
        <v>#DIV/0!</v>
      </c>
    </row>
    <row r="24" spans="1:21" ht="15.75" customHeight="1" x14ac:dyDescent="0.45">
      <c r="B24" s="448">
        <v>8057940190</v>
      </c>
      <c r="C24" s="439" t="s">
        <v>687</v>
      </c>
      <c r="D24" s="396" t="s">
        <v>688</v>
      </c>
      <c r="E24" s="408">
        <v>100</v>
      </c>
      <c r="F24" s="566">
        <v>84</v>
      </c>
      <c r="G24" s="578">
        <f>'c303-c503'!F24</f>
        <v>0</v>
      </c>
      <c r="H24" s="219">
        <f t="shared" si="0"/>
        <v>0</v>
      </c>
      <c r="I24" s="507">
        <f>(30*BC!$B$47/F24)</f>
        <v>0</v>
      </c>
      <c r="J24" s="508">
        <f t="shared" si="1"/>
        <v>0</v>
      </c>
      <c r="K24" s="508">
        <f t="shared" si="2"/>
        <v>0</v>
      </c>
      <c r="L24" s="194">
        <f t="shared" si="8"/>
        <v>0</v>
      </c>
      <c r="M24" s="364">
        <v>152</v>
      </c>
      <c r="N24" s="365">
        <f t="shared" si="9"/>
        <v>0</v>
      </c>
      <c r="O24" s="91" t="e">
        <f t="shared" si="3"/>
        <v>#DIV/0!</v>
      </c>
      <c r="P24" s="148" t="e">
        <f t="shared" si="10"/>
        <v>#DIV/0!</v>
      </c>
      <c r="Q24" s="371">
        <f t="shared" si="5"/>
        <v>1.52</v>
      </c>
      <c r="R24" s="374" t="e">
        <f>(Q24+$N$155)+((BC!$F$125)/$G$82)</f>
        <v>#DIV/0!</v>
      </c>
      <c r="S24" s="514" t="e">
        <f t="shared" si="6"/>
        <v>#DIV/0!</v>
      </c>
      <c r="T24" s="223" t="e">
        <f t="shared" si="11"/>
        <v>#DIV/0!</v>
      </c>
      <c r="U24" s="223" t="e">
        <f t="shared" si="7"/>
        <v>#DIV/0!</v>
      </c>
    </row>
    <row r="25" spans="1:21" ht="15.75" customHeight="1" x14ac:dyDescent="0.45">
      <c r="A25" s="243" t="s">
        <v>839</v>
      </c>
      <c r="B25" s="448">
        <v>8057958190</v>
      </c>
      <c r="C25" s="439" t="s">
        <v>26</v>
      </c>
      <c r="D25" s="396" t="s">
        <v>689</v>
      </c>
      <c r="E25" s="408">
        <v>850</v>
      </c>
      <c r="F25" s="566">
        <v>182</v>
      </c>
      <c r="G25" s="578">
        <f>'c303-c503'!F25</f>
        <v>0</v>
      </c>
      <c r="H25" s="219">
        <f t="shared" si="0"/>
        <v>0</v>
      </c>
      <c r="I25" s="507">
        <f>(30*BC!$B$47/F25)</f>
        <v>0</v>
      </c>
      <c r="J25" s="508">
        <f t="shared" si="1"/>
        <v>0</v>
      </c>
      <c r="K25" s="508">
        <f t="shared" si="2"/>
        <v>0</v>
      </c>
      <c r="L25" s="194">
        <f t="shared" si="8"/>
        <v>0</v>
      </c>
      <c r="M25" s="364">
        <v>323</v>
      </c>
      <c r="N25" s="365">
        <f t="shared" si="9"/>
        <v>0</v>
      </c>
      <c r="O25" s="91" t="e">
        <f t="shared" si="3"/>
        <v>#DIV/0!</v>
      </c>
      <c r="P25" s="148" t="e">
        <f t="shared" si="10"/>
        <v>#DIV/0!</v>
      </c>
      <c r="Q25" s="371">
        <f t="shared" si="5"/>
        <v>0.38</v>
      </c>
      <c r="R25" s="374" t="e">
        <f>(Q25+$N$155)+((BC!$F$125)/$G$82)</f>
        <v>#DIV/0!</v>
      </c>
      <c r="S25" s="514" t="e">
        <f t="shared" si="6"/>
        <v>#DIV/0!</v>
      </c>
      <c r="T25" s="223" t="e">
        <f t="shared" si="11"/>
        <v>#DIV/0!</v>
      </c>
      <c r="U25" s="223" t="e">
        <f t="shared" si="7"/>
        <v>#DIV/0!</v>
      </c>
    </row>
    <row r="26" spans="1:21" ht="15.75" customHeight="1" x14ac:dyDescent="0.45">
      <c r="A26" s="243">
        <f>G45+G46+G47</f>
        <v>0</v>
      </c>
      <c r="B26" s="448">
        <v>8057982190</v>
      </c>
      <c r="C26" s="439" t="s">
        <v>32</v>
      </c>
      <c r="D26" s="396" t="s">
        <v>690</v>
      </c>
      <c r="E26" s="408">
        <v>200</v>
      </c>
      <c r="F26" s="566">
        <v>28</v>
      </c>
      <c r="G26" s="578">
        <f>'c303-c503'!F26</f>
        <v>0</v>
      </c>
      <c r="H26" s="219">
        <f t="shared" si="0"/>
        <v>0</v>
      </c>
      <c r="I26" s="507">
        <f>(30*BC!$B$47/F26)</f>
        <v>0</v>
      </c>
      <c r="J26" s="508">
        <f t="shared" si="1"/>
        <v>0</v>
      </c>
      <c r="K26" s="508">
        <f t="shared" si="2"/>
        <v>0</v>
      </c>
      <c r="L26" s="194">
        <f t="shared" si="8"/>
        <v>0</v>
      </c>
      <c r="M26" s="364">
        <v>190</v>
      </c>
      <c r="N26" s="365">
        <f t="shared" si="9"/>
        <v>0</v>
      </c>
      <c r="O26" s="91" t="e">
        <f t="shared" si="3"/>
        <v>#DIV/0!</v>
      </c>
      <c r="P26" s="148" t="e">
        <f t="shared" si="10"/>
        <v>#DIV/0!</v>
      </c>
      <c r="Q26" s="371">
        <f t="shared" si="5"/>
        <v>0.95</v>
      </c>
      <c r="R26" s="374" t="e">
        <f>(Q26+$N$155)+((BC!$F$125)/$G$82)</f>
        <v>#DIV/0!</v>
      </c>
      <c r="S26" s="514" t="e">
        <f t="shared" si="6"/>
        <v>#DIV/0!</v>
      </c>
      <c r="T26" s="223" t="e">
        <f t="shared" si="11"/>
        <v>#DIV/0!</v>
      </c>
      <c r="U26" s="223" t="e">
        <f t="shared" si="7"/>
        <v>#DIV/0!</v>
      </c>
    </row>
    <row r="27" spans="1:21" ht="15.75" customHeight="1" x14ac:dyDescent="0.45">
      <c r="B27" s="448">
        <v>8058016190</v>
      </c>
      <c r="C27" s="439" t="s">
        <v>691</v>
      </c>
      <c r="D27" s="396" t="s">
        <v>692</v>
      </c>
      <c r="E27" s="408">
        <v>690</v>
      </c>
      <c r="F27" s="566">
        <v>182</v>
      </c>
      <c r="G27" s="578">
        <f>'c303-c503'!F27</f>
        <v>0</v>
      </c>
      <c r="H27" s="219">
        <f t="shared" si="0"/>
        <v>0</v>
      </c>
      <c r="I27" s="507">
        <f>(30*BC!$B$47/F27)</f>
        <v>0</v>
      </c>
      <c r="J27" s="508">
        <f t="shared" si="1"/>
        <v>0</v>
      </c>
      <c r="K27" s="508">
        <f t="shared" si="2"/>
        <v>0</v>
      </c>
      <c r="L27" s="194">
        <f t="shared" si="8"/>
        <v>0</v>
      </c>
      <c r="M27" s="364">
        <v>455</v>
      </c>
      <c r="N27" s="365">
        <f t="shared" si="9"/>
        <v>0</v>
      </c>
      <c r="O27" s="91" t="e">
        <f t="shared" si="3"/>
        <v>#DIV/0!</v>
      </c>
      <c r="P27" s="148" t="e">
        <f t="shared" si="10"/>
        <v>#DIV/0!</v>
      </c>
      <c r="Q27" s="371">
        <f t="shared" si="5"/>
        <v>0.65942028985507251</v>
      </c>
      <c r="R27" s="374" t="e">
        <f>(Q27+$N$155)+((BC!$F$125)/$G$82)</f>
        <v>#DIV/0!</v>
      </c>
      <c r="S27" s="514" t="e">
        <f t="shared" si="6"/>
        <v>#DIV/0!</v>
      </c>
      <c r="T27" s="223" t="e">
        <f t="shared" si="11"/>
        <v>#DIV/0!</v>
      </c>
      <c r="U27" s="223" t="e">
        <f t="shared" si="7"/>
        <v>#DIV/0!</v>
      </c>
    </row>
    <row r="28" spans="1:21" ht="15.75" customHeight="1" x14ac:dyDescent="0.45">
      <c r="A28" s="245" t="s">
        <v>841</v>
      </c>
      <c r="B28" s="448">
        <v>8104697190</v>
      </c>
      <c r="C28" s="439" t="s">
        <v>693</v>
      </c>
      <c r="D28" s="396" t="s">
        <v>694</v>
      </c>
      <c r="E28" s="408">
        <v>800</v>
      </c>
      <c r="F28" s="566">
        <v>182</v>
      </c>
      <c r="G28" s="578">
        <f>'c303-c503'!F28</f>
        <v>0</v>
      </c>
      <c r="H28" s="219">
        <f t="shared" si="0"/>
        <v>0</v>
      </c>
      <c r="I28" s="507">
        <f>(30*BC!$B$47/F28)</f>
        <v>0</v>
      </c>
      <c r="J28" s="508">
        <f t="shared" si="1"/>
        <v>0</v>
      </c>
      <c r="K28" s="508">
        <f t="shared" si="2"/>
        <v>0</v>
      </c>
      <c r="L28" s="194">
        <f t="shared" si="8"/>
        <v>0</v>
      </c>
      <c r="M28" s="364">
        <v>232</v>
      </c>
      <c r="N28" s="365">
        <f t="shared" si="9"/>
        <v>0</v>
      </c>
      <c r="O28" s="91" t="e">
        <f t="shared" si="3"/>
        <v>#DIV/0!</v>
      </c>
      <c r="P28" s="148" t="e">
        <f t="shared" si="10"/>
        <v>#DIV/0!</v>
      </c>
      <c r="Q28" s="371">
        <f t="shared" si="5"/>
        <v>0.28999999999999998</v>
      </c>
      <c r="R28" s="374" t="e">
        <f>(Q28+$N$155)+((BC!$F$125)/$G$82)</f>
        <v>#DIV/0!</v>
      </c>
      <c r="S28" s="514" t="e">
        <f t="shared" si="6"/>
        <v>#DIV/0!</v>
      </c>
      <c r="T28" s="223" t="e">
        <f t="shared" si="11"/>
        <v>#DIV/0!</v>
      </c>
      <c r="U28" s="223" t="e">
        <f t="shared" si="7"/>
        <v>#DIV/0!</v>
      </c>
    </row>
    <row r="29" spans="1:21" ht="15.75" customHeight="1" x14ac:dyDescent="0.45">
      <c r="A29" s="245">
        <f>G70+G71+G72+G73</f>
        <v>0</v>
      </c>
      <c r="B29" s="448">
        <v>8104719190</v>
      </c>
      <c r="C29" s="439" t="s">
        <v>695</v>
      </c>
      <c r="D29" s="396" t="s">
        <v>696</v>
      </c>
      <c r="E29" s="408">
        <v>800</v>
      </c>
      <c r="F29" s="566">
        <v>182</v>
      </c>
      <c r="G29" s="578">
        <f>'c303-c503'!F29</f>
        <v>0</v>
      </c>
      <c r="H29" s="219">
        <f t="shared" si="0"/>
        <v>0</v>
      </c>
      <c r="I29" s="507">
        <f>(30*BC!$B$47/F29)</f>
        <v>0</v>
      </c>
      <c r="J29" s="508">
        <f t="shared" si="1"/>
        <v>0</v>
      </c>
      <c r="K29" s="508">
        <f t="shared" si="2"/>
        <v>0</v>
      </c>
      <c r="L29" s="194">
        <f t="shared" si="8"/>
        <v>0</v>
      </c>
      <c r="M29" s="364">
        <v>232</v>
      </c>
      <c r="N29" s="365">
        <f t="shared" si="9"/>
        <v>0</v>
      </c>
      <c r="O29" s="91" t="e">
        <f t="shared" si="3"/>
        <v>#DIV/0!</v>
      </c>
      <c r="P29" s="148" t="e">
        <f t="shared" si="10"/>
        <v>#DIV/0!</v>
      </c>
      <c r="Q29" s="371">
        <f t="shared" si="5"/>
        <v>0.28999999999999998</v>
      </c>
      <c r="R29" s="374" t="e">
        <f>(Q29+$N$155)+((BC!$F$125)/$G$82)</f>
        <v>#DIV/0!</v>
      </c>
      <c r="S29" s="514" t="e">
        <f t="shared" si="6"/>
        <v>#DIV/0!</v>
      </c>
      <c r="T29" s="223" t="e">
        <f t="shared" si="11"/>
        <v>#DIV/0!</v>
      </c>
      <c r="U29" s="223" t="e">
        <f t="shared" si="7"/>
        <v>#DIV/0!</v>
      </c>
    </row>
    <row r="30" spans="1:21" ht="15.75" customHeight="1" x14ac:dyDescent="0.45">
      <c r="B30" s="448">
        <v>8058687190</v>
      </c>
      <c r="C30" s="439" t="s">
        <v>697</v>
      </c>
      <c r="D30" s="396" t="s">
        <v>698</v>
      </c>
      <c r="E30" s="408">
        <v>1000</v>
      </c>
      <c r="F30" s="566">
        <v>182</v>
      </c>
      <c r="G30" s="578">
        <f>'c303-c503'!F30</f>
        <v>0</v>
      </c>
      <c r="H30" s="219">
        <f t="shared" si="0"/>
        <v>0</v>
      </c>
      <c r="I30" s="507">
        <f>(30*BC!$B$47/F30)</f>
        <v>0</v>
      </c>
      <c r="J30" s="508">
        <f t="shared" si="1"/>
        <v>0</v>
      </c>
      <c r="K30" s="508">
        <f t="shared" si="2"/>
        <v>0</v>
      </c>
      <c r="L30" s="194">
        <f t="shared" si="8"/>
        <v>0</v>
      </c>
      <c r="M30" s="364">
        <v>330</v>
      </c>
      <c r="N30" s="365">
        <f t="shared" si="9"/>
        <v>0</v>
      </c>
      <c r="O30" s="91" t="e">
        <f t="shared" si="3"/>
        <v>#DIV/0!</v>
      </c>
      <c r="P30" s="148" t="e">
        <f t="shared" si="10"/>
        <v>#DIV/0!</v>
      </c>
      <c r="Q30" s="371">
        <f t="shared" si="5"/>
        <v>0.33</v>
      </c>
      <c r="R30" s="374" t="e">
        <f>(Q30+$N$155)+((BC!$F$125)/$G$82)</f>
        <v>#DIV/0!</v>
      </c>
      <c r="S30" s="514" t="e">
        <f t="shared" si="6"/>
        <v>#DIV/0!</v>
      </c>
      <c r="T30" s="223" t="e">
        <f t="shared" si="11"/>
        <v>#DIV/0!</v>
      </c>
      <c r="U30" s="223" t="e">
        <f t="shared" si="7"/>
        <v>#DIV/0!</v>
      </c>
    </row>
    <row r="31" spans="1:21" ht="15.75" customHeight="1" x14ac:dyDescent="0.45">
      <c r="A31" s="468" t="s">
        <v>842</v>
      </c>
      <c r="B31" s="448">
        <v>8058806190</v>
      </c>
      <c r="C31" s="439" t="s">
        <v>699</v>
      </c>
      <c r="D31" s="396" t="s">
        <v>700</v>
      </c>
      <c r="E31" s="408">
        <v>600</v>
      </c>
      <c r="F31" s="566">
        <v>56</v>
      </c>
      <c r="G31" s="578">
        <f>'c303-c503'!F31</f>
        <v>0</v>
      </c>
      <c r="H31" s="219">
        <f t="shared" si="0"/>
        <v>0</v>
      </c>
      <c r="I31" s="507">
        <f>(30*BC!$B$47/F31)</f>
        <v>0</v>
      </c>
      <c r="J31" s="508">
        <f t="shared" si="1"/>
        <v>0</v>
      </c>
      <c r="K31" s="508">
        <f t="shared" si="2"/>
        <v>0</v>
      </c>
      <c r="L31" s="194">
        <f t="shared" si="8"/>
        <v>0</v>
      </c>
      <c r="M31" s="364">
        <v>144</v>
      </c>
      <c r="N31" s="365">
        <f t="shared" si="9"/>
        <v>0</v>
      </c>
      <c r="O31" s="91" t="e">
        <f t="shared" si="3"/>
        <v>#DIV/0!</v>
      </c>
      <c r="P31" s="148" t="e">
        <f t="shared" si="10"/>
        <v>#DIV/0!</v>
      </c>
      <c r="Q31" s="371">
        <f t="shared" si="5"/>
        <v>0.24</v>
      </c>
      <c r="R31" s="374" t="e">
        <f>(Q31+$N$155)+((BC!$F$125)/$G$82)</f>
        <v>#DIV/0!</v>
      </c>
      <c r="S31" s="514" t="e">
        <f t="shared" si="6"/>
        <v>#DIV/0!</v>
      </c>
      <c r="T31" s="223" t="e">
        <f t="shared" si="11"/>
        <v>#DIV/0!</v>
      </c>
      <c r="U31" s="223" t="e">
        <f t="shared" si="7"/>
        <v>#DIV/0!</v>
      </c>
    </row>
    <row r="32" spans="1:21" ht="15.75" customHeight="1" x14ac:dyDescent="0.45">
      <c r="A32" s="468">
        <f>G77+G78+G79+G80+G81</f>
        <v>0</v>
      </c>
      <c r="B32" s="448">
        <v>8106053190</v>
      </c>
      <c r="C32" s="439" t="s">
        <v>1131</v>
      </c>
      <c r="D32" s="396" t="s">
        <v>701</v>
      </c>
      <c r="E32" s="408">
        <v>300</v>
      </c>
      <c r="F32" s="566">
        <v>182</v>
      </c>
      <c r="G32" s="578">
        <f>'c303-c503'!F32</f>
        <v>0</v>
      </c>
      <c r="H32" s="219">
        <f t="shared" si="0"/>
        <v>0</v>
      </c>
      <c r="I32" s="507">
        <f>(30*BC!$B$47/F32)</f>
        <v>0</v>
      </c>
      <c r="J32" s="508">
        <f t="shared" si="1"/>
        <v>0</v>
      </c>
      <c r="K32" s="508">
        <f t="shared" si="2"/>
        <v>0</v>
      </c>
      <c r="L32" s="194">
        <f t="shared" si="8"/>
        <v>0</v>
      </c>
      <c r="M32" s="364">
        <v>462</v>
      </c>
      <c r="N32" s="365">
        <f t="shared" si="9"/>
        <v>0</v>
      </c>
      <c r="O32" s="91" t="e">
        <f t="shared" si="3"/>
        <v>#DIV/0!</v>
      </c>
      <c r="P32" s="148" t="e">
        <f t="shared" si="10"/>
        <v>#DIV/0!</v>
      </c>
      <c r="Q32" s="371">
        <f t="shared" si="5"/>
        <v>1.54</v>
      </c>
      <c r="R32" s="374" t="e">
        <f>(Q32+$N$155)+((BC!$F$125)/$G$82)</f>
        <v>#DIV/0!</v>
      </c>
      <c r="S32" s="514" t="e">
        <f t="shared" si="6"/>
        <v>#DIV/0!</v>
      </c>
      <c r="T32" s="223" t="e">
        <f t="shared" si="11"/>
        <v>#DIV/0!</v>
      </c>
      <c r="U32" s="223" t="e">
        <f t="shared" si="7"/>
        <v>#DIV/0!</v>
      </c>
    </row>
    <row r="33" spans="1:21" ht="15.75" customHeight="1" x14ac:dyDescent="0.45">
      <c r="B33" s="451">
        <v>8056714190</v>
      </c>
      <c r="C33" s="439" t="s">
        <v>702</v>
      </c>
      <c r="D33" s="396" t="s">
        <v>703</v>
      </c>
      <c r="E33" s="408">
        <v>500</v>
      </c>
      <c r="F33" s="566">
        <v>182</v>
      </c>
      <c r="G33" s="578">
        <f>'c303-c503'!F33</f>
        <v>0</v>
      </c>
      <c r="H33" s="219">
        <f t="shared" si="0"/>
        <v>0</v>
      </c>
      <c r="I33" s="507">
        <f>(30*BC!$B$47/F33)</f>
        <v>0</v>
      </c>
      <c r="J33" s="508">
        <f t="shared" si="1"/>
        <v>0</v>
      </c>
      <c r="K33" s="508">
        <f t="shared" si="2"/>
        <v>0</v>
      </c>
      <c r="L33" s="194">
        <f t="shared" si="8"/>
        <v>0</v>
      </c>
      <c r="M33" s="364">
        <v>120</v>
      </c>
      <c r="N33" s="365">
        <f t="shared" si="9"/>
        <v>0</v>
      </c>
      <c r="O33" s="91" t="e">
        <f t="shared" si="3"/>
        <v>#DIV/0!</v>
      </c>
      <c r="P33" s="148" t="e">
        <f t="shared" si="10"/>
        <v>#DIV/0!</v>
      </c>
      <c r="Q33" s="371">
        <f t="shared" si="5"/>
        <v>0.24</v>
      </c>
      <c r="R33" s="374" t="e">
        <f>(Q33+$N$155)+((BC!$F$125)/$G$82)</f>
        <v>#DIV/0!</v>
      </c>
      <c r="S33" s="514" t="e">
        <f t="shared" si="6"/>
        <v>#DIV/0!</v>
      </c>
      <c r="T33" s="223" t="e">
        <f t="shared" si="11"/>
        <v>#DIV/0!</v>
      </c>
      <c r="U33" s="223" t="e">
        <f t="shared" si="7"/>
        <v>#DIV/0!</v>
      </c>
    </row>
    <row r="34" spans="1:21" ht="15.75" customHeight="1" x14ac:dyDescent="0.45">
      <c r="A34" s="264" t="s">
        <v>843</v>
      </c>
      <c r="B34" s="451">
        <v>8058652190</v>
      </c>
      <c r="C34" s="439" t="s">
        <v>704</v>
      </c>
      <c r="D34" s="396" t="s">
        <v>705</v>
      </c>
      <c r="E34" s="408">
        <v>1050</v>
      </c>
      <c r="F34" s="566">
        <v>182</v>
      </c>
      <c r="G34" s="578">
        <f>'c303-c503'!F34</f>
        <v>0</v>
      </c>
      <c r="H34" s="219">
        <f t="shared" si="0"/>
        <v>0</v>
      </c>
      <c r="I34" s="507">
        <f>(30*BC!$B$47/F34)</f>
        <v>0</v>
      </c>
      <c r="J34" s="508">
        <f t="shared" si="1"/>
        <v>0</v>
      </c>
      <c r="K34" s="508">
        <f t="shared" si="2"/>
        <v>0</v>
      </c>
      <c r="L34" s="194">
        <f t="shared" si="8"/>
        <v>0</v>
      </c>
      <c r="M34" s="364">
        <v>200</v>
      </c>
      <c r="N34" s="365">
        <f t="shared" si="9"/>
        <v>0</v>
      </c>
      <c r="O34" s="91" t="e">
        <f t="shared" si="3"/>
        <v>#DIV/0!</v>
      </c>
      <c r="P34" s="148" t="e">
        <f t="shared" si="10"/>
        <v>#DIV/0!</v>
      </c>
      <c r="Q34" s="371">
        <f t="shared" si="5"/>
        <v>0.19047619047619047</v>
      </c>
      <c r="R34" s="374" t="e">
        <f>(Q34+$N$155)+((BC!$F$125)/$G$82)</f>
        <v>#DIV/0!</v>
      </c>
      <c r="S34" s="514" t="e">
        <f t="shared" si="6"/>
        <v>#DIV/0!</v>
      </c>
      <c r="T34" s="223" t="e">
        <f t="shared" si="11"/>
        <v>#DIV/0!</v>
      </c>
      <c r="U34" s="223" t="e">
        <f t="shared" si="7"/>
        <v>#DIV/0!</v>
      </c>
    </row>
    <row r="35" spans="1:21" ht="15.75" customHeight="1" x14ac:dyDescent="0.45">
      <c r="A35" s="264">
        <f>G48+G49</f>
        <v>0</v>
      </c>
      <c r="B35" s="451">
        <v>8057524190</v>
      </c>
      <c r="C35" s="439" t="s">
        <v>706</v>
      </c>
      <c r="D35" s="396" t="s">
        <v>707</v>
      </c>
      <c r="E35" s="408">
        <v>600</v>
      </c>
      <c r="F35" s="566">
        <v>126</v>
      </c>
      <c r="G35" s="578">
        <f>'c303-c503'!F35</f>
        <v>0</v>
      </c>
      <c r="H35" s="219">
        <f t="shared" si="0"/>
        <v>0</v>
      </c>
      <c r="I35" s="507">
        <f>(30*BC!$B$47/F35)</f>
        <v>0</v>
      </c>
      <c r="J35" s="508">
        <f t="shared" si="1"/>
        <v>0</v>
      </c>
      <c r="K35" s="508">
        <f t="shared" si="2"/>
        <v>0</v>
      </c>
      <c r="L35" s="194">
        <f t="shared" si="8"/>
        <v>0</v>
      </c>
      <c r="M35" s="364">
        <v>174</v>
      </c>
      <c r="N35" s="365">
        <f t="shared" si="9"/>
        <v>0</v>
      </c>
      <c r="O35" s="91" t="e">
        <f t="shared" si="3"/>
        <v>#DIV/0!</v>
      </c>
      <c r="P35" s="148" t="e">
        <f t="shared" si="10"/>
        <v>#DIV/0!</v>
      </c>
      <c r="Q35" s="371">
        <f t="shared" si="5"/>
        <v>0.28999999999999998</v>
      </c>
      <c r="R35" s="374" t="e">
        <f>(Q35+$N$155)+((BC!$F$125)/$G$82)</f>
        <v>#DIV/0!</v>
      </c>
      <c r="S35" s="514" t="e">
        <f t="shared" si="6"/>
        <v>#DIV/0!</v>
      </c>
      <c r="T35" s="223" t="e">
        <f t="shared" si="11"/>
        <v>#DIV/0!</v>
      </c>
      <c r="U35" s="223" t="e">
        <f t="shared" si="7"/>
        <v>#DIV/0!</v>
      </c>
    </row>
    <row r="36" spans="1:21" ht="15.75" customHeight="1" x14ac:dyDescent="0.45">
      <c r="B36" s="451">
        <v>8057532190</v>
      </c>
      <c r="C36" s="439" t="s">
        <v>708</v>
      </c>
      <c r="D36" s="396" t="s">
        <v>709</v>
      </c>
      <c r="E36" s="408">
        <v>2500</v>
      </c>
      <c r="F36" s="566">
        <v>182</v>
      </c>
      <c r="G36" s="578">
        <f>'c303-c503'!F36</f>
        <v>0</v>
      </c>
      <c r="H36" s="219">
        <f t="shared" si="0"/>
        <v>0</v>
      </c>
      <c r="I36" s="507">
        <f>(30*BC!$B$47/F36)</f>
        <v>0</v>
      </c>
      <c r="J36" s="508">
        <f t="shared" si="1"/>
        <v>0</v>
      </c>
      <c r="K36" s="508">
        <f t="shared" si="2"/>
        <v>0</v>
      </c>
      <c r="L36" s="194">
        <f t="shared" si="8"/>
        <v>0</v>
      </c>
      <c r="M36" s="364">
        <v>486</v>
      </c>
      <c r="N36" s="365">
        <f t="shared" si="9"/>
        <v>0</v>
      </c>
      <c r="O36" s="91" t="e">
        <f t="shared" si="3"/>
        <v>#DIV/0!</v>
      </c>
      <c r="P36" s="148" t="e">
        <f t="shared" si="10"/>
        <v>#DIV/0!</v>
      </c>
      <c r="Q36" s="371">
        <f t="shared" si="5"/>
        <v>0.19439999999999999</v>
      </c>
      <c r="R36" s="374" t="e">
        <f>(Q36+$N$155)+((BC!$F$125)/$G$82)</f>
        <v>#DIV/0!</v>
      </c>
      <c r="S36" s="514" t="e">
        <f t="shared" si="6"/>
        <v>#DIV/0!</v>
      </c>
      <c r="T36" s="223" t="e">
        <f t="shared" si="11"/>
        <v>#DIV/0!</v>
      </c>
      <c r="U36" s="223" t="e">
        <f t="shared" si="7"/>
        <v>#DIV/0!</v>
      </c>
    </row>
    <row r="37" spans="1:21" ht="15.75" customHeight="1" x14ac:dyDescent="0.45">
      <c r="A37" s="389" t="s">
        <v>267</v>
      </c>
      <c r="B37" s="451">
        <v>8057877190</v>
      </c>
      <c r="C37" s="442" t="s">
        <v>710</v>
      </c>
      <c r="D37" s="396" t="s">
        <v>711</v>
      </c>
      <c r="E37" s="408">
        <v>700</v>
      </c>
      <c r="F37" s="566">
        <v>84</v>
      </c>
      <c r="G37" s="578">
        <f>'c303-c503'!F37</f>
        <v>0</v>
      </c>
      <c r="H37" s="219">
        <f t="shared" si="0"/>
        <v>0</v>
      </c>
      <c r="I37" s="507">
        <f>(30*BC!$B$47/F37)</f>
        <v>0</v>
      </c>
      <c r="J37" s="508">
        <f t="shared" si="1"/>
        <v>0</v>
      </c>
      <c r="K37" s="508">
        <f t="shared" si="2"/>
        <v>0</v>
      </c>
      <c r="L37" s="194">
        <f t="shared" si="8"/>
        <v>0</v>
      </c>
      <c r="M37" s="364">
        <v>1071</v>
      </c>
      <c r="N37" s="365">
        <f t="shared" si="9"/>
        <v>0</v>
      </c>
      <c r="O37" s="91" t="e">
        <f t="shared" si="3"/>
        <v>#DIV/0!</v>
      </c>
      <c r="P37" s="148" t="e">
        <f t="shared" si="10"/>
        <v>#DIV/0!</v>
      </c>
      <c r="Q37" s="371">
        <f t="shared" si="5"/>
        <v>1.53</v>
      </c>
      <c r="R37" s="374" t="e">
        <f>(Q37+$N$155)+((BC!$F$125)/$G$82)</f>
        <v>#DIV/0!</v>
      </c>
      <c r="S37" s="514" t="e">
        <f t="shared" si="6"/>
        <v>#DIV/0!</v>
      </c>
      <c r="T37" s="223" t="e">
        <f t="shared" si="11"/>
        <v>#DIV/0!</v>
      </c>
      <c r="U37" s="223" t="e">
        <f t="shared" si="7"/>
        <v>#DIV/0!</v>
      </c>
    </row>
    <row r="38" spans="1:21" ht="15.75" customHeight="1" x14ac:dyDescent="0.45">
      <c r="A38" s="389">
        <f>G63+G64</f>
        <v>0</v>
      </c>
      <c r="B38" s="451">
        <v>8057966190</v>
      </c>
      <c r="C38" s="442" t="s">
        <v>712</v>
      </c>
      <c r="D38" s="396" t="s">
        <v>713</v>
      </c>
      <c r="E38" s="408">
        <v>600</v>
      </c>
      <c r="F38" s="566">
        <v>182</v>
      </c>
      <c r="G38" s="578">
        <f>'c303-c503'!F38</f>
        <v>0</v>
      </c>
      <c r="H38" s="219">
        <f t="shared" si="0"/>
        <v>0</v>
      </c>
      <c r="I38" s="507">
        <f>(30*BC!$B$47/F38)</f>
        <v>0</v>
      </c>
      <c r="J38" s="508">
        <f t="shared" si="1"/>
        <v>0</v>
      </c>
      <c r="K38" s="508">
        <f t="shared" si="2"/>
        <v>0</v>
      </c>
      <c r="L38" s="194">
        <f t="shared" si="8"/>
        <v>0</v>
      </c>
      <c r="M38" s="364">
        <v>924</v>
      </c>
      <c r="N38" s="365">
        <f t="shared" si="9"/>
        <v>0</v>
      </c>
      <c r="O38" s="91" t="e">
        <f t="shared" si="3"/>
        <v>#DIV/0!</v>
      </c>
      <c r="P38" s="148" t="e">
        <f t="shared" si="10"/>
        <v>#DIV/0!</v>
      </c>
      <c r="Q38" s="371">
        <f t="shared" si="5"/>
        <v>1.54</v>
      </c>
      <c r="R38" s="374" t="e">
        <f>(Q38+$N$155)+((BC!$F$125)/$G$82)</f>
        <v>#DIV/0!</v>
      </c>
      <c r="S38" s="514" t="e">
        <f t="shared" si="6"/>
        <v>#DIV/0!</v>
      </c>
      <c r="T38" s="223" t="e">
        <f t="shared" si="11"/>
        <v>#DIV/0!</v>
      </c>
      <c r="U38" s="223" t="e">
        <f t="shared" si="7"/>
        <v>#DIV/0!</v>
      </c>
    </row>
    <row r="39" spans="1:21" ht="15.75" customHeight="1" x14ac:dyDescent="0.45">
      <c r="B39" s="451">
        <v>8105448190</v>
      </c>
      <c r="C39" s="442" t="s">
        <v>714</v>
      </c>
      <c r="D39" s="396" t="s">
        <v>715</v>
      </c>
      <c r="E39" s="408">
        <v>250</v>
      </c>
      <c r="F39" s="566">
        <v>182</v>
      </c>
      <c r="G39" s="578">
        <f>'c303-c503'!F39</f>
        <v>0</v>
      </c>
      <c r="H39" s="219">
        <f t="shared" si="0"/>
        <v>0</v>
      </c>
      <c r="I39" s="507">
        <f>(30*BC!$B$47/F39)</f>
        <v>0</v>
      </c>
      <c r="J39" s="508">
        <f t="shared" si="1"/>
        <v>0</v>
      </c>
      <c r="K39" s="508">
        <f t="shared" si="2"/>
        <v>0</v>
      </c>
      <c r="L39" s="194">
        <f t="shared" si="8"/>
        <v>0</v>
      </c>
      <c r="M39" s="364">
        <v>563</v>
      </c>
      <c r="N39" s="365">
        <f t="shared" si="9"/>
        <v>0</v>
      </c>
      <c r="O39" s="91" t="e">
        <f t="shared" si="3"/>
        <v>#DIV/0!</v>
      </c>
      <c r="P39" s="148" t="e">
        <f t="shared" si="10"/>
        <v>#DIV/0!</v>
      </c>
      <c r="Q39" s="371">
        <f t="shared" si="5"/>
        <v>2.2519999999999998</v>
      </c>
      <c r="R39" s="374" t="e">
        <f>(Q39+$N$155)+((BC!$F$125)/$G$82)</f>
        <v>#DIV/0!</v>
      </c>
      <c r="S39" s="514" t="e">
        <f t="shared" si="6"/>
        <v>#DIV/0!</v>
      </c>
      <c r="T39" s="223" t="e">
        <f t="shared" si="11"/>
        <v>#DIV/0!</v>
      </c>
      <c r="U39" s="223" t="e">
        <f t="shared" si="7"/>
        <v>#DIV/0!</v>
      </c>
    </row>
    <row r="40" spans="1:21" ht="15.75" customHeight="1" x14ac:dyDescent="0.45">
      <c r="B40" s="451">
        <v>8105464190</v>
      </c>
      <c r="C40" s="442" t="s">
        <v>716</v>
      </c>
      <c r="D40" s="396" t="s">
        <v>717</v>
      </c>
      <c r="E40" s="408">
        <v>250</v>
      </c>
      <c r="F40" s="566">
        <v>182</v>
      </c>
      <c r="G40" s="578">
        <f>'c303-c503'!F40</f>
        <v>0</v>
      </c>
      <c r="H40" s="219">
        <f t="shared" si="0"/>
        <v>0</v>
      </c>
      <c r="I40" s="507">
        <f>(30*BC!$B$47/F40)</f>
        <v>0</v>
      </c>
      <c r="J40" s="508">
        <f t="shared" si="1"/>
        <v>0</v>
      </c>
      <c r="K40" s="508">
        <f t="shared" si="2"/>
        <v>0</v>
      </c>
      <c r="L40" s="194">
        <f t="shared" si="8"/>
        <v>0</v>
      </c>
      <c r="M40" s="364">
        <v>563</v>
      </c>
      <c r="N40" s="365">
        <f t="shared" si="9"/>
        <v>0</v>
      </c>
      <c r="O40" s="91" t="e">
        <f t="shared" si="3"/>
        <v>#DIV/0!</v>
      </c>
      <c r="P40" s="148" t="e">
        <f t="shared" si="10"/>
        <v>#DIV/0!</v>
      </c>
      <c r="Q40" s="371">
        <f t="shared" si="5"/>
        <v>2.2519999999999998</v>
      </c>
      <c r="R40" s="374" t="e">
        <f>(Q40+$N$155)+((BC!$F$125)/$G$82)</f>
        <v>#DIV/0!</v>
      </c>
      <c r="S40" s="514" t="e">
        <f t="shared" si="6"/>
        <v>#DIV/0!</v>
      </c>
      <c r="T40" s="223" t="e">
        <f t="shared" si="11"/>
        <v>#DIV/0!</v>
      </c>
      <c r="U40" s="223" t="e">
        <f t="shared" si="7"/>
        <v>#DIV/0!</v>
      </c>
    </row>
    <row r="41" spans="1:21" ht="15.75" customHeight="1" x14ac:dyDescent="0.45">
      <c r="B41" s="396">
        <v>8063516190</v>
      </c>
      <c r="C41" s="396" t="s">
        <v>718</v>
      </c>
      <c r="D41" s="396" t="s">
        <v>719</v>
      </c>
      <c r="E41" s="408">
        <v>14500</v>
      </c>
      <c r="F41" s="566">
        <v>182</v>
      </c>
      <c r="G41" s="578">
        <f>'c303-c503'!F41</f>
        <v>0</v>
      </c>
      <c r="H41" s="219">
        <f t="shared" ref="H41:H71" si="12">G41/E41</f>
        <v>0</v>
      </c>
      <c r="I41" s="507">
        <f>(30*BC!$B$47/F41)</f>
        <v>0</v>
      </c>
      <c r="J41" s="508">
        <f t="shared" ref="J41:J71" si="13">IF(I41&gt;H41,I41,H41)</f>
        <v>0</v>
      </c>
      <c r="K41" s="508">
        <f t="shared" ref="K41:K71" si="14">IF(H41=0,0,J41)</f>
        <v>0</v>
      </c>
      <c r="L41" s="194">
        <f t="shared" si="8"/>
        <v>0</v>
      </c>
      <c r="M41" s="364">
        <v>9</v>
      </c>
      <c r="N41" s="365">
        <f t="shared" si="9"/>
        <v>0</v>
      </c>
      <c r="O41" s="91" t="e">
        <f t="shared" ref="O41:O72" si="15">((M41*$L$157)+M41)</f>
        <v>#DIV/0!</v>
      </c>
      <c r="P41" s="148" t="e">
        <f t="shared" si="10"/>
        <v>#DIV/0!</v>
      </c>
      <c r="Q41" s="371">
        <f t="shared" ref="Q41:Q71" si="16">M41/E41</f>
        <v>6.2068965517241383E-4</v>
      </c>
      <c r="R41" s="374" t="e">
        <f>(Q41+$N$155)+((BC!$F$125)/$G$82)</f>
        <v>#DIV/0!</v>
      </c>
      <c r="S41" s="514" t="e">
        <f t="shared" ref="S41:S71" si="17">R41*G41</f>
        <v>#DIV/0!</v>
      </c>
      <c r="T41" s="223" t="e">
        <f t="shared" si="11"/>
        <v>#DIV/0!</v>
      </c>
      <c r="U41" s="223" t="e">
        <f t="shared" ref="U41:U71" si="18">T41*G41</f>
        <v>#DIV/0!</v>
      </c>
    </row>
    <row r="42" spans="1:21" ht="15.75" customHeight="1" x14ac:dyDescent="0.45">
      <c r="B42" s="451">
        <v>8057486190</v>
      </c>
      <c r="C42" s="443" t="s">
        <v>720</v>
      </c>
      <c r="D42" s="396" t="s">
        <v>721</v>
      </c>
      <c r="E42" s="408">
        <v>150</v>
      </c>
      <c r="F42" s="566">
        <v>56</v>
      </c>
      <c r="G42" s="578">
        <f>'c303-c503'!F42</f>
        <v>0</v>
      </c>
      <c r="H42" s="219">
        <f t="shared" si="12"/>
        <v>0</v>
      </c>
      <c r="I42" s="507">
        <f>(30*BC!$B$47/F42)</f>
        <v>0</v>
      </c>
      <c r="J42" s="508">
        <f t="shared" si="13"/>
        <v>0</v>
      </c>
      <c r="K42" s="508">
        <f t="shared" si="14"/>
        <v>0</v>
      </c>
      <c r="L42" s="194">
        <f t="shared" si="8"/>
        <v>0</v>
      </c>
      <c r="M42" s="364">
        <v>414</v>
      </c>
      <c r="N42" s="365">
        <f t="shared" si="9"/>
        <v>0</v>
      </c>
      <c r="O42" s="91" t="e">
        <f t="shared" si="15"/>
        <v>#DIV/0!</v>
      </c>
      <c r="P42" s="148" t="e">
        <f t="shared" si="10"/>
        <v>#DIV/0!</v>
      </c>
      <c r="Q42" s="371">
        <f t="shared" si="16"/>
        <v>2.76</v>
      </c>
      <c r="R42" s="374" t="e">
        <f>(Q42+$N$155)+((BC!$F$125)/$G$82)</f>
        <v>#DIV/0!</v>
      </c>
      <c r="S42" s="514" t="e">
        <f t="shared" si="17"/>
        <v>#DIV/0!</v>
      </c>
      <c r="T42" s="223" t="e">
        <f t="shared" si="11"/>
        <v>#DIV/0!</v>
      </c>
      <c r="U42" s="223" t="e">
        <f t="shared" si="18"/>
        <v>#DIV/0!</v>
      </c>
    </row>
    <row r="43" spans="1:21" ht="15.75" customHeight="1" x14ac:dyDescent="0.45">
      <c r="B43" s="452">
        <v>8056722190</v>
      </c>
      <c r="C43" s="444" t="s">
        <v>655</v>
      </c>
      <c r="D43" s="396" t="s">
        <v>722</v>
      </c>
      <c r="E43" s="408">
        <v>500</v>
      </c>
      <c r="F43" s="566">
        <v>182</v>
      </c>
      <c r="G43" s="578">
        <f>'c303-c503'!F43</f>
        <v>0</v>
      </c>
      <c r="H43" s="219">
        <f t="shared" si="12"/>
        <v>0</v>
      </c>
      <c r="I43" s="507">
        <f>(30*BC!$B$47/F43)</f>
        <v>0</v>
      </c>
      <c r="J43" s="508">
        <f t="shared" si="13"/>
        <v>0</v>
      </c>
      <c r="K43" s="508">
        <f t="shared" si="14"/>
        <v>0</v>
      </c>
      <c r="L43" s="194">
        <f t="shared" si="8"/>
        <v>0</v>
      </c>
      <c r="M43" s="364">
        <v>1435</v>
      </c>
      <c r="N43" s="365">
        <f t="shared" si="9"/>
        <v>0</v>
      </c>
      <c r="O43" s="91" t="e">
        <f t="shared" si="15"/>
        <v>#DIV/0!</v>
      </c>
      <c r="P43" s="148" t="e">
        <f t="shared" si="10"/>
        <v>#DIV/0!</v>
      </c>
      <c r="Q43" s="371">
        <f t="shared" si="16"/>
        <v>2.87</v>
      </c>
      <c r="R43" s="374" t="e">
        <f>(Q43+$N$155)+((BC!$F$125)/$G$82)</f>
        <v>#DIV/0!</v>
      </c>
      <c r="S43" s="514" t="e">
        <f t="shared" si="17"/>
        <v>#DIV/0!</v>
      </c>
      <c r="T43" s="223" t="e">
        <f t="shared" si="11"/>
        <v>#DIV/0!</v>
      </c>
      <c r="U43" s="223" t="e">
        <f t="shared" si="18"/>
        <v>#DIV/0!</v>
      </c>
    </row>
    <row r="44" spans="1:21" ht="15.75" customHeight="1" x14ac:dyDescent="0.45">
      <c r="B44" s="452">
        <v>8058679190</v>
      </c>
      <c r="C44" s="444" t="s">
        <v>723</v>
      </c>
      <c r="D44" s="396" t="s">
        <v>724</v>
      </c>
      <c r="E44" s="408">
        <v>650</v>
      </c>
      <c r="F44" s="566">
        <v>182</v>
      </c>
      <c r="G44" s="578">
        <f>'c303-c503'!F44</f>
        <v>0</v>
      </c>
      <c r="H44" s="219">
        <f t="shared" si="12"/>
        <v>0</v>
      </c>
      <c r="I44" s="507">
        <f>(30*BC!$B$47/F44)</f>
        <v>0</v>
      </c>
      <c r="J44" s="508">
        <f t="shared" si="13"/>
        <v>0</v>
      </c>
      <c r="K44" s="508">
        <f t="shared" si="14"/>
        <v>0</v>
      </c>
      <c r="L44" s="194">
        <f t="shared" si="8"/>
        <v>0</v>
      </c>
      <c r="M44" s="364">
        <v>923</v>
      </c>
      <c r="N44" s="365">
        <f t="shared" si="9"/>
        <v>0</v>
      </c>
      <c r="O44" s="91" t="e">
        <f t="shared" si="15"/>
        <v>#DIV/0!</v>
      </c>
      <c r="P44" s="148" t="e">
        <f t="shared" si="10"/>
        <v>#DIV/0!</v>
      </c>
      <c r="Q44" s="371">
        <f t="shared" si="16"/>
        <v>1.42</v>
      </c>
      <c r="R44" s="374" t="e">
        <f>(Q44+$N$155)+((BC!$F$125)/$G$82)</f>
        <v>#DIV/0!</v>
      </c>
      <c r="S44" s="514" t="e">
        <f t="shared" si="17"/>
        <v>#DIV/0!</v>
      </c>
      <c r="T44" s="223" t="e">
        <f t="shared" si="11"/>
        <v>#DIV/0!</v>
      </c>
      <c r="U44" s="223" t="e">
        <f t="shared" si="18"/>
        <v>#DIV/0!</v>
      </c>
    </row>
    <row r="45" spans="1:21" ht="15.75" customHeight="1" x14ac:dyDescent="0.45">
      <c r="B45" s="448">
        <v>8105472190</v>
      </c>
      <c r="C45" s="446" t="s">
        <v>726</v>
      </c>
      <c r="D45" s="396" t="s">
        <v>727</v>
      </c>
      <c r="E45" s="408">
        <v>200</v>
      </c>
      <c r="F45" s="566">
        <v>182</v>
      </c>
      <c r="G45" s="578">
        <f>'c303-c503'!F45</f>
        <v>0</v>
      </c>
      <c r="H45" s="219">
        <f t="shared" si="12"/>
        <v>0</v>
      </c>
      <c r="I45" s="507">
        <f>(30*BC!$B$47/F45)</f>
        <v>0</v>
      </c>
      <c r="J45" s="508">
        <f t="shared" si="13"/>
        <v>0</v>
      </c>
      <c r="K45" s="508">
        <f t="shared" si="14"/>
        <v>0</v>
      </c>
      <c r="L45" s="194">
        <f t="shared" si="8"/>
        <v>0</v>
      </c>
      <c r="M45" s="364">
        <v>658</v>
      </c>
      <c r="N45" s="365">
        <f t="shared" si="9"/>
        <v>0</v>
      </c>
      <c r="O45" s="91" t="e">
        <f t="shared" si="15"/>
        <v>#DIV/0!</v>
      </c>
      <c r="P45" s="148" t="e">
        <f t="shared" si="10"/>
        <v>#DIV/0!</v>
      </c>
      <c r="Q45" s="371">
        <f t="shared" si="16"/>
        <v>3.29</v>
      </c>
      <c r="R45" s="374" t="e">
        <f>(Q45+$N$155)+((BC!$F$125)/$G$82)</f>
        <v>#DIV/0!</v>
      </c>
      <c r="S45" s="514" t="e">
        <f t="shared" si="17"/>
        <v>#DIV/0!</v>
      </c>
      <c r="T45" s="223" t="e">
        <f t="shared" si="11"/>
        <v>#DIV/0!</v>
      </c>
      <c r="U45" s="223" t="e">
        <f t="shared" si="18"/>
        <v>#DIV/0!</v>
      </c>
    </row>
    <row r="46" spans="1:21" ht="15.75" customHeight="1" x14ac:dyDescent="0.45">
      <c r="B46" s="448">
        <v>8105553190</v>
      </c>
      <c r="C46" s="446" t="s">
        <v>728</v>
      </c>
      <c r="D46" s="396" t="s">
        <v>729</v>
      </c>
      <c r="E46" s="408">
        <v>200</v>
      </c>
      <c r="F46" s="566">
        <v>56</v>
      </c>
      <c r="G46" s="578">
        <f>'c303-c503'!F46</f>
        <v>0</v>
      </c>
      <c r="H46" s="219">
        <f t="shared" si="12"/>
        <v>0</v>
      </c>
      <c r="I46" s="507">
        <f>(30*BC!$B$47/F46)</f>
        <v>0</v>
      </c>
      <c r="J46" s="508">
        <f t="shared" si="13"/>
        <v>0</v>
      </c>
      <c r="K46" s="508">
        <f t="shared" si="14"/>
        <v>0</v>
      </c>
      <c r="L46" s="194">
        <f t="shared" si="8"/>
        <v>0</v>
      </c>
      <c r="M46" s="364">
        <v>518</v>
      </c>
      <c r="N46" s="365">
        <f t="shared" si="9"/>
        <v>0</v>
      </c>
      <c r="O46" s="91" t="e">
        <f t="shared" si="15"/>
        <v>#DIV/0!</v>
      </c>
      <c r="P46" s="148" t="e">
        <f t="shared" si="10"/>
        <v>#DIV/0!</v>
      </c>
      <c r="Q46" s="371">
        <f t="shared" si="16"/>
        <v>2.59</v>
      </c>
      <c r="R46" s="374" t="e">
        <f>(Q46+$N$155)+((BC!$F$125)/$G$82)</f>
        <v>#DIV/0!</v>
      </c>
      <c r="S46" s="514" t="e">
        <f t="shared" si="17"/>
        <v>#DIV/0!</v>
      </c>
      <c r="T46" s="223" t="e">
        <f t="shared" si="11"/>
        <v>#DIV/0!</v>
      </c>
      <c r="U46" s="223" t="e">
        <f t="shared" si="18"/>
        <v>#DIV/0!</v>
      </c>
    </row>
    <row r="47" spans="1:21" ht="15.75" customHeight="1" x14ac:dyDescent="0.45">
      <c r="B47" s="448">
        <v>8252645190</v>
      </c>
      <c r="C47" s="446" t="s">
        <v>730</v>
      </c>
      <c r="D47" s="396" t="s">
        <v>731</v>
      </c>
      <c r="E47" s="408">
        <v>200</v>
      </c>
      <c r="F47" s="566">
        <v>182</v>
      </c>
      <c r="G47" s="578">
        <f>'c303-c503'!F47</f>
        <v>0</v>
      </c>
      <c r="H47" s="219">
        <f t="shared" si="12"/>
        <v>0</v>
      </c>
      <c r="I47" s="507">
        <f>(30*BC!$B$47/F47)</f>
        <v>0</v>
      </c>
      <c r="J47" s="508">
        <f t="shared" si="13"/>
        <v>0</v>
      </c>
      <c r="K47" s="508">
        <f t="shared" si="14"/>
        <v>0</v>
      </c>
      <c r="L47" s="194">
        <f t="shared" si="8"/>
        <v>0</v>
      </c>
      <c r="M47" s="364">
        <v>930</v>
      </c>
      <c r="N47" s="365">
        <f t="shared" si="9"/>
        <v>0</v>
      </c>
      <c r="O47" s="91" t="e">
        <f t="shared" si="15"/>
        <v>#DIV/0!</v>
      </c>
      <c r="P47" s="148" t="e">
        <f t="shared" si="10"/>
        <v>#DIV/0!</v>
      </c>
      <c r="Q47" s="371">
        <f t="shared" si="16"/>
        <v>4.6500000000000004</v>
      </c>
      <c r="R47" s="374" t="e">
        <f>(Q47+$N$155)+((BC!$F$125)/$G$82)</f>
        <v>#DIV/0!</v>
      </c>
      <c r="S47" s="514" t="e">
        <f t="shared" si="17"/>
        <v>#DIV/0!</v>
      </c>
      <c r="T47" s="223" t="e">
        <f t="shared" si="11"/>
        <v>#DIV/0!</v>
      </c>
      <c r="U47" s="223" t="e">
        <f t="shared" si="18"/>
        <v>#DIV/0!</v>
      </c>
    </row>
    <row r="48" spans="1:21" ht="15.75" customHeight="1" x14ac:dyDescent="0.45">
      <c r="B48" s="448">
        <v>8106070190</v>
      </c>
      <c r="C48" s="453" t="s">
        <v>1132</v>
      </c>
      <c r="D48" s="396" t="s">
        <v>732</v>
      </c>
      <c r="E48" s="408">
        <v>150</v>
      </c>
      <c r="F48" s="566">
        <v>182</v>
      </c>
      <c r="G48" s="578">
        <f>'c303-c503'!F48</f>
        <v>0</v>
      </c>
      <c r="H48" s="219">
        <f t="shared" si="12"/>
        <v>0</v>
      </c>
      <c r="I48" s="507">
        <f>(30*BC!$B$47/F48)</f>
        <v>0</v>
      </c>
      <c r="J48" s="508">
        <f t="shared" si="13"/>
        <v>0</v>
      </c>
      <c r="K48" s="508">
        <f t="shared" si="14"/>
        <v>0</v>
      </c>
      <c r="L48" s="194">
        <f t="shared" si="8"/>
        <v>0</v>
      </c>
      <c r="M48" s="364">
        <v>360</v>
      </c>
      <c r="N48" s="365">
        <f t="shared" si="9"/>
        <v>0</v>
      </c>
      <c r="O48" s="91" t="e">
        <f t="shared" si="15"/>
        <v>#DIV/0!</v>
      </c>
      <c r="P48" s="148" t="e">
        <f t="shared" si="10"/>
        <v>#DIV/0!</v>
      </c>
      <c r="Q48" s="371">
        <f t="shared" si="16"/>
        <v>2.4</v>
      </c>
      <c r="R48" s="374" t="e">
        <f>(Q48+$N$155)+((BC!$F$125)/$G$82)</f>
        <v>#DIV/0!</v>
      </c>
      <c r="S48" s="514" t="e">
        <f t="shared" si="17"/>
        <v>#DIV/0!</v>
      </c>
      <c r="T48" s="223" t="e">
        <f t="shared" si="11"/>
        <v>#DIV/0!</v>
      </c>
      <c r="U48" s="223" t="e">
        <f t="shared" si="18"/>
        <v>#DIV/0!</v>
      </c>
    </row>
    <row r="49" spans="2:21" ht="15.75" customHeight="1" x14ac:dyDescent="0.45">
      <c r="B49" s="448">
        <v>8106061190</v>
      </c>
      <c r="C49" s="453" t="s">
        <v>1133</v>
      </c>
      <c r="D49" s="396" t="s">
        <v>733</v>
      </c>
      <c r="E49" s="408">
        <v>150</v>
      </c>
      <c r="F49" s="566">
        <v>182</v>
      </c>
      <c r="G49" s="578">
        <f>'c303-c503'!F49</f>
        <v>0</v>
      </c>
      <c r="H49" s="219">
        <f t="shared" si="12"/>
        <v>0</v>
      </c>
      <c r="I49" s="507">
        <f>(30*BC!$B$47/F49)</f>
        <v>0</v>
      </c>
      <c r="J49" s="508">
        <f t="shared" si="13"/>
        <v>0</v>
      </c>
      <c r="K49" s="508">
        <f t="shared" si="14"/>
        <v>0</v>
      </c>
      <c r="L49" s="194">
        <f t="shared" si="8"/>
        <v>0</v>
      </c>
      <c r="M49" s="364">
        <v>411</v>
      </c>
      <c r="N49" s="365">
        <f t="shared" si="9"/>
        <v>0</v>
      </c>
      <c r="O49" s="91" t="e">
        <f t="shared" si="15"/>
        <v>#DIV/0!</v>
      </c>
      <c r="P49" s="148" t="e">
        <f t="shared" si="10"/>
        <v>#DIV/0!</v>
      </c>
      <c r="Q49" s="371">
        <f t="shared" si="16"/>
        <v>2.74</v>
      </c>
      <c r="R49" s="374" t="e">
        <f>(Q49+$N$155)+((BC!$F$125)/$G$82)</f>
        <v>#DIV/0!</v>
      </c>
      <c r="S49" s="514" t="e">
        <f t="shared" si="17"/>
        <v>#DIV/0!</v>
      </c>
      <c r="T49" s="223" t="e">
        <f t="shared" si="11"/>
        <v>#DIV/0!</v>
      </c>
      <c r="U49" s="223" t="e">
        <f t="shared" si="18"/>
        <v>#DIV/0!</v>
      </c>
    </row>
    <row r="50" spans="2:21" ht="15.75" customHeight="1" x14ac:dyDescent="0.45">
      <c r="B50" s="448">
        <v>8058776190</v>
      </c>
      <c r="C50" s="454" t="s">
        <v>734</v>
      </c>
      <c r="D50" s="396" t="s">
        <v>735</v>
      </c>
      <c r="E50" s="408">
        <v>100</v>
      </c>
      <c r="F50" s="566">
        <v>56</v>
      </c>
      <c r="G50" s="578">
        <f>'c303-c503'!F50</f>
        <v>0</v>
      </c>
      <c r="H50" s="219">
        <f t="shared" si="12"/>
        <v>0</v>
      </c>
      <c r="I50" s="507">
        <f>(30*BC!$B$47/F50)</f>
        <v>0</v>
      </c>
      <c r="J50" s="508">
        <f t="shared" si="13"/>
        <v>0</v>
      </c>
      <c r="K50" s="508">
        <f t="shared" si="14"/>
        <v>0</v>
      </c>
      <c r="L50" s="194">
        <f t="shared" si="8"/>
        <v>0</v>
      </c>
      <c r="M50" s="364">
        <v>201</v>
      </c>
      <c r="N50" s="365">
        <f t="shared" si="9"/>
        <v>0</v>
      </c>
      <c r="O50" s="91" t="e">
        <f t="shared" si="15"/>
        <v>#DIV/0!</v>
      </c>
      <c r="P50" s="148" t="e">
        <f t="shared" si="10"/>
        <v>#DIV/0!</v>
      </c>
      <c r="Q50" s="371">
        <f t="shared" si="16"/>
        <v>2.0099999999999998</v>
      </c>
      <c r="R50" s="374" t="e">
        <f>(Q50+$N$155)+((BC!$F$125)/$G$82)</f>
        <v>#DIV/0!</v>
      </c>
      <c r="S50" s="514" t="e">
        <f t="shared" si="17"/>
        <v>#DIV/0!</v>
      </c>
      <c r="T50" s="223" t="e">
        <f t="shared" si="11"/>
        <v>#DIV/0!</v>
      </c>
      <c r="U50" s="223" t="e">
        <f t="shared" si="18"/>
        <v>#DIV/0!</v>
      </c>
    </row>
    <row r="51" spans="2:21" ht="15.75" customHeight="1" x14ac:dyDescent="0.45">
      <c r="B51" s="448">
        <v>8057591190</v>
      </c>
      <c r="C51" s="445" t="s">
        <v>736</v>
      </c>
      <c r="D51" s="396" t="s">
        <v>737</v>
      </c>
      <c r="E51" s="408">
        <v>500</v>
      </c>
      <c r="F51" s="566">
        <v>84</v>
      </c>
      <c r="G51" s="578">
        <f>'c303-c503'!F51</f>
        <v>0</v>
      </c>
      <c r="H51" s="219">
        <f t="shared" si="12"/>
        <v>0</v>
      </c>
      <c r="I51" s="507">
        <f>(30*BC!$B$47/F51)</f>
        <v>0</v>
      </c>
      <c r="J51" s="508">
        <f t="shared" si="13"/>
        <v>0</v>
      </c>
      <c r="K51" s="508">
        <f t="shared" si="14"/>
        <v>0</v>
      </c>
      <c r="L51" s="194">
        <f t="shared" si="8"/>
        <v>0</v>
      </c>
      <c r="M51" s="364">
        <v>1285</v>
      </c>
      <c r="N51" s="365">
        <f t="shared" si="9"/>
        <v>0</v>
      </c>
      <c r="O51" s="91" t="e">
        <f t="shared" si="15"/>
        <v>#DIV/0!</v>
      </c>
      <c r="P51" s="148" t="e">
        <f t="shared" si="10"/>
        <v>#DIV/0!</v>
      </c>
      <c r="Q51" s="371">
        <f t="shared" si="16"/>
        <v>2.57</v>
      </c>
      <c r="R51" s="374" t="e">
        <f>(Q51+$N$155)+((BC!$F$125)/$G$82)</f>
        <v>#DIV/0!</v>
      </c>
      <c r="S51" s="514" t="e">
        <f t="shared" si="17"/>
        <v>#DIV/0!</v>
      </c>
      <c r="T51" s="223" t="e">
        <f t="shared" si="11"/>
        <v>#DIV/0!</v>
      </c>
      <c r="U51" s="223" t="e">
        <f t="shared" si="18"/>
        <v>#DIV/0!</v>
      </c>
    </row>
    <row r="52" spans="2:21" ht="15.75" customHeight="1" x14ac:dyDescent="0.45">
      <c r="B52" s="448">
        <v>8105545190</v>
      </c>
      <c r="C52" s="445" t="s">
        <v>738</v>
      </c>
      <c r="D52" s="396" t="s">
        <v>739</v>
      </c>
      <c r="E52" s="408">
        <v>150</v>
      </c>
      <c r="F52" s="566">
        <v>154</v>
      </c>
      <c r="G52" s="578">
        <f>'c303-c503'!F52</f>
        <v>0</v>
      </c>
      <c r="H52" s="219">
        <f t="shared" si="12"/>
        <v>0</v>
      </c>
      <c r="I52" s="507">
        <f>(30*BC!$B$47/F52)</f>
        <v>0</v>
      </c>
      <c r="J52" s="508">
        <f t="shared" si="13"/>
        <v>0</v>
      </c>
      <c r="K52" s="508">
        <f t="shared" si="14"/>
        <v>0</v>
      </c>
      <c r="L52" s="194">
        <f t="shared" si="8"/>
        <v>0</v>
      </c>
      <c r="M52" s="364">
        <v>464</v>
      </c>
      <c r="N52" s="365">
        <f t="shared" si="9"/>
        <v>0</v>
      </c>
      <c r="O52" s="91" t="e">
        <f t="shared" si="15"/>
        <v>#DIV/0!</v>
      </c>
      <c r="P52" s="148" t="e">
        <f t="shared" si="10"/>
        <v>#DIV/0!</v>
      </c>
      <c r="Q52" s="371">
        <f t="shared" si="16"/>
        <v>3.0933333333333333</v>
      </c>
      <c r="R52" s="374" t="e">
        <f>(Q52+$N$155)+((BC!$F$125)/$G$82)</f>
        <v>#DIV/0!</v>
      </c>
      <c r="S52" s="514" t="e">
        <f t="shared" si="17"/>
        <v>#DIV/0!</v>
      </c>
      <c r="T52" s="223" t="e">
        <f t="shared" si="11"/>
        <v>#DIV/0!</v>
      </c>
      <c r="U52" s="223" t="e">
        <f t="shared" si="18"/>
        <v>#DIV/0!</v>
      </c>
    </row>
    <row r="53" spans="2:21" ht="15.75" customHeight="1" x14ac:dyDescent="0.45">
      <c r="B53" s="448">
        <v>8106045190</v>
      </c>
      <c r="C53" s="445" t="s">
        <v>740</v>
      </c>
      <c r="D53" s="396" t="s">
        <v>741</v>
      </c>
      <c r="E53" s="408">
        <v>200</v>
      </c>
      <c r="F53" s="566">
        <v>182</v>
      </c>
      <c r="G53" s="578">
        <f>'c303-c503'!F53</f>
        <v>0</v>
      </c>
      <c r="H53" s="219">
        <f t="shared" si="12"/>
        <v>0</v>
      </c>
      <c r="I53" s="507">
        <f>(30*BC!$B$47/F53)</f>
        <v>0</v>
      </c>
      <c r="J53" s="508">
        <f t="shared" si="13"/>
        <v>0</v>
      </c>
      <c r="K53" s="508">
        <f t="shared" si="14"/>
        <v>0</v>
      </c>
      <c r="L53" s="194">
        <f t="shared" si="8"/>
        <v>0</v>
      </c>
      <c r="M53" s="364">
        <v>602</v>
      </c>
      <c r="N53" s="365">
        <f t="shared" si="9"/>
        <v>0</v>
      </c>
      <c r="O53" s="91" t="e">
        <f t="shared" si="15"/>
        <v>#DIV/0!</v>
      </c>
      <c r="P53" s="148" t="e">
        <f t="shared" si="10"/>
        <v>#DIV/0!</v>
      </c>
      <c r="Q53" s="371">
        <f t="shared" si="16"/>
        <v>3.01</v>
      </c>
      <c r="R53" s="374" t="e">
        <f>(Q53+$N$155)+((BC!$F$125)/$G$82)</f>
        <v>#DIV/0!</v>
      </c>
      <c r="S53" s="514" t="e">
        <f t="shared" si="17"/>
        <v>#DIV/0!</v>
      </c>
      <c r="T53" s="223" t="e">
        <f t="shared" si="11"/>
        <v>#DIV/0!</v>
      </c>
      <c r="U53" s="223" t="e">
        <f t="shared" si="18"/>
        <v>#DIV/0!</v>
      </c>
    </row>
    <row r="54" spans="2:21" ht="15.75" customHeight="1" x14ac:dyDescent="0.45">
      <c r="B54" s="448">
        <v>8105537190</v>
      </c>
      <c r="C54" s="445" t="s">
        <v>742</v>
      </c>
      <c r="D54" s="396" t="s">
        <v>743</v>
      </c>
      <c r="E54" s="408">
        <v>150</v>
      </c>
      <c r="F54" s="566">
        <v>154</v>
      </c>
      <c r="G54" s="578">
        <f>'c303-c503'!F54</f>
        <v>0</v>
      </c>
      <c r="H54" s="219">
        <f t="shared" si="12"/>
        <v>0</v>
      </c>
      <c r="I54" s="507">
        <f>(30*BC!$B$47/F54)</f>
        <v>0</v>
      </c>
      <c r="J54" s="508">
        <f t="shared" si="13"/>
        <v>0</v>
      </c>
      <c r="K54" s="508">
        <f t="shared" si="14"/>
        <v>0</v>
      </c>
      <c r="L54" s="194">
        <f t="shared" si="8"/>
        <v>0</v>
      </c>
      <c r="M54" s="364">
        <v>461</v>
      </c>
      <c r="N54" s="365">
        <f t="shared" si="9"/>
        <v>0</v>
      </c>
      <c r="O54" s="91" t="e">
        <f t="shared" si="15"/>
        <v>#DIV/0!</v>
      </c>
      <c r="P54" s="148" t="e">
        <f t="shared" si="10"/>
        <v>#DIV/0!</v>
      </c>
      <c r="Q54" s="371">
        <f t="shared" si="16"/>
        <v>3.0733333333333333</v>
      </c>
      <c r="R54" s="374" t="e">
        <f>(Q54+$N$155)+((BC!$F$125)/$G$82)</f>
        <v>#DIV/0!</v>
      </c>
      <c r="S54" s="514" t="e">
        <f t="shared" si="17"/>
        <v>#DIV/0!</v>
      </c>
      <c r="T54" s="223" t="e">
        <f t="shared" si="11"/>
        <v>#DIV/0!</v>
      </c>
      <c r="U54" s="223" t="e">
        <f t="shared" si="18"/>
        <v>#DIV/0!</v>
      </c>
    </row>
    <row r="55" spans="2:21" ht="15.75" customHeight="1" x14ac:dyDescent="0.45">
      <c r="B55" s="448">
        <v>8106088190</v>
      </c>
      <c r="C55" s="445" t="s">
        <v>744</v>
      </c>
      <c r="D55" s="396" t="s">
        <v>745</v>
      </c>
      <c r="E55" s="408">
        <v>100</v>
      </c>
      <c r="F55" s="566">
        <v>182</v>
      </c>
      <c r="G55" s="578">
        <f>'c303-c503'!F55</f>
        <v>0</v>
      </c>
      <c r="H55" s="219">
        <f t="shared" si="12"/>
        <v>0</v>
      </c>
      <c r="I55" s="507">
        <f>(30*BC!$B$47/F55)</f>
        <v>0</v>
      </c>
      <c r="J55" s="508">
        <f t="shared" si="13"/>
        <v>0</v>
      </c>
      <c r="K55" s="508">
        <f t="shared" si="14"/>
        <v>0</v>
      </c>
      <c r="L55" s="194">
        <f t="shared" si="8"/>
        <v>0</v>
      </c>
      <c r="M55" s="364">
        <v>474</v>
      </c>
      <c r="N55" s="365">
        <f t="shared" si="9"/>
        <v>0</v>
      </c>
      <c r="O55" s="91" t="e">
        <f t="shared" si="15"/>
        <v>#DIV/0!</v>
      </c>
      <c r="P55" s="148" t="e">
        <f t="shared" si="10"/>
        <v>#DIV/0!</v>
      </c>
      <c r="Q55" s="371">
        <f t="shared" si="16"/>
        <v>4.74</v>
      </c>
      <c r="R55" s="374" t="e">
        <f>(Q55+$N$155)+((BC!$F$125)/$G$82)</f>
        <v>#DIV/0!</v>
      </c>
      <c r="S55" s="514" t="e">
        <f t="shared" si="17"/>
        <v>#DIV/0!</v>
      </c>
      <c r="T55" s="223" t="e">
        <f t="shared" si="11"/>
        <v>#DIV/0!</v>
      </c>
      <c r="U55" s="223" t="e">
        <f t="shared" si="18"/>
        <v>#DIV/0!</v>
      </c>
    </row>
    <row r="56" spans="2:21" ht="15.75" customHeight="1" x14ac:dyDescent="0.45">
      <c r="B56" s="448">
        <v>8106096190</v>
      </c>
      <c r="C56" s="445" t="s">
        <v>746</v>
      </c>
      <c r="D56" s="396" t="s">
        <v>747</v>
      </c>
      <c r="E56" s="408">
        <v>100</v>
      </c>
      <c r="F56" s="566">
        <v>182</v>
      </c>
      <c r="G56" s="578">
        <f>'c303-c503'!F56</f>
        <v>0</v>
      </c>
      <c r="H56" s="219">
        <f t="shared" si="12"/>
        <v>0</v>
      </c>
      <c r="I56" s="507">
        <f>(30*BC!$B$47/F56)</f>
        <v>0</v>
      </c>
      <c r="J56" s="508">
        <f t="shared" si="13"/>
        <v>0</v>
      </c>
      <c r="K56" s="508">
        <f t="shared" si="14"/>
        <v>0</v>
      </c>
      <c r="L56" s="194">
        <f t="shared" si="8"/>
        <v>0</v>
      </c>
      <c r="M56" s="364">
        <v>706</v>
      </c>
      <c r="N56" s="365">
        <f t="shared" si="9"/>
        <v>0</v>
      </c>
      <c r="O56" s="91" t="e">
        <f t="shared" si="15"/>
        <v>#DIV/0!</v>
      </c>
      <c r="P56" s="148" t="e">
        <f t="shared" si="10"/>
        <v>#DIV/0!</v>
      </c>
      <c r="Q56" s="371">
        <f t="shared" si="16"/>
        <v>7.06</v>
      </c>
      <c r="R56" s="374" t="e">
        <f>(Q56+$N$155)+((BC!$F$125)/$G$82)</f>
        <v>#DIV/0!</v>
      </c>
      <c r="S56" s="514" t="e">
        <f t="shared" si="17"/>
        <v>#DIV/0!</v>
      </c>
      <c r="T56" s="223" t="e">
        <f t="shared" si="11"/>
        <v>#DIV/0!</v>
      </c>
      <c r="U56" s="223" t="e">
        <f t="shared" si="18"/>
        <v>#DIV/0!</v>
      </c>
    </row>
    <row r="57" spans="2:21" ht="15.75" customHeight="1" x14ac:dyDescent="0.45">
      <c r="B57" s="448">
        <v>8101396190</v>
      </c>
      <c r="C57" s="445" t="s">
        <v>1134</v>
      </c>
      <c r="D57" s="396" t="s">
        <v>748</v>
      </c>
      <c r="E57" s="408">
        <v>200</v>
      </c>
      <c r="F57" s="566">
        <v>182</v>
      </c>
      <c r="G57" s="578">
        <f>'c303-c503'!F57</f>
        <v>0</v>
      </c>
      <c r="H57" s="219">
        <f t="shared" si="12"/>
        <v>0</v>
      </c>
      <c r="I57" s="507">
        <f>(30*BC!$B$47/F57)</f>
        <v>0</v>
      </c>
      <c r="J57" s="508">
        <f t="shared" si="13"/>
        <v>0</v>
      </c>
      <c r="K57" s="508">
        <f t="shared" si="14"/>
        <v>0</v>
      </c>
      <c r="L57" s="194">
        <f t="shared" si="8"/>
        <v>0</v>
      </c>
      <c r="M57" s="364">
        <v>872</v>
      </c>
      <c r="N57" s="365">
        <f t="shared" si="9"/>
        <v>0</v>
      </c>
      <c r="O57" s="91" t="e">
        <f t="shared" si="15"/>
        <v>#DIV/0!</v>
      </c>
      <c r="P57" s="148" t="e">
        <f t="shared" si="10"/>
        <v>#DIV/0!</v>
      </c>
      <c r="Q57" s="371">
        <f t="shared" si="16"/>
        <v>4.3600000000000003</v>
      </c>
      <c r="R57" s="374" t="e">
        <f>(Q57+$N$155)+((BC!$F$125)/$G$82)</f>
        <v>#DIV/0!</v>
      </c>
      <c r="S57" s="514" t="e">
        <f t="shared" si="17"/>
        <v>#DIV/0!</v>
      </c>
      <c r="T57" s="223" t="e">
        <f t="shared" si="11"/>
        <v>#DIV/0!</v>
      </c>
      <c r="U57" s="223" t="e">
        <f t="shared" si="18"/>
        <v>#DIV/0!</v>
      </c>
    </row>
    <row r="58" spans="2:21" ht="15.75" customHeight="1" x14ac:dyDescent="0.45">
      <c r="B58" s="448">
        <v>8058733190</v>
      </c>
      <c r="C58" s="445" t="s">
        <v>749</v>
      </c>
      <c r="D58" s="396" t="s">
        <v>750</v>
      </c>
      <c r="E58" s="408">
        <v>500</v>
      </c>
      <c r="F58" s="566">
        <v>182</v>
      </c>
      <c r="G58" s="578">
        <f>'c303-c503'!F58</f>
        <v>0</v>
      </c>
      <c r="H58" s="219">
        <f t="shared" si="12"/>
        <v>0</v>
      </c>
      <c r="I58" s="507">
        <f>(30*BC!$B$47/F58)</f>
        <v>0</v>
      </c>
      <c r="J58" s="508">
        <f t="shared" si="13"/>
        <v>0</v>
      </c>
      <c r="K58" s="508">
        <f t="shared" si="14"/>
        <v>0</v>
      </c>
      <c r="L58" s="194">
        <f t="shared" si="8"/>
        <v>0</v>
      </c>
      <c r="M58" s="364">
        <v>1210</v>
      </c>
      <c r="N58" s="365">
        <f t="shared" si="9"/>
        <v>0</v>
      </c>
      <c r="O58" s="91" t="e">
        <f t="shared" si="15"/>
        <v>#DIV/0!</v>
      </c>
      <c r="P58" s="148" t="e">
        <f t="shared" si="10"/>
        <v>#DIV/0!</v>
      </c>
      <c r="Q58" s="371">
        <f t="shared" si="16"/>
        <v>2.42</v>
      </c>
      <c r="R58" s="374" t="e">
        <f>(Q58+$N$155)+((BC!$F$125)/$G$82)</f>
        <v>#DIV/0!</v>
      </c>
      <c r="S58" s="514" t="e">
        <f t="shared" si="17"/>
        <v>#DIV/0!</v>
      </c>
      <c r="T58" s="223" t="e">
        <f t="shared" si="11"/>
        <v>#DIV/0!</v>
      </c>
      <c r="U58" s="223" t="e">
        <f t="shared" si="18"/>
        <v>#DIV/0!</v>
      </c>
    </row>
    <row r="59" spans="2:21" ht="15.75" customHeight="1" x14ac:dyDescent="0.45">
      <c r="B59" s="448">
        <v>8057648190</v>
      </c>
      <c r="C59" s="445" t="s">
        <v>1135</v>
      </c>
      <c r="D59" s="396" t="s">
        <v>751</v>
      </c>
      <c r="E59" s="408">
        <v>400</v>
      </c>
      <c r="F59" s="566">
        <v>182</v>
      </c>
      <c r="G59" s="578">
        <f>'c303-c503'!F59</f>
        <v>0</v>
      </c>
      <c r="H59" s="219">
        <f t="shared" si="12"/>
        <v>0</v>
      </c>
      <c r="I59" s="507">
        <f>(30*BC!$B$47/F59)</f>
        <v>0</v>
      </c>
      <c r="J59" s="508">
        <f t="shared" si="13"/>
        <v>0</v>
      </c>
      <c r="K59" s="508">
        <f t="shared" si="14"/>
        <v>0</v>
      </c>
      <c r="L59" s="194">
        <f t="shared" si="8"/>
        <v>0</v>
      </c>
      <c r="M59" s="364">
        <v>1512</v>
      </c>
      <c r="N59" s="365">
        <f t="shared" si="9"/>
        <v>0</v>
      </c>
      <c r="O59" s="91" t="e">
        <f t="shared" si="15"/>
        <v>#DIV/0!</v>
      </c>
      <c r="P59" s="148" t="e">
        <f t="shared" si="10"/>
        <v>#DIV/0!</v>
      </c>
      <c r="Q59" s="371">
        <f t="shared" si="16"/>
        <v>3.78</v>
      </c>
      <c r="R59" s="374" t="e">
        <f>(Q59+$N$155)+((BC!$F$125)/$G$82)</f>
        <v>#DIV/0!</v>
      </c>
      <c r="S59" s="514" t="e">
        <f t="shared" si="17"/>
        <v>#DIV/0!</v>
      </c>
      <c r="T59" s="223" t="e">
        <f t="shared" si="11"/>
        <v>#DIV/0!</v>
      </c>
      <c r="U59" s="223" t="e">
        <f t="shared" si="18"/>
        <v>#DIV/0!</v>
      </c>
    </row>
    <row r="60" spans="2:21" ht="15.75" customHeight="1" x14ac:dyDescent="0.45">
      <c r="B60" s="448">
        <v>8057923190</v>
      </c>
      <c r="C60" s="445" t="s">
        <v>752</v>
      </c>
      <c r="D60" s="396" t="s">
        <v>753</v>
      </c>
      <c r="E60" s="408">
        <v>300</v>
      </c>
      <c r="F60" s="566">
        <v>182</v>
      </c>
      <c r="G60" s="578">
        <f>'c303-c503'!F60</f>
        <v>0</v>
      </c>
      <c r="H60" s="219">
        <f t="shared" si="12"/>
        <v>0</v>
      </c>
      <c r="I60" s="507">
        <f>(30*BC!$B$47/F60)</f>
        <v>0</v>
      </c>
      <c r="J60" s="508">
        <f t="shared" si="13"/>
        <v>0</v>
      </c>
      <c r="K60" s="508">
        <f t="shared" si="14"/>
        <v>0</v>
      </c>
      <c r="L60" s="194">
        <f t="shared" si="8"/>
        <v>0</v>
      </c>
      <c r="M60" s="364">
        <v>720</v>
      </c>
      <c r="N60" s="365">
        <f t="shared" si="9"/>
        <v>0</v>
      </c>
      <c r="O60" s="91" t="e">
        <f t="shared" si="15"/>
        <v>#DIV/0!</v>
      </c>
      <c r="P60" s="148" t="e">
        <f t="shared" si="10"/>
        <v>#DIV/0!</v>
      </c>
      <c r="Q60" s="371">
        <f t="shared" si="16"/>
        <v>2.4</v>
      </c>
      <c r="R60" s="374" t="e">
        <f>(Q60+$N$155)+((BC!$F$125)/$G$82)</f>
        <v>#DIV/0!</v>
      </c>
      <c r="S60" s="514" t="e">
        <f t="shared" si="17"/>
        <v>#DIV/0!</v>
      </c>
      <c r="T60" s="223" t="e">
        <f t="shared" si="11"/>
        <v>#DIV/0!</v>
      </c>
      <c r="U60" s="223" t="e">
        <f t="shared" si="18"/>
        <v>#DIV/0!</v>
      </c>
    </row>
    <row r="61" spans="2:21" ht="15.75" customHeight="1" x14ac:dyDescent="0.45">
      <c r="B61" s="455" t="s">
        <v>754</v>
      </c>
      <c r="C61" s="445" t="s">
        <v>755</v>
      </c>
      <c r="D61" s="412" t="s">
        <v>725</v>
      </c>
      <c r="E61" s="408">
        <v>300</v>
      </c>
      <c r="F61" s="566">
        <v>182</v>
      </c>
      <c r="G61" s="578">
        <f>'c303-c503'!F61</f>
        <v>0</v>
      </c>
      <c r="H61" s="219">
        <f t="shared" si="12"/>
        <v>0</v>
      </c>
      <c r="I61" s="507">
        <f>(30*BC!$B$47/F61)</f>
        <v>0</v>
      </c>
      <c r="J61" s="508">
        <f t="shared" si="13"/>
        <v>0</v>
      </c>
      <c r="K61" s="508">
        <f t="shared" si="14"/>
        <v>0</v>
      </c>
      <c r="L61" s="194">
        <f t="shared" si="8"/>
        <v>0</v>
      </c>
      <c r="M61" s="364">
        <v>720</v>
      </c>
      <c r="N61" s="365">
        <f t="shared" si="9"/>
        <v>0</v>
      </c>
      <c r="O61" s="91" t="e">
        <f t="shared" si="15"/>
        <v>#DIV/0!</v>
      </c>
      <c r="P61" s="148" t="e">
        <f t="shared" si="10"/>
        <v>#DIV/0!</v>
      </c>
      <c r="Q61" s="371">
        <f t="shared" si="16"/>
        <v>2.4</v>
      </c>
      <c r="R61" s="374" t="e">
        <f>(Q61+$N$155)+((BC!$F$125)/$G$82)</f>
        <v>#DIV/0!</v>
      </c>
      <c r="S61" s="514" t="e">
        <f t="shared" si="17"/>
        <v>#DIV/0!</v>
      </c>
      <c r="T61" s="223" t="e">
        <f t="shared" si="11"/>
        <v>#DIV/0!</v>
      </c>
      <c r="U61" s="223" t="e">
        <f t="shared" si="18"/>
        <v>#DIV/0!</v>
      </c>
    </row>
    <row r="62" spans="2:21" ht="15.75" customHeight="1" x14ac:dyDescent="0.45">
      <c r="B62" s="448">
        <v>8057885190</v>
      </c>
      <c r="C62" s="445" t="s">
        <v>756</v>
      </c>
      <c r="D62" s="396" t="s">
        <v>757</v>
      </c>
      <c r="E62" s="408">
        <v>300</v>
      </c>
      <c r="F62" s="566">
        <v>182</v>
      </c>
      <c r="G62" s="578">
        <f>'c303-c503'!F62</f>
        <v>0</v>
      </c>
      <c r="H62" s="219">
        <f t="shared" si="12"/>
        <v>0</v>
      </c>
      <c r="I62" s="507">
        <f>(30*BC!$B$47/F62)</f>
        <v>0</v>
      </c>
      <c r="J62" s="508">
        <f t="shared" si="13"/>
        <v>0</v>
      </c>
      <c r="K62" s="508">
        <f t="shared" si="14"/>
        <v>0</v>
      </c>
      <c r="L62" s="194">
        <f t="shared" si="8"/>
        <v>0</v>
      </c>
      <c r="M62" s="364">
        <v>822</v>
      </c>
      <c r="N62" s="365">
        <f t="shared" si="9"/>
        <v>0</v>
      </c>
      <c r="O62" s="91" t="e">
        <f t="shared" si="15"/>
        <v>#DIV/0!</v>
      </c>
      <c r="P62" s="148" t="e">
        <f t="shared" si="10"/>
        <v>#DIV/0!</v>
      </c>
      <c r="Q62" s="371">
        <f t="shared" si="16"/>
        <v>2.74</v>
      </c>
      <c r="R62" s="374" t="e">
        <f>(Q62+$N$155)+((BC!$F$125)/$G$82)</f>
        <v>#DIV/0!</v>
      </c>
      <c r="S62" s="514" t="e">
        <f t="shared" si="17"/>
        <v>#DIV/0!</v>
      </c>
      <c r="T62" s="223" t="e">
        <f t="shared" si="11"/>
        <v>#DIV/0!</v>
      </c>
      <c r="U62" s="223" t="e">
        <f t="shared" si="18"/>
        <v>#DIV/0!</v>
      </c>
    </row>
    <row r="63" spans="2:21" ht="15.75" customHeight="1" x14ac:dyDescent="0.45">
      <c r="B63" s="396">
        <v>9529713190</v>
      </c>
      <c r="C63" s="456" t="s">
        <v>758</v>
      </c>
      <c r="D63" s="396" t="s">
        <v>1136</v>
      </c>
      <c r="E63" s="408">
        <v>500</v>
      </c>
      <c r="F63" s="566">
        <v>28</v>
      </c>
      <c r="G63" s="578">
        <f>'c303-c503'!F63</f>
        <v>0</v>
      </c>
      <c r="H63" s="219">
        <f t="shared" si="12"/>
        <v>0</v>
      </c>
      <c r="I63" s="507">
        <f>(30*BC!$B$47/F63)</f>
        <v>0</v>
      </c>
      <c r="J63" s="508">
        <f t="shared" si="13"/>
        <v>0</v>
      </c>
      <c r="K63" s="508">
        <f t="shared" si="14"/>
        <v>0</v>
      </c>
      <c r="L63" s="194">
        <f t="shared" si="8"/>
        <v>0</v>
      </c>
      <c r="M63" s="364">
        <v>2435</v>
      </c>
      <c r="N63" s="365">
        <f t="shared" si="9"/>
        <v>0</v>
      </c>
      <c r="O63" s="91" t="e">
        <f t="shared" si="15"/>
        <v>#DIV/0!</v>
      </c>
      <c r="P63" s="148" t="e">
        <f t="shared" si="10"/>
        <v>#DIV/0!</v>
      </c>
      <c r="Q63" s="371">
        <f t="shared" si="16"/>
        <v>4.87</v>
      </c>
      <c r="R63" s="374" t="e">
        <f>(Q63+$N$155)+((BC!$F$125)/$G$82)</f>
        <v>#DIV/0!</v>
      </c>
      <c r="S63" s="514" t="e">
        <f t="shared" si="17"/>
        <v>#DIV/0!</v>
      </c>
      <c r="T63" s="223" t="e">
        <f t="shared" si="11"/>
        <v>#DIV/0!</v>
      </c>
      <c r="U63" s="223" t="e">
        <f t="shared" si="18"/>
        <v>#DIV/0!</v>
      </c>
    </row>
    <row r="64" spans="2:21" ht="15.75" customHeight="1" x14ac:dyDescent="0.45">
      <c r="B64" s="396">
        <v>9529705190</v>
      </c>
      <c r="C64" s="456" t="s">
        <v>759</v>
      </c>
      <c r="D64" s="396" t="s">
        <v>1137</v>
      </c>
      <c r="E64" s="408">
        <v>200</v>
      </c>
      <c r="F64" s="566">
        <v>28</v>
      </c>
      <c r="G64" s="578">
        <f>'c303-c503'!F64</f>
        <v>0</v>
      </c>
      <c r="H64" s="219">
        <f t="shared" si="12"/>
        <v>0</v>
      </c>
      <c r="I64" s="507">
        <f>(30*BC!$B$47/F64)</f>
        <v>0</v>
      </c>
      <c r="J64" s="508">
        <f t="shared" si="13"/>
        <v>0</v>
      </c>
      <c r="K64" s="508">
        <f t="shared" si="14"/>
        <v>0</v>
      </c>
      <c r="L64" s="194">
        <f t="shared" si="8"/>
        <v>0</v>
      </c>
      <c r="M64" s="364">
        <v>974</v>
      </c>
      <c r="N64" s="365">
        <f t="shared" si="9"/>
        <v>0</v>
      </c>
      <c r="O64" s="91" t="e">
        <f t="shared" si="15"/>
        <v>#DIV/0!</v>
      </c>
      <c r="P64" s="148" t="e">
        <f t="shared" si="10"/>
        <v>#DIV/0!</v>
      </c>
      <c r="Q64" s="371">
        <f t="shared" si="16"/>
        <v>4.87</v>
      </c>
      <c r="R64" s="374" t="e">
        <f>(Q64+$N$155)+((BC!$F$125)/$G$82)</f>
        <v>#DIV/0!</v>
      </c>
      <c r="S64" s="514" t="e">
        <f t="shared" si="17"/>
        <v>#DIV/0!</v>
      </c>
      <c r="T64" s="223" t="e">
        <f t="shared" si="11"/>
        <v>#DIV/0!</v>
      </c>
      <c r="U64" s="223" t="e">
        <f t="shared" si="18"/>
        <v>#DIV/0!</v>
      </c>
    </row>
    <row r="65" spans="2:21" ht="15.75" customHeight="1" x14ac:dyDescent="0.45">
      <c r="B65" s="396">
        <v>8105626190</v>
      </c>
      <c r="C65" s="458" t="s">
        <v>760</v>
      </c>
      <c r="D65" s="396" t="s">
        <v>761</v>
      </c>
      <c r="E65" s="408">
        <v>100</v>
      </c>
      <c r="F65" s="566">
        <v>182</v>
      </c>
      <c r="G65" s="578">
        <f>'c303-c503'!F65</f>
        <v>0</v>
      </c>
      <c r="H65" s="219">
        <f t="shared" si="12"/>
        <v>0</v>
      </c>
      <c r="I65" s="507">
        <f>(30*BC!$B$47/F65)</f>
        <v>0</v>
      </c>
      <c r="J65" s="508">
        <f t="shared" si="13"/>
        <v>0</v>
      </c>
      <c r="K65" s="508">
        <f t="shared" si="14"/>
        <v>0</v>
      </c>
      <c r="L65" s="194">
        <f t="shared" si="8"/>
        <v>0</v>
      </c>
      <c r="M65" s="364">
        <v>1066</v>
      </c>
      <c r="N65" s="365">
        <f t="shared" si="9"/>
        <v>0</v>
      </c>
      <c r="O65" s="91" t="e">
        <f t="shared" si="15"/>
        <v>#DIV/0!</v>
      </c>
      <c r="P65" s="148" t="e">
        <f t="shared" si="10"/>
        <v>#DIV/0!</v>
      </c>
      <c r="Q65" s="371">
        <f t="shared" si="16"/>
        <v>10.66</v>
      </c>
      <c r="R65" s="374" t="e">
        <f>(Q65+$N$155)+((BC!$F$125)/$G$82)</f>
        <v>#DIV/0!</v>
      </c>
      <c r="S65" s="514" t="e">
        <f t="shared" si="17"/>
        <v>#DIV/0!</v>
      </c>
      <c r="T65" s="223" t="e">
        <f t="shared" si="11"/>
        <v>#DIV/0!</v>
      </c>
      <c r="U65" s="223" t="e">
        <f t="shared" si="18"/>
        <v>#DIV/0!</v>
      </c>
    </row>
    <row r="66" spans="2:21" ht="15.75" customHeight="1" x14ac:dyDescent="0.45">
      <c r="B66" s="396">
        <v>8105529190</v>
      </c>
      <c r="C66" s="459" t="s">
        <v>762</v>
      </c>
      <c r="D66" s="396" t="s">
        <v>763</v>
      </c>
      <c r="E66" s="408">
        <v>150</v>
      </c>
      <c r="F66" s="566">
        <v>84</v>
      </c>
      <c r="G66" s="578">
        <f>'c303-c503'!F66</f>
        <v>0</v>
      </c>
      <c r="H66" s="219">
        <f t="shared" si="12"/>
        <v>0</v>
      </c>
      <c r="I66" s="507">
        <f>(30*BC!$B$47/F66)</f>
        <v>0</v>
      </c>
      <c r="J66" s="508">
        <f t="shared" si="13"/>
        <v>0</v>
      </c>
      <c r="K66" s="508">
        <f t="shared" si="14"/>
        <v>0</v>
      </c>
      <c r="L66" s="194">
        <f t="shared" si="8"/>
        <v>0</v>
      </c>
      <c r="M66" s="364">
        <v>1252</v>
      </c>
      <c r="N66" s="365">
        <f t="shared" si="9"/>
        <v>0</v>
      </c>
      <c r="O66" s="91" t="e">
        <f t="shared" si="15"/>
        <v>#DIV/0!</v>
      </c>
      <c r="P66" s="148" t="e">
        <f t="shared" si="10"/>
        <v>#DIV/0!</v>
      </c>
      <c r="Q66" s="371">
        <f t="shared" si="16"/>
        <v>8.3466666666666658</v>
      </c>
      <c r="R66" s="374" t="e">
        <f>(Q66+$N$155)+((BC!$F$125)/$G$82)</f>
        <v>#DIV/0!</v>
      </c>
      <c r="S66" s="514" t="e">
        <f t="shared" si="17"/>
        <v>#DIV/0!</v>
      </c>
      <c r="T66" s="223" t="e">
        <f t="shared" si="11"/>
        <v>#DIV/0!</v>
      </c>
      <c r="U66" s="223" t="e">
        <f t="shared" si="18"/>
        <v>#DIV/0!</v>
      </c>
    </row>
    <row r="67" spans="2:21" ht="15.75" customHeight="1" x14ac:dyDescent="0.45">
      <c r="B67" s="396">
        <v>8106126190</v>
      </c>
      <c r="C67" s="460" t="s">
        <v>764</v>
      </c>
      <c r="D67" s="396" t="s">
        <v>765</v>
      </c>
      <c r="E67" s="408">
        <v>150</v>
      </c>
      <c r="F67" s="566">
        <v>182</v>
      </c>
      <c r="G67" s="578">
        <f>'c303-c503'!F67</f>
        <v>0</v>
      </c>
      <c r="H67" s="219">
        <f t="shared" si="12"/>
        <v>0</v>
      </c>
      <c r="I67" s="507">
        <f>(30*BC!$B$47/F67)</f>
        <v>0</v>
      </c>
      <c r="J67" s="508">
        <f t="shared" si="13"/>
        <v>0</v>
      </c>
      <c r="K67" s="508">
        <f t="shared" si="14"/>
        <v>0</v>
      </c>
      <c r="L67" s="194">
        <f t="shared" si="8"/>
        <v>0</v>
      </c>
      <c r="M67" s="364">
        <v>1479</v>
      </c>
      <c r="N67" s="365">
        <f t="shared" si="9"/>
        <v>0</v>
      </c>
      <c r="O67" s="91" t="e">
        <f t="shared" si="15"/>
        <v>#DIV/0!</v>
      </c>
      <c r="P67" s="148" t="e">
        <f t="shared" si="10"/>
        <v>#DIV/0!</v>
      </c>
      <c r="Q67" s="371">
        <f t="shared" si="16"/>
        <v>9.86</v>
      </c>
      <c r="R67" s="374" t="e">
        <f>(Q67+$N$155)+((BC!$F$125)/$G$82)</f>
        <v>#DIV/0!</v>
      </c>
      <c r="S67" s="514" t="e">
        <f t="shared" si="17"/>
        <v>#DIV/0!</v>
      </c>
      <c r="T67" s="223" t="e">
        <f t="shared" si="11"/>
        <v>#DIV/0!</v>
      </c>
      <c r="U67" s="223" t="e">
        <f t="shared" si="18"/>
        <v>#DIV/0!</v>
      </c>
    </row>
    <row r="68" spans="2:21" ht="15.75" customHeight="1" x14ac:dyDescent="0.45">
      <c r="B68" s="396">
        <v>8105596190</v>
      </c>
      <c r="C68" s="461" t="s">
        <v>766</v>
      </c>
      <c r="D68" s="396" t="s">
        <v>767</v>
      </c>
      <c r="E68" s="408">
        <v>250</v>
      </c>
      <c r="F68" s="566">
        <v>182</v>
      </c>
      <c r="G68" s="578">
        <f>'c303-c503'!F68</f>
        <v>0</v>
      </c>
      <c r="H68" s="219">
        <f t="shared" si="12"/>
        <v>0</v>
      </c>
      <c r="I68" s="507">
        <f>(30*BC!$B$47/F68)</f>
        <v>0</v>
      </c>
      <c r="J68" s="508">
        <f t="shared" si="13"/>
        <v>0</v>
      </c>
      <c r="K68" s="508">
        <f t="shared" si="14"/>
        <v>0</v>
      </c>
      <c r="L68" s="194">
        <f t="shared" si="8"/>
        <v>0</v>
      </c>
      <c r="M68" s="364">
        <v>1424</v>
      </c>
      <c r="N68" s="365">
        <f t="shared" si="9"/>
        <v>0</v>
      </c>
      <c r="O68" s="91" t="e">
        <f t="shared" si="15"/>
        <v>#DIV/0!</v>
      </c>
      <c r="P68" s="148" t="e">
        <f t="shared" si="10"/>
        <v>#DIV/0!</v>
      </c>
      <c r="Q68" s="371">
        <f t="shared" si="16"/>
        <v>5.6959999999999997</v>
      </c>
      <c r="R68" s="374" t="e">
        <f>(Q68+$N$155)+((BC!$F$125)/$G$82)</f>
        <v>#DIV/0!</v>
      </c>
      <c r="S68" s="514" t="e">
        <f t="shared" si="17"/>
        <v>#DIV/0!</v>
      </c>
      <c r="T68" s="223" t="e">
        <f t="shared" si="11"/>
        <v>#DIV/0!</v>
      </c>
      <c r="U68" s="223" t="e">
        <f t="shared" si="18"/>
        <v>#DIV/0!</v>
      </c>
    </row>
    <row r="69" spans="2:21" ht="15.75" customHeight="1" x14ac:dyDescent="0.45">
      <c r="B69" s="396">
        <v>8057826190</v>
      </c>
      <c r="C69" s="462" t="s">
        <v>768</v>
      </c>
      <c r="D69" s="396" t="s">
        <v>769</v>
      </c>
      <c r="E69" s="408">
        <v>100</v>
      </c>
      <c r="F69" s="566">
        <v>28</v>
      </c>
      <c r="G69" s="578">
        <f>'c303-c503'!F69</f>
        <v>0</v>
      </c>
      <c r="H69" s="219">
        <f t="shared" si="12"/>
        <v>0</v>
      </c>
      <c r="I69" s="507">
        <f>(30*BC!$B$47/F69)</f>
        <v>0</v>
      </c>
      <c r="J69" s="508">
        <f t="shared" si="13"/>
        <v>0</v>
      </c>
      <c r="K69" s="508">
        <f t="shared" si="14"/>
        <v>0</v>
      </c>
      <c r="L69" s="194">
        <f t="shared" si="8"/>
        <v>0</v>
      </c>
      <c r="M69" s="364">
        <v>1054</v>
      </c>
      <c r="N69" s="365">
        <f t="shared" si="9"/>
        <v>0</v>
      </c>
      <c r="O69" s="91" t="e">
        <f t="shared" si="15"/>
        <v>#DIV/0!</v>
      </c>
      <c r="P69" s="148" t="e">
        <f t="shared" si="10"/>
        <v>#DIV/0!</v>
      </c>
      <c r="Q69" s="371">
        <f t="shared" si="16"/>
        <v>10.54</v>
      </c>
      <c r="R69" s="374" t="e">
        <f>(Q69+$N$155)+((BC!$F$125)/$G$82)</f>
        <v>#DIV/0!</v>
      </c>
      <c r="S69" s="514" t="e">
        <f t="shared" si="17"/>
        <v>#DIV/0!</v>
      </c>
      <c r="T69" s="223" t="e">
        <f t="shared" si="11"/>
        <v>#DIV/0!</v>
      </c>
      <c r="U69" s="223" t="e">
        <f t="shared" si="18"/>
        <v>#DIV/0!</v>
      </c>
    </row>
    <row r="70" spans="2:21" ht="15.75" customHeight="1" x14ac:dyDescent="0.45">
      <c r="B70" s="396">
        <v>8057494190</v>
      </c>
      <c r="C70" s="463" t="s">
        <v>770</v>
      </c>
      <c r="D70" s="396" t="s">
        <v>771</v>
      </c>
      <c r="E70" s="408">
        <v>250</v>
      </c>
      <c r="F70" s="566">
        <v>42</v>
      </c>
      <c r="G70" s="578">
        <f>'c303-c503'!F70</f>
        <v>0</v>
      </c>
      <c r="H70" s="219">
        <f t="shared" si="12"/>
        <v>0</v>
      </c>
      <c r="I70" s="507">
        <f>(30*BC!$B$47/F70)</f>
        <v>0</v>
      </c>
      <c r="J70" s="508">
        <f t="shared" si="13"/>
        <v>0</v>
      </c>
      <c r="K70" s="508">
        <f t="shared" si="14"/>
        <v>0</v>
      </c>
      <c r="L70" s="194">
        <f t="shared" si="8"/>
        <v>0</v>
      </c>
      <c r="M70" s="364">
        <v>174</v>
      </c>
      <c r="N70" s="365">
        <f t="shared" si="9"/>
        <v>0</v>
      </c>
      <c r="O70" s="91" t="e">
        <f t="shared" si="15"/>
        <v>#DIV/0!</v>
      </c>
      <c r="P70" s="148" t="e">
        <f t="shared" si="10"/>
        <v>#DIV/0!</v>
      </c>
      <c r="Q70" s="371">
        <f t="shared" si="16"/>
        <v>0.69599999999999995</v>
      </c>
      <c r="R70" s="374" t="e">
        <f>(Q70+$N$155)+((BC!$F$125)/$G$82)</f>
        <v>#DIV/0!</v>
      </c>
      <c r="S70" s="514" t="e">
        <f t="shared" si="17"/>
        <v>#DIV/0!</v>
      </c>
      <c r="T70" s="223" t="e">
        <f t="shared" si="11"/>
        <v>#DIV/0!</v>
      </c>
      <c r="U70" s="223" t="e">
        <f t="shared" si="18"/>
        <v>#DIV/0!</v>
      </c>
    </row>
    <row r="71" spans="2:21" ht="15.75" customHeight="1" x14ac:dyDescent="0.45">
      <c r="B71" s="396">
        <v>8058024190</v>
      </c>
      <c r="C71" s="463" t="s">
        <v>772</v>
      </c>
      <c r="D71" s="396" t="s">
        <v>773</v>
      </c>
      <c r="E71" s="408">
        <v>300</v>
      </c>
      <c r="F71" s="566">
        <v>112</v>
      </c>
      <c r="G71" s="578">
        <f>'c303-c503'!F71</f>
        <v>0</v>
      </c>
      <c r="H71" s="219">
        <f t="shared" si="12"/>
        <v>0</v>
      </c>
      <c r="I71" s="507">
        <f>(30*BC!$B$47/F71)</f>
        <v>0</v>
      </c>
      <c r="J71" s="508">
        <f t="shared" si="13"/>
        <v>0</v>
      </c>
      <c r="K71" s="508">
        <f t="shared" si="14"/>
        <v>0</v>
      </c>
      <c r="L71" s="194">
        <f t="shared" si="8"/>
        <v>0</v>
      </c>
      <c r="M71" s="364">
        <v>696</v>
      </c>
      <c r="N71" s="365">
        <f t="shared" si="9"/>
        <v>0</v>
      </c>
      <c r="O71" s="91" t="e">
        <f t="shared" si="15"/>
        <v>#DIV/0!</v>
      </c>
      <c r="P71" s="148" t="e">
        <f t="shared" si="10"/>
        <v>#DIV/0!</v>
      </c>
      <c r="Q71" s="371">
        <f t="shared" si="16"/>
        <v>2.3199999999999998</v>
      </c>
      <c r="R71" s="374" t="e">
        <f>(Q71+$N$155)+((BC!$F$125)/$G$82)</f>
        <v>#DIV/0!</v>
      </c>
      <c r="S71" s="514" t="e">
        <f t="shared" si="17"/>
        <v>#DIV/0!</v>
      </c>
      <c r="T71" s="223" t="e">
        <f t="shared" si="11"/>
        <v>#DIV/0!</v>
      </c>
      <c r="U71" s="223" t="e">
        <f t="shared" si="18"/>
        <v>#DIV/0!</v>
      </c>
    </row>
    <row r="72" spans="2:21" ht="15.75" customHeight="1" x14ac:dyDescent="0.45">
      <c r="B72" s="396">
        <v>8057630190</v>
      </c>
      <c r="C72" s="463" t="s">
        <v>774</v>
      </c>
      <c r="D72" s="396" t="s">
        <v>775</v>
      </c>
      <c r="E72" s="408">
        <v>850</v>
      </c>
      <c r="F72" s="566">
        <v>84</v>
      </c>
      <c r="G72" s="578">
        <f>'c303-c503'!F72</f>
        <v>0</v>
      </c>
      <c r="H72" s="219">
        <f t="shared" ref="H72:H81" si="19">G72/E72</f>
        <v>0</v>
      </c>
      <c r="I72" s="507">
        <f>(30*BC!$B$47/F72)</f>
        <v>0</v>
      </c>
      <c r="J72" s="508">
        <f t="shared" ref="J72:J81" si="20">IF(I72&gt;H72,I72,H72)</f>
        <v>0</v>
      </c>
      <c r="K72" s="508">
        <f t="shared" ref="K72:K81" si="21">IF(H72=0,0,J72)</f>
        <v>0</v>
      </c>
      <c r="L72" s="194">
        <f t="shared" si="8"/>
        <v>0</v>
      </c>
      <c r="M72" s="364">
        <v>2899</v>
      </c>
      <c r="N72" s="365">
        <f t="shared" si="9"/>
        <v>0</v>
      </c>
      <c r="O72" s="91" t="e">
        <f t="shared" si="15"/>
        <v>#DIV/0!</v>
      </c>
      <c r="P72" s="148" t="e">
        <f t="shared" si="10"/>
        <v>#DIV/0!</v>
      </c>
      <c r="Q72" s="371">
        <f t="shared" ref="Q72:Q81" si="22">M72/E72</f>
        <v>3.4105882352941177</v>
      </c>
      <c r="R72" s="374" t="e">
        <f>(Q72+$N$155)+((BC!$F$125)/$G$82)</f>
        <v>#DIV/0!</v>
      </c>
      <c r="S72" s="514" t="e">
        <f t="shared" ref="S72:S81" si="23">R72*G72</f>
        <v>#DIV/0!</v>
      </c>
      <c r="T72" s="223" t="e">
        <f t="shared" si="11"/>
        <v>#DIV/0!</v>
      </c>
      <c r="U72" s="223" t="e">
        <f t="shared" ref="U72:U81" si="24">T72*G72</f>
        <v>#DIV/0!</v>
      </c>
    </row>
    <row r="73" spans="2:21" ht="15.75" customHeight="1" x14ac:dyDescent="0.45">
      <c r="B73" s="396">
        <v>8445672190</v>
      </c>
      <c r="C73" s="463" t="s">
        <v>776</v>
      </c>
      <c r="D73" s="396" t="s">
        <v>777</v>
      </c>
      <c r="E73" s="408">
        <v>150</v>
      </c>
      <c r="F73" s="566">
        <v>84</v>
      </c>
      <c r="G73" s="578">
        <f>'c303-c503'!F73</f>
        <v>0</v>
      </c>
      <c r="H73" s="219">
        <f t="shared" si="19"/>
        <v>0</v>
      </c>
      <c r="I73" s="507">
        <f>(30*BC!$B$47/F73)</f>
        <v>0</v>
      </c>
      <c r="J73" s="508">
        <f t="shared" si="20"/>
        <v>0</v>
      </c>
      <c r="K73" s="508">
        <f t="shared" si="21"/>
        <v>0</v>
      </c>
      <c r="L73" s="194">
        <f t="shared" ref="L73:L136" si="25">ROUNDUP(K73,0)</f>
        <v>0</v>
      </c>
      <c r="M73" s="364">
        <v>512</v>
      </c>
      <c r="N73" s="365">
        <f t="shared" ref="N73:N81" si="26">M73*L73</f>
        <v>0</v>
      </c>
      <c r="O73" s="91" t="e">
        <f t="shared" ref="O73:O81" si="27">((M73*$L$157)+M73)</f>
        <v>#DIV/0!</v>
      </c>
      <c r="P73" s="148" t="e">
        <f t="shared" ref="P73:P81" si="28">O73*L73</f>
        <v>#DIV/0!</v>
      </c>
      <c r="Q73" s="371">
        <f t="shared" si="22"/>
        <v>3.4133333333333336</v>
      </c>
      <c r="R73" s="374" t="e">
        <f>(Q73+$N$155)+((BC!$F$125)/$G$82)</f>
        <v>#DIV/0!</v>
      </c>
      <c r="S73" s="514" t="e">
        <f t="shared" si="23"/>
        <v>#DIV/0!</v>
      </c>
      <c r="T73" s="223" t="e">
        <f t="shared" ref="T73:T81" si="29">((R73*0.15)+R73)</f>
        <v>#DIV/0!</v>
      </c>
      <c r="U73" s="223" t="e">
        <f t="shared" si="24"/>
        <v>#DIV/0!</v>
      </c>
    </row>
    <row r="74" spans="2:21" ht="15.75" customHeight="1" x14ac:dyDescent="0.45">
      <c r="B74" s="396">
        <v>8105677190</v>
      </c>
      <c r="C74" s="464" t="s">
        <v>778</v>
      </c>
      <c r="D74" s="396" t="s">
        <v>779</v>
      </c>
      <c r="E74" s="408">
        <v>550</v>
      </c>
      <c r="F74" s="566">
        <v>56</v>
      </c>
      <c r="G74" s="578">
        <f>'c303-c503'!F74</f>
        <v>0</v>
      </c>
      <c r="H74" s="219">
        <f t="shared" si="19"/>
        <v>0</v>
      </c>
      <c r="I74" s="507">
        <f>(30*BC!$B$47/F74)</f>
        <v>0</v>
      </c>
      <c r="J74" s="508">
        <f t="shared" si="20"/>
        <v>0</v>
      </c>
      <c r="K74" s="508">
        <f t="shared" si="21"/>
        <v>0</v>
      </c>
      <c r="L74" s="194">
        <f t="shared" si="25"/>
        <v>0</v>
      </c>
      <c r="M74" s="364">
        <v>462</v>
      </c>
      <c r="N74" s="365">
        <f t="shared" si="26"/>
        <v>0</v>
      </c>
      <c r="O74" s="91" t="e">
        <f t="shared" si="27"/>
        <v>#DIV/0!</v>
      </c>
      <c r="P74" s="148" t="e">
        <f t="shared" si="28"/>
        <v>#DIV/0!</v>
      </c>
      <c r="Q74" s="371">
        <f t="shared" si="22"/>
        <v>0.84</v>
      </c>
      <c r="R74" s="374" t="e">
        <f>(Q74+$N$155)+((BC!$F$125)/$G$82)</f>
        <v>#DIV/0!</v>
      </c>
      <c r="S74" s="514" t="e">
        <f t="shared" si="23"/>
        <v>#DIV/0!</v>
      </c>
      <c r="T74" s="223" t="e">
        <f t="shared" si="29"/>
        <v>#DIV/0!</v>
      </c>
      <c r="U74" s="223" t="e">
        <f t="shared" si="24"/>
        <v>#DIV/0!</v>
      </c>
    </row>
    <row r="75" spans="2:21" ht="15.75" customHeight="1" x14ac:dyDescent="0.45">
      <c r="B75" s="396">
        <v>8252629190</v>
      </c>
      <c r="C75" s="465" t="s">
        <v>1138</v>
      </c>
      <c r="D75" s="396" t="s">
        <v>780</v>
      </c>
      <c r="E75" s="408">
        <v>200</v>
      </c>
      <c r="F75" s="566">
        <v>84</v>
      </c>
      <c r="G75" s="578">
        <f>'c303-c503'!F75</f>
        <v>0</v>
      </c>
      <c r="H75" s="219">
        <f t="shared" si="19"/>
        <v>0</v>
      </c>
      <c r="I75" s="507">
        <f>(30*BC!$B$47/F75)</f>
        <v>0</v>
      </c>
      <c r="J75" s="508">
        <f t="shared" si="20"/>
        <v>0</v>
      </c>
      <c r="K75" s="508">
        <f t="shared" si="21"/>
        <v>0</v>
      </c>
      <c r="L75" s="194">
        <f t="shared" si="25"/>
        <v>0</v>
      </c>
      <c r="M75" s="364">
        <v>998</v>
      </c>
      <c r="N75" s="365">
        <f t="shared" si="26"/>
        <v>0</v>
      </c>
      <c r="O75" s="91" t="e">
        <f t="shared" si="27"/>
        <v>#DIV/0!</v>
      </c>
      <c r="P75" s="148" t="e">
        <f t="shared" si="28"/>
        <v>#DIV/0!</v>
      </c>
      <c r="Q75" s="371">
        <f t="shared" si="22"/>
        <v>4.99</v>
      </c>
      <c r="R75" s="374" t="e">
        <f>(Q75+$N$155)+((BC!$F$125)/$G$82)</f>
        <v>#DIV/0!</v>
      </c>
      <c r="S75" s="514" t="e">
        <f t="shared" si="23"/>
        <v>#DIV/0!</v>
      </c>
      <c r="T75" s="223" t="e">
        <f t="shared" si="29"/>
        <v>#DIV/0!</v>
      </c>
      <c r="U75" s="223" t="e">
        <f t="shared" si="24"/>
        <v>#DIV/0!</v>
      </c>
    </row>
    <row r="76" spans="2:21" ht="15.75" customHeight="1" x14ac:dyDescent="0.45">
      <c r="B76" s="396">
        <v>8058628190</v>
      </c>
      <c r="C76" s="466" t="s">
        <v>781</v>
      </c>
      <c r="D76" s="396" t="s">
        <v>782</v>
      </c>
      <c r="E76" s="408">
        <v>400</v>
      </c>
      <c r="F76" s="566">
        <v>56</v>
      </c>
      <c r="G76" s="578">
        <f>'c303-c503'!F76</f>
        <v>0</v>
      </c>
      <c r="H76" s="219">
        <f t="shared" si="19"/>
        <v>0</v>
      </c>
      <c r="I76" s="507">
        <f>(30*BC!$B$47/F76)</f>
        <v>0</v>
      </c>
      <c r="J76" s="508">
        <f t="shared" si="20"/>
        <v>0</v>
      </c>
      <c r="K76" s="508">
        <f t="shared" si="21"/>
        <v>0</v>
      </c>
      <c r="L76" s="194">
        <f t="shared" si="25"/>
        <v>0</v>
      </c>
      <c r="M76" s="364">
        <v>1243</v>
      </c>
      <c r="N76" s="365">
        <f t="shared" si="26"/>
        <v>0</v>
      </c>
      <c r="O76" s="91" t="e">
        <f t="shared" si="27"/>
        <v>#DIV/0!</v>
      </c>
      <c r="P76" s="148" t="e">
        <f t="shared" si="28"/>
        <v>#DIV/0!</v>
      </c>
      <c r="Q76" s="371">
        <f t="shared" si="22"/>
        <v>3.1074999999999999</v>
      </c>
      <c r="R76" s="374" t="e">
        <f>(Q76+$N$155)+((BC!$F$125)/$G$82)</f>
        <v>#DIV/0!</v>
      </c>
      <c r="S76" s="514" t="e">
        <f t="shared" si="23"/>
        <v>#DIV/0!</v>
      </c>
      <c r="T76" s="223" t="e">
        <f t="shared" si="29"/>
        <v>#DIV/0!</v>
      </c>
      <c r="U76" s="223" t="e">
        <f t="shared" si="24"/>
        <v>#DIV/0!</v>
      </c>
    </row>
    <row r="77" spans="2:21" ht="15.75" customHeight="1" x14ac:dyDescent="0.45">
      <c r="B77" s="396">
        <v>8445567190</v>
      </c>
      <c r="C77" s="467" t="s">
        <v>1139</v>
      </c>
      <c r="D77" s="396" t="s">
        <v>783</v>
      </c>
      <c r="E77" s="408">
        <v>100</v>
      </c>
      <c r="F77" s="566">
        <v>84</v>
      </c>
      <c r="G77" s="578">
        <f>'c303-c503'!F77</f>
        <v>0</v>
      </c>
      <c r="H77" s="219">
        <f t="shared" si="19"/>
        <v>0</v>
      </c>
      <c r="I77" s="507">
        <f>(30*BC!$B$47/F77)</f>
        <v>0</v>
      </c>
      <c r="J77" s="508">
        <f t="shared" si="20"/>
        <v>0</v>
      </c>
      <c r="K77" s="508">
        <f t="shared" si="21"/>
        <v>0</v>
      </c>
      <c r="L77" s="194">
        <f t="shared" si="25"/>
        <v>0</v>
      </c>
      <c r="M77" s="364">
        <v>581</v>
      </c>
      <c r="N77" s="365">
        <f t="shared" si="26"/>
        <v>0</v>
      </c>
      <c r="O77" s="91" t="e">
        <f t="shared" si="27"/>
        <v>#DIV/0!</v>
      </c>
      <c r="P77" s="148" t="e">
        <f t="shared" si="28"/>
        <v>#DIV/0!</v>
      </c>
      <c r="Q77" s="371">
        <f t="shared" si="22"/>
        <v>5.81</v>
      </c>
      <c r="R77" s="374" t="e">
        <f>(Q77+$N$155)+((BC!$F$125)/$G$82)</f>
        <v>#DIV/0!</v>
      </c>
      <c r="S77" s="514" t="e">
        <f t="shared" si="23"/>
        <v>#DIV/0!</v>
      </c>
      <c r="T77" s="223" t="e">
        <f t="shared" si="29"/>
        <v>#DIV/0!</v>
      </c>
      <c r="U77" s="223" t="e">
        <f t="shared" si="24"/>
        <v>#DIV/0!</v>
      </c>
    </row>
    <row r="78" spans="2:21" ht="15.75" customHeight="1" x14ac:dyDescent="0.45">
      <c r="B78" s="396">
        <v>8058580190</v>
      </c>
      <c r="C78" s="467" t="s">
        <v>784</v>
      </c>
      <c r="D78" s="396" t="s">
        <v>785</v>
      </c>
      <c r="E78" s="408">
        <v>200</v>
      </c>
      <c r="F78" s="566">
        <v>90</v>
      </c>
      <c r="G78" s="578">
        <f>'c303-c503'!F78</f>
        <v>0</v>
      </c>
      <c r="H78" s="219">
        <f t="shared" si="19"/>
        <v>0</v>
      </c>
      <c r="I78" s="507">
        <f>(30*BC!$B$47/F78)</f>
        <v>0</v>
      </c>
      <c r="J78" s="508">
        <f t="shared" si="20"/>
        <v>0</v>
      </c>
      <c r="K78" s="508">
        <f t="shared" si="21"/>
        <v>0</v>
      </c>
      <c r="L78" s="194">
        <f t="shared" si="25"/>
        <v>0</v>
      </c>
      <c r="M78" s="364">
        <v>1446</v>
      </c>
      <c r="N78" s="365">
        <f t="shared" si="26"/>
        <v>0</v>
      </c>
      <c r="O78" s="91" t="e">
        <f t="shared" si="27"/>
        <v>#DIV/0!</v>
      </c>
      <c r="P78" s="148" t="e">
        <f t="shared" si="28"/>
        <v>#DIV/0!</v>
      </c>
      <c r="Q78" s="371">
        <f t="shared" si="22"/>
        <v>7.23</v>
      </c>
      <c r="R78" s="374" t="e">
        <f>(Q78+$N$155)+((BC!$F$125)/$G$82)</f>
        <v>#DIV/0!</v>
      </c>
      <c r="S78" s="514" t="e">
        <f t="shared" si="23"/>
        <v>#DIV/0!</v>
      </c>
      <c r="T78" s="223" t="e">
        <f t="shared" si="29"/>
        <v>#DIV/0!</v>
      </c>
      <c r="U78" s="223" t="e">
        <f t="shared" si="24"/>
        <v>#DIV/0!</v>
      </c>
    </row>
    <row r="79" spans="2:21" ht="15.75" customHeight="1" x14ac:dyDescent="0.45">
      <c r="B79" s="396">
        <v>8057435190</v>
      </c>
      <c r="C79" s="467" t="s">
        <v>786</v>
      </c>
      <c r="D79" s="396" t="s">
        <v>787</v>
      </c>
      <c r="E79" s="408">
        <v>500</v>
      </c>
      <c r="F79" s="566">
        <v>182</v>
      </c>
      <c r="G79" s="578">
        <f>'c303-c503'!F79</f>
        <v>0</v>
      </c>
      <c r="H79" s="219">
        <f t="shared" si="19"/>
        <v>0</v>
      </c>
      <c r="I79" s="507">
        <f>(30*BC!$B$47/F79)</f>
        <v>0</v>
      </c>
      <c r="J79" s="508">
        <f t="shared" si="20"/>
        <v>0</v>
      </c>
      <c r="K79" s="508">
        <f t="shared" si="21"/>
        <v>0</v>
      </c>
      <c r="L79" s="194">
        <f t="shared" si="25"/>
        <v>0</v>
      </c>
      <c r="M79" s="364">
        <v>1015</v>
      </c>
      <c r="N79" s="365">
        <f t="shared" si="26"/>
        <v>0</v>
      </c>
      <c r="O79" s="91" t="e">
        <f t="shared" si="27"/>
        <v>#DIV/0!</v>
      </c>
      <c r="P79" s="148" t="e">
        <f t="shared" si="28"/>
        <v>#DIV/0!</v>
      </c>
      <c r="Q79" s="371">
        <f t="shared" si="22"/>
        <v>2.0299999999999998</v>
      </c>
      <c r="R79" s="374" t="e">
        <f>(Q79+$N$155)+((BC!$F$125)/$G$82)</f>
        <v>#DIV/0!</v>
      </c>
      <c r="S79" s="514" t="e">
        <f t="shared" si="23"/>
        <v>#DIV/0!</v>
      </c>
      <c r="T79" s="223" t="e">
        <f t="shared" si="29"/>
        <v>#DIV/0!</v>
      </c>
      <c r="U79" s="223" t="e">
        <f t="shared" si="24"/>
        <v>#DIV/0!</v>
      </c>
    </row>
    <row r="80" spans="2:21" ht="15.75" customHeight="1" x14ac:dyDescent="0.45">
      <c r="B80" s="396">
        <v>8445575190</v>
      </c>
      <c r="C80" s="467" t="s">
        <v>788</v>
      </c>
      <c r="D80" s="396" t="s">
        <v>789</v>
      </c>
      <c r="E80" s="408">
        <v>200</v>
      </c>
      <c r="F80" s="566">
        <v>126</v>
      </c>
      <c r="G80" s="578">
        <f>'c303-c503'!F80</f>
        <v>0</v>
      </c>
      <c r="H80" s="219">
        <f t="shared" si="19"/>
        <v>0</v>
      </c>
      <c r="I80" s="507">
        <f>(30*BC!$B$47/F80)</f>
        <v>0</v>
      </c>
      <c r="J80" s="508">
        <f t="shared" si="20"/>
        <v>0</v>
      </c>
      <c r="K80" s="508">
        <f t="shared" si="21"/>
        <v>0</v>
      </c>
      <c r="L80" s="194">
        <f t="shared" si="25"/>
        <v>0</v>
      </c>
      <c r="M80" s="364">
        <v>1496</v>
      </c>
      <c r="N80" s="365">
        <f t="shared" si="26"/>
        <v>0</v>
      </c>
      <c r="O80" s="91" t="e">
        <f t="shared" si="27"/>
        <v>#DIV/0!</v>
      </c>
      <c r="P80" s="148" t="e">
        <f t="shared" si="28"/>
        <v>#DIV/0!</v>
      </c>
      <c r="Q80" s="371">
        <f t="shared" si="22"/>
        <v>7.48</v>
      </c>
      <c r="R80" s="374" t="e">
        <f>(Q80+$N$155)+((BC!$F$125)/$G$82)</f>
        <v>#DIV/0!</v>
      </c>
      <c r="S80" s="514" t="e">
        <f t="shared" si="23"/>
        <v>#DIV/0!</v>
      </c>
      <c r="T80" s="223" t="e">
        <f t="shared" si="29"/>
        <v>#DIV/0!</v>
      </c>
      <c r="U80" s="223" t="e">
        <f t="shared" si="24"/>
        <v>#DIV/0!</v>
      </c>
    </row>
    <row r="81" spans="2:22" ht="15.75" customHeight="1" x14ac:dyDescent="0.45">
      <c r="B81" s="469">
        <v>8058849190</v>
      </c>
      <c r="C81" s="467" t="s">
        <v>790</v>
      </c>
      <c r="D81" s="396" t="s">
        <v>791</v>
      </c>
      <c r="E81" s="408">
        <v>200</v>
      </c>
      <c r="F81" s="566">
        <v>84</v>
      </c>
      <c r="G81" s="578">
        <f>'c303-c503'!F81</f>
        <v>0</v>
      </c>
      <c r="H81" s="219">
        <f t="shared" si="19"/>
        <v>0</v>
      </c>
      <c r="I81" s="507">
        <f>(30*BC!$B$47/F81)</f>
        <v>0</v>
      </c>
      <c r="J81" s="508">
        <f t="shared" si="20"/>
        <v>0</v>
      </c>
      <c r="K81" s="508">
        <f t="shared" si="21"/>
        <v>0</v>
      </c>
      <c r="L81" s="194">
        <f t="shared" si="25"/>
        <v>0</v>
      </c>
      <c r="M81" s="364">
        <v>1508</v>
      </c>
      <c r="N81" s="365">
        <f t="shared" si="26"/>
        <v>0</v>
      </c>
      <c r="O81" s="91" t="e">
        <f t="shared" si="27"/>
        <v>#DIV/0!</v>
      </c>
      <c r="P81" s="148" t="e">
        <f t="shared" si="28"/>
        <v>#DIV/0!</v>
      </c>
      <c r="Q81" s="371">
        <f t="shared" si="22"/>
        <v>7.54</v>
      </c>
      <c r="R81" s="374" t="e">
        <f>(Q81+$N$155)+((BC!$F$125)/$G$82)</f>
        <v>#DIV/0!</v>
      </c>
      <c r="S81" s="514" t="e">
        <f t="shared" si="23"/>
        <v>#DIV/0!</v>
      </c>
      <c r="T81" s="223" t="e">
        <f t="shared" si="29"/>
        <v>#DIV/0!</v>
      </c>
      <c r="U81" s="223" t="e">
        <f t="shared" si="24"/>
        <v>#DIV/0!</v>
      </c>
    </row>
    <row r="82" spans="2:22" x14ac:dyDescent="0.45">
      <c r="B82" s="62"/>
      <c r="C82" s="187"/>
      <c r="D82" s="188"/>
      <c r="E82" s="189"/>
      <c r="F82" s="486" t="s">
        <v>19</v>
      </c>
      <c r="G82" s="487">
        <f>SUM(G9:G81)</f>
        <v>0</v>
      </c>
      <c r="H82" s="190"/>
      <c r="I82" s="511"/>
      <c r="J82" s="511"/>
      <c r="K82" s="511"/>
      <c r="L82" s="190"/>
      <c r="M82" s="252"/>
      <c r="N82" s="190">
        <f>SUM(N9:N81)</f>
        <v>0</v>
      </c>
      <c r="O82" s="190"/>
      <c r="P82" s="190" t="e">
        <f>SUM(P9:P81)</f>
        <v>#DIV/0!</v>
      </c>
      <c r="Q82" s="190"/>
      <c r="R82" s="24"/>
      <c r="S82" s="24"/>
      <c r="T82" s="24"/>
      <c r="U82" s="24"/>
      <c r="V82" s="24"/>
    </row>
    <row r="83" spans="2:22" ht="31.5" x14ac:dyDescent="0.45">
      <c r="B83" s="920" t="s">
        <v>792</v>
      </c>
      <c r="C83" s="921"/>
      <c r="D83" s="922"/>
      <c r="E83" s="480" t="s">
        <v>183</v>
      </c>
      <c r="F83" s="480" t="s">
        <v>649</v>
      </c>
      <c r="G83" s="481"/>
      <c r="H83" s="482" t="s">
        <v>53</v>
      </c>
      <c r="I83" s="512" t="s">
        <v>52</v>
      </c>
      <c r="J83" s="512" t="s">
        <v>51</v>
      </c>
      <c r="K83" s="512"/>
      <c r="L83" s="482" t="s">
        <v>50</v>
      </c>
      <c r="M83" s="513" t="s">
        <v>49</v>
      </c>
      <c r="N83" s="482" t="s">
        <v>48</v>
      </c>
      <c r="O83" s="92" t="s">
        <v>176</v>
      </c>
      <c r="P83" s="234" t="s">
        <v>178</v>
      </c>
      <c r="Q83" s="483" t="s">
        <v>318</v>
      </c>
      <c r="R83" s="483" t="s">
        <v>319</v>
      </c>
      <c r="S83" s="97"/>
      <c r="T83" s="97"/>
    </row>
    <row r="84" spans="2:22" ht="15.75" customHeight="1" x14ac:dyDescent="0.45">
      <c r="B84" s="396">
        <v>10759350190</v>
      </c>
      <c r="C84" s="457" t="s">
        <v>260</v>
      </c>
      <c r="D84" s="396" t="s">
        <v>260</v>
      </c>
      <c r="E84" s="408">
        <v>12</v>
      </c>
      <c r="F84" s="408">
        <v>28</v>
      </c>
      <c r="G84" s="397"/>
      <c r="H84" s="411">
        <f>(A10/(0.005*400)/3000)</f>
        <v>0</v>
      </c>
      <c r="I84" s="507">
        <f>(30*BC!$B$47/F84)</f>
        <v>0</v>
      </c>
      <c r="J84" s="508">
        <f t="shared" ref="J84:J124" si="30">IF(I84&gt;H84,I84,H84)</f>
        <v>0</v>
      </c>
      <c r="K84" s="508">
        <f t="shared" ref="K84:K124" si="31">IF(H84=0,0,J84)</f>
        <v>0</v>
      </c>
      <c r="L84" s="194">
        <f t="shared" si="25"/>
        <v>0</v>
      </c>
      <c r="M84" s="366">
        <f t="shared" ref="M84:M124" si="32">N84/E84</f>
        <v>12</v>
      </c>
      <c r="N84" s="504">
        <v>144</v>
      </c>
      <c r="O84" s="91" t="e">
        <f>((M84*$L$157)+M84)</f>
        <v>#DIV/0!</v>
      </c>
      <c r="P84" s="148" t="e">
        <f t="shared" ref="P84" si="33">O84*L84</f>
        <v>#DIV/0!</v>
      </c>
      <c r="Q84" s="57">
        <f t="shared" ref="Q84:Q124" si="34">L84/E84</f>
        <v>0</v>
      </c>
      <c r="R84" s="57">
        <f>ROUNDUP(Q84,0)</f>
        <v>0</v>
      </c>
      <c r="S84" s="97"/>
      <c r="T84" s="97"/>
    </row>
    <row r="85" spans="2:22" ht="15.75" customHeight="1" x14ac:dyDescent="0.45">
      <c r="B85" s="396">
        <v>3121313122</v>
      </c>
      <c r="C85" s="444" t="s">
        <v>292</v>
      </c>
      <c r="D85" s="396" t="s">
        <v>292</v>
      </c>
      <c r="E85" s="408">
        <v>4</v>
      </c>
      <c r="F85" s="408">
        <v>28</v>
      </c>
      <c r="G85" s="397"/>
      <c r="H85" s="411">
        <f>(A16*(0.008*(250/100)))</f>
        <v>0</v>
      </c>
      <c r="I85" s="507">
        <f>(30*BC!$B$47/F85)</f>
        <v>0</v>
      </c>
      <c r="J85" s="508">
        <f t="shared" si="30"/>
        <v>0</v>
      </c>
      <c r="K85" s="508">
        <f t="shared" si="31"/>
        <v>0</v>
      </c>
      <c r="L85" s="194">
        <f t="shared" si="25"/>
        <v>0</v>
      </c>
      <c r="M85" s="366">
        <f t="shared" si="32"/>
        <v>115</v>
      </c>
      <c r="N85" s="504">
        <v>460</v>
      </c>
      <c r="O85" s="91" t="e">
        <f t="shared" ref="O85:O124" si="35">((M85*$L$157)+M85)</f>
        <v>#DIV/0!</v>
      </c>
      <c r="P85" s="148" t="e">
        <f t="shared" ref="P85:P124" si="36">O85*L85</f>
        <v>#DIV/0!</v>
      </c>
      <c r="Q85" s="57">
        <f t="shared" si="34"/>
        <v>0</v>
      </c>
      <c r="R85" s="57">
        <f t="shared" ref="R85:R124" si="37">ROUNDUP(Q85,0)</f>
        <v>0</v>
      </c>
      <c r="S85" s="97"/>
      <c r="T85" s="97"/>
    </row>
    <row r="86" spans="2:22" ht="15.75" customHeight="1" x14ac:dyDescent="0.45">
      <c r="B86" s="396">
        <v>3121291122</v>
      </c>
      <c r="C86" s="444" t="s">
        <v>294</v>
      </c>
      <c r="D86" s="396" t="s">
        <v>294</v>
      </c>
      <c r="E86" s="408">
        <v>4</v>
      </c>
      <c r="F86" s="408">
        <v>28</v>
      </c>
      <c r="G86" s="397"/>
      <c r="H86" s="411">
        <f>(A16*(0.008*(250/100)))</f>
        <v>0</v>
      </c>
      <c r="I86" s="507">
        <f>(30*BC!$B$47/F86)</f>
        <v>0</v>
      </c>
      <c r="J86" s="508">
        <f t="shared" si="30"/>
        <v>0</v>
      </c>
      <c r="K86" s="508">
        <f t="shared" si="31"/>
        <v>0</v>
      </c>
      <c r="L86" s="194">
        <f t="shared" si="25"/>
        <v>0</v>
      </c>
      <c r="M86" s="366">
        <f t="shared" si="32"/>
        <v>98</v>
      </c>
      <c r="N86" s="504">
        <v>392</v>
      </c>
      <c r="O86" s="91" t="e">
        <f t="shared" si="35"/>
        <v>#DIV/0!</v>
      </c>
      <c r="P86" s="148" t="e">
        <f t="shared" si="36"/>
        <v>#DIV/0!</v>
      </c>
      <c r="Q86" s="57">
        <f t="shared" si="34"/>
        <v>0</v>
      </c>
      <c r="R86" s="57">
        <f t="shared" si="37"/>
        <v>0</v>
      </c>
      <c r="S86" s="97"/>
      <c r="T86" s="97"/>
    </row>
    <row r="87" spans="2:22" ht="15.75" customHeight="1" x14ac:dyDescent="0.45">
      <c r="B87" s="396">
        <v>12172623122</v>
      </c>
      <c r="C87" s="442" t="s">
        <v>263</v>
      </c>
      <c r="D87" s="396" t="s">
        <v>793</v>
      </c>
      <c r="E87" s="408">
        <v>3</v>
      </c>
      <c r="F87" s="408">
        <v>28</v>
      </c>
      <c r="G87" s="397"/>
      <c r="H87" s="411">
        <f>(A13*(0.003*(350/1000)))</f>
        <v>0</v>
      </c>
      <c r="I87" s="507">
        <f>(30*BC!$B$47/F87)</f>
        <v>0</v>
      </c>
      <c r="J87" s="508">
        <f t="shared" si="30"/>
        <v>0</v>
      </c>
      <c r="K87" s="508">
        <f t="shared" si="31"/>
        <v>0</v>
      </c>
      <c r="L87" s="194">
        <f t="shared" si="25"/>
        <v>0</v>
      </c>
      <c r="M87" s="366">
        <f t="shared" si="32"/>
        <v>31</v>
      </c>
      <c r="N87" s="504">
        <v>93</v>
      </c>
      <c r="O87" s="91" t="e">
        <f t="shared" si="35"/>
        <v>#DIV/0!</v>
      </c>
      <c r="P87" s="148" t="e">
        <f t="shared" si="36"/>
        <v>#DIV/0!</v>
      </c>
      <c r="Q87" s="57">
        <f t="shared" si="34"/>
        <v>0</v>
      </c>
      <c r="R87" s="57">
        <f t="shared" si="37"/>
        <v>0</v>
      </c>
      <c r="S87" s="97"/>
      <c r="T87" s="97"/>
    </row>
    <row r="88" spans="2:22" ht="15.75" customHeight="1" x14ac:dyDescent="0.45">
      <c r="B88" s="396">
        <v>11447394216</v>
      </c>
      <c r="C88" s="443" t="s">
        <v>261</v>
      </c>
      <c r="D88" s="396" t="s">
        <v>794</v>
      </c>
      <c r="E88" s="408">
        <v>3</v>
      </c>
      <c r="F88" s="408">
        <v>28</v>
      </c>
      <c r="G88" s="397"/>
      <c r="H88" s="411">
        <f>(G42*(0.003*(250/100)))</f>
        <v>0</v>
      </c>
      <c r="I88" s="507">
        <f>(30*BC!$B$47/F88)</f>
        <v>0</v>
      </c>
      <c r="J88" s="508">
        <f t="shared" si="30"/>
        <v>0</v>
      </c>
      <c r="K88" s="508">
        <f t="shared" si="31"/>
        <v>0</v>
      </c>
      <c r="L88" s="194">
        <f t="shared" si="25"/>
        <v>0</v>
      </c>
      <c r="M88" s="366">
        <f t="shared" si="32"/>
        <v>25.333333333333332</v>
      </c>
      <c r="N88" s="504">
        <v>76</v>
      </c>
      <c r="O88" s="91" t="e">
        <f t="shared" si="35"/>
        <v>#DIV/0!</v>
      </c>
      <c r="P88" s="148" t="e">
        <f t="shared" si="36"/>
        <v>#DIV/0!</v>
      </c>
      <c r="Q88" s="57">
        <f t="shared" si="34"/>
        <v>0</v>
      </c>
      <c r="R88" s="57">
        <f t="shared" si="37"/>
        <v>0</v>
      </c>
      <c r="S88" s="97"/>
      <c r="T88" s="97"/>
    </row>
    <row r="89" spans="2:22" ht="15.75" customHeight="1" x14ac:dyDescent="0.45">
      <c r="B89" s="396">
        <v>3121305122</v>
      </c>
      <c r="C89" s="444" t="s">
        <v>268</v>
      </c>
      <c r="D89" s="396" t="s">
        <v>795</v>
      </c>
      <c r="E89" s="408">
        <v>5</v>
      </c>
      <c r="F89" s="408">
        <v>28</v>
      </c>
      <c r="G89" s="397"/>
      <c r="H89" s="411">
        <f>(A16*(0.006*(250/100)))</f>
        <v>0</v>
      </c>
      <c r="I89" s="507">
        <f>(30*BC!$B$47/F89)</f>
        <v>0</v>
      </c>
      <c r="J89" s="508">
        <f t="shared" si="30"/>
        <v>0</v>
      </c>
      <c r="K89" s="508">
        <f t="shared" si="31"/>
        <v>0</v>
      </c>
      <c r="L89" s="194">
        <f t="shared" si="25"/>
        <v>0</v>
      </c>
      <c r="M89" s="366">
        <f t="shared" si="32"/>
        <v>75.2</v>
      </c>
      <c r="N89" s="504">
        <v>376</v>
      </c>
      <c r="O89" s="91" t="e">
        <f t="shared" si="35"/>
        <v>#DIV/0!</v>
      </c>
      <c r="P89" s="148" t="e">
        <f t="shared" si="36"/>
        <v>#DIV/0!</v>
      </c>
      <c r="Q89" s="57">
        <f t="shared" si="34"/>
        <v>0</v>
      </c>
      <c r="R89" s="57">
        <f t="shared" si="37"/>
        <v>0</v>
      </c>
      <c r="S89" s="97"/>
      <c r="T89" s="97"/>
    </row>
    <row r="90" spans="2:22" ht="15.75" customHeight="1" x14ac:dyDescent="0.45">
      <c r="B90" s="408">
        <v>3555941190</v>
      </c>
      <c r="C90" s="446" t="s">
        <v>259</v>
      </c>
      <c r="D90" s="396" t="s">
        <v>259</v>
      </c>
      <c r="E90" s="408">
        <v>3</v>
      </c>
      <c r="F90" s="408">
        <v>14</v>
      </c>
      <c r="G90" s="397"/>
      <c r="H90" s="411">
        <f>(A26*(0.04*(200/1000)))</f>
        <v>0</v>
      </c>
      <c r="I90" s="507">
        <f>(30*BC!$B$47/F90)</f>
        <v>0</v>
      </c>
      <c r="J90" s="508">
        <f t="shared" si="30"/>
        <v>0</v>
      </c>
      <c r="K90" s="508">
        <f t="shared" si="31"/>
        <v>0</v>
      </c>
      <c r="L90" s="194">
        <f t="shared" si="25"/>
        <v>0</v>
      </c>
      <c r="M90" s="366">
        <f t="shared" si="32"/>
        <v>70.666666666666671</v>
      </c>
      <c r="N90" s="504">
        <v>212</v>
      </c>
      <c r="O90" s="91" t="e">
        <f t="shared" si="35"/>
        <v>#DIV/0!</v>
      </c>
      <c r="P90" s="148" t="e">
        <f t="shared" si="36"/>
        <v>#DIV/0!</v>
      </c>
      <c r="Q90" s="57">
        <f t="shared" si="34"/>
        <v>0</v>
      </c>
      <c r="R90" s="57">
        <f t="shared" si="37"/>
        <v>0</v>
      </c>
      <c r="S90" s="97"/>
      <c r="T90" s="97"/>
    </row>
    <row r="91" spans="2:22" ht="15.75" customHeight="1" x14ac:dyDescent="0.45">
      <c r="B91" s="408">
        <v>6533850190</v>
      </c>
      <c r="C91" s="453" t="s">
        <v>262</v>
      </c>
      <c r="D91" s="396" t="s">
        <v>262</v>
      </c>
      <c r="E91" s="408">
        <v>3</v>
      </c>
      <c r="F91" s="408">
        <v>14</v>
      </c>
      <c r="G91" s="397"/>
      <c r="H91" s="411">
        <f>(A26*(0.04*(200/1000)))</f>
        <v>0</v>
      </c>
      <c r="I91" s="507">
        <f>(30*BC!$B$47/F91)</f>
        <v>0</v>
      </c>
      <c r="J91" s="508">
        <f t="shared" si="30"/>
        <v>0</v>
      </c>
      <c r="K91" s="508">
        <f t="shared" si="31"/>
        <v>0</v>
      </c>
      <c r="L91" s="194">
        <f t="shared" si="25"/>
        <v>0</v>
      </c>
      <c r="M91" s="366">
        <f t="shared" si="32"/>
        <v>323</v>
      </c>
      <c r="N91" s="504">
        <v>969</v>
      </c>
      <c r="O91" s="91" t="e">
        <f t="shared" si="35"/>
        <v>#DIV/0!</v>
      </c>
      <c r="P91" s="148" t="e">
        <f t="shared" si="36"/>
        <v>#DIV/0!</v>
      </c>
      <c r="Q91" s="57">
        <f t="shared" si="34"/>
        <v>0</v>
      </c>
      <c r="R91" s="57">
        <f t="shared" si="37"/>
        <v>0</v>
      </c>
      <c r="S91" s="97"/>
      <c r="T91" s="97"/>
    </row>
    <row r="92" spans="2:22" ht="15.75" customHeight="1" x14ac:dyDescent="0.45">
      <c r="B92" s="408">
        <v>12146401216</v>
      </c>
      <c r="C92" s="454" t="s">
        <v>270</v>
      </c>
      <c r="D92" s="396" t="s">
        <v>270</v>
      </c>
      <c r="E92" s="408">
        <v>1</v>
      </c>
      <c r="F92" s="408">
        <v>183</v>
      </c>
      <c r="G92" s="397"/>
      <c r="H92" s="411">
        <f>(G50*(0.01*(100/1000)))</f>
        <v>0</v>
      </c>
      <c r="I92" s="507">
        <f>(30*BC!$B$47/F92)</f>
        <v>0</v>
      </c>
      <c r="J92" s="508">
        <f t="shared" si="30"/>
        <v>0</v>
      </c>
      <c r="K92" s="508">
        <f t="shared" si="31"/>
        <v>0</v>
      </c>
      <c r="L92" s="194">
        <f t="shared" si="25"/>
        <v>0</v>
      </c>
      <c r="M92" s="366">
        <f t="shared" si="32"/>
        <v>183</v>
      </c>
      <c r="N92" s="504">
        <v>183</v>
      </c>
      <c r="O92" s="91" t="e">
        <f t="shared" si="35"/>
        <v>#DIV/0!</v>
      </c>
      <c r="P92" s="148" t="e">
        <f t="shared" si="36"/>
        <v>#DIV/0!</v>
      </c>
      <c r="Q92" s="57">
        <f t="shared" si="34"/>
        <v>0</v>
      </c>
      <c r="R92" s="57">
        <f t="shared" si="37"/>
        <v>0</v>
      </c>
      <c r="S92" s="97"/>
      <c r="T92" s="97"/>
    </row>
    <row r="93" spans="2:22" ht="15.75" customHeight="1" x14ac:dyDescent="0.45">
      <c r="B93" s="408">
        <v>11355279216</v>
      </c>
      <c r="C93" s="445" t="s">
        <v>264</v>
      </c>
      <c r="D93" s="396" t="s">
        <v>264</v>
      </c>
      <c r="E93" s="408">
        <v>5</v>
      </c>
      <c r="F93" s="408">
        <v>28</v>
      </c>
      <c r="G93" s="397"/>
      <c r="H93" s="411" t="e">
        <f>(A20*(0.002*(350/1000)))</f>
        <v>#REF!</v>
      </c>
      <c r="I93" s="507">
        <f>(30*BC!$B$47/F93)</f>
        <v>0</v>
      </c>
      <c r="J93" s="508" t="e">
        <f t="shared" si="30"/>
        <v>#REF!</v>
      </c>
      <c r="K93" s="508" t="e">
        <f t="shared" si="31"/>
        <v>#REF!</v>
      </c>
      <c r="L93" s="194" t="e">
        <f t="shared" si="25"/>
        <v>#REF!</v>
      </c>
      <c r="M93" s="366">
        <f t="shared" si="32"/>
        <v>29.8</v>
      </c>
      <c r="N93" s="504">
        <v>149</v>
      </c>
      <c r="O93" s="91" t="e">
        <f t="shared" si="35"/>
        <v>#DIV/0!</v>
      </c>
      <c r="P93" s="148" t="e">
        <f t="shared" si="36"/>
        <v>#DIV/0!</v>
      </c>
      <c r="Q93" s="57" t="e">
        <f t="shared" si="34"/>
        <v>#REF!</v>
      </c>
      <c r="R93" s="57" t="e">
        <f t="shared" si="37"/>
        <v>#REF!</v>
      </c>
      <c r="S93" s="97"/>
      <c r="T93" s="97"/>
    </row>
    <row r="94" spans="2:22" ht="15.75" customHeight="1" x14ac:dyDescent="0.45">
      <c r="B94" s="408">
        <v>5117003190</v>
      </c>
      <c r="C94" s="396" t="s">
        <v>796</v>
      </c>
      <c r="D94" s="396" t="s">
        <v>796</v>
      </c>
      <c r="E94" s="408">
        <v>20</v>
      </c>
      <c r="F94" s="408">
        <v>28</v>
      </c>
      <c r="G94" s="397"/>
      <c r="H94" s="411"/>
      <c r="I94" s="507">
        <f>(30*BC!$B$47/F94)</f>
        <v>0</v>
      </c>
      <c r="J94" s="508">
        <f t="shared" si="30"/>
        <v>0</v>
      </c>
      <c r="K94" s="508">
        <f t="shared" si="31"/>
        <v>0</v>
      </c>
      <c r="L94" s="194">
        <f t="shared" si="25"/>
        <v>0</v>
      </c>
      <c r="M94" s="366">
        <f t="shared" si="32"/>
        <v>26.55</v>
      </c>
      <c r="N94" s="504">
        <v>531</v>
      </c>
      <c r="O94" s="91" t="e">
        <f t="shared" si="35"/>
        <v>#DIV/0!</v>
      </c>
      <c r="P94" s="148" t="e">
        <f t="shared" si="36"/>
        <v>#DIV/0!</v>
      </c>
      <c r="Q94" s="57">
        <f t="shared" si="34"/>
        <v>0</v>
      </c>
      <c r="R94" s="57">
        <f t="shared" si="37"/>
        <v>0</v>
      </c>
      <c r="S94" s="97"/>
      <c r="T94" s="97"/>
    </row>
    <row r="95" spans="2:22" ht="15.75" customHeight="1" x14ac:dyDescent="0.45">
      <c r="B95" s="408">
        <v>5117216190</v>
      </c>
      <c r="C95" s="396" t="s">
        <v>797</v>
      </c>
      <c r="D95" s="396" t="s">
        <v>797</v>
      </c>
      <c r="E95" s="408">
        <v>20</v>
      </c>
      <c r="F95" s="408">
        <v>14</v>
      </c>
      <c r="G95" s="397"/>
      <c r="H95" s="411"/>
      <c r="I95" s="507">
        <f>(30*BC!$B$47/F95)</f>
        <v>0</v>
      </c>
      <c r="J95" s="508">
        <f t="shared" si="30"/>
        <v>0</v>
      </c>
      <c r="K95" s="508">
        <f t="shared" si="31"/>
        <v>0</v>
      </c>
      <c r="L95" s="194">
        <f t="shared" si="25"/>
        <v>0</v>
      </c>
      <c r="M95" s="366">
        <f t="shared" si="32"/>
        <v>32.15</v>
      </c>
      <c r="N95" s="504">
        <v>643</v>
      </c>
      <c r="O95" s="91" t="e">
        <f t="shared" si="35"/>
        <v>#DIV/0!</v>
      </c>
      <c r="P95" s="148" t="e">
        <f t="shared" si="36"/>
        <v>#DIV/0!</v>
      </c>
      <c r="Q95" s="57">
        <f t="shared" si="34"/>
        <v>0</v>
      </c>
      <c r="R95" s="57">
        <f t="shared" si="37"/>
        <v>0</v>
      </c>
      <c r="S95" s="97"/>
      <c r="T95" s="97"/>
    </row>
    <row r="96" spans="2:22" ht="15.75" customHeight="1" x14ac:dyDescent="0.45">
      <c r="B96" s="408">
        <v>5117208922</v>
      </c>
      <c r="C96" s="396" t="s">
        <v>798</v>
      </c>
      <c r="D96" s="396" t="s">
        <v>798</v>
      </c>
      <c r="E96" s="408">
        <v>20</v>
      </c>
      <c r="F96" s="408"/>
      <c r="G96" s="397"/>
      <c r="H96" s="411"/>
      <c r="I96" s="507" t="e">
        <f>(30*BC!$B$47/F96)</f>
        <v>#DIV/0!</v>
      </c>
      <c r="J96" s="508" t="e">
        <f t="shared" si="30"/>
        <v>#DIV/0!</v>
      </c>
      <c r="K96" s="508">
        <f t="shared" si="31"/>
        <v>0</v>
      </c>
      <c r="L96" s="194">
        <f t="shared" si="25"/>
        <v>0</v>
      </c>
      <c r="M96" s="366">
        <f t="shared" si="32"/>
        <v>53.1</v>
      </c>
      <c r="N96" s="504">
        <v>1062</v>
      </c>
      <c r="O96" s="91" t="e">
        <f t="shared" si="35"/>
        <v>#DIV/0!</v>
      </c>
      <c r="P96" s="148" t="e">
        <f t="shared" si="36"/>
        <v>#DIV/0!</v>
      </c>
      <c r="Q96" s="57">
        <f t="shared" si="34"/>
        <v>0</v>
      </c>
      <c r="R96" s="57">
        <f t="shared" si="37"/>
        <v>0</v>
      </c>
      <c r="S96" s="97"/>
      <c r="T96" s="97"/>
    </row>
    <row r="97" spans="2:20" ht="15.75" customHeight="1" x14ac:dyDescent="0.45">
      <c r="B97" s="408">
        <v>5117291922</v>
      </c>
      <c r="C97" s="396" t="s">
        <v>799</v>
      </c>
      <c r="D97" s="396" t="s">
        <v>799</v>
      </c>
      <c r="E97" s="408">
        <v>20</v>
      </c>
      <c r="F97" s="408"/>
      <c r="G97" s="397"/>
      <c r="H97" s="411"/>
      <c r="I97" s="507" t="e">
        <f>(30*BC!$B$47/F97)</f>
        <v>#DIV/0!</v>
      </c>
      <c r="J97" s="508" t="e">
        <f t="shared" si="30"/>
        <v>#DIV/0!</v>
      </c>
      <c r="K97" s="508">
        <f t="shared" si="31"/>
        <v>0</v>
      </c>
      <c r="L97" s="194">
        <f t="shared" si="25"/>
        <v>0</v>
      </c>
      <c r="M97" s="366">
        <f t="shared" si="32"/>
        <v>59</v>
      </c>
      <c r="N97" s="504">
        <v>1180</v>
      </c>
      <c r="O97" s="91" t="e">
        <f t="shared" si="35"/>
        <v>#DIV/0!</v>
      </c>
      <c r="P97" s="148" t="e">
        <f t="shared" si="36"/>
        <v>#DIV/0!</v>
      </c>
      <c r="Q97" s="57">
        <f t="shared" si="34"/>
        <v>0</v>
      </c>
      <c r="R97" s="57">
        <f t="shared" si="37"/>
        <v>0</v>
      </c>
      <c r="S97" s="97"/>
      <c r="T97" s="97"/>
    </row>
    <row r="98" spans="2:20" ht="15.75" customHeight="1" x14ac:dyDescent="0.45">
      <c r="B98" s="408">
        <v>5947626190</v>
      </c>
      <c r="C98" s="451" t="s">
        <v>286</v>
      </c>
      <c r="D98" s="396" t="s">
        <v>286</v>
      </c>
      <c r="E98" s="408">
        <v>4</v>
      </c>
      <c r="F98" s="408">
        <v>14</v>
      </c>
      <c r="G98" s="397"/>
      <c r="H98" s="411" t="e">
        <f>(A23/(0.005*400)/3000)</f>
        <v>#REF!</v>
      </c>
      <c r="I98" s="507">
        <f>(30*BC!$B$47/F98)</f>
        <v>0</v>
      </c>
      <c r="J98" s="508" t="e">
        <f t="shared" si="30"/>
        <v>#REF!</v>
      </c>
      <c r="K98" s="508" t="e">
        <f t="shared" si="31"/>
        <v>#REF!</v>
      </c>
      <c r="L98" s="194" t="e">
        <f t="shared" si="25"/>
        <v>#REF!</v>
      </c>
      <c r="M98" s="366">
        <f t="shared" si="32"/>
        <v>14.25</v>
      </c>
      <c r="N98" s="504">
        <v>57</v>
      </c>
      <c r="O98" s="91" t="e">
        <f t="shared" si="35"/>
        <v>#DIV/0!</v>
      </c>
      <c r="P98" s="148" t="e">
        <f t="shared" si="36"/>
        <v>#DIV/0!</v>
      </c>
      <c r="Q98" s="57" t="e">
        <f t="shared" si="34"/>
        <v>#REF!</v>
      </c>
      <c r="R98" s="57" t="e">
        <f t="shared" si="37"/>
        <v>#REF!</v>
      </c>
      <c r="S98" s="97"/>
      <c r="T98" s="97"/>
    </row>
    <row r="99" spans="2:20" ht="15.75" customHeight="1" x14ac:dyDescent="0.45">
      <c r="B99" s="408">
        <v>5947774190</v>
      </c>
      <c r="C99" s="451" t="s">
        <v>287</v>
      </c>
      <c r="D99" s="396" t="s">
        <v>287</v>
      </c>
      <c r="E99" s="408">
        <v>4</v>
      </c>
      <c r="F99" s="408">
        <v>14</v>
      </c>
      <c r="G99" s="397"/>
      <c r="H99" s="411" t="e">
        <f>(A23/(0.005*400)/3000)</f>
        <v>#REF!</v>
      </c>
      <c r="I99" s="507">
        <f>(30*BC!$B$47/F99)</f>
        <v>0</v>
      </c>
      <c r="J99" s="508" t="e">
        <f t="shared" si="30"/>
        <v>#REF!</v>
      </c>
      <c r="K99" s="508" t="e">
        <f t="shared" si="31"/>
        <v>#REF!</v>
      </c>
      <c r="L99" s="194" t="e">
        <f t="shared" si="25"/>
        <v>#REF!</v>
      </c>
      <c r="M99" s="366">
        <f t="shared" si="32"/>
        <v>22.75</v>
      </c>
      <c r="N99" s="504">
        <v>91</v>
      </c>
      <c r="O99" s="91" t="e">
        <f t="shared" si="35"/>
        <v>#DIV/0!</v>
      </c>
      <c r="P99" s="148" t="e">
        <f t="shared" si="36"/>
        <v>#DIV/0!</v>
      </c>
      <c r="Q99" s="57" t="e">
        <f t="shared" si="34"/>
        <v>#REF!</v>
      </c>
      <c r="R99" s="57" t="e">
        <f t="shared" si="37"/>
        <v>#REF!</v>
      </c>
      <c r="S99" s="97"/>
      <c r="T99" s="97"/>
    </row>
    <row r="100" spans="2:20" ht="15.75" customHeight="1" x14ac:dyDescent="0.45">
      <c r="B100" s="396">
        <v>4528417190</v>
      </c>
      <c r="C100" s="456" t="s">
        <v>267</v>
      </c>
      <c r="D100" s="396" t="s">
        <v>267</v>
      </c>
      <c r="E100" s="408">
        <v>3</v>
      </c>
      <c r="F100" s="408">
        <v>84</v>
      </c>
      <c r="G100" s="396"/>
      <c r="H100" s="411">
        <f>(A38*(0.007*(500/2000)))</f>
        <v>0</v>
      </c>
      <c r="I100" s="507">
        <f>(30*BC!$B$47/F100)</f>
        <v>0</v>
      </c>
      <c r="J100" s="508">
        <f t="shared" si="30"/>
        <v>0</v>
      </c>
      <c r="K100" s="508">
        <f t="shared" si="31"/>
        <v>0</v>
      </c>
      <c r="L100" s="194">
        <f t="shared" si="25"/>
        <v>0</v>
      </c>
      <c r="M100" s="366">
        <f t="shared" si="32"/>
        <v>150.33333333333334</v>
      </c>
      <c r="N100" s="504">
        <v>451</v>
      </c>
      <c r="O100" s="91" t="e">
        <f t="shared" si="35"/>
        <v>#DIV/0!</v>
      </c>
      <c r="P100" s="148" t="e">
        <f t="shared" si="36"/>
        <v>#DIV/0!</v>
      </c>
      <c r="Q100" s="57">
        <f t="shared" si="34"/>
        <v>0</v>
      </c>
      <c r="R100" s="57">
        <f t="shared" si="37"/>
        <v>0</v>
      </c>
      <c r="S100" s="97"/>
      <c r="T100" s="97"/>
    </row>
    <row r="101" spans="2:20" ht="15.75" customHeight="1" x14ac:dyDescent="0.45">
      <c r="B101" s="396">
        <v>5479207190</v>
      </c>
      <c r="C101" s="456" t="s">
        <v>288</v>
      </c>
      <c r="D101" s="396" t="s">
        <v>288</v>
      </c>
      <c r="E101" s="408">
        <v>4</v>
      </c>
      <c r="F101" s="408">
        <v>28</v>
      </c>
      <c r="G101" s="397"/>
      <c r="H101" s="411">
        <f>(A38*(0.02*(500/2000)))</f>
        <v>0</v>
      </c>
      <c r="I101" s="507">
        <f>(30*BC!$B$47/F101)</f>
        <v>0</v>
      </c>
      <c r="J101" s="508">
        <f t="shared" si="30"/>
        <v>0</v>
      </c>
      <c r="K101" s="508">
        <f t="shared" si="31"/>
        <v>0</v>
      </c>
      <c r="L101" s="194">
        <f t="shared" si="25"/>
        <v>0</v>
      </c>
      <c r="M101" s="366">
        <f t="shared" si="32"/>
        <v>77.25</v>
      </c>
      <c r="N101" s="504">
        <v>309</v>
      </c>
      <c r="O101" s="91" t="e">
        <f t="shared" si="35"/>
        <v>#DIV/0!</v>
      </c>
      <c r="P101" s="148" t="e">
        <f t="shared" si="36"/>
        <v>#DIV/0!</v>
      </c>
      <c r="Q101" s="57">
        <f t="shared" si="34"/>
        <v>0</v>
      </c>
      <c r="R101" s="57">
        <f t="shared" si="37"/>
        <v>0</v>
      </c>
      <c r="S101" s="97"/>
      <c r="T101" s="97"/>
    </row>
    <row r="102" spans="2:20" ht="15.75" customHeight="1" x14ac:dyDescent="0.45">
      <c r="B102" s="396">
        <v>5912504190</v>
      </c>
      <c r="C102" s="456" t="s">
        <v>289</v>
      </c>
      <c r="D102" s="396" t="s">
        <v>289</v>
      </c>
      <c r="E102" s="408">
        <v>4</v>
      </c>
      <c r="F102" s="408">
        <v>28</v>
      </c>
      <c r="G102" s="397"/>
      <c r="H102" s="411">
        <f>(A38*(0.02*(500/2000)))</f>
        <v>0</v>
      </c>
      <c r="I102" s="507">
        <f>(30*BC!$B$47/F102)</f>
        <v>0</v>
      </c>
      <c r="J102" s="508">
        <f t="shared" si="30"/>
        <v>0</v>
      </c>
      <c r="K102" s="508">
        <f t="shared" si="31"/>
        <v>0</v>
      </c>
      <c r="L102" s="194">
        <f t="shared" si="25"/>
        <v>0</v>
      </c>
      <c r="M102" s="366">
        <f t="shared" si="32"/>
        <v>154.5</v>
      </c>
      <c r="N102" s="504">
        <v>618</v>
      </c>
      <c r="O102" s="91" t="e">
        <f t="shared" si="35"/>
        <v>#DIV/0!</v>
      </c>
      <c r="P102" s="148" t="e">
        <f t="shared" si="36"/>
        <v>#DIV/0!</v>
      </c>
      <c r="Q102" s="57">
        <f t="shared" si="34"/>
        <v>0</v>
      </c>
      <c r="R102" s="57">
        <f t="shared" si="37"/>
        <v>0</v>
      </c>
      <c r="S102" s="97"/>
      <c r="T102" s="97"/>
    </row>
    <row r="103" spans="2:20" ht="15.75" customHeight="1" x14ac:dyDescent="0.45">
      <c r="B103" s="396">
        <v>5050901190</v>
      </c>
      <c r="C103" s="458" t="s">
        <v>269</v>
      </c>
      <c r="D103" s="396"/>
      <c r="E103" s="408">
        <v>1</v>
      </c>
      <c r="F103" s="408">
        <v>84</v>
      </c>
      <c r="G103" s="397"/>
      <c r="H103" s="411">
        <f>(G65*(0.03*(350/1000)))</f>
        <v>0</v>
      </c>
      <c r="I103" s="507">
        <f>(30*BC!$B$47/F103)</f>
        <v>0</v>
      </c>
      <c r="J103" s="508">
        <f t="shared" si="30"/>
        <v>0</v>
      </c>
      <c r="K103" s="508">
        <f t="shared" si="31"/>
        <v>0</v>
      </c>
      <c r="L103" s="194">
        <f t="shared" si="25"/>
        <v>0</v>
      </c>
      <c r="M103" s="366">
        <f t="shared" si="32"/>
        <v>282</v>
      </c>
      <c r="N103" s="504">
        <v>282</v>
      </c>
      <c r="O103" s="91" t="e">
        <f t="shared" si="35"/>
        <v>#DIV/0!</v>
      </c>
      <c r="P103" s="148" t="e">
        <f t="shared" si="36"/>
        <v>#DIV/0!</v>
      </c>
      <c r="Q103" s="57">
        <f t="shared" si="34"/>
        <v>0</v>
      </c>
      <c r="R103" s="57">
        <f t="shared" si="37"/>
        <v>0</v>
      </c>
      <c r="S103" s="97"/>
      <c r="T103" s="97"/>
    </row>
    <row r="104" spans="2:20" ht="15.75" customHeight="1" x14ac:dyDescent="0.45">
      <c r="B104" s="396">
        <v>5050936190</v>
      </c>
      <c r="C104" s="458" t="s">
        <v>283</v>
      </c>
      <c r="D104" s="396"/>
      <c r="E104" s="408">
        <v>2</v>
      </c>
      <c r="F104" s="408">
        <v>84</v>
      </c>
      <c r="G104" s="397"/>
      <c r="H104" s="411">
        <f>(G65*(0.06*(350/1000)))</f>
        <v>0</v>
      </c>
      <c r="I104" s="507">
        <f>(30*BC!$B$47/F104)</f>
        <v>0</v>
      </c>
      <c r="J104" s="508">
        <f t="shared" si="30"/>
        <v>0</v>
      </c>
      <c r="K104" s="508">
        <f t="shared" si="31"/>
        <v>0</v>
      </c>
      <c r="L104" s="194">
        <f t="shared" si="25"/>
        <v>0</v>
      </c>
      <c r="M104" s="366">
        <f t="shared" si="32"/>
        <v>244</v>
      </c>
      <c r="N104" s="504">
        <v>488</v>
      </c>
      <c r="O104" s="91" t="e">
        <f t="shared" si="35"/>
        <v>#DIV/0!</v>
      </c>
      <c r="P104" s="148" t="e">
        <f t="shared" si="36"/>
        <v>#DIV/0!</v>
      </c>
      <c r="Q104" s="57">
        <f t="shared" si="34"/>
        <v>0</v>
      </c>
      <c r="R104" s="57">
        <f t="shared" si="37"/>
        <v>0</v>
      </c>
      <c r="S104" s="97"/>
      <c r="T104" s="97"/>
    </row>
    <row r="105" spans="2:20" ht="15.75" customHeight="1" x14ac:dyDescent="0.45">
      <c r="B105" s="396">
        <v>8047545190</v>
      </c>
      <c r="C105" s="459" t="s">
        <v>266</v>
      </c>
      <c r="D105" s="396"/>
      <c r="E105" s="408">
        <v>2</v>
      </c>
      <c r="F105" s="408">
        <v>84</v>
      </c>
      <c r="G105" s="397"/>
      <c r="H105" s="411">
        <f>(G66*(0.014*(500/2000)))</f>
        <v>0</v>
      </c>
      <c r="I105" s="507">
        <f>(30*BC!$B$47/F105)</f>
        <v>0</v>
      </c>
      <c r="J105" s="508">
        <f t="shared" si="30"/>
        <v>0</v>
      </c>
      <c r="K105" s="508">
        <f t="shared" si="31"/>
        <v>0</v>
      </c>
      <c r="L105" s="194">
        <f t="shared" si="25"/>
        <v>0</v>
      </c>
      <c r="M105" s="366">
        <f t="shared" si="32"/>
        <v>25.5</v>
      </c>
      <c r="N105" s="504">
        <v>51</v>
      </c>
      <c r="O105" s="91" t="e">
        <f t="shared" si="35"/>
        <v>#DIV/0!</v>
      </c>
      <c r="P105" s="148" t="e">
        <f t="shared" si="36"/>
        <v>#DIV/0!</v>
      </c>
      <c r="Q105" s="57">
        <f t="shared" si="34"/>
        <v>0</v>
      </c>
      <c r="R105" s="57">
        <f t="shared" si="37"/>
        <v>0</v>
      </c>
      <c r="S105" s="97"/>
      <c r="T105" s="97"/>
    </row>
    <row r="106" spans="2:20" ht="15.75" customHeight="1" x14ac:dyDescent="0.45">
      <c r="B106" s="396">
        <v>8362785190</v>
      </c>
      <c r="C106" s="459" t="s">
        <v>280</v>
      </c>
      <c r="D106" s="396"/>
      <c r="E106" s="408">
        <v>2</v>
      </c>
      <c r="F106" s="408">
        <v>84</v>
      </c>
      <c r="G106" s="397"/>
      <c r="H106" s="411">
        <f>(G66*(0.025*(500/2000)))</f>
        <v>0</v>
      </c>
      <c r="I106" s="507">
        <f>(30*BC!$B$47/F106)</f>
        <v>0</v>
      </c>
      <c r="J106" s="508">
        <f t="shared" si="30"/>
        <v>0</v>
      </c>
      <c r="K106" s="508">
        <f t="shared" si="31"/>
        <v>0</v>
      </c>
      <c r="L106" s="194">
        <f t="shared" si="25"/>
        <v>0</v>
      </c>
      <c r="M106" s="366">
        <f t="shared" si="32"/>
        <v>122</v>
      </c>
      <c r="N106" s="504">
        <v>244</v>
      </c>
      <c r="O106" s="91" t="e">
        <f t="shared" si="35"/>
        <v>#DIV/0!</v>
      </c>
      <c r="P106" s="148" t="e">
        <f t="shared" si="36"/>
        <v>#DIV/0!</v>
      </c>
      <c r="Q106" s="57">
        <f t="shared" si="34"/>
        <v>0</v>
      </c>
      <c r="R106" s="57">
        <f t="shared" si="37"/>
        <v>0</v>
      </c>
      <c r="S106" s="97"/>
      <c r="T106" s="97"/>
    </row>
    <row r="107" spans="2:20" ht="15.75" customHeight="1" x14ac:dyDescent="0.45">
      <c r="B107" s="396">
        <v>5852641190</v>
      </c>
      <c r="C107" s="460" t="s">
        <v>275</v>
      </c>
      <c r="D107" s="396"/>
      <c r="E107" s="408">
        <v>1</v>
      </c>
      <c r="F107" s="408">
        <v>14</v>
      </c>
      <c r="G107" s="397"/>
      <c r="H107" s="411">
        <f>(G67*(0.014*(500/2000)))</f>
        <v>0</v>
      </c>
      <c r="I107" s="507">
        <f>(30*BC!$B$47/F107)</f>
        <v>0</v>
      </c>
      <c r="J107" s="508">
        <f t="shared" si="30"/>
        <v>0</v>
      </c>
      <c r="K107" s="508">
        <f t="shared" si="31"/>
        <v>0</v>
      </c>
      <c r="L107" s="194">
        <f t="shared" si="25"/>
        <v>0</v>
      </c>
      <c r="M107" s="366">
        <f t="shared" si="32"/>
        <v>384</v>
      </c>
      <c r="N107" s="504">
        <v>384</v>
      </c>
      <c r="O107" s="91" t="e">
        <f t="shared" si="35"/>
        <v>#DIV/0!</v>
      </c>
      <c r="P107" s="148" t="e">
        <f t="shared" si="36"/>
        <v>#DIV/0!</v>
      </c>
      <c r="Q107" s="57">
        <f t="shared" si="34"/>
        <v>0</v>
      </c>
      <c r="R107" s="57">
        <f t="shared" si="37"/>
        <v>0</v>
      </c>
      <c r="S107" s="97"/>
      <c r="T107" s="97"/>
    </row>
    <row r="108" spans="2:20" ht="15.75" customHeight="1" x14ac:dyDescent="0.45">
      <c r="B108" s="396">
        <v>5852650190</v>
      </c>
      <c r="C108" s="460" t="s">
        <v>290</v>
      </c>
      <c r="D108" s="396"/>
      <c r="E108" s="408">
        <v>2</v>
      </c>
      <c r="F108" s="408">
        <v>14</v>
      </c>
      <c r="G108" s="397"/>
      <c r="H108" s="411">
        <f>(G67*(0.025*(500/2000)))</f>
        <v>0</v>
      </c>
      <c r="I108" s="507">
        <f>(30*BC!$B$47/F108)</f>
        <v>0</v>
      </c>
      <c r="J108" s="508">
        <f t="shared" si="30"/>
        <v>0</v>
      </c>
      <c r="K108" s="508">
        <f t="shared" si="31"/>
        <v>0</v>
      </c>
      <c r="L108" s="194">
        <f t="shared" si="25"/>
        <v>0</v>
      </c>
      <c r="M108" s="366">
        <f t="shared" si="32"/>
        <v>286</v>
      </c>
      <c r="N108" s="504">
        <v>572</v>
      </c>
      <c r="O108" s="91" t="e">
        <f t="shared" si="35"/>
        <v>#DIV/0!</v>
      </c>
      <c r="P108" s="148" t="e">
        <f t="shared" si="36"/>
        <v>#DIV/0!</v>
      </c>
      <c r="Q108" s="57">
        <f t="shared" si="34"/>
        <v>0</v>
      </c>
      <c r="R108" s="57">
        <f t="shared" si="37"/>
        <v>0</v>
      </c>
      <c r="S108" s="97"/>
      <c r="T108" s="97"/>
    </row>
    <row r="109" spans="2:20" ht="15.75" customHeight="1" x14ac:dyDescent="0.45">
      <c r="B109" s="396">
        <v>4975901191</v>
      </c>
      <c r="C109" s="461" t="s">
        <v>257</v>
      </c>
      <c r="D109" s="396"/>
      <c r="E109" s="408">
        <v>1</v>
      </c>
      <c r="F109" s="408">
        <v>30</v>
      </c>
      <c r="G109" s="397"/>
      <c r="H109" s="411">
        <f>(G68*(0.014*(500/2000)))</f>
        <v>0</v>
      </c>
      <c r="I109" s="507">
        <f>(30*BC!$B$47/F109)</f>
        <v>0</v>
      </c>
      <c r="J109" s="508">
        <f t="shared" si="30"/>
        <v>0</v>
      </c>
      <c r="K109" s="508">
        <f t="shared" si="31"/>
        <v>0</v>
      </c>
      <c r="L109" s="194">
        <f t="shared" si="25"/>
        <v>0</v>
      </c>
      <c r="M109" s="366">
        <f t="shared" si="32"/>
        <v>1016</v>
      </c>
      <c r="N109" s="504">
        <v>1016</v>
      </c>
      <c r="O109" s="91" t="e">
        <f t="shared" si="35"/>
        <v>#DIV/0!</v>
      </c>
      <c r="P109" s="148" t="e">
        <f t="shared" si="36"/>
        <v>#DIV/0!</v>
      </c>
      <c r="Q109" s="57">
        <f t="shared" si="34"/>
        <v>0</v>
      </c>
      <c r="R109" s="57">
        <f t="shared" si="37"/>
        <v>0</v>
      </c>
      <c r="S109" s="97"/>
      <c r="T109" s="97"/>
    </row>
    <row r="110" spans="2:20" ht="15.75" customHeight="1" x14ac:dyDescent="0.45">
      <c r="B110" s="396">
        <v>6729371190</v>
      </c>
      <c r="C110" s="461" t="s">
        <v>282</v>
      </c>
      <c r="D110" s="396"/>
      <c r="E110" s="408">
        <v>3</v>
      </c>
      <c r="F110" s="408">
        <v>30</v>
      </c>
      <c r="G110" s="397"/>
      <c r="H110" s="411">
        <f>(G68*(0.025*(500/2000)))</f>
        <v>0</v>
      </c>
      <c r="I110" s="507">
        <f>(30*BC!$B$47/F110)</f>
        <v>0</v>
      </c>
      <c r="J110" s="508">
        <f t="shared" si="30"/>
        <v>0</v>
      </c>
      <c r="K110" s="508">
        <f t="shared" si="31"/>
        <v>0</v>
      </c>
      <c r="L110" s="194">
        <f t="shared" si="25"/>
        <v>0</v>
      </c>
      <c r="M110" s="366">
        <f t="shared" si="32"/>
        <v>527</v>
      </c>
      <c r="N110" s="504">
        <v>1581</v>
      </c>
      <c r="O110" s="91" t="e">
        <f t="shared" si="35"/>
        <v>#DIV/0!</v>
      </c>
      <c r="P110" s="148" t="e">
        <f t="shared" si="36"/>
        <v>#DIV/0!</v>
      </c>
      <c r="Q110" s="57">
        <f t="shared" si="34"/>
        <v>0</v>
      </c>
      <c r="R110" s="57">
        <f t="shared" si="37"/>
        <v>0</v>
      </c>
      <c r="S110" s="97"/>
      <c r="T110" s="97"/>
    </row>
    <row r="111" spans="2:20" ht="15.75" customHeight="1" x14ac:dyDescent="0.45">
      <c r="B111" s="396">
        <v>5385504190</v>
      </c>
      <c r="C111" s="462" t="s">
        <v>271</v>
      </c>
      <c r="D111" s="396"/>
      <c r="E111" s="408">
        <v>2</v>
      </c>
      <c r="F111" s="408">
        <v>28</v>
      </c>
      <c r="G111" s="397"/>
      <c r="H111" s="411">
        <f>(G69*(0.014*(500/2000)))</f>
        <v>0</v>
      </c>
      <c r="I111" s="507">
        <f>(30*BC!$B$47/F111)</f>
        <v>0</v>
      </c>
      <c r="J111" s="508">
        <f t="shared" si="30"/>
        <v>0</v>
      </c>
      <c r="K111" s="508">
        <f t="shared" si="31"/>
        <v>0</v>
      </c>
      <c r="L111" s="194">
        <f t="shared" si="25"/>
        <v>0</v>
      </c>
      <c r="M111" s="366">
        <f t="shared" si="32"/>
        <v>40</v>
      </c>
      <c r="N111" s="504">
        <v>80</v>
      </c>
      <c r="O111" s="91" t="e">
        <f t="shared" si="35"/>
        <v>#DIV/0!</v>
      </c>
      <c r="P111" s="148" t="e">
        <f t="shared" si="36"/>
        <v>#DIV/0!</v>
      </c>
      <c r="Q111" s="57">
        <f t="shared" si="34"/>
        <v>0</v>
      </c>
      <c r="R111" s="57">
        <f t="shared" si="37"/>
        <v>0</v>
      </c>
      <c r="S111" s="97"/>
      <c r="T111" s="97"/>
    </row>
    <row r="112" spans="2:20" ht="15.75" customHeight="1" x14ac:dyDescent="0.45">
      <c r="B112" s="396">
        <v>5142423190</v>
      </c>
      <c r="C112" s="462" t="s">
        <v>284</v>
      </c>
      <c r="D112" s="396"/>
      <c r="E112" s="408">
        <v>2</v>
      </c>
      <c r="F112" s="408">
        <v>28</v>
      </c>
      <c r="G112" s="397"/>
      <c r="H112" s="411">
        <f>(G69*(0.025*(500/2000)))</f>
        <v>0</v>
      </c>
      <c r="I112" s="507">
        <f>(30*BC!$B$47/F112)</f>
        <v>0</v>
      </c>
      <c r="J112" s="508">
        <f t="shared" si="30"/>
        <v>0</v>
      </c>
      <c r="K112" s="508">
        <f t="shared" si="31"/>
        <v>0</v>
      </c>
      <c r="L112" s="194">
        <f t="shared" si="25"/>
        <v>0</v>
      </c>
      <c r="M112" s="366">
        <f t="shared" si="32"/>
        <v>37</v>
      </c>
      <c r="N112" s="504">
        <v>74</v>
      </c>
      <c r="O112" s="91" t="e">
        <f t="shared" si="35"/>
        <v>#DIV/0!</v>
      </c>
      <c r="P112" s="148" t="e">
        <f t="shared" si="36"/>
        <v>#DIV/0!</v>
      </c>
      <c r="Q112" s="57">
        <f t="shared" si="34"/>
        <v>0</v>
      </c>
      <c r="R112" s="57">
        <f t="shared" si="37"/>
        <v>0</v>
      </c>
      <c r="S112" s="97"/>
      <c r="T112" s="97"/>
    </row>
    <row r="113" spans="2:20" ht="15.75" customHeight="1" x14ac:dyDescent="0.45">
      <c r="B113" s="396">
        <v>20751995190</v>
      </c>
      <c r="C113" s="463" t="s">
        <v>256</v>
      </c>
      <c r="D113" s="396" t="s">
        <v>800</v>
      </c>
      <c r="E113" s="408">
        <v>2</v>
      </c>
      <c r="F113" s="408">
        <v>56</v>
      </c>
      <c r="G113" s="397"/>
      <c r="H113" s="411">
        <f>(A29*(0.014*(500/2000)))</f>
        <v>0</v>
      </c>
      <c r="I113" s="507">
        <f>(30*BC!$B$47/F113)</f>
        <v>0</v>
      </c>
      <c r="J113" s="508">
        <f t="shared" si="30"/>
        <v>0</v>
      </c>
      <c r="K113" s="508">
        <f t="shared" si="31"/>
        <v>0</v>
      </c>
      <c r="L113" s="194">
        <f t="shared" si="25"/>
        <v>0</v>
      </c>
      <c r="M113" s="366">
        <f t="shared" si="32"/>
        <v>313.5</v>
      </c>
      <c r="N113" s="504">
        <v>627</v>
      </c>
      <c r="O113" s="91" t="e">
        <f t="shared" si="35"/>
        <v>#DIV/0!</v>
      </c>
      <c r="P113" s="148" t="e">
        <f t="shared" si="36"/>
        <v>#DIV/0!</v>
      </c>
      <c r="Q113" s="57">
        <f t="shared" si="34"/>
        <v>0</v>
      </c>
      <c r="R113" s="57">
        <f t="shared" si="37"/>
        <v>0</v>
      </c>
      <c r="S113" s="97"/>
      <c r="T113" s="97"/>
    </row>
    <row r="114" spans="2:20" ht="15.75" customHeight="1" x14ac:dyDescent="0.45">
      <c r="B114" s="396">
        <v>20752401190</v>
      </c>
      <c r="C114" s="463" t="s">
        <v>278</v>
      </c>
      <c r="D114" s="396" t="s">
        <v>801</v>
      </c>
      <c r="E114" s="408">
        <v>5</v>
      </c>
      <c r="F114" s="408">
        <v>56</v>
      </c>
      <c r="G114" s="397"/>
      <c r="H114" s="411">
        <f>(A29*(0.025*(500/2000)))</f>
        <v>0</v>
      </c>
      <c r="I114" s="507">
        <f>(30*BC!$B$47/F114)</f>
        <v>0</v>
      </c>
      <c r="J114" s="508">
        <f t="shared" si="30"/>
        <v>0</v>
      </c>
      <c r="K114" s="508">
        <f t="shared" si="31"/>
        <v>0</v>
      </c>
      <c r="L114" s="194">
        <f t="shared" si="25"/>
        <v>0</v>
      </c>
      <c r="M114" s="366">
        <f t="shared" si="32"/>
        <v>41.4</v>
      </c>
      <c r="N114" s="504">
        <v>207</v>
      </c>
      <c r="O114" s="91" t="e">
        <f t="shared" si="35"/>
        <v>#DIV/0!</v>
      </c>
      <c r="P114" s="148" t="e">
        <f t="shared" si="36"/>
        <v>#DIV/0!</v>
      </c>
      <c r="Q114" s="57">
        <f t="shared" si="34"/>
        <v>0</v>
      </c>
      <c r="R114" s="57">
        <f t="shared" si="37"/>
        <v>0</v>
      </c>
      <c r="S114" s="97"/>
      <c r="T114" s="97"/>
    </row>
    <row r="115" spans="2:20" ht="15.75" customHeight="1" x14ac:dyDescent="0.45">
      <c r="B115" s="396">
        <v>20753009190</v>
      </c>
      <c r="C115" s="463" t="s">
        <v>279</v>
      </c>
      <c r="D115" s="396" t="s">
        <v>802</v>
      </c>
      <c r="E115" s="408">
        <v>5</v>
      </c>
      <c r="F115" s="408">
        <v>56</v>
      </c>
      <c r="G115" s="397"/>
      <c r="H115" s="411">
        <f>(A29*(0.025*(500/2000)))</f>
        <v>0</v>
      </c>
      <c r="I115" s="507">
        <f>(30*BC!$B$47/F115)</f>
        <v>0</v>
      </c>
      <c r="J115" s="508">
        <f t="shared" si="30"/>
        <v>0</v>
      </c>
      <c r="K115" s="508">
        <f t="shared" si="31"/>
        <v>0</v>
      </c>
      <c r="L115" s="194">
        <f t="shared" si="25"/>
        <v>0</v>
      </c>
      <c r="M115" s="366">
        <f t="shared" si="32"/>
        <v>45.4</v>
      </c>
      <c r="N115" s="504">
        <v>227</v>
      </c>
      <c r="O115" s="91" t="e">
        <f t="shared" si="35"/>
        <v>#DIV/0!</v>
      </c>
      <c r="P115" s="148" t="e">
        <f t="shared" si="36"/>
        <v>#DIV/0!</v>
      </c>
      <c r="Q115" s="57">
        <f t="shared" si="34"/>
        <v>0</v>
      </c>
      <c r="R115" s="57">
        <f t="shared" si="37"/>
        <v>0</v>
      </c>
      <c r="S115" s="97"/>
      <c r="T115" s="97"/>
    </row>
    <row r="116" spans="2:20" ht="15.75" customHeight="1" x14ac:dyDescent="0.45">
      <c r="B116" s="396">
        <v>11098993122</v>
      </c>
      <c r="C116" s="464" t="s">
        <v>273</v>
      </c>
      <c r="D116" s="396" t="s">
        <v>803</v>
      </c>
      <c r="E116" s="408">
        <v>3</v>
      </c>
      <c r="F116" s="408">
        <v>28</v>
      </c>
      <c r="G116" s="397"/>
      <c r="H116" s="411">
        <f>(G74*(0.014*(500/2000)))</f>
        <v>0</v>
      </c>
      <c r="I116" s="507">
        <f>(30*BC!$B$47/F116)</f>
        <v>0</v>
      </c>
      <c r="J116" s="508">
        <f t="shared" si="30"/>
        <v>0</v>
      </c>
      <c r="K116" s="508">
        <f t="shared" si="31"/>
        <v>0</v>
      </c>
      <c r="L116" s="194">
        <f t="shared" si="25"/>
        <v>0</v>
      </c>
      <c r="M116" s="366">
        <f t="shared" si="32"/>
        <v>26.666666666666668</v>
      </c>
      <c r="N116" s="504">
        <v>80</v>
      </c>
      <c r="O116" s="91" t="e">
        <f t="shared" si="35"/>
        <v>#DIV/0!</v>
      </c>
      <c r="P116" s="148" t="e">
        <f t="shared" si="36"/>
        <v>#DIV/0!</v>
      </c>
      <c r="Q116" s="57">
        <f t="shared" si="34"/>
        <v>0</v>
      </c>
      <c r="R116" s="57">
        <f t="shared" si="37"/>
        <v>0</v>
      </c>
      <c r="S116" s="97"/>
      <c r="T116" s="97"/>
    </row>
    <row r="117" spans="2:20" ht="15.75" customHeight="1" x14ac:dyDescent="0.45">
      <c r="B117" s="396">
        <v>11098985122</v>
      </c>
      <c r="C117" s="464" t="s">
        <v>291</v>
      </c>
      <c r="D117" s="396"/>
      <c r="E117" s="408">
        <v>3</v>
      </c>
      <c r="F117" s="408">
        <v>28</v>
      </c>
      <c r="G117" s="397"/>
      <c r="H117" s="411">
        <f>(G74*(0.025*(500/2000)))</f>
        <v>0</v>
      </c>
      <c r="I117" s="507">
        <f>(30*BC!$B$47/F117)</f>
        <v>0</v>
      </c>
      <c r="J117" s="508">
        <f t="shared" si="30"/>
        <v>0</v>
      </c>
      <c r="K117" s="508">
        <f t="shared" si="31"/>
        <v>0</v>
      </c>
      <c r="L117" s="194">
        <f t="shared" si="25"/>
        <v>0</v>
      </c>
      <c r="M117" s="366">
        <f t="shared" si="32"/>
        <v>21</v>
      </c>
      <c r="N117" s="504">
        <v>63</v>
      </c>
      <c r="O117" s="91" t="e">
        <f t="shared" si="35"/>
        <v>#DIV/0!</v>
      </c>
      <c r="P117" s="148" t="e">
        <f t="shared" si="36"/>
        <v>#DIV/0!</v>
      </c>
      <c r="Q117" s="57">
        <f t="shared" si="34"/>
        <v>0</v>
      </c>
      <c r="R117" s="57">
        <f t="shared" si="37"/>
        <v>0</v>
      </c>
      <c r="S117" s="97"/>
      <c r="T117" s="97"/>
    </row>
    <row r="118" spans="2:20" ht="15.75" customHeight="1" x14ac:dyDescent="0.45">
      <c r="B118" s="396">
        <v>11174118122</v>
      </c>
      <c r="C118" s="464" t="s">
        <v>293</v>
      </c>
      <c r="D118" s="396"/>
      <c r="E118" s="408">
        <v>3</v>
      </c>
      <c r="F118" s="408">
        <v>28</v>
      </c>
      <c r="G118" s="397"/>
      <c r="H118" s="411">
        <f>(G74*(0.025*(500/2000)))</f>
        <v>0</v>
      </c>
      <c r="I118" s="507">
        <f>(30*BC!$B$47/F118)</f>
        <v>0</v>
      </c>
      <c r="J118" s="508">
        <f t="shared" si="30"/>
        <v>0</v>
      </c>
      <c r="K118" s="508">
        <f t="shared" si="31"/>
        <v>0</v>
      </c>
      <c r="L118" s="194">
        <f t="shared" si="25"/>
        <v>0</v>
      </c>
      <c r="M118" s="366">
        <f t="shared" si="32"/>
        <v>23.666666666666668</v>
      </c>
      <c r="N118" s="504">
        <v>71</v>
      </c>
      <c r="O118" s="91" t="e">
        <f t="shared" si="35"/>
        <v>#DIV/0!</v>
      </c>
      <c r="P118" s="148" t="e">
        <f t="shared" si="36"/>
        <v>#DIV/0!</v>
      </c>
      <c r="Q118" s="57">
        <f t="shared" si="34"/>
        <v>0</v>
      </c>
      <c r="R118" s="57">
        <f t="shared" si="37"/>
        <v>0</v>
      </c>
      <c r="S118" s="97"/>
      <c r="T118" s="97"/>
    </row>
    <row r="119" spans="2:20" ht="15.75" customHeight="1" x14ac:dyDescent="0.45">
      <c r="B119" s="396">
        <v>4580044190</v>
      </c>
      <c r="C119" s="465" t="s">
        <v>258</v>
      </c>
      <c r="D119" s="396"/>
      <c r="E119" s="408">
        <v>3</v>
      </c>
      <c r="F119" s="408">
        <v>28</v>
      </c>
      <c r="G119" s="397"/>
      <c r="H119" s="411">
        <f>(G75*(0.014*(500/2000)))</f>
        <v>0</v>
      </c>
      <c r="I119" s="507">
        <f>(30*BC!$B$47/F119)</f>
        <v>0</v>
      </c>
      <c r="J119" s="508">
        <f t="shared" si="30"/>
        <v>0</v>
      </c>
      <c r="K119" s="508">
        <f t="shared" si="31"/>
        <v>0</v>
      </c>
      <c r="L119" s="194">
        <f t="shared" si="25"/>
        <v>0</v>
      </c>
      <c r="M119" s="366">
        <f t="shared" si="32"/>
        <v>0</v>
      </c>
      <c r="N119" s="220"/>
      <c r="O119" s="91" t="e">
        <f t="shared" si="35"/>
        <v>#DIV/0!</v>
      </c>
      <c r="P119" s="148" t="e">
        <f t="shared" si="36"/>
        <v>#DIV/0!</v>
      </c>
      <c r="Q119" s="57">
        <f t="shared" si="34"/>
        <v>0</v>
      </c>
      <c r="R119" s="57">
        <f t="shared" si="37"/>
        <v>0</v>
      </c>
      <c r="S119" s="97"/>
      <c r="T119" s="97"/>
    </row>
    <row r="120" spans="2:20" ht="15.75" customHeight="1" x14ac:dyDescent="0.45">
      <c r="B120" s="396">
        <v>11730835216</v>
      </c>
      <c r="C120" s="465" t="s">
        <v>285</v>
      </c>
      <c r="D120" s="396"/>
      <c r="E120" s="408">
        <v>2</v>
      </c>
      <c r="F120" s="408">
        <v>56</v>
      </c>
      <c r="G120" s="397"/>
      <c r="H120" s="411">
        <f>(G75*(0.025*(500/2000)))</f>
        <v>0</v>
      </c>
      <c r="I120" s="507">
        <f>(30*BC!$B$47/F120)</f>
        <v>0</v>
      </c>
      <c r="J120" s="508">
        <f t="shared" si="30"/>
        <v>0</v>
      </c>
      <c r="K120" s="508">
        <f t="shared" si="31"/>
        <v>0</v>
      </c>
      <c r="L120" s="194">
        <f t="shared" si="25"/>
        <v>0</v>
      </c>
      <c r="M120" s="366">
        <f t="shared" si="32"/>
        <v>0</v>
      </c>
      <c r="N120" s="220"/>
      <c r="O120" s="91" t="e">
        <f t="shared" si="35"/>
        <v>#DIV/0!</v>
      </c>
      <c r="P120" s="148" t="e">
        <f t="shared" si="36"/>
        <v>#DIV/0!</v>
      </c>
      <c r="Q120" s="57">
        <f t="shared" si="34"/>
        <v>0</v>
      </c>
      <c r="R120" s="57">
        <f t="shared" si="37"/>
        <v>0</v>
      </c>
      <c r="S120" s="97"/>
      <c r="T120" s="97"/>
    </row>
    <row r="121" spans="2:20" ht="15.75" customHeight="1" x14ac:dyDescent="0.45">
      <c r="B121" s="396">
        <v>12172828322</v>
      </c>
      <c r="C121" s="466" t="s">
        <v>276</v>
      </c>
      <c r="D121" s="396"/>
      <c r="E121" s="408">
        <v>1</v>
      </c>
      <c r="F121" s="408">
        <v>30</v>
      </c>
      <c r="G121" s="397"/>
      <c r="H121" s="411">
        <f>(G76*(0.04*(350/1000)))</f>
        <v>0</v>
      </c>
      <c r="I121" s="507">
        <f>(30*BC!$B$47/F121)</f>
        <v>0</v>
      </c>
      <c r="J121" s="508">
        <f t="shared" si="30"/>
        <v>0</v>
      </c>
      <c r="K121" s="508">
        <f t="shared" si="31"/>
        <v>0</v>
      </c>
      <c r="L121" s="194">
        <f t="shared" si="25"/>
        <v>0</v>
      </c>
      <c r="M121" s="366">
        <f t="shared" si="32"/>
        <v>197</v>
      </c>
      <c r="N121" s="504">
        <v>197</v>
      </c>
      <c r="O121" s="91" t="e">
        <f t="shared" si="35"/>
        <v>#DIV/0!</v>
      </c>
      <c r="P121" s="148" t="e">
        <f t="shared" si="36"/>
        <v>#DIV/0!</v>
      </c>
      <c r="Q121" s="57">
        <f t="shared" si="34"/>
        <v>0</v>
      </c>
      <c r="R121" s="57">
        <f t="shared" si="37"/>
        <v>0</v>
      </c>
      <c r="S121" s="97"/>
      <c r="T121" s="97"/>
    </row>
    <row r="122" spans="2:20" ht="15.75" customHeight="1" x14ac:dyDescent="0.45">
      <c r="B122" s="396">
        <v>3005496122</v>
      </c>
      <c r="C122" s="466" t="s">
        <v>295</v>
      </c>
      <c r="D122" s="396"/>
      <c r="E122" s="408">
        <v>4</v>
      </c>
      <c r="F122" s="408">
        <v>30</v>
      </c>
      <c r="G122" s="397"/>
      <c r="H122" s="411">
        <f>(G76*(0.3*(350/1000)))</f>
        <v>0</v>
      </c>
      <c r="I122" s="507">
        <f>(30*BC!$B$47/F122)</f>
        <v>0</v>
      </c>
      <c r="J122" s="508">
        <f t="shared" si="30"/>
        <v>0</v>
      </c>
      <c r="K122" s="508">
        <f t="shared" si="31"/>
        <v>0</v>
      </c>
      <c r="L122" s="194">
        <f t="shared" si="25"/>
        <v>0</v>
      </c>
      <c r="M122" s="366">
        <f t="shared" si="32"/>
        <v>52.75</v>
      </c>
      <c r="N122" s="504">
        <v>211</v>
      </c>
      <c r="O122" s="91" t="e">
        <f t="shared" si="35"/>
        <v>#DIV/0!</v>
      </c>
      <c r="P122" s="148" t="e">
        <f t="shared" si="36"/>
        <v>#DIV/0!</v>
      </c>
      <c r="Q122" s="57">
        <f t="shared" si="34"/>
        <v>0</v>
      </c>
      <c r="R122" s="57">
        <f t="shared" si="37"/>
        <v>0</v>
      </c>
      <c r="S122" s="97"/>
      <c r="T122" s="97"/>
    </row>
    <row r="123" spans="2:20" ht="15.75" customHeight="1" x14ac:dyDescent="0.45">
      <c r="B123" s="396">
        <v>3375790190</v>
      </c>
      <c r="C123" s="467" t="s">
        <v>272</v>
      </c>
      <c r="D123" s="396"/>
      <c r="E123" s="408">
        <v>6</v>
      </c>
      <c r="F123" s="408">
        <v>280</v>
      </c>
      <c r="G123" s="397"/>
      <c r="H123" s="411">
        <f>(A32*(0.014*(500/2000)))</f>
        <v>0</v>
      </c>
      <c r="I123" s="507">
        <f>(30*BC!$B$47/F123)</f>
        <v>0</v>
      </c>
      <c r="J123" s="508">
        <f t="shared" si="30"/>
        <v>0</v>
      </c>
      <c r="K123" s="508">
        <f t="shared" si="31"/>
        <v>0</v>
      </c>
      <c r="L123" s="194">
        <f t="shared" si="25"/>
        <v>0</v>
      </c>
      <c r="M123" s="366">
        <f t="shared" si="32"/>
        <v>161.5</v>
      </c>
      <c r="N123" s="504">
        <v>969</v>
      </c>
      <c r="O123" s="91" t="e">
        <f t="shared" si="35"/>
        <v>#DIV/0!</v>
      </c>
      <c r="P123" s="148" t="e">
        <f t="shared" si="36"/>
        <v>#DIV/0!</v>
      </c>
      <c r="Q123" s="57">
        <f t="shared" si="34"/>
        <v>0</v>
      </c>
      <c r="R123" s="57">
        <f t="shared" si="37"/>
        <v>0</v>
      </c>
      <c r="S123" s="97"/>
      <c r="T123" s="97"/>
    </row>
    <row r="124" spans="2:20" ht="15.75" customHeight="1" x14ac:dyDescent="0.45">
      <c r="B124" s="396">
        <v>4521536190</v>
      </c>
      <c r="C124" s="467" t="s">
        <v>296</v>
      </c>
      <c r="D124" s="396"/>
      <c r="E124" s="408">
        <v>6</v>
      </c>
      <c r="F124" s="408">
        <v>336</v>
      </c>
      <c r="G124" s="397"/>
      <c r="H124" s="411">
        <f>(A32*(0.025*(500/2000)))</f>
        <v>0</v>
      </c>
      <c r="I124" s="507">
        <f>(30*BC!$B$47/F124)</f>
        <v>0</v>
      </c>
      <c r="J124" s="508">
        <f t="shared" si="30"/>
        <v>0</v>
      </c>
      <c r="K124" s="508">
        <f t="shared" si="31"/>
        <v>0</v>
      </c>
      <c r="L124" s="194">
        <f t="shared" si="25"/>
        <v>0</v>
      </c>
      <c r="M124" s="366">
        <f t="shared" si="32"/>
        <v>50.5</v>
      </c>
      <c r="N124" s="504">
        <v>303</v>
      </c>
      <c r="O124" s="91" t="e">
        <f t="shared" si="35"/>
        <v>#DIV/0!</v>
      </c>
      <c r="P124" s="148" t="e">
        <f t="shared" si="36"/>
        <v>#DIV/0!</v>
      </c>
      <c r="Q124" s="57">
        <f t="shared" si="34"/>
        <v>0</v>
      </c>
      <c r="R124" s="57">
        <f t="shared" si="37"/>
        <v>0</v>
      </c>
      <c r="S124" s="97"/>
      <c r="T124" s="97"/>
    </row>
    <row r="125" spans="2:20" ht="31.5" x14ac:dyDescent="0.45">
      <c r="B125" s="923" t="s">
        <v>8</v>
      </c>
      <c r="C125" s="924"/>
      <c r="D125" s="925"/>
      <c r="E125" s="480" t="s">
        <v>183</v>
      </c>
      <c r="F125" s="480" t="s">
        <v>649</v>
      </c>
      <c r="G125" s="481"/>
      <c r="H125" s="482" t="s">
        <v>53</v>
      </c>
      <c r="I125" s="512" t="s">
        <v>52</v>
      </c>
      <c r="J125" s="512" t="s">
        <v>51</v>
      </c>
      <c r="K125" s="512"/>
      <c r="L125" s="482" t="s">
        <v>50</v>
      </c>
      <c r="M125" s="513" t="s">
        <v>49</v>
      </c>
      <c r="N125" s="482" t="s">
        <v>48</v>
      </c>
      <c r="O125" s="92" t="s">
        <v>176</v>
      </c>
      <c r="P125" s="234" t="s">
        <v>178</v>
      </c>
      <c r="Q125" s="483" t="s">
        <v>318</v>
      </c>
      <c r="R125" s="483" t="s">
        <v>319</v>
      </c>
      <c r="S125" s="97"/>
      <c r="T125" s="97"/>
    </row>
    <row r="126" spans="2:20" ht="15.75" customHeight="1" x14ac:dyDescent="0.45">
      <c r="B126" s="396">
        <v>7700814001</v>
      </c>
      <c r="C126" s="396" t="s">
        <v>804</v>
      </c>
      <c r="D126" s="396" t="s">
        <v>845</v>
      </c>
      <c r="E126" s="408">
        <v>1</v>
      </c>
      <c r="F126" s="408">
        <v>60</v>
      </c>
      <c r="G126" s="397"/>
      <c r="H126" s="411">
        <f>(G82/(0.19*30)/6300)</f>
        <v>0</v>
      </c>
      <c r="I126" s="507">
        <f>(30*BC!$B$47/F126)</f>
        <v>0</v>
      </c>
      <c r="J126" s="508">
        <f t="shared" ref="J126:J145" si="38">IF(I126&gt;H126,I126,H126)</f>
        <v>0</v>
      </c>
      <c r="K126" s="508">
        <f>IF(F6=0,0,J126)</f>
        <v>0</v>
      </c>
      <c r="L126" s="194">
        <f t="shared" si="25"/>
        <v>0</v>
      </c>
      <c r="M126" s="366">
        <f t="shared" ref="M126:M151" si="39">N126/E126</f>
        <v>1775</v>
      </c>
      <c r="N126" s="504">
        <v>1775</v>
      </c>
      <c r="O126" s="91" t="e">
        <f>((M126*$L$157)+M126)</f>
        <v>#DIV/0!</v>
      </c>
      <c r="P126" s="148" t="e">
        <f t="shared" ref="P126" si="40">O126*L126</f>
        <v>#DIV/0!</v>
      </c>
      <c r="Q126" s="57">
        <f t="shared" ref="Q126:Q145" si="41">L126/E126</f>
        <v>0</v>
      </c>
      <c r="R126" s="57">
        <f>ROUNDUP(Q126,0)</f>
        <v>0</v>
      </c>
      <c r="S126" s="97"/>
      <c r="T126" s="97"/>
    </row>
    <row r="127" spans="2:20" ht="15.75" customHeight="1" x14ac:dyDescent="0.45">
      <c r="B127" s="470">
        <v>9033408001</v>
      </c>
      <c r="C127" s="471" t="s">
        <v>816</v>
      </c>
      <c r="D127" s="396" t="s">
        <v>845</v>
      </c>
      <c r="E127" s="473">
        <v>1</v>
      </c>
      <c r="F127" s="473">
        <v>60</v>
      </c>
      <c r="G127" s="472"/>
      <c r="H127" s="474">
        <f>(G82/(0.19*30)/6300)</f>
        <v>0</v>
      </c>
      <c r="I127" s="507">
        <f>(30*BC!$B$47/F127)</f>
        <v>0</v>
      </c>
      <c r="J127" s="508">
        <f t="shared" si="38"/>
        <v>0</v>
      </c>
      <c r="K127" s="508">
        <f>IF(D6=0,0,J126)</f>
        <v>0</v>
      </c>
      <c r="L127" s="194">
        <f t="shared" si="25"/>
        <v>0</v>
      </c>
      <c r="M127" s="366">
        <f t="shared" si="39"/>
        <v>1183</v>
      </c>
      <c r="N127" s="504">
        <v>1183</v>
      </c>
      <c r="O127" s="91" t="e">
        <f t="shared" ref="O127:O145" si="42">((M127*$L$157)+M127)</f>
        <v>#DIV/0!</v>
      </c>
      <c r="P127" s="148" t="e">
        <f t="shared" ref="P127:P145" si="43">O127*L127</f>
        <v>#DIV/0!</v>
      </c>
      <c r="Q127" s="57">
        <f t="shared" si="41"/>
        <v>0</v>
      </c>
      <c r="R127" s="57">
        <f t="shared" ref="R127:R145" si="44">ROUNDUP(Q127,0)</f>
        <v>0</v>
      </c>
      <c r="S127" s="24"/>
      <c r="T127" s="24"/>
    </row>
    <row r="128" spans="2:20" ht="15.75" customHeight="1" x14ac:dyDescent="0.45">
      <c r="B128" s="396">
        <v>8063354190</v>
      </c>
      <c r="C128" s="396" t="s">
        <v>852</v>
      </c>
      <c r="D128" s="396" t="s">
        <v>805</v>
      </c>
      <c r="E128" s="408">
        <v>1</v>
      </c>
      <c r="F128" s="408">
        <v>28</v>
      </c>
      <c r="G128" s="397"/>
      <c r="H128" s="411">
        <f>(G82/(0.6*100)/120)</f>
        <v>0</v>
      </c>
      <c r="I128" s="507">
        <f>(30*BC!$B$47/F128)</f>
        <v>0</v>
      </c>
      <c r="J128" s="508">
        <f t="shared" si="38"/>
        <v>0</v>
      </c>
      <c r="K128" s="508">
        <f>IF(D6=0,0,J128)</f>
        <v>0</v>
      </c>
      <c r="L128" s="194">
        <f t="shared" si="25"/>
        <v>0</v>
      </c>
      <c r="M128" s="366">
        <f t="shared" si="39"/>
        <v>38</v>
      </c>
      <c r="N128" s="504">
        <v>38</v>
      </c>
      <c r="O128" s="91" t="e">
        <f t="shared" si="42"/>
        <v>#DIV/0!</v>
      </c>
      <c r="P128" s="148" t="e">
        <f t="shared" si="43"/>
        <v>#DIV/0!</v>
      </c>
      <c r="Q128" s="57">
        <f t="shared" si="41"/>
        <v>0</v>
      </c>
      <c r="R128" s="57">
        <f t="shared" si="44"/>
        <v>0</v>
      </c>
      <c r="S128" s="97"/>
      <c r="T128" s="97"/>
    </row>
    <row r="129" spans="2:20" ht="15.75" customHeight="1" x14ac:dyDescent="0.45">
      <c r="B129" s="396">
        <v>8063354190</v>
      </c>
      <c r="C129" s="396" t="s">
        <v>853</v>
      </c>
      <c r="D129" s="396" t="s">
        <v>805</v>
      </c>
      <c r="E129" s="408">
        <v>1</v>
      </c>
      <c r="F129" s="408">
        <v>28</v>
      </c>
      <c r="G129" s="397"/>
      <c r="H129" s="411">
        <f>(G82/(0.5*100)/120)</f>
        <v>0</v>
      </c>
      <c r="I129" s="507">
        <f>(30*BC!$B$47/F129)</f>
        <v>0</v>
      </c>
      <c r="J129" s="508">
        <f t="shared" si="38"/>
        <v>0</v>
      </c>
      <c r="K129" s="508">
        <f>IF(F6=0,0,J129)</f>
        <v>0</v>
      </c>
      <c r="L129" s="194">
        <f t="shared" si="25"/>
        <v>0</v>
      </c>
      <c r="M129" s="366">
        <f t="shared" si="39"/>
        <v>38</v>
      </c>
      <c r="N129" s="504">
        <v>38</v>
      </c>
      <c r="O129" s="91" t="e">
        <f t="shared" si="42"/>
        <v>#DIV/0!</v>
      </c>
      <c r="P129" s="148" t="e">
        <f t="shared" si="43"/>
        <v>#DIV/0!</v>
      </c>
      <c r="Q129" s="57">
        <f t="shared" si="41"/>
        <v>0</v>
      </c>
      <c r="R129" s="57">
        <f t="shared" si="44"/>
        <v>0</v>
      </c>
      <c r="S129" s="97"/>
      <c r="T129" s="97"/>
    </row>
    <row r="130" spans="2:20" ht="15.75" customHeight="1" x14ac:dyDescent="0.45">
      <c r="B130" s="396">
        <v>8063451190</v>
      </c>
      <c r="C130" s="396" t="s">
        <v>859</v>
      </c>
      <c r="D130" s="396" t="s">
        <v>805</v>
      </c>
      <c r="E130" s="408">
        <v>1</v>
      </c>
      <c r="F130" s="408">
        <v>84</v>
      </c>
      <c r="G130" s="397"/>
      <c r="H130" s="411">
        <f>(G82/(0.0007*800)/12000)</f>
        <v>0</v>
      </c>
      <c r="I130" s="507">
        <f>(30*BC!$B$47/F130)</f>
        <v>0</v>
      </c>
      <c r="J130" s="508">
        <f t="shared" si="38"/>
        <v>0</v>
      </c>
      <c r="K130" s="508">
        <f>IF(D6=0,0,J130)</f>
        <v>0</v>
      </c>
      <c r="L130" s="194">
        <f t="shared" si="25"/>
        <v>0</v>
      </c>
      <c r="M130" s="366">
        <f t="shared" si="39"/>
        <v>38</v>
      </c>
      <c r="N130" s="504">
        <v>38</v>
      </c>
      <c r="O130" s="91" t="e">
        <f t="shared" si="42"/>
        <v>#DIV/0!</v>
      </c>
      <c r="P130" s="148" t="e">
        <f t="shared" si="43"/>
        <v>#DIV/0!</v>
      </c>
      <c r="Q130" s="57">
        <f t="shared" si="41"/>
        <v>0</v>
      </c>
      <c r="R130" s="57">
        <f t="shared" si="44"/>
        <v>0</v>
      </c>
      <c r="S130" s="97"/>
      <c r="T130" s="97"/>
    </row>
    <row r="131" spans="2:20" ht="15.75" customHeight="1" x14ac:dyDescent="0.45">
      <c r="B131" s="396">
        <v>8063451190</v>
      </c>
      <c r="C131" s="396" t="s">
        <v>854</v>
      </c>
      <c r="D131" s="396" t="s">
        <v>805</v>
      </c>
      <c r="E131" s="408">
        <v>1</v>
      </c>
      <c r="F131" s="408">
        <v>84</v>
      </c>
      <c r="G131" s="397"/>
      <c r="H131" s="411">
        <f>(G82/(0.0007*800)/12000)</f>
        <v>0</v>
      </c>
      <c r="I131" s="507">
        <f>(30*BC!$B$47/F131)</f>
        <v>0</v>
      </c>
      <c r="J131" s="508">
        <f t="shared" si="38"/>
        <v>0</v>
      </c>
      <c r="K131" s="508">
        <f>IF(F6=0,0,J131)</f>
        <v>0</v>
      </c>
      <c r="L131" s="194">
        <f t="shared" si="25"/>
        <v>0</v>
      </c>
      <c r="M131" s="366">
        <f t="shared" si="39"/>
        <v>38</v>
      </c>
      <c r="N131" s="504">
        <v>38</v>
      </c>
      <c r="O131" s="91" t="e">
        <f t="shared" si="42"/>
        <v>#DIV/0!</v>
      </c>
      <c r="P131" s="148" t="e">
        <f t="shared" si="43"/>
        <v>#DIV/0!</v>
      </c>
      <c r="Q131" s="57">
        <f t="shared" si="41"/>
        <v>0</v>
      </c>
      <c r="R131" s="57">
        <f t="shared" si="44"/>
        <v>0</v>
      </c>
      <c r="S131" s="97"/>
      <c r="T131" s="97"/>
    </row>
    <row r="132" spans="2:20" ht="15.75" customHeight="1" x14ac:dyDescent="0.45">
      <c r="B132" s="396">
        <v>8063494190</v>
      </c>
      <c r="C132" s="396" t="s">
        <v>806</v>
      </c>
      <c r="D132" s="396" t="s">
        <v>805</v>
      </c>
      <c r="E132" s="413">
        <v>1</v>
      </c>
      <c r="F132" s="413">
        <v>182</v>
      </c>
      <c r="G132" s="397"/>
      <c r="H132" s="411">
        <f>(G82/(0.02*200)/12000)</f>
        <v>0</v>
      </c>
      <c r="I132" s="507">
        <f>(30*BC!$B$47/F132)</f>
        <v>0</v>
      </c>
      <c r="J132" s="508">
        <f t="shared" si="38"/>
        <v>0</v>
      </c>
      <c r="K132" s="508">
        <f>IF(H132=0,0,J132)</f>
        <v>0</v>
      </c>
      <c r="L132" s="194">
        <f t="shared" si="25"/>
        <v>0</v>
      </c>
      <c r="M132" s="366">
        <f t="shared" si="39"/>
        <v>38</v>
      </c>
      <c r="N132" s="504">
        <v>38</v>
      </c>
      <c r="O132" s="91" t="e">
        <f t="shared" si="42"/>
        <v>#DIV/0!</v>
      </c>
      <c r="P132" s="148" t="e">
        <f t="shared" si="43"/>
        <v>#DIV/0!</v>
      </c>
      <c r="Q132" s="57">
        <f t="shared" si="41"/>
        <v>0</v>
      </c>
      <c r="R132" s="57">
        <f t="shared" si="44"/>
        <v>0</v>
      </c>
      <c r="S132" s="97"/>
      <c r="T132" s="97"/>
    </row>
    <row r="133" spans="2:20" ht="15.75" customHeight="1" x14ac:dyDescent="0.45">
      <c r="B133" s="396">
        <v>8063478190</v>
      </c>
      <c r="C133" s="396" t="s">
        <v>807</v>
      </c>
      <c r="D133" s="396" t="s">
        <v>805</v>
      </c>
      <c r="E133" s="408">
        <v>1</v>
      </c>
      <c r="F133" s="408">
        <v>84</v>
      </c>
      <c r="G133" s="397"/>
      <c r="H133" s="411">
        <f>(G82/(0.015*300)/12000)</f>
        <v>0</v>
      </c>
      <c r="I133" s="507">
        <f>(30*BC!$B$47/F133)</f>
        <v>0</v>
      </c>
      <c r="J133" s="508">
        <f t="shared" si="38"/>
        <v>0</v>
      </c>
      <c r="K133" s="508">
        <f>IF(H133=0,0,J133)</f>
        <v>0</v>
      </c>
      <c r="L133" s="194">
        <f t="shared" si="25"/>
        <v>0</v>
      </c>
      <c r="M133" s="366">
        <f t="shared" si="39"/>
        <v>6</v>
      </c>
      <c r="N133" s="504">
        <v>6</v>
      </c>
      <c r="O133" s="91" t="e">
        <f t="shared" si="42"/>
        <v>#DIV/0!</v>
      </c>
      <c r="P133" s="148" t="e">
        <f t="shared" si="43"/>
        <v>#DIV/0!</v>
      </c>
      <c r="Q133" s="57">
        <f t="shared" si="41"/>
        <v>0</v>
      </c>
      <c r="R133" s="57">
        <f t="shared" si="44"/>
        <v>0</v>
      </c>
      <c r="S133" s="97"/>
      <c r="T133" s="97"/>
    </row>
    <row r="134" spans="2:20" ht="15.75" customHeight="1" x14ac:dyDescent="0.45">
      <c r="B134" s="396">
        <v>8302723190</v>
      </c>
      <c r="C134" s="396" t="s">
        <v>855</v>
      </c>
      <c r="D134" s="396" t="s">
        <v>808</v>
      </c>
      <c r="E134" s="408">
        <v>2</v>
      </c>
      <c r="F134" s="408">
        <v>84</v>
      </c>
      <c r="G134" s="397"/>
      <c r="H134" s="411">
        <f>(G82/(0.003*800)/12000)</f>
        <v>0</v>
      </c>
      <c r="I134" s="507">
        <f>(30*BC!$B$47/F134)</f>
        <v>0</v>
      </c>
      <c r="J134" s="508">
        <f t="shared" si="38"/>
        <v>0</v>
      </c>
      <c r="K134" s="508">
        <f>IF(D6=0,0,J134)</f>
        <v>0</v>
      </c>
      <c r="L134" s="194">
        <f t="shared" si="25"/>
        <v>0</v>
      </c>
      <c r="M134" s="366">
        <f t="shared" si="39"/>
        <v>19</v>
      </c>
      <c r="N134" s="504">
        <v>38</v>
      </c>
      <c r="O134" s="91" t="e">
        <f t="shared" si="42"/>
        <v>#DIV/0!</v>
      </c>
      <c r="P134" s="148" t="e">
        <f t="shared" si="43"/>
        <v>#DIV/0!</v>
      </c>
      <c r="Q134" s="57">
        <f t="shared" si="41"/>
        <v>0</v>
      </c>
      <c r="R134" s="57">
        <f t="shared" si="44"/>
        <v>0</v>
      </c>
      <c r="S134" s="97"/>
      <c r="T134" s="97"/>
    </row>
    <row r="135" spans="2:20" ht="15.75" customHeight="1" x14ac:dyDescent="0.45">
      <c r="B135" s="396">
        <v>8302723190</v>
      </c>
      <c r="C135" s="396" t="s">
        <v>856</v>
      </c>
      <c r="D135" s="396" t="s">
        <v>808</v>
      </c>
      <c r="E135" s="408">
        <v>2</v>
      </c>
      <c r="F135" s="408">
        <v>84</v>
      </c>
      <c r="G135" s="397"/>
      <c r="H135" s="411">
        <f>(G82/(0.002*800)/12000)</f>
        <v>0</v>
      </c>
      <c r="I135" s="507">
        <f>(30*BC!$B$47/F135)</f>
        <v>0</v>
      </c>
      <c r="J135" s="508">
        <f t="shared" si="38"/>
        <v>0</v>
      </c>
      <c r="K135" s="508">
        <f>IF(F6=0,0,J135)</f>
        <v>0</v>
      </c>
      <c r="L135" s="194">
        <f t="shared" si="25"/>
        <v>0</v>
      </c>
      <c r="M135" s="366">
        <f t="shared" si="39"/>
        <v>19</v>
      </c>
      <c r="N135" s="504">
        <v>38</v>
      </c>
      <c r="O135" s="91" t="e">
        <f t="shared" si="42"/>
        <v>#DIV/0!</v>
      </c>
      <c r="P135" s="148" t="e">
        <f t="shared" si="43"/>
        <v>#DIV/0!</v>
      </c>
      <c r="Q135" s="57">
        <f t="shared" si="41"/>
        <v>0</v>
      </c>
      <c r="R135" s="57">
        <f t="shared" si="44"/>
        <v>0</v>
      </c>
      <c r="S135" s="97"/>
      <c r="T135" s="97"/>
    </row>
    <row r="136" spans="2:20" ht="15.75" customHeight="1" x14ac:dyDescent="0.45">
      <c r="B136" s="396">
        <v>8463093190</v>
      </c>
      <c r="C136" s="456" t="s">
        <v>809</v>
      </c>
      <c r="D136" s="396" t="s">
        <v>805</v>
      </c>
      <c r="E136" s="408">
        <v>1</v>
      </c>
      <c r="F136" s="408">
        <v>7</v>
      </c>
      <c r="G136" s="397"/>
      <c r="H136" s="411">
        <f>(A38/(0.26*10)/120)</f>
        <v>0</v>
      </c>
      <c r="I136" s="507">
        <f>(30*BC!$B$47/F136)</f>
        <v>0</v>
      </c>
      <c r="J136" s="508">
        <f t="shared" si="38"/>
        <v>0</v>
      </c>
      <c r="K136" s="508">
        <f>IF(H136=0,0,J136)</f>
        <v>0</v>
      </c>
      <c r="L136" s="194">
        <f t="shared" si="25"/>
        <v>0</v>
      </c>
      <c r="M136" s="366">
        <f t="shared" si="39"/>
        <v>38</v>
      </c>
      <c r="N136" s="504">
        <v>38</v>
      </c>
      <c r="O136" s="91" t="e">
        <f t="shared" si="42"/>
        <v>#DIV/0!</v>
      </c>
      <c r="P136" s="148" t="e">
        <f t="shared" si="43"/>
        <v>#DIV/0!</v>
      </c>
      <c r="Q136" s="57">
        <f t="shared" si="41"/>
        <v>0</v>
      </c>
      <c r="R136" s="57">
        <f t="shared" si="44"/>
        <v>0</v>
      </c>
      <c r="S136" s="97"/>
      <c r="T136" s="97"/>
    </row>
    <row r="137" spans="2:20" ht="15.75" customHeight="1" x14ac:dyDescent="0.45">
      <c r="B137" s="396">
        <v>8302545190</v>
      </c>
      <c r="C137" s="396" t="s">
        <v>857</v>
      </c>
      <c r="D137" s="396" t="s">
        <v>808</v>
      </c>
      <c r="E137" s="408">
        <v>2</v>
      </c>
      <c r="F137" s="408">
        <v>70</v>
      </c>
      <c r="G137" s="397"/>
      <c r="H137" s="411">
        <f>(G82/(0.0003*900)/12000)</f>
        <v>0</v>
      </c>
      <c r="I137" s="507">
        <f>(30*BC!$B$47/F137)</f>
        <v>0</v>
      </c>
      <c r="J137" s="508">
        <f t="shared" si="38"/>
        <v>0</v>
      </c>
      <c r="K137" s="508">
        <f>IF(D6=0,0,J137)</f>
        <v>0</v>
      </c>
      <c r="L137" s="194">
        <f t="shared" ref="L137:L145" si="45">ROUNDUP(K137,0)</f>
        <v>0</v>
      </c>
      <c r="M137" s="366">
        <f t="shared" si="39"/>
        <v>19</v>
      </c>
      <c r="N137" s="504">
        <v>38</v>
      </c>
      <c r="O137" s="91" t="e">
        <f t="shared" si="42"/>
        <v>#DIV/0!</v>
      </c>
      <c r="P137" s="148" t="e">
        <f t="shared" si="43"/>
        <v>#DIV/0!</v>
      </c>
      <c r="Q137" s="57">
        <f t="shared" si="41"/>
        <v>0</v>
      </c>
      <c r="R137" s="57">
        <f t="shared" si="44"/>
        <v>0</v>
      </c>
      <c r="S137" s="97"/>
      <c r="T137" s="97"/>
    </row>
    <row r="138" spans="2:20" ht="15.75" customHeight="1" x14ac:dyDescent="0.45">
      <c r="B138" s="396">
        <v>8302545190</v>
      </c>
      <c r="C138" s="396" t="s">
        <v>858</v>
      </c>
      <c r="D138" s="396" t="s">
        <v>808</v>
      </c>
      <c r="E138" s="408">
        <v>2</v>
      </c>
      <c r="F138" s="408">
        <v>70</v>
      </c>
      <c r="G138" s="397"/>
      <c r="H138" s="411">
        <f>(G82/(0.00016*900)/12000)</f>
        <v>0</v>
      </c>
      <c r="I138" s="507">
        <f>(30*BC!$B$47/F138)</f>
        <v>0</v>
      </c>
      <c r="J138" s="508">
        <f t="shared" si="38"/>
        <v>0</v>
      </c>
      <c r="K138" s="508">
        <f>IF(F6=0,0,J138)</f>
        <v>0</v>
      </c>
      <c r="L138" s="194">
        <f t="shared" si="45"/>
        <v>0</v>
      </c>
      <c r="M138" s="366">
        <f t="shared" si="39"/>
        <v>19</v>
      </c>
      <c r="N138" s="504">
        <v>38</v>
      </c>
      <c r="O138" s="91" t="e">
        <f t="shared" si="42"/>
        <v>#DIV/0!</v>
      </c>
      <c r="P138" s="148" t="e">
        <f t="shared" si="43"/>
        <v>#DIV/0!</v>
      </c>
      <c r="Q138" s="57">
        <f t="shared" si="41"/>
        <v>0</v>
      </c>
      <c r="R138" s="57">
        <f t="shared" si="44"/>
        <v>0</v>
      </c>
      <c r="S138" s="97"/>
      <c r="T138" s="97"/>
    </row>
    <row r="139" spans="2:20" ht="15.75" customHeight="1" x14ac:dyDescent="0.45">
      <c r="B139" s="396">
        <v>4444191001</v>
      </c>
      <c r="C139" s="396" t="s">
        <v>630</v>
      </c>
      <c r="D139" s="395" t="s">
        <v>846</v>
      </c>
      <c r="E139" s="408">
        <v>1</v>
      </c>
      <c r="F139" s="408">
        <v>365</v>
      </c>
      <c r="G139" s="397"/>
      <c r="H139" s="411">
        <f>((G82-(G82*0.95))/F139)</f>
        <v>0</v>
      </c>
      <c r="I139" s="507">
        <f>(30*BC!$B$47/F139)</f>
        <v>0</v>
      </c>
      <c r="J139" s="508">
        <f t="shared" si="38"/>
        <v>0</v>
      </c>
      <c r="K139" s="508">
        <f t="shared" ref="K139:K145" si="46">IF(H139=0,0,J139)</f>
        <v>0</v>
      </c>
      <c r="L139" s="194">
        <f t="shared" si="45"/>
        <v>0</v>
      </c>
      <c r="M139" s="366">
        <f t="shared" si="39"/>
        <v>9</v>
      </c>
      <c r="N139" s="504">
        <v>9</v>
      </c>
      <c r="O139" s="91" t="e">
        <f t="shared" si="42"/>
        <v>#DIV/0!</v>
      </c>
      <c r="P139" s="148" t="e">
        <f t="shared" si="43"/>
        <v>#DIV/0!</v>
      </c>
      <c r="Q139" s="57">
        <f t="shared" si="41"/>
        <v>0</v>
      </c>
      <c r="R139" s="57">
        <f t="shared" si="44"/>
        <v>0</v>
      </c>
      <c r="S139" s="97"/>
      <c r="T139" s="97"/>
    </row>
    <row r="140" spans="2:20" ht="15.75" customHeight="1" x14ac:dyDescent="0.45">
      <c r="B140" s="396">
        <v>8463107190</v>
      </c>
      <c r="C140" s="456" t="s">
        <v>810</v>
      </c>
      <c r="D140" s="396" t="s">
        <v>805</v>
      </c>
      <c r="E140" s="408">
        <v>1</v>
      </c>
      <c r="F140" s="408">
        <v>28</v>
      </c>
      <c r="G140" s="397"/>
      <c r="H140" s="411">
        <f>(A38/(0.006*500)/100)</f>
        <v>0</v>
      </c>
      <c r="I140" s="507">
        <f>(30*BC!$B$47/F140)</f>
        <v>0</v>
      </c>
      <c r="J140" s="508">
        <f t="shared" si="38"/>
        <v>0</v>
      </c>
      <c r="K140" s="508">
        <f t="shared" si="46"/>
        <v>0</v>
      </c>
      <c r="L140" s="194">
        <f t="shared" si="45"/>
        <v>0</v>
      </c>
      <c r="M140" s="366">
        <f t="shared" si="39"/>
        <v>16</v>
      </c>
      <c r="N140" s="504">
        <v>16</v>
      </c>
      <c r="O140" s="91" t="e">
        <f t="shared" si="42"/>
        <v>#DIV/0!</v>
      </c>
      <c r="P140" s="148" t="e">
        <f t="shared" si="43"/>
        <v>#DIV/0!</v>
      </c>
      <c r="Q140" s="57">
        <f t="shared" si="41"/>
        <v>0</v>
      </c>
      <c r="R140" s="57">
        <f t="shared" si="44"/>
        <v>0</v>
      </c>
      <c r="S140" s="97"/>
      <c r="T140" s="97"/>
    </row>
    <row r="141" spans="2:20" ht="15.75" customHeight="1" x14ac:dyDescent="0.45">
      <c r="B141" s="396">
        <v>8059322190</v>
      </c>
      <c r="C141" s="396" t="s">
        <v>811</v>
      </c>
      <c r="D141" s="396" t="s">
        <v>812</v>
      </c>
      <c r="E141" s="408">
        <v>1</v>
      </c>
      <c r="F141" s="408">
        <v>182</v>
      </c>
      <c r="G141" s="397"/>
      <c r="H141" s="411">
        <f>(G82/(0.4*30)/6300)</f>
        <v>0</v>
      </c>
      <c r="I141" s="507">
        <f>(30*BC!$B$47/F141)</f>
        <v>0</v>
      </c>
      <c r="J141" s="508">
        <f t="shared" si="38"/>
        <v>0</v>
      </c>
      <c r="K141" s="508">
        <f t="shared" si="46"/>
        <v>0</v>
      </c>
      <c r="L141" s="194">
        <f t="shared" si="45"/>
        <v>0</v>
      </c>
      <c r="M141" s="366">
        <f t="shared" si="39"/>
        <v>32</v>
      </c>
      <c r="N141" s="504">
        <v>32</v>
      </c>
      <c r="O141" s="91" t="e">
        <f t="shared" si="42"/>
        <v>#DIV/0!</v>
      </c>
      <c r="P141" s="148" t="e">
        <f t="shared" si="43"/>
        <v>#DIV/0!</v>
      </c>
      <c r="Q141" s="57">
        <f t="shared" si="41"/>
        <v>0</v>
      </c>
      <c r="R141" s="57">
        <f t="shared" si="44"/>
        <v>0</v>
      </c>
      <c r="S141" s="97"/>
      <c r="T141" s="97"/>
    </row>
    <row r="142" spans="2:20" ht="15.75" customHeight="1" x14ac:dyDescent="0.45">
      <c r="B142" s="396">
        <v>5870020001</v>
      </c>
      <c r="C142" s="396" t="s">
        <v>813</v>
      </c>
      <c r="D142" s="395" t="s">
        <v>847</v>
      </c>
      <c r="E142" s="408">
        <v>1</v>
      </c>
      <c r="F142" s="408"/>
      <c r="G142" s="397"/>
      <c r="H142" s="411">
        <f>(G82/2000)/1.2</f>
        <v>0</v>
      </c>
      <c r="I142" s="507" t="e">
        <f>(30*BC!$B$47/F142)</f>
        <v>#DIV/0!</v>
      </c>
      <c r="J142" s="508" t="e">
        <f t="shared" si="38"/>
        <v>#DIV/0!</v>
      </c>
      <c r="K142" s="508">
        <f t="shared" si="46"/>
        <v>0</v>
      </c>
      <c r="L142" s="194">
        <f t="shared" si="45"/>
        <v>0</v>
      </c>
      <c r="M142" s="366">
        <f t="shared" si="39"/>
        <v>11</v>
      </c>
      <c r="N142" s="504">
        <v>11</v>
      </c>
      <c r="O142" s="91" t="e">
        <f t="shared" si="42"/>
        <v>#DIV/0!</v>
      </c>
      <c r="P142" s="148" t="e">
        <f t="shared" si="43"/>
        <v>#DIV/0!</v>
      </c>
      <c r="Q142" s="57">
        <f t="shared" si="41"/>
        <v>0</v>
      </c>
      <c r="R142" s="57">
        <f t="shared" si="44"/>
        <v>0</v>
      </c>
      <c r="S142" s="97"/>
      <c r="T142" s="97"/>
    </row>
    <row r="143" spans="2:20" ht="15.75" customHeight="1" x14ac:dyDescent="0.45">
      <c r="B143" s="396">
        <v>4419987001</v>
      </c>
      <c r="C143" s="396" t="s">
        <v>814</v>
      </c>
      <c r="D143" s="395" t="s">
        <v>848</v>
      </c>
      <c r="E143" s="408">
        <v>1</v>
      </c>
      <c r="F143" s="408"/>
      <c r="G143" s="397"/>
      <c r="H143" s="411">
        <f>(G82/(0.2*30)/6300)</f>
        <v>0</v>
      </c>
      <c r="I143" s="507" t="e">
        <f>(30*BC!$B$47/F143)</f>
        <v>#DIV/0!</v>
      </c>
      <c r="J143" s="508" t="e">
        <f t="shared" si="38"/>
        <v>#DIV/0!</v>
      </c>
      <c r="K143" s="508">
        <f t="shared" si="46"/>
        <v>0</v>
      </c>
      <c r="L143" s="194">
        <f t="shared" si="45"/>
        <v>0</v>
      </c>
      <c r="M143" s="366">
        <f t="shared" si="39"/>
        <v>7</v>
      </c>
      <c r="N143" s="504">
        <v>7</v>
      </c>
      <c r="O143" s="91" t="e">
        <f t="shared" si="42"/>
        <v>#DIV/0!</v>
      </c>
      <c r="P143" s="148" t="e">
        <f t="shared" si="43"/>
        <v>#DIV/0!</v>
      </c>
      <c r="Q143" s="57">
        <f t="shared" si="41"/>
        <v>0</v>
      </c>
      <c r="R143" s="57">
        <f t="shared" si="44"/>
        <v>0</v>
      </c>
      <c r="S143" s="97"/>
      <c r="T143" s="97"/>
    </row>
    <row r="144" spans="2:20" ht="15.75" customHeight="1" x14ac:dyDescent="0.45">
      <c r="B144" s="408">
        <v>4740955001</v>
      </c>
      <c r="C144" s="396" t="s">
        <v>815</v>
      </c>
      <c r="D144" s="395"/>
      <c r="E144" s="408">
        <v>1</v>
      </c>
      <c r="F144" s="408"/>
      <c r="G144" s="395"/>
      <c r="H144" s="411">
        <f>(G82/(1.4*30)/6300)</f>
        <v>0</v>
      </c>
      <c r="I144" s="507" t="e">
        <f>(30*BC!$B$47/F144)</f>
        <v>#DIV/0!</v>
      </c>
      <c r="J144" s="508" t="e">
        <f t="shared" si="38"/>
        <v>#DIV/0!</v>
      </c>
      <c r="K144" s="508">
        <f t="shared" si="46"/>
        <v>0</v>
      </c>
      <c r="L144" s="194">
        <f t="shared" si="45"/>
        <v>0</v>
      </c>
      <c r="M144" s="366">
        <f t="shared" si="39"/>
        <v>452</v>
      </c>
      <c r="N144" s="504">
        <v>452</v>
      </c>
      <c r="O144" s="91" t="e">
        <f t="shared" si="42"/>
        <v>#DIV/0!</v>
      </c>
      <c r="P144" s="148" t="e">
        <f t="shared" si="43"/>
        <v>#DIV/0!</v>
      </c>
      <c r="Q144" s="57">
        <f t="shared" si="41"/>
        <v>0</v>
      </c>
      <c r="R144" s="57">
        <f t="shared" si="44"/>
        <v>0</v>
      </c>
      <c r="S144" s="97"/>
      <c r="T144" s="97"/>
    </row>
    <row r="145" spans="2:31" ht="15.75" customHeight="1" x14ac:dyDescent="0.45">
      <c r="B145" s="408">
        <v>4813707001</v>
      </c>
      <c r="C145" s="396" t="s">
        <v>306</v>
      </c>
      <c r="D145" s="414"/>
      <c r="E145" s="415">
        <v>1</v>
      </c>
      <c r="F145" s="415"/>
      <c r="G145" s="414"/>
      <c r="H145" s="411">
        <f>(G82/(0.08*30)/6300)</f>
        <v>0</v>
      </c>
      <c r="I145" s="507" t="e">
        <f>(30*BC!$B$47/F145)</f>
        <v>#DIV/0!</v>
      </c>
      <c r="J145" s="508" t="e">
        <f t="shared" si="38"/>
        <v>#DIV/0!</v>
      </c>
      <c r="K145" s="508">
        <f t="shared" si="46"/>
        <v>0</v>
      </c>
      <c r="L145" s="510">
        <f t="shared" si="45"/>
        <v>0</v>
      </c>
      <c r="M145" s="366">
        <f t="shared" si="39"/>
        <v>402</v>
      </c>
      <c r="N145" s="504">
        <v>402</v>
      </c>
      <c r="O145" s="91" t="e">
        <f t="shared" si="42"/>
        <v>#DIV/0!</v>
      </c>
      <c r="P145" s="148" t="e">
        <f t="shared" si="43"/>
        <v>#DIV/0!</v>
      </c>
      <c r="Q145" s="57">
        <f t="shared" si="41"/>
        <v>0</v>
      </c>
      <c r="R145" s="57">
        <f t="shared" si="44"/>
        <v>0</v>
      </c>
      <c r="S145" s="97"/>
      <c r="T145" s="97"/>
    </row>
    <row r="146" spans="2:31" ht="21.75" x14ac:dyDescent="0.45">
      <c r="B146" s="539">
        <v>4516303001</v>
      </c>
      <c r="C146" s="542" t="s">
        <v>1162</v>
      </c>
      <c r="D146" s="414"/>
      <c r="E146" s="899">
        <v>1</v>
      </c>
      <c r="F146" s="899">
        <v>365</v>
      </c>
      <c r="G146" s="898"/>
      <c r="H146" s="411">
        <f t="shared" ref="H146:H151" si="47">(G83/(0.08*30)/6300)</f>
        <v>0</v>
      </c>
      <c r="I146" s="507">
        <f>(30*BC!$B$47/F146)</f>
        <v>0</v>
      </c>
      <c r="J146" s="508">
        <f t="shared" ref="J146:J151" si="48">IF(I146&gt;H146,I146,H146)</f>
        <v>0</v>
      </c>
      <c r="K146" s="508">
        <f t="shared" ref="K146:K151" si="49">IF(H146=0,0,J146)</f>
        <v>0</v>
      </c>
      <c r="L146" s="510">
        <f t="shared" ref="L146:L151" si="50">ROUNDUP(K146,0)</f>
        <v>0</v>
      </c>
      <c r="M146" s="366">
        <f t="shared" si="39"/>
        <v>859</v>
      </c>
      <c r="N146" s="504">
        <v>859</v>
      </c>
      <c r="O146" s="91" t="e">
        <f t="shared" ref="O146:O151" si="51">((M146*$L$157)+M146)</f>
        <v>#DIV/0!</v>
      </c>
      <c r="P146" s="148" t="e">
        <f t="shared" ref="P146:P151" si="52">O146*L146</f>
        <v>#DIV/0!</v>
      </c>
      <c r="Q146" s="57">
        <f t="shared" ref="Q146:Q151" si="53">L146/E146</f>
        <v>0</v>
      </c>
      <c r="R146" s="57">
        <f t="shared" ref="R146:R151" si="54">ROUNDUP(Q146,0)</f>
        <v>0</v>
      </c>
      <c r="S146" s="97"/>
      <c r="T146" s="97"/>
      <c r="U146" s="97"/>
      <c r="V146" s="97"/>
      <c r="W146" s="97"/>
      <c r="X146" s="97"/>
      <c r="Y146" s="97"/>
      <c r="Z146" s="97"/>
    </row>
    <row r="147" spans="2:31" x14ac:dyDescent="0.45">
      <c r="B147" s="539" t="s">
        <v>1163</v>
      </c>
      <c r="C147" s="542" t="s">
        <v>1164</v>
      </c>
      <c r="D147" s="414"/>
      <c r="E147" s="899">
        <v>1</v>
      </c>
      <c r="F147" s="899">
        <v>365</v>
      </c>
      <c r="G147" s="898"/>
      <c r="H147" s="411">
        <f t="shared" si="47"/>
        <v>0</v>
      </c>
      <c r="I147" s="507">
        <f>(30*BC!$B$47/F147)</f>
        <v>0</v>
      </c>
      <c r="J147" s="508">
        <f t="shared" si="48"/>
        <v>0</v>
      </c>
      <c r="K147" s="508">
        <f t="shared" si="49"/>
        <v>0</v>
      </c>
      <c r="L147" s="510">
        <f t="shared" si="50"/>
        <v>0</v>
      </c>
      <c r="M147" s="366">
        <f t="shared" si="39"/>
        <v>50</v>
      </c>
      <c r="N147" s="504">
        <v>50</v>
      </c>
      <c r="O147" s="91" t="e">
        <f t="shared" si="51"/>
        <v>#DIV/0!</v>
      </c>
      <c r="P147" s="148" t="e">
        <f t="shared" si="52"/>
        <v>#DIV/0!</v>
      </c>
      <c r="Q147" s="57">
        <f t="shared" si="53"/>
        <v>0</v>
      </c>
      <c r="R147" s="57">
        <f t="shared" si="54"/>
        <v>0</v>
      </c>
      <c r="S147" s="97"/>
      <c r="T147" s="97"/>
      <c r="U147" s="97"/>
      <c r="V147" s="97"/>
      <c r="W147" s="97"/>
      <c r="X147" s="97"/>
      <c r="Y147" s="97"/>
      <c r="Z147" s="97"/>
    </row>
    <row r="148" spans="2:31" ht="21.75" x14ac:dyDescent="0.45">
      <c r="B148" s="539">
        <v>4516265001</v>
      </c>
      <c r="C148" s="542" t="s">
        <v>304</v>
      </c>
      <c r="D148" s="414"/>
      <c r="E148" s="899">
        <v>1</v>
      </c>
      <c r="F148" s="899">
        <v>365</v>
      </c>
      <c r="G148" s="898"/>
      <c r="H148" s="411">
        <f t="shared" si="47"/>
        <v>0</v>
      </c>
      <c r="I148" s="507">
        <f>(30*BC!$B$47/F148)</f>
        <v>0</v>
      </c>
      <c r="J148" s="508">
        <f t="shared" si="48"/>
        <v>0</v>
      </c>
      <c r="K148" s="508">
        <f t="shared" si="49"/>
        <v>0</v>
      </c>
      <c r="L148" s="510">
        <f t="shared" si="50"/>
        <v>0</v>
      </c>
      <c r="M148" s="366">
        <f t="shared" si="39"/>
        <v>61</v>
      </c>
      <c r="N148" s="504">
        <v>61</v>
      </c>
      <c r="O148" s="91" t="e">
        <f t="shared" si="51"/>
        <v>#DIV/0!</v>
      </c>
      <c r="P148" s="148" t="e">
        <f t="shared" si="52"/>
        <v>#DIV/0!</v>
      </c>
      <c r="Q148" s="57">
        <f t="shared" si="53"/>
        <v>0</v>
      </c>
      <c r="R148" s="57">
        <f t="shared" si="54"/>
        <v>0</v>
      </c>
      <c r="S148" s="97"/>
      <c r="T148" s="97"/>
      <c r="U148" s="97"/>
      <c r="V148" s="97"/>
      <c r="W148" s="97"/>
      <c r="X148" s="97"/>
      <c r="Y148" s="97"/>
      <c r="Z148" s="97"/>
    </row>
    <row r="149" spans="2:31" ht="21.75" x14ac:dyDescent="0.45">
      <c r="B149" s="539">
        <v>4516273001</v>
      </c>
      <c r="C149" s="542" t="s">
        <v>303</v>
      </c>
      <c r="D149" s="414"/>
      <c r="E149" s="899">
        <v>1</v>
      </c>
      <c r="F149" s="899">
        <v>365</v>
      </c>
      <c r="G149" s="898"/>
      <c r="H149" s="411">
        <f t="shared" si="47"/>
        <v>0</v>
      </c>
      <c r="I149" s="507">
        <f>(30*BC!$B$47/F149)</f>
        <v>0</v>
      </c>
      <c r="J149" s="508">
        <f t="shared" si="48"/>
        <v>0</v>
      </c>
      <c r="K149" s="508">
        <f t="shared" si="49"/>
        <v>0</v>
      </c>
      <c r="L149" s="510">
        <f t="shared" si="50"/>
        <v>0</v>
      </c>
      <c r="M149" s="366">
        <f t="shared" si="39"/>
        <v>26</v>
      </c>
      <c r="N149" s="504">
        <v>26</v>
      </c>
      <c r="O149" s="91" t="e">
        <f t="shared" si="51"/>
        <v>#DIV/0!</v>
      </c>
      <c r="P149" s="148" t="e">
        <f t="shared" si="52"/>
        <v>#DIV/0!</v>
      </c>
      <c r="Q149" s="57">
        <f t="shared" si="53"/>
        <v>0</v>
      </c>
      <c r="R149" s="57">
        <f t="shared" si="54"/>
        <v>0</v>
      </c>
      <c r="S149" s="97"/>
      <c r="T149" s="97"/>
      <c r="U149" s="97"/>
      <c r="V149" s="97"/>
      <c r="W149" s="97"/>
      <c r="X149" s="97"/>
      <c r="Y149" s="97"/>
      <c r="Z149" s="97"/>
    </row>
    <row r="150" spans="2:31" ht="21.75" x14ac:dyDescent="0.45">
      <c r="B150" s="539">
        <v>4554124001</v>
      </c>
      <c r="C150" s="542" t="s">
        <v>302</v>
      </c>
      <c r="D150" s="414"/>
      <c r="E150" s="899">
        <v>1</v>
      </c>
      <c r="F150" s="899">
        <v>365</v>
      </c>
      <c r="G150" s="898"/>
      <c r="H150" s="411">
        <f t="shared" si="47"/>
        <v>0</v>
      </c>
      <c r="I150" s="507">
        <f>(30*BC!$B$47/F150)</f>
        <v>0</v>
      </c>
      <c r="J150" s="508">
        <f t="shared" si="48"/>
        <v>0</v>
      </c>
      <c r="K150" s="508">
        <f t="shared" si="49"/>
        <v>0</v>
      </c>
      <c r="L150" s="510">
        <f t="shared" si="50"/>
        <v>0</v>
      </c>
      <c r="M150" s="366">
        <f t="shared" si="39"/>
        <v>178</v>
      </c>
      <c r="N150" s="504">
        <v>178</v>
      </c>
      <c r="O150" s="91" t="e">
        <f t="shared" si="51"/>
        <v>#DIV/0!</v>
      </c>
      <c r="P150" s="148" t="e">
        <f t="shared" si="52"/>
        <v>#DIV/0!</v>
      </c>
      <c r="Q150" s="57">
        <f t="shared" si="53"/>
        <v>0</v>
      </c>
      <c r="R150" s="57">
        <f t="shared" si="54"/>
        <v>0</v>
      </c>
      <c r="S150" s="97"/>
      <c r="T150" s="97"/>
      <c r="U150" s="97"/>
      <c r="V150" s="97"/>
      <c r="W150" s="97"/>
      <c r="X150" s="97"/>
      <c r="Y150" s="97"/>
      <c r="Z150" s="97"/>
    </row>
    <row r="151" spans="2:31" ht="21.75" x14ac:dyDescent="0.45">
      <c r="B151" s="539" t="s">
        <v>1165</v>
      </c>
      <c r="C151" s="542" t="s">
        <v>1166</v>
      </c>
      <c r="D151" s="414"/>
      <c r="E151" s="899">
        <v>1</v>
      </c>
      <c r="F151" s="899">
        <v>365</v>
      </c>
      <c r="G151" s="898"/>
      <c r="H151" s="411">
        <f t="shared" si="47"/>
        <v>0</v>
      </c>
      <c r="I151" s="507">
        <f>(30*BC!$B$47/F151)</f>
        <v>0</v>
      </c>
      <c r="J151" s="508">
        <f t="shared" si="48"/>
        <v>0</v>
      </c>
      <c r="K151" s="508">
        <f t="shared" si="49"/>
        <v>0</v>
      </c>
      <c r="L151" s="510">
        <f t="shared" si="50"/>
        <v>0</v>
      </c>
      <c r="M151" s="366">
        <f t="shared" si="39"/>
        <v>13</v>
      </c>
      <c r="N151" s="504">
        <v>13</v>
      </c>
      <c r="O151" s="91" t="e">
        <f t="shared" si="51"/>
        <v>#DIV/0!</v>
      </c>
      <c r="P151" s="148" t="e">
        <f t="shared" si="52"/>
        <v>#DIV/0!</v>
      </c>
      <c r="Q151" s="57">
        <f t="shared" si="53"/>
        <v>0</v>
      </c>
      <c r="R151" s="57">
        <f t="shared" si="54"/>
        <v>0</v>
      </c>
      <c r="S151" s="97"/>
      <c r="T151" s="97"/>
      <c r="U151" s="97"/>
      <c r="V151" s="97"/>
      <c r="W151" s="97"/>
      <c r="X151" s="97"/>
      <c r="Y151" s="97"/>
      <c r="Z151" s="97"/>
    </row>
    <row r="152" spans="2:31" s="266" customFormat="1" ht="10.5" x14ac:dyDescent="0.35">
      <c r="B152" s="56"/>
      <c r="C152" s="55" t="s">
        <v>849</v>
      </c>
      <c r="D152" s="57"/>
      <c r="E152" s="58"/>
      <c r="F152" s="57"/>
      <c r="G152" s="57"/>
      <c r="H152" s="57"/>
      <c r="I152" s="57"/>
      <c r="J152" s="57"/>
      <c r="K152" s="160">
        <f>BCB46</f>
        <v>0</v>
      </c>
      <c r="L152" s="267">
        <v>2780</v>
      </c>
      <c r="M152" s="267">
        <f>IF(D6=0,0,L152)</f>
        <v>0</v>
      </c>
      <c r="N152" s="572">
        <f>M152*K152</f>
        <v>0</v>
      </c>
      <c r="O152" s="579"/>
      <c r="P152" s="579"/>
      <c r="Q152" s="72"/>
    </row>
    <row r="153" spans="2:31" s="266" customFormat="1" ht="10.5" x14ac:dyDescent="0.35">
      <c r="B153" s="56"/>
      <c r="C153" s="55" t="s">
        <v>850</v>
      </c>
      <c r="D153" s="57"/>
      <c r="E153" s="58"/>
      <c r="F153" s="57"/>
      <c r="G153" s="57"/>
      <c r="H153" s="57"/>
      <c r="I153" s="57"/>
      <c r="J153" s="57"/>
      <c r="K153" s="160">
        <f>BCB46</f>
        <v>0</v>
      </c>
      <c r="L153" s="267">
        <v>5300</v>
      </c>
      <c r="M153" s="267">
        <f>IF(F6=0,0,L153)</f>
        <v>5300</v>
      </c>
      <c r="N153" s="572">
        <f>M153*K153</f>
        <v>0</v>
      </c>
      <c r="O153" s="579"/>
      <c r="P153" s="579"/>
      <c r="Q153" s="72"/>
    </row>
    <row r="154" spans="2:31" ht="11.25" customHeight="1" x14ac:dyDescent="0.45">
      <c r="B154" s="97"/>
      <c r="C154" s="24"/>
      <c r="D154" s="97"/>
      <c r="E154" s="97"/>
      <c r="F154" s="72"/>
      <c r="G154" s="72"/>
      <c r="H154" s="72"/>
      <c r="I154" s="72"/>
      <c r="J154" s="72"/>
      <c r="K154" s="72"/>
      <c r="M154" s="72"/>
      <c r="N154" s="278">
        <f>SUM(N84:N153)</f>
        <v>21183</v>
      </c>
      <c r="O154" s="250"/>
      <c r="P154" s="250"/>
      <c r="Q154" s="72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7"/>
      <c r="AE154" s="97"/>
    </row>
    <row r="155" spans="2:31" ht="11.25" customHeight="1" x14ac:dyDescent="0.45">
      <c r="B155" s="97"/>
      <c r="C155" s="97"/>
      <c r="D155" s="97"/>
      <c r="E155" s="97"/>
      <c r="F155" s="72"/>
      <c r="G155" s="72"/>
      <c r="H155" s="72"/>
      <c r="I155" s="72"/>
      <c r="J155" s="72"/>
      <c r="K155" s="72"/>
      <c r="M155" s="72"/>
      <c r="N155" s="221" t="e">
        <f>N154/G82</f>
        <v>#DIV/0!</v>
      </c>
      <c r="O155" s="250"/>
      <c r="P155" s="250"/>
      <c r="Q155" s="72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  <c r="AE155" s="97"/>
    </row>
    <row r="156" spans="2:31" ht="11.25" customHeight="1" x14ac:dyDescent="0.45">
      <c r="B156" s="97"/>
      <c r="C156" s="97"/>
      <c r="D156" s="97"/>
      <c r="E156" s="97"/>
      <c r="F156" s="72"/>
      <c r="G156" s="72"/>
      <c r="H156" s="72"/>
      <c r="I156" s="72"/>
      <c r="J156" s="72"/>
      <c r="K156" s="72"/>
      <c r="M156" s="72"/>
      <c r="N156" s="250"/>
      <c r="O156" s="250"/>
      <c r="P156" s="250"/>
      <c r="Q156" s="72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D156" s="97"/>
      <c r="AE156" s="97"/>
    </row>
    <row r="157" spans="2:31" ht="15.75" customHeight="1" x14ac:dyDescent="0.45">
      <c r="E157" s="21"/>
      <c r="F157" s="21"/>
      <c r="G157" s="21"/>
      <c r="H157" s="21"/>
      <c r="I157" s="21"/>
      <c r="K157" s="21"/>
      <c r="L157" s="580" t="e">
        <f>IF(M157=0,M158,M157)</f>
        <v>#DIV/0!</v>
      </c>
      <c r="M157" s="253" t="e">
        <f>(M152/N82)*K152</f>
        <v>#DIV/0!</v>
      </c>
      <c r="N157" s="93" t="e">
        <f>P82-N82</f>
        <v>#DIV/0!</v>
      </c>
    </row>
    <row r="158" spans="2:31" ht="15.75" customHeight="1" x14ac:dyDescent="0.45">
      <c r="E158" s="21"/>
      <c r="F158" s="21"/>
      <c r="G158" s="21"/>
      <c r="H158" s="21"/>
      <c r="I158" s="21"/>
      <c r="K158" s="21"/>
      <c r="L158" s="21"/>
      <c r="M158" s="253" t="e">
        <f>(M153/N82)*K153</f>
        <v>#DIV/0!</v>
      </c>
      <c r="N158" s="93" t="e">
        <f>P82-N82</f>
        <v>#DIV/0!</v>
      </c>
    </row>
    <row r="159" spans="2:31" ht="11.25" customHeight="1" x14ac:dyDescent="0.45">
      <c r="B159" s="97"/>
      <c r="C159" s="97"/>
      <c r="D159" s="97"/>
      <c r="E159" s="97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  <c r="AD159" s="97"/>
      <c r="AE159" s="97"/>
    </row>
    <row r="160" spans="2:31" s="427" customFormat="1" ht="15.75" customHeight="1" x14ac:dyDescent="0.45">
      <c r="B160" s="926" t="s">
        <v>817</v>
      </c>
      <c r="C160" s="927"/>
      <c r="D160" s="477" t="s">
        <v>193</v>
      </c>
      <c r="E160" s="573" t="s">
        <v>183</v>
      </c>
      <c r="F160" s="573" t="s">
        <v>649</v>
      </c>
      <c r="G160" s="573"/>
      <c r="H160" s="574" t="s">
        <v>53</v>
      </c>
      <c r="I160" s="574" t="s">
        <v>52</v>
      </c>
      <c r="J160" s="574" t="s">
        <v>51</v>
      </c>
      <c r="K160" s="574"/>
      <c r="L160" s="574" t="s">
        <v>50</v>
      </c>
      <c r="M160" s="574" t="s">
        <v>166</v>
      </c>
      <c r="N160" s="574" t="s">
        <v>863</v>
      </c>
      <c r="O160" s="574"/>
      <c r="P160" s="574"/>
      <c r="Q160" s="574" t="s">
        <v>861</v>
      </c>
      <c r="R160" s="574" t="s">
        <v>862</v>
      </c>
      <c r="S160" s="575" t="s">
        <v>318</v>
      </c>
      <c r="T160" s="575" t="s">
        <v>319</v>
      </c>
    </row>
    <row r="161" spans="2:20" ht="15.75" customHeight="1" x14ac:dyDescent="0.45">
      <c r="B161" s="396">
        <v>11183974216</v>
      </c>
      <c r="C161" s="396" t="s">
        <v>818</v>
      </c>
      <c r="D161" s="722">
        <f>'c303-c503'!C153</f>
        <v>3300</v>
      </c>
      <c r="E161" s="219">
        <v>10</v>
      </c>
      <c r="F161" s="219">
        <v>1</v>
      </c>
      <c r="G161" s="219"/>
      <c r="H161" s="509">
        <f>30*BC!B47/F161</f>
        <v>0</v>
      </c>
      <c r="I161" s="219">
        <f t="shared" ref="I161:I175" si="55">(360/F161)</f>
        <v>360</v>
      </c>
      <c r="J161" s="194">
        <f t="shared" ref="J161:J175" si="56">IF(I161&gt;H161,I161,H161)</f>
        <v>360</v>
      </c>
      <c r="K161" s="194">
        <f>IF(H161=0,0,J161)</f>
        <v>0</v>
      </c>
      <c r="L161" s="194">
        <f t="shared" ref="L161:L175" si="57">ROUNDUP(K161,0)</f>
        <v>0</v>
      </c>
      <c r="M161" s="576">
        <f>IF($D$161&gt;0,L161,0)</f>
        <v>0</v>
      </c>
      <c r="N161" s="505">
        <f t="shared" ref="N161:N175" si="58">Q161/E161</f>
        <v>6.1</v>
      </c>
      <c r="O161" s="505"/>
      <c r="P161" s="505"/>
      <c r="Q161" s="506">
        <v>61</v>
      </c>
      <c r="R161" s="61">
        <f>N161*M161</f>
        <v>0</v>
      </c>
      <c r="S161" s="57">
        <f t="shared" ref="S161:S175" si="59">L161/E161</f>
        <v>0</v>
      </c>
      <c r="T161" s="57">
        <f t="shared" ref="T161:T175" si="60">ROUNDUP(S161,0)</f>
        <v>0</v>
      </c>
    </row>
    <row r="162" spans="2:20" ht="15.75" customHeight="1" x14ac:dyDescent="0.45">
      <c r="B162" s="396">
        <v>11183982216</v>
      </c>
      <c r="C162" s="728" t="s">
        <v>819</v>
      </c>
      <c r="D162" s="723"/>
      <c r="E162" s="219">
        <v>10</v>
      </c>
      <c r="F162" s="219">
        <v>1</v>
      </c>
      <c r="G162" s="219"/>
      <c r="H162" s="509">
        <f>30*BC!B47/F162</f>
        <v>0</v>
      </c>
      <c r="I162" s="219">
        <f t="shared" si="55"/>
        <v>360</v>
      </c>
      <c r="J162" s="194">
        <f t="shared" si="56"/>
        <v>360</v>
      </c>
      <c r="K162" s="194">
        <f>IF(H162=0,0,J162)</f>
        <v>0</v>
      </c>
      <c r="L162" s="194">
        <f t="shared" si="57"/>
        <v>0</v>
      </c>
      <c r="M162" s="576">
        <f t="shared" ref="M162:M175" si="61">IF($D$161&gt;0,L162,0)</f>
        <v>0</v>
      </c>
      <c r="N162" s="505">
        <f t="shared" si="58"/>
        <v>6.1</v>
      </c>
      <c r="O162" s="505"/>
      <c r="P162" s="505"/>
      <c r="Q162" s="506">
        <v>61</v>
      </c>
      <c r="R162" s="61">
        <f t="shared" ref="R162:R175" si="62">N162*M162</f>
        <v>0</v>
      </c>
      <c r="S162" s="57">
        <f t="shared" si="59"/>
        <v>0</v>
      </c>
      <c r="T162" s="57">
        <f t="shared" si="60"/>
        <v>0</v>
      </c>
    </row>
    <row r="163" spans="2:20" ht="15.75" customHeight="1" x14ac:dyDescent="0.45">
      <c r="B163" s="396">
        <v>11298500316</v>
      </c>
      <c r="C163" s="728" t="s">
        <v>820</v>
      </c>
      <c r="D163" s="723"/>
      <c r="E163" s="219">
        <v>5</v>
      </c>
      <c r="F163" s="219">
        <v>73</v>
      </c>
      <c r="G163" s="219"/>
      <c r="H163" s="509">
        <f>(D161/(0.02*500)/100)</f>
        <v>3.3</v>
      </c>
      <c r="I163" s="507">
        <f t="shared" si="55"/>
        <v>4.9315068493150687</v>
      </c>
      <c r="J163" s="508">
        <f t="shared" si="56"/>
        <v>4.9315068493150687</v>
      </c>
      <c r="K163" s="508">
        <f>IF(H163=0,0,J163)</f>
        <v>4.9315068493150687</v>
      </c>
      <c r="L163" s="194">
        <f t="shared" si="57"/>
        <v>5</v>
      </c>
      <c r="M163" s="576">
        <f t="shared" si="61"/>
        <v>5</v>
      </c>
      <c r="N163" s="505">
        <f t="shared" si="58"/>
        <v>19.600000000000001</v>
      </c>
      <c r="O163" s="505"/>
      <c r="P163" s="505"/>
      <c r="Q163" s="506">
        <v>98</v>
      </c>
      <c r="R163" s="61">
        <f t="shared" si="62"/>
        <v>98</v>
      </c>
      <c r="S163" s="57">
        <f t="shared" si="59"/>
        <v>1</v>
      </c>
      <c r="T163" s="57">
        <f t="shared" si="60"/>
        <v>1</v>
      </c>
    </row>
    <row r="164" spans="2:20" ht="15.75" customHeight="1" x14ac:dyDescent="0.45">
      <c r="B164" s="396">
        <v>4663632190</v>
      </c>
      <c r="C164" s="728" t="s">
        <v>821</v>
      </c>
      <c r="D164" s="723"/>
      <c r="E164" s="219">
        <v>9</v>
      </c>
      <c r="F164" s="219">
        <v>12</v>
      </c>
      <c r="G164" s="219"/>
      <c r="H164" s="509">
        <f>30*BC!B47/F164</f>
        <v>0</v>
      </c>
      <c r="I164" s="507">
        <f t="shared" si="55"/>
        <v>30</v>
      </c>
      <c r="J164" s="508">
        <f t="shared" si="56"/>
        <v>30</v>
      </c>
      <c r="K164" s="508">
        <f>IF(H164=0,0,J164)</f>
        <v>0</v>
      </c>
      <c r="L164" s="194">
        <f t="shared" si="57"/>
        <v>0</v>
      </c>
      <c r="M164" s="576">
        <f t="shared" si="61"/>
        <v>0</v>
      </c>
      <c r="N164" s="505">
        <f t="shared" si="58"/>
        <v>17.222222222222221</v>
      </c>
      <c r="O164" s="505"/>
      <c r="P164" s="505"/>
      <c r="Q164" s="506">
        <v>155</v>
      </c>
      <c r="R164" s="61">
        <f t="shared" si="62"/>
        <v>0</v>
      </c>
      <c r="S164" s="60">
        <f t="shared" si="59"/>
        <v>0</v>
      </c>
      <c r="T164" s="57">
        <f t="shared" si="60"/>
        <v>0</v>
      </c>
    </row>
    <row r="165" spans="2:20" ht="15.75" customHeight="1" x14ac:dyDescent="0.45">
      <c r="B165" s="408">
        <v>20763071122</v>
      </c>
      <c r="C165" s="728" t="s">
        <v>822</v>
      </c>
      <c r="D165" s="723"/>
      <c r="E165" s="219">
        <v>6</v>
      </c>
      <c r="F165" s="219">
        <v>56</v>
      </c>
      <c r="G165" s="219"/>
      <c r="H165" s="509">
        <f>(D161/(0.5*30)/60)</f>
        <v>3.6666666666666665</v>
      </c>
      <c r="I165" s="507">
        <f t="shared" si="55"/>
        <v>6.4285714285714288</v>
      </c>
      <c r="J165" s="508">
        <f t="shared" si="56"/>
        <v>6.4285714285714288</v>
      </c>
      <c r="K165" s="508">
        <f>IF(H165=0,0,J165)</f>
        <v>6.4285714285714288</v>
      </c>
      <c r="L165" s="194">
        <f t="shared" si="57"/>
        <v>7</v>
      </c>
      <c r="M165" s="576">
        <f t="shared" si="61"/>
        <v>7</v>
      </c>
      <c r="N165" s="505">
        <f t="shared" si="58"/>
        <v>8.8333333333333339</v>
      </c>
      <c r="O165" s="505"/>
      <c r="P165" s="505"/>
      <c r="Q165" s="506">
        <v>53</v>
      </c>
      <c r="R165" s="61">
        <f t="shared" si="62"/>
        <v>61.833333333333336</v>
      </c>
      <c r="S165" s="57">
        <f t="shared" si="59"/>
        <v>1.1666666666666667</v>
      </c>
      <c r="T165" s="57">
        <f t="shared" si="60"/>
        <v>2</v>
      </c>
    </row>
    <row r="166" spans="2:20" ht="15.75" customHeight="1" x14ac:dyDescent="0.45">
      <c r="B166" s="396">
        <v>4880480190</v>
      </c>
      <c r="C166" s="728" t="s">
        <v>867</v>
      </c>
      <c r="D166" s="723"/>
      <c r="E166" s="219">
        <v>2</v>
      </c>
      <c r="F166" s="219">
        <v>42</v>
      </c>
      <c r="G166" s="219"/>
      <c r="H166" s="509">
        <f>(F166/(0.0075*110)/100)*(D161*0.0024)</f>
        <v>4.032</v>
      </c>
      <c r="I166" s="507">
        <f t="shared" si="55"/>
        <v>8.5714285714285712</v>
      </c>
      <c r="J166" s="508">
        <f t="shared" si="56"/>
        <v>8.5714285714285712</v>
      </c>
      <c r="K166" s="508">
        <f>IF(F6=0,0,J166)</f>
        <v>8.5714285714285712</v>
      </c>
      <c r="L166" s="194">
        <f t="shared" si="57"/>
        <v>9</v>
      </c>
      <c r="M166" s="576">
        <f t="shared" si="61"/>
        <v>9</v>
      </c>
      <c r="N166" s="505">
        <f t="shared" si="58"/>
        <v>120</v>
      </c>
      <c r="O166" s="505"/>
      <c r="P166" s="505"/>
      <c r="Q166" s="506">
        <v>240</v>
      </c>
      <c r="R166" s="61">
        <f t="shared" si="62"/>
        <v>1080</v>
      </c>
      <c r="S166" s="57">
        <f t="shared" si="59"/>
        <v>4.5</v>
      </c>
      <c r="T166" s="57">
        <f t="shared" si="60"/>
        <v>5</v>
      </c>
    </row>
    <row r="167" spans="2:20" ht="15.75" customHeight="1" x14ac:dyDescent="0.45">
      <c r="B167" s="396">
        <v>4880480190</v>
      </c>
      <c r="C167" s="729" t="s">
        <v>866</v>
      </c>
      <c r="D167" s="723"/>
      <c r="E167" s="219">
        <v>2</v>
      </c>
      <c r="F167" s="219">
        <v>42</v>
      </c>
      <c r="G167" s="219"/>
      <c r="H167" s="509">
        <f>(F167/(0.009*110)/100)*(D161*0.0012)</f>
        <v>1.6800000000000002</v>
      </c>
      <c r="I167" s="507">
        <f t="shared" si="55"/>
        <v>8.5714285714285712</v>
      </c>
      <c r="J167" s="508">
        <f t="shared" si="56"/>
        <v>8.5714285714285712</v>
      </c>
      <c r="K167" s="508">
        <f>IF(D6=0,0,J167)</f>
        <v>0</v>
      </c>
      <c r="L167" s="194">
        <f t="shared" si="57"/>
        <v>0</v>
      </c>
      <c r="M167" s="576">
        <f t="shared" si="61"/>
        <v>0</v>
      </c>
      <c r="N167" s="505">
        <f t="shared" si="58"/>
        <v>120</v>
      </c>
      <c r="O167" s="505"/>
      <c r="P167" s="505"/>
      <c r="Q167" s="506">
        <v>240</v>
      </c>
      <c r="R167" s="61">
        <f t="shared" si="62"/>
        <v>0</v>
      </c>
      <c r="S167" s="57">
        <f t="shared" si="59"/>
        <v>0</v>
      </c>
      <c r="T167" s="57">
        <f t="shared" si="60"/>
        <v>0</v>
      </c>
    </row>
    <row r="168" spans="2:20" ht="15.75" customHeight="1" x14ac:dyDescent="0.45">
      <c r="B168" s="396">
        <v>4880455190</v>
      </c>
      <c r="C168" s="729" t="s">
        <v>868</v>
      </c>
      <c r="D168" s="723"/>
      <c r="E168" s="219">
        <v>2</v>
      </c>
      <c r="F168" s="219">
        <v>42</v>
      </c>
      <c r="G168" s="219"/>
      <c r="H168" s="509">
        <f>(F168/(0.015*40)/100)*(D161*0.0031)</f>
        <v>7.1609999999999996</v>
      </c>
      <c r="I168" s="507">
        <f t="shared" si="55"/>
        <v>8.5714285714285712</v>
      </c>
      <c r="J168" s="508">
        <f t="shared" si="56"/>
        <v>8.5714285714285712</v>
      </c>
      <c r="K168" s="508">
        <f>IF(F6=0,0,J168)</f>
        <v>8.5714285714285712</v>
      </c>
      <c r="L168" s="194">
        <f t="shared" si="57"/>
        <v>9</v>
      </c>
      <c r="M168" s="576">
        <f t="shared" si="61"/>
        <v>9</v>
      </c>
      <c r="N168" s="505">
        <f t="shared" si="58"/>
        <v>161</v>
      </c>
      <c r="O168" s="505"/>
      <c r="P168" s="505"/>
      <c r="Q168" s="506">
        <v>322</v>
      </c>
      <c r="R168" s="61">
        <f t="shared" si="62"/>
        <v>1449</v>
      </c>
      <c r="S168" s="57">
        <f t="shared" si="59"/>
        <v>4.5</v>
      </c>
      <c r="T168" s="57">
        <f t="shared" si="60"/>
        <v>5</v>
      </c>
    </row>
    <row r="169" spans="2:20" ht="15.75" customHeight="1" x14ac:dyDescent="0.45">
      <c r="B169" s="396">
        <v>4880455190</v>
      </c>
      <c r="C169" s="729" t="s">
        <v>869</v>
      </c>
      <c r="D169" s="723"/>
      <c r="E169" s="219">
        <v>2</v>
      </c>
      <c r="F169" s="219">
        <v>42</v>
      </c>
      <c r="G169" s="219"/>
      <c r="H169" s="509">
        <f>(F169/(0.02*40)/100)*(D161*0.0016)</f>
        <v>2.7720000000000002</v>
      </c>
      <c r="I169" s="507">
        <f t="shared" si="55"/>
        <v>8.5714285714285712</v>
      </c>
      <c r="J169" s="508">
        <f t="shared" si="56"/>
        <v>8.5714285714285712</v>
      </c>
      <c r="K169" s="508">
        <f>IF(D6=0,0,J169)</f>
        <v>0</v>
      </c>
      <c r="L169" s="194">
        <f t="shared" si="57"/>
        <v>0</v>
      </c>
      <c r="M169" s="576">
        <f t="shared" si="61"/>
        <v>0</v>
      </c>
      <c r="N169" s="505">
        <f t="shared" si="58"/>
        <v>161</v>
      </c>
      <c r="O169" s="505"/>
      <c r="P169" s="505"/>
      <c r="Q169" s="506">
        <v>322</v>
      </c>
      <c r="R169" s="61">
        <f t="shared" si="62"/>
        <v>0</v>
      </c>
      <c r="S169" s="57">
        <f t="shared" si="59"/>
        <v>0</v>
      </c>
      <c r="T169" s="57">
        <f t="shared" si="60"/>
        <v>0</v>
      </c>
    </row>
    <row r="170" spans="2:20" ht="15.75" customHeight="1" x14ac:dyDescent="0.45">
      <c r="B170" s="396">
        <v>8392013190</v>
      </c>
      <c r="C170" s="728" t="s">
        <v>865</v>
      </c>
      <c r="D170" s="723"/>
      <c r="E170" s="219">
        <v>2</v>
      </c>
      <c r="F170" s="219">
        <v>365</v>
      </c>
      <c r="G170" s="219"/>
      <c r="H170" s="509">
        <f>(F170/(0.027*50)/100)*(D161*0.013)</f>
        <v>115.98888888888888</v>
      </c>
      <c r="I170" s="507">
        <f t="shared" si="55"/>
        <v>0.98630136986301364</v>
      </c>
      <c r="J170" s="508">
        <f t="shared" si="56"/>
        <v>115.98888888888888</v>
      </c>
      <c r="K170" s="508">
        <f>IF(F6=0,0,J170)</f>
        <v>115.98888888888888</v>
      </c>
      <c r="L170" s="194">
        <f t="shared" si="57"/>
        <v>116</v>
      </c>
      <c r="M170" s="576">
        <f t="shared" si="61"/>
        <v>116</v>
      </c>
      <c r="N170" s="505">
        <f t="shared" si="58"/>
        <v>19.5</v>
      </c>
      <c r="O170" s="505"/>
      <c r="P170" s="505"/>
      <c r="Q170" s="506">
        <v>39</v>
      </c>
      <c r="R170" s="61">
        <f t="shared" si="62"/>
        <v>2262</v>
      </c>
      <c r="S170" s="57">
        <f t="shared" si="59"/>
        <v>58</v>
      </c>
      <c r="T170" s="57">
        <f t="shared" si="60"/>
        <v>58</v>
      </c>
    </row>
    <row r="171" spans="2:20" ht="15.75" customHeight="1" x14ac:dyDescent="0.45">
      <c r="B171" s="396">
        <v>10820652216</v>
      </c>
      <c r="C171" s="728" t="s">
        <v>864</v>
      </c>
      <c r="D171" s="723"/>
      <c r="E171" s="219">
        <v>1</v>
      </c>
      <c r="F171" s="219">
        <v>365</v>
      </c>
      <c r="G171" s="219"/>
      <c r="H171" s="509">
        <f>(F171/(0.026*50)/100)*(D161*0.009)</f>
        <v>83.388461538461542</v>
      </c>
      <c r="I171" s="507">
        <f t="shared" si="55"/>
        <v>0.98630136986301364</v>
      </c>
      <c r="J171" s="508">
        <f t="shared" si="56"/>
        <v>83.388461538461542</v>
      </c>
      <c r="K171" s="508">
        <f>IF(D6=0,0,J171)</f>
        <v>0</v>
      </c>
      <c r="L171" s="194">
        <f t="shared" si="57"/>
        <v>0</v>
      </c>
      <c r="M171" s="576">
        <f t="shared" si="61"/>
        <v>0</v>
      </c>
      <c r="N171" s="505">
        <f t="shared" si="58"/>
        <v>92</v>
      </c>
      <c r="O171" s="505"/>
      <c r="P171" s="505"/>
      <c r="Q171" s="506">
        <v>92</v>
      </c>
      <c r="R171" s="61">
        <f t="shared" si="62"/>
        <v>0</v>
      </c>
      <c r="S171" s="57">
        <f t="shared" si="59"/>
        <v>0</v>
      </c>
      <c r="T171" s="57">
        <f t="shared" si="60"/>
        <v>0</v>
      </c>
    </row>
    <row r="172" spans="2:20" ht="15.75" customHeight="1" x14ac:dyDescent="0.45">
      <c r="B172" s="396">
        <v>3149501001</v>
      </c>
      <c r="C172" s="728" t="s">
        <v>827</v>
      </c>
      <c r="D172" s="723"/>
      <c r="E172" s="219">
        <v>1</v>
      </c>
      <c r="F172" s="219">
        <v>168</v>
      </c>
      <c r="G172" s="219"/>
      <c r="H172" s="509">
        <f>30*BC!$B$47/F172</f>
        <v>0</v>
      </c>
      <c r="I172" s="507">
        <f t="shared" si="55"/>
        <v>2.1428571428571428</v>
      </c>
      <c r="J172" s="508">
        <f t="shared" si="56"/>
        <v>2.1428571428571428</v>
      </c>
      <c r="K172" s="508">
        <f>IF(H172=0,0,J172)</f>
        <v>0</v>
      </c>
      <c r="L172" s="194">
        <f t="shared" si="57"/>
        <v>0</v>
      </c>
      <c r="M172" s="576">
        <f t="shared" si="61"/>
        <v>0</v>
      </c>
      <c r="N172" s="505">
        <f t="shared" si="58"/>
        <v>755</v>
      </c>
      <c r="O172" s="505"/>
      <c r="P172" s="505"/>
      <c r="Q172" s="506">
        <v>755</v>
      </c>
      <c r="R172" s="61">
        <f t="shared" si="62"/>
        <v>0</v>
      </c>
      <c r="S172" s="57">
        <f t="shared" si="59"/>
        <v>0</v>
      </c>
      <c r="T172" s="57">
        <f t="shared" si="60"/>
        <v>0</v>
      </c>
    </row>
    <row r="173" spans="2:20" ht="15.75" customHeight="1" x14ac:dyDescent="0.45">
      <c r="B173" s="396">
        <v>10825468001</v>
      </c>
      <c r="C173" s="728" t="s">
        <v>828</v>
      </c>
      <c r="D173" s="723"/>
      <c r="E173" s="219">
        <v>1</v>
      </c>
      <c r="F173" s="219">
        <v>56</v>
      </c>
      <c r="G173" s="219"/>
      <c r="H173" s="509">
        <f>30*BC!$B$47/F173</f>
        <v>0</v>
      </c>
      <c r="I173" s="507">
        <f t="shared" si="55"/>
        <v>6.4285714285714288</v>
      </c>
      <c r="J173" s="508">
        <f t="shared" si="56"/>
        <v>6.4285714285714288</v>
      </c>
      <c r="K173" s="508">
        <f>IF(H173=0,0,J173)</f>
        <v>0</v>
      </c>
      <c r="L173" s="194">
        <f t="shared" si="57"/>
        <v>0</v>
      </c>
      <c r="M173" s="576">
        <f t="shared" si="61"/>
        <v>0</v>
      </c>
      <c r="N173" s="505">
        <f t="shared" si="58"/>
        <v>812</v>
      </c>
      <c r="O173" s="505"/>
      <c r="P173" s="505"/>
      <c r="Q173" s="506">
        <v>812</v>
      </c>
      <c r="R173" s="61">
        <f t="shared" si="62"/>
        <v>0</v>
      </c>
      <c r="S173" s="57">
        <f t="shared" si="59"/>
        <v>0</v>
      </c>
      <c r="T173" s="57">
        <f t="shared" si="60"/>
        <v>0</v>
      </c>
    </row>
    <row r="174" spans="2:20" ht="15.75" customHeight="1" x14ac:dyDescent="0.45">
      <c r="B174" s="396">
        <v>10825441001</v>
      </c>
      <c r="C174" s="728" t="s">
        <v>829</v>
      </c>
      <c r="D174" s="723"/>
      <c r="E174" s="219">
        <v>1</v>
      </c>
      <c r="F174" s="219">
        <v>56</v>
      </c>
      <c r="G174" s="219"/>
      <c r="H174" s="509">
        <f>30*BC!$B$47/F174</f>
        <v>0</v>
      </c>
      <c r="I174" s="507">
        <f t="shared" si="55"/>
        <v>6.4285714285714288</v>
      </c>
      <c r="J174" s="508">
        <f t="shared" si="56"/>
        <v>6.4285714285714288</v>
      </c>
      <c r="K174" s="508">
        <f>IF(H174=0,0,J174)</f>
        <v>0</v>
      </c>
      <c r="L174" s="194">
        <f t="shared" si="57"/>
        <v>0</v>
      </c>
      <c r="M174" s="576">
        <f t="shared" si="61"/>
        <v>0</v>
      </c>
      <c r="N174" s="505">
        <f t="shared" si="58"/>
        <v>812</v>
      </c>
      <c r="O174" s="505"/>
      <c r="P174" s="505"/>
      <c r="Q174" s="506">
        <v>812</v>
      </c>
      <c r="R174" s="61">
        <f t="shared" si="62"/>
        <v>0</v>
      </c>
      <c r="S174" s="57">
        <f t="shared" si="59"/>
        <v>0</v>
      </c>
      <c r="T174" s="57">
        <f t="shared" si="60"/>
        <v>0</v>
      </c>
    </row>
    <row r="175" spans="2:20" ht="15.75" customHeight="1" x14ac:dyDescent="0.45">
      <c r="B175" s="396">
        <v>3246353001</v>
      </c>
      <c r="C175" s="728" t="s">
        <v>830</v>
      </c>
      <c r="D175" s="723"/>
      <c r="E175" s="219">
        <v>1</v>
      </c>
      <c r="F175" s="219">
        <v>56</v>
      </c>
      <c r="G175" s="219"/>
      <c r="H175" s="509">
        <f>30*BC!$B$47/F175</f>
        <v>0</v>
      </c>
      <c r="I175" s="507">
        <f t="shared" si="55"/>
        <v>6.4285714285714288</v>
      </c>
      <c r="J175" s="508">
        <f t="shared" si="56"/>
        <v>6.4285714285714288</v>
      </c>
      <c r="K175" s="508">
        <f>IF(H175=0,0,J175)</f>
        <v>0</v>
      </c>
      <c r="L175" s="194">
        <f t="shared" si="57"/>
        <v>0</v>
      </c>
      <c r="M175" s="576">
        <f t="shared" si="61"/>
        <v>0</v>
      </c>
      <c r="N175" s="505">
        <f t="shared" si="58"/>
        <v>1135</v>
      </c>
      <c r="O175" s="505"/>
      <c r="P175" s="505"/>
      <c r="Q175" s="506">
        <v>1135</v>
      </c>
      <c r="R175" s="61">
        <f t="shared" si="62"/>
        <v>0</v>
      </c>
      <c r="S175" s="57">
        <f t="shared" si="59"/>
        <v>0</v>
      </c>
      <c r="T175" s="57">
        <f t="shared" si="60"/>
        <v>0</v>
      </c>
    </row>
    <row r="176" spans="2:20" ht="15.75" customHeight="1" x14ac:dyDescent="0.45">
      <c r="B176" s="97"/>
      <c r="C176" s="97"/>
      <c r="D176" s="97"/>
      <c r="E176" s="102"/>
      <c r="F176" s="102"/>
      <c r="G176" s="251"/>
      <c r="H176" s="416"/>
      <c r="I176" s="416"/>
      <c r="J176" s="97"/>
      <c r="K176" s="97"/>
      <c r="L176" s="97"/>
      <c r="Q176" s="438" t="s">
        <v>48</v>
      </c>
      <c r="R176" s="221">
        <f>SUM(R161:R175)</f>
        <v>4950.833333333333</v>
      </c>
      <c r="S176" s="97"/>
      <c r="T176" s="97"/>
    </row>
    <row r="177" spans="2:20" ht="15.75" customHeight="1" x14ac:dyDescent="0.45">
      <c r="B177" s="97"/>
      <c r="C177" s="97"/>
      <c r="D177" s="97"/>
      <c r="E177" s="102"/>
      <c r="F177" s="102"/>
      <c r="G177" s="251"/>
      <c r="H177" s="416"/>
      <c r="I177" s="416"/>
      <c r="J177" s="97"/>
      <c r="K177" s="97"/>
      <c r="L177" s="97"/>
      <c r="Q177" s="438" t="s">
        <v>835</v>
      </c>
      <c r="R177" s="221">
        <f>R176/D161</f>
        <v>1.5002525252525252</v>
      </c>
      <c r="S177" s="97"/>
      <c r="T177" s="97"/>
    </row>
    <row r="178" spans="2:20" ht="15.75" customHeight="1" x14ac:dyDescent="0.45">
      <c r="B178" s="97"/>
      <c r="C178" s="97"/>
      <c r="D178" s="97"/>
      <c r="E178" s="102"/>
      <c r="F178" s="102"/>
      <c r="G178" s="251"/>
      <c r="H178" s="416"/>
      <c r="I178" s="416"/>
      <c r="J178" s="97"/>
      <c r="K178" s="97"/>
      <c r="L178" s="97"/>
      <c r="M178" s="97"/>
      <c r="N178" s="97"/>
      <c r="O178" s="97"/>
      <c r="P178" s="97"/>
      <c r="Q178" s="577" t="s">
        <v>870</v>
      </c>
      <c r="R178" s="385">
        <f>R177/3</f>
        <v>0.50008417508417502</v>
      </c>
      <c r="S178" s="97"/>
      <c r="T178" s="97"/>
    </row>
    <row r="179" spans="2:20" ht="15.75" customHeight="1" x14ac:dyDescent="0.45">
      <c r="B179" s="97"/>
      <c r="C179" s="97"/>
      <c r="D179" s="97"/>
      <c r="E179" s="102"/>
      <c r="F179" s="102"/>
      <c r="G179" s="251"/>
      <c r="H179" s="416"/>
      <c r="I179" s="416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</row>
    <row r="180" spans="2:20" ht="15.75" customHeight="1" x14ac:dyDescent="0.45">
      <c r="B180" s="97"/>
      <c r="C180" s="97"/>
      <c r="D180" s="97"/>
      <c r="E180" s="102"/>
      <c r="F180" s="102"/>
      <c r="G180" s="251"/>
      <c r="H180" s="416"/>
      <c r="I180" s="416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</row>
    <row r="181" spans="2:20" ht="15.75" customHeight="1" x14ac:dyDescent="0.45">
      <c r="B181" s="97"/>
      <c r="C181" s="97"/>
      <c r="D181" s="97"/>
      <c r="E181" s="102"/>
      <c r="F181" s="102"/>
      <c r="G181" s="251"/>
      <c r="H181" s="416"/>
      <c r="I181" s="416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</row>
    <row r="182" spans="2:20" ht="15.75" customHeight="1" x14ac:dyDescent="0.45">
      <c r="B182" s="97"/>
      <c r="C182" s="97"/>
      <c r="D182" s="97"/>
      <c r="E182" s="102"/>
      <c r="F182" s="102"/>
      <c r="G182" s="251"/>
      <c r="H182" s="416"/>
      <c r="I182" s="416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</row>
    <row r="183" spans="2:20" ht="15.75" customHeight="1" x14ac:dyDescent="0.45">
      <c r="B183" s="97"/>
      <c r="C183" s="97"/>
      <c r="D183" s="97"/>
      <c r="E183" s="102"/>
      <c r="F183" s="102"/>
      <c r="G183" s="251"/>
      <c r="H183" s="416"/>
      <c r="I183" s="416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</row>
    <row r="184" spans="2:20" ht="15.75" customHeight="1" x14ac:dyDescent="0.45">
      <c r="B184" s="97"/>
      <c r="C184" s="97"/>
      <c r="D184" s="97"/>
      <c r="E184" s="102"/>
      <c r="F184" s="102"/>
      <c r="G184" s="251"/>
      <c r="H184" s="416"/>
      <c r="I184" s="416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</row>
    <row r="185" spans="2:20" ht="15.75" customHeight="1" x14ac:dyDescent="0.45">
      <c r="B185" s="97"/>
      <c r="C185" s="97"/>
      <c r="D185" s="97"/>
      <c r="E185" s="102"/>
      <c r="F185" s="102"/>
      <c r="G185" s="251"/>
      <c r="H185" s="416"/>
      <c r="I185" s="416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</row>
    <row r="186" spans="2:20" ht="15.75" customHeight="1" x14ac:dyDescent="0.45">
      <c r="B186" s="97"/>
      <c r="C186" s="97"/>
      <c r="D186" s="97"/>
      <c r="E186" s="102"/>
      <c r="F186" s="102"/>
      <c r="G186" s="251"/>
      <c r="H186" s="416"/>
      <c r="I186" s="416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</row>
    <row r="187" spans="2:20" ht="15.75" customHeight="1" x14ac:dyDescent="0.45">
      <c r="B187" s="97"/>
      <c r="C187" s="97"/>
      <c r="D187" s="97"/>
      <c r="E187" s="102"/>
      <c r="F187" s="102"/>
      <c r="G187" s="251"/>
      <c r="H187" s="416"/>
      <c r="I187" s="416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</row>
    <row r="188" spans="2:20" ht="15.75" customHeight="1" x14ac:dyDescent="0.45">
      <c r="B188" s="97"/>
      <c r="C188" s="97"/>
      <c r="D188" s="97"/>
      <c r="E188" s="102"/>
      <c r="F188" s="102"/>
      <c r="G188" s="251"/>
      <c r="H188" s="416"/>
      <c r="I188" s="416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</row>
    <row r="189" spans="2:20" ht="15.75" customHeight="1" x14ac:dyDescent="0.45">
      <c r="B189" s="97"/>
      <c r="C189" s="97"/>
      <c r="D189" s="97"/>
      <c r="E189" s="102"/>
      <c r="F189" s="102"/>
      <c r="G189" s="251"/>
      <c r="H189" s="416"/>
      <c r="I189" s="416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</row>
    <row r="190" spans="2:20" ht="15.75" customHeight="1" x14ac:dyDescent="0.45">
      <c r="B190" s="97"/>
      <c r="C190" s="97"/>
      <c r="D190" s="97"/>
      <c r="E190" s="102"/>
      <c r="F190" s="102"/>
      <c r="G190" s="251"/>
      <c r="H190" s="416"/>
      <c r="I190" s="416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</row>
    <row r="191" spans="2:20" ht="15.75" customHeight="1" x14ac:dyDescent="0.45">
      <c r="B191" s="97"/>
      <c r="C191" s="97"/>
      <c r="D191" s="97"/>
      <c r="E191" s="102"/>
      <c r="F191" s="102"/>
      <c r="G191" s="251"/>
      <c r="H191" s="416"/>
      <c r="I191" s="416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</row>
    <row r="192" spans="2:20" ht="15.75" customHeight="1" x14ac:dyDescent="0.45">
      <c r="B192" s="97"/>
      <c r="C192" s="97"/>
      <c r="D192" s="97"/>
      <c r="E192" s="102"/>
      <c r="F192" s="102"/>
      <c r="G192" s="251"/>
      <c r="H192" s="416"/>
      <c r="I192" s="416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</row>
    <row r="193" spans="2:20" ht="15.75" customHeight="1" x14ac:dyDescent="0.45">
      <c r="B193" s="97"/>
      <c r="C193" s="97"/>
      <c r="D193" s="97"/>
      <c r="E193" s="102"/>
      <c r="F193" s="102"/>
      <c r="G193" s="251"/>
      <c r="H193" s="416"/>
      <c r="I193" s="416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</row>
    <row r="194" spans="2:20" ht="15.75" customHeight="1" x14ac:dyDescent="0.45">
      <c r="B194" s="97"/>
      <c r="C194" s="97"/>
      <c r="D194" s="97"/>
      <c r="E194" s="102"/>
      <c r="F194" s="102"/>
      <c r="G194" s="251"/>
      <c r="H194" s="416"/>
      <c r="I194" s="416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</row>
    <row r="195" spans="2:20" ht="15.75" customHeight="1" x14ac:dyDescent="0.45">
      <c r="B195" s="97"/>
      <c r="C195" s="97"/>
      <c r="D195" s="97"/>
      <c r="E195" s="102"/>
      <c r="F195" s="102"/>
      <c r="G195" s="251"/>
      <c r="H195" s="416"/>
      <c r="I195" s="416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</row>
    <row r="196" spans="2:20" ht="15.75" customHeight="1" x14ac:dyDescent="0.45">
      <c r="B196" s="97"/>
      <c r="C196" s="97"/>
      <c r="D196" s="97"/>
      <c r="E196" s="102"/>
      <c r="F196" s="102"/>
      <c r="G196" s="251"/>
      <c r="H196" s="416"/>
      <c r="I196" s="416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</row>
    <row r="197" spans="2:20" ht="15.75" customHeight="1" x14ac:dyDescent="0.45">
      <c r="B197" s="97"/>
      <c r="C197" s="97"/>
      <c r="D197" s="97"/>
      <c r="E197" s="102"/>
      <c r="F197" s="102"/>
      <c r="G197" s="251"/>
      <c r="H197" s="416"/>
      <c r="I197" s="416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</row>
    <row r="198" spans="2:20" ht="15.75" customHeight="1" x14ac:dyDescent="0.45">
      <c r="B198" s="97"/>
      <c r="C198" s="97"/>
      <c r="D198" s="97"/>
      <c r="E198" s="102"/>
      <c r="F198" s="102"/>
      <c r="G198" s="251"/>
      <c r="H198" s="416"/>
      <c r="I198" s="416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</row>
    <row r="199" spans="2:20" ht="15.75" customHeight="1" x14ac:dyDescent="0.45">
      <c r="B199" s="97"/>
      <c r="C199" s="97"/>
      <c r="D199" s="97"/>
      <c r="E199" s="102"/>
      <c r="F199" s="102"/>
      <c r="G199" s="251"/>
      <c r="H199" s="416"/>
      <c r="I199" s="416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</row>
    <row r="200" spans="2:20" ht="15.75" customHeight="1" x14ac:dyDescent="0.45">
      <c r="B200" s="97"/>
      <c r="C200" s="97"/>
      <c r="D200" s="97"/>
      <c r="E200" s="102"/>
      <c r="F200" s="102"/>
      <c r="G200" s="251"/>
      <c r="H200" s="416"/>
      <c r="I200" s="416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</row>
    <row r="201" spans="2:20" ht="15.75" customHeight="1" x14ac:dyDescent="0.45">
      <c r="B201" s="97"/>
      <c r="C201" s="97"/>
      <c r="D201" s="97"/>
      <c r="E201" s="102"/>
      <c r="F201" s="102"/>
      <c r="G201" s="251"/>
      <c r="H201" s="416"/>
      <c r="I201" s="416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</row>
    <row r="202" spans="2:20" ht="15.75" customHeight="1" x14ac:dyDescent="0.45">
      <c r="B202" s="97"/>
      <c r="C202" s="97"/>
      <c r="D202" s="97"/>
      <c r="E202" s="102"/>
      <c r="F202" s="102"/>
      <c r="G202" s="251"/>
      <c r="H202" s="416"/>
      <c r="I202" s="416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</row>
    <row r="203" spans="2:20" ht="15.75" customHeight="1" x14ac:dyDescent="0.45">
      <c r="B203" s="97"/>
      <c r="C203" s="97"/>
      <c r="D203" s="97"/>
      <c r="E203" s="102"/>
      <c r="F203" s="102"/>
      <c r="G203" s="251"/>
      <c r="H203" s="416"/>
      <c r="I203" s="416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</row>
    <row r="204" spans="2:20" ht="15.75" customHeight="1" x14ac:dyDescent="0.45">
      <c r="B204" s="97"/>
      <c r="C204" s="97"/>
      <c r="D204" s="97"/>
      <c r="E204" s="102"/>
      <c r="F204" s="102"/>
      <c r="G204" s="251"/>
      <c r="H204" s="416"/>
      <c r="I204" s="416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</row>
    <row r="205" spans="2:20" ht="15.75" customHeight="1" x14ac:dyDescent="0.45">
      <c r="B205" s="97"/>
      <c r="C205" s="97"/>
      <c r="D205" s="97"/>
      <c r="E205" s="102"/>
      <c r="F205" s="102"/>
      <c r="G205" s="251"/>
      <c r="H205" s="416"/>
      <c r="I205" s="416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</row>
    <row r="206" spans="2:20" ht="15.75" customHeight="1" x14ac:dyDescent="0.45">
      <c r="B206" s="97"/>
      <c r="C206" s="97"/>
      <c r="D206" s="97"/>
      <c r="E206" s="102"/>
      <c r="F206" s="102"/>
      <c r="G206" s="251"/>
      <c r="H206" s="416"/>
      <c r="I206" s="416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</row>
    <row r="207" spans="2:20" ht="15.75" customHeight="1" x14ac:dyDescent="0.45">
      <c r="B207" s="97"/>
      <c r="C207" s="97"/>
      <c r="D207" s="97"/>
      <c r="E207" s="102"/>
      <c r="F207" s="102"/>
      <c r="G207" s="251"/>
      <c r="H207" s="416"/>
      <c r="I207" s="416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</row>
    <row r="208" spans="2:20" ht="15.75" customHeight="1" x14ac:dyDescent="0.45">
      <c r="B208" s="97"/>
      <c r="C208" s="97"/>
      <c r="D208" s="97"/>
      <c r="E208" s="102"/>
      <c r="F208" s="102"/>
      <c r="G208" s="251"/>
      <c r="H208" s="416"/>
      <c r="I208" s="416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</row>
    <row r="209" spans="2:20" ht="15.75" customHeight="1" x14ac:dyDescent="0.45">
      <c r="B209" s="97"/>
      <c r="C209" s="97"/>
      <c r="D209" s="97"/>
      <c r="E209" s="102"/>
      <c r="F209" s="102"/>
      <c r="G209" s="251"/>
      <c r="H209" s="416"/>
      <c r="I209" s="416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</row>
    <row r="210" spans="2:20" ht="15.75" customHeight="1" x14ac:dyDescent="0.45">
      <c r="B210" s="97"/>
      <c r="C210" s="97"/>
      <c r="D210" s="97"/>
      <c r="E210" s="102"/>
      <c r="F210" s="102"/>
      <c r="G210" s="251"/>
      <c r="H210" s="416"/>
      <c r="I210" s="416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</row>
    <row r="211" spans="2:20" ht="15.75" customHeight="1" x14ac:dyDescent="0.45">
      <c r="B211" s="97"/>
      <c r="C211" s="97"/>
      <c r="D211" s="97"/>
      <c r="E211" s="102"/>
      <c r="F211" s="102"/>
      <c r="G211" s="251"/>
      <c r="H211" s="416"/>
      <c r="I211" s="416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</row>
    <row r="212" spans="2:20" ht="15.75" customHeight="1" x14ac:dyDescent="0.45">
      <c r="B212" s="97"/>
      <c r="C212" s="97"/>
      <c r="D212" s="97"/>
      <c r="E212" s="102"/>
      <c r="F212" s="102"/>
      <c r="G212" s="251"/>
      <c r="H212" s="416"/>
      <c r="I212" s="416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</row>
    <row r="213" spans="2:20" ht="15.75" customHeight="1" x14ac:dyDescent="0.45">
      <c r="B213" s="97"/>
      <c r="C213" s="97"/>
      <c r="D213" s="97"/>
      <c r="E213" s="102"/>
      <c r="F213" s="102"/>
      <c r="G213" s="251"/>
      <c r="H213" s="416"/>
      <c r="I213" s="416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</row>
    <row r="214" spans="2:20" ht="15.75" customHeight="1" x14ac:dyDescent="0.45">
      <c r="B214" s="97"/>
      <c r="C214" s="97"/>
      <c r="D214" s="97"/>
      <c r="E214" s="102"/>
      <c r="F214" s="102"/>
      <c r="G214" s="251"/>
      <c r="H214" s="416"/>
      <c r="I214" s="416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</row>
    <row r="215" spans="2:20" ht="15.75" customHeight="1" x14ac:dyDescent="0.45">
      <c r="B215" s="97"/>
      <c r="C215" s="97"/>
      <c r="D215" s="97"/>
      <c r="E215" s="102"/>
      <c r="F215" s="102"/>
      <c r="G215" s="251"/>
      <c r="H215" s="416"/>
      <c r="I215" s="416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</row>
    <row r="216" spans="2:20" ht="15.75" customHeight="1" x14ac:dyDescent="0.45">
      <c r="B216" s="97"/>
      <c r="C216" s="97"/>
      <c r="D216" s="97"/>
      <c r="E216" s="102"/>
      <c r="F216" s="102"/>
      <c r="G216" s="251"/>
      <c r="H216" s="416"/>
      <c r="I216" s="416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</row>
    <row r="217" spans="2:20" ht="15.75" customHeight="1" x14ac:dyDescent="0.45">
      <c r="B217" s="97"/>
      <c r="C217" s="97"/>
      <c r="D217" s="97"/>
      <c r="E217" s="102"/>
      <c r="F217" s="102"/>
      <c r="G217" s="251"/>
      <c r="H217" s="416"/>
      <c r="I217" s="416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</row>
    <row r="218" spans="2:20" ht="15.75" customHeight="1" x14ac:dyDescent="0.45">
      <c r="B218" s="97"/>
      <c r="C218" s="97"/>
      <c r="D218" s="97"/>
      <c r="E218" s="102"/>
      <c r="F218" s="102"/>
      <c r="G218" s="251"/>
      <c r="H218" s="416"/>
      <c r="I218" s="416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</row>
    <row r="219" spans="2:20" ht="15.75" customHeight="1" x14ac:dyDescent="0.45">
      <c r="B219" s="97"/>
      <c r="C219" s="97"/>
      <c r="D219" s="97"/>
      <c r="E219" s="102"/>
      <c r="F219" s="102"/>
      <c r="G219" s="251"/>
      <c r="H219" s="416"/>
      <c r="I219" s="416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</row>
    <row r="220" spans="2:20" ht="15.75" customHeight="1" x14ac:dyDescent="0.45">
      <c r="B220" s="97"/>
      <c r="C220" s="97"/>
      <c r="D220" s="97"/>
      <c r="E220" s="102"/>
      <c r="F220" s="102"/>
      <c r="G220" s="251"/>
      <c r="H220" s="416"/>
      <c r="I220" s="416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</row>
    <row r="221" spans="2:20" ht="15.75" customHeight="1" x14ac:dyDescent="0.45">
      <c r="B221" s="97"/>
      <c r="C221" s="97"/>
      <c r="D221" s="97"/>
      <c r="E221" s="102"/>
      <c r="F221" s="102"/>
      <c r="G221" s="251"/>
      <c r="H221" s="416"/>
      <c r="I221" s="416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</row>
    <row r="222" spans="2:20" ht="15.75" customHeight="1" x14ac:dyDescent="0.45">
      <c r="B222" s="97"/>
      <c r="C222" s="97"/>
      <c r="D222" s="97"/>
      <c r="E222" s="102"/>
      <c r="F222" s="102"/>
      <c r="G222" s="251"/>
      <c r="H222" s="416"/>
      <c r="I222" s="416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</row>
    <row r="223" spans="2:20" ht="15.75" customHeight="1" x14ac:dyDescent="0.45">
      <c r="B223" s="97"/>
      <c r="C223" s="97"/>
      <c r="D223" s="97"/>
      <c r="E223" s="102"/>
      <c r="F223" s="102"/>
      <c r="G223" s="251"/>
      <c r="H223" s="416"/>
      <c r="I223" s="416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</row>
    <row r="224" spans="2:20" ht="15.75" customHeight="1" x14ac:dyDescent="0.45">
      <c r="B224" s="97"/>
      <c r="C224" s="97"/>
      <c r="D224" s="97"/>
      <c r="E224" s="102"/>
      <c r="F224" s="102"/>
      <c r="G224" s="251"/>
      <c r="H224" s="416"/>
      <c r="I224" s="416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</row>
    <row r="225" spans="2:20" ht="15.75" customHeight="1" x14ac:dyDescent="0.45">
      <c r="B225" s="97"/>
      <c r="C225" s="97"/>
      <c r="D225" s="97"/>
      <c r="E225" s="102"/>
      <c r="F225" s="102"/>
      <c r="G225" s="251"/>
      <c r="H225" s="416"/>
      <c r="I225" s="416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</row>
    <row r="226" spans="2:20" ht="15.75" customHeight="1" x14ac:dyDescent="0.45">
      <c r="B226" s="97"/>
      <c r="C226" s="97"/>
      <c r="D226" s="97"/>
      <c r="E226" s="102"/>
      <c r="F226" s="102"/>
      <c r="G226" s="251"/>
      <c r="H226" s="416"/>
      <c r="I226" s="416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</row>
    <row r="227" spans="2:20" ht="15.75" customHeight="1" x14ac:dyDescent="0.45">
      <c r="B227" s="97"/>
      <c r="C227" s="97"/>
      <c r="D227" s="97"/>
      <c r="E227" s="102"/>
      <c r="F227" s="102"/>
      <c r="G227" s="251"/>
      <c r="H227" s="416"/>
      <c r="I227" s="416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</row>
    <row r="228" spans="2:20" ht="15.75" customHeight="1" x14ac:dyDescent="0.45">
      <c r="B228" s="97"/>
      <c r="C228" s="97"/>
      <c r="D228" s="97"/>
      <c r="E228" s="102"/>
      <c r="F228" s="102"/>
      <c r="G228" s="251"/>
      <c r="H228" s="416"/>
      <c r="I228" s="416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</row>
    <row r="229" spans="2:20" ht="15.75" customHeight="1" x14ac:dyDescent="0.45">
      <c r="B229" s="97"/>
      <c r="C229" s="97"/>
      <c r="D229" s="97"/>
      <c r="E229" s="102"/>
      <c r="F229" s="102"/>
      <c r="G229" s="251"/>
      <c r="H229" s="416"/>
      <c r="I229" s="416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</row>
    <row r="230" spans="2:20" ht="15.75" customHeight="1" x14ac:dyDescent="0.45">
      <c r="B230" s="97"/>
      <c r="C230" s="97"/>
      <c r="D230" s="97"/>
      <c r="E230" s="102"/>
      <c r="F230" s="102"/>
      <c r="G230" s="251"/>
      <c r="H230" s="416"/>
      <c r="I230" s="416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</row>
    <row r="231" spans="2:20" ht="15.75" customHeight="1" x14ac:dyDescent="0.45">
      <c r="B231" s="97"/>
      <c r="C231" s="97"/>
      <c r="D231" s="97"/>
      <c r="E231" s="102"/>
      <c r="F231" s="102"/>
      <c r="G231" s="251"/>
      <c r="H231" s="416"/>
      <c r="I231" s="416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</row>
    <row r="232" spans="2:20" ht="15.75" customHeight="1" x14ac:dyDescent="0.45">
      <c r="B232" s="97"/>
      <c r="C232" s="97"/>
      <c r="D232" s="97"/>
      <c r="E232" s="102"/>
      <c r="F232" s="102"/>
      <c r="G232" s="251"/>
      <c r="H232" s="416"/>
      <c r="I232" s="416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</row>
    <row r="233" spans="2:20" ht="15.75" customHeight="1" x14ac:dyDescent="0.45">
      <c r="B233" s="97"/>
      <c r="C233" s="97"/>
      <c r="D233" s="97"/>
      <c r="E233" s="102"/>
      <c r="F233" s="102"/>
      <c r="G233" s="251"/>
      <c r="H233" s="416"/>
      <c r="I233" s="416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</row>
    <row r="234" spans="2:20" ht="15.75" customHeight="1" x14ac:dyDescent="0.45">
      <c r="B234" s="97"/>
      <c r="C234" s="97"/>
      <c r="D234" s="97"/>
      <c r="E234" s="102"/>
      <c r="F234" s="102"/>
      <c r="G234" s="251"/>
      <c r="H234" s="416"/>
      <c r="I234" s="416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</row>
    <row r="235" spans="2:20" ht="15.75" customHeight="1" x14ac:dyDescent="0.45">
      <c r="B235" s="97"/>
      <c r="C235" s="97"/>
      <c r="D235" s="97"/>
      <c r="E235" s="102"/>
      <c r="F235" s="102"/>
      <c r="G235" s="251"/>
      <c r="H235" s="416"/>
      <c r="I235" s="416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</row>
    <row r="236" spans="2:20" ht="15.75" customHeight="1" x14ac:dyDescent="0.45">
      <c r="B236" s="97"/>
      <c r="C236" s="97"/>
      <c r="D236" s="97"/>
      <c r="E236" s="102"/>
      <c r="F236" s="102"/>
      <c r="G236" s="251"/>
      <c r="H236" s="416"/>
      <c r="I236" s="416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</row>
    <row r="237" spans="2:20" ht="15.75" customHeight="1" x14ac:dyDescent="0.45">
      <c r="B237" s="97"/>
      <c r="C237" s="97"/>
      <c r="D237" s="97"/>
      <c r="E237" s="102"/>
      <c r="F237" s="102"/>
      <c r="G237" s="251"/>
      <c r="H237" s="416"/>
      <c r="I237" s="416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</row>
    <row r="238" spans="2:20" ht="15.75" customHeight="1" x14ac:dyDescent="0.45">
      <c r="B238" s="97"/>
      <c r="C238" s="97"/>
      <c r="D238" s="97"/>
      <c r="E238" s="102"/>
      <c r="F238" s="102"/>
      <c r="G238" s="251"/>
      <c r="H238" s="416"/>
      <c r="I238" s="416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</row>
    <row r="239" spans="2:20" ht="15.75" customHeight="1" x14ac:dyDescent="0.45">
      <c r="B239" s="97"/>
      <c r="C239" s="97"/>
      <c r="D239" s="97"/>
      <c r="E239" s="102"/>
      <c r="F239" s="102"/>
      <c r="G239" s="251"/>
      <c r="H239" s="416"/>
      <c r="I239" s="416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</row>
    <row r="240" spans="2:20" ht="15.75" customHeight="1" x14ac:dyDescent="0.45">
      <c r="B240" s="97"/>
      <c r="C240" s="97"/>
      <c r="D240" s="97"/>
      <c r="E240" s="102"/>
      <c r="F240" s="102"/>
      <c r="G240" s="251"/>
      <c r="H240" s="416"/>
      <c r="I240" s="416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</row>
    <row r="241" spans="2:20" ht="15.75" customHeight="1" x14ac:dyDescent="0.45">
      <c r="B241" s="97"/>
      <c r="C241" s="97"/>
      <c r="D241" s="97"/>
      <c r="E241" s="102"/>
      <c r="F241" s="102"/>
      <c r="G241" s="251"/>
      <c r="H241" s="416"/>
      <c r="I241" s="416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</row>
    <row r="242" spans="2:20" ht="15.75" customHeight="1" x14ac:dyDescent="0.45">
      <c r="B242" s="97"/>
      <c r="C242" s="97"/>
      <c r="D242" s="97"/>
      <c r="E242" s="102"/>
      <c r="F242" s="102"/>
      <c r="G242" s="251"/>
      <c r="H242" s="416"/>
      <c r="I242" s="416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</row>
    <row r="243" spans="2:20" ht="15.75" customHeight="1" x14ac:dyDescent="0.45">
      <c r="B243" s="97"/>
      <c r="C243" s="97"/>
      <c r="D243" s="97"/>
      <c r="E243" s="102"/>
      <c r="F243" s="102"/>
      <c r="G243" s="251"/>
      <c r="H243" s="416"/>
      <c r="I243" s="416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</row>
    <row r="244" spans="2:20" ht="15.75" customHeight="1" x14ac:dyDescent="0.45">
      <c r="B244" s="97"/>
      <c r="C244" s="97"/>
      <c r="D244" s="97"/>
      <c r="E244" s="102"/>
      <c r="F244" s="102"/>
      <c r="G244" s="251"/>
      <c r="H244" s="416"/>
      <c r="I244" s="416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</row>
    <row r="245" spans="2:20" ht="15.75" customHeight="1" x14ac:dyDescent="0.45">
      <c r="B245" s="97"/>
      <c r="C245" s="97"/>
      <c r="D245" s="97"/>
      <c r="E245" s="102"/>
      <c r="F245" s="102"/>
      <c r="G245" s="251"/>
      <c r="H245" s="416"/>
      <c r="I245" s="416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</row>
    <row r="246" spans="2:20" ht="15.75" customHeight="1" x14ac:dyDescent="0.45">
      <c r="B246" s="97"/>
      <c r="C246" s="97"/>
      <c r="D246" s="97"/>
      <c r="E246" s="102"/>
      <c r="F246" s="102"/>
      <c r="G246" s="251"/>
      <c r="H246" s="416"/>
      <c r="I246" s="416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</row>
    <row r="247" spans="2:20" ht="15.75" customHeight="1" x14ac:dyDescent="0.45">
      <c r="B247" s="97"/>
      <c r="C247" s="97"/>
      <c r="D247" s="97"/>
      <c r="E247" s="102"/>
      <c r="F247" s="102"/>
      <c r="G247" s="251"/>
      <c r="H247" s="416"/>
      <c r="I247" s="416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</row>
    <row r="248" spans="2:20" ht="15.75" customHeight="1" x14ac:dyDescent="0.45">
      <c r="B248" s="97"/>
      <c r="C248" s="97"/>
      <c r="D248" s="97"/>
      <c r="E248" s="102"/>
      <c r="F248" s="102"/>
      <c r="G248" s="251"/>
      <c r="H248" s="416"/>
      <c r="I248" s="416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</row>
    <row r="249" spans="2:20" ht="15.75" customHeight="1" x14ac:dyDescent="0.45">
      <c r="B249" s="97"/>
      <c r="C249" s="97"/>
      <c r="D249" s="97"/>
      <c r="E249" s="102"/>
      <c r="F249" s="102"/>
      <c r="G249" s="251"/>
      <c r="H249" s="416"/>
      <c r="I249" s="416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</row>
    <row r="250" spans="2:20" ht="15.75" customHeight="1" x14ac:dyDescent="0.45">
      <c r="B250" s="97"/>
      <c r="C250" s="97"/>
      <c r="D250" s="97"/>
      <c r="E250" s="102"/>
      <c r="F250" s="102"/>
      <c r="G250" s="251"/>
      <c r="H250" s="416"/>
      <c r="I250" s="416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</row>
    <row r="251" spans="2:20" ht="15.75" customHeight="1" x14ac:dyDescent="0.45">
      <c r="B251" s="97"/>
      <c r="C251" s="97"/>
      <c r="D251" s="97"/>
      <c r="E251" s="102"/>
      <c r="F251" s="102"/>
      <c r="G251" s="251"/>
      <c r="H251" s="416"/>
      <c r="I251" s="416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</row>
    <row r="252" spans="2:20" ht="15.75" customHeight="1" x14ac:dyDescent="0.45">
      <c r="B252" s="97"/>
      <c r="C252" s="97"/>
      <c r="D252" s="97"/>
      <c r="E252" s="102"/>
      <c r="F252" s="102"/>
      <c r="G252" s="251"/>
      <c r="H252" s="416"/>
      <c r="I252" s="416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</row>
    <row r="253" spans="2:20" ht="15.75" customHeight="1" x14ac:dyDescent="0.45">
      <c r="B253" s="97"/>
      <c r="C253" s="97"/>
      <c r="D253" s="97"/>
      <c r="E253" s="102"/>
      <c r="F253" s="102"/>
      <c r="G253" s="251"/>
      <c r="H253" s="416"/>
      <c r="I253" s="416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</row>
    <row r="254" spans="2:20" ht="15.75" customHeight="1" x14ac:dyDescent="0.45">
      <c r="B254" s="97"/>
      <c r="C254" s="97"/>
      <c r="D254" s="97"/>
      <c r="E254" s="102"/>
      <c r="F254" s="102"/>
      <c r="G254" s="251"/>
      <c r="H254" s="416"/>
      <c r="I254" s="416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</row>
    <row r="255" spans="2:20" ht="15.75" customHeight="1" x14ac:dyDescent="0.45">
      <c r="B255" s="97"/>
      <c r="C255" s="97"/>
      <c r="D255" s="97"/>
      <c r="E255" s="102"/>
      <c r="F255" s="102"/>
      <c r="G255" s="251"/>
      <c r="H255" s="416"/>
      <c r="I255" s="416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</row>
    <row r="256" spans="2:20" ht="15.75" customHeight="1" x14ac:dyDescent="0.45">
      <c r="B256" s="97"/>
      <c r="C256" s="97"/>
      <c r="D256" s="97"/>
      <c r="E256" s="102"/>
      <c r="F256" s="102"/>
      <c r="G256" s="251"/>
      <c r="H256" s="416"/>
      <c r="I256" s="416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</row>
    <row r="257" spans="2:20" ht="15.75" customHeight="1" x14ac:dyDescent="0.45">
      <c r="B257" s="97"/>
      <c r="C257" s="97"/>
      <c r="D257" s="97"/>
      <c r="E257" s="102"/>
      <c r="F257" s="102"/>
      <c r="G257" s="251"/>
      <c r="H257" s="416"/>
      <c r="I257" s="416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</row>
    <row r="258" spans="2:20" ht="15.75" customHeight="1" x14ac:dyDescent="0.45">
      <c r="B258" s="97"/>
      <c r="C258" s="97"/>
      <c r="D258" s="97"/>
      <c r="E258" s="102"/>
      <c r="F258" s="102"/>
      <c r="G258" s="251"/>
      <c r="H258" s="416"/>
      <c r="I258" s="416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</row>
    <row r="259" spans="2:20" ht="15.75" customHeight="1" x14ac:dyDescent="0.45">
      <c r="B259" s="97"/>
      <c r="C259" s="97"/>
      <c r="D259" s="97"/>
      <c r="E259" s="102"/>
      <c r="F259" s="102"/>
      <c r="G259" s="251"/>
      <c r="H259" s="416"/>
      <c r="I259" s="416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</row>
    <row r="260" spans="2:20" ht="15.75" customHeight="1" x14ac:dyDescent="0.45">
      <c r="B260" s="97"/>
      <c r="C260" s="97"/>
      <c r="D260" s="97"/>
      <c r="E260" s="102"/>
      <c r="F260" s="102"/>
      <c r="G260" s="251"/>
      <c r="H260" s="416"/>
      <c r="I260" s="416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</row>
    <row r="261" spans="2:20" ht="15.75" customHeight="1" x14ac:dyDescent="0.45">
      <c r="B261" s="97"/>
      <c r="C261" s="97"/>
      <c r="D261" s="97"/>
      <c r="E261" s="102"/>
      <c r="F261" s="102"/>
      <c r="G261" s="251"/>
      <c r="H261" s="416"/>
      <c r="I261" s="416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</row>
    <row r="262" spans="2:20" ht="15.75" customHeight="1" x14ac:dyDescent="0.45">
      <c r="B262" s="97"/>
      <c r="C262" s="97"/>
      <c r="D262" s="97"/>
      <c r="E262" s="102"/>
      <c r="F262" s="102"/>
      <c r="G262" s="251"/>
      <c r="H262" s="416"/>
      <c r="I262" s="416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</row>
    <row r="263" spans="2:20" ht="15.75" customHeight="1" x14ac:dyDescent="0.45">
      <c r="B263" s="97"/>
      <c r="C263" s="97"/>
      <c r="D263" s="97"/>
      <c r="E263" s="102"/>
      <c r="F263" s="102"/>
      <c r="G263" s="251"/>
      <c r="H263" s="416"/>
      <c r="I263" s="416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</row>
    <row r="264" spans="2:20" ht="15.75" customHeight="1" x14ac:dyDescent="0.45">
      <c r="B264" s="97"/>
      <c r="C264" s="97"/>
      <c r="D264" s="97"/>
      <c r="E264" s="102"/>
      <c r="F264" s="102"/>
      <c r="G264" s="251"/>
      <c r="H264" s="416"/>
      <c r="I264" s="416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</row>
    <row r="265" spans="2:20" ht="15.75" customHeight="1" x14ac:dyDescent="0.45">
      <c r="B265" s="97"/>
      <c r="C265" s="97"/>
      <c r="D265" s="97"/>
      <c r="E265" s="102"/>
      <c r="F265" s="102"/>
      <c r="G265" s="251"/>
      <c r="H265" s="416"/>
      <c r="I265" s="416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</row>
    <row r="266" spans="2:20" ht="15.75" customHeight="1" x14ac:dyDescent="0.45">
      <c r="B266" s="97"/>
      <c r="C266" s="97"/>
      <c r="D266" s="97"/>
      <c r="E266" s="102"/>
      <c r="F266" s="102"/>
      <c r="G266" s="251"/>
      <c r="H266" s="416"/>
      <c r="I266" s="416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</row>
    <row r="267" spans="2:20" ht="15.75" customHeight="1" x14ac:dyDescent="0.45">
      <c r="B267" s="97"/>
      <c r="C267" s="97"/>
      <c r="D267" s="97"/>
      <c r="E267" s="102"/>
      <c r="F267" s="102"/>
      <c r="G267" s="251"/>
      <c r="H267" s="416"/>
      <c r="I267" s="416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</row>
    <row r="268" spans="2:20" ht="15.75" customHeight="1" x14ac:dyDescent="0.45">
      <c r="B268" s="97"/>
      <c r="C268" s="97"/>
      <c r="D268" s="97"/>
      <c r="E268" s="102"/>
      <c r="F268" s="102"/>
      <c r="G268" s="251"/>
      <c r="H268" s="416"/>
      <c r="I268" s="416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</row>
    <row r="269" spans="2:20" ht="15.75" customHeight="1" x14ac:dyDescent="0.45">
      <c r="B269" s="97"/>
      <c r="C269" s="97"/>
      <c r="D269" s="97"/>
      <c r="E269" s="102"/>
      <c r="F269" s="102"/>
      <c r="G269" s="251"/>
      <c r="H269" s="416"/>
      <c r="I269" s="416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</row>
    <row r="270" spans="2:20" ht="15.75" customHeight="1" x14ac:dyDescent="0.45">
      <c r="B270" s="97"/>
      <c r="C270" s="97"/>
      <c r="D270" s="97"/>
      <c r="E270" s="102"/>
      <c r="F270" s="102"/>
      <c r="G270" s="251"/>
      <c r="H270" s="416"/>
      <c r="I270" s="416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</row>
    <row r="271" spans="2:20" ht="15.75" customHeight="1" x14ac:dyDescent="0.45">
      <c r="B271" s="97"/>
      <c r="C271" s="97"/>
      <c r="D271" s="97"/>
      <c r="E271" s="102"/>
      <c r="F271" s="102"/>
      <c r="G271" s="251"/>
      <c r="H271" s="416"/>
      <c r="I271" s="416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</row>
    <row r="272" spans="2:20" ht="15.75" customHeight="1" x14ac:dyDescent="0.45">
      <c r="B272" s="97"/>
      <c r="C272" s="97"/>
      <c r="D272" s="97"/>
      <c r="E272" s="102"/>
      <c r="F272" s="102"/>
      <c r="G272" s="251"/>
      <c r="H272" s="416"/>
      <c r="I272" s="416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</row>
    <row r="273" spans="2:20" ht="15.75" customHeight="1" x14ac:dyDescent="0.45">
      <c r="B273" s="97"/>
      <c r="C273" s="97"/>
      <c r="D273" s="97"/>
      <c r="E273" s="102"/>
      <c r="F273" s="102"/>
      <c r="G273" s="251"/>
      <c r="H273" s="416"/>
      <c r="I273" s="416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</row>
    <row r="274" spans="2:20" ht="15.75" customHeight="1" x14ac:dyDescent="0.45">
      <c r="B274" s="97"/>
      <c r="C274" s="97"/>
      <c r="D274" s="97"/>
      <c r="E274" s="102"/>
      <c r="F274" s="102"/>
      <c r="G274" s="251"/>
      <c r="H274" s="416"/>
      <c r="I274" s="416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</row>
    <row r="275" spans="2:20" ht="15.75" customHeight="1" x14ac:dyDescent="0.45">
      <c r="B275" s="97"/>
      <c r="C275" s="97"/>
      <c r="D275" s="97"/>
      <c r="E275" s="102"/>
      <c r="F275" s="102"/>
      <c r="G275" s="251"/>
      <c r="H275" s="416"/>
      <c r="I275" s="416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</row>
    <row r="276" spans="2:20" ht="15.75" customHeight="1" x14ac:dyDescent="0.45">
      <c r="B276" s="97"/>
      <c r="C276" s="97"/>
      <c r="D276" s="97"/>
      <c r="E276" s="102"/>
      <c r="F276" s="102"/>
      <c r="G276" s="251"/>
      <c r="H276" s="416"/>
      <c r="I276" s="416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</row>
    <row r="277" spans="2:20" ht="15.75" customHeight="1" x14ac:dyDescent="0.45">
      <c r="B277" s="97"/>
      <c r="C277" s="97"/>
      <c r="D277" s="97"/>
      <c r="E277" s="102"/>
      <c r="F277" s="102"/>
      <c r="G277" s="251"/>
      <c r="H277" s="416"/>
      <c r="I277" s="416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</row>
    <row r="278" spans="2:20" ht="15.75" customHeight="1" x14ac:dyDescent="0.45">
      <c r="B278" s="97"/>
      <c r="C278" s="97"/>
      <c r="D278" s="97"/>
      <c r="E278" s="102"/>
      <c r="F278" s="102"/>
      <c r="G278" s="251"/>
      <c r="H278" s="416"/>
      <c r="I278" s="416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</row>
    <row r="279" spans="2:20" ht="15.75" customHeight="1" x14ac:dyDescent="0.45">
      <c r="B279" s="97"/>
      <c r="C279" s="97"/>
      <c r="D279" s="97"/>
      <c r="E279" s="102"/>
      <c r="F279" s="102"/>
      <c r="G279" s="251"/>
      <c r="H279" s="416"/>
      <c r="I279" s="416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</row>
    <row r="280" spans="2:20" ht="15.75" customHeight="1" x14ac:dyDescent="0.45">
      <c r="B280" s="97"/>
      <c r="C280" s="97"/>
      <c r="D280" s="97"/>
      <c r="E280" s="102"/>
      <c r="F280" s="102"/>
      <c r="G280" s="251"/>
      <c r="H280" s="416"/>
      <c r="I280" s="416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</row>
    <row r="281" spans="2:20" ht="15.75" customHeight="1" x14ac:dyDescent="0.45">
      <c r="B281" s="97"/>
      <c r="C281" s="97"/>
      <c r="D281" s="97"/>
      <c r="E281" s="102"/>
      <c r="F281" s="102"/>
      <c r="G281" s="251"/>
      <c r="H281" s="416"/>
      <c r="I281" s="416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</row>
    <row r="282" spans="2:20" ht="15.75" customHeight="1" x14ac:dyDescent="0.45">
      <c r="B282" s="97"/>
      <c r="C282" s="97"/>
      <c r="D282" s="97"/>
      <c r="E282" s="102"/>
      <c r="F282" s="102"/>
      <c r="G282" s="251"/>
      <c r="H282" s="416"/>
      <c r="I282" s="416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</row>
    <row r="283" spans="2:20" ht="15.75" customHeight="1" x14ac:dyDescent="0.45">
      <c r="B283" s="97"/>
      <c r="C283" s="97"/>
      <c r="D283" s="97"/>
      <c r="E283" s="102"/>
      <c r="F283" s="102"/>
      <c r="G283" s="251"/>
      <c r="H283" s="416"/>
      <c r="I283" s="416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</row>
    <row r="284" spans="2:20" ht="15.75" customHeight="1" x14ac:dyDescent="0.45">
      <c r="B284" s="97"/>
      <c r="C284" s="97"/>
      <c r="D284" s="97"/>
      <c r="E284" s="102"/>
      <c r="F284" s="102"/>
      <c r="G284" s="251"/>
      <c r="H284" s="416"/>
      <c r="I284" s="416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</row>
    <row r="285" spans="2:20" ht="15.75" customHeight="1" x14ac:dyDescent="0.45">
      <c r="B285" s="97"/>
      <c r="C285" s="97"/>
      <c r="D285" s="97"/>
      <c r="E285" s="102"/>
      <c r="F285" s="102"/>
      <c r="G285" s="251"/>
      <c r="H285" s="416"/>
      <c r="I285" s="416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</row>
    <row r="286" spans="2:20" ht="15.75" customHeight="1" x14ac:dyDescent="0.45">
      <c r="B286" s="97"/>
      <c r="C286" s="97"/>
      <c r="D286" s="97"/>
      <c r="E286" s="102"/>
      <c r="F286" s="102"/>
      <c r="G286" s="251"/>
      <c r="H286" s="416"/>
      <c r="I286" s="416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</row>
    <row r="287" spans="2:20" ht="15.75" customHeight="1" x14ac:dyDescent="0.45">
      <c r="B287" s="97"/>
      <c r="C287" s="97"/>
      <c r="D287" s="97"/>
      <c r="E287" s="102"/>
      <c r="F287" s="102"/>
      <c r="G287" s="251"/>
      <c r="H287" s="416"/>
      <c r="I287" s="416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</row>
    <row r="288" spans="2:20" ht="15.75" customHeight="1" x14ac:dyDescent="0.45">
      <c r="B288" s="97"/>
      <c r="C288" s="97"/>
      <c r="D288" s="97"/>
      <c r="E288" s="102"/>
      <c r="F288" s="102"/>
      <c r="G288" s="251"/>
      <c r="H288" s="416"/>
      <c r="I288" s="416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</row>
    <row r="289" spans="2:20" ht="15.75" customHeight="1" x14ac:dyDescent="0.45">
      <c r="B289" s="97"/>
      <c r="C289" s="97"/>
      <c r="D289" s="97"/>
      <c r="E289" s="102"/>
      <c r="F289" s="102"/>
      <c r="G289" s="251"/>
      <c r="H289" s="416"/>
      <c r="I289" s="416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</row>
    <row r="290" spans="2:20" ht="15.75" customHeight="1" x14ac:dyDescent="0.45">
      <c r="B290" s="97"/>
      <c r="C290" s="97"/>
      <c r="D290" s="97"/>
      <c r="E290" s="102"/>
      <c r="F290" s="102"/>
      <c r="G290" s="251"/>
      <c r="H290" s="416"/>
      <c r="I290" s="416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</row>
    <row r="291" spans="2:20" ht="15.75" customHeight="1" x14ac:dyDescent="0.45">
      <c r="B291" s="97"/>
      <c r="C291" s="97"/>
      <c r="D291" s="97"/>
      <c r="E291" s="102"/>
      <c r="F291" s="102"/>
      <c r="G291" s="251"/>
      <c r="H291" s="416"/>
      <c r="I291" s="416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</row>
    <row r="292" spans="2:20" ht="15.75" customHeight="1" x14ac:dyDescent="0.45">
      <c r="B292" s="97"/>
      <c r="C292" s="97"/>
      <c r="D292" s="97"/>
      <c r="E292" s="102"/>
      <c r="F292" s="102"/>
      <c r="G292" s="251"/>
      <c r="H292" s="416"/>
      <c r="I292" s="416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</row>
    <row r="293" spans="2:20" ht="15.75" customHeight="1" x14ac:dyDescent="0.45">
      <c r="B293" s="97"/>
      <c r="C293" s="97"/>
      <c r="D293" s="97"/>
      <c r="E293" s="102"/>
      <c r="F293" s="102"/>
      <c r="G293" s="251"/>
      <c r="H293" s="416"/>
      <c r="I293" s="416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</row>
    <row r="294" spans="2:20" ht="15.75" customHeight="1" x14ac:dyDescent="0.45">
      <c r="B294" s="97"/>
      <c r="C294" s="97"/>
      <c r="D294" s="97"/>
      <c r="E294" s="102"/>
      <c r="F294" s="102"/>
      <c r="G294" s="251"/>
      <c r="H294" s="416"/>
      <c r="I294" s="416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</row>
    <row r="295" spans="2:20" ht="15.75" customHeight="1" x14ac:dyDescent="0.45">
      <c r="B295" s="97"/>
      <c r="C295" s="97"/>
      <c r="D295" s="97"/>
      <c r="E295" s="102"/>
      <c r="F295" s="102"/>
      <c r="G295" s="251"/>
      <c r="H295" s="416"/>
      <c r="I295" s="416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</row>
    <row r="296" spans="2:20" ht="15.75" customHeight="1" x14ac:dyDescent="0.45">
      <c r="B296" s="97"/>
      <c r="C296" s="97"/>
      <c r="D296" s="97"/>
      <c r="E296" s="102"/>
      <c r="F296" s="102"/>
      <c r="G296" s="251"/>
      <c r="H296" s="416"/>
      <c r="I296" s="416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</row>
    <row r="297" spans="2:20" ht="15.75" customHeight="1" x14ac:dyDescent="0.45">
      <c r="B297" s="97"/>
      <c r="C297" s="97"/>
      <c r="D297" s="97"/>
      <c r="E297" s="102"/>
      <c r="F297" s="102"/>
      <c r="G297" s="251"/>
      <c r="H297" s="416"/>
      <c r="I297" s="416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</row>
    <row r="298" spans="2:20" ht="15.75" customHeight="1" x14ac:dyDescent="0.45">
      <c r="B298" s="97"/>
      <c r="C298" s="97"/>
      <c r="D298" s="97"/>
      <c r="E298" s="102"/>
      <c r="F298" s="102"/>
      <c r="G298" s="251"/>
      <c r="H298" s="416"/>
      <c r="I298" s="416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</row>
    <row r="299" spans="2:20" ht="15.75" customHeight="1" x14ac:dyDescent="0.45">
      <c r="B299" s="97"/>
      <c r="C299" s="97"/>
      <c r="D299" s="97"/>
      <c r="E299" s="102"/>
      <c r="F299" s="102"/>
      <c r="G299" s="251"/>
      <c r="H299" s="416"/>
      <c r="I299" s="416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</row>
    <row r="300" spans="2:20" ht="15.75" customHeight="1" x14ac:dyDescent="0.45">
      <c r="B300" s="97"/>
      <c r="C300" s="97"/>
      <c r="D300" s="97"/>
      <c r="E300" s="102"/>
      <c r="F300" s="102"/>
      <c r="G300" s="251"/>
      <c r="H300" s="416"/>
      <c r="I300" s="416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</row>
    <row r="301" spans="2:20" ht="15.75" customHeight="1" x14ac:dyDescent="0.45">
      <c r="B301" s="97"/>
      <c r="C301" s="97"/>
      <c r="D301" s="97"/>
      <c r="E301" s="102"/>
      <c r="F301" s="102"/>
      <c r="G301" s="251"/>
      <c r="H301" s="416"/>
      <c r="I301" s="416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</row>
    <row r="302" spans="2:20" ht="15.75" customHeight="1" x14ac:dyDescent="0.45">
      <c r="B302" s="97"/>
      <c r="C302" s="97"/>
      <c r="D302" s="97"/>
      <c r="E302" s="102"/>
      <c r="F302" s="102"/>
      <c r="G302" s="251"/>
      <c r="H302" s="416"/>
      <c r="I302" s="416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</row>
    <row r="303" spans="2:20" ht="15.75" customHeight="1" x14ac:dyDescent="0.45">
      <c r="B303" s="97"/>
      <c r="C303" s="97"/>
      <c r="D303" s="97"/>
      <c r="E303" s="102"/>
      <c r="F303" s="102"/>
      <c r="G303" s="251"/>
      <c r="H303" s="416"/>
      <c r="I303" s="416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</row>
    <row r="304" spans="2:20" ht="15.75" customHeight="1" x14ac:dyDescent="0.45">
      <c r="B304" s="97"/>
      <c r="C304" s="97"/>
      <c r="D304" s="97"/>
      <c r="E304" s="102"/>
      <c r="F304" s="102"/>
      <c r="G304" s="251"/>
      <c r="H304" s="416"/>
      <c r="I304" s="416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</row>
    <row r="305" spans="2:20" ht="15.75" customHeight="1" x14ac:dyDescent="0.45">
      <c r="B305" s="97"/>
      <c r="C305" s="97"/>
      <c r="D305" s="97"/>
      <c r="E305" s="102"/>
      <c r="F305" s="102"/>
      <c r="G305" s="251"/>
      <c r="H305" s="416"/>
      <c r="I305" s="416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</row>
    <row r="306" spans="2:20" ht="15.75" customHeight="1" x14ac:dyDescent="0.45">
      <c r="B306" s="97"/>
      <c r="C306" s="97"/>
      <c r="D306" s="97"/>
      <c r="E306" s="102"/>
      <c r="F306" s="102"/>
      <c r="G306" s="251"/>
      <c r="H306" s="416"/>
      <c r="I306" s="416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</row>
    <row r="307" spans="2:20" ht="15.75" customHeight="1" x14ac:dyDescent="0.45">
      <c r="B307" s="97"/>
      <c r="C307" s="97"/>
      <c r="D307" s="97"/>
      <c r="E307" s="102"/>
      <c r="F307" s="102"/>
      <c r="G307" s="251"/>
      <c r="H307" s="416"/>
      <c r="I307" s="416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</row>
    <row r="308" spans="2:20" ht="15.75" customHeight="1" x14ac:dyDescent="0.45">
      <c r="B308" s="97"/>
      <c r="C308" s="97"/>
      <c r="D308" s="97"/>
      <c r="E308" s="102"/>
      <c r="F308" s="102"/>
      <c r="G308" s="251"/>
      <c r="H308" s="416"/>
      <c r="I308" s="416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</row>
    <row r="309" spans="2:20" ht="15.75" customHeight="1" x14ac:dyDescent="0.45">
      <c r="B309" s="97"/>
      <c r="C309" s="97"/>
      <c r="D309" s="97"/>
      <c r="E309" s="102"/>
      <c r="F309" s="102"/>
      <c r="G309" s="251"/>
      <c r="H309" s="416"/>
      <c r="I309" s="416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</row>
    <row r="310" spans="2:20" ht="15.75" customHeight="1" x14ac:dyDescent="0.45">
      <c r="B310" s="97"/>
      <c r="C310" s="97"/>
      <c r="D310" s="97"/>
      <c r="E310" s="102"/>
      <c r="F310" s="102"/>
      <c r="G310" s="251"/>
      <c r="H310" s="416"/>
      <c r="I310" s="416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</row>
    <row r="311" spans="2:20" ht="15.75" customHeight="1" x14ac:dyDescent="0.45">
      <c r="B311" s="97"/>
      <c r="C311" s="97"/>
      <c r="D311" s="97"/>
      <c r="E311" s="102"/>
      <c r="F311" s="102"/>
      <c r="G311" s="251"/>
      <c r="H311" s="416"/>
      <c r="I311" s="416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</row>
    <row r="312" spans="2:20" ht="15.75" customHeight="1" x14ac:dyDescent="0.45">
      <c r="B312" s="97"/>
      <c r="C312" s="97"/>
      <c r="D312" s="97"/>
      <c r="E312" s="102"/>
      <c r="F312" s="102"/>
      <c r="G312" s="251"/>
      <c r="H312" s="416"/>
      <c r="I312" s="416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</row>
    <row r="313" spans="2:20" ht="15.75" customHeight="1" x14ac:dyDescent="0.45">
      <c r="B313" s="97"/>
      <c r="C313" s="97"/>
      <c r="D313" s="97"/>
      <c r="E313" s="102"/>
      <c r="F313" s="102"/>
      <c r="G313" s="251"/>
      <c r="H313" s="416"/>
      <c r="I313" s="416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</row>
    <row r="314" spans="2:20" ht="15.75" customHeight="1" x14ac:dyDescent="0.45">
      <c r="B314" s="97"/>
      <c r="C314" s="97"/>
      <c r="D314" s="97"/>
      <c r="E314" s="102"/>
      <c r="F314" s="102"/>
      <c r="G314" s="251"/>
      <c r="H314" s="416"/>
      <c r="I314" s="416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</row>
    <row r="315" spans="2:20" ht="15.75" customHeight="1" x14ac:dyDescent="0.45">
      <c r="B315" s="97"/>
      <c r="C315" s="97"/>
      <c r="D315" s="97"/>
      <c r="E315" s="102"/>
      <c r="F315" s="102"/>
      <c r="G315" s="251"/>
      <c r="H315" s="416"/>
      <c r="I315" s="416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</row>
    <row r="316" spans="2:20" ht="15.75" customHeight="1" x14ac:dyDescent="0.45">
      <c r="B316" s="97"/>
      <c r="C316" s="97"/>
      <c r="D316" s="97"/>
      <c r="E316" s="102"/>
      <c r="F316" s="102"/>
      <c r="G316" s="251"/>
      <c r="H316" s="416"/>
      <c r="I316" s="416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</row>
    <row r="317" spans="2:20" ht="15.75" customHeight="1" x14ac:dyDescent="0.45">
      <c r="B317" s="97"/>
      <c r="C317" s="97"/>
      <c r="D317" s="97"/>
      <c r="E317" s="102"/>
      <c r="F317" s="102"/>
      <c r="G317" s="251"/>
      <c r="H317" s="416"/>
      <c r="I317" s="416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</row>
    <row r="318" spans="2:20" ht="15.75" customHeight="1" x14ac:dyDescent="0.45">
      <c r="B318" s="97"/>
      <c r="C318" s="97"/>
      <c r="D318" s="97"/>
      <c r="E318" s="102"/>
      <c r="F318" s="102"/>
      <c r="G318" s="251"/>
      <c r="H318" s="416"/>
      <c r="I318" s="416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</row>
    <row r="319" spans="2:20" ht="15.75" customHeight="1" x14ac:dyDescent="0.45">
      <c r="B319" s="97"/>
      <c r="C319" s="97"/>
      <c r="D319" s="97"/>
      <c r="E319" s="102"/>
      <c r="F319" s="102"/>
      <c r="G319" s="251"/>
      <c r="H319" s="416"/>
      <c r="I319" s="416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</row>
    <row r="320" spans="2:20" ht="15.75" customHeight="1" x14ac:dyDescent="0.45">
      <c r="B320" s="97"/>
      <c r="C320" s="97"/>
      <c r="D320" s="97"/>
      <c r="E320" s="102"/>
      <c r="F320" s="102"/>
      <c r="G320" s="251"/>
      <c r="H320" s="416"/>
      <c r="I320" s="416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</row>
    <row r="321" spans="2:20" ht="15.75" customHeight="1" x14ac:dyDescent="0.45">
      <c r="B321" s="97"/>
      <c r="C321" s="97"/>
      <c r="D321" s="97"/>
      <c r="E321" s="102"/>
      <c r="F321" s="102"/>
      <c r="G321" s="251"/>
      <c r="H321" s="416"/>
      <c r="I321" s="416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</row>
    <row r="322" spans="2:20" ht="15.75" customHeight="1" x14ac:dyDescent="0.45">
      <c r="B322" s="97"/>
      <c r="C322" s="97"/>
      <c r="D322" s="97"/>
      <c r="E322" s="102"/>
      <c r="F322" s="102"/>
      <c r="G322" s="251"/>
      <c r="H322" s="416"/>
      <c r="I322" s="416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</row>
    <row r="323" spans="2:20" ht="15.75" customHeight="1" x14ac:dyDescent="0.45">
      <c r="B323" s="97"/>
      <c r="C323" s="97"/>
      <c r="D323" s="97"/>
      <c r="E323" s="102"/>
      <c r="F323" s="102"/>
      <c r="G323" s="251"/>
      <c r="H323" s="416"/>
      <c r="I323" s="416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</row>
    <row r="324" spans="2:20" ht="15.75" customHeight="1" x14ac:dyDescent="0.45">
      <c r="B324" s="97"/>
      <c r="C324" s="97"/>
      <c r="D324" s="97"/>
      <c r="E324" s="102"/>
      <c r="F324" s="102"/>
      <c r="G324" s="251"/>
      <c r="H324" s="416"/>
      <c r="I324" s="416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</row>
    <row r="325" spans="2:20" ht="15.75" customHeight="1" x14ac:dyDescent="0.45">
      <c r="B325" s="97"/>
      <c r="C325" s="97"/>
      <c r="D325" s="97"/>
      <c r="E325" s="102"/>
      <c r="F325" s="102"/>
      <c r="G325" s="251"/>
      <c r="H325" s="416"/>
      <c r="I325" s="416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</row>
    <row r="326" spans="2:20" ht="15.75" customHeight="1" x14ac:dyDescent="0.45">
      <c r="B326" s="97"/>
      <c r="C326" s="97"/>
      <c r="D326" s="97"/>
      <c r="E326" s="102"/>
      <c r="F326" s="102"/>
      <c r="G326" s="251"/>
      <c r="H326" s="416"/>
      <c r="I326" s="416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</row>
    <row r="327" spans="2:20" ht="15.75" customHeight="1" x14ac:dyDescent="0.45">
      <c r="B327" s="97"/>
      <c r="C327" s="97"/>
      <c r="D327" s="97"/>
      <c r="E327" s="102"/>
      <c r="F327" s="102"/>
      <c r="G327" s="251"/>
      <c r="H327" s="416"/>
      <c r="I327" s="416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</row>
    <row r="328" spans="2:20" ht="15.75" customHeight="1" x14ac:dyDescent="0.45">
      <c r="B328" s="97"/>
      <c r="C328" s="97"/>
      <c r="D328" s="97"/>
      <c r="E328" s="102"/>
      <c r="F328" s="102"/>
      <c r="G328" s="251"/>
      <c r="H328" s="416"/>
      <c r="I328" s="416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</row>
    <row r="329" spans="2:20" ht="15.75" customHeight="1" x14ac:dyDescent="0.45">
      <c r="B329" s="97"/>
      <c r="C329" s="97"/>
      <c r="D329" s="97"/>
      <c r="E329" s="102"/>
      <c r="F329" s="102"/>
      <c r="G329" s="251"/>
      <c r="H329" s="416"/>
      <c r="I329" s="416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</row>
    <row r="330" spans="2:20" ht="15.75" customHeight="1" x14ac:dyDescent="0.45">
      <c r="B330" s="97"/>
      <c r="C330" s="97"/>
      <c r="D330" s="97"/>
      <c r="E330" s="102"/>
      <c r="F330" s="102"/>
      <c r="G330" s="251"/>
      <c r="H330" s="416"/>
      <c r="I330" s="416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</row>
    <row r="331" spans="2:20" ht="15.75" customHeight="1" x14ac:dyDescent="0.45">
      <c r="B331" s="97"/>
      <c r="C331" s="97"/>
      <c r="D331" s="97"/>
      <c r="E331" s="102"/>
      <c r="F331" s="102"/>
      <c r="G331" s="251"/>
      <c r="H331" s="416"/>
      <c r="I331" s="416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</row>
    <row r="332" spans="2:20" ht="15.75" customHeight="1" x14ac:dyDescent="0.45">
      <c r="B332" s="97"/>
      <c r="C332" s="97"/>
      <c r="D332" s="97"/>
      <c r="E332" s="102"/>
      <c r="F332" s="102"/>
      <c r="G332" s="251"/>
      <c r="H332" s="416"/>
      <c r="I332" s="416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</row>
    <row r="333" spans="2:20" ht="15.75" customHeight="1" x14ac:dyDescent="0.45">
      <c r="B333" s="97"/>
      <c r="C333" s="97"/>
      <c r="D333" s="97"/>
      <c r="E333" s="102"/>
      <c r="F333" s="102"/>
      <c r="G333" s="251"/>
      <c r="H333" s="416"/>
      <c r="I333" s="416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</row>
    <row r="334" spans="2:20" ht="15.75" customHeight="1" x14ac:dyDescent="0.45">
      <c r="B334" s="97"/>
      <c r="C334" s="97"/>
      <c r="D334" s="97"/>
      <c r="E334" s="102"/>
      <c r="F334" s="102"/>
      <c r="G334" s="251"/>
      <c r="H334" s="416"/>
      <c r="I334" s="416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</row>
    <row r="335" spans="2:20" ht="15.75" customHeight="1" x14ac:dyDescent="0.45">
      <c r="B335" s="97"/>
      <c r="C335" s="97"/>
      <c r="D335" s="97"/>
      <c r="E335" s="102"/>
      <c r="F335" s="102"/>
      <c r="G335" s="251"/>
      <c r="H335" s="416"/>
      <c r="I335" s="416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</row>
    <row r="336" spans="2:20" ht="15.75" customHeight="1" x14ac:dyDescent="0.45">
      <c r="B336" s="97"/>
      <c r="C336" s="97"/>
      <c r="D336" s="97"/>
      <c r="E336" s="102"/>
      <c r="F336" s="102"/>
      <c r="G336" s="251"/>
      <c r="H336" s="416"/>
      <c r="I336" s="416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</row>
    <row r="337" spans="2:20" ht="15.75" customHeight="1" x14ac:dyDescent="0.45">
      <c r="B337" s="97"/>
      <c r="C337" s="97"/>
      <c r="D337" s="97"/>
      <c r="E337" s="102"/>
      <c r="F337" s="102"/>
      <c r="G337" s="251"/>
      <c r="H337" s="416"/>
      <c r="I337" s="416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</row>
    <row r="338" spans="2:20" ht="15.75" customHeight="1" x14ac:dyDescent="0.45">
      <c r="B338" s="97"/>
      <c r="C338" s="97"/>
      <c r="D338" s="97"/>
      <c r="E338" s="102"/>
      <c r="F338" s="102"/>
      <c r="G338" s="251"/>
      <c r="H338" s="416"/>
      <c r="I338" s="416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</row>
    <row r="339" spans="2:20" ht="15.75" customHeight="1" x14ac:dyDescent="0.45">
      <c r="B339" s="97"/>
      <c r="C339" s="97"/>
      <c r="D339" s="97"/>
      <c r="E339" s="102"/>
      <c r="F339" s="102"/>
      <c r="G339" s="251"/>
      <c r="H339" s="416"/>
      <c r="I339" s="416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</row>
    <row r="340" spans="2:20" ht="15.75" customHeight="1" x14ac:dyDescent="0.45">
      <c r="B340" s="97"/>
      <c r="C340" s="97"/>
      <c r="D340" s="97"/>
      <c r="E340" s="102"/>
      <c r="F340" s="102"/>
      <c r="G340" s="251"/>
      <c r="H340" s="416"/>
      <c r="I340" s="416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</row>
    <row r="341" spans="2:20" ht="15.75" customHeight="1" x14ac:dyDescent="0.45">
      <c r="B341" s="97"/>
      <c r="C341" s="97"/>
      <c r="D341" s="97"/>
      <c r="E341" s="102"/>
      <c r="F341" s="102"/>
      <c r="G341" s="251"/>
      <c r="H341" s="416"/>
      <c r="I341" s="416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</row>
    <row r="342" spans="2:20" ht="15.75" customHeight="1" x14ac:dyDescent="0.45">
      <c r="B342" s="97"/>
      <c r="C342" s="97"/>
      <c r="D342" s="97"/>
      <c r="E342" s="102"/>
      <c r="F342" s="102"/>
      <c r="G342" s="251"/>
      <c r="H342" s="416"/>
      <c r="I342" s="416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</row>
    <row r="343" spans="2:20" ht="15.75" customHeight="1" x14ac:dyDescent="0.45">
      <c r="B343" s="97"/>
      <c r="C343" s="97"/>
      <c r="D343" s="97"/>
      <c r="E343" s="102"/>
      <c r="F343" s="102"/>
      <c r="G343" s="251"/>
      <c r="H343" s="416"/>
      <c r="I343" s="416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</row>
    <row r="344" spans="2:20" ht="15.75" customHeight="1" x14ac:dyDescent="0.45">
      <c r="B344" s="97"/>
      <c r="C344" s="97"/>
      <c r="D344" s="97"/>
      <c r="E344" s="102"/>
      <c r="F344" s="102"/>
      <c r="G344" s="251"/>
      <c r="H344" s="416"/>
      <c r="I344" s="416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</row>
    <row r="345" spans="2:20" ht="15.75" customHeight="1" x14ac:dyDescent="0.45">
      <c r="B345" s="97"/>
      <c r="C345" s="97"/>
      <c r="D345" s="97"/>
      <c r="E345" s="102"/>
      <c r="F345" s="102"/>
      <c r="G345" s="251"/>
      <c r="H345" s="416"/>
      <c r="I345" s="416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</row>
    <row r="346" spans="2:20" ht="15.75" customHeight="1" x14ac:dyDescent="0.45">
      <c r="B346" s="97"/>
      <c r="C346" s="97"/>
      <c r="D346" s="97"/>
      <c r="E346" s="102"/>
      <c r="F346" s="102"/>
      <c r="G346" s="251"/>
      <c r="H346" s="416"/>
      <c r="I346" s="416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</row>
    <row r="347" spans="2:20" ht="15.75" customHeight="1" x14ac:dyDescent="0.45">
      <c r="B347" s="97"/>
      <c r="C347" s="97"/>
      <c r="D347" s="97"/>
      <c r="E347" s="102"/>
      <c r="F347" s="102"/>
      <c r="G347" s="251"/>
      <c r="H347" s="416"/>
      <c r="I347" s="416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</row>
    <row r="348" spans="2:20" ht="15.75" customHeight="1" x14ac:dyDescent="0.45">
      <c r="B348" s="97"/>
      <c r="C348" s="97"/>
      <c r="D348" s="97"/>
      <c r="E348" s="102"/>
      <c r="F348" s="102"/>
      <c r="G348" s="251"/>
      <c r="H348" s="416"/>
      <c r="I348" s="416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</row>
    <row r="349" spans="2:20" ht="15.75" customHeight="1" x14ac:dyDescent="0.45">
      <c r="B349" s="97"/>
      <c r="C349" s="97"/>
      <c r="D349" s="97"/>
      <c r="E349" s="102"/>
      <c r="F349" s="102"/>
      <c r="G349" s="251"/>
      <c r="H349" s="416"/>
      <c r="I349" s="416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</row>
    <row r="350" spans="2:20" ht="15.75" customHeight="1" x14ac:dyDescent="0.45">
      <c r="B350" s="97"/>
      <c r="C350" s="97"/>
      <c r="D350" s="97"/>
      <c r="E350" s="102"/>
      <c r="F350" s="102"/>
      <c r="G350" s="251"/>
      <c r="H350" s="416"/>
      <c r="I350" s="416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</row>
    <row r="351" spans="2:20" ht="15.75" customHeight="1" x14ac:dyDescent="0.45">
      <c r="B351" s="97"/>
      <c r="C351" s="97"/>
      <c r="D351" s="97"/>
      <c r="E351" s="102"/>
      <c r="F351" s="102"/>
      <c r="G351" s="251"/>
      <c r="H351" s="416"/>
      <c r="I351" s="416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</row>
    <row r="352" spans="2:20" ht="15.75" customHeight="1" x14ac:dyDescent="0.45">
      <c r="B352" s="97"/>
      <c r="C352" s="97"/>
      <c r="D352" s="97"/>
      <c r="E352" s="102"/>
      <c r="F352" s="102"/>
      <c r="G352" s="251"/>
      <c r="H352" s="416"/>
      <c r="I352" s="416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</row>
    <row r="353" spans="2:20" ht="15.75" customHeight="1" x14ac:dyDescent="0.45">
      <c r="B353" s="97"/>
      <c r="C353" s="97"/>
      <c r="D353" s="97"/>
      <c r="E353" s="102"/>
      <c r="F353" s="102"/>
      <c r="G353" s="251"/>
      <c r="H353" s="416"/>
      <c r="I353" s="416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</row>
    <row r="354" spans="2:20" ht="15.75" customHeight="1" x14ac:dyDescent="0.45">
      <c r="B354" s="97"/>
      <c r="C354" s="97"/>
      <c r="D354" s="97"/>
      <c r="E354" s="102"/>
      <c r="F354" s="102"/>
      <c r="G354" s="251"/>
      <c r="H354" s="416"/>
      <c r="I354" s="416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</row>
    <row r="355" spans="2:20" ht="15.75" customHeight="1" x14ac:dyDescent="0.45">
      <c r="B355" s="97"/>
      <c r="C355" s="97"/>
      <c r="D355" s="97"/>
      <c r="E355" s="102"/>
      <c r="F355" s="102"/>
      <c r="G355" s="251"/>
      <c r="H355" s="416"/>
      <c r="I355" s="416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</row>
    <row r="356" spans="2:20" ht="15.75" customHeight="1" x14ac:dyDescent="0.45">
      <c r="B356" s="97"/>
      <c r="C356" s="97"/>
      <c r="D356" s="97"/>
      <c r="E356" s="102"/>
      <c r="F356" s="102"/>
      <c r="G356" s="251"/>
      <c r="H356" s="416"/>
      <c r="I356" s="416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</row>
    <row r="357" spans="2:20" ht="15.75" customHeight="1" x14ac:dyDescent="0.45">
      <c r="B357" s="97"/>
      <c r="C357" s="97"/>
      <c r="D357" s="97"/>
      <c r="E357" s="102"/>
      <c r="F357" s="102"/>
      <c r="G357" s="251"/>
      <c r="H357" s="416"/>
      <c r="I357" s="416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</row>
    <row r="358" spans="2:20" ht="15.75" customHeight="1" x14ac:dyDescent="0.45">
      <c r="B358" s="97"/>
      <c r="C358" s="97"/>
      <c r="D358" s="97"/>
      <c r="E358" s="102"/>
      <c r="F358" s="102"/>
      <c r="G358" s="251"/>
      <c r="H358" s="416"/>
      <c r="I358" s="416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</row>
    <row r="359" spans="2:20" ht="15.75" customHeight="1" x14ac:dyDescent="0.45">
      <c r="B359" s="97"/>
      <c r="C359" s="97"/>
      <c r="D359" s="97"/>
      <c r="E359" s="102"/>
      <c r="F359" s="102"/>
      <c r="G359" s="251"/>
      <c r="H359" s="416"/>
      <c r="I359" s="416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</row>
    <row r="360" spans="2:20" ht="15.75" customHeight="1" x14ac:dyDescent="0.45">
      <c r="B360" s="97"/>
      <c r="C360" s="97"/>
      <c r="D360" s="97"/>
      <c r="E360" s="102"/>
      <c r="F360" s="102"/>
      <c r="G360" s="251"/>
      <c r="H360" s="416"/>
      <c r="I360" s="416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</row>
    <row r="361" spans="2:20" ht="15.75" customHeight="1" x14ac:dyDescent="0.45">
      <c r="B361" s="97"/>
      <c r="C361" s="97"/>
      <c r="D361" s="97"/>
      <c r="E361" s="102"/>
      <c r="F361" s="102"/>
      <c r="G361" s="251"/>
      <c r="H361" s="416"/>
      <c r="I361" s="416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</row>
    <row r="362" spans="2:20" ht="15.75" customHeight="1" x14ac:dyDescent="0.45">
      <c r="B362" s="97"/>
      <c r="C362" s="97"/>
      <c r="D362" s="97"/>
      <c r="E362" s="102"/>
      <c r="F362" s="102"/>
      <c r="G362" s="251"/>
      <c r="H362" s="416"/>
      <c r="I362" s="416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</row>
    <row r="363" spans="2:20" ht="15.75" customHeight="1" x14ac:dyDescent="0.45">
      <c r="B363" s="97"/>
      <c r="C363" s="97"/>
      <c r="D363" s="97"/>
      <c r="E363" s="102"/>
      <c r="F363" s="102"/>
      <c r="G363" s="251"/>
      <c r="H363" s="416"/>
      <c r="I363" s="416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</row>
    <row r="364" spans="2:20" ht="15.75" customHeight="1" x14ac:dyDescent="0.45">
      <c r="B364" s="97"/>
      <c r="C364" s="97"/>
      <c r="D364" s="97"/>
      <c r="E364" s="102"/>
      <c r="F364" s="102"/>
      <c r="G364" s="251"/>
      <c r="H364" s="416"/>
      <c r="I364" s="416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</row>
    <row r="365" spans="2:20" ht="15.75" customHeight="1" x14ac:dyDescent="0.45">
      <c r="B365" s="97"/>
      <c r="C365" s="97"/>
      <c r="D365" s="97"/>
      <c r="E365" s="102"/>
      <c r="F365" s="102"/>
      <c r="G365" s="251"/>
      <c r="H365" s="416"/>
      <c r="I365" s="416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</row>
    <row r="366" spans="2:20" ht="15.75" customHeight="1" x14ac:dyDescent="0.45">
      <c r="B366" s="97"/>
      <c r="C366" s="97"/>
      <c r="D366" s="97"/>
      <c r="E366" s="102"/>
      <c r="F366" s="102"/>
      <c r="G366" s="251"/>
      <c r="H366" s="416"/>
      <c r="I366" s="416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</row>
    <row r="367" spans="2:20" ht="15.75" customHeight="1" x14ac:dyDescent="0.45">
      <c r="B367" s="97"/>
      <c r="C367" s="97"/>
      <c r="D367" s="97"/>
      <c r="E367" s="102"/>
      <c r="F367" s="102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</row>
    <row r="368" spans="2:20" ht="15.75" customHeight="1" x14ac:dyDescent="0.45">
      <c r="B368" s="97"/>
      <c r="C368" s="97"/>
      <c r="D368" s="97"/>
      <c r="E368" s="102"/>
      <c r="F368" s="102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</row>
    <row r="369" spans="2:20" ht="15.75" customHeight="1" x14ac:dyDescent="0.45">
      <c r="B369" s="97"/>
      <c r="C369" s="97"/>
      <c r="D369" s="97"/>
      <c r="E369" s="102"/>
      <c r="F369" s="102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</row>
    <row r="370" spans="2:20" ht="15.75" customHeight="1" x14ac:dyDescent="0.45">
      <c r="B370" s="97"/>
      <c r="C370" s="97"/>
      <c r="D370" s="97"/>
      <c r="E370" s="102"/>
      <c r="F370" s="102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</row>
    <row r="371" spans="2:20" ht="15.75" customHeight="1" x14ac:dyDescent="0.45">
      <c r="B371" s="97"/>
      <c r="C371" s="97"/>
      <c r="D371" s="97"/>
      <c r="E371" s="102"/>
      <c r="F371" s="102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</row>
    <row r="372" spans="2:20" ht="15.75" customHeight="1" x14ac:dyDescent="0.45">
      <c r="B372" s="97"/>
      <c r="C372" s="97"/>
      <c r="D372" s="97"/>
      <c r="E372" s="102"/>
      <c r="F372" s="102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</row>
    <row r="373" spans="2:20" ht="15.75" customHeight="1" x14ac:dyDescent="0.45">
      <c r="B373" s="97"/>
      <c r="C373" s="97"/>
      <c r="D373" s="97"/>
      <c r="E373" s="102"/>
      <c r="F373" s="102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</row>
    <row r="374" spans="2:20" ht="15.75" customHeight="1" x14ac:dyDescent="0.45">
      <c r="B374" s="97"/>
      <c r="C374" s="97"/>
      <c r="D374" s="97"/>
      <c r="E374" s="102"/>
      <c r="F374" s="102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</row>
    <row r="375" spans="2:20" ht="15.75" customHeight="1" x14ac:dyDescent="0.45">
      <c r="B375" s="97"/>
      <c r="C375" s="97"/>
      <c r="D375" s="97"/>
      <c r="E375" s="102"/>
      <c r="F375" s="102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</row>
    <row r="376" spans="2:20" ht="15.75" customHeight="1" x14ac:dyDescent="0.45"/>
    <row r="377" spans="2:20" ht="15.75" customHeight="1" x14ac:dyDescent="0.45"/>
    <row r="378" spans="2:20" ht="15.75" customHeight="1" x14ac:dyDescent="0.45"/>
    <row r="379" spans="2:20" ht="15.75" customHeight="1" x14ac:dyDescent="0.45"/>
    <row r="380" spans="2:20" ht="15.75" customHeight="1" x14ac:dyDescent="0.45"/>
    <row r="381" spans="2:20" ht="15.75" customHeight="1" x14ac:dyDescent="0.45"/>
    <row r="382" spans="2:20" ht="15.75" customHeight="1" x14ac:dyDescent="0.45"/>
    <row r="383" spans="2:20" ht="15.75" customHeight="1" x14ac:dyDescent="0.45"/>
    <row r="384" spans="2:20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  <row r="1001" ht="15.75" customHeight="1" x14ac:dyDescent="0.45"/>
    <row r="1002" ht="15.75" customHeight="1" x14ac:dyDescent="0.45"/>
    <row r="1003" ht="15.75" customHeight="1" x14ac:dyDescent="0.45"/>
    <row r="1004" ht="15.75" customHeight="1" x14ac:dyDescent="0.45"/>
  </sheetData>
  <mergeCells count="3">
    <mergeCell ref="B83:D83"/>
    <mergeCell ref="B125:D125"/>
    <mergeCell ref="B160:C16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19B50-ABFF-4812-9352-7F0CDC6F67AD}">
  <dimension ref="A1:Q997"/>
  <sheetViews>
    <sheetView tabSelected="1" topLeftCell="A238" workbookViewId="0">
      <selection activeCell="A236" sqref="A236:A261"/>
    </sheetView>
  </sheetViews>
  <sheetFormatPr baseColWidth="10" defaultColWidth="14.3984375" defaultRowHeight="14.25" x14ac:dyDescent="0.45"/>
  <cols>
    <col min="1" max="1" width="9.59765625" bestFit="1" customWidth="1"/>
    <col min="2" max="2" width="24.1328125" bestFit="1" customWidth="1"/>
    <col min="3" max="3" width="9.59765625" bestFit="1" customWidth="1"/>
    <col min="4" max="4" width="11.3984375" bestFit="1" customWidth="1"/>
    <col min="5" max="5" width="10.59765625" bestFit="1" customWidth="1"/>
    <col min="6" max="6" width="14.6640625" bestFit="1" customWidth="1"/>
    <col min="7" max="7" width="17.19921875" bestFit="1" customWidth="1"/>
    <col min="8" max="8" width="15" bestFit="1" customWidth="1"/>
    <col min="9" max="26" width="10.73046875" customWidth="1"/>
  </cols>
  <sheetData>
    <row r="1" spans="1:17" x14ac:dyDescent="0.45">
      <c r="A1" s="581" t="s">
        <v>60</v>
      </c>
      <c r="B1" s="582"/>
      <c r="C1" s="23"/>
      <c r="D1" s="23"/>
      <c r="E1" s="23"/>
      <c r="F1" s="23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7" x14ac:dyDescent="0.45">
      <c r="A2" s="581" t="s">
        <v>184</v>
      </c>
      <c r="B2" s="583"/>
      <c r="C2" s="23"/>
      <c r="D2" s="23"/>
      <c r="E2" s="23"/>
      <c r="F2" s="23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17" x14ac:dyDescent="0.45">
      <c r="A3" s="581" t="s">
        <v>185</v>
      </c>
      <c r="B3" s="582"/>
      <c r="C3" s="23"/>
      <c r="D3" s="23"/>
      <c r="E3" s="23"/>
      <c r="F3" s="23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x14ac:dyDescent="0.45">
      <c r="A4" s="581" t="s">
        <v>186</v>
      </c>
      <c r="B4" s="582"/>
      <c r="C4" s="23" t="s">
        <v>187</v>
      </c>
      <c r="D4" s="23"/>
      <c r="E4" s="23"/>
      <c r="F4" s="23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</row>
    <row r="5" spans="1:17" x14ac:dyDescent="0.45">
      <c r="A5" s="581" t="s">
        <v>188</v>
      </c>
      <c r="B5" s="582"/>
      <c r="C5" s="23" t="s">
        <v>187</v>
      </c>
      <c r="D5" s="23"/>
      <c r="E5" s="23"/>
      <c r="F5" s="23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</row>
    <row r="6" spans="1:17" x14ac:dyDescent="0.45">
      <c r="A6" s="590" t="s">
        <v>189</v>
      </c>
      <c r="B6" s="591" t="s">
        <v>1072</v>
      </c>
      <c r="C6" s="592"/>
      <c r="D6" s="591" t="s">
        <v>1073</v>
      </c>
      <c r="E6" s="592"/>
      <c r="F6" s="23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</row>
    <row r="7" spans="1:17" x14ac:dyDescent="0.4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</row>
    <row r="8" spans="1:17" ht="21" x14ac:dyDescent="0.45">
      <c r="A8" s="593" t="s">
        <v>192</v>
      </c>
      <c r="B8" s="593" t="s">
        <v>191</v>
      </c>
      <c r="C8" s="593" t="s">
        <v>55</v>
      </c>
      <c r="D8" s="698" t="s">
        <v>54</v>
      </c>
      <c r="E8" s="571" t="s">
        <v>193</v>
      </c>
      <c r="F8" s="698" t="s">
        <v>53</v>
      </c>
      <c r="G8" s="699" t="s">
        <v>52</v>
      </c>
      <c r="H8" s="698" t="s">
        <v>656</v>
      </c>
      <c r="I8" s="24"/>
      <c r="J8" s="24"/>
      <c r="K8" s="24"/>
      <c r="L8" s="24"/>
      <c r="M8" s="24"/>
      <c r="N8" s="24"/>
      <c r="O8" s="24"/>
      <c r="P8" s="24"/>
      <c r="Q8" s="24"/>
    </row>
    <row r="9" spans="1:17" x14ac:dyDescent="0.45">
      <c r="A9" s="471">
        <v>8443432190</v>
      </c>
      <c r="B9" s="471" t="s">
        <v>871</v>
      </c>
      <c r="C9" s="42">
        <v>300</v>
      </c>
      <c r="D9" s="63">
        <v>112</v>
      </c>
      <c r="E9" s="770"/>
      <c r="F9" s="57">
        <f>E9/C9</f>
        <v>0</v>
      </c>
      <c r="G9" s="60">
        <f>(360/D9)</f>
        <v>3.2142857142857144</v>
      </c>
      <c r="H9" s="701"/>
      <c r="I9" s="24"/>
      <c r="J9" s="24"/>
      <c r="K9" s="24"/>
      <c r="L9" s="24"/>
      <c r="M9" s="24"/>
      <c r="N9" s="24"/>
      <c r="O9" s="24"/>
      <c r="P9" s="24"/>
      <c r="Q9" s="24"/>
    </row>
    <row r="10" spans="1:17" x14ac:dyDescent="0.45">
      <c r="A10" s="471">
        <v>9007733190</v>
      </c>
      <c r="B10" s="471" t="s">
        <v>872</v>
      </c>
      <c r="C10" s="42">
        <v>300</v>
      </c>
      <c r="D10" s="1">
        <v>112</v>
      </c>
      <c r="E10" s="770"/>
      <c r="F10" s="57">
        <f t="shared" ref="F10:F73" si="0">E10/C10</f>
        <v>0</v>
      </c>
      <c r="G10" s="60">
        <f t="shared" ref="G10:G73" si="1">(360/D10)</f>
        <v>3.2142857142857144</v>
      </c>
      <c r="H10" s="701"/>
      <c r="I10" s="24"/>
      <c r="J10" s="24"/>
      <c r="K10" s="24"/>
      <c r="L10" s="24"/>
      <c r="M10" s="24"/>
      <c r="N10" s="24"/>
      <c r="O10" s="24"/>
      <c r="P10" s="24"/>
      <c r="Q10" s="24"/>
    </row>
    <row r="11" spans="1:17" x14ac:dyDescent="0.45">
      <c r="A11" s="471">
        <v>9007784190</v>
      </c>
      <c r="B11" s="471" t="s">
        <v>873</v>
      </c>
      <c r="C11" s="42">
        <v>300</v>
      </c>
      <c r="D11" s="1">
        <v>112</v>
      </c>
      <c r="E11" s="770"/>
      <c r="F11" s="57">
        <f t="shared" si="0"/>
        <v>0</v>
      </c>
      <c r="G11" s="60">
        <f t="shared" si="1"/>
        <v>3.2142857142857144</v>
      </c>
      <c r="H11" s="701"/>
      <c r="I11" s="24"/>
      <c r="J11" s="24"/>
      <c r="K11" s="24"/>
      <c r="L11" s="24"/>
      <c r="M11" s="24"/>
      <c r="N11" s="24"/>
      <c r="O11" s="24"/>
      <c r="P11" s="24"/>
      <c r="Q11" s="24"/>
    </row>
    <row r="12" spans="1:17" x14ac:dyDescent="0.45">
      <c r="A12" s="471">
        <v>9005811190</v>
      </c>
      <c r="B12" s="471" t="s">
        <v>874</v>
      </c>
      <c r="C12" s="42">
        <v>300</v>
      </c>
      <c r="D12" s="1">
        <v>112</v>
      </c>
      <c r="E12" s="770"/>
      <c r="F12" s="57">
        <f t="shared" si="0"/>
        <v>0</v>
      </c>
      <c r="G12" s="60">
        <f t="shared" si="1"/>
        <v>3.2142857142857144</v>
      </c>
      <c r="H12" s="701"/>
      <c r="I12" s="24"/>
      <c r="J12" s="24"/>
      <c r="K12" s="24"/>
      <c r="L12" s="24"/>
      <c r="M12" s="24"/>
      <c r="N12" s="24"/>
      <c r="O12" s="24"/>
      <c r="P12" s="24"/>
      <c r="Q12" s="24"/>
    </row>
    <row r="13" spans="1:17" x14ac:dyDescent="0.45">
      <c r="A13" s="471">
        <v>9043284190</v>
      </c>
      <c r="B13" s="471" t="s">
        <v>875</v>
      </c>
      <c r="C13" s="42">
        <v>300</v>
      </c>
      <c r="D13" s="1">
        <v>112</v>
      </c>
      <c r="E13" s="770"/>
      <c r="F13" s="57">
        <f t="shared" si="0"/>
        <v>0</v>
      </c>
      <c r="G13" s="60">
        <f t="shared" si="1"/>
        <v>3.2142857142857144</v>
      </c>
      <c r="H13" s="701"/>
      <c r="I13" s="24"/>
      <c r="J13" s="24"/>
      <c r="K13" s="24"/>
      <c r="L13" s="24"/>
      <c r="M13" s="24"/>
      <c r="N13" s="24"/>
      <c r="O13" s="24"/>
      <c r="P13" s="24"/>
      <c r="Q13" s="24"/>
    </row>
    <row r="14" spans="1:17" x14ac:dyDescent="0.45">
      <c r="A14" s="471">
        <v>8906564190</v>
      </c>
      <c r="B14" s="471" t="s">
        <v>876</v>
      </c>
      <c r="C14" s="42">
        <v>300</v>
      </c>
      <c r="D14" s="1">
        <v>112</v>
      </c>
      <c r="E14" s="770"/>
      <c r="F14" s="57">
        <f t="shared" si="0"/>
        <v>0</v>
      </c>
      <c r="G14" s="60">
        <f t="shared" si="1"/>
        <v>3.2142857142857144</v>
      </c>
      <c r="H14" s="701"/>
      <c r="I14" s="24"/>
      <c r="J14" s="24"/>
      <c r="K14" s="24"/>
      <c r="L14" s="24"/>
      <c r="M14" s="24"/>
      <c r="N14" s="24"/>
      <c r="O14" s="24"/>
      <c r="P14" s="24"/>
      <c r="Q14" s="24"/>
    </row>
    <row r="15" spans="1:17" x14ac:dyDescent="0.45">
      <c r="A15" s="471">
        <v>7026935190</v>
      </c>
      <c r="B15" s="471" t="s">
        <v>877</v>
      </c>
      <c r="C15" s="42">
        <v>300</v>
      </c>
      <c r="D15" s="1">
        <v>112</v>
      </c>
      <c r="E15" s="770"/>
      <c r="F15" s="57">
        <f t="shared" si="0"/>
        <v>0</v>
      </c>
      <c r="G15" s="60">
        <f t="shared" si="1"/>
        <v>3.2142857142857144</v>
      </c>
      <c r="H15" s="701"/>
      <c r="I15" s="24"/>
      <c r="J15" s="24"/>
      <c r="K15" s="24"/>
      <c r="L15" s="24"/>
      <c r="M15" s="24"/>
      <c r="N15" s="24"/>
      <c r="O15" s="24"/>
      <c r="P15" s="24"/>
      <c r="Q15" s="24"/>
    </row>
    <row r="16" spans="1:17" x14ac:dyDescent="0.45">
      <c r="A16" s="471">
        <v>9005021190</v>
      </c>
      <c r="B16" s="471" t="s">
        <v>878</v>
      </c>
      <c r="C16" s="42">
        <v>300</v>
      </c>
      <c r="D16" s="1">
        <v>112</v>
      </c>
      <c r="E16" s="770"/>
      <c r="F16" s="57">
        <f t="shared" si="0"/>
        <v>0</v>
      </c>
      <c r="G16" s="60">
        <f t="shared" si="1"/>
        <v>3.2142857142857144</v>
      </c>
      <c r="H16" s="701"/>
      <c r="I16" s="24"/>
      <c r="J16" s="24"/>
      <c r="K16" s="24"/>
      <c r="L16" s="24"/>
      <c r="M16" s="24"/>
      <c r="N16" s="24"/>
      <c r="O16" s="24"/>
      <c r="P16" s="24"/>
      <c r="Q16" s="24"/>
    </row>
    <row r="17" spans="1:17" x14ac:dyDescent="0.45">
      <c r="A17" s="471">
        <v>8496633190</v>
      </c>
      <c r="B17" s="471" t="s">
        <v>879</v>
      </c>
      <c r="C17" s="42">
        <v>100</v>
      </c>
      <c r="D17" s="1">
        <v>112</v>
      </c>
      <c r="E17" s="770"/>
      <c r="F17" s="57">
        <f t="shared" si="0"/>
        <v>0</v>
      </c>
      <c r="G17" s="60">
        <f t="shared" si="1"/>
        <v>3.2142857142857144</v>
      </c>
      <c r="H17" s="701"/>
      <c r="I17" s="24"/>
      <c r="J17" s="24"/>
      <c r="K17" s="24"/>
      <c r="L17" s="24"/>
      <c r="M17" s="24"/>
      <c r="N17" s="24"/>
      <c r="O17" s="24"/>
      <c r="P17" s="24"/>
      <c r="Q17" s="24"/>
    </row>
    <row r="18" spans="1:17" x14ac:dyDescent="0.45">
      <c r="A18" s="471">
        <v>7027575190</v>
      </c>
      <c r="B18" s="17" t="s">
        <v>880</v>
      </c>
      <c r="C18" s="42">
        <v>300</v>
      </c>
      <c r="D18" s="1">
        <v>112</v>
      </c>
      <c r="E18" s="770"/>
      <c r="F18" s="57">
        <f t="shared" si="0"/>
        <v>0</v>
      </c>
      <c r="G18" s="60">
        <f t="shared" si="1"/>
        <v>3.2142857142857144</v>
      </c>
      <c r="H18" s="701"/>
      <c r="I18" s="24"/>
      <c r="J18" s="24"/>
      <c r="K18" s="24"/>
      <c r="L18" s="24"/>
      <c r="M18" s="24"/>
      <c r="N18" s="24"/>
      <c r="O18" s="24"/>
      <c r="P18" s="24"/>
      <c r="Q18" s="24"/>
    </row>
    <row r="19" spans="1:17" x14ac:dyDescent="0.45">
      <c r="A19" s="471">
        <v>8932387190</v>
      </c>
      <c r="B19" s="17" t="s">
        <v>881</v>
      </c>
      <c r="C19" s="42">
        <v>300</v>
      </c>
      <c r="D19" s="1">
        <v>112</v>
      </c>
      <c r="E19" s="770"/>
      <c r="F19" s="57">
        <f t="shared" si="0"/>
        <v>0</v>
      </c>
      <c r="G19" s="60">
        <f t="shared" si="1"/>
        <v>3.2142857142857144</v>
      </c>
      <c r="H19" s="701"/>
      <c r="I19" s="24"/>
      <c r="J19" s="24"/>
      <c r="K19" s="24"/>
      <c r="L19" s="24"/>
      <c r="M19" s="24"/>
      <c r="N19" s="24"/>
      <c r="O19" s="24"/>
      <c r="P19" s="24"/>
      <c r="Q19" s="24"/>
    </row>
    <row r="20" spans="1:17" ht="15.75" customHeight="1" x14ac:dyDescent="0.45">
      <c r="A20" s="471">
        <v>7027249190</v>
      </c>
      <c r="B20" s="17" t="s">
        <v>882</v>
      </c>
      <c r="C20" s="42">
        <v>300</v>
      </c>
      <c r="D20" s="1">
        <v>112</v>
      </c>
      <c r="E20" s="770"/>
      <c r="F20" s="57">
        <f t="shared" si="0"/>
        <v>0</v>
      </c>
      <c r="G20" s="60">
        <f t="shared" si="1"/>
        <v>3.2142857142857144</v>
      </c>
      <c r="H20" s="701"/>
      <c r="I20" s="24"/>
      <c r="J20" s="24"/>
      <c r="K20" s="24"/>
      <c r="L20" s="24"/>
      <c r="M20" s="24"/>
      <c r="N20" s="24"/>
      <c r="O20" s="24"/>
      <c r="P20" s="24"/>
      <c r="Q20" s="24"/>
    </row>
    <row r="21" spans="1:17" ht="15.75" customHeight="1" x14ac:dyDescent="0.45">
      <c r="A21" s="471">
        <v>9755748190</v>
      </c>
      <c r="B21" s="17" t="s">
        <v>883</v>
      </c>
      <c r="C21" s="42">
        <v>100</v>
      </c>
      <c r="D21" s="1">
        <v>112</v>
      </c>
      <c r="E21" s="770"/>
      <c r="F21" s="57">
        <f t="shared" si="0"/>
        <v>0</v>
      </c>
      <c r="G21" s="60">
        <f t="shared" si="1"/>
        <v>3.2142857142857144</v>
      </c>
      <c r="H21" s="701"/>
      <c r="I21" s="24"/>
      <c r="J21" s="24"/>
      <c r="K21" s="24"/>
      <c r="L21" s="24"/>
      <c r="M21" s="24"/>
      <c r="N21" s="24"/>
      <c r="O21" s="24"/>
      <c r="P21" s="24"/>
      <c r="Q21" s="24"/>
    </row>
    <row r="22" spans="1:17" ht="15.75" customHeight="1" x14ac:dyDescent="0.45">
      <c r="A22" s="471">
        <v>7027737190</v>
      </c>
      <c r="B22" s="17" t="s">
        <v>884</v>
      </c>
      <c r="C22" s="42">
        <v>300</v>
      </c>
      <c r="D22" s="1">
        <v>112</v>
      </c>
      <c r="E22" s="770"/>
      <c r="F22" s="57">
        <f t="shared" si="0"/>
        <v>0</v>
      </c>
      <c r="G22" s="60">
        <f t="shared" si="1"/>
        <v>3.2142857142857144</v>
      </c>
      <c r="H22" s="701"/>
      <c r="I22" s="24"/>
      <c r="J22" s="24"/>
      <c r="K22" s="24"/>
      <c r="L22" s="24"/>
      <c r="M22" s="24"/>
      <c r="N22" s="24"/>
      <c r="O22" s="24"/>
      <c r="P22" s="24"/>
      <c r="Q22" s="24"/>
    </row>
    <row r="23" spans="1:17" ht="15.75" customHeight="1" x14ac:dyDescent="0.45">
      <c r="A23" s="471">
        <v>8946370190</v>
      </c>
      <c r="B23" s="17" t="s">
        <v>885</v>
      </c>
      <c r="C23" s="42">
        <v>300</v>
      </c>
      <c r="D23" s="1">
        <v>112</v>
      </c>
      <c r="E23" s="770"/>
      <c r="F23" s="57">
        <f t="shared" si="0"/>
        <v>0</v>
      </c>
      <c r="G23" s="60">
        <f t="shared" si="1"/>
        <v>3.2142857142857144</v>
      </c>
      <c r="H23" s="701"/>
      <c r="I23" s="24"/>
      <c r="J23" s="24"/>
      <c r="K23" s="24"/>
      <c r="L23" s="24"/>
      <c r="M23" s="24"/>
      <c r="N23" s="24"/>
      <c r="O23" s="24"/>
      <c r="P23" s="24"/>
      <c r="Q23" s="24"/>
    </row>
    <row r="24" spans="1:17" ht="15.75" customHeight="1" x14ac:dyDescent="0.45">
      <c r="A24" s="471">
        <v>7258496190</v>
      </c>
      <c r="B24" s="17" t="s">
        <v>886</v>
      </c>
      <c r="C24" s="42">
        <v>300</v>
      </c>
      <c r="D24" s="1">
        <v>112</v>
      </c>
      <c r="E24" s="770"/>
      <c r="F24" s="57">
        <f t="shared" si="0"/>
        <v>0</v>
      </c>
      <c r="G24" s="60">
        <f t="shared" si="1"/>
        <v>3.2142857142857144</v>
      </c>
      <c r="H24" s="701"/>
      <c r="I24" s="24"/>
      <c r="J24" s="24"/>
      <c r="K24" s="24"/>
      <c r="L24" s="24"/>
      <c r="M24" s="24"/>
      <c r="N24" s="24"/>
      <c r="O24" s="24"/>
      <c r="P24" s="24"/>
      <c r="Q24" s="24"/>
    </row>
    <row r="25" spans="1:17" ht="15.75" customHeight="1" x14ac:dyDescent="0.45">
      <c r="A25" s="471">
        <v>7027192190</v>
      </c>
      <c r="B25" s="17" t="s">
        <v>887</v>
      </c>
      <c r="C25" s="42">
        <v>100</v>
      </c>
      <c r="D25" s="1">
        <v>112</v>
      </c>
      <c r="E25" s="770"/>
      <c r="F25" s="57">
        <f t="shared" si="0"/>
        <v>0</v>
      </c>
      <c r="G25" s="60">
        <f t="shared" si="1"/>
        <v>3.2142857142857144</v>
      </c>
      <c r="H25" s="701"/>
      <c r="I25" s="24"/>
      <c r="J25" s="24"/>
      <c r="K25" s="24"/>
      <c r="L25" s="24"/>
      <c r="M25" s="24"/>
      <c r="N25" s="24"/>
      <c r="O25" s="24"/>
      <c r="P25" s="24"/>
      <c r="Q25" s="24"/>
    </row>
    <row r="26" spans="1:17" ht="15.75" customHeight="1" x14ac:dyDescent="0.45">
      <c r="A26" s="471">
        <v>7251025190</v>
      </c>
      <c r="B26" s="17" t="s">
        <v>888</v>
      </c>
      <c r="C26" s="42">
        <v>300</v>
      </c>
      <c r="D26" s="1">
        <v>112</v>
      </c>
      <c r="E26" s="770"/>
      <c r="F26" s="57">
        <f t="shared" si="0"/>
        <v>0</v>
      </c>
      <c r="G26" s="60">
        <f t="shared" si="1"/>
        <v>3.2142857142857144</v>
      </c>
      <c r="H26" s="701"/>
      <c r="I26" s="24"/>
      <c r="J26" s="24"/>
      <c r="K26" s="24"/>
      <c r="L26" s="24"/>
      <c r="M26" s="24"/>
      <c r="N26" s="24"/>
      <c r="O26" s="24"/>
      <c r="P26" s="24"/>
      <c r="Q26" s="24"/>
    </row>
    <row r="27" spans="1:17" ht="15.75" customHeight="1" x14ac:dyDescent="0.45">
      <c r="A27" s="471">
        <v>8890595190</v>
      </c>
      <c r="B27" s="17" t="s">
        <v>889</v>
      </c>
      <c r="C27" s="42">
        <v>100</v>
      </c>
      <c r="D27" s="1">
        <v>112</v>
      </c>
      <c r="E27" s="770"/>
      <c r="F27" s="57">
        <f t="shared" si="0"/>
        <v>0</v>
      </c>
      <c r="G27" s="60">
        <f t="shared" si="1"/>
        <v>3.2142857142857144</v>
      </c>
      <c r="H27" s="701"/>
      <c r="I27" s="24"/>
      <c r="J27" s="24"/>
      <c r="K27" s="24"/>
      <c r="L27" s="24"/>
      <c r="M27" s="24"/>
      <c r="N27" s="24"/>
      <c r="O27" s="24"/>
      <c r="P27" s="24"/>
      <c r="Q27" s="24"/>
    </row>
    <row r="28" spans="1:17" ht="15.75" customHeight="1" x14ac:dyDescent="0.45">
      <c r="A28" s="471">
        <v>8860319190</v>
      </c>
      <c r="B28" s="17" t="s">
        <v>890</v>
      </c>
      <c r="C28" s="42">
        <v>100</v>
      </c>
      <c r="D28" s="1">
        <v>112</v>
      </c>
      <c r="E28" s="770"/>
      <c r="F28" s="57">
        <f t="shared" si="0"/>
        <v>0</v>
      </c>
      <c r="G28" s="60">
        <f t="shared" si="1"/>
        <v>3.2142857142857144</v>
      </c>
      <c r="H28" s="701"/>
      <c r="I28" s="24"/>
      <c r="J28" s="24"/>
      <c r="K28" s="24"/>
      <c r="L28" s="24"/>
      <c r="M28" s="24"/>
      <c r="N28" s="24"/>
      <c r="O28" s="24"/>
      <c r="P28" s="24"/>
      <c r="Q28" s="24"/>
    </row>
    <row r="29" spans="1:17" ht="15.75" customHeight="1" x14ac:dyDescent="0.45">
      <c r="A29" s="471">
        <v>8860181190</v>
      </c>
      <c r="B29" s="17" t="s">
        <v>891</v>
      </c>
      <c r="C29" s="42">
        <v>100</v>
      </c>
      <c r="D29" s="1">
        <v>112</v>
      </c>
      <c r="E29" s="770"/>
      <c r="F29" s="57">
        <f t="shared" si="0"/>
        <v>0</v>
      </c>
      <c r="G29" s="60">
        <f t="shared" si="1"/>
        <v>3.2142857142857144</v>
      </c>
      <c r="H29" s="701"/>
      <c r="I29" s="24"/>
      <c r="J29" s="24"/>
      <c r="K29" s="24"/>
      <c r="L29" s="24"/>
      <c r="M29" s="24"/>
      <c r="N29" s="24"/>
      <c r="O29" s="24"/>
      <c r="P29" s="24"/>
      <c r="Q29" s="24"/>
    </row>
    <row r="30" spans="1:17" ht="15.75" customHeight="1" x14ac:dyDescent="0.45">
      <c r="A30" s="471">
        <v>7027648190</v>
      </c>
      <c r="B30" s="17" t="s">
        <v>892</v>
      </c>
      <c r="C30" s="42">
        <v>100</v>
      </c>
      <c r="D30" s="1">
        <v>112</v>
      </c>
      <c r="E30" s="770"/>
      <c r="F30" s="57">
        <f t="shared" si="0"/>
        <v>0</v>
      </c>
      <c r="G30" s="60">
        <f t="shared" si="1"/>
        <v>3.2142857142857144</v>
      </c>
      <c r="H30" s="701"/>
      <c r="I30" s="24"/>
      <c r="J30" s="24"/>
      <c r="K30" s="24"/>
      <c r="L30" s="24"/>
      <c r="M30" s="24"/>
      <c r="N30" s="24"/>
      <c r="O30" s="24"/>
      <c r="P30" s="24"/>
      <c r="Q30" s="24"/>
    </row>
    <row r="31" spans="1:17" ht="15.75" customHeight="1" x14ac:dyDescent="0.45">
      <c r="A31" s="471">
        <v>7027818190</v>
      </c>
      <c r="B31" s="17" t="s">
        <v>893</v>
      </c>
      <c r="C31" s="42">
        <v>100</v>
      </c>
      <c r="D31" s="1">
        <v>112</v>
      </c>
      <c r="E31" s="770"/>
      <c r="F31" s="57">
        <f t="shared" si="0"/>
        <v>0</v>
      </c>
      <c r="G31" s="60">
        <f t="shared" si="1"/>
        <v>3.2142857142857144</v>
      </c>
      <c r="H31" s="701"/>
      <c r="I31" s="24"/>
      <c r="J31" s="24"/>
      <c r="K31" s="24"/>
      <c r="L31" s="24"/>
      <c r="M31" s="24"/>
      <c r="N31" s="24"/>
      <c r="O31" s="24"/>
      <c r="P31" s="24"/>
      <c r="Q31" s="24"/>
    </row>
    <row r="32" spans="1:17" ht="15.75" customHeight="1" x14ac:dyDescent="0.45">
      <c r="A32" s="471">
        <v>7027168190</v>
      </c>
      <c r="B32" s="17" t="s">
        <v>894</v>
      </c>
      <c r="C32" s="42">
        <v>100</v>
      </c>
      <c r="D32" s="1">
        <v>112</v>
      </c>
      <c r="E32" s="770"/>
      <c r="F32" s="57">
        <f t="shared" si="0"/>
        <v>0</v>
      </c>
      <c r="G32" s="60">
        <f t="shared" si="1"/>
        <v>3.2142857142857144</v>
      </c>
      <c r="H32" s="701"/>
      <c r="I32" s="24"/>
      <c r="J32" s="24"/>
      <c r="K32" s="24"/>
      <c r="L32" s="24"/>
      <c r="M32" s="24"/>
      <c r="N32" s="24"/>
      <c r="O32" s="24"/>
      <c r="P32" s="24"/>
      <c r="Q32" s="24"/>
    </row>
    <row r="33" spans="1:17" ht="15.75" customHeight="1" x14ac:dyDescent="0.45">
      <c r="A33" s="471">
        <v>7027559190</v>
      </c>
      <c r="B33" s="17" t="s">
        <v>895</v>
      </c>
      <c r="C33" s="42">
        <v>100</v>
      </c>
      <c r="D33" s="1">
        <v>112</v>
      </c>
      <c r="E33" s="770"/>
      <c r="F33" s="57">
        <f t="shared" si="0"/>
        <v>0</v>
      </c>
      <c r="G33" s="60">
        <f t="shared" si="1"/>
        <v>3.2142857142857144</v>
      </c>
      <c r="H33" s="701"/>
      <c r="I33" s="24"/>
      <c r="J33" s="24"/>
      <c r="K33" s="24"/>
      <c r="L33" s="24"/>
      <c r="M33" s="24"/>
      <c r="N33" s="24"/>
      <c r="O33" s="24"/>
      <c r="P33" s="24"/>
      <c r="Q33" s="24"/>
    </row>
    <row r="34" spans="1:17" ht="15.75" customHeight="1" x14ac:dyDescent="0.45">
      <c r="A34" s="679">
        <v>7027150190</v>
      </c>
      <c r="B34" s="17" t="s">
        <v>896</v>
      </c>
      <c r="C34" s="42">
        <v>300</v>
      </c>
      <c r="D34" s="1">
        <v>112</v>
      </c>
      <c r="E34" s="770"/>
      <c r="F34" s="57">
        <f t="shared" si="0"/>
        <v>0</v>
      </c>
      <c r="G34" s="60">
        <f t="shared" si="1"/>
        <v>3.2142857142857144</v>
      </c>
      <c r="H34" s="701"/>
      <c r="I34" s="24"/>
      <c r="J34" s="24"/>
      <c r="K34" s="24"/>
      <c r="L34" s="24"/>
      <c r="M34" s="24"/>
      <c r="N34" s="24"/>
      <c r="O34" s="24"/>
      <c r="P34" s="24"/>
      <c r="Q34" s="24"/>
    </row>
    <row r="35" spans="1:17" ht="15.75" customHeight="1" x14ac:dyDescent="0.45">
      <c r="A35" s="679">
        <v>7682808190</v>
      </c>
      <c r="B35" s="17" t="s">
        <v>897</v>
      </c>
      <c r="C35" s="42">
        <v>300</v>
      </c>
      <c r="D35" s="1">
        <v>112</v>
      </c>
      <c r="E35" s="770"/>
      <c r="F35" s="57">
        <f t="shared" si="0"/>
        <v>0</v>
      </c>
      <c r="G35" s="60">
        <f t="shared" si="1"/>
        <v>3.2142857142857144</v>
      </c>
      <c r="H35" s="701"/>
      <c r="I35" s="24"/>
      <c r="J35" s="24"/>
      <c r="K35" s="24"/>
      <c r="L35" s="24"/>
      <c r="M35" s="24"/>
      <c r="N35" s="24"/>
      <c r="O35" s="24"/>
      <c r="P35" s="24"/>
      <c r="Q35" s="24"/>
    </row>
    <row r="36" spans="1:17" ht="15.75" customHeight="1" x14ac:dyDescent="0.45">
      <c r="A36" s="679">
        <v>8946728190</v>
      </c>
      <c r="B36" s="17" t="s">
        <v>898</v>
      </c>
      <c r="C36" s="42">
        <v>100</v>
      </c>
      <c r="D36" s="1">
        <v>112</v>
      </c>
      <c r="E36" s="770"/>
      <c r="F36" s="57">
        <f t="shared" si="0"/>
        <v>0</v>
      </c>
      <c r="G36" s="60">
        <f t="shared" si="1"/>
        <v>3.2142857142857144</v>
      </c>
      <c r="H36" s="701"/>
      <c r="I36" s="24"/>
      <c r="J36" s="24"/>
      <c r="K36" s="24"/>
      <c r="L36" s="24"/>
      <c r="M36" s="24"/>
      <c r="N36" s="24"/>
      <c r="O36" s="24"/>
      <c r="P36" s="24"/>
      <c r="Q36" s="24"/>
    </row>
    <row r="37" spans="1:17" ht="15.75" customHeight="1" x14ac:dyDescent="0.45">
      <c r="A37" s="679">
        <v>7027486190</v>
      </c>
      <c r="B37" s="17" t="s">
        <v>899</v>
      </c>
      <c r="C37" s="42">
        <v>100</v>
      </c>
      <c r="D37" s="1">
        <v>112</v>
      </c>
      <c r="E37" s="770"/>
      <c r="F37" s="57">
        <f t="shared" si="0"/>
        <v>0</v>
      </c>
      <c r="G37" s="60">
        <f t="shared" si="1"/>
        <v>3.2142857142857144</v>
      </c>
      <c r="H37" s="701"/>
      <c r="I37" s="24"/>
      <c r="J37" s="24"/>
      <c r="K37" s="24"/>
      <c r="L37" s="24"/>
      <c r="M37" s="24"/>
      <c r="N37" s="24"/>
      <c r="O37" s="24"/>
      <c r="P37" s="24"/>
      <c r="Q37" s="24"/>
    </row>
    <row r="38" spans="1:17" ht="15.75" customHeight="1" x14ac:dyDescent="0.45">
      <c r="A38" s="679" t="s">
        <v>1140</v>
      </c>
      <c r="B38" s="17" t="s">
        <v>900</v>
      </c>
      <c r="C38" s="42">
        <v>100</v>
      </c>
      <c r="D38" s="1">
        <v>112</v>
      </c>
      <c r="E38" s="770"/>
      <c r="F38" s="57">
        <f t="shared" si="0"/>
        <v>0</v>
      </c>
      <c r="G38" s="60">
        <f t="shared" si="1"/>
        <v>3.2142857142857144</v>
      </c>
      <c r="H38" s="701"/>
      <c r="I38" s="24"/>
      <c r="J38" s="24"/>
      <c r="K38" s="24"/>
      <c r="L38" s="24"/>
      <c r="M38" s="24"/>
      <c r="N38" s="24"/>
      <c r="O38" s="24"/>
      <c r="P38" s="24"/>
      <c r="Q38" s="24"/>
    </row>
    <row r="39" spans="1:17" ht="15.75" customHeight="1" x14ac:dyDescent="0.45">
      <c r="A39" s="679">
        <v>9744860190</v>
      </c>
      <c r="B39" s="17" t="s">
        <v>901</v>
      </c>
      <c r="C39" s="42">
        <v>100</v>
      </c>
      <c r="D39" s="1">
        <v>112</v>
      </c>
      <c r="E39" s="770"/>
      <c r="F39" s="57">
        <f t="shared" si="0"/>
        <v>0</v>
      </c>
      <c r="G39" s="60">
        <f t="shared" si="1"/>
        <v>3.2142857142857144</v>
      </c>
      <c r="H39" s="701"/>
      <c r="I39" s="24"/>
      <c r="J39" s="24"/>
      <c r="K39" s="24"/>
      <c r="L39" s="24"/>
      <c r="M39" s="24"/>
      <c r="N39" s="24"/>
      <c r="O39" s="24"/>
      <c r="P39" s="24"/>
      <c r="Q39" s="24"/>
    </row>
    <row r="40" spans="1:17" ht="15.75" customHeight="1" x14ac:dyDescent="0.45">
      <c r="A40" s="471">
        <v>8828610190</v>
      </c>
      <c r="B40" s="17" t="s">
        <v>902</v>
      </c>
      <c r="C40" s="42">
        <v>300</v>
      </c>
      <c r="D40" s="1">
        <v>112</v>
      </c>
      <c r="E40" s="770"/>
      <c r="F40" s="57">
        <f t="shared" si="0"/>
        <v>0</v>
      </c>
      <c r="G40" s="60">
        <f t="shared" si="1"/>
        <v>3.2142857142857144</v>
      </c>
      <c r="H40" s="701"/>
      <c r="I40" s="24"/>
      <c r="J40" s="24"/>
      <c r="K40" s="24"/>
      <c r="L40" s="24"/>
      <c r="M40" s="24"/>
      <c r="N40" s="24"/>
      <c r="O40" s="24"/>
      <c r="P40" s="24"/>
      <c r="Q40" s="24"/>
    </row>
    <row r="41" spans="1:17" ht="15.75" customHeight="1" x14ac:dyDescent="0.45">
      <c r="A41" s="471">
        <v>9731385190</v>
      </c>
      <c r="B41" s="17" t="s">
        <v>903</v>
      </c>
      <c r="C41" s="42">
        <v>100</v>
      </c>
      <c r="D41" s="1">
        <v>112</v>
      </c>
      <c r="E41" s="770"/>
      <c r="F41" s="57">
        <f t="shared" si="0"/>
        <v>0</v>
      </c>
      <c r="G41" s="60">
        <f t="shared" si="1"/>
        <v>3.2142857142857144</v>
      </c>
      <c r="H41" s="701"/>
      <c r="I41" s="24"/>
      <c r="J41" s="24"/>
      <c r="K41" s="24"/>
      <c r="L41" s="24"/>
      <c r="M41" s="24"/>
      <c r="N41" s="24"/>
      <c r="O41" s="24"/>
      <c r="P41" s="24"/>
      <c r="Q41" s="24"/>
    </row>
    <row r="42" spans="1:17" ht="15.75" customHeight="1" x14ac:dyDescent="0.45">
      <c r="A42" s="471">
        <v>7027079190</v>
      </c>
      <c r="B42" s="17" t="s">
        <v>904</v>
      </c>
      <c r="C42" s="42">
        <v>300</v>
      </c>
      <c r="D42" s="1">
        <v>112</v>
      </c>
      <c r="E42" s="770"/>
      <c r="F42" s="57">
        <f t="shared" si="0"/>
        <v>0</v>
      </c>
      <c r="G42" s="60">
        <f t="shared" si="1"/>
        <v>3.2142857142857144</v>
      </c>
      <c r="H42" s="701"/>
      <c r="I42" s="24"/>
      <c r="J42" s="24"/>
      <c r="K42" s="24"/>
      <c r="L42" s="24"/>
      <c r="M42" s="24"/>
      <c r="N42" s="24"/>
      <c r="O42" s="24"/>
      <c r="P42" s="24"/>
      <c r="Q42" s="24"/>
    </row>
    <row r="43" spans="1:17" ht="15.75" customHeight="1" x14ac:dyDescent="0.45">
      <c r="A43" s="471">
        <v>7026986190</v>
      </c>
      <c r="B43" s="17" t="s">
        <v>905</v>
      </c>
      <c r="C43" s="42">
        <v>300</v>
      </c>
      <c r="D43" s="1">
        <v>112</v>
      </c>
      <c r="E43" s="770"/>
      <c r="F43" s="57">
        <f t="shared" si="0"/>
        <v>0</v>
      </c>
      <c r="G43" s="60">
        <f t="shared" si="1"/>
        <v>3.2142857142857144</v>
      </c>
      <c r="H43" s="701"/>
      <c r="I43" s="24"/>
      <c r="J43" s="24"/>
      <c r="K43" s="24"/>
      <c r="L43" s="24"/>
      <c r="M43" s="24"/>
      <c r="N43" s="24"/>
      <c r="O43" s="24"/>
      <c r="P43" s="24"/>
      <c r="Q43" s="24"/>
    </row>
    <row r="44" spans="1:17" ht="15.75" customHeight="1" x14ac:dyDescent="0.45">
      <c r="A44" s="471">
        <v>7027001190</v>
      </c>
      <c r="B44" s="17" t="s">
        <v>906</v>
      </c>
      <c r="C44" s="42">
        <v>300</v>
      </c>
      <c r="D44" s="1">
        <v>112</v>
      </c>
      <c r="E44" s="770"/>
      <c r="F44" s="57">
        <f t="shared" si="0"/>
        <v>0</v>
      </c>
      <c r="G44" s="60">
        <f t="shared" si="1"/>
        <v>3.2142857142857144</v>
      </c>
      <c r="H44" s="701"/>
      <c r="I44" s="24"/>
      <c r="J44" s="24"/>
      <c r="K44" s="24"/>
      <c r="L44" s="24"/>
      <c r="M44" s="24"/>
      <c r="N44" s="24"/>
      <c r="O44" s="24"/>
      <c r="P44" s="24"/>
      <c r="Q44" s="24"/>
    </row>
    <row r="45" spans="1:17" ht="15.75" customHeight="1" x14ac:dyDescent="0.45">
      <c r="A45" s="471">
        <v>7027028190</v>
      </c>
      <c r="B45" s="17" t="s">
        <v>907</v>
      </c>
      <c r="C45" s="42">
        <v>300</v>
      </c>
      <c r="D45" s="1">
        <v>112</v>
      </c>
      <c r="E45" s="770"/>
      <c r="F45" s="57">
        <f t="shared" si="0"/>
        <v>0</v>
      </c>
      <c r="G45" s="60">
        <f t="shared" si="1"/>
        <v>3.2142857142857144</v>
      </c>
      <c r="H45" s="701"/>
      <c r="I45" s="24"/>
      <c r="J45" s="24"/>
      <c r="K45" s="24"/>
      <c r="L45" s="24"/>
      <c r="M45" s="24"/>
      <c r="N45" s="24"/>
      <c r="O45" s="24"/>
      <c r="P45" s="24"/>
      <c r="Q45" s="24"/>
    </row>
    <row r="46" spans="1:17" ht="15.75" customHeight="1" x14ac:dyDescent="0.45">
      <c r="A46" s="471">
        <v>7299966190</v>
      </c>
      <c r="B46" s="17" t="s">
        <v>908</v>
      </c>
      <c r="C46" s="42">
        <v>300</v>
      </c>
      <c r="D46" s="1">
        <v>112</v>
      </c>
      <c r="E46" s="770"/>
      <c r="F46" s="57">
        <f t="shared" si="0"/>
        <v>0</v>
      </c>
      <c r="G46" s="60">
        <f t="shared" si="1"/>
        <v>3.2142857142857144</v>
      </c>
      <c r="H46" s="701"/>
      <c r="I46" s="24"/>
      <c r="J46" s="24"/>
      <c r="K46" s="24"/>
      <c r="L46" s="24"/>
      <c r="M46" s="24"/>
      <c r="N46" s="24"/>
      <c r="O46" s="24"/>
      <c r="P46" s="24"/>
      <c r="Q46" s="24"/>
    </row>
    <row r="47" spans="1:17" ht="15.75" customHeight="1" x14ac:dyDescent="0.45">
      <c r="A47" s="471">
        <v>9005706190</v>
      </c>
      <c r="B47" s="17" t="s">
        <v>909</v>
      </c>
      <c r="C47" s="42">
        <v>300</v>
      </c>
      <c r="D47" s="1">
        <v>112</v>
      </c>
      <c r="E47" s="770"/>
      <c r="F47" s="57">
        <f t="shared" si="0"/>
        <v>0</v>
      </c>
      <c r="G47" s="60">
        <f t="shared" si="1"/>
        <v>3.2142857142857144</v>
      </c>
      <c r="H47" s="701"/>
      <c r="I47" s="24"/>
      <c r="J47" s="24"/>
      <c r="K47" s="24"/>
      <c r="L47" s="24"/>
      <c r="M47" s="24"/>
      <c r="N47" s="24"/>
      <c r="O47" s="24"/>
      <c r="P47" s="24"/>
      <c r="Q47" s="24"/>
    </row>
    <row r="48" spans="1:17" ht="15.75" customHeight="1" x14ac:dyDescent="0.45">
      <c r="A48" s="471">
        <v>7299982190</v>
      </c>
      <c r="B48" s="17" t="s">
        <v>910</v>
      </c>
      <c r="C48" s="42">
        <v>300</v>
      </c>
      <c r="D48" s="1">
        <v>112</v>
      </c>
      <c r="E48" s="770"/>
      <c r="F48" s="57">
        <f t="shared" si="0"/>
        <v>0</v>
      </c>
      <c r="G48" s="60">
        <f t="shared" si="1"/>
        <v>3.2142857142857144</v>
      </c>
      <c r="H48" s="701"/>
      <c r="I48" s="24"/>
      <c r="J48" s="24"/>
      <c r="K48" s="24"/>
      <c r="L48" s="24"/>
      <c r="M48" s="24"/>
      <c r="N48" s="24"/>
      <c r="O48" s="24"/>
      <c r="P48" s="24"/>
      <c r="Q48" s="24"/>
    </row>
    <row r="49" spans="1:17" ht="15.75" customHeight="1" x14ac:dyDescent="0.45">
      <c r="A49" s="471">
        <v>8817324190</v>
      </c>
      <c r="B49" s="17" t="s">
        <v>911</v>
      </c>
      <c r="C49" s="42">
        <v>100</v>
      </c>
      <c r="D49" s="1">
        <v>112</v>
      </c>
      <c r="E49" s="770"/>
      <c r="F49" s="57">
        <f t="shared" si="0"/>
        <v>0</v>
      </c>
      <c r="G49" s="60">
        <f t="shared" si="1"/>
        <v>3.2142857142857144</v>
      </c>
      <c r="H49" s="701"/>
      <c r="I49" s="24"/>
      <c r="J49" s="24"/>
      <c r="K49" s="24"/>
      <c r="L49" s="24"/>
      <c r="M49" s="24"/>
      <c r="N49" s="24"/>
      <c r="O49" s="24"/>
      <c r="P49" s="24"/>
      <c r="Q49" s="24"/>
    </row>
    <row r="50" spans="1:17" ht="15.75" customHeight="1" x14ac:dyDescent="0.45">
      <c r="A50" s="471">
        <v>7027478190</v>
      </c>
      <c r="B50" s="17" t="s">
        <v>912</v>
      </c>
      <c r="C50" s="42">
        <v>100</v>
      </c>
      <c r="D50" s="1">
        <v>112</v>
      </c>
      <c r="E50" s="770"/>
      <c r="F50" s="57">
        <f t="shared" si="0"/>
        <v>0</v>
      </c>
      <c r="G50" s="60">
        <f t="shared" si="1"/>
        <v>3.2142857142857144</v>
      </c>
      <c r="H50" s="701"/>
      <c r="I50" s="24"/>
      <c r="J50" s="24"/>
      <c r="K50" s="24"/>
      <c r="L50" s="24"/>
      <c r="M50" s="24"/>
      <c r="N50" s="24"/>
      <c r="O50" s="24"/>
      <c r="P50" s="24"/>
      <c r="Q50" s="24"/>
    </row>
    <row r="51" spans="1:17" ht="15.75" customHeight="1" x14ac:dyDescent="0.45">
      <c r="A51" s="471">
        <v>9015043190</v>
      </c>
      <c r="B51" s="17" t="s">
        <v>913</v>
      </c>
      <c r="C51" s="42">
        <v>300</v>
      </c>
      <c r="D51" s="1">
        <v>112</v>
      </c>
      <c r="E51" s="770"/>
      <c r="F51" s="57">
        <f t="shared" si="0"/>
        <v>0</v>
      </c>
      <c r="G51" s="60">
        <f t="shared" si="1"/>
        <v>3.2142857142857144</v>
      </c>
      <c r="H51" s="701"/>
      <c r="I51" s="24"/>
      <c r="J51" s="24"/>
      <c r="K51" s="24"/>
      <c r="L51" s="24"/>
      <c r="M51" s="24"/>
      <c r="N51" s="24"/>
      <c r="O51" s="24"/>
      <c r="P51" s="24"/>
      <c r="Q51" s="24"/>
    </row>
    <row r="52" spans="1:17" ht="15.75" customHeight="1" x14ac:dyDescent="0.45">
      <c r="A52" s="471">
        <v>9007695190</v>
      </c>
      <c r="B52" s="17" t="s">
        <v>914</v>
      </c>
      <c r="C52" s="42">
        <v>100</v>
      </c>
      <c r="D52" s="1">
        <v>112</v>
      </c>
      <c r="E52" s="770"/>
      <c r="F52" s="57">
        <f t="shared" si="0"/>
        <v>0</v>
      </c>
      <c r="G52" s="60">
        <f t="shared" si="1"/>
        <v>3.2142857142857144</v>
      </c>
      <c r="H52" s="701"/>
      <c r="I52" s="24"/>
      <c r="J52" s="24"/>
      <c r="K52" s="24"/>
      <c r="L52" s="24"/>
      <c r="M52" s="24"/>
      <c r="N52" s="24"/>
      <c r="O52" s="24"/>
      <c r="P52" s="24"/>
      <c r="Q52" s="24"/>
    </row>
    <row r="53" spans="1:17" ht="15.75" customHeight="1" x14ac:dyDescent="0.45">
      <c r="A53" s="471">
        <v>7028253190</v>
      </c>
      <c r="B53" s="17" t="s">
        <v>915</v>
      </c>
      <c r="C53" s="42">
        <v>100</v>
      </c>
      <c r="D53" s="1">
        <v>112</v>
      </c>
      <c r="E53" s="770"/>
      <c r="F53" s="57">
        <f t="shared" si="0"/>
        <v>0</v>
      </c>
      <c r="G53" s="60">
        <f t="shared" si="1"/>
        <v>3.2142857142857144</v>
      </c>
      <c r="H53" s="701"/>
      <c r="I53" s="24"/>
      <c r="J53" s="24"/>
      <c r="K53" s="24"/>
      <c r="L53" s="24"/>
      <c r="M53" s="24"/>
      <c r="N53" s="24"/>
      <c r="O53" s="24"/>
      <c r="P53" s="24"/>
      <c r="Q53" s="24"/>
    </row>
    <row r="54" spans="1:17" ht="15.75" customHeight="1" x14ac:dyDescent="0.45">
      <c r="A54" s="471">
        <v>7027214190</v>
      </c>
      <c r="B54" s="17" t="s">
        <v>916</v>
      </c>
      <c r="C54" s="42">
        <v>100</v>
      </c>
      <c r="D54" s="1">
        <v>112</v>
      </c>
      <c r="E54" s="770"/>
      <c r="F54" s="57">
        <f t="shared" si="0"/>
        <v>0</v>
      </c>
      <c r="G54" s="60">
        <f t="shared" si="1"/>
        <v>3.2142857142857144</v>
      </c>
      <c r="H54" s="701"/>
      <c r="I54" s="24"/>
      <c r="J54" s="24"/>
      <c r="K54" s="24"/>
      <c r="L54" s="24"/>
      <c r="M54" s="24"/>
      <c r="N54" s="24"/>
      <c r="O54" s="24"/>
      <c r="P54" s="24"/>
      <c r="Q54" s="24"/>
    </row>
    <row r="55" spans="1:17" ht="15.75" customHeight="1" x14ac:dyDescent="0.45">
      <c r="A55" s="471">
        <v>7027087190</v>
      </c>
      <c r="B55" s="17" t="s">
        <v>917</v>
      </c>
      <c r="C55" s="42">
        <v>100</v>
      </c>
      <c r="D55" s="1">
        <v>112</v>
      </c>
      <c r="E55" s="770"/>
      <c r="F55" s="57">
        <f t="shared" si="0"/>
        <v>0</v>
      </c>
      <c r="G55" s="60">
        <f t="shared" si="1"/>
        <v>3.2142857142857144</v>
      </c>
      <c r="H55" s="701"/>
      <c r="I55" s="24"/>
      <c r="J55" s="24"/>
      <c r="K55" s="24"/>
      <c r="L55" s="24"/>
      <c r="M55" s="24"/>
      <c r="N55" s="24"/>
      <c r="O55" s="24"/>
      <c r="P55" s="24"/>
      <c r="Q55" s="24"/>
    </row>
    <row r="56" spans="1:17" ht="15.75" customHeight="1" x14ac:dyDescent="0.45">
      <c r="A56" s="471">
        <v>7027583190</v>
      </c>
      <c r="B56" s="17" t="s">
        <v>918</v>
      </c>
      <c r="C56" s="42">
        <v>100</v>
      </c>
      <c r="D56" s="1">
        <v>112</v>
      </c>
      <c r="E56" s="770"/>
      <c r="F56" s="57">
        <f t="shared" si="0"/>
        <v>0</v>
      </c>
      <c r="G56" s="60">
        <f t="shared" si="1"/>
        <v>3.2142857142857144</v>
      </c>
      <c r="H56" s="701"/>
      <c r="I56" s="24"/>
      <c r="J56" s="24"/>
      <c r="K56" s="24"/>
      <c r="L56" s="24"/>
      <c r="M56" s="24"/>
      <c r="N56" s="24"/>
      <c r="O56" s="24"/>
      <c r="P56" s="24"/>
      <c r="Q56" s="24"/>
    </row>
    <row r="57" spans="1:17" ht="15.75" customHeight="1" x14ac:dyDescent="0.45">
      <c r="A57" s="471">
        <v>8946809190</v>
      </c>
      <c r="B57" s="17" t="s">
        <v>919</v>
      </c>
      <c r="C57" s="42">
        <v>100</v>
      </c>
      <c r="D57" s="1">
        <v>112</v>
      </c>
      <c r="E57" s="770"/>
      <c r="F57" s="57">
        <f t="shared" si="0"/>
        <v>0</v>
      </c>
      <c r="G57" s="60">
        <f t="shared" si="1"/>
        <v>3.2142857142857144</v>
      </c>
      <c r="H57" s="701"/>
      <c r="I57" s="24"/>
      <c r="J57" s="24"/>
      <c r="K57" s="24"/>
      <c r="L57" s="24"/>
      <c r="M57" s="24"/>
      <c r="N57" s="24"/>
      <c r="O57" s="24"/>
      <c r="P57" s="24"/>
      <c r="Q57" s="24"/>
    </row>
    <row r="58" spans="1:17" ht="15.75" customHeight="1" x14ac:dyDescent="0.45">
      <c r="A58" s="471">
        <v>9315357190</v>
      </c>
      <c r="B58" s="17" t="s">
        <v>920</v>
      </c>
      <c r="C58" s="42">
        <v>300</v>
      </c>
      <c r="D58" s="1">
        <v>112</v>
      </c>
      <c r="E58" s="770"/>
      <c r="F58" s="57">
        <f t="shared" si="0"/>
        <v>0</v>
      </c>
      <c r="G58" s="60">
        <f t="shared" si="1"/>
        <v>3.2142857142857144</v>
      </c>
      <c r="H58" s="701"/>
      <c r="I58" s="24"/>
      <c r="J58" s="24"/>
      <c r="K58" s="24"/>
      <c r="L58" s="24"/>
      <c r="M58" s="24"/>
      <c r="N58" s="24"/>
      <c r="O58" s="24"/>
      <c r="P58" s="24"/>
      <c r="Q58" s="24"/>
    </row>
    <row r="59" spans="1:17" ht="15.75" customHeight="1" x14ac:dyDescent="0.45">
      <c r="A59" s="471">
        <v>7028059190</v>
      </c>
      <c r="B59" s="17" t="s">
        <v>921</v>
      </c>
      <c r="C59" s="42">
        <v>300</v>
      </c>
      <c r="D59" s="1">
        <v>112</v>
      </c>
      <c r="E59" s="770"/>
      <c r="F59" s="57">
        <f t="shared" si="0"/>
        <v>0</v>
      </c>
      <c r="G59" s="60">
        <f t="shared" si="1"/>
        <v>3.2142857142857144</v>
      </c>
      <c r="H59" s="701"/>
      <c r="I59" s="24"/>
      <c r="J59" s="24"/>
      <c r="K59" s="24"/>
      <c r="L59" s="24"/>
      <c r="M59" s="24"/>
      <c r="N59" s="24"/>
      <c r="O59" s="24"/>
      <c r="P59" s="24"/>
      <c r="Q59" s="24"/>
    </row>
    <row r="60" spans="1:17" ht="15.75" customHeight="1" x14ac:dyDescent="0.45">
      <c r="A60" s="584" t="s">
        <v>922</v>
      </c>
      <c r="B60" s="773" t="s">
        <v>923</v>
      </c>
      <c r="C60" s="42">
        <v>300</v>
      </c>
      <c r="D60" s="1">
        <v>112</v>
      </c>
      <c r="E60" s="770"/>
      <c r="F60" s="57">
        <f t="shared" si="0"/>
        <v>0</v>
      </c>
      <c r="G60" s="60">
        <f t="shared" si="1"/>
        <v>3.2142857142857144</v>
      </c>
      <c r="H60" s="701"/>
      <c r="I60" s="24"/>
      <c r="J60" s="24"/>
      <c r="K60" s="24"/>
      <c r="L60" s="24"/>
      <c r="M60" s="24"/>
      <c r="N60" s="24"/>
      <c r="O60" s="24"/>
      <c r="P60" s="24"/>
      <c r="Q60" s="24"/>
    </row>
    <row r="61" spans="1:17" ht="15.75" customHeight="1" x14ac:dyDescent="0.45">
      <c r="A61" s="471">
        <v>9005676190</v>
      </c>
      <c r="B61" s="17" t="s">
        <v>924</v>
      </c>
      <c r="C61" s="42">
        <v>100</v>
      </c>
      <c r="D61" s="1">
        <v>112</v>
      </c>
      <c r="E61" s="770"/>
      <c r="F61" s="57">
        <f t="shared" si="0"/>
        <v>0</v>
      </c>
      <c r="G61" s="60">
        <f t="shared" si="1"/>
        <v>3.2142857142857144</v>
      </c>
      <c r="H61" s="701"/>
      <c r="I61" s="24"/>
      <c r="J61" s="24"/>
      <c r="K61" s="24"/>
      <c r="L61" s="24"/>
      <c r="M61" s="24"/>
      <c r="N61" s="24"/>
      <c r="O61" s="24"/>
      <c r="P61" s="24"/>
      <c r="Q61" s="24"/>
    </row>
    <row r="62" spans="1:17" ht="15.75" customHeight="1" x14ac:dyDescent="0.45">
      <c r="A62" s="471">
        <v>9015612190</v>
      </c>
      <c r="B62" s="17" t="s">
        <v>925</v>
      </c>
      <c r="C62" s="42">
        <v>100</v>
      </c>
      <c r="D62" s="1">
        <v>112</v>
      </c>
      <c r="E62" s="770"/>
      <c r="F62" s="57">
        <f t="shared" si="0"/>
        <v>0</v>
      </c>
      <c r="G62" s="60">
        <f t="shared" si="1"/>
        <v>3.2142857142857144</v>
      </c>
      <c r="H62" s="701"/>
      <c r="I62" s="24"/>
      <c r="J62" s="24"/>
      <c r="K62" s="24"/>
      <c r="L62" s="24"/>
      <c r="M62" s="24"/>
      <c r="N62" s="24"/>
      <c r="O62" s="24"/>
      <c r="P62" s="24"/>
      <c r="Q62" s="24"/>
    </row>
    <row r="63" spans="1:17" ht="15.75" customHeight="1" x14ac:dyDescent="0.45">
      <c r="A63" s="471">
        <v>7027273190</v>
      </c>
      <c r="B63" s="471" t="s">
        <v>926</v>
      </c>
      <c r="C63" s="42">
        <v>300</v>
      </c>
      <c r="D63" s="1">
        <v>112</v>
      </c>
      <c r="E63" s="770"/>
      <c r="F63" s="57">
        <f t="shared" si="0"/>
        <v>0</v>
      </c>
      <c r="G63" s="60">
        <f t="shared" si="1"/>
        <v>3.2142857142857144</v>
      </c>
      <c r="H63" s="701"/>
      <c r="I63" s="24"/>
      <c r="J63" s="24"/>
      <c r="K63" s="24"/>
      <c r="L63" s="24"/>
      <c r="M63" s="24"/>
      <c r="N63" s="24"/>
      <c r="O63" s="24"/>
      <c r="P63" s="24"/>
      <c r="Q63" s="24"/>
    </row>
    <row r="64" spans="1:17" ht="15.75" customHeight="1" x14ac:dyDescent="0.45">
      <c r="A64" s="471">
        <v>7027290190</v>
      </c>
      <c r="B64" s="471" t="s">
        <v>927</v>
      </c>
      <c r="C64" s="42">
        <v>300</v>
      </c>
      <c r="D64" s="1">
        <v>112</v>
      </c>
      <c r="E64" s="770"/>
      <c r="F64" s="57">
        <f t="shared" si="0"/>
        <v>0</v>
      </c>
      <c r="G64" s="60">
        <f t="shared" si="1"/>
        <v>3.2142857142857144</v>
      </c>
      <c r="H64" s="701"/>
      <c r="I64" s="24"/>
      <c r="J64" s="24"/>
      <c r="K64" s="24"/>
      <c r="L64" s="24"/>
      <c r="M64" s="24"/>
      <c r="N64" s="24"/>
      <c r="O64" s="24"/>
      <c r="P64" s="24"/>
      <c r="Q64" s="24"/>
    </row>
    <row r="65" spans="1:17" ht="15.75" customHeight="1" x14ac:dyDescent="0.45">
      <c r="A65" s="471">
        <v>7028121190</v>
      </c>
      <c r="B65" s="471" t="s">
        <v>928</v>
      </c>
      <c r="C65" s="42">
        <v>300</v>
      </c>
      <c r="D65" s="1">
        <v>112</v>
      </c>
      <c r="E65" s="770"/>
      <c r="F65" s="57">
        <f t="shared" si="0"/>
        <v>0</v>
      </c>
      <c r="G65" s="60">
        <f t="shared" si="1"/>
        <v>3.2142857142857144</v>
      </c>
      <c r="H65" s="701"/>
      <c r="I65" s="24"/>
      <c r="J65" s="24"/>
      <c r="K65" s="24"/>
      <c r="L65" s="24"/>
      <c r="M65" s="24"/>
      <c r="N65" s="24"/>
      <c r="O65" s="24"/>
      <c r="P65" s="24"/>
      <c r="Q65" s="24"/>
    </row>
    <row r="66" spans="1:17" ht="15.75" customHeight="1" x14ac:dyDescent="0.45">
      <c r="A66" s="471">
        <v>7713258190</v>
      </c>
      <c r="B66" s="471" t="s">
        <v>929</v>
      </c>
      <c r="C66" s="42">
        <v>300</v>
      </c>
      <c r="D66" s="1">
        <v>112</v>
      </c>
      <c r="E66" s="770"/>
      <c r="F66" s="57">
        <f t="shared" si="0"/>
        <v>0</v>
      </c>
      <c r="G66" s="60">
        <f t="shared" si="1"/>
        <v>3.2142857142857144</v>
      </c>
      <c r="H66" s="701"/>
      <c r="I66" s="24"/>
      <c r="J66" s="24"/>
      <c r="K66" s="24"/>
      <c r="L66" s="24"/>
      <c r="M66" s="24"/>
      <c r="N66" s="24"/>
      <c r="O66" s="24"/>
      <c r="P66" s="24"/>
      <c r="Q66" s="24"/>
    </row>
    <row r="67" spans="1:17" ht="15.75" customHeight="1" x14ac:dyDescent="0.45">
      <c r="A67" s="25">
        <v>7027516190</v>
      </c>
      <c r="B67" s="471" t="s">
        <v>930</v>
      </c>
      <c r="C67" s="42">
        <v>100</v>
      </c>
      <c r="D67" s="1">
        <v>112</v>
      </c>
      <c r="E67" s="770"/>
      <c r="F67" s="57">
        <f t="shared" si="0"/>
        <v>0</v>
      </c>
      <c r="G67" s="60">
        <f t="shared" si="1"/>
        <v>3.2142857142857144</v>
      </c>
      <c r="H67" s="701"/>
      <c r="I67" s="24"/>
      <c r="J67" s="24"/>
      <c r="K67" s="24"/>
      <c r="L67" s="24"/>
      <c r="M67" s="24"/>
      <c r="N67" s="24"/>
      <c r="O67" s="24"/>
      <c r="P67" s="24"/>
      <c r="Q67" s="24"/>
    </row>
    <row r="68" spans="1:17" ht="15.75" customHeight="1" x14ac:dyDescent="0.45">
      <c r="A68" s="25">
        <v>9744436190</v>
      </c>
      <c r="B68" s="471" t="s">
        <v>931</v>
      </c>
      <c r="C68" s="42">
        <v>100</v>
      </c>
      <c r="D68" s="1">
        <v>112</v>
      </c>
      <c r="E68" s="770"/>
      <c r="F68" s="57">
        <f t="shared" si="0"/>
        <v>0</v>
      </c>
      <c r="G68" s="60">
        <f t="shared" si="1"/>
        <v>3.2142857142857144</v>
      </c>
      <c r="H68" s="701"/>
      <c r="I68" s="24"/>
      <c r="J68" s="24"/>
      <c r="K68" s="24"/>
      <c r="L68" s="24"/>
      <c r="M68" s="24"/>
      <c r="N68" s="24"/>
      <c r="O68" s="24"/>
      <c r="P68" s="24"/>
      <c r="Q68" s="24"/>
    </row>
    <row r="69" spans="1:17" ht="15.75" customHeight="1" x14ac:dyDescent="0.45">
      <c r="A69" s="25">
        <v>9005765190</v>
      </c>
      <c r="B69" s="471" t="s">
        <v>932</v>
      </c>
      <c r="C69" s="42">
        <v>100</v>
      </c>
      <c r="D69" s="1">
        <v>112</v>
      </c>
      <c r="E69" s="770"/>
      <c r="F69" s="57">
        <f t="shared" si="0"/>
        <v>0</v>
      </c>
      <c r="G69" s="60">
        <f t="shared" si="1"/>
        <v>3.2142857142857144</v>
      </c>
      <c r="H69" s="701"/>
      <c r="I69" s="24"/>
      <c r="J69" s="24"/>
      <c r="K69" s="24"/>
      <c r="L69" s="24"/>
      <c r="M69" s="24"/>
      <c r="N69" s="24"/>
      <c r="O69" s="24"/>
      <c r="P69" s="24"/>
      <c r="Q69" s="24"/>
    </row>
    <row r="70" spans="1:17" ht="15.75" customHeight="1" x14ac:dyDescent="0.45">
      <c r="A70" s="25">
        <v>7027940190</v>
      </c>
      <c r="B70" s="471" t="s">
        <v>933</v>
      </c>
      <c r="C70" s="42">
        <v>100</v>
      </c>
      <c r="D70" s="1">
        <v>112</v>
      </c>
      <c r="E70" s="770"/>
      <c r="F70" s="57">
        <f t="shared" si="0"/>
        <v>0</v>
      </c>
      <c r="G70" s="60">
        <f t="shared" si="1"/>
        <v>3.2142857142857144</v>
      </c>
      <c r="H70" s="701"/>
      <c r="I70" s="24"/>
      <c r="J70" s="24"/>
      <c r="K70" s="24"/>
      <c r="L70" s="24"/>
      <c r="M70" s="24"/>
      <c r="N70" s="24"/>
      <c r="O70" s="24"/>
      <c r="P70" s="24"/>
      <c r="Q70" s="24"/>
    </row>
    <row r="71" spans="1:17" ht="15.75" customHeight="1" x14ac:dyDescent="0.45">
      <c r="A71" s="585" t="s">
        <v>934</v>
      </c>
      <c r="B71" s="586" t="s">
        <v>935</v>
      </c>
      <c r="C71" s="42">
        <v>100</v>
      </c>
      <c r="D71" s="1">
        <v>112</v>
      </c>
      <c r="E71" s="770"/>
      <c r="F71" s="57">
        <f t="shared" si="0"/>
        <v>0</v>
      </c>
      <c r="G71" s="60">
        <f t="shared" si="1"/>
        <v>3.2142857142857144</v>
      </c>
      <c r="H71" s="701"/>
      <c r="I71" s="24"/>
      <c r="J71" s="24"/>
      <c r="K71" s="24"/>
      <c r="L71" s="24"/>
      <c r="M71" s="24"/>
      <c r="N71" s="24"/>
      <c r="O71" s="24"/>
      <c r="P71" s="24"/>
      <c r="Q71" s="24"/>
    </row>
    <row r="72" spans="1:17" ht="15.75" customHeight="1" x14ac:dyDescent="0.45">
      <c r="A72" s="25">
        <v>7027591190</v>
      </c>
      <c r="B72" s="471" t="s">
        <v>936</v>
      </c>
      <c r="C72" s="42">
        <v>100</v>
      </c>
      <c r="D72" s="1">
        <v>112</v>
      </c>
      <c r="E72" s="770"/>
      <c r="F72" s="57">
        <f t="shared" si="0"/>
        <v>0</v>
      </c>
      <c r="G72" s="60">
        <f t="shared" si="1"/>
        <v>3.2142857142857144</v>
      </c>
      <c r="H72" s="701"/>
      <c r="I72" s="24"/>
      <c r="J72" s="24"/>
      <c r="K72" s="24"/>
      <c r="L72" s="24"/>
      <c r="M72" s="24"/>
      <c r="N72" s="24"/>
      <c r="O72" s="24"/>
      <c r="P72" s="24"/>
      <c r="Q72" s="24"/>
    </row>
    <row r="73" spans="1:17" ht="15.75" customHeight="1" x14ac:dyDescent="0.45">
      <c r="A73" s="585" t="s">
        <v>937</v>
      </c>
      <c r="B73" s="586" t="s">
        <v>938</v>
      </c>
      <c r="C73" s="42">
        <v>100</v>
      </c>
      <c r="D73" s="1">
        <v>112</v>
      </c>
      <c r="E73" s="770"/>
      <c r="F73" s="57">
        <f t="shared" si="0"/>
        <v>0</v>
      </c>
      <c r="G73" s="60">
        <f t="shared" si="1"/>
        <v>3.2142857142857144</v>
      </c>
      <c r="H73" s="701"/>
      <c r="I73" s="24"/>
      <c r="J73" s="24"/>
      <c r="K73" s="24"/>
      <c r="L73" s="24"/>
      <c r="M73" s="24"/>
      <c r="N73" s="24"/>
      <c r="O73" s="24"/>
      <c r="P73" s="24"/>
      <c r="Q73" s="24"/>
    </row>
    <row r="74" spans="1:17" ht="15.75" customHeight="1" x14ac:dyDescent="0.45">
      <c r="A74" s="585" t="s">
        <v>939</v>
      </c>
      <c r="B74" s="586" t="s">
        <v>940</v>
      </c>
      <c r="C74" s="42">
        <v>300</v>
      </c>
      <c r="D74" s="1">
        <v>112</v>
      </c>
      <c r="E74" s="770"/>
      <c r="F74" s="57">
        <f t="shared" ref="F74:F111" si="2">E74/C74</f>
        <v>0</v>
      </c>
      <c r="G74" s="60">
        <f t="shared" ref="G74:G111" si="3">(360/D74)</f>
        <v>3.2142857142857144</v>
      </c>
      <c r="H74" s="701"/>
      <c r="I74" s="24"/>
      <c r="J74" s="24"/>
      <c r="K74" s="24"/>
      <c r="L74" s="24"/>
      <c r="M74" s="24"/>
      <c r="N74" s="24"/>
      <c r="O74" s="24"/>
      <c r="P74" s="24"/>
      <c r="Q74" s="24"/>
    </row>
    <row r="75" spans="1:17" ht="15.75" customHeight="1" x14ac:dyDescent="0.45">
      <c r="A75" s="25">
        <v>9038086190</v>
      </c>
      <c r="B75" s="471" t="s">
        <v>941</v>
      </c>
      <c r="C75" s="42">
        <v>300</v>
      </c>
      <c r="D75" s="1">
        <v>77</v>
      </c>
      <c r="E75" s="770"/>
      <c r="F75" s="57">
        <f t="shared" si="2"/>
        <v>0</v>
      </c>
      <c r="G75" s="60">
        <f t="shared" si="3"/>
        <v>4.6753246753246751</v>
      </c>
      <c r="H75" s="701"/>
      <c r="I75" s="24"/>
      <c r="J75" s="24"/>
      <c r="K75" s="24"/>
      <c r="L75" s="24"/>
      <c r="M75" s="24"/>
      <c r="N75" s="24"/>
      <c r="O75" s="24"/>
      <c r="P75" s="24"/>
      <c r="Q75" s="24"/>
    </row>
    <row r="76" spans="1:17" ht="15.75" customHeight="1" x14ac:dyDescent="0.45">
      <c r="A76" s="25">
        <v>7475918190</v>
      </c>
      <c r="B76" s="471" t="s">
        <v>942</v>
      </c>
      <c r="C76" s="42">
        <v>100</v>
      </c>
      <c r="D76" s="1">
        <v>112</v>
      </c>
      <c r="E76" s="770"/>
      <c r="F76" s="57">
        <f t="shared" si="2"/>
        <v>0</v>
      </c>
      <c r="G76" s="60">
        <f t="shared" si="3"/>
        <v>3.2142857142857144</v>
      </c>
      <c r="H76" s="701"/>
      <c r="I76" s="24"/>
      <c r="J76" s="24"/>
      <c r="K76" s="24"/>
      <c r="L76" s="24"/>
      <c r="M76" s="24"/>
      <c r="N76" s="24"/>
      <c r="O76" s="24"/>
      <c r="P76" s="24"/>
      <c r="Q76" s="24"/>
    </row>
    <row r="77" spans="1:17" ht="15.75" customHeight="1" x14ac:dyDescent="0.45">
      <c r="A77" s="25">
        <v>7574720190</v>
      </c>
      <c r="B77" s="471" t="s">
        <v>943</v>
      </c>
      <c r="C77" s="42">
        <v>100</v>
      </c>
      <c r="D77" s="1">
        <v>112</v>
      </c>
      <c r="E77" s="770"/>
      <c r="F77" s="57">
        <f t="shared" si="2"/>
        <v>0</v>
      </c>
      <c r="G77" s="60">
        <f t="shared" si="3"/>
        <v>3.2142857142857144</v>
      </c>
      <c r="H77" s="701"/>
      <c r="I77" s="24"/>
      <c r="J77" s="24"/>
      <c r="K77" s="24"/>
      <c r="L77" s="24"/>
      <c r="M77" s="24"/>
      <c r="N77" s="24"/>
      <c r="O77" s="24"/>
      <c r="P77" s="24"/>
      <c r="Q77" s="24"/>
    </row>
    <row r="78" spans="1:17" ht="15.75" customHeight="1" x14ac:dyDescent="0.45">
      <c r="A78" s="25">
        <v>8836973190</v>
      </c>
      <c r="B78" s="471" t="s">
        <v>944</v>
      </c>
      <c r="C78" s="42">
        <v>300</v>
      </c>
      <c r="D78" s="1">
        <v>112</v>
      </c>
      <c r="E78" s="770"/>
      <c r="F78" s="57">
        <f t="shared" si="2"/>
        <v>0</v>
      </c>
      <c r="G78" s="60">
        <f t="shared" si="3"/>
        <v>3.2142857142857144</v>
      </c>
      <c r="H78" s="701"/>
      <c r="I78" s="24"/>
      <c r="J78" s="24"/>
      <c r="K78" s="24"/>
      <c r="L78" s="24"/>
      <c r="M78" s="24"/>
      <c r="N78" s="24"/>
      <c r="O78" s="24"/>
      <c r="P78" s="24"/>
      <c r="Q78" s="24"/>
    </row>
    <row r="79" spans="1:17" ht="15.75" customHeight="1" x14ac:dyDescent="0.45">
      <c r="A79" s="25">
        <v>8110697190</v>
      </c>
      <c r="B79" s="471" t="s">
        <v>945</v>
      </c>
      <c r="C79" s="42">
        <v>300</v>
      </c>
      <c r="D79" s="1">
        <v>31</v>
      </c>
      <c r="E79" s="770"/>
      <c r="F79" s="57">
        <f t="shared" si="2"/>
        <v>0</v>
      </c>
      <c r="G79" s="60">
        <f t="shared" si="3"/>
        <v>11.612903225806452</v>
      </c>
      <c r="H79" s="701"/>
      <c r="I79" s="24"/>
      <c r="J79" s="24"/>
      <c r="K79" s="24"/>
      <c r="L79" s="24"/>
      <c r="M79" s="24"/>
      <c r="N79" s="24"/>
      <c r="O79" s="24"/>
      <c r="P79" s="24"/>
      <c r="Q79" s="24"/>
    </row>
    <row r="80" spans="1:17" ht="15.75" customHeight="1" x14ac:dyDescent="0.45">
      <c r="A80" s="25">
        <v>8086664190</v>
      </c>
      <c r="B80" s="471" t="s">
        <v>946</v>
      </c>
      <c r="C80" s="42">
        <v>300</v>
      </c>
      <c r="D80" s="1">
        <v>112</v>
      </c>
      <c r="E80" s="770"/>
      <c r="F80" s="57">
        <f t="shared" si="2"/>
        <v>0</v>
      </c>
      <c r="G80" s="60">
        <f t="shared" si="3"/>
        <v>3.2142857142857144</v>
      </c>
      <c r="H80" s="701"/>
      <c r="I80" s="24"/>
      <c r="J80" s="24"/>
      <c r="K80" s="24"/>
      <c r="L80" s="24"/>
      <c r="M80" s="24"/>
      <c r="N80" s="24"/>
      <c r="O80" s="24"/>
      <c r="P80" s="24"/>
      <c r="Q80" s="24"/>
    </row>
    <row r="81" spans="1:17" ht="15.75" customHeight="1" x14ac:dyDescent="0.45">
      <c r="A81" s="25">
        <v>7026773190</v>
      </c>
      <c r="B81" s="471" t="s">
        <v>947</v>
      </c>
      <c r="C81" s="42">
        <v>300</v>
      </c>
      <c r="D81" s="1">
        <v>112</v>
      </c>
      <c r="E81" s="770"/>
      <c r="F81" s="57">
        <f t="shared" si="2"/>
        <v>0</v>
      </c>
      <c r="G81" s="60">
        <f t="shared" si="3"/>
        <v>3.2142857142857144</v>
      </c>
      <c r="H81" s="701"/>
      <c r="I81" s="24"/>
      <c r="J81" s="24"/>
      <c r="K81" s="24"/>
      <c r="L81" s="24"/>
      <c r="M81" s="24"/>
      <c r="N81" s="24"/>
      <c r="O81" s="24"/>
      <c r="P81" s="24"/>
      <c r="Q81" s="24"/>
    </row>
    <row r="82" spans="1:17" ht="15.75" customHeight="1" x14ac:dyDescent="0.45">
      <c r="A82" s="25">
        <v>8814848190</v>
      </c>
      <c r="B82" s="471" t="s">
        <v>948</v>
      </c>
      <c r="C82" s="42">
        <v>300</v>
      </c>
      <c r="D82" s="1">
        <v>112</v>
      </c>
      <c r="E82" s="770"/>
      <c r="F82" s="57">
        <f t="shared" si="2"/>
        <v>0</v>
      </c>
      <c r="G82" s="60">
        <f t="shared" si="3"/>
        <v>3.2142857142857144</v>
      </c>
      <c r="H82" s="701"/>
      <c r="I82" s="24"/>
      <c r="J82" s="24"/>
      <c r="K82" s="24"/>
      <c r="L82" s="24"/>
      <c r="M82" s="24"/>
      <c r="N82" s="24"/>
      <c r="O82" s="24"/>
      <c r="P82" s="24"/>
      <c r="Q82" s="24"/>
    </row>
    <row r="83" spans="1:17" ht="15.75" customHeight="1" x14ac:dyDescent="0.45">
      <c r="A83" s="25">
        <v>8498610190</v>
      </c>
      <c r="B83" s="471" t="s">
        <v>949</v>
      </c>
      <c r="C83" s="42">
        <v>300</v>
      </c>
      <c r="D83" s="1">
        <v>112</v>
      </c>
      <c r="E83" s="770"/>
      <c r="F83" s="57">
        <f t="shared" si="2"/>
        <v>0</v>
      </c>
      <c r="G83" s="60">
        <f t="shared" si="3"/>
        <v>3.2142857142857144</v>
      </c>
      <c r="H83" s="701"/>
      <c r="I83" s="24"/>
      <c r="J83" s="24"/>
      <c r="K83" s="24"/>
      <c r="L83" s="24"/>
      <c r="M83" s="24"/>
      <c r="N83" s="24"/>
      <c r="O83" s="24"/>
      <c r="P83" s="24"/>
      <c r="Q83" s="24"/>
    </row>
    <row r="84" spans="1:17" ht="15.75" customHeight="1" x14ac:dyDescent="0.45">
      <c r="A84" s="25">
        <v>7027427190</v>
      </c>
      <c r="B84" s="471" t="s">
        <v>950</v>
      </c>
      <c r="C84" s="42">
        <v>300</v>
      </c>
      <c r="D84" s="1">
        <v>112</v>
      </c>
      <c r="E84" s="770"/>
      <c r="F84" s="57">
        <f t="shared" si="2"/>
        <v>0</v>
      </c>
      <c r="G84" s="60">
        <f t="shared" si="3"/>
        <v>3.2142857142857144</v>
      </c>
      <c r="H84" s="701"/>
      <c r="I84" s="24"/>
      <c r="J84" s="24"/>
      <c r="K84" s="24"/>
      <c r="L84" s="24"/>
      <c r="M84" s="24"/>
      <c r="N84" s="24"/>
      <c r="O84" s="24"/>
      <c r="P84" s="24"/>
      <c r="Q84" s="24"/>
    </row>
    <row r="85" spans="1:17" ht="15.75" customHeight="1" x14ac:dyDescent="0.45">
      <c r="A85" s="25">
        <v>7026838190</v>
      </c>
      <c r="B85" s="471" t="s">
        <v>951</v>
      </c>
      <c r="C85" s="42">
        <v>300</v>
      </c>
      <c r="D85" s="1">
        <v>112</v>
      </c>
      <c r="E85" s="770"/>
      <c r="F85" s="57">
        <f t="shared" si="2"/>
        <v>0</v>
      </c>
      <c r="G85" s="60">
        <f t="shared" si="3"/>
        <v>3.2142857142857144</v>
      </c>
      <c r="H85" s="701"/>
      <c r="I85" s="24"/>
      <c r="J85" s="24"/>
      <c r="K85" s="24"/>
      <c r="L85" s="24"/>
      <c r="M85" s="24"/>
      <c r="N85" s="24"/>
      <c r="O85" s="24"/>
      <c r="P85" s="24"/>
      <c r="Q85" s="24"/>
    </row>
    <row r="86" spans="1:17" ht="15.75" customHeight="1" x14ac:dyDescent="0.45">
      <c r="A86" s="25">
        <v>9014926190</v>
      </c>
      <c r="B86" s="471" t="s">
        <v>952</v>
      </c>
      <c r="C86" s="42">
        <v>300</v>
      </c>
      <c r="D86" s="1">
        <v>112</v>
      </c>
      <c r="E86" s="770"/>
      <c r="F86" s="57">
        <f t="shared" si="2"/>
        <v>0</v>
      </c>
      <c r="G86" s="60">
        <f t="shared" si="3"/>
        <v>3.2142857142857144</v>
      </c>
      <c r="H86" s="701"/>
      <c r="I86" s="24"/>
      <c r="J86" s="24"/>
      <c r="K86" s="24"/>
      <c r="L86" s="24"/>
      <c r="M86" s="24"/>
      <c r="N86" s="24"/>
      <c r="O86" s="24"/>
      <c r="P86" s="24"/>
      <c r="Q86" s="24"/>
    </row>
    <row r="87" spans="1:17" ht="15.75" customHeight="1" x14ac:dyDescent="0.45">
      <c r="A87" s="25">
        <v>7026811190</v>
      </c>
      <c r="B87" s="471" t="s">
        <v>953</v>
      </c>
      <c r="C87" s="42">
        <v>300</v>
      </c>
      <c r="D87" s="1">
        <v>112</v>
      </c>
      <c r="E87" s="770"/>
      <c r="F87" s="57">
        <f t="shared" si="2"/>
        <v>0</v>
      </c>
      <c r="G87" s="60">
        <f t="shared" si="3"/>
        <v>3.2142857142857144</v>
      </c>
      <c r="H87" s="701"/>
      <c r="I87" s="24"/>
      <c r="J87" s="24"/>
      <c r="K87" s="24"/>
      <c r="L87" s="24"/>
      <c r="M87" s="24"/>
      <c r="N87" s="24"/>
      <c r="O87" s="24"/>
      <c r="P87" s="24"/>
      <c r="Q87" s="24"/>
    </row>
    <row r="88" spans="1:17" ht="15.75" customHeight="1" x14ac:dyDescent="0.45">
      <c r="A88" s="25">
        <v>8837058190</v>
      </c>
      <c r="B88" s="471" t="s">
        <v>954</v>
      </c>
      <c r="C88" s="42">
        <v>300</v>
      </c>
      <c r="D88" s="1">
        <v>31</v>
      </c>
      <c r="E88" s="770"/>
      <c r="F88" s="57">
        <f t="shared" si="2"/>
        <v>0</v>
      </c>
      <c r="G88" s="60">
        <f t="shared" si="3"/>
        <v>11.612903225806452</v>
      </c>
      <c r="H88" s="701"/>
      <c r="I88" s="24"/>
      <c r="J88" s="24"/>
      <c r="K88" s="24"/>
      <c r="L88" s="24"/>
      <c r="M88" s="24"/>
      <c r="N88" s="24"/>
      <c r="O88" s="24"/>
      <c r="P88" s="24"/>
      <c r="Q88" s="24"/>
    </row>
    <row r="89" spans="1:17" ht="15.75" customHeight="1" x14ac:dyDescent="0.45">
      <c r="A89" s="470">
        <v>7027770190</v>
      </c>
      <c r="B89" s="490" t="s">
        <v>955</v>
      </c>
      <c r="C89" s="42">
        <v>300</v>
      </c>
      <c r="D89" s="1">
        <v>112</v>
      </c>
      <c r="E89" s="770"/>
      <c r="F89" s="57">
        <f t="shared" si="2"/>
        <v>0</v>
      </c>
      <c r="G89" s="60">
        <f t="shared" si="3"/>
        <v>3.2142857142857144</v>
      </c>
      <c r="H89" s="701"/>
      <c r="I89" s="24"/>
      <c r="J89" s="24"/>
      <c r="K89" s="24"/>
      <c r="L89" s="24"/>
      <c r="M89" s="24"/>
      <c r="N89" s="24"/>
      <c r="O89" s="24"/>
      <c r="P89" s="24"/>
      <c r="Q89" s="24"/>
    </row>
    <row r="90" spans="1:17" ht="15.75" customHeight="1" x14ac:dyDescent="0.45">
      <c r="A90" s="470">
        <v>9755837190</v>
      </c>
      <c r="B90" s="490" t="s">
        <v>956</v>
      </c>
      <c r="C90" s="42">
        <v>100</v>
      </c>
      <c r="D90" s="1">
        <v>112</v>
      </c>
      <c r="E90" s="770"/>
      <c r="F90" s="57">
        <f t="shared" si="2"/>
        <v>0</v>
      </c>
      <c r="G90" s="60">
        <f t="shared" si="3"/>
        <v>3.2142857142857144</v>
      </c>
      <c r="H90" s="701"/>
      <c r="I90" s="24"/>
      <c r="J90" s="24"/>
      <c r="K90" s="24"/>
      <c r="L90" s="24"/>
      <c r="M90" s="24"/>
      <c r="N90" s="24"/>
      <c r="O90" s="24"/>
      <c r="P90" s="24"/>
      <c r="Q90" s="24"/>
    </row>
    <row r="91" spans="1:17" ht="15.75" customHeight="1" x14ac:dyDescent="0.45">
      <c r="A91" s="470">
        <v>7028008190</v>
      </c>
      <c r="B91" s="490" t="s">
        <v>957</v>
      </c>
      <c r="C91" s="42">
        <v>300</v>
      </c>
      <c r="D91" s="1">
        <v>112</v>
      </c>
      <c r="E91" s="770"/>
      <c r="F91" s="57">
        <f t="shared" si="2"/>
        <v>0</v>
      </c>
      <c r="G91" s="60">
        <f t="shared" si="3"/>
        <v>3.2142857142857144</v>
      </c>
      <c r="H91" s="701"/>
      <c r="I91" s="24"/>
      <c r="J91" s="24"/>
      <c r="K91" s="24"/>
      <c r="L91" s="24"/>
      <c r="M91" s="24"/>
      <c r="N91" s="24"/>
      <c r="O91" s="24"/>
      <c r="P91" s="24"/>
      <c r="Q91" s="24"/>
    </row>
    <row r="92" spans="1:17" ht="15.75" customHeight="1" x14ac:dyDescent="0.45">
      <c r="A92" s="470">
        <v>7027974190</v>
      </c>
      <c r="B92" s="490" t="s">
        <v>958</v>
      </c>
      <c r="C92" s="42">
        <v>100</v>
      </c>
      <c r="D92" s="1">
        <v>112</v>
      </c>
      <c r="E92" s="770"/>
      <c r="F92" s="57">
        <f t="shared" si="2"/>
        <v>0</v>
      </c>
      <c r="G92" s="60">
        <f t="shared" si="3"/>
        <v>3.2142857142857144</v>
      </c>
      <c r="H92" s="701"/>
      <c r="I92" s="24"/>
      <c r="J92" s="24"/>
      <c r="K92" s="24"/>
      <c r="L92" s="24"/>
      <c r="M92" s="24"/>
      <c r="N92" s="24"/>
      <c r="O92" s="24"/>
      <c r="P92" s="24"/>
      <c r="Q92" s="24"/>
    </row>
    <row r="93" spans="1:17" ht="15.75" customHeight="1" x14ac:dyDescent="0.45">
      <c r="A93" s="470">
        <v>7028024190</v>
      </c>
      <c r="B93" s="490" t="s">
        <v>959</v>
      </c>
      <c r="C93" s="42">
        <v>300</v>
      </c>
      <c r="D93" s="1">
        <v>112</v>
      </c>
      <c r="E93" s="770"/>
      <c r="F93" s="57">
        <f t="shared" si="2"/>
        <v>0</v>
      </c>
      <c r="G93" s="60">
        <f t="shared" si="3"/>
        <v>3.2142857142857144</v>
      </c>
      <c r="H93" s="701"/>
      <c r="I93" s="24"/>
      <c r="J93" s="24"/>
      <c r="K93" s="24"/>
      <c r="L93" s="24"/>
      <c r="M93" s="24"/>
      <c r="N93" s="24"/>
      <c r="O93" s="24"/>
      <c r="P93" s="24"/>
      <c r="Q93" s="24"/>
    </row>
    <row r="94" spans="1:17" ht="15.75" customHeight="1" x14ac:dyDescent="0.45">
      <c r="A94" s="470">
        <v>9118551190</v>
      </c>
      <c r="B94" s="490" t="s">
        <v>960</v>
      </c>
      <c r="C94" s="42">
        <v>300</v>
      </c>
      <c r="D94" s="1">
        <v>112</v>
      </c>
      <c r="E94" s="770"/>
      <c r="F94" s="57">
        <f t="shared" si="2"/>
        <v>0</v>
      </c>
      <c r="G94" s="60">
        <f t="shared" si="3"/>
        <v>3.2142857142857144</v>
      </c>
      <c r="H94" s="701"/>
      <c r="I94" s="24"/>
      <c r="J94" s="24"/>
      <c r="K94" s="24"/>
      <c r="L94" s="24"/>
      <c r="M94" s="24"/>
      <c r="N94" s="24"/>
      <c r="O94" s="24"/>
      <c r="P94" s="24"/>
      <c r="Q94" s="24"/>
    </row>
    <row r="95" spans="1:17" ht="15.75" customHeight="1" x14ac:dyDescent="0.45">
      <c r="A95" s="470">
        <v>9342389190</v>
      </c>
      <c r="B95" s="490" t="s">
        <v>961</v>
      </c>
      <c r="C95" s="42">
        <v>100</v>
      </c>
      <c r="D95" s="1">
        <v>112</v>
      </c>
      <c r="E95" s="770"/>
      <c r="F95" s="57">
        <f t="shared" si="2"/>
        <v>0</v>
      </c>
      <c r="G95" s="60">
        <f t="shared" si="3"/>
        <v>3.2142857142857144</v>
      </c>
      <c r="H95" s="701"/>
      <c r="I95" s="24"/>
      <c r="J95" s="24"/>
      <c r="K95" s="24"/>
      <c r="L95" s="24"/>
      <c r="M95" s="24"/>
      <c r="N95" s="24"/>
      <c r="O95" s="24"/>
      <c r="P95" s="24"/>
      <c r="Q95" s="24"/>
    </row>
    <row r="96" spans="1:17" ht="15.75" customHeight="1" x14ac:dyDescent="0.45">
      <c r="A96" s="470">
        <v>7027133190</v>
      </c>
      <c r="B96" s="490" t="s">
        <v>962</v>
      </c>
      <c r="C96" s="42">
        <v>300</v>
      </c>
      <c r="D96" s="1">
        <v>112</v>
      </c>
      <c r="E96" s="770"/>
      <c r="F96" s="57">
        <f t="shared" si="2"/>
        <v>0</v>
      </c>
      <c r="G96" s="60">
        <f t="shared" si="3"/>
        <v>3.2142857142857144</v>
      </c>
      <c r="H96" s="701"/>
      <c r="I96" s="24"/>
      <c r="J96" s="24"/>
      <c r="K96" s="24"/>
      <c r="L96" s="24"/>
      <c r="M96" s="24"/>
      <c r="N96" s="24"/>
      <c r="O96" s="24"/>
      <c r="P96" s="24"/>
      <c r="Q96" s="24"/>
    </row>
    <row r="97" spans="1:17" ht="15.75" customHeight="1" x14ac:dyDescent="0.45">
      <c r="A97" s="470">
        <v>8948852190</v>
      </c>
      <c r="B97" s="490" t="s">
        <v>963</v>
      </c>
      <c r="C97" s="42">
        <v>100</v>
      </c>
      <c r="D97" s="1">
        <v>112</v>
      </c>
      <c r="E97" s="770"/>
      <c r="F97" s="57">
        <f t="shared" si="2"/>
        <v>0</v>
      </c>
      <c r="G97" s="60">
        <f t="shared" si="3"/>
        <v>3.2142857142857144</v>
      </c>
      <c r="H97" s="701"/>
      <c r="I97" s="24"/>
      <c r="J97" s="24"/>
      <c r="K97" s="24"/>
      <c r="L97" s="24"/>
      <c r="M97" s="24"/>
      <c r="N97" s="24"/>
      <c r="O97" s="24"/>
      <c r="P97" s="24"/>
      <c r="Q97" s="24"/>
    </row>
    <row r="98" spans="1:17" ht="15.75" customHeight="1" x14ac:dyDescent="0.45">
      <c r="A98" s="470">
        <v>8948909190</v>
      </c>
      <c r="B98" s="490" t="s">
        <v>964</v>
      </c>
      <c r="C98" s="42">
        <v>100</v>
      </c>
      <c r="D98" s="1">
        <v>112</v>
      </c>
      <c r="E98" s="770"/>
      <c r="F98" s="57">
        <f t="shared" si="2"/>
        <v>0</v>
      </c>
      <c r="G98" s="60">
        <f t="shared" si="3"/>
        <v>3.2142857142857144</v>
      </c>
      <c r="H98" s="701"/>
      <c r="I98" s="24"/>
      <c r="J98" s="24"/>
      <c r="K98" s="24"/>
      <c r="L98" s="24"/>
      <c r="M98" s="24"/>
      <c r="N98" s="24"/>
      <c r="O98" s="24"/>
      <c r="P98" s="24"/>
      <c r="Q98" s="24"/>
    </row>
    <row r="99" spans="1:17" ht="15.75" customHeight="1" x14ac:dyDescent="0.45">
      <c r="A99" s="470">
        <v>8355274190</v>
      </c>
      <c r="B99" s="490" t="s">
        <v>965</v>
      </c>
      <c r="C99" s="42">
        <v>300</v>
      </c>
      <c r="D99" s="1">
        <v>112</v>
      </c>
      <c r="E99" s="770"/>
      <c r="F99" s="57">
        <f t="shared" si="2"/>
        <v>0</v>
      </c>
      <c r="G99" s="60">
        <f t="shared" si="3"/>
        <v>3.2142857142857144</v>
      </c>
      <c r="H99" s="701"/>
      <c r="I99" s="24"/>
      <c r="J99" s="24"/>
      <c r="K99" s="24"/>
      <c r="L99" s="24"/>
      <c r="M99" s="24"/>
      <c r="N99" s="24"/>
      <c r="O99" s="24"/>
      <c r="P99" s="24"/>
      <c r="Q99" s="24"/>
    </row>
    <row r="100" spans="1:17" ht="15.75" customHeight="1" x14ac:dyDescent="0.45">
      <c r="A100" s="470">
        <v>8355355190</v>
      </c>
      <c r="B100" s="490" t="s">
        <v>966</v>
      </c>
      <c r="C100" s="42">
        <v>300</v>
      </c>
      <c r="D100" s="1">
        <v>112</v>
      </c>
      <c r="E100" s="770"/>
      <c r="F100" s="57">
        <f t="shared" si="2"/>
        <v>0</v>
      </c>
      <c r="G100" s="60">
        <f t="shared" si="3"/>
        <v>3.2142857142857144</v>
      </c>
      <c r="H100" s="701"/>
      <c r="I100" s="24"/>
      <c r="J100" s="24"/>
      <c r="K100" s="24"/>
      <c r="L100" s="24"/>
      <c r="M100" s="24"/>
      <c r="N100" s="24"/>
      <c r="O100" s="24"/>
      <c r="P100" s="24"/>
      <c r="Q100" s="24"/>
    </row>
    <row r="101" spans="1:17" ht="15.75" customHeight="1" x14ac:dyDescent="0.45">
      <c r="A101" s="470">
        <v>8355380190</v>
      </c>
      <c r="B101" s="490" t="s">
        <v>967</v>
      </c>
      <c r="C101" s="42">
        <v>300</v>
      </c>
      <c r="D101" s="1">
        <v>112</v>
      </c>
      <c r="E101" s="770"/>
      <c r="F101" s="57">
        <f t="shared" si="2"/>
        <v>0</v>
      </c>
      <c r="G101" s="60">
        <f t="shared" si="3"/>
        <v>3.2142857142857144</v>
      </c>
      <c r="H101" s="701"/>
      <c r="I101" s="24"/>
      <c r="J101" s="24"/>
      <c r="K101" s="24"/>
      <c r="L101" s="24"/>
      <c r="M101" s="24"/>
      <c r="N101" s="24"/>
      <c r="O101" s="24"/>
      <c r="P101" s="24"/>
      <c r="Q101" s="24"/>
    </row>
    <row r="102" spans="1:17" ht="15.75" customHeight="1" x14ac:dyDescent="0.45">
      <c r="A102" s="470">
        <v>9015272190</v>
      </c>
      <c r="B102" s="490" t="s">
        <v>968</v>
      </c>
      <c r="C102" s="42">
        <v>300</v>
      </c>
      <c r="D102" s="1">
        <v>112</v>
      </c>
      <c r="E102" s="770"/>
      <c r="F102" s="57">
        <f t="shared" si="2"/>
        <v>0</v>
      </c>
      <c r="G102" s="60">
        <f t="shared" si="3"/>
        <v>3.2142857142857144</v>
      </c>
      <c r="H102" s="701"/>
      <c r="I102" s="24"/>
      <c r="J102" s="24"/>
      <c r="K102" s="24"/>
      <c r="L102" s="24"/>
      <c r="M102" s="24"/>
      <c r="N102" s="24"/>
      <c r="O102" s="24"/>
      <c r="P102" s="24"/>
      <c r="Q102" s="24"/>
    </row>
    <row r="103" spans="1:17" ht="15.75" customHeight="1" x14ac:dyDescent="0.45">
      <c r="A103" s="470">
        <v>9015051190</v>
      </c>
      <c r="B103" s="490" t="s">
        <v>969</v>
      </c>
      <c r="C103" s="42">
        <v>300</v>
      </c>
      <c r="D103" s="1">
        <v>112</v>
      </c>
      <c r="E103" s="770"/>
      <c r="F103" s="57">
        <f t="shared" si="2"/>
        <v>0</v>
      </c>
      <c r="G103" s="60">
        <f t="shared" si="3"/>
        <v>3.2142857142857144</v>
      </c>
      <c r="H103" s="701"/>
      <c r="I103" s="24"/>
      <c r="J103" s="24"/>
      <c r="K103" s="24"/>
      <c r="L103" s="24"/>
      <c r="M103" s="24"/>
      <c r="N103" s="24"/>
      <c r="O103" s="24"/>
      <c r="P103" s="24"/>
      <c r="Q103" s="24"/>
    </row>
    <row r="104" spans="1:17" ht="15.75" customHeight="1" x14ac:dyDescent="0.45">
      <c r="A104" s="470">
        <v>9015582190</v>
      </c>
      <c r="B104" s="490" t="s">
        <v>970</v>
      </c>
      <c r="C104" s="42">
        <v>300</v>
      </c>
      <c r="D104" s="1">
        <v>112</v>
      </c>
      <c r="E104" s="770"/>
      <c r="F104" s="57">
        <f t="shared" si="2"/>
        <v>0</v>
      </c>
      <c r="G104" s="60">
        <f t="shared" si="3"/>
        <v>3.2142857142857144</v>
      </c>
      <c r="H104" s="701"/>
      <c r="I104" s="24"/>
      <c r="J104" s="24"/>
      <c r="K104" s="24"/>
      <c r="L104" s="24"/>
      <c r="M104" s="24"/>
      <c r="N104" s="24"/>
      <c r="O104" s="24"/>
      <c r="P104" s="24"/>
      <c r="Q104" s="24"/>
    </row>
    <row r="105" spans="1:17" ht="15.75" customHeight="1" x14ac:dyDescent="0.45">
      <c r="A105" s="470">
        <v>9203079190</v>
      </c>
      <c r="B105" s="490" t="s">
        <v>971</v>
      </c>
      <c r="C105" s="42">
        <v>300</v>
      </c>
      <c r="D105" s="1">
        <v>30</v>
      </c>
      <c r="E105" s="770"/>
      <c r="F105" s="57">
        <f t="shared" si="2"/>
        <v>0</v>
      </c>
      <c r="G105" s="60">
        <f t="shared" si="3"/>
        <v>12</v>
      </c>
      <c r="H105" s="701"/>
      <c r="I105" s="24"/>
      <c r="J105" s="24"/>
      <c r="K105" s="24"/>
      <c r="L105" s="24"/>
      <c r="M105" s="24"/>
      <c r="N105" s="24"/>
      <c r="O105" s="24"/>
      <c r="P105" s="24"/>
      <c r="Q105" s="24"/>
    </row>
    <row r="106" spans="1:17" ht="15.75" customHeight="1" x14ac:dyDescent="0.45">
      <c r="A106" s="470">
        <v>9289275190</v>
      </c>
      <c r="B106" s="490" t="s">
        <v>972</v>
      </c>
      <c r="C106" s="42">
        <v>300</v>
      </c>
      <c r="D106" s="1">
        <v>112</v>
      </c>
      <c r="E106" s="770"/>
      <c r="F106" s="57">
        <f t="shared" si="2"/>
        <v>0</v>
      </c>
      <c r="G106" s="60">
        <f t="shared" si="3"/>
        <v>3.2142857142857144</v>
      </c>
      <c r="H106" s="701"/>
      <c r="I106" s="24"/>
      <c r="J106" s="24"/>
      <c r="K106" s="24"/>
      <c r="L106" s="24"/>
      <c r="M106" s="24"/>
      <c r="N106" s="24"/>
      <c r="O106" s="24"/>
      <c r="P106" s="24"/>
      <c r="Q106" s="24"/>
    </row>
    <row r="107" spans="1:17" ht="15.75" customHeight="1" x14ac:dyDescent="0.45">
      <c r="A107" s="470">
        <v>9345299190</v>
      </c>
      <c r="B107" s="490" t="s">
        <v>973</v>
      </c>
      <c r="C107" s="42">
        <v>300</v>
      </c>
      <c r="D107" s="1"/>
      <c r="E107" s="770"/>
      <c r="F107" s="57">
        <f t="shared" si="2"/>
        <v>0</v>
      </c>
      <c r="G107" s="60" t="e">
        <f t="shared" si="3"/>
        <v>#DIV/0!</v>
      </c>
      <c r="H107" s="701"/>
      <c r="I107" s="24"/>
      <c r="J107" s="24"/>
      <c r="K107" s="24"/>
      <c r="L107" s="24"/>
      <c r="M107" s="24"/>
      <c r="N107" s="24"/>
      <c r="O107" s="24"/>
      <c r="P107" s="24"/>
      <c r="Q107" s="24"/>
    </row>
    <row r="108" spans="1:17" ht="15.75" customHeight="1" x14ac:dyDescent="0.45">
      <c r="A108" s="471">
        <v>7251246190</v>
      </c>
      <c r="B108" s="471" t="s">
        <v>974</v>
      </c>
      <c r="C108" s="42">
        <v>300</v>
      </c>
      <c r="D108" s="1"/>
      <c r="E108" s="770"/>
      <c r="F108" s="57">
        <f t="shared" si="2"/>
        <v>0</v>
      </c>
      <c r="G108" s="60" t="e">
        <f t="shared" si="3"/>
        <v>#DIV/0!</v>
      </c>
      <c r="H108" s="701"/>
      <c r="I108" s="24"/>
      <c r="J108" s="24"/>
      <c r="K108" s="24"/>
      <c r="L108" s="24"/>
      <c r="M108" s="24"/>
      <c r="N108" s="24"/>
      <c r="O108" s="24"/>
      <c r="P108" s="24"/>
      <c r="Q108" s="24"/>
    </row>
    <row r="109" spans="1:17" ht="15.75" customHeight="1" x14ac:dyDescent="0.45">
      <c r="A109" s="471">
        <v>7027257190</v>
      </c>
      <c r="B109" s="471" t="s">
        <v>975</v>
      </c>
      <c r="C109" s="42">
        <v>100</v>
      </c>
      <c r="D109" s="1"/>
      <c r="E109" s="770"/>
      <c r="F109" s="57">
        <f t="shared" si="2"/>
        <v>0</v>
      </c>
      <c r="G109" s="60" t="e">
        <f t="shared" si="3"/>
        <v>#DIV/0!</v>
      </c>
      <c r="H109" s="701"/>
      <c r="I109" s="24"/>
      <c r="J109" s="24"/>
      <c r="K109" s="24"/>
      <c r="L109" s="24"/>
      <c r="M109" s="24"/>
      <c r="N109" s="24"/>
      <c r="O109" s="24"/>
      <c r="P109" s="24"/>
      <c r="Q109" s="24"/>
    </row>
    <row r="110" spans="1:17" ht="15.75" customHeight="1" x14ac:dyDescent="0.45">
      <c r="A110" s="471">
        <v>7027834190</v>
      </c>
      <c r="B110" s="471" t="s">
        <v>976</v>
      </c>
      <c r="C110" s="42">
        <v>100</v>
      </c>
      <c r="D110" s="1"/>
      <c r="E110" s="770"/>
      <c r="F110" s="57">
        <f t="shared" si="2"/>
        <v>0</v>
      </c>
      <c r="G110" s="60" t="e">
        <f t="shared" si="3"/>
        <v>#DIV/0!</v>
      </c>
      <c r="H110" s="701"/>
      <c r="I110" s="24"/>
      <c r="J110" s="24"/>
      <c r="K110" s="24"/>
      <c r="L110" s="24"/>
      <c r="M110" s="24"/>
      <c r="N110" s="24"/>
      <c r="O110" s="24"/>
      <c r="P110" s="24"/>
      <c r="Q110" s="24"/>
    </row>
    <row r="111" spans="1:17" ht="15.75" customHeight="1" x14ac:dyDescent="0.45">
      <c r="A111" s="471">
        <v>7251254190</v>
      </c>
      <c r="B111" s="471" t="s">
        <v>977</v>
      </c>
      <c r="C111" s="42">
        <v>300</v>
      </c>
      <c r="D111" s="1"/>
      <c r="E111" s="770"/>
      <c r="F111" s="57">
        <f t="shared" si="2"/>
        <v>0</v>
      </c>
      <c r="G111" s="60" t="e">
        <f t="shared" si="3"/>
        <v>#DIV/0!</v>
      </c>
      <c r="H111" s="701"/>
      <c r="I111" s="24"/>
      <c r="J111" s="24"/>
      <c r="K111" s="24"/>
      <c r="L111" s="24"/>
      <c r="M111" s="24"/>
      <c r="N111" s="24"/>
      <c r="O111" s="24"/>
      <c r="P111" s="24"/>
      <c r="Q111" s="24"/>
    </row>
    <row r="112" spans="1:17" ht="15.75" customHeight="1" x14ac:dyDescent="0.45">
      <c r="A112" s="187"/>
      <c r="B112" s="187"/>
      <c r="C112" s="188"/>
      <c r="D112" s="486" t="s">
        <v>19</v>
      </c>
      <c r="E112" s="487">
        <f>SUM(E9:E111)</f>
        <v>0</v>
      </c>
      <c r="F112" s="487"/>
      <c r="G112" s="190"/>
      <c r="H112" s="511"/>
      <c r="I112" s="24"/>
      <c r="J112" s="24"/>
      <c r="K112" s="24"/>
      <c r="L112" s="24"/>
      <c r="M112" s="24"/>
      <c r="N112" s="24"/>
      <c r="O112" s="24"/>
      <c r="P112" s="24"/>
      <c r="Q112" s="24"/>
    </row>
    <row r="113" spans="1:17" ht="15.75" customHeight="1" x14ac:dyDescent="0.45">
      <c r="A113" s="587" t="s">
        <v>255</v>
      </c>
      <c r="B113" s="588"/>
      <c r="C113" s="589" t="s">
        <v>1082</v>
      </c>
      <c r="D113" s="698" t="s">
        <v>54</v>
      </c>
      <c r="E113" s="481"/>
      <c r="F113" s="482" t="s">
        <v>53</v>
      </c>
      <c r="G113" s="512" t="s">
        <v>52</v>
      </c>
      <c r="H113" s="512" t="s">
        <v>51</v>
      </c>
      <c r="I113" s="24"/>
      <c r="J113" s="24"/>
      <c r="K113" s="24"/>
      <c r="L113" s="24"/>
      <c r="M113" s="24"/>
      <c r="N113" s="24"/>
      <c r="O113" s="24"/>
      <c r="P113" s="24"/>
      <c r="Q113" s="24"/>
    </row>
    <row r="114" spans="1:17" ht="15.75" customHeight="1" x14ac:dyDescent="0.45">
      <c r="A114" s="471">
        <v>8443459190</v>
      </c>
      <c r="B114" s="471" t="s">
        <v>577</v>
      </c>
      <c r="C114" s="42">
        <v>2</v>
      </c>
      <c r="D114" s="1">
        <v>84</v>
      </c>
      <c r="E114" s="1"/>
      <c r="F114" s="706"/>
      <c r="G114" s="60">
        <f t="shared" ref="G114:G177" si="4">(360/D114)</f>
        <v>4.2857142857142856</v>
      </c>
      <c r="H114" s="701"/>
      <c r="I114" s="24"/>
      <c r="J114" s="24"/>
      <c r="K114" s="24"/>
      <c r="L114" s="24"/>
      <c r="M114" s="24"/>
      <c r="N114" s="24"/>
      <c r="O114" s="24"/>
      <c r="P114" s="24"/>
      <c r="Q114" s="24"/>
    </row>
    <row r="115" spans="1:17" ht="15.75" customHeight="1" x14ac:dyDescent="0.45">
      <c r="A115" s="471">
        <v>11731548122</v>
      </c>
      <c r="B115" s="471" t="s">
        <v>978</v>
      </c>
      <c r="C115" s="42">
        <v>2</v>
      </c>
      <c r="D115" s="1">
        <v>84</v>
      </c>
      <c r="E115" s="1"/>
      <c r="F115" s="1"/>
      <c r="G115" s="60">
        <f t="shared" si="4"/>
        <v>4.2857142857142856</v>
      </c>
      <c r="H115" s="701"/>
      <c r="I115" s="24"/>
      <c r="J115" s="24"/>
      <c r="K115" s="24"/>
      <c r="L115" s="24"/>
      <c r="M115" s="24"/>
      <c r="N115" s="24"/>
      <c r="O115" s="24"/>
      <c r="P115" s="24"/>
      <c r="Q115" s="24"/>
    </row>
    <row r="116" spans="1:17" ht="15.75" customHeight="1" x14ac:dyDescent="0.45">
      <c r="A116" s="471">
        <v>12017717122</v>
      </c>
      <c r="B116" s="471" t="s">
        <v>979</v>
      </c>
      <c r="C116" s="42">
        <v>2</v>
      </c>
      <c r="D116" s="1">
        <v>84</v>
      </c>
      <c r="E116" s="1"/>
      <c r="F116" s="1"/>
      <c r="G116" s="60">
        <f t="shared" si="4"/>
        <v>4.2857142857142856</v>
      </c>
      <c r="H116" s="701"/>
      <c r="I116" s="24"/>
      <c r="J116" s="24"/>
      <c r="K116" s="24"/>
      <c r="L116" s="24"/>
      <c r="M116" s="24"/>
      <c r="N116" s="24"/>
      <c r="O116" s="24"/>
      <c r="P116" s="24"/>
      <c r="Q116" s="24"/>
    </row>
    <row r="117" spans="1:17" ht="15.75" customHeight="1" x14ac:dyDescent="0.45">
      <c r="A117" s="471">
        <v>9077871190</v>
      </c>
      <c r="B117" s="471" t="s">
        <v>980</v>
      </c>
      <c r="C117" s="42">
        <v>2</v>
      </c>
      <c r="D117" s="1">
        <v>56</v>
      </c>
      <c r="E117" s="1"/>
      <c r="F117" s="1"/>
      <c r="G117" s="60">
        <f t="shared" si="4"/>
        <v>6.4285714285714288</v>
      </c>
      <c r="H117" s="701"/>
      <c r="I117" s="24"/>
      <c r="J117" s="24"/>
      <c r="K117" s="24"/>
      <c r="L117" s="24"/>
      <c r="M117" s="24"/>
      <c r="N117" s="24"/>
      <c r="O117" s="24"/>
      <c r="P117" s="24"/>
      <c r="Q117" s="24"/>
    </row>
    <row r="118" spans="1:17" ht="15.75" customHeight="1" x14ac:dyDescent="0.45">
      <c r="A118" s="471">
        <v>9043292190</v>
      </c>
      <c r="B118" s="471" t="s">
        <v>981</v>
      </c>
      <c r="C118" s="42">
        <v>2</v>
      </c>
      <c r="D118" s="1">
        <v>84</v>
      </c>
      <c r="E118" s="1"/>
      <c r="F118" s="1"/>
      <c r="G118" s="60">
        <f t="shared" si="4"/>
        <v>4.2857142857142856</v>
      </c>
      <c r="H118" s="701"/>
      <c r="I118" s="24"/>
      <c r="J118" s="24"/>
      <c r="K118" s="24"/>
      <c r="L118" s="24"/>
      <c r="M118" s="24"/>
      <c r="N118" s="24"/>
      <c r="O118" s="24"/>
      <c r="P118" s="24"/>
      <c r="Q118" s="24"/>
    </row>
    <row r="119" spans="1:17" ht="15.75" customHeight="1" x14ac:dyDescent="0.45">
      <c r="A119" s="471">
        <v>8991405190</v>
      </c>
      <c r="B119" s="471" t="s">
        <v>982</v>
      </c>
      <c r="C119" s="42">
        <v>2</v>
      </c>
      <c r="D119" s="1">
        <v>93</v>
      </c>
      <c r="E119" s="1"/>
      <c r="F119" s="1"/>
      <c r="G119" s="60">
        <f t="shared" si="4"/>
        <v>3.870967741935484</v>
      </c>
      <c r="H119" s="701"/>
      <c r="I119" s="24"/>
      <c r="J119" s="24"/>
      <c r="K119" s="24"/>
      <c r="L119" s="24"/>
      <c r="M119" s="24"/>
      <c r="N119" s="24"/>
      <c r="O119" s="24"/>
      <c r="P119" s="24"/>
      <c r="Q119" s="24"/>
    </row>
    <row r="120" spans="1:17" ht="15.75" customHeight="1" x14ac:dyDescent="0.45">
      <c r="A120" s="471">
        <v>6472931190</v>
      </c>
      <c r="B120" s="471" t="s">
        <v>983</v>
      </c>
      <c r="C120" s="42">
        <v>2</v>
      </c>
      <c r="D120" s="1">
        <v>56</v>
      </c>
      <c r="E120" s="1"/>
      <c r="F120" s="1"/>
      <c r="G120" s="60">
        <f t="shared" si="4"/>
        <v>6.4285714285714288</v>
      </c>
      <c r="H120" s="701"/>
      <c r="I120" s="24"/>
      <c r="J120" s="24"/>
      <c r="K120" s="24"/>
      <c r="L120" s="24"/>
      <c r="M120" s="24"/>
      <c r="N120" s="24"/>
      <c r="O120" s="24"/>
      <c r="P120" s="24"/>
      <c r="Q120" s="24"/>
    </row>
    <row r="121" spans="1:17" ht="15.75" customHeight="1" x14ac:dyDescent="0.45">
      <c r="A121" s="471">
        <v>9005030190</v>
      </c>
      <c r="B121" s="471" t="s">
        <v>984</v>
      </c>
      <c r="C121" s="42">
        <v>2</v>
      </c>
      <c r="D121" s="1">
        <v>42</v>
      </c>
      <c r="E121" s="1"/>
      <c r="F121" s="1"/>
      <c r="G121" s="60">
        <f t="shared" si="4"/>
        <v>8.5714285714285712</v>
      </c>
      <c r="H121" s="701"/>
      <c r="I121" s="24"/>
      <c r="J121" s="24"/>
      <c r="K121" s="24"/>
      <c r="L121" s="24"/>
      <c r="M121" s="24"/>
      <c r="N121" s="24"/>
      <c r="O121" s="24"/>
      <c r="P121" s="24"/>
      <c r="Q121" s="24"/>
    </row>
    <row r="122" spans="1:17" ht="15.75" customHeight="1" x14ac:dyDescent="0.45">
      <c r="A122" s="471">
        <v>8496641190</v>
      </c>
      <c r="B122" s="471" t="s">
        <v>985</v>
      </c>
      <c r="C122" s="42">
        <v>2</v>
      </c>
      <c r="D122" s="1">
        <v>84</v>
      </c>
      <c r="E122" s="1"/>
      <c r="F122" s="1"/>
      <c r="G122" s="60">
        <f t="shared" si="4"/>
        <v>4.2857142857142856</v>
      </c>
      <c r="H122" s="701"/>
      <c r="I122" s="24"/>
      <c r="J122" s="24"/>
      <c r="K122" s="24"/>
      <c r="L122" s="24"/>
      <c r="M122" s="24"/>
      <c r="N122" s="24"/>
      <c r="O122" s="24"/>
      <c r="P122" s="24"/>
      <c r="Q122" s="24"/>
    </row>
    <row r="123" spans="1:17" ht="15.75" customHeight="1" x14ac:dyDescent="0.45">
      <c r="A123" s="471">
        <v>9557423190</v>
      </c>
      <c r="B123" s="471" t="s">
        <v>986</v>
      </c>
      <c r="C123" s="42">
        <v>2</v>
      </c>
      <c r="D123" s="1">
        <v>84</v>
      </c>
      <c r="E123" s="1"/>
      <c r="F123" s="1"/>
      <c r="G123" s="60">
        <f t="shared" si="4"/>
        <v>4.2857142857142856</v>
      </c>
      <c r="H123" s="701"/>
      <c r="I123" s="24"/>
      <c r="J123" s="24"/>
      <c r="K123" s="24"/>
      <c r="L123" s="24"/>
      <c r="M123" s="24"/>
      <c r="N123" s="24"/>
      <c r="O123" s="24"/>
      <c r="P123" s="24"/>
      <c r="Q123" s="24"/>
    </row>
    <row r="124" spans="1:17" ht="15.75" customHeight="1" x14ac:dyDescent="0.45">
      <c r="A124" s="471">
        <v>9557440190</v>
      </c>
      <c r="B124" s="471" t="s">
        <v>987</v>
      </c>
      <c r="C124" s="42">
        <v>2</v>
      </c>
      <c r="D124" s="1">
        <v>84</v>
      </c>
      <c r="E124" s="1"/>
      <c r="F124" s="1"/>
      <c r="G124" s="60">
        <f t="shared" si="4"/>
        <v>4.2857142857142856</v>
      </c>
      <c r="H124" s="701"/>
      <c r="I124" s="24"/>
      <c r="J124" s="24"/>
      <c r="K124" s="24"/>
      <c r="L124" s="24"/>
      <c r="M124" s="24"/>
      <c r="N124" s="24"/>
      <c r="O124" s="24"/>
      <c r="P124" s="24"/>
      <c r="Q124" s="24"/>
    </row>
    <row r="125" spans="1:17" ht="15.75" customHeight="1" x14ac:dyDescent="0.45">
      <c r="A125" s="471">
        <v>6656048190</v>
      </c>
      <c r="B125" s="471" t="s">
        <v>988</v>
      </c>
      <c r="C125" s="42">
        <v>2</v>
      </c>
      <c r="D125" s="1">
        <v>31</v>
      </c>
      <c r="E125" s="1"/>
      <c r="F125" s="1"/>
      <c r="G125" s="60">
        <f t="shared" si="4"/>
        <v>11.612903225806452</v>
      </c>
      <c r="H125" s="701"/>
      <c r="I125" s="24"/>
      <c r="J125" s="24"/>
      <c r="K125" s="24"/>
      <c r="L125" s="24"/>
      <c r="M125" s="24"/>
      <c r="N125" s="24"/>
      <c r="O125" s="24"/>
      <c r="P125" s="24"/>
      <c r="Q125" s="24"/>
    </row>
    <row r="126" spans="1:17" ht="15.75" customHeight="1" x14ac:dyDescent="0.45">
      <c r="A126" s="471">
        <v>7092547190</v>
      </c>
      <c r="B126" s="471" t="s">
        <v>989</v>
      </c>
      <c r="C126" s="42">
        <v>2</v>
      </c>
      <c r="D126" s="1">
        <v>31</v>
      </c>
      <c r="E126" s="1"/>
      <c r="F126" s="1"/>
      <c r="G126" s="60">
        <f t="shared" si="4"/>
        <v>11.612903225806452</v>
      </c>
      <c r="H126" s="701"/>
      <c r="I126" s="24"/>
      <c r="J126" s="24"/>
      <c r="K126" s="24"/>
      <c r="L126" s="24"/>
      <c r="M126" s="24"/>
      <c r="N126" s="24"/>
      <c r="O126" s="24"/>
      <c r="P126" s="24"/>
      <c r="Q126" s="24"/>
    </row>
    <row r="127" spans="1:17" ht="15.75" customHeight="1" x14ac:dyDescent="0.45">
      <c r="A127" s="471">
        <v>3277356190</v>
      </c>
      <c r="B127" s="471" t="s">
        <v>990</v>
      </c>
      <c r="C127" s="42">
        <v>2</v>
      </c>
      <c r="D127" s="1">
        <v>84</v>
      </c>
      <c r="E127" s="1"/>
      <c r="F127" s="1"/>
      <c r="G127" s="60">
        <f t="shared" si="4"/>
        <v>4.2857142857142856</v>
      </c>
      <c r="H127" s="701"/>
      <c r="I127" s="24"/>
      <c r="J127" s="24"/>
      <c r="K127" s="24"/>
      <c r="L127" s="24"/>
      <c r="M127" s="24"/>
      <c r="N127" s="24"/>
      <c r="O127" s="24"/>
      <c r="P127" s="24"/>
      <c r="Q127" s="24"/>
    </row>
    <row r="128" spans="1:17" ht="15.75" customHeight="1" x14ac:dyDescent="0.45">
      <c r="A128" s="471">
        <v>5202230190</v>
      </c>
      <c r="B128" s="471" t="s">
        <v>991</v>
      </c>
      <c r="C128" s="42">
        <v>2</v>
      </c>
      <c r="D128" s="1">
        <v>84</v>
      </c>
      <c r="E128" s="1"/>
      <c r="F128" s="1"/>
      <c r="G128" s="60">
        <f t="shared" si="4"/>
        <v>4.2857142857142856</v>
      </c>
      <c r="H128" s="701"/>
      <c r="I128" s="24"/>
      <c r="J128" s="24"/>
      <c r="K128" s="24"/>
      <c r="L128" s="24"/>
      <c r="M128" s="24"/>
      <c r="N128" s="24"/>
      <c r="O128" s="24"/>
      <c r="P128" s="24"/>
      <c r="Q128" s="24"/>
    </row>
    <row r="129" spans="1:17" ht="15.75" customHeight="1" x14ac:dyDescent="0.45">
      <c r="A129" s="471">
        <v>3052028190</v>
      </c>
      <c r="B129" s="471" t="s">
        <v>992</v>
      </c>
      <c r="C129" s="42">
        <v>2</v>
      </c>
      <c r="D129" s="1">
        <v>56</v>
      </c>
      <c r="E129" s="1"/>
      <c r="F129" s="1"/>
      <c r="G129" s="60">
        <f t="shared" si="4"/>
        <v>6.4285714285714288</v>
      </c>
      <c r="H129" s="701"/>
      <c r="I129" s="24"/>
      <c r="J129" s="24"/>
      <c r="K129" s="24"/>
      <c r="L129" s="24"/>
      <c r="M129" s="24"/>
      <c r="N129" s="24"/>
      <c r="O129" s="24"/>
      <c r="P129" s="24"/>
      <c r="Q129" s="24"/>
    </row>
    <row r="130" spans="1:17" ht="15.75" customHeight="1" x14ac:dyDescent="0.45">
      <c r="A130" s="471">
        <v>3000095122</v>
      </c>
      <c r="B130" s="471" t="s">
        <v>993</v>
      </c>
      <c r="C130" s="42">
        <v>2</v>
      </c>
      <c r="D130" s="1">
        <v>84</v>
      </c>
      <c r="E130" s="1"/>
      <c r="F130" s="1"/>
      <c r="G130" s="60">
        <f t="shared" si="4"/>
        <v>4.2857142857142856</v>
      </c>
      <c r="H130" s="701"/>
      <c r="I130" s="24"/>
      <c r="J130" s="24"/>
      <c r="K130" s="24"/>
      <c r="L130" s="24"/>
      <c r="M130" s="24"/>
      <c r="N130" s="24"/>
      <c r="O130" s="24"/>
      <c r="P130" s="24"/>
      <c r="Q130" s="24"/>
    </row>
    <row r="131" spans="1:17" ht="15.75" customHeight="1" x14ac:dyDescent="0.45">
      <c r="A131" s="471">
        <v>3302652190</v>
      </c>
      <c r="B131" s="471" t="s">
        <v>994</v>
      </c>
      <c r="C131" s="42">
        <v>2</v>
      </c>
      <c r="D131" s="1">
        <v>84</v>
      </c>
      <c r="E131" s="1"/>
      <c r="F131" s="1"/>
      <c r="G131" s="60">
        <f t="shared" si="4"/>
        <v>4.2857142857142856</v>
      </c>
      <c r="H131" s="701"/>
      <c r="I131" s="24"/>
      <c r="J131" s="24"/>
      <c r="K131" s="24"/>
      <c r="L131" s="24"/>
      <c r="M131" s="24"/>
      <c r="N131" s="24"/>
      <c r="O131" s="24"/>
      <c r="P131" s="24"/>
      <c r="Q131" s="24"/>
    </row>
    <row r="132" spans="1:17" ht="15.75" customHeight="1" x14ac:dyDescent="0.45">
      <c r="A132" s="471">
        <v>9013296190</v>
      </c>
      <c r="B132" s="471" t="s">
        <v>995</v>
      </c>
      <c r="C132" s="42">
        <v>2</v>
      </c>
      <c r="D132" s="1">
        <v>84</v>
      </c>
      <c r="E132" s="1"/>
      <c r="F132" s="1"/>
      <c r="G132" s="60">
        <f t="shared" si="4"/>
        <v>4.2857142857142856</v>
      </c>
      <c r="H132" s="701"/>
      <c r="I132" s="24"/>
      <c r="J132" s="24"/>
      <c r="K132" s="24"/>
      <c r="L132" s="24"/>
      <c r="M132" s="24"/>
      <c r="N132" s="24"/>
      <c r="O132" s="24"/>
      <c r="P132" s="24"/>
      <c r="Q132" s="24"/>
    </row>
    <row r="133" spans="1:17" ht="15.75" customHeight="1" x14ac:dyDescent="0.45">
      <c r="A133" s="471">
        <v>4854080200</v>
      </c>
      <c r="B133" s="502" t="s">
        <v>996</v>
      </c>
      <c r="C133" s="42">
        <v>2</v>
      </c>
      <c r="D133" s="1">
        <v>84</v>
      </c>
      <c r="E133" s="1"/>
      <c r="F133" s="1"/>
      <c r="G133" s="60">
        <f t="shared" si="4"/>
        <v>4.2857142857142856</v>
      </c>
      <c r="H133" s="701"/>
      <c r="I133" s="24"/>
      <c r="J133" s="24"/>
      <c r="K133" s="24"/>
      <c r="L133" s="24"/>
      <c r="M133" s="24"/>
      <c r="N133" s="24"/>
      <c r="O133" s="24"/>
      <c r="P133" s="24"/>
      <c r="Q133" s="24"/>
    </row>
    <row r="134" spans="1:17" ht="15.75" customHeight="1" x14ac:dyDescent="0.45">
      <c r="A134" s="471">
        <v>4854101200</v>
      </c>
      <c r="B134" s="502" t="s">
        <v>997</v>
      </c>
      <c r="C134" s="42">
        <v>2</v>
      </c>
      <c r="D134" s="1">
        <v>84</v>
      </c>
      <c r="E134" s="1"/>
      <c r="F134" s="1"/>
      <c r="G134" s="60">
        <f t="shared" si="4"/>
        <v>4.2857142857142856</v>
      </c>
      <c r="H134" s="701"/>
      <c r="I134" s="24"/>
      <c r="J134" s="24"/>
      <c r="K134" s="24"/>
      <c r="L134" s="24"/>
      <c r="M134" s="24"/>
      <c r="N134" s="24"/>
      <c r="O134" s="24"/>
      <c r="P134" s="24"/>
      <c r="Q134" s="24"/>
    </row>
    <row r="135" spans="1:17" ht="15.75" customHeight="1" x14ac:dyDescent="0.45">
      <c r="A135" s="471">
        <v>5144701190</v>
      </c>
      <c r="B135" s="471" t="s">
        <v>998</v>
      </c>
      <c r="C135" s="42">
        <v>2</v>
      </c>
      <c r="D135" s="1">
        <v>28</v>
      </c>
      <c r="E135" s="1"/>
      <c r="F135" s="1"/>
      <c r="G135" s="60">
        <f t="shared" si="4"/>
        <v>12.857142857142858</v>
      </c>
      <c r="H135" s="701"/>
      <c r="I135" s="24"/>
      <c r="J135" s="24"/>
      <c r="K135" s="24"/>
      <c r="L135" s="24"/>
      <c r="M135" s="24"/>
      <c r="N135" s="24"/>
      <c r="O135" s="24"/>
      <c r="P135" s="24"/>
      <c r="Q135" s="24"/>
    </row>
    <row r="136" spans="1:17" ht="15.75" customHeight="1" x14ac:dyDescent="0.45">
      <c r="A136" s="471">
        <v>5109531190</v>
      </c>
      <c r="B136" s="471" t="s">
        <v>999</v>
      </c>
      <c r="C136" s="42">
        <v>2</v>
      </c>
      <c r="D136" s="1">
        <v>28</v>
      </c>
      <c r="E136" s="1"/>
      <c r="F136" s="1"/>
      <c r="G136" s="60">
        <f t="shared" si="4"/>
        <v>12.857142857142858</v>
      </c>
      <c r="H136" s="701"/>
      <c r="I136" s="24"/>
      <c r="J136" s="24"/>
      <c r="K136" s="24"/>
      <c r="L136" s="24"/>
      <c r="M136" s="24"/>
      <c r="N136" s="24"/>
      <c r="O136" s="24"/>
      <c r="P136" s="24"/>
      <c r="Q136" s="24"/>
    </row>
    <row r="137" spans="1:17" ht="15.75" customHeight="1" x14ac:dyDescent="0.45">
      <c r="A137" s="471">
        <v>3184919190</v>
      </c>
      <c r="B137" s="471" t="s">
        <v>1000</v>
      </c>
      <c r="C137" s="42">
        <v>2</v>
      </c>
      <c r="D137" s="1">
        <v>28</v>
      </c>
      <c r="E137" s="1"/>
      <c r="F137" s="1"/>
      <c r="G137" s="60">
        <f t="shared" si="4"/>
        <v>12.857142857142858</v>
      </c>
      <c r="H137" s="701"/>
      <c r="I137" s="24"/>
      <c r="J137" s="24"/>
      <c r="K137" s="24"/>
      <c r="L137" s="24"/>
      <c r="M137" s="24"/>
      <c r="N137" s="24"/>
      <c r="O137" s="24"/>
      <c r="P137" s="24"/>
      <c r="Q137" s="24"/>
    </row>
    <row r="138" spans="1:17" ht="15.75" customHeight="1" x14ac:dyDescent="0.45">
      <c r="A138" s="471">
        <v>12017504122</v>
      </c>
      <c r="B138" s="471" t="s">
        <v>1001</v>
      </c>
      <c r="C138" s="42">
        <v>2</v>
      </c>
      <c r="D138" s="1">
        <v>84</v>
      </c>
      <c r="E138" s="1"/>
      <c r="F138" s="1"/>
      <c r="G138" s="60">
        <f t="shared" si="4"/>
        <v>4.2857142857142856</v>
      </c>
      <c r="H138" s="701"/>
      <c r="I138" s="24"/>
      <c r="J138" s="24"/>
      <c r="K138" s="24"/>
      <c r="L138" s="24"/>
      <c r="M138" s="24"/>
      <c r="N138" s="24"/>
      <c r="O138" s="24"/>
      <c r="P138" s="24"/>
      <c r="Q138" s="24"/>
    </row>
    <row r="139" spans="1:17" ht="15.75" customHeight="1" x14ac:dyDescent="0.45">
      <c r="A139" s="471">
        <v>6687750190</v>
      </c>
      <c r="B139" s="471" t="s">
        <v>1002</v>
      </c>
      <c r="C139" s="42">
        <v>2</v>
      </c>
      <c r="D139" s="1">
        <v>84</v>
      </c>
      <c r="E139" s="1"/>
      <c r="F139" s="1"/>
      <c r="G139" s="60">
        <f t="shared" si="4"/>
        <v>4.2857142857142856</v>
      </c>
      <c r="H139" s="701"/>
      <c r="I139" s="24"/>
      <c r="J139" s="24"/>
      <c r="K139" s="24"/>
      <c r="L139" s="24"/>
      <c r="M139" s="24"/>
      <c r="N139" s="24"/>
      <c r="O139" s="24"/>
      <c r="P139" s="24"/>
      <c r="Q139" s="24"/>
    </row>
    <row r="140" spans="1:17" ht="15.75" customHeight="1" x14ac:dyDescent="0.45">
      <c r="A140" s="471">
        <v>9290940190</v>
      </c>
      <c r="B140" s="471" t="s">
        <v>1003</v>
      </c>
      <c r="C140" s="42">
        <v>2</v>
      </c>
      <c r="D140" s="1">
        <v>1</v>
      </c>
      <c r="E140" s="1"/>
      <c r="F140" s="1"/>
      <c r="G140" s="60">
        <f t="shared" si="4"/>
        <v>360</v>
      </c>
      <c r="H140" s="701"/>
      <c r="I140" s="24"/>
      <c r="J140" s="24"/>
      <c r="K140" s="24"/>
      <c r="L140" s="24"/>
      <c r="M140" s="24"/>
      <c r="N140" s="24"/>
      <c r="O140" s="24"/>
      <c r="P140" s="24"/>
      <c r="Q140" s="24"/>
    </row>
    <row r="141" spans="1:17" ht="15.75" customHeight="1" x14ac:dyDescent="0.45">
      <c r="A141" s="471">
        <v>8959820190</v>
      </c>
      <c r="B141" s="471" t="s">
        <v>1004</v>
      </c>
      <c r="C141" s="42">
        <v>2</v>
      </c>
      <c r="D141" s="1">
        <v>28</v>
      </c>
      <c r="E141" s="1"/>
      <c r="F141" s="1"/>
      <c r="G141" s="60">
        <f t="shared" si="4"/>
        <v>12.857142857142858</v>
      </c>
      <c r="H141" s="701"/>
      <c r="I141" s="24"/>
      <c r="J141" s="24"/>
      <c r="K141" s="24"/>
      <c r="L141" s="24"/>
      <c r="M141" s="24"/>
      <c r="N141" s="24"/>
      <c r="O141" s="24"/>
      <c r="P141" s="24"/>
      <c r="Q141" s="24"/>
    </row>
    <row r="142" spans="1:17" ht="15.75" customHeight="1" x14ac:dyDescent="0.45">
      <c r="A142" s="471">
        <v>5390133190</v>
      </c>
      <c r="B142" s="471" t="s">
        <v>1005</v>
      </c>
      <c r="C142" s="42">
        <v>2</v>
      </c>
      <c r="D142" s="1">
        <v>28</v>
      </c>
      <c r="E142" s="1"/>
      <c r="F142" s="1"/>
      <c r="G142" s="60">
        <f t="shared" si="4"/>
        <v>12.857142857142858</v>
      </c>
      <c r="H142" s="701"/>
      <c r="I142" s="24"/>
      <c r="J142" s="24"/>
      <c r="K142" s="24"/>
      <c r="L142" s="24"/>
      <c r="M142" s="24"/>
      <c r="N142" s="24"/>
      <c r="O142" s="24"/>
      <c r="P142" s="24"/>
      <c r="Q142" s="24"/>
    </row>
    <row r="143" spans="1:17" ht="15.75" customHeight="1" x14ac:dyDescent="0.45">
      <c r="A143" s="471">
        <v>7957203190</v>
      </c>
      <c r="B143" s="471" t="s">
        <v>1006</v>
      </c>
      <c r="C143" s="42">
        <v>2</v>
      </c>
      <c r="D143" s="1">
        <v>28</v>
      </c>
      <c r="E143" s="1"/>
      <c r="F143" s="1"/>
      <c r="G143" s="60">
        <f t="shared" si="4"/>
        <v>12.857142857142858</v>
      </c>
      <c r="H143" s="701"/>
      <c r="I143" s="24"/>
      <c r="J143" s="24"/>
      <c r="K143" s="24"/>
      <c r="L143" s="24"/>
      <c r="M143" s="24"/>
      <c r="N143" s="24"/>
      <c r="O143" s="24"/>
      <c r="P143" s="24"/>
      <c r="Q143" s="24"/>
    </row>
    <row r="144" spans="1:17" ht="15.75" customHeight="1" x14ac:dyDescent="0.45">
      <c r="A144" s="471">
        <v>8838534190</v>
      </c>
      <c r="B144" s="471" t="s">
        <v>1007</v>
      </c>
      <c r="C144" s="42">
        <v>2</v>
      </c>
      <c r="D144" s="1">
        <v>84</v>
      </c>
      <c r="E144" s="1"/>
      <c r="F144" s="1"/>
      <c r="G144" s="60">
        <f t="shared" si="4"/>
        <v>4.2857142857142856</v>
      </c>
      <c r="H144" s="701"/>
      <c r="I144" s="24"/>
      <c r="J144" s="24"/>
      <c r="K144" s="24"/>
      <c r="L144" s="24"/>
      <c r="M144" s="24"/>
      <c r="N144" s="24"/>
      <c r="O144" s="24"/>
      <c r="P144" s="24"/>
      <c r="Q144" s="24"/>
    </row>
    <row r="145" spans="1:17" ht="15.75" customHeight="1" x14ac:dyDescent="0.45">
      <c r="A145" s="471">
        <v>8851964190</v>
      </c>
      <c r="B145" s="471" t="s">
        <v>1008</v>
      </c>
      <c r="C145" s="42">
        <v>2</v>
      </c>
      <c r="D145" s="1">
        <v>84</v>
      </c>
      <c r="E145" s="1"/>
      <c r="F145" s="1"/>
      <c r="G145" s="60">
        <f t="shared" si="4"/>
        <v>4.2857142857142856</v>
      </c>
      <c r="H145" s="701"/>
      <c r="I145" s="24"/>
      <c r="J145" s="24"/>
      <c r="K145" s="24"/>
      <c r="L145" s="24"/>
      <c r="M145" s="24"/>
      <c r="N145" s="24"/>
      <c r="O145" s="24"/>
      <c r="P145" s="24"/>
      <c r="Q145" s="24"/>
    </row>
    <row r="146" spans="1:17" ht="15.75" customHeight="1" x14ac:dyDescent="0.45">
      <c r="A146" s="471">
        <v>9227261190</v>
      </c>
      <c r="B146" s="471" t="s">
        <v>1009</v>
      </c>
      <c r="C146" s="42">
        <v>2</v>
      </c>
      <c r="D146" s="1">
        <v>84</v>
      </c>
      <c r="E146" s="1"/>
      <c r="F146" s="1"/>
      <c r="G146" s="60">
        <f t="shared" si="4"/>
        <v>4.2857142857142856</v>
      </c>
      <c r="H146" s="701"/>
      <c r="I146" s="24"/>
      <c r="J146" s="24"/>
      <c r="K146" s="24"/>
      <c r="L146" s="24"/>
      <c r="M146" s="24"/>
      <c r="N146" s="24"/>
      <c r="O146" s="24"/>
      <c r="P146" s="24"/>
      <c r="Q146" s="24"/>
    </row>
    <row r="147" spans="1:17" ht="15.75" customHeight="1" x14ac:dyDescent="0.45">
      <c r="A147" s="471">
        <v>11731645322</v>
      </c>
      <c r="B147" s="471" t="s">
        <v>1010</v>
      </c>
      <c r="C147" s="42">
        <v>2</v>
      </c>
      <c r="D147" s="1">
        <v>84</v>
      </c>
      <c r="E147" s="1"/>
      <c r="F147" s="1"/>
      <c r="G147" s="60">
        <f t="shared" si="4"/>
        <v>4.2857142857142856</v>
      </c>
      <c r="H147" s="701"/>
      <c r="I147" s="24"/>
      <c r="J147" s="24"/>
      <c r="K147" s="24"/>
      <c r="L147" s="24"/>
      <c r="M147" s="24"/>
      <c r="N147" s="24"/>
      <c r="O147" s="24"/>
      <c r="P147" s="24"/>
      <c r="Q147" s="24"/>
    </row>
    <row r="148" spans="1:17" ht="15.75" customHeight="1" x14ac:dyDescent="0.45">
      <c r="A148" s="471">
        <v>7030207190</v>
      </c>
      <c r="B148" s="471" t="s">
        <v>1011</v>
      </c>
      <c r="C148" s="42">
        <v>2</v>
      </c>
      <c r="D148" s="1">
        <v>140</v>
      </c>
      <c r="E148" s="1"/>
      <c r="F148" s="1"/>
      <c r="G148" s="60">
        <f t="shared" si="4"/>
        <v>2.5714285714285716</v>
      </c>
      <c r="H148" s="701"/>
      <c r="I148" s="24"/>
      <c r="J148" s="24"/>
      <c r="K148" s="24"/>
      <c r="L148" s="24"/>
      <c r="M148" s="24"/>
      <c r="N148" s="24"/>
      <c r="O148" s="24"/>
      <c r="P148" s="24"/>
      <c r="Q148" s="24"/>
    </row>
    <row r="149" spans="1:17" ht="15.75" customHeight="1" x14ac:dyDescent="0.45">
      <c r="A149" s="471">
        <v>3045846122</v>
      </c>
      <c r="B149" s="471" t="s">
        <v>1012</v>
      </c>
      <c r="C149" s="42">
        <v>2</v>
      </c>
      <c r="D149" s="1">
        <v>84</v>
      </c>
      <c r="E149" s="1"/>
      <c r="F149" s="1"/>
      <c r="G149" s="60">
        <f t="shared" si="4"/>
        <v>4.2857142857142856</v>
      </c>
      <c r="H149" s="701"/>
      <c r="I149" s="24"/>
      <c r="J149" s="24"/>
      <c r="K149" s="24"/>
      <c r="L149" s="24"/>
      <c r="M149" s="24"/>
      <c r="N149" s="24"/>
      <c r="O149" s="24"/>
      <c r="P149" s="24"/>
      <c r="Q149" s="24"/>
    </row>
    <row r="150" spans="1:17" ht="15.75" customHeight="1" x14ac:dyDescent="0.45">
      <c r="A150" s="471">
        <v>11776215122</v>
      </c>
      <c r="B150" s="471" t="s">
        <v>1013</v>
      </c>
      <c r="C150" s="42">
        <v>2</v>
      </c>
      <c r="D150" s="1">
        <v>56</v>
      </c>
      <c r="E150" s="1"/>
      <c r="F150" s="1"/>
      <c r="G150" s="60">
        <f t="shared" si="4"/>
        <v>6.4285714285714288</v>
      </c>
      <c r="H150" s="701"/>
      <c r="I150" s="24"/>
      <c r="J150" s="24"/>
      <c r="K150" s="24"/>
      <c r="L150" s="24"/>
      <c r="M150" s="24"/>
      <c r="N150" s="24"/>
      <c r="O150" s="24"/>
      <c r="P150" s="24"/>
      <c r="Q150" s="24"/>
    </row>
    <row r="151" spans="1:17" ht="15.75" customHeight="1" x14ac:dyDescent="0.45">
      <c r="A151" s="471">
        <v>11820974322</v>
      </c>
      <c r="B151" s="471" t="s">
        <v>1014</v>
      </c>
      <c r="C151" s="42">
        <v>2</v>
      </c>
      <c r="D151" s="1">
        <v>56</v>
      </c>
      <c r="E151" s="1"/>
      <c r="F151" s="1"/>
      <c r="G151" s="60">
        <f t="shared" si="4"/>
        <v>6.4285714285714288</v>
      </c>
      <c r="H151" s="701"/>
      <c r="I151" s="24"/>
      <c r="J151" s="24"/>
      <c r="K151" s="24"/>
      <c r="L151" s="24"/>
      <c r="M151" s="24"/>
      <c r="N151" s="24"/>
      <c r="O151" s="24"/>
      <c r="P151" s="24"/>
      <c r="Q151" s="24"/>
    </row>
    <row r="152" spans="1:17" ht="15.75" customHeight="1" x14ac:dyDescent="0.45">
      <c r="A152" s="471">
        <v>9175130190</v>
      </c>
      <c r="B152" s="471" t="s">
        <v>1015</v>
      </c>
      <c r="C152" s="42">
        <v>2</v>
      </c>
      <c r="D152" s="1">
        <v>42</v>
      </c>
      <c r="E152" s="1"/>
      <c r="F152" s="1"/>
      <c r="G152" s="60">
        <f t="shared" si="4"/>
        <v>8.5714285714285712</v>
      </c>
      <c r="H152" s="701"/>
      <c r="I152" s="24"/>
      <c r="J152" s="24"/>
      <c r="K152" s="24"/>
      <c r="L152" s="24"/>
      <c r="M152" s="24"/>
      <c r="N152" s="24"/>
      <c r="O152" s="24"/>
      <c r="P152" s="24"/>
      <c r="Q152" s="24"/>
    </row>
    <row r="153" spans="1:17" ht="15.75" customHeight="1" x14ac:dyDescent="0.45">
      <c r="A153" s="471">
        <v>12133121122</v>
      </c>
      <c r="B153" s="471" t="s">
        <v>1016</v>
      </c>
      <c r="C153" s="42">
        <v>2</v>
      </c>
      <c r="D153" s="1">
        <v>42</v>
      </c>
      <c r="E153" s="1"/>
      <c r="F153" s="1"/>
      <c r="G153" s="60">
        <f t="shared" si="4"/>
        <v>8.5714285714285712</v>
      </c>
      <c r="H153" s="701"/>
      <c r="I153" s="24"/>
      <c r="J153" s="24"/>
      <c r="K153" s="24"/>
      <c r="L153" s="24"/>
      <c r="M153" s="24"/>
      <c r="N153" s="24"/>
      <c r="O153" s="24"/>
      <c r="P153" s="24"/>
      <c r="Q153" s="24"/>
    </row>
    <row r="154" spans="1:17" ht="15.75" customHeight="1" x14ac:dyDescent="0.45">
      <c r="A154" s="471">
        <v>3289834190</v>
      </c>
      <c r="B154" s="471" t="s">
        <v>1017</v>
      </c>
      <c r="C154" s="42">
        <v>2</v>
      </c>
      <c r="D154" s="1">
        <v>84</v>
      </c>
      <c r="E154" s="1"/>
      <c r="F154" s="1"/>
      <c r="G154" s="60">
        <f t="shared" si="4"/>
        <v>4.2857142857142856</v>
      </c>
      <c r="H154" s="701"/>
      <c r="I154" s="24"/>
      <c r="J154" s="24"/>
      <c r="K154" s="24"/>
      <c r="L154" s="24"/>
      <c r="M154" s="24"/>
      <c r="N154" s="24"/>
      <c r="O154" s="24"/>
      <c r="P154" s="24"/>
      <c r="Q154" s="24"/>
    </row>
    <row r="155" spans="1:17" ht="15.75" customHeight="1" x14ac:dyDescent="0.45">
      <c r="A155" s="471">
        <v>5950945190</v>
      </c>
      <c r="B155" s="471" t="s">
        <v>1018</v>
      </c>
      <c r="C155" s="42">
        <v>2</v>
      </c>
      <c r="D155" s="1">
        <v>56</v>
      </c>
      <c r="E155" s="1"/>
      <c r="F155" s="1"/>
      <c r="G155" s="60">
        <f t="shared" si="4"/>
        <v>6.4285714285714288</v>
      </c>
      <c r="H155" s="701"/>
      <c r="I155" s="24"/>
      <c r="J155" s="24"/>
      <c r="K155" s="24"/>
      <c r="L155" s="24"/>
      <c r="M155" s="24"/>
      <c r="N155" s="24"/>
      <c r="O155" s="24"/>
      <c r="P155" s="24"/>
      <c r="Q155" s="24"/>
    </row>
    <row r="156" spans="1:17" ht="15.75" customHeight="1" x14ac:dyDescent="0.45">
      <c r="A156" s="471">
        <v>8333637190</v>
      </c>
      <c r="B156" s="471" t="s">
        <v>1019</v>
      </c>
      <c r="C156" s="42">
        <v>2</v>
      </c>
      <c r="D156" s="1">
        <v>28</v>
      </c>
      <c r="E156" s="1"/>
      <c r="F156" s="1"/>
      <c r="G156" s="60">
        <f t="shared" si="4"/>
        <v>12.857142857142858</v>
      </c>
      <c r="H156" s="701"/>
      <c r="I156" s="24"/>
      <c r="J156" s="24"/>
      <c r="K156" s="24"/>
      <c r="L156" s="24"/>
      <c r="M156" s="24"/>
      <c r="N156" s="24"/>
      <c r="O156" s="24"/>
      <c r="P156" s="24"/>
      <c r="Q156" s="24"/>
    </row>
    <row r="157" spans="1:17" ht="15.75" customHeight="1" x14ac:dyDescent="0.45">
      <c r="A157" s="471">
        <v>6505970190</v>
      </c>
      <c r="B157" s="471" t="s">
        <v>1020</v>
      </c>
      <c r="C157" s="42">
        <v>2</v>
      </c>
      <c r="D157" s="1">
        <v>56</v>
      </c>
      <c r="E157" s="1"/>
      <c r="F157" s="1"/>
      <c r="G157" s="60">
        <f t="shared" si="4"/>
        <v>6.4285714285714288</v>
      </c>
      <c r="H157" s="701"/>
      <c r="I157" s="24"/>
      <c r="J157" s="24"/>
      <c r="K157" s="24"/>
      <c r="L157" s="24"/>
      <c r="M157" s="24"/>
      <c r="N157" s="24"/>
      <c r="O157" s="24"/>
      <c r="P157" s="24"/>
      <c r="Q157" s="24"/>
    </row>
    <row r="158" spans="1:17" ht="15.75" customHeight="1" x14ac:dyDescent="0.45">
      <c r="A158" s="471">
        <v>7126999190</v>
      </c>
      <c r="B158" s="471" t="s">
        <v>1021</v>
      </c>
      <c r="C158" s="42">
        <v>2</v>
      </c>
      <c r="D158" s="1">
        <v>28</v>
      </c>
      <c r="E158" s="1"/>
      <c r="F158" s="1"/>
      <c r="G158" s="60">
        <f t="shared" si="4"/>
        <v>12.857142857142858</v>
      </c>
      <c r="H158" s="701"/>
      <c r="I158" s="24"/>
      <c r="J158" s="24"/>
      <c r="K158" s="24"/>
      <c r="L158" s="24"/>
      <c r="M158" s="24"/>
      <c r="N158" s="24"/>
      <c r="O158" s="24"/>
      <c r="P158" s="24"/>
      <c r="Q158" s="24"/>
    </row>
    <row r="159" spans="1:17" ht="15.75" customHeight="1" x14ac:dyDescent="0.45">
      <c r="A159" s="471">
        <v>11820907322</v>
      </c>
      <c r="B159" s="471" t="s">
        <v>1022</v>
      </c>
      <c r="C159" s="42">
        <v>2</v>
      </c>
      <c r="D159" s="1">
        <v>56</v>
      </c>
      <c r="E159" s="1"/>
      <c r="F159" s="1"/>
      <c r="G159" s="60">
        <f t="shared" si="4"/>
        <v>6.4285714285714288</v>
      </c>
      <c r="H159" s="701"/>
      <c r="I159" s="24"/>
      <c r="J159" s="24"/>
      <c r="K159" s="24"/>
      <c r="L159" s="24"/>
      <c r="M159" s="24"/>
      <c r="N159" s="24"/>
      <c r="O159" s="24"/>
      <c r="P159" s="24"/>
      <c r="Q159" s="24"/>
    </row>
    <row r="160" spans="1:17" ht="15.75" customHeight="1" x14ac:dyDescent="0.45">
      <c r="A160" s="471">
        <v>7394667190</v>
      </c>
      <c r="B160" s="471" t="s">
        <v>1023</v>
      </c>
      <c r="C160" s="42">
        <v>2</v>
      </c>
      <c r="D160" s="1">
        <v>84</v>
      </c>
      <c r="E160" s="1"/>
      <c r="F160" s="1"/>
      <c r="G160" s="60">
        <f t="shared" si="4"/>
        <v>4.2857142857142856</v>
      </c>
      <c r="H160" s="701"/>
      <c r="I160" s="24"/>
      <c r="J160" s="24"/>
      <c r="K160" s="24"/>
      <c r="L160" s="24"/>
      <c r="M160" s="24"/>
      <c r="N160" s="24"/>
      <c r="O160" s="24"/>
      <c r="P160" s="24"/>
      <c r="Q160" s="24"/>
    </row>
    <row r="161" spans="1:17" ht="15.75" customHeight="1" x14ac:dyDescent="0.45">
      <c r="A161" s="471">
        <v>7394675190</v>
      </c>
      <c r="B161" s="471" t="s">
        <v>1024</v>
      </c>
      <c r="C161" s="42">
        <v>2</v>
      </c>
      <c r="D161" s="1">
        <v>84</v>
      </c>
      <c r="E161" s="1"/>
      <c r="F161" s="1"/>
      <c r="G161" s="60">
        <f t="shared" si="4"/>
        <v>4.2857142857142856</v>
      </c>
      <c r="H161" s="701"/>
      <c r="I161" s="24"/>
      <c r="J161" s="24"/>
      <c r="K161" s="24"/>
      <c r="L161" s="24"/>
      <c r="M161" s="24"/>
      <c r="N161" s="24"/>
      <c r="O161" s="24"/>
      <c r="P161" s="24"/>
      <c r="Q161" s="24"/>
    </row>
    <row r="162" spans="1:17" ht="15.75" customHeight="1" x14ac:dyDescent="0.45">
      <c r="A162" s="471">
        <v>7125941190</v>
      </c>
      <c r="B162" s="471" t="s">
        <v>1025</v>
      </c>
      <c r="C162" s="42">
        <v>2</v>
      </c>
      <c r="D162" s="1">
        <v>56</v>
      </c>
      <c r="E162" s="1"/>
      <c r="F162" s="1"/>
      <c r="G162" s="60">
        <f t="shared" si="4"/>
        <v>6.4285714285714288</v>
      </c>
      <c r="H162" s="701"/>
      <c r="I162" s="24"/>
      <c r="J162" s="24"/>
      <c r="K162" s="24"/>
      <c r="L162" s="24"/>
      <c r="M162" s="24"/>
      <c r="N162" s="24"/>
      <c r="O162" s="24"/>
      <c r="P162" s="24"/>
      <c r="Q162" s="24"/>
    </row>
    <row r="163" spans="1:17" ht="15.75" customHeight="1" x14ac:dyDescent="0.45">
      <c r="A163" s="471">
        <v>9315373190</v>
      </c>
      <c r="B163" s="471" t="s">
        <v>1026</v>
      </c>
      <c r="C163" s="42">
        <v>2</v>
      </c>
      <c r="D163" s="1">
        <v>84</v>
      </c>
      <c r="E163" s="1"/>
      <c r="F163" s="1"/>
      <c r="G163" s="60">
        <f t="shared" si="4"/>
        <v>4.2857142857142856</v>
      </c>
      <c r="H163" s="701"/>
      <c r="I163" s="24"/>
      <c r="J163" s="24"/>
      <c r="K163" s="24"/>
      <c r="L163" s="24"/>
      <c r="M163" s="24"/>
      <c r="N163" s="24"/>
      <c r="O163" s="24"/>
      <c r="P163" s="24"/>
      <c r="Q163" s="24"/>
    </row>
    <row r="164" spans="1:17" ht="15.75" customHeight="1" x14ac:dyDescent="0.45">
      <c r="A164" s="471">
        <v>7439547190</v>
      </c>
      <c r="B164" s="471" t="s">
        <v>1027</v>
      </c>
      <c r="C164" s="42">
        <v>2</v>
      </c>
      <c r="D164" s="1">
        <v>84</v>
      </c>
      <c r="E164" s="1"/>
      <c r="F164" s="1"/>
      <c r="G164" s="60">
        <f t="shared" si="4"/>
        <v>4.2857142857142856</v>
      </c>
      <c r="H164" s="701"/>
      <c r="I164" s="24"/>
      <c r="J164" s="24"/>
      <c r="K164" s="24"/>
      <c r="L164" s="24"/>
      <c r="M164" s="24"/>
      <c r="N164" s="24"/>
      <c r="O164" s="24"/>
      <c r="P164" s="24"/>
      <c r="Q164" s="24"/>
    </row>
    <row r="165" spans="1:17" ht="15.75" customHeight="1" x14ac:dyDescent="0.45">
      <c r="A165" s="584" t="s">
        <v>1028</v>
      </c>
      <c r="B165" s="586" t="s">
        <v>1029</v>
      </c>
      <c r="C165" s="42">
        <v>2</v>
      </c>
      <c r="D165" s="1">
        <v>84</v>
      </c>
      <c r="E165" s="1"/>
      <c r="F165" s="1"/>
      <c r="G165" s="60">
        <f t="shared" si="4"/>
        <v>4.2857142857142856</v>
      </c>
      <c r="H165" s="701"/>
      <c r="I165" s="24"/>
      <c r="J165" s="24"/>
      <c r="K165" s="24"/>
      <c r="L165" s="24"/>
      <c r="M165" s="24"/>
      <c r="N165" s="24"/>
      <c r="O165" s="24"/>
      <c r="P165" s="24"/>
      <c r="Q165" s="24"/>
    </row>
    <row r="166" spans="1:17" ht="15.75" customHeight="1" x14ac:dyDescent="0.45">
      <c r="A166" s="471">
        <v>9005684190</v>
      </c>
      <c r="B166" s="471" t="s">
        <v>1030</v>
      </c>
      <c r="C166" s="42">
        <v>2</v>
      </c>
      <c r="D166" s="1">
        <v>84</v>
      </c>
      <c r="E166" s="1"/>
      <c r="F166" s="1"/>
      <c r="G166" s="60">
        <f t="shared" si="4"/>
        <v>4.2857142857142856</v>
      </c>
      <c r="H166" s="701"/>
      <c r="I166" s="24"/>
      <c r="J166" s="24"/>
      <c r="K166" s="24"/>
      <c r="L166" s="24"/>
      <c r="M166" s="24"/>
      <c r="N166" s="24"/>
      <c r="O166" s="24"/>
      <c r="P166" s="24"/>
      <c r="Q166" s="24"/>
    </row>
    <row r="167" spans="1:17" ht="15.75" customHeight="1" x14ac:dyDescent="0.45">
      <c r="A167" s="471">
        <v>5109469190</v>
      </c>
      <c r="B167" s="471" t="s">
        <v>1031</v>
      </c>
      <c r="C167" s="42">
        <v>2</v>
      </c>
      <c r="D167" s="1">
        <v>84</v>
      </c>
      <c r="E167" s="1"/>
      <c r="F167" s="1"/>
      <c r="G167" s="60">
        <f t="shared" si="4"/>
        <v>4.2857142857142856</v>
      </c>
      <c r="H167" s="701"/>
      <c r="I167" s="24"/>
      <c r="J167" s="24"/>
      <c r="K167" s="24"/>
      <c r="L167" s="24"/>
      <c r="M167" s="24"/>
      <c r="N167" s="24"/>
      <c r="O167" s="24"/>
      <c r="P167" s="24"/>
      <c r="Q167" s="24"/>
    </row>
    <row r="168" spans="1:17" ht="15.75" customHeight="1" x14ac:dyDescent="0.45">
      <c r="A168" s="471">
        <v>3737586190</v>
      </c>
      <c r="B168" s="471" t="s">
        <v>1032</v>
      </c>
      <c r="C168" s="42">
        <v>2</v>
      </c>
      <c r="D168" s="1">
        <v>84</v>
      </c>
      <c r="E168" s="1"/>
      <c r="F168" s="1"/>
      <c r="G168" s="60">
        <f t="shared" si="4"/>
        <v>4.2857142857142856</v>
      </c>
      <c r="H168" s="701"/>
      <c r="I168" s="24"/>
      <c r="J168" s="24"/>
      <c r="K168" s="24"/>
      <c r="L168" s="24"/>
      <c r="M168" s="24"/>
      <c r="N168" s="24"/>
      <c r="O168" s="24"/>
      <c r="P168" s="24"/>
      <c r="Q168" s="24"/>
    </row>
    <row r="169" spans="1:17" ht="15.75" customHeight="1" x14ac:dyDescent="0.45">
      <c r="A169" s="471">
        <v>7396473190</v>
      </c>
      <c r="B169" s="471" t="s">
        <v>1033</v>
      </c>
      <c r="C169" s="42">
        <v>2</v>
      </c>
      <c r="D169" s="1">
        <v>84</v>
      </c>
      <c r="E169" s="1"/>
      <c r="F169" s="1"/>
      <c r="G169" s="60">
        <f t="shared" si="4"/>
        <v>4.2857142857142856</v>
      </c>
      <c r="H169" s="701"/>
      <c r="I169" s="24"/>
      <c r="J169" s="24"/>
      <c r="K169" s="24"/>
      <c r="L169" s="24"/>
      <c r="M169" s="24"/>
      <c r="N169" s="24"/>
      <c r="O169" s="24"/>
      <c r="P169" s="24"/>
      <c r="Q169" s="24"/>
    </row>
    <row r="170" spans="1:17" ht="15.75" customHeight="1" x14ac:dyDescent="0.45">
      <c r="A170" s="471">
        <v>7212780190</v>
      </c>
      <c r="B170" s="471" t="s">
        <v>1034</v>
      </c>
      <c r="C170" s="42">
        <v>2</v>
      </c>
      <c r="D170" s="1">
        <v>84</v>
      </c>
      <c r="E170" s="1"/>
      <c r="F170" s="1"/>
      <c r="G170" s="60">
        <f t="shared" si="4"/>
        <v>4.2857142857142856</v>
      </c>
      <c r="H170" s="701"/>
      <c r="I170" s="24"/>
      <c r="J170" s="24"/>
      <c r="K170" s="24"/>
      <c r="L170" s="24"/>
      <c r="M170" s="24"/>
      <c r="N170" s="24"/>
      <c r="O170" s="24"/>
      <c r="P170" s="24"/>
      <c r="Q170" s="24"/>
    </row>
    <row r="171" spans="1:17" ht="15.75" customHeight="1" x14ac:dyDescent="0.45">
      <c r="A171" s="471">
        <v>7726350190</v>
      </c>
      <c r="B171" s="471" t="s">
        <v>1035</v>
      </c>
      <c r="C171" s="42">
        <v>2</v>
      </c>
      <c r="D171" s="1">
        <v>31</v>
      </c>
      <c r="E171" s="1"/>
      <c r="F171" s="1"/>
      <c r="G171" s="60">
        <f t="shared" si="4"/>
        <v>11.612903225806452</v>
      </c>
      <c r="H171" s="701"/>
      <c r="I171" s="24"/>
      <c r="J171" s="24"/>
      <c r="K171" s="24"/>
      <c r="L171" s="24"/>
      <c r="M171" s="24"/>
      <c r="N171" s="24"/>
      <c r="O171" s="24"/>
      <c r="P171" s="24"/>
      <c r="Q171" s="24"/>
    </row>
    <row r="172" spans="1:17" ht="15.75" customHeight="1" x14ac:dyDescent="0.45">
      <c r="A172" s="471">
        <v>11930427122</v>
      </c>
      <c r="B172" s="471" t="s">
        <v>1036</v>
      </c>
      <c r="C172" s="42">
        <v>2</v>
      </c>
      <c r="D172" s="1">
        <v>84</v>
      </c>
      <c r="E172" s="1"/>
      <c r="F172" s="1"/>
      <c r="G172" s="60">
        <f t="shared" si="4"/>
        <v>4.2857142857142856</v>
      </c>
      <c r="H172" s="701"/>
      <c r="I172" s="24"/>
      <c r="J172" s="24"/>
      <c r="K172" s="24"/>
      <c r="L172" s="24"/>
      <c r="M172" s="24"/>
      <c r="N172" s="24"/>
      <c r="O172" s="24"/>
      <c r="P172" s="24"/>
      <c r="Q172" s="24"/>
    </row>
    <row r="173" spans="1:17" ht="15.75" customHeight="1" x14ac:dyDescent="0.45">
      <c r="A173" s="471">
        <v>8243891190</v>
      </c>
      <c r="B173" s="471" t="s">
        <v>1037</v>
      </c>
      <c r="C173" s="42">
        <v>2</v>
      </c>
      <c r="D173" s="1">
        <v>84</v>
      </c>
      <c r="E173" s="1"/>
      <c r="F173" s="1"/>
      <c r="G173" s="60">
        <f t="shared" si="4"/>
        <v>4.2857142857142856</v>
      </c>
      <c r="H173" s="701"/>
      <c r="I173" s="24"/>
      <c r="J173" s="24"/>
      <c r="K173" s="24"/>
      <c r="L173" s="24"/>
      <c r="M173" s="24"/>
      <c r="N173" s="24"/>
      <c r="O173" s="24"/>
      <c r="P173" s="24"/>
      <c r="Q173" s="24"/>
    </row>
    <row r="174" spans="1:17" ht="15.75" customHeight="1" x14ac:dyDescent="0.45">
      <c r="A174" s="471">
        <v>5608554190</v>
      </c>
      <c r="B174" s="471" t="s">
        <v>1038</v>
      </c>
      <c r="C174" s="42">
        <v>2</v>
      </c>
      <c r="D174" s="1">
        <v>90</v>
      </c>
      <c r="E174" s="1"/>
      <c r="F174" s="1"/>
      <c r="G174" s="60">
        <f t="shared" si="4"/>
        <v>4</v>
      </c>
      <c r="H174" s="701"/>
      <c r="I174" s="24"/>
      <c r="J174" s="24"/>
      <c r="K174" s="24"/>
      <c r="L174" s="24"/>
      <c r="M174" s="24"/>
      <c r="N174" s="24"/>
      <c r="O174" s="24"/>
      <c r="P174" s="24"/>
      <c r="Q174" s="24"/>
    </row>
    <row r="175" spans="1:17" ht="15.75" customHeight="1" x14ac:dyDescent="0.45">
      <c r="A175" s="471">
        <v>3141080190</v>
      </c>
      <c r="B175" s="471" t="s">
        <v>1039</v>
      </c>
      <c r="C175" s="42">
        <v>2</v>
      </c>
      <c r="D175" s="1">
        <v>84</v>
      </c>
      <c r="E175" s="1"/>
      <c r="F175" s="1"/>
      <c r="G175" s="60">
        <f t="shared" si="4"/>
        <v>4.2857142857142856</v>
      </c>
      <c r="H175" s="701"/>
      <c r="I175" s="24"/>
      <c r="J175" s="24"/>
      <c r="K175" s="24"/>
      <c r="L175" s="24"/>
      <c r="M175" s="24"/>
      <c r="N175" s="24"/>
      <c r="O175" s="24"/>
      <c r="P175" s="24"/>
      <c r="Q175" s="24"/>
    </row>
    <row r="176" spans="1:17" ht="15.75" customHeight="1" x14ac:dyDescent="0.45">
      <c r="A176" s="471">
        <v>11972316122</v>
      </c>
      <c r="B176" s="471" t="s">
        <v>1040</v>
      </c>
      <c r="C176" s="42">
        <v>2</v>
      </c>
      <c r="D176" s="1">
        <v>84</v>
      </c>
      <c r="E176" s="1"/>
      <c r="F176" s="1"/>
      <c r="G176" s="60">
        <f t="shared" si="4"/>
        <v>4.2857142857142856</v>
      </c>
      <c r="H176" s="701"/>
      <c r="I176" s="24"/>
      <c r="J176" s="24"/>
      <c r="K176" s="24"/>
      <c r="L176" s="24"/>
      <c r="M176" s="24"/>
      <c r="N176" s="24"/>
      <c r="O176" s="24"/>
      <c r="P176" s="24"/>
      <c r="Q176" s="24"/>
    </row>
    <row r="177" spans="1:17" ht="15.75" customHeight="1" x14ac:dyDescent="0.45">
      <c r="A177" s="471">
        <v>11972111122</v>
      </c>
      <c r="B177" s="471" t="s">
        <v>1041</v>
      </c>
      <c r="C177" s="42">
        <v>2</v>
      </c>
      <c r="D177" s="1">
        <v>84</v>
      </c>
      <c r="E177" s="1"/>
      <c r="F177" s="1"/>
      <c r="G177" s="60">
        <f t="shared" si="4"/>
        <v>4.2857142857142856</v>
      </c>
      <c r="H177" s="701"/>
      <c r="I177" s="24"/>
      <c r="J177" s="24"/>
      <c r="K177" s="24"/>
      <c r="L177" s="24"/>
      <c r="M177" s="24"/>
      <c r="N177" s="24"/>
      <c r="O177" s="24"/>
      <c r="P177" s="24"/>
      <c r="Q177" s="24"/>
    </row>
    <row r="178" spans="1:17" ht="15.75" customHeight="1" x14ac:dyDescent="0.45">
      <c r="A178" s="471">
        <v>9038116190</v>
      </c>
      <c r="B178" s="471" t="s">
        <v>1042</v>
      </c>
      <c r="C178" s="42">
        <v>2</v>
      </c>
      <c r="D178" s="1">
        <v>84</v>
      </c>
      <c r="E178" s="1"/>
      <c r="F178" s="1"/>
      <c r="G178" s="60">
        <f t="shared" ref="G178:G243" si="5">(360/D178)</f>
        <v>4.2857142857142856</v>
      </c>
      <c r="H178" s="701"/>
      <c r="I178" s="24"/>
      <c r="J178" s="24"/>
      <c r="K178" s="24"/>
      <c r="L178" s="24"/>
      <c r="M178" s="24"/>
      <c r="N178" s="24"/>
      <c r="O178" s="24"/>
      <c r="P178" s="24"/>
      <c r="Q178" s="24"/>
    </row>
    <row r="179" spans="1:17" ht="15.75" customHeight="1" x14ac:dyDescent="0.45">
      <c r="A179" s="471">
        <v>7475969190</v>
      </c>
      <c r="B179" s="471" t="s">
        <v>1043</v>
      </c>
      <c r="C179" s="42">
        <v>2</v>
      </c>
      <c r="D179" s="1">
        <v>31</v>
      </c>
      <c r="E179" s="1"/>
      <c r="F179" s="1"/>
      <c r="G179" s="60">
        <f t="shared" si="5"/>
        <v>11.612903225806452</v>
      </c>
      <c r="H179" s="701"/>
      <c r="I179" s="24"/>
      <c r="J179" s="24"/>
      <c r="K179" s="24"/>
      <c r="L179" s="24"/>
      <c r="M179" s="24"/>
      <c r="N179" s="24"/>
      <c r="O179" s="24"/>
      <c r="P179" s="24"/>
      <c r="Q179" s="24"/>
    </row>
    <row r="180" spans="1:17" ht="15.75" customHeight="1" x14ac:dyDescent="0.45">
      <c r="A180" s="471">
        <v>7574762190</v>
      </c>
      <c r="B180" s="471" t="s">
        <v>1044</v>
      </c>
      <c r="C180" s="42">
        <v>2</v>
      </c>
      <c r="D180" s="1">
        <v>84</v>
      </c>
      <c r="E180" s="1"/>
      <c r="F180" s="1"/>
      <c r="G180" s="60">
        <f t="shared" si="5"/>
        <v>4.2857142857142856</v>
      </c>
      <c r="H180" s="701"/>
      <c r="I180" s="24"/>
      <c r="J180" s="24"/>
      <c r="K180" s="24"/>
      <c r="L180" s="24"/>
      <c r="M180" s="24"/>
      <c r="N180" s="24"/>
      <c r="O180" s="24"/>
      <c r="P180" s="24"/>
      <c r="Q180" s="24"/>
    </row>
    <row r="181" spans="1:17" ht="15.75" customHeight="1" x14ac:dyDescent="0.45">
      <c r="A181" s="471">
        <v>9289291190</v>
      </c>
      <c r="B181" s="471" t="s">
        <v>1045</v>
      </c>
      <c r="C181" s="42">
        <v>2</v>
      </c>
      <c r="D181" s="1">
        <v>84</v>
      </c>
      <c r="E181" s="1"/>
      <c r="F181" s="1"/>
      <c r="G181" s="60">
        <f t="shared" si="5"/>
        <v>4.2857142857142856</v>
      </c>
      <c r="H181" s="701"/>
      <c r="I181" s="24"/>
      <c r="J181" s="24"/>
      <c r="K181" s="24"/>
      <c r="L181" s="24"/>
      <c r="M181" s="24"/>
      <c r="N181" s="24"/>
      <c r="O181" s="24"/>
      <c r="P181" s="24"/>
      <c r="Q181" s="24"/>
    </row>
    <row r="182" spans="1:17" ht="15.75" customHeight="1" x14ac:dyDescent="0.45">
      <c r="A182" s="471">
        <v>5889022190</v>
      </c>
      <c r="B182" s="471" t="s">
        <v>1046</v>
      </c>
      <c r="C182" s="42">
        <v>3</v>
      </c>
      <c r="D182" s="1">
        <v>28</v>
      </c>
      <c r="E182" s="1"/>
      <c r="F182" s="1"/>
      <c r="G182" s="60">
        <f t="shared" si="5"/>
        <v>12.857142857142858</v>
      </c>
      <c r="H182" s="701"/>
      <c r="I182" s="24"/>
      <c r="J182" s="24"/>
      <c r="K182" s="24"/>
      <c r="L182" s="24"/>
      <c r="M182" s="24"/>
      <c r="N182" s="24"/>
      <c r="O182" s="24"/>
      <c r="P182" s="24"/>
      <c r="Q182" s="24"/>
    </row>
    <row r="183" spans="1:17" ht="15.75" customHeight="1" x14ac:dyDescent="0.45">
      <c r="A183" s="471">
        <v>6633196190</v>
      </c>
      <c r="B183" s="471" t="s">
        <v>1047</v>
      </c>
      <c r="C183" s="42">
        <v>3</v>
      </c>
      <c r="D183" s="1">
        <v>28</v>
      </c>
      <c r="E183" s="1"/>
      <c r="F183" s="1"/>
      <c r="G183" s="60">
        <f t="shared" si="5"/>
        <v>12.857142857142858</v>
      </c>
      <c r="H183" s="701"/>
      <c r="I183" s="24"/>
      <c r="J183" s="24"/>
      <c r="K183" s="24"/>
      <c r="L183" s="24"/>
      <c r="M183" s="24"/>
      <c r="N183" s="24"/>
      <c r="O183" s="24"/>
      <c r="P183" s="24"/>
      <c r="Q183" s="24"/>
    </row>
    <row r="184" spans="1:17" ht="15.75" customHeight="1" x14ac:dyDescent="0.45">
      <c r="A184" s="471">
        <v>6327982190</v>
      </c>
      <c r="B184" s="471" t="s">
        <v>1048</v>
      </c>
      <c r="C184" s="42">
        <v>3</v>
      </c>
      <c r="D184" s="1">
        <v>28</v>
      </c>
      <c r="E184" s="1"/>
      <c r="F184" s="1"/>
      <c r="G184" s="60">
        <f t="shared" si="5"/>
        <v>12.857142857142858</v>
      </c>
      <c r="H184" s="701"/>
      <c r="I184" s="24"/>
      <c r="J184" s="24"/>
      <c r="K184" s="24"/>
      <c r="L184" s="24"/>
      <c r="M184" s="24"/>
      <c r="N184" s="24"/>
      <c r="O184" s="24"/>
      <c r="P184" s="24"/>
      <c r="Q184" s="24"/>
    </row>
    <row r="185" spans="1:17" ht="15.75" customHeight="1" x14ac:dyDescent="0.45">
      <c r="A185" s="471">
        <v>5889065190</v>
      </c>
      <c r="B185" s="471" t="s">
        <v>1049</v>
      </c>
      <c r="C185" s="42">
        <v>3</v>
      </c>
      <c r="D185" s="1">
        <v>28</v>
      </c>
      <c r="E185" s="1"/>
      <c r="F185" s="1"/>
      <c r="G185" s="60">
        <f t="shared" si="5"/>
        <v>12.857142857142858</v>
      </c>
      <c r="H185" s="701"/>
      <c r="I185" s="24"/>
      <c r="J185" s="24"/>
      <c r="K185" s="24"/>
      <c r="L185" s="24"/>
      <c r="M185" s="24"/>
      <c r="N185" s="24"/>
      <c r="O185" s="24"/>
      <c r="P185" s="24"/>
      <c r="Q185" s="24"/>
    </row>
    <row r="186" spans="1:17" ht="15.75" customHeight="1" x14ac:dyDescent="0.45">
      <c r="A186" s="587" t="s">
        <v>277</v>
      </c>
      <c r="B186" s="588"/>
      <c r="C186" s="589" t="s">
        <v>1082</v>
      </c>
      <c r="D186" s="698" t="s">
        <v>54</v>
      </c>
      <c r="E186" s="481"/>
      <c r="F186" s="482" t="s">
        <v>53</v>
      </c>
      <c r="G186" s="512" t="s">
        <v>52</v>
      </c>
      <c r="H186" s="512" t="s">
        <v>51</v>
      </c>
      <c r="I186" s="24"/>
      <c r="J186" s="24"/>
      <c r="K186" s="24"/>
      <c r="L186" s="24"/>
      <c r="M186" s="24"/>
      <c r="N186" s="24"/>
      <c r="O186" s="24"/>
      <c r="P186" s="24"/>
      <c r="Q186" s="24"/>
    </row>
    <row r="187" spans="1:17" ht="15.75" customHeight="1" x14ac:dyDescent="0.45">
      <c r="A187" s="471">
        <v>11731416190</v>
      </c>
      <c r="B187" s="471" t="s">
        <v>625</v>
      </c>
      <c r="C187" s="42">
        <v>2</v>
      </c>
      <c r="D187" s="1">
        <v>28</v>
      </c>
      <c r="E187" s="1"/>
      <c r="F187" s="1"/>
      <c r="G187" s="60">
        <f t="shared" si="5"/>
        <v>12.857142857142858</v>
      </c>
      <c r="H187" s="701"/>
      <c r="I187" s="24"/>
      <c r="J187" s="24"/>
      <c r="K187" s="24"/>
      <c r="L187" s="24"/>
      <c r="M187" s="24"/>
      <c r="N187" s="24"/>
      <c r="O187" s="24"/>
      <c r="P187" s="24"/>
      <c r="Q187" s="24"/>
    </row>
    <row r="188" spans="1:17" ht="15.75" customHeight="1" x14ac:dyDescent="0.45">
      <c r="A188" s="471">
        <v>8740062190</v>
      </c>
      <c r="B188" s="471" t="s">
        <v>583</v>
      </c>
      <c r="C188" s="42">
        <v>2</v>
      </c>
      <c r="D188" s="1">
        <v>84</v>
      </c>
      <c r="E188" s="1"/>
      <c r="F188" s="1"/>
      <c r="G188" s="60">
        <f t="shared" si="5"/>
        <v>4.2857142857142856</v>
      </c>
      <c r="H188" s="701"/>
      <c r="I188" s="24"/>
      <c r="J188" s="24"/>
      <c r="K188" s="24"/>
      <c r="L188" s="24"/>
      <c r="M188" s="24"/>
      <c r="N188" s="24"/>
      <c r="O188" s="24"/>
      <c r="P188" s="24"/>
      <c r="Q188" s="24"/>
    </row>
    <row r="189" spans="1:17" ht="15.75" customHeight="1" x14ac:dyDescent="0.45">
      <c r="A189" s="471">
        <v>5341787190</v>
      </c>
      <c r="B189" s="471" t="s">
        <v>613</v>
      </c>
      <c r="C189" s="42">
        <v>3</v>
      </c>
      <c r="D189" s="1">
        <v>31</v>
      </c>
      <c r="E189" s="1"/>
      <c r="F189" s="1"/>
      <c r="G189" s="60">
        <f t="shared" si="5"/>
        <v>11.612903225806452</v>
      </c>
      <c r="H189" s="701"/>
      <c r="I189" s="24"/>
      <c r="J189" s="24"/>
      <c r="K189" s="24"/>
      <c r="L189" s="24"/>
      <c r="M189" s="24"/>
      <c r="N189" s="24"/>
      <c r="O189" s="24"/>
      <c r="P189" s="24"/>
      <c r="Q189" s="24"/>
    </row>
    <row r="190" spans="1:17" ht="15.75" customHeight="1" x14ac:dyDescent="0.45">
      <c r="A190" s="471">
        <v>6687776190</v>
      </c>
      <c r="B190" s="471" t="s">
        <v>1050</v>
      </c>
      <c r="C190" s="42">
        <v>2</v>
      </c>
      <c r="D190" s="1">
        <v>28</v>
      </c>
      <c r="E190" s="1"/>
      <c r="F190" s="1"/>
      <c r="G190" s="60">
        <f t="shared" si="5"/>
        <v>12.857142857142858</v>
      </c>
      <c r="H190" s="701"/>
      <c r="I190" s="24"/>
      <c r="J190" s="24"/>
      <c r="K190" s="24"/>
      <c r="L190" s="24"/>
      <c r="M190" s="24"/>
      <c r="N190" s="24"/>
      <c r="O190" s="24"/>
      <c r="P190" s="24"/>
      <c r="Q190" s="24"/>
    </row>
    <row r="191" spans="1:17" ht="15.75" customHeight="1" x14ac:dyDescent="0.45">
      <c r="A191" s="471">
        <v>11776452122</v>
      </c>
      <c r="B191" s="471" t="s">
        <v>624</v>
      </c>
      <c r="C191" s="42">
        <v>2</v>
      </c>
      <c r="D191" s="1">
        <v>28</v>
      </c>
      <c r="E191" s="1"/>
      <c r="F191" s="1"/>
      <c r="G191" s="60">
        <f t="shared" si="5"/>
        <v>12.857142857142858</v>
      </c>
      <c r="H191" s="701"/>
      <c r="I191" s="24"/>
      <c r="J191" s="24"/>
      <c r="K191" s="24"/>
      <c r="L191" s="24"/>
      <c r="M191" s="24"/>
      <c r="N191" s="24"/>
      <c r="O191" s="24"/>
      <c r="P191" s="24"/>
      <c r="Q191" s="24"/>
    </row>
    <row r="192" spans="1:17" ht="15.75" customHeight="1" x14ac:dyDescent="0.45">
      <c r="A192" s="471">
        <v>7713223190</v>
      </c>
      <c r="B192" s="471" t="s">
        <v>584</v>
      </c>
      <c r="C192" s="42">
        <v>2</v>
      </c>
      <c r="D192" s="1">
        <v>31</v>
      </c>
      <c r="E192" s="1"/>
      <c r="F192" s="1"/>
      <c r="G192" s="60">
        <f t="shared" si="5"/>
        <v>11.612903225806452</v>
      </c>
      <c r="H192" s="701"/>
      <c r="I192" s="24"/>
      <c r="J192" s="24"/>
      <c r="K192" s="24"/>
      <c r="L192" s="24"/>
      <c r="M192" s="24"/>
      <c r="N192" s="24"/>
      <c r="O192" s="24"/>
      <c r="P192" s="24"/>
      <c r="Q192" s="24"/>
    </row>
    <row r="193" spans="1:17" ht="15.75" customHeight="1" x14ac:dyDescent="0.45">
      <c r="A193" s="17">
        <v>4917049190</v>
      </c>
      <c r="B193" s="17" t="s">
        <v>1141</v>
      </c>
      <c r="C193" s="42">
        <v>2</v>
      </c>
      <c r="D193" s="1">
        <v>84</v>
      </c>
      <c r="E193" s="1"/>
      <c r="F193" s="1"/>
      <c r="G193" s="60">
        <f t="shared" si="5"/>
        <v>4.2857142857142856</v>
      </c>
      <c r="H193" s="701"/>
      <c r="I193" s="24"/>
      <c r="J193" s="24"/>
      <c r="K193" s="24"/>
      <c r="L193" s="24"/>
      <c r="M193" s="24"/>
      <c r="N193" s="24"/>
      <c r="O193" s="24"/>
      <c r="P193" s="24"/>
      <c r="Q193" s="24"/>
    </row>
    <row r="194" spans="1:17" ht="15.75" customHeight="1" x14ac:dyDescent="0.45">
      <c r="A194" s="17">
        <v>5095107190</v>
      </c>
      <c r="B194" s="471" t="s">
        <v>623</v>
      </c>
      <c r="C194" s="42">
        <v>2</v>
      </c>
      <c r="D194" s="1">
        <v>84</v>
      </c>
      <c r="E194" s="1"/>
      <c r="F194" s="1"/>
      <c r="G194" s="60">
        <f t="shared" si="5"/>
        <v>4.2857142857142856</v>
      </c>
      <c r="H194" s="701"/>
      <c r="I194" s="24"/>
      <c r="J194" s="24"/>
      <c r="K194" s="24"/>
      <c r="L194" s="24"/>
      <c r="M194" s="24"/>
      <c r="N194" s="24"/>
      <c r="O194" s="24"/>
      <c r="P194" s="24"/>
      <c r="Q194" s="24"/>
    </row>
    <row r="195" spans="1:17" ht="15.75" customHeight="1" x14ac:dyDescent="0.45">
      <c r="A195" s="17">
        <v>5042666191</v>
      </c>
      <c r="B195" s="471" t="s">
        <v>619</v>
      </c>
      <c r="C195" s="42">
        <v>2</v>
      </c>
      <c r="D195" s="1">
        <v>28</v>
      </c>
      <c r="E195" s="1"/>
      <c r="F195" s="1"/>
      <c r="G195" s="60">
        <f t="shared" si="5"/>
        <v>12.857142857142858</v>
      </c>
      <c r="H195" s="701"/>
      <c r="I195" s="24"/>
      <c r="J195" s="24"/>
      <c r="K195" s="24"/>
      <c r="L195" s="24"/>
      <c r="M195" s="24"/>
      <c r="N195" s="24"/>
      <c r="O195" s="24"/>
      <c r="P195" s="24"/>
      <c r="Q195" s="24"/>
    </row>
    <row r="196" spans="1:17" ht="15.75" customHeight="1" x14ac:dyDescent="0.45">
      <c r="A196" s="17">
        <v>7957211190</v>
      </c>
      <c r="B196" s="471" t="s">
        <v>586</v>
      </c>
      <c r="C196" s="42">
        <v>2</v>
      </c>
      <c r="D196" s="1">
        <v>28</v>
      </c>
      <c r="E196" s="1"/>
      <c r="F196" s="1"/>
      <c r="G196" s="60">
        <f t="shared" si="5"/>
        <v>12.857142857142858</v>
      </c>
      <c r="H196" s="701"/>
      <c r="I196" s="24"/>
      <c r="J196" s="24"/>
      <c r="K196" s="24"/>
      <c r="L196" s="24"/>
      <c r="M196" s="24"/>
      <c r="N196" s="24"/>
      <c r="O196" s="24"/>
      <c r="P196" s="24"/>
      <c r="Q196" s="24"/>
    </row>
    <row r="197" spans="1:17" ht="15.75" customHeight="1" x14ac:dyDescent="0.45">
      <c r="A197" s="17">
        <v>5950953190</v>
      </c>
      <c r="B197" s="471" t="s">
        <v>1142</v>
      </c>
      <c r="C197" s="42">
        <v>2</v>
      </c>
      <c r="D197" s="1">
        <v>28</v>
      </c>
      <c r="E197" s="1"/>
      <c r="F197" s="1"/>
      <c r="G197" s="60">
        <f t="shared" si="5"/>
        <v>12.857142857142858</v>
      </c>
      <c r="H197" s="701"/>
      <c r="I197" s="24"/>
      <c r="J197" s="24"/>
      <c r="K197" s="24"/>
      <c r="L197" s="24"/>
      <c r="M197" s="24"/>
      <c r="N197" s="24"/>
      <c r="O197" s="24"/>
      <c r="P197" s="24"/>
      <c r="Q197" s="24"/>
    </row>
    <row r="198" spans="1:17" ht="15.75" customHeight="1" x14ac:dyDescent="0.45">
      <c r="A198" s="17">
        <v>8333645190</v>
      </c>
      <c r="B198" s="471" t="s">
        <v>1051</v>
      </c>
      <c r="C198" s="42">
        <v>2</v>
      </c>
      <c r="D198" s="1">
        <v>28</v>
      </c>
      <c r="E198" s="1"/>
      <c r="F198" s="1"/>
      <c r="G198" s="60">
        <f t="shared" si="5"/>
        <v>12.857142857142858</v>
      </c>
      <c r="H198" s="701"/>
      <c r="I198" s="24"/>
      <c r="J198" s="24"/>
      <c r="K198" s="24"/>
      <c r="L198" s="24"/>
      <c r="M198" s="24"/>
      <c r="N198" s="24"/>
      <c r="O198" s="24"/>
      <c r="P198" s="24"/>
      <c r="Q198" s="24"/>
    </row>
    <row r="199" spans="1:17" ht="15.75" customHeight="1" x14ac:dyDescent="0.45">
      <c r="A199" s="17">
        <v>6505988190</v>
      </c>
      <c r="B199" s="471" t="s">
        <v>614</v>
      </c>
      <c r="C199" s="42">
        <v>2</v>
      </c>
      <c r="D199" s="1">
        <v>28</v>
      </c>
      <c r="E199" s="1"/>
      <c r="F199" s="1"/>
      <c r="G199" s="60">
        <f t="shared" si="5"/>
        <v>12.857142857142858</v>
      </c>
      <c r="H199" s="701"/>
      <c r="I199" s="24"/>
      <c r="J199" s="24"/>
      <c r="K199" s="24"/>
      <c r="L199" s="24"/>
      <c r="M199" s="24"/>
      <c r="N199" s="24"/>
      <c r="O199" s="24"/>
      <c r="P199" s="24"/>
      <c r="Q199" s="24"/>
    </row>
    <row r="200" spans="1:17" ht="15.75" customHeight="1" x14ac:dyDescent="0.45">
      <c r="A200" s="17">
        <v>7360070190</v>
      </c>
      <c r="B200" s="471" t="s">
        <v>1143</v>
      </c>
      <c r="C200" s="42">
        <v>2</v>
      </c>
      <c r="D200" s="1">
        <v>28</v>
      </c>
      <c r="E200" s="1"/>
      <c r="F200" s="1"/>
      <c r="G200" s="60">
        <f t="shared" si="5"/>
        <v>12.857142857142858</v>
      </c>
      <c r="H200" s="701"/>
      <c r="I200" s="24"/>
      <c r="J200" s="24"/>
      <c r="K200" s="24"/>
      <c r="L200" s="24"/>
      <c r="M200" s="24"/>
      <c r="N200" s="24"/>
      <c r="O200" s="24"/>
      <c r="P200" s="24"/>
      <c r="Q200" s="24"/>
    </row>
    <row r="201" spans="1:17" ht="15.75" customHeight="1" x14ac:dyDescent="0.45">
      <c r="A201" s="25">
        <v>5618860190</v>
      </c>
      <c r="B201" s="471" t="s">
        <v>626</v>
      </c>
      <c r="C201" s="42">
        <v>2</v>
      </c>
      <c r="D201" s="1">
        <v>31</v>
      </c>
      <c r="E201" s="1"/>
      <c r="F201" s="1"/>
      <c r="G201" s="60">
        <f t="shared" si="5"/>
        <v>11.612903225806452</v>
      </c>
      <c r="H201" s="701"/>
      <c r="I201" s="24"/>
      <c r="J201" s="24"/>
      <c r="K201" s="24"/>
      <c r="L201" s="24"/>
      <c r="M201" s="24"/>
      <c r="N201" s="24"/>
      <c r="O201" s="24"/>
      <c r="P201" s="24"/>
      <c r="Q201" s="24"/>
    </row>
    <row r="202" spans="1:17" ht="15.75" customHeight="1" x14ac:dyDescent="0.45">
      <c r="A202" s="17">
        <v>5031664190</v>
      </c>
      <c r="B202" s="471" t="s">
        <v>1144</v>
      </c>
      <c r="C202" s="42">
        <v>2</v>
      </c>
      <c r="D202" s="1">
        <v>28</v>
      </c>
      <c r="E202" s="1"/>
      <c r="F202" s="1"/>
      <c r="G202" s="60">
        <f t="shared" si="5"/>
        <v>12.857142857142858</v>
      </c>
      <c r="H202" s="701"/>
      <c r="I202" s="24"/>
      <c r="J202" s="24"/>
      <c r="K202" s="24"/>
      <c r="L202" s="24"/>
      <c r="M202" s="24"/>
      <c r="N202" s="24"/>
      <c r="O202" s="24"/>
      <c r="P202" s="24"/>
      <c r="Q202" s="24"/>
    </row>
    <row r="203" spans="1:17" ht="15.75" customHeight="1" x14ac:dyDescent="0.45">
      <c r="A203" s="17">
        <v>9038124190</v>
      </c>
      <c r="B203" s="471" t="s">
        <v>1145</v>
      </c>
      <c r="C203" s="42">
        <v>3</v>
      </c>
      <c r="D203" s="1">
        <v>31</v>
      </c>
      <c r="E203" s="1"/>
      <c r="F203" s="1"/>
      <c r="G203" s="60">
        <f t="shared" si="5"/>
        <v>11.612903225806452</v>
      </c>
      <c r="H203" s="701"/>
      <c r="I203" s="24"/>
      <c r="J203" s="24"/>
      <c r="K203" s="24"/>
      <c r="L203" s="24"/>
      <c r="M203" s="24"/>
      <c r="N203" s="24"/>
      <c r="O203" s="24"/>
      <c r="P203" s="24"/>
      <c r="Q203" s="24"/>
    </row>
    <row r="204" spans="1:17" ht="15.75" customHeight="1" x14ac:dyDescent="0.45">
      <c r="A204" s="17">
        <v>7476108190</v>
      </c>
      <c r="B204" s="471" t="s">
        <v>603</v>
      </c>
      <c r="C204" s="42">
        <v>2</v>
      </c>
      <c r="D204" s="1">
        <v>31</v>
      </c>
      <c r="E204" s="1"/>
      <c r="F204" s="1"/>
      <c r="G204" s="60">
        <f t="shared" si="5"/>
        <v>11.612903225806452</v>
      </c>
      <c r="H204" s="701"/>
      <c r="I204" s="24"/>
      <c r="J204" s="24"/>
      <c r="K204" s="24"/>
      <c r="L204" s="24"/>
      <c r="M204" s="24"/>
      <c r="N204" s="24"/>
      <c r="O204" s="24"/>
      <c r="P204" s="24"/>
      <c r="Q204" s="24"/>
    </row>
    <row r="205" spans="1:17" ht="15.75" customHeight="1" x14ac:dyDescent="0.45">
      <c r="A205" s="25">
        <v>6924107190</v>
      </c>
      <c r="B205" s="25" t="s">
        <v>608</v>
      </c>
      <c r="C205" s="42">
        <v>2</v>
      </c>
      <c r="D205" s="1">
        <v>84</v>
      </c>
      <c r="E205" s="1"/>
      <c r="F205" s="1"/>
      <c r="G205" s="60">
        <f t="shared" si="5"/>
        <v>4.2857142857142856</v>
      </c>
      <c r="H205" s="701"/>
      <c r="I205" s="24"/>
      <c r="J205" s="24"/>
      <c r="K205" s="24"/>
      <c r="L205" s="24"/>
      <c r="M205" s="24"/>
      <c r="N205" s="24"/>
      <c r="O205" s="24"/>
      <c r="P205" s="24"/>
      <c r="Q205" s="24"/>
    </row>
    <row r="206" spans="1:17" ht="15.75" customHeight="1" x14ac:dyDescent="0.45">
      <c r="A206" s="25">
        <v>8335923190</v>
      </c>
      <c r="B206" s="25" t="s">
        <v>582</v>
      </c>
      <c r="C206" s="42">
        <v>5</v>
      </c>
      <c r="D206" s="1">
        <v>56</v>
      </c>
      <c r="E206" s="1"/>
      <c r="F206" s="1"/>
      <c r="G206" s="60">
        <f t="shared" si="5"/>
        <v>6.4285714285714288</v>
      </c>
      <c r="H206" s="701"/>
      <c r="I206" s="24"/>
      <c r="J206" s="24"/>
      <c r="K206" s="24"/>
      <c r="L206" s="24"/>
      <c r="M206" s="24"/>
      <c r="N206" s="24"/>
      <c r="O206" s="24"/>
      <c r="P206" s="24"/>
      <c r="Q206" s="24"/>
    </row>
    <row r="207" spans="1:17" ht="15.75" customHeight="1" x14ac:dyDescent="0.45">
      <c r="A207" s="25">
        <v>8086672190</v>
      </c>
      <c r="B207" s="25" t="s">
        <v>1146</v>
      </c>
      <c r="C207" s="42">
        <v>8</v>
      </c>
      <c r="D207" s="1">
        <v>56</v>
      </c>
      <c r="E207" s="1"/>
      <c r="F207" s="1"/>
      <c r="G207" s="60">
        <f t="shared" si="5"/>
        <v>6.4285714285714288</v>
      </c>
      <c r="H207" s="701"/>
      <c r="I207" s="24"/>
      <c r="J207" s="24"/>
      <c r="K207" s="24"/>
      <c r="L207" s="24"/>
      <c r="M207" s="24"/>
      <c r="N207" s="24"/>
      <c r="O207" s="24"/>
      <c r="P207" s="24"/>
      <c r="Q207" s="24"/>
    </row>
    <row r="208" spans="1:17" ht="15.75" customHeight="1" x14ac:dyDescent="0.45">
      <c r="A208" s="25">
        <v>11876368122</v>
      </c>
      <c r="B208" s="25" t="s">
        <v>588</v>
      </c>
      <c r="C208" s="42">
        <v>8</v>
      </c>
      <c r="D208" s="1">
        <v>56</v>
      </c>
      <c r="E208" s="1"/>
      <c r="F208" s="1"/>
      <c r="G208" s="60">
        <f t="shared" si="5"/>
        <v>6.4285714285714288</v>
      </c>
      <c r="H208" s="701"/>
      <c r="I208" s="24"/>
      <c r="J208" s="24"/>
      <c r="K208" s="24"/>
      <c r="L208" s="24"/>
      <c r="M208" s="24"/>
      <c r="N208" s="24"/>
      <c r="O208" s="24"/>
      <c r="P208" s="24"/>
      <c r="Q208" s="24"/>
    </row>
    <row r="209" spans="1:17" ht="15.75" customHeight="1" x14ac:dyDescent="0.45">
      <c r="A209" s="25">
        <v>4687876190</v>
      </c>
      <c r="B209" s="25" t="s">
        <v>1147</v>
      </c>
      <c r="C209" s="42">
        <v>8</v>
      </c>
      <c r="D209" s="1">
        <v>56</v>
      </c>
      <c r="E209" s="1"/>
      <c r="F209" s="1"/>
      <c r="G209" s="60">
        <f t="shared" si="5"/>
        <v>6.4285714285714288</v>
      </c>
      <c r="H209" s="701"/>
      <c r="I209" s="24"/>
      <c r="J209" s="24"/>
      <c r="K209" s="24"/>
      <c r="L209" s="24"/>
      <c r="M209" s="24"/>
      <c r="N209" s="24"/>
      <c r="O209" s="24"/>
      <c r="P209" s="24"/>
      <c r="Q209" s="24"/>
    </row>
    <row r="210" spans="1:17" ht="15.75" customHeight="1" x14ac:dyDescent="0.45">
      <c r="A210" s="25">
        <v>11876317122</v>
      </c>
      <c r="B210" s="25" t="s">
        <v>593</v>
      </c>
      <c r="C210" s="42">
        <v>8</v>
      </c>
      <c r="D210" s="1">
        <v>56</v>
      </c>
      <c r="E210" s="1"/>
      <c r="F210" s="1"/>
      <c r="G210" s="60">
        <f t="shared" si="5"/>
        <v>6.4285714285714288</v>
      </c>
      <c r="H210" s="701"/>
      <c r="I210" s="24"/>
      <c r="J210" s="24"/>
      <c r="K210" s="24"/>
      <c r="L210" s="24"/>
      <c r="M210" s="24"/>
      <c r="N210" s="24"/>
      <c r="O210" s="24"/>
      <c r="P210" s="24"/>
      <c r="Q210" s="24"/>
    </row>
    <row r="211" spans="1:17" ht="15.75" customHeight="1" x14ac:dyDescent="0.45">
      <c r="A211" s="25">
        <v>11876376122</v>
      </c>
      <c r="B211" s="25" t="s">
        <v>604</v>
      </c>
      <c r="C211" s="42">
        <v>8</v>
      </c>
      <c r="D211" s="1">
        <v>56</v>
      </c>
      <c r="E211" s="1"/>
      <c r="F211" s="1"/>
      <c r="G211" s="60">
        <f t="shared" si="5"/>
        <v>6.4285714285714288</v>
      </c>
      <c r="H211" s="701"/>
      <c r="I211" s="24"/>
      <c r="J211" s="24"/>
      <c r="K211" s="24"/>
      <c r="L211" s="24"/>
      <c r="M211" s="24"/>
      <c r="N211" s="24"/>
      <c r="O211" s="24"/>
      <c r="P211" s="24"/>
      <c r="Q211" s="24"/>
    </row>
    <row r="212" spans="1:17" ht="15.75" customHeight="1" x14ac:dyDescent="0.45">
      <c r="A212" s="25">
        <v>11876384122</v>
      </c>
      <c r="B212" s="25" t="s">
        <v>592</v>
      </c>
      <c r="C212" s="42">
        <v>8</v>
      </c>
      <c r="D212" s="1">
        <v>56</v>
      </c>
      <c r="E212" s="1"/>
      <c r="F212" s="1"/>
      <c r="G212" s="60">
        <f t="shared" si="5"/>
        <v>6.4285714285714288</v>
      </c>
      <c r="H212" s="701"/>
      <c r="I212" s="24"/>
      <c r="J212" s="24"/>
      <c r="K212" s="24"/>
      <c r="L212" s="24"/>
      <c r="M212" s="24"/>
      <c r="N212" s="24"/>
      <c r="O212" s="24"/>
      <c r="P212" s="24"/>
      <c r="Q212" s="24"/>
    </row>
    <row r="213" spans="1:17" ht="15.75" customHeight="1" x14ac:dyDescent="0.45">
      <c r="A213" s="25">
        <v>4927931190</v>
      </c>
      <c r="B213" s="25" t="s">
        <v>1148</v>
      </c>
      <c r="C213" s="42">
        <v>8</v>
      </c>
      <c r="D213" s="1">
        <v>56</v>
      </c>
      <c r="E213" s="1"/>
      <c r="F213" s="1"/>
      <c r="G213" s="60">
        <f t="shared" si="5"/>
        <v>6.4285714285714288</v>
      </c>
      <c r="H213" s="701"/>
      <c r="I213" s="24"/>
      <c r="J213" s="24"/>
      <c r="K213" s="24"/>
      <c r="L213" s="24"/>
      <c r="M213" s="24"/>
      <c r="N213" s="24"/>
      <c r="O213" s="24"/>
      <c r="P213" s="24"/>
      <c r="Q213" s="24"/>
    </row>
    <row r="214" spans="1:17" ht="15.75" customHeight="1" x14ac:dyDescent="0.45">
      <c r="A214" s="25">
        <v>11876333122</v>
      </c>
      <c r="B214" s="25" t="s">
        <v>590</v>
      </c>
      <c r="C214" s="42">
        <v>8</v>
      </c>
      <c r="D214" s="1">
        <v>56</v>
      </c>
      <c r="E214" s="1"/>
      <c r="F214" s="1"/>
      <c r="G214" s="60">
        <f t="shared" si="5"/>
        <v>6.4285714285714288</v>
      </c>
      <c r="H214" s="701"/>
      <c r="I214" s="24"/>
      <c r="J214" s="24"/>
      <c r="K214" s="24"/>
      <c r="L214" s="24"/>
      <c r="M214" s="24"/>
      <c r="N214" s="24"/>
      <c r="O214" s="24"/>
      <c r="P214" s="24"/>
      <c r="Q214" s="24"/>
    </row>
    <row r="215" spans="1:17" ht="15.75" customHeight="1" x14ac:dyDescent="0.45">
      <c r="A215" s="25">
        <v>3290379190</v>
      </c>
      <c r="B215" s="25" t="s">
        <v>594</v>
      </c>
      <c r="C215" s="42">
        <v>8</v>
      </c>
      <c r="D215" s="1">
        <v>56</v>
      </c>
      <c r="E215" s="1"/>
      <c r="F215" s="1"/>
      <c r="G215" s="60">
        <f t="shared" si="5"/>
        <v>6.4285714285714288</v>
      </c>
      <c r="H215" s="701"/>
      <c r="I215" s="24"/>
      <c r="J215" s="24"/>
      <c r="K215" s="24"/>
      <c r="L215" s="24"/>
      <c r="M215" s="24"/>
      <c r="N215" s="24"/>
      <c r="O215" s="24"/>
      <c r="P215" s="24"/>
      <c r="Q215" s="24"/>
    </row>
    <row r="216" spans="1:17" ht="15.75" customHeight="1" x14ac:dyDescent="0.45">
      <c r="A216" s="470">
        <v>4618807190</v>
      </c>
      <c r="B216" s="490" t="s">
        <v>615</v>
      </c>
      <c r="C216" s="42">
        <v>8</v>
      </c>
      <c r="D216" s="1">
        <v>56</v>
      </c>
      <c r="E216" s="1"/>
      <c r="F216" s="1"/>
      <c r="G216" s="60">
        <f t="shared" si="5"/>
        <v>6.4285714285714288</v>
      </c>
      <c r="H216" s="701"/>
      <c r="I216" s="24"/>
      <c r="J216" s="24"/>
      <c r="K216" s="24"/>
      <c r="L216" s="24"/>
      <c r="M216" s="24"/>
      <c r="N216" s="24"/>
      <c r="O216" s="24"/>
      <c r="P216" s="24"/>
      <c r="Q216" s="24"/>
    </row>
    <row r="217" spans="1:17" ht="15.75" customHeight="1" x14ac:dyDescent="0.45">
      <c r="A217" s="470">
        <v>9787518190</v>
      </c>
      <c r="B217" s="490" t="s">
        <v>616</v>
      </c>
      <c r="C217" s="42">
        <v>4</v>
      </c>
      <c r="D217" s="1">
        <v>56</v>
      </c>
      <c r="E217" s="1"/>
      <c r="F217" s="1"/>
      <c r="G217" s="60">
        <f t="shared" si="5"/>
        <v>6.4285714285714288</v>
      </c>
      <c r="H217" s="701"/>
      <c r="I217" s="24"/>
      <c r="J217" s="24"/>
      <c r="K217" s="24"/>
      <c r="L217" s="24"/>
      <c r="M217" s="24"/>
      <c r="N217" s="24"/>
      <c r="O217" s="24"/>
      <c r="P217" s="24"/>
      <c r="Q217" s="24"/>
    </row>
    <row r="218" spans="1:17" ht="15.75" customHeight="1" x14ac:dyDescent="0.45">
      <c r="A218" s="470">
        <v>4618823190</v>
      </c>
      <c r="B218" s="490" t="s">
        <v>1149</v>
      </c>
      <c r="C218" s="42">
        <v>8</v>
      </c>
      <c r="D218" s="1">
        <v>56</v>
      </c>
      <c r="E218" s="1"/>
      <c r="F218" s="1"/>
      <c r="G218" s="60">
        <f t="shared" si="5"/>
        <v>6.4285714285714288</v>
      </c>
      <c r="H218" s="701"/>
      <c r="I218" s="24"/>
      <c r="J218" s="24"/>
      <c r="K218" s="24"/>
      <c r="L218" s="24"/>
      <c r="M218" s="24"/>
      <c r="N218" s="24"/>
      <c r="O218" s="24"/>
      <c r="P218" s="24"/>
      <c r="Q218" s="24"/>
    </row>
    <row r="219" spans="1:17" ht="15.75" customHeight="1" x14ac:dyDescent="0.45">
      <c r="A219" s="470">
        <v>5802580190</v>
      </c>
      <c r="B219" s="490" t="s">
        <v>621</v>
      </c>
      <c r="C219" s="42">
        <v>3</v>
      </c>
      <c r="D219" s="1">
        <v>56</v>
      </c>
      <c r="E219" s="1"/>
      <c r="F219" s="1"/>
      <c r="G219" s="60">
        <f t="shared" si="5"/>
        <v>6.4285714285714288</v>
      </c>
      <c r="H219" s="701"/>
      <c r="I219" s="24"/>
      <c r="J219" s="24"/>
      <c r="K219" s="24"/>
      <c r="L219" s="24"/>
      <c r="M219" s="24"/>
      <c r="N219" s="24"/>
      <c r="O219" s="24"/>
      <c r="P219" s="24"/>
      <c r="Q219" s="24"/>
    </row>
    <row r="220" spans="1:17" ht="15.75" customHeight="1" x14ac:dyDescent="0.45">
      <c r="A220" s="470">
        <v>4618866190</v>
      </c>
      <c r="B220" s="490" t="s">
        <v>622</v>
      </c>
      <c r="C220" s="42">
        <v>8</v>
      </c>
      <c r="D220" s="1">
        <v>56</v>
      </c>
      <c r="E220" s="1"/>
      <c r="F220" s="1"/>
      <c r="G220" s="60">
        <f t="shared" si="5"/>
        <v>6.4285714285714288</v>
      </c>
      <c r="H220" s="701"/>
      <c r="I220" s="24"/>
      <c r="J220" s="24"/>
      <c r="K220" s="24"/>
      <c r="L220" s="24"/>
      <c r="M220" s="24"/>
      <c r="N220" s="24"/>
      <c r="O220" s="24"/>
      <c r="P220" s="24"/>
      <c r="Q220" s="24"/>
    </row>
    <row r="221" spans="1:17" ht="15.75" customHeight="1" x14ac:dyDescent="0.45">
      <c r="A221" s="470">
        <v>4784600190</v>
      </c>
      <c r="B221" s="490" t="s">
        <v>598</v>
      </c>
      <c r="C221" s="42">
        <v>8</v>
      </c>
      <c r="D221" s="1">
        <v>56</v>
      </c>
      <c r="E221" s="1"/>
      <c r="F221" s="1"/>
      <c r="G221" s="60">
        <f t="shared" si="5"/>
        <v>6.4285714285714288</v>
      </c>
      <c r="H221" s="701"/>
      <c r="I221" s="24"/>
      <c r="J221" s="24"/>
      <c r="K221" s="24"/>
      <c r="L221" s="24"/>
      <c r="M221" s="24"/>
      <c r="N221" s="24"/>
      <c r="O221" s="24"/>
      <c r="P221" s="24"/>
      <c r="Q221" s="24"/>
    </row>
    <row r="222" spans="1:17" ht="15.75" customHeight="1" x14ac:dyDescent="0.45">
      <c r="A222" s="470">
        <v>5942322190</v>
      </c>
      <c r="B222" s="490" t="s">
        <v>581</v>
      </c>
      <c r="C222" s="42">
        <v>3</v>
      </c>
      <c r="D222" s="1">
        <v>84</v>
      </c>
      <c r="E222" s="1"/>
      <c r="F222" s="1"/>
      <c r="G222" s="60">
        <f t="shared" si="5"/>
        <v>4.2857142857142856</v>
      </c>
      <c r="H222" s="701"/>
      <c r="I222" s="24"/>
      <c r="J222" s="24"/>
      <c r="K222" s="24"/>
      <c r="L222" s="24"/>
      <c r="M222" s="24"/>
      <c r="N222" s="24"/>
      <c r="O222" s="24"/>
      <c r="P222" s="24"/>
      <c r="Q222" s="24"/>
    </row>
    <row r="223" spans="1:17" ht="15.75" customHeight="1" x14ac:dyDescent="0.45">
      <c r="A223" s="470">
        <v>4784626190</v>
      </c>
      <c r="B223" s="490" t="s">
        <v>599</v>
      </c>
      <c r="C223" s="42">
        <v>8</v>
      </c>
      <c r="D223" s="1">
        <v>56</v>
      </c>
      <c r="E223" s="1"/>
      <c r="F223" s="1"/>
      <c r="G223" s="60">
        <f t="shared" si="5"/>
        <v>6.4285714285714288</v>
      </c>
      <c r="H223" s="701"/>
      <c r="I223" s="24"/>
      <c r="J223" s="24"/>
      <c r="K223" s="24"/>
      <c r="L223" s="24"/>
      <c r="M223" s="24"/>
      <c r="N223" s="24"/>
      <c r="O223" s="24"/>
      <c r="P223" s="24"/>
      <c r="Q223" s="24"/>
    </row>
    <row r="224" spans="1:17" ht="15.75" customHeight="1" x14ac:dyDescent="0.45">
      <c r="A224" s="470">
        <v>5572207190</v>
      </c>
      <c r="B224" s="490" t="s">
        <v>1150</v>
      </c>
      <c r="C224" s="42">
        <v>2</v>
      </c>
      <c r="D224" s="1">
        <v>28</v>
      </c>
      <c r="E224" s="1"/>
      <c r="F224" s="1"/>
      <c r="G224" s="60">
        <f t="shared" si="5"/>
        <v>12.857142857142858</v>
      </c>
      <c r="H224" s="701"/>
      <c r="I224" s="24"/>
      <c r="J224" s="24"/>
      <c r="K224" s="24"/>
      <c r="L224" s="24"/>
      <c r="M224" s="24"/>
      <c r="N224" s="24"/>
      <c r="O224" s="24"/>
      <c r="P224" s="24"/>
      <c r="Q224" s="24"/>
    </row>
    <row r="225" spans="1:17" ht="15.75" customHeight="1" x14ac:dyDescent="0.45">
      <c r="A225" s="470">
        <v>8355428190</v>
      </c>
      <c r="B225" s="490" t="s">
        <v>601</v>
      </c>
      <c r="C225" s="42">
        <v>2</v>
      </c>
      <c r="D225" s="1">
        <v>112</v>
      </c>
      <c r="E225" s="1"/>
      <c r="F225" s="1"/>
      <c r="G225" s="60">
        <f t="shared" si="5"/>
        <v>3.2142857142857144</v>
      </c>
      <c r="H225" s="701"/>
      <c r="I225" s="24"/>
      <c r="J225" s="24"/>
      <c r="K225" s="24"/>
      <c r="L225" s="24"/>
      <c r="M225" s="24"/>
      <c r="N225" s="24"/>
      <c r="O225" s="24"/>
      <c r="P225" s="24"/>
      <c r="Q225" s="24"/>
    </row>
    <row r="226" spans="1:17" ht="15.75" customHeight="1" x14ac:dyDescent="0.45">
      <c r="A226" s="470">
        <v>8355436190</v>
      </c>
      <c r="B226" s="490" t="s">
        <v>1151</v>
      </c>
      <c r="C226" s="42">
        <v>4</v>
      </c>
      <c r="D226" s="1">
        <v>112</v>
      </c>
      <c r="E226" s="1"/>
      <c r="F226" s="1"/>
      <c r="G226" s="60">
        <f t="shared" si="5"/>
        <v>3.2142857142857144</v>
      </c>
      <c r="H226" s="701"/>
      <c r="I226" s="24"/>
      <c r="J226" s="24"/>
      <c r="K226" s="24"/>
      <c r="L226" s="24"/>
      <c r="M226" s="24"/>
      <c r="N226" s="24"/>
      <c r="O226" s="24"/>
      <c r="P226" s="24"/>
      <c r="Q226" s="24"/>
    </row>
    <row r="227" spans="1:17" ht="15.75" customHeight="1" x14ac:dyDescent="0.45">
      <c r="A227" s="470">
        <v>7108133190</v>
      </c>
      <c r="B227" s="490" t="s">
        <v>610</v>
      </c>
      <c r="C227" s="42">
        <v>2</v>
      </c>
      <c r="D227" s="1">
        <v>84</v>
      </c>
      <c r="E227" s="1"/>
      <c r="F227" s="1"/>
      <c r="G227" s="60">
        <f t="shared" si="5"/>
        <v>4.2857142857142856</v>
      </c>
      <c r="H227" s="701"/>
      <c r="I227" s="24"/>
      <c r="J227" s="24"/>
      <c r="K227" s="24"/>
      <c r="L227" s="24"/>
      <c r="M227" s="24"/>
      <c r="N227" s="24"/>
      <c r="O227" s="24"/>
      <c r="P227" s="24"/>
      <c r="Q227" s="24"/>
    </row>
    <row r="228" spans="1:17" ht="15.75" customHeight="1" x14ac:dyDescent="0.45">
      <c r="A228" s="470">
        <v>6923364190</v>
      </c>
      <c r="B228" s="490" t="s">
        <v>618</v>
      </c>
      <c r="C228" s="42">
        <v>2</v>
      </c>
      <c r="D228" s="1">
        <v>168</v>
      </c>
      <c r="E228" s="1"/>
      <c r="F228" s="1"/>
      <c r="G228" s="60">
        <f t="shared" si="5"/>
        <v>2.1428571428571428</v>
      </c>
      <c r="H228" s="701"/>
      <c r="I228" s="24"/>
      <c r="J228" s="24"/>
      <c r="K228" s="24"/>
      <c r="L228" s="24"/>
      <c r="M228" s="24"/>
      <c r="N228" s="24"/>
      <c r="O228" s="24"/>
      <c r="P228" s="24"/>
      <c r="Q228" s="24"/>
    </row>
    <row r="229" spans="1:17" ht="15.75" customHeight="1" x14ac:dyDescent="0.45">
      <c r="A229" s="470">
        <v>7092571190</v>
      </c>
      <c r="B229" s="490" t="s">
        <v>597</v>
      </c>
      <c r="C229" s="42">
        <v>8</v>
      </c>
      <c r="D229" s="1">
        <v>28</v>
      </c>
      <c r="E229" s="1"/>
      <c r="F229" s="1"/>
      <c r="G229" s="60">
        <f t="shared" si="5"/>
        <v>12.857142857142858</v>
      </c>
      <c r="H229" s="701"/>
      <c r="I229" s="24"/>
      <c r="J229" s="24"/>
      <c r="K229" s="24"/>
      <c r="L229" s="24"/>
      <c r="M229" s="24"/>
      <c r="N229" s="24"/>
      <c r="O229" s="24"/>
      <c r="P229" s="24"/>
      <c r="Q229" s="24"/>
    </row>
    <row r="230" spans="1:17" ht="15.75" customHeight="1" x14ac:dyDescent="0.45">
      <c r="A230" s="470">
        <v>9216928190</v>
      </c>
      <c r="B230" s="490" t="s">
        <v>595</v>
      </c>
      <c r="C230" s="42">
        <v>2</v>
      </c>
      <c r="D230" s="1">
        <v>28</v>
      </c>
      <c r="E230" s="1"/>
      <c r="F230" s="1"/>
      <c r="G230" s="60">
        <f t="shared" si="5"/>
        <v>12.857142857142858</v>
      </c>
      <c r="H230" s="701"/>
      <c r="I230" s="24"/>
      <c r="J230" s="24"/>
      <c r="K230" s="24"/>
      <c r="L230" s="24"/>
      <c r="M230" s="24"/>
      <c r="N230" s="24"/>
      <c r="O230" s="24"/>
      <c r="P230" s="24"/>
      <c r="Q230" s="24"/>
    </row>
    <row r="231" spans="1:17" ht="15.75" customHeight="1" x14ac:dyDescent="0.45">
      <c r="A231" s="470">
        <v>9289313190</v>
      </c>
      <c r="B231" s="490" t="s">
        <v>595</v>
      </c>
      <c r="C231" s="42">
        <v>2</v>
      </c>
      <c r="D231" s="1">
        <v>84</v>
      </c>
      <c r="E231" s="1"/>
      <c r="F231" s="1"/>
      <c r="G231" s="60">
        <f t="shared" si="5"/>
        <v>4.2857142857142856</v>
      </c>
      <c r="H231" s="701"/>
      <c r="I231" s="24"/>
      <c r="J231" s="24"/>
      <c r="K231" s="24"/>
      <c r="L231" s="24"/>
      <c r="M231" s="24"/>
      <c r="N231" s="24"/>
      <c r="O231" s="24"/>
      <c r="P231" s="24"/>
      <c r="Q231" s="24"/>
    </row>
    <row r="232" spans="1:17" ht="15.75" customHeight="1" x14ac:dyDescent="0.45">
      <c r="A232" s="470">
        <v>9345302190</v>
      </c>
      <c r="B232" s="490" t="s">
        <v>617</v>
      </c>
      <c r="C232" s="42">
        <v>3</v>
      </c>
      <c r="D232" s="1">
        <v>21</v>
      </c>
      <c r="E232" s="1"/>
      <c r="F232" s="1"/>
      <c r="G232" s="60">
        <f t="shared" si="5"/>
        <v>17.142857142857142</v>
      </c>
      <c r="H232" s="701"/>
      <c r="I232" s="24"/>
      <c r="J232" s="24"/>
      <c r="K232" s="24"/>
      <c r="L232" s="24"/>
      <c r="M232" s="24"/>
      <c r="N232" s="24"/>
      <c r="O232" s="24"/>
      <c r="P232" s="24"/>
      <c r="Q232" s="24"/>
    </row>
    <row r="233" spans="1:17" ht="15.75" customHeight="1" x14ac:dyDescent="0.45">
      <c r="A233" s="470">
        <v>5889081190</v>
      </c>
      <c r="B233" s="490" t="s">
        <v>611</v>
      </c>
      <c r="C233" s="42">
        <v>1</v>
      </c>
      <c r="D233" s="1">
        <v>28</v>
      </c>
      <c r="E233" s="1"/>
      <c r="F233" s="1"/>
      <c r="G233" s="60">
        <f t="shared" si="5"/>
        <v>12.857142857142858</v>
      </c>
      <c r="H233" s="701"/>
      <c r="I233" s="24"/>
      <c r="J233" s="24"/>
      <c r="K233" s="24"/>
      <c r="L233" s="24"/>
      <c r="M233" s="24"/>
      <c r="N233" s="24"/>
      <c r="O233" s="24"/>
      <c r="P233" s="24"/>
      <c r="Q233" s="24"/>
    </row>
    <row r="234" spans="1:17" ht="15.75" customHeight="1" x14ac:dyDescent="0.45">
      <c r="A234" s="470">
        <v>7294131190</v>
      </c>
      <c r="B234" s="490" t="s">
        <v>602</v>
      </c>
      <c r="C234" s="42">
        <v>1</v>
      </c>
      <c r="D234" s="1">
        <v>28</v>
      </c>
      <c r="E234" s="1"/>
      <c r="F234" s="1"/>
      <c r="G234" s="60">
        <f t="shared" si="5"/>
        <v>12.857142857142858</v>
      </c>
      <c r="H234" s="701"/>
      <c r="I234" s="24"/>
      <c r="J234" s="24"/>
      <c r="K234" s="24"/>
      <c r="L234" s="24"/>
      <c r="M234" s="24"/>
      <c r="N234" s="24"/>
      <c r="O234" s="24"/>
      <c r="P234" s="24"/>
      <c r="Q234" s="24"/>
    </row>
    <row r="235" spans="1:17" ht="15.75" customHeight="1" x14ac:dyDescent="0.45">
      <c r="A235" s="587" t="s">
        <v>8</v>
      </c>
      <c r="B235" s="588"/>
      <c r="C235" s="589" t="s">
        <v>1082</v>
      </c>
      <c r="D235" s="698" t="s">
        <v>54</v>
      </c>
      <c r="E235" s="481"/>
      <c r="F235" s="482" t="s">
        <v>53</v>
      </c>
      <c r="G235" s="512" t="s">
        <v>52</v>
      </c>
      <c r="H235" s="512" t="s">
        <v>51</v>
      </c>
      <c r="I235" s="24"/>
      <c r="J235" s="24"/>
      <c r="K235" s="24"/>
      <c r="L235" s="24"/>
      <c r="M235" s="24"/>
      <c r="N235" s="24"/>
      <c r="O235" s="24"/>
      <c r="P235" s="24"/>
      <c r="Q235" s="24"/>
    </row>
    <row r="236" spans="1:17" ht="15.75" customHeight="1" x14ac:dyDescent="0.45">
      <c r="A236" s="471">
        <v>5694302001</v>
      </c>
      <c r="B236" s="471" t="s">
        <v>1052</v>
      </c>
      <c r="C236" s="1">
        <v>1</v>
      </c>
      <c r="D236" s="1">
        <v>365</v>
      </c>
      <c r="E236" s="1"/>
      <c r="F236" s="1"/>
      <c r="G236" s="60">
        <f t="shared" si="5"/>
        <v>0.98630136986301364</v>
      </c>
      <c r="H236" s="701">
        <f t="shared" ref="H236:H245" si="6">IF(G236&gt;F236,G236,F236)</f>
        <v>0.98630136986301364</v>
      </c>
      <c r="I236" s="24"/>
      <c r="J236" s="24"/>
      <c r="K236" s="24"/>
      <c r="L236" s="24"/>
      <c r="M236" s="24"/>
      <c r="N236" s="24"/>
      <c r="O236" s="24"/>
      <c r="P236" s="24"/>
      <c r="Q236" s="24"/>
    </row>
    <row r="237" spans="1:17" ht="15.75" customHeight="1" x14ac:dyDescent="0.45">
      <c r="A237" s="471">
        <v>7299010190</v>
      </c>
      <c r="B237" s="471" t="s">
        <v>1053</v>
      </c>
      <c r="C237" s="42">
        <v>1</v>
      </c>
      <c r="D237" s="1">
        <v>112</v>
      </c>
      <c r="E237" s="1"/>
      <c r="F237" s="1"/>
      <c r="G237" s="60">
        <f t="shared" si="5"/>
        <v>3.2142857142857144</v>
      </c>
      <c r="H237" s="701">
        <f t="shared" si="6"/>
        <v>3.2142857142857144</v>
      </c>
      <c r="I237" s="24"/>
      <c r="J237" s="24"/>
      <c r="K237" s="24"/>
      <c r="L237" s="24"/>
      <c r="M237" s="24"/>
      <c r="N237" s="24"/>
      <c r="O237" s="24"/>
      <c r="P237" s="24"/>
      <c r="Q237" s="24"/>
    </row>
    <row r="238" spans="1:17" ht="15.75" customHeight="1" x14ac:dyDescent="0.45">
      <c r="A238" s="471">
        <v>7299001190</v>
      </c>
      <c r="B238" s="471" t="s">
        <v>1054</v>
      </c>
      <c r="C238" s="42">
        <v>1</v>
      </c>
      <c r="D238" s="1">
        <v>112</v>
      </c>
      <c r="E238" s="1"/>
      <c r="F238" s="1"/>
      <c r="G238" s="60">
        <f t="shared" si="5"/>
        <v>3.2142857142857144</v>
      </c>
      <c r="H238" s="701">
        <f t="shared" si="6"/>
        <v>3.2142857142857144</v>
      </c>
      <c r="I238" s="24"/>
      <c r="J238" s="24"/>
      <c r="K238" s="24"/>
      <c r="L238" s="24"/>
      <c r="M238" s="24"/>
      <c r="N238" s="24"/>
      <c r="O238" s="24"/>
      <c r="P238" s="24"/>
      <c r="Q238" s="24"/>
    </row>
    <row r="239" spans="1:17" ht="15.75" customHeight="1" x14ac:dyDescent="0.45">
      <c r="A239" s="25">
        <v>9762582190</v>
      </c>
      <c r="B239" s="471" t="s">
        <v>1055</v>
      </c>
      <c r="C239" s="42">
        <v>1</v>
      </c>
      <c r="D239" s="1">
        <v>28</v>
      </c>
      <c r="E239" s="1"/>
      <c r="F239" s="1"/>
      <c r="G239" s="60">
        <f t="shared" si="5"/>
        <v>12.857142857142858</v>
      </c>
      <c r="H239" s="701">
        <f t="shared" si="6"/>
        <v>12.857142857142858</v>
      </c>
      <c r="I239" s="24"/>
      <c r="J239" s="24"/>
      <c r="K239" s="24"/>
      <c r="L239" s="24"/>
      <c r="M239" s="24"/>
      <c r="N239" s="24"/>
      <c r="O239" s="24"/>
      <c r="P239" s="24"/>
      <c r="Q239" s="24"/>
    </row>
    <row r="240" spans="1:17" ht="15.75" customHeight="1" x14ac:dyDescent="0.45">
      <c r="A240" s="471">
        <v>6908853190</v>
      </c>
      <c r="B240" s="471" t="s">
        <v>1088</v>
      </c>
      <c r="C240" s="42">
        <v>2</v>
      </c>
      <c r="D240" s="1">
        <v>28</v>
      </c>
      <c r="E240" s="1"/>
      <c r="F240" s="1"/>
      <c r="G240" s="60">
        <f t="shared" si="5"/>
        <v>12.857142857142858</v>
      </c>
      <c r="H240" s="701">
        <f t="shared" si="6"/>
        <v>12.857142857142858</v>
      </c>
      <c r="I240" s="24"/>
      <c r="J240" s="24"/>
      <c r="K240" s="24"/>
      <c r="L240" s="24"/>
      <c r="M240" s="24"/>
      <c r="N240" s="24"/>
      <c r="O240" s="24"/>
      <c r="P240" s="24"/>
      <c r="Q240" s="24"/>
    </row>
    <row r="241" spans="1:17" ht="15.75" customHeight="1" x14ac:dyDescent="0.45">
      <c r="A241" s="471">
        <v>6908853190</v>
      </c>
      <c r="B241" s="471" t="s">
        <v>1089</v>
      </c>
      <c r="C241" s="42">
        <v>2</v>
      </c>
      <c r="D241" s="1">
        <v>28</v>
      </c>
      <c r="E241" s="1"/>
      <c r="F241" s="1"/>
      <c r="G241" s="60">
        <f t="shared" si="5"/>
        <v>12.857142857142858</v>
      </c>
      <c r="H241" s="701">
        <f t="shared" si="6"/>
        <v>12.857142857142858</v>
      </c>
      <c r="I241" s="24"/>
      <c r="J241" s="24"/>
      <c r="K241" s="24"/>
      <c r="L241" s="24"/>
      <c r="M241" s="24"/>
      <c r="N241" s="24"/>
      <c r="O241" s="24"/>
      <c r="P241" s="24"/>
      <c r="Q241" s="24"/>
    </row>
    <row r="242" spans="1:17" ht="15.75" customHeight="1" x14ac:dyDescent="0.45">
      <c r="A242" s="471">
        <v>4880293190</v>
      </c>
      <c r="B242" s="471" t="s">
        <v>1090</v>
      </c>
      <c r="C242" s="42">
        <v>2</v>
      </c>
      <c r="D242" s="1">
        <v>21</v>
      </c>
      <c r="E242" s="1"/>
      <c r="F242" s="1"/>
      <c r="G242" s="60">
        <f t="shared" si="5"/>
        <v>17.142857142857142</v>
      </c>
      <c r="H242" s="701">
        <f t="shared" si="6"/>
        <v>17.142857142857142</v>
      </c>
      <c r="I242" s="24"/>
      <c r="J242" s="24"/>
      <c r="K242" s="24"/>
      <c r="L242" s="24"/>
      <c r="M242" s="24"/>
      <c r="N242" s="24"/>
      <c r="O242" s="24"/>
      <c r="P242" s="24"/>
      <c r="Q242" s="24"/>
    </row>
    <row r="243" spans="1:17" ht="15.75" customHeight="1" x14ac:dyDescent="0.45">
      <c r="A243" s="471">
        <v>4880293190</v>
      </c>
      <c r="B243" s="471" t="s">
        <v>1091</v>
      </c>
      <c r="C243" s="42">
        <v>2</v>
      </c>
      <c r="D243" s="1">
        <v>21</v>
      </c>
      <c r="E243" s="1"/>
      <c r="F243" s="1"/>
      <c r="G243" s="60">
        <f t="shared" si="5"/>
        <v>17.142857142857142</v>
      </c>
      <c r="H243" s="701">
        <f t="shared" si="6"/>
        <v>17.142857142857142</v>
      </c>
      <c r="I243" s="24"/>
      <c r="J243" s="24"/>
      <c r="K243" s="24"/>
      <c r="L243" s="24"/>
      <c r="M243" s="24"/>
      <c r="N243" s="24"/>
      <c r="O243" s="24"/>
      <c r="P243" s="24"/>
      <c r="Q243" s="24"/>
    </row>
    <row r="244" spans="1:17" ht="15.75" customHeight="1" x14ac:dyDescent="0.45">
      <c r="A244" s="471">
        <v>6908799190</v>
      </c>
      <c r="B244" s="471" t="s">
        <v>1092</v>
      </c>
      <c r="C244" s="42">
        <v>2</v>
      </c>
      <c r="D244" s="1">
        <v>21</v>
      </c>
      <c r="E244" s="1"/>
      <c r="F244" s="1"/>
      <c r="G244" s="60">
        <f t="shared" ref="G244:G261" si="7">(360/D244)</f>
        <v>17.142857142857142</v>
      </c>
      <c r="H244" s="701">
        <f t="shared" si="6"/>
        <v>17.142857142857142</v>
      </c>
      <c r="I244" s="24"/>
      <c r="J244" s="24"/>
      <c r="K244" s="24"/>
      <c r="L244" s="24"/>
      <c r="M244" s="24"/>
      <c r="N244" s="24"/>
      <c r="O244" s="24"/>
      <c r="P244" s="24"/>
      <c r="Q244" s="24"/>
    </row>
    <row r="245" spans="1:17" ht="15.75" customHeight="1" x14ac:dyDescent="0.45">
      <c r="A245" s="471">
        <v>6908799190</v>
      </c>
      <c r="B245" s="471" t="s">
        <v>1093</v>
      </c>
      <c r="C245" s="42">
        <v>2</v>
      </c>
      <c r="D245" s="1">
        <v>21</v>
      </c>
      <c r="E245" s="1"/>
      <c r="F245" s="1"/>
      <c r="G245" s="60">
        <f t="shared" si="7"/>
        <v>17.142857142857142</v>
      </c>
      <c r="H245" s="701">
        <f t="shared" si="6"/>
        <v>17.142857142857142</v>
      </c>
      <c r="I245" s="24"/>
      <c r="J245" s="24"/>
      <c r="K245" s="24"/>
      <c r="L245" s="24"/>
      <c r="M245" s="24"/>
      <c r="N245" s="24"/>
      <c r="O245" s="24"/>
      <c r="P245" s="24"/>
      <c r="Q245" s="24"/>
    </row>
    <row r="246" spans="1:17" ht="15.75" customHeight="1" x14ac:dyDescent="0.45">
      <c r="A246" s="471">
        <v>7373066190</v>
      </c>
      <c r="B246" s="471" t="s">
        <v>1059</v>
      </c>
      <c r="C246" s="42">
        <v>1</v>
      </c>
      <c r="D246" s="1">
        <v>112</v>
      </c>
      <c r="E246" s="1"/>
      <c r="F246" s="1"/>
      <c r="G246" s="60">
        <f t="shared" si="7"/>
        <v>3.2142857142857144</v>
      </c>
      <c r="H246" s="701">
        <f t="shared" ref="H246:H261" si="8">IF(G246&gt;F246,G246,F246)</f>
        <v>3.2142857142857144</v>
      </c>
      <c r="I246" s="24"/>
      <c r="J246" s="24"/>
      <c r="K246" s="24"/>
      <c r="L246" s="24"/>
      <c r="M246" s="24"/>
      <c r="N246" s="24"/>
      <c r="O246" s="24"/>
      <c r="P246" s="24"/>
      <c r="Q246" s="24"/>
    </row>
    <row r="247" spans="1:17" ht="15.75" customHeight="1" x14ac:dyDescent="0.45">
      <c r="A247" s="471">
        <v>7372990190</v>
      </c>
      <c r="B247" s="471" t="s">
        <v>1060</v>
      </c>
      <c r="C247" s="42">
        <v>1</v>
      </c>
      <c r="D247" s="1">
        <v>112</v>
      </c>
      <c r="E247" s="1"/>
      <c r="F247" s="1"/>
      <c r="G247" s="60">
        <f t="shared" si="7"/>
        <v>3.2142857142857144</v>
      </c>
      <c r="H247" s="701">
        <f t="shared" si="8"/>
        <v>3.2142857142857144</v>
      </c>
      <c r="I247" s="24"/>
      <c r="J247" s="24"/>
      <c r="K247" s="24"/>
      <c r="L247" s="24"/>
      <c r="M247" s="24"/>
      <c r="N247" s="24"/>
      <c r="O247" s="24"/>
      <c r="P247" s="24"/>
      <c r="Q247" s="24"/>
    </row>
    <row r="248" spans="1:17" ht="15.75" customHeight="1" x14ac:dyDescent="0.45">
      <c r="A248" s="471">
        <v>5118506190</v>
      </c>
      <c r="B248" s="471" t="s">
        <v>1061</v>
      </c>
      <c r="C248" s="42">
        <v>2</v>
      </c>
      <c r="D248" s="1">
        <v>5</v>
      </c>
      <c r="E248" s="1"/>
      <c r="F248" s="1"/>
      <c r="G248" s="60">
        <f t="shared" si="7"/>
        <v>72</v>
      </c>
      <c r="H248" s="701">
        <f t="shared" si="8"/>
        <v>72</v>
      </c>
      <c r="I248" s="24"/>
      <c r="J248" s="24"/>
      <c r="K248" s="24"/>
      <c r="L248" s="24"/>
      <c r="M248" s="24"/>
      <c r="N248" s="24"/>
      <c r="O248" s="24"/>
      <c r="P248" s="24"/>
      <c r="Q248" s="24"/>
    </row>
    <row r="249" spans="1:17" ht="15.75" customHeight="1" x14ac:dyDescent="0.45">
      <c r="A249" s="471">
        <v>4444191001</v>
      </c>
      <c r="B249" s="471" t="s">
        <v>630</v>
      </c>
      <c r="C249" s="1">
        <v>1</v>
      </c>
      <c r="D249" s="1">
        <v>365</v>
      </c>
      <c r="E249" s="1"/>
      <c r="F249" s="1"/>
      <c r="G249" s="60">
        <f t="shared" si="7"/>
        <v>0.98630136986301364</v>
      </c>
      <c r="H249" s="701">
        <f t="shared" si="8"/>
        <v>0.98630136986301364</v>
      </c>
      <c r="I249" s="24"/>
      <c r="J249" s="24"/>
      <c r="K249" s="24"/>
      <c r="L249" s="24"/>
      <c r="M249" s="24"/>
      <c r="N249" s="24"/>
      <c r="O249" s="24"/>
      <c r="P249" s="24"/>
      <c r="Q249" s="24"/>
    </row>
    <row r="250" spans="1:17" ht="15.75" customHeight="1" x14ac:dyDescent="0.45">
      <c r="A250" s="471">
        <v>10394246001</v>
      </c>
      <c r="B250" s="471" t="s">
        <v>1062</v>
      </c>
      <c r="C250" s="1">
        <v>20</v>
      </c>
      <c r="D250" s="1">
        <v>365</v>
      </c>
      <c r="E250" s="1"/>
      <c r="F250" s="1"/>
      <c r="G250" s="60">
        <f t="shared" si="7"/>
        <v>0.98630136986301364</v>
      </c>
      <c r="H250" s="701">
        <f t="shared" si="8"/>
        <v>0.98630136986301364</v>
      </c>
      <c r="I250" s="24"/>
      <c r="J250" s="24"/>
      <c r="K250" s="24"/>
      <c r="L250" s="24"/>
      <c r="M250" s="24"/>
      <c r="N250" s="24"/>
      <c r="O250" s="24"/>
      <c r="P250" s="24"/>
      <c r="Q250" s="24"/>
    </row>
    <row r="251" spans="1:17" ht="15.75" customHeight="1" x14ac:dyDescent="0.45">
      <c r="A251" s="470">
        <v>3142949122</v>
      </c>
      <c r="B251" s="490" t="s">
        <v>1063</v>
      </c>
      <c r="C251" s="42">
        <v>365</v>
      </c>
      <c r="D251" s="1">
        <v>1</v>
      </c>
      <c r="E251" s="1"/>
      <c r="F251" s="1"/>
      <c r="G251" s="60">
        <f t="shared" si="7"/>
        <v>360</v>
      </c>
      <c r="H251" s="701">
        <f t="shared" si="8"/>
        <v>360</v>
      </c>
      <c r="I251" s="24"/>
      <c r="J251" s="24"/>
      <c r="K251" s="24"/>
      <c r="L251" s="24"/>
      <c r="M251" s="24"/>
      <c r="N251" s="24"/>
      <c r="O251" s="24"/>
      <c r="P251" s="24"/>
      <c r="Q251" s="24"/>
    </row>
    <row r="252" spans="1:17" ht="15.75" customHeight="1" x14ac:dyDescent="0.45">
      <c r="A252" s="470">
        <v>5889073190</v>
      </c>
      <c r="B252" s="490" t="s">
        <v>1064</v>
      </c>
      <c r="C252" s="42">
        <v>100</v>
      </c>
      <c r="D252" s="1">
        <v>84</v>
      </c>
      <c r="E252" s="1"/>
      <c r="F252" s="1"/>
      <c r="G252" s="60">
        <f t="shared" si="7"/>
        <v>4.2857142857142856</v>
      </c>
      <c r="H252" s="701">
        <f t="shared" si="8"/>
        <v>4.2857142857142856</v>
      </c>
      <c r="I252" s="24"/>
      <c r="J252" s="24"/>
      <c r="K252" s="24"/>
      <c r="L252" s="24"/>
      <c r="M252" s="24"/>
      <c r="N252" s="24"/>
      <c r="O252" s="24"/>
      <c r="P252" s="24"/>
      <c r="Q252" s="24"/>
    </row>
    <row r="253" spans="1:17" ht="15.75" customHeight="1" x14ac:dyDescent="0.45">
      <c r="A253" s="470">
        <v>5944317190</v>
      </c>
      <c r="B253" s="490" t="s">
        <v>1065</v>
      </c>
      <c r="C253" s="42">
        <v>4</v>
      </c>
      <c r="D253" s="1">
        <v>14</v>
      </c>
      <c r="E253" s="1"/>
      <c r="F253" s="1"/>
      <c r="G253" s="60">
        <f t="shared" si="7"/>
        <v>25.714285714285715</v>
      </c>
      <c r="H253" s="701">
        <f t="shared" si="8"/>
        <v>25.714285714285715</v>
      </c>
      <c r="I253" s="24"/>
      <c r="J253" s="24"/>
      <c r="K253" s="24"/>
      <c r="L253" s="24"/>
      <c r="M253" s="24"/>
      <c r="N253" s="24"/>
      <c r="O253" s="24"/>
      <c r="P253" s="24"/>
      <c r="Q253" s="24"/>
    </row>
    <row r="254" spans="1:17" ht="15.75" customHeight="1" x14ac:dyDescent="0.45">
      <c r="A254" s="470">
        <v>9370064190</v>
      </c>
      <c r="B254" s="490" t="s">
        <v>1066</v>
      </c>
      <c r="C254" s="42">
        <v>1</v>
      </c>
      <c r="D254" s="1">
        <v>28</v>
      </c>
      <c r="E254" s="1"/>
      <c r="F254" s="1"/>
      <c r="G254" s="60">
        <f t="shared" si="7"/>
        <v>12.857142857142858</v>
      </c>
      <c r="H254" s="701">
        <f t="shared" si="8"/>
        <v>12.857142857142858</v>
      </c>
      <c r="I254" s="24"/>
      <c r="J254" s="24"/>
      <c r="K254" s="24"/>
      <c r="L254" s="24"/>
      <c r="M254" s="24"/>
      <c r="N254" s="24"/>
      <c r="O254" s="24"/>
      <c r="P254" s="24"/>
      <c r="Q254" s="24"/>
    </row>
    <row r="255" spans="1:17" ht="15.75" customHeight="1" x14ac:dyDescent="0.45">
      <c r="A255" s="470">
        <v>9370099190</v>
      </c>
      <c r="B255" s="490" t="s">
        <v>1067</v>
      </c>
      <c r="C255" s="42">
        <v>1</v>
      </c>
      <c r="D255" s="1">
        <v>28</v>
      </c>
      <c r="E255" s="1"/>
      <c r="F255" s="1"/>
      <c r="G255" s="60">
        <f t="shared" si="7"/>
        <v>12.857142857142858</v>
      </c>
      <c r="H255" s="701">
        <f t="shared" si="8"/>
        <v>12.857142857142858</v>
      </c>
      <c r="I255" s="24"/>
      <c r="J255" s="24"/>
      <c r="K255" s="24"/>
      <c r="L255" s="24"/>
      <c r="M255" s="24"/>
      <c r="N255" s="24"/>
      <c r="O255" s="24"/>
      <c r="P255" s="24"/>
      <c r="Q255" s="24"/>
    </row>
    <row r="256" spans="1:17" ht="15.75" customHeight="1" x14ac:dyDescent="0.45">
      <c r="A256" s="470">
        <v>9127127190</v>
      </c>
      <c r="B256" s="490" t="s">
        <v>1068</v>
      </c>
      <c r="C256" s="42">
        <v>2</v>
      </c>
      <c r="D256" s="1">
        <v>56</v>
      </c>
      <c r="E256" s="1"/>
      <c r="F256" s="1"/>
      <c r="G256" s="60">
        <f t="shared" si="7"/>
        <v>6.4285714285714288</v>
      </c>
      <c r="H256" s="701">
        <f t="shared" si="8"/>
        <v>6.4285714285714288</v>
      </c>
      <c r="I256" s="24"/>
      <c r="J256" s="24"/>
      <c r="K256" s="24"/>
      <c r="L256" s="24"/>
      <c r="M256" s="24"/>
      <c r="N256" s="24"/>
      <c r="O256" s="24"/>
      <c r="P256" s="24"/>
      <c r="Q256" s="24"/>
    </row>
    <row r="257" spans="1:17" ht="15.75" customHeight="1" x14ac:dyDescent="0.45">
      <c r="A257" s="471">
        <v>5870020001</v>
      </c>
      <c r="B257" s="471" t="s">
        <v>813</v>
      </c>
      <c r="C257" s="1">
        <v>1</v>
      </c>
      <c r="D257" s="1">
        <v>365</v>
      </c>
      <c r="E257" s="1"/>
      <c r="F257" s="1"/>
      <c r="G257" s="60">
        <f t="shared" si="7"/>
        <v>0.98630136986301364</v>
      </c>
      <c r="H257" s="701">
        <f t="shared" si="8"/>
        <v>0.98630136986301364</v>
      </c>
      <c r="I257" s="24"/>
      <c r="J257" s="24"/>
      <c r="K257" s="24"/>
      <c r="L257" s="24"/>
      <c r="M257" s="24"/>
      <c r="N257" s="24"/>
      <c r="O257" s="24"/>
      <c r="P257" s="24"/>
      <c r="Q257" s="24"/>
    </row>
    <row r="258" spans="1:17" ht="15.75" customHeight="1" x14ac:dyDescent="0.45">
      <c r="A258" s="471">
        <v>4419987001</v>
      </c>
      <c r="B258" s="471" t="s">
        <v>814</v>
      </c>
      <c r="C258" s="1">
        <v>1</v>
      </c>
      <c r="D258" s="1">
        <v>365</v>
      </c>
      <c r="E258" s="1"/>
      <c r="F258" s="1"/>
      <c r="G258" s="60">
        <f t="shared" si="7"/>
        <v>0.98630136986301364</v>
      </c>
      <c r="H258" s="701">
        <f t="shared" si="8"/>
        <v>0.98630136986301364</v>
      </c>
      <c r="I258" s="24"/>
      <c r="J258" s="24"/>
      <c r="K258" s="24"/>
      <c r="L258" s="24"/>
      <c r="M258" s="24"/>
      <c r="N258" s="24"/>
      <c r="O258" s="24"/>
      <c r="P258" s="24"/>
      <c r="Q258" s="24"/>
    </row>
    <row r="259" spans="1:17" ht="15.75" customHeight="1" x14ac:dyDescent="0.45">
      <c r="A259" s="471">
        <v>7485409001</v>
      </c>
      <c r="B259" s="471" t="s">
        <v>1069</v>
      </c>
      <c r="C259" s="1">
        <v>1</v>
      </c>
      <c r="D259" s="1">
        <v>365</v>
      </c>
      <c r="E259" s="1"/>
      <c r="F259" s="1"/>
      <c r="G259" s="60">
        <f t="shared" si="7"/>
        <v>0.98630136986301364</v>
      </c>
      <c r="H259" s="701">
        <f t="shared" si="8"/>
        <v>0.98630136986301364</v>
      </c>
      <c r="I259" s="24"/>
      <c r="J259" s="24"/>
      <c r="K259" s="24"/>
      <c r="L259" s="24"/>
      <c r="M259" s="24"/>
      <c r="N259" s="24"/>
      <c r="O259" s="24"/>
      <c r="P259" s="24"/>
      <c r="Q259" s="24"/>
    </row>
    <row r="260" spans="1:17" ht="15.75" customHeight="1" x14ac:dyDescent="0.45">
      <c r="A260" s="471">
        <v>7485433001</v>
      </c>
      <c r="B260" s="471" t="s">
        <v>1070</v>
      </c>
      <c r="C260" s="1">
        <v>1</v>
      </c>
      <c r="D260" s="1">
        <v>365</v>
      </c>
      <c r="E260" s="1"/>
      <c r="F260" s="1"/>
      <c r="G260" s="60">
        <f t="shared" si="7"/>
        <v>0.98630136986301364</v>
      </c>
      <c r="H260" s="701">
        <f t="shared" si="8"/>
        <v>0.98630136986301364</v>
      </c>
      <c r="I260" s="24"/>
      <c r="J260" s="24"/>
      <c r="K260" s="24"/>
      <c r="L260" s="24"/>
      <c r="M260" s="24"/>
      <c r="N260" s="24"/>
      <c r="O260" s="24"/>
      <c r="P260" s="24"/>
      <c r="Q260" s="24"/>
    </row>
    <row r="261" spans="1:17" ht="15.75" customHeight="1" x14ac:dyDescent="0.45">
      <c r="A261" s="471">
        <v>11298500316</v>
      </c>
      <c r="B261" s="471" t="s">
        <v>1071</v>
      </c>
      <c r="C261" s="1">
        <v>5</v>
      </c>
      <c r="D261" s="1">
        <v>73</v>
      </c>
      <c r="E261" s="1"/>
      <c r="F261" s="1"/>
      <c r="G261" s="60">
        <f t="shared" si="7"/>
        <v>4.9315068493150687</v>
      </c>
      <c r="H261" s="701">
        <f t="shared" si="8"/>
        <v>4.9315068493150687</v>
      </c>
      <c r="I261" s="24"/>
      <c r="J261" s="24"/>
      <c r="K261" s="24"/>
      <c r="L261" s="24"/>
      <c r="M261" s="24"/>
      <c r="N261" s="24"/>
      <c r="O261" s="24"/>
      <c r="P261" s="24"/>
      <c r="Q261" s="24"/>
    </row>
    <row r="262" spans="1:17" ht="15.75" customHeight="1" x14ac:dyDescent="0.45">
      <c r="A262" s="24"/>
      <c r="B262" s="24"/>
      <c r="C262" s="146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</row>
    <row r="263" spans="1:17" ht="15.75" customHeight="1" x14ac:dyDescent="0.45">
      <c r="A263" s="24"/>
      <c r="B263" s="24"/>
      <c r="C263" s="146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</row>
    <row r="264" spans="1:17" ht="15.75" customHeight="1" x14ac:dyDescent="0.45">
      <c r="A264" s="24"/>
      <c r="B264" s="24"/>
      <c r="C264" s="146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</row>
    <row r="265" spans="1:17" ht="15.75" customHeight="1" x14ac:dyDescent="0.45">
      <c r="A265" s="24"/>
      <c r="B265" s="24"/>
      <c r="C265" s="146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</row>
    <row r="266" spans="1:17" ht="15.75" customHeight="1" x14ac:dyDescent="0.45">
      <c r="A266" s="24"/>
      <c r="B266" s="24"/>
      <c r="C266" s="146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</row>
    <row r="267" spans="1:17" ht="15.75" customHeight="1" x14ac:dyDescent="0.45">
      <c r="A267" s="24"/>
      <c r="B267" s="24"/>
      <c r="C267" s="146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</row>
    <row r="268" spans="1:17" ht="15.75" customHeight="1" x14ac:dyDescent="0.45">
      <c r="A268" s="24"/>
      <c r="B268" s="24"/>
      <c r="C268" s="146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</row>
    <row r="269" spans="1:17" ht="15.75" customHeight="1" x14ac:dyDescent="0.45">
      <c r="A269" s="24"/>
      <c r="B269" s="24"/>
      <c r="C269" s="146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</row>
    <row r="270" spans="1:17" ht="15.75" customHeight="1" x14ac:dyDescent="0.45">
      <c r="A270" s="24"/>
      <c r="B270" s="24"/>
      <c r="C270" s="146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</row>
    <row r="271" spans="1:17" ht="15.75" customHeight="1" x14ac:dyDescent="0.45">
      <c r="A271" s="24"/>
      <c r="B271" s="24"/>
      <c r="C271" s="146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</row>
    <row r="272" spans="1:17" ht="15.75" customHeight="1" x14ac:dyDescent="0.45">
      <c r="A272" s="24"/>
      <c r="B272" s="24"/>
      <c r="C272" s="146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</row>
    <row r="273" spans="1:17" ht="15.75" customHeight="1" x14ac:dyDescent="0.45">
      <c r="A273" s="24"/>
      <c r="B273" s="24"/>
      <c r="C273" s="146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</row>
    <row r="274" spans="1:17" ht="15.75" customHeight="1" x14ac:dyDescent="0.45">
      <c r="A274" s="24"/>
      <c r="B274" s="24"/>
      <c r="C274" s="146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</row>
    <row r="275" spans="1:17" ht="15.75" customHeight="1" x14ac:dyDescent="0.45">
      <c r="A275" s="24"/>
      <c r="B275" s="24"/>
      <c r="C275" s="146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</row>
    <row r="276" spans="1:17" ht="15.75" customHeight="1" x14ac:dyDescent="0.45">
      <c r="A276" s="24"/>
      <c r="B276" s="24"/>
      <c r="C276" s="146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</row>
    <row r="277" spans="1:17" ht="15.75" customHeight="1" x14ac:dyDescent="0.45">
      <c r="A277" s="24"/>
      <c r="B277" s="24"/>
      <c r="C277" s="146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</row>
    <row r="278" spans="1:17" ht="15.75" customHeight="1" x14ac:dyDescent="0.45">
      <c r="A278" s="24"/>
      <c r="B278" s="24"/>
      <c r="C278" s="146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</row>
    <row r="279" spans="1:17" ht="15.75" customHeight="1" x14ac:dyDescent="0.45">
      <c r="A279" s="24"/>
      <c r="B279" s="24"/>
      <c r="C279" s="146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</row>
    <row r="280" spans="1:17" ht="15.75" customHeight="1" x14ac:dyDescent="0.45">
      <c r="A280" s="24"/>
      <c r="B280" s="24"/>
      <c r="C280" s="146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</row>
    <row r="281" spans="1:17" ht="15.75" customHeight="1" x14ac:dyDescent="0.45">
      <c r="A281" s="24"/>
      <c r="B281" s="24"/>
      <c r="C281" s="146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</row>
    <row r="282" spans="1:17" ht="15.75" customHeight="1" x14ac:dyDescent="0.45">
      <c r="A282" s="24"/>
      <c r="B282" s="24"/>
      <c r="C282" s="146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</row>
    <row r="283" spans="1:17" ht="15.75" customHeight="1" x14ac:dyDescent="0.45">
      <c r="A283" s="24"/>
      <c r="B283" s="24"/>
      <c r="C283" s="146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</row>
    <row r="284" spans="1:17" ht="15.75" customHeight="1" x14ac:dyDescent="0.45">
      <c r="A284" s="24"/>
      <c r="B284" s="24"/>
      <c r="C284" s="146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</row>
    <row r="285" spans="1:17" ht="15.75" customHeight="1" x14ac:dyDescent="0.45">
      <c r="A285" s="24"/>
      <c r="B285" s="24"/>
      <c r="C285" s="146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</row>
    <row r="286" spans="1:17" ht="15.75" customHeight="1" x14ac:dyDescent="0.45">
      <c r="A286" s="24"/>
      <c r="B286" s="24"/>
      <c r="C286" s="146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</row>
    <row r="287" spans="1:17" ht="15.75" customHeight="1" x14ac:dyDescent="0.45">
      <c r="A287" s="24"/>
      <c r="B287" s="24"/>
      <c r="C287" s="146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</row>
    <row r="288" spans="1:17" ht="15.75" customHeight="1" x14ac:dyDescent="0.45">
      <c r="A288" s="24"/>
      <c r="B288" s="24"/>
      <c r="C288" s="146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</row>
    <row r="289" spans="1:17" ht="15.75" customHeight="1" x14ac:dyDescent="0.45">
      <c r="A289" s="24"/>
      <c r="B289" s="24"/>
      <c r="C289" s="146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</row>
    <row r="290" spans="1:17" ht="15.75" customHeight="1" x14ac:dyDescent="0.45">
      <c r="A290" s="24"/>
      <c r="B290" s="24"/>
      <c r="C290" s="146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</row>
    <row r="291" spans="1:17" ht="15.75" customHeight="1" x14ac:dyDescent="0.45">
      <c r="A291" s="24"/>
      <c r="B291" s="24"/>
      <c r="C291" s="146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</row>
    <row r="292" spans="1:17" ht="15.75" customHeight="1" x14ac:dyDescent="0.45">
      <c r="A292" s="24"/>
      <c r="B292" s="24"/>
      <c r="C292" s="146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</row>
    <row r="293" spans="1:17" ht="15.75" customHeight="1" x14ac:dyDescent="0.45">
      <c r="A293" s="24"/>
      <c r="B293" s="24"/>
      <c r="C293" s="146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</row>
    <row r="294" spans="1:17" ht="15.75" customHeight="1" x14ac:dyDescent="0.45">
      <c r="A294" s="24"/>
      <c r="B294" s="24"/>
      <c r="C294" s="146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</row>
    <row r="295" spans="1:17" ht="15.75" customHeight="1" x14ac:dyDescent="0.45">
      <c r="A295" s="24"/>
      <c r="B295" s="24"/>
      <c r="C295" s="146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</row>
    <row r="296" spans="1:17" ht="15.75" customHeight="1" x14ac:dyDescent="0.45">
      <c r="A296" s="24"/>
      <c r="B296" s="24"/>
      <c r="C296" s="146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</row>
    <row r="297" spans="1:17" ht="15.75" customHeight="1" x14ac:dyDescent="0.45">
      <c r="A297" s="24"/>
      <c r="B297" s="24"/>
      <c r="C297" s="146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</row>
    <row r="298" spans="1:17" ht="15.75" customHeight="1" x14ac:dyDescent="0.45">
      <c r="A298" s="24"/>
      <c r="B298" s="24"/>
      <c r="C298" s="146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</row>
    <row r="299" spans="1:17" ht="15.75" customHeight="1" x14ac:dyDescent="0.45">
      <c r="A299" s="24"/>
      <c r="B299" s="24"/>
      <c r="C299" s="146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</row>
    <row r="300" spans="1:17" ht="15.75" customHeight="1" x14ac:dyDescent="0.45">
      <c r="A300" s="24"/>
      <c r="B300" s="24"/>
      <c r="C300" s="146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</row>
    <row r="301" spans="1:17" ht="15.75" customHeight="1" x14ac:dyDescent="0.45">
      <c r="A301" s="24"/>
      <c r="B301" s="24"/>
      <c r="C301" s="146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</row>
    <row r="302" spans="1:17" ht="15.75" customHeight="1" x14ac:dyDescent="0.45">
      <c r="A302" s="24"/>
      <c r="B302" s="24"/>
      <c r="C302" s="146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</row>
    <row r="303" spans="1:17" ht="15.75" customHeight="1" x14ac:dyDescent="0.45">
      <c r="A303" s="24"/>
      <c r="B303" s="24"/>
      <c r="C303" s="146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</row>
    <row r="304" spans="1:17" ht="15.75" customHeight="1" x14ac:dyDescent="0.45">
      <c r="A304" s="24"/>
      <c r="B304" s="24"/>
      <c r="C304" s="146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</row>
    <row r="305" spans="1:17" ht="15.75" customHeight="1" x14ac:dyDescent="0.45">
      <c r="A305" s="24"/>
      <c r="B305" s="24"/>
      <c r="C305" s="146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</row>
    <row r="306" spans="1:17" ht="15.75" customHeight="1" x14ac:dyDescent="0.45">
      <c r="A306" s="24"/>
      <c r="B306" s="24"/>
      <c r="C306" s="146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</row>
    <row r="307" spans="1:17" ht="15.75" customHeight="1" x14ac:dyDescent="0.45">
      <c r="A307" s="24"/>
      <c r="B307" s="24"/>
      <c r="C307" s="146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</row>
    <row r="308" spans="1:17" ht="15.75" customHeight="1" x14ac:dyDescent="0.45">
      <c r="A308" s="24"/>
      <c r="B308" s="24"/>
      <c r="C308" s="146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</row>
    <row r="309" spans="1:17" ht="15.75" customHeight="1" x14ac:dyDescent="0.45">
      <c r="A309" s="24"/>
      <c r="B309" s="24"/>
      <c r="C309" s="146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</row>
    <row r="310" spans="1:17" ht="15.75" customHeight="1" x14ac:dyDescent="0.45">
      <c r="A310" s="24"/>
      <c r="B310" s="24"/>
      <c r="C310" s="146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</row>
    <row r="311" spans="1:17" ht="15.75" customHeight="1" x14ac:dyDescent="0.45">
      <c r="A311" s="24"/>
      <c r="B311" s="24"/>
      <c r="C311" s="146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</row>
    <row r="312" spans="1:17" ht="15.75" customHeight="1" x14ac:dyDescent="0.45">
      <c r="A312" s="24"/>
      <c r="B312" s="24"/>
      <c r="C312" s="146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</row>
    <row r="313" spans="1:17" ht="15.75" customHeight="1" x14ac:dyDescent="0.45">
      <c r="A313" s="24"/>
      <c r="B313" s="24"/>
      <c r="C313" s="146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</row>
    <row r="314" spans="1:17" ht="15.75" customHeight="1" x14ac:dyDescent="0.45">
      <c r="A314" s="24"/>
      <c r="B314" s="24"/>
      <c r="C314" s="146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</row>
    <row r="315" spans="1:17" ht="15.75" customHeight="1" x14ac:dyDescent="0.45">
      <c r="A315" s="24"/>
      <c r="B315" s="24"/>
      <c r="C315" s="146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</row>
    <row r="316" spans="1:17" ht="15.75" customHeight="1" x14ac:dyDescent="0.45">
      <c r="A316" s="24"/>
      <c r="B316" s="24"/>
      <c r="C316" s="146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</row>
    <row r="317" spans="1:17" ht="15.75" customHeight="1" x14ac:dyDescent="0.45">
      <c r="A317" s="24"/>
      <c r="B317" s="24"/>
      <c r="C317" s="146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</row>
    <row r="318" spans="1:17" ht="15.75" customHeight="1" x14ac:dyDescent="0.45">
      <c r="A318" s="24"/>
      <c r="B318" s="24"/>
      <c r="C318" s="146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</row>
    <row r="319" spans="1:17" ht="15.75" customHeight="1" x14ac:dyDescent="0.45">
      <c r="A319" s="24"/>
      <c r="B319" s="24"/>
      <c r="C319" s="146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</row>
    <row r="320" spans="1:17" ht="15.75" customHeight="1" x14ac:dyDescent="0.45">
      <c r="A320" s="24"/>
      <c r="B320" s="24"/>
      <c r="C320" s="146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</row>
    <row r="321" spans="1:17" ht="15.75" customHeight="1" x14ac:dyDescent="0.45">
      <c r="A321" s="24"/>
      <c r="B321" s="24"/>
      <c r="C321" s="146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</row>
    <row r="322" spans="1:17" ht="15.75" customHeight="1" x14ac:dyDescent="0.45">
      <c r="A322" s="24"/>
      <c r="B322" s="24"/>
      <c r="C322" s="146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</row>
    <row r="323" spans="1:17" ht="15.75" customHeight="1" x14ac:dyDescent="0.45">
      <c r="A323" s="24"/>
      <c r="B323" s="24"/>
      <c r="C323" s="146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</row>
    <row r="324" spans="1:17" ht="15.75" customHeight="1" x14ac:dyDescent="0.45">
      <c r="A324" s="24"/>
      <c r="B324" s="24"/>
      <c r="C324" s="146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</row>
    <row r="325" spans="1:17" ht="15.75" customHeight="1" x14ac:dyDescent="0.45">
      <c r="A325" s="24"/>
      <c r="B325" s="24"/>
      <c r="C325" s="146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</row>
    <row r="326" spans="1:17" ht="15.75" customHeight="1" x14ac:dyDescent="0.45">
      <c r="A326" s="24"/>
      <c r="B326" s="24"/>
      <c r="C326" s="146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</row>
    <row r="327" spans="1:17" ht="15.75" customHeight="1" x14ac:dyDescent="0.45">
      <c r="A327" s="24"/>
      <c r="B327" s="24"/>
      <c r="C327" s="146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</row>
    <row r="328" spans="1:17" ht="15.75" customHeight="1" x14ac:dyDescent="0.45">
      <c r="A328" s="24"/>
      <c r="B328" s="24"/>
      <c r="C328" s="146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</row>
    <row r="329" spans="1:17" ht="15.75" customHeight="1" x14ac:dyDescent="0.45">
      <c r="A329" s="24"/>
      <c r="B329" s="24"/>
      <c r="C329" s="146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</row>
    <row r="330" spans="1:17" ht="15.75" customHeight="1" x14ac:dyDescent="0.45">
      <c r="A330" s="24"/>
      <c r="B330" s="24"/>
      <c r="C330" s="146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</row>
    <row r="331" spans="1:17" ht="15.75" customHeight="1" x14ac:dyDescent="0.45">
      <c r="A331" s="24"/>
      <c r="B331" s="24"/>
      <c r="C331" s="146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</row>
    <row r="332" spans="1:17" ht="15.75" customHeight="1" x14ac:dyDescent="0.45">
      <c r="A332" s="24"/>
      <c r="B332" s="24"/>
      <c r="C332" s="146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</row>
    <row r="333" spans="1:17" ht="15.75" customHeight="1" x14ac:dyDescent="0.45">
      <c r="A333" s="24"/>
      <c r="B333" s="24"/>
      <c r="C333" s="146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</row>
    <row r="334" spans="1:17" ht="15.75" customHeight="1" x14ac:dyDescent="0.45">
      <c r="A334" s="24"/>
      <c r="B334" s="24"/>
      <c r="C334" s="146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</row>
    <row r="335" spans="1:17" ht="15.75" customHeight="1" x14ac:dyDescent="0.45">
      <c r="A335" s="24"/>
      <c r="B335" s="24"/>
      <c r="C335" s="146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</row>
    <row r="336" spans="1:17" ht="15.75" customHeight="1" x14ac:dyDescent="0.45">
      <c r="A336" s="24"/>
      <c r="B336" s="24"/>
      <c r="C336" s="146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</row>
    <row r="337" spans="1:17" ht="15.75" customHeight="1" x14ac:dyDescent="0.45">
      <c r="A337" s="24"/>
      <c r="B337" s="24"/>
      <c r="C337" s="146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</row>
    <row r="338" spans="1:17" ht="15.75" customHeight="1" x14ac:dyDescent="0.45">
      <c r="A338" s="24"/>
      <c r="B338" s="24"/>
      <c r="C338" s="146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</row>
    <row r="339" spans="1:17" ht="15.75" customHeight="1" x14ac:dyDescent="0.45">
      <c r="A339" s="24"/>
      <c r="B339" s="24"/>
      <c r="C339" s="146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</row>
    <row r="340" spans="1:17" ht="15.75" customHeight="1" x14ac:dyDescent="0.45">
      <c r="A340" s="24"/>
      <c r="B340" s="24"/>
      <c r="C340" s="146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</row>
    <row r="341" spans="1:17" ht="15.75" customHeight="1" x14ac:dyDescent="0.45">
      <c r="A341" s="24"/>
      <c r="B341" s="24"/>
      <c r="C341" s="146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</row>
    <row r="342" spans="1:17" ht="15.75" customHeight="1" x14ac:dyDescent="0.45">
      <c r="A342" s="24"/>
      <c r="B342" s="24"/>
      <c r="C342" s="146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</row>
    <row r="343" spans="1:17" ht="15.75" customHeight="1" x14ac:dyDescent="0.45">
      <c r="A343" s="24"/>
      <c r="B343" s="24"/>
      <c r="C343" s="146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</row>
    <row r="344" spans="1:17" ht="15.75" customHeight="1" x14ac:dyDescent="0.45">
      <c r="A344" s="24"/>
      <c r="B344" s="24"/>
      <c r="C344" s="146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</row>
    <row r="345" spans="1:17" ht="15.75" customHeight="1" x14ac:dyDescent="0.45">
      <c r="A345" s="24"/>
      <c r="B345" s="24"/>
      <c r="C345" s="146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</row>
    <row r="346" spans="1:17" ht="15.75" customHeight="1" x14ac:dyDescent="0.45">
      <c r="A346" s="24"/>
      <c r="B346" s="24"/>
      <c r="C346" s="146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</row>
    <row r="347" spans="1:17" ht="15.75" customHeight="1" x14ac:dyDescent="0.45">
      <c r="A347" s="24"/>
      <c r="B347" s="24"/>
      <c r="C347" s="146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</row>
    <row r="348" spans="1:17" ht="15.75" customHeight="1" x14ac:dyDescent="0.45">
      <c r="A348" s="24"/>
      <c r="B348" s="24"/>
      <c r="C348" s="146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</row>
    <row r="349" spans="1:17" ht="15.75" customHeight="1" x14ac:dyDescent="0.45">
      <c r="A349" s="24"/>
      <c r="B349" s="24"/>
      <c r="C349" s="146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</row>
    <row r="350" spans="1:17" ht="15.75" customHeight="1" x14ac:dyDescent="0.45">
      <c r="A350" s="24"/>
      <c r="B350" s="24"/>
      <c r="C350" s="146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</row>
    <row r="351" spans="1:17" ht="15.75" customHeight="1" x14ac:dyDescent="0.45">
      <c r="A351" s="24"/>
      <c r="B351" s="24"/>
      <c r="C351" s="146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</row>
    <row r="352" spans="1:17" ht="15.75" customHeight="1" x14ac:dyDescent="0.45">
      <c r="A352" s="24"/>
      <c r="B352" s="24"/>
      <c r="C352" s="146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</row>
    <row r="353" spans="1:17" ht="15.75" customHeight="1" x14ac:dyDescent="0.45">
      <c r="A353" s="24"/>
      <c r="B353" s="24"/>
      <c r="C353" s="146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</row>
    <row r="354" spans="1:17" ht="15.75" customHeight="1" x14ac:dyDescent="0.45">
      <c r="A354" s="24"/>
      <c r="B354" s="24"/>
      <c r="C354" s="146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</row>
    <row r="355" spans="1:17" ht="15.75" customHeight="1" x14ac:dyDescent="0.45">
      <c r="A355" s="24"/>
      <c r="B355" s="24"/>
      <c r="C355" s="146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</row>
    <row r="356" spans="1:17" ht="15.75" customHeight="1" x14ac:dyDescent="0.45">
      <c r="A356" s="24"/>
      <c r="B356" s="24"/>
      <c r="C356" s="146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</row>
    <row r="357" spans="1:17" ht="15.75" customHeight="1" x14ac:dyDescent="0.45">
      <c r="A357" s="24"/>
      <c r="B357" s="24"/>
      <c r="C357" s="146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</row>
    <row r="358" spans="1:17" ht="15.75" customHeight="1" x14ac:dyDescent="0.45">
      <c r="A358" s="24"/>
      <c r="B358" s="24"/>
      <c r="C358" s="146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</row>
    <row r="359" spans="1:17" ht="15.75" customHeight="1" x14ac:dyDescent="0.45">
      <c r="A359" s="24"/>
      <c r="B359" s="24"/>
      <c r="C359" s="146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</row>
    <row r="360" spans="1:17" ht="15.75" customHeight="1" x14ac:dyDescent="0.45">
      <c r="A360" s="24"/>
      <c r="B360" s="24"/>
      <c r="C360" s="146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</row>
    <row r="361" spans="1:17" ht="15.75" customHeight="1" x14ac:dyDescent="0.45">
      <c r="A361" s="24"/>
      <c r="B361" s="24"/>
      <c r="C361" s="146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</row>
    <row r="362" spans="1:17" ht="15.75" customHeight="1" x14ac:dyDescent="0.45">
      <c r="A362" s="24"/>
      <c r="B362" s="24"/>
      <c r="C362" s="146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</row>
    <row r="363" spans="1:17" ht="15.75" customHeight="1" x14ac:dyDescent="0.45">
      <c r="A363" s="24"/>
      <c r="B363" s="24"/>
      <c r="C363" s="146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</row>
    <row r="364" spans="1:17" ht="15.75" customHeight="1" x14ac:dyDescent="0.45">
      <c r="A364" s="24"/>
      <c r="B364" s="24"/>
      <c r="C364" s="146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</row>
    <row r="365" spans="1:17" ht="15.75" customHeight="1" x14ac:dyDescent="0.45">
      <c r="A365" s="24"/>
      <c r="B365" s="24"/>
      <c r="C365" s="146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</row>
    <row r="366" spans="1:17" ht="15.75" customHeight="1" x14ac:dyDescent="0.45">
      <c r="A366" s="24"/>
      <c r="B366" s="24"/>
      <c r="C366" s="146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</row>
    <row r="367" spans="1:17" ht="15.75" customHeight="1" x14ac:dyDescent="0.45">
      <c r="A367" s="24"/>
      <c r="B367" s="24"/>
      <c r="C367" s="146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</row>
    <row r="368" spans="1:17" ht="15.75" customHeight="1" x14ac:dyDescent="0.45">
      <c r="A368" s="24"/>
      <c r="B368" s="24"/>
      <c r="C368" s="146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</row>
    <row r="369" spans="1:17" ht="15.75" customHeight="1" x14ac:dyDescent="0.45">
      <c r="A369" s="24"/>
      <c r="B369" s="24"/>
      <c r="C369" s="146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</row>
    <row r="370" spans="1:17" ht="15.75" customHeight="1" x14ac:dyDescent="0.45">
      <c r="A370" s="24"/>
      <c r="B370" s="24"/>
      <c r="C370" s="146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</row>
    <row r="371" spans="1:17" ht="15.75" customHeight="1" x14ac:dyDescent="0.45">
      <c r="A371" s="24"/>
      <c r="B371" s="24"/>
      <c r="C371" s="146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</row>
    <row r="372" spans="1:17" ht="15.75" customHeight="1" x14ac:dyDescent="0.45">
      <c r="A372" s="24"/>
      <c r="B372" s="24"/>
      <c r="C372" s="146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</row>
    <row r="373" spans="1:17" ht="15.75" customHeight="1" x14ac:dyDescent="0.45">
      <c r="A373" s="24"/>
      <c r="B373" s="24"/>
      <c r="C373" s="146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</row>
    <row r="374" spans="1:17" ht="15.75" customHeight="1" x14ac:dyDescent="0.45">
      <c r="A374" s="24"/>
      <c r="B374" s="24"/>
      <c r="C374" s="146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</row>
    <row r="375" spans="1:17" ht="15.75" customHeight="1" x14ac:dyDescent="0.45">
      <c r="A375" s="24"/>
      <c r="B375" s="24"/>
      <c r="C375" s="146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</row>
    <row r="376" spans="1:17" ht="15.75" customHeight="1" x14ac:dyDescent="0.45">
      <c r="A376" s="24"/>
      <c r="B376" s="24"/>
      <c r="C376" s="146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</row>
    <row r="377" spans="1:17" ht="15.75" customHeight="1" x14ac:dyDescent="0.45">
      <c r="A377" s="24"/>
      <c r="B377" s="24"/>
      <c r="C377" s="146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</row>
    <row r="378" spans="1:17" ht="15.75" customHeight="1" x14ac:dyDescent="0.45">
      <c r="A378" s="24"/>
      <c r="B378" s="24"/>
      <c r="C378" s="146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</row>
    <row r="379" spans="1:17" ht="15.75" customHeight="1" x14ac:dyDescent="0.45">
      <c r="A379" s="24"/>
      <c r="B379" s="24"/>
      <c r="C379" s="146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</row>
    <row r="380" spans="1:17" ht="15.75" customHeight="1" x14ac:dyDescent="0.45">
      <c r="A380" s="24"/>
      <c r="B380" s="24"/>
      <c r="C380" s="146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</row>
    <row r="381" spans="1:17" ht="15.75" customHeight="1" x14ac:dyDescent="0.45">
      <c r="A381" s="24"/>
      <c r="B381" s="24"/>
      <c r="C381" s="146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</row>
    <row r="382" spans="1:17" ht="15.75" customHeight="1" x14ac:dyDescent="0.45">
      <c r="A382" s="24"/>
      <c r="B382" s="24"/>
      <c r="C382" s="146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</row>
    <row r="383" spans="1:17" ht="15.75" customHeight="1" x14ac:dyDescent="0.45">
      <c r="A383" s="24"/>
      <c r="B383" s="24"/>
      <c r="C383" s="146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</row>
    <row r="384" spans="1:17" ht="15.75" customHeight="1" x14ac:dyDescent="0.45">
      <c r="A384" s="24"/>
      <c r="B384" s="24"/>
      <c r="C384" s="146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</row>
    <row r="385" spans="1:17" ht="15.75" customHeight="1" x14ac:dyDescent="0.45">
      <c r="A385" s="24"/>
      <c r="B385" s="24"/>
      <c r="C385" s="146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</row>
    <row r="386" spans="1:17" ht="15.75" customHeight="1" x14ac:dyDescent="0.45">
      <c r="A386" s="24"/>
      <c r="B386" s="24"/>
      <c r="C386" s="146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</row>
    <row r="387" spans="1:17" ht="15.75" customHeight="1" x14ac:dyDescent="0.45">
      <c r="A387" s="24"/>
      <c r="B387" s="24"/>
      <c r="C387" s="146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</row>
    <row r="388" spans="1:17" ht="15.75" customHeight="1" x14ac:dyDescent="0.45">
      <c r="A388" s="24"/>
      <c r="B388" s="24"/>
      <c r="C388" s="146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</row>
    <row r="389" spans="1:17" ht="15.75" customHeight="1" x14ac:dyDescent="0.45">
      <c r="A389" s="24"/>
      <c r="B389" s="24"/>
      <c r="C389" s="146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</row>
    <row r="390" spans="1:17" ht="15.75" customHeight="1" x14ac:dyDescent="0.45">
      <c r="A390" s="24"/>
      <c r="B390" s="24"/>
      <c r="C390" s="146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</row>
    <row r="391" spans="1:17" ht="15.75" customHeight="1" x14ac:dyDescent="0.45">
      <c r="A391" s="24"/>
      <c r="B391" s="24"/>
      <c r="C391" s="146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</row>
    <row r="392" spans="1:17" ht="15.75" customHeight="1" x14ac:dyDescent="0.45">
      <c r="A392" s="24"/>
      <c r="B392" s="24"/>
      <c r="C392" s="146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</row>
    <row r="393" spans="1:17" ht="15.75" customHeight="1" x14ac:dyDescent="0.45">
      <c r="A393" s="24"/>
      <c r="B393" s="24"/>
      <c r="C393" s="146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</row>
    <row r="394" spans="1:17" ht="15.75" customHeight="1" x14ac:dyDescent="0.45">
      <c r="A394" s="24"/>
      <c r="B394" s="24"/>
      <c r="C394" s="146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</row>
    <row r="395" spans="1:17" ht="15.75" customHeight="1" x14ac:dyDescent="0.45">
      <c r="A395" s="24"/>
      <c r="B395" s="24"/>
      <c r="C395" s="146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</row>
    <row r="396" spans="1:17" ht="15.75" customHeight="1" x14ac:dyDescent="0.45">
      <c r="A396" s="24"/>
      <c r="B396" s="24"/>
      <c r="C396" s="146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</row>
    <row r="397" spans="1:17" ht="15.75" customHeight="1" x14ac:dyDescent="0.45">
      <c r="A397" s="24"/>
      <c r="B397" s="24"/>
      <c r="C397" s="146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</row>
    <row r="398" spans="1:17" ht="15.75" customHeight="1" x14ac:dyDescent="0.45">
      <c r="A398" s="24"/>
      <c r="B398" s="24"/>
      <c r="C398" s="146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</row>
    <row r="399" spans="1:17" ht="15.75" customHeight="1" x14ac:dyDescent="0.45">
      <c r="A399" s="24"/>
      <c r="B399" s="24"/>
      <c r="C399" s="146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</row>
    <row r="400" spans="1:17" ht="15.75" customHeight="1" x14ac:dyDescent="0.45">
      <c r="A400" s="24"/>
      <c r="B400" s="24"/>
      <c r="C400" s="146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</row>
    <row r="401" spans="1:17" ht="15.75" customHeight="1" x14ac:dyDescent="0.45">
      <c r="A401" s="24"/>
      <c r="B401" s="24"/>
      <c r="C401" s="146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</row>
    <row r="402" spans="1:17" ht="15.75" customHeight="1" x14ac:dyDescent="0.45">
      <c r="A402" s="24"/>
      <c r="B402" s="24"/>
      <c r="C402" s="146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</row>
    <row r="403" spans="1:17" ht="15.75" customHeight="1" x14ac:dyDescent="0.45">
      <c r="A403" s="24"/>
      <c r="B403" s="24"/>
      <c r="C403" s="146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</row>
    <row r="404" spans="1:17" ht="15.75" customHeight="1" x14ac:dyDescent="0.45">
      <c r="A404" s="24"/>
      <c r="B404" s="24"/>
      <c r="C404" s="146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</row>
    <row r="405" spans="1:17" ht="15.75" customHeight="1" x14ac:dyDescent="0.45">
      <c r="A405" s="24"/>
      <c r="B405" s="24"/>
      <c r="C405" s="146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</row>
    <row r="406" spans="1:17" ht="15.75" customHeight="1" x14ac:dyDescent="0.45">
      <c r="A406" s="24"/>
      <c r="B406" s="24"/>
      <c r="C406" s="146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</row>
    <row r="407" spans="1:17" ht="15.75" customHeight="1" x14ac:dyDescent="0.45">
      <c r="A407" s="24"/>
      <c r="B407" s="24"/>
      <c r="C407" s="146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</row>
    <row r="408" spans="1:17" ht="15.75" customHeight="1" x14ac:dyDescent="0.45">
      <c r="A408" s="24"/>
      <c r="B408" s="24"/>
      <c r="C408" s="146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</row>
    <row r="409" spans="1:17" ht="15.75" customHeight="1" x14ac:dyDescent="0.45">
      <c r="A409" s="24"/>
      <c r="B409" s="24"/>
      <c r="C409" s="146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</row>
    <row r="410" spans="1:17" ht="15.75" customHeight="1" x14ac:dyDescent="0.45">
      <c r="A410" s="24"/>
      <c r="B410" s="24"/>
      <c r="C410" s="146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</row>
    <row r="411" spans="1:17" ht="15.75" customHeight="1" x14ac:dyDescent="0.45">
      <c r="A411" s="24"/>
      <c r="B411" s="24"/>
      <c r="C411" s="146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</row>
    <row r="412" spans="1:17" ht="15.75" customHeight="1" x14ac:dyDescent="0.45">
      <c r="A412" s="24"/>
      <c r="B412" s="24"/>
      <c r="C412" s="146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</row>
    <row r="413" spans="1:17" ht="15.75" customHeight="1" x14ac:dyDescent="0.45">
      <c r="A413" s="24"/>
      <c r="B413" s="24"/>
      <c r="C413" s="146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</row>
    <row r="414" spans="1:17" ht="15.75" customHeight="1" x14ac:dyDescent="0.45">
      <c r="A414" s="24"/>
      <c r="B414" s="24"/>
      <c r="C414" s="146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</row>
    <row r="415" spans="1:17" ht="15.75" customHeight="1" x14ac:dyDescent="0.45">
      <c r="A415" s="24"/>
      <c r="B415" s="24"/>
      <c r="C415" s="146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</row>
    <row r="416" spans="1:17" ht="15.75" customHeight="1" x14ac:dyDescent="0.45">
      <c r="A416" s="24"/>
      <c r="B416" s="24"/>
      <c r="C416" s="146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</row>
    <row r="417" spans="1:17" ht="15.75" customHeight="1" x14ac:dyDescent="0.45">
      <c r="A417" s="24"/>
      <c r="B417" s="24"/>
      <c r="C417" s="146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</row>
    <row r="418" spans="1:17" ht="15.75" customHeight="1" x14ac:dyDescent="0.45">
      <c r="A418" s="24"/>
      <c r="B418" s="24"/>
      <c r="C418" s="146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</row>
    <row r="419" spans="1:17" ht="15.75" customHeight="1" x14ac:dyDescent="0.45">
      <c r="A419" s="24"/>
      <c r="B419" s="24"/>
      <c r="C419" s="146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</row>
    <row r="420" spans="1:17" ht="15.75" customHeight="1" x14ac:dyDescent="0.45">
      <c r="A420" s="24"/>
      <c r="B420" s="24"/>
      <c r="C420" s="146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</row>
    <row r="421" spans="1:17" ht="15.75" customHeight="1" x14ac:dyDescent="0.45">
      <c r="A421" s="24"/>
      <c r="B421" s="24"/>
      <c r="C421" s="146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</row>
    <row r="422" spans="1:17" ht="15.75" customHeight="1" x14ac:dyDescent="0.45">
      <c r="A422" s="24"/>
      <c r="B422" s="24"/>
      <c r="C422" s="146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</row>
    <row r="423" spans="1:17" ht="15.75" customHeight="1" x14ac:dyDescent="0.45">
      <c r="A423" s="24"/>
      <c r="B423" s="24"/>
      <c r="C423" s="146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</row>
    <row r="424" spans="1:17" ht="15.75" customHeight="1" x14ac:dyDescent="0.45">
      <c r="A424" s="24"/>
      <c r="B424" s="24"/>
      <c r="C424" s="146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</row>
    <row r="425" spans="1:17" ht="15.75" customHeight="1" x14ac:dyDescent="0.45">
      <c r="A425" s="24"/>
      <c r="B425" s="24"/>
      <c r="C425" s="146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</row>
    <row r="426" spans="1:17" ht="15.75" customHeight="1" x14ac:dyDescent="0.45">
      <c r="A426" s="24"/>
      <c r="B426" s="24"/>
      <c r="C426" s="146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</row>
    <row r="427" spans="1:17" ht="15.75" customHeight="1" x14ac:dyDescent="0.45">
      <c r="A427" s="24"/>
      <c r="B427" s="24"/>
      <c r="C427" s="146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</row>
    <row r="428" spans="1:17" ht="15.75" customHeight="1" x14ac:dyDescent="0.45">
      <c r="A428" s="24"/>
      <c r="B428" s="24"/>
      <c r="C428" s="146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</row>
    <row r="429" spans="1:17" ht="15.75" customHeight="1" x14ac:dyDescent="0.45">
      <c r="A429" s="24"/>
      <c r="B429" s="24"/>
      <c r="C429" s="146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</row>
    <row r="430" spans="1:17" ht="15.75" customHeight="1" x14ac:dyDescent="0.45">
      <c r="A430" s="24"/>
      <c r="B430" s="24"/>
      <c r="C430" s="146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</row>
    <row r="431" spans="1:17" ht="15.75" customHeight="1" x14ac:dyDescent="0.45">
      <c r="A431" s="24"/>
      <c r="B431" s="24"/>
      <c r="C431" s="146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</row>
    <row r="432" spans="1:17" ht="15.75" customHeight="1" x14ac:dyDescent="0.45">
      <c r="A432" s="24"/>
      <c r="B432" s="24"/>
      <c r="C432" s="146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</row>
    <row r="433" spans="1:17" ht="15.75" customHeight="1" x14ac:dyDescent="0.45">
      <c r="A433" s="24"/>
      <c r="B433" s="24"/>
      <c r="C433" s="146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</row>
    <row r="434" spans="1:17" ht="15.75" customHeight="1" x14ac:dyDescent="0.45">
      <c r="A434" s="24"/>
      <c r="B434" s="24"/>
      <c r="C434" s="146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</row>
    <row r="435" spans="1:17" ht="15.75" customHeight="1" x14ac:dyDescent="0.45">
      <c r="A435" s="24"/>
      <c r="B435" s="24"/>
      <c r="C435" s="146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</row>
    <row r="436" spans="1:17" ht="15.75" customHeight="1" x14ac:dyDescent="0.45">
      <c r="A436" s="24"/>
      <c r="B436" s="24"/>
      <c r="C436" s="146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</row>
    <row r="437" spans="1:17" ht="15.75" customHeight="1" x14ac:dyDescent="0.45">
      <c r="A437" s="24"/>
      <c r="B437" s="24"/>
      <c r="C437" s="146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</row>
    <row r="438" spans="1:17" ht="15.75" customHeight="1" x14ac:dyDescent="0.45">
      <c r="A438" s="24"/>
      <c r="B438" s="24"/>
      <c r="C438" s="146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</row>
    <row r="439" spans="1:17" ht="15.75" customHeight="1" x14ac:dyDescent="0.45">
      <c r="A439" s="24"/>
      <c r="B439" s="24"/>
      <c r="C439" s="146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</row>
    <row r="440" spans="1:17" ht="15.75" customHeight="1" x14ac:dyDescent="0.45">
      <c r="A440" s="24"/>
      <c r="B440" s="24"/>
      <c r="C440" s="146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</row>
    <row r="441" spans="1:17" ht="15.75" customHeight="1" x14ac:dyDescent="0.45">
      <c r="A441" s="24"/>
      <c r="B441" s="24"/>
      <c r="C441" s="146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</row>
    <row r="442" spans="1:17" ht="15.75" customHeight="1" x14ac:dyDescent="0.45">
      <c r="A442" s="24"/>
      <c r="B442" s="24"/>
      <c r="C442" s="146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</row>
    <row r="443" spans="1:17" ht="15.75" customHeight="1" x14ac:dyDescent="0.45">
      <c r="A443" s="24"/>
      <c r="B443" s="24"/>
      <c r="C443" s="146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</row>
    <row r="444" spans="1:17" ht="15.75" customHeight="1" x14ac:dyDescent="0.45">
      <c r="A444" s="24"/>
      <c r="B444" s="24"/>
      <c r="C444" s="146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</row>
    <row r="445" spans="1:17" ht="15.75" customHeight="1" x14ac:dyDescent="0.45">
      <c r="A445" s="24"/>
      <c r="B445" s="24"/>
      <c r="C445" s="146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</row>
    <row r="446" spans="1:17" ht="15.75" customHeight="1" x14ac:dyDescent="0.45">
      <c r="A446" s="24"/>
      <c r="B446" s="24"/>
      <c r="C446" s="146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</row>
    <row r="447" spans="1:17" ht="15.75" customHeight="1" x14ac:dyDescent="0.45">
      <c r="A447" s="24"/>
      <c r="B447" s="24"/>
      <c r="C447" s="146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</row>
    <row r="448" spans="1:17" ht="15.75" customHeight="1" x14ac:dyDescent="0.45">
      <c r="A448" s="24"/>
      <c r="B448" s="24"/>
      <c r="C448" s="146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</row>
    <row r="449" spans="1:17" ht="15.75" customHeight="1" x14ac:dyDescent="0.45">
      <c r="A449" s="24"/>
      <c r="B449" s="24"/>
      <c r="C449" s="146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</row>
    <row r="450" spans="1:17" ht="15.75" customHeight="1" x14ac:dyDescent="0.45">
      <c r="A450" s="24"/>
      <c r="B450" s="24"/>
      <c r="C450" s="146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</row>
    <row r="451" spans="1:17" ht="15.75" customHeight="1" x14ac:dyDescent="0.45">
      <c r="A451" s="24"/>
      <c r="B451" s="24"/>
      <c r="C451" s="146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</row>
    <row r="452" spans="1:17" ht="15.75" customHeight="1" x14ac:dyDescent="0.45">
      <c r="A452" s="24"/>
      <c r="B452" s="24"/>
      <c r="C452" s="146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</row>
    <row r="453" spans="1:17" ht="15.75" customHeight="1" x14ac:dyDescent="0.45">
      <c r="A453" s="24"/>
      <c r="B453" s="24"/>
      <c r="C453" s="146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</row>
    <row r="454" spans="1:17" ht="15.75" customHeight="1" x14ac:dyDescent="0.45">
      <c r="A454" s="24"/>
      <c r="B454" s="24"/>
      <c r="C454" s="146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</row>
    <row r="455" spans="1:17" ht="15.75" customHeight="1" x14ac:dyDescent="0.45">
      <c r="A455" s="24"/>
      <c r="B455" s="24"/>
      <c r="C455" s="146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</row>
    <row r="456" spans="1:17" ht="15.75" customHeight="1" x14ac:dyDescent="0.45">
      <c r="A456" s="24"/>
      <c r="B456" s="24"/>
      <c r="C456" s="146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</row>
    <row r="457" spans="1:17" ht="15.75" customHeight="1" x14ac:dyDescent="0.45">
      <c r="A457" s="24"/>
      <c r="B457" s="24"/>
      <c r="C457" s="146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</row>
    <row r="458" spans="1:17" ht="15.75" customHeight="1" x14ac:dyDescent="0.45">
      <c r="A458" s="24"/>
      <c r="B458" s="24"/>
      <c r="C458" s="146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</row>
    <row r="459" spans="1:17" ht="15.75" customHeight="1" x14ac:dyDescent="0.45">
      <c r="A459" s="24"/>
      <c r="B459" s="24"/>
      <c r="C459" s="146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</row>
    <row r="460" spans="1:17" ht="15.75" customHeight="1" x14ac:dyDescent="0.45">
      <c r="A460" s="24"/>
      <c r="B460" s="24"/>
      <c r="C460" s="146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</row>
    <row r="461" spans="1:17" ht="15.75" customHeight="1" x14ac:dyDescent="0.45">
      <c r="A461" s="24"/>
      <c r="B461" s="24"/>
      <c r="C461" s="146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</row>
    <row r="462" spans="1:17" ht="15.75" customHeight="1" x14ac:dyDescent="0.45"/>
    <row r="463" spans="1:17" ht="15.75" customHeight="1" x14ac:dyDescent="0.45"/>
    <row r="464" spans="1:17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247F2-0216-40EF-8E3F-E814A65F3667}">
  <dimension ref="A1:T999"/>
  <sheetViews>
    <sheetView topLeftCell="A170" zoomScaleNormal="100" workbookViewId="0">
      <selection activeCell="B187" sqref="B187:E234"/>
    </sheetView>
  </sheetViews>
  <sheetFormatPr baseColWidth="10" defaultColWidth="14.3984375" defaultRowHeight="10.5" x14ac:dyDescent="0.35"/>
  <cols>
    <col min="1" max="1" width="17.86328125" style="23" bestFit="1" customWidth="1"/>
    <col min="2" max="2" width="9.6640625" style="24" bestFit="1" customWidth="1"/>
    <col min="3" max="3" width="24.1328125" style="24" bestFit="1" customWidth="1"/>
    <col min="4" max="4" width="9.6640625" style="24" bestFit="1" customWidth="1"/>
    <col min="5" max="5" width="11.3984375" style="72" customWidth="1"/>
    <col min="6" max="6" width="10.6640625" style="72" bestFit="1" customWidth="1"/>
    <col min="7" max="7" width="14.73046875" style="72" bestFit="1" customWidth="1"/>
    <col min="8" max="8" width="17.265625" style="72" bestFit="1" customWidth="1"/>
    <col min="9" max="9" width="15.06640625" style="72" bestFit="1" customWidth="1"/>
    <col min="10" max="10" width="4.6640625" style="72" bestFit="1" customWidth="1"/>
    <col min="11" max="11" width="16.9296875" style="72" bestFit="1" customWidth="1"/>
    <col min="12" max="12" width="7.1328125" style="72" bestFit="1" customWidth="1"/>
    <col min="13" max="13" width="10.6640625" style="72" bestFit="1" customWidth="1"/>
    <col min="14" max="14" width="10.73046875" style="72" bestFit="1" customWidth="1"/>
    <col min="15" max="15" width="11.06640625" style="72" bestFit="1" customWidth="1"/>
    <col min="16" max="16" width="10.265625" style="72" bestFit="1" customWidth="1"/>
    <col min="17" max="17" width="10.73046875" style="72" customWidth="1"/>
    <col min="18" max="18" width="8.53125" style="72" bestFit="1" customWidth="1"/>
    <col min="19" max="19" width="9.33203125" style="72" bestFit="1" customWidth="1"/>
    <col min="20" max="20" width="8.59765625" style="72" bestFit="1" customWidth="1"/>
    <col min="21" max="27" width="10.73046875" style="24" customWidth="1"/>
    <col min="28" max="16384" width="14.3984375" style="24"/>
  </cols>
  <sheetData>
    <row r="1" spans="1:20" x14ac:dyDescent="0.35">
      <c r="B1" s="581" t="s">
        <v>60</v>
      </c>
      <c r="C1" s="582"/>
      <c r="D1" s="23"/>
      <c r="E1" s="146"/>
      <c r="F1" s="146"/>
      <c r="G1" s="146"/>
    </row>
    <row r="2" spans="1:20" x14ac:dyDescent="0.35">
      <c r="B2" s="581" t="s">
        <v>184</v>
      </c>
      <c r="C2" s="583"/>
      <c r="D2" s="23"/>
      <c r="E2" s="146"/>
      <c r="F2" s="146"/>
      <c r="G2" s="146"/>
    </row>
    <row r="3" spans="1:20" x14ac:dyDescent="0.35">
      <c r="B3" s="581" t="s">
        <v>185</v>
      </c>
      <c r="C3" s="582"/>
      <c r="D3" s="23"/>
      <c r="E3" s="146"/>
      <c r="F3" s="146"/>
      <c r="G3" s="146"/>
    </row>
    <row r="4" spans="1:20" x14ac:dyDescent="0.35">
      <c r="B4" s="581" t="s">
        <v>186</v>
      </c>
      <c r="C4" s="582"/>
      <c r="D4" s="23" t="s">
        <v>187</v>
      </c>
      <c r="E4" s="146"/>
      <c r="F4" s="146"/>
      <c r="G4" s="146"/>
    </row>
    <row r="5" spans="1:20" x14ac:dyDescent="0.35">
      <c r="B5" s="581" t="s">
        <v>188</v>
      </c>
      <c r="C5" s="582"/>
      <c r="D5" s="23" t="s">
        <v>187</v>
      </c>
      <c r="E5" s="146"/>
      <c r="F5" s="146"/>
      <c r="G5" s="146"/>
    </row>
    <row r="6" spans="1:20" x14ac:dyDescent="0.35">
      <c r="B6" s="590" t="s">
        <v>189</v>
      </c>
      <c r="C6" s="591" t="s">
        <v>1072</v>
      </c>
      <c r="D6" s="592">
        <f>'e402-e801'!C6</f>
        <v>0</v>
      </c>
      <c r="E6" s="518" t="s">
        <v>1073</v>
      </c>
      <c r="F6" s="595">
        <f>'e402-e801'!E6</f>
        <v>0</v>
      </c>
      <c r="G6" s="146"/>
    </row>
    <row r="8" spans="1:20" ht="42" x14ac:dyDescent="0.35">
      <c r="B8" s="593" t="s">
        <v>192</v>
      </c>
      <c r="C8" s="593" t="s">
        <v>191</v>
      </c>
      <c r="D8" s="593" t="s">
        <v>55</v>
      </c>
      <c r="E8" s="698" t="s">
        <v>54</v>
      </c>
      <c r="F8" s="571" t="s">
        <v>193</v>
      </c>
      <c r="G8" s="698" t="s">
        <v>53</v>
      </c>
      <c r="H8" s="699" t="s">
        <v>52</v>
      </c>
      <c r="I8" s="698" t="s">
        <v>656</v>
      </c>
      <c r="J8" s="698"/>
      <c r="K8" s="699" t="s">
        <v>50</v>
      </c>
      <c r="L8" s="699" t="s">
        <v>49</v>
      </c>
      <c r="M8" s="699" t="s">
        <v>48</v>
      </c>
      <c r="N8" s="479" t="s">
        <v>162</v>
      </c>
      <c r="O8" s="281" t="s">
        <v>163</v>
      </c>
      <c r="P8" s="281" t="s">
        <v>165</v>
      </c>
      <c r="Q8" s="282" t="s">
        <v>169</v>
      </c>
      <c r="R8" s="282" t="s">
        <v>164</v>
      </c>
      <c r="S8" s="279" t="s">
        <v>47</v>
      </c>
      <c r="T8" s="19" t="s">
        <v>46</v>
      </c>
    </row>
    <row r="9" spans="1:20" x14ac:dyDescent="0.35">
      <c r="A9" s="707" t="s">
        <v>643</v>
      </c>
      <c r="B9" s="471">
        <v>8443432190</v>
      </c>
      <c r="C9" s="594" t="s">
        <v>871</v>
      </c>
      <c r="D9" s="42">
        <v>300</v>
      </c>
      <c r="E9" s="63">
        <v>112</v>
      </c>
      <c r="F9" s="700">
        <f>'e402-e801'!F9</f>
        <v>0</v>
      </c>
      <c r="G9" s="57">
        <f>F9/D9</f>
        <v>0</v>
      </c>
      <c r="H9" s="60">
        <f>(30*BC!$B$47/E9)</f>
        <v>0</v>
      </c>
      <c r="I9" s="701">
        <f>IF(H9&gt;G9,H9,G9)</f>
        <v>0</v>
      </c>
      <c r="J9" s="701">
        <f>IF(G9=0,0,I9)</f>
        <v>0</v>
      </c>
      <c r="K9" s="216">
        <f>ROUNDUP(J9,0)</f>
        <v>0</v>
      </c>
      <c r="L9" s="702">
        <v>408</v>
      </c>
      <c r="M9" s="703">
        <f>L9*K9</f>
        <v>0</v>
      </c>
      <c r="N9" s="704">
        <f>L9/D9</f>
        <v>1.36</v>
      </c>
      <c r="O9" s="705" t="e">
        <f>(N9+$M$265)+((BC!$F$125)/$F$112)</f>
        <v>#DIV/0!</v>
      </c>
      <c r="P9" s="149" t="e">
        <f>O9*F9</f>
        <v>#DIV/0!</v>
      </c>
      <c r="Q9" s="393" t="e">
        <f>((O9*0.15)+O9)</f>
        <v>#DIV/0!</v>
      </c>
      <c r="R9" s="393" t="e">
        <f>Q9*F9</f>
        <v>#DIV/0!</v>
      </c>
      <c r="S9" s="596" t="e">
        <f>SUM(R9:R67)</f>
        <v>#DIV/0!</v>
      </c>
      <c r="T9" s="597" t="e">
        <f>SUM(P9:P67)</f>
        <v>#DIV/0!</v>
      </c>
    </row>
    <row r="10" spans="1:20" x14ac:dyDescent="0.35">
      <c r="A10" s="707">
        <f>F9+F10+F11+F12+F13+F14+F18+F19+F20+F21+F22+F23+F24+F25+F27+F33+F34+F49+F67</f>
        <v>0</v>
      </c>
      <c r="B10" s="471">
        <v>9007733190</v>
      </c>
      <c r="C10" s="594" t="s">
        <v>872</v>
      </c>
      <c r="D10" s="42">
        <v>300</v>
      </c>
      <c r="E10" s="1">
        <v>112</v>
      </c>
      <c r="F10" s="700">
        <f>'e402-e801'!F10</f>
        <v>0</v>
      </c>
      <c r="G10" s="57">
        <f t="shared" ref="G10:G71" si="0">F10/D10</f>
        <v>0</v>
      </c>
      <c r="H10" s="60">
        <f>(30*BC!$B$47/E10)</f>
        <v>0</v>
      </c>
      <c r="I10" s="701">
        <f t="shared" ref="I10:I71" si="1">IF(H10&gt;G10,H10,G10)</f>
        <v>0</v>
      </c>
      <c r="J10" s="701">
        <f t="shared" ref="J10:J71" si="2">IF(G10=0,0,I10)</f>
        <v>0</v>
      </c>
      <c r="K10" s="216">
        <f t="shared" ref="K10:K71" si="3">ROUNDUP(J10,0)</f>
        <v>0</v>
      </c>
      <c r="L10" s="702">
        <v>558</v>
      </c>
      <c r="M10" s="703">
        <f t="shared" ref="M10:M71" si="4">L10*K10</f>
        <v>0</v>
      </c>
      <c r="N10" s="704">
        <f t="shared" ref="N10:N71" si="5">L10/D10</f>
        <v>1.86</v>
      </c>
      <c r="O10" s="705" t="e">
        <f>(N10+$M$265)+((BC!$F$125)/$F$112)</f>
        <v>#DIV/0!</v>
      </c>
      <c r="P10" s="149" t="e">
        <f t="shared" ref="P10:P71" si="6">O10*F10</f>
        <v>#DIV/0!</v>
      </c>
      <c r="Q10" s="393" t="e">
        <f t="shared" ref="Q10:Q71" si="7">((O10*0.15)+O10)</f>
        <v>#DIV/0!</v>
      </c>
      <c r="R10" s="393" t="e">
        <f t="shared" ref="R10:R71" si="8">Q10*F10</f>
        <v>#DIV/0!</v>
      </c>
    </row>
    <row r="11" spans="1:20" x14ac:dyDescent="0.35">
      <c r="B11" s="471">
        <v>9007784190</v>
      </c>
      <c r="C11" s="594" t="s">
        <v>873</v>
      </c>
      <c r="D11" s="42">
        <v>300</v>
      </c>
      <c r="E11" s="1">
        <v>112</v>
      </c>
      <c r="F11" s="700">
        <f>'e402-e801'!F11</f>
        <v>0</v>
      </c>
      <c r="G11" s="57">
        <f t="shared" si="0"/>
        <v>0</v>
      </c>
      <c r="H11" s="60">
        <f>(30*BC!$B$47/E11)</f>
        <v>0</v>
      </c>
      <c r="I11" s="701">
        <f t="shared" si="1"/>
        <v>0</v>
      </c>
      <c r="J11" s="701">
        <f t="shared" si="2"/>
        <v>0</v>
      </c>
      <c r="K11" s="216">
        <f t="shared" si="3"/>
        <v>0</v>
      </c>
      <c r="L11" s="702">
        <v>564</v>
      </c>
      <c r="M11" s="703">
        <f t="shared" si="4"/>
        <v>0</v>
      </c>
      <c r="N11" s="704">
        <f t="shared" si="5"/>
        <v>1.88</v>
      </c>
      <c r="O11" s="705" t="e">
        <f>(N11+$M$265)+((BC!$F$125)/$F$112)</f>
        <v>#DIV/0!</v>
      </c>
      <c r="P11" s="149" t="e">
        <f t="shared" si="6"/>
        <v>#DIV/0!</v>
      </c>
      <c r="Q11" s="393" t="e">
        <f t="shared" si="7"/>
        <v>#DIV/0!</v>
      </c>
      <c r="R11" s="393" t="e">
        <f t="shared" si="8"/>
        <v>#DIV/0!</v>
      </c>
    </row>
    <row r="12" spans="1:20" x14ac:dyDescent="0.35">
      <c r="A12" s="708" t="s">
        <v>641</v>
      </c>
      <c r="B12" s="471">
        <v>9005811190</v>
      </c>
      <c r="C12" s="594" t="s">
        <v>874</v>
      </c>
      <c r="D12" s="42">
        <v>300</v>
      </c>
      <c r="E12" s="1">
        <v>112</v>
      </c>
      <c r="F12" s="700">
        <f>'e402-e801'!F12</f>
        <v>0</v>
      </c>
      <c r="G12" s="57">
        <f t="shared" si="0"/>
        <v>0</v>
      </c>
      <c r="H12" s="60">
        <f>(30*BC!$B$47/E12)</f>
        <v>0</v>
      </c>
      <c r="I12" s="701">
        <f t="shared" si="1"/>
        <v>0</v>
      </c>
      <c r="J12" s="701">
        <f t="shared" si="2"/>
        <v>0</v>
      </c>
      <c r="K12" s="216">
        <f t="shared" si="3"/>
        <v>0</v>
      </c>
      <c r="L12" s="702">
        <v>564</v>
      </c>
      <c r="M12" s="703">
        <f t="shared" si="4"/>
        <v>0</v>
      </c>
      <c r="N12" s="704">
        <f t="shared" si="5"/>
        <v>1.88</v>
      </c>
      <c r="O12" s="705" t="e">
        <f>(N12+$M$265)+((BC!$F$125)/$F$112)</f>
        <v>#DIV/0!</v>
      </c>
      <c r="P12" s="149" t="e">
        <f t="shared" si="6"/>
        <v>#DIV/0!</v>
      </c>
      <c r="Q12" s="393" t="e">
        <f t="shared" si="7"/>
        <v>#DIV/0!</v>
      </c>
      <c r="R12" s="393" t="e">
        <f t="shared" si="8"/>
        <v>#DIV/0!</v>
      </c>
    </row>
    <row r="13" spans="1:20" x14ac:dyDescent="0.35">
      <c r="A13" s="708">
        <f>F15+F16+F17</f>
        <v>0</v>
      </c>
      <c r="B13" s="471">
        <v>9043284190</v>
      </c>
      <c r="C13" s="594" t="s">
        <v>875</v>
      </c>
      <c r="D13" s="42">
        <v>300</v>
      </c>
      <c r="E13" s="1">
        <v>112</v>
      </c>
      <c r="F13" s="700">
        <f>'e402-e801'!F13</f>
        <v>0</v>
      </c>
      <c r="G13" s="57">
        <f t="shared" si="0"/>
        <v>0</v>
      </c>
      <c r="H13" s="60">
        <f>(30*BC!$B$47/E13)</f>
        <v>0</v>
      </c>
      <c r="I13" s="701">
        <f t="shared" si="1"/>
        <v>0</v>
      </c>
      <c r="J13" s="701">
        <f t="shared" si="2"/>
        <v>0</v>
      </c>
      <c r="K13" s="216">
        <f t="shared" si="3"/>
        <v>0</v>
      </c>
      <c r="L13" s="702">
        <v>564</v>
      </c>
      <c r="M13" s="703">
        <f t="shared" si="4"/>
        <v>0</v>
      </c>
      <c r="N13" s="704">
        <f t="shared" si="5"/>
        <v>1.88</v>
      </c>
      <c r="O13" s="705" t="e">
        <f>(N13+$M$265)+((BC!$F$125)/$F$112)</f>
        <v>#DIV/0!</v>
      </c>
      <c r="P13" s="149" t="e">
        <f t="shared" si="6"/>
        <v>#DIV/0!</v>
      </c>
      <c r="Q13" s="393" t="e">
        <f t="shared" si="7"/>
        <v>#DIV/0!</v>
      </c>
      <c r="R13" s="393" t="e">
        <f t="shared" si="8"/>
        <v>#DIV/0!</v>
      </c>
    </row>
    <row r="14" spans="1:20" x14ac:dyDescent="0.35">
      <c r="A14" s="709" t="s">
        <v>1074</v>
      </c>
      <c r="B14" s="471">
        <v>8906564190</v>
      </c>
      <c r="C14" s="594" t="s">
        <v>876</v>
      </c>
      <c r="D14" s="42">
        <v>300</v>
      </c>
      <c r="E14" s="1">
        <v>112</v>
      </c>
      <c r="F14" s="700">
        <f>'e402-e801'!F14</f>
        <v>0</v>
      </c>
      <c r="G14" s="57">
        <f t="shared" si="0"/>
        <v>0</v>
      </c>
      <c r="H14" s="60">
        <f>(30*BC!$B$47/E14)</f>
        <v>0</v>
      </c>
      <c r="I14" s="701">
        <f t="shared" si="1"/>
        <v>0</v>
      </c>
      <c r="J14" s="701">
        <f t="shared" si="2"/>
        <v>0</v>
      </c>
      <c r="K14" s="216">
        <f t="shared" si="3"/>
        <v>0</v>
      </c>
      <c r="L14" s="702">
        <v>555</v>
      </c>
      <c r="M14" s="703">
        <f t="shared" si="4"/>
        <v>0</v>
      </c>
      <c r="N14" s="704">
        <f t="shared" si="5"/>
        <v>1.85</v>
      </c>
      <c r="O14" s="705" t="e">
        <f>(N14+$M$265)+((BC!$F$125)/$F$112)</f>
        <v>#DIV/0!</v>
      </c>
      <c r="P14" s="149" t="e">
        <f t="shared" si="6"/>
        <v>#DIV/0!</v>
      </c>
      <c r="Q14" s="393" t="e">
        <f t="shared" si="7"/>
        <v>#DIV/0!</v>
      </c>
      <c r="R14" s="393" t="e">
        <f t="shared" si="8"/>
        <v>#DIV/0!</v>
      </c>
    </row>
    <row r="15" spans="1:20" x14ac:dyDescent="0.35">
      <c r="A15" s="709">
        <f>F26+F39+F40+F41+F42+F43+F44+F45+F46+F47+F48</f>
        <v>0</v>
      </c>
      <c r="B15" s="471">
        <v>7026935190</v>
      </c>
      <c r="C15" s="598" t="s">
        <v>877</v>
      </c>
      <c r="D15" s="42">
        <v>300</v>
      </c>
      <c r="E15" s="1">
        <v>112</v>
      </c>
      <c r="F15" s="700">
        <f>'e402-e801'!F15</f>
        <v>0</v>
      </c>
      <c r="G15" s="57">
        <f t="shared" si="0"/>
        <v>0</v>
      </c>
      <c r="H15" s="60">
        <f>(30*BC!$B$47/E15)</f>
        <v>0</v>
      </c>
      <c r="I15" s="701">
        <f t="shared" si="1"/>
        <v>0</v>
      </c>
      <c r="J15" s="701">
        <f t="shared" si="2"/>
        <v>0</v>
      </c>
      <c r="K15" s="216">
        <f t="shared" si="3"/>
        <v>0</v>
      </c>
      <c r="L15" s="702">
        <v>1644</v>
      </c>
      <c r="M15" s="703">
        <f t="shared" si="4"/>
        <v>0</v>
      </c>
      <c r="N15" s="704">
        <f t="shared" si="5"/>
        <v>5.48</v>
      </c>
      <c r="O15" s="705" t="e">
        <f>(N15+$M$265)+((BC!$F$125)/$F$112)</f>
        <v>#DIV/0!</v>
      </c>
      <c r="P15" s="149" t="e">
        <f t="shared" si="6"/>
        <v>#DIV/0!</v>
      </c>
      <c r="Q15" s="393" t="e">
        <f t="shared" si="7"/>
        <v>#DIV/0!</v>
      </c>
      <c r="R15" s="393" t="e">
        <f t="shared" si="8"/>
        <v>#DIV/0!</v>
      </c>
    </row>
    <row r="16" spans="1:20" x14ac:dyDescent="0.35">
      <c r="B16" s="471">
        <v>9005021190</v>
      </c>
      <c r="C16" s="598" t="s">
        <v>878</v>
      </c>
      <c r="D16" s="42">
        <v>300</v>
      </c>
      <c r="E16" s="1">
        <v>112</v>
      </c>
      <c r="F16" s="700">
        <f>'e402-e801'!F16</f>
        <v>0</v>
      </c>
      <c r="G16" s="57">
        <f t="shared" si="0"/>
        <v>0</v>
      </c>
      <c r="H16" s="60">
        <f>(30*BC!$B$47/E16)</f>
        <v>0</v>
      </c>
      <c r="I16" s="701">
        <f t="shared" si="1"/>
        <v>0</v>
      </c>
      <c r="J16" s="701">
        <f t="shared" si="2"/>
        <v>0</v>
      </c>
      <c r="K16" s="216">
        <f t="shared" si="3"/>
        <v>0</v>
      </c>
      <c r="L16" s="702">
        <v>1461</v>
      </c>
      <c r="M16" s="703">
        <f t="shared" si="4"/>
        <v>0</v>
      </c>
      <c r="N16" s="704">
        <f t="shared" si="5"/>
        <v>4.87</v>
      </c>
      <c r="O16" s="705" t="e">
        <f>(N16+$M$265)+((BC!$F$125)/$F$112)</f>
        <v>#DIV/0!</v>
      </c>
      <c r="P16" s="149" t="e">
        <f t="shared" si="6"/>
        <v>#DIV/0!</v>
      </c>
      <c r="Q16" s="393" t="e">
        <f t="shared" si="7"/>
        <v>#DIV/0!</v>
      </c>
      <c r="R16" s="393" t="e">
        <f t="shared" si="8"/>
        <v>#DIV/0!</v>
      </c>
    </row>
    <row r="17" spans="1:18" x14ac:dyDescent="0.35">
      <c r="A17" s="710" t="s">
        <v>1075</v>
      </c>
      <c r="B17" s="471">
        <v>8496633190</v>
      </c>
      <c r="C17" s="598" t="s">
        <v>879</v>
      </c>
      <c r="D17" s="42">
        <v>100</v>
      </c>
      <c r="E17" s="1">
        <v>112</v>
      </c>
      <c r="F17" s="700">
        <f>'e402-e801'!F17</f>
        <v>0</v>
      </c>
      <c r="G17" s="57">
        <f t="shared" si="0"/>
        <v>0</v>
      </c>
      <c r="H17" s="60">
        <f>(30*BC!$B$47/E17)</f>
        <v>0</v>
      </c>
      <c r="I17" s="701">
        <f t="shared" si="1"/>
        <v>0</v>
      </c>
      <c r="J17" s="701">
        <f t="shared" si="2"/>
        <v>0</v>
      </c>
      <c r="K17" s="216">
        <f t="shared" si="3"/>
        <v>0</v>
      </c>
      <c r="L17" s="702">
        <v>4965</v>
      </c>
      <c r="M17" s="703">
        <f t="shared" si="4"/>
        <v>0</v>
      </c>
      <c r="N17" s="704">
        <f t="shared" si="5"/>
        <v>49.65</v>
      </c>
      <c r="O17" s="705" t="e">
        <f>(N17+$M$265)+((BC!$F$125)/$F$112)</f>
        <v>#DIV/0!</v>
      </c>
      <c r="P17" s="149" t="e">
        <f t="shared" si="6"/>
        <v>#DIV/0!</v>
      </c>
      <c r="Q17" s="393" t="e">
        <f t="shared" si="7"/>
        <v>#DIV/0!</v>
      </c>
      <c r="R17" s="393" t="e">
        <f t="shared" si="8"/>
        <v>#DIV/0!</v>
      </c>
    </row>
    <row r="18" spans="1:18" x14ac:dyDescent="0.35">
      <c r="A18" s="711">
        <f>F28+F29+F102</f>
        <v>0</v>
      </c>
      <c r="B18" s="471">
        <v>7027575190</v>
      </c>
      <c r="C18" s="599" t="s">
        <v>880</v>
      </c>
      <c r="D18" s="42">
        <v>300</v>
      </c>
      <c r="E18" s="1">
        <v>112</v>
      </c>
      <c r="F18" s="700">
        <f>'e402-e801'!F18</f>
        <v>0</v>
      </c>
      <c r="G18" s="57">
        <f t="shared" si="0"/>
        <v>0</v>
      </c>
      <c r="H18" s="60">
        <f>(30*BC!$B$47/E18)</f>
        <v>0</v>
      </c>
      <c r="I18" s="701">
        <f t="shared" si="1"/>
        <v>0</v>
      </c>
      <c r="J18" s="701">
        <f t="shared" si="2"/>
        <v>0</v>
      </c>
      <c r="K18" s="216">
        <f t="shared" si="3"/>
        <v>0</v>
      </c>
      <c r="L18" s="702">
        <v>351</v>
      </c>
      <c r="M18" s="703">
        <f t="shared" si="4"/>
        <v>0</v>
      </c>
      <c r="N18" s="704">
        <f t="shared" si="5"/>
        <v>1.17</v>
      </c>
      <c r="O18" s="705" t="e">
        <f>(N18+$M$265)+((BC!$F$125)/$F$112)</f>
        <v>#DIV/0!</v>
      </c>
      <c r="P18" s="149" t="e">
        <f t="shared" si="6"/>
        <v>#DIV/0!</v>
      </c>
      <c r="Q18" s="393" t="e">
        <f t="shared" si="7"/>
        <v>#DIV/0!</v>
      </c>
      <c r="R18" s="393" t="e">
        <f t="shared" si="8"/>
        <v>#DIV/0!</v>
      </c>
    </row>
    <row r="19" spans="1:18" x14ac:dyDescent="0.35">
      <c r="B19" s="471">
        <v>8932387190</v>
      </c>
      <c r="C19" s="599" t="s">
        <v>881</v>
      </c>
      <c r="D19" s="42">
        <v>300</v>
      </c>
      <c r="E19" s="1">
        <v>112</v>
      </c>
      <c r="F19" s="700">
        <f>'e402-e801'!F19</f>
        <v>0</v>
      </c>
      <c r="G19" s="57">
        <f t="shared" si="0"/>
        <v>0</v>
      </c>
      <c r="H19" s="60">
        <f>(30*BC!$B$47/E19)</f>
        <v>0</v>
      </c>
      <c r="I19" s="701">
        <f t="shared" si="1"/>
        <v>0</v>
      </c>
      <c r="J19" s="701">
        <f t="shared" si="2"/>
        <v>0</v>
      </c>
      <c r="K19" s="216">
        <f t="shared" si="3"/>
        <v>0</v>
      </c>
      <c r="L19" s="702">
        <v>705</v>
      </c>
      <c r="M19" s="703">
        <f t="shared" si="4"/>
        <v>0</v>
      </c>
      <c r="N19" s="704">
        <f t="shared" si="5"/>
        <v>2.35</v>
      </c>
      <c r="O19" s="705" t="e">
        <f>(N19+$M$265)+((BC!$F$125)/$F$112)</f>
        <v>#DIV/0!</v>
      </c>
      <c r="P19" s="149" t="e">
        <f t="shared" si="6"/>
        <v>#DIV/0!</v>
      </c>
      <c r="Q19" s="393" t="e">
        <f t="shared" si="7"/>
        <v>#DIV/0!</v>
      </c>
      <c r="R19" s="393" t="e">
        <f t="shared" si="8"/>
        <v>#DIV/0!</v>
      </c>
    </row>
    <row r="20" spans="1:18" ht="15.75" customHeight="1" x14ac:dyDescent="0.35">
      <c r="A20" s="712" t="s">
        <v>1076</v>
      </c>
      <c r="B20" s="471">
        <v>7027249190</v>
      </c>
      <c r="C20" s="599" t="s">
        <v>882</v>
      </c>
      <c r="D20" s="42">
        <v>300</v>
      </c>
      <c r="E20" s="1">
        <v>112</v>
      </c>
      <c r="F20" s="700">
        <f>'e402-e801'!F20</f>
        <v>0</v>
      </c>
      <c r="G20" s="57">
        <f t="shared" si="0"/>
        <v>0</v>
      </c>
      <c r="H20" s="60">
        <f>(30*BC!$B$47/E20)</f>
        <v>0</v>
      </c>
      <c r="I20" s="701">
        <f t="shared" si="1"/>
        <v>0</v>
      </c>
      <c r="J20" s="701">
        <f t="shared" si="2"/>
        <v>0</v>
      </c>
      <c r="K20" s="216">
        <f t="shared" si="3"/>
        <v>0</v>
      </c>
      <c r="L20" s="702">
        <v>497</v>
      </c>
      <c r="M20" s="703">
        <f t="shared" si="4"/>
        <v>0</v>
      </c>
      <c r="N20" s="704">
        <f t="shared" si="5"/>
        <v>1.6566666666666667</v>
      </c>
      <c r="O20" s="705" t="e">
        <f>(N20+$M$265)+((BC!$F$125)/$F$112)</f>
        <v>#DIV/0!</v>
      </c>
      <c r="P20" s="149" t="e">
        <f t="shared" si="6"/>
        <v>#DIV/0!</v>
      </c>
      <c r="Q20" s="393" t="e">
        <f t="shared" si="7"/>
        <v>#DIV/0!</v>
      </c>
      <c r="R20" s="393" t="e">
        <f t="shared" si="8"/>
        <v>#DIV/0!</v>
      </c>
    </row>
    <row r="21" spans="1:18" ht="15.75" customHeight="1" x14ac:dyDescent="0.35">
      <c r="A21" s="712">
        <f>F30+F31+F32+F36+F62</f>
        <v>0</v>
      </c>
      <c r="B21" s="471">
        <v>9755748190</v>
      </c>
      <c r="C21" s="599" t="s">
        <v>883</v>
      </c>
      <c r="D21" s="42">
        <v>100</v>
      </c>
      <c r="E21" s="1">
        <v>112</v>
      </c>
      <c r="F21" s="700">
        <f>'e402-e801'!F21</f>
        <v>0</v>
      </c>
      <c r="G21" s="57">
        <f t="shared" si="0"/>
        <v>0</v>
      </c>
      <c r="H21" s="60">
        <f>(30*BC!$B$47/E21)</f>
        <v>0</v>
      </c>
      <c r="I21" s="701">
        <f t="shared" si="1"/>
        <v>0</v>
      </c>
      <c r="J21" s="701">
        <f t="shared" si="2"/>
        <v>0</v>
      </c>
      <c r="K21" s="216">
        <f t="shared" si="3"/>
        <v>0</v>
      </c>
      <c r="L21" s="702">
        <v>120</v>
      </c>
      <c r="M21" s="703">
        <f t="shared" si="4"/>
        <v>0</v>
      </c>
      <c r="N21" s="704">
        <f t="shared" si="5"/>
        <v>1.2</v>
      </c>
      <c r="O21" s="705" t="e">
        <f>(N21+$M$265)+((BC!$F$125)/$F$112)</f>
        <v>#DIV/0!</v>
      </c>
      <c r="P21" s="149" t="e">
        <f t="shared" si="6"/>
        <v>#DIV/0!</v>
      </c>
      <c r="Q21" s="393" t="e">
        <f t="shared" si="7"/>
        <v>#DIV/0!</v>
      </c>
      <c r="R21" s="393" t="e">
        <f t="shared" si="8"/>
        <v>#DIV/0!</v>
      </c>
    </row>
    <row r="22" spans="1:18" ht="15.75" customHeight="1" x14ac:dyDescent="0.35">
      <c r="B22" s="471">
        <v>7027737190</v>
      </c>
      <c r="C22" s="599" t="s">
        <v>884</v>
      </c>
      <c r="D22" s="42">
        <v>300</v>
      </c>
      <c r="E22" s="1">
        <v>112</v>
      </c>
      <c r="F22" s="700">
        <f>'e402-e801'!F22</f>
        <v>0</v>
      </c>
      <c r="G22" s="57">
        <f t="shared" si="0"/>
        <v>0</v>
      </c>
      <c r="H22" s="60">
        <f>(30*BC!$B$47/E22)</f>
        <v>0</v>
      </c>
      <c r="I22" s="701">
        <f t="shared" si="1"/>
        <v>0</v>
      </c>
      <c r="J22" s="701">
        <f t="shared" si="2"/>
        <v>0</v>
      </c>
      <c r="K22" s="216">
        <f t="shared" si="3"/>
        <v>0</v>
      </c>
      <c r="L22" s="702">
        <v>366</v>
      </c>
      <c r="M22" s="703">
        <f t="shared" si="4"/>
        <v>0</v>
      </c>
      <c r="N22" s="704">
        <f t="shared" si="5"/>
        <v>1.22</v>
      </c>
      <c r="O22" s="705" t="e">
        <f>(N22+$M$265)+((BC!$F$125)/$F$112)</f>
        <v>#DIV/0!</v>
      </c>
      <c r="P22" s="149" t="e">
        <f t="shared" si="6"/>
        <v>#DIV/0!</v>
      </c>
      <c r="Q22" s="393" t="e">
        <f t="shared" si="7"/>
        <v>#DIV/0!</v>
      </c>
      <c r="R22" s="393" t="e">
        <f t="shared" si="8"/>
        <v>#DIV/0!</v>
      </c>
    </row>
    <row r="23" spans="1:18" ht="15.75" customHeight="1" x14ac:dyDescent="0.35">
      <c r="A23" s="713" t="s">
        <v>1077</v>
      </c>
      <c r="B23" s="471">
        <v>8946370190</v>
      </c>
      <c r="C23" s="599" t="s">
        <v>885</v>
      </c>
      <c r="D23" s="42">
        <v>300</v>
      </c>
      <c r="E23" s="1">
        <v>112</v>
      </c>
      <c r="F23" s="700">
        <f>'e402-e801'!F23</f>
        <v>0</v>
      </c>
      <c r="G23" s="57">
        <f t="shared" si="0"/>
        <v>0</v>
      </c>
      <c r="H23" s="60">
        <f>(30*BC!$B$47/E23)</f>
        <v>0</v>
      </c>
      <c r="I23" s="701">
        <f t="shared" si="1"/>
        <v>0</v>
      </c>
      <c r="J23" s="701">
        <f t="shared" si="2"/>
        <v>0</v>
      </c>
      <c r="K23" s="216">
        <f t="shared" si="3"/>
        <v>0</v>
      </c>
      <c r="L23" s="702">
        <v>345</v>
      </c>
      <c r="M23" s="703">
        <f t="shared" si="4"/>
        <v>0</v>
      </c>
      <c r="N23" s="704">
        <f t="shared" si="5"/>
        <v>1.1499999999999999</v>
      </c>
      <c r="O23" s="705" t="e">
        <f>(N23+$M$265)+((BC!$F$125)/$F$112)</f>
        <v>#DIV/0!</v>
      </c>
      <c r="P23" s="149" t="e">
        <f t="shared" si="6"/>
        <v>#DIV/0!</v>
      </c>
      <c r="Q23" s="393" t="e">
        <f t="shared" si="7"/>
        <v>#DIV/0!</v>
      </c>
      <c r="R23" s="393" t="e">
        <f t="shared" si="8"/>
        <v>#DIV/0!</v>
      </c>
    </row>
    <row r="24" spans="1:18" ht="15.75" customHeight="1" x14ac:dyDescent="0.35">
      <c r="A24" s="713">
        <f>F37+F76+F77</f>
        <v>0</v>
      </c>
      <c r="B24" s="471">
        <v>7258496190</v>
      </c>
      <c r="C24" s="599" t="s">
        <v>886</v>
      </c>
      <c r="D24" s="42">
        <v>300</v>
      </c>
      <c r="E24" s="1">
        <v>112</v>
      </c>
      <c r="F24" s="700">
        <f>'e402-e801'!F24</f>
        <v>0</v>
      </c>
      <c r="G24" s="57">
        <f t="shared" si="0"/>
        <v>0</v>
      </c>
      <c r="H24" s="60">
        <f>(30*BC!$B$47/E24)</f>
        <v>0</v>
      </c>
      <c r="I24" s="701">
        <f t="shared" si="1"/>
        <v>0</v>
      </c>
      <c r="J24" s="701">
        <f t="shared" si="2"/>
        <v>0</v>
      </c>
      <c r="K24" s="216">
        <f t="shared" si="3"/>
        <v>0</v>
      </c>
      <c r="L24" s="702">
        <v>597</v>
      </c>
      <c r="M24" s="703">
        <f t="shared" si="4"/>
        <v>0</v>
      </c>
      <c r="N24" s="704">
        <f t="shared" si="5"/>
        <v>1.99</v>
      </c>
      <c r="O24" s="705" t="e">
        <f>(N24+$M$265)+((BC!$F$125)/$F$112)</f>
        <v>#DIV/0!</v>
      </c>
      <c r="P24" s="149" t="e">
        <f t="shared" si="6"/>
        <v>#DIV/0!</v>
      </c>
      <c r="Q24" s="393" t="e">
        <f t="shared" si="7"/>
        <v>#DIV/0!</v>
      </c>
      <c r="R24" s="393" t="e">
        <f t="shared" si="8"/>
        <v>#DIV/0!</v>
      </c>
    </row>
    <row r="25" spans="1:18" ht="15.75" customHeight="1" x14ac:dyDescent="0.35">
      <c r="B25" s="471">
        <v>7027192190</v>
      </c>
      <c r="C25" s="599" t="s">
        <v>887</v>
      </c>
      <c r="D25" s="42">
        <v>100</v>
      </c>
      <c r="E25" s="1">
        <v>112</v>
      </c>
      <c r="F25" s="700">
        <f>'e402-e801'!F25</f>
        <v>0</v>
      </c>
      <c r="G25" s="57">
        <f t="shared" si="0"/>
        <v>0</v>
      </c>
      <c r="H25" s="60">
        <f>(30*BC!$B$47/E25)</f>
        <v>0</v>
      </c>
      <c r="I25" s="701">
        <f t="shared" si="1"/>
        <v>0</v>
      </c>
      <c r="J25" s="701">
        <f t="shared" si="2"/>
        <v>0</v>
      </c>
      <c r="K25" s="216">
        <f t="shared" si="3"/>
        <v>0</v>
      </c>
      <c r="L25" s="702">
        <v>614</v>
      </c>
      <c r="M25" s="703">
        <f t="shared" si="4"/>
        <v>0</v>
      </c>
      <c r="N25" s="704">
        <f t="shared" si="5"/>
        <v>6.14</v>
      </c>
      <c r="O25" s="705" t="e">
        <f>(N25+$M$265)+((BC!$F$125)/$F$112)</f>
        <v>#DIV/0!</v>
      </c>
      <c r="P25" s="149" t="e">
        <f t="shared" si="6"/>
        <v>#DIV/0!</v>
      </c>
      <c r="Q25" s="393" t="e">
        <f t="shared" si="7"/>
        <v>#DIV/0!</v>
      </c>
      <c r="R25" s="393" t="e">
        <f t="shared" si="8"/>
        <v>#DIV/0!</v>
      </c>
    </row>
    <row r="26" spans="1:18" ht="15.75" customHeight="1" x14ac:dyDescent="0.35">
      <c r="A26" s="714" t="s">
        <v>1078</v>
      </c>
      <c r="B26" s="594">
        <v>7251025190</v>
      </c>
      <c r="C26" s="600" t="s">
        <v>888</v>
      </c>
      <c r="D26" s="42">
        <v>300</v>
      </c>
      <c r="E26" s="1">
        <v>112</v>
      </c>
      <c r="F26" s="700">
        <f>'e402-e801'!F26</f>
        <v>0</v>
      </c>
      <c r="G26" s="57">
        <f t="shared" si="0"/>
        <v>0</v>
      </c>
      <c r="H26" s="60">
        <f>(30*BC!$B$47/E26)</f>
        <v>0</v>
      </c>
      <c r="I26" s="701">
        <f t="shared" si="1"/>
        <v>0</v>
      </c>
      <c r="J26" s="701">
        <f t="shared" si="2"/>
        <v>0</v>
      </c>
      <c r="K26" s="216">
        <f t="shared" si="3"/>
        <v>0</v>
      </c>
      <c r="L26" s="702">
        <v>444</v>
      </c>
      <c r="M26" s="703">
        <f t="shared" si="4"/>
        <v>0</v>
      </c>
      <c r="N26" s="704">
        <f t="shared" si="5"/>
        <v>1.48</v>
      </c>
      <c r="O26" s="705" t="e">
        <f>(N26+$M$265)+((BC!$F$125)/$F$112)</f>
        <v>#DIV/0!</v>
      </c>
      <c r="P26" s="149" t="e">
        <f t="shared" si="6"/>
        <v>#DIV/0!</v>
      </c>
      <c r="Q26" s="393" t="e">
        <f t="shared" si="7"/>
        <v>#DIV/0!</v>
      </c>
      <c r="R26" s="393" t="e">
        <f t="shared" si="8"/>
        <v>#DIV/0!</v>
      </c>
    </row>
    <row r="27" spans="1:18" ht="15.75" customHeight="1" x14ac:dyDescent="0.35">
      <c r="A27" s="715">
        <f>F54+F55+F56+F57+F60</f>
        <v>0</v>
      </c>
      <c r="B27" s="471">
        <v>8890595190</v>
      </c>
      <c r="C27" s="599" t="s">
        <v>889</v>
      </c>
      <c r="D27" s="42">
        <v>100</v>
      </c>
      <c r="E27" s="1">
        <v>112</v>
      </c>
      <c r="F27" s="700">
        <f>'e402-e801'!F27</f>
        <v>0</v>
      </c>
      <c r="G27" s="57">
        <f t="shared" si="0"/>
        <v>0</v>
      </c>
      <c r="H27" s="60">
        <f>(30*BC!$B$47/E27)</f>
        <v>0</v>
      </c>
      <c r="I27" s="701">
        <f t="shared" si="1"/>
        <v>0</v>
      </c>
      <c r="J27" s="701">
        <f t="shared" si="2"/>
        <v>0</v>
      </c>
      <c r="K27" s="216">
        <f t="shared" si="3"/>
        <v>0</v>
      </c>
      <c r="L27" s="702">
        <v>408</v>
      </c>
      <c r="M27" s="703">
        <f t="shared" si="4"/>
        <v>0</v>
      </c>
      <c r="N27" s="704">
        <f t="shared" si="5"/>
        <v>4.08</v>
      </c>
      <c r="O27" s="705" t="e">
        <f>(N27+$M$265)+((BC!$F$125)/$F$112)</f>
        <v>#DIV/0!</v>
      </c>
      <c r="P27" s="149" t="e">
        <f t="shared" si="6"/>
        <v>#DIV/0!</v>
      </c>
      <c r="Q27" s="393" t="e">
        <f t="shared" si="7"/>
        <v>#DIV/0!</v>
      </c>
      <c r="R27" s="393" t="e">
        <f t="shared" si="8"/>
        <v>#DIV/0!</v>
      </c>
    </row>
    <row r="28" spans="1:18" ht="15.75" customHeight="1" x14ac:dyDescent="0.35">
      <c r="B28" s="471">
        <v>8860319190</v>
      </c>
      <c r="C28" s="601" t="s">
        <v>890</v>
      </c>
      <c r="D28" s="42">
        <v>100</v>
      </c>
      <c r="E28" s="1">
        <v>112</v>
      </c>
      <c r="F28" s="700">
        <f>'e402-e801'!F28</f>
        <v>0</v>
      </c>
      <c r="G28" s="57">
        <f t="shared" si="0"/>
        <v>0</v>
      </c>
      <c r="H28" s="60">
        <f>(30*BC!$B$47/E28)</f>
        <v>0</v>
      </c>
      <c r="I28" s="701">
        <f t="shared" si="1"/>
        <v>0</v>
      </c>
      <c r="J28" s="701">
        <f t="shared" si="2"/>
        <v>0</v>
      </c>
      <c r="K28" s="216">
        <f t="shared" si="3"/>
        <v>0</v>
      </c>
      <c r="L28" s="702">
        <v>1516</v>
      </c>
      <c r="M28" s="703">
        <f t="shared" si="4"/>
        <v>0</v>
      </c>
      <c r="N28" s="704">
        <f t="shared" si="5"/>
        <v>15.16</v>
      </c>
      <c r="O28" s="705" t="e">
        <f>(N28+$M$265)+((BC!$F$125)/$F$112)</f>
        <v>#DIV/0!</v>
      </c>
      <c r="P28" s="149" t="e">
        <f t="shared" si="6"/>
        <v>#DIV/0!</v>
      </c>
      <c r="Q28" s="393" t="e">
        <f t="shared" si="7"/>
        <v>#DIV/0!</v>
      </c>
      <c r="R28" s="393" t="e">
        <f t="shared" si="8"/>
        <v>#DIV/0!</v>
      </c>
    </row>
    <row r="29" spans="1:18" ht="15.75" customHeight="1" x14ac:dyDescent="0.35">
      <c r="B29" s="471">
        <v>8860181190</v>
      </c>
      <c r="C29" s="601" t="s">
        <v>891</v>
      </c>
      <c r="D29" s="42">
        <v>100</v>
      </c>
      <c r="E29" s="1">
        <v>112</v>
      </c>
      <c r="F29" s="700">
        <f>'e402-e801'!F29</f>
        <v>0</v>
      </c>
      <c r="G29" s="57">
        <f t="shared" si="0"/>
        <v>0</v>
      </c>
      <c r="H29" s="60">
        <f>(30*BC!$B$47/E29)</f>
        <v>0</v>
      </c>
      <c r="I29" s="701">
        <f t="shared" si="1"/>
        <v>0</v>
      </c>
      <c r="J29" s="701">
        <f t="shared" si="2"/>
        <v>0</v>
      </c>
      <c r="K29" s="216">
        <f t="shared" si="3"/>
        <v>0</v>
      </c>
      <c r="L29" s="702">
        <v>1459</v>
      </c>
      <c r="M29" s="703">
        <f t="shared" si="4"/>
        <v>0</v>
      </c>
      <c r="N29" s="704">
        <f t="shared" si="5"/>
        <v>14.59</v>
      </c>
      <c r="O29" s="705" t="e">
        <f>(N29+$M$265)+((BC!$F$125)/$F$112)</f>
        <v>#DIV/0!</v>
      </c>
      <c r="P29" s="149" t="e">
        <f t="shared" si="6"/>
        <v>#DIV/0!</v>
      </c>
      <c r="Q29" s="393" t="e">
        <f t="shared" si="7"/>
        <v>#DIV/0!</v>
      </c>
      <c r="R29" s="393" t="e">
        <f t="shared" si="8"/>
        <v>#DIV/0!</v>
      </c>
    </row>
    <row r="30" spans="1:18" ht="15.75" customHeight="1" x14ac:dyDescent="0.35">
      <c r="A30" s="716" t="s">
        <v>1079</v>
      </c>
      <c r="B30" s="471">
        <v>7027648190</v>
      </c>
      <c r="C30" s="602" t="s">
        <v>892</v>
      </c>
      <c r="D30" s="42">
        <v>100</v>
      </c>
      <c r="E30" s="1">
        <v>112</v>
      </c>
      <c r="F30" s="700">
        <f>'e402-e801'!F30</f>
        <v>0</v>
      </c>
      <c r="G30" s="57">
        <f t="shared" si="0"/>
        <v>0</v>
      </c>
      <c r="H30" s="60">
        <f>(30*BC!$B$47/E30)</f>
        <v>0</v>
      </c>
      <c r="I30" s="701">
        <f t="shared" si="1"/>
        <v>0</v>
      </c>
      <c r="J30" s="701">
        <f t="shared" si="2"/>
        <v>0</v>
      </c>
      <c r="K30" s="216">
        <f t="shared" si="3"/>
        <v>0</v>
      </c>
      <c r="L30" s="702">
        <v>3059</v>
      </c>
      <c r="M30" s="703">
        <f t="shared" si="4"/>
        <v>0</v>
      </c>
      <c r="N30" s="704">
        <f t="shared" si="5"/>
        <v>30.59</v>
      </c>
      <c r="O30" s="705" t="e">
        <f>(N30+$M$265)+((BC!$F$125)/$F$112)</f>
        <v>#DIV/0!</v>
      </c>
      <c r="P30" s="149" t="e">
        <f t="shared" si="6"/>
        <v>#DIV/0!</v>
      </c>
      <c r="Q30" s="393" t="e">
        <f t="shared" si="7"/>
        <v>#DIV/0!</v>
      </c>
      <c r="R30" s="393" t="e">
        <f t="shared" si="8"/>
        <v>#DIV/0!</v>
      </c>
    </row>
    <row r="31" spans="1:18" ht="15.75" customHeight="1" x14ac:dyDescent="0.35">
      <c r="A31" s="716">
        <f>F58+F59</f>
        <v>0</v>
      </c>
      <c r="B31" s="471">
        <v>7027818190</v>
      </c>
      <c r="C31" s="602" t="s">
        <v>893</v>
      </c>
      <c r="D31" s="42">
        <v>100</v>
      </c>
      <c r="E31" s="1">
        <v>112</v>
      </c>
      <c r="F31" s="700">
        <f>'e402-e801'!F31</f>
        <v>0</v>
      </c>
      <c r="G31" s="57">
        <f t="shared" si="0"/>
        <v>0</v>
      </c>
      <c r="H31" s="60">
        <f>(30*BC!$B$47/E31)</f>
        <v>0</v>
      </c>
      <c r="I31" s="701">
        <f t="shared" si="1"/>
        <v>0</v>
      </c>
      <c r="J31" s="701">
        <f t="shared" si="2"/>
        <v>0</v>
      </c>
      <c r="K31" s="216">
        <f t="shared" si="3"/>
        <v>0</v>
      </c>
      <c r="L31" s="702">
        <v>3059</v>
      </c>
      <c r="M31" s="703">
        <f t="shared" si="4"/>
        <v>0</v>
      </c>
      <c r="N31" s="704">
        <f t="shared" si="5"/>
        <v>30.59</v>
      </c>
      <c r="O31" s="705" t="e">
        <f>(N31+$M$265)+((BC!$F$125)/$F$112)</f>
        <v>#DIV/0!</v>
      </c>
      <c r="P31" s="149" t="e">
        <f t="shared" si="6"/>
        <v>#DIV/0!</v>
      </c>
      <c r="Q31" s="393" t="e">
        <f t="shared" si="7"/>
        <v>#DIV/0!</v>
      </c>
      <c r="R31" s="393" t="e">
        <f t="shared" si="8"/>
        <v>#DIV/0!</v>
      </c>
    </row>
    <row r="32" spans="1:18" ht="15.75" customHeight="1" x14ac:dyDescent="0.35">
      <c r="B32" s="471">
        <v>7027168190</v>
      </c>
      <c r="C32" s="602" t="s">
        <v>894</v>
      </c>
      <c r="D32" s="42">
        <v>100</v>
      </c>
      <c r="E32" s="1">
        <v>112</v>
      </c>
      <c r="F32" s="700">
        <f>'e402-e801'!F32</f>
        <v>0</v>
      </c>
      <c r="G32" s="57">
        <f t="shared" si="0"/>
        <v>0</v>
      </c>
      <c r="H32" s="60">
        <f>(30*BC!$B$47/E32)</f>
        <v>0</v>
      </c>
      <c r="I32" s="701">
        <f t="shared" si="1"/>
        <v>0</v>
      </c>
      <c r="J32" s="701">
        <f t="shared" si="2"/>
        <v>0</v>
      </c>
      <c r="K32" s="216">
        <f t="shared" si="3"/>
        <v>0</v>
      </c>
      <c r="L32" s="702">
        <v>317</v>
      </c>
      <c r="M32" s="703">
        <f t="shared" si="4"/>
        <v>0</v>
      </c>
      <c r="N32" s="704">
        <f t="shared" si="5"/>
        <v>3.17</v>
      </c>
      <c r="O32" s="705" t="e">
        <f>(N32+$M$265)+((BC!$F$125)/$F$112)</f>
        <v>#DIV/0!</v>
      </c>
      <c r="P32" s="149" t="e">
        <f t="shared" si="6"/>
        <v>#DIV/0!</v>
      </c>
      <c r="Q32" s="393" t="e">
        <f t="shared" si="7"/>
        <v>#DIV/0!</v>
      </c>
      <c r="R32" s="393" t="e">
        <f t="shared" si="8"/>
        <v>#DIV/0!</v>
      </c>
    </row>
    <row r="33" spans="1:18" ht="15.75" customHeight="1" x14ac:dyDescent="0.35">
      <c r="A33" s="717" t="s">
        <v>1080</v>
      </c>
      <c r="B33" s="603">
        <v>7027559190</v>
      </c>
      <c r="C33" s="599" t="s">
        <v>895</v>
      </c>
      <c r="D33" s="42">
        <v>100</v>
      </c>
      <c r="E33" s="1">
        <v>112</v>
      </c>
      <c r="F33" s="700">
        <f>'e402-e801'!F33</f>
        <v>0</v>
      </c>
      <c r="G33" s="57">
        <f t="shared" si="0"/>
        <v>0</v>
      </c>
      <c r="H33" s="60">
        <f>(30*BC!$B$47/E33)</f>
        <v>0</v>
      </c>
      <c r="I33" s="701">
        <f t="shared" si="1"/>
        <v>0</v>
      </c>
      <c r="J33" s="701">
        <f t="shared" si="2"/>
        <v>0</v>
      </c>
      <c r="K33" s="216">
        <f t="shared" si="3"/>
        <v>0</v>
      </c>
      <c r="L33" s="702">
        <v>326</v>
      </c>
      <c r="M33" s="703">
        <f t="shared" si="4"/>
        <v>0</v>
      </c>
      <c r="N33" s="704">
        <f t="shared" si="5"/>
        <v>3.26</v>
      </c>
      <c r="O33" s="705" t="e">
        <f>(N33+$M$265)+((BC!$F$125)/$F$112)</f>
        <v>#DIV/0!</v>
      </c>
      <c r="P33" s="149" t="e">
        <f t="shared" si="6"/>
        <v>#DIV/0!</v>
      </c>
      <c r="Q33" s="393" t="e">
        <f t="shared" si="7"/>
        <v>#DIV/0!</v>
      </c>
      <c r="R33" s="393" t="e">
        <f t="shared" si="8"/>
        <v>#DIV/0!</v>
      </c>
    </row>
    <row r="34" spans="1:18" ht="15.75" customHeight="1" x14ac:dyDescent="0.35">
      <c r="A34" s="717">
        <f>F61+F63+F65+F68+F69+F70+F71+F72</f>
        <v>0</v>
      </c>
      <c r="B34" s="679">
        <v>7027150190</v>
      </c>
      <c r="C34" s="599" t="s">
        <v>896</v>
      </c>
      <c r="D34" s="42">
        <v>300</v>
      </c>
      <c r="E34" s="1">
        <v>112</v>
      </c>
      <c r="F34" s="700">
        <f>'e402-e801'!F34</f>
        <v>0</v>
      </c>
      <c r="G34" s="57">
        <f t="shared" si="0"/>
        <v>0</v>
      </c>
      <c r="H34" s="60">
        <f>(30*BC!$B$47/E34)</f>
        <v>0</v>
      </c>
      <c r="I34" s="701">
        <f t="shared" si="1"/>
        <v>0</v>
      </c>
      <c r="J34" s="701">
        <f t="shared" si="2"/>
        <v>0</v>
      </c>
      <c r="K34" s="216">
        <f t="shared" si="3"/>
        <v>0</v>
      </c>
      <c r="L34" s="702">
        <v>1164</v>
      </c>
      <c r="M34" s="703">
        <f t="shared" si="4"/>
        <v>0</v>
      </c>
      <c r="N34" s="704">
        <f t="shared" si="5"/>
        <v>3.88</v>
      </c>
      <c r="O34" s="705" t="e">
        <f>(N34+$M$265)+((BC!$F$125)/$F$112)</f>
        <v>#DIV/0!</v>
      </c>
      <c r="P34" s="149" t="e">
        <f t="shared" si="6"/>
        <v>#DIV/0!</v>
      </c>
      <c r="Q34" s="393" t="e">
        <f t="shared" si="7"/>
        <v>#DIV/0!</v>
      </c>
      <c r="R34" s="393" t="e">
        <f t="shared" si="8"/>
        <v>#DIV/0!</v>
      </c>
    </row>
    <row r="35" spans="1:18" ht="15.75" customHeight="1" x14ac:dyDescent="0.35">
      <c r="B35" s="679">
        <v>7682808190</v>
      </c>
      <c r="C35" s="605" t="s">
        <v>897</v>
      </c>
      <c r="D35" s="42">
        <v>300</v>
      </c>
      <c r="E35" s="1">
        <v>112</v>
      </c>
      <c r="F35" s="700">
        <f>'e402-e801'!F35</f>
        <v>0</v>
      </c>
      <c r="G35" s="57">
        <f t="shared" si="0"/>
        <v>0</v>
      </c>
      <c r="H35" s="60">
        <f>(30*BC!$B$47/E35)</f>
        <v>0</v>
      </c>
      <c r="I35" s="701">
        <f t="shared" si="1"/>
        <v>0</v>
      </c>
      <c r="J35" s="701">
        <f t="shared" si="2"/>
        <v>0</v>
      </c>
      <c r="K35" s="216">
        <f t="shared" si="3"/>
        <v>0</v>
      </c>
      <c r="L35" s="692"/>
      <c r="M35" s="703">
        <f t="shared" si="4"/>
        <v>0</v>
      </c>
      <c r="N35" s="704">
        <f t="shared" si="5"/>
        <v>0</v>
      </c>
      <c r="O35" s="705" t="e">
        <f>(N35+$M$265)+((BC!$F$125)/$F$112)</f>
        <v>#DIV/0!</v>
      </c>
      <c r="P35" s="149" t="e">
        <f t="shared" si="6"/>
        <v>#DIV/0!</v>
      </c>
      <c r="Q35" s="393" t="e">
        <f t="shared" si="7"/>
        <v>#DIV/0!</v>
      </c>
      <c r="R35" s="393" t="e">
        <f t="shared" si="8"/>
        <v>#DIV/0!</v>
      </c>
    </row>
    <row r="36" spans="1:18" ht="15.75" customHeight="1" x14ac:dyDescent="0.35">
      <c r="A36" s="681" t="s">
        <v>1081</v>
      </c>
      <c r="B36" s="679">
        <v>8946728190</v>
      </c>
      <c r="C36" s="602" t="s">
        <v>898</v>
      </c>
      <c r="D36" s="42">
        <v>100</v>
      </c>
      <c r="E36" s="1">
        <v>112</v>
      </c>
      <c r="F36" s="700">
        <f>'e402-e801'!F36</f>
        <v>0</v>
      </c>
      <c r="G36" s="57">
        <f t="shared" si="0"/>
        <v>0</v>
      </c>
      <c r="H36" s="60">
        <f>(30*BC!$B$47/E36)</f>
        <v>0</v>
      </c>
      <c r="I36" s="701">
        <f t="shared" si="1"/>
        <v>0</v>
      </c>
      <c r="J36" s="701">
        <f t="shared" si="2"/>
        <v>0</v>
      </c>
      <c r="K36" s="216">
        <f t="shared" si="3"/>
        <v>0</v>
      </c>
      <c r="L36" s="702">
        <v>1329</v>
      </c>
      <c r="M36" s="703">
        <f t="shared" si="4"/>
        <v>0</v>
      </c>
      <c r="N36" s="704">
        <f t="shared" si="5"/>
        <v>13.29</v>
      </c>
      <c r="O36" s="705" t="e">
        <f>(N36+$M$265)+((BC!$F$125)/$F$112)</f>
        <v>#DIV/0!</v>
      </c>
      <c r="P36" s="149" t="e">
        <f t="shared" si="6"/>
        <v>#DIV/0!</v>
      </c>
      <c r="Q36" s="393" t="e">
        <f t="shared" si="7"/>
        <v>#DIV/0!</v>
      </c>
      <c r="R36" s="393" t="e">
        <f t="shared" si="8"/>
        <v>#DIV/0!</v>
      </c>
    </row>
    <row r="37" spans="1:18" ht="15.75" customHeight="1" x14ac:dyDescent="0.35">
      <c r="A37" s="718">
        <f>F108+F110+F111</f>
        <v>0</v>
      </c>
      <c r="B37" s="680">
        <v>7027486190</v>
      </c>
      <c r="C37" s="606" t="s">
        <v>899</v>
      </c>
      <c r="D37" s="42">
        <v>100</v>
      </c>
      <c r="E37" s="1">
        <v>112</v>
      </c>
      <c r="F37" s="700">
        <f>'e402-e801'!F37</f>
        <v>0</v>
      </c>
      <c r="G37" s="57">
        <f t="shared" si="0"/>
        <v>0</v>
      </c>
      <c r="H37" s="60">
        <f>(30*BC!$B$47/E37)</f>
        <v>0</v>
      </c>
      <c r="I37" s="701">
        <f t="shared" si="1"/>
        <v>0</v>
      </c>
      <c r="J37" s="701">
        <f t="shared" si="2"/>
        <v>0</v>
      </c>
      <c r="K37" s="216">
        <f t="shared" si="3"/>
        <v>0</v>
      </c>
      <c r="L37" s="702">
        <v>498</v>
      </c>
      <c r="M37" s="703">
        <f t="shared" si="4"/>
        <v>0</v>
      </c>
      <c r="N37" s="704">
        <f t="shared" si="5"/>
        <v>4.9800000000000004</v>
      </c>
      <c r="O37" s="705" t="e">
        <f>(N37+$M$265)+((BC!$F$125)/$F$112)</f>
        <v>#DIV/0!</v>
      </c>
      <c r="P37" s="149" t="e">
        <f t="shared" si="6"/>
        <v>#DIV/0!</v>
      </c>
      <c r="Q37" s="393" t="e">
        <f t="shared" si="7"/>
        <v>#DIV/0!</v>
      </c>
      <c r="R37" s="393" t="e">
        <f t="shared" si="8"/>
        <v>#DIV/0!</v>
      </c>
    </row>
    <row r="38" spans="1:18" ht="15.75" customHeight="1" x14ac:dyDescent="0.35">
      <c r="B38" s="679" t="s">
        <v>1140</v>
      </c>
      <c r="C38" s="608" t="s">
        <v>900</v>
      </c>
      <c r="D38" s="42">
        <v>100</v>
      </c>
      <c r="E38" s="1">
        <v>112</v>
      </c>
      <c r="F38" s="700">
        <f>'e402-e801'!F38</f>
        <v>0</v>
      </c>
      <c r="G38" s="57">
        <f t="shared" si="0"/>
        <v>0</v>
      </c>
      <c r="H38" s="60">
        <f>(30*BC!$B$47/E38)</f>
        <v>0</v>
      </c>
      <c r="I38" s="701">
        <f t="shared" si="1"/>
        <v>0</v>
      </c>
      <c r="J38" s="701">
        <f t="shared" si="2"/>
        <v>0</v>
      </c>
      <c r="K38" s="216">
        <f t="shared" si="3"/>
        <v>0</v>
      </c>
      <c r="L38" s="692"/>
      <c r="M38" s="703">
        <f t="shared" si="4"/>
        <v>0</v>
      </c>
      <c r="N38" s="704">
        <f t="shared" si="5"/>
        <v>0</v>
      </c>
      <c r="O38" s="705" t="e">
        <f>(N38+$M$265)+((BC!$F$125)/$F$112)</f>
        <v>#DIV/0!</v>
      </c>
      <c r="P38" s="149" t="e">
        <f t="shared" si="6"/>
        <v>#DIV/0!</v>
      </c>
      <c r="Q38" s="393" t="e">
        <f t="shared" si="7"/>
        <v>#DIV/0!</v>
      </c>
      <c r="R38" s="393" t="e">
        <f t="shared" si="8"/>
        <v>#DIV/0!</v>
      </c>
    </row>
    <row r="39" spans="1:18" ht="15.75" customHeight="1" x14ac:dyDescent="0.35">
      <c r="A39" s="682" t="s">
        <v>601</v>
      </c>
      <c r="B39" s="679">
        <v>9744860190</v>
      </c>
      <c r="C39" s="600" t="s">
        <v>901</v>
      </c>
      <c r="D39" s="42">
        <v>100</v>
      </c>
      <c r="E39" s="1">
        <v>112</v>
      </c>
      <c r="F39" s="700">
        <f>'e402-e801'!F39</f>
        <v>0</v>
      </c>
      <c r="G39" s="57">
        <f t="shared" si="0"/>
        <v>0</v>
      </c>
      <c r="H39" s="60">
        <f>(30*BC!$B$47/E39)</f>
        <v>0</v>
      </c>
      <c r="I39" s="701">
        <f t="shared" si="1"/>
        <v>0</v>
      </c>
      <c r="J39" s="701">
        <f t="shared" si="2"/>
        <v>0</v>
      </c>
      <c r="K39" s="216">
        <f t="shared" si="3"/>
        <v>0</v>
      </c>
      <c r="L39" s="702">
        <v>388</v>
      </c>
      <c r="M39" s="703">
        <f t="shared" si="4"/>
        <v>0</v>
      </c>
      <c r="N39" s="704">
        <f t="shared" si="5"/>
        <v>3.88</v>
      </c>
      <c r="O39" s="705" t="e">
        <f>(N39+$M$265)+((BC!$F$125)/$F$112)</f>
        <v>#DIV/0!</v>
      </c>
      <c r="P39" s="149" t="e">
        <f t="shared" si="6"/>
        <v>#DIV/0!</v>
      </c>
      <c r="Q39" s="393" t="e">
        <f t="shared" si="7"/>
        <v>#DIV/0!</v>
      </c>
      <c r="R39" s="393" t="e">
        <f t="shared" si="8"/>
        <v>#DIV/0!</v>
      </c>
    </row>
    <row r="40" spans="1:18" ht="15.75" customHeight="1" x14ac:dyDescent="0.35">
      <c r="A40" s="719">
        <f>F99+F100</f>
        <v>0</v>
      </c>
      <c r="B40" s="471">
        <v>8828610190</v>
      </c>
      <c r="C40" s="600" t="s">
        <v>902</v>
      </c>
      <c r="D40" s="42">
        <v>300</v>
      </c>
      <c r="E40" s="1">
        <v>112</v>
      </c>
      <c r="F40" s="700">
        <f>'e402-e801'!F40</f>
        <v>0</v>
      </c>
      <c r="G40" s="57">
        <f t="shared" si="0"/>
        <v>0</v>
      </c>
      <c r="H40" s="60">
        <f>(30*BC!$B$47/E40)</f>
        <v>0</v>
      </c>
      <c r="I40" s="701">
        <f t="shared" si="1"/>
        <v>0</v>
      </c>
      <c r="J40" s="701">
        <f t="shared" si="2"/>
        <v>0</v>
      </c>
      <c r="K40" s="216">
        <f t="shared" si="3"/>
        <v>0</v>
      </c>
      <c r="L40" s="702">
        <v>1194</v>
      </c>
      <c r="M40" s="703">
        <f t="shared" si="4"/>
        <v>0</v>
      </c>
      <c r="N40" s="704">
        <f t="shared" si="5"/>
        <v>3.98</v>
      </c>
      <c r="O40" s="705" t="e">
        <f>(N40+$M$265)+((BC!$F$125)/$F$112)</f>
        <v>#DIV/0!</v>
      </c>
      <c r="P40" s="149" t="e">
        <f t="shared" si="6"/>
        <v>#DIV/0!</v>
      </c>
      <c r="Q40" s="393" t="e">
        <f t="shared" si="7"/>
        <v>#DIV/0!</v>
      </c>
      <c r="R40" s="393" t="e">
        <f t="shared" si="8"/>
        <v>#DIV/0!</v>
      </c>
    </row>
    <row r="41" spans="1:18" ht="15.75" customHeight="1" x14ac:dyDescent="0.35">
      <c r="B41" s="471">
        <v>9731385190</v>
      </c>
      <c r="C41" s="600" t="s">
        <v>903</v>
      </c>
      <c r="D41" s="42">
        <v>100</v>
      </c>
      <c r="E41" s="1">
        <v>112</v>
      </c>
      <c r="F41" s="700">
        <f>'e402-e801'!F41</f>
        <v>0</v>
      </c>
      <c r="G41" s="57">
        <f t="shared" si="0"/>
        <v>0</v>
      </c>
      <c r="H41" s="60">
        <f>(30*BC!$B$47/E41)</f>
        <v>0</v>
      </c>
      <c r="I41" s="701">
        <f t="shared" si="1"/>
        <v>0</v>
      </c>
      <c r="J41" s="701">
        <f t="shared" si="2"/>
        <v>0</v>
      </c>
      <c r="K41" s="216">
        <f t="shared" si="3"/>
        <v>0</v>
      </c>
      <c r="L41" s="702">
        <v>157</v>
      </c>
      <c r="M41" s="703">
        <f t="shared" si="4"/>
        <v>0</v>
      </c>
      <c r="N41" s="704">
        <f t="shared" si="5"/>
        <v>1.57</v>
      </c>
      <c r="O41" s="705" t="e">
        <f>(N41+$M$265)+((BC!$F$125)/$F$112)</f>
        <v>#DIV/0!</v>
      </c>
      <c r="P41" s="149" t="e">
        <f t="shared" si="6"/>
        <v>#DIV/0!</v>
      </c>
      <c r="Q41" s="393" t="e">
        <f t="shared" si="7"/>
        <v>#DIV/0!</v>
      </c>
      <c r="R41" s="393" t="e">
        <f t="shared" si="8"/>
        <v>#DIV/0!</v>
      </c>
    </row>
    <row r="42" spans="1:18" ht="15.75" customHeight="1" x14ac:dyDescent="0.35">
      <c r="A42" s="665" t="s">
        <v>609</v>
      </c>
      <c r="B42" s="471">
        <v>7027079190</v>
      </c>
      <c r="C42" s="600" t="s">
        <v>904</v>
      </c>
      <c r="D42" s="42">
        <v>300</v>
      </c>
      <c r="E42" s="1">
        <v>112</v>
      </c>
      <c r="F42" s="700">
        <f>'e402-e801'!F42</f>
        <v>0</v>
      </c>
      <c r="G42" s="57">
        <f t="shared" si="0"/>
        <v>0</v>
      </c>
      <c r="H42" s="60">
        <f>(30*BC!$B$47/E42)</f>
        <v>0</v>
      </c>
      <c r="I42" s="701">
        <f t="shared" si="1"/>
        <v>0</v>
      </c>
      <c r="J42" s="701">
        <f t="shared" si="2"/>
        <v>0</v>
      </c>
      <c r="K42" s="216">
        <f t="shared" si="3"/>
        <v>0</v>
      </c>
      <c r="L42" s="702">
        <v>476</v>
      </c>
      <c r="M42" s="703">
        <f t="shared" si="4"/>
        <v>0</v>
      </c>
      <c r="N42" s="704">
        <f t="shared" si="5"/>
        <v>1.5866666666666667</v>
      </c>
      <c r="O42" s="705" t="e">
        <f>(N42+$M$265)+((BC!$F$125)/$F$112)</f>
        <v>#DIV/0!</v>
      </c>
      <c r="P42" s="149" t="e">
        <f t="shared" si="6"/>
        <v>#DIV/0!</v>
      </c>
      <c r="Q42" s="393" t="e">
        <f t="shared" si="7"/>
        <v>#DIV/0!</v>
      </c>
      <c r="R42" s="393" t="e">
        <f t="shared" si="8"/>
        <v>#DIV/0!</v>
      </c>
    </row>
    <row r="43" spans="1:18" ht="15.75" customHeight="1" x14ac:dyDescent="0.35">
      <c r="A43" s="720">
        <f>F97+F98</f>
        <v>0</v>
      </c>
      <c r="B43" s="471">
        <v>7026986190</v>
      </c>
      <c r="C43" s="600" t="s">
        <v>905</v>
      </c>
      <c r="D43" s="42">
        <v>300</v>
      </c>
      <c r="E43" s="1">
        <v>112</v>
      </c>
      <c r="F43" s="700">
        <f>'e402-e801'!F43</f>
        <v>0</v>
      </c>
      <c r="G43" s="57">
        <f t="shared" si="0"/>
        <v>0</v>
      </c>
      <c r="H43" s="60">
        <f>(30*BC!$B$47/E43)</f>
        <v>0</v>
      </c>
      <c r="I43" s="701">
        <f t="shared" si="1"/>
        <v>0</v>
      </c>
      <c r="J43" s="701">
        <f t="shared" si="2"/>
        <v>0</v>
      </c>
      <c r="K43" s="216">
        <f t="shared" si="3"/>
        <v>0</v>
      </c>
      <c r="L43" s="702">
        <v>1746</v>
      </c>
      <c r="M43" s="703">
        <f t="shared" si="4"/>
        <v>0</v>
      </c>
      <c r="N43" s="704">
        <f t="shared" si="5"/>
        <v>5.82</v>
      </c>
      <c r="O43" s="705" t="e">
        <f>(N43+$M$265)+((BC!$F$125)/$F$112)</f>
        <v>#DIV/0!</v>
      </c>
      <c r="P43" s="149" t="e">
        <f t="shared" si="6"/>
        <v>#DIV/0!</v>
      </c>
      <c r="Q43" s="393" t="e">
        <f t="shared" si="7"/>
        <v>#DIV/0!</v>
      </c>
      <c r="R43" s="393" t="e">
        <f t="shared" si="8"/>
        <v>#DIV/0!</v>
      </c>
    </row>
    <row r="44" spans="1:18" ht="15.75" customHeight="1" x14ac:dyDescent="0.35">
      <c r="B44" s="471">
        <v>7027001190</v>
      </c>
      <c r="C44" s="600" t="s">
        <v>906</v>
      </c>
      <c r="D44" s="42">
        <v>300</v>
      </c>
      <c r="E44" s="1">
        <v>112</v>
      </c>
      <c r="F44" s="700">
        <f>'e402-e801'!F44</f>
        <v>0</v>
      </c>
      <c r="G44" s="57">
        <f t="shared" si="0"/>
        <v>0</v>
      </c>
      <c r="H44" s="60">
        <f>(30*BC!$B$47/E44)</f>
        <v>0</v>
      </c>
      <c r="I44" s="701">
        <f t="shared" si="1"/>
        <v>0</v>
      </c>
      <c r="J44" s="701">
        <f t="shared" si="2"/>
        <v>0</v>
      </c>
      <c r="K44" s="216">
        <f t="shared" si="3"/>
        <v>0</v>
      </c>
      <c r="L44" s="702">
        <v>1761</v>
      </c>
      <c r="M44" s="703">
        <f t="shared" si="4"/>
        <v>0</v>
      </c>
      <c r="N44" s="704">
        <f t="shared" si="5"/>
        <v>5.87</v>
      </c>
      <c r="O44" s="705" t="e">
        <f>(N44+$M$265)+((BC!$F$125)/$F$112)</f>
        <v>#DIV/0!</v>
      </c>
      <c r="P44" s="149" t="e">
        <f t="shared" si="6"/>
        <v>#DIV/0!</v>
      </c>
      <c r="Q44" s="393" t="e">
        <f t="shared" si="7"/>
        <v>#DIV/0!</v>
      </c>
      <c r="R44" s="393" t="e">
        <f t="shared" si="8"/>
        <v>#DIV/0!</v>
      </c>
    </row>
    <row r="45" spans="1:18" ht="15.75" customHeight="1" x14ac:dyDescent="0.35">
      <c r="B45" s="471">
        <v>7027028190</v>
      </c>
      <c r="C45" s="600" t="s">
        <v>907</v>
      </c>
      <c r="D45" s="42">
        <v>300</v>
      </c>
      <c r="E45" s="1">
        <v>112</v>
      </c>
      <c r="F45" s="700">
        <f>'e402-e801'!F45</f>
        <v>0</v>
      </c>
      <c r="G45" s="57">
        <f t="shared" si="0"/>
        <v>0</v>
      </c>
      <c r="H45" s="60">
        <f>(30*BC!$B$47/E45)</f>
        <v>0</v>
      </c>
      <c r="I45" s="701">
        <f t="shared" si="1"/>
        <v>0</v>
      </c>
      <c r="J45" s="701">
        <f t="shared" si="2"/>
        <v>0</v>
      </c>
      <c r="K45" s="216">
        <f t="shared" si="3"/>
        <v>0</v>
      </c>
      <c r="L45" s="702">
        <v>1752</v>
      </c>
      <c r="M45" s="703">
        <f t="shared" si="4"/>
        <v>0</v>
      </c>
      <c r="N45" s="704">
        <f t="shared" si="5"/>
        <v>5.84</v>
      </c>
      <c r="O45" s="705" t="e">
        <f>(N45+$M$265)+((BC!$F$125)/$F$112)</f>
        <v>#DIV/0!</v>
      </c>
      <c r="P45" s="149" t="e">
        <f t="shared" si="6"/>
        <v>#DIV/0!</v>
      </c>
      <c r="Q45" s="393" t="e">
        <f t="shared" si="7"/>
        <v>#DIV/0!</v>
      </c>
      <c r="R45" s="393" t="e">
        <f t="shared" si="8"/>
        <v>#DIV/0!</v>
      </c>
    </row>
    <row r="46" spans="1:18" ht="15.75" customHeight="1" x14ac:dyDescent="0.35">
      <c r="B46" s="471">
        <v>7299966190</v>
      </c>
      <c r="C46" s="600" t="s">
        <v>908</v>
      </c>
      <c r="D46" s="42">
        <v>300</v>
      </c>
      <c r="E46" s="1">
        <v>112</v>
      </c>
      <c r="F46" s="700">
        <f>'e402-e801'!F46</f>
        <v>0</v>
      </c>
      <c r="G46" s="57">
        <f t="shared" si="0"/>
        <v>0</v>
      </c>
      <c r="H46" s="60">
        <f>(30*BC!$B$47/E46)</f>
        <v>0</v>
      </c>
      <c r="I46" s="701">
        <f t="shared" si="1"/>
        <v>0</v>
      </c>
      <c r="J46" s="701">
        <f t="shared" si="2"/>
        <v>0</v>
      </c>
      <c r="K46" s="216">
        <f t="shared" si="3"/>
        <v>0</v>
      </c>
      <c r="L46" s="702">
        <v>1881</v>
      </c>
      <c r="M46" s="703">
        <f t="shared" si="4"/>
        <v>0</v>
      </c>
      <c r="N46" s="704">
        <f t="shared" si="5"/>
        <v>6.27</v>
      </c>
      <c r="O46" s="705" t="e">
        <f>(N46+$M$265)+((BC!$F$125)/$F$112)</f>
        <v>#DIV/0!</v>
      </c>
      <c r="P46" s="149" t="e">
        <f t="shared" si="6"/>
        <v>#DIV/0!</v>
      </c>
      <c r="Q46" s="393" t="e">
        <f t="shared" si="7"/>
        <v>#DIV/0!</v>
      </c>
      <c r="R46" s="393" t="e">
        <f t="shared" si="8"/>
        <v>#DIV/0!</v>
      </c>
    </row>
    <row r="47" spans="1:18" ht="15.75" customHeight="1" x14ac:dyDescent="0.35">
      <c r="B47" s="471">
        <v>9005706190</v>
      </c>
      <c r="C47" s="600" t="s">
        <v>909</v>
      </c>
      <c r="D47" s="42">
        <v>300</v>
      </c>
      <c r="E47" s="1">
        <v>112</v>
      </c>
      <c r="F47" s="700">
        <f>'e402-e801'!F47</f>
        <v>0</v>
      </c>
      <c r="G47" s="57">
        <f t="shared" si="0"/>
        <v>0</v>
      </c>
      <c r="H47" s="60">
        <f>(30*BC!$B$47/E47)</f>
        <v>0</v>
      </c>
      <c r="I47" s="701">
        <f t="shared" si="1"/>
        <v>0</v>
      </c>
      <c r="J47" s="701">
        <f t="shared" si="2"/>
        <v>0</v>
      </c>
      <c r="K47" s="216">
        <f t="shared" si="3"/>
        <v>0</v>
      </c>
      <c r="L47" s="702">
        <v>1998</v>
      </c>
      <c r="M47" s="703">
        <f t="shared" si="4"/>
        <v>0</v>
      </c>
      <c r="N47" s="704">
        <f t="shared" si="5"/>
        <v>6.66</v>
      </c>
      <c r="O47" s="705" t="e">
        <f>(N47+$M$265)+((BC!$F$125)/$F$112)</f>
        <v>#DIV/0!</v>
      </c>
      <c r="P47" s="149" t="e">
        <f t="shared" si="6"/>
        <v>#DIV/0!</v>
      </c>
      <c r="Q47" s="393" t="e">
        <f t="shared" si="7"/>
        <v>#DIV/0!</v>
      </c>
      <c r="R47" s="393" t="e">
        <f t="shared" si="8"/>
        <v>#DIV/0!</v>
      </c>
    </row>
    <row r="48" spans="1:18" ht="15.75" customHeight="1" x14ac:dyDescent="0.35">
      <c r="B48" s="471">
        <v>7299982190</v>
      </c>
      <c r="C48" s="600" t="s">
        <v>910</v>
      </c>
      <c r="D48" s="42">
        <v>300</v>
      </c>
      <c r="E48" s="1">
        <v>112</v>
      </c>
      <c r="F48" s="700">
        <f>'e402-e801'!F48</f>
        <v>0</v>
      </c>
      <c r="G48" s="57">
        <f t="shared" si="0"/>
        <v>0</v>
      </c>
      <c r="H48" s="60">
        <f>(30*BC!$B$47/E48)</f>
        <v>0</v>
      </c>
      <c r="I48" s="701">
        <f t="shared" si="1"/>
        <v>0</v>
      </c>
      <c r="J48" s="701">
        <f t="shared" si="2"/>
        <v>0</v>
      </c>
      <c r="K48" s="216">
        <f t="shared" si="3"/>
        <v>0</v>
      </c>
      <c r="L48" s="702">
        <v>3651</v>
      </c>
      <c r="M48" s="703">
        <f t="shared" si="4"/>
        <v>0</v>
      </c>
      <c r="N48" s="704">
        <f t="shared" si="5"/>
        <v>12.17</v>
      </c>
      <c r="O48" s="705" t="e">
        <f>(N48+$M$265)+((BC!$F$125)/$F$112)</f>
        <v>#DIV/0!</v>
      </c>
      <c r="P48" s="149" t="e">
        <f t="shared" si="6"/>
        <v>#DIV/0!</v>
      </c>
      <c r="Q48" s="393" t="e">
        <f t="shared" si="7"/>
        <v>#DIV/0!</v>
      </c>
      <c r="R48" s="393" t="e">
        <f t="shared" si="8"/>
        <v>#DIV/0!</v>
      </c>
    </row>
    <row r="49" spans="2:18" ht="15.75" customHeight="1" x14ac:dyDescent="0.35">
      <c r="B49" s="471">
        <v>8817324190</v>
      </c>
      <c r="C49" s="599" t="s">
        <v>911</v>
      </c>
      <c r="D49" s="42">
        <v>100</v>
      </c>
      <c r="E49" s="1">
        <v>112</v>
      </c>
      <c r="F49" s="700">
        <f>'e402-e801'!F49</f>
        <v>0</v>
      </c>
      <c r="G49" s="57">
        <f t="shared" si="0"/>
        <v>0</v>
      </c>
      <c r="H49" s="60">
        <f>(30*BC!$B$47/E49)</f>
        <v>0</v>
      </c>
      <c r="I49" s="701">
        <f t="shared" si="1"/>
        <v>0</v>
      </c>
      <c r="J49" s="701">
        <f t="shared" si="2"/>
        <v>0</v>
      </c>
      <c r="K49" s="216">
        <f t="shared" si="3"/>
        <v>0</v>
      </c>
      <c r="L49" s="692"/>
      <c r="M49" s="703">
        <f t="shared" si="4"/>
        <v>0</v>
      </c>
      <c r="N49" s="704">
        <f t="shared" si="5"/>
        <v>0</v>
      </c>
      <c r="O49" s="705" t="e">
        <f>(N49+$M$265)+((BC!$F$125)/$F$112)</f>
        <v>#DIV/0!</v>
      </c>
      <c r="P49" s="149" t="e">
        <f t="shared" si="6"/>
        <v>#DIV/0!</v>
      </c>
      <c r="Q49" s="393" t="e">
        <f t="shared" si="7"/>
        <v>#DIV/0!</v>
      </c>
      <c r="R49" s="393" t="e">
        <f t="shared" si="8"/>
        <v>#DIV/0!</v>
      </c>
    </row>
    <row r="50" spans="2:18" ht="15.75" customHeight="1" x14ac:dyDescent="0.35">
      <c r="B50" s="471">
        <v>7027478190</v>
      </c>
      <c r="C50" s="610" t="s">
        <v>912</v>
      </c>
      <c r="D50" s="42">
        <v>100</v>
      </c>
      <c r="E50" s="1">
        <v>112</v>
      </c>
      <c r="F50" s="700">
        <f>'e402-e801'!F50</f>
        <v>0</v>
      </c>
      <c r="G50" s="57">
        <f t="shared" si="0"/>
        <v>0</v>
      </c>
      <c r="H50" s="60">
        <f>(30*BC!$B$47/E50)</f>
        <v>0</v>
      </c>
      <c r="I50" s="701">
        <f t="shared" si="1"/>
        <v>0</v>
      </c>
      <c r="J50" s="701">
        <f t="shared" si="2"/>
        <v>0</v>
      </c>
      <c r="K50" s="216">
        <f t="shared" si="3"/>
        <v>0</v>
      </c>
      <c r="L50" s="702">
        <v>1109</v>
      </c>
      <c r="M50" s="703">
        <f t="shared" si="4"/>
        <v>0</v>
      </c>
      <c r="N50" s="704">
        <f t="shared" si="5"/>
        <v>11.09</v>
      </c>
      <c r="O50" s="705" t="e">
        <f>(N50+$M$265)+((BC!$F$125)/$F$112)</f>
        <v>#DIV/0!</v>
      </c>
      <c r="P50" s="149" t="e">
        <f t="shared" si="6"/>
        <v>#DIV/0!</v>
      </c>
      <c r="Q50" s="393" t="e">
        <f t="shared" si="7"/>
        <v>#DIV/0!</v>
      </c>
      <c r="R50" s="393" t="e">
        <f t="shared" si="8"/>
        <v>#DIV/0!</v>
      </c>
    </row>
    <row r="51" spans="2:18" ht="15.75" customHeight="1" x14ac:dyDescent="0.35">
      <c r="B51" s="471">
        <v>9015043190</v>
      </c>
      <c r="C51" s="612" t="s">
        <v>913</v>
      </c>
      <c r="D51" s="42">
        <v>300</v>
      </c>
      <c r="E51" s="1">
        <v>112</v>
      </c>
      <c r="F51" s="700">
        <f>'e402-e801'!F51</f>
        <v>0</v>
      </c>
      <c r="G51" s="57">
        <f t="shared" si="0"/>
        <v>0</v>
      </c>
      <c r="H51" s="60">
        <f>(30*BC!$B$47/E51)</f>
        <v>0</v>
      </c>
      <c r="I51" s="701">
        <f t="shared" si="1"/>
        <v>0</v>
      </c>
      <c r="J51" s="701">
        <f t="shared" si="2"/>
        <v>0</v>
      </c>
      <c r="K51" s="216">
        <f t="shared" si="3"/>
        <v>0</v>
      </c>
      <c r="L51" s="692"/>
      <c r="M51" s="703">
        <f t="shared" si="4"/>
        <v>0</v>
      </c>
      <c r="N51" s="704">
        <f t="shared" si="5"/>
        <v>0</v>
      </c>
      <c r="O51" s="705" t="e">
        <f>(N51+$M$265)+((BC!$F$125)/$F$112)</f>
        <v>#DIV/0!</v>
      </c>
      <c r="P51" s="149" t="e">
        <f t="shared" si="6"/>
        <v>#DIV/0!</v>
      </c>
      <c r="Q51" s="393" t="e">
        <f t="shared" si="7"/>
        <v>#DIV/0!</v>
      </c>
      <c r="R51" s="393" t="e">
        <f t="shared" si="8"/>
        <v>#DIV/0!</v>
      </c>
    </row>
    <row r="52" spans="2:18" ht="15.75" customHeight="1" x14ac:dyDescent="0.35">
      <c r="B52" s="471">
        <v>9007695190</v>
      </c>
      <c r="C52" s="617" t="s">
        <v>914</v>
      </c>
      <c r="D52" s="42">
        <v>100</v>
      </c>
      <c r="E52" s="1">
        <v>112</v>
      </c>
      <c r="F52" s="700">
        <f>'e402-e801'!F52</f>
        <v>0</v>
      </c>
      <c r="G52" s="57">
        <f t="shared" si="0"/>
        <v>0</v>
      </c>
      <c r="H52" s="60">
        <f>(30*BC!$B$47/E52)</f>
        <v>0</v>
      </c>
      <c r="I52" s="701">
        <f t="shared" si="1"/>
        <v>0</v>
      </c>
      <c r="J52" s="701">
        <f t="shared" si="2"/>
        <v>0</v>
      </c>
      <c r="K52" s="216">
        <f t="shared" si="3"/>
        <v>0</v>
      </c>
      <c r="L52" s="702">
        <v>756</v>
      </c>
      <c r="M52" s="703">
        <f t="shared" si="4"/>
        <v>0</v>
      </c>
      <c r="N52" s="704">
        <f t="shared" si="5"/>
        <v>7.56</v>
      </c>
      <c r="O52" s="705" t="e">
        <f>(N52+$M$265)+((BC!$F$125)/$F$112)</f>
        <v>#DIV/0!</v>
      </c>
      <c r="P52" s="149" t="e">
        <f t="shared" si="6"/>
        <v>#DIV/0!</v>
      </c>
      <c r="Q52" s="393" t="e">
        <f t="shared" si="7"/>
        <v>#DIV/0!</v>
      </c>
      <c r="R52" s="393" t="e">
        <f t="shared" si="8"/>
        <v>#DIV/0!</v>
      </c>
    </row>
    <row r="53" spans="2:18" ht="15.75" customHeight="1" x14ac:dyDescent="0.35">
      <c r="B53" s="471">
        <v>7028253190</v>
      </c>
      <c r="C53" s="618" t="s">
        <v>915</v>
      </c>
      <c r="D53" s="42">
        <v>100</v>
      </c>
      <c r="E53" s="1">
        <v>112</v>
      </c>
      <c r="F53" s="700">
        <f>'e402-e801'!F53</f>
        <v>0</v>
      </c>
      <c r="G53" s="57">
        <f t="shared" si="0"/>
        <v>0</v>
      </c>
      <c r="H53" s="60">
        <f>(30*BC!$B$47/E53)</f>
        <v>0</v>
      </c>
      <c r="I53" s="701">
        <f t="shared" si="1"/>
        <v>0</v>
      </c>
      <c r="J53" s="701">
        <f t="shared" si="2"/>
        <v>0</v>
      </c>
      <c r="K53" s="216">
        <f t="shared" si="3"/>
        <v>0</v>
      </c>
      <c r="L53" s="702">
        <v>577</v>
      </c>
      <c r="M53" s="703">
        <f t="shared" si="4"/>
        <v>0</v>
      </c>
      <c r="N53" s="704">
        <f t="shared" si="5"/>
        <v>5.77</v>
      </c>
      <c r="O53" s="705" t="e">
        <f>(N53+$M$265)+((BC!$F$125)/$F$112)</f>
        <v>#DIV/0!</v>
      </c>
      <c r="P53" s="149" t="e">
        <f t="shared" si="6"/>
        <v>#DIV/0!</v>
      </c>
      <c r="Q53" s="393" t="e">
        <f t="shared" si="7"/>
        <v>#DIV/0!</v>
      </c>
      <c r="R53" s="393" t="e">
        <f t="shared" si="8"/>
        <v>#DIV/0!</v>
      </c>
    </row>
    <row r="54" spans="2:18" ht="15.75" customHeight="1" x14ac:dyDescent="0.35">
      <c r="B54" s="471">
        <v>7027214190</v>
      </c>
      <c r="C54" s="620" t="s">
        <v>916</v>
      </c>
      <c r="D54" s="42">
        <v>100</v>
      </c>
      <c r="E54" s="1">
        <v>112</v>
      </c>
      <c r="F54" s="700">
        <f>'e402-e801'!F54</f>
        <v>0</v>
      </c>
      <c r="G54" s="57">
        <f t="shared" si="0"/>
        <v>0</v>
      </c>
      <c r="H54" s="60">
        <f>(30*BC!$B$47/E54)</f>
        <v>0</v>
      </c>
      <c r="I54" s="701">
        <f t="shared" si="1"/>
        <v>0</v>
      </c>
      <c r="J54" s="701">
        <f t="shared" si="2"/>
        <v>0</v>
      </c>
      <c r="K54" s="216">
        <f t="shared" si="3"/>
        <v>0</v>
      </c>
      <c r="L54" s="702">
        <v>615</v>
      </c>
      <c r="M54" s="703">
        <f t="shared" si="4"/>
        <v>0</v>
      </c>
      <c r="N54" s="704">
        <f t="shared" si="5"/>
        <v>6.15</v>
      </c>
      <c r="O54" s="705" t="e">
        <f>(N54+$M$265)+((BC!$F$125)/$F$112)</f>
        <v>#DIV/0!</v>
      </c>
      <c r="P54" s="149" t="e">
        <f t="shared" si="6"/>
        <v>#DIV/0!</v>
      </c>
      <c r="Q54" s="393" t="e">
        <f t="shared" si="7"/>
        <v>#DIV/0!</v>
      </c>
      <c r="R54" s="393" t="e">
        <f t="shared" si="8"/>
        <v>#DIV/0!</v>
      </c>
    </row>
    <row r="55" spans="2:18" ht="15.75" customHeight="1" x14ac:dyDescent="0.35">
      <c r="B55" s="471">
        <v>7027087190</v>
      </c>
      <c r="C55" s="620" t="s">
        <v>917</v>
      </c>
      <c r="D55" s="42">
        <v>100</v>
      </c>
      <c r="E55" s="1">
        <v>112</v>
      </c>
      <c r="F55" s="700">
        <f>'e402-e801'!F55</f>
        <v>0</v>
      </c>
      <c r="G55" s="57">
        <f t="shared" si="0"/>
        <v>0</v>
      </c>
      <c r="H55" s="60">
        <f>(30*BC!$B$47/E55)</f>
        <v>0</v>
      </c>
      <c r="I55" s="701">
        <f t="shared" si="1"/>
        <v>0</v>
      </c>
      <c r="J55" s="701">
        <f t="shared" si="2"/>
        <v>0</v>
      </c>
      <c r="K55" s="216">
        <f t="shared" si="3"/>
        <v>0</v>
      </c>
      <c r="L55" s="702">
        <v>276</v>
      </c>
      <c r="M55" s="703">
        <f t="shared" si="4"/>
        <v>0</v>
      </c>
      <c r="N55" s="704">
        <f t="shared" si="5"/>
        <v>2.76</v>
      </c>
      <c r="O55" s="705" t="e">
        <f>(N55+$M$265)+((BC!$F$125)/$F$112)</f>
        <v>#DIV/0!</v>
      </c>
      <c r="P55" s="149" t="e">
        <f t="shared" si="6"/>
        <v>#DIV/0!</v>
      </c>
      <c r="Q55" s="393" t="e">
        <f t="shared" si="7"/>
        <v>#DIV/0!</v>
      </c>
      <c r="R55" s="393" t="e">
        <f t="shared" si="8"/>
        <v>#DIV/0!</v>
      </c>
    </row>
    <row r="56" spans="2:18" ht="15.75" customHeight="1" x14ac:dyDescent="0.35">
      <c r="B56" s="471">
        <v>7027583190</v>
      </c>
      <c r="C56" s="620" t="s">
        <v>918</v>
      </c>
      <c r="D56" s="42">
        <v>100</v>
      </c>
      <c r="E56" s="1">
        <v>112</v>
      </c>
      <c r="F56" s="700">
        <f>'e402-e801'!F56</f>
        <v>0</v>
      </c>
      <c r="G56" s="57">
        <f t="shared" si="0"/>
        <v>0</v>
      </c>
      <c r="H56" s="60">
        <f>(30*BC!$B$47/E56)</f>
        <v>0</v>
      </c>
      <c r="I56" s="701">
        <f t="shared" si="1"/>
        <v>0</v>
      </c>
      <c r="J56" s="701">
        <f t="shared" si="2"/>
        <v>0</v>
      </c>
      <c r="K56" s="216">
        <f t="shared" si="3"/>
        <v>0</v>
      </c>
      <c r="L56" s="702">
        <v>499</v>
      </c>
      <c r="M56" s="703">
        <f t="shared" si="4"/>
        <v>0</v>
      </c>
      <c r="N56" s="704">
        <f t="shared" si="5"/>
        <v>4.99</v>
      </c>
      <c r="O56" s="705" t="e">
        <f>(N56+$M$265)+((BC!$F$125)/$F$112)</f>
        <v>#DIV/0!</v>
      </c>
      <c r="P56" s="149" t="e">
        <f t="shared" si="6"/>
        <v>#DIV/0!</v>
      </c>
      <c r="Q56" s="393" t="e">
        <f t="shared" si="7"/>
        <v>#DIV/0!</v>
      </c>
      <c r="R56" s="393" t="e">
        <f t="shared" si="8"/>
        <v>#DIV/0!</v>
      </c>
    </row>
    <row r="57" spans="2:18" ht="15.75" customHeight="1" x14ac:dyDescent="0.35">
      <c r="B57" s="471">
        <v>8946809190</v>
      </c>
      <c r="C57" s="620" t="s">
        <v>919</v>
      </c>
      <c r="D57" s="42">
        <v>100</v>
      </c>
      <c r="E57" s="1">
        <v>112</v>
      </c>
      <c r="F57" s="700">
        <f>'e402-e801'!F57</f>
        <v>0</v>
      </c>
      <c r="G57" s="57">
        <f t="shared" si="0"/>
        <v>0</v>
      </c>
      <c r="H57" s="60">
        <f>(30*BC!$B$47/E57)</f>
        <v>0</v>
      </c>
      <c r="I57" s="701">
        <f t="shared" si="1"/>
        <v>0</v>
      </c>
      <c r="J57" s="701">
        <f t="shared" si="2"/>
        <v>0</v>
      </c>
      <c r="K57" s="216">
        <f t="shared" si="3"/>
        <v>0</v>
      </c>
      <c r="L57" s="702">
        <v>5845</v>
      </c>
      <c r="M57" s="703">
        <f t="shared" si="4"/>
        <v>0</v>
      </c>
      <c r="N57" s="704">
        <f t="shared" si="5"/>
        <v>58.45</v>
      </c>
      <c r="O57" s="705" t="e">
        <f>(N57+$M$265)+((BC!$F$125)/$F$112)</f>
        <v>#DIV/0!</v>
      </c>
      <c r="P57" s="149" t="e">
        <f t="shared" si="6"/>
        <v>#DIV/0!</v>
      </c>
      <c r="Q57" s="393" t="e">
        <f t="shared" si="7"/>
        <v>#DIV/0!</v>
      </c>
      <c r="R57" s="393" t="e">
        <f t="shared" si="8"/>
        <v>#DIV/0!</v>
      </c>
    </row>
    <row r="58" spans="2:18" ht="15.75" customHeight="1" x14ac:dyDescent="0.35">
      <c r="B58" s="471">
        <v>9315357190</v>
      </c>
      <c r="C58" s="621" t="s">
        <v>920</v>
      </c>
      <c r="D58" s="42">
        <v>300</v>
      </c>
      <c r="E58" s="1">
        <v>112</v>
      </c>
      <c r="F58" s="700">
        <f>'e402-e801'!F58</f>
        <v>0</v>
      </c>
      <c r="G58" s="57">
        <f t="shared" si="0"/>
        <v>0</v>
      </c>
      <c r="H58" s="60">
        <f>(30*BC!$B$47/E58)</f>
        <v>0</v>
      </c>
      <c r="I58" s="701">
        <f t="shared" si="1"/>
        <v>0</v>
      </c>
      <c r="J58" s="701">
        <f t="shared" si="2"/>
        <v>0</v>
      </c>
      <c r="K58" s="216">
        <f t="shared" si="3"/>
        <v>0</v>
      </c>
      <c r="L58" s="702">
        <v>1824</v>
      </c>
      <c r="M58" s="703">
        <f t="shared" si="4"/>
        <v>0</v>
      </c>
      <c r="N58" s="704">
        <f t="shared" si="5"/>
        <v>6.08</v>
      </c>
      <c r="O58" s="705" t="e">
        <f>(N58+$M$265)+((BC!$F$125)/$F$112)</f>
        <v>#DIV/0!</v>
      </c>
      <c r="P58" s="149" t="e">
        <f t="shared" si="6"/>
        <v>#DIV/0!</v>
      </c>
      <c r="Q58" s="393" t="e">
        <f t="shared" si="7"/>
        <v>#DIV/0!</v>
      </c>
      <c r="R58" s="393" t="e">
        <f t="shared" si="8"/>
        <v>#DIV/0!</v>
      </c>
    </row>
    <row r="59" spans="2:18" ht="15.75" customHeight="1" x14ac:dyDescent="0.35">
      <c r="B59" s="471">
        <v>7028059190</v>
      </c>
      <c r="C59" s="621" t="s">
        <v>921</v>
      </c>
      <c r="D59" s="42">
        <v>300</v>
      </c>
      <c r="E59" s="1">
        <v>112</v>
      </c>
      <c r="F59" s="700">
        <f>'e402-e801'!F59</f>
        <v>0</v>
      </c>
      <c r="G59" s="57">
        <f t="shared" si="0"/>
        <v>0</v>
      </c>
      <c r="H59" s="60">
        <f>(30*BC!$B$47/E59)</f>
        <v>0</v>
      </c>
      <c r="I59" s="701">
        <f t="shared" si="1"/>
        <v>0</v>
      </c>
      <c r="J59" s="701">
        <f t="shared" si="2"/>
        <v>0</v>
      </c>
      <c r="K59" s="216">
        <f t="shared" si="3"/>
        <v>0</v>
      </c>
      <c r="L59" s="702">
        <v>1824</v>
      </c>
      <c r="M59" s="703">
        <f t="shared" si="4"/>
        <v>0</v>
      </c>
      <c r="N59" s="704">
        <f t="shared" si="5"/>
        <v>6.08</v>
      </c>
      <c r="O59" s="705" t="e">
        <f>(N59+$M$265)+((BC!$F$125)/$F$112)</f>
        <v>#DIV/0!</v>
      </c>
      <c r="P59" s="149" t="e">
        <f t="shared" si="6"/>
        <v>#DIV/0!</v>
      </c>
      <c r="Q59" s="393" t="e">
        <f t="shared" si="7"/>
        <v>#DIV/0!</v>
      </c>
      <c r="R59" s="393" t="e">
        <f t="shared" si="8"/>
        <v>#DIV/0!</v>
      </c>
    </row>
    <row r="60" spans="2:18" ht="15.75" customHeight="1" x14ac:dyDescent="0.35">
      <c r="B60" s="584" t="s">
        <v>922</v>
      </c>
      <c r="C60" s="624" t="s">
        <v>923</v>
      </c>
      <c r="D60" s="42">
        <v>300</v>
      </c>
      <c r="E60" s="1">
        <v>112</v>
      </c>
      <c r="F60" s="700">
        <f>'e402-e801'!F60</f>
        <v>0</v>
      </c>
      <c r="G60" s="57">
        <f t="shared" si="0"/>
        <v>0</v>
      </c>
      <c r="H60" s="60">
        <f>(30*BC!$B$47/E60)</f>
        <v>0</v>
      </c>
      <c r="I60" s="701">
        <f t="shared" si="1"/>
        <v>0</v>
      </c>
      <c r="J60" s="701">
        <f t="shared" si="2"/>
        <v>0</v>
      </c>
      <c r="K60" s="216">
        <f t="shared" si="3"/>
        <v>0</v>
      </c>
      <c r="L60" s="702">
        <v>3554</v>
      </c>
      <c r="M60" s="703">
        <f t="shared" si="4"/>
        <v>0</v>
      </c>
      <c r="N60" s="704">
        <f t="shared" si="5"/>
        <v>11.846666666666666</v>
      </c>
      <c r="O60" s="705" t="e">
        <f>(N60+$M$265)+((BC!$F$125)/$F$112)</f>
        <v>#DIV/0!</v>
      </c>
      <c r="P60" s="149" t="e">
        <f t="shared" si="6"/>
        <v>#DIV/0!</v>
      </c>
      <c r="Q60" s="393" t="e">
        <f t="shared" si="7"/>
        <v>#DIV/0!</v>
      </c>
      <c r="R60" s="393" t="e">
        <f t="shared" si="8"/>
        <v>#DIV/0!</v>
      </c>
    </row>
    <row r="61" spans="2:18" ht="15.75" customHeight="1" x14ac:dyDescent="0.35">
      <c r="B61" s="471">
        <v>9005676190</v>
      </c>
      <c r="C61" s="623" t="s">
        <v>924</v>
      </c>
      <c r="D61" s="42">
        <v>100</v>
      </c>
      <c r="E61" s="1">
        <v>112</v>
      </c>
      <c r="F61" s="700">
        <f>'e402-e801'!F61</f>
        <v>0</v>
      </c>
      <c r="G61" s="57">
        <f t="shared" si="0"/>
        <v>0</v>
      </c>
      <c r="H61" s="60">
        <f>(30*BC!$B$47/E61)</f>
        <v>0</v>
      </c>
      <c r="I61" s="701">
        <f t="shared" si="1"/>
        <v>0</v>
      </c>
      <c r="J61" s="701">
        <f t="shared" si="2"/>
        <v>0</v>
      </c>
      <c r="K61" s="216">
        <f t="shared" si="3"/>
        <v>0</v>
      </c>
      <c r="L61" s="692"/>
      <c r="M61" s="703">
        <f t="shared" si="4"/>
        <v>0</v>
      </c>
      <c r="N61" s="704">
        <f t="shared" si="5"/>
        <v>0</v>
      </c>
      <c r="O61" s="705" t="e">
        <f>(N61+$M$265)+((BC!$F$125)/$F$112)</f>
        <v>#DIV/0!</v>
      </c>
      <c r="P61" s="149" t="e">
        <f t="shared" si="6"/>
        <v>#DIV/0!</v>
      </c>
      <c r="Q61" s="393" t="e">
        <f t="shared" si="7"/>
        <v>#DIV/0!</v>
      </c>
      <c r="R61" s="393" t="e">
        <f t="shared" si="8"/>
        <v>#DIV/0!</v>
      </c>
    </row>
    <row r="62" spans="2:18" ht="15.75" customHeight="1" x14ac:dyDescent="0.35">
      <c r="B62" s="471">
        <v>9015612190</v>
      </c>
      <c r="C62" s="602" t="s">
        <v>925</v>
      </c>
      <c r="D62" s="42">
        <v>100</v>
      </c>
      <c r="E62" s="1">
        <v>112</v>
      </c>
      <c r="F62" s="700">
        <f>'e402-e801'!F62</f>
        <v>0</v>
      </c>
      <c r="G62" s="57">
        <f t="shared" si="0"/>
        <v>0</v>
      </c>
      <c r="H62" s="60">
        <f>(30*BC!$B$47/E62)</f>
        <v>0</v>
      </c>
      <c r="I62" s="701">
        <f t="shared" si="1"/>
        <v>0</v>
      </c>
      <c r="J62" s="701">
        <f t="shared" si="2"/>
        <v>0</v>
      </c>
      <c r="K62" s="216">
        <f t="shared" si="3"/>
        <v>0</v>
      </c>
      <c r="L62" s="702">
        <v>1055</v>
      </c>
      <c r="M62" s="703">
        <f t="shared" si="4"/>
        <v>0</v>
      </c>
      <c r="N62" s="704">
        <f t="shared" si="5"/>
        <v>10.55</v>
      </c>
      <c r="O62" s="705" t="e">
        <f>(N62+$M$265)+((BC!$F$125)/$F$112)</f>
        <v>#DIV/0!</v>
      </c>
      <c r="P62" s="149" t="e">
        <f t="shared" si="6"/>
        <v>#DIV/0!</v>
      </c>
      <c r="Q62" s="393" t="e">
        <f t="shared" si="7"/>
        <v>#DIV/0!</v>
      </c>
      <c r="R62" s="393" t="e">
        <f t="shared" si="8"/>
        <v>#DIV/0!</v>
      </c>
    </row>
    <row r="63" spans="2:18" ht="15.75" customHeight="1" x14ac:dyDescent="0.35">
      <c r="B63" s="614">
        <v>7027273190</v>
      </c>
      <c r="C63" s="625" t="s">
        <v>926</v>
      </c>
      <c r="D63" s="42">
        <v>300</v>
      </c>
      <c r="E63" s="1">
        <v>112</v>
      </c>
      <c r="F63" s="700">
        <f>'e402-e801'!F63</f>
        <v>0</v>
      </c>
      <c r="G63" s="57">
        <f t="shared" si="0"/>
        <v>0</v>
      </c>
      <c r="H63" s="60">
        <f>(30*BC!$B$47/E63)</f>
        <v>0</v>
      </c>
      <c r="I63" s="701">
        <f t="shared" si="1"/>
        <v>0</v>
      </c>
      <c r="J63" s="701">
        <f t="shared" si="2"/>
        <v>0</v>
      </c>
      <c r="K63" s="216">
        <f t="shared" si="3"/>
        <v>0</v>
      </c>
      <c r="L63" s="702">
        <v>1134</v>
      </c>
      <c r="M63" s="703">
        <f t="shared" si="4"/>
        <v>0</v>
      </c>
      <c r="N63" s="704">
        <f t="shared" si="5"/>
        <v>3.78</v>
      </c>
      <c r="O63" s="705" t="e">
        <f>(N63+$M$265)+((BC!$F$125)/$F$112)</f>
        <v>#DIV/0!</v>
      </c>
      <c r="P63" s="149" t="e">
        <f t="shared" si="6"/>
        <v>#DIV/0!</v>
      </c>
      <c r="Q63" s="393" t="e">
        <f t="shared" si="7"/>
        <v>#DIV/0!</v>
      </c>
      <c r="R63" s="393" t="e">
        <f t="shared" si="8"/>
        <v>#DIV/0!</v>
      </c>
    </row>
    <row r="64" spans="2:18" ht="15.75" customHeight="1" x14ac:dyDescent="0.35">
      <c r="B64" s="471">
        <v>7027290190</v>
      </c>
      <c r="C64" s="626" t="s">
        <v>927</v>
      </c>
      <c r="D64" s="42">
        <v>300</v>
      </c>
      <c r="E64" s="1">
        <v>112</v>
      </c>
      <c r="F64" s="700">
        <f>'e402-e801'!F64</f>
        <v>0</v>
      </c>
      <c r="G64" s="57">
        <f t="shared" si="0"/>
        <v>0</v>
      </c>
      <c r="H64" s="60">
        <f>(30*BC!$B$47/E64)</f>
        <v>0</v>
      </c>
      <c r="I64" s="701">
        <f t="shared" si="1"/>
        <v>0</v>
      </c>
      <c r="J64" s="701">
        <f t="shared" si="2"/>
        <v>0</v>
      </c>
      <c r="K64" s="216">
        <f t="shared" si="3"/>
        <v>0</v>
      </c>
      <c r="L64" s="702">
        <v>990</v>
      </c>
      <c r="M64" s="703">
        <f t="shared" si="4"/>
        <v>0</v>
      </c>
      <c r="N64" s="704">
        <f t="shared" si="5"/>
        <v>3.3</v>
      </c>
      <c r="O64" s="705" t="e">
        <f>(N64+$M$265)+((BC!$F$125)/$F$112)</f>
        <v>#DIV/0!</v>
      </c>
      <c r="P64" s="149" t="e">
        <f t="shared" si="6"/>
        <v>#DIV/0!</v>
      </c>
      <c r="Q64" s="393" t="e">
        <f t="shared" si="7"/>
        <v>#DIV/0!</v>
      </c>
      <c r="R64" s="393" t="e">
        <f t="shared" si="8"/>
        <v>#DIV/0!</v>
      </c>
    </row>
    <row r="65" spans="2:18" ht="15.75" customHeight="1" x14ac:dyDescent="0.35">
      <c r="B65" s="471">
        <v>7028121190</v>
      </c>
      <c r="C65" s="625" t="s">
        <v>928</v>
      </c>
      <c r="D65" s="42">
        <v>300</v>
      </c>
      <c r="E65" s="1">
        <v>112</v>
      </c>
      <c r="F65" s="700">
        <f>'e402-e801'!F65</f>
        <v>0</v>
      </c>
      <c r="G65" s="57">
        <f t="shared" si="0"/>
        <v>0</v>
      </c>
      <c r="H65" s="60">
        <f>(30*BC!$B$47/E65)</f>
        <v>0</v>
      </c>
      <c r="I65" s="701">
        <f t="shared" si="1"/>
        <v>0</v>
      </c>
      <c r="J65" s="701">
        <f t="shared" si="2"/>
        <v>0</v>
      </c>
      <c r="K65" s="216">
        <f t="shared" si="3"/>
        <v>0</v>
      </c>
      <c r="L65" s="702">
        <v>2099</v>
      </c>
      <c r="M65" s="703">
        <f t="shared" si="4"/>
        <v>0</v>
      </c>
      <c r="N65" s="704">
        <f t="shared" si="5"/>
        <v>6.996666666666667</v>
      </c>
      <c r="O65" s="705" t="e">
        <f>(N65+$M$265)+((BC!$F$125)/$F$112)</f>
        <v>#DIV/0!</v>
      </c>
      <c r="P65" s="149" t="e">
        <f t="shared" si="6"/>
        <v>#DIV/0!</v>
      </c>
      <c r="Q65" s="393" t="e">
        <f t="shared" si="7"/>
        <v>#DIV/0!</v>
      </c>
      <c r="R65" s="393" t="e">
        <f t="shared" si="8"/>
        <v>#DIV/0!</v>
      </c>
    </row>
    <row r="66" spans="2:18" ht="15.75" customHeight="1" x14ac:dyDescent="0.35">
      <c r="B66" s="471">
        <v>7713258190</v>
      </c>
      <c r="C66" s="628" t="s">
        <v>929</v>
      </c>
      <c r="D66" s="42">
        <v>300</v>
      </c>
      <c r="E66" s="1">
        <v>112</v>
      </c>
      <c r="F66" s="700">
        <f>'e402-e801'!F66</f>
        <v>0</v>
      </c>
      <c r="G66" s="57">
        <f t="shared" si="0"/>
        <v>0</v>
      </c>
      <c r="H66" s="60">
        <f>(30*BC!$B$47/E66)</f>
        <v>0</v>
      </c>
      <c r="I66" s="701">
        <f t="shared" si="1"/>
        <v>0</v>
      </c>
      <c r="J66" s="701">
        <f t="shared" si="2"/>
        <v>0</v>
      </c>
      <c r="K66" s="216">
        <f t="shared" si="3"/>
        <v>0</v>
      </c>
      <c r="L66" s="692"/>
      <c r="M66" s="703">
        <f t="shared" si="4"/>
        <v>0</v>
      </c>
      <c r="N66" s="704">
        <f t="shared" si="5"/>
        <v>0</v>
      </c>
      <c r="O66" s="705" t="e">
        <f>(N66+$M$265)+((BC!$F$125)/$F$112)</f>
        <v>#DIV/0!</v>
      </c>
      <c r="P66" s="149" t="e">
        <f t="shared" si="6"/>
        <v>#DIV/0!</v>
      </c>
      <c r="Q66" s="393" t="e">
        <f t="shared" si="7"/>
        <v>#DIV/0!</v>
      </c>
      <c r="R66" s="393" t="e">
        <f t="shared" si="8"/>
        <v>#DIV/0!</v>
      </c>
    </row>
    <row r="67" spans="2:18" ht="15.75" customHeight="1" x14ac:dyDescent="0.35">
      <c r="B67" s="25">
        <v>7027516190</v>
      </c>
      <c r="C67" s="594" t="s">
        <v>930</v>
      </c>
      <c r="D67" s="42">
        <v>100</v>
      </c>
      <c r="E67" s="1">
        <v>112</v>
      </c>
      <c r="F67" s="700">
        <f>'e402-e801'!F67</f>
        <v>0</v>
      </c>
      <c r="G67" s="57">
        <f t="shared" si="0"/>
        <v>0</v>
      </c>
      <c r="H67" s="60">
        <f>(30*BC!$B$47/E67)</f>
        <v>0</v>
      </c>
      <c r="I67" s="701">
        <f t="shared" si="1"/>
        <v>0</v>
      </c>
      <c r="J67" s="701">
        <f t="shared" si="2"/>
        <v>0</v>
      </c>
      <c r="K67" s="216">
        <f t="shared" si="3"/>
        <v>0</v>
      </c>
      <c r="L67" s="702">
        <v>388</v>
      </c>
      <c r="M67" s="703">
        <f t="shared" si="4"/>
        <v>0</v>
      </c>
      <c r="N67" s="704">
        <f t="shared" si="5"/>
        <v>3.88</v>
      </c>
      <c r="O67" s="705" t="e">
        <f>(N67+$M$265)+((BC!$F$125)/$F$112)</f>
        <v>#DIV/0!</v>
      </c>
      <c r="P67" s="149" t="e">
        <f t="shared" si="6"/>
        <v>#DIV/0!</v>
      </c>
      <c r="Q67" s="393" t="e">
        <f t="shared" si="7"/>
        <v>#DIV/0!</v>
      </c>
      <c r="R67" s="393" t="e">
        <f t="shared" si="8"/>
        <v>#DIV/0!</v>
      </c>
    </row>
    <row r="68" spans="2:18" ht="15.75" customHeight="1" x14ac:dyDescent="0.35">
      <c r="B68" s="25">
        <v>9744436190</v>
      </c>
      <c r="C68" s="625" t="s">
        <v>931</v>
      </c>
      <c r="D68" s="42">
        <v>100</v>
      </c>
      <c r="E68" s="1">
        <v>112</v>
      </c>
      <c r="F68" s="700">
        <f>'e402-e801'!F68</f>
        <v>0</v>
      </c>
      <c r="G68" s="57">
        <f t="shared" si="0"/>
        <v>0</v>
      </c>
      <c r="H68" s="60">
        <f>(30*BC!$B$47/E68)</f>
        <v>0</v>
      </c>
      <c r="I68" s="701">
        <f t="shared" si="1"/>
        <v>0</v>
      </c>
      <c r="J68" s="701">
        <f t="shared" si="2"/>
        <v>0</v>
      </c>
      <c r="K68" s="216">
        <f t="shared" si="3"/>
        <v>0</v>
      </c>
      <c r="L68" s="702">
        <v>1950</v>
      </c>
      <c r="M68" s="703">
        <f t="shared" si="4"/>
        <v>0</v>
      </c>
      <c r="N68" s="704">
        <f t="shared" si="5"/>
        <v>19.5</v>
      </c>
      <c r="O68" s="705" t="e">
        <f>(N68+$M$265)+((BC!$F$125)/$F$112)</f>
        <v>#DIV/0!</v>
      </c>
      <c r="P68" s="149" t="e">
        <f t="shared" si="6"/>
        <v>#DIV/0!</v>
      </c>
      <c r="Q68" s="393" t="e">
        <f t="shared" si="7"/>
        <v>#DIV/0!</v>
      </c>
      <c r="R68" s="393" t="e">
        <f t="shared" si="8"/>
        <v>#DIV/0!</v>
      </c>
    </row>
    <row r="69" spans="2:18" ht="15.75" customHeight="1" x14ac:dyDescent="0.35">
      <c r="B69" s="25">
        <v>9005765190</v>
      </c>
      <c r="C69" s="625" t="s">
        <v>932</v>
      </c>
      <c r="D69" s="42">
        <v>100</v>
      </c>
      <c r="E69" s="1">
        <v>112</v>
      </c>
      <c r="F69" s="700">
        <f>'e402-e801'!F69</f>
        <v>0</v>
      </c>
      <c r="G69" s="57">
        <f t="shared" si="0"/>
        <v>0</v>
      </c>
      <c r="H69" s="60">
        <f>(30*BC!$B$47/E69)</f>
        <v>0</v>
      </c>
      <c r="I69" s="701">
        <f t="shared" si="1"/>
        <v>0</v>
      </c>
      <c r="J69" s="701">
        <f t="shared" si="2"/>
        <v>0</v>
      </c>
      <c r="K69" s="216">
        <f t="shared" si="3"/>
        <v>0</v>
      </c>
      <c r="L69" s="702">
        <v>1300</v>
      </c>
      <c r="M69" s="703">
        <f t="shared" si="4"/>
        <v>0</v>
      </c>
      <c r="N69" s="704">
        <f t="shared" si="5"/>
        <v>13</v>
      </c>
      <c r="O69" s="705" t="e">
        <f>(N69+$M$265)+((BC!$F$125)/$F$112)</f>
        <v>#DIV/0!</v>
      </c>
      <c r="P69" s="149" t="e">
        <f t="shared" si="6"/>
        <v>#DIV/0!</v>
      </c>
      <c r="Q69" s="393" t="e">
        <f t="shared" si="7"/>
        <v>#DIV/0!</v>
      </c>
      <c r="R69" s="393" t="e">
        <f t="shared" si="8"/>
        <v>#DIV/0!</v>
      </c>
    </row>
    <row r="70" spans="2:18" ht="15.75" customHeight="1" x14ac:dyDescent="0.35">
      <c r="B70" s="25">
        <v>7027940190</v>
      </c>
      <c r="C70" s="625" t="s">
        <v>933</v>
      </c>
      <c r="D70" s="42">
        <v>100</v>
      </c>
      <c r="E70" s="1">
        <v>112</v>
      </c>
      <c r="F70" s="700">
        <f>'e402-e801'!F70</f>
        <v>0</v>
      </c>
      <c r="G70" s="57">
        <f t="shared" si="0"/>
        <v>0</v>
      </c>
      <c r="H70" s="60">
        <f>(30*BC!$B$47/E70)</f>
        <v>0</v>
      </c>
      <c r="I70" s="701">
        <f t="shared" si="1"/>
        <v>0</v>
      </c>
      <c r="J70" s="701">
        <f t="shared" si="2"/>
        <v>0</v>
      </c>
      <c r="K70" s="216">
        <f t="shared" si="3"/>
        <v>0</v>
      </c>
      <c r="L70" s="702">
        <v>867</v>
      </c>
      <c r="M70" s="703">
        <f t="shared" si="4"/>
        <v>0</v>
      </c>
      <c r="N70" s="704">
        <f t="shared" si="5"/>
        <v>8.67</v>
      </c>
      <c r="O70" s="705" t="e">
        <f>(N70+$M$265)+((BC!$F$125)/$F$112)</f>
        <v>#DIV/0!</v>
      </c>
      <c r="P70" s="149" t="e">
        <f t="shared" si="6"/>
        <v>#DIV/0!</v>
      </c>
      <c r="Q70" s="393" t="e">
        <f t="shared" si="7"/>
        <v>#DIV/0!</v>
      </c>
      <c r="R70" s="393" t="e">
        <f t="shared" si="8"/>
        <v>#DIV/0!</v>
      </c>
    </row>
    <row r="71" spans="2:18" ht="15.75" customHeight="1" x14ac:dyDescent="0.35">
      <c r="B71" s="585" t="s">
        <v>934</v>
      </c>
      <c r="C71" s="629" t="s">
        <v>935</v>
      </c>
      <c r="D71" s="42">
        <v>100</v>
      </c>
      <c r="E71" s="1">
        <v>112</v>
      </c>
      <c r="F71" s="700">
        <f>'e402-e801'!F71</f>
        <v>0</v>
      </c>
      <c r="G71" s="57">
        <f t="shared" si="0"/>
        <v>0</v>
      </c>
      <c r="H71" s="60">
        <f>(30*BC!$B$47/E71)</f>
        <v>0</v>
      </c>
      <c r="I71" s="701">
        <f t="shared" si="1"/>
        <v>0</v>
      </c>
      <c r="J71" s="701">
        <f t="shared" si="2"/>
        <v>0</v>
      </c>
      <c r="K71" s="216">
        <f t="shared" si="3"/>
        <v>0</v>
      </c>
      <c r="L71" s="702">
        <v>543</v>
      </c>
      <c r="M71" s="703">
        <f t="shared" si="4"/>
        <v>0</v>
      </c>
      <c r="N71" s="704">
        <f t="shared" si="5"/>
        <v>5.43</v>
      </c>
      <c r="O71" s="705" t="e">
        <f>(N71+$M$265)+((BC!$F$125)/$F$112)</f>
        <v>#DIV/0!</v>
      </c>
      <c r="P71" s="149" t="e">
        <f t="shared" si="6"/>
        <v>#DIV/0!</v>
      </c>
      <c r="Q71" s="393" t="e">
        <f t="shared" si="7"/>
        <v>#DIV/0!</v>
      </c>
      <c r="R71" s="393" t="e">
        <f t="shared" si="8"/>
        <v>#DIV/0!</v>
      </c>
    </row>
    <row r="72" spans="2:18" ht="15.75" customHeight="1" x14ac:dyDescent="0.35">
      <c r="B72" s="25">
        <v>7027591190</v>
      </c>
      <c r="C72" s="625" t="s">
        <v>936</v>
      </c>
      <c r="D72" s="42">
        <v>100</v>
      </c>
      <c r="E72" s="1">
        <v>112</v>
      </c>
      <c r="F72" s="700">
        <f>'e402-e801'!F72</f>
        <v>0</v>
      </c>
      <c r="G72" s="57">
        <f t="shared" ref="G72:G111" si="9">F72/D72</f>
        <v>0</v>
      </c>
      <c r="H72" s="60">
        <f>(30*BC!$B$47/E72)</f>
        <v>0</v>
      </c>
      <c r="I72" s="701">
        <f t="shared" ref="I72:I111" si="10">IF(H72&gt;G72,H72,G72)</f>
        <v>0</v>
      </c>
      <c r="J72" s="701">
        <f t="shared" ref="J72:J111" si="11">IF(G72=0,0,I72)</f>
        <v>0</v>
      </c>
      <c r="K72" s="216">
        <f t="shared" ref="K72:K111" si="12">ROUNDUP(J72,0)</f>
        <v>0</v>
      </c>
      <c r="L72" s="702">
        <v>654</v>
      </c>
      <c r="M72" s="703">
        <f t="shared" ref="M72:M111" si="13">L72*K72</f>
        <v>0</v>
      </c>
      <c r="N72" s="704">
        <f t="shared" ref="N72:N111" si="14">L72/D72</f>
        <v>6.54</v>
      </c>
      <c r="O72" s="705" t="e">
        <f>(N72+$M$265)+((BC!$F$125)/$F$112)</f>
        <v>#DIV/0!</v>
      </c>
      <c r="P72" s="149" t="e">
        <f t="shared" ref="P72:P111" si="15">O72*F72</f>
        <v>#DIV/0!</v>
      </c>
      <c r="Q72" s="393" t="e">
        <f t="shared" ref="Q72:Q111" si="16">((O72*0.15)+O72)</f>
        <v>#DIV/0!</v>
      </c>
      <c r="R72" s="393" t="e">
        <f t="shared" ref="R72:R111" si="17">Q72*F72</f>
        <v>#DIV/0!</v>
      </c>
    </row>
    <row r="73" spans="2:18" ht="15.75" customHeight="1" x14ac:dyDescent="0.35">
      <c r="B73" s="585" t="s">
        <v>937</v>
      </c>
      <c r="C73" s="631" t="s">
        <v>938</v>
      </c>
      <c r="D73" s="42">
        <v>100</v>
      </c>
      <c r="E73" s="1">
        <v>112</v>
      </c>
      <c r="F73" s="700">
        <f>'e402-e801'!F73</f>
        <v>0</v>
      </c>
      <c r="G73" s="57">
        <f t="shared" si="9"/>
        <v>0</v>
      </c>
      <c r="H73" s="60">
        <f>(30*BC!$B$47/E73)</f>
        <v>0</v>
      </c>
      <c r="I73" s="701">
        <f t="shared" si="10"/>
        <v>0</v>
      </c>
      <c r="J73" s="701">
        <f t="shared" si="11"/>
        <v>0</v>
      </c>
      <c r="K73" s="216">
        <f t="shared" si="12"/>
        <v>0</v>
      </c>
      <c r="L73" s="702">
        <v>861</v>
      </c>
      <c r="M73" s="703">
        <f t="shared" si="13"/>
        <v>0</v>
      </c>
      <c r="N73" s="704">
        <f t="shared" si="14"/>
        <v>8.61</v>
      </c>
      <c r="O73" s="705" t="e">
        <f>(N73+$M$265)+((BC!$F$125)/$F$112)</f>
        <v>#DIV/0!</v>
      </c>
      <c r="P73" s="149" t="e">
        <f t="shared" si="15"/>
        <v>#DIV/0!</v>
      </c>
      <c r="Q73" s="393" t="e">
        <f t="shared" si="16"/>
        <v>#DIV/0!</v>
      </c>
      <c r="R73" s="393" t="e">
        <f t="shared" si="17"/>
        <v>#DIV/0!</v>
      </c>
    </row>
    <row r="74" spans="2:18" ht="15.75" customHeight="1" x14ac:dyDescent="0.35">
      <c r="B74" s="585" t="s">
        <v>939</v>
      </c>
      <c r="C74" s="586" t="s">
        <v>940</v>
      </c>
      <c r="D74" s="42">
        <v>300</v>
      </c>
      <c r="E74" s="1">
        <v>112</v>
      </c>
      <c r="F74" s="700">
        <f>'e402-e801'!F74</f>
        <v>0</v>
      </c>
      <c r="G74" s="57">
        <f t="shared" si="9"/>
        <v>0</v>
      </c>
      <c r="H74" s="60">
        <f>(30*BC!$B$47/E74)</f>
        <v>0</v>
      </c>
      <c r="I74" s="701">
        <f t="shared" si="10"/>
        <v>0</v>
      </c>
      <c r="J74" s="701">
        <f t="shared" si="11"/>
        <v>0</v>
      </c>
      <c r="K74" s="216">
        <f t="shared" si="12"/>
        <v>0</v>
      </c>
      <c r="L74" s="702">
        <v>5103</v>
      </c>
      <c r="M74" s="703">
        <f t="shared" si="13"/>
        <v>0</v>
      </c>
      <c r="N74" s="704">
        <f t="shared" si="14"/>
        <v>17.010000000000002</v>
      </c>
      <c r="O74" s="705" t="e">
        <f>(N74+$M$265)+((BC!$F$125)/$F$112)</f>
        <v>#DIV/0!</v>
      </c>
      <c r="P74" s="149" t="e">
        <f t="shared" si="15"/>
        <v>#DIV/0!</v>
      </c>
      <c r="Q74" s="393" t="e">
        <f t="shared" si="16"/>
        <v>#DIV/0!</v>
      </c>
      <c r="R74" s="393" t="e">
        <f t="shared" si="17"/>
        <v>#DIV/0!</v>
      </c>
    </row>
    <row r="75" spans="2:18" ht="15.75" customHeight="1" x14ac:dyDescent="0.35">
      <c r="B75" s="25">
        <v>9038086190</v>
      </c>
      <c r="C75" s="632" t="s">
        <v>941</v>
      </c>
      <c r="D75" s="42">
        <v>300</v>
      </c>
      <c r="E75" s="1">
        <v>77</v>
      </c>
      <c r="F75" s="700">
        <f>'e402-e801'!F75</f>
        <v>0</v>
      </c>
      <c r="G75" s="57">
        <f t="shared" si="9"/>
        <v>0</v>
      </c>
      <c r="H75" s="60">
        <f>(30*BC!$B$47/E75)</f>
        <v>0</v>
      </c>
      <c r="I75" s="701">
        <f t="shared" si="10"/>
        <v>0</v>
      </c>
      <c r="J75" s="701">
        <f t="shared" si="11"/>
        <v>0</v>
      </c>
      <c r="K75" s="216">
        <f t="shared" si="12"/>
        <v>0</v>
      </c>
      <c r="L75" s="702">
        <v>1971</v>
      </c>
      <c r="M75" s="703">
        <f t="shared" si="13"/>
        <v>0</v>
      </c>
      <c r="N75" s="704">
        <f t="shared" si="14"/>
        <v>6.57</v>
      </c>
      <c r="O75" s="705" t="e">
        <f>(N75+$M$265)+((BC!$F$125)/$F$112)</f>
        <v>#DIV/0!</v>
      </c>
      <c r="P75" s="149" t="e">
        <f t="shared" si="15"/>
        <v>#DIV/0!</v>
      </c>
      <c r="Q75" s="393" t="e">
        <f t="shared" si="16"/>
        <v>#DIV/0!</v>
      </c>
      <c r="R75" s="393" t="e">
        <f t="shared" si="17"/>
        <v>#DIV/0!</v>
      </c>
    </row>
    <row r="76" spans="2:18" ht="15.75" customHeight="1" x14ac:dyDescent="0.35">
      <c r="B76" s="25">
        <v>7475918190</v>
      </c>
      <c r="C76" s="615" t="s">
        <v>942</v>
      </c>
      <c r="D76" s="42">
        <v>100</v>
      </c>
      <c r="E76" s="1">
        <v>112</v>
      </c>
      <c r="F76" s="700">
        <f>'e402-e801'!F76</f>
        <v>0</v>
      </c>
      <c r="G76" s="57">
        <f t="shared" si="9"/>
        <v>0</v>
      </c>
      <c r="H76" s="60">
        <f>(30*BC!$B$47/E76)</f>
        <v>0</v>
      </c>
      <c r="I76" s="701">
        <f t="shared" si="10"/>
        <v>0</v>
      </c>
      <c r="J76" s="701">
        <f t="shared" si="11"/>
        <v>0</v>
      </c>
      <c r="K76" s="216">
        <f t="shared" si="12"/>
        <v>0</v>
      </c>
      <c r="L76" s="702">
        <v>859</v>
      </c>
      <c r="M76" s="703">
        <f t="shared" si="13"/>
        <v>0</v>
      </c>
      <c r="N76" s="704">
        <f t="shared" si="14"/>
        <v>8.59</v>
      </c>
      <c r="O76" s="705" t="e">
        <f>(N76+$M$265)+((BC!$F$125)/$F$112)</f>
        <v>#DIV/0!</v>
      </c>
      <c r="P76" s="149" t="e">
        <f t="shared" si="15"/>
        <v>#DIV/0!</v>
      </c>
      <c r="Q76" s="393" t="e">
        <f t="shared" si="16"/>
        <v>#DIV/0!</v>
      </c>
      <c r="R76" s="393" t="e">
        <f t="shared" si="17"/>
        <v>#DIV/0!</v>
      </c>
    </row>
    <row r="77" spans="2:18" ht="15.75" customHeight="1" x14ac:dyDescent="0.35">
      <c r="B77" s="25">
        <v>7574720190</v>
      </c>
      <c r="C77" s="615" t="s">
        <v>943</v>
      </c>
      <c r="D77" s="42">
        <v>100</v>
      </c>
      <c r="E77" s="1">
        <v>112</v>
      </c>
      <c r="F77" s="700">
        <f>'e402-e801'!F77</f>
        <v>0</v>
      </c>
      <c r="G77" s="57">
        <f t="shared" si="9"/>
        <v>0</v>
      </c>
      <c r="H77" s="60">
        <f>(30*BC!$B$47/E77)</f>
        <v>0</v>
      </c>
      <c r="I77" s="701">
        <f t="shared" si="10"/>
        <v>0</v>
      </c>
      <c r="J77" s="701">
        <f t="shared" si="11"/>
        <v>0</v>
      </c>
      <c r="K77" s="216">
        <f t="shared" si="12"/>
        <v>0</v>
      </c>
      <c r="L77" s="702">
        <v>1239</v>
      </c>
      <c r="M77" s="703">
        <f t="shared" si="13"/>
        <v>0</v>
      </c>
      <c r="N77" s="704">
        <f t="shared" si="14"/>
        <v>12.39</v>
      </c>
      <c r="O77" s="705" t="e">
        <f>(N77+$M$265)+((BC!$F$125)/$F$112)</f>
        <v>#DIV/0!</v>
      </c>
      <c r="P77" s="149" t="e">
        <f t="shared" si="15"/>
        <v>#DIV/0!</v>
      </c>
      <c r="Q77" s="393" t="e">
        <f t="shared" si="16"/>
        <v>#DIV/0!</v>
      </c>
      <c r="R77" s="393" t="e">
        <f t="shared" si="17"/>
        <v>#DIV/0!</v>
      </c>
    </row>
    <row r="78" spans="2:18" ht="15.75" customHeight="1" x14ac:dyDescent="0.35">
      <c r="B78" s="25">
        <v>8836973190</v>
      </c>
      <c r="C78" s="634" t="s">
        <v>944</v>
      </c>
      <c r="D78" s="42">
        <v>300</v>
      </c>
      <c r="E78" s="1">
        <v>112</v>
      </c>
      <c r="F78" s="700">
        <f>'e402-e801'!F78</f>
        <v>0</v>
      </c>
      <c r="G78" s="57">
        <f t="shared" si="9"/>
        <v>0</v>
      </c>
      <c r="H78" s="60">
        <f>(30*BC!$B$47/E78)</f>
        <v>0</v>
      </c>
      <c r="I78" s="701">
        <f t="shared" si="10"/>
        <v>0</v>
      </c>
      <c r="J78" s="701">
        <f t="shared" si="11"/>
        <v>0</v>
      </c>
      <c r="K78" s="216">
        <f t="shared" si="12"/>
        <v>0</v>
      </c>
      <c r="L78" s="702">
        <v>2658</v>
      </c>
      <c r="M78" s="703">
        <f t="shared" si="13"/>
        <v>0</v>
      </c>
      <c r="N78" s="704">
        <f t="shared" si="14"/>
        <v>8.86</v>
      </c>
      <c r="O78" s="705" t="e">
        <f>(N78+$M$265)+((BC!$F$125)/$F$112)</f>
        <v>#DIV/0!</v>
      </c>
      <c r="P78" s="149" t="e">
        <f t="shared" si="15"/>
        <v>#DIV/0!</v>
      </c>
      <c r="Q78" s="393" t="e">
        <f t="shared" si="16"/>
        <v>#DIV/0!</v>
      </c>
      <c r="R78" s="393" t="e">
        <f t="shared" si="17"/>
        <v>#DIV/0!</v>
      </c>
    </row>
    <row r="79" spans="2:18" ht="15.75" customHeight="1" x14ac:dyDescent="0.35">
      <c r="B79" s="25">
        <v>8110697190</v>
      </c>
      <c r="C79" s="636" t="s">
        <v>945</v>
      </c>
      <c r="D79" s="42">
        <v>300</v>
      </c>
      <c r="E79" s="1">
        <v>31</v>
      </c>
      <c r="F79" s="700">
        <f>'e402-e801'!F79</f>
        <v>0</v>
      </c>
      <c r="G79" s="57">
        <f t="shared" si="9"/>
        <v>0</v>
      </c>
      <c r="H79" s="60">
        <f>(30*BC!$B$47/E79)</f>
        <v>0</v>
      </c>
      <c r="I79" s="701">
        <f t="shared" si="10"/>
        <v>0</v>
      </c>
      <c r="J79" s="701">
        <f t="shared" si="11"/>
        <v>0</v>
      </c>
      <c r="K79" s="216">
        <f t="shared" si="12"/>
        <v>0</v>
      </c>
      <c r="L79" s="692"/>
      <c r="M79" s="703">
        <f t="shared" si="13"/>
        <v>0</v>
      </c>
      <c r="N79" s="704">
        <f t="shared" si="14"/>
        <v>0</v>
      </c>
      <c r="O79" s="705" t="e">
        <f>(N79+$M$265)+((BC!$F$125)/$F$112)</f>
        <v>#DIV/0!</v>
      </c>
      <c r="P79" s="149" t="e">
        <f t="shared" si="15"/>
        <v>#DIV/0!</v>
      </c>
      <c r="Q79" s="393" t="e">
        <f t="shared" si="16"/>
        <v>#DIV/0!</v>
      </c>
      <c r="R79" s="393" t="e">
        <f t="shared" si="17"/>
        <v>#DIV/0!</v>
      </c>
    </row>
    <row r="80" spans="2:18" ht="15.75" customHeight="1" x14ac:dyDescent="0.35">
      <c r="B80" s="25">
        <v>8086664190</v>
      </c>
      <c r="C80" s="638" t="s">
        <v>946</v>
      </c>
      <c r="D80" s="42">
        <v>300</v>
      </c>
      <c r="E80" s="1">
        <v>112</v>
      </c>
      <c r="F80" s="700">
        <f>'e402-e801'!F80</f>
        <v>0</v>
      </c>
      <c r="G80" s="57">
        <f t="shared" si="9"/>
        <v>0</v>
      </c>
      <c r="H80" s="60">
        <f>(30*BC!$B$47/E80)</f>
        <v>0</v>
      </c>
      <c r="I80" s="701">
        <f t="shared" si="10"/>
        <v>0</v>
      </c>
      <c r="J80" s="701">
        <f t="shared" si="11"/>
        <v>0</v>
      </c>
      <c r="K80" s="216">
        <f t="shared" si="12"/>
        <v>0</v>
      </c>
      <c r="L80" s="702">
        <v>1107</v>
      </c>
      <c r="M80" s="703">
        <f t="shared" si="13"/>
        <v>0</v>
      </c>
      <c r="N80" s="704">
        <f t="shared" si="14"/>
        <v>3.69</v>
      </c>
      <c r="O80" s="705" t="e">
        <f>(N80+$M$265)+((BC!$F$125)/$F$112)</f>
        <v>#DIV/0!</v>
      </c>
      <c r="P80" s="149" t="e">
        <f t="shared" si="15"/>
        <v>#DIV/0!</v>
      </c>
      <c r="Q80" s="393" t="e">
        <f t="shared" si="16"/>
        <v>#DIV/0!</v>
      </c>
      <c r="R80" s="393" t="e">
        <f t="shared" si="17"/>
        <v>#DIV/0!</v>
      </c>
    </row>
    <row r="81" spans="2:18" ht="15.75" customHeight="1" x14ac:dyDescent="0.35">
      <c r="B81" s="25">
        <v>7026773190</v>
      </c>
      <c r="C81" s="640" t="s">
        <v>947</v>
      </c>
      <c r="D81" s="42">
        <v>300</v>
      </c>
      <c r="E81" s="1">
        <v>112</v>
      </c>
      <c r="F81" s="700">
        <f>'e402-e801'!F81</f>
        <v>0</v>
      </c>
      <c r="G81" s="57">
        <f t="shared" si="9"/>
        <v>0</v>
      </c>
      <c r="H81" s="60">
        <f>(30*BC!$B$47/E81)</f>
        <v>0</v>
      </c>
      <c r="I81" s="701">
        <f t="shared" si="10"/>
        <v>0</v>
      </c>
      <c r="J81" s="701">
        <f t="shared" si="11"/>
        <v>0</v>
      </c>
      <c r="K81" s="216">
        <f t="shared" si="12"/>
        <v>0</v>
      </c>
      <c r="L81" s="702">
        <v>1524</v>
      </c>
      <c r="M81" s="703">
        <f t="shared" si="13"/>
        <v>0</v>
      </c>
      <c r="N81" s="704">
        <f t="shared" si="14"/>
        <v>5.08</v>
      </c>
      <c r="O81" s="705" t="e">
        <f>(N81+$M$265)+((BC!$F$125)/$F$112)</f>
        <v>#DIV/0!</v>
      </c>
      <c r="P81" s="149" t="e">
        <f t="shared" si="15"/>
        <v>#DIV/0!</v>
      </c>
      <c r="Q81" s="393" t="e">
        <f t="shared" si="16"/>
        <v>#DIV/0!</v>
      </c>
      <c r="R81" s="393" t="e">
        <f t="shared" si="17"/>
        <v>#DIV/0!</v>
      </c>
    </row>
    <row r="82" spans="2:18" ht="15.75" customHeight="1" x14ac:dyDescent="0.35">
      <c r="B82" s="25">
        <v>8814848190</v>
      </c>
      <c r="C82" s="642" t="s">
        <v>948</v>
      </c>
      <c r="D82" s="42">
        <v>300</v>
      </c>
      <c r="E82" s="1">
        <v>112</v>
      </c>
      <c r="F82" s="700">
        <f>'e402-e801'!F82</f>
        <v>0</v>
      </c>
      <c r="G82" s="57">
        <f t="shared" si="9"/>
        <v>0</v>
      </c>
      <c r="H82" s="60">
        <f>(30*BC!$B$47/E82)</f>
        <v>0</v>
      </c>
      <c r="I82" s="701">
        <f t="shared" si="10"/>
        <v>0</v>
      </c>
      <c r="J82" s="701">
        <f t="shared" si="11"/>
        <v>0</v>
      </c>
      <c r="K82" s="216">
        <f t="shared" si="12"/>
        <v>0</v>
      </c>
      <c r="L82" s="702">
        <v>810</v>
      </c>
      <c r="M82" s="703">
        <f t="shared" si="13"/>
        <v>0</v>
      </c>
      <c r="N82" s="704">
        <f t="shared" si="14"/>
        <v>2.7</v>
      </c>
      <c r="O82" s="705" t="e">
        <f>(N82+$M$265)+((BC!$F$125)/$F$112)</f>
        <v>#DIV/0!</v>
      </c>
      <c r="P82" s="149" t="e">
        <f t="shared" si="15"/>
        <v>#DIV/0!</v>
      </c>
      <c r="Q82" s="393" t="e">
        <f t="shared" si="16"/>
        <v>#DIV/0!</v>
      </c>
      <c r="R82" s="393" t="e">
        <f t="shared" si="17"/>
        <v>#DIV/0!</v>
      </c>
    </row>
    <row r="83" spans="2:18" ht="15.75" customHeight="1" x14ac:dyDescent="0.35">
      <c r="B83" s="25">
        <v>8498610190</v>
      </c>
      <c r="C83" s="644" t="s">
        <v>949</v>
      </c>
      <c r="D83" s="42">
        <v>300</v>
      </c>
      <c r="E83" s="1">
        <v>112</v>
      </c>
      <c r="F83" s="700">
        <f>'e402-e801'!F83</f>
        <v>0</v>
      </c>
      <c r="G83" s="57">
        <f t="shared" si="9"/>
        <v>0</v>
      </c>
      <c r="H83" s="60">
        <f>(30*BC!$B$47/E83)</f>
        <v>0</v>
      </c>
      <c r="I83" s="701">
        <f t="shared" si="10"/>
        <v>0</v>
      </c>
      <c r="J83" s="701">
        <f t="shared" si="11"/>
        <v>0</v>
      </c>
      <c r="K83" s="216">
        <f t="shared" si="12"/>
        <v>0</v>
      </c>
      <c r="L83" s="702">
        <v>810</v>
      </c>
      <c r="M83" s="703">
        <f t="shared" si="13"/>
        <v>0</v>
      </c>
      <c r="N83" s="704">
        <f t="shared" si="14"/>
        <v>2.7</v>
      </c>
      <c r="O83" s="705" t="e">
        <f>(N83+$M$265)+((BC!$F$125)/$F$112)</f>
        <v>#DIV/0!</v>
      </c>
      <c r="P83" s="149" t="e">
        <f t="shared" si="15"/>
        <v>#DIV/0!</v>
      </c>
      <c r="Q83" s="393" t="e">
        <f t="shared" si="16"/>
        <v>#DIV/0!</v>
      </c>
      <c r="R83" s="393" t="e">
        <f t="shared" si="17"/>
        <v>#DIV/0!</v>
      </c>
    </row>
    <row r="84" spans="2:18" ht="15.75" customHeight="1" x14ac:dyDescent="0.35">
      <c r="B84" s="25">
        <v>7027427190</v>
      </c>
      <c r="C84" s="646" t="s">
        <v>950</v>
      </c>
      <c r="D84" s="42">
        <v>300</v>
      </c>
      <c r="E84" s="1">
        <v>112</v>
      </c>
      <c r="F84" s="700">
        <f>'e402-e801'!F84</f>
        <v>0</v>
      </c>
      <c r="G84" s="57">
        <f t="shared" si="9"/>
        <v>0</v>
      </c>
      <c r="H84" s="60">
        <f>(30*BC!$B$47/E84)</f>
        <v>0</v>
      </c>
      <c r="I84" s="701">
        <f t="shared" si="10"/>
        <v>0</v>
      </c>
      <c r="J84" s="701">
        <f t="shared" si="11"/>
        <v>0</v>
      </c>
      <c r="K84" s="216">
        <f t="shared" si="12"/>
        <v>0</v>
      </c>
      <c r="L84" s="702">
        <v>1032</v>
      </c>
      <c r="M84" s="703">
        <f t="shared" si="13"/>
        <v>0</v>
      </c>
      <c r="N84" s="704">
        <f t="shared" si="14"/>
        <v>3.44</v>
      </c>
      <c r="O84" s="705" t="e">
        <f>(N84+$M$265)+((BC!$F$125)/$F$112)</f>
        <v>#DIV/0!</v>
      </c>
      <c r="P84" s="149" t="e">
        <f t="shared" si="15"/>
        <v>#DIV/0!</v>
      </c>
      <c r="Q84" s="393" t="e">
        <f t="shared" si="16"/>
        <v>#DIV/0!</v>
      </c>
      <c r="R84" s="393" t="e">
        <f t="shared" si="17"/>
        <v>#DIV/0!</v>
      </c>
    </row>
    <row r="85" spans="2:18" ht="15.75" customHeight="1" x14ac:dyDescent="0.35">
      <c r="B85" s="25">
        <v>7026838190</v>
      </c>
      <c r="C85" s="647" t="s">
        <v>951</v>
      </c>
      <c r="D85" s="42">
        <v>300</v>
      </c>
      <c r="E85" s="1">
        <v>112</v>
      </c>
      <c r="F85" s="700">
        <f>'e402-e801'!F85</f>
        <v>0</v>
      </c>
      <c r="G85" s="57">
        <f t="shared" si="9"/>
        <v>0</v>
      </c>
      <c r="H85" s="60">
        <f>(30*BC!$B$47/E85)</f>
        <v>0</v>
      </c>
      <c r="I85" s="701">
        <f t="shared" si="10"/>
        <v>0</v>
      </c>
      <c r="J85" s="701">
        <f t="shared" si="11"/>
        <v>0</v>
      </c>
      <c r="K85" s="216">
        <f t="shared" si="12"/>
        <v>0</v>
      </c>
      <c r="L85" s="702">
        <v>1773</v>
      </c>
      <c r="M85" s="703">
        <f t="shared" si="13"/>
        <v>0</v>
      </c>
      <c r="N85" s="704">
        <f t="shared" si="14"/>
        <v>5.91</v>
      </c>
      <c r="O85" s="705" t="e">
        <f>(N85+$M$265)+((BC!$F$125)/$F$112)</f>
        <v>#DIV/0!</v>
      </c>
      <c r="P85" s="149" t="e">
        <f t="shared" si="15"/>
        <v>#DIV/0!</v>
      </c>
      <c r="Q85" s="393" t="e">
        <f t="shared" si="16"/>
        <v>#DIV/0!</v>
      </c>
      <c r="R85" s="393" t="e">
        <f t="shared" si="17"/>
        <v>#DIV/0!</v>
      </c>
    </row>
    <row r="86" spans="2:18" ht="15.75" customHeight="1" x14ac:dyDescent="0.35">
      <c r="B86" s="25">
        <v>9014926190</v>
      </c>
      <c r="C86" s="649" t="s">
        <v>952</v>
      </c>
      <c r="D86" s="42">
        <v>300</v>
      </c>
      <c r="E86" s="1">
        <v>112</v>
      </c>
      <c r="F86" s="700">
        <f>'e402-e801'!F86</f>
        <v>0</v>
      </c>
      <c r="G86" s="57">
        <f t="shared" si="9"/>
        <v>0</v>
      </c>
      <c r="H86" s="60">
        <f>(30*BC!$B$47/E86)</f>
        <v>0</v>
      </c>
      <c r="I86" s="701">
        <f t="shared" si="10"/>
        <v>0</v>
      </c>
      <c r="J86" s="701">
        <f t="shared" si="11"/>
        <v>0</v>
      </c>
      <c r="K86" s="216">
        <f t="shared" si="12"/>
        <v>0</v>
      </c>
      <c r="L86" s="702">
        <v>1140</v>
      </c>
      <c r="M86" s="703">
        <f t="shared" si="13"/>
        <v>0</v>
      </c>
      <c r="N86" s="704">
        <f t="shared" si="14"/>
        <v>3.8</v>
      </c>
      <c r="O86" s="705" t="e">
        <f>(N86+$M$265)+((BC!$F$125)/$F$112)</f>
        <v>#DIV/0!</v>
      </c>
      <c r="P86" s="149" t="e">
        <f t="shared" si="15"/>
        <v>#DIV/0!</v>
      </c>
      <c r="Q86" s="393" t="e">
        <f t="shared" si="16"/>
        <v>#DIV/0!</v>
      </c>
      <c r="R86" s="393" t="e">
        <f t="shared" si="17"/>
        <v>#DIV/0!</v>
      </c>
    </row>
    <row r="87" spans="2:18" ht="15.75" customHeight="1" x14ac:dyDescent="0.35">
      <c r="B87" s="25">
        <v>7026811190</v>
      </c>
      <c r="C87" s="651" t="s">
        <v>953</v>
      </c>
      <c r="D87" s="42">
        <v>300</v>
      </c>
      <c r="E87" s="1">
        <v>112</v>
      </c>
      <c r="F87" s="700">
        <f>'e402-e801'!F87</f>
        <v>0</v>
      </c>
      <c r="G87" s="57">
        <f t="shared" si="9"/>
        <v>0</v>
      </c>
      <c r="H87" s="60">
        <f>(30*BC!$B$47/E87)</f>
        <v>0</v>
      </c>
      <c r="I87" s="701">
        <f t="shared" si="10"/>
        <v>0</v>
      </c>
      <c r="J87" s="701">
        <f t="shared" si="11"/>
        <v>0</v>
      </c>
      <c r="K87" s="216">
        <f t="shared" si="12"/>
        <v>0</v>
      </c>
      <c r="L87" s="702">
        <v>1677</v>
      </c>
      <c r="M87" s="703">
        <f t="shared" si="13"/>
        <v>0</v>
      </c>
      <c r="N87" s="704">
        <f t="shared" si="14"/>
        <v>5.59</v>
      </c>
      <c r="O87" s="705" t="e">
        <f>(N87+$M$265)+((BC!$F$125)/$F$112)</f>
        <v>#DIV/0!</v>
      </c>
      <c r="P87" s="149" t="e">
        <f t="shared" si="15"/>
        <v>#DIV/0!</v>
      </c>
      <c r="Q87" s="393" t="e">
        <f t="shared" si="16"/>
        <v>#DIV/0!</v>
      </c>
      <c r="R87" s="393" t="e">
        <f t="shared" si="17"/>
        <v>#DIV/0!</v>
      </c>
    </row>
    <row r="88" spans="2:18" ht="15.75" customHeight="1" x14ac:dyDescent="0.35">
      <c r="B88" s="25">
        <v>8837058190</v>
      </c>
      <c r="C88" s="653" t="s">
        <v>954</v>
      </c>
      <c r="D88" s="42">
        <v>300</v>
      </c>
      <c r="E88" s="1">
        <v>31</v>
      </c>
      <c r="F88" s="700">
        <f>'e402-e801'!F88</f>
        <v>0</v>
      </c>
      <c r="G88" s="57">
        <f t="shared" si="9"/>
        <v>0</v>
      </c>
      <c r="H88" s="60">
        <f>(30*BC!$B$47/E88)</f>
        <v>0</v>
      </c>
      <c r="I88" s="701">
        <f t="shared" si="10"/>
        <v>0</v>
      </c>
      <c r="J88" s="701">
        <f t="shared" si="11"/>
        <v>0</v>
      </c>
      <c r="K88" s="216">
        <f t="shared" si="12"/>
        <v>0</v>
      </c>
      <c r="L88" s="702">
        <v>1248</v>
      </c>
      <c r="M88" s="703">
        <f t="shared" si="13"/>
        <v>0</v>
      </c>
      <c r="N88" s="704">
        <f t="shared" si="14"/>
        <v>4.16</v>
      </c>
      <c r="O88" s="705" t="e">
        <f>(N88+$M$265)+((BC!$F$125)/$F$112)</f>
        <v>#DIV/0!</v>
      </c>
      <c r="P88" s="149" t="e">
        <f t="shared" si="15"/>
        <v>#DIV/0!</v>
      </c>
      <c r="Q88" s="393" t="e">
        <f t="shared" si="16"/>
        <v>#DIV/0!</v>
      </c>
      <c r="R88" s="393" t="e">
        <f t="shared" si="17"/>
        <v>#DIV/0!</v>
      </c>
    </row>
    <row r="89" spans="2:18" ht="15.75" customHeight="1" x14ac:dyDescent="0.35">
      <c r="B89" s="470">
        <v>7027770190</v>
      </c>
      <c r="C89" s="655" t="s">
        <v>955</v>
      </c>
      <c r="D89" s="42">
        <v>300</v>
      </c>
      <c r="E89" s="1">
        <v>112</v>
      </c>
      <c r="F89" s="700">
        <f>'e402-e801'!F89</f>
        <v>0</v>
      </c>
      <c r="G89" s="57">
        <f t="shared" si="9"/>
        <v>0</v>
      </c>
      <c r="H89" s="60">
        <f>(30*BC!$B$47/E89)</f>
        <v>0</v>
      </c>
      <c r="I89" s="701">
        <f t="shared" si="10"/>
        <v>0</v>
      </c>
      <c r="J89" s="701">
        <f t="shared" si="11"/>
        <v>0</v>
      </c>
      <c r="K89" s="216">
        <f t="shared" si="12"/>
        <v>0</v>
      </c>
      <c r="L89" s="702">
        <v>936</v>
      </c>
      <c r="M89" s="703">
        <f t="shared" si="13"/>
        <v>0</v>
      </c>
      <c r="N89" s="704">
        <f t="shared" si="14"/>
        <v>3.12</v>
      </c>
      <c r="O89" s="705" t="e">
        <f>(N89+$M$265)+((BC!$F$125)/$F$112)</f>
        <v>#DIV/0!</v>
      </c>
      <c r="P89" s="149" t="e">
        <f t="shared" si="15"/>
        <v>#DIV/0!</v>
      </c>
      <c r="Q89" s="393" t="e">
        <f t="shared" si="16"/>
        <v>#DIV/0!</v>
      </c>
      <c r="R89" s="393" t="e">
        <f t="shared" si="17"/>
        <v>#DIV/0!</v>
      </c>
    </row>
    <row r="90" spans="2:18" ht="15.75" customHeight="1" x14ac:dyDescent="0.35">
      <c r="B90" s="470">
        <v>9755837190</v>
      </c>
      <c r="C90" s="656" t="s">
        <v>956</v>
      </c>
      <c r="D90" s="42">
        <v>100</v>
      </c>
      <c r="E90" s="1">
        <v>112</v>
      </c>
      <c r="F90" s="700">
        <f>'e402-e801'!F90</f>
        <v>0</v>
      </c>
      <c r="G90" s="57">
        <f t="shared" si="9"/>
        <v>0</v>
      </c>
      <c r="H90" s="60">
        <f>(30*BC!$B$47/E90)</f>
        <v>0</v>
      </c>
      <c r="I90" s="701">
        <f t="shared" si="10"/>
        <v>0</v>
      </c>
      <c r="J90" s="701">
        <f t="shared" si="11"/>
        <v>0</v>
      </c>
      <c r="K90" s="216">
        <f t="shared" si="12"/>
        <v>0</v>
      </c>
      <c r="L90" s="702">
        <v>332</v>
      </c>
      <c r="M90" s="703">
        <f t="shared" si="13"/>
        <v>0</v>
      </c>
      <c r="N90" s="704">
        <f t="shared" si="14"/>
        <v>3.32</v>
      </c>
      <c r="O90" s="705" t="e">
        <f>(N90+$M$265)+((BC!$F$125)/$F$112)</f>
        <v>#DIV/0!</v>
      </c>
      <c r="P90" s="149" t="e">
        <f t="shared" si="15"/>
        <v>#DIV/0!</v>
      </c>
      <c r="Q90" s="393" t="e">
        <f t="shared" si="16"/>
        <v>#DIV/0!</v>
      </c>
      <c r="R90" s="393" t="e">
        <f t="shared" si="17"/>
        <v>#DIV/0!</v>
      </c>
    </row>
    <row r="91" spans="2:18" ht="15.75" customHeight="1" x14ac:dyDescent="0.35">
      <c r="B91" s="470">
        <v>7028008190</v>
      </c>
      <c r="C91" s="657" t="s">
        <v>957</v>
      </c>
      <c r="D91" s="42">
        <v>300</v>
      </c>
      <c r="E91" s="1">
        <v>112</v>
      </c>
      <c r="F91" s="700">
        <f>'e402-e801'!F91</f>
        <v>0</v>
      </c>
      <c r="G91" s="57">
        <f t="shared" si="9"/>
        <v>0</v>
      </c>
      <c r="H91" s="60">
        <f>(30*BC!$B$47/E91)</f>
        <v>0</v>
      </c>
      <c r="I91" s="701">
        <f t="shared" si="10"/>
        <v>0</v>
      </c>
      <c r="J91" s="701">
        <f t="shared" si="11"/>
        <v>0</v>
      </c>
      <c r="K91" s="216">
        <f t="shared" si="12"/>
        <v>0</v>
      </c>
      <c r="L91" s="702">
        <v>888</v>
      </c>
      <c r="M91" s="703">
        <f t="shared" si="13"/>
        <v>0</v>
      </c>
      <c r="N91" s="704">
        <f t="shared" si="14"/>
        <v>2.96</v>
      </c>
      <c r="O91" s="705" t="e">
        <f>(N91+$M$265)+((BC!$F$125)/$F$112)</f>
        <v>#DIV/0!</v>
      </c>
      <c r="P91" s="149" t="e">
        <f t="shared" si="15"/>
        <v>#DIV/0!</v>
      </c>
      <c r="Q91" s="393" t="e">
        <f t="shared" si="16"/>
        <v>#DIV/0!</v>
      </c>
      <c r="R91" s="393" t="e">
        <f t="shared" si="17"/>
        <v>#DIV/0!</v>
      </c>
    </row>
    <row r="92" spans="2:18" ht="15.75" customHeight="1" x14ac:dyDescent="0.35">
      <c r="B92" s="659">
        <v>7027974190</v>
      </c>
      <c r="C92" s="658" t="s">
        <v>958</v>
      </c>
      <c r="D92" s="42">
        <v>100</v>
      </c>
      <c r="E92" s="1">
        <v>112</v>
      </c>
      <c r="F92" s="700">
        <f>'e402-e801'!F92</f>
        <v>0</v>
      </c>
      <c r="G92" s="57">
        <f t="shared" si="9"/>
        <v>0</v>
      </c>
      <c r="H92" s="60">
        <f>(30*BC!$B$47/E92)</f>
        <v>0</v>
      </c>
      <c r="I92" s="701">
        <f t="shared" si="10"/>
        <v>0</v>
      </c>
      <c r="J92" s="701">
        <f t="shared" si="11"/>
        <v>0</v>
      </c>
      <c r="K92" s="216">
        <f t="shared" si="12"/>
        <v>0</v>
      </c>
      <c r="L92" s="702">
        <v>585</v>
      </c>
      <c r="M92" s="703">
        <f t="shared" si="13"/>
        <v>0</v>
      </c>
      <c r="N92" s="704">
        <f t="shared" si="14"/>
        <v>5.85</v>
      </c>
      <c r="O92" s="705" t="e">
        <f>(N92+$M$265)+((BC!$F$125)/$F$112)</f>
        <v>#DIV/0!</v>
      </c>
      <c r="P92" s="149" t="e">
        <f t="shared" si="15"/>
        <v>#DIV/0!</v>
      </c>
      <c r="Q92" s="393" t="e">
        <f t="shared" si="16"/>
        <v>#DIV/0!</v>
      </c>
      <c r="R92" s="393" t="e">
        <f t="shared" si="17"/>
        <v>#DIV/0!</v>
      </c>
    </row>
    <row r="93" spans="2:18" ht="15.75" customHeight="1" x14ac:dyDescent="0.35">
      <c r="B93" s="470">
        <v>7028024190</v>
      </c>
      <c r="C93" s="660" t="s">
        <v>959</v>
      </c>
      <c r="D93" s="42">
        <v>300</v>
      </c>
      <c r="E93" s="1">
        <v>112</v>
      </c>
      <c r="F93" s="700">
        <f>'e402-e801'!F93</f>
        <v>0</v>
      </c>
      <c r="G93" s="57">
        <f t="shared" si="9"/>
        <v>0</v>
      </c>
      <c r="H93" s="60">
        <f>(30*BC!$B$47/E93)</f>
        <v>0</v>
      </c>
      <c r="I93" s="701">
        <f t="shared" si="10"/>
        <v>0</v>
      </c>
      <c r="J93" s="701">
        <f t="shared" si="11"/>
        <v>0</v>
      </c>
      <c r="K93" s="216">
        <f t="shared" si="12"/>
        <v>0</v>
      </c>
      <c r="L93" s="702">
        <v>888</v>
      </c>
      <c r="M93" s="703">
        <f t="shared" si="13"/>
        <v>0</v>
      </c>
      <c r="N93" s="704">
        <f t="shared" si="14"/>
        <v>2.96</v>
      </c>
      <c r="O93" s="705" t="e">
        <f>(N93+$M$265)+((BC!$F$125)/$F$112)</f>
        <v>#DIV/0!</v>
      </c>
      <c r="P93" s="149" t="e">
        <f t="shared" si="15"/>
        <v>#DIV/0!</v>
      </c>
      <c r="Q93" s="393" t="e">
        <f t="shared" si="16"/>
        <v>#DIV/0!</v>
      </c>
      <c r="R93" s="393" t="e">
        <f t="shared" si="17"/>
        <v>#DIV/0!</v>
      </c>
    </row>
    <row r="94" spans="2:18" ht="15.75" customHeight="1" x14ac:dyDescent="0.35">
      <c r="B94" s="470">
        <v>9118551190</v>
      </c>
      <c r="C94" s="661" t="s">
        <v>960</v>
      </c>
      <c r="D94" s="42">
        <v>300</v>
      </c>
      <c r="E94" s="1">
        <v>112</v>
      </c>
      <c r="F94" s="700">
        <f>'e402-e801'!F94</f>
        <v>0</v>
      </c>
      <c r="G94" s="57">
        <f t="shared" si="9"/>
        <v>0</v>
      </c>
      <c r="H94" s="60">
        <f>(30*BC!$B$47/E94)</f>
        <v>0</v>
      </c>
      <c r="I94" s="701">
        <f t="shared" si="10"/>
        <v>0</v>
      </c>
      <c r="J94" s="701">
        <f t="shared" si="11"/>
        <v>0</v>
      </c>
      <c r="K94" s="216">
        <f t="shared" si="12"/>
        <v>0</v>
      </c>
      <c r="L94" s="702">
        <v>834</v>
      </c>
      <c r="M94" s="703">
        <f t="shared" si="13"/>
        <v>0</v>
      </c>
      <c r="N94" s="704">
        <f t="shared" si="14"/>
        <v>2.78</v>
      </c>
      <c r="O94" s="705" t="e">
        <f>(N94+$M$265)+((BC!$F$125)/$F$112)</f>
        <v>#DIV/0!</v>
      </c>
      <c r="P94" s="149" t="e">
        <f t="shared" si="15"/>
        <v>#DIV/0!</v>
      </c>
      <c r="Q94" s="393" t="e">
        <f t="shared" si="16"/>
        <v>#DIV/0!</v>
      </c>
      <c r="R94" s="393" t="e">
        <f t="shared" si="17"/>
        <v>#DIV/0!</v>
      </c>
    </row>
    <row r="95" spans="2:18" ht="15.75" customHeight="1" x14ac:dyDescent="0.35">
      <c r="B95" s="662">
        <v>9342389190</v>
      </c>
      <c r="C95" s="663" t="s">
        <v>961</v>
      </c>
      <c r="D95" s="42">
        <v>100</v>
      </c>
      <c r="E95" s="1">
        <v>112</v>
      </c>
      <c r="F95" s="700">
        <f>'e402-e801'!F95</f>
        <v>0</v>
      </c>
      <c r="G95" s="57">
        <f t="shared" si="9"/>
        <v>0</v>
      </c>
      <c r="H95" s="60">
        <f>(30*BC!$B$47/E95)</f>
        <v>0</v>
      </c>
      <c r="I95" s="701">
        <f t="shared" si="10"/>
        <v>0</v>
      </c>
      <c r="J95" s="701">
        <f t="shared" si="11"/>
        <v>0</v>
      </c>
      <c r="K95" s="216">
        <f t="shared" si="12"/>
        <v>0</v>
      </c>
      <c r="L95" s="702">
        <v>860</v>
      </c>
      <c r="M95" s="703">
        <f t="shared" si="13"/>
        <v>0</v>
      </c>
      <c r="N95" s="704">
        <f t="shared" si="14"/>
        <v>8.6</v>
      </c>
      <c r="O95" s="705" t="e">
        <f>(N95+$M$265)+((BC!$F$125)/$F$112)</f>
        <v>#DIV/0!</v>
      </c>
      <c r="P95" s="149" t="e">
        <f t="shared" si="15"/>
        <v>#DIV/0!</v>
      </c>
      <c r="Q95" s="393" t="e">
        <f t="shared" si="16"/>
        <v>#DIV/0!</v>
      </c>
      <c r="R95" s="393" t="e">
        <f t="shared" si="17"/>
        <v>#DIV/0!</v>
      </c>
    </row>
    <row r="96" spans="2:18" ht="15.75" customHeight="1" x14ac:dyDescent="0.35">
      <c r="B96" s="470">
        <v>7027133190</v>
      </c>
      <c r="C96" s="664" t="s">
        <v>962</v>
      </c>
      <c r="D96" s="42">
        <v>300</v>
      </c>
      <c r="E96" s="1">
        <v>112</v>
      </c>
      <c r="F96" s="700">
        <f>'e402-e801'!F96</f>
        <v>0</v>
      </c>
      <c r="G96" s="57">
        <f t="shared" si="9"/>
        <v>0</v>
      </c>
      <c r="H96" s="60">
        <f>(30*BC!$B$47/E96)</f>
        <v>0</v>
      </c>
      <c r="I96" s="701">
        <f t="shared" si="10"/>
        <v>0</v>
      </c>
      <c r="J96" s="701">
        <f t="shared" si="11"/>
        <v>0</v>
      </c>
      <c r="K96" s="216">
        <f t="shared" si="12"/>
        <v>0</v>
      </c>
      <c r="L96" s="702">
        <v>593</v>
      </c>
      <c r="M96" s="703">
        <f t="shared" si="13"/>
        <v>0</v>
      </c>
      <c r="N96" s="704">
        <f t="shared" si="14"/>
        <v>1.9766666666666666</v>
      </c>
      <c r="O96" s="705" t="e">
        <f>(N96+$M$265)+((BC!$F$125)/$F$112)</f>
        <v>#DIV/0!</v>
      </c>
      <c r="P96" s="149" t="e">
        <f t="shared" si="15"/>
        <v>#DIV/0!</v>
      </c>
      <c r="Q96" s="393" t="e">
        <f t="shared" si="16"/>
        <v>#DIV/0!</v>
      </c>
      <c r="R96" s="393" t="e">
        <f t="shared" si="17"/>
        <v>#DIV/0!</v>
      </c>
    </row>
    <row r="97" spans="2:20" ht="15.75" customHeight="1" x14ac:dyDescent="0.35">
      <c r="B97" s="470">
        <v>8948852190</v>
      </c>
      <c r="C97" s="665" t="s">
        <v>963</v>
      </c>
      <c r="D97" s="42">
        <v>100</v>
      </c>
      <c r="E97" s="1">
        <v>112</v>
      </c>
      <c r="F97" s="700">
        <f>'e402-e801'!F97</f>
        <v>0</v>
      </c>
      <c r="G97" s="57">
        <f t="shared" si="9"/>
        <v>0</v>
      </c>
      <c r="H97" s="60">
        <f>(30*BC!$B$47/E97)</f>
        <v>0</v>
      </c>
      <c r="I97" s="701">
        <f t="shared" si="10"/>
        <v>0</v>
      </c>
      <c r="J97" s="701">
        <f t="shared" si="11"/>
        <v>0</v>
      </c>
      <c r="K97" s="216">
        <f t="shared" si="12"/>
        <v>0</v>
      </c>
      <c r="L97" s="702">
        <v>548</v>
      </c>
      <c r="M97" s="703">
        <f t="shared" si="13"/>
        <v>0</v>
      </c>
      <c r="N97" s="704">
        <f t="shared" si="14"/>
        <v>5.48</v>
      </c>
      <c r="O97" s="705" t="e">
        <f>(N97+$M$265)+((BC!$F$125)/$F$112)</f>
        <v>#DIV/0!</v>
      </c>
      <c r="P97" s="149" t="e">
        <f t="shared" si="15"/>
        <v>#DIV/0!</v>
      </c>
      <c r="Q97" s="393" t="e">
        <f t="shared" si="16"/>
        <v>#DIV/0!</v>
      </c>
      <c r="R97" s="393" t="e">
        <f t="shared" si="17"/>
        <v>#DIV/0!</v>
      </c>
    </row>
    <row r="98" spans="2:20" ht="15.75" customHeight="1" x14ac:dyDescent="0.35">
      <c r="B98" s="470">
        <v>8948909190</v>
      </c>
      <c r="C98" s="665" t="s">
        <v>964</v>
      </c>
      <c r="D98" s="42">
        <v>100</v>
      </c>
      <c r="E98" s="1">
        <v>112</v>
      </c>
      <c r="F98" s="700">
        <f>'e402-e801'!F98</f>
        <v>0</v>
      </c>
      <c r="G98" s="57">
        <f t="shared" si="9"/>
        <v>0</v>
      </c>
      <c r="H98" s="60">
        <f>(30*BC!$B$47/E98)</f>
        <v>0</v>
      </c>
      <c r="I98" s="701">
        <f t="shared" si="10"/>
        <v>0</v>
      </c>
      <c r="J98" s="701">
        <f t="shared" si="11"/>
        <v>0</v>
      </c>
      <c r="K98" s="216">
        <f t="shared" si="12"/>
        <v>0</v>
      </c>
      <c r="L98" s="702">
        <v>439</v>
      </c>
      <c r="M98" s="703">
        <f t="shared" si="13"/>
        <v>0</v>
      </c>
      <c r="N98" s="704">
        <f t="shared" si="14"/>
        <v>4.3899999999999997</v>
      </c>
      <c r="O98" s="705" t="e">
        <f>(N98+$M$265)+((BC!$F$125)/$F$112)</f>
        <v>#DIV/0!</v>
      </c>
      <c r="P98" s="149" t="e">
        <f t="shared" si="15"/>
        <v>#DIV/0!</v>
      </c>
      <c r="Q98" s="393" t="e">
        <f t="shared" si="16"/>
        <v>#DIV/0!</v>
      </c>
      <c r="R98" s="393" t="e">
        <f t="shared" si="17"/>
        <v>#DIV/0!</v>
      </c>
    </row>
    <row r="99" spans="2:20" ht="15.75" customHeight="1" x14ac:dyDescent="0.35">
      <c r="B99" s="470">
        <v>8355274190</v>
      </c>
      <c r="C99" s="666" t="s">
        <v>965</v>
      </c>
      <c r="D99" s="42">
        <v>300</v>
      </c>
      <c r="E99" s="1">
        <v>112</v>
      </c>
      <c r="F99" s="700">
        <f>'e402-e801'!F99</f>
        <v>0</v>
      </c>
      <c r="G99" s="57">
        <f t="shared" si="9"/>
        <v>0</v>
      </c>
      <c r="H99" s="60">
        <f>(30*BC!$B$47/E99)</f>
        <v>0</v>
      </c>
      <c r="I99" s="701">
        <f t="shared" si="10"/>
        <v>0</v>
      </c>
      <c r="J99" s="701">
        <f t="shared" si="11"/>
        <v>0</v>
      </c>
      <c r="K99" s="216">
        <f t="shared" si="12"/>
        <v>0</v>
      </c>
      <c r="L99" s="702">
        <v>2137</v>
      </c>
      <c r="M99" s="703">
        <f t="shared" si="13"/>
        <v>0</v>
      </c>
      <c r="N99" s="704">
        <f t="shared" si="14"/>
        <v>7.1233333333333331</v>
      </c>
      <c r="O99" s="705" t="e">
        <f>(N99+$M$265)+((BC!$F$125)/$F$112)</f>
        <v>#DIV/0!</v>
      </c>
      <c r="P99" s="149" t="e">
        <f t="shared" si="15"/>
        <v>#DIV/0!</v>
      </c>
      <c r="Q99" s="393" t="e">
        <f t="shared" si="16"/>
        <v>#DIV/0!</v>
      </c>
      <c r="R99" s="393" t="e">
        <f t="shared" si="17"/>
        <v>#DIV/0!</v>
      </c>
    </row>
    <row r="100" spans="2:20" ht="15.75" customHeight="1" x14ac:dyDescent="0.35">
      <c r="B100" s="470">
        <v>8355355190</v>
      </c>
      <c r="C100" s="666" t="s">
        <v>966</v>
      </c>
      <c r="D100" s="42">
        <v>300</v>
      </c>
      <c r="E100" s="1">
        <v>112</v>
      </c>
      <c r="F100" s="700">
        <f>'e402-e801'!F100</f>
        <v>0</v>
      </c>
      <c r="G100" s="57">
        <f t="shared" si="9"/>
        <v>0</v>
      </c>
      <c r="H100" s="60">
        <f>(30*BC!$B$47/E100)</f>
        <v>0</v>
      </c>
      <c r="I100" s="701">
        <f t="shared" si="10"/>
        <v>0</v>
      </c>
      <c r="J100" s="701">
        <f t="shared" si="11"/>
        <v>0</v>
      </c>
      <c r="K100" s="216">
        <f t="shared" si="12"/>
        <v>0</v>
      </c>
      <c r="L100" s="702">
        <v>1515</v>
      </c>
      <c r="M100" s="703">
        <f t="shared" si="13"/>
        <v>0</v>
      </c>
      <c r="N100" s="704">
        <f t="shared" si="14"/>
        <v>5.05</v>
      </c>
      <c r="O100" s="705" t="e">
        <f>(N100+$M$265)+((BC!$F$125)/$F$112)</f>
        <v>#DIV/0!</v>
      </c>
      <c r="P100" s="149" t="e">
        <f t="shared" si="15"/>
        <v>#DIV/0!</v>
      </c>
      <c r="Q100" s="393" t="e">
        <f t="shared" si="16"/>
        <v>#DIV/0!</v>
      </c>
      <c r="R100" s="393" t="e">
        <f t="shared" si="17"/>
        <v>#DIV/0!</v>
      </c>
    </row>
    <row r="101" spans="2:20" ht="15.75" customHeight="1" x14ac:dyDescent="0.35">
      <c r="B101" s="470">
        <v>8355380190</v>
      </c>
      <c r="C101" s="667" t="s">
        <v>967</v>
      </c>
      <c r="D101" s="42">
        <v>300</v>
      </c>
      <c r="E101" s="1">
        <v>112</v>
      </c>
      <c r="F101" s="700">
        <f>'e402-e801'!F101</f>
        <v>0</v>
      </c>
      <c r="G101" s="57">
        <f t="shared" si="9"/>
        <v>0</v>
      </c>
      <c r="H101" s="60">
        <f>(30*BC!$B$47/E101)</f>
        <v>0</v>
      </c>
      <c r="I101" s="701">
        <f t="shared" si="10"/>
        <v>0</v>
      </c>
      <c r="J101" s="701">
        <f t="shared" si="11"/>
        <v>0</v>
      </c>
      <c r="K101" s="216">
        <f t="shared" si="12"/>
        <v>0</v>
      </c>
      <c r="L101" s="702">
        <v>835</v>
      </c>
      <c r="M101" s="703">
        <f t="shared" si="13"/>
        <v>0</v>
      </c>
      <c r="N101" s="704">
        <f t="shared" si="14"/>
        <v>2.7833333333333332</v>
      </c>
      <c r="O101" s="705" t="e">
        <f>(N101+$M$265)+((BC!$F$125)/$F$112)</f>
        <v>#DIV/0!</v>
      </c>
      <c r="P101" s="149" t="e">
        <f t="shared" si="15"/>
        <v>#DIV/0!</v>
      </c>
      <c r="Q101" s="393" t="e">
        <f t="shared" si="16"/>
        <v>#DIV/0!</v>
      </c>
      <c r="R101" s="393" t="e">
        <f t="shared" si="17"/>
        <v>#DIV/0!</v>
      </c>
    </row>
    <row r="102" spans="2:20" ht="15.75" customHeight="1" x14ac:dyDescent="0.35">
      <c r="B102" s="470">
        <v>9015272190</v>
      </c>
      <c r="C102" s="668" t="s">
        <v>968</v>
      </c>
      <c r="D102" s="42">
        <v>300</v>
      </c>
      <c r="E102" s="1">
        <v>112</v>
      </c>
      <c r="F102" s="700">
        <f>'e402-e801'!F102</f>
        <v>0</v>
      </c>
      <c r="G102" s="57">
        <f t="shared" si="9"/>
        <v>0</v>
      </c>
      <c r="H102" s="60">
        <f>(30*BC!$B$47/E102)</f>
        <v>0</v>
      </c>
      <c r="I102" s="701">
        <f t="shared" si="10"/>
        <v>0</v>
      </c>
      <c r="J102" s="701">
        <f t="shared" si="11"/>
        <v>0</v>
      </c>
      <c r="K102" s="216">
        <f t="shared" si="12"/>
        <v>0</v>
      </c>
      <c r="L102" s="702">
        <v>984</v>
      </c>
      <c r="M102" s="703">
        <f t="shared" si="13"/>
        <v>0</v>
      </c>
      <c r="N102" s="704">
        <f t="shared" si="14"/>
        <v>3.28</v>
      </c>
      <c r="O102" s="705" t="e">
        <f>(N102+$M$265)+((BC!$F$125)/$F$112)</f>
        <v>#DIV/0!</v>
      </c>
      <c r="P102" s="149" t="e">
        <f t="shared" si="15"/>
        <v>#DIV/0!</v>
      </c>
      <c r="Q102" s="393" t="e">
        <f t="shared" si="16"/>
        <v>#DIV/0!</v>
      </c>
      <c r="R102" s="393" t="e">
        <f t="shared" si="17"/>
        <v>#DIV/0!</v>
      </c>
    </row>
    <row r="103" spans="2:20" ht="15.75" customHeight="1" x14ac:dyDescent="0.35">
      <c r="B103" s="470">
        <v>9015051190</v>
      </c>
      <c r="C103" s="669" t="s">
        <v>969</v>
      </c>
      <c r="D103" s="42">
        <v>300</v>
      </c>
      <c r="E103" s="1">
        <v>112</v>
      </c>
      <c r="F103" s="700">
        <f>'e402-e801'!F103</f>
        <v>0</v>
      </c>
      <c r="G103" s="57">
        <f t="shared" si="9"/>
        <v>0</v>
      </c>
      <c r="H103" s="60">
        <f>(30*BC!$B$47/E103)</f>
        <v>0</v>
      </c>
      <c r="I103" s="701">
        <f t="shared" si="10"/>
        <v>0</v>
      </c>
      <c r="J103" s="701">
        <f t="shared" si="11"/>
        <v>0</v>
      </c>
      <c r="K103" s="216">
        <f t="shared" si="12"/>
        <v>0</v>
      </c>
      <c r="L103" s="702">
        <v>897</v>
      </c>
      <c r="M103" s="703">
        <f t="shared" si="13"/>
        <v>0</v>
      </c>
      <c r="N103" s="704">
        <f t="shared" si="14"/>
        <v>2.99</v>
      </c>
      <c r="O103" s="705" t="e">
        <f>(N103+$M$265)+((BC!$F$125)/$F$112)</f>
        <v>#DIV/0!</v>
      </c>
      <c r="P103" s="149" t="e">
        <f t="shared" si="15"/>
        <v>#DIV/0!</v>
      </c>
      <c r="Q103" s="393" t="e">
        <f t="shared" si="16"/>
        <v>#DIV/0!</v>
      </c>
      <c r="R103" s="393" t="e">
        <f t="shared" si="17"/>
        <v>#DIV/0!</v>
      </c>
    </row>
    <row r="104" spans="2:20" ht="15.75" customHeight="1" x14ac:dyDescent="0.35">
      <c r="B104" s="470">
        <v>9015582190</v>
      </c>
      <c r="C104" s="670" t="s">
        <v>970</v>
      </c>
      <c r="D104" s="42">
        <v>300</v>
      </c>
      <c r="E104" s="1">
        <v>112</v>
      </c>
      <c r="F104" s="700">
        <f>'e402-e801'!F104</f>
        <v>0</v>
      </c>
      <c r="G104" s="57">
        <f t="shared" si="9"/>
        <v>0</v>
      </c>
      <c r="H104" s="60">
        <f>(30*BC!$B$47/E104)</f>
        <v>0</v>
      </c>
      <c r="I104" s="701">
        <f t="shared" si="10"/>
        <v>0</v>
      </c>
      <c r="J104" s="701">
        <f t="shared" si="11"/>
        <v>0</v>
      </c>
      <c r="K104" s="216">
        <f t="shared" si="12"/>
        <v>0</v>
      </c>
      <c r="L104" s="702">
        <v>894</v>
      </c>
      <c r="M104" s="703">
        <f t="shared" si="13"/>
        <v>0</v>
      </c>
      <c r="N104" s="704">
        <f t="shared" si="14"/>
        <v>2.98</v>
      </c>
      <c r="O104" s="705" t="e">
        <f>(N104+$M$265)+((BC!$F$125)/$F$112)</f>
        <v>#DIV/0!</v>
      </c>
      <c r="P104" s="149" t="e">
        <f t="shared" si="15"/>
        <v>#DIV/0!</v>
      </c>
      <c r="Q104" s="393" t="e">
        <f t="shared" si="16"/>
        <v>#DIV/0!</v>
      </c>
      <c r="R104" s="393" t="e">
        <f t="shared" si="17"/>
        <v>#DIV/0!</v>
      </c>
    </row>
    <row r="105" spans="2:20" ht="15.75" customHeight="1" x14ac:dyDescent="0.35">
      <c r="B105" s="470">
        <v>9203079190</v>
      </c>
      <c r="C105" s="671" t="s">
        <v>971</v>
      </c>
      <c r="D105" s="42">
        <v>300</v>
      </c>
      <c r="E105" s="1">
        <v>30</v>
      </c>
      <c r="F105" s="700">
        <f>'e402-e801'!F105</f>
        <v>0</v>
      </c>
      <c r="G105" s="57">
        <f t="shared" si="9"/>
        <v>0</v>
      </c>
      <c r="H105" s="60">
        <f>(30*BC!$B$47/E105)</f>
        <v>0</v>
      </c>
      <c r="I105" s="701">
        <f t="shared" si="10"/>
        <v>0</v>
      </c>
      <c r="J105" s="701">
        <f t="shared" si="11"/>
        <v>0</v>
      </c>
      <c r="K105" s="216">
        <f t="shared" si="12"/>
        <v>0</v>
      </c>
      <c r="L105" s="702">
        <v>468</v>
      </c>
      <c r="M105" s="703">
        <f t="shared" si="13"/>
        <v>0</v>
      </c>
      <c r="N105" s="704">
        <f t="shared" si="14"/>
        <v>1.56</v>
      </c>
      <c r="O105" s="705" t="e">
        <f>(N105+$M$265)+((BC!$F$125)/$F$112)</f>
        <v>#DIV/0!</v>
      </c>
      <c r="P105" s="149" t="e">
        <f t="shared" si="15"/>
        <v>#DIV/0!</v>
      </c>
      <c r="Q105" s="393" t="e">
        <f t="shared" si="16"/>
        <v>#DIV/0!</v>
      </c>
      <c r="R105" s="393" t="e">
        <f t="shared" si="17"/>
        <v>#DIV/0!</v>
      </c>
    </row>
    <row r="106" spans="2:20" ht="15.75" customHeight="1" x14ac:dyDescent="0.35">
      <c r="B106" s="470">
        <v>9289275190</v>
      </c>
      <c r="C106" s="672" t="s">
        <v>972</v>
      </c>
      <c r="D106" s="42">
        <v>300</v>
      </c>
      <c r="E106" s="1">
        <v>112</v>
      </c>
      <c r="F106" s="700">
        <f>'e402-e801'!F106</f>
        <v>0</v>
      </c>
      <c r="G106" s="57">
        <f t="shared" si="9"/>
        <v>0</v>
      </c>
      <c r="H106" s="60">
        <f>(30*BC!$B$47/E106)</f>
        <v>0</v>
      </c>
      <c r="I106" s="701">
        <f t="shared" si="10"/>
        <v>0</v>
      </c>
      <c r="J106" s="701">
        <f t="shared" si="11"/>
        <v>0</v>
      </c>
      <c r="K106" s="216">
        <f t="shared" si="12"/>
        <v>0</v>
      </c>
      <c r="L106" s="702">
        <v>1659</v>
      </c>
      <c r="M106" s="703">
        <f t="shared" si="13"/>
        <v>0</v>
      </c>
      <c r="N106" s="704">
        <f t="shared" si="14"/>
        <v>5.53</v>
      </c>
      <c r="O106" s="705" t="e">
        <f>(N106+$M$265)+((BC!$F$125)/$F$112)</f>
        <v>#DIV/0!</v>
      </c>
      <c r="P106" s="149" t="e">
        <f t="shared" si="15"/>
        <v>#DIV/0!</v>
      </c>
      <c r="Q106" s="393" t="e">
        <f t="shared" si="16"/>
        <v>#DIV/0!</v>
      </c>
      <c r="R106" s="393" t="e">
        <f t="shared" si="17"/>
        <v>#DIV/0!</v>
      </c>
    </row>
    <row r="107" spans="2:20" ht="15.75" customHeight="1" x14ac:dyDescent="0.35">
      <c r="B107" s="470">
        <v>9345299190</v>
      </c>
      <c r="C107" s="674" t="s">
        <v>973</v>
      </c>
      <c r="D107" s="42">
        <v>300</v>
      </c>
      <c r="E107" s="1"/>
      <c r="F107" s="700">
        <f>'e402-e801'!F107</f>
        <v>0</v>
      </c>
      <c r="G107" s="57">
        <f t="shared" si="9"/>
        <v>0</v>
      </c>
      <c r="H107" s="60" t="e">
        <f>(30*BC!$B$47/E107)</f>
        <v>#DIV/0!</v>
      </c>
      <c r="I107" s="701" t="e">
        <f t="shared" si="10"/>
        <v>#DIV/0!</v>
      </c>
      <c r="J107" s="701">
        <f t="shared" si="11"/>
        <v>0</v>
      </c>
      <c r="K107" s="216">
        <f t="shared" si="12"/>
        <v>0</v>
      </c>
      <c r="L107" s="692"/>
      <c r="M107" s="703">
        <f t="shared" si="13"/>
        <v>0</v>
      </c>
      <c r="N107" s="704">
        <f t="shared" si="14"/>
        <v>0</v>
      </c>
      <c r="O107" s="705" t="e">
        <f>(N107+$M$265)+((BC!$F$125)/$F$112)</f>
        <v>#DIV/0!</v>
      </c>
      <c r="P107" s="149" t="e">
        <f t="shared" si="15"/>
        <v>#DIV/0!</v>
      </c>
      <c r="Q107" s="393" t="e">
        <f t="shared" si="16"/>
        <v>#DIV/0!</v>
      </c>
      <c r="R107" s="393" t="e">
        <f t="shared" si="17"/>
        <v>#DIV/0!</v>
      </c>
    </row>
    <row r="108" spans="2:20" ht="15.75" customHeight="1" x14ac:dyDescent="0.35">
      <c r="B108" s="676">
        <v>7251246190</v>
      </c>
      <c r="C108" s="676" t="s">
        <v>974</v>
      </c>
      <c r="D108" s="42">
        <v>300</v>
      </c>
      <c r="E108" s="1"/>
      <c r="F108" s="700">
        <f>'e402-e801'!F108</f>
        <v>0</v>
      </c>
      <c r="G108" s="57">
        <f t="shared" si="9"/>
        <v>0</v>
      </c>
      <c r="H108" s="60" t="e">
        <f>(30*BC!$B$47/E108)</f>
        <v>#DIV/0!</v>
      </c>
      <c r="I108" s="701" t="e">
        <f t="shared" si="10"/>
        <v>#DIV/0!</v>
      </c>
      <c r="J108" s="701">
        <f t="shared" si="11"/>
        <v>0</v>
      </c>
      <c r="K108" s="216">
        <f t="shared" si="12"/>
        <v>0</v>
      </c>
      <c r="L108" s="702">
        <v>2997</v>
      </c>
      <c r="M108" s="703">
        <f t="shared" si="13"/>
        <v>0</v>
      </c>
      <c r="N108" s="704">
        <f t="shared" si="14"/>
        <v>9.99</v>
      </c>
      <c r="O108" s="705" t="e">
        <f>(N108+$M$265)+((BC!$F$125)/$F$112)</f>
        <v>#DIV/0!</v>
      </c>
      <c r="P108" s="149" t="e">
        <f t="shared" si="15"/>
        <v>#DIV/0!</v>
      </c>
      <c r="Q108" s="393" t="e">
        <f t="shared" si="16"/>
        <v>#DIV/0!</v>
      </c>
      <c r="R108" s="393" t="e">
        <f t="shared" si="17"/>
        <v>#DIV/0!</v>
      </c>
    </row>
    <row r="109" spans="2:20" ht="15.75" customHeight="1" x14ac:dyDescent="0.35">
      <c r="B109" s="676">
        <v>7027257190</v>
      </c>
      <c r="C109" s="677" t="s">
        <v>975</v>
      </c>
      <c r="D109" s="42">
        <v>100</v>
      </c>
      <c r="E109" s="1"/>
      <c r="F109" s="700">
        <f>'e402-e801'!F109</f>
        <v>0</v>
      </c>
      <c r="G109" s="57">
        <f t="shared" si="9"/>
        <v>0</v>
      </c>
      <c r="H109" s="60" t="e">
        <f>(30*BC!$B$47/E109)</f>
        <v>#DIV/0!</v>
      </c>
      <c r="I109" s="701" t="e">
        <f t="shared" si="10"/>
        <v>#DIV/0!</v>
      </c>
      <c r="J109" s="701">
        <f t="shared" si="11"/>
        <v>0</v>
      </c>
      <c r="K109" s="216">
        <f t="shared" si="12"/>
        <v>0</v>
      </c>
      <c r="L109" s="702">
        <v>1143</v>
      </c>
      <c r="M109" s="703">
        <f t="shared" si="13"/>
        <v>0</v>
      </c>
      <c r="N109" s="704">
        <f t="shared" si="14"/>
        <v>11.43</v>
      </c>
      <c r="O109" s="705" t="e">
        <f>(N109+$M$265)+((BC!$F$125)/$F$112)</f>
        <v>#DIV/0!</v>
      </c>
      <c r="P109" s="149" t="e">
        <f t="shared" si="15"/>
        <v>#DIV/0!</v>
      </c>
      <c r="Q109" s="393" t="e">
        <f t="shared" si="16"/>
        <v>#DIV/0!</v>
      </c>
      <c r="R109" s="393" t="e">
        <f t="shared" si="17"/>
        <v>#DIV/0!</v>
      </c>
    </row>
    <row r="110" spans="2:20" ht="15.75" customHeight="1" x14ac:dyDescent="0.35">
      <c r="B110" s="676">
        <v>7027834190</v>
      </c>
      <c r="C110" s="676" t="s">
        <v>976</v>
      </c>
      <c r="D110" s="42">
        <v>100</v>
      </c>
      <c r="E110" s="1"/>
      <c r="F110" s="700">
        <f>'e402-e801'!F110</f>
        <v>0</v>
      </c>
      <c r="G110" s="57">
        <f t="shared" si="9"/>
        <v>0</v>
      </c>
      <c r="H110" s="60" t="e">
        <f>(30*BC!$B$47/E110)</f>
        <v>#DIV/0!</v>
      </c>
      <c r="I110" s="701" t="e">
        <f t="shared" si="10"/>
        <v>#DIV/0!</v>
      </c>
      <c r="J110" s="701">
        <f t="shared" si="11"/>
        <v>0</v>
      </c>
      <c r="K110" s="216">
        <f t="shared" si="12"/>
        <v>0</v>
      </c>
      <c r="L110" s="702">
        <v>1152</v>
      </c>
      <c r="M110" s="703">
        <f t="shared" si="13"/>
        <v>0</v>
      </c>
      <c r="N110" s="704">
        <f t="shared" si="14"/>
        <v>11.52</v>
      </c>
      <c r="O110" s="705" t="e">
        <f>(N110+$M$265)+((BC!$F$125)/$F$112)</f>
        <v>#DIV/0!</v>
      </c>
      <c r="P110" s="149" t="e">
        <f t="shared" si="15"/>
        <v>#DIV/0!</v>
      </c>
      <c r="Q110" s="393" t="e">
        <f t="shared" si="16"/>
        <v>#DIV/0!</v>
      </c>
      <c r="R110" s="393" t="e">
        <f t="shared" si="17"/>
        <v>#DIV/0!</v>
      </c>
    </row>
    <row r="111" spans="2:20" ht="15.75" customHeight="1" x14ac:dyDescent="0.35">
      <c r="B111" s="676">
        <v>7251254190</v>
      </c>
      <c r="C111" s="676" t="s">
        <v>977</v>
      </c>
      <c r="D111" s="42">
        <v>300</v>
      </c>
      <c r="E111" s="1"/>
      <c r="F111" s="700">
        <f>'e402-e801'!F111</f>
        <v>0</v>
      </c>
      <c r="G111" s="57">
        <f t="shared" si="9"/>
        <v>0</v>
      </c>
      <c r="H111" s="60" t="e">
        <f>(30*BC!$B$47/E111)</f>
        <v>#DIV/0!</v>
      </c>
      <c r="I111" s="701" t="e">
        <f t="shared" si="10"/>
        <v>#DIV/0!</v>
      </c>
      <c r="J111" s="701">
        <f t="shared" si="11"/>
        <v>0</v>
      </c>
      <c r="K111" s="216">
        <f t="shared" si="12"/>
        <v>0</v>
      </c>
      <c r="L111" s="702">
        <v>3579</v>
      </c>
      <c r="M111" s="703">
        <f t="shared" si="13"/>
        <v>0</v>
      </c>
      <c r="N111" s="704">
        <f t="shared" si="14"/>
        <v>11.93</v>
      </c>
      <c r="O111" s="705" t="e">
        <f>(N111+$M$265)+((BC!$F$125)/$F$112)</f>
        <v>#DIV/0!</v>
      </c>
      <c r="P111" s="149" t="e">
        <f t="shared" si="15"/>
        <v>#DIV/0!</v>
      </c>
      <c r="Q111" s="393" t="e">
        <f t="shared" si="16"/>
        <v>#DIV/0!</v>
      </c>
      <c r="R111" s="393" t="e">
        <f t="shared" si="17"/>
        <v>#DIV/0!</v>
      </c>
    </row>
    <row r="112" spans="2:20" x14ac:dyDescent="0.35">
      <c r="B112" s="187"/>
      <c r="C112" s="187"/>
      <c r="D112" s="188"/>
      <c r="E112" s="486" t="s">
        <v>19</v>
      </c>
      <c r="F112" s="487">
        <f>SUM(F9:F111)</f>
        <v>0</v>
      </c>
      <c r="G112" s="487"/>
      <c r="H112" s="190"/>
      <c r="I112" s="511"/>
      <c r="J112" s="511"/>
      <c r="K112" s="511"/>
      <c r="L112" s="190"/>
      <c r="M112" s="252"/>
      <c r="N112" s="190"/>
      <c r="O112" s="190"/>
      <c r="P112" s="24"/>
      <c r="Q112" s="24"/>
      <c r="R112" s="24"/>
      <c r="S112" s="24"/>
      <c r="T112" s="24"/>
    </row>
    <row r="113" spans="2:15" ht="15.75" customHeight="1" x14ac:dyDescent="0.35">
      <c r="B113" s="587" t="s">
        <v>255</v>
      </c>
      <c r="C113" s="588"/>
      <c r="D113" s="589" t="s">
        <v>1082</v>
      </c>
      <c r="E113" s="698" t="s">
        <v>54</v>
      </c>
      <c r="F113" s="481"/>
      <c r="G113" s="482" t="s">
        <v>53</v>
      </c>
      <c r="H113" s="512" t="s">
        <v>52</v>
      </c>
      <c r="I113" s="512" t="s">
        <v>51</v>
      </c>
      <c r="J113" s="512"/>
      <c r="K113" s="482" t="s">
        <v>50</v>
      </c>
      <c r="L113" s="513" t="s">
        <v>49</v>
      </c>
      <c r="M113" s="482" t="s">
        <v>48</v>
      </c>
      <c r="N113" s="483" t="s">
        <v>318</v>
      </c>
      <c r="O113" s="483" t="s">
        <v>319</v>
      </c>
    </row>
    <row r="114" spans="2:15" ht="15.75" customHeight="1" x14ac:dyDescent="0.35">
      <c r="B114" s="471">
        <v>8443459190</v>
      </c>
      <c r="C114" s="471" t="s">
        <v>577</v>
      </c>
      <c r="D114" s="42">
        <v>2</v>
      </c>
      <c r="E114" s="1">
        <v>84</v>
      </c>
      <c r="F114" s="1"/>
      <c r="G114" s="706">
        <f>(F9/(0.014*100)/2000)</f>
        <v>0</v>
      </c>
      <c r="H114" s="60">
        <f>(30*BC!$B$47/E114)</f>
        <v>0</v>
      </c>
      <c r="I114" s="701">
        <f>IF(H114&gt;G114,H114,G114)</f>
        <v>0</v>
      </c>
      <c r="J114" s="701">
        <f t="shared" ref="J114" si="18">IF(G114=0,0,I114)</f>
        <v>0</v>
      </c>
      <c r="K114" s="216">
        <f t="shared" ref="K114" si="19">ROUNDUP(J114,0)</f>
        <v>0</v>
      </c>
      <c r="L114" s="367">
        <v>73</v>
      </c>
      <c r="M114" s="148">
        <f>((L114/D114)*K114)</f>
        <v>0</v>
      </c>
      <c r="N114" s="57">
        <f>K114/D114</f>
        <v>0</v>
      </c>
      <c r="O114" s="57">
        <f>ROUNDUP(N114,0)</f>
        <v>0</v>
      </c>
    </row>
    <row r="115" spans="2:15" ht="15.75" customHeight="1" x14ac:dyDescent="0.35">
      <c r="B115" s="471">
        <v>11731548122</v>
      </c>
      <c r="C115" s="471" t="s">
        <v>978</v>
      </c>
      <c r="D115" s="42">
        <v>2</v>
      </c>
      <c r="E115" s="1">
        <v>84</v>
      </c>
      <c r="F115" s="1"/>
      <c r="G115" s="1">
        <f>(F10/(0.003*100)/2000)</f>
        <v>0</v>
      </c>
      <c r="H115" s="60">
        <f>(30*BC!$B$47/E115)</f>
        <v>0</v>
      </c>
      <c r="I115" s="701">
        <f t="shared" ref="I115:I178" si="20">IF(H115&gt;G115,H115,G115)</f>
        <v>0</v>
      </c>
      <c r="J115" s="701">
        <f t="shared" ref="J115:J178" si="21">IF(G115=0,0,I115)</f>
        <v>0</v>
      </c>
      <c r="K115" s="216">
        <f t="shared" ref="K115:K178" si="22">ROUNDUP(J115,0)</f>
        <v>0</v>
      </c>
      <c r="L115" s="367">
        <v>189</v>
      </c>
      <c r="M115" s="148">
        <f t="shared" ref="M115:M178" si="23">((L115/D115)*K115)</f>
        <v>0</v>
      </c>
      <c r="N115" s="57">
        <f t="shared" ref="N115:N178" si="24">K115/D115</f>
        <v>0</v>
      </c>
      <c r="O115" s="57">
        <f t="shared" ref="O115:O178" si="25">ROUNDUP(N115,0)</f>
        <v>0</v>
      </c>
    </row>
    <row r="116" spans="2:15" ht="15.75" customHeight="1" x14ac:dyDescent="0.35">
      <c r="B116" s="471">
        <v>12017717122</v>
      </c>
      <c r="C116" s="471" t="s">
        <v>979</v>
      </c>
      <c r="D116" s="42">
        <v>2</v>
      </c>
      <c r="E116" s="1">
        <v>84</v>
      </c>
      <c r="F116" s="1"/>
      <c r="G116" s="1">
        <f>(F11/(0.003*100)/2000)</f>
        <v>0</v>
      </c>
      <c r="H116" s="60">
        <f>(30*BC!$B$47/E116)</f>
        <v>0</v>
      </c>
      <c r="I116" s="701">
        <f t="shared" si="20"/>
        <v>0</v>
      </c>
      <c r="J116" s="701">
        <f t="shared" si="21"/>
        <v>0</v>
      </c>
      <c r="K116" s="216">
        <f t="shared" si="22"/>
        <v>0</v>
      </c>
      <c r="L116" s="367">
        <v>189</v>
      </c>
      <c r="M116" s="148">
        <f t="shared" si="23"/>
        <v>0</v>
      </c>
      <c r="N116" s="57">
        <f t="shared" si="24"/>
        <v>0</v>
      </c>
      <c r="O116" s="57">
        <f t="shared" si="25"/>
        <v>0</v>
      </c>
    </row>
    <row r="117" spans="2:15" ht="15.75" customHeight="1" x14ac:dyDescent="0.35">
      <c r="B117" s="471">
        <v>9077871190</v>
      </c>
      <c r="C117" s="471" t="s">
        <v>980</v>
      </c>
      <c r="D117" s="42">
        <v>2</v>
      </c>
      <c r="E117" s="1">
        <v>56</v>
      </c>
      <c r="F117" s="1"/>
      <c r="G117" s="1">
        <f>(F12/(0.003*100)/2000)</f>
        <v>0</v>
      </c>
      <c r="H117" s="60">
        <f>(30*BC!$B$47/E117)</f>
        <v>0</v>
      </c>
      <c r="I117" s="701">
        <f t="shared" si="20"/>
        <v>0</v>
      </c>
      <c r="J117" s="701">
        <f t="shared" si="21"/>
        <v>0</v>
      </c>
      <c r="K117" s="216">
        <f t="shared" si="22"/>
        <v>0</v>
      </c>
      <c r="L117" s="367">
        <v>93</v>
      </c>
      <c r="M117" s="148">
        <f t="shared" si="23"/>
        <v>0</v>
      </c>
      <c r="N117" s="57">
        <f t="shared" si="24"/>
        <v>0</v>
      </c>
      <c r="O117" s="57">
        <f t="shared" si="25"/>
        <v>0</v>
      </c>
    </row>
    <row r="118" spans="2:15" ht="15.75" customHeight="1" x14ac:dyDescent="0.35">
      <c r="B118" s="471">
        <v>9043292190</v>
      </c>
      <c r="C118" s="471" t="s">
        <v>981</v>
      </c>
      <c r="D118" s="42">
        <v>2</v>
      </c>
      <c r="E118" s="1">
        <v>84</v>
      </c>
      <c r="F118" s="1"/>
      <c r="G118" s="1">
        <f>(F13/(0.004*100)/2000)</f>
        <v>0</v>
      </c>
      <c r="H118" s="60">
        <f>(30*BC!$B$47/E118)</f>
        <v>0</v>
      </c>
      <c r="I118" s="701">
        <f t="shared" si="20"/>
        <v>0</v>
      </c>
      <c r="J118" s="701">
        <f t="shared" si="21"/>
        <v>0</v>
      </c>
      <c r="K118" s="216">
        <f t="shared" si="22"/>
        <v>0</v>
      </c>
      <c r="L118" s="367">
        <v>192</v>
      </c>
      <c r="M118" s="148">
        <f t="shared" si="23"/>
        <v>0</v>
      </c>
      <c r="N118" s="57">
        <f t="shared" si="24"/>
        <v>0</v>
      </c>
      <c r="O118" s="57">
        <f t="shared" si="25"/>
        <v>0</v>
      </c>
    </row>
    <row r="119" spans="2:15" ht="15.75" customHeight="1" x14ac:dyDescent="0.35">
      <c r="B119" s="471">
        <v>8991405190</v>
      </c>
      <c r="C119" s="471" t="s">
        <v>982</v>
      </c>
      <c r="D119" s="42">
        <v>2</v>
      </c>
      <c r="E119" s="1">
        <v>93</v>
      </c>
      <c r="F119" s="1"/>
      <c r="G119" s="1">
        <f>(F14/(0.0007*100)/2000)</f>
        <v>0</v>
      </c>
      <c r="H119" s="60">
        <f>(30*BC!$B$47/E119)</f>
        <v>0</v>
      </c>
      <c r="I119" s="701">
        <f t="shared" si="20"/>
        <v>0</v>
      </c>
      <c r="J119" s="701">
        <f t="shared" si="21"/>
        <v>0</v>
      </c>
      <c r="K119" s="216">
        <f t="shared" si="22"/>
        <v>0</v>
      </c>
      <c r="L119" s="367">
        <v>76</v>
      </c>
      <c r="M119" s="148">
        <f t="shared" si="23"/>
        <v>0</v>
      </c>
      <c r="N119" s="57">
        <f t="shared" si="24"/>
        <v>0</v>
      </c>
      <c r="O119" s="57">
        <f t="shared" si="25"/>
        <v>0</v>
      </c>
    </row>
    <row r="120" spans="2:15" ht="15.75" customHeight="1" x14ac:dyDescent="0.35">
      <c r="B120" s="471">
        <v>6472931190</v>
      </c>
      <c r="C120" s="471" t="s">
        <v>983</v>
      </c>
      <c r="D120" s="42">
        <v>2</v>
      </c>
      <c r="E120" s="1">
        <v>56</v>
      </c>
      <c r="F120" s="1"/>
      <c r="G120" s="1">
        <f>(F15/(0.0005*100)/2000)</f>
        <v>0</v>
      </c>
      <c r="H120" s="60">
        <f>(30*BC!$B$47/E120)</f>
        <v>0</v>
      </c>
      <c r="I120" s="701">
        <f t="shared" si="20"/>
        <v>0</v>
      </c>
      <c r="J120" s="701">
        <f t="shared" si="21"/>
        <v>0</v>
      </c>
      <c r="K120" s="216">
        <f t="shared" si="22"/>
        <v>0</v>
      </c>
      <c r="L120" s="367">
        <v>222</v>
      </c>
      <c r="M120" s="148">
        <f t="shared" si="23"/>
        <v>0</v>
      </c>
      <c r="N120" s="57">
        <f t="shared" si="24"/>
        <v>0</v>
      </c>
      <c r="O120" s="57">
        <f t="shared" si="25"/>
        <v>0</v>
      </c>
    </row>
    <row r="121" spans="2:15" ht="15.75" customHeight="1" x14ac:dyDescent="0.35">
      <c r="B121" s="471">
        <v>9005030190</v>
      </c>
      <c r="C121" s="471" t="s">
        <v>984</v>
      </c>
      <c r="D121" s="42">
        <v>2</v>
      </c>
      <c r="E121" s="1">
        <v>42</v>
      </c>
      <c r="F121" s="1"/>
      <c r="G121" s="1">
        <f>(F16/(0.0005*150)/2000)</f>
        <v>0</v>
      </c>
      <c r="H121" s="60">
        <f>(30*BC!$B$47/E121)</f>
        <v>0</v>
      </c>
      <c r="I121" s="701">
        <f t="shared" si="20"/>
        <v>0</v>
      </c>
      <c r="J121" s="701">
        <f t="shared" si="21"/>
        <v>0</v>
      </c>
      <c r="K121" s="216">
        <f t="shared" si="22"/>
        <v>0</v>
      </c>
      <c r="L121" s="367">
        <v>115</v>
      </c>
      <c r="M121" s="148">
        <f t="shared" si="23"/>
        <v>0</v>
      </c>
      <c r="N121" s="57">
        <f t="shared" si="24"/>
        <v>0</v>
      </c>
      <c r="O121" s="57">
        <f t="shared" si="25"/>
        <v>0</v>
      </c>
    </row>
    <row r="122" spans="2:15" ht="15.75" customHeight="1" x14ac:dyDescent="0.35">
      <c r="B122" s="471">
        <v>8496641190</v>
      </c>
      <c r="C122" s="471" t="s">
        <v>985</v>
      </c>
      <c r="D122" s="42">
        <v>2</v>
      </c>
      <c r="E122" s="1">
        <v>84</v>
      </c>
      <c r="F122" s="1"/>
      <c r="G122" s="1">
        <f>(F17/(0.0005*100)/2000)</f>
        <v>0</v>
      </c>
      <c r="H122" s="60">
        <f>(30*BC!$B$47/E122)</f>
        <v>0</v>
      </c>
      <c r="I122" s="701">
        <f t="shared" si="20"/>
        <v>0</v>
      </c>
      <c r="J122" s="701">
        <f t="shared" si="21"/>
        <v>0</v>
      </c>
      <c r="K122" s="216">
        <f t="shared" si="22"/>
        <v>0</v>
      </c>
      <c r="L122" s="367">
        <v>178</v>
      </c>
      <c r="M122" s="148">
        <f t="shared" si="23"/>
        <v>0</v>
      </c>
      <c r="N122" s="57">
        <f t="shared" si="24"/>
        <v>0</v>
      </c>
      <c r="O122" s="57">
        <f t="shared" si="25"/>
        <v>0</v>
      </c>
    </row>
    <row r="123" spans="2:15" ht="15.75" customHeight="1" x14ac:dyDescent="0.35">
      <c r="B123" s="471">
        <v>9557423190</v>
      </c>
      <c r="C123" s="471" t="s">
        <v>986</v>
      </c>
      <c r="D123" s="42">
        <v>2</v>
      </c>
      <c r="E123" s="1">
        <v>84</v>
      </c>
      <c r="F123" s="1"/>
      <c r="G123" s="1">
        <f>(F18/(0.0012*100)/2000)</f>
        <v>0</v>
      </c>
      <c r="H123" s="60">
        <f>(30*BC!$B$47/E123)</f>
        <v>0</v>
      </c>
      <c r="I123" s="701">
        <f t="shared" si="20"/>
        <v>0</v>
      </c>
      <c r="J123" s="701">
        <f t="shared" si="21"/>
        <v>0</v>
      </c>
      <c r="K123" s="216">
        <f t="shared" si="22"/>
        <v>0</v>
      </c>
      <c r="L123" s="148">
        <v>77</v>
      </c>
      <c r="M123" s="148">
        <f t="shared" si="23"/>
        <v>0</v>
      </c>
      <c r="N123" s="57">
        <f t="shared" si="24"/>
        <v>0</v>
      </c>
      <c r="O123" s="57">
        <f t="shared" si="25"/>
        <v>0</v>
      </c>
    </row>
    <row r="124" spans="2:15" ht="15.75" customHeight="1" x14ac:dyDescent="0.35">
      <c r="B124" s="471">
        <v>9557440190</v>
      </c>
      <c r="C124" s="471" t="s">
        <v>987</v>
      </c>
      <c r="D124" s="42">
        <v>2</v>
      </c>
      <c r="E124" s="1">
        <v>84</v>
      </c>
      <c r="F124" s="1"/>
      <c r="G124" s="1">
        <f>(F19/(0.0011*100)/2000)</f>
        <v>0</v>
      </c>
      <c r="H124" s="60">
        <f>(30*BC!$B$47/E124)</f>
        <v>0</v>
      </c>
      <c r="I124" s="701">
        <f t="shared" si="20"/>
        <v>0</v>
      </c>
      <c r="J124" s="701">
        <f t="shared" si="21"/>
        <v>0</v>
      </c>
      <c r="K124" s="216">
        <f t="shared" si="22"/>
        <v>0</v>
      </c>
      <c r="L124" s="148">
        <v>264</v>
      </c>
      <c r="M124" s="148">
        <f t="shared" si="23"/>
        <v>0</v>
      </c>
      <c r="N124" s="57">
        <f t="shared" si="24"/>
        <v>0</v>
      </c>
      <c r="O124" s="57">
        <f t="shared" si="25"/>
        <v>0</v>
      </c>
    </row>
    <row r="125" spans="2:15" ht="15.75" customHeight="1" x14ac:dyDescent="0.35">
      <c r="B125" s="471">
        <v>6656048190</v>
      </c>
      <c r="C125" s="471" t="s">
        <v>988</v>
      </c>
      <c r="D125" s="42">
        <v>2</v>
      </c>
      <c r="E125" s="1">
        <v>31</v>
      </c>
      <c r="F125" s="1"/>
      <c r="G125" s="1">
        <f>(F20/(0.0005*100)/2000)</f>
        <v>0</v>
      </c>
      <c r="H125" s="60">
        <f>(30*BC!$B$47/E125)</f>
        <v>0</v>
      </c>
      <c r="I125" s="701">
        <f t="shared" si="20"/>
        <v>0</v>
      </c>
      <c r="J125" s="701">
        <f t="shared" si="21"/>
        <v>0</v>
      </c>
      <c r="K125" s="216">
        <f t="shared" si="22"/>
        <v>0</v>
      </c>
      <c r="L125" s="367">
        <v>127</v>
      </c>
      <c r="M125" s="148">
        <f t="shared" si="23"/>
        <v>0</v>
      </c>
      <c r="N125" s="57">
        <f t="shared" si="24"/>
        <v>0</v>
      </c>
      <c r="O125" s="57">
        <f t="shared" si="25"/>
        <v>0</v>
      </c>
    </row>
    <row r="126" spans="2:15" ht="15.75" customHeight="1" x14ac:dyDescent="0.35">
      <c r="B126" s="471">
        <v>7092547190</v>
      </c>
      <c r="C126" s="471" t="s">
        <v>989</v>
      </c>
      <c r="D126" s="42">
        <v>2</v>
      </c>
      <c r="E126" s="1">
        <v>31</v>
      </c>
      <c r="F126" s="1"/>
      <c r="G126" s="1">
        <f>(F21/(0.0005*100)/2000)</f>
        <v>0</v>
      </c>
      <c r="H126" s="60">
        <f>(30*BC!$B$47/E126)</f>
        <v>0</v>
      </c>
      <c r="I126" s="701">
        <f t="shared" si="20"/>
        <v>0</v>
      </c>
      <c r="J126" s="701">
        <f t="shared" si="21"/>
        <v>0</v>
      </c>
      <c r="K126" s="216">
        <f t="shared" si="22"/>
        <v>0</v>
      </c>
      <c r="L126" s="367">
        <v>79</v>
      </c>
      <c r="M126" s="148">
        <f t="shared" si="23"/>
        <v>0</v>
      </c>
      <c r="N126" s="57">
        <f t="shared" si="24"/>
        <v>0</v>
      </c>
      <c r="O126" s="57">
        <f t="shared" si="25"/>
        <v>0</v>
      </c>
    </row>
    <row r="127" spans="2:15" ht="15.75" customHeight="1" x14ac:dyDescent="0.35">
      <c r="B127" s="471">
        <v>3277356190</v>
      </c>
      <c r="C127" s="471" t="s">
        <v>990</v>
      </c>
      <c r="D127" s="42">
        <v>2</v>
      </c>
      <c r="E127" s="1">
        <v>84</v>
      </c>
      <c r="F127" s="1"/>
      <c r="G127" s="1">
        <f>(F22/(0.0012*100)/2000)</f>
        <v>0</v>
      </c>
      <c r="H127" s="60">
        <f>(30*BC!$B$47/E127)</f>
        <v>0</v>
      </c>
      <c r="I127" s="701">
        <f t="shared" si="20"/>
        <v>0</v>
      </c>
      <c r="J127" s="701">
        <f t="shared" si="21"/>
        <v>0</v>
      </c>
      <c r="K127" s="216">
        <f t="shared" si="22"/>
        <v>0</v>
      </c>
      <c r="L127" s="367">
        <v>69</v>
      </c>
      <c r="M127" s="148">
        <f t="shared" si="23"/>
        <v>0</v>
      </c>
      <c r="N127" s="57">
        <f t="shared" si="24"/>
        <v>0</v>
      </c>
      <c r="O127" s="57">
        <f t="shared" si="25"/>
        <v>0</v>
      </c>
    </row>
    <row r="128" spans="2:15" ht="15.75" customHeight="1" x14ac:dyDescent="0.35">
      <c r="B128" s="471">
        <v>5202230190</v>
      </c>
      <c r="C128" s="471" t="s">
        <v>991</v>
      </c>
      <c r="D128" s="42">
        <v>2</v>
      </c>
      <c r="E128" s="1">
        <v>84</v>
      </c>
      <c r="F128" s="1"/>
      <c r="G128" s="1">
        <f>(F23/(0.00026*100)/2000)</f>
        <v>0</v>
      </c>
      <c r="H128" s="60">
        <f>(30*BC!$B$47/E128)</f>
        <v>0</v>
      </c>
      <c r="I128" s="701">
        <f t="shared" si="20"/>
        <v>0</v>
      </c>
      <c r="J128" s="701">
        <f t="shared" si="21"/>
        <v>0</v>
      </c>
      <c r="K128" s="216">
        <f t="shared" si="22"/>
        <v>0</v>
      </c>
      <c r="L128" s="367">
        <v>79</v>
      </c>
      <c r="M128" s="148">
        <f t="shared" si="23"/>
        <v>0</v>
      </c>
      <c r="N128" s="57">
        <f t="shared" si="24"/>
        <v>0</v>
      </c>
      <c r="O128" s="57">
        <f t="shared" si="25"/>
        <v>0</v>
      </c>
    </row>
    <row r="129" spans="2:15" ht="15.75" customHeight="1" x14ac:dyDescent="0.35">
      <c r="B129" s="471">
        <v>3052028190</v>
      </c>
      <c r="C129" s="471" t="s">
        <v>992</v>
      </c>
      <c r="D129" s="42">
        <v>2</v>
      </c>
      <c r="E129" s="1">
        <v>56</v>
      </c>
      <c r="F129" s="1"/>
      <c r="G129" s="1">
        <f>(F24/(0.0005*100)/2000)</f>
        <v>0</v>
      </c>
      <c r="H129" s="60">
        <f>(30*BC!$B$47/E129)</f>
        <v>0</v>
      </c>
      <c r="I129" s="701">
        <f t="shared" si="20"/>
        <v>0</v>
      </c>
      <c r="J129" s="701">
        <f t="shared" si="21"/>
        <v>0</v>
      </c>
      <c r="K129" s="216">
        <f t="shared" si="22"/>
        <v>0</v>
      </c>
      <c r="L129" s="367">
        <v>116</v>
      </c>
      <c r="M129" s="148">
        <f t="shared" si="23"/>
        <v>0</v>
      </c>
      <c r="N129" s="57">
        <f t="shared" si="24"/>
        <v>0</v>
      </c>
      <c r="O129" s="57">
        <f t="shared" si="25"/>
        <v>0</v>
      </c>
    </row>
    <row r="130" spans="2:15" ht="15.75" customHeight="1" x14ac:dyDescent="0.35">
      <c r="B130" s="471">
        <v>3000095122</v>
      </c>
      <c r="C130" s="471" t="s">
        <v>993</v>
      </c>
      <c r="D130" s="42">
        <v>2</v>
      </c>
      <c r="E130" s="1">
        <v>84</v>
      </c>
      <c r="F130" s="1"/>
      <c r="G130" s="1">
        <f>(F25/(0.0005*100)/2000)</f>
        <v>0</v>
      </c>
      <c r="H130" s="60">
        <f>(30*BC!$B$47/E130)</f>
        <v>0</v>
      </c>
      <c r="I130" s="701">
        <f t="shared" si="20"/>
        <v>0</v>
      </c>
      <c r="J130" s="701">
        <f t="shared" si="21"/>
        <v>0</v>
      </c>
      <c r="K130" s="216">
        <f t="shared" si="22"/>
        <v>0</v>
      </c>
      <c r="L130" s="367">
        <v>205</v>
      </c>
      <c r="M130" s="148">
        <f t="shared" si="23"/>
        <v>0</v>
      </c>
      <c r="N130" s="57">
        <f t="shared" si="24"/>
        <v>0</v>
      </c>
      <c r="O130" s="57">
        <f t="shared" si="25"/>
        <v>0</v>
      </c>
    </row>
    <row r="131" spans="2:15" ht="15.75" customHeight="1" x14ac:dyDescent="0.35">
      <c r="B131" s="471">
        <v>3302652190</v>
      </c>
      <c r="C131" s="471" t="s">
        <v>994</v>
      </c>
      <c r="D131" s="42">
        <v>2</v>
      </c>
      <c r="E131" s="1">
        <v>84</v>
      </c>
      <c r="F131" s="1"/>
      <c r="G131" s="1">
        <f>(F26/(0.0008*100)/2000)</f>
        <v>0</v>
      </c>
      <c r="H131" s="60">
        <f>(30*BC!$B$47/E131)</f>
        <v>0</v>
      </c>
      <c r="I131" s="701">
        <f t="shared" si="20"/>
        <v>0</v>
      </c>
      <c r="J131" s="701">
        <f t="shared" si="21"/>
        <v>0</v>
      </c>
      <c r="K131" s="216">
        <f t="shared" si="22"/>
        <v>0</v>
      </c>
      <c r="L131" s="367">
        <v>66</v>
      </c>
      <c r="M131" s="148">
        <f t="shared" si="23"/>
        <v>0</v>
      </c>
      <c r="N131" s="57">
        <f t="shared" si="24"/>
        <v>0</v>
      </c>
      <c r="O131" s="57">
        <f t="shared" si="25"/>
        <v>0</v>
      </c>
    </row>
    <row r="132" spans="2:15" ht="15.75" customHeight="1" x14ac:dyDescent="0.35">
      <c r="B132" s="471">
        <v>9013296190</v>
      </c>
      <c r="C132" s="471" t="s">
        <v>995</v>
      </c>
      <c r="D132" s="42">
        <v>2</v>
      </c>
      <c r="E132" s="1">
        <v>84</v>
      </c>
      <c r="F132" s="1"/>
      <c r="G132" s="1">
        <f>(F27/(0.0005*100)/2000)</f>
        <v>0</v>
      </c>
      <c r="H132" s="60">
        <f>(30*BC!$B$47/E132)</f>
        <v>0</v>
      </c>
      <c r="I132" s="701">
        <f t="shared" si="20"/>
        <v>0</v>
      </c>
      <c r="J132" s="701">
        <f t="shared" si="21"/>
        <v>0</v>
      </c>
      <c r="K132" s="216">
        <f t="shared" si="22"/>
        <v>0</v>
      </c>
      <c r="L132" s="367">
        <v>85</v>
      </c>
      <c r="M132" s="148">
        <f t="shared" si="23"/>
        <v>0</v>
      </c>
      <c r="N132" s="57">
        <f t="shared" si="24"/>
        <v>0</v>
      </c>
      <c r="O132" s="57">
        <f t="shared" si="25"/>
        <v>0</v>
      </c>
    </row>
    <row r="133" spans="2:15" ht="15.75" customHeight="1" x14ac:dyDescent="0.35">
      <c r="B133" s="471">
        <v>4854080200</v>
      </c>
      <c r="C133" s="502" t="s">
        <v>996</v>
      </c>
      <c r="D133" s="42">
        <v>2</v>
      </c>
      <c r="E133" s="1">
        <v>84</v>
      </c>
      <c r="F133" s="1"/>
      <c r="G133" s="1">
        <f>(F28/(0.0005*150)/2000)</f>
        <v>0</v>
      </c>
      <c r="H133" s="60">
        <f>(30*BC!$B$47/E133)</f>
        <v>0</v>
      </c>
      <c r="I133" s="701">
        <f t="shared" si="20"/>
        <v>0</v>
      </c>
      <c r="J133" s="701">
        <f t="shared" si="21"/>
        <v>0</v>
      </c>
      <c r="K133" s="216">
        <f t="shared" si="22"/>
        <v>0</v>
      </c>
      <c r="L133" s="367">
        <v>675</v>
      </c>
      <c r="M133" s="148">
        <f t="shared" si="23"/>
        <v>0</v>
      </c>
      <c r="N133" s="57">
        <f t="shared" si="24"/>
        <v>0</v>
      </c>
      <c r="O133" s="57">
        <f t="shared" si="25"/>
        <v>0</v>
      </c>
    </row>
    <row r="134" spans="2:15" ht="15.75" customHeight="1" x14ac:dyDescent="0.35">
      <c r="B134" s="471">
        <v>4854101200</v>
      </c>
      <c r="C134" s="502" t="s">
        <v>997</v>
      </c>
      <c r="D134" s="42">
        <v>2</v>
      </c>
      <c r="E134" s="1">
        <v>84</v>
      </c>
      <c r="F134" s="1"/>
      <c r="G134" s="1">
        <f>(F29/(0.0005*100)/2000)</f>
        <v>0</v>
      </c>
      <c r="H134" s="60">
        <f>(30*BC!$B$47/E134)</f>
        <v>0</v>
      </c>
      <c r="I134" s="701">
        <f t="shared" si="20"/>
        <v>0</v>
      </c>
      <c r="J134" s="701">
        <f t="shared" si="21"/>
        <v>0</v>
      </c>
      <c r="K134" s="216">
        <f t="shared" si="22"/>
        <v>0</v>
      </c>
      <c r="L134" s="367">
        <v>483</v>
      </c>
      <c r="M134" s="148">
        <f t="shared" si="23"/>
        <v>0</v>
      </c>
      <c r="N134" s="57">
        <f t="shared" si="24"/>
        <v>0</v>
      </c>
      <c r="O134" s="57">
        <f t="shared" si="25"/>
        <v>0</v>
      </c>
    </row>
    <row r="135" spans="2:15" ht="15.75" customHeight="1" x14ac:dyDescent="0.35">
      <c r="B135" s="471">
        <v>5144701190</v>
      </c>
      <c r="C135" s="471" t="s">
        <v>998</v>
      </c>
      <c r="D135" s="42">
        <v>2</v>
      </c>
      <c r="E135" s="1">
        <v>28</v>
      </c>
      <c r="F135" s="1"/>
      <c r="G135" s="1">
        <f>(F30/(0.0005*100)/2000)</f>
        <v>0</v>
      </c>
      <c r="H135" s="60">
        <f>(30*BC!$B$47/E135)</f>
        <v>0</v>
      </c>
      <c r="I135" s="701">
        <f t="shared" si="20"/>
        <v>0</v>
      </c>
      <c r="J135" s="701">
        <f t="shared" si="21"/>
        <v>0</v>
      </c>
      <c r="K135" s="216">
        <f t="shared" si="22"/>
        <v>0</v>
      </c>
      <c r="L135" s="367">
        <v>433</v>
      </c>
      <c r="M135" s="148">
        <f t="shared" si="23"/>
        <v>0</v>
      </c>
      <c r="N135" s="57">
        <f t="shared" si="24"/>
        <v>0</v>
      </c>
      <c r="O135" s="57">
        <f t="shared" si="25"/>
        <v>0</v>
      </c>
    </row>
    <row r="136" spans="2:15" ht="15.75" customHeight="1" x14ac:dyDescent="0.35">
      <c r="B136" s="471">
        <v>5109531190</v>
      </c>
      <c r="C136" s="471" t="s">
        <v>999</v>
      </c>
      <c r="D136" s="42">
        <v>2</v>
      </c>
      <c r="E136" s="1">
        <v>28</v>
      </c>
      <c r="F136" s="1"/>
      <c r="G136" s="1">
        <f>(F31/(0.0005*100)/2000)</f>
        <v>0</v>
      </c>
      <c r="H136" s="60">
        <f>(30*BC!$B$47/E136)</f>
        <v>0</v>
      </c>
      <c r="I136" s="701">
        <f t="shared" si="20"/>
        <v>0</v>
      </c>
      <c r="J136" s="701">
        <f t="shared" si="21"/>
        <v>0</v>
      </c>
      <c r="K136" s="216">
        <f t="shared" si="22"/>
        <v>0</v>
      </c>
      <c r="L136" s="367">
        <v>433</v>
      </c>
      <c r="M136" s="148">
        <f t="shared" si="23"/>
        <v>0</v>
      </c>
      <c r="N136" s="57">
        <f t="shared" si="24"/>
        <v>0</v>
      </c>
      <c r="O136" s="57">
        <f t="shared" si="25"/>
        <v>0</v>
      </c>
    </row>
    <row r="137" spans="2:15" ht="15.75" customHeight="1" x14ac:dyDescent="0.35">
      <c r="B137" s="471">
        <v>3184919190</v>
      </c>
      <c r="C137" s="471" t="s">
        <v>1000</v>
      </c>
      <c r="D137" s="42">
        <v>2</v>
      </c>
      <c r="E137" s="1">
        <v>28</v>
      </c>
      <c r="F137" s="1"/>
      <c r="G137" s="1">
        <f>(F32/(0.0005*100)/2000)</f>
        <v>0</v>
      </c>
      <c r="H137" s="60">
        <f>(30*BC!$B$47/E137)</f>
        <v>0</v>
      </c>
      <c r="I137" s="701">
        <f t="shared" si="20"/>
        <v>0</v>
      </c>
      <c r="J137" s="701">
        <f t="shared" si="21"/>
        <v>0</v>
      </c>
      <c r="K137" s="216">
        <f t="shared" si="22"/>
        <v>0</v>
      </c>
      <c r="L137" s="367">
        <v>192</v>
      </c>
      <c r="M137" s="148">
        <f t="shared" si="23"/>
        <v>0</v>
      </c>
      <c r="N137" s="57">
        <f t="shared" si="24"/>
        <v>0</v>
      </c>
      <c r="O137" s="57">
        <f t="shared" si="25"/>
        <v>0</v>
      </c>
    </row>
    <row r="138" spans="2:15" ht="15.75" customHeight="1" x14ac:dyDescent="0.35">
      <c r="B138" s="471">
        <v>12017504122</v>
      </c>
      <c r="C138" s="471" t="s">
        <v>1001</v>
      </c>
      <c r="D138" s="42">
        <v>2</v>
      </c>
      <c r="E138" s="1">
        <v>84</v>
      </c>
      <c r="F138" s="1"/>
      <c r="G138" s="1">
        <f>(F33/(0.0009*100)/2000)</f>
        <v>0</v>
      </c>
      <c r="H138" s="60">
        <f>(30*BC!$B$47/E138)</f>
        <v>0</v>
      </c>
      <c r="I138" s="701">
        <f t="shared" si="20"/>
        <v>0</v>
      </c>
      <c r="J138" s="701">
        <f t="shared" si="21"/>
        <v>0</v>
      </c>
      <c r="K138" s="216">
        <f t="shared" si="22"/>
        <v>0</v>
      </c>
      <c r="L138" s="367">
        <v>177</v>
      </c>
      <c r="M138" s="148">
        <f t="shared" si="23"/>
        <v>0</v>
      </c>
      <c r="N138" s="57">
        <f t="shared" si="24"/>
        <v>0</v>
      </c>
      <c r="O138" s="57">
        <f t="shared" si="25"/>
        <v>0</v>
      </c>
    </row>
    <row r="139" spans="2:15" ht="15.75" customHeight="1" x14ac:dyDescent="0.35">
      <c r="B139" s="471">
        <v>6687750190</v>
      </c>
      <c r="C139" s="471" t="s">
        <v>1002</v>
      </c>
      <c r="D139" s="42">
        <v>2</v>
      </c>
      <c r="E139" s="1">
        <v>84</v>
      </c>
      <c r="F139" s="1"/>
      <c r="G139" s="1">
        <f>(F34/(0.0005*100)/2000)</f>
        <v>0</v>
      </c>
      <c r="H139" s="60">
        <f>(30*BC!$B$47/E139)</f>
        <v>0</v>
      </c>
      <c r="I139" s="701">
        <f t="shared" si="20"/>
        <v>0</v>
      </c>
      <c r="J139" s="701">
        <f t="shared" si="21"/>
        <v>0</v>
      </c>
      <c r="K139" s="216">
        <f t="shared" si="22"/>
        <v>0</v>
      </c>
      <c r="L139" s="367">
        <v>222</v>
      </c>
      <c r="M139" s="148">
        <f t="shared" si="23"/>
        <v>0</v>
      </c>
      <c r="N139" s="57">
        <f t="shared" si="24"/>
        <v>0</v>
      </c>
      <c r="O139" s="57">
        <f t="shared" si="25"/>
        <v>0</v>
      </c>
    </row>
    <row r="140" spans="2:15" ht="15.75" customHeight="1" x14ac:dyDescent="0.35">
      <c r="B140" s="471">
        <v>9290940190</v>
      </c>
      <c r="C140" s="471" t="s">
        <v>1003</v>
      </c>
      <c r="D140" s="42">
        <v>2</v>
      </c>
      <c r="E140" s="1">
        <v>1</v>
      </c>
      <c r="F140" s="1"/>
      <c r="G140" s="1">
        <f>(F35/(0.0005*100)/2000)</f>
        <v>0</v>
      </c>
      <c r="H140" s="60">
        <f>(30*BC!$B$47/E140)</f>
        <v>0</v>
      </c>
      <c r="I140" s="701">
        <f t="shared" si="20"/>
        <v>0</v>
      </c>
      <c r="J140" s="701">
        <f t="shared" si="21"/>
        <v>0</v>
      </c>
      <c r="K140" s="216">
        <f t="shared" si="22"/>
        <v>0</v>
      </c>
      <c r="L140" s="367">
        <v>395</v>
      </c>
      <c r="M140" s="148">
        <f t="shared" si="23"/>
        <v>0</v>
      </c>
      <c r="N140" s="57">
        <f t="shared" si="24"/>
        <v>0</v>
      </c>
      <c r="O140" s="57">
        <f t="shared" si="25"/>
        <v>0</v>
      </c>
    </row>
    <row r="141" spans="2:15" ht="15.75" customHeight="1" x14ac:dyDescent="0.35">
      <c r="B141" s="471">
        <v>8959820190</v>
      </c>
      <c r="C141" s="471" t="s">
        <v>1004</v>
      </c>
      <c r="D141" s="42">
        <v>2</v>
      </c>
      <c r="E141" s="1">
        <v>28</v>
      </c>
      <c r="F141" s="1"/>
      <c r="G141" s="1">
        <f>(F36/(0.0005*100)/2000)</f>
        <v>0</v>
      </c>
      <c r="H141" s="60">
        <f>(30*BC!$B$47/E141)</f>
        <v>0</v>
      </c>
      <c r="I141" s="701">
        <f t="shared" si="20"/>
        <v>0</v>
      </c>
      <c r="J141" s="701">
        <f t="shared" si="21"/>
        <v>0</v>
      </c>
      <c r="K141" s="216">
        <f t="shared" si="22"/>
        <v>0</v>
      </c>
      <c r="L141" s="367">
        <v>355</v>
      </c>
      <c r="M141" s="148">
        <f t="shared" si="23"/>
        <v>0</v>
      </c>
      <c r="N141" s="57">
        <f t="shared" si="24"/>
        <v>0</v>
      </c>
      <c r="O141" s="57">
        <f t="shared" si="25"/>
        <v>0</v>
      </c>
    </row>
    <row r="142" spans="2:15" ht="15.75" customHeight="1" x14ac:dyDescent="0.35">
      <c r="B142" s="471">
        <v>5390133190</v>
      </c>
      <c r="C142" s="471" t="s">
        <v>1005</v>
      </c>
      <c r="D142" s="42">
        <v>2</v>
      </c>
      <c r="E142" s="1">
        <v>28</v>
      </c>
      <c r="F142" s="1"/>
      <c r="G142" s="1">
        <f>(F37/(0.0002*100)/2000)</f>
        <v>0</v>
      </c>
      <c r="H142" s="60">
        <f>(30*BC!$B$47/E142)</f>
        <v>0</v>
      </c>
      <c r="I142" s="701">
        <f t="shared" si="20"/>
        <v>0</v>
      </c>
      <c r="J142" s="701">
        <f t="shared" si="21"/>
        <v>0</v>
      </c>
      <c r="K142" s="216">
        <f t="shared" si="22"/>
        <v>0</v>
      </c>
      <c r="L142" s="367">
        <v>198</v>
      </c>
      <c r="M142" s="148">
        <f t="shared" si="23"/>
        <v>0</v>
      </c>
      <c r="N142" s="57">
        <f t="shared" si="24"/>
        <v>0</v>
      </c>
      <c r="O142" s="57">
        <f t="shared" si="25"/>
        <v>0</v>
      </c>
    </row>
    <row r="143" spans="2:15" ht="15.75" customHeight="1" x14ac:dyDescent="0.35">
      <c r="B143" s="471">
        <v>7957203190</v>
      </c>
      <c r="C143" s="471" t="s">
        <v>1006</v>
      </c>
      <c r="D143" s="42">
        <v>2</v>
      </c>
      <c r="E143" s="1">
        <v>28</v>
      </c>
      <c r="F143" s="1"/>
      <c r="G143" s="1">
        <f>(F38/(0.0005*100)/2000)</f>
        <v>0</v>
      </c>
      <c r="H143" s="60">
        <f>(30*BC!$B$47/E143)</f>
        <v>0</v>
      </c>
      <c r="I143" s="701">
        <f t="shared" si="20"/>
        <v>0</v>
      </c>
      <c r="J143" s="701">
        <f t="shared" si="21"/>
        <v>0</v>
      </c>
      <c r="K143" s="216">
        <f t="shared" si="22"/>
        <v>0</v>
      </c>
      <c r="L143" s="367">
        <v>322</v>
      </c>
      <c r="M143" s="148">
        <f t="shared" si="23"/>
        <v>0</v>
      </c>
      <c r="N143" s="57">
        <f t="shared" si="24"/>
        <v>0</v>
      </c>
      <c r="O143" s="57">
        <f t="shared" si="25"/>
        <v>0</v>
      </c>
    </row>
    <row r="144" spans="2:15" ht="15.75" customHeight="1" x14ac:dyDescent="0.35">
      <c r="B144" s="471">
        <v>8838534190</v>
      </c>
      <c r="C144" s="471" t="s">
        <v>1007</v>
      </c>
      <c r="D144" s="42">
        <v>2</v>
      </c>
      <c r="E144" s="1">
        <v>84</v>
      </c>
      <c r="F144" s="1"/>
      <c r="G144" s="1">
        <f>(F39/(0.0024*100)/2000)</f>
        <v>0</v>
      </c>
      <c r="H144" s="60">
        <f>(30*BC!$B$47/E144)</f>
        <v>0</v>
      </c>
      <c r="I144" s="701">
        <f t="shared" si="20"/>
        <v>0</v>
      </c>
      <c r="J144" s="701">
        <f t="shared" si="21"/>
        <v>0</v>
      </c>
      <c r="K144" s="216">
        <f t="shared" si="22"/>
        <v>0</v>
      </c>
      <c r="L144" s="367">
        <v>194</v>
      </c>
      <c r="M144" s="148">
        <f t="shared" si="23"/>
        <v>0</v>
      </c>
      <c r="N144" s="57">
        <f t="shared" si="24"/>
        <v>0</v>
      </c>
      <c r="O144" s="57">
        <f t="shared" si="25"/>
        <v>0</v>
      </c>
    </row>
    <row r="145" spans="2:15" ht="15.75" customHeight="1" x14ac:dyDescent="0.35">
      <c r="B145" s="471">
        <v>8851964190</v>
      </c>
      <c r="C145" s="471" t="s">
        <v>1008</v>
      </c>
      <c r="D145" s="42">
        <v>2</v>
      </c>
      <c r="E145" s="1">
        <v>84</v>
      </c>
      <c r="F145" s="1"/>
      <c r="G145" s="1">
        <f>(F40/(0.0016*100)/2000)</f>
        <v>0</v>
      </c>
      <c r="H145" s="60">
        <f>(30*BC!$B$47/E145)</f>
        <v>0</v>
      </c>
      <c r="I145" s="701">
        <f t="shared" si="20"/>
        <v>0</v>
      </c>
      <c r="J145" s="701">
        <f t="shared" si="21"/>
        <v>0</v>
      </c>
      <c r="K145" s="216">
        <f t="shared" si="22"/>
        <v>0</v>
      </c>
      <c r="L145" s="367">
        <v>183</v>
      </c>
      <c r="M145" s="148">
        <f t="shared" si="23"/>
        <v>0</v>
      </c>
      <c r="N145" s="57">
        <f t="shared" si="24"/>
        <v>0</v>
      </c>
      <c r="O145" s="57">
        <f t="shared" si="25"/>
        <v>0</v>
      </c>
    </row>
    <row r="146" spans="2:15" ht="15.75" customHeight="1" x14ac:dyDescent="0.35">
      <c r="B146" s="471">
        <v>9227261190</v>
      </c>
      <c r="C146" s="471" t="s">
        <v>1009</v>
      </c>
      <c r="D146" s="42">
        <v>2</v>
      </c>
      <c r="E146" s="1">
        <v>84</v>
      </c>
      <c r="F146" s="1"/>
      <c r="G146" s="1">
        <f>(F41/(0.0003*100)/2000)</f>
        <v>0</v>
      </c>
      <c r="H146" s="60">
        <f>(30*BC!$B$47/E146)</f>
        <v>0</v>
      </c>
      <c r="I146" s="701">
        <f t="shared" si="20"/>
        <v>0</v>
      </c>
      <c r="J146" s="701">
        <f t="shared" si="21"/>
        <v>0</v>
      </c>
      <c r="K146" s="216">
        <f t="shared" si="22"/>
        <v>0</v>
      </c>
      <c r="L146" s="367">
        <v>103</v>
      </c>
      <c r="M146" s="148">
        <f t="shared" si="23"/>
        <v>0</v>
      </c>
      <c r="N146" s="57">
        <f t="shared" si="24"/>
        <v>0</v>
      </c>
      <c r="O146" s="57">
        <f t="shared" si="25"/>
        <v>0</v>
      </c>
    </row>
    <row r="147" spans="2:15" ht="15.75" customHeight="1" x14ac:dyDescent="0.35">
      <c r="B147" s="471">
        <v>11731645322</v>
      </c>
      <c r="C147" s="471" t="s">
        <v>1010</v>
      </c>
      <c r="D147" s="42">
        <v>2</v>
      </c>
      <c r="E147" s="1">
        <v>84</v>
      </c>
      <c r="F147" s="1"/>
      <c r="G147" s="1">
        <f>(F42/(0.0006*100)/2000)</f>
        <v>0</v>
      </c>
      <c r="H147" s="60">
        <f>(30*BC!$B$47/E147)</f>
        <v>0</v>
      </c>
      <c r="I147" s="701">
        <f t="shared" si="20"/>
        <v>0</v>
      </c>
      <c r="J147" s="701">
        <f t="shared" si="21"/>
        <v>0</v>
      </c>
      <c r="K147" s="216">
        <f t="shared" si="22"/>
        <v>0</v>
      </c>
      <c r="L147" s="367">
        <v>105</v>
      </c>
      <c r="M147" s="148">
        <f t="shared" si="23"/>
        <v>0</v>
      </c>
      <c r="N147" s="57">
        <f t="shared" si="24"/>
        <v>0</v>
      </c>
      <c r="O147" s="57">
        <f t="shared" si="25"/>
        <v>0</v>
      </c>
    </row>
    <row r="148" spans="2:15" ht="15.75" customHeight="1" x14ac:dyDescent="0.35">
      <c r="B148" s="471">
        <v>7030207190</v>
      </c>
      <c r="C148" s="471" t="s">
        <v>1011</v>
      </c>
      <c r="D148" s="42">
        <v>2</v>
      </c>
      <c r="E148" s="1">
        <v>140</v>
      </c>
      <c r="F148" s="1"/>
      <c r="G148" s="1">
        <f>(F43/(0.0008*100)/2000)</f>
        <v>0</v>
      </c>
      <c r="H148" s="60">
        <f>(30*BC!$B$47/E148)</f>
        <v>0</v>
      </c>
      <c r="I148" s="701">
        <f t="shared" si="20"/>
        <v>0</v>
      </c>
      <c r="J148" s="701">
        <f t="shared" si="21"/>
        <v>0</v>
      </c>
      <c r="K148" s="216">
        <f t="shared" si="22"/>
        <v>0</v>
      </c>
      <c r="L148" s="367">
        <v>184</v>
      </c>
      <c r="M148" s="148">
        <f t="shared" si="23"/>
        <v>0</v>
      </c>
      <c r="N148" s="57">
        <f t="shared" si="24"/>
        <v>0</v>
      </c>
      <c r="O148" s="57">
        <f t="shared" si="25"/>
        <v>0</v>
      </c>
    </row>
    <row r="149" spans="2:15" ht="15.75" customHeight="1" x14ac:dyDescent="0.35">
      <c r="B149" s="471">
        <v>3045846122</v>
      </c>
      <c r="C149" s="471" t="s">
        <v>1012</v>
      </c>
      <c r="D149" s="42">
        <v>2</v>
      </c>
      <c r="E149" s="1">
        <v>84</v>
      </c>
      <c r="F149" s="1"/>
      <c r="G149" s="1">
        <f>(F44/(0.0002*100)/2000)</f>
        <v>0</v>
      </c>
      <c r="H149" s="60">
        <f>(30*BC!$B$47/E149)</f>
        <v>0</v>
      </c>
      <c r="I149" s="701">
        <f t="shared" si="20"/>
        <v>0</v>
      </c>
      <c r="J149" s="701">
        <f t="shared" si="21"/>
        <v>0</v>
      </c>
      <c r="K149" s="216">
        <f t="shared" si="22"/>
        <v>0</v>
      </c>
      <c r="L149" s="367">
        <v>180</v>
      </c>
      <c r="M149" s="148">
        <f t="shared" si="23"/>
        <v>0</v>
      </c>
      <c r="N149" s="57">
        <f t="shared" si="24"/>
        <v>0</v>
      </c>
      <c r="O149" s="57">
        <f t="shared" si="25"/>
        <v>0</v>
      </c>
    </row>
    <row r="150" spans="2:15" ht="15.75" customHeight="1" x14ac:dyDescent="0.35">
      <c r="B150" s="471">
        <v>11776215122</v>
      </c>
      <c r="C150" s="471" t="s">
        <v>1013</v>
      </c>
      <c r="D150" s="42">
        <v>2</v>
      </c>
      <c r="E150" s="1">
        <v>56</v>
      </c>
      <c r="F150" s="1"/>
      <c r="G150" s="1">
        <f>(F45/(0.0005*100)/2000)</f>
        <v>0</v>
      </c>
      <c r="H150" s="60">
        <f>(30*BC!$B$47/E150)</f>
        <v>0</v>
      </c>
      <c r="I150" s="701">
        <f t="shared" si="20"/>
        <v>0</v>
      </c>
      <c r="J150" s="701">
        <f t="shared" si="21"/>
        <v>0</v>
      </c>
      <c r="K150" s="216">
        <f t="shared" si="22"/>
        <v>0</v>
      </c>
      <c r="L150" s="367">
        <v>182</v>
      </c>
      <c r="M150" s="148">
        <f t="shared" si="23"/>
        <v>0</v>
      </c>
      <c r="N150" s="57">
        <f t="shared" si="24"/>
        <v>0</v>
      </c>
      <c r="O150" s="57">
        <f t="shared" si="25"/>
        <v>0</v>
      </c>
    </row>
    <row r="151" spans="2:15" ht="15.75" customHeight="1" x14ac:dyDescent="0.35">
      <c r="B151" s="471">
        <v>11820974322</v>
      </c>
      <c r="C151" s="471" t="s">
        <v>1014</v>
      </c>
      <c r="D151" s="42">
        <v>2</v>
      </c>
      <c r="E151" s="1">
        <v>56</v>
      </c>
      <c r="F151" s="1"/>
      <c r="G151" s="1">
        <f>(F46/(0.0005*100)/2000)</f>
        <v>0</v>
      </c>
      <c r="H151" s="60">
        <f>(30*BC!$B$47/E151)</f>
        <v>0</v>
      </c>
      <c r="I151" s="701">
        <f t="shared" si="20"/>
        <v>0</v>
      </c>
      <c r="J151" s="701">
        <f t="shared" si="21"/>
        <v>0</v>
      </c>
      <c r="K151" s="216">
        <f t="shared" si="22"/>
        <v>0</v>
      </c>
      <c r="L151" s="367">
        <v>251</v>
      </c>
      <c r="M151" s="148">
        <f t="shared" si="23"/>
        <v>0</v>
      </c>
      <c r="N151" s="57">
        <f t="shared" si="24"/>
        <v>0</v>
      </c>
      <c r="O151" s="57">
        <f t="shared" si="25"/>
        <v>0</v>
      </c>
    </row>
    <row r="152" spans="2:15" ht="15.75" customHeight="1" x14ac:dyDescent="0.35">
      <c r="B152" s="471">
        <v>9175130190</v>
      </c>
      <c r="C152" s="471" t="s">
        <v>1015</v>
      </c>
      <c r="D152" s="42">
        <v>2</v>
      </c>
      <c r="E152" s="1">
        <v>42</v>
      </c>
      <c r="F152" s="1"/>
      <c r="G152" s="1">
        <f>(F47/(0.0005*100)/2000)</f>
        <v>0</v>
      </c>
      <c r="H152" s="60">
        <f>(30*BC!$B$47/E152)</f>
        <v>0</v>
      </c>
      <c r="I152" s="701">
        <f t="shared" si="20"/>
        <v>0</v>
      </c>
      <c r="J152" s="701">
        <f t="shared" si="21"/>
        <v>0</v>
      </c>
      <c r="K152" s="216">
        <f t="shared" si="22"/>
        <v>0</v>
      </c>
      <c r="L152" s="367">
        <v>148</v>
      </c>
      <c r="M152" s="148">
        <f t="shared" si="23"/>
        <v>0</v>
      </c>
      <c r="N152" s="57">
        <f t="shared" si="24"/>
        <v>0</v>
      </c>
      <c r="O152" s="57">
        <f t="shared" si="25"/>
        <v>0</v>
      </c>
    </row>
    <row r="153" spans="2:15" ht="15.75" customHeight="1" x14ac:dyDescent="0.35">
      <c r="B153" s="471">
        <v>12133121122</v>
      </c>
      <c r="C153" s="471" t="s">
        <v>1016</v>
      </c>
      <c r="D153" s="42">
        <v>2</v>
      </c>
      <c r="E153" s="1">
        <v>42</v>
      </c>
      <c r="F153" s="1"/>
      <c r="G153" s="1">
        <f>(F48/(0.0005*100)/2000)</f>
        <v>0</v>
      </c>
      <c r="H153" s="60">
        <f>(30*BC!$B$47/E153)</f>
        <v>0</v>
      </c>
      <c r="I153" s="701">
        <f t="shared" si="20"/>
        <v>0</v>
      </c>
      <c r="J153" s="701">
        <f t="shared" si="21"/>
        <v>0</v>
      </c>
      <c r="K153" s="216">
        <f t="shared" si="22"/>
        <v>0</v>
      </c>
      <c r="L153" s="367">
        <v>233</v>
      </c>
      <c r="M153" s="148">
        <f t="shared" si="23"/>
        <v>0</v>
      </c>
      <c r="N153" s="57">
        <f t="shared" si="24"/>
        <v>0</v>
      </c>
      <c r="O153" s="57">
        <f t="shared" si="25"/>
        <v>0</v>
      </c>
    </row>
    <row r="154" spans="2:15" ht="15.75" customHeight="1" x14ac:dyDescent="0.35">
      <c r="B154" s="471">
        <v>3289834190</v>
      </c>
      <c r="C154" s="471" t="s">
        <v>1017</v>
      </c>
      <c r="D154" s="42">
        <v>2</v>
      </c>
      <c r="E154" s="1">
        <v>84</v>
      </c>
      <c r="F154" s="1"/>
      <c r="G154" s="1">
        <f>(F49/(0.0005*100)/2000)</f>
        <v>0</v>
      </c>
      <c r="H154" s="60">
        <f>(30*BC!$B$47/E154)</f>
        <v>0</v>
      </c>
      <c r="I154" s="701">
        <f t="shared" si="20"/>
        <v>0</v>
      </c>
      <c r="J154" s="701">
        <f t="shared" si="21"/>
        <v>0</v>
      </c>
      <c r="K154" s="216">
        <f t="shared" si="22"/>
        <v>0</v>
      </c>
      <c r="L154" s="367">
        <v>378</v>
      </c>
      <c r="M154" s="148">
        <f t="shared" si="23"/>
        <v>0</v>
      </c>
      <c r="N154" s="57">
        <f t="shared" si="24"/>
        <v>0</v>
      </c>
      <c r="O154" s="57">
        <f t="shared" si="25"/>
        <v>0</v>
      </c>
    </row>
    <row r="155" spans="2:15" ht="15.75" customHeight="1" x14ac:dyDescent="0.35">
      <c r="B155" s="471">
        <v>5950945190</v>
      </c>
      <c r="C155" s="471" t="s">
        <v>1018</v>
      </c>
      <c r="D155" s="42">
        <v>2</v>
      </c>
      <c r="E155" s="1">
        <v>56</v>
      </c>
      <c r="F155" s="1"/>
      <c r="G155" s="1">
        <f>(F50/(0.0003*100)/2000)</f>
        <v>0</v>
      </c>
      <c r="H155" s="60">
        <f>(30*BC!$B$47/E155)</f>
        <v>0</v>
      </c>
      <c r="I155" s="701">
        <f t="shared" si="20"/>
        <v>0</v>
      </c>
      <c r="J155" s="701">
        <f t="shared" si="21"/>
        <v>0</v>
      </c>
      <c r="K155" s="216">
        <f t="shared" si="22"/>
        <v>0</v>
      </c>
      <c r="L155" s="367">
        <v>409</v>
      </c>
      <c r="M155" s="148">
        <f t="shared" si="23"/>
        <v>0</v>
      </c>
      <c r="N155" s="57">
        <f t="shared" si="24"/>
        <v>0</v>
      </c>
      <c r="O155" s="57">
        <f t="shared" si="25"/>
        <v>0</v>
      </c>
    </row>
    <row r="156" spans="2:15" ht="15.75" customHeight="1" x14ac:dyDescent="0.35">
      <c r="B156" s="471">
        <v>8333637190</v>
      </c>
      <c r="C156" s="471" t="s">
        <v>1019</v>
      </c>
      <c r="D156" s="42">
        <v>2</v>
      </c>
      <c r="E156" s="1">
        <v>28</v>
      </c>
      <c r="F156" s="1"/>
      <c r="G156" s="1">
        <f t="shared" ref="G156:G167" si="26">(F51/(0.0005*100)/2000)</f>
        <v>0</v>
      </c>
      <c r="H156" s="60">
        <f>(30*BC!$B$47/E156)</f>
        <v>0</v>
      </c>
      <c r="I156" s="701">
        <f t="shared" si="20"/>
        <v>0</v>
      </c>
      <c r="J156" s="701">
        <f t="shared" si="21"/>
        <v>0</v>
      </c>
      <c r="K156" s="216">
        <f t="shared" si="22"/>
        <v>0</v>
      </c>
      <c r="L156" s="367">
        <v>684</v>
      </c>
      <c r="M156" s="148">
        <f t="shared" si="23"/>
        <v>0</v>
      </c>
      <c r="N156" s="57">
        <f t="shared" si="24"/>
        <v>0</v>
      </c>
      <c r="O156" s="57">
        <f t="shared" si="25"/>
        <v>0</v>
      </c>
    </row>
    <row r="157" spans="2:15" ht="15.75" customHeight="1" x14ac:dyDescent="0.35">
      <c r="B157" s="471">
        <v>6505970190</v>
      </c>
      <c r="C157" s="471" t="s">
        <v>1020</v>
      </c>
      <c r="D157" s="42">
        <v>2</v>
      </c>
      <c r="E157" s="1">
        <v>56</v>
      </c>
      <c r="F157" s="1"/>
      <c r="G157" s="1">
        <f t="shared" si="26"/>
        <v>0</v>
      </c>
      <c r="H157" s="60">
        <f>(30*BC!$B$47/E157)</f>
        <v>0</v>
      </c>
      <c r="I157" s="701">
        <f t="shared" si="20"/>
        <v>0</v>
      </c>
      <c r="J157" s="701">
        <f t="shared" si="21"/>
        <v>0</v>
      </c>
      <c r="K157" s="216">
        <f t="shared" si="22"/>
        <v>0</v>
      </c>
      <c r="L157" s="367">
        <v>478</v>
      </c>
      <c r="M157" s="148">
        <f t="shared" si="23"/>
        <v>0</v>
      </c>
      <c r="N157" s="57">
        <f t="shared" si="24"/>
        <v>0</v>
      </c>
      <c r="O157" s="57">
        <f t="shared" si="25"/>
        <v>0</v>
      </c>
    </row>
    <row r="158" spans="2:15" ht="15.75" customHeight="1" x14ac:dyDescent="0.35">
      <c r="B158" s="471">
        <v>7126999190</v>
      </c>
      <c r="C158" s="471" t="s">
        <v>1021</v>
      </c>
      <c r="D158" s="42">
        <v>2</v>
      </c>
      <c r="E158" s="1">
        <v>28</v>
      </c>
      <c r="F158" s="1"/>
      <c r="G158" s="1">
        <f t="shared" si="26"/>
        <v>0</v>
      </c>
      <c r="H158" s="60">
        <f>(30*BC!$B$47/E158)</f>
        <v>0</v>
      </c>
      <c r="I158" s="701">
        <f t="shared" si="20"/>
        <v>0</v>
      </c>
      <c r="J158" s="701">
        <f t="shared" si="21"/>
        <v>0</v>
      </c>
      <c r="K158" s="216">
        <f t="shared" si="22"/>
        <v>0</v>
      </c>
      <c r="L158" s="367">
        <v>219</v>
      </c>
      <c r="M158" s="148">
        <f t="shared" si="23"/>
        <v>0</v>
      </c>
      <c r="N158" s="57">
        <f t="shared" si="24"/>
        <v>0</v>
      </c>
      <c r="O158" s="57">
        <f t="shared" si="25"/>
        <v>0</v>
      </c>
    </row>
    <row r="159" spans="2:15" ht="15.75" customHeight="1" x14ac:dyDescent="0.35">
      <c r="B159" s="471">
        <v>11820907322</v>
      </c>
      <c r="C159" s="471" t="s">
        <v>1022</v>
      </c>
      <c r="D159" s="42">
        <v>2</v>
      </c>
      <c r="E159" s="1">
        <v>56</v>
      </c>
      <c r="F159" s="1"/>
      <c r="G159" s="1">
        <f t="shared" si="26"/>
        <v>0</v>
      </c>
      <c r="H159" s="60">
        <f>(30*BC!$B$47/E159)</f>
        <v>0</v>
      </c>
      <c r="I159" s="701">
        <f t="shared" si="20"/>
        <v>0</v>
      </c>
      <c r="J159" s="701">
        <f t="shared" si="21"/>
        <v>0</v>
      </c>
      <c r="K159" s="216">
        <f t="shared" si="22"/>
        <v>0</v>
      </c>
      <c r="L159" s="367">
        <v>189</v>
      </c>
      <c r="M159" s="148">
        <f t="shared" si="23"/>
        <v>0</v>
      </c>
      <c r="N159" s="57">
        <f t="shared" si="24"/>
        <v>0</v>
      </c>
      <c r="O159" s="57">
        <f t="shared" si="25"/>
        <v>0</v>
      </c>
    </row>
    <row r="160" spans="2:15" ht="15.75" customHeight="1" x14ac:dyDescent="0.35">
      <c r="B160" s="471">
        <v>7394667190</v>
      </c>
      <c r="C160" s="471" t="s">
        <v>1023</v>
      </c>
      <c r="D160" s="42">
        <v>2</v>
      </c>
      <c r="E160" s="1">
        <v>84</v>
      </c>
      <c r="F160" s="1"/>
      <c r="G160" s="1">
        <f t="shared" si="26"/>
        <v>0</v>
      </c>
      <c r="H160" s="60">
        <f>(30*BC!$B$47/E160)</f>
        <v>0</v>
      </c>
      <c r="I160" s="701">
        <f t="shared" si="20"/>
        <v>0</v>
      </c>
      <c r="J160" s="701">
        <f t="shared" si="21"/>
        <v>0</v>
      </c>
      <c r="K160" s="216">
        <f t="shared" si="22"/>
        <v>0</v>
      </c>
      <c r="L160" s="367">
        <v>88</v>
      </c>
      <c r="M160" s="148">
        <f t="shared" si="23"/>
        <v>0</v>
      </c>
      <c r="N160" s="57">
        <f t="shared" si="24"/>
        <v>0</v>
      </c>
      <c r="O160" s="57">
        <f t="shared" si="25"/>
        <v>0</v>
      </c>
    </row>
    <row r="161" spans="2:15" ht="15.75" customHeight="1" x14ac:dyDescent="0.35">
      <c r="B161" s="471">
        <v>7394675190</v>
      </c>
      <c r="C161" s="471" t="s">
        <v>1024</v>
      </c>
      <c r="D161" s="42">
        <v>2</v>
      </c>
      <c r="E161" s="1">
        <v>84</v>
      </c>
      <c r="F161" s="1"/>
      <c r="G161" s="1">
        <f t="shared" si="26"/>
        <v>0</v>
      </c>
      <c r="H161" s="60">
        <f>(30*BC!$B$47/E161)</f>
        <v>0</v>
      </c>
      <c r="I161" s="701">
        <f t="shared" si="20"/>
        <v>0</v>
      </c>
      <c r="J161" s="701">
        <f t="shared" si="21"/>
        <v>0</v>
      </c>
      <c r="K161" s="216">
        <f t="shared" si="22"/>
        <v>0</v>
      </c>
      <c r="L161" s="367">
        <v>144</v>
      </c>
      <c r="M161" s="148">
        <f t="shared" si="23"/>
        <v>0</v>
      </c>
      <c r="N161" s="57">
        <f t="shared" si="24"/>
        <v>0</v>
      </c>
      <c r="O161" s="57">
        <f t="shared" si="25"/>
        <v>0</v>
      </c>
    </row>
    <row r="162" spans="2:15" ht="15.75" customHeight="1" x14ac:dyDescent="0.35">
      <c r="B162" s="471">
        <v>7125941190</v>
      </c>
      <c r="C162" s="471" t="s">
        <v>1025</v>
      </c>
      <c r="D162" s="42">
        <v>2</v>
      </c>
      <c r="E162" s="1">
        <v>56</v>
      </c>
      <c r="F162" s="1"/>
      <c r="G162" s="1">
        <f t="shared" si="26"/>
        <v>0</v>
      </c>
      <c r="H162" s="60">
        <f>(30*BC!$B$47/E162)</f>
        <v>0</v>
      </c>
      <c r="I162" s="701">
        <f t="shared" si="20"/>
        <v>0</v>
      </c>
      <c r="J162" s="701">
        <f t="shared" si="21"/>
        <v>0</v>
      </c>
      <c r="K162" s="216">
        <f t="shared" si="22"/>
        <v>0</v>
      </c>
      <c r="L162" s="367">
        <v>1833</v>
      </c>
      <c r="M162" s="148">
        <f t="shared" si="23"/>
        <v>0</v>
      </c>
      <c r="N162" s="57">
        <f t="shared" si="24"/>
        <v>0</v>
      </c>
      <c r="O162" s="57">
        <f t="shared" si="25"/>
        <v>0</v>
      </c>
    </row>
    <row r="163" spans="2:15" ht="15.75" customHeight="1" x14ac:dyDescent="0.35">
      <c r="B163" s="471">
        <v>9315373190</v>
      </c>
      <c r="C163" s="471" t="s">
        <v>1026</v>
      </c>
      <c r="D163" s="42">
        <v>2</v>
      </c>
      <c r="E163" s="1">
        <v>84</v>
      </c>
      <c r="F163" s="1"/>
      <c r="G163" s="1">
        <f>(F58/(0.0007*100)/2000)</f>
        <v>0</v>
      </c>
      <c r="H163" s="60">
        <f>(30*BC!$B$47/E163)</f>
        <v>0</v>
      </c>
      <c r="I163" s="701">
        <f t="shared" si="20"/>
        <v>0</v>
      </c>
      <c r="J163" s="701">
        <f t="shared" si="21"/>
        <v>0</v>
      </c>
      <c r="K163" s="216">
        <f t="shared" si="22"/>
        <v>0</v>
      </c>
      <c r="L163" s="367">
        <v>53</v>
      </c>
      <c r="M163" s="148">
        <f t="shared" si="23"/>
        <v>0</v>
      </c>
      <c r="N163" s="57">
        <f t="shared" si="24"/>
        <v>0</v>
      </c>
      <c r="O163" s="57">
        <f t="shared" si="25"/>
        <v>0</v>
      </c>
    </row>
    <row r="164" spans="2:15" ht="15.75" customHeight="1" x14ac:dyDescent="0.35">
      <c r="B164" s="471">
        <v>7439547190</v>
      </c>
      <c r="C164" s="471" t="s">
        <v>1027</v>
      </c>
      <c r="D164" s="42">
        <v>2</v>
      </c>
      <c r="E164" s="1">
        <v>84</v>
      </c>
      <c r="F164" s="1"/>
      <c r="G164" s="1">
        <f t="shared" si="26"/>
        <v>0</v>
      </c>
      <c r="H164" s="60">
        <f>(30*BC!$B$47/E164)</f>
        <v>0</v>
      </c>
      <c r="I164" s="701">
        <f t="shared" si="20"/>
        <v>0</v>
      </c>
      <c r="J164" s="701">
        <f t="shared" si="21"/>
        <v>0</v>
      </c>
      <c r="K164" s="216">
        <f t="shared" si="22"/>
        <v>0</v>
      </c>
      <c r="L164" s="367">
        <v>121</v>
      </c>
      <c r="M164" s="148">
        <f t="shared" si="23"/>
        <v>0</v>
      </c>
      <c r="N164" s="57">
        <f t="shared" si="24"/>
        <v>0</v>
      </c>
      <c r="O164" s="57">
        <f t="shared" si="25"/>
        <v>0</v>
      </c>
    </row>
    <row r="165" spans="2:15" ht="15.75" customHeight="1" x14ac:dyDescent="0.35">
      <c r="B165" s="584" t="s">
        <v>1028</v>
      </c>
      <c r="C165" s="586" t="s">
        <v>1029</v>
      </c>
      <c r="D165" s="42">
        <v>2</v>
      </c>
      <c r="E165" s="1">
        <v>84</v>
      </c>
      <c r="F165" s="1"/>
      <c r="G165" s="1">
        <f t="shared" si="26"/>
        <v>0</v>
      </c>
      <c r="H165" s="60">
        <f>(30*BC!$B$47/E165)</f>
        <v>0</v>
      </c>
      <c r="I165" s="701">
        <f t="shared" si="20"/>
        <v>0</v>
      </c>
      <c r="J165" s="701">
        <f t="shared" si="21"/>
        <v>0</v>
      </c>
      <c r="K165" s="216">
        <f t="shared" si="22"/>
        <v>0</v>
      </c>
      <c r="L165" s="367">
        <v>79</v>
      </c>
      <c r="M165" s="148">
        <f t="shared" si="23"/>
        <v>0</v>
      </c>
      <c r="N165" s="57">
        <f t="shared" si="24"/>
        <v>0</v>
      </c>
      <c r="O165" s="57">
        <f t="shared" si="25"/>
        <v>0</v>
      </c>
    </row>
    <row r="166" spans="2:15" ht="15.75" customHeight="1" x14ac:dyDescent="0.35">
      <c r="B166" s="471">
        <v>9005684190</v>
      </c>
      <c r="C166" s="471" t="s">
        <v>1030</v>
      </c>
      <c r="D166" s="42">
        <v>2</v>
      </c>
      <c r="E166" s="1">
        <v>84</v>
      </c>
      <c r="F166" s="1"/>
      <c r="G166" s="1">
        <f t="shared" si="26"/>
        <v>0</v>
      </c>
      <c r="H166" s="60">
        <f>(30*BC!$B$47/E166)</f>
        <v>0</v>
      </c>
      <c r="I166" s="701">
        <f t="shared" si="20"/>
        <v>0</v>
      </c>
      <c r="J166" s="701">
        <f t="shared" si="21"/>
        <v>0</v>
      </c>
      <c r="K166" s="216">
        <f t="shared" si="22"/>
        <v>0</v>
      </c>
      <c r="L166" s="367">
        <v>140</v>
      </c>
      <c r="M166" s="148">
        <f t="shared" si="23"/>
        <v>0</v>
      </c>
      <c r="N166" s="57">
        <f t="shared" si="24"/>
        <v>0</v>
      </c>
      <c r="O166" s="57">
        <f t="shared" si="25"/>
        <v>0</v>
      </c>
    </row>
    <row r="167" spans="2:15" ht="15.75" customHeight="1" x14ac:dyDescent="0.35">
      <c r="B167" s="471">
        <v>5109469190</v>
      </c>
      <c r="C167" s="471" t="s">
        <v>1031</v>
      </c>
      <c r="D167" s="42">
        <v>2</v>
      </c>
      <c r="E167" s="1">
        <v>84</v>
      </c>
      <c r="F167" s="1"/>
      <c r="G167" s="1">
        <f t="shared" si="26"/>
        <v>0</v>
      </c>
      <c r="H167" s="60">
        <f>(30*BC!$B$47/E167)</f>
        <v>0</v>
      </c>
      <c r="I167" s="701">
        <f t="shared" si="20"/>
        <v>0</v>
      </c>
      <c r="J167" s="701">
        <f t="shared" si="21"/>
        <v>0</v>
      </c>
      <c r="K167" s="216">
        <f t="shared" si="22"/>
        <v>0</v>
      </c>
      <c r="L167" s="367">
        <v>264</v>
      </c>
      <c r="M167" s="148">
        <f t="shared" si="23"/>
        <v>0</v>
      </c>
      <c r="N167" s="57">
        <f t="shared" si="24"/>
        <v>0</v>
      </c>
      <c r="O167" s="57">
        <f t="shared" si="25"/>
        <v>0</v>
      </c>
    </row>
    <row r="168" spans="2:15" ht="15.75" customHeight="1" x14ac:dyDescent="0.35">
      <c r="B168" s="471">
        <v>3737586190</v>
      </c>
      <c r="C168" s="471" t="s">
        <v>1032</v>
      </c>
      <c r="D168" s="42">
        <v>2</v>
      </c>
      <c r="E168" s="1">
        <v>84</v>
      </c>
      <c r="F168" s="1"/>
      <c r="G168" s="1">
        <f>(F63/(0.0009*100)/2000)</f>
        <v>0</v>
      </c>
      <c r="H168" s="60">
        <f>(30*BC!$B$47/E168)</f>
        <v>0</v>
      </c>
      <c r="I168" s="701">
        <f t="shared" si="20"/>
        <v>0</v>
      </c>
      <c r="J168" s="701">
        <f t="shared" si="21"/>
        <v>0</v>
      </c>
      <c r="K168" s="216">
        <f t="shared" si="22"/>
        <v>0</v>
      </c>
      <c r="L168" s="367">
        <v>189</v>
      </c>
      <c r="M168" s="148">
        <f t="shared" si="23"/>
        <v>0</v>
      </c>
      <c r="N168" s="57">
        <f t="shared" si="24"/>
        <v>0</v>
      </c>
      <c r="O168" s="57">
        <f t="shared" si="25"/>
        <v>0</v>
      </c>
    </row>
    <row r="169" spans="2:15" ht="15.75" customHeight="1" x14ac:dyDescent="0.35">
      <c r="B169" s="471">
        <v>7396473190</v>
      </c>
      <c r="C169" s="471" t="s">
        <v>1033</v>
      </c>
      <c r="D169" s="42">
        <v>2</v>
      </c>
      <c r="E169" s="1">
        <v>84</v>
      </c>
      <c r="F169" s="1"/>
      <c r="G169" s="1">
        <f>(F64/(0.0005*100)/2000)</f>
        <v>0</v>
      </c>
      <c r="H169" s="60">
        <f>(30*BC!$B$47/E169)</f>
        <v>0</v>
      </c>
      <c r="I169" s="701">
        <f t="shared" si="20"/>
        <v>0</v>
      </c>
      <c r="J169" s="701">
        <f t="shared" si="21"/>
        <v>0</v>
      </c>
      <c r="K169" s="216">
        <f t="shared" si="22"/>
        <v>0</v>
      </c>
      <c r="L169" s="367">
        <v>75</v>
      </c>
      <c r="M169" s="148">
        <f t="shared" si="23"/>
        <v>0</v>
      </c>
      <c r="N169" s="57">
        <f t="shared" si="24"/>
        <v>0</v>
      </c>
      <c r="O169" s="57">
        <f t="shared" si="25"/>
        <v>0</v>
      </c>
    </row>
    <row r="170" spans="2:15" ht="15.75" customHeight="1" x14ac:dyDescent="0.35">
      <c r="B170" s="471">
        <v>7212780190</v>
      </c>
      <c r="C170" s="471" t="s">
        <v>1034</v>
      </c>
      <c r="D170" s="42">
        <v>2</v>
      </c>
      <c r="E170" s="1">
        <v>84</v>
      </c>
      <c r="F170" s="1"/>
      <c r="G170" s="1">
        <f>(F65/(0.0009*100)/2000)</f>
        <v>0</v>
      </c>
      <c r="H170" s="60">
        <f>(30*BC!$B$47/E170)</f>
        <v>0</v>
      </c>
      <c r="I170" s="701">
        <f t="shared" si="20"/>
        <v>0</v>
      </c>
      <c r="J170" s="701">
        <f t="shared" si="21"/>
        <v>0</v>
      </c>
      <c r="K170" s="216">
        <f t="shared" si="22"/>
        <v>0</v>
      </c>
      <c r="L170" s="367">
        <v>235</v>
      </c>
      <c r="M170" s="148">
        <f t="shared" si="23"/>
        <v>0</v>
      </c>
      <c r="N170" s="57">
        <f t="shared" si="24"/>
        <v>0</v>
      </c>
      <c r="O170" s="57">
        <f t="shared" si="25"/>
        <v>0</v>
      </c>
    </row>
    <row r="171" spans="2:15" ht="15.75" customHeight="1" x14ac:dyDescent="0.35">
      <c r="B171" s="471">
        <v>7726350190</v>
      </c>
      <c r="C171" s="471" t="s">
        <v>1035</v>
      </c>
      <c r="D171" s="42">
        <v>2</v>
      </c>
      <c r="E171" s="1">
        <v>31</v>
      </c>
      <c r="F171" s="1"/>
      <c r="G171" s="1">
        <f>(F66/(0.0009*100)/2000)</f>
        <v>0</v>
      </c>
      <c r="H171" s="60">
        <f>(30*BC!$B$47/E171)</f>
        <v>0</v>
      </c>
      <c r="I171" s="701">
        <f t="shared" si="20"/>
        <v>0</v>
      </c>
      <c r="J171" s="701">
        <f t="shared" si="21"/>
        <v>0</v>
      </c>
      <c r="K171" s="216">
        <f t="shared" si="22"/>
        <v>0</v>
      </c>
      <c r="L171" s="367">
        <v>445</v>
      </c>
      <c r="M171" s="148">
        <f t="shared" si="23"/>
        <v>0</v>
      </c>
      <c r="N171" s="57">
        <f t="shared" si="24"/>
        <v>0</v>
      </c>
      <c r="O171" s="57">
        <f t="shared" si="25"/>
        <v>0</v>
      </c>
    </row>
    <row r="172" spans="2:15" ht="15.75" customHeight="1" x14ac:dyDescent="0.35">
      <c r="B172" s="471">
        <v>11930427122</v>
      </c>
      <c r="C172" s="471" t="s">
        <v>1036</v>
      </c>
      <c r="D172" s="42">
        <v>2</v>
      </c>
      <c r="E172" s="1">
        <v>84</v>
      </c>
      <c r="F172" s="1"/>
      <c r="G172" s="1">
        <f t="shared" ref="G172:G177" si="27">(F67/(0.0005*100)/2000)</f>
        <v>0</v>
      </c>
      <c r="H172" s="60">
        <f>(30*BC!$B$47/E172)</f>
        <v>0</v>
      </c>
      <c r="I172" s="701">
        <f t="shared" si="20"/>
        <v>0</v>
      </c>
      <c r="J172" s="701">
        <f t="shared" si="21"/>
        <v>0</v>
      </c>
      <c r="K172" s="216">
        <f t="shared" si="22"/>
        <v>0</v>
      </c>
      <c r="L172" s="367">
        <v>229</v>
      </c>
      <c r="M172" s="148">
        <f t="shared" si="23"/>
        <v>0</v>
      </c>
      <c r="N172" s="57">
        <f t="shared" si="24"/>
        <v>0</v>
      </c>
      <c r="O172" s="57">
        <f t="shared" si="25"/>
        <v>0</v>
      </c>
    </row>
    <row r="173" spans="2:15" ht="15.75" customHeight="1" x14ac:dyDescent="0.35">
      <c r="B173" s="471">
        <v>8243891190</v>
      </c>
      <c r="C173" s="471" t="s">
        <v>1037</v>
      </c>
      <c r="D173" s="42">
        <v>2</v>
      </c>
      <c r="E173" s="1">
        <v>84</v>
      </c>
      <c r="F173" s="1"/>
      <c r="G173" s="1">
        <f t="shared" si="27"/>
        <v>0</v>
      </c>
      <c r="H173" s="60">
        <f>(30*BC!$B$47/E173)</f>
        <v>0</v>
      </c>
      <c r="I173" s="701">
        <f t="shared" si="20"/>
        <v>0</v>
      </c>
      <c r="J173" s="701">
        <f t="shared" si="21"/>
        <v>0</v>
      </c>
      <c r="K173" s="216">
        <f t="shared" si="22"/>
        <v>0</v>
      </c>
      <c r="L173" s="367">
        <v>126</v>
      </c>
      <c r="M173" s="148">
        <f t="shared" si="23"/>
        <v>0</v>
      </c>
      <c r="N173" s="57">
        <f t="shared" si="24"/>
        <v>0</v>
      </c>
      <c r="O173" s="57">
        <f t="shared" si="25"/>
        <v>0</v>
      </c>
    </row>
    <row r="174" spans="2:15" ht="15.75" customHeight="1" x14ac:dyDescent="0.35">
      <c r="B174" s="471">
        <v>5608554190</v>
      </c>
      <c r="C174" s="471" t="s">
        <v>1038</v>
      </c>
      <c r="D174" s="42">
        <v>2</v>
      </c>
      <c r="E174" s="1">
        <v>90</v>
      </c>
      <c r="F174" s="1"/>
      <c r="G174" s="1">
        <f t="shared" si="27"/>
        <v>0</v>
      </c>
      <c r="H174" s="60">
        <f>(30*BC!$B$47/E174)</f>
        <v>0</v>
      </c>
      <c r="I174" s="701">
        <f t="shared" si="20"/>
        <v>0</v>
      </c>
      <c r="J174" s="701">
        <f t="shared" si="21"/>
        <v>0</v>
      </c>
      <c r="K174" s="216">
        <f t="shared" si="22"/>
        <v>0</v>
      </c>
      <c r="L174" s="367">
        <v>456</v>
      </c>
      <c r="M174" s="148">
        <f t="shared" si="23"/>
        <v>0</v>
      </c>
      <c r="N174" s="57">
        <f t="shared" si="24"/>
        <v>0</v>
      </c>
      <c r="O174" s="57">
        <f t="shared" si="25"/>
        <v>0</v>
      </c>
    </row>
    <row r="175" spans="2:15" ht="15.75" customHeight="1" x14ac:dyDescent="0.35">
      <c r="B175" s="471">
        <v>3141080190</v>
      </c>
      <c r="C175" s="471" t="s">
        <v>1039</v>
      </c>
      <c r="D175" s="42">
        <v>2</v>
      </c>
      <c r="E175" s="1">
        <v>84</v>
      </c>
      <c r="F175" s="1"/>
      <c r="G175" s="1">
        <f t="shared" si="27"/>
        <v>0</v>
      </c>
      <c r="H175" s="60">
        <f>(30*BC!$B$47/E175)</f>
        <v>0</v>
      </c>
      <c r="I175" s="701">
        <f t="shared" si="20"/>
        <v>0</v>
      </c>
      <c r="J175" s="701">
        <f t="shared" si="21"/>
        <v>0</v>
      </c>
      <c r="K175" s="216">
        <f t="shared" si="22"/>
        <v>0</v>
      </c>
      <c r="L175" s="367">
        <v>266</v>
      </c>
      <c r="M175" s="148">
        <f t="shared" si="23"/>
        <v>0</v>
      </c>
      <c r="N175" s="57">
        <f t="shared" si="24"/>
        <v>0</v>
      </c>
      <c r="O175" s="57">
        <f t="shared" si="25"/>
        <v>0</v>
      </c>
    </row>
    <row r="176" spans="2:15" ht="15.75" customHeight="1" x14ac:dyDescent="0.35">
      <c r="B176" s="471">
        <v>11972316122</v>
      </c>
      <c r="C176" s="471" t="s">
        <v>1040</v>
      </c>
      <c r="D176" s="42">
        <v>2</v>
      </c>
      <c r="E176" s="1">
        <v>84</v>
      </c>
      <c r="F176" s="1"/>
      <c r="G176" s="1">
        <f t="shared" si="27"/>
        <v>0</v>
      </c>
      <c r="H176" s="60">
        <f>(30*BC!$B$47/E176)</f>
        <v>0</v>
      </c>
      <c r="I176" s="701">
        <f t="shared" si="20"/>
        <v>0</v>
      </c>
      <c r="J176" s="701">
        <f t="shared" si="21"/>
        <v>0</v>
      </c>
      <c r="K176" s="216">
        <f t="shared" si="22"/>
        <v>0</v>
      </c>
      <c r="L176" s="367">
        <v>162</v>
      </c>
      <c r="M176" s="148">
        <f t="shared" si="23"/>
        <v>0</v>
      </c>
      <c r="N176" s="57">
        <f t="shared" si="24"/>
        <v>0</v>
      </c>
      <c r="O176" s="57">
        <f t="shared" si="25"/>
        <v>0</v>
      </c>
    </row>
    <row r="177" spans="2:15" ht="15.75" customHeight="1" x14ac:dyDescent="0.35">
      <c r="B177" s="471">
        <v>11972111122</v>
      </c>
      <c r="C177" s="471" t="s">
        <v>1041</v>
      </c>
      <c r="D177" s="42">
        <v>2</v>
      </c>
      <c r="E177" s="1">
        <v>84</v>
      </c>
      <c r="F177" s="1"/>
      <c r="G177" s="1">
        <f t="shared" si="27"/>
        <v>0</v>
      </c>
      <c r="H177" s="60">
        <f>(30*BC!$B$47/E177)</f>
        <v>0</v>
      </c>
      <c r="I177" s="701">
        <f t="shared" si="20"/>
        <v>0</v>
      </c>
      <c r="J177" s="701">
        <f t="shared" si="21"/>
        <v>0</v>
      </c>
      <c r="K177" s="216">
        <f t="shared" si="22"/>
        <v>0</v>
      </c>
      <c r="L177" s="367">
        <v>335</v>
      </c>
      <c r="M177" s="148">
        <f t="shared" si="23"/>
        <v>0</v>
      </c>
      <c r="N177" s="57">
        <f t="shared" si="24"/>
        <v>0</v>
      </c>
      <c r="O177" s="57">
        <f t="shared" si="25"/>
        <v>0</v>
      </c>
    </row>
    <row r="178" spans="2:15" ht="15.75" customHeight="1" x14ac:dyDescent="0.35">
      <c r="B178" s="471">
        <v>9038116190</v>
      </c>
      <c r="C178" s="471" t="s">
        <v>1042</v>
      </c>
      <c r="D178" s="42">
        <v>2</v>
      </c>
      <c r="E178" s="1">
        <v>84</v>
      </c>
      <c r="F178" s="1"/>
      <c r="G178" s="1">
        <f>(F75/(0.0015*100)/2000)</f>
        <v>0</v>
      </c>
      <c r="H178" s="60">
        <f>(30*BC!$B$47/E178)</f>
        <v>0</v>
      </c>
      <c r="I178" s="701">
        <f t="shared" si="20"/>
        <v>0</v>
      </c>
      <c r="J178" s="701">
        <f t="shared" si="21"/>
        <v>0</v>
      </c>
      <c r="K178" s="216">
        <f t="shared" si="22"/>
        <v>0</v>
      </c>
      <c r="L178" s="367">
        <v>635</v>
      </c>
      <c r="M178" s="148">
        <f t="shared" si="23"/>
        <v>0</v>
      </c>
      <c r="N178" s="57">
        <f t="shared" si="24"/>
        <v>0</v>
      </c>
      <c r="O178" s="57">
        <f t="shared" si="25"/>
        <v>0</v>
      </c>
    </row>
    <row r="179" spans="2:15" ht="15.75" customHeight="1" x14ac:dyDescent="0.35">
      <c r="B179" s="471">
        <v>7475969190</v>
      </c>
      <c r="C179" s="471" t="s">
        <v>1043</v>
      </c>
      <c r="D179" s="42">
        <v>2</v>
      </c>
      <c r="E179" s="1">
        <v>31</v>
      </c>
      <c r="F179" s="1"/>
      <c r="G179" s="1">
        <f>(F76/(0.0005*100)/2000)</f>
        <v>0</v>
      </c>
      <c r="H179" s="60">
        <f>(30*BC!$B$47/E179)</f>
        <v>0</v>
      </c>
      <c r="I179" s="701">
        <f t="shared" ref="I179:I245" si="28">IF(H179&gt;G179,H179,G179)</f>
        <v>0</v>
      </c>
      <c r="J179" s="701">
        <f t="shared" ref="J179:J239" si="29">IF(G179=0,0,I179)</f>
        <v>0</v>
      </c>
      <c r="K179" s="216">
        <f t="shared" ref="K179:K245" si="30">ROUNDUP(J179,0)</f>
        <v>0</v>
      </c>
      <c r="L179" s="367">
        <v>370</v>
      </c>
      <c r="M179" s="148">
        <f t="shared" ref="M179:M245" si="31">((L179/D179)*K179)</f>
        <v>0</v>
      </c>
      <c r="N179" s="57">
        <f t="shared" ref="N179:N245" si="32">K179/D179</f>
        <v>0</v>
      </c>
      <c r="O179" s="57">
        <f t="shared" ref="O179:O245" si="33">ROUNDUP(N179,0)</f>
        <v>0</v>
      </c>
    </row>
    <row r="180" spans="2:15" ht="15.75" customHeight="1" x14ac:dyDescent="0.35">
      <c r="B180" s="471">
        <v>7574762190</v>
      </c>
      <c r="C180" s="471" t="s">
        <v>1044</v>
      </c>
      <c r="D180" s="42">
        <v>2</v>
      </c>
      <c r="E180" s="1">
        <v>84</v>
      </c>
      <c r="F180" s="1"/>
      <c r="G180" s="1">
        <f>(F77/(0.0005*100)/2000)</f>
        <v>0</v>
      </c>
      <c r="H180" s="60">
        <f>(30*BC!$B$47/E180)</f>
        <v>0</v>
      </c>
      <c r="I180" s="701">
        <f t="shared" si="28"/>
        <v>0</v>
      </c>
      <c r="J180" s="701">
        <f t="shared" si="29"/>
        <v>0</v>
      </c>
      <c r="K180" s="216">
        <f t="shared" si="30"/>
        <v>0</v>
      </c>
      <c r="L180" s="367">
        <v>586</v>
      </c>
      <c r="M180" s="148">
        <f t="shared" si="31"/>
        <v>0</v>
      </c>
      <c r="N180" s="57">
        <f t="shared" si="32"/>
        <v>0</v>
      </c>
      <c r="O180" s="57">
        <f t="shared" si="33"/>
        <v>0</v>
      </c>
    </row>
    <row r="181" spans="2:15" ht="15.75" customHeight="1" x14ac:dyDescent="0.35">
      <c r="B181" s="471">
        <v>9289291190</v>
      </c>
      <c r="C181" s="673" t="s">
        <v>1045</v>
      </c>
      <c r="D181" s="42">
        <v>2</v>
      </c>
      <c r="E181" s="1">
        <v>84</v>
      </c>
      <c r="F181" s="1"/>
      <c r="G181" s="1">
        <f>(F106/(0.0005*100)/2000)</f>
        <v>0</v>
      </c>
      <c r="H181" s="60">
        <f>(30*BC!$B$47/E181)</f>
        <v>0</v>
      </c>
      <c r="I181" s="701">
        <f t="shared" si="28"/>
        <v>0</v>
      </c>
      <c r="J181" s="701">
        <f t="shared" si="29"/>
        <v>0</v>
      </c>
      <c r="K181" s="216">
        <f t="shared" si="30"/>
        <v>0</v>
      </c>
      <c r="L181" s="367">
        <v>155</v>
      </c>
      <c r="M181" s="148">
        <f t="shared" si="31"/>
        <v>0</v>
      </c>
      <c r="N181" s="57">
        <f t="shared" si="32"/>
        <v>0</v>
      </c>
      <c r="O181" s="57">
        <f t="shared" si="33"/>
        <v>0</v>
      </c>
    </row>
    <row r="182" spans="2:15" ht="15.75" customHeight="1" x14ac:dyDescent="0.35">
      <c r="B182" s="471">
        <v>5889022190</v>
      </c>
      <c r="C182" s="676" t="s">
        <v>1046</v>
      </c>
      <c r="D182" s="42">
        <v>3</v>
      </c>
      <c r="E182" s="1">
        <v>28</v>
      </c>
      <c r="F182" s="1"/>
      <c r="G182" s="1">
        <f>(F108/(0.0005*100)/2000)</f>
        <v>0</v>
      </c>
      <c r="H182" s="60">
        <f>(30*BC!$B$47/E182)</f>
        <v>0</v>
      </c>
      <c r="I182" s="701">
        <f t="shared" si="28"/>
        <v>0</v>
      </c>
      <c r="J182" s="701">
        <f t="shared" si="29"/>
        <v>0</v>
      </c>
      <c r="K182" s="216">
        <f t="shared" si="30"/>
        <v>0</v>
      </c>
      <c r="L182" s="367">
        <v>1433</v>
      </c>
      <c r="M182" s="148">
        <f t="shared" si="31"/>
        <v>0</v>
      </c>
      <c r="N182" s="57">
        <f t="shared" si="32"/>
        <v>0</v>
      </c>
      <c r="O182" s="57">
        <f t="shared" si="33"/>
        <v>0</v>
      </c>
    </row>
    <row r="183" spans="2:15" ht="15.75" customHeight="1" x14ac:dyDescent="0.35">
      <c r="B183" s="471">
        <v>6633196190</v>
      </c>
      <c r="C183" s="677" t="s">
        <v>1047</v>
      </c>
      <c r="D183" s="42">
        <v>3</v>
      </c>
      <c r="E183" s="1">
        <v>28</v>
      </c>
      <c r="F183" s="1"/>
      <c r="G183" s="1">
        <f>(F109/(0.0005*100)/2000)</f>
        <v>0</v>
      </c>
      <c r="H183" s="60">
        <f>(30*BC!$B$47/E183)</f>
        <v>0</v>
      </c>
      <c r="I183" s="701">
        <f t="shared" si="28"/>
        <v>0</v>
      </c>
      <c r="J183" s="701">
        <f t="shared" si="29"/>
        <v>0</v>
      </c>
      <c r="K183" s="216">
        <f t="shared" si="30"/>
        <v>0</v>
      </c>
      <c r="L183" s="367">
        <v>331</v>
      </c>
      <c r="M183" s="148">
        <f t="shared" si="31"/>
        <v>0</v>
      </c>
      <c r="N183" s="57">
        <f t="shared" si="32"/>
        <v>0</v>
      </c>
      <c r="O183" s="57">
        <f t="shared" si="33"/>
        <v>0</v>
      </c>
    </row>
    <row r="184" spans="2:15" ht="15.75" customHeight="1" x14ac:dyDescent="0.35">
      <c r="B184" s="471">
        <v>6327982190</v>
      </c>
      <c r="C184" s="471" t="s">
        <v>1048</v>
      </c>
      <c r="D184" s="42">
        <v>3</v>
      </c>
      <c r="E184" s="1">
        <v>28</v>
      </c>
      <c r="F184" s="1"/>
      <c r="G184" s="1">
        <f>(F110/(0.0005*100)/2000)</f>
        <v>0</v>
      </c>
      <c r="H184" s="60">
        <f>(30*BC!$B$47/E184)</f>
        <v>0</v>
      </c>
      <c r="I184" s="701">
        <f t="shared" si="28"/>
        <v>0</v>
      </c>
      <c r="J184" s="701">
        <f t="shared" si="29"/>
        <v>0</v>
      </c>
      <c r="K184" s="216">
        <f t="shared" si="30"/>
        <v>0</v>
      </c>
      <c r="L184" s="367">
        <v>333</v>
      </c>
      <c r="M184" s="148">
        <f t="shared" si="31"/>
        <v>0</v>
      </c>
      <c r="N184" s="57">
        <f t="shared" si="32"/>
        <v>0</v>
      </c>
      <c r="O184" s="57">
        <f t="shared" si="33"/>
        <v>0</v>
      </c>
    </row>
    <row r="185" spans="2:15" ht="15.75" customHeight="1" x14ac:dyDescent="0.35">
      <c r="B185" s="471">
        <v>5889065190</v>
      </c>
      <c r="C185" s="471" t="s">
        <v>1049</v>
      </c>
      <c r="D185" s="42">
        <v>3</v>
      </c>
      <c r="E185" s="1">
        <v>28</v>
      </c>
      <c r="F185" s="1"/>
      <c r="G185" s="1">
        <f>(F111/(0.0005*100)/2000)</f>
        <v>0</v>
      </c>
      <c r="H185" s="60">
        <f>(30*BC!$B$47/E185)</f>
        <v>0</v>
      </c>
      <c r="I185" s="701">
        <f t="shared" si="28"/>
        <v>0</v>
      </c>
      <c r="J185" s="701">
        <f t="shared" si="29"/>
        <v>0</v>
      </c>
      <c r="K185" s="216">
        <f t="shared" si="30"/>
        <v>0</v>
      </c>
      <c r="L185" s="367">
        <v>1629</v>
      </c>
      <c r="M185" s="148">
        <f t="shared" si="31"/>
        <v>0</v>
      </c>
      <c r="N185" s="57">
        <f t="shared" si="32"/>
        <v>0</v>
      </c>
      <c r="O185" s="57">
        <f t="shared" si="33"/>
        <v>0</v>
      </c>
    </row>
    <row r="186" spans="2:15" ht="15.75" customHeight="1" x14ac:dyDescent="0.35">
      <c r="B186" s="587" t="s">
        <v>277</v>
      </c>
      <c r="C186" s="588"/>
      <c r="D186" s="589" t="s">
        <v>1082</v>
      </c>
      <c r="E186" s="698" t="s">
        <v>54</v>
      </c>
      <c r="F186" s="481"/>
      <c r="G186" s="482" t="s">
        <v>53</v>
      </c>
      <c r="H186" s="512" t="s">
        <v>52</v>
      </c>
      <c r="I186" s="512" t="s">
        <v>51</v>
      </c>
      <c r="J186" s="512"/>
      <c r="K186" s="482" t="s">
        <v>50</v>
      </c>
      <c r="L186" s="513" t="s">
        <v>49</v>
      </c>
      <c r="M186" s="482" t="s">
        <v>48</v>
      </c>
      <c r="N186" s="483" t="s">
        <v>318</v>
      </c>
      <c r="O186" s="483" t="s">
        <v>319</v>
      </c>
    </row>
    <row r="187" spans="2:15" ht="15.75" customHeight="1" x14ac:dyDescent="0.35">
      <c r="B187" s="471">
        <v>11731416190</v>
      </c>
      <c r="C187" s="594" t="s">
        <v>625</v>
      </c>
      <c r="D187" s="42">
        <v>2</v>
      </c>
      <c r="E187" s="1">
        <v>28</v>
      </c>
      <c r="F187" s="1"/>
      <c r="G187" s="1">
        <f>(A10/(0.0013*300)/3000)</f>
        <v>0</v>
      </c>
      <c r="H187" s="60">
        <f>(30*BC!$B$47/E187)</f>
        <v>0</v>
      </c>
      <c r="I187" s="701">
        <f t="shared" si="28"/>
        <v>0</v>
      </c>
      <c r="J187" s="701">
        <f t="shared" si="29"/>
        <v>0</v>
      </c>
      <c r="K187" s="216">
        <f t="shared" si="30"/>
        <v>0</v>
      </c>
      <c r="L187" s="367">
        <v>101</v>
      </c>
      <c r="M187" s="148">
        <f t="shared" si="31"/>
        <v>0</v>
      </c>
      <c r="N187" s="57">
        <f t="shared" si="32"/>
        <v>0</v>
      </c>
      <c r="O187" s="57">
        <f t="shared" si="33"/>
        <v>0</v>
      </c>
    </row>
    <row r="188" spans="2:15" ht="15.75" customHeight="1" x14ac:dyDescent="0.35">
      <c r="B188" s="471">
        <v>8740062190</v>
      </c>
      <c r="C188" s="603" t="s">
        <v>583</v>
      </c>
      <c r="D188" s="42">
        <v>2</v>
      </c>
      <c r="E188" s="1">
        <v>84</v>
      </c>
      <c r="F188" s="1"/>
      <c r="G188" s="1">
        <f>(A18/(0.00001*300)/3000)</f>
        <v>0</v>
      </c>
      <c r="H188" s="60">
        <f>(30*BC!$B$47/E188)</f>
        <v>0</v>
      </c>
      <c r="I188" s="701">
        <f t="shared" si="28"/>
        <v>0</v>
      </c>
      <c r="J188" s="701">
        <f t="shared" si="29"/>
        <v>0</v>
      </c>
      <c r="K188" s="216">
        <f t="shared" si="30"/>
        <v>0</v>
      </c>
      <c r="L188" s="367">
        <v>671</v>
      </c>
      <c r="M188" s="148">
        <f t="shared" si="31"/>
        <v>0</v>
      </c>
      <c r="N188" s="57">
        <f t="shared" si="32"/>
        <v>0</v>
      </c>
      <c r="O188" s="57">
        <f t="shared" si="33"/>
        <v>0</v>
      </c>
    </row>
    <row r="189" spans="2:15" ht="15.75" customHeight="1" x14ac:dyDescent="0.35">
      <c r="B189" s="471">
        <v>5341787190</v>
      </c>
      <c r="C189" s="607" t="s">
        <v>613</v>
      </c>
      <c r="D189" s="42">
        <v>3</v>
      </c>
      <c r="E189" s="1">
        <v>31</v>
      </c>
      <c r="F189" s="1"/>
      <c r="G189" s="1">
        <f>(A21/(0.00001*300)/3000)</f>
        <v>0</v>
      </c>
      <c r="H189" s="60">
        <f>(30*BC!$B$47/E189)</f>
        <v>0</v>
      </c>
      <c r="I189" s="701">
        <f t="shared" si="28"/>
        <v>0</v>
      </c>
      <c r="J189" s="701">
        <f t="shared" si="29"/>
        <v>0</v>
      </c>
      <c r="K189" s="216">
        <f t="shared" si="30"/>
        <v>0</v>
      </c>
      <c r="L189" s="367">
        <v>425</v>
      </c>
      <c r="M189" s="148">
        <f t="shared" si="31"/>
        <v>0</v>
      </c>
      <c r="N189" s="57">
        <f t="shared" si="32"/>
        <v>0</v>
      </c>
      <c r="O189" s="57">
        <f t="shared" si="33"/>
        <v>0</v>
      </c>
    </row>
    <row r="190" spans="2:15" ht="15.75" customHeight="1" x14ac:dyDescent="0.35">
      <c r="B190" s="471">
        <v>6687776190</v>
      </c>
      <c r="C190" s="604" t="s">
        <v>1050</v>
      </c>
      <c r="D190" s="42">
        <v>2</v>
      </c>
      <c r="E190" s="1">
        <v>28</v>
      </c>
      <c r="F190" s="1"/>
      <c r="G190" s="1"/>
      <c r="H190" s="60">
        <f>(30*BC!$B$47/E190)</f>
        <v>0</v>
      </c>
      <c r="I190" s="701">
        <f t="shared" si="28"/>
        <v>0</v>
      </c>
      <c r="J190" s="701">
        <f t="shared" si="29"/>
        <v>0</v>
      </c>
      <c r="K190" s="216">
        <f t="shared" si="30"/>
        <v>0</v>
      </c>
      <c r="L190" s="367">
        <v>2012</v>
      </c>
      <c r="M190" s="148">
        <f t="shared" si="31"/>
        <v>0</v>
      </c>
      <c r="N190" s="57">
        <f t="shared" si="32"/>
        <v>0</v>
      </c>
      <c r="O190" s="57">
        <f t="shared" si="33"/>
        <v>0</v>
      </c>
    </row>
    <row r="191" spans="2:15" ht="15.75" customHeight="1" x14ac:dyDescent="0.35">
      <c r="B191" s="471">
        <v>11776452122</v>
      </c>
      <c r="C191" s="614" t="s">
        <v>624</v>
      </c>
      <c r="D191" s="42">
        <v>2</v>
      </c>
      <c r="E191" s="1">
        <v>28</v>
      </c>
      <c r="F191" s="1"/>
      <c r="G191" s="1">
        <f>(A15/(0.00029*300)/3000)</f>
        <v>0</v>
      </c>
      <c r="H191" s="60">
        <f>(30*BC!$B$47/E191)</f>
        <v>0</v>
      </c>
      <c r="I191" s="701">
        <f t="shared" si="28"/>
        <v>0</v>
      </c>
      <c r="J191" s="701">
        <f t="shared" si="29"/>
        <v>0</v>
      </c>
      <c r="K191" s="216">
        <f t="shared" si="30"/>
        <v>0</v>
      </c>
      <c r="L191" s="367">
        <v>189</v>
      </c>
      <c r="M191" s="148">
        <f t="shared" si="31"/>
        <v>0</v>
      </c>
      <c r="N191" s="57">
        <f t="shared" si="32"/>
        <v>0</v>
      </c>
      <c r="O191" s="57">
        <f t="shared" si="33"/>
        <v>0</v>
      </c>
    </row>
    <row r="192" spans="2:15" ht="15.75" customHeight="1" x14ac:dyDescent="0.35">
      <c r="B192" s="471">
        <v>7713223190</v>
      </c>
      <c r="C192" s="628" t="s">
        <v>584</v>
      </c>
      <c r="D192" s="42">
        <v>2</v>
      </c>
      <c r="E192" s="1">
        <v>31</v>
      </c>
      <c r="F192" s="1"/>
      <c r="G192" s="1"/>
      <c r="H192" s="60">
        <f>(30*BC!$B$47/E192)</f>
        <v>0</v>
      </c>
      <c r="I192" s="701">
        <f t="shared" si="28"/>
        <v>0</v>
      </c>
      <c r="J192" s="701">
        <f t="shared" si="29"/>
        <v>0</v>
      </c>
      <c r="K192" s="216">
        <f t="shared" si="30"/>
        <v>0</v>
      </c>
      <c r="L192" s="367">
        <v>929</v>
      </c>
      <c r="M192" s="148">
        <f t="shared" si="31"/>
        <v>0</v>
      </c>
      <c r="N192" s="57">
        <f t="shared" si="32"/>
        <v>0</v>
      </c>
      <c r="O192" s="57">
        <f t="shared" si="33"/>
        <v>0</v>
      </c>
    </row>
    <row r="193" spans="2:15" ht="15.75" customHeight="1" x14ac:dyDescent="0.35">
      <c r="B193" s="17">
        <v>4917049190</v>
      </c>
      <c r="C193" s="620" t="s">
        <v>1141</v>
      </c>
      <c r="D193" s="42">
        <v>2</v>
      </c>
      <c r="E193" s="1">
        <v>84</v>
      </c>
      <c r="F193" s="1"/>
      <c r="G193" s="1">
        <f>(A27/(0.00003*300)/3000)</f>
        <v>0</v>
      </c>
      <c r="H193" s="60">
        <f>(30*BC!$B$47/E193)</f>
        <v>0</v>
      </c>
      <c r="I193" s="701">
        <f t="shared" si="28"/>
        <v>0</v>
      </c>
      <c r="J193" s="701">
        <f t="shared" si="29"/>
        <v>0</v>
      </c>
      <c r="K193" s="216">
        <f t="shared" si="30"/>
        <v>0</v>
      </c>
      <c r="L193" s="367">
        <v>127</v>
      </c>
      <c r="M193" s="148">
        <f t="shared" si="31"/>
        <v>0</v>
      </c>
      <c r="N193" s="57">
        <f t="shared" si="32"/>
        <v>0</v>
      </c>
      <c r="O193" s="57">
        <f t="shared" si="33"/>
        <v>0</v>
      </c>
    </row>
    <row r="194" spans="2:15" ht="15.75" customHeight="1" x14ac:dyDescent="0.35">
      <c r="B194" s="17">
        <v>5095107190</v>
      </c>
      <c r="C194" s="622" t="s">
        <v>623</v>
      </c>
      <c r="D194" s="42">
        <v>2</v>
      </c>
      <c r="E194" s="1">
        <v>84</v>
      </c>
      <c r="F194" s="1"/>
      <c r="G194" s="1">
        <f>(A31/(0.00006*300)/3000)</f>
        <v>0</v>
      </c>
      <c r="H194" s="60">
        <f>(30*BC!$B$47/E194)</f>
        <v>0</v>
      </c>
      <c r="I194" s="701">
        <f t="shared" si="28"/>
        <v>0</v>
      </c>
      <c r="J194" s="701">
        <f t="shared" si="29"/>
        <v>0</v>
      </c>
      <c r="K194" s="216">
        <f t="shared" si="30"/>
        <v>0</v>
      </c>
      <c r="L194" s="367">
        <v>87</v>
      </c>
      <c r="M194" s="148">
        <f t="shared" si="31"/>
        <v>0</v>
      </c>
      <c r="N194" s="57">
        <f t="shared" si="32"/>
        <v>0</v>
      </c>
      <c r="O194" s="57">
        <f t="shared" si="33"/>
        <v>0</v>
      </c>
    </row>
    <row r="195" spans="2:15" ht="15.75" customHeight="1" x14ac:dyDescent="0.35">
      <c r="B195" s="17">
        <v>5042666191</v>
      </c>
      <c r="C195" s="598" t="s">
        <v>619</v>
      </c>
      <c r="D195" s="42">
        <v>2</v>
      </c>
      <c r="E195" s="1">
        <v>28</v>
      </c>
      <c r="F195" s="1"/>
      <c r="G195" s="1">
        <f>(A13/(0.000066*300)/3000)</f>
        <v>0</v>
      </c>
      <c r="H195" s="60">
        <f>(30*BC!$B$47/E195)</f>
        <v>0</v>
      </c>
      <c r="I195" s="701">
        <f t="shared" si="28"/>
        <v>0</v>
      </c>
      <c r="J195" s="701">
        <f t="shared" si="29"/>
        <v>0</v>
      </c>
      <c r="K195" s="216">
        <f t="shared" si="30"/>
        <v>0</v>
      </c>
      <c r="L195" s="367">
        <v>191</v>
      </c>
      <c r="M195" s="148">
        <f t="shared" si="31"/>
        <v>0</v>
      </c>
      <c r="N195" s="57">
        <f t="shared" si="32"/>
        <v>0</v>
      </c>
      <c r="O195" s="57">
        <f t="shared" si="33"/>
        <v>0</v>
      </c>
    </row>
    <row r="196" spans="2:15" ht="15.75" customHeight="1" x14ac:dyDescent="0.35">
      <c r="B196" s="17">
        <v>7957211190</v>
      </c>
      <c r="C196" s="609" t="s">
        <v>586</v>
      </c>
      <c r="D196" s="42">
        <v>2</v>
      </c>
      <c r="E196" s="1">
        <v>28</v>
      </c>
      <c r="F196" s="1"/>
      <c r="G196" s="1">
        <f>(F38/(0.00001*300)/3000)</f>
        <v>0</v>
      </c>
      <c r="H196" s="60">
        <f>(30*BC!$B$47/E196)</f>
        <v>0</v>
      </c>
      <c r="I196" s="701">
        <f t="shared" si="28"/>
        <v>0</v>
      </c>
      <c r="J196" s="701">
        <f t="shared" si="29"/>
        <v>0</v>
      </c>
      <c r="K196" s="216">
        <f t="shared" si="30"/>
        <v>0</v>
      </c>
      <c r="L196" s="367">
        <v>391</v>
      </c>
      <c r="M196" s="148">
        <f t="shared" si="31"/>
        <v>0</v>
      </c>
      <c r="N196" s="57">
        <f t="shared" si="32"/>
        <v>0</v>
      </c>
      <c r="O196" s="57">
        <f t="shared" si="33"/>
        <v>0</v>
      </c>
    </row>
    <row r="197" spans="2:15" ht="15.75" customHeight="1" x14ac:dyDescent="0.35">
      <c r="B197" s="17">
        <v>5950953190</v>
      </c>
      <c r="C197" s="611" t="s">
        <v>1142</v>
      </c>
      <c r="D197" s="42">
        <v>2</v>
      </c>
      <c r="E197" s="1">
        <v>28</v>
      </c>
      <c r="F197" s="1"/>
      <c r="G197" s="1">
        <f>(F50/(0.00004*300)/3000)</f>
        <v>0</v>
      </c>
      <c r="H197" s="60">
        <f>(30*BC!$B$47/E197)</f>
        <v>0</v>
      </c>
      <c r="I197" s="701">
        <f t="shared" si="28"/>
        <v>0</v>
      </c>
      <c r="J197" s="701">
        <f t="shared" si="29"/>
        <v>0</v>
      </c>
      <c r="K197" s="216">
        <f t="shared" si="30"/>
        <v>0</v>
      </c>
      <c r="L197" s="367">
        <v>237</v>
      </c>
      <c r="M197" s="148">
        <f t="shared" si="31"/>
        <v>0</v>
      </c>
      <c r="N197" s="57">
        <f t="shared" si="32"/>
        <v>0</v>
      </c>
      <c r="O197" s="57">
        <f t="shared" si="33"/>
        <v>0</v>
      </c>
    </row>
    <row r="198" spans="2:15" ht="15.75" customHeight="1" x14ac:dyDescent="0.35">
      <c r="B198" s="17">
        <v>8333645190</v>
      </c>
      <c r="C198" s="613" t="s">
        <v>1051</v>
      </c>
      <c r="D198" s="42">
        <v>2</v>
      </c>
      <c r="E198" s="1">
        <v>28</v>
      </c>
      <c r="F198" s="1"/>
      <c r="G198" s="1">
        <f>(F51/(0.00001*300)/3000)</f>
        <v>0</v>
      </c>
      <c r="H198" s="60">
        <f>(30*BC!$B$47/E198)</f>
        <v>0</v>
      </c>
      <c r="I198" s="701">
        <f t="shared" si="28"/>
        <v>0</v>
      </c>
      <c r="J198" s="701">
        <f t="shared" si="29"/>
        <v>0</v>
      </c>
      <c r="K198" s="216">
        <f t="shared" si="30"/>
        <v>0</v>
      </c>
      <c r="L198" s="367">
        <v>327</v>
      </c>
      <c r="M198" s="148">
        <f t="shared" si="31"/>
        <v>0</v>
      </c>
      <c r="N198" s="57">
        <f t="shared" si="32"/>
        <v>0</v>
      </c>
      <c r="O198" s="57">
        <f t="shared" si="33"/>
        <v>0</v>
      </c>
    </row>
    <row r="199" spans="2:15" ht="15.75" customHeight="1" x14ac:dyDescent="0.35">
      <c r="B199" s="17">
        <v>6505988190</v>
      </c>
      <c r="C199" s="616" t="s">
        <v>614</v>
      </c>
      <c r="D199" s="42">
        <v>2</v>
      </c>
      <c r="E199" s="1">
        <v>28</v>
      </c>
      <c r="F199" s="1"/>
      <c r="G199" s="1">
        <f>(F52/(0.00001*300)/3000)</f>
        <v>0</v>
      </c>
      <c r="H199" s="60">
        <f>(30*BC!$B$47/E199)</f>
        <v>0</v>
      </c>
      <c r="I199" s="701">
        <f t="shared" si="28"/>
        <v>0</v>
      </c>
      <c r="J199" s="701">
        <f t="shared" si="29"/>
        <v>0</v>
      </c>
      <c r="K199" s="216">
        <f t="shared" si="30"/>
        <v>0</v>
      </c>
      <c r="L199" s="367">
        <v>141</v>
      </c>
      <c r="M199" s="148">
        <f t="shared" si="31"/>
        <v>0</v>
      </c>
      <c r="N199" s="57">
        <f t="shared" si="32"/>
        <v>0</v>
      </c>
      <c r="O199" s="57">
        <f t="shared" si="33"/>
        <v>0</v>
      </c>
    </row>
    <row r="200" spans="2:15" ht="15.75" customHeight="1" x14ac:dyDescent="0.35">
      <c r="B200" s="17">
        <v>7360070190</v>
      </c>
      <c r="C200" s="619" t="s">
        <v>1143</v>
      </c>
      <c r="D200" s="42">
        <v>2</v>
      </c>
      <c r="E200" s="1">
        <v>28</v>
      </c>
      <c r="F200" s="1"/>
      <c r="G200" s="1">
        <f>(F53/(0.00001*300)/3000)</f>
        <v>0</v>
      </c>
      <c r="H200" s="60">
        <f>(30*BC!$B$47/E200)</f>
        <v>0</v>
      </c>
      <c r="I200" s="701">
        <f t="shared" si="28"/>
        <v>0</v>
      </c>
      <c r="J200" s="701">
        <f t="shared" si="29"/>
        <v>0</v>
      </c>
      <c r="K200" s="216">
        <f t="shared" si="30"/>
        <v>0</v>
      </c>
      <c r="L200" s="367">
        <v>278</v>
      </c>
      <c r="M200" s="148">
        <f t="shared" si="31"/>
        <v>0</v>
      </c>
      <c r="N200" s="57">
        <f t="shared" si="32"/>
        <v>0</v>
      </c>
      <c r="O200" s="57">
        <f t="shared" si="33"/>
        <v>0</v>
      </c>
    </row>
    <row r="201" spans="2:15" ht="15.75" customHeight="1" x14ac:dyDescent="0.35">
      <c r="B201" s="25">
        <v>5618860190</v>
      </c>
      <c r="C201" s="625" t="s">
        <v>626</v>
      </c>
      <c r="D201" s="42">
        <v>2</v>
      </c>
      <c r="E201" s="1">
        <v>31</v>
      </c>
      <c r="F201" s="1"/>
      <c r="G201" s="1">
        <f>(A34/(0.00004*300)/3000)</f>
        <v>0</v>
      </c>
      <c r="H201" s="60">
        <f>(30*BC!$B$47/E201)</f>
        <v>0</v>
      </c>
      <c r="I201" s="701">
        <f t="shared" si="28"/>
        <v>0</v>
      </c>
      <c r="J201" s="701">
        <f t="shared" si="29"/>
        <v>0</v>
      </c>
      <c r="K201" s="216">
        <f t="shared" si="30"/>
        <v>0</v>
      </c>
      <c r="L201" s="367">
        <v>355</v>
      </c>
      <c r="M201" s="148">
        <f t="shared" si="31"/>
        <v>0</v>
      </c>
      <c r="N201" s="57">
        <f t="shared" si="32"/>
        <v>0</v>
      </c>
      <c r="O201" s="57">
        <f t="shared" si="33"/>
        <v>0</v>
      </c>
    </row>
    <row r="202" spans="2:15" ht="15.75" customHeight="1" x14ac:dyDescent="0.35">
      <c r="B202" s="17">
        <v>5031664190</v>
      </c>
      <c r="C202" s="630" t="s">
        <v>1144</v>
      </c>
      <c r="D202" s="42">
        <v>2</v>
      </c>
      <c r="E202" s="1">
        <v>28</v>
      </c>
      <c r="F202" s="1"/>
      <c r="G202" s="1">
        <f>(F73/(0.00006*300)/3000)</f>
        <v>0</v>
      </c>
      <c r="H202" s="60">
        <f>(30*BC!$B$47/E202)</f>
        <v>0</v>
      </c>
      <c r="I202" s="701">
        <f t="shared" si="28"/>
        <v>0</v>
      </c>
      <c r="J202" s="701">
        <f t="shared" si="29"/>
        <v>0</v>
      </c>
      <c r="K202" s="216">
        <f t="shared" si="30"/>
        <v>0</v>
      </c>
      <c r="L202" s="367">
        <v>207</v>
      </c>
      <c r="M202" s="148">
        <f t="shared" si="31"/>
        <v>0</v>
      </c>
      <c r="N202" s="57">
        <f t="shared" si="32"/>
        <v>0</v>
      </c>
      <c r="O202" s="57">
        <f t="shared" si="33"/>
        <v>0</v>
      </c>
    </row>
    <row r="203" spans="2:15" ht="15.75" customHeight="1" x14ac:dyDescent="0.35">
      <c r="B203" s="17">
        <v>9038124190</v>
      </c>
      <c r="C203" s="632" t="s">
        <v>1145</v>
      </c>
      <c r="D203" s="42">
        <v>3</v>
      </c>
      <c r="E203" s="1">
        <v>31</v>
      </c>
      <c r="F203" s="1"/>
      <c r="G203" s="1">
        <f>(F75/(0.00005*300)/3000)</f>
        <v>0</v>
      </c>
      <c r="H203" s="60">
        <f>(30*BC!$B$47/E203)</f>
        <v>0</v>
      </c>
      <c r="I203" s="701">
        <f t="shared" si="28"/>
        <v>0</v>
      </c>
      <c r="J203" s="701">
        <f t="shared" si="29"/>
        <v>0</v>
      </c>
      <c r="K203" s="216">
        <f t="shared" si="30"/>
        <v>0</v>
      </c>
      <c r="L203" s="367">
        <v>97</v>
      </c>
      <c r="M203" s="148">
        <f t="shared" si="31"/>
        <v>0</v>
      </c>
      <c r="N203" s="57">
        <f t="shared" si="32"/>
        <v>0</v>
      </c>
      <c r="O203" s="57">
        <f t="shared" si="33"/>
        <v>0</v>
      </c>
    </row>
    <row r="204" spans="2:15" ht="15.75" customHeight="1" x14ac:dyDescent="0.35">
      <c r="B204" s="17">
        <v>7476108190</v>
      </c>
      <c r="C204" s="615" t="s">
        <v>603</v>
      </c>
      <c r="D204" s="42">
        <v>2</v>
      </c>
      <c r="E204" s="1">
        <v>31</v>
      </c>
      <c r="F204" s="1"/>
      <c r="G204" s="1">
        <f>(A24/(0.00001*300)/3000)</f>
        <v>0</v>
      </c>
      <c r="H204" s="60">
        <f>(30*BC!$B$47/E204)</f>
        <v>0</v>
      </c>
      <c r="I204" s="701">
        <f t="shared" si="28"/>
        <v>0</v>
      </c>
      <c r="J204" s="701">
        <f t="shared" si="29"/>
        <v>0</v>
      </c>
      <c r="K204" s="216">
        <f t="shared" si="30"/>
        <v>0</v>
      </c>
      <c r="L204" s="367">
        <v>472</v>
      </c>
      <c r="M204" s="148">
        <f t="shared" si="31"/>
        <v>0</v>
      </c>
      <c r="N204" s="57">
        <f t="shared" si="32"/>
        <v>0</v>
      </c>
      <c r="O204" s="57">
        <f t="shared" si="33"/>
        <v>0</v>
      </c>
    </row>
    <row r="205" spans="2:15" ht="15.75" customHeight="1" x14ac:dyDescent="0.35">
      <c r="B205" s="25">
        <v>6924107190</v>
      </c>
      <c r="C205" s="633" t="s">
        <v>608</v>
      </c>
      <c r="D205" s="42">
        <v>2</v>
      </c>
      <c r="E205" s="1">
        <v>84</v>
      </c>
      <c r="F205" s="1"/>
      <c r="G205" s="1">
        <f t="shared" ref="G205:G215" si="34">(F78/(0.00001*300)/3000)</f>
        <v>0</v>
      </c>
      <c r="H205" s="60">
        <f>(30*BC!$B$47/E205)</f>
        <v>0</v>
      </c>
      <c r="I205" s="701">
        <f t="shared" si="28"/>
        <v>0</v>
      </c>
      <c r="J205" s="701">
        <f t="shared" si="29"/>
        <v>0</v>
      </c>
      <c r="K205" s="216">
        <f t="shared" si="30"/>
        <v>0</v>
      </c>
      <c r="L205" s="367">
        <v>583</v>
      </c>
      <c r="M205" s="148">
        <f t="shared" si="31"/>
        <v>0</v>
      </c>
      <c r="N205" s="57">
        <f t="shared" si="32"/>
        <v>0</v>
      </c>
      <c r="O205" s="57">
        <f t="shared" si="33"/>
        <v>0</v>
      </c>
    </row>
    <row r="206" spans="2:15" ht="15.75" customHeight="1" x14ac:dyDescent="0.35">
      <c r="B206" s="25">
        <v>8335923190</v>
      </c>
      <c r="C206" s="635" t="s">
        <v>582</v>
      </c>
      <c r="D206" s="42">
        <v>5</v>
      </c>
      <c r="E206" s="1">
        <v>56</v>
      </c>
      <c r="F206" s="1"/>
      <c r="G206" s="1">
        <f t="shared" si="34"/>
        <v>0</v>
      </c>
      <c r="H206" s="60">
        <f>(30*BC!$B$47/E206)</f>
        <v>0</v>
      </c>
      <c r="I206" s="701">
        <f t="shared" si="28"/>
        <v>0</v>
      </c>
      <c r="J206" s="701">
        <f t="shared" si="29"/>
        <v>0</v>
      </c>
      <c r="K206" s="216">
        <f t="shared" si="30"/>
        <v>0</v>
      </c>
      <c r="L206" s="367">
        <v>246</v>
      </c>
      <c r="M206" s="148">
        <f t="shared" si="31"/>
        <v>0</v>
      </c>
      <c r="N206" s="57">
        <f t="shared" si="32"/>
        <v>0</v>
      </c>
      <c r="O206" s="57">
        <f t="shared" si="33"/>
        <v>0</v>
      </c>
    </row>
    <row r="207" spans="2:15" ht="15.75" customHeight="1" x14ac:dyDescent="0.35">
      <c r="B207" s="25">
        <v>8086672190</v>
      </c>
      <c r="C207" s="637" t="s">
        <v>1146</v>
      </c>
      <c r="D207" s="42">
        <v>8</v>
      </c>
      <c r="E207" s="1">
        <v>56</v>
      </c>
      <c r="F207" s="1"/>
      <c r="G207" s="1">
        <f t="shared" si="34"/>
        <v>0</v>
      </c>
      <c r="H207" s="60">
        <f>(30*BC!$B$47/E207)</f>
        <v>0</v>
      </c>
      <c r="I207" s="701">
        <f t="shared" si="28"/>
        <v>0</v>
      </c>
      <c r="J207" s="701">
        <f t="shared" si="29"/>
        <v>0</v>
      </c>
      <c r="K207" s="216">
        <f t="shared" si="30"/>
        <v>0</v>
      </c>
      <c r="L207" s="367">
        <v>142</v>
      </c>
      <c r="M207" s="148">
        <f t="shared" si="31"/>
        <v>0</v>
      </c>
      <c r="N207" s="57">
        <f t="shared" si="32"/>
        <v>0</v>
      </c>
      <c r="O207" s="57">
        <f t="shared" si="33"/>
        <v>0</v>
      </c>
    </row>
    <row r="208" spans="2:15" ht="15.75" customHeight="1" x14ac:dyDescent="0.35">
      <c r="B208" s="25">
        <v>11876368122</v>
      </c>
      <c r="C208" s="639" t="s">
        <v>588</v>
      </c>
      <c r="D208" s="42">
        <v>8</v>
      </c>
      <c r="E208" s="1">
        <v>56</v>
      </c>
      <c r="F208" s="1"/>
      <c r="G208" s="1">
        <f t="shared" si="34"/>
        <v>0</v>
      </c>
      <c r="H208" s="60">
        <f>(30*BC!$B$47/E208)</f>
        <v>0</v>
      </c>
      <c r="I208" s="701">
        <f t="shared" si="28"/>
        <v>0</v>
      </c>
      <c r="J208" s="701">
        <f t="shared" si="29"/>
        <v>0</v>
      </c>
      <c r="K208" s="216">
        <f t="shared" si="30"/>
        <v>0</v>
      </c>
      <c r="L208" s="367">
        <v>424</v>
      </c>
      <c r="M208" s="148">
        <f t="shared" si="31"/>
        <v>0</v>
      </c>
      <c r="N208" s="57">
        <f t="shared" si="32"/>
        <v>0</v>
      </c>
      <c r="O208" s="57">
        <f t="shared" si="33"/>
        <v>0</v>
      </c>
    </row>
    <row r="209" spans="2:15" ht="15.75" customHeight="1" x14ac:dyDescent="0.35">
      <c r="B209" s="25">
        <v>4687876190</v>
      </c>
      <c r="C209" s="641" t="s">
        <v>1147</v>
      </c>
      <c r="D209" s="42">
        <v>8</v>
      </c>
      <c r="E209" s="1">
        <v>56</v>
      </c>
      <c r="F209" s="1"/>
      <c r="G209" s="1">
        <f t="shared" si="34"/>
        <v>0</v>
      </c>
      <c r="H209" s="60">
        <f>(30*BC!$B$47/E209)</f>
        <v>0</v>
      </c>
      <c r="I209" s="701">
        <f t="shared" si="28"/>
        <v>0</v>
      </c>
      <c r="J209" s="701">
        <f t="shared" si="29"/>
        <v>0</v>
      </c>
      <c r="K209" s="216">
        <f t="shared" si="30"/>
        <v>0</v>
      </c>
      <c r="L209" s="367">
        <v>212</v>
      </c>
      <c r="M209" s="148">
        <f t="shared" si="31"/>
        <v>0</v>
      </c>
      <c r="N209" s="57">
        <f t="shared" si="32"/>
        <v>0</v>
      </c>
      <c r="O209" s="57">
        <f t="shared" si="33"/>
        <v>0</v>
      </c>
    </row>
    <row r="210" spans="2:15" ht="15.75" customHeight="1" x14ac:dyDescent="0.35">
      <c r="B210" s="25">
        <v>11876317122</v>
      </c>
      <c r="C210" s="643" t="s">
        <v>593</v>
      </c>
      <c r="D210" s="42">
        <v>8</v>
      </c>
      <c r="E210" s="1">
        <v>56</v>
      </c>
      <c r="F210" s="1"/>
      <c r="G210" s="1">
        <f t="shared" si="34"/>
        <v>0</v>
      </c>
      <c r="H210" s="60">
        <f>(30*BC!$B$47/E210)</f>
        <v>0</v>
      </c>
      <c r="I210" s="701">
        <f t="shared" si="28"/>
        <v>0</v>
      </c>
      <c r="J210" s="701">
        <f t="shared" si="29"/>
        <v>0</v>
      </c>
      <c r="K210" s="216">
        <f t="shared" si="30"/>
        <v>0</v>
      </c>
      <c r="L210" s="367">
        <v>205</v>
      </c>
      <c r="M210" s="148">
        <f t="shared" si="31"/>
        <v>0</v>
      </c>
      <c r="N210" s="57">
        <f t="shared" si="32"/>
        <v>0</v>
      </c>
      <c r="O210" s="57">
        <f t="shared" si="33"/>
        <v>0</v>
      </c>
    </row>
    <row r="211" spans="2:15" ht="15.75" customHeight="1" x14ac:dyDescent="0.35">
      <c r="B211" s="25">
        <v>11876376122</v>
      </c>
      <c r="C211" s="645" t="s">
        <v>604</v>
      </c>
      <c r="D211" s="42">
        <v>8</v>
      </c>
      <c r="E211" s="1">
        <v>56</v>
      </c>
      <c r="F211" s="1"/>
      <c r="G211" s="1">
        <f t="shared" si="34"/>
        <v>0</v>
      </c>
      <c r="H211" s="60">
        <f>(30*BC!$B$47/E211)</f>
        <v>0</v>
      </c>
      <c r="I211" s="701">
        <f t="shared" si="28"/>
        <v>0</v>
      </c>
      <c r="J211" s="701">
        <f t="shared" si="29"/>
        <v>0</v>
      </c>
      <c r="K211" s="216">
        <f t="shared" si="30"/>
        <v>0</v>
      </c>
      <c r="L211" s="367">
        <v>208</v>
      </c>
      <c r="M211" s="148">
        <f t="shared" si="31"/>
        <v>0</v>
      </c>
      <c r="N211" s="57">
        <f t="shared" si="32"/>
        <v>0</v>
      </c>
      <c r="O211" s="57">
        <f t="shared" si="33"/>
        <v>0</v>
      </c>
    </row>
    <row r="212" spans="2:15" ht="15.75" customHeight="1" x14ac:dyDescent="0.35">
      <c r="B212" s="25">
        <v>11876384122</v>
      </c>
      <c r="C212" s="648" t="s">
        <v>592</v>
      </c>
      <c r="D212" s="42">
        <v>8</v>
      </c>
      <c r="E212" s="1">
        <v>56</v>
      </c>
      <c r="F212" s="1"/>
      <c r="G212" s="1">
        <f t="shared" si="34"/>
        <v>0</v>
      </c>
      <c r="H212" s="60">
        <f>(30*BC!$B$47/E212)</f>
        <v>0</v>
      </c>
      <c r="I212" s="701">
        <f t="shared" si="28"/>
        <v>0</v>
      </c>
      <c r="J212" s="701">
        <f t="shared" si="29"/>
        <v>0</v>
      </c>
      <c r="K212" s="216">
        <f t="shared" si="30"/>
        <v>0</v>
      </c>
      <c r="L212" s="367">
        <v>217</v>
      </c>
      <c r="M212" s="148">
        <f t="shared" si="31"/>
        <v>0</v>
      </c>
      <c r="N212" s="57">
        <f t="shared" si="32"/>
        <v>0</v>
      </c>
      <c r="O212" s="57">
        <f t="shared" si="33"/>
        <v>0</v>
      </c>
    </row>
    <row r="213" spans="2:15" ht="15.75" customHeight="1" x14ac:dyDescent="0.35">
      <c r="B213" s="25">
        <v>4927931190</v>
      </c>
      <c r="C213" s="650" t="s">
        <v>1148</v>
      </c>
      <c r="D213" s="42">
        <v>8</v>
      </c>
      <c r="E213" s="1">
        <v>56</v>
      </c>
      <c r="F213" s="1"/>
      <c r="G213" s="1">
        <f t="shared" si="34"/>
        <v>0</v>
      </c>
      <c r="H213" s="60">
        <f>(30*BC!$B$47/E213)</f>
        <v>0</v>
      </c>
      <c r="I213" s="701">
        <f t="shared" si="28"/>
        <v>0</v>
      </c>
      <c r="J213" s="701">
        <f t="shared" si="29"/>
        <v>0</v>
      </c>
      <c r="K213" s="216">
        <f t="shared" si="30"/>
        <v>0</v>
      </c>
      <c r="L213" s="367">
        <v>73</v>
      </c>
      <c r="M213" s="148">
        <f t="shared" si="31"/>
        <v>0</v>
      </c>
      <c r="N213" s="57">
        <f t="shared" si="32"/>
        <v>0</v>
      </c>
      <c r="O213" s="57">
        <f t="shared" si="33"/>
        <v>0</v>
      </c>
    </row>
    <row r="214" spans="2:15" ht="15.75" customHeight="1" x14ac:dyDescent="0.35">
      <c r="B214" s="25">
        <v>11876333122</v>
      </c>
      <c r="C214" s="652" t="s">
        <v>590</v>
      </c>
      <c r="D214" s="42">
        <v>8</v>
      </c>
      <c r="E214" s="1">
        <v>56</v>
      </c>
      <c r="F214" s="1"/>
      <c r="G214" s="1">
        <f t="shared" si="34"/>
        <v>0</v>
      </c>
      <c r="H214" s="60">
        <f>(30*BC!$B$47/E214)</f>
        <v>0</v>
      </c>
      <c r="I214" s="701">
        <f t="shared" si="28"/>
        <v>0</v>
      </c>
      <c r="J214" s="701">
        <f t="shared" si="29"/>
        <v>0</v>
      </c>
      <c r="K214" s="216">
        <f t="shared" si="30"/>
        <v>0</v>
      </c>
      <c r="L214" s="367">
        <v>379</v>
      </c>
      <c r="M214" s="148">
        <f t="shared" si="31"/>
        <v>0</v>
      </c>
      <c r="N214" s="57">
        <f t="shared" si="32"/>
        <v>0</v>
      </c>
      <c r="O214" s="57">
        <f t="shared" si="33"/>
        <v>0</v>
      </c>
    </row>
    <row r="215" spans="2:15" ht="15.75" customHeight="1" x14ac:dyDescent="0.35">
      <c r="B215" s="25">
        <v>3290379190</v>
      </c>
      <c r="C215" s="654" t="s">
        <v>594</v>
      </c>
      <c r="D215" s="42">
        <v>8</v>
      </c>
      <c r="E215" s="1">
        <v>56</v>
      </c>
      <c r="F215" s="1"/>
      <c r="G215" s="1">
        <f t="shared" si="34"/>
        <v>0</v>
      </c>
      <c r="H215" s="60">
        <f>(30*BC!$B$47/E215)</f>
        <v>0</v>
      </c>
      <c r="I215" s="701">
        <f t="shared" si="28"/>
        <v>0</v>
      </c>
      <c r="J215" s="701">
        <f t="shared" si="29"/>
        <v>0</v>
      </c>
      <c r="K215" s="216">
        <f t="shared" si="30"/>
        <v>0</v>
      </c>
      <c r="L215" s="367">
        <v>149</v>
      </c>
      <c r="M215" s="148">
        <f t="shared" si="31"/>
        <v>0</v>
      </c>
      <c r="N215" s="57">
        <f t="shared" si="32"/>
        <v>0</v>
      </c>
      <c r="O215" s="57">
        <f t="shared" si="33"/>
        <v>0</v>
      </c>
    </row>
    <row r="216" spans="2:15" ht="15.75" customHeight="1" x14ac:dyDescent="0.35">
      <c r="B216" s="470">
        <v>4618807190</v>
      </c>
      <c r="C216" s="655" t="s">
        <v>615</v>
      </c>
      <c r="D216" s="42">
        <v>8</v>
      </c>
      <c r="E216" s="1">
        <v>56</v>
      </c>
      <c r="F216" s="1"/>
      <c r="G216" s="1">
        <f t="shared" ref="G216:G223" si="35">(F89/(0.00006*300)/3000)</f>
        <v>0</v>
      </c>
      <c r="H216" s="60">
        <f>(30*BC!$B$47/E216)</f>
        <v>0</v>
      </c>
      <c r="I216" s="701">
        <f t="shared" si="28"/>
        <v>0</v>
      </c>
      <c r="J216" s="701">
        <f t="shared" si="29"/>
        <v>0</v>
      </c>
      <c r="K216" s="216">
        <f t="shared" si="30"/>
        <v>0</v>
      </c>
      <c r="L216" s="367">
        <v>225</v>
      </c>
      <c r="M216" s="148">
        <f t="shared" si="31"/>
        <v>0</v>
      </c>
      <c r="N216" s="57">
        <f t="shared" si="32"/>
        <v>0</v>
      </c>
      <c r="O216" s="57">
        <f t="shared" si="33"/>
        <v>0</v>
      </c>
    </row>
    <row r="217" spans="2:15" ht="15.75" customHeight="1" x14ac:dyDescent="0.35">
      <c r="B217" s="470">
        <v>9787518190</v>
      </c>
      <c r="C217" s="656" t="s">
        <v>616</v>
      </c>
      <c r="D217" s="42">
        <v>4</v>
      </c>
      <c r="E217" s="1">
        <v>56</v>
      </c>
      <c r="F217" s="1"/>
      <c r="G217" s="1">
        <f t="shared" si="35"/>
        <v>0</v>
      </c>
      <c r="H217" s="60">
        <f>(30*BC!$B$47/E217)</f>
        <v>0</v>
      </c>
      <c r="I217" s="701">
        <f t="shared" si="28"/>
        <v>0</v>
      </c>
      <c r="J217" s="701">
        <f t="shared" si="29"/>
        <v>0</v>
      </c>
      <c r="K217" s="216">
        <f t="shared" si="30"/>
        <v>0</v>
      </c>
      <c r="L217" s="367">
        <v>334</v>
      </c>
      <c r="M217" s="148">
        <f t="shared" si="31"/>
        <v>0</v>
      </c>
      <c r="N217" s="57">
        <f t="shared" si="32"/>
        <v>0</v>
      </c>
      <c r="O217" s="57">
        <f t="shared" si="33"/>
        <v>0</v>
      </c>
    </row>
    <row r="218" spans="2:15" ht="15.75" customHeight="1" x14ac:dyDescent="0.35">
      <c r="B218" s="470">
        <v>4618823190</v>
      </c>
      <c r="C218" s="657" t="s">
        <v>1149</v>
      </c>
      <c r="D218" s="42">
        <v>8</v>
      </c>
      <c r="E218" s="1">
        <v>56</v>
      </c>
      <c r="F218" s="1"/>
      <c r="G218" s="1">
        <f t="shared" si="35"/>
        <v>0</v>
      </c>
      <c r="H218" s="60">
        <f>(30*BC!$B$47/E218)</f>
        <v>0</v>
      </c>
      <c r="I218" s="701">
        <f t="shared" si="28"/>
        <v>0</v>
      </c>
      <c r="J218" s="701">
        <f t="shared" si="29"/>
        <v>0</v>
      </c>
      <c r="K218" s="216">
        <f t="shared" si="30"/>
        <v>0</v>
      </c>
      <c r="L218" s="367">
        <v>248</v>
      </c>
      <c r="M218" s="148">
        <f t="shared" si="31"/>
        <v>0</v>
      </c>
      <c r="N218" s="57">
        <f t="shared" si="32"/>
        <v>0</v>
      </c>
      <c r="O218" s="57">
        <f t="shared" si="33"/>
        <v>0</v>
      </c>
    </row>
    <row r="219" spans="2:15" ht="15.75" customHeight="1" x14ac:dyDescent="0.35">
      <c r="B219" s="470">
        <v>5802580190</v>
      </c>
      <c r="C219" s="658" t="s">
        <v>621</v>
      </c>
      <c r="D219" s="42">
        <v>3</v>
      </c>
      <c r="E219" s="1">
        <v>56</v>
      </c>
      <c r="F219" s="1"/>
      <c r="G219" s="1">
        <f t="shared" si="35"/>
        <v>0</v>
      </c>
      <c r="H219" s="60">
        <f>(30*BC!$B$47/E219)</f>
        <v>0</v>
      </c>
      <c r="I219" s="701">
        <f t="shared" si="28"/>
        <v>0</v>
      </c>
      <c r="J219" s="701">
        <f t="shared" si="29"/>
        <v>0</v>
      </c>
      <c r="K219" s="216">
        <f t="shared" si="30"/>
        <v>0</v>
      </c>
      <c r="L219" s="367">
        <v>1238</v>
      </c>
      <c r="M219" s="148">
        <f t="shared" si="31"/>
        <v>0</v>
      </c>
      <c r="N219" s="57">
        <f t="shared" si="32"/>
        <v>0</v>
      </c>
      <c r="O219" s="57">
        <f t="shared" si="33"/>
        <v>0</v>
      </c>
    </row>
    <row r="220" spans="2:15" ht="15.75" customHeight="1" x14ac:dyDescent="0.35">
      <c r="B220" s="470">
        <v>4618866190</v>
      </c>
      <c r="C220" s="660" t="s">
        <v>622</v>
      </c>
      <c r="D220" s="42">
        <v>8</v>
      </c>
      <c r="E220" s="1">
        <v>56</v>
      </c>
      <c r="F220" s="1"/>
      <c r="G220" s="1">
        <f t="shared" si="35"/>
        <v>0</v>
      </c>
      <c r="H220" s="60">
        <f>(30*BC!$B$47/E220)</f>
        <v>0</v>
      </c>
      <c r="I220" s="701">
        <f t="shared" si="28"/>
        <v>0</v>
      </c>
      <c r="J220" s="701">
        <f t="shared" si="29"/>
        <v>0</v>
      </c>
      <c r="K220" s="216">
        <f t="shared" si="30"/>
        <v>0</v>
      </c>
      <c r="L220" s="367">
        <v>268</v>
      </c>
      <c r="M220" s="148">
        <f t="shared" si="31"/>
        <v>0</v>
      </c>
      <c r="N220" s="57">
        <f t="shared" si="32"/>
        <v>0</v>
      </c>
      <c r="O220" s="57">
        <f t="shared" si="33"/>
        <v>0</v>
      </c>
    </row>
    <row r="221" spans="2:15" ht="15.75" customHeight="1" x14ac:dyDescent="0.35">
      <c r="B221" s="470">
        <v>4784600190</v>
      </c>
      <c r="C221" s="661" t="s">
        <v>598</v>
      </c>
      <c r="D221" s="42">
        <v>8</v>
      </c>
      <c r="E221" s="1">
        <v>56</v>
      </c>
      <c r="F221" s="1"/>
      <c r="G221" s="1">
        <f t="shared" si="35"/>
        <v>0</v>
      </c>
      <c r="H221" s="60">
        <f>(30*BC!$B$47/E221)</f>
        <v>0</v>
      </c>
      <c r="I221" s="701">
        <f t="shared" si="28"/>
        <v>0</v>
      </c>
      <c r="J221" s="701">
        <f t="shared" si="29"/>
        <v>0</v>
      </c>
      <c r="K221" s="216">
        <f t="shared" si="30"/>
        <v>0</v>
      </c>
      <c r="L221" s="367">
        <v>222</v>
      </c>
      <c r="M221" s="148">
        <f t="shared" si="31"/>
        <v>0</v>
      </c>
      <c r="N221" s="57">
        <f t="shared" si="32"/>
        <v>0</v>
      </c>
      <c r="O221" s="57">
        <f t="shared" si="33"/>
        <v>0</v>
      </c>
    </row>
    <row r="222" spans="2:15" ht="15.75" customHeight="1" x14ac:dyDescent="0.35">
      <c r="B222" s="470">
        <v>5942322190</v>
      </c>
      <c r="C222" s="663" t="s">
        <v>581</v>
      </c>
      <c r="D222" s="42">
        <v>3</v>
      </c>
      <c r="E222" s="1">
        <v>84</v>
      </c>
      <c r="F222" s="1"/>
      <c r="G222" s="1">
        <f t="shared" si="35"/>
        <v>0</v>
      </c>
      <c r="H222" s="60">
        <f>(30*BC!$B$47/E222)</f>
        <v>0</v>
      </c>
      <c r="I222" s="701">
        <f t="shared" si="28"/>
        <v>0</v>
      </c>
      <c r="J222" s="701">
        <f t="shared" si="29"/>
        <v>0</v>
      </c>
      <c r="K222" s="216">
        <f t="shared" si="30"/>
        <v>0</v>
      </c>
      <c r="L222" s="367">
        <v>589</v>
      </c>
      <c r="M222" s="148">
        <f t="shared" si="31"/>
        <v>0</v>
      </c>
      <c r="N222" s="57">
        <f t="shared" si="32"/>
        <v>0</v>
      </c>
      <c r="O222" s="57">
        <f t="shared" si="33"/>
        <v>0</v>
      </c>
    </row>
    <row r="223" spans="2:15" ht="15.75" customHeight="1" x14ac:dyDescent="0.35">
      <c r="B223" s="470">
        <v>4784626190</v>
      </c>
      <c r="C223" s="664" t="s">
        <v>599</v>
      </c>
      <c r="D223" s="42">
        <v>8</v>
      </c>
      <c r="E223" s="1">
        <v>56</v>
      </c>
      <c r="F223" s="1"/>
      <c r="G223" s="1">
        <f t="shared" si="35"/>
        <v>0</v>
      </c>
      <c r="H223" s="60">
        <f>(30*BC!$B$47/E223)</f>
        <v>0</v>
      </c>
      <c r="I223" s="701">
        <f t="shared" si="28"/>
        <v>0</v>
      </c>
      <c r="J223" s="701">
        <f t="shared" si="29"/>
        <v>0</v>
      </c>
      <c r="K223" s="216">
        <f t="shared" si="30"/>
        <v>0</v>
      </c>
      <c r="L223" s="367">
        <v>153</v>
      </c>
      <c r="M223" s="148">
        <f t="shared" si="31"/>
        <v>0</v>
      </c>
      <c r="N223" s="57">
        <f t="shared" si="32"/>
        <v>0</v>
      </c>
      <c r="O223" s="57">
        <f t="shared" si="33"/>
        <v>0</v>
      </c>
    </row>
    <row r="224" spans="2:15" ht="15.75" customHeight="1" x14ac:dyDescent="0.35">
      <c r="B224" s="470">
        <v>5572207190</v>
      </c>
      <c r="C224" s="665" t="s">
        <v>1150</v>
      </c>
      <c r="D224" s="42">
        <v>2</v>
      </c>
      <c r="E224" s="1">
        <v>28</v>
      </c>
      <c r="F224" s="1"/>
      <c r="G224" s="1">
        <f>(A43/(0.00001*300)/3000)</f>
        <v>0</v>
      </c>
      <c r="H224" s="60">
        <f>(30*BC!$B$47/E224)</f>
        <v>0</v>
      </c>
      <c r="I224" s="701">
        <f t="shared" si="28"/>
        <v>0</v>
      </c>
      <c r="J224" s="701">
        <f t="shared" si="29"/>
        <v>0</v>
      </c>
      <c r="K224" s="216">
        <f t="shared" si="30"/>
        <v>0</v>
      </c>
      <c r="L224" s="367">
        <v>420</v>
      </c>
      <c r="M224" s="148">
        <f t="shared" si="31"/>
        <v>0</v>
      </c>
      <c r="N224" s="57">
        <f t="shared" si="32"/>
        <v>0</v>
      </c>
      <c r="O224" s="57">
        <f t="shared" si="33"/>
        <v>0</v>
      </c>
    </row>
    <row r="225" spans="2:15" ht="15.75" customHeight="1" x14ac:dyDescent="0.35">
      <c r="B225" s="470">
        <v>8355428190</v>
      </c>
      <c r="C225" s="666" t="s">
        <v>601</v>
      </c>
      <c r="D225" s="42">
        <v>2</v>
      </c>
      <c r="E225" s="1">
        <v>112</v>
      </c>
      <c r="F225" s="1"/>
      <c r="G225" s="1">
        <f>(A40/(0.00001*300)/3000)</f>
        <v>0</v>
      </c>
      <c r="H225" s="60">
        <f>(30*BC!$B$47/E225)</f>
        <v>0</v>
      </c>
      <c r="I225" s="701">
        <f t="shared" si="28"/>
        <v>0</v>
      </c>
      <c r="J225" s="701">
        <f t="shared" si="29"/>
        <v>0</v>
      </c>
      <c r="K225" s="216">
        <f t="shared" si="30"/>
        <v>0</v>
      </c>
      <c r="L225" s="367">
        <v>973</v>
      </c>
      <c r="M225" s="148">
        <f t="shared" si="31"/>
        <v>0</v>
      </c>
      <c r="N225" s="57">
        <f t="shared" si="32"/>
        <v>0</v>
      </c>
      <c r="O225" s="57">
        <f t="shared" si="33"/>
        <v>0</v>
      </c>
    </row>
    <row r="226" spans="2:15" ht="15.75" customHeight="1" x14ac:dyDescent="0.35">
      <c r="B226" s="470">
        <v>8355436190</v>
      </c>
      <c r="C226" s="667" t="s">
        <v>1151</v>
      </c>
      <c r="D226" s="42">
        <v>4</v>
      </c>
      <c r="E226" s="1">
        <v>112</v>
      </c>
      <c r="F226" s="1"/>
      <c r="G226" s="1">
        <f t="shared" ref="G226:G232" si="36">(F101/(0.00001*300)/3000)</f>
        <v>0</v>
      </c>
      <c r="H226" s="60">
        <f>(30*BC!$B$47/E226)</f>
        <v>0</v>
      </c>
      <c r="I226" s="701">
        <f t="shared" si="28"/>
        <v>0</v>
      </c>
      <c r="J226" s="701">
        <f t="shared" si="29"/>
        <v>0</v>
      </c>
      <c r="K226" s="216">
        <f t="shared" si="30"/>
        <v>0</v>
      </c>
      <c r="L226" s="367">
        <v>234</v>
      </c>
      <c r="M226" s="148">
        <f t="shared" si="31"/>
        <v>0</v>
      </c>
      <c r="N226" s="57">
        <f t="shared" si="32"/>
        <v>0</v>
      </c>
      <c r="O226" s="57">
        <f t="shared" si="33"/>
        <v>0</v>
      </c>
    </row>
    <row r="227" spans="2:15" ht="15.75" customHeight="1" x14ac:dyDescent="0.35">
      <c r="B227" s="470">
        <v>7108133190</v>
      </c>
      <c r="C227" s="668" t="s">
        <v>610</v>
      </c>
      <c r="D227" s="42">
        <v>2</v>
      </c>
      <c r="E227" s="1">
        <v>84</v>
      </c>
      <c r="F227" s="1"/>
      <c r="G227" s="1">
        <f t="shared" si="36"/>
        <v>0</v>
      </c>
      <c r="H227" s="60">
        <f>(30*BC!$B$47/E227)</f>
        <v>0</v>
      </c>
      <c r="I227" s="701">
        <f t="shared" si="28"/>
        <v>0</v>
      </c>
      <c r="J227" s="701">
        <f t="shared" si="29"/>
        <v>0</v>
      </c>
      <c r="K227" s="216">
        <f t="shared" si="30"/>
        <v>0</v>
      </c>
      <c r="L227" s="367">
        <v>184</v>
      </c>
      <c r="M227" s="148">
        <f t="shared" si="31"/>
        <v>0</v>
      </c>
      <c r="N227" s="57">
        <f t="shared" si="32"/>
        <v>0</v>
      </c>
      <c r="O227" s="57">
        <f t="shared" si="33"/>
        <v>0</v>
      </c>
    </row>
    <row r="228" spans="2:15" ht="15.75" customHeight="1" x14ac:dyDescent="0.35">
      <c r="B228" s="470">
        <v>6923364190</v>
      </c>
      <c r="C228" s="669" t="s">
        <v>618</v>
      </c>
      <c r="D228" s="42">
        <v>2</v>
      </c>
      <c r="E228" s="1">
        <v>168</v>
      </c>
      <c r="F228" s="1"/>
      <c r="G228" s="1">
        <f t="shared" si="36"/>
        <v>0</v>
      </c>
      <c r="H228" s="60">
        <f>(30*BC!$B$47/E228)</f>
        <v>0</v>
      </c>
      <c r="I228" s="701">
        <f t="shared" si="28"/>
        <v>0</v>
      </c>
      <c r="J228" s="701">
        <f t="shared" si="29"/>
        <v>0</v>
      </c>
      <c r="K228" s="216">
        <f t="shared" si="30"/>
        <v>0</v>
      </c>
      <c r="L228" s="367">
        <v>101</v>
      </c>
      <c r="M228" s="148">
        <f t="shared" si="31"/>
        <v>0</v>
      </c>
      <c r="N228" s="57">
        <f t="shared" si="32"/>
        <v>0</v>
      </c>
      <c r="O228" s="57">
        <f t="shared" si="33"/>
        <v>0</v>
      </c>
    </row>
    <row r="229" spans="2:15" ht="15.75" customHeight="1" x14ac:dyDescent="0.35">
      <c r="B229" s="470">
        <v>7092571190</v>
      </c>
      <c r="C229" s="670" t="s">
        <v>597</v>
      </c>
      <c r="D229" s="42">
        <v>8</v>
      </c>
      <c r="E229" s="1">
        <v>28</v>
      </c>
      <c r="F229" s="1"/>
      <c r="G229" s="1">
        <f t="shared" si="36"/>
        <v>0</v>
      </c>
      <c r="H229" s="60">
        <f>(30*BC!$B$47/E229)</f>
        <v>0</v>
      </c>
      <c r="I229" s="701">
        <f t="shared" si="28"/>
        <v>0</v>
      </c>
      <c r="J229" s="701">
        <f t="shared" si="29"/>
        <v>0</v>
      </c>
      <c r="K229" s="216">
        <f t="shared" si="30"/>
        <v>0</v>
      </c>
      <c r="L229" s="367">
        <v>284</v>
      </c>
      <c r="M229" s="148">
        <f t="shared" si="31"/>
        <v>0</v>
      </c>
      <c r="N229" s="57">
        <f t="shared" si="32"/>
        <v>0</v>
      </c>
      <c r="O229" s="57">
        <f t="shared" si="33"/>
        <v>0</v>
      </c>
    </row>
    <row r="230" spans="2:15" ht="15.75" customHeight="1" x14ac:dyDescent="0.35">
      <c r="B230" s="470">
        <v>9216928190</v>
      </c>
      <c r="C230" s="671" t="s">
        <v>595</v>
      </c>
      <c r="D230" s="42">
        <v>2</v>
      </c>
      <c r="E230" s="1">
        <v>28</v>
      </c>
      <c r="F230" s="1"/>
      <c r="G230" s="1">
        <f t="shared" si="36"/>
        <v>0</v>
      </c>
      <c r="H230" s="60">
        <f>(30*BC!$B$47/E230)</f>
        <v>0</v>
      </c>
      <c r="I230" s="701">
        <f t="shared" si="28"/>
        <v>0</v>
      </c>
      <c r="J230" s="701">
        <f t="shared" si="29"/>
        <v>0</v>
      </c>
      <c r="K230" s="216">
        <f t="shared" si="30"/>
        <v>0</v>
      </c>
      <c r="L230" s="367">
        <v>69</v>
      </c>
      <c r="M230" s="148">
        <f t="shared" si="31"/>
        <v>0</v>
      </c>
      <c r="N230" s="57">
        <f t="shared" si="32"/>
        <v>0</v>
      </c>
      <c r="O230" s="57">
        <f t="shared" si="33"/>
        <v>0</v>
      </c>
    </row>
    <row r="231" spans="2:15" ht="15.75" customHeight="1" x14ac:dyDescent="0.35">
      <c r="B231" s="470">
        <v>9289313190</v>
      </c>
      <c r="C231" s="672" t="s">
        <v>595</v>
      </c>
      <c r="D231" s="42">
        <v>2</v>
      </c>
      <c r="E231" s="1">
        <v>84</v>
      </c>
      <c r="F231" s="1"/>
      <c r="G231" s="1">
        <f t="shared" si="36"/>
        <v>0</v>
      </c>
      <c r="H231" s="60">
        <f>(30*BC!$B$47/E231)</f>
        <v>0</v>
      </c>
      <c r="I231" s="701">
        <f t="shared" si="28"/>
        <v>0</v>
      </c>
      <c r="J231" s="701">
        <f t="shared" si="29"/>
        <v>0</v>
      </c>
      <c r="K231" s="216">
        <f t="shared" si="30"/>
        <v>0</v>
      </c>
      <c r="L231" s="367">
        <v>184</v>
      </c>
      <c r="M231" s="148">
        <f t="shared" si="31"/>
        <v>0</v>
      </c>
      <c r="N231" s="57">
        <f t="shared" si="32"/>
        <v>0</v>
      </c>
      <c r="O231" s="57">
        <f t="shared" si="33"/>
        <v>0</v>
      </c>
    </row>
    <row r="232" spans="2:15" ht="15.75" customHeight="1" x14ac:dyDescent="0.35">
      <c r="B232" s="470">
        <v>9345302190</v>
      </c>
      <c r="C232" s="674" t="s">
        <v>617</v>
      </c>
      <c r="D232" s="42">
        <v>3</v>
      </c>
      <c r="E232" s="1">
        <v>21</v>
      </c>
      <c r="F232" s="1"/>
      <c r="G232" s="1">
        <f t="shared" si="36"/>
        <v>0</v>
      </c>
      <c r="H232" s="60">
        <f>(30*BC!$B$47/E232)</f>
        <v>0</v>
      </c>
      <c r="I232" s="701">
        <f t="shared" si="28"/>
        <v>0</v>
      </c>
      <c r="J232" s="701">
        <f t="shared" si="29"/>
        <v>0</v>
      </c>
      <c r="K232" s="216">
        <f t="shared" si="30"/>
        <v>0</v>
      </c>
      <c r="L232" s="367">
        <v>287</v>
      </c>
      <c r="M232" s="148">
        <f t="shared" si="31"/>
        <v>0</v>
      </c>
      <c r="N232" s="57">
        <f t="shared" si="32"/>
        <v>0</v>
      </c>
      <c r="O232" s="57">
        <f t="shared" si="33"/>
        <v>0</v>
      </c>
    </row>
    <row r="233" spans="2:15" ht="15.75" customHeight="1" x14ac:dyDescent="0.35">
      <c r="B233" s="470">
        <v>5889081190</v>
      </c>
      <c r="C233" s="675" t="s">
        <v>611</v>
      </c>
      <c r="D233" s="42">
        <v>1</v>
      </c>
      <c r="E233" s="1">
        <v>28</v>
      </c>
      <c r="F233" s="1"/>
      <c r="G233" s="1">
        <f>(A37/(0.00001*300)/3000)</f>
        <v>0</v>
      </c>
      <c r="H233" s="60">
        <f>(30*BC!$B$47/E233)</f>
        <v>0</v>
      </c>
      <c r="I233" s="701">
        <f t="shared" si="28"/>
        <v>0</v>
      </c>
      <c r="J233" s="701">
        <f t="shared" si="29"/>
        <v>0</v>
      </c>
      <c r="K233" s="216">
        <f t="shared" si="30"/>
        <v>0</v>
      </c>
      <c r="L233" s="367">
        <v>656</v>
      </c>
      <c r="M233" s="148">
        <f t="shared" si="31"/>
        <v>0</v>
      </c>
      <c r="N233" s="57">
        <f t="shared" si="32"/>
        <v>0</v>
      </c>
      <c r="O233" s="57">
        <f t="shared" si="33"/>
        <v>0</v>
      </c>
    </row>
    <row r="234" spans="2:15" ht="15.75" customHeight="1" x14ac:dyDescent="0.35">
      <c r="B234" s="470">
        <v>7294131190</v>
      </c>
      <c r="C234" s="678" t="s">
        <v>602</v>
      </c>
      <c r="D234" s="42">
        <v>1</v>
      </c>
      <c r="E234" s="1">
        <v>28</v>
      </c>
      <c r="F234" s="1"/>
      <c r="G234" s="1">
        <f>(F109/(0.00001*300)/3000)</f>
        <v>0</v>
      </c>
      <c r="H234" s="60">
        <f>(30*BC!$B$47/E234)</f>
        <v>0</v>
      </c>
      <c r="I234" s="701">
        <f t="shared" si="28"/>
        <v>0</v>
      </c>
      <c r="J234" s="701">
        <f t="shared" si="29"/>
        <v>0</v>
      </c>
      <c r="K234" s="216">
        <f t="shared" si="30"/>
        <v>0</v>
      </c>
      <c r="L234" s="367">
        <v>331</v>
      </c>
      <c r="M234" s="148">
        <f t="shared" si="31"/>
        <v>0</v>
      </c>
      <c r="N234" s="57">
        <f t="shared" si="32"/>
        <v>0</v>
      </c>
      <c r="O234" s="57">
        <f t="shared" si="33"/>
        <v>0</v>
      </c>
    </row>
    <row r="235" spans="2:15" ht="15.75" customHeight="1" x14ac:dyDescent="0.35">
      <c r="B235" s="587" t="s">
        <v>8</v>
      </c>
      <c r="C235" s="588"/>
      <c r="D235" s="589" t="s">
        <v>1082</v>
      </c>
      <c r="E235" s="698" t="s">
        <v>54</v>
      </c>
      <c r="F235" s="481"/>
      <c r="G235" s="482" t="s">
        <v>53</v>
      </c>
      <c r="H235" s="512" t="s">
        <v>52</v>
      </c>
      <c r="I235" s="512" t="s">
        <v>51</v>
      </c>
      <c r="J235" s="512"/>
      <c r="K235" s="482" t="s">
        <v>50</v>
      </c>
      <c r="L235" s="513" t="s">
        <v>49</v>
      </c>
      <c r="M235" s="482" t="s">
        <v>48</v>
      </c>
      <c r="N235" s="483" t="s">
        <v>318</v>
      </c>
      <c r="O235" s="483" t="s">
        <v>319</v>
      </c>
    </row>
    <row r="236" spans="2:15" ht="15.75" customHeight="1" x14ac:dyDescent="0.35">
      <c r="B236" s="471">
        <v>5694302001</v>
      </c>
      <c r="C236" s="471" t="s">
        <v>1052</v>
      </c>
      <c r="D236" s="1">
        <v>1</v>
      </c>
      <c r="E236" s="1">
        <v>365</v>
      </c>
      <c r="F236" s="1"/>
      <c r="G236" s="1">
        <f>(F112/(0.04*50)/2000)</f>
        <v>0</v>
      </c>
      <c r="H236" s="60">
        <f>(30*BC!$B$47/E236)</f>
        <v>0</v>
      </c>
      <c r="I236" s="701">
        <f t="shared" si="28"/>
        <v>0</v>
      </c>
      <c r="J236" s="701">
        <f t="shared" si="29"/>
        <v>0</v>
      </c>
      <c r="K236" s="216">
        <f t="shared" si="30"/>
        <v>0</v>
      </c>
      <c r="L236" s="367">
        <v>231</v>
      </c>
      <c r="M236" s="148">
        <f t="shared" si="31"/>
        <v>0</v>
      </c>
      <c r="N236" s="57">
        <f t="shared" si="32"/>
        <v>0</v>
      </c>
      <c r="O236" s="57">
        <f t="shared" si="33"/>
        <v>0</v>
      </c>
    </row>
    <row r="237" spans="2:15" ht="15.75" customHeight="1" x14ac:dyDescent="0.35">
      <c r="B237" s="471">
        <v>7299010190</v>
      </c>
      <c r="C237" s="471" t="s">
        <v>1053</v>
      </c>
      <c r="D237" s="42">
        <v>1</v>
      </c>
      <c r="E237" s="1">
        <v>112</v>
      </c>
      <c r="F237" s="1"/>
      <c r="G237" s="1">
        <f>(F112/(0.02*6000)/100)</f>
        <v>0</v>
      </c>
      <c r="H237" s="60">
        <f>(30*BC!$B$47/E237)</f>
        <v>0</v>
      </c>
      <c r="I237" s="701">
        <f t="shared" si="28"/>
        <v>0</v>
      </c>
      <c r="J237" s="701">
        <f t="shared" si="29"/>
        <v>0</v>
      </c>
      <c r="K237" s="216">
        <f t="shared" si="30"/>
        <v>0</v>
      </c>
      <c r="L237" s="367">
        <v>18</v>
      </c>
      <c r="M237" s="148">
        <f t="shared" si="31"/>
        <v>0</v>
      </c>
      <c r="N237" s="57">
        <f t="shared" si="32"/>
        <v>0</v>
      </c>
      <c r="O237" s="57">
        <f t="shared" si="33"/>
        <v>0</v>
      </c>
    </row>
    <row r="238" spans="2:15" ht="15.75" customHeight="1" x14ac:dyDescent="0.35">
      <c r="B238" s="471">
        <v>7299001190</v>
      </c>
      <c r="C238" s="471" t="s">
        <v>1054</v>
      </c>
      <c r="D238" s="42">
        <v>1</v>
      </c>
      <c r="E238" s="1">
        <v>112</v>
      </c>
      <c r="F238" s="1"/>
      <c r="G238" s="1">
        <f>(F112/(0.02*2000)/100)</f>
        <v>0</v>
      </c>
      <c r="H238" s="60">
        <f>(30*BC!$B$47/E238)</f>
        <v>0</v>
      </c>
      <c r="I238" s="701">
        <f t="shared" si="28"/>
        <v>0</v>
      </c>
      <c r="J238" s="701">
        <f t="shared" si="29"/>
        <v>0</v>
      </c>
      <c r="K238" s="216">
        <f t="shared" si="30"/>
        <v>0</v>
      </c>
      <c r="L238" s="367">
        <v>216</v>
      </c>
      <c r="M238" s="148">
        <f t="shared" si="31"/>
        <v>0</v>
      </c>
      <c r="N238" s="57">
        <f t="shared" si="32"/>
        <v>0</v>
      </c>
      <c r="O238" s="57">
        <f t="shared" si="33"/>
        <v>0</v>
      </c>
    </row>
    <row r="239" spans="2:15" ht="15.75" customHeight="1" x14ac:dyDescent="0.35">
      <c r="B239" s="25">
        <v>9762582190</v>
      </c>
      <c r="C239" s="471" t="s">
        <v>1055</v>
      </c>
      <c r="D239" s="42">
        <v>1</v>
      </c>
      <c r="E239" s="1">
        <v>28</v>
      </c>
      <c r="F239" s="1"/>
      <c r="G239" s="1">
        <f>(F112/(0.02*6000)/100)</f>
        <v>0</v>
      </c>
      <c r="H239" s="60">
        <f>(30*BC!$B$47/E239)</f>
        <v>0</v>
      </c>
      <c r="I239" s="701">
        <f t="shared" si="28"/>
        <v>0</v>
      </c>
      <c r="J239" s="701">
        <f t="shared" si="29"/>
        <v>0</v>
      </c>
      <c r="K239" s="216">
        <f t="shared" si="30"/>
        <v>0</v>
      </c>
      <c r="L239" s="367">
        <v>128</v>
      </c>
      <c r="M239" s="148">
        <f t="shared" si="31"/>
        <v>0</v>
      </c>
      <c r="N239" s="57">
        <f t="shared" si="32"/>
        <v>0</v>
      </c>
      <c r="O239" s="57">
        <f t="shared" si="33"/>
        <v>0</v>
      </c>
    </row>
    <row r="240" spans="2:15" ht="15.75" customHeight="1" x14ac:dyDescent="0.35">
      <c r="B240" s="471">
        <v>6908853190</v>
      </c>
      <c r="C240" s="471" t="s">
        <v>1088</v>
      </c>
      <c r="D240" s="42">
        <v>2</v>
      </c>
      <c r="E240" s="1">
        <v>28</v>
      </c>
      <c r="F240" s="1"/>
      <c r="G240" s="1">
        <f>(F112/(0.0002*200)/12000)</f>
        <v>0</v>
      </c>
      <c r="H240" s="60">
        <f>(30*BC!$B$47/E240)</f>
        <v>0</v>
      </c>
      <c r="I240" s="701">
        <f t="shared" si="28"/>
        <v>0</v>
      </c>
      <c r="J240" s="701">
        <f>IF(F6=0,0,I240)</f>
        <v>0</v>
      </c>
      <c r="K240" s="216">
        <f t="shared" si="30"/>
        <v>0</v>
      </c>
      <c r="L240" s="367">
        <v>29</v>
      </c>
      <c r="M240" s="148">
        <f t="shared" si="31"/>
        <v>0</v>
      </c>
      <c r="N240" s="57">
        <f t="shared" si="32"/>
        <v>0</v>
      </c>
      <c r="O240" s="57">
        <f t="shared" si="33"/>
        <v>0</v>
      </c>
    </row>
    <row r="241" spans="2:15" ht="15.75" customHeight="1" x14ac:dyDescent="0.35">
      <c r="B241" s="471">
        <v>6908853190</v>
      </c>
      <c r="C241" s="471" t="s">
        <v>1089</v>
      </c>
      <c r="D241" s="42">
        <v>2</v>
      </c>
      <c r="E241" s="1">
        <v>28</v>
      </c>
      <c r="F241" s="1"/>
      <c r="G241" s="1">
        <f>(F112/(0.0003*200)/12000)</f>
        <v>0</v>
      </c>
      <c r="H241" s="60">
        <f>(30*BC!$B$47/E241)</f>
        <v>0</v>
      </c>
      <c r="I241" s="701">
        <f t="shared" ref="I241:I242" si="37">IF(H241&gt;G241,H241,G241)</f>
        <v>0</v>
      </c>
      <c r="J241" s="701">
        <f>IF(D6=0,0,I241)</f>
        <v>0</v>
      </c>
      <c r="K241" s="216">
        <f t="shared" ref="K241:K242" si="38">ROUNDUP(J241,0)</f>
        <v>0</v>
      </c>
      <c r="L241" s="367">
        <v>29</v>
      </c>
      <c r="M241" s="148">
        <f t="shared" ref="M241:M242" si="39">((L241/D241)*K241)</f>
        <v>0</v>
      </c>
      <c r="N241" s="57">
        <f t="shared" ref="N241:N242" si="40">K241/D241</f>
        <v>0</v>
      </c>
      <c r="O241" s="57">
        <f t="shared" ref="O241:O242" si="41">ROUNDUP(N241,0)</f>
        <v>0</v>
      </c>
    </row>
    <row r="242" spans="2:15" ht="15.75" customHeight="1" x14ac:dyDescent="0.35">
      <c r="B242" s="471">
        <v>4880293190</v>
      </c>
      <c r="C242" s="471" t="s">
        <v>1090</v>
      </c>
      <c r="D242" s="42">
        <v>2</v>
      </c>
      <c r="E242" s="1">
        <v>21</v>
      </c>
      <c r="F242" s="1"/>
      <c r="G242" s="1">
        <f>(F112/(0.00006*230)/12000)</f>
        <v>0</v>
      </c>
      <c r="H242" s="60">
        <f>(30*BC!$B$47/E242)</f>
        <v>0</v>
      </c>
      <c r="I242" s="701">
        <f t="shared" si="37"/>
        <v>0</v>
      </c>
      <c r="J242" s="701">
        <f>IF(F6=0,0,I242)</f>
        <v>0</v>
      </c>
      <c r="K242" s="216">
        <f t="shared" si="38"/>
        <v>0</v>
      </c>
      <c r="L242" s="367">
        <v>109</v>
      </c>
      <c r="M242" s="148">
        <f t="shared" si="39"/>
        <v>0</v>
      </c>
      <c r="N242" s="57">
        <f t="shared" si="40"/>
        <v>0</v>
      </c>
      <c r="O242" s="57">
        <f t="shared" si="41"/>
        <v>0</v>
      </c>
    </row>
    <row r="243" spans="2:15" ht="15.75" customHeight="1" x14ac:dyDescent="0.35">
      <c r="B243" s="471">
        <v>4880293190</v>
      </c>
      <c r="C243" s="471" t="s">
        <v>1091</v>
      </c>
      <c r="D243" s="42">
        <v>2</v>
      </c>
      <c r="E243" s="1">
        <v>21</v>
      </c>
      <c r="F243" s="1"/>
      <c r="G243" s="1">
        <f>(F112/(0.0001*500)/12000)</f>
        <v>0</v>
      </c>
      <c r="H243" s="60">
        <f>(30*BC!$B$47/E243)</f>
        <v>0</v>
      </c>
      <c r="I243" s="701">
        <f t="shared" si="28"/>
        <v>0</v>
      </c>
      <c r="J243" s="701">
        <f>IF(D6=0,0,I243)</f>
        <v>0</v>
      </c>
      <c r="K243" s="216">
        <f t="shared" si="30"/>
        <v>0</v>
      </c>
      <c r="L243" s="367">
        <v>109</v>
      </c>
      <c r="M243" s="148">
        <f t="shared" si="31"/>
        <v>0</v>
      </c>
      <c r="N243" s="57">
        <f t="shared" si="32"/>
        <v>0</v>
      </c>
      <c r="O243" s="57">
        <f t="shared" si="33"/>
        <v>0</v>
      </c>
    </row>
    <row r="244" spans="2:15" ht="15.75" customHeight="1" x14ac:dyDescent="0.35">
      <c r="B244" s="471">
        <v>6908799190</v>
      </c>
      <c r="C244" s="471" t="s">
        <v>1092</v>
      </c>
      <c r="D244" s="42">
        <v>2</v>
      </c>
      <c r="E244" s="1">
        <v>21</v>
      </c>
      <c r="F244" s="1"/>
      <c r="G244" s="1">
        <f>(F112/(0.00013*300)/12000)</f>
        <v>0</v>
      </c>
      <c r="H244" s="60">
        <f>(30*BC!$B$47/E244)</f>
        <v>0</v>
      </c>
      <c r="I244" s="701">
        <f t="shared" ref="I244" si="42">IF(H244&gt;G244,H244,G244)</f>
        <v>0</v>
      </c>
      <c r="J244" s="701">
        <f>IF(F6=0,0,I244)</f>
        <v>0</v>
      </c>
      <c r="K244" s="216">
        <f t="shared" ref="K244" si="43">ROUNDUP(J244,0)</f>
        <v>0</v>
      </c>
      <c r="L244" s="367">
        <v>30</v>
      </c>
      <c r="M244" s="148">
        <f t="shared" ref="M244" si="44">((L244/D244)*K244)</f>
        <v>0</v>
      </c>
      <c r="N244" s="57">
        <f t="shared" ref="N244" si="45">K244/D244</f>
        <v>0</v>
      </c>
      <c r="O244" s="57">
        <f t="shared" ref="O244" si="46">ROUNDUP(N244,0)</f>
        <v>0</v>
      </c>
    </row>
    <row r="245" spans="2:15" ht="15.75" customHeight="1" x14ac:dyDescent="0.35">
      <c r="B245" s="471">
        <v>6908799190</v>
      </c>
      <c r="C245" s="471" t="s">
        <v>1093</v>
      </c>
      <c r="D245" s="42">
        <v>2</v>
      </c>
      <c r="E245" s="1">
        <v>21</v>
      </c>
      <c r="F245" s="1"/>
      <c r="G245" s="1">
        <f>(F112/(0.00013*500)/12000)</f>
        <v>0</v>
      </c>
      <c r="H245" s="60">
        <f>(30*BC!$B$47/E245)</f>
        <v>0</v>
      </c>
      <c r="I245" s="701">
        <f t="shared" si="28"/>
        <v>0</v>
      </c>
      <c r="J245" s="701">
        <f>IF(D6=0,0,I245)</f>
        <v>0</v>
      </c>
      <c r="K245" s="216">
        <f t="shared" si="30"/>
        <v>0</v>
      </c>
      <c r="L245" s="367">
        <v>30</v>
      </c>
      <c r="M245" s="148">
        <f t="shared" si="31"/>
        <v>0</v>
      </c>
      <c r="N245" s="57">
        <f t="shared" si="32"/>
        <v>0</v>
      </c>
      <c r="O245" s="57">
        <f t="shared" si="33"/>
        <v>0</v>
      </c>
    </row>
    <row r="246" spans="2:15" ht="15.75" customHeight="1" x14ac:dyDescent="0.35">
      <c r="B246" s="471">
        <v>7373066190</v>
      </c>
      <c r="C246" s="471" t="s">
        <v>1059</v>
      </c>
      <c r="D246" s="42">
        <v>1</v>
      </c>
      <c r="E246" s="1">
        <v>112</v>
      </c>
      <c r="F246" s="1"/>
      <c r="G246" s="1"/>
      <c r="H246" s="60">
        <f>(30*BC!$B$47/E246)</f>
        <v>0</v>
      </c>
      <c r="I246" s="701">
        <f t="shared" ref="I246:I261" si="47">IF(H246&gt;G246,H246,G246)</f>
        <v>0</v>
      </c>
      <c r="J246" s="701">
        <f t="shared" ref="J246:J261" si="48">IF(G246=0,0,I246)</f>
        <v>0</v>
      </c>
      <c r="K246" s="216">
        <f t="shared" ref="K246:K261" si="49">ROUNDUP(J246,0)</f>
        <v>0</v>
      </c>
      <c r="L246" s="367">
        <v>96</v>
      </c>
      <c r="M246" s="148">
        <f t="shared" ref="M246:M261" si="50">((L246/D246)*K246)</f>
        <v>0</v>
      </c>
      <c r="N246" s="57">
        <f t="shared" ref="N246:N261" si="51">K246/D246</f>
        <v>0</v>
      </c>
      <c r="O246" s="57">
        <f t="shared" ref="O246:O261" si="52">ROUNDUP(N246,0)</f>
        <v>0</v>
      </c>
    </row>
    <row r="247" spans="2:15" ht="15.75" customHeight="1" x14ac:dyDescent="0.35">
      <c r="B247" s="471">
        <v>7372990190</v>
      </c>
      <c r="C247" s="471" t="s">
        <v>1060</v>
      </c>
      <c r="D247" s="42">
        <v>1</v>
      </c>
      <c r="E247" s="1">
        <v>112</v>
      </c>
      <c r="F247" s="1"/>
      <c r="G247" s="1"/>
      <c r="H247" s="60">
        <f>(30*BC!$B$47/E247)</f>
        <v>0</v>
      </c>
      <c r="I247" s="701">
        <f t="shared" si="47"/>
        <v>0</v>
      </c>
      <c r="J247" s="701">
        <f t="shared" si="48"/>
        <v>0</v>
      </c>
      <c r="K247" s="216">
        <f t="shared" si="49"/>
        <v>0</v>
      </c>
      <c r="L247" s="367">
        <v>55</v>
      </c>
      <c r="M247" s="148">
        <f t="shared" si="50"/>
        <v>0</v>
      </c>
      <c r="N247" s="57">
        <f t="shared" si="51"/>
        <v>0</v>
      </c>
      <c r="O247" s="57">
        <f t="shared" si="52"/>
        <v>0</v>
      </c>
    </row>
    <row r="248" spans="2:15" ht="15.75" customHeight="1" x14ac:dyDescent="0.35">
      <c r="B248" s="471">
        <v>5118506190</v>
      </c>
      <c r="C248" s="471" t="s">
        <v>1061</v>
      </c>
      <c r="D248" s="42">
        <v>2</v>
      </c>
      <c r="E248" s="1">
        <v>5</v>
      </c>
      <c r="F248" s="1"/>
      <c r="G248" s="1"/>
      <c r="H248" s="60">
        <f>(30*BC!$B$47/E248)</f>
        <v>0</v>
      </c>
      <c r="I248" s="701">
        <f t="shared" si="47"/>
        <v>0</v>
      </c>
      <c r="J248" s="701">
        <f t="shared" si="48"/>
        <v>0</v>
      </c>
      <c r="K248" s="216">
        <f t="shared" si="49"/>
        <v>0</v>
      </c>
      <c r="L248" s="367">
        <v>25</v>
      </c>
      <c r="M248" s="148">
        <f t="shared" si="50"/>
        <v>0</v>
      </c>
      <c r="N248" s="57">
        <f t="shared" si="51"/>
        <v>0</v>
      </c>
      <c r="O248" s="57">
        <f t="shared" si="52"/>
        <v>0</v>
      </c>
    </row>
    <row r="249" spans="2:15" ht="15.75" customHeight="1" x14ac:dyDescent="0.35">
      <c r="B249" s="471">
        <v>4444191001</v>
      </c>
      <c r="C249" s="471" t="s">
        <v>630</v>
      </c>
      <c r="D249" s="1">
        <v>1</v>
      </c>
      <c r="E249" s="1">
        <v>365</v>
      </c>
      <c r="F249" s="1"/>
      <c r="G249" s="1">
        <f>((F112-(F112*0.9))/E249)</f>
        <v>0</v>
      </c>
      <c r="H249" s="60">
        <f>(30*BC!$B$47/E249)</f>
        <v>0</v>
      </c>
      <c r="I249" s="701">
        <f t="shared" si="47"/>
        <v>0</v>
      </c>
      <c r="J249" s="701">
        <f t="shared" si="48"/>
        <v>0</v>
      </c>
      <c r="K249" s="216">
        <f t="shared" si="49"/>
        <v>0</v>
      </c>
      <c r="L249" s="367">
        <v>9</v>
      </c>
      <c r="M249" s="148">
        <f t="shared" si="50"/>
        <v>0</v>
      </c>
      <c r="N249" s="57">
        <f t="shared" si="51"/>
        <v>0</v>
      </c>
      <c r="O249" s="57">
        <f t="shared" si="52"/>
        <v>0</v>
      </c>
    </row>
    <row r="250" spans="2:15" ht="15.75" customHeight="1" x14ac:dyDescent="0.35">
      <c r="B250" s="471">
        <v>10394246001</v>
      </c>
      <c r="C250" s="471" t="s">
        <v>1062</v>
      </c>
      <c r="D250" s="1">
        <v>20</v>
      </c>
      <c r="E250" s="1">
        <v>365</v>
      </c>
      <c r="F250" s="1"/>
      <c r="G250" s="1"/>
      <c r="H250" s="60">
        <f>(30*BC!$B$47/E250)</f>
        <v>0</v>
      </c>
      <c r="I250" s="701">
        <f t="shared" si="47"/>
        <v>0</v>
      </c>
      <c r="J250" s="701">
        <f t="shared" si="48"/>
        <v>0</v>
      </c>
      <c r="K250" s="216">
        <f t="shared" si="49"/>
        <v>0</v>
      </c>
      <c r="L250" s="367">
        <v>230</v>
      </c>
      <c r="M250" s="148">
        <f t="shared" si="50"/>
        <v>0</v>
      </c>
      <c r="N250" s="57">
        <f t="shared" si="51"/>
        <v>0</v>
      </c>
      <c r="O250" s="57">
        <f t="shared" si="52"/>
        <v>0</v>
      </c>
    </row>
    <row r="251" spans="2:15" ht="15.75" customHeight="1" x14ac:dyDescent="0.35">
      <c r="B251" s="470">
        <v>3142949122</v>
      </c>
      <c r="C251" s="490" t="s">
        <v>1063</v>
      </c>
      <c r="D251" s="42">
        <v>365</v>
      </c>
      <c r="E251" s="1">
        <v>1</v>
      </c>
      <c r="F251" s="1"/>
      <c r="G251" s="1"/>
      <c r="H251" s="60">
        <f>(30*BC!$B$47/E251)</f>
        <v>0</v>
      </c>
      <c r="I251" s="701">
        <f t="shared" si="47"/>
        <v>0</v>
      </c>
      <c r="J251" s="701">
        <f t="shared" si="48"/>
        <v>0</v>
      </c>
      <c r="K251" s="216">
        <f t="shared" si="49"/>
        <v>0</v>
      </c>
      <c r="L251" s="367">
        <v>127</v>
      </c>
      <c r="M251" s="148">
        <f t="shared" si="50"/>
        <v>0</v>
      </c>
      <c r="N251" s="57">
        <f t="shared" si="51"/>
        <v>0</v>
      </c>
      <c r="O251" s="57">
        <f t="shared" si="52"/>
        <v>0</v>
      </c>
    </row>
    <row r="252" spans="2:15" ht="15.75" customHeight="1" x14ac:dyDescent="0.35">
      <c r="B252" s="470">
        <v>5889073190</v>
      </c>
      <c r="C252" s="675" t="s">
        <v>1064</v>
      </c>
      <c r="D252" s="42">
        <v>100</v>
      </c>
      <c r="E252" s="1">
        <v>84</v>
      </c>
      <c r="F252" s="1"/>
      <c r="G252" s="1"/>
      <c r="H252" s="60">
        <f>(30*BC!$B$47/E252)</f>
        <v>0</v>
      </c>
      <c r="I252" s="701">
        <f t="shared" si="47"/>
        <v>0</v>
      </c>
      <c r="J252" s="701">
        <f t="shared" si="48"/>
        <v>0</v>
      </c>
      <c r="K252" s="216">
        <f t="shared" si="49"/>
        <v>0</v>
      </c>
      <c r="L252" s="367">
        <v>72</v>
      </c>
      <c r="M252" s="148">
        <f t="shared" si="50"/>
        <v>0</v>
      </c>
      <c r="N252" s="57">
        <f t="shared" si="51"/>
        <v>0</v>
      </c>
      <c r="O252" s="57">
        <f t="shared" si="52"/>
        <v>0</v>
      </c>
    </row>
    <row r="253" spans="2:15" ht="15.75" customHeight="1" x14ac:dyDescent="0.35">
      <c r="B253" s="470">
        <v>5944317190</v>
      </c>
      <c r="C253" s="627" t="s">
        <v>1065</v>
      </c>
      <c r="D253" s="42">
        <v>4</v>
      </c>
      <c r="E253" s="1">
        <v>14</v>
      </c>
      <c r="F253" s="1"/>
      <c r="G253" s="1"/>
      <c r="H253" s="60">
        <f>(30*BC!$B$47/E253)</f>
        <v>0</v>
      </c>
      <c r="I253" s="701">
        <f t="shared" si="47"/>
        <v>0</v>
      </c>
      <c r="J253" s="701">
        <f t="shared" si="48"/>
        <v>0</v>
      </c>
      <c r="K253" s="216">
        <f t="shared" si="49"/>
        <v>0</v>
      </c>
      <c r="L253" s="367">
        <v>95</v>
      </c>
      <c r="M253" s="148">
        <f t="shared" si="50"/>
        <v>0</v>
      </c>
      <c r="N253" s="57">
        <f t="shared" si="51"/>
        <v>0</v>
      </c>
      <c r="O253" s="57">
        <f t="shared" si="52"/>
        <v>0</v>
      </c>
    </row>
    <row r="254" spans="2:15" ht="15.75" customHeight="1" x14ac:dyDescent="0.35">
      <c r="B254" s="470">
        <v>9370064190</v>
      </c>
      <c r="C254" s="490" t="s">
        <v>1066</v>
      </c>
      <c r="D254" s="42">
        <v>1</v>
      </c>
      <c r="E254" s="1">
        <v>28</v>
      </c>
      <c r="F254" s="1"/>
      <c r="G254" s="1"/>
      <c r="H254" s="60">
        <f>(30*BC!$B$47/E254)</f>
        <v>0</v>
      </c>
      <c r="I254" s="701">
        <f t="shared" si="47"/>
        <v>0</v>
      </c>
      <c r="J254" s="701">
        <f t="shared" si="48"/>
        <v>0</v>
      </c>
      <c r="K254" s="216">
        <f t="shared" si="49"/>
        <v>0</v>
      </c>
      <c r="L254" s="367">
        <v>129</v>
      </c>
      <c r="M254" s="148">
        <f t="shared" si="50"/>
        <v>0</v>
      </c>
      <c r="N254" s="57">
        <f t="shared" si="51"/>
        <v>0</v>
      </c>
      <c r="O254" s="57">
        <f t="shared" si="52"/>
        <v>0</v>
      </c>
    </row>
    <row r="255" spans="2:15" ht="15.75" customHeight="1" x14ac:dyDescent="0.35">
      <c r="B255" s="470">
        <v>9370099190</v>
      </c>
      <c r="C255" s="490" t="s">
        <v>1067</v>
      </c>
      <c r="D255" s="42">
        <v>1</v>
      </c>
      <c r="E255" s="1">
        <v>28</v>
      </c>
      <c r="F255" s="1"/>
      <c r="G255" s="1"/>
      <c r="H255" s="60">
        <f>(30*BC!$B$47/E255)</f>
        <v>0</v>
      </c>
      <c r="I255" s="701">
        <f t="shared" si="47"/>
        <v>0</v>
      </c>
      <c r="J255" s="701">
        <f t="shared" si="48"/>
        <v>0</v>
      </c>
      <c r="K255" s="216">
        <f t="shared" si="49"/>
        <v>0</v>
      </c>
      <c r="L255" s="367">
        <v>534</v>
      </c>
      <c r="M255" s="148">
        <f t="shared" si="50"/>
        <v>0</v>
      </c>
      <c r="N255" s="57">
        <f t="shared" si="51"/>
        <v>0</v>
      </c>
      <c r="O255" s="57">
        <f t="shared" si="52"/>
        <v>0</v>
      </c>
    </row>
    <row r="256" spans="2:15" ht="15.75" customHeight="1" x14ac:dyDescent="0.35">
      <c r="B256" s="470">
        <v>9127127190</v>
      </c>
      <c r="C256" s="490" t="s">
        <v>1068</v>
      </c>
      <c r="D256" s="42">
        <v>2</v>
      </c>
      <c r="E256" s="1">
        <v>56</v>
      </c>
      <c r="F256" s="1"/>
      <c r="G256" s="1"/>
      <c r="H256" s="60">
        <f>(30*BC!$B$47/E256)</f>
        <v>0</v>
      </c>
      <c r="I256" s="701">
        <f t="shared" si="47"/>
        <v>0</v>
      </c>
      <c r="J256" s="701">
        <f t="shared" si="48"/>
        <v>0</v>
      </c>
      <c r="K256" s="216">
        <f t="shared" si="49"/>
        <v>0</v>
      </c>
      <c r="L256" s="148"/>
      <c r="M256" s="148">
        <f t="shared" si="50"/>
        <v>0</v>
      </c>
      <c r="N256" s="57">
        <f t="shared" si="51"/>
        <v>0</v>
      </c>
      <c r="O256" s="57">
        <f t="shared" si="52"/>
        <v>0</v>
      </c>
    </row>
    <row r="257" spans="2:18" ht="15.75" customHeight="1" x14ac:dyDescent="0.35">
      <c r="B257" s="471">
        <v>5870020001</v>
      </c>
      <c r="C257" s="471" t="s">
        <v>813</v>
      </c>
      <c r="D257" s="1">
        <v>1</v>
      </c>
      <c r="E257" s="1">
        <v>365</v>
      </c>
      <c r="F257" s="1"/>
      <c r="G257" s="1">
        <f>(F112/2000)/1.2</f>
        <v>0</v>
      </c>
      <c r="H257" s="60">
        <f>(30*BC!$B$47/E257)</f>
        <v>0</v>
      </c>
      <c r="I257" s="701">
        <f t="shared" si="47"/>
        <v>0</v>
      </c>
      <c r="J257" s="701">
        <f t="shared" si="48"/>
        <v>0</v>
      </c>
      <c r="K257" s="216">
        <f t="shared" si="49"/>
        <v>0</v>
      </c>
      <c r="L257" s="367">
        <v>11</v>
      </c>
      <c r="M257" s="148">
        <f t="shared" si="50"/>
        <v>0</v>
      </c>
      <c r="N257" s="57">
        <f t="shared" si="51"/>
        <v>0</v>
      </c>
      <c r="O257" s="57">
        <f t="shared" si="52"/>
        <v>0</v>
      </c>
    </row>
    <row r="258" spans="2:18" ht="15.75" customHeight="1" x14ac:dyDescent="0.35">
      <c r="B258" s="471">
        <v>4419987001</v>
      </c>
      <c r="C258" s="471" t="s">
        <v>814</v>
      </c>
      <c r="D258" s="1">
        <v>1</v>
      </c>
      <c r="E258" s="1">
        <v>365</v>
      </c>
      <c r="F258" s="1"/>
      <c r="G258" s="1">
        <f>(F112/D258)/4500</f>
        <v>0</v>
      </c>
      <c r="H258" s="60">
        <f>(30*BC!$B$47/E258)</f>
        <v>0</v>
      </c>
      <c r="I258" s="701">
        <f t="shared" si="47"/>
        <v>0</v>
      </c>
      <c r="J258" s="701">
        <f t="shared" si="48"/>
        <v>0</v>
      </c>
      <c r="K258" s="216">
        <f t="shared" si="49"/>
        <v>0</v>
      </c>
      <c r="L258" s="367">
        <v>7</v>
      </c>
      <c r="M258" s="148">
        <f>((L258/D258)*K258)</f>
        <v>0</v>
      </c>
      <c r="N258" s="57">
        <f t="shared" si="51"/>
        <v>0</v>
      </c>
      <c r="O258" s="57">
        <f t="shared" si="52"/>
        <v>0</v>
      </c>
    </row>
    <row r="259" spans="2:18" ht="15.75" customHeight="1" x14ac:dyDescent="0.35">
      <c r="B259" s="471">
        <v>7485409001</v>
      </c>
      <c r="C259" s="471" t="s">
        <v>1069</v>
      </c>
      <c r="D259" s="1">
        <v>1</v>
      </c>
      <c r="E259" s="1">
        <v>365</v>
      </c>
      <c r="F259" s="1"/>
      <c r="G259" s="1"/>
      <c r="H259" s="60">
        <f>(30*BC!$B$47/E259)</f>
        <v>0</v>
      </c>
      <c r="I259" s="701">
        <f t="shared" si="47"/>
        <v>0</v>
      </c>
      <c r="J259" s="701">
        <f t="shared" si="48"/>
        <v>0</v>
      </c>
      <c r="K259" s="216">
        <f t="shared" si="49"/>
        <v>0</v>
      </c>
      <c r="L259" s="367">
        <v>84</v>
      </c>
      <c r="M259" s="148">
        <f t="shared" si="50"/>
        <v>0</v>
      </c>
      <c r="N259" s="57">
        <f t="shared" si="51"/>
        <v>0</v>
      </c>
      <c r="O259" s="57">
        <f t="shared" si="52"/>
        <v>0</v>
      </c>
    </row>
    <row r="260" spans="2:18" ht="15.75" customHeight="1" x14ac:dyDescent="0.35">
      <c r="B260" s="471">
        <v>7485433001</v>
      </c>
      <c r="C260" s="471" t="s">
        <v>1070</v>
      </c>
      <c r="D260" s="1">
        <v>1</v>
      </c>
      <c r="E260" s="1">
        <v>365</v>
      </c>
      <c r="F260" s="1"/>
      <c r="G260" s="1"/>
      <c r="H260" s="60">
        <f>(30*BC!$B$47/E260)</f>
        <v>0</v>
      </c>
      <c r="I260" s="701">
        <f t="shared" si="47"/>
        <v>0</v>
      </c>
      <c r="J260" s="701">
        <f t="shared" si="48"/>
        <v>0</v>
      </c>
      <c r="K260" s="216">
        <f t="shared" si="49"/>
        <v>0</v>
      </c>
      <c r="L260" s="367">
        <v>70</v>
      </c>
      <c r="M260" s="148">
        <f t="shared" si="50"/>
        <v>0</v>
      </c>
      <c r="N260" s="57">
        <f t="shared" si="51"/>
        <v>0</v>
      </c>
      <c r="O260" s="57">
        <f t="shared" si="52"/>
        <v>0</v>
      </c>
    </row>
    <row r="261" spans="2:18" ht="15.75" customHeight="1" x14ac:dyDescent="0.35">
      <c r="B261" s="471">
        <v>11298500316</v>
      </c>
      <c r="C261" s="471" t="s">
        <v>1071</v>
      </c>
      <c r="D261" s="1">
        <v>5</v>
      </c>
      <c r="E261" s="1">
        <v>73</v>
      </c>
      <c r="F261" s="1"/>
      <c r="G261" s="1">
        <f>(F112/(0.02*800)/1000)</f>
        <v>0</v>
      </c>
      <c r="H261" s="60">
        <f>(30*BC!$B$47/E261)</f>
        <v>0</v>
      </c>
      <c r="I261" s="701">
        <f t="shared" si="47"/>
        <v>0</v>
      </c>
      <c r="J261" s="701">
        <f t="shared" si="48"/>
        <v>0</v>
      </c>
      <c r="K261" s="216">
        <f t="shared" si="49"/>
        <v>0</v>
      </c>
      <c r="L261" s="367">
        <v>98</v>
      </c>
      <c r="M261" s="148">
        <f t="shared" si="50"/>
        <v>0</v>
      </c>
      <c r="N261" s="57">
        <f t="shared" si="51"/>
        <v>0</v>
      </c>
      <c r="O261" s="57">
        <f t="shared" si="52"/>
        <v>0</v>
      </c>
    </row>
    <row r="262" spans="2:18" customFormat="1" ht="15.75" customHeight="1" x14ac:dyDescent="0.45">
      <c r="B262" s="287"/>
      <c r="C262" s="56" t="s">
        <v>1086</v>
      </c>
      <c r="D262" s="219"/>
      <c r="E262" s="57"/>
      <c r="F262" s="57"/>
      <c r="G262" s="57"/>
      <c r="H262" s="57"/>
      <c r="I262" s="57"/>
      <c r="J262" s="216">
        <f>BCB50</f>
        <v>0</v>
      </c>
      <c r="K262" s="368">
        <v>3100</v>
      </c>
      <c r="L262" s="57">
        <f>IF(D9=0,0,K262)</f>
        <v>3100</v>
      </c>
      <c r="M262" s="394">
        <f>L262*J262</f>
        <v>0</v>
      </c>
      <c r="N262" s="369"/>
      <c r="O262" s="369"/>
      <c r="P262" s="57"/>
      <c r="Q262" s="57"/>
      <c r="R262" s="72"/>
    </row>
    <row r="263" spans="2:18" customFormat="1" ht="15.75" customHeight="1" x14ac:dyDescent="0.45">
      <c r="B263" s="287"/>
      <c r="C263" s="56" t="s">
        <v>1087</v>
      </c>
      <c r="D263" s="219"/>
      <c r="E263" s="57"/>
      <c r="F263" s="57"/>
      <c r="G263" s="57"/>
      <c r="H263" s="57"/>
      <c r="I263" s="57"/>
      <c r="J263" s="216">
        <f>BCB50</f>
        <v>0</v>
      </c>
      <c r="K263" s="368">
        <v>4900</v>
      </c>
      <c r="L263" s="57">
        <f>IF(F9=0,0,K263)</f>
        <v>0</v>
      </c>
      <c r="M263" s="394">
        <f>L263*J263</f>
        <v>0</v>
      </c>
      <c r="N263" s="369"/>
      <c r="O263" s="369"/>
      <c r="P263" s="57"/>
      <c r="Q263" s="57"/>
      <c r="R263" s="72"/>
    </row>
    <row r="264" spans="2:18" ht="15.75" customHeight="1" x14ac:dyDescent="0.35">
      <c r="D264" s="146"/>
      <c r="M264" s="697">
        <f>SUM(M114:M263)</f>
        <v>0</v>
      </c>
      <c r="N264" s="692"/>
    </row>
    <row r="265" spans="2:18" ht="15.75" customHeight="1" x14ac:dyDescent="0.35">
      <c r="D265" s="146"/>
      <c r="M265" s="148" t="e">
        <f>M264/F112</f>
        <v>#DIV/0!</v>
      </c>
    </row>
    <row r="266" spans="2:18" ht="15.75" customHeight="1" x14ac:dyDescent="0.35">
      <c r="D266" s="146"/>
    </row>
    <row r="267" spans="2:18" ht="15.75" customHeight="1" x14ac:dyDescent="0.35">
      <c r="D267" s="146"/>
    </row>
    <row r="268" spans="2:18" ht="15.75" customHeight="1" x14ac:dyDescent="0.35">
      <c r="D268" s="146"/>
    </row>
    <row r="269" spans="2:18" ht="15.75" customHeight="1" x14ac:dyDescent="0.35">
      <c r="D269" s="146"/>
    </row>
    <row r="270" spans="2:18" ht="15.75" customHeight="1" x14ac:dyDescent="0.35">
      <c r="D270" s="146"/>
    </row>
    <row r="271" spans="2:18" ht="15.75" customHeight="1" x14ac:dyDescent="0.35">
      <c r="D271" s="146"/>
    </row>
    <row r="272" spans="2:18" ht="15.75" customHeight="1" x14ac:dyDescent="0.35">
      <c r="D272" s="146"/>
    </row>
    <row r="273" spans="4:4" ht="15.75" customHeight="1" x14ac:dyDescent="0.35">
      <c r="D273" s="146"/>
    </row>
    <row r="274" spans="4:4" ht="15.75" customHeight="1" x14ac:dyDescent="0.35">
      <c r="D274" s="146"/>
    </row>
    <row r="275" spans="4:4" ht="15.75" customHeight="1" x14ac:dyDescent="0.35">
      <c r="D275" s="146"/>
    </row>
    <row r="276" spans="4:4" ht="15.75" customHeight="1" x14ac:dyDescent="0.35">
      <c r="D276" s="146"/>
    </row>
    <row r="277" spans="4:4" ht="15.75" customHeight="1" x14ac:dyDescent="0.35">
      <c r="D277" s="146"/>
    </row>
    <row r="278" spans="4:4" ht="15.75" customHeight="1" x14ac:dyDescent="0.35">
      <c r="D278" s="146"/>
    </row>
    <row r="279" spans="4:4" ht="15.75" customHeight="1" x14ac:dyDescent="0.35">
      <c r="D279" s="146"/>
    </row>
    <row r="280" spans="4:4" ht="15.75" customHeight="1" x14ac:dyDescent="0.35">
      <c r="D280" s="146"/>
    </row>
    <row r="281" spans="4:4" ht="15.75" customHeight="1" x14ac:dyDescent="0.35">
      <c r="D281" s="146"/>
    </row>
    <row r="282" spans="4:4" ht="15.75" customHeight="1" x14ac:dyDescent="0.35">
      <c r="D282" s="146"/>
    </row>
    <row r="283" spans="4:4" ht="15.75" customHeight="1" x14ac:dyDescent="0.35">
      <c r="D283" s="146"/>
    </row>
    <row r="284" spans="4:4" ht="15.75" customHeight="1" x14ac:dyDescent="0.35">
      <c r="D284" s="146"/>
    </row>
    <row r="285" spans="4:4" ht="15.75" customHeight="1" x14ac:dyDescent="0.35">
      <c r="D285" s="146"/>
    </row>
    <row r="286" spans="4:4" ht="15.75" customHeight="1" x14ac:dyDescent="0.35">
      <c r="D286" s="146"/>
    </row>
    <row r="287" spans="4:4" ht="15.75" customHeight="1" x14ac:dyDescent="0.35">
      <c r="D287" s="146"/>
    </row>
    <row r="288" spans="4:4" ht="15.75" customHeight="1" x14ac:dyDescent="0.35">
      <c r="D288" s="146"/>
    </row>
    <row r="289" spans="4:4" ht="15.75" customHeight="1" x14ac:dyDescent="0.35">
      <c r="D289" s="146"/>
    </row>
    <row r="290" spans="4:4" ht="15.75" customHeight="1" x14ac:dyDescent="0.35">
      <c r="D290" s="146"/>
    </row>
    <row r="291" spans="4:4" ht="15.75" customHeight="1" x14ac:dyDescent="0.35">
      <c r="D291" s="146"/>
    </row>
    <row r="292" spans="4:4" ht="15.75" customHeight="1" x14ac:dyDescent="0.35">
      <c r="D292" s="146"/>
    </row>
    <row r="293" spans="4:4" ht="15.75" customHeight="1" x14ac:dyDescent="0.35">
      <c r="D293" s="146"/>
    </row>
    <row r="294" spans="4:4" ht="15.75" customHeight="1" x14ac:dyDescent="0.35">
      <c r="D294" s="146"/>
    </row>
    <row r="295" spans="4:4" ht="15.75" customHeight="1" x14ac:dyDescent="0.35">
      <c r="D295" s="146"/>
    </row>
    <row r="296" spans="4:4" ht="15.75" customHeight="1" x14ac:dyDescent="0.35">
      <c r="D296" s="146"/>
    </row>
    <row r="297" spans="4:4" ht="15.75" customHeight="1" x14ac:dyDescent="0.35">
      <c r="D297" s="146"/>
    </row>
    <row r="298" spans="4:4" ht="15.75" customHeight="1" x14ac:dyDescent="0.35">
      <c r="D298" s="146"/>
    </row>
    <row r="299" spans="4:4" ht="15.75" customHeight="1" x14ac:dyDescent="0.35">
      <c r="D299" s="146"/>
    </row>
    <row r="300" spans="4:4" ht="15.75" customHeight="1" x14ac:dyDescent="0.35">
      <c r="D300" s="146"/>
    </row>
    <row r="301" spans="4:4" ht="15.75" customHeight="1" x14ac:dyDescent="0.35">
      <c r="D301" s="146"/>
    </row>
    <row r="302" spans="4:4" ht="15.75" customHeight="1" x14ac:dyDescent="0.35">
      <c r="D302" s="146"/>
    </row>
    <row r="303" spans="4:4" ht="15.75" customHeight="1" x14ac:dyDescent="0.35">
      <c r="D303" s="146"/>
    </row>
    <row r="304" spans="4:4" ht="15.75" customHeight="1" x14ac:dyDescent="0.35">
      <c r="D304" s="146"/>
    </row>
    <row r="305" spans="4:4" ht="15.75" customHeight="1" x14ac:dyDescent="0.35">
      <c r="D305" s="146"/>
    </row>
    <row r="306" spans="4:4" ht="15.75" customHeight="1" x14ac:dyDescent="0.35">
      <c r="D306" s="146"/>
    </row>
    <row r="307" spans="4:4" ht="15.75" customHeight="1" x14ac:dyDescent="0.35">
      <c r="D307" s="146"/>
    </row>
    <row r="308" spans="4:4" ht="15.75" customHeight="1" x14ac:dyDescent="0.35">
      <c r="D308" s="146"/>
    </row>
    <row r="309" spans="4:4" ht="15.75" customHeight="1" x14ac:dyDescent="0.35">
      <c r="D309" s="146"/>
    </row>
    <row r="310" spans="4:4" ht="15.75" customHeight="1" x14ac:dyDescent="0.35">
      <c r="D310" s="146"/>
    </row>
    <row r="311" spans="4:4" ht="15.75" customHeight="1" x14ac:dyDescent="0.35">
      <c r="D311" s="146"/>
    </row>
    <row r="312" spans="4:4" ht="15.75" customHeight="1" x14ac:dyDescent="0.35">
      <c r="D312" s="146"/>
    </row>
    <row r="313" spans="4:4" ht="15.75" customHeight="1" x14ac:dyDescent="0.35">
      <c r="D313" s="146"/>
    </row>
    <row r="314" spans="4:4" ht="15.75" customHeight="1" x14ac:dyDescent="0.35">
      <c r="D314" s="146"/>
    </row>
    <row r="315" spans="4:4" ht="15.75" customHeight="1" x14ac:dyDescent="0.35">
      <c r="D315" s="146"/>
    </row>
    <row r="316" spans="4:4" ht="15.75" customHeight="1" x14ac:dyDescent="0.35">
      <c r="D316" s="146"/>
    </row>
    <row r="317" spans="4:4" ht="15.75" customHeight="1" x14ac:dyDescent="0.35">
      <c r="D317" s="146"/>
    </row>
    <row r="318" spans="4:4" ht="15.75" customHeight="1" x14ac:dyDescent="0.35">
      <c r="D318" s="146"/>
    </row>
    <row r="319" spans="4:4" ht="15.75" customHeight="1" x14ac:dyDescent="0.35">
      <c r="D319" s="146"/>
    </row>
    <row r="320" spans="4:4" ht="15.75" customHeight="1" x14ac:dyDescent="0.35">
      <c r="D320" s="146"/>
    </row>
    <row r="321" spans="4:4" ht="15.75" customHeight="1" x14ac:dyDescent="0.35">
      <c r="D321" s="146"/>
    </row>
    <row r="322" spans="4:4" ht="15.75" customHeight="1" x14ac:dyDescent="0.35">
      <c r="D322" s="146"/>
    </row>
    <row r="323" spans="4:4" ht="15.75" customHeight="1" x14ac:dyDescent="0.35">
      <c r="D323" s="146"/>
    </row>
    <row r="324" spans="4:4" ht="15.75" customHeight="1" x14ac:dyDescent="0.35">
      <c r="D324" s="146"/>
    </row>
    <row r="325" spans="4:4" ht="15.75" customHeight="1" x14ac:dyDescent="0.35">
      <c r="D325" s="146"/>
    </row>
    <row r="326" spans="4:4" ht="15.75" customHeight="1" x14ac:dyDescent="0.35">
      <c r="D326" s="146"/>
    </row>
    <row r="327" spans="4:4" ht="15.75" customHeight="1" x14ac:dyDescent="0.35">
      <c r="D327" s="146"/>
    </row>
    <row r="328" spans="4:4" ht="15.75" customHeight="1" x14ac:dyDescent="0.35">
      <c r="D328" s="146"/>
    </row>
    <row r="329" spans="4:4" ht="15.75" customHeight="1" x14ac:dyDescent="0.35">
      <c r="D329" s="146"/>
    </row>
    <row r="330" spans="4:4" ht="15.75" customHeight="1" x14ac:dyDescent="0.35">
      <c r="D330" s="146"/>
    </row>
    <row r="331" spans="4:4" ht="15.75" customHeight="1" x14ac:dyDescent="0.35">
      <c r="D331" s="146"/>
    </row>
    <row r="332" spans="4:4" ht="15.75" customHeight="1" x14ac:dyDescent="0.35">
      <c r="D332" s="146"/>
    </row>
    <row r="333" spans="4:4" ht="15.75" customHeight="1" x14ac:dyDescent="0.35">
      <c r="D333" s="146"/>
    </row>
    <row r="334" spans="4:4" ht="15.75" customHeight="1" x14ac:dyDescent="0.35">
      <c r="D334" s="146"/>
    </row>
    <row r="335" spans="4:4" ht="15.75" customHeight="1" x14ac:dyDescent="0.35">
      <c r="D335" s="146"/>
    </row>
    <row r="336" spans="4:4" ht="15.75" customHeight="1" x14ac:dyDescent="0.35">
      <c r="D336" s="146"/>
    </row>
    <row r="337" spans="4:4" ht="15.75" customHeight="1" x14ac:dyDescent="0.35">
      <c r="D337" s="146"/>
    </row>
    <row r="338" spans="4:4" ht="15.75" customHeight="1" x14ac:dyDescent="0.35">
      <c r="D338" s="146"/>
    </row>
    <row r="339" spans="4:4" ht="15.75" customHeight="1" x14ac:dyDescent="0.35">
      <c r="D339" s="146"/>
    </row>
    <row r="340" spans="4:4" ht="15.75" customHeight="1" x14ac:dyDescent="0.35">
      <c r="D340" s="146"/>
    </row>
    <row r="341" spans="4:4" ht="15.75" customHeight="1" x14ac:dyDescent="0.35">
      <c r="D341" s="146"/>
    </row>
    <row r="342" spans="4:4" ht="15.75" customHeight="1" x14ac:dyDescent="0.35">
      <c r="D342" s="146"/>
    </row>
    <row r="343" spans="4:4" ht="15.75" customHeight="1" x14ac:dyDescent="0.35">
      <c r="D343" s="146"/>
    </row>
    <row r="344" spans="4:4" ht="15.75" customHeight="1" x14ac:dyDescent="0.35">
      <c r="D344" s="146"/>
    </row>
    <row r="345" spans="4:4" ht="15.75" customHeight="1" x14ac:dyDescent="0.35">
      <c r="D345" s="146"/>
    </row>
    <row r="346" spans="4:4" ht="15.75" customHeight="1" x14ac:dyDescent="0.35">
      <c r="D346" s="146"/>
    </row>
    <row r="347" spans="4:4" ht="15.75" customHeight="1" x14ac:dyDescent="0.35">
      <c r="D347" s="146"/>
    </row>
    <row r="348" spans="4:4" ht="15.75" customHeight="1" x14ac:dyDescent="0.35">
      <c r="D348" s="146"/>
    </row>
    <row r="349" spans="4:4" ht="15.75" customHeight="1" x14ac:dyDescent="0.35">
      <c r="D349" s="146"/>
    </row>
    <row r="350" spans="4:4" ht="15.75" customHeight="1" x14ac:dyDescent="0.35">
      <c r="D350" s="146"/>
    </row>
    <row r="351" spans="4:4" ht="15.75" customHeight="1" x14ac:dyDescent="0.35">
      <c r="D351" s="146"/>
    </row>
    <row r="352" spans="4:4" ht="15.75" customHeight="1" x14ac:dyDescent="0.35">
      <c r="D352" s="146"/>
    </row>
    <row r="353" spans="4:4" ht="15.75" customHeight="1" x14ac:dyDescent="0.35">
      <c r="D353" s="146"/>
    </row>
    <row r="354" spans="4:4" ht="15.75" customHeight="1" x14ac:dyDescent="0.35">
      <c r="D354" s="146"/>
    </row>
    <row r="355" spans="4:4" ht="15.75" customHeight="1" x14ac:dyDescent="0.35">
      <c r="D355" s="146"/>
    </row>
    <row r="356" spans="4:4" ht="15.75" customHeight="1" x14ac:dyDescent="0.35">
      <c r="D356" s="146"/>
    </row>
    <row r="357" spans="4:4" ht="15.75" customHeight="1" x14ac:dyDescent="0.35">
      <c r="D357" s="146"/>
    </row>
    <row r="358" spans="4:4" ht="15.75" customHeight="1" x14ac:dyDescent="0.35">
      <c r="D358" s="146"/>
    </row>
    <row r="359" spans="4:4" ht="15.75" customHeight="1" x14ac:dyDescent="0.35">
      <c r="D359" s="146"/>
    </row>
    <row r="360" spans="4:4" ht="15.75" customHeight="1" x14ac:dyDescent="0.35">
      <c r="D360" s="146"/>
    </row>
    <row r="361" spans="4:4" ht="15.75" customHeight="1" x14ac:dyDescent="0.35">
      <c r="D361" s="146"/>
    </row>
    <row r="362" spans="4:4" ht="15.75" customHeight="1" x14ac:dyDescent="0.35">
      <c r="D362" s="146"/>
    </row>
    <row r="363" spans="4:4" ht="15.75" customHeight="1" x14ac:dyDescent="0.35">
      <c r="D363" s="146"/>
    </row>
    <row r="364" spans="4:4" ht="15.75" customHeight="1" x14ac:dyDescent="0.35">
      <c r="D364" s="146"/>
    </row>
    <row r="365" spans="4:4" ht="15.75" customHeight="1" x14ac:dyDescent="0.35">
      <c r="D365" s="146"/>
    </row>
    <row r="366" spans="4:4" ht="15.75" customHeight="1" x14ac:dyDescent="0.35">
      <c r="D366" s="146"/>
    </row>
    <row r="367" spans="4:4" ht="15.75" customHeight="1" x14ac:dyDescent="0.35">
      <c r="D367" s="146"/>
    </row>
    <row r="368" spans="4:4" ht="15.75" customHeight="1" x14ac:dyDescent="0.35">
      <c r="D368" s="146"/>
    </row>
    <row r="369" spans="4:4" ht="15.75" customHeight="1" x14ac:dyDescent="0.35">
      <c r="D369" s="146"/>
    </row>
    <row r="370" spans="4:4" ht="15.75" customHeight="1" x14ac:dyDescent="0.35">
      <c r="D370" s="146"/>
    </row>
    <row r="371" spans="4:4" ht="15.75" customHeight="1" x14ac:dyDescent="0.35">
      <c r="D371" s="146"/>
    </row>
    <row r="372" spans="4:4" ht="15.75" customHeight="1" x14ac:dyDescent="0.35">
      <c r="D372" s="146"/>
    </row>
    <row r="373" spans="4:4" ht="15.75" customHeight="1" x14ac:dyDescent="0.35">
      <c r="D373" s="146"/>
    </row>
    <row r="374" spans="4:4" ht="15.75" customHeight="1" x14ac:dyDescent="0.35">
      <c r="D374" s="146"/>
    </row>
    <row r="375" spans="4:4" ht="15.75" customHeight="1" x14ac:dyDescent="0.35">
      <c r="D375" s="146"/>
    </row>
    <row r="376" spans="4:4" ht="15.75" customHeight="1" x14ac:dyDescent="0.35">
      <c r="D376" s="146"/>
    </row>
    <row r="377" spans="4:4" ht="15.75" customHeight="1" x14ac:dyDescent="0.35">
      <c r="D377" s="146"/>
    </row>
    <row r="378" spans="4:4" ht="15.75" customHeight="1" x14ac:dyDescent="0.35">
      <c r="D378" s="146"/>
    </row>
    <row r="379" spans="4:4" ht="15.75" customHeight="1" x14ac:dyDescent="0.35">
      <c r="D379" s="146"/>
    </row>
    <row r="380" spans="4:4" ht="15.75" customHeight="1" x14ac:dyDescent="0.35">
      <c r="D380" s="146"/>
    </row>
    <row r="381" spans="4:4" ht="15.75" customHeight="1" x14ac:dyDescent="0.35">
      <c r="D381" s="146"/>
    </row>
    <row r="382" spans="4:4" ht="15.75" customHeight="1" x14ac:dyDescent="0.35">
      <c r="D382" s="146"/>
    </row>
    <row r="383" spans="4:4" ht="15.75" customHeight="1" x14ac:dyDescent="0.35">
      <c r="D383" s="146"/>
    </row>
    <row r="384" spans="4:4" ht="15.75" customHeight="1" x14ac:dyDescent="0.35">
      <c r="D384" s="146"/>
    </row>
    <row r="385" spans="4:4" ht="15.75" customHeight="1" x14ac:dyDescent="0.35">
      <c r="D385" s="146"/>
    </row>
    <row r="386" spans="4:4" ht="15.75" customHeight="1" x14ac:dyDescent="0.35">
      <c r="D386" s="146"/>
    </row>
    <row r="387" spans="4:4" ht="15.75" customHeight="1" x14ac:dyDescent="0.35">
      <c r="D387" s="146"/>
    </row>
    <row r="388" spans="4:4" ht="15.75" customHeight="1" x14ac:dyDescent="0.35">
      <c r="D388" s="146"/>
    </row>
    <row r="389" spans="4:4" ht="15.75" customHeight="1" x14ac:dyDescent="0.35">
      <c r="D389" s="146"/>
    </row>
    <row r="390" spans="4:4" ht="15.75" customHeight="1" x14ac:dyDescent="0.35">
      <c r="D390" s="146"/>
    </row>
    <row r="391" spans="4:4" ht="15.75" customHeight="1" x14ac:dyDescent="0.35">
      <c r="D391" s="146"/>
    </row>
    <row r="392" spans="4:4" ht="15.75" customHeight="1" x14ac:dyDescent="0.35">
      <c r="D392" s="146"/>
    </row>
    <row r="393" spans="4:4" ht="15.75" customHeight="1" x14ac:dyDescent="0.35">
      <c r="D393" s="146"/>
    </row>
    <row r="394" spans="4:4" ht="15.75" customHeight="1" x14ac:dyDescent="0.35">
      <c r="D394" s="146"/>
    </row>
    <row r="395" spans="4:4" ht="15.75" customHeight="1" x14ac:dyDescent="0.35">
      <c r="D395" s="146"/>
    </row>
    <row r="396" spans="4:4" ht="15.75" customHeight="1" x14ac:dyDescent="0.35">
      <c r="D396" s="146"/>
    </row>
    <row r="397" spans="4:4" ht="15.75" customHeight="1" x14ac:dyDescent="0.35">
      <c r="D397" s="146"/>
    </row>
    <row r="398" spans="4:4" ht="15.75" customHeight="1" x14ac:dyDescent="0.35">
      <c r="D398" s="146"/>
    </row>
    <row r="399" spans="4:4" ht="15.75" customHeight="1" x14ac:dyDescent="0.35">
      <c r="D399" s="146"/>
    </row>
    <row r="400" spans="4:4" ht="15.75" customHeight="1" x14ac:dyDescent="0.35">
      <c r="D400" s="146"/>
    </row>
    <row r="401" spans="4:4" ht="15.75" customHeight="1" x14ac:dyDescent="0.35">
      <c r="D401" s="146"/>
    </row>
    <row r="402" spans="4:4" ht="15.75" customHeight="1" x14ac:dyDescent="0.35">
      <c r="D402" s="146"/>
    </row>
    <row r="403" spans="4:4" ht="15.75" customHeight="1" x14ac:dyDescent="0.35">
      <c r="D403" s="146"/>
    </row>
    <row r="404" spans="4:4" ht="15.75" customHeight="1" x14ac:dyDescent="0.35">
      <c r="D404" s="146"/>
    </row>
    <row r="405" spans="4:4" ht="15.75" customHeight="1" x14ac:dyDescent="0.35">
      <c r="D405" s="146"/>
    </row>
    <row r="406" spans="4:4" ht="15.75" customHeight="1" x14ac:dyDescent="0.35">
      <c r="D406" s="146"/>
    </row>
    <row r="407" spans="4:4" ht="15.75" customHeight="1" x14ac:dyDescent="0.35">
      <c r="D407" s="146"/>
    </row>
    <row r="408" spans="4:4" ht="15.75" customHeight="1" x14ac:dyDescent="0.35">
      <c r="D408" s="146"/>
    </row>
    <row r="409" spans="4:4" ht="15.75" customHeight="1" x14ac:dyDescent="0.35">
      <c r="D409" s="146"/>
    </row>
    <row r="410" spans="4:4" ht="15.75" customHeight="1" x14ac:dyDescent="0.35">
      <c r="D410" s="146"/>
    </row>
    <row r="411" spans="4:4" ht="15.75" customHeight="1" x14ac:dyDescent="0.35">
      <c r="D411" s="146"/>
    </row>
    <row r="412" spans="4:4" ht="15.75" customHeight="1" x14ac:dyDescent="0.35">
      <c r="D412" s="146"/>
    </row>
    <row r="413" spans="4:4" ht="15.75" customHeight="1" x14ac:dyDescent="0.35">
      <c r="D413" s="146"/>
    </row>
    <row r="414" spans="4:4" ht="15.75" customHeight="1" x14ac:dyDescent="0.35">
      <c r="D414" s="146"/>
    </row>
    <row r="415" spans="4:4" ht="15.75" customHeight="1" x14ac:dyDescent="0.35">
      <c r="D415" s="146"/>
    </row>
    <row r="416" spans="4:4" ht="15.75" customHeight="1" x14ac:dyDescent="0.35">
      <c r="D416" s="146"/>
    </row>
    <row r="417" spans="4:4" ht="15.75" customHeight="1" x14ac:dyDescent="0.35">
      <c r="D417" s="146"/>
    </row>
    <row r="418" spans="4:4" ht="15.75" customHeight="1" x14ac:dyDescent="0.35">
      <c r="D418" s="146"/>
    </row>
    <row r="419" spans="4:4" ht="15.75" customHeight="1" x14ac:dyDescent="0.35">
      <c r="D419" s="146"/>
    </row>
    <row r="420" spans="4:4" ht="15.75" customHeight="1" x14ac:dyDescent="0.35">
      <c r="D420" s="146"/>
    </row>
    <row r="421" spans="4:4" ht="15.75" customHeight="1" x14ac:dyDescent="0.35">
      <c r="D421" s="146"/>
    </row>
    <row r="422" spans="4:4" ht="15.75" customHeight="1" x14ac:dyDescent="0.35">
      <c r="D422" s="146"/>
    </row>
    <row r="423" spans="4:4" ht="15.75" customHeight="1" x14ac:dyDescent="0.35">
      <c r="D423" s="146"/>
    </row>
    <row r="424" spans="4:4" ht="15.75" customHeight="1" x14ac:dyDescent="0.35">
      <c r="D424" s="146"/>
    </row>
    <row r="425" spans="4:4" ht="15.75" customHeight="1" x14ac:dyDescent="0.35">
      <c r="D425" s="146"/>
    </row>
    <row r="426" spans="4:4" ht="15.75" customHeight="1" x14ac:dyDescent="0.35">
      <c r="D426" s="146"/>
    </row>
    <row r="427" spans="4:4" ht="15.75" customHeight="1" x14ac:dyDescent="0.35">
      <c r="D427" s="146"/>
    </row>
    <row r="428" spans="4:4" ht="15.75" customHeight="1" x14ac:dyDescent="0.35">
      <c r="D428" s="146"/>
    </row>
    <row r="429" spans="4:4" ht="15.75" customHeight="1" x14ac:dyDescent="0.35">
      <c r="D429" s="146"/>
    </row>
    <row r="430" spans="4:4" ht="15.75" customHeight="1" x14ac:dyDescent="0.35">
      <c r="D430" s="146"/>
    </row>
    <row r="431" spans="4:4" ht="15.75" customHeight="1" x14ac:dyDescent="0.35">
      <c r="D431" s="146"/>
    </row>
    <row r="432" spans="4:4" ht="15.75" customHeight="1" x14ac:dyDescent="0.35">
      <c r="D432" s="146"/>
    </row>
    <row r="433" spans="4:4" ht="15.75" customHeight="1" x14ac:dyDescent="0.35">
      <c r="D433" s="146"/>
    </row>
    <row r="434" spans="4:4" ht="15.75" customHeight="1" x14ac:dyDescent="0.35">
      <c r="D434" s="146"/>
    </row>
    <row r="435" spans="4:4" ht="15.75" customHeight="1" x14ac:dyDescent="0.35">
      <c r="D435" s="146"/>
    </row>
    <row r="436" spans="4:4" ht="15.75" customHeight="1" x14ac:dyDescent="0.35">
      <c r="D436" s="146"/>
    </row>
    <row r="437" spans="4:4" ht="15.75" customHeight="1" x14ac:dyDescent="0.35">
      <c r="D437" s="146"/>
    </row>
    <row r="438" spans="4:4" ht="15.75" customHeight="1" x14ac:dyDescent="0.35">
      <c r="D438" s="146"/>
    </row>
    <row r="439" spans="4:4" ht="15.75" customHeight="1" x14ac:dyDescent="0.35">
      <c r="D439" s="146"/>
    </row>
    <row r="440" spans="4:4" ht="15.75" customHeight="1" x14ac:dyDescent="0.35">
      <c r="D440" s="146"/>
    </row>
    <row r="441" spans="4:4" ht="15.75" customHeight="1" x14ac:dyDescent="0.35">
      <c r="D441" s="146"/>
    </row>
    <row r="442" spans="4:4" ht="15.75" customHeight="1" x14ac:dyDescent="0.35">
      <c r="D442" s="146"/>
    </row>
    <row r="443" spans="4:4" ht="15.75" customHeight="1" x14ac:dyDescent="0.35">
      <c r="D443" s="146"/>
    </row>
    <row r="444" spans="4:4" ht="15.75" customHeight="1" x14ac:dyDescent="0.35">
      <c r="D444" s="146"/>
    </row>
    <row r="445" spans="4:4" ht="15.75" customHeight="1" x14ac:dyDescent="0.35">
      <c r="D445" s="146"/>
    </row>
    <row r="446" spans="4:4" ht="15.75" customHeight="1" x14ac:dyDescent="0.35">
      <c r="D446" s="146"/>
    </row>
    <row r="447" spans="4:4" ht="15.75" customHeight="1" x14ac:dyDescent="0.35">
      <c r="D447" s="146"/>
    </row>
    <row r="448" spans="4:4" ht="15.75" customHeight="1" x14ac:dyDescent="0.35">
      <c r="D448" s="146"/>
    </row>
    <row r="449" spans="4:4" ht="15.75" customHeight="1" x14ac:dyDescent="0.35">
      <c r="D449" s="146"/>
    </row>
    <row r="450" spans="4:4" ht="15.75" customHeight="1" x14ac:dyDescent="0.35">
      <c r="D450" s="146"/>
    </row>
    <row r="451" spans="4:4" ht="15.75" customHeight="1" x14ac:dyDescent="0.35">
      <c r="D451" s="146"/>
    </row>
    <row r="452" spans="4:4" ht="15.75" customHeight="1" x14ac:dyDescent="0.35">
      <c r="D452" s="146"/>
    </row>
    <row r="453" spans="4:4" ht="15.75" customHeight="1" x14ac:dyDescent="0.35">
      <c r="D453" s="146"/>
    </row>
    <row r="454" spans="4:4" ht="15.75" customHeight="1" x14ac:dyDescent="0.35">
      <c r="D454" s="146"/>
    </row>
    <row r="455" spans="4:4" ht="15.75" customHeight="1" x14ac:dyDescent="0.35">
      <c r="D455" s="146"/>
    </row>
    <row r="456" spans="4:4" ht="15.75" customHeight="1" x14ac:dyDescent="0.35">
      <c r="D456" s="146"/>
    </row>
    <row r="457" spans="4:4" ht="15.75" customHeight="1" x14ac:dyDescent="0.35">
      <c r="D457" s="146"/>
    </row>
    <row r="458" spans="4:4" ht="15.75" customHeight="1" x14ac:dyDescent="0.35">
      <c r="D458" s="146"/>
    </row>
    <row r="459" spans="4:4" ht="15.75" customHeight="1" x14ac:dyDescent="0.35">
      <c r="D459" s="146"/>
    </row>
    <row r="460" spans="4:4" ht="15.75" customHeight="1" x14ac:dyDescent="0.35">
      <c r="D460" s="146"/>
    </row>
    <row r="461" spans="4:4" ht="15.75" customHeight="1" x14ac:dyDescent="0.35">
      <c r="D461" s="146"/>
    </row>
    <row r="462" spans="4:4" ht="15.75" customHeight="1" x14ac:dyDescent="0.35">
      <c r="D462" s="146"/>
    </row>
    <row r="463" spans="4:4" ht="15.75" customHeight="1" x14ac:dyDescent="0.35">
      <c r="D463" s="146"/>
    </row>
    <row r="464" spans="4: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2849E-B32E-4590-BC0B-53B88174C9C6}">
  <dimension ref="A1:U996"/>
  <sheetViews>
    <sheetView topLeftCell="A172" workbookViewId="0">
      <selection activeCell="B187" sqref="B187:E234"/>
    </sheetView>
  </sheetViews>
  <sheetFormatPr baseColWidth="10" defaultColWidth="14.3984375" defaultRowHeight="10.5" x14ac:dyDescent="0.35"/>
  <cols>
    <col min="1" max="1" width="17.86328125" style="23" bestFit="1" customWidth="1"/>
    <col min="2" max="2" width="9.59765625" style="24" bestFit="1" customWidth="1"/>
    <col min="3" max="3" width="24.1328125" style="24" bestFit="1" customWidth="1"/>
    <col min="4" max="4" width="9.6640625" style="24" bestFit="1" customWidth="1"/>
    <col min="5" max="5" width="11.3984375" style="72" customWidth="1"/>
    <col min="6" max="6" width="10.6640625" style="72" bestFit="1" customWidth="1"/>
    <col min="7" max="7" width="14.73046875" style="72" customWidth="1"/>
    <col min="8" max="8" width="14.73046875" style="72" bestFit="1" customWidth="1"/>
    <col min="9" max="9" width="17.265625" style="72" bestFit="1" customWidth="1"/>
    <col min="10" max="10" width="15.06640625" style="72" bestFit="1" customWidth="1"/>
    <col min="11" max="11" width="4.6640625" style="72" bestFit="1" customWidth="1"/>
    <col min="12" max="12" width="16.9296875" style="72" bestFit="1" customWidth="1"/>
    <col min="13" max="13" width="7.1328125" style="72" bestFit="1" customWidth="1"/>
    <col min="14" max="14" width="10.6640625" style="72" bestFit="1" customWidth="1"/>
    <col min="15" max="15" width="10.73046875" style="72" bestFit="1" customWidth="1"/>
    <col min="16" max="16" width="11.06640625" style="72" bestFit="1" customWidth="1"/>
    <col min="17" max="17" width="10.265625" style="72" bestFit="1" customWidth="1"/>
    <col min="18" max="18" width="10.73046875" style="72" customWidth="1"/>
    <col min="19" max="19" width="8.53125" style="72" bestFit="1" customWidth="1"/>
    <col min="20" max="20" width="9.33203125" style="72" bestFit="1" customWidth="1"/>
    <col min="21" max="21" width="8.59765625" style="72" bestFit="1" customWidth="1"/>
    <col min="22" max="28" width="10.73046875" style="24" customWidth="1"/>
    <col min="29" max="16384" width="14.3984375" style="24"/>
  </cols>
  <sheetData>
    <row r="1" spans="1:21" x14ac:dyDescent="0.35">
      <c r="B1" s="581" t="s">
        <v>60</v>
      </c>
      <c r="C1" s="582"/>
      <c r="D1" s="23"/>
      <c r="E1" s="146"/>
      <c r="F1" s="146"/>
      <c r="G1" s="146"/>
      <c r="H1" s="146"/>
    </row>
    <row r="2" spans="1:21" x14ac:dyDescent="0.35">
      <c r="B2" s="581" t="s">
        <v>184</v>
      </c>
      <c r="C2" s="583"/>
      <c r="D2" s="23"/>
      <c r="E2" s="146"/>
      <c r="F2" s="146"/>
      <c r="G2" s="146"/>
      <c r="H2" s="146"/>
    </row>
    <row r="3" spans="1:21" x14ac:dyDescent="0.35">
      <c r="B3" s="581" t="s">
        <v>185</v>
      </c>
      <c r="C3" s="582"/>
      <c r="D3" s="23"/>
      <c r="E3" s="146"/>
      <c r="F3" s="146"/>
      <c r="G3" s="146"/>
      <c r="H3" s="146"/>
    </row>
    <row r="4" spans="1:21" x14ac:dyDescent="0.35">
      <c r="B4" s="581" t="s">
        <v>186</v>
      </c>
      <c r="C4" s="582"/>
      <c r="D4" s="23" t="s">
        <v>187</v>
      </c>
      <c r="E4" s="146"/>
      <c r="F4" s="146"/>
      <c r="G4" s="146"/>
      <c r="H4" s="146"/>
    </row>
    <row r="5" spans="1:21" x14ac:dyDescent="0.35">
      <c r="B5" s="581" t="s">
        <v>188</v>
      </c>
      <c r="C5" s="582"/>
      <c r="D5" s="23" t="s">
        <v>187</v>
      </c>
      <c r="E5" s="146"/>
      <c r="F5" s="146"/>
      <c r="G5" s="146"/>
      <c r="H5" s="146"/>
    </row>
    <row r="6" spans="1:21" x14ac:dyDescent="0.35">
      <c r="B6" s="590" t="s">
        <v>189</v>
      </c>
      <c r="C6" s="591" t="s">
        <v>1072</v>
      </c>
      <c r="D6" s="592">
        <f>'e402-e801'!C6</f>
        <v>0</v>
      </c>
      <c r="E6" s="518" t="s">
        <v>1073</v>
      </c>
      <c r="F6" s="595">
        <f>'e402-e801'!E6</f>
        <v>0</v>
      </c>
      <c r="G6" s="146"/>
      <c r="H6" s="146"/>
    </row>
    <row r="8" spans="1:21" ht="42" x14ac:dyDescent="0.35">
      <c r="B8" s="593" t="s">
        <v>192</v>
      </c>
      <c r="C8" s="593" t="s">
        <v>191</v>
      </c>
      <c r="D8" s="593" t="s">
        <v>55</v>
      </c>
      <c r="E8" s="698" t="s">
        <v>54</v>
      </c>
      <c r="F8" s="571" t="s">
        <v>193</v>
      </c>
      <c r="G8" s="731" t="s">
        <v>320</v>
      </c>
      <c r="H8" s="698" t="s">
        <v>53</v>
      </c>
      <c r="I8" s="772" t="s">
        <v>52</v>
      </c>
      <c r="J8" s="698" t="s">
        <v>656</v>
      </c>
      <c r="K8" s="698"/>
      <c r="L8" s="699" t="s">
        <v>50</v>
      </c>
      <c r="M8" s="699" t="s">
        <v>49</v>
      </c>
      <c r="N8" s="699" t="s">
        <v>48</v>
      </c>
      <c r="O8" s="479" t="s">
        <v>162</v>
      </c>
      <c r="P8" s="281" t="s">
        <v>163</v>
      </c>
      <c r="Q8" s="281" t="s">
        <v>165</v>
      </c>
      <c r="R8" s="282" t="s">
        <v>169</v>
      </c>
      <c r="S8" s="282" t="s">
        <v>164</v>
      </c>
      <c r="T8" s="279" t="s">
        <v>47</v>
      </c>
      <c r="U8" s="19" t="s">
        <v>46</v>
      </c>
    </row>
    <row r="9" spans="1:21" x14ac:dyDescent="0.35">
      <c r="A9" s="707" t="s">
        <v>643</v>
      </c>
      <c r="B9" s="471">
        <v>8443432190</v>
      </c>
      <c r="C9" s="594" t="s">
        <v>871</v>
      </c>
      <c r="D9" s="42">
        <v>300</v>
      </c>
      <c r="E9" s="63">
        <v>112</v>
      </c>
      <c r="F9" s="700">
        <f>'e402-e801'!E9</f>
        <v>0</v>
      </c>
      <c r="G9" s="57">
        <f>((F9*0.2)+F9)</f>
        <v>0</v>
      </c>
      <c r="H9" s="57">
        <f>G9/D9</f>
        <v>0</v>
      </c>
      <c r="I9" s="60">
        <f>(30*BC!B47/E9)</f>
        <v>0</v>
      </c>
      <c r="J9" s="701">
        <f t="shared" ref="J9:J40" si="0">IF(I9&gt;H9,I9,H9)</f>
        <v>0</v>
      </c>
      <c r="K9" s="701">
        <f t="shared" ref="K9:K40" si="1">IF(H9=0,0,J9)</f>
        <v>0</v>
      </c>
      <c r="L9" s="216">
        <f>ROUNDUP(K9,0)</f>
        <v>0</v>
      </c>
      <c r="M9" s="702">
        <v>408</v>
      </c>
      <c r="N9" s="703">
        <f>M9*L9</f>
        <v>0</v>
      </c>
      <c r="O9" s="704">
        <f t="shared" ref="O9:O40" si="2">M9/D9</f>
        <v>1.36</v>
      </c>
      <c r="P9" s="142" t="e">
        <f>(O9+$O$261)+((BC!$F$125)/$F$112)</f>
        <v>#DIV/0!</v>
      </c>
      <c r="Q9" s="149" t="e">
        <f t="shared" ref="Q9:Q40" si="3">P9*F9</f>
        <v>#DIV/0!</v>
      </c>
      <c r="R9" s="393" t="e">
        <f>((P9*0.15)+P9)</f>
        <v>#DIV/0!</v>
      </c>
      <c r="S9" s="393" t="e">
        <f t="shared" ref="S9:S40" si="4">R9*F9</f>
        <v>#DIV/0!</v>
      </c>
      <c r="T9" s="596" t="e">
        <f>SUM(S9:S67)</f>
        <v>#DIV/0!</v>
      </c>
      <c r="U9" s="597" t="e">
        <f>SUM(Q9:Q67)</f>
        <v>#DIV/0!</v>
      </c>
    </row>
    <row r="10" spans="1:21" x14ac:dyDescent="0.35">
      <c r="A10" s="707">
        <f>G9+G10+G11+G12+G13+G14+G18+G19+G20+G21+G22+G23+G24+G25+G27+G33+G34+G49+G67</f>
        <v>0</v>
      </c>
      <c r="B10" s="471">
        <v>9007733190</v>
      </c>
      <c r="C10" s="594" t="s">
        <v>872</v>
      </c>
      <c r="D10" s="42">
        <v>300</v>
      </c>
      <c r="E10" s="1">
        <v>112</v>
      </c>
      <c r="F10" s="700">
        <f>'e402-e801'!E10</f>
        <v>0</v>
      </c>
      <c r="G10" s="57">
        <f t="shared" ref="G10:G73" si="5">((F10*0.2)+F10)</f>
        <v>0</v>
      </c>
      <c r="H10" s="57">
        <f t="shared" ref="H10:H73" si="6">G10/D10</f>
        <v>0</v>
      </c>
      <c r="I10" s="60">
        <f>(30*BC!B48/E10)</f>
        <v>0</v>
      </c>
      <c r="J10" s="701">
        <f t="shared" si="0"/>
        <v>0</v>
      </c>
      <c r="K10" s="701">
        <f t="shared" si="1"/>
        <v>0</v>
      </c>
      <c r="L10" s="216">
        <f t="shared" ref="L10:L73" si="7">ROUNDUP(K10,0)</f>
        <v>0</v>
      </c>
      <c r="M10" s="702">
        <v>558</v>
      </c>
      <c r="N10" s="703">
        <f t="shared" ref="N10:N73" si="8">M10*L10</f>
        <v>0</v>
      </c>
      <c r="O10" s="704">
        <f t="shared" si="2"/>
        <v>1.86</v>
      </c>
      <c r="P10" s="142" t="e">
        <f>(O10+$O$261)+((BC!$F$125)/$F$112)</f>
        <v>#DIV/0!</v>
      </c>
      <c r="Q10" s="149" t="e">
        <f t="shared" si="3"/>
        <v>#DIV/0!</v>
      </c>
      <c r="R10" s="393" t="e">
        <f t="shared" ref="R10:R73" si="9">((P10*0.15)+P10)</f>
        <v>#DIV/0!</v>
      </c>
      <c r="S10" s="393" t="e">
        <f t="shared" si="4"/>
        <v>#DIV/0!</v>
      </c>
    </row>
    <row r="11" spans="1:21" x14ac:dyDescent="0.35">
      <c r="B11" s="471">
        <v>9007784190</v>
      </c>
      <c r="C11" s="594" t="s">
        <v>873</v>
      </c>
      <c r="D11" s="42">
        <v>300</v>
      </c>
      <c r="E11" s="1">
        <v>112</v>
      </c>
      <c r="F11" s="700">
        <f>'e402-e801'!E11</f>
        <v>0</v>
      </c>
      <c r="G11" s="57">
        <f t="shared" si="5"/>
        <v>0</v>
      </c>
      <c r="H11" s="57">
        <f t="shared" si="6"/>
        <v>0</v>
      </c>
      <c r="I11" s="60">
        <f>(30*BC!B49/E11)</f>
        <v>0</v>
      </c>
      <c r="J11" s="701">
        <f t="shared" si="0"/>
        <v>0</v>
      </c>
      <c r="K11" s="701">
        <f t="shared" si="1"/>
        <v>0</v>
      </c>
      <c r="L11" s="216">
        <f t="shared" si="7"/>
        <v>0</v>
      </c>
      <c r="M11" s="702">
        <v>564</v>
      </c>
      <c r="N11" s="703">
        <f t="shared" si="8"/>
        <v>0</v>
      </c>
      <c r="O11" s="704">
        <f t="shared" si="2"/>
        <v>1.88</v>
      </c>
      <c r="P11" s="142" t="e">
        <f>(O11+$O$261)+((BC!$F$125)/$F$112)</f>
        <v>#DIV/0!</v>
      </c>
      <c r="Q11" s="149" t="e">
        <f t="shared" si="3"/>
        <v>#DIV/0!</v>
      </c>
      <c r="R11" s="393" t="e">
        <f t="shared" si="9"/>
        <v>#DIV/0!</v>
      </c>
      <c r="S11" s="393" t="e">
        <f t="shared" si="4"/>
        <v>#DIV/0!</v>
      </c>
    </row>
    <row r="12" spans="1:21" x14ac:dyDescent="0.35">
      <c r="A12" s="708" t="s">
        <v>641</v>
      </c>
      <c r="B12" s="471">
        <v>9005811190</v>
      </c>
      <c r="C12" s="594" t="s">
        <v>874</v>
      </c>
      <c r="D12" s="42">
        <v>300</v>
      </c>
      <c r="E12" s="1">
        <v>112</v>
      </c>
      <c r="F12" s="700">
        <f>'e402-e801'!E12</f>
        <v>0</v>
      </c>
      <c r="G12" s="57">
        <f t="shared" si="5"/>
        <v>0</v>
      </c>
      <c r="H12" s="57">
        <f t="shared" si="6"/>
        <v>0</v>
      </c>
      <c r="I12" s="60">
        <f>(30*BC!B50/E12)</f>
        <v>0</v>
      </c>
      <c r="J12" s="701">
        <f t="shared" si="0"/>
        <v>0</v>
      </c>
      <c r="K12" s="701">
        <f t="shared" si="1"/>
        <v>0</v>
      </c>
      <c r="L12" s="216">
        <f t="shared" si="7"/>
        <v>0</v>
      </c>
      <c r="M12" s="702">
        <v>564</v>
      </c>
      <c r="N12" s="703">
        <f t="shared" si="8"/>
        <v>0</v>
      </c>
      <c r="O12" s="704">
        <f t="shared" si="2"/>
        <v>1.88</v>
      </c>
      <c r="P12" s="142" t="e">
        <f>(O12+$O$261)+((BC!$F$125)/$F$112)</f>
        <v>#DIV/0!</v>
      </c>
      <c r="Q12" s="149" t="e">
        <f t="shared" si="3"/>
        <v>#DIV/0!</v>
      </c>
      <c r="R12" s="393" t="e">
        <f t="shared" si="9"/>
        <v>#DIV/0!</v>
      </c>
      <c r="S12" s="393" t="e">
        <f t="shared" si="4"/>
        <v>#DIV/0!</v>
      </c>
    </row>
    <row r="13" spans="1:21" x14ac:dyDescent="0.35">
      <c r="A13" s="708">
        <f>G15+G16+G17</f>
        <v>0</v>
      </c>
      <c r="B13" s="471">
        <v>9043284190</v>
      </c>
      <c r="C13" s="594" t="s">
        <v>875</v>
      </c>
      <c r="D13" s="42">
        <v>300</v>
      </c>
      <c r="E13" s="1">
        <v>112</v>
      </c>
      <c r="F13" s="700">
        <f>'e402-e801'!E13</f>
        <v>0</v>
      </c>
      <c r="G13" s="57">
        <f t="shared" si="5"/>
        <v>0</v>
      </c>
      <c r="H13" s="57">
        <f t="shared" si="6"/>
        <v>0</v>
      </c>
      <c r="I13" s="60">
        <f>(30*BC!B51/E13)</f>
        <v>0</v>
      </c>
      <c r="J13" s="701">
        <f t="shared" si="0"/>
        <v>0</v>
      </c>
      <c r="K13" s="701">
        <f t="shared" si="1"/>
        <v>0</v>
      </c>
      <c r="L13" s="216">
        <f t="shared" si="7"/>
        <v>0</v>
      </c>
      <c r="M13" s="702">
        <v>564</v>
      </c>
      <c r="N13" s="703">
        <f t="shared" si="8"/>
        <v>0</v>
      </c>
      <c r="O13" s="704">
        <f t="shared" si="2"/>
        <v>1.88</v>
      </c>
      <c r="P13" s="142" t="e">
        <f>(O13+$O$261)+((BC!$F$125)/$F$112)</f>
        <v>#DIV/0!</v>
      </c>
      <c r="Q13" s="149" t="e">
        <f t="shared" si="3"/>
        <v>#DIV/0!</v>
      </c>
      <c r="R13" s="393" t="e">
        <f t="shared" si="9"/>
        <v>#DIV/0!</v>
      </c>
      <c r="S13" s="393" t="e">
        <f t="shared" si="4"/>
        <v>#DIV/0!</v>
      </c>
    </row>
    <row r="14" spans="1:21" x14ac:dyDescent="0.35">
      <c r="A14" s="24"/>
      <c r="B14" s="471">
        <v>8906564190</v>
      </c>
      <c r="C14" s="594" t="s">
        <v>876</v>
      </c>
      <c r="D14" s="42">
        <v>300</v>
      </c>
      <c r="E14" s="1">
        <v>112</v>
      </c>
      <c r="F14" s="700">
        <f>'e402-e801'!E14</f>
        <v>0</v>
      </c>
      <c r="G14" s="57">
        <f t="shared" si="5"/>
        <v>0</v>
      </c>
      <c r="H14" s="57">
        <f t="shared" si="6"/>
        <v>0</v>
      </c>
      <c r="I14" s="60">
        <f>(30*BC!B52/E14)</f>
        <v>0</v>
      </c>
      <c r="J14" s="701">
        <f t="shared" si="0"/>
        <v>0</v>
      </c>
      <c r="K14" s="701">
        <f t="shared" si="1"/>
        <v>0</v>
      </c>
      <c r="L14" s="216">
        <f t="shared" si="7"/>
        <v>0</v>
      </c>
      <c r="M14" s="702">
        <v>555</v>
      </c>
      <c r="N14" s="703">
        <f t="shared" si="8"/>
        <v>0</v>
      </c>
      <c r="O14" s="704">
        <f t="shared" si="2"/>
        <v>1.85</v>
      </c>
      <c r="P14" s="142" t="e">
        <f>(O14+$O$261)+((BC!$F$125)/$F$112)</f>
        <v>#DIV/0!</v>
      </c>
      <c r="Q14" s="149" t="e">
        <f t="shared" si="3"/>
        <v>#DIV/0!</v>
      </c>
      <c r="R14" s="393" t="e">
        <f t="shared" si="9"/>
        <v>#DIV/0!</v>
      </c>
      <c r="S14" s="393" t="e">
        <f t="shared" si="4"/>
        <v>#DIV/0!</v>
      </c>
    </row>
    <row r="15" spans="1:21" x14ac:dyDescent="0.35">
      <c r="A15" s="709" t="s">
        <v>1074</v>
      </c>
      <c r="B15" s="471">
        <v>7026935190</v>
      </c>
      <c r="C15" s="598" t="s">
        <v>877</v>
      </c>
      <c r="D15" s="42">
        <v>300</v>
      </c>
      <c r="E15" s="1">
        <v>112</v>
      </c>
      <c r="F15" s="700">
        <f>'e402-e801'!E15</f>
        <v>0</v>
      </c>
      <c r="G15" s="57">
        <f t="shared" si="5"/>
        <v>0</v>
      </c>
      <c r="H15" s="57">
        <f t="shared" si="6"/>
        <v>0</v>
      </c>
      <c r="I15" s="60">
        <f>(30*BC!B53/E15)</f>
        <v>0</v>
      </c>
      <c r="J15" s="701">
        <f t="shared" si="0"/>
        <v>0</v>
      </c>
      <c r="K15" s="701">
        <f t="shared" si="1"/>
        <v>0</v>
      </c>
      <c r="L15" s="216">
        <f t="shared" si="7"/>
        <v>0</v>
      </c>
      <c r="M15" s="702">
        <v>1644</v>
      </c>
      <c r="N15" s="703">
        <f t="shared" si="8"/>
        <v>0</v>
      </c>
      <c r="O15" s="704">
        <f t="shared" si="2"/>
        <v>5.48</v>
      </c>
      <c r="P15" s="142" t="e">
        <f>(O15+$O$261)+((BC!$F$125)/$F$112)</f>
        <v>#DIV/0!</v>
      </c>
      <c r="Q15" s="149" t="e">
        <f t="shared" si="3"/>
        <v>#DIV/0!</v>
      </c>
      <c r="R15" s="393" t="e">
        <f t="shared" si="9"/>
        <v>#DIV/0!</v>
      </c>
      <c r="S15" s="393" t="e">
        <f t="shared" si="4"/>
        <v>#DIV/0!</v>
      </c>
    </row>
    <row r="16" spans="1:21" x14ac:dyDescent="0.35">
      <c r="A16" s="709">
        <f>G26+G39+G40+G41+G42+G43+G44+G45+G46+G47+G48</f>
        <v>0</v>
      </c>
      <c r="B16" s="471">
        <v>9005021190</v>
      </c>
      <c r="C16" s="598" t="s">
        <v>878</v>
      </c>
      <c r="D16" s="42">
        <v>300</v>
      </c>
      <c r="E16" s="1">
        <v>112</v>
      </c>
      <c r="F16" s="700">
        <f>'e402-e801'!E16</f>
        <v>0</v>
      </c>
      <c r="G16" s="57">
        <f t="shared" si="5"/>
        <v>0</v>
      </c>
      <c r="H16" s="57">
        <f t="shared" si="6"/>
        <v>0</v>
      </c>
      <c r="I16" s="60">
        <f>(30*BC!B54/E16)</f>
        <v>0</v>
      </c>
      <c r="J16" s="701">
        <f t="shared" si="0"/>
        <v>0</v>
      </c>
      <c r="K16" s="701">
        <f t="shared" si="1"/>
        <v>0</v>
      </c>
      <c r="L16" s="216">
        <f t="shared" si="7"/>
        <v>0</v>
      </c>
      <c r="M16" s="702">
        <v>1461</v>
      </c>
      <c r="N16" s="703">
        <f t="shared" si="8"/>
        <v>0</v>
      </c>
      <c r="O16" s="704">
        <f t="shared" si="2"/>
        <v>4.87</v>
      </c>
      <c r="P16" s="142" t="e">
        <f>(O16+$O$261)+((BC!$F$125)/$F$112)</f>
        <v>#DIV/0!</v>
      </c>
      <c r="Q16" s="149" t="e">
        <f t="shared" si="3"/>
        <v>#DIV/0!</v>
      </c>
      <c r="R16" s="393" t="e">
        <f t="shared" si="9"/>
        <v>#DIV/0!</v>
      </c>
      <c r="S16" s="393" t="e">
        <f t="shared" si="4"/>
        <v>#DIV/0!</v>
      </c>
    </row>
    <row r="17" spans="1:19" x14ac:dyDescent="0.35">
      <c r="B17" s="471">
        <v>8496633190</v>
      </c>
      <c r="C17" s="598" t="s">
        <v>879</v>
      </c>
      <c r="D17" s="42">
        <v>100</v>
      </c>
      <c r="E17" s="1">
        <v>112</v>
      </c>
      <c r="F17" s="700">
        <f>'e402-e801'!E17</f>
        <v>0</v>
      </c>
      <c r="G17" s="57">
        <f t="shared" si="5"/>
        <v>0</v>
      </c>
      <c r="H17" s="57">
        <f t="shared" si="6"/>
        <v>0</v>
      </c>
      <c r="I17" s="60">
        <f>(30*BC!B55/E17)</f>
        <v>0</v>
      </c>
      <c r="J17" s="701">
        <f t="shared" si="0"/>
        <v>0</v>
      </c>
      <c r="K17" s="701">
        <f t="shared" si="1"/>
        <v>0</v>
      </c>
      <c r="L17" s="216">
        <f t="shared" si="7"/>
        <v>0</v>
      </c>
      <c r="M17" s="702">
        <v>4965</v>
      </c>
      <c r="N17" s="703">
        <f t="shared" si="8"/>
        <v>0</v>
      </c>
      <c r="O17" s="704">
        <f t="shared" si="2"/>
        <v>49.65</v>
      </c>
      <c r="P17" s="142" t="e">
        <f>(O17+$O$261)+((BC!$F$125)/$F$112)</f>
        <v>#DIV/0!</v>
      </c>
      <c r="Q17" s="149" t="e">
        <f t="shared" si="3"/>
        <v>#DIV/0!</v>
      </c>
      <c r="R17" s="393" t="e">
        <f t="shared" si="9"/>
        <v>#DIV/0!</v>
      </c>
      <c r="S17" s="393" t="e">
        <f t="shared" si="4"/>
        <v>#DIV/0!</v>
      </c>
    </row>
    <row r="18" spans="1:19" x14ac:dyDescent="0.35">
      <c r="A18" s="710" t="s">
        <v>1075</v>
      </c>
      <c r="B18" s="471">
        <v>7027575190</v>
      </c>
      <c r="C18" s="599" t="s">
        <v>880</v>
      </c>
      <c r="D18" s="42">
        <v>300</v>
      </c>
      <c r="E18" s="1">
        <v>112</v>
      </c>
      <c r="F18" s="700">
        <f>'e402-e801'!E18</f>
        <v>0</v>
      </c>
      <c r="G18" s="57">
        <f t="shared" si="5"/>
        <v>0</v>
      </c>
      <c r="H18" s="57">
        <f t="shared" si="6"/>
        <v>0</v>
      </c>
      <c r="I18" s="60">
        <f>(30*BC!B56/E18)</f>
        <v>0</v>
      </c>
      <c r="J18" s="701">
        <f t="shared" si="0"/>
        <v>0</v>
      </c>
      <c r="K18" s="701">
        <f t="shared" si="1"/>
        <v>0</v>
      </c>
      <c r="L18" s="216">
        <f t="shared" si="7"/>
        <v>0</v>
      </c>
      <c r="M18" s="702">
        <v>351</v>
      </c>
      <c r="N18" s="703">
        <f t="shared" si="8"/>
        <v>0</v>
      </c>
      <c r="O18" s="704">
        <f t="shared" si="2"/>
        <v>1.17</v>
      </c>
      <c r="P18" s="142" t="e">
        <f>(O18+$O$261)+((BC!$F$125)/$F$112)</f>
        <v>#DIV/0!</v>
      </c>
      <c r="Q18" s="149" t="e">
        <f t="shared" si="3"/>
        <v>#DIV/0!</v>
      </c>
      <c r="R18" s="393" t="e">
        <f t="shared" si="9"/>
        <v>#DIV/0!</v>
      </c>
      <c r="S18" s="393" t="e">
        <f t="shared" si="4"/>
        <v>#DIV/0!</v>
      </c>
    </row>
    <row r="19" spans="1:19" x14ac:dyDescent="0.35">
      <c r="A19" s="711">
        <f>G28+G29+G102</f>
        <v>0</v>
      </c>
      <c r="B19" s="471">
        <v>8932387190</v>
      </c>
      <c r="C19" s="599" t="s">
        <v>881</v>
      </c>
      <c r="D19" s="42">
        <v>300</v>
      </c>
      <c r="E19" s="1">
        <v>112</v>
      </c>
      <c r="F19" s="700">
        <f>'e402-e801'!E19</f>
        <v>0</v>
      </c>
      <c r="G19" s="57">
        <f t="shared" si="5"/>
        <v>0</v>
      </c>
      <c r="H19" s="57">
        <f t="shared" si="6"/>
        <v>0</v>
      </c>
      <c r="I19" s="60" t="e">
        <f>(30*BC!B57/E19)</f>
        <v>#VALUE!</v>
      </c>
      <c r="J19" s="701" t="e">
        <f t="shared" si="0"/>
        <v>#VALUE!</v>
      </c>
      <c r="K19" s="701">
        <f t="shared" si="1"/>
        <v>0</v>
      </c>
      <c r="L19" s="216">
        <f t="shared" si="7"/>
        <v>0</v>
      </c>
      <c r="M19" s="702">
        <v>705</v>
      </c>
      <c r="N19" s="703">
        <f t="shared" si="8"/>
        <v>0</v>
      </c>
      <c r="O19" s="704">
        <f t="shared" si="2"/>
        <v>2.35</v>
      </c>
      <c r="P19" s="142" t="e">
        <f>(O19+$O$261)+((BC!$F$125)/$F$112)</f>
        <v>#DIV/0!</v>
      </c>
      <c r="Q19" s="149" t="e">
        <f t="shared" si="3"/>
        <v>#DIV/0!</v>
      </c>
      <c r="R19" s="393" t="e">
        <f t="shared" si="9"/>
        <v>#DIV/0!</v>
      </c>
      <c r="S19" s="393" t="e">
        <f t="shared" si="4"/>
        <v>#DIV/0!</v>
      </c>
    </row>
    <row r="20" spans="1:19" ht="15.75" customHeight="1" x14ac:dyDescent="0.35">
      <c r="B20" s="471">
        <v>7027249190</v>
      </c>
      <c r="C20" s="599" t="s">
        <v>882</v>
      </c>
      <c r="D20" s="42">
        <v>300</v>
      </c>
      <c r="E20" s="1">
        <v>112</v>
      </c>
      <c r="F20" s="700">
        <f>'e402-e801'!E20</f>
        <v>0</v>
      </c>
      <c r="G20" s="57">
        <f t="shared" si="5"/>
        <v>0</v>
      </c>
      <c r="H20" s="57">
        <f t="shared" si="6"/>
        <v>0</v>
      </c>
      <c r="I20" s="60">
        <f>(30*BC!B58/E20)</f>
        <v>0</v>
      </c>
      <c r="J20" s="701">
        <f t="shared" si="0"/>
        <v>0</v>
      </c>
      <c r="K20" s="701">
        <f t="shared" si="1"/>
        <v>0</v>
      </c>
      <c r="L20" s="216">
        <f t="shared" si="7"/>
        <v>0</v>
      </c>
      <c r="M20" s="702">
        <v>497</v>
      </c>
      <c r="N20" s="703">
        <f t="shared" si="8"/>
        <v>0</v>
      </c>
      <c r="O20" s="704">
        <f t="shared" si="2"/>
        <v>1.6566666666666667</v>
      </c>
      <c r="P20" s="142" t="e">
        <f>(O20+$O$261)+((BC!$F$125)/$F$112)</f>
        <v>#DIV/0!</v>
      </c>
      <c r="Q20" s="149" t="e">
        <f t="shared" si="3"/>
        <v>#DIV/0!</v>
      </c>
      <c r="R20" s="393" t="e">
        <f t="shared" si="9"/>
        <v>#DIV/0!</v>
      </c>
      <c r="S20" s="393" t="e">
        <f t="shared" si="4"/>
        <v>#DIV/0!</v>
      </c>
    </row>
    <row r="21" spans="1:19" ht="15.75" customHeight="1" x14ac:dyDescent="0.35">
      <c r="A21" s="712" t="s">
        <v>1076</v>
      </c>
      <c r="B21" s="471">
        <v>9755748190</v>
      </c>
      <c r="C21" s="599" t="s">
        <v>883</v>
      </c>
      <c r="D21" s="42">
        <v>100</v>
      </c>
      <c r="E21" s="1">
        <v>112</v>
      </c>
      <c r="F21" s="700">
        <f>'e402-e801'!E21</f>
        <v>0</v>
      </c>
      <c r="G21" s="57">
        <f t="shared" si="5"/>
        <v>0</v>
      </c>
      <c r="H21" s="57">
        <f t="shared" si="6"/>
        <v>0</v>
      </c>
      <c r="I21" s="60">
        <f>(30*BC!B59/E21)</f>
        <v>0</v>
      </c>
      <c r="J21" s="701">
        <f t="shared" si="0"/>
        <v>0</v>
      </c>
      <c r="K21" s="701">
        <f t="shared" si="1"/>
        <v>0</v>
      </c>
      <c r="L21" s="216">
        <f t="shared" si="7"/>
        <v>0</v>
      </c>
      <c r="M21" s="702">
        <v>120</v>
      </c>
      <c r="N21" s="703">
        <f t="shared" si="8"/>
        <v>0</v>
      </c>
      <c r="O21" s="704">
        <f t="shared" si="2"/>
        <v>1.2</v>
      </c>
      <c r="P21" s="142" t="e">
        <f>(O21+$O$261)+((BC!$F$125)/$F$112)</f>
        <v>#DIV/0!</v>
      </c>
      <c r="Q21" s="149" t="e">
        <f t="shared" si="3"/>
        <v>#DIV/0!</v>
      </c>
      <c r="R21" s="393" t="e">
        <f t="shared" si="9"/>
        <v>#DIV/0!</v>
      </c>
      <c r="S21" s="393" t="e">
        <f t="shared" si="4"/>
        <v>#DIV/0!</v>
      </c>
    </row>
    <row r="22" spans="1:19" ht="15.75" customHeight="1" x14ac:dyDescent="0.35">
      <c r="A22" s="712">
        <f>G30+G31+G32+G36+G62</f>
        <v>0</v>
      </c>
      <c r="B22" s="471">
        <v>7027737190</v>
      </c>
      <c r="C22" s="599" t="s">
        <v>884</v>
      </c>
      <c r="D22" s="42">
        <v>300</v>
      </c>
      <c r="E22" s="1">
        <v>112</v>
      </c>
      <c r="F22" s="700">
        <f>'e402-e801'!E22</f>
        <v>0</v>
      </c>
      <c r="G22" s="57">
        <f t="shared" si="5"/>
        <v>0</v>
      </c>
      <c r="H22" s="57">
        <f t="shared" si="6"/>
        <v>0</v>
      </c>
      <c r="I22" s="60">
        <f>(30*BC!B60/E22)</f>
        <v>19319.47232142857</v>
      </c>
      <c r="J22" s="701">
        <f t="shared" si="0"/>
        <v>19319.47232142857</v>
      </c>
      <c r="K22" s="701">
        <f t="shared" si="1"/>
        <v>0</v>
      </c>
      <c r="L22" s="216">
        <f t="shared" si="7"/>
        <v>0</v>
      </c>
      <c r="M22" s="702">
        <v>366</v>
      </c>
      <c r="N22" s="703">
        <f t="shared" si="8"/>
        <v>0</v>
      </c>
      <c r="O22" s="704">
        <f t="shared" si="2"/>
        <v>1.22</v>
      </c>
      <c r="P22" s="142" t="e">
        <f>(O22+$O$261)+((BC!$F$125)/$F$112)</f>
        <v>#DIV/0!</v>
      </c>
      <c r="Q22" s="149" t="e">
        <f t="shared" si="3"/>
        <v>#DIV/0!</v>
      </c>
      <c r="R22" s="393" t="e">
        <f t="shared" si="9"/>
        <v>#DIV/0!</v>
      </c>
      <c r="S22" s="393" t="e">
        <f t="shared" si="4"/>
        <v>#DIV/0!</v>
      </c>
    </row>
    <row r="23" spans="1:19" ht="15.75" customHeight="1" x14ac:dyDescent="0.35">
      <c r="B23" s="471">
        <v>8946370190</v>
      </c>
      <c r="C23" s="599" t="s">
        <v>885</v>
      </c>
      <c r="D23" s="42">
        <v>300</v>
      </c>
      <c r="E23" s="1">
        <v>112</v>
      </c>
      <c r="F23" s="700">
        <f>'e402-e801'!E23</f>
        <v>0</v>
      </c>
      <c r="G23" s="57">
        <f t="shared" si="5"/>
        <v>0</v>
      </c>
      <c r="H23" s="57">
        <f t="shared" si="6"/>
        <v>0</v>
      </c>
      <c r="I23" s="60">
        <f>(30*BC!B61/E23)</f>
        <v>0</v>
      </c>
      <c r="J23" s="701">
        <f t="shared" si="0"/>
        <v>0</v>
      </c>
      <c r="K23" s="701">
        <f t="shared" si="1"/>
        <v>0</v>
      </c>
      <c r="L23" s="216">
        <f t="shared" si="7"/>
        <v>0</v>
      </c>
      <c r="M23" s="702">
        <v>345</v>
      </c>
      <c r="N23" s="703">
        <f t="shared" si="8"/>
        <v>0</v>
      </c>
      <c r="O23" s="704">
        <f t="shared" si="2"/>
        <v>1.1499999999999999</v>
      </c>
      <c r="P23" s="142" t="e">
        <f>(O23+$O$261)+((BC!$F$125)/$F$112)</f>
        <v>#DIV/0!</v>
      </c>
      <c r="Q23" s="149" t="e">
        <f t="shared" si="3"/>
        <v>#DIV/0!</v>
      </c>
      <c r="R23" s="393" t="e">
        <f t="shared" si="9"/>
        <v>#DIV/0!</v>
      </c>
      <c r="S23" s="393" t="e">
        <f t="shared" si="4"/>
        <v>#DIV/0!</v>
      </c>
    </row>
    <row r="24" spans="1:19" ht="15.75" customHeight="1" x14ac:dyDescent="0.35">
      <c r="A24" s="713" t="s">
        <v>1077</v>
      </c>
      <c r="B24" s="471">
        <v>7258496190</v>
      </c>
      <c r="C24" s="599" t="s">
        <v>886</v>
      </c>
      <c r="D24" s="42">
        <v>300</v>
      </c>
      <c r="E24" s="1">
        <v>112</v>
      </c>
      <c r="F24" s="700">
        <f>'e402-e801'!E24</f>
        <v>0</v>
      </c>
      <c r="G24" s="57">
        <f t="shared" si="5"/>
        <v>0</v>
      </c>
      <c r="H24" s="57">
        <f t="shared" si="6"/>
        <v>0</v>
      </c>
      <c r="I24" s="60" t="e">
        <f>(30*BC!B62/E24)</f>
        <v>#VALUE!</v>
      </c>
      <c r="J24" s="701" t="e">
        <f t="shared" si="0"/>
        <v>#VALUE!</v>
      </c>
      <c r="K24" s="701">
        <f t="shared" si="1"/>
        <v>0</v>
      </c>
      <c r="L24" s="216">
        <f t="shared" si="7"/>
        <v>0</v>
      </c>
      <c r="M24" s="702">
        <v>597</v>
      </c>
      <c r="N24" s="703">
        <f t="shared" si="8"/>
        <v>0</v>
      </c>
      <c r="O24" s="704">
        <f t="shared" si="2"/>
        <v>1.99</v>
      </c>
      <c r="P24" s="142" t="e">
        <f>(O24+$O$261)+((BC!$F$125)/$F$112)</f>
        <v>#DIV/0!</v>
      </c>
      <c r="Q24" s="149" t="e">
        <f t="shared" si="3"/>
        <v>#DIV/0!</v>
      </c>
      <c r="R24" s="393" t="e">
        <f t="shared" si="9"/>
        <v>#DIV/0!</v>
      </c>
      <c r="S24" s="393" t="e">
        <f t="shared" si="4"/>
        <v>#DIV/0!</v>
      </c>
    </row>
    <row r="25" spans="1:19" ht="15.75" customHeight="1" x14ac:dyDescent="0.35">
      <c r="A25" s="713">
        <f>G37+G76+G77</f>
        <v>0</v>
      </c>
      <c r="B25" s="471">
        <v>7027192190</v>
      </c>
      <c r="C25" s="599" t="s">
        <v>887</v>
      </c>
      <c r="D25" s="42">
        <v>100</v>
      </c>
      <c r="E25" s="1">
        <v>112</v>
      </c>
      <c r="F25" s="700">
        <f>'e402-e801'!E25</f>
        <v>0</v>
      </c>
      <c r="G25" s="57">
        <f t="shared" si="5"/>
        <v>0</v>
      </c>
      <c r="H25" s="57">
        <f t="shared" si="6"/>
        <v>0</v>
      </c>
      <c r="I25" s="60" t="e">
        <f>(30*BC!B63/E25)</f>
        <v>#VALUE!</v>
      </c>
      <c r="J25" s="701" t="e">
        <f t="shared" si="0"/>
        <v>#VALUE!</v>
      </c>
      <c r="K25" s="701">
        <f t="shared" si="1"/>
        <v>0</v>
      </c>
      <c r="L25" s="216">
        <f t="shared" si="7"/>
        <v>0</v>
      </c>
      <c r="M25" s="702">
        <v>614</v>
      </c>
      <c r="N25" s="703">
        <f t="shared" si="8"/>
        <v>0</v>
      </c>
      <c r="O25" s="704">
        <f t="shared" si="2"/>
        <v>6.14</v>
      </c>
      <c r="P25" s="142" t="e">
        <f>(O25+$O$261)+((BC!$F$125)/$F$112)</f>
        <v>#DIV/0!</v>
      </c>
      <c r="Q25" s="149" t="e">
        <f t="shared" si="3"/>
        <v>#DIV/0!</v>
      </c>
      <c r="R25" s="393" t="e">
        <f t="shared" si="9"/>
        <v>#DIV/0!</v>
      </c>
      <c r="S25" s="393" t="e">
        <f t="shared" si="4"/>
        <v>#DIV/0!</v>
      </c>
    </row>
    <row r="26" spans="1:19" ht="15.75" customHeight="1" x14ac:dyDescent="0.35">
      <c r="B26" s="594">
        <v>7251025190</v>
      </c>
      <c r="C26" s="600" t="s">
        <v>888</v>
      </c>
      <c r="D26" s="42">
        <v>300</v>
      </c>
      <c r="E26" s="1">
        <v>112</v>
      </c>
      <c r="F26" s="700">
        <f>'e402-e801'!E26</f>
        <v>0</v>
      </c>
      <c r="G26" s="57">
        <f t="shared" si="5"/>
        <v>0</v>
      </c>
      <c r="H26" s="57">
        <f t="shared" si="6"/>
        <v>0</v>
      </c>
      <c r="I26" s="60">
        <f>(30*BC!B64/E26)</f>
        <v>0</v>
      </c>
      <c r="J26" s="701">
        <f t="shared" si="0"/>
        <v>0</v>
      </c>
      <c r="K26" s="701">
        <f t="shared" si="1"/>
        <v>0</v>
      </c>
      <c r="L26" s="216">
        <f t="shared" si="7"/>
        <v>0</v>
      </c>
      <c r="M26" s="702">
        <v>444</v>
      </c>
      <c r="N26" s="703">
        <f t="shared" si="8"/>
        <v>0</v>
      </c>
      <c r="O26" s="704">
        <f t="shared" si="2"/>
        <v>1.48</v>
      </c>
      <c r="P26" s="142" t="e">
        <f>(O26+$O$261)+((BC!$F$125)/$F$112)</f>
        <v>#DIV/0!</v>
      </c>
      <c r="Q26" s="149" t="e">
        <f t="shared" si="3"/>
        <v>#DIV/0!</v>
      </c>
      <c r="R26" s="393" t="e">
        <f t="shared" si="9"/>
        <v>#DIV/0!</v>
      </c>
      <c r="S26" s="393" t="e">
        <f t="shared" si="4"/>
        <v>#DIV/0!</v>
      </c>
    </row>
    <row r="27" spans="1:19" ht="15.75" customHeight="1" x14ac:dyDescent="0.35">
      <c r="A27" s="714" t="s">
        <v>1078</v>
      </c>
      <c r="B27" s="471">
        <v>8890595190</v>
      </c>
      <c r="C27" s="599" t="s">
        <v>889</v>
      </c>
      <c r="D27" s="42">
        <v>100</v>
      </c>
      <c r="E27" s="1">
        <v>112</v>
      </c>
      <c r="F27" s="700">
        <f>'e402-e801'!E27</f>
        <v>0</v>
      </c>
      <c r="G27" s="57">
        <f t="shared" si="5"/>
        <v>0</v>
      </c>
      <c r="H27" s="57">
        <f t="shared" si="6"/>
        <v>0</v>
      </c>
      <c r="I27" s="60">
        <f>(30*BC!B65/E27)</f>
        <v>0</v>
      </c>
      <c r="J27" s="701">
        <f t="shared" si="0"/>
        <v>0</v>
      </c>
      <c r="K27" s="701">
        <f t="shared" si="1"/>
        <v>0</v>
      </c>
      <c r="L27" s="216">
        <f t="shared" si="7"/>
        <v>0</v>
      </c>
      <c r="M27" s="702">
        <v>408</v>
      </c>
      <c r="N27" s="703">
        <f t="shared" si="8"/>
        <v>0</v>
      </c>
      <c r="O27" s="704">
        <f t="shared" si="2"/>
        <v>4.08</v>
      </c>
      <c r="P27" s="142" t="e">
        <f>(O27+$O$261)+((BC!$F$125)/$F$112)</f>
        <v>#DIV/0!</v>
      </c>
      <c r="Q27" s="149" t="e">
        <f t="shared" si="3"/>
        <v>#DIV/0!</v>
      </c>
      <c r="R27" s="393" t="e">
        <f t="shared" si="9"/>
        <v>#DIV/0!</v>
      </c>
      <c r="S27" s="393" t="e">
        <f t="shared" si="4"/>
        <v>#DIV/0!</v>
      </c>
    </row>
    <row r="28" spans="1:19" ht="15.75" customHeight="1" x14ac:dyDescent="0.35">
      <c r="A28" s="715">
        <f>G54+G55+G56+G57+G60</f>
        <v>0</v>
      </c>
      <c r="B28" s="471">
        <v>8860319190</v>
      </c>
      <c r="C28" s="601" t="s">
        <v>890</v>
      </c>
      <c r="D28" s="42">
        <v>100</v>
      </c>
      <c r="E28" s="1">
        <v>112</v>
      </c>
      <c r="F28" s="700">
        <f>'e402-e801'!E28</f>
        <v>0</v>
      </c>
      <c r="G28" s="57">
        <f t="shared" si="5"/>
        <v>0</v>
      </c>
      <c r="H28" s="57">
        <f t="shared" si="6"/>
        <v>0</v>
      </c>
      <c r="I28" s="60">
        <f>(30*BC!B66/E28)</f>
        <v>0</v>
      </c>
      <c r="J28" s="701">
        <f t="shared" si="0"/>
        <v>0</v>
      </c>
      <c r="K28" s="701">
        <f t="shared" si="1"/>
        <v>0</v>
      </c>
      <c r="L28" s="216">
        <f t="shared" si="7"/>
        <v>0</v>
      </c>
      <c r="M28" s="702">
        <v>1516</v>
      </c>
      <c r="N28" s="703">
        <f t="shared" si="8"/>
        <v>0</v>
      </c>
      <c r="O28" s="704">
        <f t="shared" si="2"/>
        <v>15.16</v>
      </c>
      <c r="P28" s="142" t="e">
        <f>(O28+$O$261)+((BC!$F$125)/$F$112)</f>
        <v>#DIV/0!</v>
      </c>
      <c r="Q28" s="149" t="e">
        <f t="shared" si="3"/>
        <v>#DIV/0!</v>
      </c>
      <c r="R28" s="393" t="e">
        <f t="shared" si="9"/>
        <v>#DIV/0!</v>
      </c>
      <c r="S28" s="393" t="e">
        <f t="shared" si="4"/>
        <v>#DIV/0!</v>
      </c>
    </row>
    <row r="29" spans="1:19" ht="15.75" customHeight="1" x14ac:dyDescent="0.35">
      <c r="B29" s="471">
        <v>8860181190</v>
      </c>
      <c r="C29" s="601" t="s">
        <v>891</v>
      </c>
      <c r="D29" s="42">
        <v>100</v>
      </c>
      <c r="E29" s="1">
        <v>112</v>
      </c>
      <c r="F29" s="700">
        <f>'e402-e801'!E29</f>
        <v>0</v>
      </c>
      <c r="G29" s="57">
        <f t="shared" si="5"/>
        <v>0</v>
      </c>
      <c r="H29" s="57">
        <f t="shared" si="6"/>
        <v>0</v>
      </c>
      <c r="I29" s="60">
        <f>(30*BC!B67/E29)</f>
        <v>0</v>
      </c>
      <c r="J29" s="701">
        <f t="shared" si="0"/>
        <v>0</v>
      </c>
      <c r="K29" s="701">
        <f t="shared" si="1"/>
        <v>0</v>
      </c>
      <c r="L29" s="216">
        <f t="shared" si="7"/>
        <v>0</v>
      </c>
      <c r="M29" s="702">
        <v>1459</v>
      </c>
      <c r="N29" s="703">
        <f t="shared" si="8"/>
        <v>0</v>
      </c>
      <c r="O29" s="704">
        <f t="shared" si="2"/>
        <v>14.59</v>
      </c>
      <c r="P29" s="142" t="e">
        <f>(O29+$O$261)+((BC!$F$125)/$F$112)</f>
        <v>#DIV/0!</v>
      </c>
      <c r="Q29" s="149" t="e">
        <f t="shared" si="3"/>
        <v>#DIV/0!</v>
      </c>
      <c r="R29" s="393" t="e">
        <f t="shared" si="9"/>
        <v>#DIV/0!</v>
      </c>
      <c r="S29" s="393" t="e">
        <f t="shared" si="4"/>
        <v>#DIV/0!</v>
      </c>
    </row>
    <row r="30" spans="1:19" ht="15.75" customHeight="1" x14ac:dyDescent="0.35">
      <c r="A30" s="716" t="s">
        <v>1079</v>
      </c>
      <c r="B30" s="471">
        <v>7027648190</v>
      </c>
      <c r="C30" s="602" t="s">
        <v>892</v>
      </c>
      <c r="D30" s="42">
        <v>100</v>
      </c>
      <c r="E30" s="1">
        <v>112</v>
      </c>
      <c r="F30" s="700">
        <f>'e402-e801'!E30</f>
        <v>0</v>
      </c>
      <c r="G30" s="57">
        <f t="shared" si="5"/>
        <v>0</v>
      </c>
      <c r="H30" s="57">
        <f t="shared" si="6"/>
        <v>0</v>
      </c>
      <c r="I30" s="60">
        <f>(30*BC!B68/E30)</f>
        <v>0</v>
      </c>
      <c r="J30" s="701">
        <f t="shared" si="0"/>
        <v>0</v>
      </c>
      <c r="K30" s="701">
        <f t="shared" si="1"/>
        <v>0</v>
      </c>
      <c r="L30" s="216">
        <f t="shared" si="7"/>
        <v>0</v>
      </c>
      <c r="M30" s="702">
        <v>3059</v>
      </c>
      <c r="N30" s="703">
        <f t="shared" si="8"/>
        <v>0</v>
      </c>
      <c r="O30" s="704">
        <f t="shared" si="2"/>
        <v>30.59</v>
      </c>
      <c r="P30" s="142" t="e">
        <f>(O30+$O$261)+((BC!$F$125)/$F$112)</f>
        <v>#DIV/0!</v>
      </c>
      <c r="Q30" s="149" t="e">
        <f t="shared" si="3"/>
        <v>#DIV/0!</v>
      </c>
      <c r="R30" s="393" t="e">
        <f t="shared" si="9"/>
        <v>#DIV/0!</v>
      </c>
      <c r="S30" s="393" t="e">
        <f t="shared" si="4"/>
        <v>#DIV/0!</v>
      </c>
    </row>
    <row r="31" spans="1:19" ht="15.75" customHeight="1" x14ac:dyDescent="0.35">
      <c r="A31" s="716">
        <f>G58+G59</f>
        <v>0</v>
      </c>
      <c r="B31" s="471">
        <v>7027818190</v>
      </c>
      <c r="C31" s="602" t="s">
        <v>893</v>
      </c>
      <c r="D31" s="42">
        <v>100</v>
      </c>
      <c r="E31" s="1">
        <v>112</v>
      </c>
      <c r="F31" s="700">
        <f>'e402-e801'!E31</f>
        <v>0</v>
      </c>
      <c r="G31" s="57">
        <f t="shared" si="5"/>
        <v>0</v>
      </c>
      <c r="H31" s="57">
        <f t="shared" si="6"/>
        <v>0</v>
      </c>
      <c r="I31" s="60">
        <f>(30*BC!B69/E31)</f>
        <v>0</v>
      </c>
      <c r="J31" s="701">
        <f t="shared" si="0"/>
        <v>0</v>
      </c>
      <c r="K31" s="701">
        <f t="shared" si="1"/>
        <v>0</v>
      </c>
      <c r="L31" s="216">
        <f t="shared" si="7"/>
        <v>0</v>
      </c>
      <c r="M31" s="702">
        <v>3059</v>
      </c>
      <c r="N31" s="703">
        <f t="shared" si="8"/>
        <v>0</v>
      </c>
      <c r="O31" s="704">
        <f t="shared" si="2"/>
        <v>30.59</v>
      </c>
      <c r="P31" s="142" t="e">
        <f>(O31+$O$261)+((BC!$F$125)/$F$112)</f>
        <v>#DIV/0!</v>
      </c>
      <c r="Q31" s="149" t="e">
        <f t="shared" si="3"/>
        <v>#DIV/0!</v>
      </c>
      <c r="R31" s="393" t="e">
        <f t="shared" si="9"/>
        <v>#DIV/0!</v>
      </c>
      <c r="S31" s="393" t="e">
        <f t="shared" si="4"/>
        <v>#DIV/0!</v>
      </c>
    </row>
    <row r="32" spans="1:19" ht="15.75" customHeight="1" x14ac:dyDescent="0.35">
      <c r="B32" s="471">
        <v>7027168190</v>
      </c>
      <c r="C32" s="602" t="s">
        <v>894</v>
      </c>
      <c r="D32" s="42">
        <v>100</v>
      </c>
      <c r="E32" s="1">
        <v>112</v>
      </c>
      <c r="F32" s="700">
        <f>'e402-e801'!E32</f>
        <v>0</v>
      </c>
      <c r="G32" s="57">
        <f t="shared" si="5"/>
        <v>0</v>
      </c>
      <c r="H32" s="57">
        <f t="shared" si="6"/>
        <v>0</v>
      </c>
      <c r="I32" s="60">
        <f>(30*BC!B70/E32)</f>
        <v>0</v>
      </c>
      <c r="J32" s="701">
        <f t="shared" si="0"/>
        <v>0</v>
      </c>
      <c r="K32" s="701">
        <f t="shared" si="1"/>
        <v>0</v>
      </c>
      <c r="L32" s="216">
        <f t="shared" si="7"/>
        <v>0</v>
      </c>
      <c r="M32" s="702">
        <v>317</v>
      </c>
      <c r="N32" s="703">
        <f t="shared" si="8"/>
        <v>0</v>
      </c>
      <c r="O32" s="704">
        <f t="shared" si="2"/>
        <v>3.17</v>
      </c>
      <c r="P32" s="142" t="e">
        <f>(O32+$O$261)+((BC!$F$125)/$F$112)</f>
        <v>#DIV/0!</v>
      </c>
      <c r="Q32" s="149" t="e">
        <f t="shared" si="3"/>
        <v>#DIV/0!</v>
      </c>
      <c r="R32" s="393" t="e">
        <f t="shared" si="9"/>
        <v>#DIV/0!</v>
      </c>
      <c r="S32" s="393" t="e">
        <f t="shared" si="4"/>
        <v>#DIV/0!</v>
      </c>
    </row>
    <row r="33" spans="1:19" ht="15.75" customHeight="1" x14ac:dyDescent="0.35">
      <c r="A33" s="717" t="s">
        <v>1080</v>
      </c>
      <c r="B33" s="603">
        <v>7027559190</v>
      </c>
      <c r="C33" s="599" t="s">
        <v>895</v>
      </c>
      <c r="D33" s="42">
        <v>100</v>
      </c>
      <c r="E33" s="1">
        <v>112</v>
      </c>
      <c r="F33" s="700">
        <f>'e402-e801'!E33</f>
        <v>0</v>
      </c>
      <c r="G33" s="57">
        <f t="shared" si="5"/>
        <v>0</v>
      </c>
      <c r="H33" s="57">
        <f t="shared" si="6"/>
        <v>0</v>
      </c>
      <c r="I33" s="60">
        <f>(30*BC!B71/E33)</f>
        <v>0</v>
      </c>
      <c r="J33" s="701">
        <f t="shared" si="0"/>
        <v>0</v>
      </c>
      <c r="K33" s="701">
        <f t="shared" si="1"/>
        <v>0</v>
      </c>
      <c r="L33" s="216">
        <f t="shared" si="7"/>
        <v>0</v>
      </c>
      <c r="M33" s="702">
        <v>326</v>
      </c>
      <c r="N33" s="703">
        <f t="shared" si="8"/>
        <v>0</v>
      </c>
      <c r="O33" s="704">
        <f t="shared" si="2"/>
        <v>3.26</v>
      </c>
      <c r="P33" s="142" t="e">
        <f>(O33+$O$261)+((BC!$F$125)/$F$112)</f>
        <v>#DIV/0!</v>
      </c>
      <c r="Q33" s="149" t="e">
        <f t="shared" si="3"/>
        <v>#DIV/0!</v>
      </c>
      <c r="R33" s="393" t="e">
        <f t="shared" si="9"/>
        <v>#DIV/0!</v>
      </c>
      <c r="S33" s="393" t="e">
        <f t="shared" si="4"/>
        <v>#DIV/0!</v>
      </c>
    </row>
    <row r="34" spans="1:19" ht="15.75" customHeight="1" x14ac:dyDescent="0.35">
      <c r="A34" s="717">
        <f>G61+G63+G65+G68+G69+G70+G71+G72</f>
        <v>0</v>
      </c>
      <c r="B34" s="679">
        <v>7027150190</v>
      </c>
      <c r="C34" s="599" t="s">
        <v>896</v>
      </c>
      <c r="D34" s="42">
        <v>300</v>
      </c>
      <c r="E34" s="1">
        <v>112</v>
      </c>
      <c r="F34" s="700">
        <f>'e402-e801'!E34</f>
        <v>0</v>
      </c>
      <c r="G34" s="57">
        <f t="shared" si="5"/>
        <v>0</v>
      </c>
      <c r="H34" s="57">
        <f t="shared" si="6"/>
        <v>0</v>
      </c>
      <c r="I34" s="60" t="e">
        <f>(30*BC!B72/E34)</f>
        <v>#VALUE!</v>
      </c>
      <c r="J34" s="701" t="e">
        <f t="shared" si="0"/>
        <v>#VALUE!</v>
      </c>
      <c r="K34" s="701">
        <f t="shared" si="1"/>
        <v>0</v>
      </c>
      <c r="L34" s="216">
        <f t="shared" si="7"/>
        <v>0</v>
      </c>
      <c r="M34" s="702">
        <v>1164</v>
      </c>
      <c r="N34" s="703">
        <f t="shared" si="8"/>
        <v>0</v>
      </c>
      <c r="O34" s="704">
        <f t="shared" si="2"/>
        <v>3.88</v>
      </c>
      <c r="P34" s="142" t="e">
        <f>(O34+$O$261)+((BC!$F$125)/$F$112)</f>
        <v>#DIV/0!</v>
      </c>
      <c r="Q34" s="149" t="e">
        <f t="shared" si="3"/>
        <v>#DIV/0!</v>
      </c>
      <c r="R34" s="393" t="e">
        <f t="shared" si="9"/>
        <v>#DIV/0!</v>
      </c>
      <c r="S34" s="393" t="e">
        <f t="shared" si="4"/>
        <v>#DIV/0!</v>
      </c>
    </row>
    <row r="35" spans="1:19" ht="15.75" customHeight="1" x14ac:dyDescent="0.35">
      <c r="B35" s="679">
        <v>7682808190</v>
      </c>
      <c r="C35" s="605" t="s">
        <v>897</v>
      </c>
      <c r="D35" s="42">
        <v>300</v>
      </c>
      <c r="E35" s="1">
        <v>112</v>
      </c>
      <c r="F35" s="700">
        <f>'e402-e801'!E35</f>
        <v>0</v>
      </c>
      <c r="G35" s="57">
        <f t="shared" si="5"/>
        <v>0</v>
      </c>
      <c r="H35" s="57">
        <f t="shared" si="6"/>
        <v>0</v>
      </c>
      <c r="I35" s="60">
        <f>(30*BC!B73/E35)</f>
        <v>0</v>
      </c>
      <c r="J35" s="701">
        <f t="shared" si="0"/>
        <v>0</v>
      </c>
      <c r="K35" s="701">
        <f t="shared" si="1"/>
        <v>0</v>
      </c>
      <c r="L35" s="216">
        <f t="shared" si="7"/>
        <v>0</v>
      </c>
      <c r="M35" s="692"/>
      <c r="N35" s="703">
        <f t="shared" si="8"/>
        <v>0</v>
      </c>
      <c r="O35" s="704">
        <f t="shared" si="2"/>
        <v>0</v>
      </c>
      <c r="P35" s="142" t="e">
        <f>(O35+$O$261)+((BC!$F$125)/$F$112)</f>
        <v>#DIV/0!</v>
      </c>
      <c r="Q35" s="149" t="e">
        <f t="shared" si="3"/>
        <v>#DIV/0!</v>
      </c>
      <c r="R35" s="393" t="e">
        <f t="shared" si="9"/>
        <v>#DIV/0!</v>
      </c>
      <c r="S35" s="393" t="e">
        <f t="shared" si="4"/>
        <v>#DIV/0!</v>
      </c>
    </row>
    <row r="36" spans="1:19" ht="15.75" customHeight="1" x14ac:dyDescent="0.35">
      <c r="A36" s="681" t="s">
        <v>1081</v>
      </c>
      <c r="B36" s="679">
        <v>8946728190</v>
      </c>
      <c r="C36" s="602" t="s">
        <v>898</v>
      </c>
      <c r="D36" s="42">
        <v>100</v>
      </c>
      <c r="E36" s="1">
        <v>112</v>
      </c>
      <c r="F36" s="700">
        <f>'e402-e801'!E36</f>
        <v>0</v>
      </c>
      <c r="G36" s="57">
        <f t="shared" si="5"/>
        <v>0</v>
      </c>
      <c r="H36" s="57">
        <f t="shared" si="6"/>
        <v>0</v>
      </c>
      <c r="I36" s="60">
        <f>(30*BC!B74/E36)</f>
        <v>0</v>
      </c>
      <c r="J36" s="701">
        <f t="shared" si="0"/>
        <v>0</v>
      </c>
      <c r="K36" s="701">
        <f t="shared" si="1"/>
        <v>0</v>
      </c>
      <c r="L36" s="216">
        <f t="shared" si="7"/>
        <v>0</v>
      </c>
      <c r="M36" s="702">
        <v>1329</v>
      </c>
      <c r="N36" s="703">
        <f t="shared" si="8"/>
        <v>0</v>
      </c>
      <c r="O36" s="704">
        <f t="shared" si="2"/>
        <v>13.29</v>
      </c>
      <c r="P36" s="142" t="e">
        <f>(O36+$O$261)+((BC!$F$125)/$F$112)</f>
        <v>#DIV/0!</v>
      </c>
      <c r="Q36" s="149" t="e">
        <f t="shared" si="3"/>
        <v>#DIV/0!</v>
      </c>
      <c r="R36" s="393" t="e">
        <f t="shared" si="9"/>
        <v>#DIV/0!</v>
      </c>
      <c r="S36" s="393" t="e">
        <f t="shared" si="4"/>
        <v>#DIV/0!</v>
      </c>
    </row>
    <row r="37" spans="1:19" ht="15.75" customHeight="1" x14ac:dyDescent="0.35">
      <c r="A37" s="718">
        <f>G108+G110+G111</f>
        <v>0</v>
      </c>
      <c r="B37" s="680">
        <v>7027486190</v>
      </c>
      <c r="C37" s="606" t="s">
        <v>899</v>
      </c>
      <c r="D37" s="42">
        <v>100</v>
      </c>
      <c r="E37" s="1">
        <v>112</v>
      </c>
      <c r="F37" s="700">
        <f>'e402-e801'!E37</f>
        <v>0</v>
      </c>
      <c r="G37" s="57">
        <f t="shared" si="5"/>
        <v>0</v>
      </c>
      <c r="H37" s="57">
        <f t="shared" si="6"/>
        <v>0</v>
      </c>
      <c r="I37" s="60">
        <f>(30*BC!B75/E37)</f>
        <v>0</v>
      </c>
      <c r="J37" s="701">
        <f t="shared" si="0"/>
        <v>0</v>
      </c>
      <c r="K37" s="701">
        <f t="shared" si="1"/>
        <v>0</v>
      </c>
      <c r="L37" s="216">
        <f t="shared" si="7"/>
        <v>0</v>
      </c>
      <c r="M37" s="702">
        <v>498</v>
      </c>
      <c r="N37" s="703">
        <f t="shared" si="8"/>
        <v>0</v>
      </c>
      <c r="O37" s="704">
        <f t="shared" si="2"/>
        <v>4.9800000000000004</v>
      </c>
      <c r="P37" s="142" t="e">
        <f>(O37+$O$261)+((BC!$F$125)/$F$112)</f>
        <v>#DIV/0!</v>
      </c>
      <c r="Q37" s="149" t="e">
        <f t="shared" si="3"/>
        <v>#DIV/0!</v>
      </c>
      <c r="R37" s="393" t="e">
        <f t="shared" si="9"/>
        <v>#DIV/0!</v>
      </c>
      <c r="S37" s="393" t="e">
        <f t="shared" si="4"/>
        <v>#DIV/0!</v>
      </c>
    </row>
    <row r="38" spans="1:19" ht="15.75" customHeight="1" x14ac:dyDescent="0.35">
      <c r="B38" s="679" t="s">
        <v>1140</v>
      </c>
      <c r="C38" s="608" t="s">
        <v>900</v>
      </c>
      <c r="D38" s="42">
        <v>100</v>
      </c>
      <c r="E38" s="1">
        <v>112</v>
      </c>
      <c r="F38" s="700">
        <f>'e402-e801'!E38</f>
        <v>0</v>
      </c>
      <c r="G38" s="57">
        <f t="shared" si="5"/>
        <v>0</v>
      </c>
      <c r="H38" s="57">
        <f t="shared" si="6"/>
        <v>0</v>
      </c>
      <c r="I38" s="60">
        <f>(30*BC!B76/E38)</f>
        <v>0</v>
      </c>
      <c r="J38" s="701">
        <f t="shared" si="0"/>
        <v>0</v>
      </c>
      <c r="K38" s="701">
        <f t="shared" si="1"/>
        <v>0</v>
      </c>
      <c r="L38" s="216">
        <f t="shared" si="7"/>
        <v>0</v>
      </c>
      <c r="M38" s="692"/>
      <c r="N38" s="703">
        <f t="shared" si="8"/>
        <v>0</v>
      </c>
      <c r="O38" s="704">
        <f t="shared" si="2"/>
        <v>0</v>
      </c>
      <c r="P38" s="142" t="e">
        <f>(O38+$O$261)+((BC!$F$125)/$F$112)</f>
        <v>#DIV/0!</v>
      </c>
      <c r="Q38" s="149" t="e">
        <f t="shared" si="3"/>
        <v>#DIV/0!</v>
      </c>
      <c r="R38" s="393" t="e">
        <f t="shared" si="9"/>
        <v>#DIV/0!</v>
      </c>
      <c r="S38" s="393" t="e">
        <f t="shared" si="4"/>
        <v>#DIV/0!</v>
      </c>
    </row>
    <row r="39" spans="1:19" ht="15.75" customHeight="1" x14ac:dyDescent="0.35">
      <c r="A39" s="682" t="s">
        <v>601</v>
      </c>
      <c r="B39" s="679">
        <v>9744860190</v>
      </c>
      <c r="C39" s="600" t="s">
        <v>901</v>
      </c>
      <c r="D39" s="42">
        <v>100</v>
      </c>
      <c r="E39" s="1">
        <v>112</v>
      </c>
      <c r="F39" s="700">
        <f>'e402-e801'!E39</f>
        <v>0</v>
      </c>
      <c r="G39" s="57">
        <f t="shared" si="5"/>
        <v>0</v>
      </c>
      <c r="H39" s="57">
        <f t="shared" si="6"/>
        <v>0</v>
      </c>
      <c r="I39" s="60">
        <f>(30*BC!B77/E39)</f>
        <v>0</v>
      </c>
      <c r="J39" s="701">
        <f t="shared" si="0"/>
        <v>0</v>
      </c>
      <c r="K39" s="701">
        <f t="shared" si="1"/>
        <v>0</v>
      </c>
      <c r="L39" s="216">
        <f t="shared" si="7"/>
        <v>0</v>
      </c>
      <c r="M39" s="702">
        <v>388</v>
      </c>
      <c r="N39" s="703">
        <f t="shared" si="8"/>
        <v>0</v>
      </c>
      <c r="O39" s="704">
        <f t="shared" si="2"/>
        <v>3.88</v>
      </c>
      <c r="P39" s="142" t="e">
        <f>(O39+$O$261)+((BC!$F$125)/$F$112)</f>
        <v>#DIV/0!</v>
      </c>
      <c r="Q39" s="149" t="e">
        <f t="shared" si="3"/>
        <v>#DIV/0!</v>
      </c>
      <c r="R39" s="393" t="e">
        <f t="shared" si="9"/>
        <v>#DIV/0!</v>
      </c>
      <c r="S39" s="393" t="e">
        <f t="shared" si="4"/>
        <v>#DIV/0!</v>
      </c>
    </row>
    <row r="40" spans="1:19" ht="15.75" customHeight="1" x14ac:dyDescent="0.35">
      <c r="A40" s="719">
        <f>G99+G100</f>
        <v>0</v>
      </c>
      <c r="B40" s="471">
        <v>8828610190</v>
      </c>
      <c r="C40" s="600" t="s">
        <v>902</v>
      </c>
      <c r="D40" s="42">
        <v>300</v>
      </c>
      <c r="E40" s="1">
        <v>112</v>
      </c>
      <c r="F40" s="700">
        <f>'e402-e801'!E40</f>
        <v>0</v>
      </c>
      <c r="G40" s="57">
        <f t="shared" si="5"/>
        <v>0</v>
      </c>
      <c r="H40" s="57">
        <f t="shared" si="6"/>
        <v>0</v>
      </c>
      <c r="I40" s="60">
        <f>(30*BC!B78/E40)</f>
        <v>0</v>
      </c>
      <c r="J40" s="701">
        <f t="shared" si="0"/>
        <v>0</v>
      </c>
      <c r="K40" s="701">
        <f t="shared" si="1"/>
        <v>0</v>
      </c>
      <c r="L40" s="216">
        <f t="shared" si="7"/>
        <v>0</v>
      </c>
      <c r="M40" s="702">
        <v>1194</v>
      </c>
      <c r="N40" s="703">
        <f t="shared" si="8"/>
        <v>0</v>
      </c>
      <c r="O40" s="704">
        <f t="shared" si="2"/>
        <v>3.98</v>
      </c>
      <c r="P40" s="142" t="e">
        <f>(O40+$O$261)+((BC!$F$125)/$F$112)</f>
        <v>#DIV/0!</v>
      </c>
      <c r="Q40" s="149" t="e">
        <f t="shared" si="3"/>
        <v>#DIV/0!</v>
      </c>
      <c r="R40" s="393" t="e">
        <f t="shared" si="9"/>
        <v>#DIV/0!</v>
      </c>
      <c r="S40" s="393" t="e">
        <f t="shared" si="4"/>
        <v>#DIV/0!</v>
      </c>
    </row>
    <row r="41" spans="1:19" ht="15.75" customHeight="1" x14ac:dyDescent="0.35">
      <c r="B41" s="471">
        <v>9731385190</v>
      </c>
      <c r="C41" s="600" t="s">
        <v>903</v>
      </c>
      <c r="D41" s="42">
        <v>100</v>
      </c>
      <c r="E41" s="1">
        <v>112</v>
      </c>
      <c r="F41" s="700">
        <f>'e402-e801'!E41</f>
        <v>0</v>
      </c>
      <c r="G41" s="57">
        <f t="shared" si="5"/>
        <v>0</v>
      </c>
      <c r="H41" s="57">
        <f t="shared" si="6"/>
        <v>0</v>
      </c>
      <c r="I41" s="60">
        <f>(30*BC!B79/E41)</f>
        <v>0</v>
      </c>
      <c r="J41" s="701">
        <f t="shared" ref="J41:J72" si="10">IF(I41&gt;H41,I41,H41)</f>
        <v>0</v>
      </c>
      <c r="K41" s="701">
        <f t="shared" ref="K41:K72" si="11">IF(H41=0,0,J41)</f>
        <v>0</v>
      </c>
      <c r="L41" s="216">
        <f t="shared" si="7"/>
        <v>0</v>
      </c>
      <c r="M41" s="702">
        <v>157</v>
      </c>
      <c r="N41" s="703">
        <f t="shared" si="8"/>
        <v>0</v>
      </c>
      <c r="O41" s="704">
        <f t="shared" ref="O41:O72" si="12">M41/D41</f>
        <v>1.57</v>
      </c>
      <c r="P41" s="142" t="e">
        <f>(O41+$O$261)+((BC!$F$125)/$F$112)</f>
        <v>#DIV/0!</v>
      </c>
      <c r="Q41" s="149" t="e">
        <f t="shared" ref="Q41:Q72" si="13">P41*F41</f>
        <v>#DIV/0!</v>
      </c>
      <c r="R41" s="393" t="e">
        <f t="shared" si="9"/>
        <v>#DIV/0!</v>
      </c>
      <c r="S41" s="393" t="e">
        <f t="shared" ref="S41:S72" si="14">R41*F41</f>
        <v>#DIV/0!</v>
      </c>
    </row>
    <row r="42" spans="1:19" ht="15.75" customHeight="1" x14ac:dyDescent="0.35">
      <c r="A42" s="665" t="s">
        <v>609</v>
      </c>
      <c r="B42" s="471">
        <v>7027079190</v>
      </c>
      <c r="C42" s="600" t="s">
        <v>904</v>
      </c>
      <c r="D42" s="42">
        <v>300</v>
      </c>
      <c r="E42" s="1">
        <v>112</v>
      </c>
      <c r="F42" s="700">
        <f>'e402-e801'!E42</f>
        <v>0</v>
      </c>
      <c r="G42" s="57">
        <f t="shared" si="5"/>
        <v>0</v>
      </c>
      <c r="H42" s="57">
        <f t="shared" si="6"/>
        <v>0</v>
      </c>
      <c r="I42" s="60">
        <f>(30*BC!B80/E42)</f>
        <v>0</v>
      </c>
      <c r="J42" s="701">
        <f t="shared" si="10"/>
        <v>0</v>
      </c>
      <c r="K42" s="701">
        <f t="shared" si="11"/>
        <v>0</v>
      </c>
      <c r="L42" s="216">
        <f t="shared" si="7"/>
        <v>0</v>
      </c>
      <c r="M42" s="702">
        <v>476</v>
      </c>
      <c r="N42" s="703">
        <f t="shared" si="8"/>
        <v>0</v>
      </c>
      <c r="O42" s="704">
        <f t="shared" si="12"/>
        <v>1.5866666666666667</v>
      </c>
      <c r="P42" s="142" t="e">
        <f>(O42+$O$261)+((BC!$F$125)/$F$112)</f>
        <v>#DIV/0!</v>
      </c>
      <c r="Q42" s="149" t="e">
        <f t="shared" si="13"/>
        <v>#DIV/0!</v>
      </c>
      <c r="R42" s="393" t="e">
        <f t="shared" si="9"/>
        <v>#DIV/0!</v>
      </c>
      <c r="S42" s="393" t="e">
        <f t="shared" si="14"/>
        <v>#DIV/0!</v>
      </c>
    </row>
    <row r="43" spans="1:19" ht="15.75" customHeight="1" x14ac:dyDescent="0.35">
      <c r="A43" s="720">
        <f>G97+G98</f>
        <v>0</v>
      </c>
      <c r="B43" s="471">
        <v>7026986190</v>
      </c>
      <c r="C43" s="600" t="s">
        <v>905</v>
      </c>
      <c r="D43" s="42">
        <v>300</v>
      </c>
      <c r="E43" s="1">
        <v>112</v>
      </c>
      <c r="F43" s="700">
        <f>'e402-e801'!E43</f>
        <v>0</v>
      </c>
      <c r="G43" s="57">
        <f t="shared" si="5"/>
        <v>0</v>
      </c>
      <c r="H43" s="57">
        <f t="shared" si="6"/>
        <v>0</v>
      </c>
      <c r="I43" s="60">
        <f>(30*BC!B81/E43)</f>
        <v>0</v>
      </c>
      <c r="J43" s="701">
        <f t="shared" si="10"/>
        <v>0</v>
      </c>
      <c r="K43" s="701">
        <f t="shared" si="11"/>
        <v>0</v>
      </c>
      <c r="L43" s="216">
        <f t="shared" si="7"/>
        <v>0</v>
      </c>
      <c r="M43" s="702">
        <v>1746</v>
      </c>
      <c r="N43" s="703">
        <f t="shared" si="8"/>
        <v>0</v>
      </c>
      <c r="O43" s="704">
        <f t="shared" si="12"/>
        <v>5.82</v>
      </c>
      <c r="P43" s="142" t="e">
        <f>(O43+$O$261)+((BC!$F$125)/$F$112)</f>
        <v>#DIV/0!</v>
      </c>
      <c r="Q43" s="149" t="e">
        <f t="shared" si="13"/>
        <v>#DIV/0!</v>
      </c>
      <c r="R43" s="393" t="e">
        <f t="shared" si="9"/>
        <v>#DIV/0!</v>
      </c>
      <c r="S43" s="393" t="e">
        <f t="shared" si="14"/>
        <v>#DIV/0!</v>
      </c>
    </row>
    <row r="44" spans="1:19" ht="15.75" customHeight="1" x14ac:dyDescent="0.35">
      <c r="B44" s="471">
        <v>7027001190</v>
      </c>
      <c r="C44" s="600" t="s">
        <v>906</v>
      </c>
      <c r="D44" s="42">
        <v>300</v>
      </c>
      <c r="E44" s="1">
        <v>112</v>
      </c>
      <c r="F44" s="700">
        <f>'e402-e801'!E44</f>
        <v>0</v>
      </c>
      <c r="G44" s="57">
        <f t="shared" si="5"/>
        <v>0</v>
      </c>
      <c r="H44" s="57">
        <f t="shared" si="6"/>
        <v>0</v>
      </c>
      <c r="I44" s="60">
        <f>(30*BC!B82/E44)</f>
        <v>0</v>
      </c>
      <c r="J44" s="701">
        <f t="shared" si="10"/>
        <v>0</v>
      </c>
      <c r="K44" s="701">
        <f t="shared" si="11"/>
        <v>0</v>
      </c>
      <c r="L44" s="216">
        <f t="shared" si="7"/>
        <v>0</v>
      </c>
      <c r="M44" s="702">
        <v>1761</v>
      </c>
      <c r="N44" s="703">
        <f t="shared" si="8"/>
        <v>0</v>
      </c>
      <c r="O44" s="704">
        <f t="shared" si="12"/>
        <v>5.87</v>
      </c>
      <c r="P44" s="142" t="e">
        <f>(O44+$O$261)+((BC!$F$125)/$F$112)</f>
        <v>#DIV/0!</v>
      </c>
      <c r="Q44" s="149" t="e">
        <f t="shared" si="13"/>
        <v>#DIV/0!</v>
      </c>
      <c r="R44" s="393" t="e">
        <f t="shared" si="9"/>
        <v>#DIV/0!</v>
      </c>
      <c r="S44" s="393" t="e">
        <f t="shared" si="14"/>
        <v>#DIV/0!</v>
      </c>
    </row>
    <row r="45" spans="1:19" ht="15.75" customHeight="1" x14ac:dyDescent="0.35">
      <c r="B45" s="471">
        <v>7027028190</v>
      </c>
      <c r="C45" s="600" t="s">
        <v>907</v>
      </c>
      <c r="D45" s="42">
        <v>300</v>
      </c>
      <c r="E45" s="1">
        <v>112</v>
      </c>
      <c r="F45" s="700">
        <f>'e402-e801'!E45</f>
        <v>0</v>
      </c>
      <c r="G45" s="57">
        <f t="shared" si="5"/>
        <v>0</v>
      </c>
      <c r="H45" s="57">
        <f t="shared" si="6"/>
        <v>0</v>
      </c>
      <c r="I45" s="60">
        <f>(30*BC!B83/E45)</f>
        <v>0</v>
      </c>
      <c r="J45" s="701">
        <f t="shared" si="10"/>
        <v>0</v>
      </c>
      <c r="K45" s="701">
        <f t="shared" si="11"/>
        <v>0</v>
      </c>
      <c r="L45" s="216">
        <f t="shared" si="7"/>
        <v>0</v>
      </c>
      <c r="M45" s="702">
        <v>1752</v>
      </c>
      <c r="N45" s="703">
        <f t="shared" si="8"/>
        <v>0</v>
      </c>
      <c r="O45" s="704">
        <f t="shared" si="12"/>
        <v>5.84</v>
      </c>
      <c r="P45" s="142" t="e">
        <f>(O45+$O$261)+((BC!$F$125)/$F$112)</f>
        <v>#DIV/0!</v>
      </c>
      <c r="Q45" s="149" t="e">
        <f t="shared" si="13"/>
        <v>#DIV/0!</v>
      </c>
      <c r="R45" s="393" t="e">
        <f t="shared" si="9"/>
        <v>#DIV/0!</v>
      </c>
      <c r="S45" s="393" t="e">
        <f t="shared" si="14"/>
        <v>#DIV/0!</v>
      </c>
    </row>
    <row r="46" spans="1:19" ht="15.75" customHeight="1" x14ac:dyDescent="0.35">
      <c r="B46" s="471">
        <v>7299966190</v>
      </c>
      <c r="C46" s="600" t="s">
        <v>908</v>
      </c>
      <c r="D46" s="42">
        <v>300</v>
      </c>
      <c r="E46" s="1">
        <v>112</v>
      </c>
      <c r="F46" s="700">
        <f>'e402-e801'!E46</f>
        <v>0</v>
      </c>
      <c r="G46" s="57">
        <f t="shared" si="5"/>
        <v>0</v>
      </c>
      <c r="H46" s="57">
        <f t="shared" si="6"/>
        <v>0</v>
      </c>
      <c r="I46" s="60">
        <f>(30*BC!B84/E46)</f>
        <v>0</v>
      </c>
      <c r="J46" s="701">
        <f t="shared" si="10"/>
        <v>0</v>
      </c>
      <c r="K46" s="701">
        <f t="shared" si="11"/>
        <v>0</v>
      </c>
      <c r="L46" s="216">
        <f t="shared" si="7"/>
        <v>0</v>
      </c>
      <c r="M46" s="702">
        <v>1881</v>
      </c>
      <c r="N46" s="703">
        <f t="shared" si="8"/>
        <v>0</v>
      </c>
      <c r="O46" s="704">
        <f t="shared" si="12"/>
        <v>6.27</v>
      </c>
      <c r="P46" s="142" t="e">
        <f>(O46+$O$261)+((BC!$F$125)/$F$112)</f>
        <v>#DIV/0!</v>
      </c>
      <c r="Q46" s="149" t="e">
        <f t="shared" si="13"/>
        <v>#DIV/0!</v>
      </c>
      <c r="R46" s="393" t="e">
        <f t="shared" si="9"/>
        <v>#DIV/0!</v>
      </c>
      <c r="S46" s="393" t="e">
        <f t="shared" si="14"/>
        <v>#DIV/0!</v>
      </c>
    </row>
    <row r="47" spans="1:19" ht="15.75" customHeight="1" x14ac:dyDescent="0.35">
      <c r="B47" s="471">
        <v>9005706190</v>
      </c>
      <c r="C47" s="600" t="s">
        <v>909</v>
      </c>
      <c r="D47" s="42">
        <v>300</v>
      </c>
      <c r="E47" s="1">
        <v>112</v>
      </c>
      <c r="F47" s="700">
        <f>'e402-e801'!E47</f>
        <v>0</v>
      </c>
      <c r="G47" s="57">
        <f t="shared" si="5"/>
        <v>0</v>
      </c>
      <c r="H47" s="57">
        <f t="shared" si="6"/>
        <v>0</v>
      </c>
      <c r="I47" s="60">
        <f>(30*BC!B85/E47)</f>
        <v>0</v>
      </c>
      <c r="J47" s="701">
        <f t="shared" si="10"/>
        <v>0</v>
      </c>
      <c r="K47" s="701">
        <f t="shared" si="11"/>
        <v>0</v>
      </c>
      <c r="L47" s="216">
        <f t="shared" si="7"/>
        <v>0</v>
      </c>
      <c r="M47" s="702">
        <v>1998</v>
      </c>
      <c r="N47" s="703">
        <f t="shared" si="8"/>
        <v>0</v>
      </c>
      <c r="O47" s="704">
        <f t="shared" si="12"/>
        <v>6.66</v>
      </c>
      <c r="P47" s="142" t="e">
        <f>(O47+$O$261)+((BC!$F$125)/$F$112)</f>
        <v>#DIV/0!</v>
      </c>
      <c r="Q47" s="149" t="e">
        <f t="shared" si="13"/>
        <v>#DIV/0!</v>
      </c>
      <c r="R47" s="393" t="e">
        <f t="shared" si="9"/>
        <v>#DIV/0!</v>
      </c>
      <c r="S47" s="393" t="e">
        <f t="shared" si="14"/>
        <v>#DIV/0!</v>
      </c>
    </row>
    <row r="48" spans="1:19" ht="15.75" customHeight="1" x14ac:dyDescent="0.35">
      <c r="B48" s="471">
        <v>7299982190</v>
      </c>
      <c r="C48" s="600" t="s">
        <v>910</v>
      </c>
      <c r="D48" s="42">
        <v>300</v>
      </c>
      <c r="E48" s="1">
        <v>112</v>
      </c>
      <c r="F48" s="700">
        <f>'e402-e801'!E48</f>
        <v>0</v>
      </c>
      <c r="G48" s="57">
        <f t="shared" si="5"/>
        <v>0</v>
      </c>
      <c r="H48" s="57">
        <f t="shared" si="6"/>
        <v>0</v>
      </c>
      <c r="I48" s="60">
        <f>(30*BC!B86/E48)</f>
        <v>0</v>
      </c>
      <c r="J48" s="701">
        <f t="shared" si="10"/>
        <v>0</v>
      </c>
      <c r="K48" s="701">
        <f t="shared" si="11"/>
        <v>0</v>
      </c>
      <c r="L48" s="216">
        <f t="shared" si="7"/>
        <v>0</v>
      </c>
      <c r="M48" s="702">
        <v>3651</v>
      </c>
      <c r="N48" s="703">
        <f t="shared" si="8"/>
        <v>0</v>
      </c>
      <c r="O48" s="704">
        <f t="shared" si="12"/>
        <v>12.17</v>
      </c>
      <c r="P48" s="142" t="e">
        <f>(O48+$O$261)+((BC!$F$125)/$F$112)</f>
        <v>#DIV/0!</v>
      </c>
      <c r="Q48" s="149" t="e">
        <f t="shared" si="13"/>
        <v>#DIV/0!</v>
      </c>
      <c r="R48" s="393" t="e">
        <f t="shared" si="9"/>
        <v>#DIV/0!</v>
      </c>
      <c r="S48" s="393" t="e">
        <f t="shared" si="14"/>
        <v>#DIV/0!</v>
      </c>
    </row>
    <row r="49" spans="2:19" ht="15.75" customHeight="1" x14ac:dyDescent="0.35">
      <c r="B49" s="471">
        <v>8817324190</v>
      </c>
      <c r="C49" s="599" t="s">
        <v>911</v>
      </c>
      <c r="D49" s="42">
        <v>100</v>
      </c>
      <c r="E49" s="1">
        <v>112</v>
      </c>
      <c r="F49" s="700">
        <f>'e402-e801'!E49</f>
        <v>0</v>
      </c>
      <c r="G49" s="57">
        <f t="shared" si="5"/>
        <v>0</v>
      </c>
      <c r="H49" s="57">
        <f t="shared" si="6"/>
        <v>0</v>
      </c>
      <c r="I49" s="60">
        <f>(30*BC!B87/E49)</f>
        <v>0</v>
      </c>
      <c r="J49" s="701">
        <f t="shared" si="10"/>
        <v>0</v>
      </c>
      <c r="K49" s="701">
        <f t="shared" si="11"/>
        <v>0</v>
      </c>
      <c r="L49" s="216">
        <f t="shared" si="7"/>
        <v>0</v>
      </c>
      <c r="M49" s="692"/>
      <c r="N49" s="703">
        <f t="shared" si="8"/>
        <v>0</v>
      </c>
      <c r="O49" s="704">
        <f t="shared" si="12"/>
        <v>0</v>
      </c>
      <c r="P49" s="142" t="e">
        <f>(O49+$O$261)+((BC!$F$125)/$F$112)</f>
        <v>#DIV/0!</v>
      </c>
      <c r="Q49" s="149" t="e">
        <f t="shared" si="13"/>
        <v>#DIV/0!</v>
      </c>
      <c r="R49" s="393" t="e">
        <f t="shared" si="9"/>
        <v>#DIV/0!</v>
      </c>
      <c r="S49" s="393" t="e">
        <f t="shared" si="14"/>
        <v>#DIV/0!</v>
      </c>
    </row>
    <row r="50" spans="2:19" ht="15.75" customHeight="1" x14ac:dyDescent="0.35">
      <c r="B50" s="471">
        <v>7027478190</v>
      </c>
      <c r="C50" s="610" t="s">
        <v>912</v>
      </c>
      <c r="D50" s="42">
        <v>100</v>
      </c>
      <c r="E50" s="1">
        <v>112</v>
      </c>
      <c r="F50" s="700">
        <f>'e402-e801'!E50</f>
        <v>0</v>
      </c>
      <c r="G50" s="57">
        <f t="shared" si="5"/>
        <v>0</v>
      </c>
      <c r="H50" s="57">
        <f t="shared" si="6"/>
        <v>0</v>
      </c>
      <c r="I50" s="60">
        <f>(30*BC!B88/E50)</f>
        <v>0</v>
      </c>
      <c r="J50" s="701">
        <f t="shared" si="10"/>
        <v>0</v>
      </c>
      <c r="K50" s="701">
        <f t="shared" si="11"/>
        <v>0</v>
      </c>
      <c r="L50" s="216">
        <f t="shared" si="7"/>
        <v>0</v>
      </c>
      <c r="M50" s="702">
        <v>1109</v>
      </c>
      <c r="N50" s="703">
        <f t="shared" si="8"/>
        <v>0</v>
      </c>
      <c r="O50" s="704">
        <f t="shared" si="12"/>
        <v>11.09</v>
      </c>
      <c r="P50" s="142" t="e">
        <f>(O50+$O$261)+((BC!$F$125)/$F$112)</f>
        <v>#DIV/0!</v>
      </c>
      <c r="Q50" s="149" t="e">
        <f t="shared" si="13"/>
        <v>#DIV/0!</v>
      </c>
      <c r="R50" s="393" t="e">
        <f t="shared" si="9"/>
        <v>#DIV/0!</v>
      </c>
      <c r="S50" s="393" t="e">
        <f t="shared" si="14"/>
        <v>#DIV/0!</v>
      </c>
    </row>
    <row r="51" spans="2:19" ht="15.75" customHeight="1" x14ac:dyDescent="0.35">
      <c r="B51" s="471">
        <v>9015043190</v>
      </c>
      <c r="C51" s="612" t="s">
        <v>913</v>
      </c>
      <c r="D51" s="42">
        <v>300</v>
      </c>
      <c r="E51" s="1">
        <v>112</v>
      </c>
      <c r="F51" s="700">
        <f>'e402-e801'!E51</f>
        <v>0</v>
      </c>
      <c r="G51" s="57">
        <f t="shared" si="5"/>
        <v>0</v>
      </c>
      <c r="H51" s="57">
        <f t="shared" si="6"/>
        <v>0</v>
      </c>
      <c r="I51" s="60">
        <f>(30*BC!B89/E51)</f>
        <v>0</v>
      </c>
      <c r="J51" s="701">
        <f t="shared" si="10"/>
        <v>0</v>
      </c>
      <c r="K51" s="701">
        <f t="shared" si="11"/>
        <v>0</v>
      </c>
      <c r="L51" s="216">
        <f t="shared" si="7"/>
        <v>0</v>
      </c>
      <c r="M51" s="692"/>
      <c r="N51" s="703">
        <f t="shared" si="8"/>
        <v>0</v>
      </c>
      <c r="O51" s="704">
        <f t="shared" si="12"/>
        <v>0</v>
      </c>
      <c r="P51" s="142" t="e">
        <f>(O51+$O$261)+((BC!$F$125)/$F$112)</f>
        <v>#DIV/0!</v>
      </c>
      <c r="Q51" s="149" t="e">
        <f t="shared" si="13"/>
        <v>#DIV/0!</v>
      </c>
      <c r="R51" s="393" t="e">
        <f t="shared" si="9"/>
        <v>#DIV/0!</v>
      </c>
      <c r="S51" s="393" t="e">
        <f t="shared" si="14"/>
        <v>#DIV/0!</v>
      </c>
    </row>
    <row r="52" spans="2:19" ht="15.75" customHeight="1" x14ac:dyDescent="0.35">
      <c r="B52" s="471">
        <v>9007695190</v>
      </c>
      <c r="C52" s="617" t="s">
        <v>914</v>
      </c>
      <c r="D52" s="42">
        <v>100</v>
      </c>
      <c r="E52" s="1">
        <v>112</v>
      </c>
      <c r="F52" s="700">
        <f>'e402-e801'!E52</f>
        <v>0</v>
      </c>
      <c r="G52" s="57">
        <f t="shared" si="5"/>
        <v>0</v>
      </c>
      <c r="H52" s="57">
        <f t="shared" si="6"/>
        <v>0</v>
      </c>
      <c r="I52" s="60">
        <f>(30*BC!B90/E52)</f>
        <v>0</v>
      </c>
      <c r="J52" s="701">
        <f t="shared" si="10"/>
        <v>0</v>
      </c>
      <c r="K52" s="701">
        <f t="shared" si="11"/>
        <v>0</v>
      </c>
      <c r="L52" s="216">
        <f t="shared" si="7"/>
        <v>0</v>
      </c>
      <c r="M52" s="702">
        <v>756</v>
      </c>
      <c r="N52" s="703">
        <f t="shared" si="8"/>
        <v>0</v>
      </c>
      <c r="O52" s="704">
        <f t="shared" si="12"/>
        <v>7.56</v>
      </c>
      <c r="P52" s="142" t="e">
        <f>(O52+$O$261)+((BC!$F$125)/$F$112)</f>
        <v>#DIV/0!</v>
      </c>
      <c r="Q52" s="149" t="e">
        <f t="shared" si="13"/>
        <v>#DIV/0!</v>
      </c>
      <c r="R52" s="393" t="e">
        <f t="shared" si="9"/>
        <v>#DIV/0!</v>
      </c>
      <c r="S52" s="393" t="e">
        <f t="shared" si="14"/>
        <v>#DIV/0!</v>
      </c>
    </row>
    <row r="53" spans="2:19" ht="15.75" customHeight="1" x14ac:dyDescent="0.35">
      <c r="B53" s="471">
        <v>7028253190</v>
      </c>
      <c r="C53" s="618" t="s">
        <v>915</v>
      </c>
      <c r="D53" s="42">
        <v>100</v>
      </c>
      <c r="E53" s="1">
        <v>112</v>
      </c>
      <c r="F53" s="700">
        <f>'e402-e801'!E53</f>
        <v>0</v>
      </c>
      <c r="G53" s="57">
        <f t="shared" si="5"/>
        <v>0</v>
      </c>
      <c r="H53" s="57">
        <f t="shared" si="6"/>
        <v>0</v>
      </c>
      <c r="I53" s="60">
        <f>(30*BC!B91/E53)</f>
        <v>0</v>
      </c>
      <c r="J53" s="701">
        <f t="shared" si="10"/>
        <v>0</v>
      </c>
      <c r="K53" s="701">
        <f t="shared" si="11"/>
        <v>0</v>
      </c>
      <c r="L53" s="216">
        <f t="shared" si="7"/>
        <v>0</v>
      </c>
      <c r="M53" s="702">
        <v>577</v>
      </c>
      <c r="N53" s="703">
        <f t="shared" si="8"/>
        <v>0</v>
      </c>
      <c r="O53" s="704">
        <f t="shared" si="12"/>
        <v>5.77</v>
      </c>
      <c r="P53" s="142" t="e">
        <f>(O53+$O$261)+((BC!$F$125)/$F$112)</f>
        <v>#DIV/0!</v>
      </c>
      <c r="Q53" s="149" t="e">
        <f t="shared" si="13"/>
        <v>#DIV/0!</v>
      </c>
      <c r="R53" s="393" t="e">
        <f t="shared" si="9"/>
        <v>#DIV/0!</v>
      </c>
      <c r="S53" s="393" t="e">
        <f t="shared" si="14"/>
        <v>#DIV/0!</v>
      </c>
    </row>
    <row r="54" spans="2:19" ht="15.75" customHeight="1" x14ac:dyDescent="0.35">
      <c r="B54" s="471">
        <v>7027214190</v>
      </c>
      <c r="C54" s="620" t="s">
        <v>916</v>
      </c>
      <c r="D54" s="42">
        <v>100</v>
      </c>
      <c r="E54" s="1">
        <v>112</v>
      </c>
      <c r="F54" s="700">
        <f>'e402-e801'!E54</f>
        <v>0</v>
      </c>
      <c r="G54" s="57">
        <f t="shared" si="5"/>
        <v>0</v>
      </c>
      <c r="H54" s="57">
        <f t="shared" si="6"/>
        <v>0</v>
      </c>
      <c r="I54" s="60">
        <f>(30*BC!B92/E54)</f>
        <v>0</v>
      </c>
      <c r="J54" s="701">
        <f t="shared" si="10"/>
        <v>0</v>
      </c>
      <c r="K54" s="701">
        <f t="shared" si="11"/>
        <v>0</v>
      </c>
      <c r="L54" s="216">
        <f t="shared" si="7"/>
        <v>0</v>
      </c>
      <c r="M54" s="702">
        <v>615</v>
      </c>
      <c r="N54" s="703">
        <f t="shared" si="8"/>
        <v>0</v>
      </c>
      <c r="O54" s="704">
        <f t="shared" si="12"/>
        <v>6.15</v>
      </c>
      <c r="P54" s="142" t="e">
        <f>(O54+$O$261)+((BC!$F$125)/$F$112)</f>
        <v>#DIV/0!</v>
      </c>
      <c r="Q54" s="149" t="e">
        <f t="shared" si="13"/>
        <v>#DIV/0!</v>
      </c>
      <c r="R54" s="393" t="e">
        <f t="shared" si="9"/>
        <v>#DIV/0!</v>
      </c>
      <c r="S54" s="393" t="e">
        <f t="shared" si="14"/>
        <v>#DIV/0!</v>
      </c>
    </row>
    <row r="55" spans="2:19" ht="15.75" customHeight="1" x14ac:dyDescent="0.35">
      <c r="B55" s="471">
        <v>7027087190</v>
      </c>
      <c r="C55" s="620" t="s">
        <v>917</v>
      </c>
      <c r="D55" s="42">
        <v>100</v>
      </c>
      <c r="E55" s="1">
        <v>112</v>
      </c>
      <c r="F55" s="700">
        <f>'e402-e801'!E55</f>
        <v>0</v>
      </c>
      <c r="G55" s="57">
        <f t="shared" si="5"/>
        <v>0</v>
      </c>
      <c r="H55" s="57">
        <f t="shared" si="6"/>
        <v>0</v>
      </c>
      <c r="I55" s="60">
        <f>(30*BC!B93/E55)</f>
        <v>0</v>
      </c>
      <c r="J55" s="701">
        <f t="shared" si="10"/>
        <v>0</v>
      </c>
      <c r="K55" s="701">
        <f t="shared" si="11"/>
        <v>0</v>
      </c>
      <c r="L55" s="216">
        <f t="shared" si="7"/>
        <v>0</v>
      </c>
      <c r="M55" s="702">
        <v>276</v>
      </c>
      <c r="N55" s="703">
        <f t="shared" si="8"/>
        <v>0</v>
      </c>
      <c r="O55" s="704">
        <f t="shared" si="12"/>
        <v>2.76</v>
      </c>
      <c r="P55" s="142" t="e">
        <f>(O55+$O$261)+((BC!$F$125)/$F$112)</f>
        <v>#DIV/0!</v>
      </c>
      <c r="Q55" s="149" t="e">
        <f t="shared" si="13"/>
        <v>#DIV/0!</v>
      </c>
      <c r="R55" s="393" t="e">
        <f t="shared" si="9"/>
        <v>#DIV/0!</v>
      </c>
      <c r="S55" s="393" t="e">
        <f t="shared" si="14"/>
        <v>#DIV/0!</v>
      </c>
    </row>
    <row r="56" spans="2:19" ht="15.75" customHeight="1" x14ac:dyDescent="0.35">
      <c r="B56" s="471">
        <v>7027583190</v>
      </c>
      <c r="C56" s="620" t="s">
        <v>918</v>
      </c>
      <c r="D56" s="42">
        <v>100</v>
      </c>
      <c r="E56" s="1">
        <v>112</v>
      </c>
      <c r="F56" s="700">
        <f>'e402-e801'!E56</f>
        <v>0</v>
      </c>
      <c r="G56" s="57">
        <f t="shared" si="5"/>
        <v>0</v>
      </c>
      <c r="H56" s="57">
        <f t="shared" si="6"/>
        <v>0</v>
      </c>
      <c r="I56" s="60">
        <f>(30*BC!B94/E56)</f>
        <v>0</v>
      </c>
      <c r="J56" s="701">
        <f t="shared" si="10"/>
        <v>0</v>
      </c>
      <c r="K56" s="701">
        <f t="shared" si="11"/>
        <v>0</v>
      </c>
      <c r="L56" s="216">
        <f t="shared" si="7"/>
        <v>0</v>
      </c>
      <c r="M56" s="702">
        <v>499</v>
      </c>
      <c r="N56" s="703">
        <f t="shared" si="8"/>
        <v>0</v>
      </c>
      <c r="O56" s="704">
        <f t="shared" si="12"/>
        <v>4.99</v>
      </c>
      <c r="P56" s="142" t="e">
        <f>(O56+$O$261)+((BC!$F$125)/$F$112)</f>
        <v>#DIV/0!</v>
      </c>
      <c r="Q56" s="149" t="e">
        <f t="shared" si="13"/>
        <v>#DIV/0!</v>
      </c>
      <c r="R56" s="393" t="e">
        <f t="shared" si="9"/>
        <v>#DIV/0!</v>
      </c>
      <c r="S56" s="393" t="e">
        <f t="shared" si="14"/>
        <v>#DIV/0!</v>
      </c>
    </row>
    <row r="57" spans="2:19" ht="15.75" customHeight="1" x14ac:dyDescent="0.35">
      <c r="B57" s="471">
        <v>8946809190</v>
      </c>
      <c r="C57" s="620" t="s">
        <v>919</v>
      </c>
      <c r="D57" s="42">
        <v>100</v>
      </c>
      <c r="E57" s="1">
        <v>112</v>
      </c>
      <c r="F57" s="700">
        <f>'e402-e801'!E57</f>
        <v>0</v>
      </c>
      <c r="G57" s="57">
        <f t="shared" si="5"/>
        <v>0</v>
      </c>
      <c r="H57" s="696">
        <f t="shared" si="6"/>
        <v>0</v>
      </c>
      <c r="I57" s="60">
        <f>(30*BC!B95/E57)</f>
        <v>0</v>
      </c>
      <c r="J57" s="701">
        <f t="shared" si="10"/>
        <v>0</v>
      </c>
      <c r="K57" s="701">
        <f t="shared" si="11"/>
        <v>0</v>
      </c>
      <c r="L57" s="216">
        <f t="shared" si="7"/>
        <v>0</v>
      </c>
      <c r="M57" s="702">
        <v>5845</v>
      </c>
      <c r="N57" s="703">
        <f t="shared" si="8"/>
        <v>0</v>
      </c>
      <c r="O57" s="704">
        <f t="shared" si="12"/>
        <v>58.45</v>
      </c>
      <c r="P57" s="142" t="e">
        <f>(O57+$O$261)+((BC!$F$125)/$F$112)</f>
        <v>#DIV/0!</v>
      </c>
      <c r="Q57" s="149" t="e">
        <f t="shared" si="13"/>
        <v>#DIV/0!</v>
      </c>
      <c r="R57" s="393" t="e">
        <f t="shared" si="9"/>
        <v>#DIV/0!</v>
      </c>
      <c r="S57" s="393" t="e">
        <f t="shared" si="14"/>
        <v>#DIV/0!</v>
      </c>
    </row>
    <row r="58" spans="2:19" ht="15.75" customHeight="1" x14ac:dyDescent="0.35">
      <c r="B58" s="471">
        <v>9315357190</v>
      </c>
      <c r="C58" s="621" t="s">
        <v>920</v>
      </c>
      <c r="D58" s="42">
        <v>300</v>
      </c>
      <c r="E58" s="1">
        <v>112</v>
      </c>
      <c r="F58" s="700">
        <f>'e402-e801'!E58</f>
        <v>0</v>
      </c>
      <c r="G58" s="57">
        <f t="shared" si="5"/>
        <v>0</v>
      </c>
      <c r="H58" s="696">
        <f t="shared" si="6"/>
        <v>0</v>
      </c>
      <c r="I58" s="60">
        <f>(30*BC!B96/E58)</f>
        <v>0</v>
      </c>
      <c r="J58" s="701">
        <f t="shared" si="10"/>
        <v>0</v>
      </c>
      <c r="K58" s="701">
        <f t="shared" si="11"/>
        <v>0</v>
      </c>
      <c r="L58" s="216">
        <f t="shared" si="7"/>
        <v>0</v>
      </c>
      <c r="M58" s="702">
        <v>1824</v>
      </c>
      <c r="N58" s="703">
        <f t="shared" si="8"/>
        <v>0</v>
      </c>
      <c r="O58" s="704">
        <f t="shared" si="12"/>
        <v>6.08</v>
      </c>
      <c r="P58" s="142" t="e">
        <f>(O58+$O$261)+((BC!$F$125)/$F$112)</f>
        <v>#DIV/0!</v>
      </c>
      <c r="Q58" s="149" t="e">
        <f t="shared" si="13"/>
        <v>#DIV/0!</v>
      </c>
      <c r="R58" s="393" t="e">
        <f t="shared" si="9"/>
        <v>#DIV/0!</v>
      </c>
      <c r="S58" s="393" t="e">
        <f t="shared" si="14"/>
        <v>#DIV/0!</v>
      </c>
    </row>
    <row r="59" spans="2:19" ht="15.75" customHeight="1" x14ac:dyDescent="0.35">
      <c r="B59" s="471">
        <v>7028059190</v>
      </c>
      <c r="C59" s="621" t="s">
        <v>921</v>
      </c>
      <c r="D59" s="42">
        <v>300</v>
      </c>
      <c r="E59" s="1">
        <v>112</v>
      </c>
      <c r="F59" s="700">
        <f>'e402-e801'!E59</f>
        <v>0</v>
      </c>
      <c r="G59" s="57">
        <f t="shared" si="5"/>
        <v>0</v>
      </c>
      <c r="H59" s="696">
        <f t="shared" si="6"/>
        <v>0</v>
      </c>
      <c r="I59" s="60">
        <f>(30*BC!B97/E59)</f>
        <v>0</v>
      </c>
      <c r="J59" s="701">
        <f t="shared" si="10"/>
        <v>0</v>
      </c>
      <c r="K59" s="701">
        <f t="shared" si="11"/>
        <v>0</v>
      </c>
      <c r="L59" s="216">
        <f t="shared" si="7"/>
        <v>0</v>
      </c>
      <c r="M59" s="702">
        <v>1824</v>
      </c>
      <c r="N59" s="703">
        <f t="shared" si="8"/>
        <v>0</v>
      </c>
      <c r="O59" s="704">
        <f t="shared" si="12"/>
        <v>6.08</v>
      </c>
      <c r="P59" s="142" t="e">
        <f>(O59+$O$261)+((BC!$F$125)/$F$112)</f>
        <v>#DIV/0!</v>
      </c>
      <c r="Q59" s="149" t="e">
        <f t="shared" si="13"/>
        <v>#DIV/0!</v>
      </c>
      <c r="R59" s="393" t="e">
        <f t="shared" si="9"/>
        <v>#DIV/0!</v>
      </c>
      <c r="S59" s="393" t="e">
        <f t="shared" si="14"/>
        <v>#DIV/0!</v>
      </c>
    </row>
    <row r="60" spans="2:19" ht="15.75" customHeight="1" x14ac:dyDescent="0.35">
      <c r="B60" s="584" t="s">
        <v>922</v>
      </c>
      <c r="C60" s="624" t="s">
        <v>923</v>
      </c>
      <c r="D60" s="42">
        <v>300</v>
      </c>
      <c r="E60" s="1">
        <v>112</v>
      </c>
      <c r="F60" s="700">
        <f>'e402-e801'!E60</f>
        <v>0</v>
      </c>
      <c r="G60" s="57">
        <f t="shared" si="5"/>
        <v>0</v>
      </c>
      <c r="H60" s="696">
        <f t="shared" si="6"/>
        <v>0</v>
      </c>
      <c r="I60" s="60">
        <f>(30*BC!B98/E60)</f>
        <v>0</v>
      </c>
      <c r="J60" s="701">
        <f t="shared" si="10"/>
        <v>0</v>
      </c>
      <c r="K60" s="701">
        <f t="shared" si="11"/>
        <v>0</v>
      </c>
      <c r="L60" s="216">
        <f t="shared" si="7"/>
        <v>0</v>
      </c>
      <c r="M60" s="702">
        <v>3554</v>
      </c>
      <c r="N60" s="703">
        <f t="shared" si="8"/>
        <v>0</v>
      </c>
      <c r="O60" s="704">
        <f t="shared" si="12"/>
        <v>11.846666666666666</v>
      </c>
      <c r="P60" s="142" t="e">
        <f>(O60+$O$261)+((BC!$F$125)/$F$112)</f>
        <v>#DIV/0!</v>
      </c>
      <c r="Q60" s="149" t="e">
        <f t="shared" si="13"/>
        <v>#DIV/0!</v>
      </c>
      <c r="R60" s="393" t="e">
        <f t="shared" si="9"/>
        <v>#DIV/0!</v>
      </c>
      <c r="S60" s="393" t="e">
        <f t="shared" si="14"/>
        <v>#DIV/0!</v>
      </c>
    </row>
    <row r="61" spans="2:19" ht="15.75" customHeight="1" x14ac:dyDescent="0.35">
      <c r="B61" s="471">
        <v>9005676190</v>
      </c>
      <c r="C61" s="623" t="s">
        <v>924</v>
      </c>
      <c r="D61" s="42">
        <v>100</v>
      </c>
      <c r="E61" s="1">
        <v>112</v>
      </c>
      <c r="F61" s="700">
        <f>'e402-e801'!E61</f>
        <v>0</v>
      </c>
      <c r="G61" s="57">
        <f t="shared" si="5"/>
        <v>0</v>
      </c>
      <c r="H61" s="696">
        <f t="shared" si="6"/>
        <v>0</v>
      </c>
      <c r="I61" s="60">
        <f>(30*BC!B99/E61)</f>
        <v>0</v>
      </c>
      <c r="J61" s="701">
        <f t="shared" si="10"/>
        <v>0</v>
      </c>
      <c r="K61" s="701">
        <f t="shared" si="11"/>
        <v>0</v>
      </c>
      <c r="L61" s="216">
        <f t="shared" si="7"/>
        <v>0</v>
      </c>
      <c r="M61" s="692"/>
      <c r="N61" s="703">
        <f t="shared" si="8"/>
        <v>0</v>
      </c>
      <c r="O61" s="704">
        <f t="shared" si="12"/>
        <v>0</v>
      </c>
      <c r="P61" s="142" t="e">
        <f>(O61+$O$261)+((BC!$F$125)/$F$112)</f>
        <v>#DIV/0!</v>
      </c>
      <c r="Q61" s="149" t="e">
        <f t="shared" si="13"/>
        <v>#DIV/0!</v>
      </c>
      <c r="R61" s="393" t="e">
        <f t="shared" si="9"/>
        <v>#DIV/0!</v>
      </c>
      <c r="S61" s="393" t="e">
        <f t="shared" si="14"/>
        <v>#DIV/0!</v>
      </c>
    </row>
    <row r="62" spans="2:19" ht="15.75" customHeight="1" x14ac:dyDescent="0.35">
      <c r="B62" s="471">
        <v>9015612190</v>
      </c>
      <c r="C62" s="602" t="s">
        <v>925</v>
      </c>
      <c r="D62" s="42">
        <v>100</v>
      </c>
      <c r="E62" s="1">
        <v>112</v>
      </c>
      <c r="F62" s="700">
        <f>'e402-e801'!E62</f>
        <v>0</v>
      </c>
      <c r="G62" s="57">
        <f t="shared" si="5"/>
        <v>0</v>
      </c>
      <c r="H62" s="696">
        <f t="shared" si="6"/>
        <v>0</v>
      </c>
      <c r="I62" s="60" t="e">
        <f>(30*BC!B100/E62)</f>
        <v>#VALUE!</v>
      </c>
      <c r="J62" s="701" t="e">
        <f t="shared" si="10"/>
        <v>#VALUE!</v>
      </c>
      <c r="K62" s="701">
        <f t="shared" si="11"/>
        <v>0</v>
      </c>
      <c r="L62" s="216">
        <f t="shared" si="7"/>
        <v>0</v>
      </c>
      <c r="M62" s="702">
        <v>1055</v>
      </c>
      <c r="N62" s="703">
        <f t="shared" si="8"/>
        <v>0</v>
      </c>
      <c r="O62" s="704">
        <f t="shared" si="12"/>
        <v>10.55</v>
      </c>
      <c r="P62" s="142" t="e">
        <f>(O62+$O$261)+((BC!$F$125)/$F$112)</f>
        <v>#DIV/0!</v>
      </c>
      <c r="Q62" s="149" t="e">
        <f t="shared" si="13"/>
        <v>#DIV/0!</v>
      </c>
      <c r="R62" s="393" t="e">
        <f t="shared" si="9"/>
        <v>#DIV/0!</v>
      </c>
      <c r="S62" s="393" t="e">
        <f t="shared" si="14"/>
        <v>#DIV/0!</v>
      </c>
    </row>
    <row r="63" spans="2:19" ht="15.75" customHeight="1" x14ac:dyDescent="0.35">
      <c r="B63" s="614">
        <v>7027273190</v>
      </c>
      <c r="C63" s="625" t="s">
        <v>926</v>
      </c>
      <c r="D63" s="42">
        <v>300</v>
      </c>
      <c r="E63" s="1">
        <v>112</v>
      </c>
      <c r="F63" s="700">
        <f>'e402-e801'!E63</f>
        <v>0</v>
      </c>
      <c r="G63" s="57">
        <f t="shared" si="5"/>
        <v>0</v>
      </c>
      <c r="H63" s="696">
        <f t="shared" si="6"/>
        <v>0</v>
      </c>
      <c r="I63" s="60">
        <f>(30*BC!B101/E63)</f>
        <v>0</v>
      </c>
      <c r="J63" s="701">
        <f t="shared" si="10"/>
        <v>0</v>
      </c>
      <c r="K63" s="701">
        <f t="shared" si="11"/>
        <v>0</v>
      </c>
      <c r="L63" s="216">
        <f t="shared" si="7"/>
        <v>0</v>
      </c>
      <c r="M63" s="702">
        <v>1134</v>
      </c>
      <c r="N63" s="703">
        <f t="shared" si="8"/>
        <v>0</v>
      </c>
      <c r="O63" s="704">
        <f t="shared" si="12"/>
        <v>3.78</v>
      </c>
      <c r="P63" s="142" t="e">
        <f>(O63+$O$261)+((BC!$F$125)/$F$112)</f>
        <v>#DIV/0!</v>
      </c>
      <c r="Q63" s="149" t="e">
        <f t="shared" si="13"/>
        <v>#DIV/0!</v>
      </c>
      <c r="R63" s="393" t="e">
        <f t="shared" si="9"/>
        <v>#DIV/0!</v>
      </c>
      <c r="S63" s="393" t="e">
        <f t="shared" si="14"/>
        <v>#DIV/0!</v>
      </c>
    </row>
    <row r="64" spans="2:19" ht="15.75" customHeight="1" x14ac:dyDescent="0.35">
      <c r="B64" s="471">
        <v>7027290190</v>
      </c>
      <c r="C64" s="626" t="s">
        <v>927</v>
      </c>
      <c r="D64" s="42">
        <v>300</v>
      </c>
      <c r="E64" s="1">
        <v>112</v>
      </c>
      <c r="F64" s="700">
        <f>'e402-e801'!E64</f>
        <v>0</v>
      </c>
      <c r="G64" s="57">
        <f t="shared" si="5"/>
        <v>0</v>
      </c>
      <c r="H64" s="696">
        <f t="shared" si="6"/>
        <v>0</v>
      </c>
      <c r="I64" s="60">
        <f>(30*BC!B102/E64)</f>
        <v>0</v>
      </c>
      <c r="J64" s="701">
        <f t="shared" si="10"/>
        <v>0</v>
      </c>
      <c r="K64" s="701">
        <f t="shared" si="11"/>
        <v>0</v>
      </c>
      <c r="L64" s="216">
        <f t="shared" si="7"/>
        <v>0</v>
      </c>
      <c r="M64" s="702">
        <v>990</v>
      </c>
      <c r="N64" s="703">
        <f t="shared" si="8"/>
        <v>0</v>
      </c>
      <c r="O64" s="704">
        <f t="shared" si="12"/>
        <v>3.3</v>
      </c>
      <c r="P64" s="142" t="e">
        <f>(O64+$O$261)+((BC!$F$125)/$F$112)</f>
        <v>#DIV/0!</v>
      </c>
      <c r="Q64" s="149" t="e">
        <f t="shared" si="13"/>
        <v>#DIV/0!</v>
      </c>
      <c r="R64" s="393" t="e">
        <f t="shared" si="9"/>
        <v>#DIV/0!</v>
      </c>
      <c r="S64" s="393" t="e">
        <f t="shared" si="14"/>
        <v>#DIV/0!</v>
      </c>
    </row>
    <row r="65" spans="2:19" ht="15.75" customHeight="1" x14ac:dyDescent="0.35">
      <c r="B65" s="471">
        <v>7028121190</v>
      </c>
      <c r="C65" s="625" t="s">
        <v>928</v>
      </c>
      <c r="D65" s="42">
        <v>300</v>
      </c>
      <c r="E65" s="1">
        <v>112</v>
      </c>
      <c r="F65" s="700">
        <f>'e402-e801'!E65</f>
        <v>0</v>
      </c>
      <c r="G65" s="57">
        <f t="shared" si="5"/>
        <v>0</v>
      </c>
      <c r="H65" s="696">
        <f t="shared" si="6"/>
        <v>0</v>
      </c>
      <c r="I65" s="60">
        <f>(30*BC!B103/E65)</f>
        <v>0</v>
      </c>
      <c r="J65" s="701">
        <f t="shared" si="10"/>
        <v>0</v>
      </c>
      <c r="K65" s="701">
        <f t="shared" si="11"/>
        <v>0</v>
      </c>
      <c r="L65" s="216">
        <f t="shared" si="7"/>
        <v>0</v>
      </c>
      <c r="M65" s="702">
        <v>2099</v>
      </c>
      <c r="N65" s="703">
        <f t="shared" si="8"/>
        <v>0</v>
      </c>
      <c r="O65" s="704">
        <f t="shared" si="12"/>
        <v>6.996666666666667</v>
      </c>
      <c r="P65" s="142" t="e">
        <f>(O65+$O$261)+((BC!$F$125)/$F$112)</f>
        <v>#DIV/0!</v>
      </c>
      <c r="Q65" s="149" t="e">
        <f t="shared" si="13"/>
        <v>#DIV/0!</v>
      </c>
      <c r="R65" s="393" t="e">
        <f t="shared" si="9"/>
        <v>#DIV/0!</v>
      </c>
      <c r="S65" s="393" t="e">
        <f t="shared" si="14"/>
        <v>#DIV/0!</v>
      </c>
    </row>
    <row r="66" spans="2:19" ht="15.75" customHeight="1" x14ac:dyDescent="0.35">
      <c r="B66" s="471">
        <v>7713258190</v>
      </c>
      <c r="C66" s="628" t="s">
        <v>929</v>
      </c>
      <c r="D66" s="42">
        <v>300</v>
      </c>
      <c r="E66" s="1">
        <v>112</v>
      </c>
      <c r="F66" s="700">
        <f>'e402-e801'!E66</f>
        <v>0</v>
      </c>
      <c r="G66" s="57">
        <f t="shared" si="5"/>
        <v>0</v>
      </c>
      <c r="H66" s="696">
        <f t="shared" si="6"/>
        <v>0</v>
      </c>
      <c r="I66" s="60">
        <f>(30*BC!B104/E66)</f>
        <v>0</v>
      </c>
      <c r="J66" s="701">
        <f t="shared" si="10"/>
        <v>0</v>
      </c>
      <c r="K66" s="701">
        <f t="shared" si="11"/>
        <v>0</v>
      </c>
      <c r="L66" s="216">
        <f t="shared" si="7"/>
        <v>0</v>
      </c>
      <c r="M66" s="692"/>
      <c r="N66" s="703">
        <f t="shared" si="8"/>
        <v>0</v>
      </c>
      <c r="O66" s="704">
        <f t="shared" si="12"/>
        <v>0</v>
      </c>
      <c r="P66" s="142" t="e">
        <f>(O66+$O$261)+((BC!$F$125)/$F$112)</f>
        <v>#DIV/0!</v>
      </c>
      <c r="Q66" s="149" t="e">
        <f t="shared" si="13"/>
        <v>#DIV/0!</v>
      </c>
      <c r="R66" s="393" t="e">
        <f t="shared" si="9"/>
        <v>#DIV/0!</v>
      </c>
      <c r="S66" s="393" t="e">
        <f t="shared" si="14"/>
        <v>#DIV/0!</v>
      </c>
    </row>
    <row r="67" spans="2:19" ht="15.75" customHeight="1" x14ac:dyDescent="0.35">
      <c r="B67" s="25">
        <v>7027516190</v>
      </c>
      <c r="C67" s="594" t="s">
        <v>930</v>
      </c>
      <c r="D67" s="42">
        <v>100</v>
      </c>
      <c r="E67" s="1">
        <v>112</v>
      </c>
      <c r="F67" s="700">
        <f>'e402-e801'!E67</f>
        <v>0</v>
      </c>
      <c r="G67" s="57">
        <f t="shared" si="5"/>
        <v>0</v>
      </c>
      <c r="H67" s="696">
        <f t="shared" si="6"/>
        <v>0</v>
      </c>
      <c r="I67" s="60" t="e">
        <f>(30*BC!B105/E67)</f>
        <v>#VALUE!</v>
      </c>
      <c r="J67" s="701" t="e">
        <f t="shared" si="10"/>
        <v>#VALUE!</v>
      </c>
      <c r="K67" s="701">
        <f t="shared" si="11"/>
        <v>0</v>
      </c>
      <c r="L67" s="216">
        <f t="shared" si="7"/>
        <v>0</v>
      </c>
      <c r="M67" s="702">
        <v>388</v>
      </c>
      <c r="N67" s="703">
        <f t="shared" si="8"/>
        <v>0</v>
      </c>
      <c r="O67" s="704">
        <f t="shared" si="12"/>
        <v>3.88</v>
      </c>
      <c r="P67" s="142" t="e">
        <f>(O67+$O$261)+((BC!$F$125)/$F$112)</f>
        <v>#DIV/0!</v>
      </c>
      <c r="Q67" s="149" t="e">
        <f t="shared" si="13"/>
        <v>#DIV/0!</v>
      </c>
      <c r="R67" s="393" t="e">
        <f t="shared" si="9"/>
        <v>#DIV/0!</v>
      </c>
      <c r="S67" s="393" t="e">
        <f t="shared" si="14"/>
        <v>#DIV/0!</v>
      </c>
    </row>
    <row r="68" spans="2:19" ht="15.75" customHeight="1" x14ac:dyDescent="0.35">
      <c r="B68" s="25">
        <v>9744436190</v>
      </c>
      <c r="C68" s="625" t="s">
        <v>931</v>
      </c>
      <c r="D68" s="42">
        <v>100</v>
      </c>
      <c r="E68" s="1">
        <v>112</v>
      </c>
      <c r="F68" s="700">
        <f>'e402-e801'!E68</f>
        <v>0</v>
      </c>
      <c r="G68" s="57">
        <f t="shared" si="5"/>
        <v>0</v>
      </c>
      <c r="H68" s="696">
        <f t="shared" si="6"/>
        <v>0</v>
      </c>
      <c r="I68" s="60" t="e">
        <f>(30*BC!B106/E68)</f>
        <v>#VALUE!</v>
      </c>
      <c r="J68" s="701" t="e">
        <f t="shared" si="10"/>
        <v>#VALUE!</v>
      </c>
      <c r="K68" s="701">
        <f t="shared" si="11"/>
        <v>0</v>
      </c>
      <c r="L68" s="216">
        <f t="shared" si="7"/>
        <v>0</v>
      </c>
      <c r="M68" s="702">
        <v>1950</v>
      </c>
      <c r="N68" s="703">
        <f t="shared" si="8"/>
        <v>0</v>
      </c>
      <c r="O68" s="704">
        <f t="shared" si="12"/>
        <v>19.5</v>
      </c>
      <c r="P68" s="142" t="e">
        <f>(O68+$O$261)+((BC!$F$125)/$F$112)</f>
        <v>#DIV/0!</v>
      </c>
      <c r="Q68" s="149" t="e">
        <f t="shared" si="13"/>
        <v>#DIV/0!</v>
      </c>
      <c r="R68" s="393" t="e">
        <f t="shared" si="9"/>
        <v>#DIV/0!</v>
      </c>
      <c r="S68" s="393" t="e">
        <f t="shared" si="14"/>
        <v>#DIV/0!</v>
      </c>
    </row>
    <row r="69" spans="2:19" ht="15.75" customHeight="1" x14ac:dyDescent="0.35">
      <c r="B69" s="25">
        <v>9005765190</v>
      </c>
      <c r="C69" s="625" t="s">
        <v>932</v>
      </c>
      <c r="D69" s="42">
        <v>100</v>
      </c>
      <c r="E69" s="1">
        <v>112</v>
      </c>
      <c r="F69" s="700">
        <f>'e402-e801'!E69</f>
        <v>0</v>
      </c>
      <c r="G69" s="57">
        <f t="shared" si="5"/>
        <v>0</v>
      </c>
      <c r="H69" s="696">
        <f t="shared" si="6"/>
        <v>0</v>
      </c>
      <c r="I69" s="60">
        <f>(30*BC!B107/E69)</f>
        <v>0</v>
      </c>
      <c r="J69" s="701">
        <f t="shared" si="10"/>
        <v>0</v>
      </c>
      <c r="K69" s="701">
        <f t="shared" si="11"/>
        <v>0</v>
      </c>
      <c r="L69" s="216">
        <f t="shared" si="7"/>
        <v>0</v>
      </c>
      <c r="M69" s="702">
        <v>1300</v>
      </c>
      <c r="N69" s="703">
        <f t="shared" si="8"/>
        <v>0</v>
      </c>
      <c r="O69" s="704">
        <f t="shared" si="12"/>
        <v>13</v>
      </c>
      <c r="P69" s="142" t="e">
        <f>(O69+$O$261)+((BC!$F$125)/$F$112)</f>
        <v>#DIV/0!</v>
      </c>
      <c r="Q69" s="149" t="e">
        <f t="shared" si="13"/>
        <v>#DIV/0!</v>
      </c>
      <c r="R69" s="393" t="e">
        <f t="shared" si="9"/>
        <v>#DIV/0!</v>
      </c>
      <c r="S69" s="393" t="e">
        <f t="shared" si="14"/>
        <v>#DIV/0!</v>
      </c>
    </row>
    <row r="70" spans="2:19" ht="15.75" customHeight="1" x14ac:dyDescent="0.35">
      <c r="B70" s="25">
        <v>7027940190</v>
      </c>
      <c r="C70" s="625" t="s">
        <v>933</v>
      </c>
      <c r="D70" s="42">
        <v>100</v>
      </c>
      <c r="E70" s="1">
        <v>112</v>
      </c>
      <c r="F70" s="700">
        <f>'e402-e801'!E70</f>
        <v>0</v>
      </c>
      <c r="G70" s="57">
        <f t="shared" si="5"/>
        <v>0</v>
      </c>
      <c r="H70" s="696">
        <f t="shared" si="6"/>
        <v>0</v>
      </c>
      <c r="I70" s="60">
        <f>(30*BC!B108/E70)</f>
        <v>0</v>
      </c>
      <c r="J70" s="701">
        <f t="shared" si="10"/>
        <v>0</v>
      </c>
      <c r="K70" s="701">
        <f t="shared" si="11"/>
        <v>0</v>
      </c>
      <c r="L70" s="216">
        <f t="shared" si="7"/>
        <v>0</v>
      </c>
      <c r="M70" s="702">
        <v>867</v>
      </c>
      <c r="N70" s="703">
        <f t="shared" si="8"/>
        <v>0</v>
      </c>
      <c r="O70" s="704">
        <f t="shared" si="12"/>
        <v>8.67</v>
      </c>
      <c r="P70" s="142" t="e">
        <f>(O70+$O$261)+((BC!$F$125)/$F$112)</f>
        <v>#DIV/0!</v>
      </c>
      <c r="Q70" s="149" t="e">
        <f t="shared" si="13"/>
        <v>#DIV/0!</v>
      </c>
      <c r="R70" s="393" t="e">
        <f t="shared" si="9"/>
        <v>#DIV/0!</v>
      </c>
      <c r="S70" s="393" t="e">
        <f t="shared" si="14"/>
        <v>#DIV/0!</v>
      </c>
    </row>
    <row r="71" spans="2:19" ht="15.75" customHeight="1" x14ac:dyDescent="0.35">
      <c r="B71" s="585" t="s">
        <v>934</v>
      </c>
      <c r="C71" s="629" t="s">
        <v>935</v>
      </c>
      <c r="D71" s="42">
        <v>100</v>
      </c>
      <c r="E71" s="1">
        <v>112</v>
      </c>
      <c r="F71" s="700">
        <f>'e402-e801'!E71</f>
        <v>0</v>
      </c>
      <c r="G71" s="57">
        <f t="shared" si="5"/>
        <v>0</v>
      </c>
      <c r="H71" s="696">
        <f t="shared" si="6"/>
        <v>0</v>
      </c>
      <c r="I71" s="60">
        <f>(30*BC!B109/E71)</f>
        <v>0</v>
      </c>
      <c r="J71" s="701">
        <f t="shared" si="10"/>
        <v>0</v>
      </c>
      <c r="K71" s="701">
        <f t="shared" si="11"/>
        <v>0</v>
      </c>
      <c r="L71" s="216">
        <f t="shared" si="7"/>
        <v>0</v>
      </c>
      <c r="M71" s="702">
        <v>543</v>
      </c>
      <c r="N71" s="703">
        <f t="shared" si="8"/>
        <v>0</v>
      </c>
      <c r="O71" s="704">
        <f t="shared" si="12"/>
        <v>5.43</v>
      </c>
      <c r="P71" s="142" t="e">
        <f>(O71+$O$261)+((BC!$F$125)/$F$112)</f>
        <v>#DIV/0!</v>
      </c>
      <c r="Q71" s="149" t="e">
        <f t="shared" si="13"/>
        <v>#DIV/0!</v>
      </c>
      <c r="R71" s="393" t="e">
        <f t="shared" si="9"/>
        <v>#DIV/0!</v>
      </c>
      <c r="S71" s="393" t="e">
        <f t="shared" si="14"/>
        <v>#DIV/0!</v>
      </c>
    </row>
    <row r="72" spans="2:19" ht="15.75" customHeight="1" x14ac:dyDescent="0.35">
      <c r="B72" s="25">
        <v>7027591190</v>
      </c>
      <c r="C72" s="625" t="s">
        <v>936</v>
      </c>
      <c r="D72" s="42">
        <v>100</v>
      </c>
      <c r="E72" s="1">
        <v>112</v>
      </c>
      <c r="F72" s="700">
        <f>'e402-e801'!E72</f>
        <v>0</v>
      </c>
      <c r="G72" s="57">
        <f t="shared" si="5"/>
        <v>0</v>
      </c>
      <c r="H72" s="696">
        <f t="shared" si="6"/>
        <v>0</v>
      </c>
      <c r="I72" s="60">
        <f>(30*BC!B110/E72)</f>
        <v>0</v>
      </c>
      <c r="J72" s="701">
        <f t="shared" si="10"/>
        <v>0</v>
      </c>
      <c r="K72" s="701">
        <f t="shared" si="11"/>
        <v>0</v>
      </c>
      <c r="L72" s="216">
        <f t="shared" si="7"/>
        <v>0</v>
      </c>
      <c r="M72" s="702">
        <v>654</v>
      </c>
      <c r="N72" s="703">
        <f t="shared" si="8"/>
        <v>0</v>
      </c>
      <c r="O72" s="704">
        <f t="shared" si="12"/>
        <v>6.54</v>
      </c>
      <c r="P72" s="142" t="e">
        <f>(O72+$O$261)+((BC!$F$125)/$F$112)</f>
        <v>#DIV/0!</v>
      </c>
      <c r="Q72" s="149" t="e">
        <f t="shared" si="13"/>
        <v>#DIV/0!</v>
      </c>
      <c r="R72" s="393" t="e">
        <f t="shared" si="9"/>
        <v>#DIV/0!</v>
      </c>
      <c r="S72" s="393" t="e">
        <f t="shared" si="14"/>
        <v>#DIV/0!</v>
      </c>
    </row>
    <row r="73" spans="2:19" ht="15.75" customHeight="1" x14ac:dyDescent="0.35">
      <c r="B73" s="585" t="s">
        <v>937</v>
      </c>
      <c r="C73" s="631" t="s">
        <v>938</v>
      </c>
      <c r="D73" s="42">
        <v>100</v>
      </c>
      <c r="E73" s="1">
        <v>112</v>
      </c>
      <c r="F73" s="700">
        <f>'e402-e801'!E73</f>
        <v>0</v>
      </c>
      <c r="G73" s="57">
        <f t="shared" si="5"/>
        <v>0</v>
      </c>
      <c r="H73" s="696">
        <f t="shared" si="6"/>
        <v>0</v>
      </c>
      <c r="I73" s="60">
        <f>(30*BC!B111/E73)</f>
        <v>0</v>
      </c>
      <c r="J73" s="701">
        <f t="shared" ref="J73:J104" si="15">IF(I73&gt;H73,I73,H73)</f>
        <v>0</v>
      </c>
      <c r="K73" s="701">
        <f t="shared" ref="K73:K104" si="16">IF(H73=0,0,J73)</f>
        <v>0</v>
      </c>
      <c r="L73" s="216">
        <f t="shared" si="7"/>
        <v>0</v>
      </c>
      <c r="M73" s="702">
        <v>861</v>
      </c>
      <c r="N73" s="703">
        <f t="shared" si="8"/>
        <v>0</v>
      </c>
      <c r="O73" s="704">
        <f t="shared" ref="O73:O104" si="17">M73/D73</f>
        <v>8.61</v>
      </c>
      <c r="P73" s="142" t="e">
        <f>(O73+$O$261)+((BC!$F$125)/$F$112)</f>
        <v>#DIV/0!</v>
      </c>
      <c r="Q73" s="149" t="e">
        <f t="shared" ref="Q73:Q104" si="18">P73*F73</f>
        <v>#DIV/0!</v>
      </c>
      <c r="R73" s="393" t="e">
        <f t="shared" si="9"/>
        <v>#DIV/0!</v>
      </c>
      <c r="S73" s="393" t="e">
        <f t="shared" ref="S73:S104" si="19">R73*F73</f>
        <v>#DIV/0!</v>
      </c>
    </row>
    <row r="74" spans="2:19" ht="15.75" customHeight="1" x14ac:dyDescent="0.35">
      <c r="B74" s="585" t="s">
        <v>939</v>
      </c>
      <c r="C74" s="586" t="s">
        <v>940</v>
      </c>
      <c r="D74" s="42">
        <v>300</v>
      </c>
      <c r="E74" s="1">
        <v>112</v>
      </c>
      <c r="F74" s="700">
        <f>'e402-e801'!E74</f>
        <v>0</v>
      </c>
      <c r="G74" s="57">
        <f t="shared" ref="G74:G111" si="20">((F74*0.2)+F74)</f>
        <v>0</v>
      </c>
      <c r="H74" s="696">
        <f t="shared" ref="H74:H111" si="21">G74/D74</f>
        <v>0</v>
      </c>
      <c r="I74" s="60">
        <f>(30*BC!B112/E74)</f>
        <v>0</v>
      </c>
      <c r="J74" s="701">
        <f t="shared" si="15"/>
        <v>0</v>
      </c>
      <c r="K74" s="701">
        <f t="shared" si="16"/>
        <v>0</v>
      </c>
      <c r="L74" s="216">
        <f t="shared" ref="L74:L111" si="22">ROUNDUP(K74,0)</f>
        <v>0</v>
      </c>
      <c r="M74" s="702">
        <v>5103</v>
      </c>
      <c r="N74" s="703">
        <f t="shared" ref="N74:N111" si="23">M74*L74</f>
        <v>0</v>
      </c>
      <c r="O74" s="704">
        <f t="shared" si="17"/>
        <v>17.010000000000002</v>
      </c>
      <c r="P74" s="142" t="e">
        <f>(O74+$O$261)+((BC!$F$125)/$F$112)</f>
        <v>#DIV/0!</v>
      </c>
      <c r="Q74" s="149" t="e">
        <f t="shared" si="18"/>
        <v>#DIV/0!</v>
      </c>
      <c r="R74" s="393" t="e">
        <f t="shared" ref="R74:R111" si="24">((P74*0.15)+P74)</f>
        <v>#DIV/0!</v>
      </c>
      <c r="S74" s="393" t="e">
        <f t="shared" si="19"/>
        <v>#DIV/0!</v>
      </c>
    </row>
    <row r="75" spans="2:19" ht="15.75" customHeight="1" x14ac:dyDescent="0.35">
      <c r="B75" s="25">
        <v>9038086190</v>
      </c>
      <c r="C75" s="632" t="s">
        <v>941</v>
      </c>
      <c r="D75" s="42">
        <v>300</v>
      </c>
      <c r="E75" s="1">
        <v>77</v>
      </c>
      <c r="F75" s="700">
        <f>'e402-e801'!E75</f>
        <v>0</v>
      </c>
      <c r="G75" s="57">
        <f t="shared" si="20"/>
        <v>0</v>
      </c>
      <c r="H75" s="696">
        <f t="shared" si="21"/>
        <v>0</v>
      </c>
      <c r="I75" s="60">
        <f>(30*BC!B113/E75)</f>
        <v>0</v>
      </c>
      <c r="J75" s="701">
        <f t="shared" si="15"/>
        <v>0</v>
      </c>
      <c r="K75" s="701">
        <f t="shared" si="16"/>
        <v>0</v>
      </c>
      <c r="L75" s="216">
        <f t="shared" si="22"/>
        <v>0</v>
      </c>
      <c r="M75" s="702">
        <v>1971</v>
      </c>
      <c r="N75" s="703">
        <f t="shared" si="23"/>
        <v>0</v>
      </c>
      <c r="O75" s="704">
        <f t="shared" si="17"/>
        <v>6.57</v>
      </c>
      <c r="P75" s="142" t="e">
        <f>(O75+$O$261)+((BC!$F$125)/$F$112)</f>
        <v>#DIV/0!</v>
      </c>
      <c r="Q75" s="149" t="e">
        <f t="shared" si="18"/>
        <v>#DIV/0!</v>
      </c>
      <c r="R75" s="393" t="e">
        <f t="shared" si="24"/>
        <v>#DIV/0!</v>
      </c>
      <c r="S75" s="393" t="e">
        <f t="shared" si="19"/>
        <v>#DIV/0!</v>
      </c>
    </row>
    <row r="76" spans="2:19" ht="15.75" customHeight="1" x14ac:dyDescent="0.35">
      <c r="B76" s="25">
        <v>7475918190</v>
      </c>
      <c r="C76" s="615" t="s">
        <v>942</v>
      </c>
      <c r="D76" s="42">
        <v>100</v>
      </c>
      <c r="E76" s="1">
        <v>112</v>
      </c>
      <c r="F76" s="700">
        <f>'e402-e801'!E76</f>
        <v>0</v>
      </c>
      <c r="G76" s="57">
        <f t="shared" si="20"/>
        <v>0</v>
      </c>
      <c r="H76" s="696">
        <f t="shared" si="21"/>
        <v>0</v>
      </c>
      <c r="I76" s="60" t="e">
        <f>(30*BC!B114/E76)</f>
        <v>#VALUE!</v>
      </c>
      <c r="J76" s="701" t="e">
        <f t="shared" si="15"/>
        <v>#VALUE!</v>
      </c>
      <c r="K76" s="701">
        <f t="shared" si="16"/>
        <v>0</v>
      </c>
      <c r="L76" s="216">
        <f t="shared" si="22"/>
        <v>0</v>
      </c>
      <c r="M76" s="702">
        <v>859</v>
      </c>
      <c r="N76" s="703">
        <f t="shared" si="23"/>
        <v>0</v>
      </c>
      <c r="O76" s="704">
        <f t="shared" si="17"/>
        <v>8.59</v>
      </c>
      <c r="P76" s="142" t="e">
        <f>(O76+$O$261)+((BC!$F$125)/$F$112)</f>
        <v>#DIV/0!</v>
      </c>
      <c r="Q76" s="149" t="e">
        <f t="shared" si="18"/>
        <v>#DIV/0!</v>
      </c>
      <c r="R76" s="393" t="e">
        <f t="shared" si="24"/>
        <v>#DIV/0!</v>
      </c>
      <c r="S76" s="393" t="e">
        <f t="shared" si="19"/>
        <v>#DIV/0!</v>
      </c>
    </row>
    <row r="77" spans="2:19" ht="15.75" customHeight="1" x14ac:dyDescent="0.35">
      <c r="B77" s="25">
        <v>7574720190</v>
      </c>
      <c r="C77" s="615" t="s">
        <v>943</v>
      </c>
      <c r="D77" s="42">
        <v>100</v>
      </c>
      <c r="E77" s="1">
        <v>112</v>
      </c>
      <c r="F77" s="700">
        <f>'e402-e801'!E77</f>
        <v>0</v>
      </c>
      <c r="G77" s="57">
        <f t="shared" si="20"/>
        <v>0</v>
      </c>
      <c r="H77" s="696">
        <f t="shared" si="21"/>
        <v>0</v>
      </c>
      <c r="I77" s="60">
        <f>(30*BC!B115/E77)</f>
        <v>0</v>
      </c>
      <c r="J77" s="701">
        <f t="shared" si="15"/>
        <v>0</v>
      </c>
      <c r="K77" s="701">
        <f t="shared" si="16"/>
        <v>0</v>
      </c>
      <c r="L77" s="216">
        <f t="shared" si="22"/>
        <v>0</v>
      </c>
      <c r="M77" s="702">
        <v>1239</v>
      </c>
      <c r="N77" s="703">
        <f t="shared" si="23"/>
        <v>0</v>
      </c>
      <c r="O77" s="704">
        <f t="shared" si="17"/>
        <v>12.39</v>
      </c>
      <c r="P77" s="142" t="e">
        <f>(O77+$O$261)+((BC!$F$125)/$F$112)</f>
        <v>#DIV/0!</v>
      </c>
      <c r="Q77" s="149" t="e">
        <f t="shared" si="18"/>
        <v>#DIV/0!</v>
      </c>
      <c r="R77" s="393" t="e">
        <f t="shared" si="24"/>
        <v>#DIV/0!</v>
      </c>
      <c r="S77" s="393" t="e">
        <f t="shared" si="19"/>
        <v>#DIV/0!</v>
      </c>
    </row>
    <row r="78" spans="2:19" ht="15.75" customHeight="1" x14ac:dyDescent="0.35">
      <c r="B78" s="25">
        <v>8836973190</v>
      </c>
      <c r="C78" s="634" t="s">
        <v>944</v>
      </c>
      <c r="D78" s="42">
        <v>300</v>
      </c>
      <c r="E78" s="1">
        <v>112</v>
      </c>
      <c r="F78" s="700">
        <f>'e402-e801'!E78</f>
        <v>0</v>
      </c>
      <c r="G78" s="57">
        <f t="shared" si="20"/>
        <v>0</v>
      </c>
      <c r="H78" s="696">
        <f t="shared" si="21"/>
        <v>0</v>
      </c>
      <c r="I78" s="60">
        <f>(30*BC!B116/E78)</f>
        <v>0</v>
      </c>
      <c r="J78" s="701">
        <f t="shared" si="15"/>
        <v>0</v>
      </c>
      <c r="K78" s="701">
        <f t="shared" si="16"/>
        <v>0</v>
      </c>
      <c r="L78" s="216">
        <f t="shared" si="22"/>
        <v>0</v>
      </c>
      <c r="M78" s="702">
        <v>2658</v>
      </c>
      <c r="N78" s="703">
        <f t="shared" si="23"/>
        <v>0</v>
      </c>
      <c r="O78" s="704">
        <f t="shared" si="17"/>
        <v>8.86</v>
      </c>
      <c r="P78" s="142" t="e">
        <f>(O78+$O$261)+((BC!$F$125)/$F$112)</f>
        <v>#DIV/0!</v>
      </c>
      <c r="Q78" s="149" t="e">
        <f t="shared" si="18"/>
        <v>#DIV/0!</v>
      </c>
      <c r="R78" s="393" t="e">
        <f t="shared" si="24"/>
        <v>#DIV/0!</v>
      </c>
      <c r="S78" s="393" t="e">
        <f t="shared" si="19"/>
        <v>#DIV/0!</v>
      </c>
    </row>
    <row r="79" spans="2:19" ht="15.75" customHeight="1" x14ac:dyDescent="0.35">
      <c r="B79" s="25">
        <v>8110697190</v>
      </c>
      <c r="C79" s="636" t="s">
        <v>945</v>
      </c>
      <c r="D79" s="42">
        <v>300</v>
      </c>
      <c r="E79" s="1">
        <v>31</v>
      </c>
      <c r="F79" s="700">
        <f>'e402-e801'!E79</f>
        <v>0</v>
      </c>
      <c r="G79" s="57">
        <f t="shared" si="20"/>
        <v>0</v>
      </c>
      <c r="H79" s="696">
        <f t="shared" si="21"/>
        <v>0</v>
      </c>
      <c r="I79" s="60">
        <f>(30*BC!B117/E79)</f>
        <v>0</v>
      </c>
      <c r="J79" s="701">
        <f t="shared" si="15"/>
        <v>0</v>
      </c>
      <c r="K79" s="701">
        <f t="shared" si="16"/>
        <v>0</v>
      </c>
      <c r="L79" s="216">
        <f t="shared" si="22"/>
        <v>0</v>
      </c>
      <c r="M79" s="692"/>
      <c r="N79" s="703">
        <f t="shared" si="23"/>
        <v>0</v>
      </c>
      <c r="O79" s="704">
        <f t="shared" si="17"/>
        <v>0</v>
      </c>
      <c r="P79" s="142" t="e">
        <f>(O79+$O$261)+((BC!$F$125)/$F$112)</f>
        <v>#DIV/0!</v>
      </c>
      <c r="Q79" s="149" t="e">
        <f t="shared" si="18"/>
        <v>#DIV/0!</v>
      </c>
      <c r="R79" s="393" t="e">
        <f t="shared" si="24"/>
        <v>#DIV/0!</v>
      </c>
      <c r="S79" s="393" t="e">
        <f t="shared" si="19"/>
        <v>#DIV/0!</v>
      </c>
    </row>
    <row r="80" spans="2:19" ht="15.75" customHeight="1" x14ac:dyDescent="0.35">
      <c r="B80" s="25">
        <v>8086664190</v>
      </c>
      <c r="C80" s="638" t="s">
        <v>946</v>
      </c>
      <c r="D80" s="42">
        <v>300</v>
      </c>
      <c r="E80" s="1">
        <v>112</v>
      </c>
      <c r="F80" s="700">
        <f>'e402-e801'!E80</f>
        <v>0</v>
      </c>
      <c r="G80" s="57">
        <f t="shared" si="20"/>
        <v>0</v>
      </c>
      <c r="H80" s="696">
        <f t="shared" si="21"/>
        <v>0</v>
      </c>
      <c r="I80" s="60">
        <f>(30*BC!B118/E80)</f>
        <v>0</v>
      </c>
      <c r="J80" s="701">
        <f t="shared" si="15"/>
        <v>0</v>
      </c>
      <c r="K80" s="701">
        <f t="shared" si="16"/>
        <v>0</v>
      </c>
      <c r="L80" s="216">
        <f t="shared" si="22"/>
        <v>0</v>
      </c>
      <c r="M80" s="702">
        <v>1107</v>
      </c>
      <c r="N80" s="703">
        <f t="shared" si="23"/>
        <v>0</v>
      </c>
      <c r="O80" s="704">
        <f t="shared" si="17"/>
        <v>3.69</v>
      </c>
      <c r="P80" s="142" t="e">
        <f>(O80+$O$261)+((BC!$F$125)/$F$112)</f>
        <v>#DIV/0!</v>
      </c>
      <c r="Q80" s="149" t="e">
        <f t="shared" si="18"/>
        <v>#DIV/0!</v>
      </c>
      <c r="R80" s="393" t="e">
        <f t="shared" si="24"/>
        <v>#DIV/0!</v>
      </c>
      <c r="S80" s="393" t="e">
        <f t="shared" si="19"/>
        <v>#DIV/0!</v>
      </c>
    </row>
    <row r="81" spans="2:19" ht="15.75" customHeight="1" x14ac:dyDescent="0.35">
      <c r="B81" s="25">
        <v>7026773190</v>
      </c>
      <c r="C81" s="640" t="s">
        <v>947</v>
      </c>
      <c r="D81" s="42">
        <v>300</v>
      </c>
      <c r="E81" s="1">
        <v>112</v>
      </c>
      <c r="F81" s="700">
        <f>'e402-e801'!E81</f>
        <v>0</v>
      </c>
      <c r="G81" s="57">
        <f t="shared" si="20"/>
        <v>0</v>
      </c>
      <c r="H81" s="696">
        <f t="shared" si="21"/>
        <v>0</v>
      </c>
      <c r="I81" s="60">
        <f>(30*BC!B119/E81)</f>
        <v>0</v>
      </c>
      <c r="J81" s="701">
        <f t="shared" si="15"/>
        <v>0</v>
      </c>
      <c r="K81" s="701">
        <f t="shared" si="16"/>
        <v>0</v>
      </c>
      <c r="L81" s="216">
        <f t="shared" si="22"/>
        <v>0</v>
      </c>
      <c r="M81" s="702">
        <v>1524</v>
      </c>
      <c r="N81" s="703">
        <f t="shared" si="23"/>
        <v>0</v>
      </c>
      <c r="O81" s="704">
        <f t="shared" si="17"/>
        <v>5.08</v>
      </c>
      <c r="P81" s="142" t="e">
        <f>(O81+$O$261)+((BC!$F$125)/$F$112)</f>
        <v>#DIV/0!</v>
      </c>
      <c r="Q81" s="149" t="e">
        <f t="shared" si="18"/>
        <v>#DIV/0!</v>
      </c>
      <c r="R81" s="393" t="e">
        <f t="shared" si="24"/>
        <v>#DIV/0!</v>
      </c>
      <c r="S81" s="393" t="e">
        <f t="shared" si="19"/>
        <v>#DIV/0!</v>
      </c>
    </row>
    <row r="82" spans="2:19" ht="15.75" customHeight="1" x14ac:dyDescent="0.35">
      <c r="B82" s="25">
        <v>8814848190</v>
      </c>
      <c r="C82" s="642" t="s">
        <v>948</v>
      </c>
      <c r="D82" s="42">
        <v>300</v>
      </c>
      <c r="E82" s="1">
        <v>112</v>
      </c>
      <c r="F82" s="700">
        <f>'e402-e801'!E82</f>
        <v>0</v>
      </c>
      <c r="G82" s="57">
        <f t="shared" si="20"/>
        <v>0</v>
      </c>
      <c r="H82" s="696">
        <f t="shared" si="21"/>
        <v>0</v>
      </c>
      <c r="I82" s="60" t="e">
        <f>(30*BC!B120/E82)</f>
        <v>#VALUE!</v>
      </c>
      <c r="J82" s="701" t="e">
        <f t="shared" si="15"/>
        <v>#VALUE!</v>
      </c>
      <c r="K82" s="701">
        <f t="shared" si="16"/>
        <v>0</v>
      </c>
      <c r="L82" s="216">
        <f t="shared" si="22"/>
        <v>0</v>
      </c>
      <c r="M82" s="702">
        <v>810</v>
      </c>
      <c r="N82" s="703">
        <f t="shared" si="23"/>
        <v>0</v>
      </c>
      <c r="O82" s="704">
        <f t="shared" si="17"/>
        <v>2.7</v>
      </c>
      <c r="P82" s="142" t="e">
        <f>(O82+$O$261)+((BC!$F$125)/$F$112)</f>
        <v>#DIV/0!</v>
      </c>
      <c r="Q82" s="149" t="e">
        <f t="shared" si="18"/>
        <v>#DIV/0!</v>
      </c>
      <c r="R82" s="393" t="e">
        <f t="shared" si="24"/>
        <v>#DIV/0!</v>
      </c>
      <c r="S82" s="393" t="e">
        <f t="shared" si="19"/>
        <v>#DIV/0!</v>
      </c>
    </row>
    <row r="83" spans="2:19" ht="15.75" customHeight="1" x14ac:dyDescent="0.35">
      <c r="B83" s="25">
        <v>8498610190</v>
      </c>
      <c r="C83" s="644" t="s">
        <v>949</v>
      </c>
      <c r="D83" s="42">
        <v>300</v>
      </c>
      <c r="E83" s="1">
        <v>112</v>
      </c>
      <c r="F83" s="700">
        <f>'e402-e801'!E83</f>
        <v>0</v>
      </c>
      <c r="G83" s="57">
        <f t="shared" si="20"/>
        <v>0</v>
      </c>
      <c r="H83" s="696">
        <f t="shared" si="21"/>
        <v>0</v>
      </c>
      <c r="I83" s="60" t="e">
        <f>(30*BC!B121/E83)</f>
        <v>#VALUE!</v>
      </c>
      <c r="J83" s="701" t="e">
        <f t="shared" si="15"/>
        <v>#VALUE!</v>
      </c>
      <c r="K83" s="701">
        <f t="shared" si="16"/>
        <v>0</v>
      </c>
      <c r="L83" s="216">
        <f t="shared" si="22"/>
        <v>0</v>
      </c>
      <c r="M83" s="702">
        <v>810</v>
      </c>
      <c r="N83" s="703">
        <f t="shared" si="23"/>
        <v>0</v>
      </c>
      <c r="O83" s="704">
        <f t="shared" si="17"/>
        <v>2.7</v>
      </c>
      <c r="P83" s="142" t="e">
        <f>(O83+$O$261)+((BC!$F$125)/$F$112)</f>
        <v>#DIV/0!</v>
      </c>
      <c r="Q83" s="149" t="e">
        <f t="shared" si="18"/>
        <v>#DIV/0!</v>
      </c>
      <c r="R83" s="393" t="e">
        <f t="shared" si="24"/>
        <v>#DIV/0!</v>
      </c>
      <c r="S83" s="393" t="e">
        <f t="shared" si="19"/>
        <v>#DIV/0!</v>
      </c>
    </row>
    <row r="84" spans="2:19" ht="15.75" customHeight="1" x14ac:dyDescent="0.35">
      <c r="B84" s="25">
        <v>7027427190</v>
      </c>
      <c r="C84" s="646" t="s">
        <v>950</v>
      </c>
      <c r="D84" s="42">
        <v>300</v>
      </c>
      <c r="E84" s="1">
        <v>112</v>
      </c>
      <c r="F84" s="700">
        <f>'e402-e801'!E84</f>
        <v>0</v>
      </c>
      <c r="G84" s="57">
        <f t="shared" si="20"/>
        <v>0</v>
      </c>
      <c r="H84" s="696">
        <f t="shared" si="21"/>
        <v>0</v>
      </c>
      <c r="I84" s="60" t="e">
        <f>(30*BC!B122/E84)</f>
        <v>#VALUE!</v>
      </c>
      <c r="J84" s="701" t="e">
        <f t="shared" si="15"/>
        <v>#VALUE!</v>
      </c>
      <c r="K84" s="701">
        <f t="shared" si="16"/>
        <v>0</v>
      </c>
      <c r="L84" s="216">
        <f t="shared" si="22"/>
        <v>0</v>
      </c>
      <c r="M84" s="702">
        <v>1032</v>
      </c>
      <c r="N84" s="703">
        <f t="shared" si="23"/>
        <v>0</v>
      </c>
      <c r="O84" s="704">
        <f t="shared" si="17"/>
        <v>3.44</v>
      </c>
      <c r="P84" s="142" t="e">
        <f>(O84+$O$261)+((BC!$F$125)/$F$112)</f>
        <v>#DIV/0!</v>
      </c>
      <c r="Q84" s="149" t="e">
        <f t="shared" si="18"/>
        <v>#DIV/0!</v>
      </c>
      <c r="R84" s="393" t="e">
        <f t="shared" si="24"/>
        <v>#DIV/0!</v>
      </c>
      <c r="S84" s="393" t="e">
        <f t="shared" si="19"/>
        <v>#DIV/0!</v>
      </c>
    </row>
    <row r="85" spans="2:19" ht="15.75" customHeight="1" x14ac:dyDescent="0.35">
      <c r="B85" s="25">
        <v>7026838190</v>
      </c>
      <c r="C85" s="647" t="s">
        <v>951</v>
      </c>
      <c r="D85" s="42">
        <v>300</v>
      </c>
      <c r="E85" s="1">
        <v>112</v>
      </c>
      <c r="F85" s="700">
        <f>'e402-e801'!E85</f>
        <v>0</v>
      </c>
      <c r="G85" s="57">
        <f t="shared" si="20"/>
        <v>0</v>
      </c>
      <c r="H85" s="696">
        <f t="shared" si="21"/>
        <v>0</v>
      </c>
      <c r="I85" s="60">
        <f>(30*BC!B123/E85)</f>
        <v>0</v>
      </c>
      <c r="J85" s="701">
        <f t="shared" si="15"/>
        <v>0</v>
      </c>
      <c r="K85" s="701">
        <f t="shared" si="16"/>
        <v>0</v>
      </c>
      <c r="L85" s="216">
        <f t="shared" si="22"/>
        <v>0</v>
      </c>
      <c r="M85" s="702">
        <v>1773</v>
      </c>
      <c r="N85" s="703">
        <f t="shared" si="23"/>
        <v>0</v>
      </c>
      <c r="O85" s="704">
        <f t="shared" si="17"/>
        <v>5.91</v>
      </c>
      <c r="P85" s="142" t="e">
        <f>(O85+$O$261)+((BC!$F$125)/$F$112)</f>
        <v>#DIV/0!</v>
      </c>
      <c r="Q85" s="149" t="e">
        <f t="shared" si="18"/>
        <v>#DIV/0!</v>
      </c>
      <c r="R85" s="393" t="e">
        <f t="shared" si="24"/>
        <v>#DIV/0!</v>
      </c>
      <c r="S85" s="393" t="e">
        <f t="shared" si="19"/>
        <v>#DIV/0!</v>
      </c>
    </row>
    <row r="86" spans="2:19" ht="15.75" customHeight="1" x14ac:dyDescent="0.35">
      <c r="B86" s="25">
        <v>9014926190</v>
      </c>
      <c r="C86" s="649" t="s">
        <v>952</v>
      </c>
      <c r="D86" s="42">
        <v>300</v>
      </c>
      <c r="E86" s="1">
        <v>112</v>
      </c>
      <c r="F86" s="700">
        <f>'e402-e801'!E86</f>
        <v>0</v>
      </c>
      <c r="G86" s="57">
        <f t="shared" si="20"/>
        <v>0</v>
      </c>
      <c r="H86" s="696">
        <f t="shared" si="21"/>
        <v>0</v>
      </c>
      <c r="I86" s="60" t="e">
        <f>(30*BC!B124/E86)</f>
        <v>#VALUE!</v>
      </c>
      <c r="J86" s="701" t="e">
        <f t="shared" si="15"/>
        <v>#VALUE!</v>
      </c>
      <c r="K86" s="701">
        <f t="shared" si="16"/>
        <v>0</v>
      </c>
      <c r="L86" s="216">
        <f t="shared" si="22"/>
        <v>0</v>
      </c>
      <c r="M86" s="702">
        <v>1140</v>
      </c>
      <c r="N86" s="703">
        <f t="shared" si="23"/>
        <v>0</v>
      </c>
      <c r="O86" s="704">
        <f t="shared" si="17"/>
        <v>3.8</v>
      </c>
      <c r="P86" s="142" t="e">
        <f>(O86+$O$261)+((BC!$F$125)/$F$112)</f>
        <v>#DIV/0!</v>
      </c>
      <c r="Q86" s="149" t="e">
        <f t="shared" si="18"/>
        <v>#DIV/0!</v>
      </c>
      <c r="R86" s="393" t="e">
        <f t="shared" si="24"/>
        <v>#DIV/0!</v>
      </c>
      <c r="S86" s="393" t="e">
        <f t="shared" si="19"/>
        <v>#DIV/0!</v>
      </c>
    </row>
    <row r="87" spans="2:19" ht="15.75" customHeight="1" x14ac:dyDescent="0.35">
      <c r="B87" s="25">
        <v>7026811190</v>
      </c>
      <c r="C87" s="651" t="s">
        <v>953</v>
      </c>
      <c r="D87" s="42">
        <v>300</v>
      </c>
      <c r="E87" s="1">
        <v>112</v>
      </c>
      <c r="F87" s="700">
        <f>'e402-e801'!E87</f>
        <v>0</v>
      </c>
      <c r="G87" s="57">
        <f t="shared" si="20"/>
        <v>0</v>
      </c>
      <c r="H87" s="696">
        <f t="shared" si="21"/>
        <v>0</v>
      </c>
      <c r="I87" s="60">
        <f>(30*BC!B125/E87)</f>
        <v>0</v>
      </c>
      <c r="J87" s="701">
        <f t="shared" si="15"/>
        <v>0</v>
      </c>
      <c r="K87" s="701">
        <f t="shared" si="16"/>
        <v>0</v>
      </c>
      <c r="L87" s="216">
        <f t="shared" si="22"/>
        <v>0</v>
      </c>
      <c r="M87" s="702">
        <v>1677</v>
      </c>
      <c r="N87" s="703">
        <f t="shared" si="23"/>
        <v>0</v>
      </c>
      <c r="O87" s="704">
        <f t="shared" si="17"/>
        <v>5.59</v>
      </c>
      <c r="P87" s="142" t="e">
        <f>(O87+$O$261)+((BC!$F$125)/$F$112)</f>
        <v>#DIV/0!</v>
      </c>
      <c r="Q87" s="149" t="e">
        <f t="shared" si="18"/>
        <v>#DIV/0!</v>
      </c>
      <c r="R87" s="393" t="e">
        <f t="shared" si="24"/>
        <v>#DIV/0!</v>
      </c>
      <c r="S87" s="393" t="e">
        <f t="shared" si="19"/>
        <v>#DIV/0!</v>
      </c>
    </row>
    <row r="88" spans="2:19" ht="15.75" customHeight="1" x14ac:dyDescent="0.35">
      <c r="B88" s="25">
        <v>8837058190</v>
      </c>
      <c r="C88" s="653" t="s">
        <v>954</v>
      </c>
      <c r="D88" s="42">
        <v>300</v>
      </c>
      <c r="E88" s="1">
        <v>31</v>
      </c>
      <c r="F88" s="700">
        <f>'e402-e801'!E88</f>
        <v>0</v>
      </c>
      <c r="G88" s="57">
        <f t="shared" si="20"/>
        <v>0</v>
      </c>
      <c r="H88" s="696">
        <f t="shared" si="21"/>
        <v>0</v>
      </c>
      <c r="I88" s="60">
        <f>(30*BC!B126/E88)</f>
        <v>0</v>
      </c>
      <c r="J88" s="701">
        <f t="shared" si="15"/>
        <v>0</v>
      </c>
      <c r="K88" s="701">
        <f t="shared" si="16"/>
        <v>0</v>
      </c>
      <c r="L88" s="216">
        <f t="shared" si="22"/>
        <v>0</v>
      </c>
      <c r="M88" s="702">
        <v>1248</v>
      </c>
      <c r="N88" s="703">
        <f t="shared" si="23"/>
        <v>0</v>
      </c>
      <c r="O88" s="704">
        <f t="shared" si="17"/>
        <v>4.16</v>
      </c>
      <c r="P88" s="142" t="e">
        <f>(O88+$O$261)+((BC!$F$125)/$F$112)</f>
        <v>#DIV/0!</v>
      </c>
      <c r="Q88" s="149" t="e">
        <f t="shared" si="18"/>
        <v>#DIV/0!</v>
      </c>
      <c r="R88" s="393" t="e">
        <f t="shared" si="24"/>
        <v>#DIV/0!</v>
      </c>
      <c r="S88" s="393" t="e">
        <f t="shared" si="19"/>
        <v>#DIV/0!</v>
      </c>
    </row>
    <row r="89" spans="2:19" ht="15.75" customHeight="1" x14ac:dyDescent="0.35">
      <c r="B89" s="470">
        <v>7027770190</v>
      </c>
      <c r="C89" s="655" t="s">
        <v>955</v>
      </c>
      <c r="D89" s="42">
        <v>300</v>
      </c>
      <c r="E89" s="1">
        <v>112</v>
      </c>
      <c r="F89" s="700">
        <f>'e402-e801'!E89</f>
        <v>0</v>
      </c>
      <c r="G89" s="57">
        <f t="shared" si="20"/>
        <v>0</v>
      </c>
      <c r="H89" s="696">
        <f t="shared" si="21"/>
        <v>0</v>
      </c>
      <c r="I89" s="60">
        <f>(30*BC!B127/E89)</f>
        <v>0</v>
      </c>
      <c r="J89" s="701">
        <f t="shared" si="15"/>
        <v>0</v>
      </c>
      <c r="K89" s="701">
        <f t="shared" si="16"/>
        <v>0</v>
      </c>
      <c r="L89" s="216">
        <f t="shared" si="22"/>
        <v>0</v>
      </c>
      <c r="M89" s="702">
        <v>936</v>
      </c>
      <c r="N89" s="703">
        <f t="shared" si="23"/>
        <v>0</v>
      </c>
      <c r="O89" s="704">
        <f t="shared" si="17"/>
        <v>3.12</v>
      </c>
      <c r="P89" s="142" t="e">
        <f>(O89+$O$261)+((BC!$F$125)/$F$112)</f>
        <v>#DIV/0!</v>
      </c>
      <c r="Q89" s="149" t="e">
        <f t="shared" si="18"/>
        <v>#DIV/0!</v>
      </c>
      <c r="R89" s="393" t="e">
        <f t="shared" si="24"/>
        <v>#DIV/0!</v>
      </c>
      <c r="S89" s="393" t="e">
        <f t="shared" si="19"/>
        <v>#DIV/0!</v>
      </c>
    </row>
    <row r="90" spans="2:19" ht="15.75" customHeight="1" x14ac:dyDescent="0.35">
      <c r="B90" s="470">
        <v>9755837190</v>
      </c>
      <c r="C90" s="656" t="s">
        <v>956</v>
      </c>
      <c r="D90" s="42">
        <v>100</v>
      </c>
      <c r="E90" s="1">
        <v>112</v>
      </c>
      <c r="F90" s="700">
        <f>'e402-e801'!E90</f>
        <v>0</v>
      </c>
      <c r="G90" s="57">
        <f t="shared" si="20"/>
        <v>0</v>
      </c>
      <c r="H90" s="696">
        <f t="shared" si="21"/>
        <v>0</v>
      </c>
      <c r="I90" s="60">
        <f>(30*BC!B128/E90)</f>
        <v>0</v>
      </c>
      <c r="J90" s="701">
        <f t="shared" si="15"/>
        <v>0</v>
      </c>
      <c r="K90" s="701">
        <f t="shared" si="16"/>
        <v>0</v>
      </c>
      <c r="L90" s="216">
        <f t="shared" si="22"/>
        <v>0</v>
      </c>
      <c r="M90" s="702">
        <v>332</v>
      </c>
      <c r="N90" s="703">
        <f t="shared" si="23"/>
        <v>0</v>
      </c>
      <c r="O90" s="704">
        <f t="shared" si="17"/>
        <v>3.32</v>
      </c>
      <c r="P90" s="142" t="e">
        <f>(O90+$O$261)+((BC!$F$125)/$F$112)</f>
        <v>#DIV/0!</v>
      </c>
      <c r="Q90" s="149" t="e">
        <f t="shared" si="18"/>
        <v>#DIV/0!</v>
      </c>
      <c r="R90" s="393" t="e">
        <f t="shared" si="24"/>
        <v>#DIV/0!</v>
      </c>
      <c r="S90" s="393" t="e">
        <f t="shared" si="19"/>
        <v>#DIV/0!</v>
      </c>
    </row>
    <row r="91" spans="2:19" ht="15.75" customHeight="1" x14ac:dyDescent="0.35">
      <c r="B91" s="470">
        <v>7028008190</v>
      </c>
      <c r="C91" s="657" t="s">
        <v>957</v>
      </c>
      <c r="D91" s="42">
        <v>300</v>
      </c>
      <c r="E91" s="1">
        <v>112</v>
      </c>
      <c r="F91" s="700">
        <f>'e402-e801'!E91</f>
        <v>0</v>
      </c>
      <c r="G91" s="57">
        <f t="shared" si="20"/>
        <v>0</v>
      </c>
      <c r="H91" s="696">
        <f t="shared" si="21"/>
        <v>0</v>
      </c>
      <c r="I91" s="60">
        <f>(30*BC!B129/E91)</f>
        <v>0</v>
      </c>
      <c r="J91" s="701">
        <f t="shared" si="15"/>
        <v>0</v>
      </c>
      <c r="K91" s="701">
        <f t="shared" si="16"/>
        <v>0</v>
      </c>
      <c r="L91" s="216">
        <f t="shared" si="22"/>
        <v>0</v>
      </c>
      <c r="M91" s="702">
        <v>888</v>
      </c>
      <c r="N91" s="703">
        <f t="shared" si="23"/>
        <v>0</v>
      </c>
      <c r="O91" s="704">
        <f t="shared" si="17"/>
        <v>2.96</v>
      </c>
      <c r="P91" s="142" t="e">
        <f>(O91+$O$261)+((BC!$F$125)/$F$112)</f>
        <v>#DIV/0!</v>
      </c>
      <c r="Q91" s="149" t="e">
        <f t="shared" si="18"/>
        <v>#DIV/0!</v>
      </c>
      <c r="R91" s="393" t="e">
        <f t="shared" si="24"/>
        <v>#DIV/0!</v>
      </c>
      <c r="S91" s="393" t="e">
        <f t="shared" si="19"/>
        <v>#DIV/0!</v>
      </c>
    </row>
    <row r="92" spans="2:19" ht="15.75" customHeight="1" x14ac:dyDescent="0.35">
      <c r="B92" s="659">
        <v>7027974190</v>
      </c>
      <c r="C92" s="658" t="s">
        <v>958</v>
      </c>
      <c r="D92" s="42">
        <v>100</v>
      </c>
      <c r="E92" s="1">
        <v>112</v>
      </c>
      <c r="F92" s="700">
        <f>'e402-e801'!E92</f>
        <v>0</v>
      </c>
      <c r="G92" s="57">
        <f t="shared" si="20"/>
        <v>0</v>
      </c>
      <c r="H92" s="696">
        <f t="shared" si="21"/>
        <v>0</v>
      </c>
      <c r="I92" s="60">
        <f>(30*BC!B130/E92)</f>
        <v>0</v>
      </c>
      <c r="J92" s="701">
        <f t="shared" si="15"/>
        <v>0</v>
      </c>
      <c r="K92" s="701">
        <f t="shared" si="16"/>
        <v>0</v>
      </c>
      <c r="L92" s="216">
        <f t="shared" si="22"/>
        <v>0</v>
      </c>
      <c r="M92" s="702">
        <v>585</v>
      </c>
      <c r="N92" s="703">
        <f t="shared" si="23"/>
        <v>0</v>
      </c>
      <c r="O92" s="704">
        <f t="shared" si="17"/>
        <v>5.85</v>
      </c>
      <c r="P92" s="142" t="e">
        <f>(O92+$O$261)+((BC!$F$125)/$F$112)</f>
        <v>#DIV/0!</v>
      </c>
      <c r="Q92" s="149" t="e">
        <f t="shared" si="18"/>
        <v>#DIV/0!</v>
      </c>
      <c r="R92" s="393" t="e">
        <f t="shared" si="24"/>
        <v>#DIV/0!</v>
      </c>
      <c r="S92" s="393" t="e">
        <f t="shared" si="19"/>
        <v>#DIV/0!</v>
      </c>
    </row>
    <row r="93" spans="2:19" ht="15.75" customHeight="1" x14ac:dyDescent="0.35">
      <c r="B93" s="470">
        <v>7028024190</v>
      </c>
      <c r="C93" s="660" t="s">
        <v>959</v>
      </c>
      <c r="D93" s="42">
        <v>300</v>
      </c>
      <c r="E93" s="1">
        <v>112</v>
      </c>
      <c r="F93" s="700">
        <f>'e402-e801'!E93</f>
        <v>0</v>
      </c>
      <c r="G93" s="57">
        <f t="shared" si="20"/>
        <v>0</v>
      </c>
      <c r="H93" s="696">
        <f t="shared" si="21"/>
        <v>0</v>
      </c>
      <c r="I93" s="60">
        <f>(30*BC!B131/E93)</f>
        <v>0</v>
      </c>
      <c r="J93" s="701">
        <f t="shared" si="15"/>
        <v>0</v>
      </c>
      <c r="K93" s="701">
        <f t="shared" si="16"/>
        <v>0</v>
      </c>
      <c r="L93" s="216">
        <f t="shared" si="22"/>
        <v>0</v>
      </c>
      <c r="M93" s="702">
        <v>888</v>
      </c>
      <c r="N93" s="703">
        <f t="shared" si="23"/>
        <v>0</v>
      </c>
      <c r="O93" s="704">
        <f t="shared" si="17"/>
        <v>2.96</v>
      </c>
      <c r="P93" s="142" t="e">
        <f>(O93+$O$261)+((BC!$F$125)/$F$112)</f>
        <v>#DIV/0!</v>
      </c>
      <c r="Q93" s="149" t="e">
        <f t="shared" si="18"/>
        <v>#DIV/0!</v>
      </c>
      <c r="R93" s="393" t="e">
        <f t="shared" si="24"/>
        <v>#DIV/0!</v>
      </c>
      <c r="S93" s="393" t="e">
        <f t="shared" si="19"/>
        <v>#DIV/0!</v>
      </c>
    </row>
    <row r="94" spans="2:19" ht="15.75" customHeight="1" x14ac:dyDescent="0.35">
      <c r="B94" s="470">
        <v>9118551190</v>
      </c>
      <c r="C94" s="661" t="s">
        <v>960</v>
      </c>
      <c r="D94" s="42">
        <v>300</v>
      </c>
      <c r="E94" s="1">
        <v>112</v>
      </c>
      <c r="F94" s="700">
        <f>'e402-e801'!E94</f>
        <v>0</v>
      </c>
      <c r="G94" s="57">
        <f t="shared" si="20"/>
        <v>0</v>
      </c>
      <c r="H94" s="696">
        <f t="shared" si="21"/>
        <v>0</v>
      </c>
      <c r="I94" s="60">
        <f>(30*BC!B132/E94)</f>
        <v>0</v>
      </c>
      <c r="J94" s="701">
        <f t="shared" si="15"/>
        <v>0</v>
      </c>
      <c r="K94" s="701">
        <f t="shared" si="16"/>
        <v>0</v>
      </c>
      <c r="L94" s="216">
        <f t="shared" si="22"/>
        <v>0</v>
      </c>
      <c r="M94" s="702">
        <v>834</v>
      </c>
      <c r="N94" s="703">
        <f t="shared" si="23"/>
        <v>0</v>
      </c>
      <c r="O94" s="704">
        <f t="shared" si="17"/>
        <v>2.78</v>
      </c>
      <c r="P94" s="142" t="e">
        <f>(O94+$O$261)+((BC!$F$125)/$F$112)</f>
        <v>#DIV/0!</v>
      </c>
      <c r="Q94" s="149" t="e">
        <f t="shared" si="18"/>
        <v>#DIV/0!</v>
      </c>
      <c r="R94" s="393" t="e">
        <f t="shared" si="24"/>
        <v>#DIV/0!</v>
      </c>
      <c r="S94" s="393" t="e">
        <f t="shared" si="19"/>
        <v>#DIV/0!</v>
      </c>
    </row>
    <row r="95" spans="2:19" ht="15.75" customHeight="1" x14ac:dyDescent="0.35">
      <c r="B95" s="662">
        <v>9342389190</v>
      </c>
      <c r="C95" s="663" t="s">
        <v>961</v>
      </c>
      <c r="D95" s="42">
        <v>100</v>
      </c>
      <c r="E95" s="1">
        <v>112</v>
      </c>
      <c r="F95" s="700">
        <f>'e402-e801'!E95</f>
        <v>0</v>
      </c>
      <c r="G95" s="57">
        <f t="shared" si="20"/>
        <v>0</v>
      </c>
      <c r="H95" s="696">
        <f t="shared" si="21"/>
        <v>0</v>
      </c>
      <c r="I95" s="60">
        <f>(30*BC!B133/E95)</f>
        <v>0</v>
      </c>
      <c r="J95" s="701">
        <f t="shared" si="15"/>
        <v>0</v>
      </c>
      <c r="K95" s="701">
        <f t="shared" si="16"/>
        <v>0</v>
      </c>
      <c r="L95" s="216">
        <f t="shared" si="22"/>
        <v>0</v>
      </c>
      <c r="M95" s="702">
        <v>860</v>
      </c>
      <c r="N95" s="703">
        <f t="shared" si="23"/>
        <v>0</v>
      </c>
      <c r="O95" s="704">
        <f t="shared" si="17"/>
        <v>8.6</v>
      </c>
      <c r="P95" s="142" t="e">
        <f>(O95+$O$261)+((BC!$F$125)/$F$112)</f>
        <v>#DIV/0!</v>
      </c>
      <c r="Q95" s="149" t="e">
        <f t="shared" si="18"/>
        <v>#DIV/0!</v>
      </c>
      <c r="R95" s="393" t="e">
        <f t="shared" si="24"/>
        <v>#DIV/0!</v>
      </c>
      <c r="S95" s="393" t="e">
        <f t="shared" si="19"/>
        <v>#DIV/0!</v>
      </c>
    </row>
    <row r="96" spans="2:19" ht="15.75" customHeight="1" x14ac:dyDescent="0.35">
      <c r="B96" s="470">
        <v>7027133190</v>
      </c>
      <c r="C96" s="664" t="s">
        <v>962</v>
      </c>
      <c r="D96" s="42">
        <v>300</v>
      </c>
      <c r="E96" s="1">
        <v>112</v>
      </c>
      <c r="F96" s="700">
        <f>'e402-e801'!E96</f>
        <v>0</v>
      </c>
      <c r="G96" s="57">
        <f t="shared" si="20"/>
        <v>0</v>
      </c>
      <c r="H96" s="696">
        <f t="shared" si="21"/>
        <v>0</v>
      </c>
      <c r="I96" s="60">
        <f>(30*BC!B134/E96)</f>
        <v>0</v>
      </c>
      <c r="J96" s="701">
        <f t="shared" si="15"/>
        <v>0</v>
      </c>
      <c r="K96" s="701">
        <f t="shared" si="16"/>
        <v>0</v>
      </c>
      <c r="L96" s="216">
        <f t="shared" si="22"/>
        <v>0</v>
      </c>
      <c r="M96" s="702">
        <v>593</v>
      </c>
      <c r="N96" s="703">
        <f t="shared" si="23"/>
        <v>0</v>
      </c>
      <c r="O96" s="704">
        <f t="shared" si="17"/>
        <v>1.9766666666666666</v>
      </c>
      <c r="P96" s="142" t="e">
        <f>(O96+$O$261)+((BC!$F$125)/$F$112)</f>
        <v>#DIV/0!</v>
      </c>
      <c r="Q96" s="149" t="e">
        <f t="shared" si="18"/>
        <v>#DIV/0!</v>
      </c>
      <c r="R96" s="393" t="e">
        <f t="shared" si="24"/>
        <v>#DIV/0!</v>
      </c>
      <c r="S96" s="393" t="e">
        <f t="shared" si="19"/>
        <v>#DIV/0!</v>
      </c>
    </row>
    <row r="97" spans="2:21" ht="15.75" customHeight="1" x14ac:dyDescent="0.35">
      <c r="B97" s="470">
        <v>8948852190</v>
      </c>
      <c r="C97" s="665" t="s">
        <v>963</v>
      </c>
      <c r="D97" s="42">
        <v>100</v>
      </c>
      <c r="E97" s="1">
        <v>112</v>
      </c>
      <c r="F97" s="700">
        <f>'e402-e801'!E97</f>
        <v>0</v>
      </c>
      <c r="G97" s="57">
        <f t="shared" si="20"/>
        <v>0</v>
      </c>
      <c r="H97" s="696">
        <f t="shared" si="21"/>
        <v>0</v>
      </c>
      <c r="I97" s="60">
        <f>(30*BC!B135/E97)</f>
        <v>0</v>
      </c>
      <c r="J97" s="701">
        <f t="shared" si="15"/>
        <v>0</v>
      </c>
      <c r="K97" s="701">
        <f t="shared" si="16"/>
        <v>0</v>
      </c>
      <c r="L97" s="216">
        <f t="shared" si="22"/>
        <v>0</v>
      </c>
      <c r="M97" s="702">
        <v>548</v>
      </c>
      <c r="N97" s="703">
        <f t="shared" si="23"/>
        <v>0</v>
      </c>
      <c r="O97" s="704">
        <f t="shared" si="17"/>
        <v>5.48</v>
      </c>
      <c r="P97" s="142" t="e">
        <f>(O97+$O$261)+((BC!$F$125)/$F$112)</f>
        <v>#DIV/0!</v>
      </c>
      <c r="Q97" s="149" t="e">
        <f t="shared" si="18"/>
        <v>#DIV/0!</v>
      </c>
      <c r="R97" s="393" t="e">
        <f t="shared" si="24"/>
        <v>#DIV/0!</v>
      </c>
      <c r="S97" s="393" t="e">
        <f t="shared" si="19"/>
        <v>#DIV/0!</v>
      </c>
    </row>
    <row r="98" spans="2:21" ht="15.75" customHeight="1" x14ac:dyDescent="0.35">
      <c r="B98" s="470">
        <v>8948909190</v>
      </c>
      <c r="C98" s="665" t="s">
        <v>964</v>
      </c>
      <c r="D98" s="42">
        <v>100</v>
      </c>
      <c r="E98" s="1">
        <v>112</v>
      </c>
      <c r="F98" s="700">
        <f>'e402-e801'!E98</f>
        <v>0</v>
      </c>
      <c r="G98" s="57">
        <f t="shared" si="20"/>
        <v>0</v>
      </c>
      <c r="H98" s="696">
        <f t="shared" si="21"/>
        <v>0</v>
      </c>
      <c r="I98" s="60">
        <f>(30*BC!B136/E98)</f>
        <v>0</v>
      </c>
      <c r="J98" s="701">
        <f t="shared" si="15"/>
        <v>0</v>
      </c>
      <c r="K98" s="701">
        <f t="shared" si="16"/>
        <v>0</v>
      </c>
      <c r="L98" s="216">
        <f t="shared" si="22"/>
        <v>0</v>
      </c>
      <c r="M98" s="702">
        <v>439</v>
      </c>
      <c r="N98" s="703">
        <f t="shared" si="23"/>
        <v>0</v>
      </c>
      <c r="O98" s="704">
        <f t="shared" si="17"/>
        <v>4.3899999999999997</v>
      </c>
      <c r="P98" s="142" t="e">
        <f>(O98+$O$261)+((BC!$F$125)/$F$112)</f>
        <v>#DIV/0!</v>
      </c>
      <c r="Q98" s="149" t="e">
        <f t="shared" si="18"/>
        <v>#DIV/0!</v>
      </c>
      <c r="R98" s="393" t="e">
        <f t="shared" si="24"/>
        <v>#DIV/0!</v>
      </c>
      <c r="S98" s="393" t="e">
        <f t="shared" si="19"/>
        <v>#DIV/0!</v>
      </c>
    </row>
    <row r="99" spans="2:21" ht="15.75" customHeight="1" x14ac:dyDescent="0.35">
      <c r="B99" s="470">
        <v>8355274190</v>
      </c>
      <c r="C99" s="666" t="s">
        <v>965</v>
      </c>
      <c r="D99" s="42">
        <v>300</v>
      </c>
      <c r="E99" s="1">
        <v>112</v>
      </c>
      <c r="F99" s="700">
        <f>'e402-e801'!E99</f>
        <v>0</v>
      </c>
      <c r="G99" s="57">
        <f t="shared" si="20"/>
        <v>0</v>
      </c>
      <c r="H99" s="696">
        <f t="shared" si="21"/>
        <v>0</v>
      </c>
      <c r="I99" s="60">
        <f>(30*BC!B137/E99)</f>
        <v>0</v>
      </c>
      <c r="J99" s="701">
        <f t="shared" si="15"/>
        <v>0</v>
      </c>
      <c r="K99" s="701">
        <f t="shared" si="16"/>
        <v>0</v>
      </c>
      <c r="L99" s="216">
        <f t="shared" si="22"/>
        <v>0</v>
      </c>
      <c r="M99" s="702">
        <v>2137</v>
      </c>
      <c r="N99" s="703">
        <f t="shared" si="23"/>
        <v>0</v>
      </c>
      <c r="O99" s="704">
        <f t="shared" si="17"/>
        <v>7.1233333333333331</v>
      </c>
      <c r="P99" s="142" t="e">
        <f>(O99+$O$261)+((BC!$F$125)/$F$112)</f>
        <v>#DIV/0!</v>
      </c>
      <c r="Q99" s="149" t="e">
        <f t="shared" si="18"/>
        <v>#DIV/0!</v>
      </c>
      <c r="R99" s="393" t="e">
        <f t="shared" si="24"/>
        <v>#DIV/0!</v>
      </c>
      <c r="S99" s="393" t="e">
        <f t="shared" si="19"/>
        <v>#DIV/0!</v>
      </c>
    </row>
    <row r="100" spans="2:21" ht="15.75" customHeight="1" x14ac:dyDescent="0.35">
      <c r="B100" s="470">
        <v>8355355190</v>
      </c>
      <c r="C100" s="666" t="s">
        <v>966</v>
      </c>
      <c r="D100" s="42">
        <v>300</v>
      </c>
      <c r="E100" s="1">
        <v>112</v>
      </c>
      <c r="F100" s="700">
        <f>'e402-e801'!E100</f>
        <v>0</v>
      </c>
      <c r="G100" s="57">
        <f t="shared" si="20"/>
        <v>0</v>
      </c>
      <c r="H100" s="696">
        <f t="shared" si="21"/>
        <v>0</v>
      </c>
      <c r="I100" s="60">
        <f>(30*BC!B138/E100)</f>
        <v>0</v>
      </c>
      <c r="J100" s="701">
        <f t="shared" si="15"/>
        <v>0</v>
      </c>
      <c r="K100" s="701">
        <f t="shared" si="16"/>
        <v>0</v>
      </c>
      <c r="L100" s="216">
        <f t="shared" si="22"/>
        <v>0</v>
      </c>
      <c r="M100" s="702">
        <v>1515</v>
      </c>
      <c r="N100" s="703">
        <f t="shared" si="23"/>
        <v>0</v>
      </c>
      <c r="O100" s="704">
        <f t="shared" si="17"/>
        <v>5.05</v>
      </c>
      <c r="P100" s="142" t="e">
        <f>(O100+$O$261)+((BC!$F$125)/$F$112)</f>
        <v>#DIV/0!</v>
      </c>
      <c r="Q100" s="149" t="e">
        <f t="shared" si="18"/>
        <v>#DIV/0!</v>
      </c>
      <c r="R100" s="393" t="e">
        <f t="shared" si="24"/>
        <v>#DIV/0!</v>
      </c>
      <c r="S100" s="393" t="e">
        <f t="shared" si="19"/>
        <v>#DIV/0!</v>
      </c>
    </row>
    <row r="101" spans="2:21" ht="15.75" customHeight="1" x14ac:dyDescent="0.35">
      <c r="B101" s="470">
        <v>8355380190</v>
      </c>
      <c r="C101" s="667" t="s">
        <v>967</v>
      </c>
      <c r="D101" s="42">
        <v>300</v>
      </c>
      <c r="E101" s="1">
        <v>112</v>
      </c>
      <c r="F101" s="700">
        <f>'e402-e801'!E101</f>
        <v>0</v>
      </c>
      <c r="G101" s="57">
        <f t="shared" si="20"/>
        <v>0</v>
      </c>
      <c r="H101" s="696">
        <f t="shared" si="21"/>
        <v>0</v>
      </c>
      <c r="I101" s="60">
        <f>(30*BC!B139/E101)</f>
        <v>0</v>
      </c>
      <c r="J101" s="701">
        <f t="shared" si="15"/>
        <v>0</v>
      </c>
      <c r="K101" s="701">
        <f t="shared" si="16"/>
        <v>0</v>
      </c>
      <c r="L101" s="216">
        <f t="shared" si="22"/>
        <v>0</v>
      </c>
      <c r="M101" s="702">
        <v>835</v>
      </c>
      <c r="N101" s="703">
        <f t="shared" si="23"/>
        <v>0</v>
      </c>
      <c r="O101" s="704">
        <f t="shared" si="17"/>
        <v>2.7833333333333332</v>
      </c>
      <c r="P101" s="142" t="e">
        <f>(O101+$O$261)+((BC!$F$125)/$F$112)</f>
        <v>#DIV/0!</v>
      </c>
      <c r="Q101" s="149" t="e">
        <f t="shared" si="18"/>
        <v>#DIV/0!</v>
      </c>
      <c r="R101" s="393" t="e">
        <f t="shared" si="24"/>
        <v>#DIV/0!</v>
      </c>
      <c r="S101" s="393" t="e">
        <f t="shared" si="19"/>
        <v>#DIV/0!</v>
      </c>
    </row>
    <row r="102" spans="2:21" ht="15.75" customHeight="1" x14ac:dyDescent="0.35">
      <c r="B102" s="470">
        <v>9015272190</v>
      </c>
      <c r="C102" s="668" t="s">
        <v>968</v>
      </c>
      <c r="D102" s="42">
        <v>300</v>
      </c>
      <c r="E102" s="1">
        <v>112</v>
      </c>
      <c r="F102" s="700">
        <f>'e402-e801'!E102</f>
        <v>0</v>
      </c>
      <c r="G102" s="57">
        <f t="shared" si="20"/>
        <v>0</v>
      </c>
      <c r="H102" s="696">
        <f t="shared" si="21"/>
        <v>0</v>
      </c>
      <c r="I102" s="60">
        <f>(30*BC!B140/E102)</f>
        <v>0</v>
      </c>
      <c r="J102" s="701">
        <f t="shared" si="15"/>
        <v>0</v>
      </c>
      <c r="K102" s="701">
        <f t="shared" si="16"/>
        <v>0</v>
      </c>
      <c r="L102" s="216">
        <f t="shared" si="22"/>
        <v>0</v>
      </c>
      <c r="M102" s="702">
        <v>984</v>
      </c>
      <c r="N102" s="703">
        <f t="shared" si="23"/>
        <v>0</v>
      </c>
      <c r="O102" s="704">
        <f t="shared" si="17"/>
        <v>3.28</v>
      </c>
      <c r="P102" s="142" t="e">
        <f>(O102+$O$261)+((BC!$F$125)/$F$112)</f>
        <v>#DIV/0!</v>
      </c>
      <c r="Q102" s="149" t="e">
        <f t="shared" si="18"/>
        <v>#DIV/0!</v>
      </c>
      <c r="R102" s="393" t="e">
        <f t="shared" si="24"/>
        <v>#DIV/0!</v>
      </c>
      <c r="S102" s="393" t="e">
        <f t="shared" si="19"/>
        <v>#DIV/0!</v>
      </c>
    </row>
    <row r="103" spans="2:21" ht="15.75" customHeight="1" x14ac:dyDescent="0.35">
      <c r="B103" s="470">
        <v>9015051190</v>
      </c>
      <c r="C103" s="669" t="s">
        <v>969</v>
      </c>
      <c r="D103" s="42">
        <v>300</v>
      </c>
      <c r="E103" s="1">
        <v>112</v>
      </c>
      <c r="F103" s="700">
        <f>'e402-e801'!E103</f>
        <v>0</v>
      </c>
      <c r="G103" s="57">
        <f t="shared" si="20"/>
        <v>0</v>
      </c>
      <c r="H103" s="696">
        <f t="shared" si="21"/>
        <v>0</v>
      </c>
      <c r="I103" s="60">
        <f>(30*BC!B141/E103)</f>
        <v>0</v>
      </c>
      <c r="J103" s="701">
        <f t="shared" si="15"/>
        <v>0</v>
      </c>
      <c r="K103" s="701">
        <f t="shared" si="16"/>
        <v>0</v>
      </c>
      <c r="L103" s="216">
        <f t="shared" si="22"/>
        <v>0</v>
      </c>
      <c r="M103" s="702">
        <v>897</v>
      </c>
      <c r="N103" s="703">
        <f t="shared" si="23"/>
        <v>0</v>
      </c>
      <c r="O103" s="704">
        <f t="shared" si="17"/>
        <v>2.99</v>
      </c>
      <c r="P103" s="142" t="e">
        <f>(O103+$O$261)+((BC!$F$125)/$F$112)</f>
        <v>#DIV/0!</v>
      </c>
      <c r="Q103" s="149" t="e">
        <f t="shared" si="18"/>
        <v>#DIV/0!</v>
      </c>
      <c r="R103" s="393" t="e">
        <f t="shared" si="24"/>
        <v>#DIV/0!</v>
      </c>
      <c r="S103" s="393" t="e">
        <f t="shared" si="19"/>
        <v>#DIV/0!</v>
      </c>
    </row>
    <row r="104" spans="2:21" ht="15.75" customHeight="1" x14ac:dyDescent="0.35">
      <c r="B104" s="470">
        <v>9015582190</v>
      </c>
      <c r="C104" s="670" t="s">
        <v>970</v>
      </c>
      <c r="D104" s="42">
        <v>300</v>
      </c>
      <c r="E104" s="1">
        <v>112</v>
      </c>
      <c r="F104" s="700">
        <f>'e402-e801'!E104</f>
        <v>0</v>
      </c>
      <c r="G104" s="57">
        <f t="shared" si="20"/>
        <v>0</v>
      </c>
      <c r="H104" s="696">
        <f t="shared" si="21"/>
        <v>0</v>
      </c>
      <c r="I104" s="60">
        <f>(30*BC!B142/E104)</f>
        <v>0</v>
      </c>
      <c r="J104" s="701">
        <f t="shared" si="15"/>
        <v>0</v>
      </c>
      <c r="K104" s="701">
        <f t="shared" si="16"/>
        <v>0</v>
      </c>
      <c r="L104" s="216">
        <f t="shared" si="22"/>
        <v>0</v>
      </c>
      <c r="M104" s="702">
        <v>894</v>
      </c>
      <c r="N104" s="703">
        <f t="shared" si="23"/>
        <v>0</v>
      </c>
      <c r="O104" s="704">
        <f t="shared" si="17"/>
        <v>2.98</v>
      </c>
      <c r="P104" s="142" t="e">
        <f>(O104+$O$261)+((BC!$F$125)/$F$112)</f>
        <v>#DIV/0!</v>
      </c>
      <c r="Q104" s="149" t="e">
        <f t="shared" si="18"/>
        <v>#DIV/0!</v>
      </c>
      <c r="R104" s="393" t="e">
        <f t="shared" si="24"/>
        <v>#DIV/0!</v>
      </c>
      <c r="S104" s="393" t="e">
        <f t="shared" si="19"/>
        <v>#DIV/0!</v>
      </c>
    </row>
    <row r="105" spans="2:21" ht="15.75" customHeight="1" x14ac:dyDescent="0.35">
      <c r="B105" s="470">
        <v>9203079190</v>
      </c>
      <c r="C105" s="671" t="s">
        <v>971</v>
      </c>
      <c r="D105" s="42">
        <v>300</v>
      </c>
      <c r="E105" s="1">
        <v>30</v>
      </c>
      <c r="F105" s="700">
        <f>'e402-e801'!E105</f>
        <v>0</v>
      </c>
      <c r="G105" s="57">
        <f t="shared" si="20"/>
        <v>0</v>
      </c>
      <c r="H105" s="696">
        <f t="shared" si="21"/>
        <v>0</v>
      </c>
      <c r="I105" s="60">
        <f>(30*BC!B143/E105)</f>
        <v>0</v>
      </c>
      <c r="J105" s="701">
        <f t="shared" ref="J105:J111" si="25">IF(I105&gt;H105,I105,H105)</f>
        <v>0</v>
      </c>
      <c r="K105" s="701">
        <f t="shared" ref="K105:K111" si="26">IF(H105=0,0,J105)</f>
        <v>0</v>
      </c>
      <c r="L105" s="216">
        <f t="shared" si="22"/>
        <v>0</v>
      </c>
      <c r="M105" s="702">
        <v>468</v>
      </c>
      <c r="N105" s="703">
        <f t="shared" si="23"/>
        <v>0</v>
      </c>
      <c r="O105" s="704">
        <f t="shared" ref="O105:O111" si="27">M105/D105</f>
        <v>1.56</v>
      </c>
      <c r="P105" s="142" t="e">
        <f>(O105+$O$261)+((BC!$F$125)/$F$112)</f>
        <v>#DIV/0!</v>
      </c>
      <c r="Q105" s="149" t="e">
        <f t="shared" ref="Q105:Q111" si="28">P105*F105</f>
        <v>#DIV/0!</v>
      </c>
      <c r="R105" s="393" t="e">
        <f t="shared" si="24"/>
        <v>#DIV/0!</v>
      </c>
      <c r="S105" s="393" t="e">
        <f t="shared" ref="S105:S111" si="29">R105*F105</f>
        <v>#DIV/0!</v>
      </c>
    </row>
    <row r="106" spans="2:21" ht="15.75" customHeight="1" x14ac:dyDescent="0.35">
      <c r="B106" s="470">
        <v>9289275190</v>
      </c>
      <c r="C106" s="672" t="s">
        <v>972</v>
      </c>
      <c r="D106" s="42">
        <v>300</v>
      </c>
      <c r="E106" s="1">
        <v>112</v>
      </c>
      <c r="F106" s="700">
        <f>'e402-e801'!E106</f>
        <v>0</v>
      </c>
      <c r="G106" s="57">
        <f t="shared" si="20"/>
        <v>0</v>
      </c>
      <c r="H106" s="696">
        <f t="shared" si="21"/>
        <v>0</v>
      </c>
      <c r="I106" s="60">
        <f>(30*BC!B144/E106)</f>
        <v>0</v>
      </c>
      <c r="J106" s="701">
        <f t="shared" si="25"/>
        <v>0</v>
      </c>
      <c r="K106" s="701">
        <f t="shared" si="26"/>
        <v>0</v>
      </c>
      <c r="L106" s="216">
        <f t="shared" si="22"/>
        <v>0</v>
      </c>
      <c r="M106" s="702">
        <v>1659</v>
      </c>
      <c r="N106" s="703">
        <f t="shared" si="23"/>
        <v>0</v>
      </c>
      <c r="O106" s="704">
        <f t="shared" si="27"/>
        <v>5.53</v>
      </c>
      <c r="P106" s="142" t="e">
        <f>(O106+$O$261)+((BC!$F$125)/$F$112)</f>
        <v>#DIV/0!</v>
      </c>
      <c r="Q106" s="149" t="e">
        <f t="shared" si="28"/>
        <v>#DIV/0!</v>
      </c>
      <c r="R106" s="393" t="e">
        <f t="shared" si="24"/>
        <v>#DIV/0!</v>
      </c>
      <c r="S106" s="393" t="e">
        <f t="shared" si="29"/>
        <v>#DIV/0!</v>
      </c>
    </row>
    <row r="107" spans="2:21" ht="15.75" customHeight="1" x14ac:dyDescent="0.35">
      <c r="B107" s="470">
        <v>9345299190</v>
      </c>
      <c r="C107" s="674" t="s">
        <v>973</v>
      </c>
      <c r="D107" s="42">
        <v>300</v>
      </c>
      <c r="E107" s="1"/>
      <c r="F107" s="700">
        <f>'e402-e801'!E107</f>
        <v>0</v>
      </c>
      <c r="G107" s="57">
        <f t="shared" si="20"/>
        <v>0</v>
      </c>
      <c r="H107" s="696">
        <f t="shared" si="21"/>
        <v>0</v>
      </c>
      <c r="I107" s="60" t="e">
        <f>(30*BC!B145/E107)</f>
        <v>#DIV/0!</v>
      </c>
      <c r="J107" s="701" t="e">
        <f t="shared" si="25"/>
        <v>#DIV/0!</v>
      </c>
      <c r="K107" s="701">
        <f t="shared" si="26"/>
        <v>0</v>
      </c>
      <c r="L107" s="216">
        <f t="shared" si="22"/>
        <v>0</v>
      </c>
      <c r="M107" s="692"/>
      <c r="N107" s="703">
        <f t="shared" si="23"/>
        <v>0</v>
      </c>
      <c r="O107" s="704">
        <f t="shared" si="27"/>
        <v>0</v>
      </c>
      <c r="P107" s="142" t="e">
        <f>(O107+$O$261)+((BC!$F$125)/$F$112)</f>
        <v>#DIV/0!</v>
      </c>
      <c r="Q107" s="149" t="e">
        <f t="shared" si="28"/>
        <v>#DIV/0!</v>
      </c>
      <c r="R107" s="393" t="e">
        <f t="shared" si="24"/>
        <v>#DIV/0!</v>
      </c>
      <c r="S107" s="393" t="e">
        <f t="shared" si="29"/>
        <v>#DIV/0!</v>
      </c>
    </row>
    <row r="108" spans="2:21" ht="15.75" customHeight="1" x14ac:dyDescent="0.35">
      <c r="B108" s="676">
        <v>7251246190</v>
      </c>
      <c r="C108" s="676" t="s">
        <v>974</v>
      </c>
      <c r="D108" s="42">
        <v>300</v>
      </c>
      <c r="E108" s="1"/>
      <c r="F108" s="700">
        <f>'e402-e801'!E108</f>
        <v>0</v>
      </c>
      <c r="G108" s="57">
        <f t="shared" si="20"/>
        <v>0</v>
      </c>
      <c r="H108" s="696">
        <f t="shared" si="21"/>
        <v>0</v>
      </c>
      <c r="I108" s="60" t="e">
        <f>(30*BC!B146/E108)</f>
        <v>#DIV/0!</v>
      </c>
      <c r="J108" s="701" t="e">
        <f t="shared" si="25"/>
        <v>#DIV/0!</v>
      </c>
      <c r="K108" s="701">
        <f t="shared" si="26"/>
        <v>0</v>
      </c>
      <c r="L108" s="216">
        <f t="shared" si="22"/>
        <v>0</v>
      </c>
      <c r="M108" s="702">
        <v>2997</v>
      </c>
      <c r="N108" s="703">
        <f t="shared" si="23"/>
        <v>0</v>
      </c>
      <c r="O108" s="704">
        <f t="shared" si="27"/>
        <v>9.99</v>
      </c>
      <c r="P108" s="142" t="e">
        <f>(O108+$O$261)+((BC!$F$125)/$F$112)</f>
        <v>#DIV/0!</v>
      </c>
      <c r="Q108" s="149" t="e">
        <f t="shared" si="28"/>
        <v>#DIV/0!</v>
      </c>
      <c r="R108" s="393" t="e">
        <f t="shared" si="24"/>
        <v>#DIV/0!</v>
      </c>
      <c r="S108" s="393" t="e">
        <f t="shared" si="29"/>
        <v>#DIV/0!</v>
      </c>
    </row>
    <row r="109" spans="2:21" ht="15.75" customHeight="1" x14ac:dyDescent="0.35">
      <c r="B109" s="676">
        <v>7027257190</v>
      </c>
      <c r="C109" s="677" t="s">
        <v>975</v>
      </c>
      <c r="D109" s="42">
        <v>100</v>
      </c>
      <c r="E109" s="1"/>
      <c r="F109" s="700">
        <f>'e402-e801'!E109</f>
        <v>0</v>
      </c>
      <c r="G109" s="57">
        <f t="shared" si="20"/>
        <v>0</v>
      </c>
      <c r="H109" s="696">
        <f t="shared" si="21"/>
        <v>0</v>
      </c>
      <c r="I109" s="60" t="e">
        <f>(30*BC!B147/E109)</f>
        <v>#DIV/0!</v>
      </c>
      <c r="J109" s="701" t="e">
        <f t="shared" si="25"/>
        <v>#DIV/0!</v>
      </c>
      <c r="K109" s="701">
        <f t="shared" si="26"/>
        <v>0</v>
      </c>
      <c r="L109" s="216">
        <f t="shared" si="22"/>
        <v>0</v>
      </c>
      <c r="M109" s="702">
        <v>1143</v>
      </c>
      <c r="N109" s="703">
        <f t="shared" si="23"/>
        <v>0</v>
      </c>
      <c r="O109" s="704">
        <f t="shared" si="27"/>
        <v>11.43</v>
      </c>
      <c r="P109" s="142" t="e">
        <f>(O109+$O$261)+((BC!$F$125)/$F$112)</f>
        <v>#DIV/0!</v>
      </c>
      <c r="Q109" s="149" t="e">
        <f t="shared" si="28"/>
        <v>#DIV/0!</v>
      </c>
      <c r="R109" s="393" t="e">
        <f t="shared" si="24"/>
        <v>#DIV/0!</v>
      </c>
      <c r="S109" s="393" t="e">
        <f t="shared" si="29"/>
        <v>#DIV/0!</v>
      </c>
    </row>
    <row r="110" spans="2:21" ht="15.75" customHeight="1" x14ac:dyDescent="0.35">
      <c r="B110" s="676">
        <v>7027834190</v>
      </c>
      <c r="C110" s="676" t="s">
        <v>976</v>
      </c>
      <c r="D110" s="42">
        <v>100</v>
      </c>
      <c r="E110" s="1"/>
      <c r="F110" s="700">
        <f>'e402-e801'!E110</f>
        <v>0</v>
      </c>
      <c r="G110" s="57">
        <f t="shared" si="20"/>
        <v>0</v>
      </c>
      <c r="H110" s="696">
        <f t="shared" si="21"/>
        <v>0</v>
      </c>
      <c r="I110" s="60" t="e">
        <f>(30*BC!B148/E110)</f>
        <v>#DIV/0!</v>
      </c>
      <c r="J110" s="701" t="e">
        <f t="shared" si="25"/>
        <v>#DIV/0!</v>
      </c>
      <c r="K110" s="701">
        <f t="shared" si="26"/>
        <v>0</v>
      </c>
      <c r="L110" s="216">
        <f t="shared" si="22"/>
        <v>0</v>
      </c>
      <c r="M110" s="702">
        <v>1152</v>
      </c>
      <c r="N110" s="703">
        <f t="shared" si="23"/>
        <v>0</v>
      </c>
      <c r="O110" s="704">
        <f t="shared" si="27"/>
        <v>11.52</v>
      </c>
      <c r="P110" s="142" t="e">
        <f>(O110+$O$261)+((BC!$F$125)/$F$112)</f>
        <v>#DIV/0!</v>
      </c>
      <c r="Q110" s="149" t="e">
        <f t="shared" si="28"/>
        <v>#DIV/0!</v>
      </c>
      <c r="R110" s="393" t="e">
        <f t="shared" si="24"/>
        <v>#DIV/0!</v>
      </c>
      <c r="S110" s="393" t="e">
        <f t="shared" si="29"/>
        <v>#DIV/0!</v>
      </c>
    </row>
    <row r="111" spans="2:21" ht="15.75" customHeight="1" x14ac:dyDescent="0.35">
      <c r="B111" s="676">
        <v>7251254190</v>
      </c>
      <c r="C111" s="676" t="s">
        <v>977</v>
      </c>
      <c r="D111" s="42">
        <v>300</v>
      </c>
      <c r="E111" s="1"/>
      <c r="F111" s="700">
        <f>'e402-e801'!E111</f>
        <v>0</v>
      </c>
      <c r="G111" s="57">
        <f t="shared" si="20"/>
        <v>0</v>
      </c>
      <c r="H111" s="696">
        <f t="shared" si="21"/>
        <v>0</v>
      </c>
      <c r="I111" s="60" t="e">
        <f>(30*BC!B149/E111)</f>
        <v>#DIV/0!</v>
      </c>
      <c r="J111" s="701" t="e">
        <f t="shared" si="25"/>
        <v>#DIV/0!</v>
      </c>
      <c r="K111" s="701">
        <f t="shared" si="26"/>
        <v>0</v>
      </c>
      <c r="L111" s="216">
        <f t="shared" si="22"/>
        <v>0</v>
      </c>
      <c r="M111" s="702">
        <v>3579</v>
      </c>
      <c r="N111" s="703">
        <f t="shared" si="23"/>
        <v>0</v>
      </c>
      <c r="O111" s="704">
        <f t="shared" si="27"/>
        <v>11.93</v>
      </c>
      <c r="P111" s="142" t="e">
        <f>(O111+$O$261)+((BC!$F$125)/$F$112)</f>
        <v>#DIV/0!</v>
      </c>
      <c r="Q111" s="149" t="e">
        <f t="shared" si="28"/>
        <v>#DIV/0!</v>
      </c>
      <c r="R111" s="393" t="e">
        <f t="shared" si="24"/>
        <v>#DIV/0!</v>
      </c>
      <c r="S111" s="393" t="e">
        <f t="shared" si="29"/>
        <v>#DIV/0!</v>
      </c>
    </row>
    <row r="112" spans="2:21" x14ac:dyDescent="0.35">
      <c r="B112" s="187"/>
      <c r="C112" s="187"/>
      <c r="D112" s="188"/>
      <c r="E112" s="486" t="s">
        <v>19</v>
      </c>
      <c r="F112" s="732">
        <f>SUM(F9:F111)</f>
        <v>0</v>
      </c>
      <c r="G112" s="487">
        <f>SUM(G9:G111)</f>
        <v>0</v>
      </c>
      <c r="H112" s="734"/>
      <c r="I112" s="190"/>
      <c r="J112" s="511"/>
      <c r="K112" s="511"/>
      <c r="L112" s="511"/>
      <c r="M112" s="190"/>
      <c r="N112" s="252"/>
      <c r="O112" s="190"/>
      <c r="P112" s="190"/>
      <c r="Q112" s="24"/>
      <c r="R112" s="24"/>
      <c r="S112" s="24"/>
      <c r="T112" s="24"/>
      <c r="U112" s="24"/>
    </row>
    <row r="113" spans="2:16" ht="15.75" customHeight="1" x14ac:dyDescent="0.35">
      <c r="B113" s="587" t="s">
        <v>255</v>
      </c>
      <c r="C113" s="588"/>
      <c r="D113" s="589" t="s">
        <v>1082</v>
      </c>
      <c r="E113" s="698" t="s">
        <v>54</v>
      </c>
      <c r="F113" s="733"/>
      <c r="G113" s="482"/>
      <c r="H113" s="735" t="s">
        <v>53</v>
      </c>
      <c r="I113" s="512" t="s">
        <v>52</v>
      </c>
      <c r="J113" s="512" t="s">
        <v>51</v>
      </c>
      <c r="K113" s="512"/>
      <c r="L113" s="482" t="s">
        <v>50</v>
      </c>
      <c r="M113" s="513" t="s">
        <v>49</v>
      </c>
      <c r="N113" s="482" t="s">
        <v>48</v>
      </c>
      <c r="O113" s="483" t="s">
        <v>318</v>
      </c>
      <c r="P113" s="483" t="s">
        <v>319</v>
      </c>
    </row>
    <row r="114" spans="2:16" ht="15.75" customHeight="1" x14ac:dyDescent="0.35">
      <c r="B114" s="471">
        <v>8443459190</v>
      </c>
      <c r="C114" s="471" t="s">
        <v>577</v>
      </c>
      <c r="D114" s="42">
        <v>2</v>
      </c>
      <c r="E114" s="1">
        <v>84</v>
      </c>
      <c r="F114" s="63"/>
      <c r="G114" s="737"/>
      <c r="H114" s="736">
        <f>(G9/(0.014*100)/2000)</f>
        <v>0</v>
      </c>
      <c r="I114" s="60">
        <f>(30*BC!$B$47/E114)</f>
        <v>0</v>
      </c>
      <c r="J114" s="701">
        <f t="shared" ref="J114:J145" si="30">IF(I114&gt;H114,I114,H114)</f>
        <v>0</v>
      </c>
      <c r="K114" s="701">
        <f t="shared" ref="K114:K145" si="31">IF(H114=0,0,J114)</f>
        <v>0</v>
      </c>
      <c r="L114" s="216">
        <f t="shared" ref="L114:L177" si="32">ROUNDUP(K114,0)</f>
        <v>0</v>
      </c>
      <c r="M114" s="367">
        <v>73</v>
      </c>
      <c r="N114" s="148">
        <f t="shared" ref="N114:N145" si="33">((M114/D114)*L114)</f>
        <v>0</v>
      </c>
      <c r="O114" s="57">
        <f t="shared" ref="O114:O145" si="34">L114/D114</f>
        <v>0</v>
      </c>
      <c r="P114" s="57">
        <f>ROUNDUP(O114,0)</f>
        <v>0</v>
      </c>
    </row>
    <row r="115" spans="2:16" ht="15.75" customHeight="1" x14ac:dyDescent="0.35">
      <c r="B115" s="471">
        <v>11731548122</v>
      </c>
      <c r="C115" s="471" t="s">
        <v>978</v>
      </c>
      <c r="D115" s="42">
        <v>2</v>
      </c>
      <c r="E115" s="1">
        <v>84</v>
      </c>
      <c r="F115" s="63"/>
      <c r="G115" s="57"/>
      <c r="H115" s="516">
        <f>(G10/(0.003*100)/2000)</f>
        <v>0</v>
      </c>
      <c r="I115" s="60">
        <f>(30*BC!$B$47/E115)</f>
        <v>0</v>
      </c>
      <c r="J115" s="701">
        <f t="shared" si="30"/>
        <v>0</v>
      </c>
      <c r="K115" s="701">
        <f t="shared" si="31"/>
        <v>0</v>
      </c>
      <c r="L115" s="216">
        <f t="shared" si="32"/>
        <v>0</v>
      </c>
      <c r="M115" s="367">
        <v>189</v>
      </c>
      <c r="N115" s="148">
        <f t="shared" si="33"/>
        <v>0</v>
      </c>
      <c r="O115" s="57">
        <f t="shared" si="34"/>
        <v>0</v>
      </c>
      <c r="P115" s="57">
        <f t="shared" ref="P115:P178" si="35">ROUNDUP(O115,0)</f>
        <v>0</v>
      </c>
    </row>
    <row r="116" spans="2:16" ht="15.75" customHeight="1" x14ac:dyDescent="0.35">
      <c r="B116" s="471">
        <v>12017717122</v>
      </c>
      <c r="C116" s="471" t="s">
        <v>979</v>
      </c>
      <c r="D116" s="42">
        <v>2</v>
      </c>
      <c r="E116" s="1">
        <v>84</v>
      </c>
      <c r="F116" s="63"/>
      <c r="G116" s="57"/>
      <c r="H116" s="516">
        <f>(G11/(0.003*100)/2000)</f>
        <v>0</v>
      </c>
      <c r="I116" s="60">
        <f>(30*BC!$B$47/E116)</f>
        <v>0</v>
      </c>
      <c r="J116" s="701">
        <f t="shared" si="30"/>
        <v>0</v>
      </c>
      <c r="K116" s="701">
        <f t="shared" si="31"/>
        <v>0</v>
      </c>
      <c r="L116" s="216">
        <f t="shared" si="32"/>
        <v>0</v>
      </c>
      <c r="M116" s="367">
        <v>189</v>
      </c>
      <c r="N116" s="148">
        <f t="shared" si="33"/>
        <v>0</v>
      </c>
      <c r="O116" s="57">
        <f t="shared" si="34"/>
        <v>0</v>
      </c>
      <c r="P116" s="57">
        <f t="shared" si="35"/>
        <v>0</v>
      </c>
    </row>
    <row r="117" spans="2:16" ht="15.75" customHeight="1" x14ac:dyDescent="0.35">
      <c r="B117" s="471">
        <v>9077871190</v>
      </c>
      <c r="C117" s="471" t="s">
        <v>980</v>
      </c>
      <c r="D117" s="42">
        <v>2</v>
      </c>
      <c r="E117" s="1">
        <v>56</v>
      </c>
      <c r="F117" s="63"/>
      <c r="G117" s="57"/>
      <c r="H117" s="516">
        <f>(G12/(0.003*100)/2000)</f>
        <v>0</v>
      </c>
      <c r="I117" s="60">
        <f>(30*BC!$B$47/E117)</f>
        <v>0</v>
      </c>
      <c r="J117" s="701">
        <f t="shared" si="30"/>
        <v>0</v>
      </c>
      <c r="K117" s="701">
        <f t="shared" si="31"/>
        <v>0</v>
      </c>
      <c r="L117" s="216">
        <f t="shared" si="32"/>
        <v>0</v>
      </c>
      <c r="M117" s="367">
        <v>93</v>
      </c>
      <c r="N117" s="148">
        <f t="shared" si="33"/>
        <v>0</v>
      </c>
      <c r="O117" s="57">
        <f t="shared" si="34"/>
        <v>0</v>
      </c>
      <c r="P117" s="57">
        <f t="shared" si="35"/>
        <v>0</v>
      </c>
    </row>
    <row r="118" spans="2:16" ht="15.75" customHeight="1" x14ac:dyDescent="0.35">
      <c r="B118" s="471">
        <v>9043292190</v>
      </c>
      <c r="C118" s="471" t="s">
        <v>981</v>
      </c>
      <c r="D118" s="42">
        <v>2</v>
      </c>
      <c r="E118" s="1">
        <v>84</v>
      </c>
      <c r="F118" s="63"/>
      <c r="G118" s="57"/>
      <c r="H118" s="516">
        <f>(G13/(0.004*100)/2000)</f>
        <v>0</v>
      </c>
      <c r="I118" s="60">
        <f>(30*BC!$B$47/E118)</f>
        <v>0</v>
      </c>
      <c r="J118" s="701">
        <f t="shared" si="30"/>
        <v>0</v>
      </c>
      <c r="K118" s="701">
        <f t="shared" si="31"/>
        <v>0</v>
      </c>
      <c r="L118" s="216">
        <f t="shared" si="32"/>
        <v>0</v>
      </c>
      <c r="M118" s="367">
        <v>192</v>
      </c>
      <c r="N118" s="148">
        <f t="shared" si="33"/>
        <v>0</v>
      </c>
      <c r="O118" s="57">
        <f t="shared" si="34"/>
        <v>0</v>
      </c>
      <c r="P118" s="57">
        <f t="shared" si="35"/>
        <v>0</v>
      </c>
    </row>
    <row r="119" spans="2:16" ht="15.75" customHeight="1" x14ac:dyDescent="0.35">
      <c r="B119" s="471">
        <v>8991405190</v>
      </c>
      <c r="C119" s="471" t="s">
        <v>982</v>
      </c>
      <c r="D119" s="42">
        <v>2</v>
      </c>
      <c r="E119" s="1">
        <v>93</v>
      </c>
      <c r="F119" s="63"/>
      <c r="G119" s="57"/>
      <c r="H119" s="516">
        <f>(G14/(0.0007*100)/2000)</f>
        <v>0</v>
      </c>
      <c r="I119" s="60">
        <f>(30*BC!$B$47/E119)</f>
        <v>0</v>
      </c>
      <c r="J119" s="701">
        <f t="shared" si="30"/>
        <v>0</v>
      </c>
      <c r="K119" s="701">
        <f t="shared" si="31"/>
        <v>0</v>
      </c>
      <c r="L119" s="216">
        <f t="shared" si="32"/>
        <v>0</v>
      </c>
      <c r="M119" s="367">
        <v>76</v>
      </c>
      <c r="N119" s="148">
        <f t="shared" si="33"/>
        <v>0</v>
      </c>
      <c r="O119" s="57">
        <f t="shared" si="34"/>
        <v>0</v>
      </c>
      <c r="P119" s="57">
        <f t="shared" si="35"/>
        <v>0</v>
      </c>
    </row>
    <row r="120" spans="2:16" ht="15.75" customHeight="1" x14ac:dyDescent="0.35">
      <c r="B120" s="471">
        <v>6472931190</v>
      </c>
      <c r="C120" s="471" t="s">
        <v>983</v>
      </c>
      <c r="D120" s="42">
        <v>2</v>
      </c>
      <c r="E120" s="1">
        <v>56</v>
      </c>
      <c r="F120" s="63"/>
      <c r="G120" s="57"/>
      <c r="H120" s="516">
        <f>(G15/(0.0005*100)/2000)</f>
        <v>0</v>
      </c>
      <c r="I120" s="60">
        <f>(30*BC!$B$47/E120)</f>
        <v>0</v>
      </c>
      <c r="J120" s="701">
        <f t="shared" si="30"/>
        <v>0</v>
      </c>
      <c r="K120" s="701">
        <f t="shared" si="31"/>
        <v>0</v>
      </c>
      <c r="L120" s="216">
        <f t="shared" si="32"/>
        <v>0</v>
      </c>
      <c r="M120" s="367">
        <v>222</v>
      </c>
      <c r="N120" s="148">
        <f t="shared" si="33"/>
        <v>0</v>
      </c>
      <c r="O120" s="57">
        <f t="shared" si="34"/>
        <v>0</v>
      </c>
      <c r="P120" s="57">
        <f t="shared" si="35"/>
        <v>0</v>
      </c>
    </row>
    <row r="121" spans="2:16" ht="15.75" customHeight="1" x14ac:dyDescent="0.35">
      <c r="B121" s="471">
        <v>9005030190</v>
      </c>
      <c r="C121" s="471" t="s">
        <v>984</v>
      </c>
      <c r="D121" s="42">
        <v>2</v>
      </c>
      <c r="E121" s="1">
        <v>42</v>
      </c>
      <c r="F121" s="63"/>
      <c r="G121" s="57"/>
      <c r="H121" s="516">
        <f>(G16/(0.0005*150)/2000)</f>
        <v>0</v>
      </c>
      <c r="I121" s="60">
        <f>(30*BC!$B$47/E121)</f>
        <v>0</v>
      </c>
      <c r="J121" s="701">
        <f t="shared" si="30"/>
        <v>0</v>
      </c>
      <c r="K121" s="701">
        <f t="shared" si="31"/>
        <v>0</v>
      </c>
      <c r="L121" s="216">
        <f t="shared" si="32"/>
        <v>0</v>
      </c>
      <c r="M121" s="367">
        <v>115</v>
      </c>
      <c r="N121" s="148">
        <f t="shared" si="33"/>
        <v>0</v>
      </c>
      <c r="O121" s="57">
        <f t="shared" si="34"/>
        <v>0</v>
      </c>
      <c r="P121" s="57">
        <f t="shared" si="35"/>
        <v>0</v>
      </c>
    </row>
    <row r="122" spans="2:16" ht="15.75" customHeight="1" x14ac:dyDescent="0.35">
      <c r="B122" s="471">
        <v>8496641190</v>
      </c>
      <c r="C122" s="471" t="s">
        <v>985</v>
      </c>
      <c r="D122" s="42">
        <v>2</v>
      </c>
      <c r="E122" s="1">
        <v>84</v>
      </c>
      <c r="F122" s="63"/>
      <c r="G122" s="57"/>
      <c r="H122" s="516">
        <f>(G17/(0.0005*100)/2000)</f>
        <v>0</v>
      </c>
      <c r="I122" s="60">
        <f>(30*BC!$B$47/E122)</f>
        <v>0</v>
      </c>
      <c r="J122" s="701">
        <f t="shared" si="30"/>
        <v>0</v>
      </c>
      <c r="K122" s="701">
        <f t="shared" si="31"/>
        <v>0</v>
      </c>
      <c r="L122" s="216">
        <f t="shared" si="32"/>
        <v>0</v>
      </c>
      <c r="M122" s="367">
        <v>178</v>
      </c>
      <c r="N122" s="148">
        <f t="shared" si="33"/>
        <v>0</v>
      </c>
      <c r="O122" s="57">
        <f t="shared" si="34"/>
        <v>0</v>
      </c>
      <c r="P122" s="57">
        <f t="shared" si="35"/>
        <v>0</v>
      </c>
    </row>
    <row r="123" spans="2:16" ht="15.75" customHeight="1" x14ac:dyDescent="0.35">
      <c r="B123" s="471">
        <v>9557423190</v>
      </c>
      <c r="C123" s="471" t="s">
        <v>986</v>
      </c>
      <c r="D123" s="42">
        <v>2</v>
      </c>
      <c r="E123" s="1">
        <v>84</v>
      </c>
      <c r="F123" s="63"/>
      <c r="G123" s="57"/>
      <c r="H123" s="516">
        <f>(G18/(0.0012*100)/2000)</f>
        <v>0</v>
      </c>
      <c r="I123" s="60">
        <f>(30*BC!$B$47/E123)</f>
        <v>0</v>
      </c>
      <c r="J123" s="701">
        <f t="shared" si="30"/>
        <v>0</v>
      </c>
      <c r="K123" s="701">
        <f t="shared" si="31"/>
        <v>0</v>
      </c>
      <c r="L123" s="216">
        <f t="shared" si="32"/>
        <v>0</v>
      </c>
      <c r="M123" s="148">
        <v>77</v>
      </c>
      <c r="N123" s="148">
        <f t="shared" si="33"/>
        <v>0</v>
      </c>
      <c r="O123" s="57">
        <f t="shared" si="34"/>
        <v>0</v>
      </c>
      <c r="P123" s="57">
        <f t="shared" si="35"/>
        <v>0</v>
      </c>
    </row>
    <row r="124" spans="2:16" ht="15.75" customHeight="1" x14ac:dyDescent="0.35">
      <c r="B124" s="471">
        <v>9557440190</v>
      </c>
      <c r="C124" s="471" t="s">
        <v>987</v>
      </c>
      <c r="D124" s="42">
        <v>2</v>
      </c>
      <c r="E124" s="1">
        <v>84</v>
      </c>
      <c r="F124" s="63"/>
      <c r="G124" s="57"/>
      <c r="H124" s="516">
        <f>(G19/(0.0011*100)/2000)</f>
        <v>0</v>
      </c>
      <c r="I124" s="60">
        <f>(30*BC!$B$47/E124)</f>
        <v>0</v>
      </c>
      <c r="J124" s="701">
        <f t="shared" si="30"/>
        <v>0</v>
      </c>
      <c r="K124" s="701">
        <f t="shared" si="31"/>
        <v>0</v>
      </c>
      <c r="L124" s="216">
        <f t="shared" si="32"/>
        <v>0</v>
      </c>
      <c r="M124" s="148">
        <v>264</v>
      </c>
      <c r="N124" s="148">
        <f t="shared" si="33"/>
        <v>0</v>
      </c>
      <c r="O124" s="57">
        <f t="shared" si="34"/>
        <v>0</v>
      </c>
      <c r="P124" s="57">
        <f t="shared" si="35"/>
        <v>0</v>
      </c>
    </row>
    <row r="125" spans="2:16" ht="15.75" customHeight="1" x14ac:dyDescent="0.35">
      <c r="B125" s="471">
        <v>6656048190</v>
      </c>
      <c r="C125" s="471" t="s">
        <v>988</v>
      </c>
      <c r="D125" s="42">
        <v>2</v>
      </c>
      <c r="E125" s="1">
        <v>31</v>
      </c>
      <c r="F125" s="63"/>
      <c r="G125" s="57"/>
      <c r="H125" s="516">
        <f>(G20/(0.0005*100)/2000)</f>
        <v>0</v>
      </c>
      <c r="I125" s="60">
        <f>(30*BC!$B$47/E125)</f>
        <v>0</v>
      </c>
      <c r="J125" s="701">
        <f t="shared" si="30"/>
        <v>0</v>
      </c>
      <c r="K125" s="701">
        <f t="shared" si="31"/>
        <v>0</v>
      </c>
      <c r="L125" s="216">
        <f t="shared" si="32"/>
        <v>0</v>
      </c>
      <c r="M125" s="367">
        <v>127</v>
      </c>
      <c r="N125" s="148">
        <f t="shared" si="33"/>
        <v>0</v>
      </c>
      <c r="O125" s="57">
        <f t="shared" si="34"/>
        <v>0</v>
      </c>
      <c r="P125" s="57">
        <f t="shared" si="35"/>
        <v>0</v>
      </c>
    </row>
    <row r="126" spans="2:16" ht="15.75" customHeight="1" x14ac:dyDescent="0.35">
      <c r="B126" s="471">
        <v>7092547190</v>
      </c>
      <c r="C126" s="471" t="s">
        <v>989</v>
      </c>
      <c r="D126" s="42">
        <v>2</v>
      </c>
      <c r="E126" s="1">
        <v>31</v>
      </c>
      <c r="F126" s="63"/>
      <c r="G126" s="57"/>
      <c r="H126" s="516">
        <f>(G21/(0.0005*100)/2000)</f>
        <v>0</v>
      </c>
      <c r="I126" s="60">
        <f>(30*BC!$B$47/E126)</f>
        <v>0</v>
      </c>
      <c r="J126" s="701">
        <f t="shared" si="30"/>
        <v>0</v>
      </c>
      <c r="K126" s="701">
        <f t="shared" si="31"/>
        <v>0</v>
      </c>
      <c r="L126" s="216">
        <f t="shared" si="32"/>
        <v>0</v>
      </c>
      <c r="M126" s="367">
        <v>79</v>
      </c>
      <c r="N126" s="148">
        <f t="shared" si="33"/>
        <v>0</v>
      </c>
      <c r="O126" s="57">
        <f t="shared" si="34"/>
        <v>0</v>
      </c>
      <c r="P126" s="57">
        <f t="shared" si="35"/>
        <v>0</v>
      </c>
    </row>
    <row r="127" spans="2:16" ht="15.75" customHeight="1" x14ac:dyDescent="0.35">
      <c r="B127" s="471">
        <v>3277356190</v>
      </c>
      <c r="C127" s="471" t="s">
        <v>990</v>
      </c>
      <c r="D127" s="42">
        <v>2</v>
      </c>
      <c r="E127" s="1">
        <v>84</v>
      </c>
      <c r="F127" s="63"/>
      <c r="G127" s="57"/>
      <c r="H127" s="516">
        <f>(G22/(0.0012*100)/2000)</f>
        <v>0</v>
      </c>
      <c r="I127" s="60">
        <f>(30*BC!$B$47/E127)</f>
        <v>0</v>
      </c>
      <c r="J127" s="701">
        <f t="shared" si="30"/>
        <v>0</v>
      </c>
      <c r="K127" s="701">
        <f t="shared" si="31"/>
        <v>0</v>
      </c>
      <c r="L127" s="216">
        <f t="shared" si="32"/>
        <v>0</v>
      </c>
      <c r="M127" s="367">
        <v>69</v>
      </c>
      <c r="N127" s="148">
        <f t="shared" si="33"/>
        <v>0</v>
      </c>
      <c r="O127" s="57">
        <f t="shared" si="34"/>
        <v>0</v>
      </c>
      <c r="P127" s="57">
        <f t="shared" si="35"/>
        <v>0</v>
      </c>
    </row>
    <row r="128" spans="2:16" ht="15.75" customHeight="1" x14ac:dyDescent="0.35">
      <c r="B128" s="471">
        <v>5202230190</v>
      </c>
      <c r="C128" s="471" t="s">
        <v>991</v>
      </c>
      <c r="D128" s="42">
        <v>2</v>
      </c>
      <c r="E128" s="1">
        <v>84</v>
      </c>
      <c r="F128" s="63"/>
      <c r="G128" s="57"/>
      <c r="H128" s="516">
        <f>(G23/(0.00026*100)/2000)</f>
        <v>0</v>
      </c>
      <c r="I128" s="60">
        <f>(30*BC!$B$47/E128)</f>
        <v>0</v>
      </c>
      <c r="J128" s="701">
        <f t="shared" si="30"/>
        <v>0</v>
      </c>
      <c r="K128" s="701">
        <f t="shared" si="31"/>
        <v>0</v>
      </c>
      <c r="L128" s="216">
        <f t="shared" si="32"/>
        <v>0</v>
      </c>
      <c r="M128" s="367">
        <v>79</v>
      </c>
      <c r="N128" s="148">
        <f t="shared" si="33"/>
        <v>0</v>
      </c>
      <c r="O128" s="57">
        <f t="shared" si="34"/>
        <v>0</v>
      </c>
      <c r="P128" s="57">
        <f t="shared" si="35"/>
        <v>0</v>
      </c>
    </row>
    <row r="129" spans="2:16" ht="15.75" customHeight="1" x14ac:dyDescent="0.35">
      <c r="B129" s="471">
        <v>3052028190</v>
      </c>
      <c r="C129" s="471" t="s">
        <v>992</v>
      </c>
      <c r="D129" s="42">
        <v>2</v>
      </c>
      <c r="E129" s="1">
        <v>56</v>
      </c>
      <c r="F129" s="63"/>
      <c r="G129" s="57"/>
      <c r="H129" s="516">
        <f>(G24/(0.0005*100)/2000)</f>
        <v>0</v>
      </c>
      <c r="I129" s="60">
        <f>(30*BC!$B$47/E129)</f>
        <v>0</v>
      </c>
      <c r="J129" s="701">
        <f t="shared" si="30"/>
        <v>0</v>
      </c>
      <c r="K129" s="701">
        <f t="shared" si="31"/>
        <v>0</v>
      </c>
      <c r="L129" s="216">
        <f t="shared" si="32"/>
        <v>0</v>
      </c>
      <c r="M129" s="367">
        <v>116</v>
      </c>
      <c r="N129" s="148">
        <f t="shared" si="33"/>
        <v>0</v>
      </c>
      <c r="O129" s="57">
        <f t="shared" si="34"/>
        <v>0</v>
      </c>
      <c r="P129" s="57">
        <f t="shared" si="35"/>
        <v>0</v>
      </c>
    </row>
    <row r="130" spans="2:16" ht="15.75" customHeight="1" x14ac:dyDescent="0.35">
      <c r="B130" s="471">
        <v>3000095122</v>
      </c>
      <c r="C130" s="471" t="s">
        <v>993</v>
      </c>
      <c r="D130" s="42">
        <v>2</v>
      </c>
      <c r="E130" s="1">
        <v>84</v>
      </c>
      <c r="F130" s="63"/>
      <c r="G130" s="57"/>
      <c r="H130" s="516">
        <f>(G25/(0.0005*100)/2000)</f>
        <v>0</v>
      </c>
      <c r="I130" s="60">
        <f>(30*BC!$B$47/E130)</f>
        <v>0</v>
      </c>
      <c r="J130" s="701">
        <f t="shared" si="30"/>
        <v>0</v>
      </c>
      <c r="K130" s="701">
        <f t="shared" si="31"/>
        <v>0</v>
      </c>
      <c r="L130" s="216">
        <f t="shared" si="32"/>
        <v>0</v>
      </c>
      <c r="M130" s="367">
        <v>205</v>
      </c>
      <c r="N130" s="148">
        <f t="shared" si="33"/>
        <v>0</v>
      </c>
      <c r="O130" s="57">
        <f t="shared" si="34"/>
        <v>0</v>
      </c>
      <c r="P130" s="57">
        <f t="shared" si="35"/>
        <v>0</v>
      </c>
    </row>
    <row r="131" spans="2:16" ht="15.75" customHeight="1" x14ac:dyDescent="0.35">
      <c r="B131" s="471">
        <v>3302652190</v>
      </c>
      <c r="C131" s="471" t="s">
        <v>994</v>
      </c>
      <c r="D131" s="42">
        <v>2</v>
      </c>
      <c r="E131" s="1">
        <v>84</v>
      </c>
      <c r="F131" s="63"/>
      <c r="G131" s="57"/>
      <c r="H131" s="516">
        <f>(G26/(0.0008*100)/2000)</f>
        <v>0</v>
      </c>
      <c r="I131" s="60">
        <f>(30*BC!$B$47/E131)</f>
        <v>0</v>
      </c>
      <c r="J131" s="701">
        <f t="shared" si="30"/>
        <v>0</v>
      </c>
      <c r="K131" s="701">
        <f t="shared" si="31"/>
        <v>0</v>
      </c>
      <c r="L131" s="216">
        <f t="shared" si="32"/>
        <v>0</v>
      </c>
      <c r="M131" s="367">
        <v>66</v>
      </c>
      <c r="N131" s="148">
        <f t="shared" si="33"/>
        <v>0</v>
      </c>
      <c r="O131" s="57">
        <f t="shared" si="34"/>
        <v>0</v>
      </c>
      <c r="P131" s="57">
        <f t="shared" si="35"/>
        <v>0</v>
      </c>
    </row>
    <row r="132" spans="2:16" ht="15.75" customHeight="1" x14ac:dyDescent="0.35">
      <c r="B132" s="471">
        <v>9013296190</v>
      </c>
      <c r="C132" s="471" t="s">
        <v>995</v>
      </c>
      <c r="D132" s="42">
        <v>2</v>
      </c>
      <c r="E132" s="1">
        <v>84</v>
      </c>
      <c r="F132" s="63"/>
      <c r="G132" s="57"/>
      <c r="H132" s="516">
        <f>(G27/(0.0005*100)/2000)</f>
        <v>0</v>
      </c>
      <c r="I132" s="60">
        <f>(30*BC!$B$47/E132)</f>
        <v>0</v>
      </c>
      <c r="J132" s="701">
        <f t="shared" si="30"/>
        <v>0</v>
      </c>
      <c r="K132" s="701">
        <f t="shared" si="31"/>
        <v>0</v>
      </c>
      <c r="L132" s="216">
        <f t="shared" si="32"/>
        <v>0</v>
      </c>
      <c r="M132" s="367">
        <v>85</v>
      </c>
      <c r="N132" s="148">
        <f t="shared" si="33"/>
        <v>0</v>
      </c>
      <c r="O132" s="57">
        <f t="shared" si="34"/>
        <v>0</v>
      </c>
      <c r="P132" s="57">
        <f t="shared" si="35"/>
        <v>0</v>
      </c>
    </row>
    <row r="133" spans="2:16" ht="15.75" customHeight="1" x14ac:dyDescent="0.35">
      <c r="B133" s="471">
        <v>4854080200</v>
      </c>
      <c r="C133" s="502" t="s">
        <v>996</v>
      </c>
      <c r="D133" s="42">
        <v>2</v>
      </c>
      <c r="E133" s="1">
        <v>84</v>
      </c>
      <c r="F133" s="63"/>
      <c r="G133" s="57"/>
      <c r="H133" s="516">
        <f>(G28/(0.0005*150)/2000)</f>
        <v>0</v>
      </c>
      <c r="I133" s="60">
        <f>(30*BC!$B$47/E133)</f>
        <v>0</v>
      </c>
      <c r="J133" s="701">
        <f t="shared" si="30"/>
        <v>0</v>
      </c>
      <c r="K133" s="701">
        <f t="shared" si="31"/>
        <v>0</v>
      </c>
      <c r="L133" s="216">
        <f t="shared" si="32"/>
        <v>0</v>
      </c>
      <c r="M133" s="367">
        <v>675</v>
      </c>
      <c r="N133" s="148">
        <f t="shared" si="33"/>
        <v>0</v>
      </c>
      <c r="O133" s="57">
        <f t="shared" si="34"/>
        <v>0</v>
      </c>
      <c r="P133" s="57">
        <f t="shared" si="35"/>
        <v>0</v>
      </c>
    </row>
    <row r="134" spans="2:16" ht="15.75" customHeight="1" x14ac:dyDescent="0.35">
      <c r="B134" s="471">
        <v>4854101200</v>
      </c>
      <c r="C134" s="502" t="s">
        <v>997</v>
      </c>
      <c r="D134" s="42">
        <v>2</v>
      </c>
      <c r="E134" s="1">
        <v>84</v>
      </c>
      <c r="F134" s="63"/>
      <c r="G134" s="57"/>
      <c r="H134" s="516">
        <f>(G29/(0.0005*100)/2000)</f>
        <v>0</v>
      </c>
      <c r="I134" s="60">
        <f>(30*BC!$B$47/E134)</f>
        <v>0</v>
      </c>
      <c r="J134" s="701">
        <f t="shared" si="30"/>
        <v>0</v>
      </c>
      <c r="K134" s="701">
        <f t="shared" si="31"/>
        <v>0</v>
      </c>
      <c r="L134" s="216">
        <f t="shared" si="32"/>
        <v>0</v>
      </c>
      <c r="M134" s="367">
        <v>483</v>
      </c>
      <c r="N134" s="148">
        <f t="shared" si="33"/>
        <v>0</v>
      </c>
      <c r="O134" s="57">
        <f t="shared" si="34"/>
        <v>0</v>
      </c>
      <c r="P134" s="57">
        <f t="shared" si="35"/>
        <v>0</v>
      </c>
    </row>
    <row r="135" spans="2:16" ht="15.75" customHeight="1" x14ac:dyDescent="0.35">
      <c r="B135" s="471">
        <v>5144701190</v>
      </c>
      <c r="C135" s="471" t="s">
        <v>998</v>
      </c>
      <c r="D135" s="42">
        <v>2</v>
      </c>
      <c r="E135" s="1">
        <v>28</v>
      </c>
      <c r="F135" s="63"/>
      <c r="G135" s="57"/>
      <c r="H135" s="516">
        <f>(G30/(0.0005*100)/2000)</f>
        <v>0</v>
      </c>
      <c r="I135" s="60">
        <f>(30*BC!$B$47/E135)</f>
        <v>0</v>
      </c>
      <c r="J135" s="701">
        <f t="shared" si="30"/>
        <v>0</v>
      </c>
      <c r="K135" s="701">
        <f t="shared" si="31"/>
        <v>0</v>
      </c>
      <c r="L135" s="216">
        <f t="shared" si="32"/>
        <v>0</v>
      </c>
      <c r="M135" s="367">
        <v>433</v>
      </c>
      <c r="N135" s="148">
        <f t="shared" si="33"/>
        <v>0</v>
      </c>
      <c r="O135" s="57">
        <f t="shared" si="34"/>
        <v>0</v>
      </c>
      <c r="P135" s="57">
        <f t="shared" si="35"/>
        <v>0</v>
      </c>
    </row>
    <row r="136" spans="2:16" ht="15.75" customHeight="1" x14ac:dyDescent="0.35">
      <c r="B136" s="471">
        <v>5109531190</v>
      </c>
      <c r="C136" s="471" t="s">
        <v>999</v>
      </c>
      <c r="D136" s="42">
        <v>2</v>
      </c>
      <c r="E136" s="1">
        <v>28</v>
      </c>
      <c r="F136" s="63"/>
      <c r="G136" s="57"/>
      <c r="H136" s="516">
        <f>(G31/(0.0005*100)/2000)</f>
        <v>0</v>
      </c>
      <c r="I136" s="60">
        <f>(30*BC!$B$47/E136)</f>
        <v>0</v>
      </c>
      <c r="J136" s="701">
        <f t="shared" si="30"/>
        <v>0</v>
      </c>
      <c r="K136" s="701">
        <f t="shared" si="31"/>
        <v>0</v>
      </c>
      <c r="L136" s="216">
        <f t="shared" si="32"/>
        <v>0</v>
      </c>
      <c r="M136" s="367">
        <v>433</v>
      </c>
      <c r="N136" s="148">
        <f t="shared" si="33"/>
        <v>0</v>
      </c>
      <c r="O136" s="57">
        <f t="shared" si="34"/>
        <v>0</v>
      </c>
      <c r="P136" s="57">
        <f t="shared" si="35"/>
        <v>0</v>
      </c>
    </row>
    <row r="137" spans="2:16" ht="15.75" customHeight="1" x14ac:dyDescent="0.35">
      <c r="B137" s="471">
        <v>3184919190</v>
      </c>
      <c r="C137" s="471" t="s">
        <v>1000</v>
      </c>
      <c r="D137" s="42">
        <v>2</v>
      </c>
      <c r="E137" s="1">
        <v>28</v>
      </c>
      <c r="F137" s="63"/>
      <c r="G137" s="57"/>
      <c r="H137" s="516">
        <f>(G32/(0.0005*100)/2000)</f>
        <v>0</v>
      </c>
      <c r="I137" s="60">
        <f>(30*BC!$B$47/E137)</f>
        <v>0</v>
      </c>
      <c r="J137" s="701">
        <f t="shared" si="30"/>
        <v>0</v>
      </c>
      <c r="K137" s="701">
        <f t="shared" si="31"/>
        <v>0</v>
      </c>
      <c r="L137" s="216">
        <f t="shared" si="32"/>
        <v>0</v>
      </c>
      <c r="M137" s="367">
        <v>192</v>
      </c>
      <c r="N137" s="148">
        <f t="shared" si="33"/>
        <v>0</v>
      </c>
      <c r="O137" s="57">
        <f t="shared" si="34"/>
        <v>0</v>
      </c>
      <c r="P137" s="57">
        <f t="shared" si="35"/>
        <v>0</v>
      </c>
    </row>
    <row r="138" spans="2:16" ht="15.75" customHeight="1" x14ac:dyDescent="0.35">
      <c r="B138" s="471">
        <v>12017504122</v>
      </c>
      <c r="C138" s="471" t="s">
        <v>1001</v>
      </c>
      <c r="D138" s="42">
        <v>2</v>
      </c>
      <c r="E138" s="1">
        <v>84</v>
      </c>
      <c r="F138" s="63"/>
      <c r="G138" s="57"/>
      <c r="H138" s="516">
        <f>(G33/(0.0009*100)/2000)</f>
        <v>0</v>
      </c>
      <c r="I138" s="60">
        <f>(30*BC!$B$47/E138)</f>
        <v>0</v>
      </c>
      <c r="J138" s="701">
        <f t="shared" si="30"/>
        <v>0</v>
      </c>
      <c r="K138" s="701">
        <f t="shared" si="31"/>
        <v>0</v>
      </c>
      <c r="L138" s="216">
        <f t="shared" si="32"/>
        <v>0</v>
      </c>
      <c r="M138" s="367">
        <v>177</v>
      </c>
      <c r="N138" s="148">
        <f t="shared" si="33"/>
        <v>0</v>
      </c>
      <c r="O138" s="57">
        <f t="shared" si="34"/>
        <v>0</v>
      </c>
      <c r="P138" s="57">
        <f t="shared" si="35"/>
        <v>0</v>
      </c>
    </row>
    <row r="139" spans="2:16" ht="15.75" customHeight="1" x14ac:dyDescent="0.35">
      <c r="B139" s="471">
        <v>6687750190</v>
      </c>
      <c r="C139" s="471" t="s">
        <v>1002</v>
      </c>
      <c r="D139" s="42">
        <v>2</v>
      </c>
      <c r="E139" s="1">
        <v>84</v>
      </c>
      <c r="F139" s="63"/>
      <c r="G139" s="57"/>
      <c r="H139" s="516">
        <f>(G34/(0.0005*100)/2000)</f>
        <v>0</v>
      </c>
      <c r="I139" s="60">
        <f>(30*BC!$B$47/E139)</f>
        <v>0</v>
      </c>
      <c r="J139" s="701">
        <f t="shared" si="30"/>
        <v>0</v>
      </c>
      <c r="K139" s="701">
        <f t="shared" si="31"/>
        <v>0</v>
      </c>
      <c r="L139" s="216">
        <f t="shared" si="32"/>
        <v>0</v>
      </c>
      <c r="M139" s="367">
        <v>222</v>
      </c>
      <c r="N139" s="148">
        <f t="shared" si="33"/>
        <v>0</v>
      </c>
      <c r="O139" s="57">
        <f t="shared" si="34"/>
        <v>0</v>
      </c>
      <c r="P139" s="57">
        <f t="shared" si="35"/>
        <v>0</v>
      </c>
    </row>
    <row r="140" spans="2:16" ht="15.75" customHeight="1" x14ac:dyDescent="0.35">
      <c r="B140" s="471">
        <v>9290940190</v>
      </c>
      <c r="C140" s="471" t="s">
        <v>1003</v>
      </c>
      <c r="D140" s="42">
        <v>2</v>
      </c>
      <c r="E140" s="1">
        <v>1</v>
      </c>
      <c r="F140" s="63"/>
      <c r="G140" s="57"/>
      <c r="H140" s="516">
        <f>(G35/(0.0005*100)/2000)</f>
        <v>0</v>
      </c>
      <c r="I140" s="60">
        <f>(30*BC!$B$47/E140)</f>
        <v>0</v>
      </c>
      <c r="J140" s="701">
        <f t="shared" si="30"/>
        <v>0</v>
      </c>
      <c r="K140" s="701">
        <f t="shared" si="31"/>
        <v>0</v>
      </c>
      <c r="L140" s="216">
        <f t="shared" si="32"/>
        <v>0</v>
      </c>
      <c r="M140" s="367">
        <v>395</v>
      </c>
      <c r="N140" s="148">
        <f t="shared" si="33"/>
        <v>0</v>
      </c>
      <c r="O140" s="57">
        <f t="shared" si="34"/>
        <v>0</v>
      </c>
      <c r="P140" s="57">
        <f t="shared" si="35"/>
        <v>0</v>
      </c>
    </row>
    <row r="141" spans="2:16" ht="15.75" customHeight="1" x14ac:dyDescent="0.35">
      <c r="B141" s="471">
        <v>8959820190</v>
      </c>
      <c r="C141" s="471" t="s">
        <v>1004</v>
      </c>
      <c r="D141" s="42">
        <v>2</v>
      </c>
      <c r="E141" s="1">
        <v>28</v>
      </c>
      <c r="F141" s="63"/>
      <c r="G141" s="57"/>
      <c r="H141" s="516">
        <f>(G36/(0.0005*100)/2000)</f>
        <v>0</v>
      </c>
      <c r="I141" s="60">
        <f>(30*BC!$B$47/E141)</f>
        <v>0</v>
      </c>
      <c r="J141" s="701">
        <f t="shared" si="30"/>
        <v>0</v>
      </c>
      <c r="K141" s="701">
        <f t="shared" si="31"/>
        <v>0</v>
      </c>
      <c r="L141" s="216">
        <f t="shared" si="32"/>
        <v>0</v>
      </c>
      <c r="M141" s="367">
        <v>355</v>
      </c>
      <c r="N141" s="148">
        <f t="shared" si="33"/>
        <v>0</v>
      </c>
      <c r="O141" s="57">
        <f t="shared" si="34"/>
        <v>0</v>
      </c>
      <c r="P141" s="57">
        <f t="shared" si="35"/>
        <v>0</v>
      </c>
    </row>
    <row r="142" spans="2:16" ht="15.75" customHeight="1" x14ac:dyDescent="0.35">
      <c r="B142" s="471">
        <v>5390133190</v>
      </c>
      <c r="C142" s="471" t="s">
        <v>1005</v>
      </c>
      <c r="D142" s="42">
        <v>2</v>
      </c>
      <c r="E142" s="1">
        <v>28</v>
      </c>
      <c r="F142" s="63"/>
      <c r="G142" s="57"/>
      <c r="H142" s="516">
        <f>(G37/(0.0002*100)/2000)</f>
        <v>0</v>
      </c>
      <c r="I142" s="60">
        <f>(30*BC!$B$47/E142)</f>
        <v>0</v>
      </c>
      <c r="J142" s="701">
        <f t="shared" si="30"/>
        <v>0</v>
      </c>
      <c r="K142" s="701">
        <f t="shared" si="31"/>
        <v>0</v>
      </c>
      <c r="L142" s="216">
        <f t="shared" si="32"/>
        <v>0</v>
      </c>
      <c r="M142" s="367">
        <v>198</v>
      </c>
      <c r="N142" s="148">
        <f t="shared" si="33"/>
        <v>0</v>
      </c>
      <c r="O142" s="57">
        <f t="shared" si="34"/>
        <v>0</v>
      </c>
      <c r="P142" s="57">
        <f t="shared" si="35"/>
        <v>0</v>
      </c>
    </row>
    <row r="143" spans="2:16" ht="15.75" customHeight="1" x14ac:dyDescent="0.35">
      <c r="B143" s="471">
        <v>7957203190</v>
      </c>
      <c r="C143" s="471" t="s">
        <v>1006</v>
      </c>
      <c r="D143" s="42">
        <v>2</v>
      </c>
      <c r="E143" s="1">
        <v>28</v>
      </c>
      <c r="F143" s="63"/>
      <c r="G143" s="57"/>
      <c r="H143" s="516">
        <f>(G38/(0.0005*100)/2000)</f>
        <v>0</v>
      </c>
      <c r="I143" s="60">
        <f>(30*BC!$B$47/E143)</f>
        <v>0</v>
      </c>
      <c r="J143" s="701">
        <f t="shared" si="30"/>
        <v>0</v>
      </c>
      <c r="K143" s="701">
        <f t="shared" si="31"/>
        <v>0</v>
      </c>
      <c r="L143" s="216">
        <f t="shared" si="32"/>
        <v>0</v>
      </c>
      <c r="M143" s="367">
        <v>322</v>
      </c>
      <c r="N143" s="148">
        <f t="shared" si="33"/>
        <v>0</v>
      </c>
      <c r="O143" s="57">
        <f t="shared" si="34"/>
        <v>0</v>
      </c>
      <c r="P143" s="57">
        <f t="shared" si="35"/>
        <v>0</v>
      </c>
    </row>
    <row r="144" spans="2:16" ht="15.75" customHeight="1" x14ac:dyDescent="0.35">
      <c r="B144" s="471">
        <v>8838534190</v>
      </c>
      <c r="C144" s="471" t="s">
        <v>1007</v>
      </c>
      <c r="D144" s="42">
        <v>2</v>
      </c>
      <c r="E144" s="1">
        <v>84</v>
      </c>
      <c r="F144" s="63"/>
      <c r="G144" s="57"/>
      <c r="H144" s="516">
        <f>(G39/(0.0024*100)/2000)</f>
        <v>0</v>
      </c>
      <c r="I144" s="60">
        <f>(30*BC!$B$47/E144)</f>
        <v>0</v>
      </c>
      <c r="J144" s="701">
        <f t="shared" si="30"/>
        <v>0</v>
      </c>
      <c r="K144" s="701">
        <f t="shared" si="31"/>
        <v>0</v>
      </c>
      <c r="L144" s="216">
        <f t="shared" si="32"/>
        <v>0</v>
      </c>
      <c r="M144" s="367">
        <v>194</v>
      </c>
      <c r="N144" s="148">
        <f t="shared" si="33"/>
        <v>0</v>
      </c>
      <c r="O144" s="57">
        <f t="shared" si="34"/>
        <v>0</v>
      </c>
      <c r="P144" s="57">
        <f t="shared" si="35"/>
        <v>0</v>
      </c>
    </row>
    <row r="145" spans="2:16" ht="15.75" customHeight="1" x14ac:dyDescent="0.35">
      <c r="B145" s="471">
        <v>8851964190</v>
      </c>
      <c r="C145" s="471" t="s">
        <v>1008</v>
      </c>
      <c r="D145" s="42">
        <v>2</v>
      </c>
      <c r="E145" s="1">
        <v>84</v>
      </c>
      <c r="F145" s="63"/>
      <c r="G145" s="57"/>
      <c r="H145" s="516">
        <f>(G40/(0.0016*100)/2000)</f>
        <v>0</v>
      </c>
      <c r="I145" s="60">
        <f>(30*BC!$B$47/E145)</f>
        <v>0</v>
      </c>
      <c r="J145" s="701">
        <f t="shared" si="30"/>
        <v>0</v>
      </c>
      <c r="K145" s="701">
        <f t="shared" si="31"/>
        <v>0</v>
      </c>
      <c r="L145" s="216">
        <f t="shared" si="32"/>
        <v>0</v>
      </c>
      <c r="M145" s="367">
        <v>183</v>
      </c>
      <c r="N145" s="148">
        <f t="shared" si="33"/>
        <v>0</v>
      </c>
      <c r="O145" s="57">
        <f t="shared" si="34"/>
        <v>0</v>
      </c>
      <c r="P145" s="57">
        <f t="shared" si="35"/>
        <v>0</v>
      </c>
    </row>
    <row r="146" spans="2:16" ht="15.75" customHeight="1" x14ac:dyDescent="0.35">
      <c r="B146" s="471">
        <v>9227261190</v>
      </c>
      <c r="C146" s="471" t="s">
        <v>1009</v>
      </c>
      <c r="D146" s="42">
        <v>2</v>
      </c>
      <c r="E146" s="1">
        <v>84</v>
      </c>
      <c r="F146" s="63"/>
      <c r="G146" s="57"/>
      <c r="H146" s="516">
        <f>(G41/(0.0003*100)/2000)</f>
        <v>0</v>
      </c>
      <c r="I146" s="60">
        <f>(30*BC!$B$47/E146)</f>
        <v>0</v>
      </c>
      <c r="J146" s="701">
        <f t="shared" ref="J146:J177" si="36">IF(I146&gt;H146,I146,H146)</f>
        <v>0</v>
      </c>
      <c r="K146" s="701">
        <f t="shared" ref="K146:K177" si="37">IF(H146=0,0,J146)</f>
        <v>0</v>
      </c>
      <c r="L146" s="216">
        <f t="shared" si="32"/>
        <v>0</v>
      </c>
      <c r="M146" s="367">
        <v>103</v>
      </c>
      <c r="N146" s="148">
        <f t="shared" ref="N146:N177" si="38">((M146/D146)*L146)</f>
        <v>0</v>
      </c>
      <c r="O146" s="57">
        <f t="shared" ref="O146:O177" si="39">L146/D146</f>
        <v>0</v>
      </c>
      <c r="P146" s="57">
        <f t="shared" si="35"/>
        <v>0</v>
      </c>
    </row>
    <row r="147" spans="2:16" ht="15.75" customHeight="1" x14ac:dyDescent="0.35">
      <c r="B147" s="471">
        <v>11731645322</v>
      </c>
      <c r="C147" s="471" t="s">
        <v>1010</v>
      </c>
      <c r="D147" s="42">
        <v>2</v>
      </c>
      <c r="E147" s="1">
        <v>84</v>
      </c>
      <c r="F147" s="63"/>
      <c r="G147" s="57"/>
      <c r="H147" s="516">
        <f>(G42/(0.0006*100)/2000)</f>
        <v>0</v>
      </c>
      <c r="I147" s="60">
        <f>(30*BC!$B$47/E147)</f>
        <v>0</v>
      </c>
      <c r="J147" s="701">
        <f t="shared" si="36"/>
        <v>0</v>
      </c>
      <c r="K147" s="701">
        <f t="shared" si="37"/>
        <v>0</v>
      </c>
      <c r="L147" s="216">
        <f t="shared" si="32"/>
        <v>0</v>
      </c>
      <c r="M147" s="367">
        <v>105</v>
      </c>
      <c r="N147" s="148">
        <f t="shared" si="38"/>
        <v>0</v>
      </c>
      <c r="O147" s="57">
        <f t="shared" si="39"/>
        <v>0</v>
      </c>
      <c r="P147" s="57">
        <f t="shared" si="35"/>
        <v>0</v>
      </c>
    </row>
    <row r="148" spans="2:16" ht="15.75" customHeight="1" x14ac:dyDescent="0.35">
      <c r="B148" s="471">
        <v>7030207190</v>
      </c>
      <c r="C148" s="471" t="s">
        <v>1011</v>
      </c>
      <c r="D148" s="42">
        <v>2</v>
      </c>
      <c r="E148" s="1">
        <v>140</v>
      </c>
      <c r="F148" s="63"/>
      <c r="G148" s="57"/>
      <c r="H148" s="516">
        <f>(G43/(0.0008*100)/2000)</f>
        <v>0</v>
      </c>
      <c r="I148" s="60">
        <f>(30*BC!$B$47/E148)</f>
        <v>0</v>
      </c>
      <c r="J148" s="701">
        <f t="shared" si="36"/>
        <v>0</v>
      </c>
      <c r="K148" s="701">
        <f t="shared" si="37"/>
        <v>0</v>
      </c>
      <c r="L148" s="216">
        <f t="shared" si="32"/>
        <v>0</v>
      </c>
      <c r="M148" s="367">
        <v>184</v>
      </c>
      <c r="N148" s="148">
        <f t="shared" si="38"/>
        <v>0</v>
      </c>
      <c r="O148" s="57">
        <f t="shared" si="39"/>
        <v>0</v>
      </c>
      <c r="P148" s="57">
        <f t="shared" si="35"/>
        <v>0</v>
      </c>
    </row>
    <row r="149" spans="2:16" ht="15.75" customHeight="1" x14ac:dyDescent="0.35">
      <c r="B149" s="471">
        <v>3045846122</v>
      </c>
      <c r="C149" s="471" t="s">
        <v>1012</v>
      </c>
      <c r="D149" s="42">
        <v>2</v>
      </c>
      <c r="E149" s="1">
        <v>84</v>
      </c>
      <c r="F149" s="63"/>
      <c r="G149" s="57"/>
      <c r="H149" s="516">
        <f>(G44/(0.0002*100)/2000)</f>
        <v>0</v>
      </c>
      <c r="I149" s="60">
        <f>(30*BC!$B$47/E149)</f>
        <v>0</v>
      </c>
      <c r="J149" s="701">
        <f t="shared" si="36"/>
        <v>0</v>
      </c>
      <c r="K149" s="701">
        <f t="shared" si="37"/>
        <v>0</v>
      </c>
      <c r="L149" s="216">
        <f t="shared" si="32"/>
        <v>0</v>
      </c>
      <c r="M149" s="367">
        <v>180</v>
      </c>
      <c r="N149" s="148">
        <f t="shared" si="38"/>
        <v>0</v>
      </c>
      <c r="O149" s="57">
        <f t="shared" si="39"/>
        <v>0</v>
      </c>
      <c r="P149" s="57">
        <f t="shared" si="35"/>
        <v>0</v>
      </c>
    </row>
    <row r="150" spans="2:16" ht="15.75" customHeight="1" x14ac:dyDescent="0.35">
      <c r="B150" s="471">
        <v>11776215122</v>
      </c>
      <c r="C150" s="471" t="s">
        <v>1013</v>
      </c>
      <c r="D150" s="42">
        <v>2</v>
      </c>
      <c r="E150" s="1">
        <v>56</v>
      </c>
      <c r="F150" s="63"/>
      <c r="G150" s="57"/>
      <c r="H150" s="516">
        <f>(G45/(0.0005*100)/2000)</f>
        <v>0</v>
      </c>
      <c r="I150" s="60">
        <f>(30*BC!$B$47/E150)</f>
        <v>0</v>
      </c>
      <c r="J150" s="701">
        <f t="shared" si="36"/>
        <v>0</v>
      </c>
      <c r="K150" s="701">
        <f t="shared" si="37"/>
        <v>0</v>
      </c>
      <c r="L150" s="216">
        <f t="shared" si="32"/>
        <v>0</v>
      </c>
      <c r="M150" s="367">
        <v>182</v>
      </c>
      <c r="N150" s="148">
        <f t="shared" si="38"/>
        <v>0</v>
      </c>
      <c r="O150" s="57">
        <f t="shared" si="39"/>
        <v>0</v>
      </c>
      <c r="P150" s="57">
        <f t="shared" si="35"/>
        <v>0</v>
      </c>
    </row>
    <row r="151" spans="2:16" ht="15.75" customHeight="1" x14ac:dyDescent="0.35">
      <c r="B151" s="471">
        <v>11820974322</v>
      </c>
      <c r="C151" s="471" t="s">
        <v>1014</v>
      </c>
      <c r="D151" s="42">
        <v>2</v>
      </c>
      <c r="E151" s="1">
        <v>56</v>
      </c>
      <c r="F151" s="63"/>
      <c r="G151" s="57"/>
      <c r="H151" s="516">
        <f>(G46/(0.0005*100)/2000)</f>
        <v>0</v>
      </c>
      <c r="I151" s="60">
        <f>(30*BC!$B$47/E151)</f>
        <v>0</v>
      </c>
      <c r="J151" s="701">
        <f t="shared" si="36"/>
        <v>0</v>
      </c>
      <c r="K151" s="701">
        <f t="shared" si="37"/>
        <v>0</v>
      </c>
      <c r="L151" s="216">
        <f t="shared" si="32"/>
        <v>0</v>
      </c>
      <c r="M151" s="367">
        <v>251</v>
      </c>
      <c r="N151" s="148">
        <f t="shared" si="38"/>
        <v>0</v>
      </c>
      <c r="O151" s="57">
        <f t="shared" si="39"/>
        <v>0</v>
      </c>
      <c r="P151" s="57">
        <f t="shared" si="35"/>
        <v>0</v>
      </c>
    </row>
    <row r="152" spans="2:16" ht="15.75" customHeight="1" x14ac:dyDescent="0.35">
      <c r="B152" s="471">
        <v>9175130190</v>
      </c>
      <c r="C152" s="471" t="s">
        <v>1015</v>
      </c>
      <c r="D152" s="42">
        <v>2</v>
      </c>
      <c r="E152" s="1">
        <v>42</v>
      </c>
      <c r="F152" s="63"/>
      <c r="G152" s="57"/>
      <c r="H152" s="516">
        <f>(G47/(0.0005*100)/2000)</f>
        <v>0</v>
      </c>
      <c r="I152" s="60">
        <f>(30*BC!$B$47/E152)</f>
        <v>0</v>
      </c>
      <c r="J152" s="701">
        <f t="shared" si="36"/>
        <v>0</v>
      </c>
      <c r="K152" s="701">
        <f t="shared" si="37"/>
        <v>0</v>
      </c>
      <c r="L152" s="216">
        <f t="shared" si="32"/>
        <v>0</v>
      </c>
      <c r="M152" s="367">
        <v>148</v>
      </c>
      <c r="N152" s="148">
        <f t="shared" si="38"/>
        <v>0</v>
      </c>
      <c r="O152" s="57">
        <f t="shared" si="39"/>
        <v>0</v>
      </c>
      <c r="P152" s="57">
        <f t="shared" si="35"/>
        <v>0</v>
      </c>
    </row>
    <row r="153" spans="2:16" ht="15.75" customHeight="1" x14ac:dyDescent="0.35">
      <c r="B153" s="471">
        <v>12133121122</v>
      </c>
      <c r="C153" s="471" t="s">
        <v>1016</v>
      </c>
      <c r="D153" s="42">
        <v>2</v>
      </c>
      <c r="E153" s="1">
        <v>42</v>
      </c>
      <c r="F153" s="63"/>
      <c r="G153" s="57"/>
      <c r="H153" s="516">
        <f>(G48/(0.0005*100)/2000)</f>
        <v>0</v>
      </c>
      <c r="I153" s="60">
        <f>(30*BC!$B$47/E153)</f>
        <v>0</v>
      </c>
      <c r="J153" s="701">
        <f t="shared" si="36"/>
        <v>0</v>
      </c>
      <c r="K153" s="701">
        <f t="shared" si="37"/>
        <v>0</v>
      </c>
      <c r="L153" s="216">
        <f t="shared" si="32"/>
        <v>0</v>
      </c>
      <c r="M153" s="367">
        <v>233</v>
      </c>
      <c r="N153" s="148">
        <f t="shared" si="38"/>
        <v>0</v>
      </c>
      <c r="O153" s="57">
        <f t="shared" si="39"/>
        <v>0</v>
      </c>
      <c r="P153" s="57">
        <f t="shared" si="35"/>
        <v>0</v>
      </c>
    </row>
    <row r="154" spans="2:16" ht="15.75" customHeight="1" x14ac:dyDescent="0.35">
      <c r="B154" s="471">
        <v>3289834190</v>
      </c>
      <c r="C154" s="471" t="s">
        <v>1017</v>
      </c>
      <c r="D154" s="42">
        <v>2</v>
      </c>
      <c r="E154" s="1">
        <v>84</v>
      </c>
      <c r="F154" s="63"/>
      <c r="G154" s="57"/>
      <c r="H154" s="516">
        <f>(G49/(0.0005*100)/2000)</f>
        <v>0</v>
      </c>
      <c r="I154" s="60">
        <f>(30*BC!$B$47/E154)</f>
        <v>0</v>
      </c>
      <c r="J154" s="701">
        <f t="shared" si="36"/>
        <v>0</v>
      </c>
      <c r="K154" s="701">
        <f t="shared" si="37"/>
        <v>0</v>
      </c>
      <c r="L154" s="216">
        <f t="shared" si="32"/>
        <v>0</v>
      </c>
      <c r="M154" s="367">
        <v>378</v>
      </c>
      <c r="N154" s="148">
        <f t="shared" si="38"/>
        <v>0</v>
      </c>
      <c r="O154" s="57">
        <f t="shared" si="39"/>
        <v>0</v>
      </c>
      <c r="P154" s="57">
        <f t="shared" si="35"/>
        <v>0</v>
      </c>
    </row>
    <row r="155" spans="2:16" ht="15.75" customHeight="1" x14ac:dyDescent="0.35">
      <c r="B155" s="471">
        <v>5950945190</v>
      </c>
      <c r="C155" s="471" t="s">
        <v>1018</v>
      </c>
      <c r="D155" s="42">
        <v>2</v>
      </c>
      <c r="E155" s="1">
        <v>56</v>
      </c>
      <c r="F155" s="63"/>
      <c r="G155" s="57"/>
      <c r="H155" s="516">
        <f>(G50/(0.0003*100)/2000)</f>
        <v>0</v>
      </c>
      <c r="I155" s="60">
        <f>(30*BC!$B$47/E155)</f>
        <v>0</v>
      </c>
      <c r="J155" s="701">
        <f t="shared" si="36"/>
        <v>0</v>
      </c>
      <c r="K155" s="701">
        <f t="shared" si="37"/>
        <v>0</v>
      </c>
      <c r="L155" s="216">
        <f t="shared" si="32"/>
        <v>0</v>
      </c>
      <c r="M155" s="367">
        <v>409</v>
      </c>
      <c r="N155" s="148">
        <f t="shared" si="38"/>
        <v>0</v>
      </c>
      <c r="O155" s="57">
        <f t="shared" si="39"/>
        <v>0</v>
      </c>
      <c r="P155" s="57">
        <f t="shared" si="35"/>
        <v>0</v>
      </c>
    </row>
    <row r="156" spans="2:16" ht="15.75" customHeight="1" x14ac:dyDescent="0.35">
      <c r="B156" s="471">
        <v>8333637190</v>
      </c>
      <c r="C156" s="471" t="s">
        <v>1019</v>
      </c>
      <c r="D156" s="42">
        <v>2</v>
      </c>
      <c r="E156" s="1">
        <v>28</v>
      </c>
      <c r="F156" s="63"/>
      <c r="G156" s="57"/>
      <c r="H156" s="516">
        <f t="shared" ref="H156:H167" si="40">(G51/(0.0005*100)/2000)</f>
        <v>0</v>
      </c>
      <c r="I156" s="60">
        <f>(30*BC!$B$47/E156)</f>
        <v>0</v>
      </c>
      <c r="J156" s="701">
        <f t="shared" si="36"/>
        <v>0</v>
      </c>
      <c r="K156" s="701">
        <f t="shared" si="37"/>
        <v>0</v>
      </c>
      <c r="L156" s="216">
        <f t="shared" si="32"/>
        <v>0</v>
      </c>
      <c r="M156" s="367">
        <v>684</v>
      </c>
      <c r="N156" s="148">
        <f t="shared" si="38"/>
        <v>0</v>
      </c>
      <c r="O156" s="57">
        <f t="shared" si="39"/>
        <v>0</v>
      </c>
      <c r="P156" s="57">
        <f t="shared" si="35"/>
        <v>0</v>
      </c>
    </row>
    <row r="157" spans="2:16" ht="15.75" customHeight="1" x14ac:dyDescent="0.35">
      <c r="B157" s="471">
        <v>6505970190</v>
      </c>
      <c r="C157" s="471" t="s">
        <v>1020</v>
      </c>
      <c r="D157" s="42">
        <v>2</v>
      </c>
      <c r="E157" s="1">
        <v>56</v>
      </c>
      <c r="F157" s="63"/>
      <c r="G157" s="57"/>
      <c r="H157" s="516">
        <f t="shared" si="40"/>
        <v>0</v>
      </c>
      <c r="I157" s="60">
        <f>(30*BC!$B$47/E157)</f>
        <v>0</v>
      </c>
      <c r="J157" s="701">
        <f t="shared" si="36"/>
        <v>0</v>
      </c>
      <c r="K157" s="701">
        <f t="shared" si="37"/>
        <v>0</v>
      </c>
      <c r="L157" s="216">
        <f t="shared" si="32"/>
        <v>0</v>
      </c>
      <c r="M157" s="367">
        <v>478</v>
      </c>
      <c r="N157" s="148">
        <f t="shared" si="38"/>
        <v>0</v>
      </c>
      <c r="O157" s="57">
        <f t="shared" si="39"/>
        <v>0</v>
      </c>
      <c r="P157" s="57">
        <f t="shared" si="35"/>
        <v>0</v>
      </c>
    </row>
    <row r="158" spans="2:16" ht="15.75" customHeight="1" x14ac:dyDescent="0.35">
      <c r="B158" s="471">
        <v>7126999190</v>
      </c>
      <c r="C158" s="471" t="s">
        <v>1021</v>
      </c>
      <c r="D158" s="42">
        <v>2</v>
      </c>
      <c r="E158" s="1">
        <v>28</v>
      </c>
      <c r="F158" s="63"/>
      <c r="G158" s="57"/>
      <c r="H158" s="516">
        <f t="shared" si="40"/>
        <v>0</v>
      </c>
      <c r="I158" s="60">
        <f>(30*BC!$B$47/E158)</f>
        <v>0</v>
      </c>
      <c r="J158" s="701">
        <f t="shared" si="36"/>
        <v>0</v>
      </c>
      <c r="K158" s="701">
        <f t="shared" si="37"/>
        <v>0</v>
      </c>
      <c r="L158" s="216">
        <f t="shared" si="32"/>
        <v>0</v>
      </c>
      <c r="M158" s="367">
        <v>219</v>
      </c>
      <c r="N158" s="148">
        <f t="shared" si="38"/>
        <v>0</v>
      </c>
      <c r="O158" s="57">
        <f t="shared" si="39"/>
        <v>0</v>
      </c>
      <c r="P158" s="57">
        <f t="shared" si="35"/>
        <v>0</v>
      </c>
    </row>
    <row r="159" spans="2:16" ht="15.75" customHeight="1" x14ac:dyDescent="0.35">
      <c r="B159" s="471">
        <v>11820907322</v>
      </c>
      <c r="C159" s="471" t="s">
        <v>1022</v>
      </c>
      <c r="D159" s="42">
        <v>2</v>
      </c>
      <c r="E159" s="1">
        <v>56</v>
      </c>
      <c r="F159" s="63"/>
      <c r="G159" s="57"/>
      <c r="H159" s="516">
        <f t="shared" si="40"/>
        <v>0</v>
      </c>
      <c r="I159" s="60">
        <f>(30*BC!$B$47/E159)</f>
        <v>0</v>
      </c>
      <c r="J159" s="701">
        <f t="shared" si="36"/>
        <v>0</v>
      </c>
      <c r="K159" s="701">
        <f t="shared" si="37"/>
        <v>0</v>
      </c>
      <c r="L159" s="216">
        <f t="shared" si="32"/>
        <v>0</v>
      </c>
      <c r="M159" s="367">
        <v>189</v>
      </c>
      <c r="N159" s="148">
        <f t="shared" si="38"/>
        <v>0</v>
      </c>
      <c r="O159" s="57">
        <f t="shared" si="39"/>
        <v>0</v>
      </c>
      <c r="P159" s="57">
        <f t="shared" si="35"/>
        <v>0</v>
      </c>
    </row>
    <row r="160" spans="2:16" ht="15.75" customHeight="1" x14ac:dyDescent="0.35">
      <c r="B160" s="471">
        <v>7394667190</v>
      </c>
      <c r="C160" s="471" t="s">
        <v>1023</v>
      </c>
      <c r="D160" s="42">
        <v>2</v>
      </c>
      <c r="E160" s="1">
        <v>84</v>
      </c>
      <c r="F160" s="63"/>
      <c r="G160" s="57"/>
      <c r="H160" s="516">
        <f t="shared" si="40"/>
        <v>0</v>
      </c>
      <c r="I160" s="60">
        <f>(30*BC!$B$47/E160)</f>
        <v>0</v>
      </c>
      <c r="J160" s="701">
        <f t="shared" si="36"/>
        <v>0</v>
      </c>
      <c r="K160" s="701">
        <f t="shared" si="37"/>
        <v>0</v>
      </c>
      <c r="L160" s="216">
        <f t="shared" si="32"/>
        <v>0</v>
      </c>
      <c r="M160" s="367">
        <v>88</v>
      </c>
      <c r="N160" s="148">
        <f t="shared" si="38"/>
        <v>0</v>
      </c>
      <c r="O160" s="57">
        <f t="shared" si="39"/>
        <v>0</v>
      </c>
      <c r="P160" s="57">
        <f t="shared" si="35"/>
        <v>0</v>
      </c>
    </row>
    <row r="161" spans="2:16" ht="15.75" customHeight="1" x14ac:dyDescent="0.35">
      <c r="B161" s="471">
        <v>7394675190</v>
      </c>
      <c r="C161" s="471" t="s">
        <v>1024</v>
      </c>
      <c r="D161" s="42">
        <v>2</v>
      </c>
      <c r="E161" s="1">
        <v>84</v>
      </c>
      <c r="F161" s="63"/>
      <c r="G161" s="57"/>
      <c r="H161" s="516">
        <f t="shared" si="40"/>
        <v>0</v>
      </c>
      <c r="I161" s="60">
        <f>(30*BC!$B$47/E161)</f>
        <v>0</v>
      </c>
      <c r="J161" s="701">
        <f t="shared" si="36"/>
        <v>0</v>
      </c>
      <c r="K161" s="701">
        <f t="shared" si="37"/>
        <v>0</v>
      </c>
      <c r="L161" s="216">
        <f t="shared" si="32"/>
        <v>0</v>
      </c>
      <c r="M161" s="367">
        <v>144</v>
      </c>
      <c r="N161" s="148">
        <f t="shared" si="38"/>
        <v>0</v>
      </c>
      <c r="O161" s="57">
        <f t="shared" si="39"/>
        <v>0</v>
      </c>
      <c r="P161" s="57">
        <f t="shared" si="35"/>
        <v>0</v>
      </c>
    </row>
    <row r="162" spans="2:16" ht="15.75" customHeight="1" x14ac:dyDescent="0.35">
      <c r="B162" s="471">
        <v>7125941190</v>
      </c>
      <c r="C162" s="471" t="s">
        <v>1025</v>
      </c>
      <c r="D162" s="42">
        <v>2</v>
      </c>
      <c r="E162" s="1">
        <v>56</v>
      </c>
      <c r="F162" s="63"/>
      <c r="G162" s="57"/>
      <c r="H162" s="516">
        <f t="shared" si="40"/>
        <v>0</v>
      </c>
      <c r="I162" s="60">
        <f>(30*BC!$B$47/E162)</f>
        <v>0</v>
      </c>
      <c r="J162" s="701">
        <f t="shared" si="36"/>
        <v>0</v>
      </c>
      <c r="K162" s="701">
        <f t="shared" si="37"/>
        <v>0</v>
      </c>
      <c r="L162" s="216">
        <f t="shared" si="32"/>
        <v>0</v>
      </c>
      <c r="M162" s="367">
        <v>1833</v>
      </c>
      <c r="N162" s="148">
        <f t="shared" si="38"/>
        <v>0</v>
      </c>
      <c r="O162" s="57">
        <f t="shared" si="39"/>
        <v>0</v>
      </c>
      <c r="P162" s="57">
        <f t="shared" si="35"/>
        <v>0</v>
      </c>
    </row>
    <row r="163" spans="2:16" ht="15.75" customHeight="1" x14ac:dyDescent="0.35">
      <c r="B163" s="471">
        <v>9315373190</v>
      </c>
      <c r="C163" s="471" t="s">
        <v>1026</v>
      </c>
      <c r="D163" s="42">
        <v>2</v>
      </c>
      <c r="E163" s="1">
        <v>84</v>
      </c>
      <c r="F163" s="63"/>
      <c r="G163" s="57"/>
      <c r="H163" s="516">
        <f>(G58/(0.0007*100)/2000)</f>
        <v>0</v>
      </c>
      <c r="I163" s="60">
        <f>(30*BC!$B$47/E163)</f>
        <v>0</v>
      </c>
      <c r="J163" s="701">
        <f t="shared" si="36"/>
        <v>0</v>
      </c>
      <c r="K163" s="701">
        <f t="shared" si="37"/>
        <v>0</v>
      </c>
      <c r="L163" s="216">
        <f t="shared" si="32"/>
        <v>0</v>
      </c>
      <c r="M163" s="367">
        <v>53</v>
      </c>
      <c r="N163" s="148">
        <f t="shared" si="38"/>
        <v>0</v>
      </c>
      <c r="O163" s="57">
        <f t="shared" si="39"/>
        <v>0</v>
      </c>
      <c r="P163" s="57">
        <f t="shared" si="35"/>
        <v>0</v>
      </c>
    </row>
    <row r="164" spans="2:16" ht="15.75" customHeight="1" x14ac:dyDescent="0.35">
      <c r="B164" s="471">
        <v>7439547190</v>
      </c>
      <c r="C164" s="471" t="s">
        <v>1027</v>
      </c>
      <c r="D164" s="42">
        <v>2</v>
      </c>
      <c r="E164" s="1">
        <v>84</v>
      </c>
      <c r="F164" s="63"/>
      <c r="G164" s="57"/>
      <c r="H164" s="516">
        <f t="shared" si="40"/>
        <v>0</v>
      </c>
      <c r="I164" s="60">
        <f>(30*BC!$B$47/E164)</f>
        <v>0</v>
      </c>
      <c r="J164" s="701">
        <f t="shared" si="36"/>
        <v>0</v>
      </c>
      <c r="K164" s="701">
        <f t="shared" si="37"/>
        <v>0</v>
      </c>
      <c r="L164" s="216">
        <f t="shared" si="32"/>
        <v>0</v>
      </c>
      <c r="M164" s="367">
        <v>121</v>
      </c>
      <c r="N164" s="148">
        <f t="shared" si="38"/>
        <v>0</v>
      </c>
      <c r="O164" s="57">
        <f t="shared" si="39"/>
        <v>0</v>
      </c>
      <c r="P164" s="57">
        <f t="shared" si="35"/>
        <v>0</v>
      </c>
    </row>
    <row r="165" spans="2:16" ht="15.75" customHeight="1" x14ac:dyDescent="0.35">
      <c r="B165" s="584" t="s">
        <v>1028</v>
      </c>
      <c r="C165" s="586" t="s">
        <v>1029</v>
      </c>
      <c r="D165" s="42">
        <v>2</v>
      </c>
      <c r="E165" s="1">
        <v>84</v>
      </c>
      <c r="F165" s="63"/>
      <c r="G165" s="57"/>
      <c r="H165" s="516">
        <f t="shared" si="40"/>
        <v>0</v>
      </c>
      <c r="I165" s="60">
        <f>(30*BC!$B$47/E165)</f>
        <v>0</v>
      </c>
      <c r="J165" s="701">
        <f t="shared" si="36"/>
        <v>0</v>
      </c>
      <c r="K165" s="701">
        <f t="shared" si="37"/>
        <v>0</v>
      </c>
      <c r="L165" s="216">
        <f t="shared" si="32"/>
        <v>0</v>
      </c>
      <c r="M165" s="367">
        <v>79</v>
      </c>
      <c r="N165" s="148">
        <f t="shared" si="38"/>
        <v>0</v>
      </c>
      <c r="O165" s="57">
        <f t="shared" si="39"/>
        <v>0</v>
      </c>
      <c r="P165" s="57">
        <f t="shared" si="35"/>
        <v>0</v>
      </c>
    </row>
    <row r="166" spans="2:16" ht="15.75" customHeight="1" x14ac:dyDescent="0.35">
      <c r="B166" s="471">
        <v>9005684190</v>
      </c>
      <c r="C166" s="471" t="s">
        <v>1030</v>
      </c>
      <c r="D166" s="42">
        <v>2</v>
      </c>
      <c r="E166" s="1">
        <v>84</v>
      </c>
      <c r="F166" s="63"/>
      <c r="G166" s="57"/>
      <c r="H166" s="516">
        <f t="shared" si="40"/>
        <v>0</v>
      </c>
      <c r="I166" s="60">
        <f>(30*BC!$B$47/E166)</f>
        <v>0</v>
      </c>
      <c r="J166" s="701">
        <f t="shared" si="36"/>
        <v>0</v>
      </c>
      <c r="K166" s="701">
        <f t="shared" si="37"/>
        <v>0</v>
      </c>
      <c r="L166" s="216">
        <f t="shared" si="32"/>
        <v>0</v>
      </c>
      <c r="M166" s="367">
        <v>140</v>
      </c>
      <c r="N166" s="148">
        <f t="shared" si="38"/>
        <v>0</v>
      </c>
      <c r="O166" s="57">
        <f t="shared" si="39"/>
        <v>0</v>
      </c>
      <c r="P166" s="57">
        <f t="shared" si="35"/>
        <v>0</v>
      </c>
    </row>
    <row r="167" spans="2:16" ht="15.75" customHeight="1" x14ac:dyDescent="0.35">
      <c r="B167" s="471">
        <v>5109469190</v>
      </c>
      <c r="C167" s="471" t="s">
        <v>1031</v>
      </c>
      <c r="D167" s="42">
        <v>2</v>
      </c>
      <c r="E167" s="1">
        <v>84</v>
      </c>
      <c r="F167" s="63"/>
      <c r="G167" s="57"/>
      <c r="H167" s="516">
        <f t="shared" si="40"/>
        <v>0</v>
      </c>
      <c r="I167" s="60">
        <f>(30*BC!$B$47/E167)</f>
        <v>0</v>
      </c>
      <c r="J167" s="701">
        <f t="shared" si="36"/>
        <v>0</v>
      </c>
      <c r="K167" s="701">
        <f t="shared" si="37"/>
        <v>0</v>
      </c>
      <c r="L167" s="216">
        <f t="shared" si="32"/>
        <v>0</v>
      </c>
      <c r="M167" s="367">
        <v>264</v>
      </c>
      <c r="N167" s="148">
        <f t="shared" si="38"/>
        <v>0</v>
      </c>
      <c r="O167" s="57">
        <f t="shared" si="39"/>
        <v>0</v>
      </c>
      <c r="P167" s="57">
        <f t="shared" si="35"/>
        <v>0</v>
      </c>
    </row>
    <row r="168" spans="2:16" ht="15.75" customHeight="1" x14ac:dyDescent="0.35">
      <c r="B168" s="471">
        <v>3737586190</v>
      </c>
      <c r="C168" s="471" t="s">
        <v>1032</v>
      </c>
      <c r="D168" s="42">
        <v>2</v>
      </c>
      <c r="E168" s="1">
        <v>84</v>
      </c>
      <c r="F168" s="63"/>
      <c r="G168" s="57"/>
      <c r="H168" s="516">
        <f>(G63/(0.0009*100)/2000)</f>
        <v>0</v>
      </c>
      <c r="I168" s="60">
        <f>(30*BC!$B$47/E168)</f>
        <v>0</v>
      </c>
      <c r="J168" s="701">
        <f t="shared" si="36"/>
        <v>0</v>
      </c>
      <c r="K168" s="701">
        <f t="shared" si="37"/>
        <v>0</v>
      </c>
      <c r="L168" s="216">
        <f t="shared" si="32"/>
        <v>0</v>
      </c>
      <c r="M168" s="367">
        <v>189</v>
      </c>
      <c r="N168" s="148">
        <f t="shared" si="38"/>
        <v>0</v>
      </c>
      <c r="O168" s="57">
        <f t="shared" si="39"/>
        <v>0</v>
      </c>
      <c r="P168" s="57">
        <f t="shared" si="35"/>
        <v>0</v>
      </c>
    </row>
    <row r="169" spans="2:16" ht="15.75" customHeight="1" x14ac:dyDescent="0.35">
      <c r="B169" s="471">
        <v>7396473190</v>
      </c>
      <c r="C169" s="471" t="s">
        <v>1033</v>
      </c>
      <c r="D169" s="42">
        <v>2</v>
      </c>
      <c r="E169" s="1">
        <v>84</v>
      </c>
      <c r="F169" s="63"/>
      <c r="G169" s="57"/>
      <c r="H169" s="516">
        <f>(G64/(0.0005*100)/2000)</f>
        <v>0</v>
      </c>
      <c r="I169" s="60">
        <f>(30*BC!$B$47/E169)</f>
        <v>0</v>
      </c>
      <c r="J169" s="701">
        <f t="shared" si="36"/>
        <v>0</v>
      </c>
      <c r="K169" s="701">
        <f t="shared" si="37"/>
        <v>0</v>
      </c>
      <c r="L169" s="216">
        <f t="shared" si="32"/>
        <v>0</v>
      </c>
      <c r="M169" s="367">
        <v>75</v>
      </c>
      <c r="N169" s="148">
        <f t="shared" si="38"/>
        <v>0</v>
      </c>
      <c r="O169" s="57">
        <f t="shared" si="39"/>
        <v>0</v>
      </c>
      <c r="P169" s="57">
        <f t="shared" si="35"/>
        <v>0</v>
      </c>
    </row>
    <row r="170" spans="2:16" ht="15.75" customHeight="1" x14ac:dyDescent="0.35">
      <c r="B170" s="471">
        <v>7212780190</v>
      </c>
      <c r="C170" s="471" t="s">
        <v>1034</v>
      </c>
      <c r="D170" s="42">
        <v>2</v>
      </c>
      <c r="E170" s="1">
        <v>84</v>
      </c>
      <c r="F170" s="63"/>
      <c r="G170" s="57"/>
      <c r="H170" s="516">
        <f>(G65/(0.0009*100)/2000)</f>
        <v>0</v>
      </c>
      <c r="I170" s="60">
        <f>(30*BC!$B$47/E170)</f>
        <v>0</v>
      </c>
      <c r="J170" s="701">
        <f t="shared" si="36"/>
        <v>0</v>
      </c>
      <c r="K170" s="701">
        <f t="shared" si="37"/>
        <v>0</v>
      </c>
      <c r="L170" s="216">
        <f t="shared" si="32"/>
        <v>0</v>
      </c>
      <c r="M170" s="367">
        <v>235</v>
      </c>
      <c r="N170" s="148">
        <f t="shared" si="38"/>
        <v>0</v>
      </c>
      <c r="O170" s="57">
        <f t="shared" si="39"/>
        <v>0</v>
      </c>
      <c r="P170" s="57">
        <f t="shared" si="35"/>
        <v>0</v>
      </c>
    </row>
    <row r="171" spans="2:16" ht="15.75" customHeight="1" x14ac:dyDescent="0.35">
      <c r="B171" s="471">
        <v>7726350190</v>
      </c>
      <c r="C171" s="471" t="s">
        <v>1035</v>
      </c>
      <c r="D171" s="42">
        <v>2</v>
      </c>
      <c r="E171" s="1">
        <v>31</v>
      </c>
      <c r="F171" s="63"/>
      <c r="G171" s="57"/>
      <c r="H171" s="516">
        <f>(G66/(0.0009*100)/2000)</f>
        <v>0</v>
      </c>
      <c r="I171" s="60">
        <f>(30*BC!$B$47/E171)</f>
        <v>0</v>
      </c>
      <c r="J171" s="701">
        <f t="shared" si="36"/>
        <v>0</v>
      </c>
      <c r="K171" s="701">
        <f t="shared" si="37"/>
        <v>0</v>
      </c>
      <c r="L171" s="216">
        <f t="shared" si="32"/>
        <v>0</v>
      </c>
      <c r="M171" s="367">
        <v>445</v>
      </c>
      <c r="N171" s="148">
        <f t="shared" si="38"/>
        <v>0</v>
      </c>
      <c r="O171" s="57">
        <f t="shared" si="39"/>
        <v>0</v>
      </c>
      <c r="P171" s="57">
        <f t="shared" si="35"/>
        <v>0</v>
      </c>
    </row>
    <row r="172" spans="2:16" ht="15.75" customHeight="1" x14ac:dyDescent="0.35">
      <c r="B172" s="471">
        <v>11930427122</v>
      </c>
      <c r="C172" s="471" t="s">
        <v>1036</v>
      </c>
      <c r="D172" s="42">
        <v>2</v>
      </c>
      <c r="E172" s="1">
        <v>84</v>
      </c>
      <c r="F172" s="63"/>
      <c r="G172" s="57"/>
      <c r="H172" s="516">
        <f t="shared" ref="H172:H177" si="41">(G67/(0.0005*100)/2000)</f>
        <v>0</v>
      </c>
      <c r="I172" s="60">
        <f>(30*BC!$B$47/E172)</f>
        <v>0</v>
      </c>
      <c r="J172" s="701">
        <f t="shared" si="36"/>
        <v>0</v>
      </c>
      <c r="K172" s="701">
        <f t="shared" si="37"/>
        <v>0</v>
      </c>
      <c r="L172" s="216">
        <f t="shared" si="32"/>
        <v>0</v>
      </c>
      <c r="M172" s="367">
        <v>229</v>
      </c>
      <c r="N172" s="148">
        <f t="shared" si="38"/>
        <v>0</v>
      </c>
      <c r="O172" s="57">
        <f t="shared" si="39"/>
        <v>0</v>
      </c>
      <c r="P172" s="57">
        <f t="shared" si="35"/>
        <v>0</v>
      </c>
    </row>
    <row r="173" spans="2:16" ht="15.75" customHeight="1" x14ac:dyDescent="0.35">
      <c r="B173" s="471">
        <v>8243891190</v>
      </c>
      <c r="C173" s="471" t="s">
        <v>1037</v>
      </c>
      <c r="D173" s="42">
        <v>2</v>
      </c>
      <c r="E173" s="1">
        <v>84</v>
      </c>
      <c r="F173" s="63"/>
      <c r="G173" s="57"/>
      <c r="H173" s="516">
        <f t="shared" si="41"/>
        <v>0</v>
      </c>
      <c r="I173" s="60">
        <f>(30*BC!$B$47/E173)</f>
        <v>0</v>
      </c>
      <c r="J173" s="701">
        <f t="shared" si="36"/>
        <v>0</v>
      </c>
      <c r="K173" s="701">
        <f t="shared" si="37"/>
        <v>0</v>
      </c>
      <c r="L173" s="216">
        <f t="shared" si="32"/>
        <v>0</v>
      </c>
      <c r="M173" s="367">
        <v>126</v>
      </c>
      <c r="N173" s="148">
        <f t="shared" si="38"/>
        <v>0</v>
      </c>
      <c r="O173" s="57">
        <f t="shared" si="39"/>
        <v>0</v>
      </c>
      <c r="P173" s="57">
        <f t="shared" si="35"/>
        <v>0</v>
      </c>
    </row>
    <row r="174" spans="2:16" ht="15.75" customHeight="1" x14ac:dyDescent="0.35">
      <c r="B174" s="471">
        <v>5608554190</v>
      </c>
      <c r="C174" s="471" t="s">
        <v>1038</v>
      </c>
      <c r="D174" s="42">
        <v>2</v>
      </c>
      <c r="E174" s="1">
        <v>90</v>
      </c>
      <c r="F174" s="63"/>
      <c r="G174" s="57"/>
      <c r="H174" s="516">
        <f t="shared" si="41"/>
        <v>0</v>
      </c>
      <c r="I174" s="60">
        <f>(30*BC!$B$47/E174)</f>
        <v>0</v>
      </c>
      <c r="J174" s="701">
        <f t="shared" si="36"/>
        <v>0</v>
      </c>
      <c r="K174" s="701">
        <f t="shared" si="37"/>
        <v>0</v>
      </c>
      <c r="L174" s="216">
        <f t="shared" si="32"/>
        <v>0</v>
      </c>
      <c r="M174" s="367">
        <v>456</v>
      </c>
      <c r="N174" s="148">
        <f t="shared" si="38"/>
        <v>0</v>
      </c>
      <c r="O174" s="57">
        <f t="shared" si="39"/>
        <v>0</v>
      </c>
      <c r="P174" s="57">
        <f t="shared" si="35"/>
        <v>0</v>
      </c>
    </row>
    <row r="175" spans="2:16" ht="15.75" customHeight="1" x14ac:dyDescent="0.35">
      <c r="B175" s="471">
        <v>3141080190</v>
      </c>
      <c r="C175" s="471" t="s">
        <v>1039</v>
      </c>
      <c r="D175" s="42">
        <v>2</v>
      </c>
      <c r="E175" s="1">
        <v>84</v>
      </c>
      <c r="F175" s="63"/>
      <c r="G175" s="57"/>
      <c r="H175" s="516">
        <f t="shared" si="41"/>
        <v>0</v>
      </c>
      <c r="I175" s="60">
        <f>(30*BC!$B$47/E175)</f>
        <v>0</v>
      </c>
      <c r="J175" s="701">
        <f t="shared" si="36"/>
        <v>0</v>
      </c>
      <c r="K175" s="701">
        <f t="shared" si="37"/>
        <v>0</v>
      </c>
      <c r="L175" s="216">
        <f t="shared" si="32"/>
        <v>0</v>
      </c>
      <c r="M175" s="367">
        <v>266</v>
      </c>
      <c r="N175" s="148">
        <f t="shared" si="38"/>
        <v>0</v>
      </c>
      <c r="O175" s="57">
        <f t="shared" si="39"/>
        <v>0</v>
      </c>
      <c r="P175" s="57">
        <f t="shared" si="35"/>
        <v>0</v>
      </c>
    </row>
    <row r="176" spans="2:16" ht="15.75" customHeight="1" x14ac:dyDescent="0.35">
      <c r="B176" s="471">
        <v>11972316122</v>
      </c>
      <c r="C176" s="471" t="s">
        <v>1040</v>
      </c>
      <c r="D176" s="42">
        <v>2</v>
      </c>
      <c r="E176" s="1">
        <v>84</v>
      </c>
      <c r="F176" s="63"/>
      <c r="G176" s="57"/>
      <c r="H176" s="516">
        <f t="shared" si="41"/>
        <v>0</v>
      </c>
      <c r="I176" s="60">
        <f>(30*BC!$B$47/E176)</f>
        <v>0</v>
      </c>
      <c r="J176" s="701">
        <f t="shared" si="36"/>
        <v>0</v>
      </c>
      <c r="K176" s="701">
        <f t="shared" si="37"/>
        <v>0</v>
      </c>
      <c r="L176" s="216">
        <f t="shared" si="32"/>
        <v>0</v>
      </c>
      <c r="M176" s="367">
        <v>162</v>
      </c>
      <c r="N176" s="148">
        <f t="shared" si="38"/>
        <v>0</v>
      </c>
      <c r="O176" s="57">
        <f t="shared" si="39"/>
        <v>0</v>
      </c>
      <c r="P176" s="57">
        <f t="shared" si="35"/>
        <v>0</v>
      </c>
    </row>
    <row r="177" spans="2:16" ht="15.75" customHeight="1" x14ac:dyDescent="0.35">
      <c r="B177" s="471">
        <v>11972111122</v>
      </c>
      <c r="C177" s="471" t="s">
        <v>1041</v>
      </c>
      <c r="D177" s="42">
        <v>2</v>
      </c>
      <c r="E177" s="1">
        <v>84</v>
      </c>
      <c r="F177" s="63"/>
      <c r="G177" s="57"/>
      <c r="H177" s="516">
        <f t="shared" si="41"/>
        <v>0</v>
      </c>
      <c r="I177" s="60">
        <f>(30*BC!$B$47/E177)</f>
        <v>0</v>
      </c>
      <c r="J177" s="701">
        <f t="shared" si="36"/>
        <v>0</v>
      </c>
      <c r="K177" s="701">
        <f t="shared" si="37"/>
        <v>0</v>
      </c>
      <c r="L177" s="216">
        <f t="shared" si="32"/>
        <v>0</v>
      </c>
      <c r="M177" s="367">
        <v>335</v>
      </c>
      <c r="N177" s="148">
        <f t="shared" si="38"/>
        <v>0</v>
      </c>
      <c r="O177" s="57">
        <f t="shared" si="39"/>
        <v>0</v>
      </c>
      <c r="P177" s="57">
        <f t="shared" si="35"/>
        <v>0</v>
      </c>
    </row>
    <row r="178" spans="2:16" ht="15.75" customHeight="1" x14ac:dyDescent="0.35">
      <c r="B178" s="471">
        <v>9038116190</v>
      </c>
      <c r="C178" s="471" t="s">
        <v>1042</v>
      </c>
      <c r="D178" s="42">
        <v>2</v>
      </c>
      <c r="E178" s="1">
        <v>84</v>
      </c>
      <c r="F178" s="63"/>
      <c r="G178" s="57"/>
      <c r="H178" s="516">
        <f>(G75/(0.0015*100)/2000)</f>
        <v>0</v>
      </c>
      <c r="I178" s="60">
        <f>(30*BC!$B$47/E178)</f>
        <v>0</v>
      </c>
      <c r="J178" s="701">
        <f t="shared" ref="J178:J185" si="42">IF(I178&gt;H178,I178,H178)</f>
        <v>0</v>
      </c>
      <c r="K178" s="701">
        <f t="shared" ref="K178:K185" si="43">IF(H178=0,0,J178)</f>
        <v>0</v>
      </c>
      <c r="L178" s="216">
        <f t="shared" ref="L178:L234" si="44">ROUNDUP(K178,0)</f>
        <v>0</v>
      </c>
      <c r="M178" s="367">
        <v>635</v>
      </c>
      <c r="N178" s="148">
        <f t="shared" ref="N178:N185" si="45">((M178/D178)*L178)</f>
        <v>0</v>
      </c>
      <c r="O178" s="57">
        <f t="shared" ref="O178:O185" si="46">L178/D178</f>
        <v>0</v>
      </c>
      <c r="P178" s="57">
        <f t="shared" si="35"/>
        <v>0</v>
      </c>
    </row>
    <row r="179" spans="2:16" ht="15.75" customHeight="1" x14ac:dyDescent="0.35">
      <c r="B179" s="471">
        <v>7475969190</v>
      </c>
      <c r="C179" s="471" t="s">
        <v>1043</v>
      </c>
      <c r="D179" s="42">
        <v>2</v>
      </c>
      <c r="E179" s="1">
        <v>31</v>
      </c>
      <c r="F179" s="63"/>
      <c r="G179" s="57"/>
      <c r="H179" s="516">
        <f>(G76/(0.0005*100)/2000)</f>
        <v>0</v>
      </c>
      <c r="I179" s="60">
        <f>(30*BC!$B$47/E179)</f>
        <v>0</v>
      </c>
      <c r="J179" s="701">
        <f t="shared" si="42"/>
        <v>0</v>
      </c>
      <c r="K179" s="701">
        <f t="shared" si="43"/>
        <v>0</v>
      </c>
      <c r="L179" s="216">
        <f t="shared" si="44"/>
        <v>0</v>
      </c>
      <c r="M179" s="367">
        <v>370</v>
      </c>
      <c r="N179" s="148">
        <f t="shared" si="45"/>
        <v>0</v>
      </c>
      <c r="O179" s="57">
        <f t="shared" si="46"/>
        <v>0</v>
      </c>
      <c r="P179" s="57">
        <f t="shared" ref="P179:P234" si="47">ROUNDUP(O179,0)</f>
        <v>0</v>
      </c>
    </row>
    <row r="180" spans="2:16" ht="15.75" customHeight="1" x14ac:dyDescent="0.35">
      <c r="B180" s="471">
        <v>7574762190</v>
      </c>
      <c r="C180" s="471" t="s">
        <v>1044</v>
      </c>
      <c r="D180" s="42">
        <v>2</v>
      </c>
      <c r="E180" s="1">
        <v>84</v>
      </c>
      <c r="F180" s="63"/>
      <c r="G180" s="57"/>
      <c r="H180" s="516">
        <f>(G77/(0.0005*100)/2000)</f>
        <v>0</v>
      </c>
      <c r="I180" s="60">
        <f>(30*BC!$B$47/E180)</f>
        <v>0</v>
      </c>
      <c r="J180" s="701">
        <f t="shared" si="42"/>
        <v>0</v>
      </c>
      <c r="K180" s="701">
        <f t="shared" si="43"/>
        <v>0</v>
      </c>
      <c r="L180" s="216">
        <f t="shared" si="44"/>
        <v>0</v>
      </c>
      <c r="M180" s="367">
        <v>586</v>
      </c>
      <c r="N180" s="148">
        <f t="shared" si="45"/>
        <v>0</v>
      </c>
      <c r="O180" s="57">
        <f t="shared" si="46"/>
        <v>0</v>
      </c>
      <c r="P180" s="57">
        <f t="shared" si="47"/>
        <v>0</v>
      </c>
    </row>
    <row r="181" spans="2:16" ht="15.75" customHeight="1" x14ac:dyDescent="0.35">
      <c r="B181" s="471">
        <v>9289291190</v>
      </c>
      <c r="C181" s="673" t="s">
        <v>1045</v>
      </c>
      <c r="D181" s="42">
        <v>2</v>
      </c>
      <c r="E181" s="1">
        <v>84</v>
      </c>
      <c r="F181" s="63"/>
      <c r="G181" s="57"/>
      <c r="H181" s="516">
        <f>(G106/(0.0005*100)/2000)</f>
        <v>0</v>
      </c>
      <c r="I181" s="60">
        <f>(30*BC!$B$47/E181)</f>
        <v>0</v>
      </c>
      <c r="J181" s="701">
        <f t="shared" si="42"/>
        <v>0</v>
      </c>
      <c r="K181" s="701">
        <f t="shared" si="43"/>
        <v>0</v>
      </c>
      <c r="L181" s="216">
        <f t="shared" si="44"/>
        <v>0</v>
      </c>
      <c r="M181" s="367">
        <v>155</v>
      </c>
      <c r="N181" s="148">
        <f t="shared" si="45"/>
        <v>0</v>
      </c>
      <c r="O181" s="57">
        <f t="shared" si="46"/>
        <v>0</v>
      </c>
      <c r="P181" s="57">
        <f t="shared" si="47"/>
        <v>0</v>
      </c>
    </row>
    <row r="182" spans="2:16" ht="15.75" customHeight="1" x14ac:dyDescent="0.35">
      <c r="B182" s="471">
        <v>5889022190</v>
      </c>
      <c r="C182" s="676" t="s">
        <v>1046</v>
      </c>
      <c r="D182" s="42">
        <v>3</v>
      </c>
      <c r="E182" s="1">
        <v>28</v>
      </c>
      <c r="F182" s="63"/>
      <c r="G182" s="57"/>
      <c r="H182" s="516">
        <f>(G108/(0.0005*100)/2000)</f>
        <v>0</v>
      </c>
      <c r="I182" s="60">
        <f>(30*BC!$B$47/E182)</f>
        <v>0</v>
      </c>
      <c r="J182" s="701">
        <f t="shared" si="42"/>
        <v>0</v>
      </c>
      <c r="K182" s="701">
        <f t="shared" si="43"/>
        <v>0</v>
      </c>
      <c r="L182" s="216">
        <f t="shared" si="44"/>
        <v>0</v>
      </c>
      <c r="M182" s="367">
        <v>1433</v>
      </c>
      <c r="N182" s="148">
        <f t="shared" si="45"/>
        <v>0</v>
      </c>
      <c r="O182" s="57">
        <f t="shared" si="46"/>
        <v>0</v>
      </c>
      <c r="P182" s="57">
        <f t="shared" si="47"/>
        <v>0</v>
      </c>
    </row>
    <row r="183" spans="2:16" ht="15.75" customHeight="1" x14ac:dyDescent="0.35">
      <c r="B183" s="471">
        <v>6633196190</v>
      </c>
      <c r="C183" s="677" t="s">
        <v>1047</v>
      </c>
      <c r="D183" s="42">
        <v>3</v>
      </c>
      <c r="E183" s="1">
        <v>28</v>
      </c>
      <c r="F183" s="63"/>
      <c r="G183" s="57"/>
      <c r="H183" s="516">
        <f>(G109/(0.0005*100)/2000)</f>
        <v>0</v>
      </c>
      <c r="I183" s="60">
        <f>(30*BC!$B$47/E183)</f>
        <v>0</v>
      </c>
      <c r="J183" s="701">
        <f t="shared" si="42"/>
        <v>0</v>
      </c>
      <c r="K183" s="701">
        <f t="shared" si="43"/>
        <v>0</v>
      </c>
      <c r="L183" s="216">
        <f t="shared" si="44"/>
        <v>0</v>
      </c>
      <c r="M183" s="367">
        <v>331</v>
      </c>
      <c r="N183" s="148">
        <f t="shared" si="45"/>
        <v>0</v>
      </c>
      <c r="O183" s="57">
        <f t="shared" si="46"/>
        <v>0</v>
      </c>
      <c r="P183" s="57">
        <f t="shared" si="47"/>
        <v>0</v>
      </c>
    </row>
    <row r="184" spans="2:16" ht="15.75" customHeight="1" x14ac:dyDescent="0.35">
      <c r="B184" s="471">
        <v>6327982190</v>
      </c>
      <c r="C184" s="471" t="s">
        <v>1048</v>
      </c>
      <c r="D184" s="42">
        <v>3</v>
      </c>
      <c r="E184" s="1">
        <v>28</v>
      </c>
      <c r="F184" s="63"/>
      <c r="G184" s="57"/>
      <c r="H184" s="516">
        <f>(G110/(0.0005*100)/2000)</f>
        <v>0</v>
      </c>
      <c r="I184" s="60">
        <f>(30*BC!$B$47/E184)</f>
        <v>0</v>
      </c>
      <c r="J184" s="701">
        <f t="shared" si="42"/>
        <v>0</v>
      </c>
      <c r="K184" s="701">
        <f t="shared" si="43"/>
        <v>0</v>
      </c>
      <c r="L184" s="216">
        <f t="shared" si="44"/>
        <v>0</v>
      </c>
      <c r="M184" s="367">
        <v>333</v>
      </c>
      <c r="N184" s="148">
        <f t="shared" si="45"/>
        <v>0</v>
      </c>
      <c r="O184" s="57">
        <f t="shared" si="46"/>
        <v>0</v>
      </c>
      <c r="P184" s="57">
        <f t="shared" si="47"/>
        <v>0</v>
      </c>
    </row>
    <row r="185" spans="2:16" ht="15.75" customHeight="1" x14ac:dyDescent="0.35">
      <c r="B185" s="471">
        <v>5889065190</v>
      </c>
      <c r="C185" s="471" t="s">
        <v>1049</v>
      </c>
      <c r="D185" s="42">
        <v>3</v>
      </c>
      <c r="E185" s="1">
        <v>28</v>
      </c>
      <c r="F185" s="63"/>
      <c r="G185" s="57"/>
      <c r="H185" s="516">
        <f>(G111/(0.0005*100)/2000)</f>
        <v>0</v>
      </c>
      <c r="I185" s="60">
        <f>(30*BC!$B$47/E185)</f>
        <v>0</v>
      </c>
      <c r="J185" s="701">
        <f t="shared" si="42"/>
        <v>0</v>
      </c>
      <c r="K185" s="701">
        <f t="shared" si="43"/>
        <v>0</v>
      </c>
      <c r="L185" s="216">
        <f t="shared" si="44"/>
        <v>0</v>
      </c>
      <c r="M185" s="367">
        <v>1629</v>
      </c>
      <c r="N185" s="148">
        <f t="shared" si="45"/>
        <v>0</v>
      </c>
      <c r="O185" s="57">
        <f t="shared" si="46"/>
        <v>0</v>
      </c>
      <c r="P185" s="57">
        <f t="shared" si="47"/>
        <v>0</v>
      </c>
    </row>
    <row r="186" spans="2:16" ht="15.75" customHeight="1" x14ac:dyDescent="0.35">
      <c r="B186" s="587" t="s">
        <v>277</v>
      </c>
      <c r="C186" s="588"/>
      <c r="D186" s="589" t="s">
        <v>1082</v>
      </c>
      <c r="E186" s="698" t="s">
        <v>54</v>
      </c>
      <c r="F186" s="733"/>
      <c r="G186" s="482"/>
      <c r="H186" s="735" t="s">
        <v>53</v>
      </c>
      <c r="I186" s="512" t="s">
        <v>52</v>
      </c>
      <c r="J186" s="512" t="s">
        <v>51</v>
      </c>
      <c r="K186" s="512"/>
      <c r="L186" s="482" t="s">
        <v>50</v>
      </c>
      <c r="M186" s="513" t="s">
        <v>49</v>
      </c>
      <c r="N186" s="482" t="s">
        <v>48</v>
      </c>
      <c r="O186" s="483" t="s">
        <v>318</v>
      </c>
      <c r="P186" s="483" t="s">
        <v>319</v>
      </c>
    </row>
    <row r="187" spans="2:16" ht="15.75" customHeight="1" x14ac:dyDescent="0.35">
      <c r="B187" s="471">
        <v>11731416190</v>
      </c>
      <c r="C187" s="594" t="s">
        <v>625</v>
      </c>
      <c r="D187" s="42">
        <v>2</v>
      </c>
      <c r="E187" s="1">
        <v>28</v>
      </c>
      <c r="F187" s="63"/>
      <c r="G187" s="57"/>
      <c r="H187" s="516">
        <f>(A10/(0.0013*300)/3000)</f>
        <v>0</v>
      </c>
      <c r="I187" s="60">
        <f>(30*BC!$B$47/E187)</f>
        <v>0</v>
      </c>
      <c r="J187" s="701">
        <f t="shared" ref="J187:J234" si="48">IF(I187&gt;H187,I187,H187)</f>
        <v>0</v>
      </c>
      <c r="K187" s="701">
        <f t="shared" ref="K187:K234" si="49">IF(H187=0,0,J187)</f>
        <v>0</v>
      </c>
      <c r="L187" s="216">
        <f t="shared" si="44"/>
        <v>0</v>
      </c>
      <c r="M187" s="367">
        <v>101</v>
      </c>
      <c r="N187" s="148">
        <f t="shared" ref="N187:N234" si="50">((M187/D187)*L187)</f>
        <v>0</v>
      </c>
      <c r="O187" s="57">
        <f t="shared" ref="O187:O234" si="51">L187/D187</f>
        <v>0</v>
      </c>
      <c r="P187" s="57">
        <f t="shared" si="47"/>
        <v>0</v>
      </c>
    </row>
    <row r="188" spans="2:16" ht="15.75" customHeight="1" x14ac:dyDescent="0.35">
      <c r="B188" s="471">
        <v>8740062190</v>
      </c>
      <c r="C188" s="603" t="s">
        <v>583</v>
      </c>
      <c r="D188" s="42">
        <v>2</v>
      </c>
      <c r="E188" s="1">
        <v>84</v>
      </c>
      <c r="F188" s="63"/>
      <c r="G188" s="57"/>
      <c r="H188" s="516">
        <f>(A19/(0.00001*300)/3000)</f>
        <v>0</v>
      </c>
      <c r="I188" s="60">
        <f>(30*BC!$B$47/E188)</f>
        <v>0</v>
      </c>
      <c r="J188" s="701">
        <f t="shared" si="48"/>
        <v>0</v>
      </c>
      <c r="K188" s="701">
        <f t="shared" si="49"/>
        <v>0</v>
      </c>
      <c r="L188" s="216">
        <f t="shared" si="44"/>
        <v>0</v>
      </c>
      <c r="M188" s="367">
        <v>671</v>
      </c>
      <c r="N188" s="148">
        <f t="shared" si="50"/>
        <v>0</v>
      </c>
      <c r="O188" s="57">
        <f t="shared" si="51"/>
        <v>0</v>
      </c>
      <c r="P188" s="57">
        <f t="shared" si="47"/>
        <v>0</v>
      </c>
    </row>
    <row r="189" spans="2:16" ht="15.75" customHeight="1" x14ac:dyDescent="0.35">
      <c r="B189" s="471">
        <v>5341787190</v>
      </c>
      <c r="C189" s="607" t="s">
        <v>613</v>
      </c>
      <c r="D189" s="42">
        <v>3</v>
      </c>
      <c r="E189" s="1">
        <v>31</v>
      </c>
      <c r="F189" s="63"/>
      <c r="G189" s="57"/>
      <c r="H189" s="516">
        <f>(A22/(0.00001*300)/3000)</f>
        <v>0</v>
      </c>
      <c r="I189" s="60">
        <f>(30*BC!$B$47/E189)</f>
        <v>0</v>
      </c>
      <c r="J189" s="701">
        <f t="shared" si="48"/>
        <v>0</v>
      </c>
      <c r="K189" s="701">
        <f t="shared" si="49"/>
        <v>0</v>
      </c>
      <c r="L189" s="216">
        <f t="shared" si="44"/>
        <v>0</v>
      </c>
      <c r="M189" s="367">
        <v>425</v>
      </c>
      <c r="N189" s="148">
        <f t="shared" si="50"/>
        <v>0</v>
      </c>
      <c r="O189" s="57">
        <f t="shared" si="51"/>
        <v>0</v>
      </c>
      <c r="P189" s="57">
        <f t="shared" si="47"/>
        <v>0</v>
      </c>
    </row>
    <row r="190" spans="2:16" ht="15.75" customHeight="1" x14ac:dyDescent="0.35">
      <c r="B190" s="471">
        <v>6687776190</v>
      </c>
      <c r="C190" s="604" t="s">
        <v>1050</v>
      </c>
      <c r="D190" s="42">
        <v>2</v>
      </c>
      <c r="E190" s="1">
        <v>28</v>
      </c>
      <c r="F190" s="63"/>
      <c r="G190" s="57"/>
      <c r="H190" s="516"/>
      <c r="I190" s="60">
        <f>(30*BC!$B$47/E190)</f>
        <v>0</v>
      </c>
      <c r="J190" s="701">
        <f t="shared" si="48"/>
        <v>0</v>
      </c>
      <c r="K190" s="701">
        <f t="shared" si="49"/>
        <v>0</v>
      </c>
      <c r="L190" s="216">
        <f t="shared" si="44"/>
        <v>0</v>
      </c>
      <c r="M190" s="367">
        <v>2012</v>
      </c>
      <c r="N190" s="148">
        <f t="shared" si="50"/>
        <v>0</v>
      </c>
      <c r="O190" s="57">
        <f t="shared" si="51"/>
        <v>0</v>
      </c>
      <c r="P190" s="57">
        <f t="shared" si="47"/>
        <v>0</v>
      </c>
    </row>
    <row r="191" spans="2:16" ht="15.75" customHeight="1" x14ac:dyDescent="0.35">
      <c r="B191" s="471">
        <v>11776452122</v>
      </c>
      <c r="C191" s="614" t="s">
        <v>624</v>
      </c>
      <c r="D191" s="42">
        <v>2</v>
      </c>
      <c r="E191" s="1">
        <v>28</v>
      </c>
      <c r="F191" s="63"/>
      <c r="G191" s="57"/>
      <c r="H191" s="516">
        <f>(A16/(0.00029*300)/3000)</f>
        <v>0</v>
      </c>
      <c r="I191" s="60">
        <f>(30*BC!$B$47/E191)</f>
        <v>0</v>
      </c>
      <c r="J191" s="701">
        <f t="shared" si="48"/>
        <v>0</v>
      </c>
      <c r="K191" s="701">
        <f t="shared" si="49"/>
        <v>0</v>
      </c>
      <c r="L191" s="216">
        <f t="shared" si="44"/>
        <v>0</v>
      </c>
      <c r="M191" s="367">
        <v>189</v>
      </c>
      <c r="N191" s="148">
        <f t="shared" si="50"/>
        <v>0</v>
      </c>
      <c r="O191" s="57">
        <f t="shared" si="51"/>
        <v>0</v>
      </c>
      <c r="P191" s="57">
        <f t="shared" si="47"/>
        <v>0</v>
      </c>
    </row>
    <row r="192" spans="2:16" ht="15.75" customHeight="1" x14ac:dyDescent="0.35">
      <c r="B192" s="471">
        <v>7713223190</v>
      </c>
      <c r="C192" s="628" t="s">
        <v>584</v>
      </c>
      <c r="D192" s="42">
        <v>2</v>
      </c>
      <c r="E192" s="1">
        <v>31</v>
      </c>
      <c r="F192" s="63"/>
      <c r="G192" s="57"/>
      <c r="H192" s="516"/>
      <c r="I192" s="60">
        <f>(30*BC!$B$47/E192)</f>
        <v>0</v>
      </c>
      <c r="J192" s="701">
        <f t="shared" si="48"/>
        <v>0</v>
      </c>
      <c r="K192" s="701">
        <f t="shared" si="49"/>
        <v>0</v>
      </c>
      <c r="L192" s="216">
        <f t="shared" si="44"/>
        <v>0</v>
      </c>
      <c r="M192" s="367">
        <v>929</v>
      </c>
      <c r="N192" s="148">
        <f t="shared" si="50"/>
        <v>0</v>
      </c>
      <c r="O192" s="57">
        <f t="shared" si="51"/>
        <v>0</v>
      </c>
      <c r="P192" s="57">
        <f t="shared" si="47"/>
        <v>0</v>
      </c>
    </row>
    <row r="193" spans="2:16" ht="15.75" customHeight="1" x14ac:dyDescent="0.35">
      <c r="B193" s="17">
        <v>4917049190</v>
      </c>
      <c r="C193" s="620" t="s">
        <v>1141</v>
      </c>
      <c r="D193" s="42">
        <v>2</v>
      </c>
      <c r="E193" s="1">
        <v>84</v>
      </c>
      <c r="F193" s="63"/>
      <c r="G193" s="57"/>
      <c r="H193" s="516">
        <f>(A28/(0.00003*300)/3000)</f>
        <v>0</v>
      </c>
      <c r="I193" s="60">
        <f>(30*BC!$B$47/E193)</f>
        <v>0</v>
      </c>
      <c r="J193" s="701">
        <f t="shared" si="48"/>
        <v>0</v>
      </c>
      <c r="K193" s="701">
        <f t="shared" si="49"/>
        <v>0</v>
      </c>
      <c r="L193" s="216">
        <f t="shared" si="44"/>
        <v>0</v>
      </c>
      <c r="M193" s="367">
        <v>127</v>
      </c>
      <c r="N193" s="148">
        <f t="shared" si="50"/>
        <v>0</v>
      </c>
      <c r="O193" s="57">
        <f t="shared" si="51"/>
        <v>0</v>
      </c>
      <c r="P193" s="57">
        <f t="shared" si="47"/>
        <v>0</v>
      </c>
    </row>
    <row r="194" spans="2:16" ht="15.75" customHeight="1" x14ac:dyDescent="0.35">
      <c r="B194" s="17">
        <v>5095107190</v>
      </c>
      <c r="C194" s="622" t="s">
        <v>623</v>
      </c>
      <c r="D194" s="42">
        <v>2</v>
      </c>
      <c r="E194" s="1">
        <v>84</v>
      </c>
      <c r="F194" s="63"/>
      <c r="G194" s="57"/>
      <c r="H194" s="516">
        <f>(A31/(0.00006*300)/3000)</f>
        <v>0</v>
      </c>
      <c r="I194" s="60">
        <f>(30*BC!$B$47/E194)</f>
        <v>0</v>
      </c>
      <c r="J194" s="701">
        <f t="shared" si="48"/>
        <v>0</v>
      </c>
      <c r="K194" s="701">
        <f t="shared" si="49"/>
        <v>0</v>
      </c>
      <c r="L194" s="216">
        <f t="shared" si="44"/>
        <v>0</v>
      </c>
      <c r="M194" s="367">
        <v>87</v>
      </c>
      <c r="N194" s="148">
        <f t="shared" si="50"/>
        <v>0</v>
      </c>
      <c r="O194" s="57">
        <f t="shared" si="51"/>
        <v>0</v>
      </c>
      <c r="P194" s="57">
        <f t="shared" si="47"/>
        <v>0</v>
      </c>
    </row>
    <row r="195" spans="2:16" ht="15.75" customHeight="1" x14ac:dyDescent="0.35">
      <c r="B195" s="17">
        <v>5042666191</v>
      </c>
      <c r="C195" s="598" t="s">
        <v>619</v>
      </c>
      <c r="D195" s="42">
        <v>2</v>
      </c>
      <c r="E195" s="1">
        <v>28</v>
      </c>
      <c r="F195" s="63"/>
      <c r="G195" s="57"/>
      <c r="H195" s="516">
        <f>(A13/(0.000066*300)/3000)</f>
        <v>0</v>
      </c>
      <c r="I195" s="60">
        <f>(30*BC!$B$47/E195)</f>
        <v>0</v>
      </c>
      <c r="J195" s="701">
        <f t="shared" si="48"/>
        <v>0</v>
      </c>
      <c r="K195" s="701">
        <f t="shared" si="49"/>
        <v>0</v>
      </c>
      <c r="L195" s="216">
        <f t="shared" si="44"/>
        <v>0</v>
      </c>
      <c r="M195" s="367">
        <v>191</v>
      </c>
      <c r="N195" s="148">
        <f t="shared" si="50"/>
        <v>0</v>
      </c>
      <c r="O195" s="57">
        <f t="shared" si="51"/>
        <v>0</v>
      </c>
      <c r="P195" s="57">
        <f t="shared" si="47"/>
        <v>0</v>
      </c>
    </row>
    <row r="196" spans="2:16" ht="15.75" customHeight="1" x14ac:dyDescent="0.35">
      <c r="B196" s="17">
        <v>7957211190</v>
      </c>
      <c r="C196" s="609" t="s">
        <v>586</v>
      </c>
      <c r="D196" s="42">
        <v>2</v>
      </c>
      <c r="E196" s="1">
        <v>28</v>
      </c>
      <c r="F196" s="63"/>
      <c r="G196" s="57"/>
      <c r="H196" s="516">
        <f>(G38/(0.00001*300)/3000)</f>
        <v>0</v>
      </c>
      <c r="I196" s="60">
        <f>(30*BC!$B$47/E196)</f>
        <v>0</v>
      </c>
      <c r="J196" s="701">
        <f t="shared" si="48"/>
        <v>0</v>
      </c>
      <c r="K196" s="701">
        <f t="shared" si="49"/>
        <v>0</v>
      </c>
      <c r="L196" s="216">
        <f t="shared" si="44"/>
        <v>0</v>
      </c>
      <c r="M196" s="367">
        <v>391</v>
      </c>
      <c r="N196" s="148">
        <f t="shared" si="50"/>
        <v>0</v>
      </c>
      <c r="O196" s="57">
        <f t="shared" si="51"/>
        <v>0</v>
      </c>
      <c r="P196" s="57">
        <f t="shared" si="47"/>
        <v>0</v>
      </c>
    </row>
    <row r="197" spans="2:16" ht="15.75" customHeight="1" x14ac:dyDescent="0.35">
      <c r="B197" s="17">
        <v>5950953190</v>
      </c>
      <c r="C197" s="611" t="s">
        <v>1142</v>
      </c>
      <c r="D197" s="42">
        <v>2</v>
      </c>
      <c r="E197" s="1">
        <v>28</v>
      </c>
      <c r="F197" s="63"/>
      <c r="G197" s="57"/>
      <c r="H197" s="516">
        <f>(G50/(0.00004*300)/3000)</f>
        <v>0</v>
      </c>
      <c r="I197" s="60">
        <f>(30*BC!$B$47/E197)</f>
        <v>0</v>
      </c>
      <c r="J197" s="701">
        <f t="shared" si="48"/>
        <v>0</v>
      </c>
      <c r="K197" s="701">
        <f t="shared" si="49"/>
        <v>0</v>
      </c>
      <c r="L197" s="216">
        <f t="shared" si="44"/>
        <v>0</v>
      </c>
      <c r="M197" s="367">
        <v>237</v>
      </c>
      <c r="N197" s="148">
        <f t="shared" si="50"/>
        <v>0</v>
      </c>
      <c r="O197" s="57">
        <f t="shared" si="51"/>
        <v>0</v>
      </c>
      <c r="P197" s="57">
        <f t="shared" si="47"/>
        <v>0</v>
      </c>
    </row>
    <row r="198" spans="2:16" ht="15.75" customHeight="1" x14ac:dyDescent="0.35">
      <c r="B198" s="17">
        <v>8333645190</v>
      </c>
      <c r="C198" s="613" t="s">
        <v>1051</v>
      </c>
      <c r="D198" s="42">
        <v>2</v>
      </c>
      <c r="E198" s="1">
        <v>28</v>
      </c>
      <c r="F198" s="63"/>
      <c r="G198" s="57"/>
      <c r="H198" s="516">
        <f>(G51/(0.00001*300)/3000)</f>
        <v>0</v>
      </c>
      <c r="I198" s="60">
        <f>(30*BC!$B$47/E198)</f>
        <v>0</v>
      </c>
      <c r="J198" s="701">
        <f t="shared" si="48"/>
        <v>0</v>
      </c>
      <c r="K198" s="701">
        <f t="shared" si="49"/>
        <v>0</v>
      </c>
      <c r="L198" s="216">
        <f t="shared" si="44"/>
        <v>0</v>
      </c>
      <c r="M198" s="367">
        <v>327</v>
      </c>
      <c r="N198" s="148">
        <f t="shared" si="50"/>
        <v>0</v>
      </c>
      <c r="O198" s="57">
        <f t="shared" si="51"/>
        <v>0</v>
      </c>
      <c r="P198" s="57">
        <f t="shared" si="47"/>
        <v>0</v>
      </c>
    </row>
    <row r="199" spans="2:16" ht="15.75" customHeight="1" x14ac:dyDescent="0.35">
      <c r="B199" s="17">
        <v>6505988190</v>
      </c>
      <c r="C199" s="616" t="s">
        <v>614</v>
      </c>
      <c r="D199" s="42">
        <v>2</v>
      </c>
      <c r="E199" s="1">
        <v>28</v>
      </c>
      <c r="F199" s="63"/>
      <c r="G199" s="57"/>
      <c r="H199" s="516">
        <f>(G52/(0.00001*300)/3000)</f>
        <v>0</v>
      </c>
      <c r="I199" s="60">
        <f>(30*BC!$B$47/E199)</f>
        <v>0</v>
      </c>
      <c r="J199" s="701">
        <f t="shared" si="48"/>
        <v>0</v>
      </c>
      <c r="K199" s="701">
        <f t="shared" si="49"/>
        <v>0</v>
      </c>
      <c r="L199" s="216">
        <f t="shared" si="44"/>
        <v>0</v>
      </c>
      <c r="M199" s="367">
        <v>141</v>
      </c>
      <c r="N199" s="148">
        <f t="shared" si="50"/>
        <v>0</v>
      </c>
      <c r="O199" s="57">
        <f t="shared" si="51"/>
        <v>0</v>
      </c>
      <c r="P199" s="57">
        <f t="shared" si="47"/>
        <v>0</v>
      </c>
    </row>
    <row r="200" spans="2:16" ht="15.75" customHeight="1" x14ac:dyDescent="0.35">
      <c r="B200" s="17">
        <v>7360070190</v>
      </c>
      <c r="C200" s="619" t="s">
        <v>1143</v>
      </c>
      <c r="D200" s="42">
        <v>2</v>
      </c>
      <c r="E200" s="1">
        <v>28</v>
      </c>
      <c r="F200" s="63"/>
      <c r="G200" s="57"/>
      <c r="H200" s="516">
        <f>(G53/(0.00001*300)/3000)</f>
        <v>0</v>
      </c>
      <c r="I200" s="60">
        <f>(30*BC!$B$47/E200)</f>
        <v>0</v>
      </c>
      <c r="J200" s="701">
        <f t="shared" si="48"/>
        <v>0</v>
      </c>
      <c r="K200" s="701">
        <f t="shared" si="49"/>
        <v>0</v>
      </c>
      <c r="L200" s="216">
        <f t="shared" si="44"/>
        <v>0</v>
      </c>
      <c r="M200" s="367">
        <v>278</v>
      </c>
      <c r="N200" s="148">
        <f t="shared" si="50"/>
        <v>0</v>
      </c>
      <c r="O200" s="57">
        <f t="shared" si="51"/>
        <v>0</v>
      </c>
      <c r="P200" s="57">
        <f t="shared" si="47"/>
        <v>0</v>
      </c>
    </row>
    <row r="201" spans="2:16" ht="15.75" customHeight="1" x14ac:dyDescent="0.35">
      <c r="B201" s="25">
        <v>5618860190</v>
      </c>
      <c r="C201" s="625" t="s">
        <v>626</v>
      </c>
      <c r="D201" s="42">
        <v>2</v>
      </c>
      <c r="E201" s="1">
        <v>31</v>
      </c>
      <c r="F201" s="63"/>
      <c r="G201" s="57"/>
      <c r="H201" s="516">
        <f>(A34/(0.00004*300)/3000)</f>
        <v>0</v>
      </c>
      <c r="I201" s="60">
        <f>(30*BC!$B$47/E201)</f>
        <v>0</v>
      </c>
      <c r="J201" s="701">
        <f t="shared" si="48"/>
        <v>0</v>
      </c>
      <c r="K201" s="701">
        <f t="shared" si="49"/>
        <v>0</v>
      </c>
      <c r="L201" s="216">
        <f t="shared" si="44"/>
        <v>0</v>
      </c>
      <c r="M201" s="367">
        <v>355</v>
      </c>
      <c r="N201" s="148">
        <f t="shared" si="50"/>
        <v>0</v>
      </c>
      <c r="O201" s="57">
        <f t="shared" si="51"/>
        <v>0</v>
      </c>
      <c r="P201" s="57">
        <f t="shared" si="47"/>
        <v>0</v>
      </c>
    </row>
    <row r="202" spans="2:16" ht="15.75" customHeight="1" x14ac:dyDescent="0.35">
      <c r="B202" s="17">
        <v>5031664190</v>
      </c>
      <c r="C202" s="630" t="s">
        <v>1144</v>
      </c>
      <c r="D202" s="42">
        <v>2</v>
      </c>
      <c r="E202" s="1">
        <v>28</v>
      </c>
      <c r="F202" s="63"/>
      <c r="G202" s="57"/>
      <c r="H202" s="516">
        <f>(G73/(0.00006*300)/3000)</f>
        <v>0</v>
      </c>
      <c r="I202" s="60">
        <f>(30*BC!$B$47/E202)</f>
        <v>0</v>
      </c>
      <c r="J202" s="701">
        <f t="shared" si="48"/>
        <v>0</v>
      </c>
      <c r="K202" s="701">
        <f t="shared" si="49"/>
        <v>0</v>
      </c>
      <c r="L202" s="216">
        <f t="shared" si="44"/>
        <v>0</v>
      </c>
      <c r="M202" s="367">
        <v>207</v>
      </c>
      <c r="N202" s="148">
        <f t="shared" si="50"/>
        <v>0</v>
      </c>
      <c r="O202" s="57">
        <f t="shared" si="51"/>
        <v>0</v>
      </c>
      <c r="P202" s="57">
        <f t="shared" si="47"/>
        <v>0</v>
      </c>
    </row>
    <row r="203" spans="2:16" ht="15.75" customHeight="1" x14ac:dyDescent="0.35">
      <c r="B203" s="17">
        <v>9038124190</v>
      </c>
      <c r="C203" s="632" t="s">
        <v>1145</v>
      </c>
      <c r="D203" s="42">
        <v>3</v>
      </c>
      <c r="E203" s="1">
        <v>31</v>
      </c>
      <c r="F203" s="63"/>
      <c r="G203" s="57"/>
      <c r="H203" s="516">
        <f>(G75/(0.00005*300)/3000)</f>
        <v>0</v>
      </c>
      <c r="I203" s="60">
        <f>(30*BC!$B$47/E203)</f>
        <v>0</v>
      </c>
      <c r="J203" s="701">
        <f t="shared" si="48"/>
        <v>0</v>
      </c>
      <c r="K203" s="701">
        <f t="shared" si="49"/>
        <v>0</v>
      </c>
      <c r="L203" s="216">
        <f t="shared" si="44"/>
        <v>0</v>
      </c>
      <c r="M203" s="367">
        <v>97</v>
      </c>
      <c r="N203" s="148">
        <f t="shared" si="50"/>
        <v>0</v>
      </c>
      <c r="O203" s="57">
        <f t="shared" si="51"/>
        <v>0</v>
      </c>
      <c r="P203" s="57">
        <f t="shared" si="47"/>
        <v>0</v>
      </c>
    </row>
    <row r="204" spans="2:16" ht="15.75" customHeight="1" x14ac:dyDescent="0.35">
      <c r="B204" s="17">
        <v>7476108190</v>
      </c>
      <c r="C204" s="615" t="s">
        <v>603</v>
      </c>
      <c r="D204" s="42">
        <v>2</v>
      </c>
      <c r="E204" s="1">
        <v>31</v>
      </c>
      <c r="F204" s="63"/>
      <c r="G204" s="57"/>
      <c r="H204" s="516">
        <f>(A25/(0.00001*300)/3000)</f>
        <v>0</v>
      </c>
      <c r="I204" s="60">
        <f>(30*BC!$B$47/E204)</f>
        <v>0</v>
      </c>
      <c r="J204" s="701">
        <f t="shared" si="48"/>
        <v>0</v>
      </c>
      <c r="K204" s="701">
        <f t="shared" si="49"/>
        <v>0</v>
      </c>
      <c r="L204" s="216">
        <f t="shared" si="44"/>
        <v>0</v>
      </c>
      <c r="M204" s="367">
        <v>472</v>
      </c>
      <c r="N204" s="148">
        <f t="shared" si="50"/>
        <v>0</v>
      </c>
      <c r="O204" s="57">
        <f t="shared" si="51"/>
        <v>0</v>
      </c>
      <c r="P204" s="57">
        <f t="shared" si="47"/>
        <v>0</v>
      </c>
    </row>
    <row r="205" spans="2:16" ht="15.75" customHeight="1" x14ac:dyDescent="0.35">
      <c r="B205" s="25">
        <v>6924107190</v>
      </c>
      <c r="C205" s="633" t="s">
        <v>608</v>
      </c>
      <c r="D205" s="42">
        <v>2</v>
      </c>
      <c r="E205" s="1">
        <v>84</v>
      </c>
      <c r="F205" s="63"/>
      <c r="G205" s="57"/>
      <c r="H205" s="516">
        <f t="shared" ref="H205:H215" si="52">(G78/(0.00001*300)/3000)</f>
        <v>0</v>
      </c>
      <c r="I205" s="60">
        <f>(30*BC!$B$47/E205)</f>
        <v>0</v>
      </c>
      <c r="J205" s="701">
        <f t="shared" si="48"/>
        <v>0</v>
      </c>
      <c r="K205" s="701">
        <f t="shared" si="49"/>
        <v>0</v>
      </c>
      <c r="L205" s="216">
        <f t="shared" si="44"/>
        <v>0</v>
      </c>
      <c r="M205" s="367">
        <v>583</v>
      </c>
      <c r="N205" s="148">
        <f t="shared" si="50"/>
        <v>0</v>
      </c>
      <c r="O205" s="57">
        <f t="shared" si="51"/>
        <v>0</v>
      </c>
      <c r="P205" s="57">
        <f t="shared" si="47"/>
        <v>0</v>
      </c>
    </row>
    <row r="206" spans="2:16" ht="15.75" customHeight="1" x14ac:dyDescent="0.35">
      <c r="B206" s="25">
        <v>8335923190</v>
      </c>
      <c r="C206" s="635" t="s">
        <v>582</v>
      </c>
      <c r="D206" s="42">
        <v>5</v>
      </c>
      <c r="E206" s="1">
        <v>56</v>
      </c>
      <c r="F206" s="63"/>
      <c r="G206" s="57"/>
      <c r="H206" s="516">
        <f t="shared" si="52"/>
        <v>0</v>
      </c>
      <c r="I206" s="60">
        <f>(30*BC!$B$47/E206)</f>
        <v>0</v>
      </c>
      <c r="J206" s="701">
        <f t="shared" si="48"/>
        <v>0</v>
      </c>
      <c r="K206" s="701">
        <f t="shared" si="49"/>
        <v>0</v>
      </c>
      <c r="L206" s="216">
        <f t="shared" si="44"/>
        <v>0</v>
      </c>
      <c r="M206" s="367">
        <v>246</v>
      </c>
      <c r="N206" s="148">
        <f t="shared" si="50"/>
        <v>0</v>
      </c>
      <c r="O206" s="57">
        <f t="shared" si="51"/>
        <v>0</v>
      </c>
      <c r="P206" s="57">
        <f t="shared" si="47"/>
        <v>0</v>
      </c>
    </row>
    <row r="207" spans="2:16" ht="15.75" customHeight="1" x14ac:dyDescent="0.35">
      <c r="B207" s="25">
        <v>8086672190</v>
      </c>
      <c r="C207" s="637" t="s">
        <v>1146</v>
      </c>
      <c r="D207" s="42">
        <v>8</v>
      </c>
      <c r="E207" s="1">
        <v>56</v>
      </c>
      <c r="F207" s="63"/>
      <c r="G207" s="57"/>
      <c r="H207" s="516">
        <f t="shared" si="52"/>
        <v>0</v>
      </c>
      <c r="I207" s="60">
        <f>(30*BC!$B$47/E207)</f>
        <v>0</v>
      </c>
      <c r="J207" s="701">
        <f t="shared" si="48"/>
        <v>0</v>
      </c>
      <c r="K207" s="701">
        <f t="shared" si="49"/>
        <v>0</v>
      </c>
      <c r="L207" s="216">
        <f t="shared" si="44"/>
        <v>0</v>
      </c>
      <c r="M207" s="367">
        <v>142</v>
      </c>
      <c r="N207" s="148">
        <f t="shared" si="50"/>
        <v>0</v>
      </c>
      <c r="O207" s="57">
        <f t="shared" si="51"/>
        <v>0</v>
      </c>
      <c r="P207" s="57">
        <f t="shared" si="47"/>
        <v>0</v>
      </c>
    </row>
    <row r="208" spans="2:16" ht="15.75" customHeight="1" x14ac:dyDescent="0.35">
      <c r="B208" s="25">
        <v>11876368122</v>
      </c>
      <c r="C208" s="639" t="s">
        <v>588</v>
      </c>
      <c r="D208" s="42">
        <v>8</v>
      </c>
      <c r="E208" s="1">
        <v>56</v>
      </c>
      <c r="F208" s="63"/>
      <c r="G208" s="57"/>
      <c r="H208" s="516">
        <f t="shared" si="52"/>
        <v>0</v>
      </c>
      <c r="I208" s="60">
        <f>(30*BC!$B$47/E208)</f>
        <v>0</v>
      </c>
      <c r="J208" s="701">
        <f t="shared" si="48"/>
        <v>0</v>
      </c>
      <c r="K208" s="701">
        <f t="shared" si="49"/>
        <v>0</v>
      </c>
      <c r="L208" s="216">
        <f t="shared" si="44"/>
        <v>0</v>
      </c>
      <c r="M208" s="367">
        <v>424</v>
      </c>
      <c r="N208" s="148">
        <f t="shared" si="50"/>
        <v>0</v>
      </c>
      <c r="O208" s="57">
        <f t="shared" si="51"/>
        <v>0</v>
      </c>
      <c r="P208" s="57">
        <f t="shared" si="47"/>
        <v>0</v>
      </c>
    </row>
    <row r="209" spans="2:16" ht="15.75" customHeight="1" x14ac:dyDescent="0.35">
      <c r="B209" s="25">
        <v>4687876190</v>
      </c>
      <c r="C209" s="641" t="s">
        <v>1147</v>
      </c>
      <c r="D209" s="42">
        <v>8</v>
      </c>
      <c r="E209" s="1">
        <v>56</v>
      </c>
      <c r="F209" s="63"/>
      <c r="G209" s="57"/>
      <c r="H209" s="516">
        <f t="shared" si="52"/>
        <v>0</v>
      </c>
      <c r="I209" s="60">
        <f>(30*BC!$B$47/E209)</f>
        <v>0</v>
      </c>
      <c r="J209" s="701">
        <f t="shared" si="48"/>
        <v>0</v>
      </c>
      <c r="K209" s="701">
        <f t="shared" si="49"/>
        <v>0</v>
      </c>
      <c r="L209" s="216">
        <f t="shared" si="44"/>
        <v>0</v>
      </c>
      <c r="M209" s="367">
        <v>212</v>
      </c>
      <c r="N209" s="148">
        <f t="shared" si="50"/>
        <v>0</v>
      </c>
      <c r="O209" s="57">
        <f t="shared" si="51"/>
        <v>0</v>
      </c>
      <c r="P209" s="57">
        <f t="shared" si="47"/>
        <v>0</v>
      </c>
    </row>
    <row r="210" spans="2:16" ht="15.75" customHeight="1" x14ac:dyDescent="0.35">
      <c r="B210" s="25">
        <v>11876317122</v>
      </c>
      <c r="C210" s="643" t="s">
        <v>593</v>
      </c>
      <c r="D210" s="42">
        <v>8</v>
      </c>
      <c r="E210" s="1">
        <v>56</v>
      </c>
      <c r="F210" s="63"/>
      <c r="G210" s="57"/>
      <c r="H210" s="516">
        <f t="shared" si="52"/>
        <v>0</v>
      </c>
      <c r="I210" s="60">
        <f>(30*BC!$B$47/E210)</f>
        <v>0</v>
      </c>
      <c r="J210" s="701">
        <f t="shared" si="48"/>
        <v>0</v>
      </c>
      <c r="K210" s="701">
        <f t="shared" si="49"/>
        <v>0</v>
      </c>
      <c r="L210" s="216">
        <f t="shared" si="44"/>
        <v>0</v>
      </c>
      <c r="M210" s="367">
        <v>205</v>
      </c>
      <c r="N210" s="148">
        <f t="shared" si="50"/>
        <v>0</v>
      </c>
      <c r="O210" s="57">
        <f t="shared" si="51"/>
        <v>0</v>
      </c>
      <c r="P210" s="57">
        <f t="shared" si="47"/>
        <v>0</v>
      </c>
    </row>
    <row r="211" spans="2:16" ht="15.75" customHeight="1" x14ac:dyDescent="0.35">
      <c r="B211" s="25">
        <v>11876376122</v>
      </c>
      <c r="C211" s="645" t="s">
        <v>604</v>
      </c>
      <c r="D211" s="42">
        <v>8</v>
      </c>
      <c r="E211" s="1">
        <v>56</v>
      </c>
      <c r="F211" s="63"/>
      <c r="G211" s="57"/>
      <c r="H211" s="516">
        <f t="shared" si="52"/>
        <v>0</v>
      </c>
      <c r="I211" s="60">
        <f>(30*BC!$B$47/E211)</f>
        <v>0</v>
      </c>
      <c r="J211" s="701">
        <f t="shared" si="48"/>
        <v>0</v>
      </c>
      <c r="K211" s="701">
        <f t="shared" si="49"/>
        <v>0</v>
      </c>
      <c r="L211" s="216">
        <f t="shared" si="44"/>
        <v>0</v>
      </c>
      <c r="M211" s="367">
        <v>208</v>
      </c>
      <c r="N211" s="148">
        <f t="shared" si="50"/>
        <v>0</v>
      </c>
      <c r="O211" s="57">
        <f t="shared" si="51"/>
        <v>0</v>
      </c>
      <c r="P211" s="57">
        <f t="shared" si="47"/>
        <v>0</v>
      </c>
    </row>
    <row r="212" spans="2:16" ht="15.75" customHeight="1" x14ac:dyDescent="0.35">
      <c r="B212" s="25">
        <v>11876384122</v>
      </c>
      <c r="C212" s="648" t="s">
        <v>592</v>
      </c>
      <c r="D212" s="42">
        <v>8</v>
      </c>
      <c r="E212" s="1">
        <v>56</v>
      </c>
      <c r="F212" s="63"/>
      <c r="G212" s="57"/>
      <c r="H212" s="516">
        <f t="shared" si="52"/>
        <v>0</v>
      </c>
      <c r="I212" s="60">
        <f>(30*BC!$B$47/E212)</f>
        <v>0</v>
      </c>
      <c r="J212" s="701">
        <f t="shared" si="48"/>
        <v>0</v>
      </c>
      <c r="K212" s="701">
        <f t="shared" si="49"/>
        <v>0</v>
      </c>
      <c r="L212" s="216">
        <f t="shared" si="44"/>
        <v>0</v>
      </c>
      <c r="M212" s="367">
        <v>217</v>
      </c>
      <c r="N212" s="148">
        <f t="shared" si="50"/>
        <v>0</v>
      </c>
      <c r="O212" s="57">
        <f t="shared" si="51"/>
        <v>0</v>
      </c>
      <c r="P212" s="57">
        <f t="shared" si="47"/>
        <v>0</v>
      </c>
    </row>
    <row r="213" spans="2:16" ht="15.75" customHeight="1" x14ac:dyDescent="0.35">
      <c r="B213" s="25">
        <v>4927931190</v>
      </c>
      <c r="C213" s="650" t="s">
        <v>1148</v>
      </c>
      <c r="D213" s="42">
        <v>8</v>
      </c>
      <c r="E213" s="1">
        <v>56</v>
      </c>
      <c r="F213" s="63"/>
      <c r="G213" s="57"/>
      <c r="H213" s="516">
        <f t="shared" si="52"/>
        <v>0</v>
      </c>
      <c r="I213" s="60">
        <f>(30*BC!$B$47/E213)</f>
        <v>0</v>
      </c>
      <c r="J213" s="701">
        <f t="shared" si="48"/>
        <v>0</v>
      </c>
      <c r="K213" s="701">
        <f t="shared" si="49"/>
        <v>0</v>
      </c>
      <c r="L213" s="216">
        <f t="shared" si="44"/>
        <v>0</v>
      </c>
      <c r="M213" s="367">
        <v>73</v>
      </c>
      <c r="N213" s="148">
        <f t="shared" si="50"/>
        <v>0</v>
      </c>
      <c r="O213" s="57">
        <f t="shared" si="51"/>
        <v>0</v>
      </c>
      <c r="P213" s="57">
        <f t="shared" si="47"/>
        <v>0</v>
      </c>
    </row>
    <row r="214" spans="2:16" ht="15.75" customHeight="1" x14ac:dyDescent="0.35">
      <c r="B214" s="25">
        <v>11876333122</v>
      </c>
      <c r="C214" s="652" t="s">
        <v>590</v>
      </c>
      <c r="D214" s="42">
        <v>8</v>
      </c>
      <c r="E214" s="1">
        <v>56</v>
      </c>
      <c r="F214" s="63"/>
      <c r="G214" s="57"/>
      <c r="H214" s="516">
        <f t="shared" si="52"/>
        <v>0</v>
      </c>
      <c r="I214" s="60">
        <f>(30*BC!$B$47/E214)</f>
        <v>0</v>
      </c>
      <c r="J214" s="701">
        <f t="shared" si="48"/>
        <v>0</v>
      </c>
      <c r="K214" s="701">
        <f t="shared" si="49"/>
        <v>0</v>
      </c>
      <c r="L214" s="216">
        <f t="shared" si="44"/>
        <v>0</v>
      </c>
      <c r="M214" s="367">
        <v>379</v>
      </c>
      <c r="N214" s="148">
        <f t="shared" si="50"/>
        <v>0</v>
      </c>
      <c r="O214" s="57">
        <f t="shared" si="51"/>
        <v>0</v>
      </c>
      <c r="P214" s="57">
        <f t="shared" si="47"/>
        <v>0</v>
      </c>
    </row>
    <row r="215" spans="2:16" ht="15.75" customHeight="1" x14ac:dyDescent="0.35">
      <c r="B215" s="25">
        <v>3290379190</v>
      </c>
      <c r="C215" s="654" t="s">
        <v>594</v>
      </c>
      <c r="D215" s="42">
        <v>8</v>
      </c>
      <c r="E215" s="1">
        <v>56</v>
      </c>
      <c r="F215" s="63"/>
      <c r="G215" s="57"/>
      <c r="H215" s="516">
        <f t="shared" si="52"/>
        <v>0</v>
      </c>
      <c r="I215" s="60">
        <f>(30*BC!$B$47/E215)</f>
        <v>0</v>
      </c>
      <c r="J215" s="701">
        <f t="shared" si="48"/>
        <v>0</v>
      </c>
      <c r="K215" s="701">
        <f t="shared" si="49"/>
        <v>0</v>
      </c>
      <c r="L215" s="216">
        <f t="shared" si="44"/>
        <v>0</v>
      </c>
      <c r="M215" s="367">
        <v>149</v>
      </c>
      <c r="N215" s="148">
        <f t="shared" si="50"/>
        <v>0</v>
      </c>
      <c r="O215" s="57">
        <f t="shared" si="51"/>
        <v>0</v>
      </c>
      <c r="P215" s="57">
        <f t="shared" si="47"/>
        <v>0</v>
      </c>
    </row>
    <row r="216" spans="2:16" ht="15.75" customHeight="1" x14ac:dyDescent="0.35">
      <c r="B216" s="470">
        <v>4618807190</v>
      </c>
      <c r="C216" s="655" t="s">
        <v>615</v>
      </c>
      <c r="D216" s="42">
        <v>8</v>
      </c>
      <c r="E216" s="1">
        <v>56</v>
      </c>
      <c r="F216" s="63"/>
      <c r="G216" s="57"/>
      <c r="H216" s="516">
        <f t="shared" ref="H216:H223" si="53">(G89/(0.00006*300)/3000)</f>
        <v>0</v>
      </c>
      <c r="I216" s="60">
        <f>(30*BC!$B$47/E216)</f>
        <v>0</v>
      </c>
      <c r="J216" s="701">
        <f t="shared" si="48"/>
        <v>0</v>
      </c>
      <c r="K216" s="701">
        <f t="shared" si="49"/>
        <v>0</v>
      </c>
      <c r="L216" s="216">
        <f t="shared" si="44"/>
        <v>0</v>
      </c>
      <c r="M216" s="367">
        <v>225</v>
      </c>
      <c r="N216" s="148">
        <f t="shared" si="50"/>
        <v>0</v>
      </c>
      <c r="O216" s="57">
        <f t="shared" si="51"/>
        <v>0</v>
      </c>
      <c r="P216" s="57">
        <f t="shared" si="47"/>
        <v>0</v>
      </c>
    </row>
    <row r="217" spans="2:16" ht="15.75" customHeight="1" x14ac:dyDescent="0.35">
      <c r="B217" s="470">
        <v>9787518190</v>
      </c>
      <c r="C217" s="656" t="s">
        <v>616</v>
      </c>
      <c r="D217" s="42">
        <v>4</v>
      </c>
      <c r="E217" s="1">
        <v>56</v>
      </c>
      <c r="F217" s="63"/>
      <c r="G217" s="57"/>
      <c r="H217" s="516">
        <f t="shared" si="53"/>
        <v>0</v>
      </c>
      <c r="I217" s="60">
        <f>(30*BC!$B$47/E217)</f>
        <v>0</v>
      </c>
      <c r="J217" s="701">
        <f t="shared" si="48"/>
        <v>0</v>
      </c>
      <c r="K217" s="701">
        <f t="shared" si="49"/>
        <v>0</v>
      </c>
      <c r="L217" s="216">
        <f t="shared" si="44"/>
        <v>0</v>
      </c>
      <c r="M217" s="367">
        <v>334</v>
      </c>
      <c r="N217" s="148">
        <f t="shared" si="50"/>
        <v>0</v>
      </c>
      <c r="O217" s="57">
        <f t="shared" si="51"/>
        <v>0</v>
      </c>
      <c r="P217" s="57">
        <f t="shared" si="47"/>
        <v>0</v>
      </c>
    </row>
    <row r="218" spans="2:16" ht="15.75" customHeight="1" x14ac:dyDescent="0.35">
      <c r="B218" s="470">
        <v>4618823190</v>
      </c>
      <c r="C218" s="657" t="s">
        <v>1149</v>
      </c>
      <c r="D218" s="42">
        <v>8</v>
      </c>
      <c r="E218" s="1">
        <v>56</v>
      </c>
      <c r="F218" s="63"/>
      <c r="G218" s="57"/>
      <c r="H218" s="516">
        <f t="shared" si="53"/>
        <v>0</v>
      </c>
      <c r="I218" s="60">
        <f>(30*BC!$B$47/E218)</f>
        <v>0</v>
      </c>
      <c r="J218" s="701">
        <f t="shared" si="48"/>
        <v>0</v>
      </c>
      <c r="K218" s="701">
        <f t="shared" si="49"/>
        <v>0</v>
      </c>
      <c r="L218" s="216">
        <f t="shared" si="44"/>
        <v>0</v>
      </c>
      <c r="M218" s="367">
        <v>248</v>
      </c>
      <c r="N218" s="148">
        <f t="shared" si="50"/>
        <v>0</v>
      </c>
      <c r="O218" s="57">
        <f t="shared" si="51"/>
        <v>0</v>
      </c>
      <c r="P218" s="57">
        <f t="shared" si="47"/>
        <v>0</v>
      </c>
    </row>
    <row r="219" spans="2:16" ht="15.75" customHeight="1" x14ac:dyDescent="0.35">
      <c r="B219" s="470">
        <v>5802580190</v>
      </c>
      <c r="C219" s="658" t="s">
        <v>621</v>
      </c>
      <c r="D219" s="42">
        <v>3</v>
      </c>
      <c r="E219" s="1">
        <v>56</v>
      </c>
      <c r="F219" s="63"/>
      <c r="G219" s="57"/>
      <c r="H219" s="516">
        <f t="shared" si="53"/>
        <v>0</v>
      </c>
      <c r="I219" s="60">
        <f>(30*BC!$B$47/E219)</f>
        <v>0</v>
      </c>
      <c r="J219" s="701">
        <f t="shared" si="48"/>
        <v>0</v>
      </c>
      <c r="K219" s="701">
        <f t="shared" si="49"/>
        <v>0</v>
      </c>
      <c r="L219" s="216">
        <f t="shared" si="44"/>
        <v>0</v>
      </c>
      <c r="M219" s="367">
        <v>1238</v>
      </c>
      <c r="N219" s="148">
        <f t="shared" si="50"/>
        <v>0</v>
      </c>
      <c r="O219" s="57">
        <f t="shared" si="51"/>
        <v>0</v>
      </c>
      <c r="P219" s="57">
        <f t="shared" si="47"/>
        <v>0</v>
      </c>
    </row>
    <row r="220" spans="2:16" ht="15.75" customHeight="1" x14ac:dyDescent="0.35">
      <c r="B220" s="470">
        <v>4618866190</v>
      </c>
      <c r="C220" s="660" t="s">
        <v>622</v>
      </c>
      <c r="D220" s="42">
        <v>8</v>
      </c>
      <c r="E220" s="1">
        <v>56</v>
      </c>
      <c r="F220" s="63"/>
      <c r="G220" s="57"/>
      <c r="H220" s="516">
        <f t="shared" si="53"/>
        <v>0</v>
      </c>
      <c r="I220" s="60">
        <f>(30*BC!$B$47/E220)</f>
        <v>0</v>
      </c>
      <c r="J220" s="701">
        <f t="shared" si="48"/>
        <v>0</v>
      </c>
      <c r="K220" s="701">
        <f t="shared" si="49"/>
        <v>0</v>
      </c>
      <c r="L220" s="216">
        <f t="shared" si="44"/>
        <v>0</v>
      </c>
      <c r="M220" s="367">
        <v>268</v>
      </c>
      <c r="N220" s="148">
        <f t="shared" si="50"/>
        <v>0</v>
      </c>
      <c r="O220" s="57">
        <f t="shared" si="51"/>
        <v>0</v>
      </c>
      <c r="P220" s="57">
        <f t="shared" si="47"/>
        <v>0</v>
      </c>
    </row>
    <row r="221" spans="2:16" ht="15.75" customHeight="1" x14ac:dyDescent="0.35">
      <c r="B221" s="470">
        <v>4784600190</v>
      </c>
      <c r="C221" s="661" t="s">
        <v>598</v>
      </c>
      <c r="D221" s="42">
        <v>8</v>
      </c>
      <c r="E221" s="1">
        <v>56</v>
      </c>
      <c r="F221" s="63"/>
      <c r="G221" s="57"/>
      <c r="H221" s="516">
        <f t="shared" si="53"/>
        <v>0</v>
      </c>
      <c r="I221" s="60">
        <f>(30*BC!$B$47/E221)</f>
        <v>0</v>
      </c>
      <c r="J221" s="701">
        <f t="shared" si="48"/>
        <v>0</v>
      </c>
      <c r="K221" s="701">
        <f t="shared" si="49"/>
        <v>0</v>
      </c>
      <c r="L221" s="216">
        <f t="shared" si="44"/>
        <v>0</v>
      </c>
      <c r="M221" s="367">
        <v>222</v>
      </c>
      <c r="N221" s="148">
        <f t="shared" si="50"/>
        <v>0</v>
      </c>
      <c r="O221" s="57">
        <f t="shared" si="51"/>
        <v>0</v>
      </c>
      <c r="P221" s="57">
        <f t="shared" si="47"/>
        <v>0</v>
      </c>
    </row>
    <row r="222" spans="2:16" ht="15.75" customHeight="1" x14ac:dyDescent="0.35">
      <c r="B222" s="470">
        <v>5942322190</v>
      </c>
      <c r="C222" s="663" t="s">
        <v>581</v>
      </c>
      <c r="D222" s="42">
        <v>3</v>
      </c>
      <c r="E222" s="1">
        <v>84</v>
      </c>
      <c r="F222" s="63"/>
      <c r="G222" s="57"/>
      <c r="H222" s="516">
        <f t="shared" si="53"/>
        <v>0</v>
      </c>
      <c r="I222" s="60">
        <f>(30*BC!$B$47/E222)</f>
        <v>0</v>
      </c>
      <c r="J222" s="701">
        <f t="shared" si="48"/>
        <v>0</v>
      </c>
      <c r="K222" s="701">
        <f t="shared" si="49"/>
        <v>0</v>
      </c>
      <c r="L222" s="216">
        <f t="shared" si="44"/>
        <v>0</v>
      </c>
      <c r="M222" s="367">
        <v>589</v>
      </c>
      <c r="N222" s="148">
        <f t="shared" si="50"/>
        <v>0</v>
      </c>
      <c r="O222" s="57">
        <f t="shared" si="51"/>
        <v>0</v>
      </c>
      <c r="P222" s="57">
        <f t="shared" si="47"/>
        <v>0</v>
      </c>
    </row>
    <row r="223" spans="2:16" ht="15.75" customHeight="1" x14ac:dyDescent="0.35">
      <c r="B223" s="470">
        <v>4784626190</v>
      </c>
      <c r="C223" s="664" t="s">
        <v>599</v>
      </c>
      <c r="D223" s="42">
        <v>8</v>
      </c>
      <c r="E223" s="1">
        <v>56</v>
      </c>
      <c r="F223" s="63"/>
      <c r="G223" s="57"/>
      <c r="H223" s="516">
        <f t="shared" si="53"/>
        <v>0</v>
      </c>
      <c r="I223" s="60">
        <f>(30*BC!$B$47/E223)</f>
        <v>0</v>
      </c>
      <c r="J223" s="701">
        <f t="shared" si="48"/>
        <v>0</v>
      </c>
      <c r="K223" s="701">
        <f t="shared" si="49"/>
        <v>0</v>
      </c>
      <c r="L223" s="216">
        <f t="shared" si="44"/>
        <v>0</v>
      </c>
      <c r="M223" s="367">
        <v>153</v>
      </c>
      <c r="N223" s="148">
        <f t="shared" si="50"/>
        <v>0</v>
      </c>
      <c r="O223" s="57">
        <f t="shared" si="51"/>
        <v>0</v>
      </c>
      <c r="P223" s="57">
        <f t="shared" si="47"/>
        <v>0</v>
      </c>
    </row>
    <row r="224" spans="2:16" ht="15.75" customHeight="1" x14ac:dyDescent="0.35">
      <c r="B224" s="470">
        <v>5572207190</v>
      </c>
      <c r="C224" s="665" t="s">
        <v>1150</v>
      </c>
      <c r="D224" s="42">
        <v>2</v>
      </c>
      <c r="E224" s="1">
        <v>28</v>
      </c>
      <c r="F224" s="63"/>
      <c r="G224" s="57"/>
      <c r="H224" s="516">
        <f>(A43/(0.00001*300)/3000)</f>
        <v>0</v>
      </c>
      <c r="I224" s="60">
        <f>(30*BC!$B$47/E224)</f>
        <v>0</v>
      </c>
      <c r="J224" s="701">
        <f t="shared" si="48"/>
        <v>0</v>
      </c>
      <c r="K224" s="701">
        <f t="shared" si="49"/>
        <v>0</v>
      </c>
      <c r="L224" s="216">
        <f t="shared" si="44"/>
        <v>0</v>
      </c>
      <c r="M224" s="367">
        <v>420</v>
      </c>
      <c r="N224" s="148">
        <f t="shared" si="50"/>
        <v>0</v>
      </c>
      <c r="O224" s="57">
        <f t="shared" si="51"/>
        <v>0</v>
      </c>
      <c r="P224" s="57">
        <f t="shared" si="47"/>
        <v>0</v>
      </c>
    </row>
    <row r="225" spans="2:21" ht="15.75" customHeight="1" x14ac:dyDescent="0.35">
      <c r="B225" s="470">
        <v>8355428190</v>
      </c>
      <c r="C225" s="666" t="s">
        <v>601</v>
      </c>
      <c r="D225" s="42">
        <v>2</v>
      </c>
      <c r="E225" s="1">
        <v>112</v>
      </c>
      <c r="F225" s="63"/>
      <c r="G225" s="57"/>
      <c r="H225" s="516">
        <f>(A40/(0.00001*300)/3000)</f>
        <v>0</v>
      </c>
      <c r="I225" s="60">
        <f>(30*BC!$B$47/E225)</f>
        <v>0</v>
      </c>
      <c r="J225" s="701">
        <f t="shared" si="48"/>
        <v>0</v>
      </c>
      <c r="K225" s="701">
        <f t="shared" si="49"/>
        <v>0</v>
      </c>
      <c r="L225" s="216">
        <f t="shared" si="44"/>
        <v>0</v>
      </c>
      <c r="M225" s="367">
        <v>973</v>
      </c>
      <c r="N225" s="148">
        <f t="shared" si="50"/>
        <v>0</v>
      </c>
      <c r="O225" s="57">
        <f t="shared" si="51"/>
        <v>0</v>
      </c>
      <c r="P225" s="57">
        <f t="shared" si="47"/>
        <v>0</v>
      </c>
    </row>
    <row r="226" spans="2:21" ht="15.75" customHeight="1" x14ac:dyDescent="0.35">
      <c r="B226" s="470">
        <v>8355436190</v>
      </c>
      <c r="C226" s="667" t="s">
        <v>1151</v>
      </c>
      <c r="D226" s="42">
        <v>4</v>
      </c>
      <c r="E226" s="1">
        <v>112</v>
      </c>
      <c r="F226" s="63"/>
      <c r="G226" s="57"/>
      <c r="H226" s="516">
        <f t="shared" ref="H226:H232" si="54">(G101/(0.00001*300)/3000)</f>
        <v>0</v>
      </c>
      <c r="I226" s="60">
        <f>(30*BC!$B$47/E226)</f>
        <v>0</v>
      </c>
      <c r="J226" s="701">
        <f t="shared" si="48"/>
        <v>0</v>
      </c>
      <c r="K226" s="701">
        <f t="shared" si="49"/>
        <v>0</v>
      </c>
      <c r="L226" s="216">
        <f t="shared" si="44"/>
        <v>0</v>
      </c>
      <c r="M226" s="367">
        <v>234</v>
      </c>
      <c r="N226" s="148">
        <f t="shared" si="50"/>
        <v>0</v>
      </c>
      <c r="O226" s="57">
        <f t="shared" si="51"/>
        <v>0</v>
      </c>
      <c r="P226" s="57">
        <f t="shared" si="47"/>
        <v>0</v>
      </c>
    </row>
    <row r="227" spans="2:21" ht="15.75" customHeight="1" x14ac:dyDescent="0.35">
      <c r="B227" s="470">
        <v>7108133190</v>
      </c>
      <c r="C227" s="668" t="s">
        <v>610</v>
      </c>
      <c r="D227" s="42">
        <v>2</v>
      </c>
      <c r="E227" s="1">
        <v>84</v>
      </c>
      <c r="F227" s="63"/>
      <c r="G227" s="57"/>
      <c r="H227" s="516">
        <f t="shared" si="54"/>
        <v>0</v>
      </c>
      <c r="I227" s="60">
        <f>(30*BC!$B$47/E227)</f>
        <v>0</v>
      </c>
      <c r="J227" s="701">
        <f t="shared" si="48"/>
        <v>0</v>
      </c>
      <c r="K227" s="701">
        <f t="shared" si="49"/>
        <v>0</v>
      </c>
      <c r="L227" s="216">
        <f t="shared" si="44"/>
        <v>0</v>
      </c>
      <c r="M227" s="367">
        <v>184</v>
      </c>
      <c r="N227" s="148">
        <f t="shared" si="50"/>
        <v>0</v>
      </c>
      <c r="O227" s="57">
        <f t="shared" si="51"/>
        <v>0</v>
      </c>
      <c r="P227" s="57">
        <f t="shared" si="47"/>
        <v>0</v>
      </c>
    </row>
    <row r="228" spans="2:21" ht="15.75" customHeight="1" x14ac:dyDescent="0.35">
      <c r="B228" s="470">
        <v>6923364190</v>
      </c>
      <c r="C228" s="669" t="s">
        <v>618</v>
      </c>
      <c r="D228" s="42">
        <v>2</v>
      </c>
      <c r="E228" s="1">
        <v>168</v>
      </c>
      <c r="F228" s="63"/>
      <c r="G228" s="57"/>
      <c r="H228" s="516">
        <f t="shared" si="54"/>
        <v>0</v>
      </c>
      <c r="I228" s="60">
        <f>(30*BC!$B$47/E228)</f>
        <v>0</v>
      </c>
      <c r="J228" s="701">
        <f t="shared" si="48"/>
        <v>0</v>
      </c>
      <c r="K228" s="701">
        <f t="shared" si="49"/>
        <v>0</v>
      </c>
      <c r="L228" s="216">
        <f t="shared" si="44"/>
        <v>0</v>
      </c>
      <c r="M228" s="367">
        <v>101</v>
      </c>
      <c r="N228" s="148">
        <f t="shared" si="50"/>
        <v>0</v>
      </c>
      <c r="O228" s="57">
        <f t="shared" si="51"/>
        <v>0</v>
      </c>
      <c r="P228" s="57">
        <f t="shared" si="47"/>
        <v>0</v>
      </c>
    </row>
    <row r="229" spans="2:21" ht="15.75" customHeight="1" x14ac:dyDescent="0.35">
      <c r="B229" s="470">
        <v>7092571190</v>
      </c>
      <c r="C229" s="670" t="s">
        <v>597</v>
      </c>
      <c r="D229" s="42">
        <v>8</v>
      </c>
      <c r="E229" s="1">
        <v>28</v>
      </c>
      <c r="F229" s="63"/>
      <c r="G229" s="57"/>
      <c r="H229" s="516">
        <f t="shared" si="54"/>
        <v>0</v>
      </c>
      <c r="I229" s="60">
        <f>(30*BC!$B$47/E229)</f>
        <v>0</v>
      </c>
      <c r="J229" s="701">
        <f t="shared" si="48"/>
        <v>0</v>
      </c>
      <c r="K229" s="701">
        <f t="shared" si="49"/>
        <v>0</v>
      </c>
      <c r="L229" s="216">
        <f t="shared" si="44"/>
        <v>0</v>
      </c>
      <c r="M229" s="367">
        <v>284</v>
      </c>
      <c r="N229" s="148">
        <f t="shared" si="50"/>
        <v>0</v>
      </c>
      <c r="O229" s="57">
        <f t="shared" si="51"/>
        <v>0</v>
      </c>
      <c r="P229" s="57">
        <f t="shared" si="47"/>
        <v>0</v>
      </c>
    </row>
    <row r="230" spans="2:21" ht="15.75" customHeight="1" x14ac:dyDescent="0.35">
      <c r="B230" s="470">
        <v>9216928190</v>
      </c>
      <c r="C230" s="671" t="s">
        <v>595</v>
      </c>
      <c r="D230" s="42">
        <v>2</v>
      </c>
      <c r="E230" s="1">
        <v>28</v>
      </c>
      <c r="F230" s="63"/>
      <c r="G230" s="57"/>
      <c r="H230" s="516">
        <f t="shared" si="54"/>
        <v>0</v>
      </c>
      <c r="I230" s="60">
        <f>(30*BC!$B$47/E230)</f>
        <v>0</v>
      </c>
      <c r="J230" s="701">
        <f t="shared" si="48"/>
        <v>0</v>
      </c>
      <c r="K230" s="701">
        <f t="shared" si="49"/>
        <v>0</v>
      </c>
      <c r="L230" s="216">
        <f t="shared" si="44"/>
        <v>0</v>
      </c>
      <c r="M230" s="367">
        <v>69</v>
      </c>
      <c r="N230" s="148">
        <f t="shared" si="50"/>
        <v>0</v>
      </c>
      <c r="O230" s="57">
        <f t="shared" si="51"/>
        <v>0</v>
      </c>
      <c r="P230" s="57">
        <f t="shared" si="47"/>
        <v>0</v>
      </c>
    </row>
    <row r="231" spans="2:21" ht="15.75" customHeight="1" x14ac:dyDescent="0.35">
      <c r="B231" s="470">
        <v>9289313190</v>
      </c>
      <c r="C231" s="672" t="s">
        <v>595</v>
      </c>
      <c r="D231" s="42">
        <v>2</v>
      </c>
      <c r="E231" s="1">
        <v>84</v>
      </c>
      <c r="F231" s="63"/>
      <c r="G231" s="57"/>
      <c r="H231" s="516">
        <f t="shared" si="54"/>
        <v>0</v>
      </c>
      <c r="I231" s="60">
        <f>(30*BC!$B$47/E231)</f>
        <v>0</v>
      </c>
      <c r="J231" s="701">
        <f t="shared" si="48"/>
        <v>0</v>
      </c>
      <c r="K231" s="701">
        <f t="shared" si="49"/>
        <v>0</v>
      </c>
      <c r="L231" s="216">
        <f t="shared" si="44"/>
        <v>0</v>
      </c>
      <c r="M231" s="367">
        <v>184</v>
      </c>
      <c r="N231" s="148">
        <f t="shared" si="50"/>
        <v>0</v>
      </c>
      <c r="O231" s="57">
        <f t="shared" si="51"/>
        <v>0</v>
      </c>
      <c r="P231" s="57">
        <f t="shared" si="47"/>
        <v>0</v>
      </c>
    </row>
    <row r="232" spans="2:21" ht="15.75" customHeight="1" x14ac:dyDescent="0.35">
      <c r="B232" s="470">
        <v>9345302190</v>
      </c>
      <c r="C232" s="674" t="s">
        <v>617</v>
      </c>
      <c r="D232" s="42">
        <v>3</v>
      </c>
      <c r="E232" s="1">
        <v>21</v>
      </c>
      <c r="F232" s="63"/>
      <c r="G232" s="57"/>
      <c r="H232" s="516">
        <f t="shared" si="54"/>
        <v>0</v>
      </c>
      <c r="I232" s="60">
        <f>(30*BC!$B$47/E232)</f>
        <v>0</v>
      </c>
      <c r="J232" s="701">
        <f t="shared" si="48"/>
        <v>0</v>
      </c>
      <c r="K232" s="701">
        <f t="shared" si="49"/>
        <v>0</v>
      </c>
      <c r="L232" s="216">
        <f t="shared" si="44"/>
        <v>0</v>
      </c>
      <c r="M232" s="367">
        <v>287</v>
      </c>
      <c r="N232" s="148">
        <f t="shared" si="50"/>
        <v>0</v>
      </c>
      <c r="O232" s="57">
        <f t="shared" si="51"/>
        <v>0</v>
      </c>
      <c r="P232" s="57">
        <f t="shared" si="47"/>
        <v>0</v>
      </c>
    </row>
    <row r="233" spans="2:21" ht="15.75" customHeight="1" x14ac:dyDescent="0.35">
      <c r="B233" s="470">
        <v>5889081190</v>
      </c>
      <c r="C233" s="675" t="s">
        <v>611</v>
      </c>
      <c r="D233" s="42">
        <v>1</v>
      </c>
      <c r="E233" s="1">
        <v>28</v>
      </c>
      <c r="F233" s="63"/>
      <c r="G233" s="57"/>
      <c r="H233" s="516">
        <f>(A37/(0.00001*300)/3000)</f>
        <v>0</v>
      </c>
      <c r="I233" s="60">
        <f>(30*BC!$B$47/E233)</f>
        <v>0</v>
      </c>
      <c r="J233" s="701">
        <f t="shared" si="48"/>
        <v>0</v>
      </c>
      <c r="K233" s="701">
        <f t="shared" si="49"/>
        <v>0</v>
      </c>
      <c r="L233" s="216">
        <f t="shared" si="44"/>
        <v>0</v>
      </c>
      <c r="M233" s="367">
        <v>656</v>
      </c>
      <c r="N233" s="148">
        <f t="shared" si="50"/>
        <v>0</v>
      </c>
      <c r="O233" s="57">
        <f t="shared" si="51"/>
        <v>0</v>
      </c>
      <c r="P233" s="57">
        <f t="shared" si="47"/>
        <v>0</v>
      </c>
    </row>
    <row r="234" spans="2:21" ht="15.75" customHeight="1" x14ac:dyDescent="0.35">
      <c r="B234" s="470">
        <v>7294131190</v>
      </c>
      <c r="C234" s="678" t="s">
        <v>602</v>
      </c>
      <c r="D234" s="42">
        <v>1</v>
      </c>
      <c r="E234" s="1">
        <v>28</v>
      </c>
      <c r="F234" s="63"/>
      <c r="G234" s="57"/>
      <c r="H234" s="516">
        <f>(G109/(0.00001*300)/3000)</f>
        <v>0</v>
      </c>
      <c r="I234" s="60">
        <f>(30*BC!$B$47/E234)</f>
        <v>0</v>
      </c>
      <c r="J234" s="701">
        <f t="shared" si="48"/>
        <v>0</v>
      </c>
      <c r="K234" s="701">
        <f t="shared" si="49"/>
        <v>0</v>
      </c>
      <c r="L234" s="216">
        <f t="shared" si="44"/>
        <v>0</v>
      </c>
      <c r="M234" s="367">
        <v>331</v>
      </c>
      <c r="N234" s="148">
        <f t="shared" si="50"/>
        <v>0</v>
      </c>
      <c r="O234" s="57">
        <f t="shared" si="51"/>
        <v>0</v>
      </c>
      <c r="P234" s="57">
        <f t="shared" si="47"/>
        <v>0</v>
      </c>
    </row>
    <row r="235" spans="2:21" ht="15.75" customHeight="1" x14ac:dyDescent="0.35">
      <c r="B235" s="587" t="s">
        <v>8</v>
      </c>
      <c r="C235" s="588"/>
      <c r="D235" s="589" t="s">
        <v>1082</v>
      </c>
      <c r="E235" s="698" t="s">
        <v>54</v>
      </c>
      <c r="F235" s="733"/>
      <c r="G235" s="55"/>
      <c r="H235" s="735" t="s">
        <v>53</v>
      </c>
      <c r="I235" s="512" t="s">
        <v>52</v>
      </c>
      <c r="J235" s="512" t="s">
        <v>51</v>
      </c>
      <c r="K235" s="512"/>
      <c r="L235" s="482" t="s">
        <v>50</v>
      </c>
      <c r="M235" s="513" t="s">
        <v>49</v>
      </c>
      <c r="N235" s="482" t="s">
        <v>48</v>
      </c>
      <c r="O235" s="483" t="s">
        <v>318</v>
      </c>
      <c r="P235" s="483" t="s">
        <v>319</v>
      </c>
      <c r="U235" s="24"/>
    </row>
    <row r="236" spans="2:21" ht="15.75" customHeight="1" x14ac:dyDescent="0.35">
      <c r="B236" s="471">
        <v>5694302001</v>
      </c>
      <c r="C236" s="471" t="s">
        <v>1052</v>
      </c>
      <c r="D236" s="1">
        <v>1</v>
      </c>
      <c r="E236" s="1">
        <v>365</v>
      </c>
      <c r="F236" s="63"/>
      <c r="G236" s="55"/>
      <c r="H236" s="516">
        <f>(G112/(0.04*50)/2000)</f>
        <v>0</v>
      </c>
      <c r="I236" s="60">
        <f>(30*BC!$B$47/E236)</f>
        <v>0</v>
      </c>
      <c r="J236" s="701">
        <f t="shared" ref="J236:J261" si="55">IF(I236&gt;H236,I236,H236)</f>
        <v>0</v>
      </c>
      <c r="K236" s="701">
        <f t="shared" ref="K236:K239" si="56">IF(H236=0,0,J236)</f>
        <v>0</v>
      </c>
      <c r="L236" s="216">
        <f t="shared" ref="L236:L261" si="57">ROUNDUP(K236,0)</f>
        <v>0</v>
      </c>
      <c r="M236" s="367">
        <v>231</v>
      </c>
      <c r="N236" s="148">
        <f t="shared" ref="N236:N261" si="58">((M236/D236)*L236)</f>
        <v>0</v>
      </c>
      <c r="O236" s="57">
        <f t="shared" ref="O236:O261" si="59">L236/D236</f>
        <v>0</v>
      </c>
      <c r="P236" s="57">
        <f t="shared" ref="P236:P261" si="60">ROUNDUP(O236,0)</f>
        <v>0</v>
      </c>
      <c r="U236" s="24"/>
    </row>
    <row r="237" spans="2:21" ht="15.75" customHeight="1" x14ac:dyDescent="0.35">
      <c r="B237" s="471">
        <v>7299010190</v>
      </c>
      <c r="C237" s="471" t="s">
        <v>1053</v>
      </c>
      <c r="D237" s="42">
        <v>1</v>
      </c>
      <c r="E237" s="1">
        <v>112</v>
      </c>
      <c r="F237" s="63"/>
      <c r="G237" s="55"/>
      <c r="H237" s="516">
        <f>(G112/(0.02*6000)/100)</f>
        <v>0</v>
      </c>
      <c r="I237" s="60">
        <f>(30*BC!$B$47/E237)</f>
        <v>0</v>
      </c>
      <c r="J237" s="701">
        <f t="shared" si="55"/>
        <v>0</v>
      </c>
      <c r="K237" s="701">
        <f t="shared" si="56"/>
        <v>0</v>
      </c>
      <c r="L237" s="216">
        <f t="shared" si="57"/>
        <v>0</v>
      </c>
      <c r="M237" s="367">
        <v>18</v>
      </c>
      <c r="N237" s="148">
        <f t="shared" si="58"/>
        <v>0</v>
      </c>
      <c r="O237" s="57">
        <f t="shared" si="59"/>
        <v>0</v>
      </c>
      <c r="P237" s="57">
        <f t="shared" si="60"/>
        <v>0</v>
      </c>
      <c r="U237" s="24"/>
    </row>
    <row r="238" spans="2:21" ht="15.75" customHeight="1" x14ac:dyDescent="0.35">
      <c r="B238" s="471">
        <v>7299001190</v>
      </c>
      <c r="C238" s="471" t="s">
        <v>1054</v>
      </c>
      <c r="D238" s="42">
        <v>1</v>
      </c>
      <c r="E238" s="1">
        <v>112</v>
      </c>
      <c r="F238" s="63"/>
      <c r="G238" s="55"/>
      <c r="H238" s="516">
        <f>(G112/(0.02*2000)/100)</f>
        <v>0</v>
      </c>
      <c r="I238" s="60">
        <f>(30*BC!$B$47/E238)</f>
        <v>0</v>
      </c>
      <c r="J238" s="701">
        <f t="shared" si="55"/>
        <v>0</v>
      </c>
      <c r="K238" s="701">
        <f t="shared" si="56"/>
        <v>0</v>
      </c>
      <c r="L238" s="216">
        <f t="shared" si="57"/>
        <v>0</v>
      </c>
      <c r="M238" s="367">
        <v>216</v>
      </c>
      <c r="N238" s="148">
        <f t="shared" si="58"/>
        <v>0</v>
      </c>
      <c r="O238" s="57">
        <f t="shared" si="59"/>
        <v>0</v>
      </c>
      <c r="P238" s="57">
        <f t="shared" si="60"/>
        <v>0</v>
      </c>
      <c r="U238" s="24"/>
    </row>
    <row r="239" spans="2:21" ht="15.75" customHeight="1" x14ac:dyDescent="0.35">
      <c r="B239" s="25">
        <v>9762582190</v>
      </c>
      <c r="C239" s="471" t="s">
        <v>1055</v>
      </c>
      <c r="D239" s="42">
        <v>1</v>
      </c>
      <c r="E239" s="1">
        <v>28</v>
      </c>
      <c r="F239" s="63"/>
      <c r="G239" s="55"/>
      <c r="H239" s="516">
        <f>(G112/(0.02*6000)/100)</f>
        <v>0</v>
      </c>
      <c r="I239" s="60">
        <f>(30*BC!$B$47/E239)</f>
        <v>0</v>
      </c>
      <c r="J239" s="701">
        <f t="shared" si="55"/>
        <v>0</v>
      </c>
      <c r="K239" s="701">
        <f t="shared" si="56"/>
        <v>0</v>
      </c>
      <c r="L239" s="216">
        <f t="shared" si="57"/>
        <v>0</v>
      </c>
      <c r="M239" s="367">
        <v>128</v>
      </c>
      <c r="N239" s="148">
        <f t="shared" si="58"/>
        <v>0</v>
      </c>
      <c r="O239" s="57">
        <f t="shared" si="59"/>
        <v>0</v>
      </c>
      <c r="P239" s="57">
        <f t="shared" si="60"/>
        <v>0</v>
      </c>
      <c r="U239" s="24"/>
    </row>
    <row r="240" spans="2:21" ht="15.75" customHeight="1" x14ac:dyDescent="0.35">
      <c r="B240" s="471">
        <v>6908853190</v>
      </c>
      <c r="C240" s="471" t="s">
        <v>1088</v>
      </c>
      <c r="D240" s="42">
        <v>2</v>
      </c>
      <c r="E240" s="1">
        <v>28</v>
      </c>
      <c r="F240" s="63"/>
      <c r="G240" s="55"/>
      <c r="H240" s="516">
        <f>(G112/(0.0002*200)/12000)</f>
        <v>0</v>
      </c>
      <c r="I240" s="60">
        <f>(30*BC!$B$47/E240)</f>
        <v>0</v>
      </c>
      <c r="J240" s="701">
        <f t="shared" si="55"/>
        <v>0</v>
      </c>
      <c r="K240" s="701">
        <f>IF(F6=0,0,J240)</f>
        <v>0</v>
      </c>
      <c r="L240" s="216">
        <f t="shared" si="57"/>
        <v>0</v>
      </c>
      <c r="M240" s="367">
        <v>29</v>
      </c>
      <c r="N240" s="148">
        <f t="shared" si="58"/>
        <v>0</v>
      </c>
      <c r="O240" s="57">
        <f t="shared" si="59"/>
        <v>0</v>
      </c>
      <c r="P240" s="57">
        <f t="shared" si="60"/>
        <v>0</v>
      </c>
      <c r="U240" s="24"/>
    </row>
    <row r="241" spans="2:21" ht="15.75" customHeight="1" x14ac:dyDescent="0.35">
      <c r="B241" s="471">
        <v>6908853190</v>
      </c>
      <c r="C241" s="471" t="s">
        <v>1089</v>
      </c>
      <c r="D241" s="42">
        <v>2</v>
      </c>
      <c r="E241" s="1">
        <v>28</v>
      </c>
      <c r="F241" s="63"/>
      <c r="G241" s="55"/>
      <c r="H241" s="516">
        <f>(G112/(0.0003*200)/12000)</f>
        <v>0</v>
      </c>
      <c r="I241" s="60">
        <f>(30*BC!$B$47/E241)</f>
        <v>0</v>
      </c>
      <c r="J241" s="701">
        <f t="shared" si="55"/>
        <v>0</v>
      </c>
      <c r="K241" s="701">
        <f>IF(D6=0,0,J241)</f>
        <v>0</v>
      </c>
      <c r="L241" s="216">
        <f t="shared" si="57"/>
        <v>0</v>
      </c>
      <c r="M241" s="367">
        <v>29</v>
      </c>
      <c r="N241" s="148">
        <f t="shared" si="58"/>
        <v>0</v>
      </c>
      <c r="O241" s="57">
        <f t="shared" si="59"/>
        <v>0</v>
      </c>
      <c r="P241" s="57">
        <f t="shared" si="60"/>
        <v>0</v>
      </c>
      <c r="U241" s="24"/>
    </row>
    <row r="242" spans="2:21" ht="15.75" customHeight="1" x14ac:dyDescent="0.35">
      <c r="B242" s="471">
        <v>4880293190</v>
      </c>
      <c r="C242" s="471" t="s">
        <v>1090</v>
      </c>
      <c r="D242" s="42">
        <v>2</v>
      </c>
      <c r="E242" s="1">
        <v>21</v>
      </c>
      <c r="F242" s="63"/>
      <c r="G242" s="55"/>
      <c r="H242" s="516">
        <f>(G112/(0.00006*230)/12000)</f>
        <v>0</v>
      </c>
      <c r="I242" s="60">
        <f>(30*BC!$B$47/E242)</f>
        <v>0</v>
      </c>
      <c r="J242" s="701">
        <f t="shared" si="55"/>
        <v>0</v>
      </c>
      <c r="K242" s="701">
        <f>IF(F6=0,0,J242)</f>
        <v>0</v>
      </c>
      <c r="L242" s="216">
        <f t="shared" si="57"/>
        <v>0</v>
      </c>
      <c r="M242" s="367">
        <v>109</v>
      </c>
      <c r="N242" s="148">
        <f t="shared" si="58"/>
        <v>0</v>
      </c>
      <c r="O242" s="57">
        <f t="shared" si="59"/>
        <v>0</v>
      </c>
      <c r="P242" s="57">
        <f t="shared" si="60"/>
        <v>0</v>
      </c>
      <c r="U242" s="24"/>
    </row>
    <row r="243" spans="2:21" ht="15.75" customHeight="1" x14ac:dyDescent="0.35">
      <c r="B243" s="471">
        <v>4880293190</v>
      </c>
      <c r="C243" s="471" t="s">
        <v>1091</v>
      </c>
      <c r="D243" s="42">
        <v>2</v>
      </c>
      <c r="E243" s="1">
        <v>21</v>
      </c>
      <c r="F243" s="63"/>
      <c r="G243" s="55"/>
      <c r="H243" s="516">
        <f>(G112/(0.0001*500)/12000)</f>
        <v>0</v>
      </c>
      <c r="I243" s="60">
        <f>(30*BC!$B$47/E243)</f>
        <v>0</v>
      </c>
      <c r="J243" s="701">
        <f t="shared" si="55"/>
        <v>0</v>
      </c>
      <c r="K243" s="701">
        <f>IF(D6=0,0,J243)</f>
        <v>0</v>
      </c>
      <c r="L243" s="216">
        <f t="shared" si="57"/>
        <v>0</v>
      </c>
      <c r="M243" s="367">
        <v>109</v>
      </c>
      <c r="N243" s="148">
        <f t="shared" si="58"/>
        <v>0</v>
      </c>
      <c r="O243" s="57">
        <f t="shared" si="59"/>
        <v>0</v>
      </c>
      <c r="P243" s="57">
        <f t="shared" si="60"/>
        <v>0</v>
      </c>
      <c r="U243" s="24"/>
    </row>
    <row r="244" spans="2:21" ht="15.75" customHeight="1" x14ac:dyDescent="0.35">
      <c r="B244" s="471">
        <v>6908799190</v>
      </c>
      <c r="C244" s="471" t="s">
        <v>1092</v>
      </c>
      <c r="D244" s="42">
        <v>2</v>
      </c>
      <c r="E244" s="1">
        <v>21</v>
      </c>
      <c r="F244" s="63"/>
      <c r="G244" s="55"/>
      <c r="H244" s="516">
        <f>(G112/(0.00013*300)/12000)</f>
        <v>0</v>
      </c>
      <c r="I244" s="60">
        <f>(30*BC!$B$47/E244)</f>
        <v>0</v>
      </c>
      <c r="J244" s="701">
        <f t="shared" si="55"/>
        <v>0</v>
      </c>
      <c r="K244" s="701">
        <f>IF(F6=0,0,J244)</f>
        <v>0</v>
      </c>
      <c r="L244" s="216">
        <f t="shared" si="57"/>
        <v>0</v>
      </c>
      <c r="M244" s="367">
        <v>30</v>
      </c>
      <c r="N244" s="148">
        <f t="shared" si="58"/>
        <v>0</v>
      </c>
      <c r="O244" s="57">
        <f t="shared" si="59"/>
        <v>0</v>
      </c>
      <c r="P244" s="57">
        <f t="shared" si="60"/>
        <v>0</v>
      </c>
      <c r="U244" s="24"/>
    </row>
    <row r="245" spans="2:21" ht="15.75" customHeight="1" x14ac:dyDescent="0.35">
      <c r="B245" s="471">
        <v>6908799190</v>
      </c>
      <c r="C245" s="471" t="s">
        <v>1093</v>
      </c>
      <c r="D245" s="42">
        <v>2</v>
      </c>
      <c r="E245" s="1">
        <v>21</v>
      </c>
      <c r="F245" s="63"/>
      <c r="G245" s="55"/>
      <c r="H245" s="516">
        <f>(G112/(0.00013*500)/12000)</f>
        <v>0</v>
      </c>
      <c r="I245" s="60">
        <f>(30*BC!$B$47/E245)</f>
        <v>0</v>
      </c>
      <c r="J245" s="701">
        <f t="shared" si="55"/>
        <v>0</v>
      </c>
      <c r="K245" s="701">
        <f>IF(D6=0,0,J245)</f>
        <v>0</v>
      </c>
      <c r="L245" s="216">
        <f t="shared" si="57"/>
        <v>0</v>
      </c>
      <c r="M245" s="367">
        <v>30</v>
      </c>
      <c r="N245" s="148">
        <f t="shared" si="58"/>
        <v>0</v>
      </c>
      <c r="O245" s="57">
        <f t="shared" si="59"/>
        <v>0</v>
      </c>
      <c r="P245" s="57">
        <f t="shared" si="60"/>
        <v>0</v>
      </c>
      <c r="U245" s="24"/>
    </row>
    <row r="246" spans="2:21" ht="15.75" customHeight="1" x14ac:dyDescent="0.35">
      <c r="B246" s="471">
        <v>7373066190</v>
      </c>
      <c r="C246" s="471" t="s">
        <v>1059</v>
      </c>
      <c r="D246" s="42">
        <v>1</v>
      </c>
      <c r="E246" s="1">
        <v>112</v>
      </c>
      <c r="F246" s="63"/>
      <c r="G246" s="55"/>
      <c r="H246" s="516"/>
      <c r="I246" s="60">
        <f>(30*BC!$B$47/E246)</f>
        <v>0</v>
      </c>
      <c r="J246" s="701">
        <f t="shared" si="55"/>
        <v>0</v>
      </c>
      <c r="K246" s="701">
        <f t="shared" ref="K246:K261" si="61">IF(H246=0,0,J246)</f>
        <v>0</v>
      </c>
      <c r="L246" s="216">
        <f t="shared" si="57"/>
        <v>0</v>
      </c>
      <c r="M246" s="367">
        <v>96</v>
      </c>
      <c r="N246" s="148">
        <f t="shared" si="58"/>
        <v>0</v>
      </c>
      <c r="O246" s="57">
        <f t="shared" si="59"/>
        <v>0</v>
      </c>
      <c r="P246" s="57">
        <f t="shared" si="60"/>
        <v>0</v>
      </c>
      <c r="U246" s="24"/>
    </row>
    <row r="247" spans="2:21" ht="15.75" customHeight="1" x14ac:dyDescent="0.35">
      <c r="B247" s="471">
        <v>7372990190</v>
      </c>
      <c r="C247" s="471" t="s">
        <v>1060</v>
      </c>
      <c r="D247" s="42">
        <v>1</v>
      </c>
      <c r="E247" s="1">
        <v>112</v>
      </c>
      <c r="F247" s="63"/>
      <c r="G247" s="55"/>
      <c r="H247" s="516"/>
      <c r="I247" s="60">
        <f>(30*BC!$B$47/E247)</f>
        <v>0</v>
      </c>
      <c r="J247" s="701">
        <f t="shared" si="55"/>
        <v>0</v>
      </c>
      <c r="K247" s="701">
        <f t="shared" si="61"/>
        <v>0</v>
      </c>
      <c r="L247" s="216">
        <f t="shared" si="57"/>
        <v>0</v>
      </c>
      <c r="M247" s="367">
        <v>55</v>
      </c>
      <c r="N247" s="148">
        <f t="shared" si="58"/>
        <v>0</v>
      </c>
      <c r="O247" s="57">
        <f t="shared" si="59"/>
        <v>0</v>
      </c>
      <c r="P247" s="57">
        <f t="shared" si="60"/>
        <v>0</v>
      </c>
      <c r="U247" s="24"/>
    </row>
    <row r="248" spans="2:21" ht="15.75" customHeight="1" x14ac:dyDescent="0.35">
      <c r="B248" s="471">
        <v>5118506190</v>
      </c>
      <c r="C248" s="471" t="s">
        <v>1061</v>
      </c>
      <c r="D248" s="42">
        <v>2</v>
      </c>
      <c r="E248" s="1">
        <v>5</v>
      </c>
      <c r="F248" s="63"/>
      <c r="G248" s="55"/>
      <c r="H248" s="516"/>
      <c r="I248" s="60">
        <f>(30*BC!$B$47/E248)</f>
        <v>0</v>
      </c>
      <c r="J248" s="701">
        <f t="shared" si="55"/>
        <v>0</v>
      </c>
      <c r="K248" s="701">
        <f t="shared" si="61"/>
        <v>0</v>
      </c>
      <c r="L248" s="216">
        <f t="shared" si="57"/>
        <v>0</v>
      </c>
      <c r="M248" s="367">
        <v>25</v>
      </c>
      <c r="N248" s="148">
        <f t="shared" si="58"/>
        <v>0</v>
      </c>
      <c r="O248" s="57">
        <f t="shared" si="59"/>
        <v>0</v>
      </c>
      <c r="P248" s="57">
        <f t="shared" si="60"/>
        <v>0</v>
      </c>
      <c r="U248" s="24"/>
    </row>
    <row r="249" spans="2:21" ht="15.75" customHeight="1" x14ac:dyDescent="0.35">
      <c r="B249" s="471">
        <v>4444191001</v>
      </c>
      <c r="C249" s="471" t="s">
        <v>630</v>
      </c>
      <c r="D249" s="1">
        <v>1</v>
      </c>
      <c r="E249" s="1">
        <v>365</v>
      </c>
      <c r="F249" s="63"/>
      <c r="G249" s="55"/>
      <c r="H249" s="516">
        <f>((G112-(G112*0.9))/E249)</f>
        <v>0</v>
      </c>
      <c r="I249" s="60">
        <f>(30*BC!$B$47/E249)</f>
        <v>0</v>
      </c>
      <c r="J249" s="701">
        <f t="shared" si="55"/>
        <v>0</v>
      </c>
      <c r="K249" s="701">
        <f t="shared" si="61"/>
        <v>0</v>
      </c>
      <c r="L249" s="216">
        <f t="shared" si="57"/>
        <v>0</v>
      </c>
      <c r="M249" s="367">
        <v>9</v>
      </c>
      <c r="N249" s="148">
        <f t="shared" si="58"/>
        <v>0</v>
      </c>
      <c r="O249" s="57">
        <f t="shared" si="59"/>
        <v>0</v>
      </c>
      <c r="P249" s="57">
        <f t="shared" si="60"/>
        <v>0</v>
      </c>
      <c r="U249" s="24"/>
    </row>
    <row r="250" spans="2:21" ht="15.75" customHeight="1" x14ac:dyDescent="0.35">
      <c r="B250" s="471">
        <v>10394246001</v>
      </c>
      <c r="C250" s="471" t="s">
        <v>1062</v>
      </c>
      <c r="D250" s="1">
        <v>20</v>
      </c>
      <c r="E250" s="1">
        <v>365</v>
      </c>
      <c r="F250" s="63"/>
      <c r="G250" s="55"/>
      <c r="H250" s="516"/>
      <c r="I250" s="60">
        <f>(30*BC!$B$47/E250)</f>
        <v>0</v>
      </c>
      <c r="J250" s="701">
        <f t="shared" si="55"/>
        <v>0</v>
      </c>
      <c r="K250" s="701">
        <f t="shared" si="61"/>
        <v>0</v>
      </c>
      <c r="L250" s="216">
        <f t="shared" si="57"/>
        <v>0</v>
      </c>
      <c r="M250" s="367">
        <v>230</v>
      </c>
      <c r="N250" s="148">
        <f t="shared" si="58"/>
        <v>0</v>
      </c>
      <c r="O250" s="57">
        <f t="shared" si="59"/>
        <v>0</v>
      </c>
      <c r="P250" s="57">
        <f t="shared" si="60"/>
        <v>0</v>
      </c>
      <c r="U250" s="24"/>
    </row>
    <row r="251" spans="2:21" ht="15.75" customHeight="1" x14ac:dyDescent="0.35">
      <c r="B251" s="470">
        <v>3142949122</v>
      </c>
      <c r="C251" s="490" t="s">
        <v>1063</v>
      </c>
      <c r="D251" s="42">
        <v>365</v>
      </c>
      <c r="E251" s="1">
        <v>1</v>
      </c>
      <c r="F251" s="63"/>
      <c r="G251" s="55"/>
      <c r="H251" s="516"/>
      <c r="I251" s="60">
        <f>(30*BC!$B$47/E251)</f>
        <v>0</v>
      </c>
      <c r="J251" s="701">
        <f t="shared" si="55"/>
        <v>0</v>
      </c>
      <c r="K251" s="701">
        <f t="shared" si="61"/>
        <v>0</v>
      </c>
      <c r="L251" s="216">
        <f t="shared" si="57"/>
        <v>0</v>
      </c>
      <c r="M251" s="367">
        <v>127</v>
      </c>
      <c r="N251" s="148">
        <f t="shared" si="58"/>
        <v>0</v>
      </c>
      <c r="O251" s="57">
        <f t="shared" si="59"/>
        <v>0</v>
      </c>
      <c r="P251" s="57">
        <f t="shared" si="60"/>
        <v>0</v>
      </c>
      <c r="U251" s="24"/>
    </row>
    <row r="252" spans="2:21" ht="15.75" customHeight="1" x14ac:dyDescent="0.35">
      <c r="B252" s="470">
        <v>5889073190</v>
      </c>
      <c r="C252" s="675" t="s">
        <v>1064</v>
      </c>
      <c r="D252" s="42">
        <v>100</v>
      </c>
      <c r="E252" s="1">
        <v>84</v>
      </c>
      <c r="F252" s="63"/>
      <c r="G252" s="55"/>
      <c r="H252" s="516"/>
      <c r="I252" s="60">
        <f>(30*BC!$B$47/E252)</f>
        <v>0</v>
      </c>
      <c r="J252" s="701">
        <f t="shared" si="55"/>
        <v>0</v>
      </c>
      <c r="K252" s="701">
        <f t="shared" si="61"/>
        <v>0</v>
      </c>
      <c r="L252" s="216">
        <f t="shared" si="57"/>
        <v>0</v>
      </c>
      <c r="M252" s="367">
        <v>72</v>
      </c>
      <c r="N252" s="148">
        <f t="shared" si="58"/>
        <v>0</v>
      </c>
      <c r="O252" s="57">
        <f t="shared" si="59"/>
        <v>0</v>
      </c>
      <c r="P252" s="57">
        <f t="shared" si="60"/>
        <v>0</v>
      </c>
      <c r="U252" s="24"/>
    </row>
    <row r="253" spans="2:21" ht="15.75" customHeight="1" x14ac:dyDescent="0.35">
      <c r="B253" s="470">
        <v>5944317190</v>
      </c>
      <c r="C253" s="627" t="s">
        <v>1065</v>
      </c>
      <c r="D253" s="42">
        <v>4</v>
      </c>
      <c r="E253" s="1">
        <v>14</v>
      </c>
      <c r="F253" s="63"/>
      <c r="G253" s="55"/>
      <c r="H253" s="516"/>
      <c r="I253" s="60">
        <f>(30*BC!$B$47/E253)</f>
        <v>0</v>
      </c>
      <c r="J253" s="701">
        <f t="shared" si="55"/>
        <v>0</v>
      </c>
      <c r="K253" s="701">
        <f t="shared" si="61"/>
        <v>0</v>
      </c>
      <c r="L253" s="216">
        <f t="shared" si="57"/>
        <v>0</v>
      </c>
      <c r="M253" s="367">
        <v>95</v>
      </c>
      <c r="N253" s="148">
        <f t="shared" si="58"/>
        <v>0</v>
      </c>
      <c r="O253" s="57">
        <f t="shared" si="59"/>
        <v>0</v>
      </c>
      <c r="P253" s="57">
        <f t="shared" si="60"/>
        <v>0</v>
      </c>
      <c r="U253" s="24"/>
    </row>
    <row r="254" spans="2:21" ht="15.75" customHeight="1" x14ac:dyDescent="0.35">
      <c r="B254" s="470">
        <v>9370064190</v>
      </c>
      <c r="C254" s="490" t="s">
        <v>1066</v>
      </c>
      <c r="D254" s="42">
        <v>1</v>
      </c>
      <c r="E254" s="1">
        <v>28</v>
      </c>
      <c r="F254" s="63"/>
      <c r="G254" s="55"/>
      <c r="H254" s="516"/>
      <c r="I254" s="60">
        <f>(30*BC!$B$47/E254)</f>
        <v>0</v>
      </c>
      <c r="J254" s="701">
        <f t="shared" si="55"/>
        <v>0</v>
      </c>
      <c r="K254" s="701">
        <f t="shared" si="61"/>
        <v>0</v>
      </c>
      <c r="L254" s="216">
        <f t="shared" si="57"/>
        <v>0</v>
      </c>
      <c r="M254" s="367">
        <v>129</v>
      </c>
      <c r="N254" s="148">
        <f t="shared" si="58"/>
        <v>0</v>
      </c>
      <c r="O254" s="57">
        <f t="shared" si="59"/>
        <v>0</v>
      </c>
      <c r="P254" s="57">
        <f t="shared" si="60"/>
        <v>0</v>
      </c>
      <c r="U254" s="24"/>
    </row>
    <row r="255" spans="2:21" ht="15.75" customHeight="1" x14ac:dyDescent="0.35">
      <c r="B255" s="470">
        <v>9370099190</v>
      </c>
      <c r="C255" s="490" t="s">
        <v>1067</v>
      </c>
      <c r="D255" s="42">
        <v>1</v>
      </c>
      <c r="E255" s="1">
        <v>28</v>
      </c>
      <c r="F255" s="63"/>
      <c r="G255" s="55"/>
      <c r="H255" s="516"/>
      <c r="I255" s="60">
        <f>(30*BC!$B$47/E255)</f>
        <v>0</v>
      </c>
      <c r="J255" s="701">
        <f t="shared" si="55"/>
        <v>0</v>
      </c>
      <c r="K255" s="701">
        <f t="shared" si="61"/>
        <v>0</v>
      </c>
      <c r="L255" s="216">
        <f t="shared" si="57"/>
        <v>0</v>
      </c>
      <c r="M255" s="367">
        <v>534</v>
      </c>
      <c r="N255" s="148">
        <f t="shared" si="58"/>
        <v>0</v>
      </c>
      <c r="O255" s="57">
        <f t="shared" si="59"/>
        <v>0</v>
      </c>
      <c r="P255" s="57">
        <f t="shared" si="60"/>
        <v>0</v>
      </c>
      <c r="U255" s="24"/>
    </row>
    <row r="256" spans="2:21" ht="15.75" customHeight="1" x14ac:dyDescent="0.35">
      <c r="B256" s="470">
        <v>9127127190</v>
      </c>
      <c r="C256" s="490" t="s">
        <v>1068</v>
      </c>
      <c r="D256" s="42">
        <v>2</v>
      </c>
      <c r="E256" s="1">
        <v>56</v>
      </c>
      <c r="F256" s="63"/>
      <c r="G256" s="55"/>
      <c r="H256" s="516"/>
      <c r="I256" s="60">
        <f>(30*BC!$B$47/E256)</f>
        <v>0</v>
      </c>
      <c r="J256" s="701">
        <f t="shared" si="55"/>
        <v>0</v>
      </c>
      <c r="K256" s="701">
        <f t="shared" si="61"/>
        <v>0</v>
      </c>
      <c r="L256" s="216">
        <f t="shared" si="57"/>
        <v>0</v>
      </c>
      <c r="M256" s="148"/>
      <c r="N256" s="148">
        <f t="shared" si="58"/>
        <v>0</v>
      </c>
      <c r="O256" s="57">
        <f t="shared" si="59"/>
        <v>0</v>
      </c>
      <c r="P256" s="57">
        <f t="shared" si="60"/>
        <v>0</v>
      </c>
      <c r="U256" s="24"/>
    </row>
    <row r="257" spans="2:21" ht="15.75" customHeight="1" x14ac:dyDescent="0.35">
      <c r="B257" s="471">
        <v>5870020001</v>
      </c>
      <c r="C257" s="471" t="s">
        <v>813</v>
      </c>
      <c r="D257" s="1">
        <v>1</v>
      </c>
      <c r="E257" s="1">
        <v>365</v>
      </c>
      <c r="F257" s="63"/>
      <c r="G257" s="55"/>
      <c r="H257" s="516">
        <f>(G112/2000)/1.2</f>
        <v>0</v>
      </c>
      <c r="I257" s="60">
        <f>(30*BC!$B$47/E257)</f>
        <v>0</v>
      </c>
      <c r="J257" s="701">
        <f t="shared" si="55"/>
        <v>0</v>
      </c>
      <c r="K257" s="701">
        <f t="shared" si="61"/>
        <v>0</v>
      </c>
      <c r="L257" s="216">
        <f t="shared" si="57"/>
        <v>0</v>
      </c>
      <c r="M257" s="367">
        <v>11</v>
      </c>
      <c r="N257" s="148">
        <f t="shared" si="58"/>
        <v>0</v>
      </c>
      <c r="O257" s="57">
        <f t="shared" si="59"/>
        <v>0</v>
      </c>
      <c r="P257" s="57">
        <f t="shared" si="60"/>
        <v>0</v>
      </c>
      <c r="U257" s="24"/>
    </row>
    <row r="258" spans="2:21" ht="15.75" customHeight="1" x14ac:dyDescent="0.35">
      <c r="B258" s="471">
        <v>4419987001</v>
      </c>
      <c r="C258" s="471" t="s">
        <v>814</v>
      </c>
      <c r="D258" s="1">
        <v>1</v>
      </c>
      <c r="E258" s="1">
        <v>365</v>
      </c>
      <c r="F258" s="63"/>
      <c r="G258" s="55"/>
      <c r="H258" s="516">
        <f>(G112/D258)/4500</f>
        <v>0</v>
      </c>
      <c r="I258" s="60">
        <f>(30*BC!$B$47/E258)</f>
        <v>0</v>
      </c>
      <c r="J258" s="701">
        <f t="shared" si="55"/>
        <v>0</v>
      </c>
      <c r="K258" s="701">
        <f t="shared" si="61"/>
        <v>0</v>
      </c>
      <c r="L258" s="216">
        <f t="shared" si="57"/>
        <v>0</v>
      </c>
      <c r="M258" s="367">
        <v>7</v>
      </c>
      <c r="N258" s="148">
        <f t="shared" si="58"/>
        <v>0</v>
      </c>
      <c r="O258" s="57">
        <f t="shared" si="59"/>
        <v>0</v>
      </c>
      <c r="P258" s="57">
        <f t="shared" si="60"/>
        <v>0</v>
      </c>
      <c r="U258" s="24"/>
    </row>
    <row r="259" spans="2:21" ht="15.75" customHeight="1" x14ac:dyDescent="0.35">
      <c r="B259" s="471">
        <v>7485409001</v>
      </c>
      <c r="C259" s="471" t="s">
        <v>1069</v>
      </c>
      <c r="D259" s="1">
        <v>1</v>
      </c>
      <c r="E259" s="1">
        <v>365</v>
      </c>
      <c r="F259" s="63"/>
      <c r="G259" s="55"/>
      <c r="H259" s="516"/>
      <c r="I259" s="60">
        <f>(30*BC!$B$47/E259)</f>
        <v>0</v>
      </c>
      <c r="J259" s="701">
        <f t="shared" si="55"/>
        <v>0</v>
      </c>
      <c r="K259" s="701">
        <f t="shared" si="61"/>
        <v>0</v>
      </c>
      <c r="L259" s="216">
        <f t="shared" si="57"/>
        <v>0</v>
      </c>
      <c r="M259" s="367">
        <v>84</v>
      </c>
      <c r="N259" s="148">
        <f t="shared" si="58"/>
        <v>0</v>
      </c>
      <c r="O259" s="57">
        <f t="shared" si="59"/>
        <v>0</v>
      </c>
      <c r="P259" s="57">
        <f t="shared" si="60"/>
        <v>0</v>
      </c>
      <c r="U259" s="24"/>
    </row>
    <row r="260" spans="2:21" ht="15.75" customHeight="1" x14ac:dyDescent="0.35">
      <c r="B260" s="471">
        <v>7485433001</v>
      </c>
      <c r="C260" s="471" t="s">
        <v>1070</v>
      </c>
      <c r="D260" s="1">
        <v>1</v>
      </c>
      <c r="E260" s="1">
        <v>365</v>
      </c>
      <c r="F260" s="63"/>
      <c r="G260" s="55"/>
      <c r="H260" s="516"/>
      <c r="I260" s="60">
        <f>(30*BC!$B$47/E260)</f>
        <v>0</v>
      </c>
      <c r="J260" s="701">
        <f t="shared" si="55"/>
        <v>0</v>
      </c>
      <c r="K260" s="701">
        <f t="shared" si="61"/>
        <v>0</v>
      </c>
      <c r="L260" s="216">
        <f t="shared" si="57"/>
        <v>0</v>
      </c>
      <c r="M260" s="367">
        <v>70</v>
      </c>
      <c r="N260" s="148">
        <f t="shared" si="58"/>
        <v>0</v>
      </c>
      <c r="O260" s="57">
        <f t="shared" si="59"/>
        <v>0</v>
      </c>
      <c r="P260" s="57">
        <f t="shared" si="60"/>
        <v>0</v>
      </c>
      <c r="U260" s="24"/>
    </row>
    <row r="261" spans="2:21" ht="15.75" customHeight="1" x14ac:dyDescent="0.35">
      <c r="B261" s="471">
        <v>11298500316</v>
      </c>
      <c r="C261" s="471" t="s">
        <v>1071</v>
      </c>
      <c r="D261" s="1">
        <v>5</v>
      </c>
      <c r="E261" s="1">
        <v>73</v>
      </c>
      <c r="F261" s="63"/>
      <c r="G261" s="55"/>
      <c r="H261" s="516">
        <f>(G112/(0.02*800)/1000)</f>
        <v>0</v>
      </c>
      <c r="I261" s="60">
        <f>(30*BC!$B$47/E261)</f>
        <v>0</v>
      </c>
      <c r="J261" s="701">
        <f t="shared" si="55"/>
        <v>0</v>
      </c>
      <c r="K261" s="701">
        <f t="shared" si="61"/>
        <v>0</v>
      </c>
      <c r="L261" s="216">
        <f t="shared" si="57"/>
        <v>0</v>
      </c>
      <c r="M261" s="367">
        <v>98</v>
      </c>
      <c r="N261" s="148">
        <f t="shared" si="58"/>
        <v>0</v>
      </c>
      <c r="O261" s="57">
        <f t="shared" si="59"/>
        <v>0</v>
      </c>
      <c r="P261" s="57">
        <f t="shared" si="60"/>
        <v>0</v>
      </c>
      <c r="U261" s="24"/>
    </row>
    <row r="262" spans="2:21" customFormat="1" ht="15.75" customHeight="1" x14ac:dyDescent="0.45">
      <c r="B262" s="287"/>
      <c r="C262" s="56" t="s">
        <v>1086</v>
      </c>
      <c r="D262" s="219"/>
      <c r="E262" s="57"/>
      <c r="F262" s="57"/>
      <c r="G262" s="57"/>
      <c r="H262" s="57"/>
      <c r="I262" s="57"/>
      <c r="J262" s="57"/>
      <c r="K262" s="216">
        <f>BCB50</f>
        <v>0</v>
      </c>
      <c r="L262" s="368">
        <v>3100</v>
      </c>
      <c r="M262" s="57">
        <f>IF(D9=0,0,L262)</f>
        <v>3100</v>
      </c>
      <c r="N262" s="394">
        <f>M262*K262</f>
        <v>0</v>
      </c>
      <c r="O262" s="369"/>
      <c r="P262" s="57"/>
      <c r="Q262" s="57"/>
      <c r="R262" s="72"/>
    </row>
    <row r="263" spans="2:21" customFormat="1" ht="15.75" customHeight="1" x14ac:dyDescent="0.45">
      <c r="B263" s="287"/>
      <c r="C263" s="56" t="s">
        <v>1087</v>
      </c>
      <c r="D263" s="219"/>
      <c r="E263" s="57"/>
      <c r="F263" s="57"/>
      <c r="G263" s="57"/>
      <c r="H263" s="57"/>
      <c r="I263" s="57"/>
      <c r="J263" s="57"/>
      <c r="K263" s="216">
        <f>BCB50</f>
        <v>0</v>
      </c>
      <c r="L263" s="368">
        <v>4900</v>
      </c>
      <c r="M263" s="57">
        <f>IF(F9=0,0,L263)</f>
        <v>0</v>
      </c>
      <c r="N263" s="394">
        <f>M263*K263</f>
        <v>0</v>
      </c>
      <c r="O263" s="369"/>
      <c r="P263" s="57"/>
      <c r="Q263" s="57"/>
      <c r="R263" s="72"/>
    </row>
    <row r="264" spans="2:21" ht="15.75" customHeight="1" x14ac:dyDescent="0.35">
      <c r="D264" s="146"/>
      <c r="G264" s="24"/>
      <c r="N264" s="697">
        <f>SUM(N114:N263)</f>
        <v>0</v>
      </c>
      <c r="O264" s="692"/>
      <c r="U264" s="24"/>
    </row>
    <row r="265" spans="2:21" ht="15.75" customHeight="1" x14ac:dyDescent="0.35">
      <c r="D265" s="146"/>
      <c r="G265" s="24"/>
      <c r="N265" s="148" t="e">
        <f>N264/F112</f>
        <v>#DIV/0!</v>
      </c>
      <c r="U265" s="24"/>
    </row>
    <row r="266" spans="2:21" ht="15.75" customHeight="1" x14ac:dyDescent="0.35">
      <c r="D266" s="146"/>
    </row>
    <row r="267" spans="2:21" ht="15.75" customHeight="1" x14ac:dyDescent="0.35">
      <c r="D267" s="146"/>
    </row>
    <row r="268" spans="2:21" ht="15.75" customHeight="1" x14ac:dyDescent="0.35">
      <c r="D268" s="146"/>
    </row>
    <row r="269" spans="2:21" ht="15.75" customHeight="1" x14ac:dyDescent="0.35">
      <c r="D269" s="146"/>
    </row>
    <row r="270" spans="2:21" ht="15.75" customHeight="1" x14ac:dyDescent="0.35">
      <c r="D270" s="146"/>
    </row>
    <row r="271" spans="2:21" ht="15.75" customHeight="1" x14ac:dyDescent="0.35">
      <c r="D271" s="146"/>
    </row>
    <row r="272" spans="2:21" ht="15.75" customHeight="1" x14ac:dyDescent="0.35">
      <c r="D272" s="146"/>
    </row>
    <row r="273" spans="4:4" ht="15.75" customHeight="1" x14ac:dyDescent="0.35">
      <c r="D273" s="146"/>
    </row>
    <row r="274" spans="4:4" ht="15.75" customHeight="1" x14ac:dyDescent="0.35">
      <c r="D274" s="146"/>
    </row>
    <row r="275" spans="4:4" ht="15.75" customHeight="1" x14ac:dyDescent="0.35">
      <c r="D275" s="146"/>
    </row>
    <row r="276" spans="4:4" ht="15.75" customHeight="1" x14ac:dyDescent="0.35">
      <c r="D276" s="146"/>
    </row>
    <row r="277" spans="4:4" ht="15.75" customHeight="1" x14ac:dyDescent="0.35">
      <c r="D277" s="146"/>
    </row>
    <row r="278" spans="4:4" ht="15.75" customHeight="1" x14ac:dyDescent="0.35">
      <c r="D278" s="146"/>
    </row>
    <row r="279" spans="4:4" ht="15.75" customHeight="1" x14ac:dyDescent="0.35">
      <c r="D279" s="146"/>
    </row>
    <row r="280" spans="4:4" ht="15.75" customHeight="1" x14ac:dyDescent="0.35">
      <c r="D280" s="146"/>
    </row>
    <row r="281" spans="4:4" ht="15.75" customHeight="1" x14ac:dyDescent="0.35">
      <c r="D281" s="146"/>
    </row>
    <row r="282" spans="4:4" ht="15.75" customHeight="1" x14ac:dyDescent="0.35">
      <c r="D282" s="146"/>
    </row>
    <row r="283" spans="4:4" ht="15.75" customHeight="1" x14ac:dyDescent="0.35">
      <c r="D283" s="146"/>
    </row>
    <row r="284" spans="4:4" ht="15.75" customHeight="1" x14ac:dyDescent="0.35">
      <c r="D284" s="146"/>
    </row>
    <row r="285" spans="4:4" ht="15.75" customHeight="1" x14ac:dyDescent="0.35">
      <c r="D285" s="146"/>
    </row>
    <row r="286" spans="4:4" ht="15.75" customHeight="1" x14ac:dyDescent="0.35">
      <c r="D286" s="146"/>
    </row>
    <row r="287" spans="4:4" ht="15.75" customHeight="1" x14ac:dyDescent="0.35">
      <c r="D287" s="146"/>
    </row>
    <row r="288" spans="4:4" ht="15.75" customHeight="1" x14ac:dyDescent="0.35">
      <c r="D288" s="146"/>
    </row>
    <row r="289" spans="4:4" ht="15.75" customHeight="1" x14ac:dyDescent="0.35">
      <c r="D289" s="146"/>
    </row>
    <row r="290" spans="4:4" ht="15.75" customHeight="1" x14ac:dyDescent="0.35">
      <c r="D290" s="146"/>
    </row>
    <row r="291" spans="4:4" ht="15.75" customHeight="1" x14ac:dyDescent="0.35">
      <c r="D291" s="146"/>
    </row>
    <row r="292" spans="4:4" ht="15.75" customHeight="1" x14ac:dyDescent="0.35">
      <c r="D292" s="146"/>
    </row>
    <row r="293" spans="4:4" ht="15.75" customHeight="1" x14ac:dyDescent="0.35">
      <c r="D293" s="146"/>
    </row>
    <row r="294" spans="4:4" ht="15.75" customHeight="1" x14ac:dyDescent="0.35">
      <c r="D294" s="146"/>
    </row>
    <row r="295" spans="4:4" ht="15.75" customHeight="1" x14ac:dyDescent="0.35">
      <c r="D295" s="146"/>
    </row>
    <row r="296" spans="4:4" ht="15.75" customHeight="1" x14ac:dyDescent="0.35">
      <c r="D296" s="146"/>
    </row>
    <row r="297" spans="4:4" ht="15.75" customHeight="1" x14ac:dyDescent="0.35">
      <c r="D297" s="146"/>
    </row>
    <row r="298" spans="4:4" ht="15.75" customHeight="1" x14ac:dyDescent="0.35">
      <c r="D298" s="146"/>
    </row>
    <row r="299" spans="4:4" ht="15.75" customHeight="1" x14ac:dyDescent="0.35">
      <c r="D299" s="146"/>
    </row>
    <row r="300" spans="4:4" ht="15.75" customHeight="1" x14ac:dyDescent="0.35">
      <c r="D300" s="146"/>
    </row>
    <row r="301" spans="4:4" ht="15.75" customHeight="1" x14ac:dyDescent="0.35">
      <c r="D301" s="146"/>
    </row>
    <row r="302" spans="4:4" ht="15.75" customHeight="1" x14ac:dyDescent="0.35">
      <c r="D302" s="146"/>
    </row>
    <row r="303" spans="4:4" ht="15.75" customHeight="1" x14ac:dyDescent="0.35">
      <c r="D303" s="146"/>
    </row>
    <row r="304" spans="4:4" ht="15.75" customHeight="1" x14ac:dyDescent="0.35">
      <c r="D304" s="146"/>
    </row>
    <row r="305" spans="4:4" ht="15.75" customHeight="1" x14ac:dyDescent="0.35">
      <c r="D305" s="146"/>
    </row>
    <row r="306" spans="4:4" ht="15.75" customHeight="1" x14ac:dyDescent="0.35">
      <c r="D306" s="146"/>
    </row>
    <row r="307" spans="4:4" ht="15.75" customHeight="1" x14ac:dyDescent="0.35">
      <c r="D307" s="146"/>
    </row>
    <row r="308" spans="4:4" ht="15.75" customHeight="1" x14ac:dyDescent="0.35">
      <c r="D308" s="146"/>
    </row>
    <row r="309" spans="4:4" ht="15.75" customHeight="1" x14ac:dyDescent="0.35">
      <c r="D309" s="146"/>
    </row>
    <row r="310" spans="4:4" ht="15.75" customHeight="1" x14ac:dyDescent="0.35">
      <c r="D310" s="146"/>
    </row>
    <row r="311" spans="4:4" ht="15.75" customHeight="1" x14ac:dyDescent="0.35">
      <c r="D311" s="146"/>
    </row>
    <row r="312" spans="4:4" ht="15.75" customHeight="1" x14ac:dyDescent="0.35">
      <c r="D312" s="146"/>
    </row>
    <row r="313" spans="4:4" ht="15.75" customHeight="1" x14ac:dyDescent="0.35">
      <c r="D313" s="146"/>
    </row>
    <row r="314" spans="4:4" ht="15.75" customHeight="1" x14ac:dyDescent="0.35">
      <c r="D314" s="146"/>
    </row>
    <row r="315" spans="4:4" ht="15.75" customHeight="1" x14ac:dyDescent="0.35">
      <c r="D315" s="146"/>
    </row>
    <row r="316" spans="4:4" ht="15.75" customHeight="1" x14ac:dyDescent="0.35">
      <c r="D316" s="146"/>
    </row>
    <row r="317" spans="4:4" ht="15.75" customHeight="1" x14ac:dyDescent="0.35">
      <c r="D317" s="146"/>
    </row>
    <row r="318" spans="4:4" ht="15.75" customHeight="1" x14ac:dyDescent="0.35">
      <c r="D318" s="146"/>
    </row>
    <row r="319" spans="4:4" ht="15.75" customHeight="1" x14ac:dyDescent="0.35">
      <c r="D319" s="146"/>
    </row>
    <row r="320" spans="4:4" ht="15.75" customHeight="1" x14ac:dyDescent="0.35">
      <c r="D320" s="146"/>
    </row>
    <row r="321" spans="4:4" ht="15.75" customHeight="1" x14ac:dyDescent="0.35">
      <c r="D321" s="146"/>
    </row>
    <row r="322" spans="4:4" ht="15.75" customHeight="1" x14ac:dyDescent="0.35">
      <c r="D322" s="146"/>
    </row>
    <row r="323" spans="4:4" ht="15.75" customHeight="1" x14ac:dyDescent="0.35">
      <c r="D323" s="146"/>
    </row>
    <row r="324" spans="4:4" ht="15.75" customHeight="1" x14ac:dyDescent="0.35">
      <c r="D324" s="146"/>
    </row>
    <row r="325" spans="4:4" ht="15.75" customHeight="1" x14ac:dyDescent="0.35">
      <c r="D325" s="146"/>
    </row>
    <row r="326" spans="4:4" ht="15.75" customHeight="1" x14ac:dyDescent="0.35">
      <c r="D326" s="146"/>
    </row>
    <row r="327" spans="4:4" ht="15.75" customHeight="1" x14ac:dyDescent="0.35">
      <c r="D327" s="146"/>
    </row>
    <row r="328" spans="4:4" ht="15.75" customHeight="1" x14ac:dyDescent="0.35">
      <c r="D328" s="146"/>
    </row>
    <row r="329" spans="4:4" ht="15.75" customHeight="1" x14ac:dyDescent="0.35">
      <c r="D329" s="146"/>
    </row>
    <row r="330" spans="4:4" ht="15.75" customHeight="1" x14ac:dyDescent="0.35">
      <c r="D330" s="146"/>
    </row>
    <row r="331" spans="4:4" ht="15.75" customHeight="1" x14ac:dyDescent="0.35">
      <c r="D331" s="146"/>
    </row>
    <row r="332" spans="4:4" ht="15.75" customHeight="1" x14ac:dyDescent="0.35">
      <c r="D332" s="146"/>
    </row>
    <row r="333" spans="4:4" ht="15.75" customHeight="1" x14ac:dyDescent="0.35">
      <c r="D333" s="146"/>
    </row>
    <row r="334" spans="4:4" ht="15.75" customHeight="1" x14ac:dyDescent="0.35">
      <c r="D334" s="146"/>
    </row>
    <row r="335" spans="4:4" ht="15.75" customHeight="1" x14ac:dyDescent="0.35">
      <c r="D335" s="146"/>
    </row>
    <row r="336" spans="4:4" ht="15.75" customHeight="1" x14ac:dyDescent="0.35">
      <c r="D336" s="146"/>
    </row>
    <row r="337" spans="4:4" ht="15.75" customHeight="1" x14ac:dyDescent="0.35">
      <c r="D337" s="146"/>
    </row>
    <row r="338" spans="4:4" ht="15.75" customHeight="1" x14ac:dyDescent="0.35">
      <c r="D338" s="146"/>
    </row>
    <row r="339" spans="4:4" ht="15.75" customHeight="1" x14ac:dyDescent="0.35">
      <c r="D339" s="146"/>
    </row>
    <row r="340" spans="4:4" ht="15.75" customHeight="1" x14ac:dyDescent="0.35">
      <c r="D340" s="146"/>
    </row>
    <row r="341" spans="4:4" ht="15.75" customHeight="1" x14ac:dyDescent="0.35">
      <c r="D341" s="146"/>
    </row>
    <row r="342" spans="4:4" ht="15.75" customHeight="1" x14ac:dyDescent="0.35">
      <c r="D342" s="146"/>
    </row>
    <row r="343" spans="4:4" ht="15.75" customHeight="1" x14ac:dyDescent="0.35">
      <c r="D343" s="146"/>
    </row>
    <row r="344" spans="4:4" ht="15.75" customHeight="1" x14ac:dyDescent="0.35">
      <c r="D344" s="146"/>
    </row>
    <row r="345" spans="4:4" ht="15.75" customHeight="1" x14ac:dyDescent="0.35">
      <c r="D345" s="146"/>
    </row>
    <row r="346" spans="4:4" ht="15.75" customHeight="1" x14ac:dyDescent="0.35">
      <c r="D346" s="146"/>
    </row>
    <row r="347" spans="4:4" ht="15.75" customHeight="1" x14ac:dyDescent="0.35">
      <c r="D347" s="146"/>
    </row>
    <row r="348" spans="4:4" ht="15.75" customHeight="1" x14ac:dyDescent="0.35">
      <c r="D348" s="146"/>
    </row>
    <row r="349" spans="4:4" ht="15.75" customHeight="1" x14ac:dyDescent="0.35">
      <c r="D349" s="146"/>
    </row>
    <row r="350" spans="4:4" ht="15.75" customHeight="1" x14ac:dyDescent="0.35">
      <c r="D350" s="146"/>
    </row>
    <row r="351" spans="4:4" ht="15.75" customHeight="1" x14ac:dyDescent="0.35">
      <c r="D351" s="146"/>
    </row>
    <row r="352" spans="4:4" ht="15.75" customHeight="1" x14ac:dyDescent="0.35">
      <c r="D352" s="146"/>
    </row>
    <row r="353" spans="4:4" ht="15.75" customHeight="1" x14ac:dyDescent="0.35">
      <c r="D353" s="146"/>
    </row>
    <row r="354" spans="4:4" ht="15.75" customHeight="1" x14ac:dyDescent="0.35">
      <c r="D354" s="146"/>
    </row>
    <row r="355" spans="4:4" ht="15.75" customHeight="1" x14ac:dyDescent="0.35">
      <c r="D355" s="146"/>
    </row>
    <row r="356" spans="4:4" ht="15.75" customHeight="1" x14ac:dyDescent="0.35">
      <c r="D356" s="146"/>
    </row>
    <row r="357" spans="4:4" ht="15.75" customHeight="1" x14ac:dyDescent="0.35">
      <c r="D357" s="146"/>
    </row>
    <row r="358" spans="4:4" ht="15.75" customHeight="1" x14ac:dyDescent="0.35">
      <c r="D358" s="146"/>
    </row>
    <row r="359" spans="4:4" ht="15.75" customHeight="1" x14ac:dyDescent="0.35">
      <c r="D359" s="146"/>
    </row>
    <row r="360" spans="4:4" ht="15.75" customHeight="1" x14ac:dyDescent="0.35">
      <c r="D360" s="146"/>
    </row>
    <row r="361" spans="4:4" ht="15.75" customHeight="1" x14ac:dyDescent="0.35">
      <c r="D361" s="146"/>
    </row>
    <row r="362" spans="4:4" ht="15.75" customHeight="1" x14ac:dyDescent="0.35">
      <c r="D362" s="146"/>
    </row>
    <row r="363" spans="4:4" ht="15.75" customHeight="1" x14ac:dyDescent="0.35">
      <c r="D363" s="146"/>
    </row>
    <row r="364" spans="4:4" ht="15.75" customHeight="1" x14ac:dyDescent="0.35">
      <c r="D364" s="146"/>
    </row>
    <row r="365" spans="4:4" ht="15.75" customHeight="1" x14ac:dyDescent="0.35">
      <c r="D365" s="146"/>
    </row>
    <row r="366" spans="4:4" ht="15.75" customHeight="1" x14ac:dyDescent="0.35">
      <c r="D366" s="146"/>
    </row>
    <row r="367" spans="4:4" ht="15.75" customHeight="1" x14ac:dyDescent="0.35">
      <c r="D367" s="146"/>
    </row>
    <row r="368" spans="4:4" ht="15.75" customHeight="1" x14ac:dyDescent="0.35">
      <c r="D368" s="146"/>
    </row>
    <row r="369" spans="4:4" ht="15.75" customHeight="1" x14ac:dyDescent="0.35">
      <c r="D369" s="146"/>
    </row>
    <row r="370" spans="4:4" ht="15.75" customHeight="1" x14ac:dyDescent="0.35">
      <c r="D370" s="146"/>
    </row>
    <row r="371" spans="4:4" ht="15.75" customHeight="1" x14ac:dyDescent="0.35">
      <c r="D371" s="146"/>
    </row>
    <row r="372" spans="4:4" ht="15.75" customHeight="1" x14ac:dyDescent="0.35">
      <c r="D372" s="146"/>
    </row>
    <row r="373" spans="4:4" ht="15.75" customHeight="1" x14ac:dyDescent="0.35">
      <c r="D373" s="146"/>
    </row>
    <row r="374" spans="4:4" ht="15.75" customHeight="1" x14ac:dyDescent="0.35">
      <c r="D374" s="146"/>
    </row>
    <row r="375" spans="4:4" ht="15.75" customHeight="1" x14ac:dyDescent="0.35">
      <c r="D375" s="146"/>
    </row>
    <row r="376" spans="4:4" ht="15.75" customHeight="1" x14ac:dyDescent="0.35">
      <c r="D376" s="146"/>
    </row>
    <row r="377" spans="4:4" ht="15.75" customHeight="1" x14ac:dyDescent="0.35">
      <c r="D377" s="146"/>
    </row>
    <row r="378" spans="4:4" ht="15.75" customHeight="1" x14ac:dyDescent="0.35">
      <c r="D378" s="146"/>
    </row>
    <row r="379" spans="4:4" ht="15.75" customHeight="1" x14ac:dyDescent="0.35">
      <c r="D379" s="146"/>
    </row>
    <row r="380" spans="4:4" ht="15.75" customHeight="1" x14ac:dyDescent="0.35">
      <c r="D380" s="146"/>
    </row>
    <row r="381" spans="4:4" ht="15.75" customHeight="1" x14ac:dyDescent="0.35">
      <c r="D381" s="146"/>
    </row>
    <row r="382" spans="4:4" ht="15.75" customHeight="1" x14ac:dyDescent="0.35">
      <c r="D382" s="146"/>
    </row>
    <row r="383" spans="4:4" ht="15.75" customHeight="1" x14ac:dyDescent="0.35">
      <c r="D383" s="146"/>
    </row>
    <row r="384" spans="4:4" ht="15.75" customHeight="1" x14ac:dyDescent="0.35">
      <c r="D384" s="146"/>
    </row>
    <row r="385" spans="4:4" ht="15.75" customHeight="1" x14ac:dyDescent="0.35">
      <c r="D385" s="146"/>
    </row>
    <row r="386" spans="4:4" ht="15.75" customHeight="1" x14ac:dyDescent="0.35">
      <c r="D386" s="146"/>
    </row>
    <row r="387" spans="4:4" ht="15.75" customHeight="1" x14ac:dyDescent="0.35">
      <c r="D387" s="146"/>
    </row>
    <row r="388" spans="4:4" ht="15.75" customHeight="1" x14ac:dyDescent="0.35">
      <c r="D388" s="146"/>
    </row>
    <row r="389" spans="4:4" ht="15.75" customHeight="1" x14ac:dyDescent="0.35">
      <c r="D389" s="146"/>
    </row>
    <row r="390" spans="4:4" ht="15.75" customHeight="1" x14ac:dyDescent="0.35">
      <c r="D390" s="146"/>
    </row>
    <row r="391" spans="4:4" ht="15.75" customHeight="1" x14ac:dyDescent="0.35">
      <c r="D391" s="146"/>
    </row>
    <row r="392" spans="4:4" ht="15.75" customHeight="1" x14ac:dyDescent="0.35">
      <c r="D392" s="146"/>
    </row>
    <row r="393" spans="4:4" ht="15.75" customHeight="1" x14ac:dyDescent="0.35">
      <c r="D393" s="146"/>
    </row>
    <row r="394" spans="4:4" ht="15.75" customHeight="1" x14ac:dyDescent="0.35">
      <c r="D394" s="146"/>
    </row>
    <row r="395" spans="4:4" ht="15.75" customHeight="1" x14ac:dyDescent="0.35">
      <c r="D395" s="146"/>
    </row>
    <row r="396" spans="4:4" ht="15.75" customHeight="1" x14ac:dyDescent="0.35">
      <c r="D396" s="146"/>
    </row>
    <row r="397" spans="4:4" ht="15.75" customHeight="1" x14ac:dyDescent="0.35">
      <c r="D397" s="146"/>
    </row>
    <row r="398" spans="4:4" ht="15.75" customHeight="1" x14ac:dyDescent="0.35">
      <c r="D398" s="146"/>
    </row>
    <row r="399" spans="4:4" ht="15.75" customHeight="1" x14ac:dyDescent="0.35">
      <c r="D399" s="146"/>
    </row>
    <row r="400" spans="4:4" ht="15.75" customHeight="1" x14ac:dyDescent="0.35">
      <c r="D400" s="146"/>
    </row>
    <row r="401" spans="4:4" ht="15.75" customHeight="1" x14ac:dyDescent="0.35">
      <c r="D401" s="146"/>
    </row>
    <row r="402" spans="4:4" ht="15.75" customHeight="1" x14ac:dyDescent="0.35">
      <c r="D402" s="146"/>
    </row>
    <row r="403" spans="4:4" ht="15.75" customHeight="1" x14ac:dyDescent="0.35">
      <c r="D403" s="146"/>
    </row>
    <row r="404" spans="4:4" ht="15.75" customHeight="1" x14ac:dyDescent="0.35">
      <c r="D404" s="146"/>
    </row>
    <row r="405" spans="4:4" ht="15.75" customHeight="1" x14ac:dyDescent="0.35">
      <c r="D405" s="146"/>
    </row>
    <row r="406" spans="4:4" ht="15.75" customHeight="1" x14ac:dyDescent="0.35">
      <c r="D406" s="146"/>
    </row>
    <row r="407" spans="4:4" ht="15.75" customHeight="1" x14ac:dyDescent="0.35">
      <c r="D407" s="146"/>
    </row>
    <row r="408" spans="4:4" ht="15.75" customHeight="1" x14ac:dyDescent="0.35">
      <c r="D408" s="146"/>
    </row>
    <row r="409" spans="4:4" ht="15.75" customHeight="1" x14ac:dyDescent="0.35">
      <c r="D409" s="146"/>
    </row>
    <row r="410" spans="4:4" ht="15.75" customHeight="1" x14ac:dyDescent="0.35">
      <c r="D410" s="146"/>
    </row>
    <row r="411" spans="4:4" ht="15.75" customHeight="1" x14ac:dyDescent="0.35">
      <c r="D411" s="146"/>
    </row>
    <row r="412" spans="4:4" ht="15.75" customHeight="1" x14ac:dyDescent="0.35">
      <c r="D412" s="146"/>
    </row>
    <row r="413" spans="4:4" ht="15.75" customHeight="1" x14ac:dyDescent="0.35">
      <c r="D413" s="146"/>
    </row>
    <row r="414" spans="4:4" ht="15.75" customHeight="1" x14ac:dyDescent="0.35">
      <c r="D414" s="146"/>
    </row>
    <row r="415" spans="4:4" ht="15.75" customHeight="1" x14ac:dyDescent="0.35">
      <c r="D415" s="146"/>
    </row>
    <row r="416" spans="4:4" ht="15.75" customHeight="1" x14ac:dyDescent="0.35">
      <c r="D416" s="146"/>
    </row>
    <row r="417" spans="4:4" ht="15.75" customHeight="1" x14ac:dyDescent="0.35">
      <c r="D417" s="146"/>
    </row>
    <row r="418" spans="4:4" ht="15.75" customHeight="1" x14ac:dyDescent="0.35">
      <c r="D418" s="146"/>
    </row>
    <row r="419" spans="4:4" ht="15.75" customHeight="1" x14ac:dyDescent="0.35">
      <c r="D419" s="146"/>
    </row>
    <row r="420" spans="4:4" ht="15.75" customHeight="1" x14ac:dyDescent="0.35">
      <c r="D420" s="146"/>
    </row>
    <row r="421" spans="4:4" ht="15.75" customHeight="1" x14ac:dyDescent="0.35">
      <c r="D421" s="146"/>
    </row>
    <row r="422" spans="4:4" ht="15.75" customHeight="1" x14ac:dyDescent="0.35">
      <c r="D422" s="146"/>
    </row>
    <row r="423" spans="4:4" ht="15.75" customHeight="1" x14ac:dyDescent="0.35">
      <c r="D423" s="146"/>
    </row>
    <row r="424" spans="4:4" ht="15.75" customHeight="1" x14ac:dyDescent="0.35">
      <c r="D424" s="146"/>
    </row>
    <row r="425" spans="4:4" ht="15.75" customHeight="1" x14ac:dyDescent="0.35">
      <c r="D425" s="146"/>
    </row>
    <row r="426" spans="4:4" ht="15.75" customHeight="1" x14ac:dyDescent="0.35">
      <c r="D426" s="146"/>
    </row>
    <row r="427" spans="4:4" ht="15.75" customHeight="1" x14ac:dyDescent="0.35">
      <c r="D427" s="146"/>
    </row>
    <row r="428" spans="4:4" ht="15.75" customHeight="1" x14ac:dyDescent="0.35">
      <c r="D428" s="146"/>
    </row>
    <row r="429" spans="4:4" ht="15.75" customHeight="1" x14ac:dyDescent="0.35">
      <c r="D429" s="146"/>
    </row>
    <row r="430" spans="4:4" ht="15.75" customHeight="1" x14ac:dyDescent="0.35">
      <c r="D430" s="146"/>
    </row>
    <row r="431" spans="4:4" ht="15.75" customHeight="1" x14ac:dyDescent="0.35">
      <c r="D431" s="146"/>
    </row>
    <row r="432" spans="4:4" ht="15.75" customHeight="1" x14ac:dyDescent="0.35">
      <c r="D432" s="146"/>
    </row>
    <row r="433" spans="4:4" ht="15.75" customHeight="1" x14ac:dyDescent="0.35">
      <c r="D433" s="146"/>
    </row>
    <row r="434" spans="4:4" ht="15.75" customHeight="1" x14ac:dyDescent="0.35">
      <c r="D434" s="146"/>
    </row>
    <row r="435" spans="4:4" ht="15.75" customHeight="1" x14ac:dyDescent="0.35">
      <c r="D435" s="146"/>
    </row>
    <row r="436" spans="4:4" ht="15.75" customHeight="1" x14ac:dyDescent="0.35">
      <c r="D436" s="146"/>
    </row>
    <row r="437" spans="4:4" ht="15.75" customHeight="1" x14ac:dyDescent="0.35">
      <c r="D437" s="146"/>
    </row>
    <row r="438" spans="4:4" ht="15.75" customHeight="1" x14ac:dyDescent="0.35">
      <c r="D438" s="146"/>
    </row>
    <row r="439" spans="4:4" ht="15.75" customHeight="1" x14ac:dyDescent="0.35">
      <c r="D439" s="146"/>
    </row>
    <row r="440" spans="4:4" ht="15.75" customHeight="1" x14ac:dyDescent="0.35">
      <c r="D440" s="146"/>
    </row>
    <row r="441" spans="4:4" ht="15.75" customHeight="1" x14ac:dyDescent="0.35">
      <c r="D441" s="146"/>
    </row>
    <row r="442" spans="4:4" ht="15.75" customHeight="1" x14ac:dyDescent="0.35">
      <c r="D442" s="146"/>
    </row>
    <row r="443" spans="4:4" ht="15.75" customHeight="1" x14ac:dyDescent="0.35">
      <c r="D443" s="146"/>
    </row>
    <row r="444" spans="4:4" ht="15.75" customHeight="1" x14ac:dyDescent="0.35">
      <c r="D444" s="146"/>
    </row>
    <row r="445" spans="4:4" ht="15.75" customHeight="1" x14ac:dyDescent="0.35">
      <c r="D445" s="146"/>
    </row>
    <row r="446" spans="4:4" ht="15.75" customHeight="1" x14ac:dyDescent="0.35">
      <c r="D446" s="146"/>
    </row>
    <row r="447" spans="4:4" ht="15.75" customHeight="1" x14ac:dyDescent="0.35">
      <c r="D447" s="146"/>
    </row>
    <row r="448" spans="4:4" ht="15.75" customHeight="1" x14ac:dyDescent="0.35">
      <c r="D448" s="146"/>
    </row>
    <row r="449" spans="4:4" ht="15.75" customHeight="1" x14ac:dyDescent="0.35">
      <c r="D449" s="146"/>
    </row>
    <row r="450" spans="4:4" ht="15.75" customHeight="1" x14ac:dyDescent="0.35">
      <c r="D450" s="146"/>
    </row>
    <row r="451" spans="4:4" ht="15.75" customHeight="1" x14ac:dyDescent="0.35">
      <c r="D451" s="146"/>
    </row>
    <row r="452" spans="4:4" ht="15.75" customHeight="1" x14ac:dyDescent="0.35">
      <c r="D452" s="146"/>
    </row>
    <row r="453" spans="4:4" ht="15.75" customHeight="1" x14ac:dyDescent="0.35">
      <c r="D453" s="146"/>
    </row>
    <row r="454" spans="4:4" ht="15.75" customHeight="1" x14ac:dyDescent="0.35">
      <c r="D454" s="146"/>
    </row>
    <row r="455" spans="4:4" ht="15.75" customHeight="1" x14ac:dyDescent="0.35">
      <c r="D455" s="146"/>
    </row>
    <row r="456" spans="4:4" ht="15.75" customHeight="1" x14ac:dyDescent="0.35">
      <c r="D456" s="146"/>
    </row>
    <row r="457" spans="4:4" ht="15.75" customHeight="1" x14ac:dyDescent="0.35">
      <c r="D457" s="146"/>
    </row>
    <row r="458" spans="4:4" ht="15.75" customHeight="1" x14ac:dyDescent="0.35">
      <c r="D458" s="146"/>
    </row>
    <row r="459" spans="4:4" ht="15.75" customHeight="1" x14ac:dyDescent="0.35">
      <c r="D459" s="146"/>
    </row>
    <row r="460" spans="4:4" ht="15.75" customHeight="1" x14ac:dyDescent="0.35">
      <c r="D460" s="146"/>
    </row>
    <row r="461" spans="4:4" ht="15.75" customHeight="1" x14ac:dyDescent="0.35"/>
    <row r="462" spans="4:4" ht="15.75" customHeight="1" x14ac:dyDescent="0.35"/>
    <row r="463" spans="4:4" ht="15.75" customHeight="1" x14ac:dyDescent="0.35"/>
    <row r="464" spans="4: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8C4F0-B239-48C2-A4E0-8D4BCBE4AC9C}">
  <dimension ref="A1:V996"/>
  <sheetViews>
    <sheetView topLeftCell="A214" workbookViewId="0">
      <selection activeCell="C192" sqref="C192"/>
    </sheetView>
  </sheetViews>
  <sheetFormatPr baseColWidth="10" defaultColWidth="14.3984375" defaultRowHeight="10.5" x14ac:dyDescent="0.35"/>
  <cols>
    <col min="1" max="1" width="17.86328125" style="23" bestFit="1" customWidth="1"/>
    <col min="2" max="2" width="9.6640625" style="24" bestFit="1" customWidth="1"/>
    <col min="3" max="3" width="24.1328125" style="24" bestFit="1" customWidth="1"/>
    <col min="4" max="4" width="9.6640625" style="24" bestFit="1" customWidth="1"/>
    <col min="5" max="5" width="11.3984375" style="72" customWidth="1"/>
    <col min="6" max="6" width="10.6640625" style="72" bestFit="1" customWidth="1"/>
    <col min="7" max="7" width="14.73046875" style="72" bestFit="1" customWidth="1"/>
    <col min="8" max="8" width="17.265625" style="72" bestFit="1" customWidth="1"/>
    <col min="9" max="9" width="15.06640625" style="72" bestFit="1" customWidth="1"/>
    <col min="10" max="10" width="4.6640625" style="72" bestFit="1" customWidth="1"/>
    <col min="11" max="11" width="16.9296875" style="72" bestFit="1" customWidth="1"/>
    <col min="12" max="12" width="7.33203125" style="72" bestFit="1" customWidth="1"/>
    <col min="13" max="13" width="14.06640625" style="72" bestFit="1" customWidth="1"/>
    <col min="14" max="14" width="11.59765625" style="72" bestFit="1" customWidth="1"/>
    <col min="15" max="15" width="10.6640625" style="72" customWidth="1"/>
    <col min="16" max="16" width="10.73046875" style="72" bestFit="1" customWidth="1"/>
    <col min="17" max="17" width="11.06640625" style="72" bestFit="1" customWidth="1"/>
    <col min="18" max="18" width="10.265625" style="72" bestFit="1" customWidth="1"/>
    <col min="19" max="19" width="10.73046875" style="72" customWidth="1"/>
    <col min="20" max="20" width="8.53125" style="72" bestFit="1" customWidth="1"/>
    <col min="21" max="21" width="9.33203125" style="72" bestFit="1" customWidth="1"/>
    <col min="22" max="22" width="8.59765625" style="72" bestFit="1" customWidth="1"/>
    <col min="23" max="29" width="10.73046875" style="24" customWidth="1"/>
    <col min="30" max="16384" width="14.3984375" style="24"/>
  </cols>
  <sheetData>
    <row r="1" spans="1:22" x14ac:dyDescent="0.35">
      <c r="B1" s="581" t="s">
        <v>60</v>
      </c>
      <c r="C1" s="582"/>
      <c r="D1" s="23"/>
      <c r="E1" s="146"/>
      <c r="F1" s="146"/>
      <c r="G1" s="146"/>
    </row>
    <row r="2" spans="1:22" x14ac:dyDescent="0.35">
      <c r="B2" s="581" t="s">
        <v>184</v>
      </c>
      <c r="C2" s="583"/>
      <c r="D2" s="23"/>
      <c r="E2" s="146"/>
      <c r="F2" s="146"/>
      <c r="G2" s="146"/>
    </row>
    <row r="3" spans="1:22" x14ac:dyDescent="0.35">
      <c r="B3" s="581" t="s">
        <v>185</v>
      </c>
      <c r="C3" s="582"/>
      <c r="D3" s="23"/>
      <c r="E3" s="146"/>
      <c r="F3" s="146"/>
      <c r="G3" s="146"/>
    </row>
    <row r="4" spans="1:22" x14ac:dyDescent="0.35">
      <c r="B4" s="581" t="s">
        <v>186</v>
      </c>
      <c r="C4" s="582"/>
      <c r="D4" s="23" t="s">
        <v>187</v>
      </c>
      <c r="E4" s="146"/>
      <c r="F4" s="146"/>
      <c r="G4" s="146"/>
    </row>
    <row r="5" spans="1:22" x14ac:dyDescent="0.35">
      <c r="B5" s="581" t="s">
        <v>188</v>
      </c>
      <c r="C5" s="582"/>
      <c r="D5" s="23" t="s">
        <v>187</v>
      </c>
      <c r="E5" s="146"/>
      <c r="F5" s="146"/>
      <c r="G5" s="146"/>
    </row>
    <row r="6" spans="1:22" x14ac:dyDescent="0.35">
      <c r="B6" s="590" t="s">
        <v>189</v>
      </c>
      <c r="C6" s="591" t="s">
        <v>1072</v>
      </c>
      <c r="D6" s="592">
        <f>'e402-e801'!C6</f>
        <v>0</v>
      </c>
      <c r="E6" s="518" t="s">
        <v>1073</v>
      </c>
      <c r="F6" s="595">
        <f>'e402-e801'!E6</f>
        <v>0</v>
      </c>
      <c r="G6" s="146"/>
    </row>
    <row r="8" spans="1:22" ht="42" x14ac:dyDescent="0.35">
      <c r="B8" s="593" t="s">
        <v>192</v>
      </c>
      <c r="C8" s="593" t="s">
        <v>191</v>
      </c>
      <c r="D8" s="593" t="s">
        <v>55</v>
      </c>
      <c r="E8" s="698" t="s">
        <v>54</v>
      </c>
      <c r="F8" s="571" t="s">
        <v>193</v>
      </c>
      <c r="G8" s="698" t="s">
        <v>53</v>
      </c>
      <c r="H8" s="699" t="s">
        <v>52</v>
      </c>
      <c r="I8" s="698" t="s">
        <v>656</v>
      </c>
      <c r="J8" s="698"/>
      <c r="K8" s="699" t="s">
        <v>50</v>
      </c>
      <c r="L8" s="699" t="s">
        <v>49</v>
      </c>
      <c r="M8" s="699" t="s">
        <v>48</v>
      </c>
      <c r="N8" s="92" t="s">
        <v>176</v>
      </c>
      <c r="O8" s="234" t="s">
        <v>178</v>
      </c>
      <c r="P8" s="479" t="s">
        <v>162</v>
      </c>
      <c r="Q8" s="281" t="s">
        <v>163</v>
      </c>
      <c r="R8" s="281" t="s">
        <v>165</v>
      </c>
      <c r="S8" s="282" t="s">
        <v>169</v>
      </c>
      <c r="T8" s="282" t="s">
        <v>164</v>
      </c>
      <c r="U8" s="279" t="s">
        <v>47</v>
      </c>
      <c r="V8" s="19" t="s">
        <v>46</v>
      </c>
    </row>
    <row r="9" spans="1:22" ht="14.25" x14ac:dyDescent="0.45">
      <c r="A9" s="707" t="s">
        <v>643</v>
      </c>
      <c r="B9" s="471">
        <v>8443432190</v>
      </c>
      <c r="C9" s="594" t="s">
        <v>871</v>
      </c>
      <c r="D9" s="42">
        <v>300</v>
      </c>
      <c r="E9" s="63">
        <v>112</v>
      </c>
      <c r="F9" s="700">
        <f>'e402-e801'!E9</f>
        <v>0</v>
      </c>
      <c r="G9" s="57">
        <f>F9/D9</f>
        <v>0</v>
      </c>
      <c r="H9" s="60">
        <f>(30*BC!$B$47/E9)</f>
        <v>0</v>
      </c>
      <c r="I9" s="701">
        <f>IF(H9&gt;G9,H9,G9)</f>
        <v>0</v>
      </c>
      <c r="J9" s="701">
        <f>IF(G9=0,0,I9)</f>
        <v>0</v>
      </c>
      <c r="K9" s="216">
        <f>ROUNDUP(J9,0)</f>
        <v>0</v>
      </c>
      <c r="L9" s="702">
        <v>408</v>
      </c>
      <c r="M9" s="703">
        <f>L9*K9</f>
        <v>0</v>
      </c>
      <c r="N9" s="91" t="e">
        <f>((L9*$K$264)+L9)</f>
        <v>#DIV/0!</v>
      </c>
      <c r="O9" s="148" t="e">
        <f t="shared" ref="O9" si="0">N9*K9</f>
        <v>#DIV/0!</v>
      </c>
      <c r="P9" s="704">
        <f>L9/D9</f>
        <v>1.36</v>
      </c>
      <c r="Q9" s="705" t="e">
        <f>(P9+$M$262)+((BC!$F$125)/$F$112)</f>
        <v>#DIV/0!</v>
      </c>
      <c r="R9" s="149" t="e">
        <f>Q9*F9</f>
        <v>#DIV/0!</v>
      </c>
      <c r="S9" s="393" t="e">
        <f>((Q9*0.15)+Q9)</f>
        <v>#DIV/0!</v>
      </c>
      <c r="T9" s="393" t="e">
        <f>S9*F9</f>
        <v>#DIV/0!</v>
      </c>
      <c r="U9" s="596" t="e">
        <f>SUM(T9:T67)</f>
        <v>#DIV/0!</v>
      </c>
      <c r="V9" s="597" t="e">
        <f>SUM(R9:R67)</f>
        <v>#DIV/0!</v>
      </c>
    </row>
    <row r="10" spans="1:22" ht="14.25" x14ac:dyDescent="0.45">
      <c r="A10" s="707">
        <f>F9+F10+F11+F12+F13+F14+F18+F19+F20+F21+F22+F23+F24+F25+F27+F33+F34+F49+F67</f>
        <v>0</v>
      </c>
      <c r="B10" s="471">
        <v>9007733190</v>
      </c>
      <c r="C10" s="594" t="s">
        <v>872</v>
      </c>
      <c r="D10" s="42">
        <v>300</v>
      </c>
      <c r="E10" s="1">
        <v>112</v>
      </c>
      <c r="F10" s="700">
        <f>'e402-e801'!E10</f>
        <v>0</v>
      </c>
      <c r="G10" s="57">
        <f t="shared" ref="G10:G73" si="1">F10/D10</f>
        <v>0</v>
      </c>
      <c r="H10" s="60">
        <f>(30*BC!$B$47/E10)</f>
        <v>0</v>
      </c>
      <c r="I10" s="701">
        <f t="shared" ref="I10:I73" si="2">IF(H10&gt;G10,H10,G10)</f>
        <v>0</v>
      </c>
      <c r="J10" s="701">
        <f t="shared" ref="J10:J73" si="3">IF(G10=0,0,I10)</f>
        <v>0</v>
      </c>
      <c r="K10" s="216">
        <f t="shared" ref="K10:K73" si="4">ROUNDUP(J10,0)</f>
        <v>0</v>
      </c>
      <c r="L10" s="702">
        <v>558</v>
      </c>
      <c r="M10" s="703">
        <f t="shared" ref="M10:M73" si="5">L10*K10</f>
        <v>0</v>
      </c>
      <c r="N10" s="91" t="e">
        <f t="shared" ref="N10:N73" si="6">((L10*$K$264)+L10)</f>
        <v>#DIV/0!</v>
      </c>
      <c r="O10" s="148" t="e">
        <f t="shared" ref="O10:O73" si="7">N10*K10</f>
        <v>#DIV/0!</v>
      </c>
      <c r="P10" s="704">
        <f t="shared" ref="P10:P73" si="8">L10/D10</f>
        <v>1.86</v>
      </c>
      <c r="Q10" s="705" t="e">
        <f>(P10+$M$262)+((BC!$F$125)/$F$112)</f>
        <v>#DIV/0!</v>
      </c>
      <c r="R10" s="149" t="e">
        <f t="shared" ref="R10:R73" si="9">Q10*F10</f>
        <v>#DIV/0!</v>
      </c>
      <c r="S10" s="393" t="e">
        <f t="shared" ref="S10:S73" si="10">((Q10*0.15)+Q10)</f>
        <v>#DIV/0!</v>
      </c>
      <c r="T10" s="393" t="e">
        <f t="shared" ref="T10:T73" si="11">S10*F10</f>
        <v>#DIV/0!</v>
      </c>
    </row>
    <row r="11" spans="1:22" ht="14.25" x14ac:dyDescent="0.45">
      <c r="B11" s="471">
        <v>9007784190</v>
      </c>
      <c r="C11" s="594" t="s">
        <v>873</v>
      </c>
      <c r="D11" s="42">
        <v>300</v>
      </c>
      <c r="E11" s="1">
        <v>112</v>
      </c>
      <c r="F11" s="700">
        <f>'e402-e801'!E11</f>
        <v>0</v>
      </c>
      <c r="G11" s="57">
        <f t="shared" si="1"/>
        <v>0</v>
      </c>
      <c r="H11" s="60">
        <f>(30*BC!$B$47/E11)</f>
        <v>0</v>
      </c>
      <c r="I11" s="701">
        <f t="shared" si="2"/>
        <v>0</v>
      </c>
      <c r="J11" s="701">
        <f t="shared" si="3"/>
        <v>0</v>
      </c>
      <c r="K11" s="216">
        <f t="shared" si="4"/>
        <v>0</v>
      </c>
      <c r="L11" s="702">
        <v>564</v>
      </c>
      <c r="M11" s="703">
        <f t="shared" si="5"/>
        <v>0</v>
      </c>
      <c r="N11" s="91" t="e">
        <f t="shared" si="6"/>
        <v>#DIV/0!</v>
      </c>
      <c r="O11" s="148" t="e">
        <f t="shared" si="7"/>
        <v>#DIV/0!</v>
      </c>
      <c r="P11" s="704">
        <f t="shared" si="8"/>
        <v>1.88</v>
      </c>
      <c r="Q11" s="705" t="e">
        <f>(P11+$M$262)+((BC!$F$125)/$F$112)</f>
        <v>#DIV/0!</v>
      </c>
      <c r="R11" s="149" t="e">
        <f t="shared" si="9"/>
        <v>#DIV/0!</v>
      </c>
      <c r="S11" s="393" t="e">
        <f t="shared" si="10"/>
        <v>#DIV/0!</v>
      </c>
      <c r="T11" s="393" t="e">
        <f t="shared" si="11"/>
        <v>#DIV/0!</v>
      </c>
    </row>
    <row r="12" spans="1:22" ht="14.25" x14ac:dyDescent="0.45">
      <c r="A12" s="708" t="s">
        <v>641</v>
      </c>
      <c r="B12" s="471">
        <v>9005811190</v>
      </c>
      <c r="C12" s="594" t="s">
        <v>874</v>
      </c>
      <c r="D12" s="42">
        <v>300</v>
      </c>
      <c r="E12" s="1">
        <v>112</v>
      </c>
      <c r="F12" s="700">
        <f>'e402-e801'!E12</f>
        <v>0</v>
      </c>
      <c r="G12" s="57">
        <f t="shared" si="1"/>
        <v>0</v>
      </c>
      <c r="H12" s="60">
        <f>(30*BC!$B$47/E12)</f>
        <v>0</v>
      </c>
      <c r="I12" s="701">
        <f t="shared" si="2"/>
        <v>0</v>
      </c>
      <c r="J12" s="701">
        <f t="shared" si="3"/>
        <v>0</v>
      </c>
      <c r="K12" s="216">
        <f t="shared" si="4"/>
        <v>0</v>
      </c>
      <c r="L12" s="702">
        <v>564</v>
      </c>
      <c r="M12" s="703">
        <f t="shared" si="5"/>
        <v>0</v>
      </c>
      <c r="N12" s="91" t="e">
        <f t="shared" si="6"/>
        <v>#DIV/0!</v>
      </c>
      <c r="O12" s="148" t="e">
        <f t="shared" si="7"/>
        <v>#DIV/0!</v>
      </c>
      <c r="P12" s="704">
        <f t="shared" si="8"/>
        <v>1.88</v>
      </c>
      <c r="Q12" s="705" t="e">
        <f>(P12+$M$262)+((BC!$F$125)/$F$112)</f>
        <v>#DIV/0!</v>
      </c>
      <c r="R12" s="149" t="e">
        <f t="shared" si="9"/>
        <v>#DIV/0!</v>
      </c>
      <c r="S12" s="393" t="e">
        <f t="shared" si="10"/>
        <v>#DIV/0!</v>
      </c>
      <c r="T12" s="393" t="e">
        <f t="shared" si="11"/>
        <v>#DIV/0!</v>
      </c>
    </row>
    <row r="13" spans="1:22" ht="14.25" x14ac:dyDescent="0.45">
      <c r="A13" s="708">
        <f>F15+F16+F17</f>
        <v>0</v>
      </c>
      <c r="B13" s="471">
        <v>9043284190</v>
      </c>
      <c r="C13" s="594" t="s">
        <v>875</v>
      </c>
      <c r="D13" s="42">
        <v>300</v>
      </c>
      <c r="E13" s="1">
        <v>112</v>
      </c>
      <c r="F13" s="700">
        <f>'e402-e801'!E13</f>
        <v>0</v>
      </c>
      <c r="G13" s="57">
        <f t="shared" si="1"/>
        <v>0</v>
      </c>
      <c r="H13" s="60">
        <f>(30*BC!$B$47/E13)</f>
        <v>0</v>
      </c>
      <c r="I13" s="701">
        <f t="shared" si="2"/>
        <v>0</v>
      </c>
      <c r="J13" s="701">
        <f t="shared" si="3"/>
        <v>0</v>
      </c>
      <c r="K13" s="216">
        <f t="shared" si="4"/>
        <v>0</v>
      </c>
      <c r="L13" s="702">
        <v>564</v>
      </c>
      <c r="M13" s="703">
        <f t="shared" si="5"/>
        <v>0</v>
      </c>
      <c r="N13" s="91" t="e">
        <f t="shared" si="6"/>
        <v>#DIV/0!</v>
      </c>
      <c r="O13" s="148" t="e">
        <f t="shared" si="7"/>
        <v>#DIV/0!</v>
      </c>
      <c r="P13" s="704">
        <f t="shared" si="8"/>
        <v>1.88</v>
      </c>
      <c r="Q13" s="705" t="e">
        <f>(P13+$M$262)+((BC!$F$125)/$F$112)</f>
        <v>#DIV/0!</v>
      </c>
      <c r="R13" s="149" t="e">
        <f t="shared" si="9"/>
        <v>#DIV/0!</v>
      </c>
      <c r="S13" s="393" t="e">
        <f t="shared" si="10"/>
        <v>#DIV/0!</v>
      </c>
      <c r="T13" s="393" t="e">
        <f t="shared" si="11"/>
        <v>#DIV/0!</v>
      </c>
    </row>
    <row r="14" spans="1:22" ht="14.25" x14ac:dyDescent="0.45">
      <c r="A14" s="709" t="s">
        <v>1074</v>
      </c>
      <c r="B14" s="471">
        <v>8906564190</v>
      </c>
      <c r="C14" s="594" t="s">
        <v>876</v>
      </c>
      <c r="D14" s="42">
        <v>300</v>
      </c>
      <c r="E14" s="1">
        <v>112</v>
      </c>
      <c r="F14" s="700">
        <f>'e402-e801'!E14</f>
        <v>0</v>
      </c>
      <c r="G14" s="57">
        <f t="shared" si="1"/>
        <v>0</v>
      </c>
      <c r="H14" s="60">
        <f>(30*BC!$B$47/E14)</f>
        <v>0</v>
      </c>
      <c r="I14" s="701">
        <f t="shared" si="2"/>
        <v>0</v>
      </c>
      <c r="J14" s="701">
        <f t="shared" si="3"/>
        <v>0</v>
      </c>
      <c r="K14" s="216">
        <f t="shared" si="4"/>
        <v>0</v>
      </c>
      <c r="L14" s="702">
        <v>555</v>
      </c>
      <c r="M14" s="703">
        <f t="shared" si="5"/>
        <v>0</v>
      </c>
      <c r="N14" s="91" t="e">
        <f t="shared" si="6"/>
        <v>#DIV/0!</v>
      </c>
      <c r="O14" s="148" t="e">
        <f t="shared" si="7"/>
        <v>#DIV/0!</v>
      </c>
      <c r="P14" s="704">
        <f t="shared" si="8"/>
        <v>1.85</v>
      </c>
      <c r="Q14" s="705" t="e">
        <f>(P14+$M$262)+((BC!$F$125)/$F$112)</f>
        <v>#DIV/0!</v>
      </c>
      <c r="R14" s="149" t="e">
        <f t="shared" si="9"/>
        <v>#DIV/0!</v>
      </c>
      <c r="S14" s="393" t="e">
        <f t="shared" si="10"/>
        <v>#DIV/0!</v>
      </c>
      <c r="T14" s="393" t="e">
        <f t="shared" si="11"/>
        <v>#DIV/0!</v>
      </c>
    </row>
    <row r="15" spans="1:22" ht="14.25" x14ac:dyDescent="0.45">
      <c r="A15" s="709">
        <f>F26+F39+F40+F41+F42+F43+F44+F45+F46+F47+F48</f>
        <v>0</v>
      </c>
      <c r="B15" s="471">
        <v>7026935190</v>
      </c>
      <c r="C15" s="598" t="s">
        <v>877</v>
      </c>
      <c r="D15" s="42">
        <v>300</v>
      </c>
      <c r="E15" s="1">
        <v>112</v>
      </c>
      <c r="F15" s="700">
        <f>'e402-e801'!E15</f>
        <v>0</v>
      </c>
      <c r="G15" s="57">
        <f t="shared" si="1"/>
        <v>0</v>
      </c>
      <c r="H15" s="60">
        <f>(30*BC!$B$47/E15)</f>
        <v>0</v>
      </c>
      <c r="I15" s="701">
        <f t="shared" si="2"/>
        <v>0</v>
      </c>
      <c r="J15" s="701">
        <f t="shared" si="3"/>
        <v>0</v>
      </c>
      <c r="K15" s="216">
        <f t="shared" si="4"/>
        <v>0</v>
      </c>
      <c r="L15" s="702">
        <v>1644</v>
      </c>
      <c r="M15" s="703">
        <f t="shared" si="5"/>
        <v>0</v>
      </c>
      <c r="N15" s="91" t="e">
        <f t="shared" si="6"/>
        <v>#DIV/0!</v>
      </c>
      <c r="O15" s="148" t="e">
        <f t="shared" si="7"/>
        <v>#DIV/0!</v>
      </c>
      <c r="P15" s="704">
        <f t="shared" si="8"/>
        <v>5.48</v>
      </c>
      <c r="Q15" s="705" t="e">
        <f>(P15+$M$262)+((BC!$F$125)/$F$112)</f>
        <v>#DIV/0!</v>
      </c>
      <c r="R15" s="149" t="e">
        <f t="shared" si="9"/>
        <v>#DIV/0!</v>
      </c>
      <c r="S15" s="393" t="e">
        <f t="shared" si="10"/>
        <v>#DIV/0!</v>
      </c>
      <c r="T15" s="393" t="e">
        <f t="shared" si="11"/>
        <v>#DIV/0!</v>
      </c>
    </row>
    <row r="16" spans="1:22" ht="14.25" x14ac:dyDescent="0.45">
      <c r="B16" s="471">
        <v>9005021190</v>
      </c>
      <c r="C16" s="598" t="s">
        <v>878</v>
      </c>
      <c r="D16" s="42">
        <v>300</v>
      </c>
      <c r="E16" s="1">
        <v>112</v>
      </c>
      <c r="F16" s="700">
        <f>'e402-e801'!E16</f>
        <v>0</v>
      </c>
      <c r="G16" s="57">
        <f t="shared" si="1"/>
        <v>0</v>
      </c>
      <c r="H16" s="60">
        <f>(30*BC!$B$47/E16)</f>
        <v>0</v>
      </c>
      <c r="I16" s="701">
        <f t="shared" si="2"/>
        <v>0</v>
      </c>
      <c r="J16" s="701">
        <f t="shared" si="3"/>
        <v>0</v>
      </c>
      <c r="K16" s="216">
        <f t="shared" si="4"/>
        <v>0</v>
      </c>
      <c r="L16" s="702">
        <v>1461</v>
      </c>
      <c r="M16" s="703">
        <f t="shared" si="5"/>
        <v>0</v>
      </c>
      <c r="N16" s="91" t="e">
        <f t="shared" si="6"/>
        <v>#DIV/0!</v>
      </c>
      <c r="O16" s="148" t="e">
        <f t="shared" si="7"/>
        <v>#DIV/0!</v>
      </c>
      <c r="P16" s="704">
        <f t="shared" si="8"/>
        <v>4.87</v>
      </c>
      <c r="Q16" s="705" t="e">
        <f>(P16+$M$262)+((BC!$F$125)/$F$112)</f>
        <v>#DIV/0!</v>
      </c>
      <c r="R16" s="149" t="e">
        <f t="shared" si="9"/>
        <v>#DIV/0!</v>
      </c>
      <c r="S16" s="393" t="e">
        <f t="shared" si="10"/>
        <v>#DIV/0!</v>
      </c>
      <c r="T16" s="393" t="e">
        <f t="shared" si="11"/>
        <v>#DIV/0!</v>
      </c>
    </row>
    <row r="17" spans="1:20" ht="14.25" x14ac:dyDescent="0.45">
      <c r="A17" s="710" t="s">
        <v>1075</v>
      </c>
      <c r="B17" s="471">
        <v>8496633190</v>
      </c>
      <c r="C17" s="598" t="s">
        <v>879</v>
      </c>
      <c r="D17" s="42">
        <v>100</v>
      </c>
      <c r="E17" s="1">
        <v>112</v>
      </c>
      <c r="F17" s="700">
        <f>'e402-e801'!E17</f>
        <v>0</v>
      </c>
      <c r="G17" s="57">
        <f t="shared" si="1"/>
        <v>0</v>
      </c>
      <c r="H17" s="60">
        <f>(30*BC!$B$47/E17)</f>
        <v>0</v>
      </c>
      <c r="I17" s="701">
        <f t="shared" si="2"/>
        <v>0</v>
      </c>
      <c r="J17" s="701">
        <f t="shared" si="3"/>
        <v>0</v>
      </c>
      <c r="K17" s="216">
        <f t="shared" si="4"/>
        <v>0</v>
      </c>
      <c r="L17" s="702">
        <v>4965</v>
      </c>
      <c r="M17" s="703">
        <f t="shared" si="5"/>
        <v>0</v>
      </c>
      <c r="N17" s="91" t="e">
        <f t="shared" si="6"/>
        <v>#DIV/0!</v>
      </c>
      <c r="O17" s="148" t="e">
        <f t="shared" si="7"/>
        <v>#DIV/0!</v>
      </c>
      <c r="P17" s="704">
        <f t="shared" si="8"/>
        <v>49.65</v>
      </c>
      <c r="Q17" s="705" t="e">
        <f>(P17+$M$262)+((BC!$F$125)/$F$112)</f>
        <v>#DIV/0!</v>
      </c>
      <c r="R17" s="149" t="e">
        <f t="shared" si="9"/>
        <v>#DIV/0!</v>
      </c>
      <c r="S17" s="393" t="e">
        <f t="shared" si="10"/>
        <v>#DIV/0!</v>
      </c>
      <c r="T17" s="393" t="e">
        <f t="shared" si="11"/>
        <v>#DIV/0!</v>
      </c>
    </row>
    <row r="18" spans="1:20" ht="14.25" x14ac:dyDescent="0.45">
      <c r="A18" s="711">
        <f>F28+F29+F102</f>
        <v>0</v>
      </c>
      <c r="B18" s="471">
        <v>7027575190</v>
      </c>
      <c r="C18" s="599" t="s">
        <v>880</v>
      </c>
      <c r="D18" s="42">
        <v>300</v>
      </c>
      <c r="E18" s="1">
        <v>112</v>
      </c>
      <c r="F18" s="700">
        <f>'e402-e801'!E18</f>
        <v>0</v>
      </c>
      <c r="G18" s="57">
        <f t="shared" si="1"/>
        <v>0</v>
      </c>
      <c r="H18" s="60">
        <f>(30*BC!$B$47/E18)</f>
        <v>0</v>
      </c>
      <c r="I18" s="701">
        <f t="shared" si="2"/>
        <v>0</v>
      </c>
      <c r="J18" s="701">
        <f t="shared" si="3"/>
        <v>0</v>
      </c>
      <c r="K18" s="216">
        <f t="shared" si="4"/>
        <v>0</v>
      </c>
      <c r="L18" s="702">
        <v>351</v>
      </c>
      <c r="M18" s="703">
        <f t="shared" si="5"/>
        <v>0</v>
      </c>
      <c r="N18" s="91" t="e">
        <f t="shared" si="6"/>
        <v>#DIV/0!</v>
      </c>
      <c r="O18" s="148" t="e">
        <f t="shared" si="7"/>
        <v>#DIV/0!</v>
      </c>
      <c r="P18" s="704">
        <f t="shared" si="8"/>
        <v>1.17</v>
      </c>
      <c r="Q18" s="705" t="e">
        <f>(P18+$M$262)+((BC!$F$125)/$F$112)</f>
        <v>#DIV/0!</v>
      </c>
      <c r="R18" s="149" t="e">
        <f t="shared" si="9"/>
        <v>#DIV/0!</v>
      </c>
      <c r="S18" s="393" t="e">
        <f t="shared" si="10"/>
        <v>#DIV/0!</v>
      </c>
      <c r="T18" s="393" t="e">
        <f t="shared" si="11"/>
        <v>#DIV/0!</v>
      </c>
    </row>
    <row r="19" spans="1:20" ht="14.25" x14ac:dyDescent="0.45">
      <c r="B19" s="471">
        <v>8932387190</v>
      </c>
      <c r="C19" s="599" t="s">
        <v>881</v>
      </c>
      <c r="D19" s="42">
        <v>300</v>
      </c>
      <c r="E19" s="1">
        <v>112</v>
      </c>
      <c r="F19" s="700">
        <f>'e402-e801'!E19</f>
        <v>0</v>
      </c>
      <c r="G19" s="57">
        <f t="shared" si="1"/>
        <v>0</v>
      </c>
      <c r="H19" s="60">
        <f>(30*BC!$B$47/E19)</f>
        <v>0</v>
      </c>
      <c r="I19" s="701">
        <f t="shared" si="2"/>
        <v>0</v>
      </c>
      <c r="J19" s="701">
        <f t="shared" si="3"/>
        <v>0</v>
      </c>
      <c r="K19" s="216">
        <f t="shared" si="4"/>
        <v>0</v>
      </c>
      <c r="L19" s="702">
        <v>705</v>
      </c>
      <c r="M19" s="703">
        <f t="shared" si="5"/>
        <v>0</v>
      </c>
      <c r="N19" s="91" t="e">
        <f t="shared" si="6"/>
        <v>#DIV/0!</v>
      </c>
      <c r="O19" s="148" t="e">
        <f t="shared" si="7"/>
        <v>#DIV/0!</v>
      </c>
      <c r="P19" s="704">
        <f t="shared" si="8"/>
        <v>2.35</v>
      </c>
      <c r="Q19" s="705" t="e">
        <f>(P19+$M$262)+((BC!$F$125)/$F$112)</f>
        <v>#DIV/0!</v>
      </c>
      <c r="R19" s="149" t="e">
        <f t="shared" si="9"/>
        <v>#DIV/0!</v>
      </c>
      <c r="S19" s="393" t="e">
        <f t="shared" si="10"/>
        <v>#DIV/0!</v>
      </c>
      <c r="T19" s="393" t="e">
        <f t="shared" si="11"/>
        <v>#DIV/0!</v>
      </c>
    </row>
    <row r="20" spans="1:20" ht="15.75" customHeight="1" x14ac:dyDescent="0.45">
      <c r="A20" s="712" t="s">
        <v>1076</v>
      </c>
      <c r="B20" s="471">
        <v>7027249190</v>
      </c>
      <c r="C20" s="599" t="s">
        <v>882</v>
      </c>
      <c r="D20" s="42">
        <v>300</v>
      </c>
      <c r="E20" s="1">
        <v>112</v>
      </c>
      <c r="F20" s="700">
        <f>'e402-e801'!E20</f>
        <v>0</v>
      </c>
      <c r="G20" s="57">
        <f t="shared" si="1"/>
        <v>0</v>
      </c>
      <c r="H20" s="60">
        <f>(30*BC!$B$47/E20)</f>
        <v>0</v>
      </c>
      <c r="I20" s="701">
        <f t="shared" si="2"/>
        <v>0</v>
      </c>
      <c r="J20" s="701">
        <f t="shared" si="3"/>
        <v>0</v>
      </c>
      <c r="K20" s="216">
        <f t="shared" si="4"/>
        <v>0</v>
      </c>
      <c r="L20" s="702">
        <v>497</v>
      </c>
      <c r="M20" s="703">
        <f t="shared" si="5"/>
        <v>0</v>
      </c>
      <c r="N20" s="91" t="e">
        <f t="shared" si="6"/>
        <v>#DIV/0!</v>
      </c>
      <c r="O20" s="148" t="e">
        <f t="shared" si="7"/>
        <v>#DIV/0!</v>
      </c>
      <c r="P20" s="704">
        <f t="shared" si="8"/>
        <v>1.6566666666666667</v>
      </c>
      <c r="Q20" s="705" t="e">
        <f>(P20+$M$262)+((BC!$F$125)/$F$112)</f>
        <v>#DIV/0!</v>
      </c>
      <c r="R20" s="149" t="e">
        <f t="shared" si="9"/>
        <v>#DIV/0!</v>
      </c>
      <c r="S20" s="393" t="e">
        <f t="shared" si="10"/>
        <v>#DIV/0!</v>
      </c>
      <c r="T20" s="393" t="e">
        <f t="shared" si="11"/>
        <v>#DIV/0!</v>
      </c>
    </row>
    <row r="21" spans="1:20" ht="15.75" customHeight="1" x14ac:dyDescent="0.45">
      <c r="A21" s="712">
        <f>F30+F31+F32+F36+F62</f>
        <v>0</v>
      </c>
      <c r="B21" s="471">
        <v>9755748190</v>
      </c>
      <c r="C21" s="599" t="s">
        <v>883</v>
      </c>
      <c r="D21" s="42">
        <v>100</v>
      </c>
      <c r="E21" s="1">
        <v>112</v>
      </c>
      <c r="F21" s="700">
        <f>'e402-e801'!E21</f>
        <v>0</v>
      </c>
      <c r="G21" s="57">
        <f t="shared" si="1"/>
        <v>0</v>
      </c>
      <c r="H21" s="60">
        <f>(30*BC!$B$47/E21)</f>
        <v>0</v>
      </c>
      <c r="I21" s="701">
        <f t="shared" si="2"/>
        <v>0</v>
      </c>
      <c r="J21" s="701">
        <f t="shared" si="3"/>
        <v>0</v>
      </c>
      <c r="K21" s="216">
        <f t="shared" si="4"/>
        <v>0</v>
      </c>
      <c r="L21" s="702">
        <v>120</v>
      </c>
      <c r="M21" s="703">
        <f t="shared" si="5"/>
        <v>0</v>
      </c>
      <c r="N21" s="91" t="e">
        <f t="shared" si="6"/>
        <v>#DIV/0!</v>
      </c>
      <c r="O21" s="148" t="e">
        <f t="shared" si="7"/>
        <v>#DIV/0!</v>
      </c>
      <c r="P21" s="704">
        <f t="shared" si="8"/>
        <v>1.2</v>
      </c>
      <c r="Q21" s="705" t="e">
        <f>(P21+$M$262)+((BC!$F$125)/$F$112)</f>
        <v>#DIV/0!</v>
      </c>
      <c r="R21" s="149" t="e">
        <f t="shared" si="9"/>
        <v>#DIV/0!</v>
      </c>
      <c r="S21" s="393" t="e">
        <f t="shared" si="10"/>
        <v>#DIV/0!</v>
      </c>
      <c r="T21" s="393" t="e">
        <f t="shared" si="11"/>
        <v>#DIV/0!</v>
      </c>
    </row>
    <row r="22" spans="1:20" ht="15.75" customHeight="1" x14ac:dyDescent="0.45">
      <c r="B22" s="471">
        <v>7027737190</v>
      </c>
      <c r="C22" s="599" t="s">
        <v>884</v>
      </c>
      <c r="D22" s="42">
        <v>300</v>
      </c>
      <c r="E22" s="1">
        <v>112</v>
      </c>
      <c r="F22" s="700">
        <f>'e402-e801'!E22</f>
        <v>0</v>
      </c>
      <c r="G22" s="57">
        <f t="shared" si="1"/>
        <v>0</v>
      </c>
      <c r="H22" s="60">
        <f>(30*BC!$B$47/E22)</f>
        <v>0</v>
      </c>
      <c r="I22" s="701">
        <f t="shared" si="2"/>
        <v>0</v>
      </c>
      <c r="J22" s="701">
        <f t="shared" si="3"/>
        <v>0</v>
      </c>
      <c r="K22" s="216">
        <f t="shared" si="4"/>
        <v>0</v>
      </c>
      <c r="L22" s="702">
        <v>366</v>
      </c>
      <c r="M22" s="703">
        <f t="shared" si="5"/>
        <v>0</v>
      </c>
      <c r="N22" s="91" t="e">
        <f t="shared" si="6"/>
        <v>#DIV/0!</v>
      </c>
      <c r="O22" s="148" t="e">
        <f t="shared" si="7"/>
        <v>#DIV/0!</v>
      </c>
      <c r="P22" s="704">
        <f t="shared" si="8"/>
        <v>1.22</v>
      </c>
      <c r="Q22" s="705" t="e">
        <f>(P22+$M$262)+((BC!$F$125)/$F$112)</f>
        <v>#DIV/0!</v>
      </c>
      <c r="R22" s="149" t="e">
        <f t="shared" si="9"/>
        <v>#DIV/0!</v>
      </c>
      <c r="S22" s="393" t="e">
        <f t="shared" si="10"/>
        <v>#DIV/0!</v>
      </c>
      <c r="T22" s="393" t="e">
        <f t="shared" si="11"/>
        <v>#DIV/0!</v>
      </c>
    </row>
    <row r="23" spans="1:20" ht="15.75" customHeight="1" x14ac:dyDescent="0.45">
      <c r="A23" s="713" t="s">
        <v>1077</v>
      </c>
      <c r="B23" s="471">
        <v>8946370190</v>
      </c>
      <c r="C23" s="599" t="s">
        <v>885</v>
      </c>
      <c r="D23" s="42">
        <v>300</v>
      </c>
      <c r="E23" s="1">
        <v>112</v>
      </c>
      <c r="F23" s="700">
        <f>'e402-e801'!E23</f>
        <v>0</v>
      </c>
      <c r="G23" s="57">
        <f t="shared" si="1"/>
        <v>0</v>
      </c>
      <c r="H23" s="60">
        <f>(30*BC!$B$47/E23)</f>
        <v>0</v>
      </c>
      <c r="I23" s="701">
        <f t="shared" si="2"/>
        <v>0</v>
      </c>
      <c r="J23" s="701">
        <f t="shared" si="3"/>
        <v>0</v>
      </c>
      <c r="K23" s="216">
        <f t="shared" si="4"/>
        <v>0</v>
      </c>
      <c r="L23" s="702">
        <v>345</v>
      </c>
      <c r="M23" s="703">
        <f t="shared" si="5"/>
        <v>0</v>
      </c>
      <c r="N23" s="91" t="e">
        <f t="shared" si="6"/>
        <v>#DIV/0!</v>
      </c>
      <c r="O23" s="148" t="e">
        <f t="shared" si="7"/>
        <v>#DIV/0!</v>
      </c>
      <c r="P23" s="704">
        <f t="shared" si="8"/>
        <v>1.1499999999999999</v>
      </c>
      <c r="Q23" s="705" t="e">
        <f>(P23+$M$262)+((BC!$F$125)/$F$112)</f>
        <v>#DIV/0!</v>
      </c>
      <c r="R23" s="149" t="e">
        <f t="shared" si="9"/>
        <v>#DIV/0!</v>
      </c>
      <c r="S23" s="393" t="e">
        <f t="shared" si="10"/>
        <v>#DIV/0!</v>
      </c>
      <c r="T23" s="393" t="e">
        <f t="shared" si="11"/>
        <v>#DIV/0!</v>
      </c>
    </row>
    <row r="24" spans="1:20" ht="15.75" customHeight="1" x14ac:dyDescent="0.45">
      <c r="A24" s="713">
        <f>F37+F76+F77</f>
        <v>0</v>
      </c>
      <c r="B24" s="471">
        <v>7258496190</v>
      </c>
      <c r="C24" s="599" t="s">
        <v>886</v>
      </c>
      <c r="D24" s="42">
        <v>300</v>
      </c>
      <c r="E24" s="1">
        <v>112</v>
      </c>
      <c r="F24" s="700">
        <f>'e402-e801'!E24</f>
        <v>0</v>
      </c>
      <c r="G24" s="57">
        <f t="shared" si="1"/>
        <v>0</v>
      </c>
      <c r="H24" s="60">
        <f>(30*BC!$B$47/E24)</f>
        <v>0</v>
      </c>
      <c r="I24" s="701">
        <f t="shared" si="2"/>
        <v>0</v>
      </c>
      <c r="J24" s="701">
        <f t="shared" si="3"/>
        <v>0</v>
      </c>
      <c r="K24" s="216">
        <f t="shared" si="4"/>
        <v>0</v>
      </c>
      <c r="L24" s="702">
        <v>597</v>
      </c>
      <c r="M24" s="703">
        <f t="shared" si="5"/>
        <v>0</v>
      </c>
      <c r="N24" s="91" t="e">
        <f t="shared" si="6"/>
        <v>#DIV/0!</v>
      </c>
      <c r="O24" s="148" t="e">
        <f t="shared" si="7"/>
        <v>#DIV/0!</v>
      </c>
      <c r="P24" s="704">
        <f t="shared" si="8"/>
        <v>1.99</v>
      </c>
      <c r="Q24" s="705" t="e">
        <f>(P24+$M$262)+((BC!$F$125)/$F$112)</f>
        <v>#DIV/0!</v>
      </c>
      <c r="R24" s="149" t="e">
        <f t="shared" si="9"/>
        <v>#DIV/0!</v>
      </c>
      <c r="S24" s="393" t="e">
        <f t="shared" si="10"/>
        <v>#DIV/0!</v>
      </c>
      <c r="T24" s="393" t="e">
        <f t="shared" si="11"/>
        <v>#DIV/0!</v>
      </c>
    </row>
    <row r="25" spans="1:20" ht="15.75" customHeight="1" x14ac:dyDescent="0.45">
      <c r="B25" s="471">
        <v>7027192190</v>
      </c>
      <c r="C25" s="599" t="s">
        <v>887</v>
      </c>
      <c r="D25" s="42">
        <v>100</v>
      </c>
      <c r="E25" s="1">
        <v>112</v>
      </c>
      <c r="F25" s="700">
        <f>'e402-e801'!E25</f>
        <v>0</v>
      </c>
      <c r="G25" s="57">
        <f t="shared" si="1"/>
        <v>0</v>
      </c>
      <c r="H25" s="60">
        <f>(30*BC!$B$47/E25)</f>
        <v>0</v>
      </c>
      <c r="I25" s="701">
        <f t="shared" si="2"/>
        <v>0</v>
      </c>
      <c r="J25" s="701">
        <f t="shared" si="3"/>
        <v>0</v>
      </c>
      <c r="K25" s="216">
        <f t="shared" si="4"/>
        <v>0</v>
      </c>
      <c r="L25" s="702">
        <v>614</v>
      </c>
      <c r="M25" s="703">
        <f t="shared" si="5"/>
        <v>0</v>
      </c>
      <c r="N25" s="91" t="e">
        <f t="shared" si="6"/>
        <v>#DIV/0!</v>
      </c>
      <c r="O25" s="148" t="e">
        <f t="shared" si="7"/>
        <v>#DIV/0!</v>
      </c>
      <c r="P25" s="704">
        <f t="shared" si="8"/>
        <v>6.14</v>
      </c>
      <c r="Q25" s="705" t="e">
        <f>(P25+$M$262)+((BC!$F$125)/$F$112)</f>
        <v>#DIV/0!</v>
      </c>
      <c r="R25" s="149" t="e">
        <f t="shared" si="9"/>
        <v>#DIV/0!</v>
      </c>
      <c r="S25" s="393" t="e">
        <f t="shared" si="10"/>
        <v>#DIV/0!</v>
      </c>
      <c r="T25" s="393" t="e">
        <f t="shared" si="11"/>
        <v>#DIV/0!</v>
      </c>
    </row>
    <row r="26" spans="1:20" ht="15.75" customHeight="1" x14ac:dyDescent="0.45">
      <c r="A26" s="714" t="s">
        <v>1078</v>
      </c>
      <c r="B26" s="594">
        <v>7251025190</v>
      </c>
      <c r="C26" s="600" t="s">
        <v>888</v>
      </c>
      <c r="D26" s="42">
        <v>300</v>
      </c>
      <c r="E26" s="1">
        <v>112</v>
      </c>
      <c r="F26" s="700">
        <f>'e402-e801'!E26</f>
        <v>0</v>
      </c>
      <c r="G26" s="57">
        <f t="shared" si="1"/>
        <v>0</v>
      </c>
      <c r="H26" s="60">
        <f>(30*BC!$B$47/E26)</f>
        <v>0</v>
      </c>
      <c r="I26" s="701">
        <f t="shared" si="2"/>
        <v>0</v>
      </c>
      <c r="J26" s="701">
        <f t="shared" si="3"/>
        <v>0</v>
      </c>
      <c r="K26" s="216">
        <f t="shared" si="4"/>
        <v>0</v>
      </c>
      <c r="L26" s="702">
        <v>444</v>
      </c>
      <c r="M26" s="703">
        <f t="shared" si="5"/>
        <v>0</v>
      </c>
      <c r="N26" s="91" t="e">
        <f t="shared" si="6"/>
        <v>#DIV/0!</v>
      </c>
      <c r="O26" s="148" t="e">
        <f t="shared" si="7"/>
        <v>#DIV/0!</v>
      </c>
      <c r="P26" s="704">
        <f t="shared" si="8"/>
        <v>1.48</v>
      </c>
      <c r="Q26" s="705" t="e">
        <f>(P26+$M$262)+((BC!$F$125)/$F$112)</f>
        <v>#DIV/0!</v>
      </c>
      <c r="R26" s="149" t="e">
        <f t="shared" si="9"/>
        <v>#DIV/0!</v>
      </c>
      <c r="S26" s="393" t="e">
        <f t="shared" si="10"/>
        <v>#DIV/0!</v>
      </c>
      <c r="T26" s="393" t="e">
        <f t="shared" si="11"/>
        <v>#DIV/0!</v>
      </c>
    </row>
    <row r="27" spans="1:20" ht="15.75" customHeight="1" x14ac:dyDescent="0.45">
      <c r="A27" s="715">
        <f>F54+F55+F56+F57+F60</f>
        <v>0</v>
      </c>
      <c r="B27" s="471">
        <v>8890595190</v>
      </c>
      <c r="C27" s="599" t="s">
        <v>889</v>
      </c>
      <c r="D27" s="42">
        <v>100</v>
      </c>
      <c r="E27" s="1">
        <v>112</v>
      </c>
      <c r="F27" s="700">
        <f>'e402-e801'!E27</f>
        <v>0</v>
      </c>
      <c r="G27" s="57">
        <f t="shared" si="1"/>
        <v>0</v>
      </c>
      <c r="H27" s="60">
        <f>(30*BC!$B$47/E27)</f>
        <v>0</v>
      </c>
      <c r="I27" s="701">
        <f t="shared" si="2"/>
        <v>0</v>
      </c>
      <c r="J27" s="701">
        <f t="shared" si="3"/>
        <v>0</v>
      </c>
      <c r="K27" s="216">
        <f t="shared" si="4"/>
        <v>0</v>
      </c>
      <c r="L27" s="702">
        <v>408</v>
      </c>
      <c r="M27" s="703">
        <f t="shared" si="5"/>
        <v>0</v>
      </c>
      <c r="N27" s="91" t="e">
        <f t="shared" si="6"/>
        <v>#DIV/0!</v>
      </c>
      <c r="O27" s="148" t="e">
        <f t="shared" si="7"/>
        <v>#DIV/0!</v>
      </c>
      <c r="P27" s="704">
        <f t="shared" si="8"/>
        <v>4.08</v>
      </c>
      <c r="Q27" s="705" t="e">
        <f>(P27+$M$262)+((BC!$F$125)/$F$112)</f>
        <v>#DIV/0!</v>
      </c>
      <c r="R27" s="149" t="e">
        <f t="shared" si="9"/>
        <v>#DIV/0!</v>
      </c>
      <c r="S27" s="393" t="e">
        <f t="shared" si="10"/>
        <v>#DIV/0!</v>
      </c>
      <c r="T27" s="393" t="e">
        <f t="shared" si="11"/>
        <v>#DIV/0!</v>
      </c>
    </row>
    <row r="28" spans="1:20" ht="15.75" customHeight="1" x14ac:dyDescent="0.45">
      <c r="B28" s="471">
        <v>8860319190</v>
      </c>
      <c r="C28" s="601" t="s">
        <v>890</v>
      </c>
      <c r="D28" s="42">
        <v>100</v>
      </c>
      <c r="E28" s="1">
        <v>112</v>
      </c>
      <c r="F28" s="700">
        <f>'e402-e801'!E28</f>
        <v>0</v>
      </c>
      <c r="G28" s="57">
        <f t="shared" si="1"/>
        <v>0</v>
      </c>
      <c r="H28" s="60">
        <f>(30*BC!$B$47/E28)</f>
        <v>0</v>
      </c>
      <c r="I28" s="701">
        <f t="shared" si="2"/>
        <v>0</v>
      </c>
      <c r="J28" s="701">
        <f t="shared" si="3"/>
        <v>0</v>
      </c>
      <c r="K28" s="216">
        <f t="shared" si="4"/>
        <v>0</v>
      </c>
      <c r="L28" s="702">
        <v>1516</v>
      </c>
      <c r="M28" s="703">
        <f t="shared" si="5"/>
        <v>0</v>
      </c>
      <c r="N28" s="91" t="e">
        <f t="shared" si="6"/>
        <v>#DIV/0!</v>
      </c>
      <c r="O28" s="148" t="e">
        <f t="shared" si="7"/>
        <v>#DIV/0!</v>
      </c>
      <c r="P28" s="704">
        <f t="shared" si="8"/>
        <v>15.16</v>
      </c>
      <c r="Q28" s="705" t="e">
        <f>(P28+$M$262)+((BC!$F$125)/$F$112)</f>
        <v>#DIV/0!</v>
      </c>
      <c r="R28" s="149" t="e">
        <f t="shared" si="9"/>
        <v>#DIV/0!</v>
      </c>
      <c r="S28" s="393" t="e">
        <f t="shared" si="10"/>
        <v>#DIV/0!</v>
      </c>
      <c r="T28" s="393" t="e">
        <f t="shared" si="11"/>
        <v>#DIV/0!</v>
      </c>
    </row>
    <row r="29" spans="1:20" ht="15.75" customHeight="1" x14ac:dyDescent="0.45">
      <c r="B29" s="471">
        <v>8860181190</v>
      </c>
      <c r="C29" s="601" t="s">
        <v>891</v>
      </c>
      <c r="D29" s="42">
        <v>100</v>
      </c>
      <c r="E29" s="1">
        <v>112</v>
      </c>
      <c r="F29" s="700">
        <f>'e402-e801'!E29</f>
        <v>0</v>
      </c>
      <c r="G29" s="57">
        <f t="shared" si="1"/>
        <v>0</v>
      </c>
      <c r="H29" s="60">
        <f>(30*BC!$B$47/E29)</f>
        <v>0</v>
      </c>
      <c r="I29" s="701">
        <f t="shared" si="2"/>
        <v>0</v>
      </c>
      <c r="J29" s="701">
        <f t="shared" si="3"/>
        <v>0</v>
      </c>
      <c r="K29" s="216">
        <f t="shared" si="4"/>
        <v>0</v>
      </c>
      <c r="L29" s="702">
        <v>1459</v>
      </c>
      <c r="M29" s="703">
        <f t="shared" si="5"/>
        <v>0</v>
      </c>
      <c r="N29" s="91" t="e">
        <f t="shared" si="6"/>
        <v>#DIV/0!</v>
      </c>
      <c r="O29" s="148" t="e">
        <f t="shared" si="7"/>
        <v>#DIV/0!</v>
      </c>
      <c r="P29" s="704">
        <f t="shared" si="8"/>
        <v>14.59</v>
      </c>
      <c r="Q29" s="705" t="e">
        <f>(P29+$M$262)+((BC!$F$125)/$F$112)</f>
        <v>#DIV/0!</v>
      </c>
      <c r="R29" s="149" t="e">
        <f t="shared" si="9"/>
        <v>#DIV/0!</v>
      </c>
      <c r="S29" s="393" t="e">
        <f t="shared" si="10"/>
        <v>#DIV/0!</v>
      </c>
      <c r="T29" s="393" t="e">
        <f t="shared" si="11"/>
        <v>#DIV/0!</v>
      </c>
    </row>
    <row r="30" spans="1:20" ht="15.75" customHeight="1" x14ac:dyDescent="0.45">
      <c r="A30" s="716" t="s">
        <v>1079</v>
      </c>
      <c r="B30" s="471">
        <v>7027648190</v>
      </c>
      <c r="C30" s="602" t="s">
        <v>892</v>
      </c>
      <c r="D30" s="42">
        <v>100</v>
      </c>
      <c r="E30" s="1">
        <v>112</v>
      </c>
      <c r="F30" s="700">
        <f>'e402-e801'!E30</f>
        <v>0</v>
      </c>
      <c r="G30" s="57">
        <f t="shared" si="1"/>
        <v>0</v>
      </c>
      <c r="H30" s="60">
        <f>(30*BC!$B$47/E30)</f>
        <v>0</v>
      </c>
      <c r="I30" s="701">
        <f t="shared" si="2"/>
        <v>0</v>
      </c>
      <c r="J30" s="701">
        <f t="shared" si="3"/>
        <v>0</v>
      </c>
      <c r="K30" s="216">
        <f t="shared" si="4"/>
        <v>0</v>
      </c>
      <c r="L30" s="702">
        <v>3059</v>
      </c>
      <c r="M30" s="703">
        <f t="shared" si="5"/>
        <v>0</v>
      </c>
      <c r="N30" s="91" t="e">
        <f t="shared" si="6"/>
        <v>#DIV/0!</v>
      </c>
      <c r="O30" s="148" t="e">
        <f t="shared" si="7"/>
        <v>#DIV/0!</v>
      </c>
      <c r="P30" s="704">
        <f t="shared" si="8"/>
        <v>30.59</v>
      </c>
      <c r="Q30" s="705" t="e">
        <f>(P30+$M$262)+((BC!$F$125)/$F$112)</f>
        <v>#DIV/0!</v>
      </c>
      <c r="R30" s="149" t="e">
        <f t="shared" si="9"/>
        <v>#DIV/0!</v>
      </c>
      <c r="S30" s="393" t="e">
        <f t="shared" si="10"/>
        <v>#DIV/0!</v>
      </c>
      <c r="T30" s="393" t="e">
        <f t="shared" si="11"/>
        <v>#DIV/0!</v>
      </c>
    </row>
    <row r="31" spans="1:20" ht="15.75" customHeight="1" x14ac:dyDescent="0.45">
      <c r="A31" s="716">
        <f>F58+F59</f>
        <v>0</v>
      </c>
      <c r="B31" s="471">
        <v>7027818190</v>
      </c>
      <c r="C31" s="602" t="s">
        <v>893</v>
      </c>
      <c r="D31" s="42">
        <v>100</v>
      </c>
      <c r="E31" s="1">
        <v>112</v>
      </c>
      <c r="F31" s="700">
        <f>'e402-e801'!E31</f>
        <v>0</v>
      </c>
      <c r="G31" s="57">
        <f t="shared" si="1"/>
        <v>0</v>
      </c>
      <c r="H31" s="60">
        <f>(30*BC!$B$47/E31)</f>
        <v>0</v>
      </c>
      <c r="I31" s="701">
        <f t="shared" si="2"/>
        <v>0</v>
      </c>
      <c r="J31" s="701">
        <f t="shared" si="3"/>
        <v>0</v>
      </c>
      <c r="K31" s="216">
        <f t="shared" si="4"/>
        <v>0</v>
      </c>
      <c r="L31" s="702">
        <v>3059</v>
      </c>
      <c r="M31" s="703">
        <f t="shared" si="5"/>
        <v>0</v>
      </c>
      <c r="N31" s="91" t="e">
        <f t="shared" si="6"/>
        <v>#DIV/0!</v>
      </c>
      <c r="O31" s="148" t="e">
        <f t="shared" si="7"/>
        <v>#DIV/0!</v>
      </c>
      <c r="P31" s="704">
        <f t="shared" si="8"/>
        <v>30.59</v>
      </c>
      <c r="Q31" s="705" t="e">
        <f>(P31+$M$262)+((BC!$F$125)/$F$112)</f>
        <v>#DIV/0!</v>
      </c>
      <c r="R31" s="149" t="e">
        <f t="shared" si="9"/>
        <v>#DIV/0!</v>
      </c>
      <c r="S31" s="393" t="e">
        <f t="shared" si="10"/>
        <v>#DIV/0!</v>
      </c>
      <c r="T31" s="393" t="e">
        <f t="shared" si="11"/>
        <v>#DIV/0!</v>
      </c>
    </row>
    <row r="32" spans="1:20" ht="15.75" customHeight="1" x14ac:dyDescent="0.45">
      <c r="B32" s="471">
        <v>7027168190</v>
      </c>
      <c r="C32" s="602" t="s">
        <v>894</v>
      </c>
      <c r="D32" s="42">
        <v>100</v>
      </c>
      <c r="E32" s="1">
        <v>112</v>
      </c>
      <c r="F32" s="700">
        <f>'e402-e801'!E32</f>
        <v>0</v>
      </c>
      <c r="G32" s="57">
        <f t="shared" si="1"/>
        <v>0</v>
      </c>
      <c r="H32" s="60">
        <f>(30*BC!$B$47/E32)</f>
        <v>0</v>
      </c>
      <c r="I32" s="701">
        <f t="shared" si="2"/>
        <v>0</v>
      </c>
      <c r="J32" s="701">
        <f t="shared" si="3"/>
        <v>0</v>
      </c>
      <c r="K32" s="216">
        <f t="shared" si="4"/>
        <v>0</v>
      </c>
      <c r="L32" s="702">
        <v>317</v>
      </c>
      <c r="M32" s="703">
        <f t="shared" si="5"/>
        <v>0</v>
      </c>
      <c r="N32" s="91" t="e">
        <f t="shared" si="6"/>
        <v>#DIV/0!</v>
      </c>
      <c r="O32" s="148" t="e">
        <f t="shared" si="7"/>
        <v>#DIV/0!</v>
      </c>
      <c r="P32" s="704">
        <f t="shared" si="8"/>
        <v>3.17</v>
      </c>
      <c r="Q32" s="705" t="e">
        <f>(P32+$M$262)+((BC!$F$125)/$F$112)</f>
        <v>#DIV/0!</v>
      </c>
      <c r="R32" s="149" t="e">
        <f t="shared" si="9"/>
        <v>#DIV/0!</v>
      </c>
      <c r="S32" s="393" t="e">
        <f t="shared" si="10"/>
        <v>#DIV/0!</v>
      </c>
      <c r="T32" s="393" t="e">
        <f t="shared" si="11"/>
        <v>#DIV/0!</v>
      </c>
    </row>
    <row r="33" spans="1:20" ht="15.75" customHeight="1" x14ac:dyDescent="0.45">
      <c r="A33" s="717" t="s">
        <v>1080</v>
      </c>
      <c r="B33" s="603">
        <v>7027559190</v>
      </c>
      <c r="C33" s="599" t="s">
        <v>895</v>
      </c>
      <c r="D33" s="42">
        <v>100</v>
      </c>
      <c r="E33" s="1">
        <v>112</v>
      </c>
      <c r="F33" s="700">
        <f>'e402-e801'!E33</f>
        <v>0</v>
      </c>
      <c r="G33" s="57">
        <f t="shared" si="1"/>
        <v>0</v>
      </c>
      <c r="H33" s="60">
        <f>(30*BC!$B$47/E33)</f>
        <v>0</v>
      </c>
      <c r="I33" s="701">
        <f t="shared" si="2"/>
        <v>0</v>
      </c>
      <c r="J33" s="701">
        <f t="shared" si="3"/>
        <v>0</v>
      </c>
      <c r="K33" s="216">
        <f t="shared" si="4"/>
        <v>0</v>
      </c>
      <c r="L33" s="702">
        <v>326</v>
      </c>
      <c r="M33" s="703">
        <f t="shared" si="5"/>
        <v>0</v>
      </c>
      <c r="N33" s="91" t="e">
        <f t="shared" si="6"/>
        <v>#DIV/0!</v>
      </c>
      <c r="O33" s="148" t="e">
        <f t="shared" si="7"/>
        <v>#DIV/0!</v>
      </c>
      <c r="P33" s="704">
        <f t="shared" si="8"/>
        <v>3.26</v>
      </c>
      <c r="Q33" s="705" t="e">
        <f>(P33+$M$262)+((BC!$F$125)/$F$112)</f>
        <v>#DIV/0!</v>
      </c>
      <c r="R33" s="149" t="e">
        <f t="shared" si="9"/>
        <v>#DIV/0!</v>
      </c>
      <c r="S33" s="393" t="e">
        <f t="shared" si="10"/>
        <v>#DIV/0!</v>
      </c>
      <c r="T33" s="393" t="e">
        <f t="shared" si="11"/>
        <v>#DIV/0!</v>
      </c>
    </row>
    <row r="34" spans="1:20" ht="15.75" customHeight="1" x14ac:dyDescent="0.45">
      <c r="A34" s="717">
        <f>F61+F63+F65+F68+F69+F70+F71+F72</f>
        <v>0</v>
      </c>
      <c r="B34" s="679">
        <v>7027150190</v>
      </c>
      <c r="C34" s="599" t="s">
        <v>896</v>
      </c>
      <c r="D34" s="42">
        <v>300</v>
      </c>
      <c r="E34" s="1">
        <v>112</v>
      </c>
      <c r="F34" s="700">
        <f>'e402-e801'!E34</f>
        <v>0</v>
      </c>
      <c r="G34" s="57">
        <f t="shared" si="1"/>
        <v>0</v>
      </c>
      <c r="H34" s="60">
        <f>(30*BC!$B$47/E34)</f>
        <v>0</v>
      </c>
      <c r="I34" s="701">
        <f t="shared" si="2"/>
        <v>0</v>
      </c>
      <c r="J34" s="701">
        <f t="shared" si="3"/>
        <v>0</v>
      </c>
      <c r="K34" s="216">
        <f t="shared" si="4"/>
        <v>0</v>
      </c>
      <c r="L34" s="702">
        <v>1164</v>
      </c>
      <c r="M34" s="703">
        <f t="shared" si="5"/>
        <v>0</v>
      </c>
      <c r="N34" s="91" t="e">
        <f t="shared" si="6"/>
        <v>#DIV/0!</v>
      </c>
      <c r="O34" s="148" t="e">
        <f t="shared" si="7"/>
        <v>#DIV/0!</v>
      </c>
      <c r="P34" s="704">
        <f t="shared" si="8"/>
        <v>3.88</v>
      </c>
      <c r="Q34" s="705" t="e">
        <f>(P34+$M$262)+((BC!$F$125)/$F$112)</f>
        <v>#DIV/0!</v>
      </c>
      <c r="R34" s="149" t="e">
        <f t="shared" si="9"/>
        <v>#DIV/0!</v>
      </c>
      <c r="S34" s="393" t="e">
        <f t="shared" si="10"/>
        <v>#DIV/0!</v>
      </c>
      <c r="T34" s="393" t="e">
        <f t="shared" si="11"/>
        <v>#DIV/0!</v>
      </c>
    </row>
    <row r="35" spans="1:20" ht="15.75" customHeight="1" x14ac:dyDescent="0.45">
      <c r="B35" s="679">
        <v>7682808190</v>
      </c>
      <c r="C35" s="605" t="s">
        <v>897</v>
      </c>
      <c r="D35" s="42">
        <v>300</v>
      </c>
      <c r="E35" s="1">
        <v>112</v>
      </c>
      <c r="F35" s="700">
        <f>'e402-e801'!E35</f>
        <v>0</v>
      </c>
      <c r="G35" s="57">
        <f t="shared" si="1"/>
        <v>0</v>
      </c>
      <c r="H35" s="60">
        <f>(30*BC!$B$47/E35)</f>
        <v>0</v>
      </c>
      <c r="I35" s="701">
        <f t="shared" si="2"/>
        <v>0</v>
      </c>
      <c r="J35" s="701">
        <f t="shared" si="3"/>
        <v>0</v>
      </c>
      <c r="K35" s="216">
        <f t="shared" si="4"/>
        <v>0</v>
      </c>
      <c r="L35" s="692"/>
      <c r="M35" s="703">
        <f t="shared" si="5"/>
        <v>0</v>
      </c>
      <c r="N35" s="91" t="e">
        <f t="shared" si="6"/>
        <v>#DIV/0!</v>
      </c>
      <c r="O35" s="148" t="e">
        <f t="shared" si="7"/>
        <v>#DIV/0!</v>
      </c>
      <c r="P35" s="704">
        <f t="shared" si="8"/>
        <v>0</v>
      </c>
      <c r="Q35" s="705" t="e">
        <f>(P35+$M$262)+((BC!$F$125)/$F$112)</f>
        <v>#DIV/0!</v>
      </c>
      <c r="R35" s="149" t="e">
        <f t="shared" si="9"/>
        <v>#DIV/0!</v>
      </c>
      <c r="S35" s="393" t="e">
        <f t="shared" si="10"/>
        <v>#DIV/0!</v>
      </c>
      <c r="T35" s="393" t="e">
        <f t="shared" si="11"/>
        <v>#DIV/0!</v>
      </c>
    </row>
    <row r="36" spans="1:20" ht="15.75" customHeight="1" x14ac:dyDescent="0.45">
      <c r="A36" s="681" t="s">
        <v>1081</v>
      </c>
      <c r="B36" s="679">
        <v>8946728190</v>
      </c>
      <c r="C36" s="602" t="s">
        <v>898</v>
      </c>
      <c r="D36" s="42">
        <v>100</v>
      </c>
      <c r="E36" s="1">
        <v>112</v>
      </c>
      <c r="F36" s="700">
        <f>'e402-e801'!E36</f>
        <v>0</v>
      </c>
      <c r="G36" s="57">
        <f t="shared" si="1"/>
        <v>0</v>
      </c>
      <c r="H36" s="60">
        <f>(30*BC!$B$47/E36)</f>
        <v>0</v>
      </c>
      <c r="I36" s="701">
        <f t="shared" si="2"/>
        <v>0</v>
      </c>
      <c r="J36" s="701">
        <f t="shared" si="3"/>
        <v>0</v>
      </c>
      <c r="K36" s="216">
        <f t="shared" si="4"/>
        <v>0</v>
      </c>
      <c r="L36" s="702">
        <v>1329</v>
      </c>
      <c r="M36" s="703">
        <f t="shared" si="5"/>
        <v>0</v>
      </c>
      <c r="N36" s="91" t="e">
        <f t="shared" si="6"/>
        <v>#DIV/0!</v>
      </c>
      <c r="O36" s="148" t="e">
        <f t="shared" si="7"/>
        <v>#DIV/0!</v>
      </c>
      <c r="P36" s="704">
        <f t="shared" si="8"/>
        <v>13.29</v>
      </c>
      <c r="Q36" s="705" t="e">
        <f>(P36+$M$262)+((BC!$F$125)/$F$112)</f>
        <v>#DIV/0!</v>
      </c>
      <c r="R36" s="149" t="e">
        <f t="shared" si="9"/>
        <v>#DIV/0!</v>
      </c>
      <c r="S36" s="393" t="e">
        <f t="shared" si="10"/>
        <v>#DIV/0!</v>
      </c>
      <c r="T36" s="393" t="e">
        <f t="shared" si="11"/>
        <v>#DIV/0!</v>
      </c>
    </row>
    <row r="37" spans="1:20" ht="15.75" customHeight="1" x14ac:dyDescent="0.45">
      <c r="A37" s="718">
        <f>F108+F110+F111</f>
        <v>0</v>
      </c>
      <c r="B37" s="680">
        <v>7027486190</v>
      </c>
      <c r="C37" s="606" t="s">
        <v>899</v>
      </c>
      <c r="D37" s="42">
        <v>100</v>
      </c>
      <c r="E37" s="1">
        <v>112</v>
      </c>
      <c r="F37" s="700">
        <f>'e402-e801'!E37</f>
        <v>0</v>
      </c>
      <c r="G37" s="57">
        <f t="shared" si="1"/>
        <v>0</v>
      </c>
      <c r="H37" s="60">
        <f>(30*BC!$B$47/E37)</f>
        <v>0</v>
      </c>
      <c r="I37" s="701">
        <f t="shared" si="2"/>
        <v>0</v>
      </c>
      <c r="J37" s="701">
        <f t="shared" si="3"/>
        <v>0</v>
      </c>
      <c r="K37" s="216">
        <f t="shared" si="4"/>
        <v>0</v>
      </c>
      <c r="L37" s="702">
        <v>498</v>
      </c>
      <c r="M37" s="703">
        <f t="shared" si="5"/>
        <v>0</v>
      </c>
      <c r="N37" s="91" t="e">
        <f t="shared" si="6"/>
        <v>#DIV/0!</v>
      </c>
      <c r="O37" s="148" t="e">
        <f t="shared" si="7"/>
        <v>#DIV/0!</v>
      </c>
      <c r="P37" s="704">
        <f t="shared" si="8"/>
        <v>4.9800000000000004</v>
      </c>
      <c r="Q37" s="705" t="e">
        <f>(P37+$M$262)+((BC!$F$125)/$F$112)</f>
        <v>#DIV/0!</v>
      </c>
      <c r="R37" s="149" t="e">
        <f t="shared" si="9"/>
        <v>#DIV/0!</v>
      </c>
      <c r="S37" s="393" t="e">
        <f t="shared" si="10"/>
        <v>#DIV/0!</v>
      </c>
      <c r="T37" s="393" t="e">
        <f t="shared" si="11"/>
        <v>#DIV/0!</v>
      </c>
    </row>
    <row r="38" spans="1:20" ht="15.75" customHeight="1" x14ac:dyDescent="0.45">
      <c r="B38" s="679" t="s">
        <v>1140</v>
      </c>
      <c r="C38" s="608" t="s">
        <v>900</v>
      </c>
      <c r="D38" s="42">
        <v>100</v>
      </c>
      <c r="E38" s="1">
        <v>112</v>
      </c>
      <c r="F38" s="700">
        <f>'e402-e801'!E38</f>
        <v>0</v>
      </c>
      <c r="G38" s="57">
        <f t="shared" si="1"/>
        <v>0</v>
      </c>
      <c r="H38" s="60">
        <f>(30*BC!$B$47/E38)</f>
        <v>0</v>
      </c>
      <c r="I38" s="701">
        <f t="shared" si="2"/>
        <v>0</v>
      </c>
      <c r="J38" s="701">
        <f t="shared" si="3"/>
        <v>0</v>
      </c>
      <c r="K38" s="216">
        <f t="shared" si="4"/>
        <v>0</v>
      </c>
      <c r="L38" s="692"/>
      <c r="M38" s="703">
        <f t="shared" si="5"/>
        <v>0</v>
      </c>
      <c r="N38" s="91" t="e">
        <f t="shared" si="6"/>
        <v>#DIV/0!</v>
      </c>
      <c r="O38" s="148" t="e">
        <f t="shared" si="7"/>
        <v>#DIV/0!</v>
      </c>
      <c r="P38" s="704">
        <f t="shared" si="8"/>
        <v>0</v>
      </c>
      <c r="Q38" s="705" t="e">
        <f>(P38+$M$262)+((BC!$F$125)/$F$112)</f>
        <v>#DIV/0!</v>
      </c>
      <c r="R38" s="149" t="e">
        <f t="shared" si="9"/>
        <v>#DIV/0!</v>
      </c>
      <c r="S38" s="393" t="e">
        <f t="shared" si="10"/>
        <v>#DIV/0!</v>
      </c>
      <c r="T38" s="393" t="e">
        <f t="shared" si="11"/>
        <v>#DIV/0!</v>
      </c>
    </row>
    <row r="39" spans="1:20" ht="15.75" customHeight="1" x14ac:dyDescent="0.45">
      <c r="A39" s="682" t="s">
        <v>601</v>
      </c>
      <c r="B39" s="679">
        <v>9744860190</v>
      </c>
      <c r="C39" s="600" t="s">
        <v>901</v>
      </c>
      <c r="D39" s="42">
        <v>100</v>
      </c>
      <c r="E39" s="1">
        <v>112</v>
      </c>
      <c r="F39" s="700">
        <f>'e402-e801'!E39</f>
        <v>0</v>
      </c>
      <c r="G39" s="57">
        <f t="shared" si="1"/>
        <v>0</v>
      </c>
      <c r="H39" s="60">
        <f>(30*BC!$B$47/E39)</f>
        <v>0</v>
      </c>
      <c r="I39" s="701">
        <f t="shared" si="2"/>
        <v>0</v>
      </c>
      <c r="J39" s="701">
        <f t="shared" si="3"/>
        <v>0</v>
      </c>
      <c r="K39" s="216">
        <f t="shared" si="4"/>
        <v>0</v>
      </c>
      <c r="L39" s="702">
        <v>388</v>
      </c>
      <c r="M39" s="703">
        <f t="shared" si="5"/>
        <v>0</v>
      </c>
      <c r="N39" s="91" t="e">
        <f t="shared" si="6"/>
        <v>#DIV/0!</v>
      </c>
      <c r="O39" s="148" t="e">
        <f t="shared" si="7"/>
        <v>#DIV/0!</v>
      </c>
      <c r="P39" s="704">
        <f t="shared" si="8"/>
        <v>3.88</v>
      </c>
      <c r="Q39" s="705" t="e">
        <f>(P39+$M$262)+((BC!$F$125)/$F$112)</f>
        <v>#DIV/0!</v>
      </c>
      <c r="R39" s="149" t="e">
        <f t="shared" si="9"/>
        <v>#DIV/0!</v>
      </c>
      <c r="S39" s="393" t="e">
        <f t="shared" si="10"/>
        <v>#DIV/0!</v>
      </c>
      <c r="T39" s="393" t="e">
        <f t="shared" si="11"/>
        <v>#DIV/0!</v>
      </c>
    </row>
    <row r="40" spans="1:20" ht="15.75" customHeight="1" x14ac:dyDescent="0.45">
      <c r="A40" s="719">
        <f>F99+F100</f>
        <v>0</v>
      </c>
      <c r="B40" s="471">
        <v>8828610190</v>
      </c>
      <c r="C40" s="600" t="s">
        <v>902</v>
      </c>
      <c r="D40" s="42">
        <v>300</v>
      </c>
      <c r="E40" s="1">
        <v>112</v>
      </c>
      <c r="F40" s="700">
        <f>'e402-e801'!E40</f>
        <v>0</v>
      </c>
      <c r="G40" s="57">
        <f t="shared" si="1"/>
        <v>0</v>
      </c>
      <c r="H40" s="60">
        <f>(30*BC!$B$47/E40)</f>
        <v>0</v>
      </c>
      <c r="I40" s="701">
        <f t="shared" si="2"/>
        <v>0</v>
      </c>
      <c r="J40" s="701">
        <f t="shared" si="3"/>
        <v>0</v>
      </c>
      <c r="K40" s="216">
        <f t="shared" si="4"/>
        <v>0</v>
      </c>
      <c r="L40" s="702">
        <v>1194</v>
      </c>
      <c r="M40" s="703">
        <f t="shared" si="5"/>
        <v>0</v>
      </c>
      <c r="N40" s="91" t="e">
        <f t="shared" si="6"/>
        <v>#DIV/0!</v>
      </c>
      <c r="O40" s="148" t="e">
        <f t="shared" si="7"/>
        <v>#DIV/0!</v>
      </c>
      <c r="P40" s="704">
        <f t="shared" si="8"/>
        <v>3.98</v>
      </c>
      <c r="Q40" s="705" t="e">
        <f>(P40+$M$262)+((BC!$F$125)/$F$112)</f>
        <v>#DIV/0!</v>
      </c>
      <c r="R40" s="149" t="e">
        <f t="shared" si="9"/>
        <v>#DIV/0!</v>
      </c>
      <c r="S40" s="393" t="e">
        <f t="shared" si="10"/>
        <v>#DIV/0!</v>
      </c>
      <c r="T40" s="393" t="e">
        <f t="shared" si="11"/>
        <v>#DIV/0!</v>
      </c>
    </row>
    <row r="41" spans="1:20" ht="15.75" customHeight="1" x14ac:dyDescent="0.45">
      <c r="B41" s="471">
        <v>9731385190</v>
      </c>
      <c r="C41" s="600" t="s">
        <v>903</v>
      </c>
      <c r="D41" s="42">
        <v>100</v>
      </c>
      <c r="E41" s="1">
        <v>112</v>
      </c>
      <c r="F41" s="700">
        <f>'e402-e801'!E41</f>
        <v>0</v>
      </c>
      <c r="G41" s="57">
        <f t="shared" si="1"/>
        <v>0</v>
      </c>
      <c r="H41" s="60">
        <f>(30*BC!$B$47/E41)</f>
        <v>0</v>
      </c>
      <c r="I41" s="701">
        <f t="shared" si="2"/>
        <v>0</v>
      </c>
      <c r="J41" s="701">
        <f t="shared" si="3"/>
        <v>0</v>
      </c>
      <c r="K41" s="216">
        <f t="shared" si="4"/>
        <v>0</v>
      </c>
      <c r="L41" s="702">
        <v>157</v>
      </c>
      <c r="M41" s="703">
        <f t="shared" si="5"/>
        <v>0</v>
      </c>
      <c r="N41" s="91" t="e">
        <f t="shared" si="6"/>
        <v>#DIV/0!</v>
      </c>
      <c r="O41" s="148" t="e">
        <f t="shared" si="7"/>
        <v>#DIV/0!</v>
      </c>
      <c r="P41" s="704">
        <f t="shared" si="8"/>
        <v>1.57</v>
      </c>
      <c r="Q41" s="705" t="e">
        <f>(P41+$M$262)+((BC!$F$125)/$F$112)</f>
        <v>#DIV/0!</v>
      </c>
      <c r="R41" s="149" t="e">
        <f t="shared" si="9"/>
        <v>#DIV/0!</v>
      </c>
      <c r="S41" s="393" t="e">
        <f t="shared" si="10"/>
        <v>#DIV/0!</v>
      </c>
      <c r="T41" s="393" t="e">
        <f t="shared" si="11"/>
        <v>#DIV/0!</v>
      </c>
    </row>
    <row r="42" spans="1:20" ht="15.75" customHeight="1" x14ac:dyDescent="0.45">
      <c r="A42" s="665" t="s">
        <v>609</v>
      </c>
      <c r="B42" s="471">
        <v>7027079190</v>
      </c>
      <c r="C42" s="600" t="s">
        <v>904</v>
      </c>
      <c r="D42" s="42">
        <v>300</v>
      </c>
      <c r="E42" s="1">
        <v>112</v>
      </c>
      <c r="F42" s="700">
        <f>'e402-e801'!E42</f>
        <v>0</v>
      </c>
      <c r="G42" s="57">
        <f t="shared" si="1"/>
        <v>0</v>
      </c>
      <c r="H42" s="60">
        <f>(30*BC!$B$47/E42)</f>
        <v>0</v>
      </c>
      <c r="I42" s="701">
        <f t="shared" si="2"/>
        <v>0</v>
      </c>
      <c r="J42" s="701">
        <f t="shared" si="3"/>
        <v>0</v>
      </c>
      <c r="K42" s="216">
        <f t="shared" si="4"/>
        <v>0</v>
      </c>
      <c r="L42" s="702">
        <v>476</v>
      </c>
      <c r="M42" s="703">
        <f t="shared" si="5"/>
        <v>0</v>
      </c>
      <c r="N42" s="91" t="e">
        <f t="shared" si="6"/>
        <v>#DIV/0!</v>
      </c>
      <c r="O42" s="148" t="e">
        <f t="shared" si="7"/>
        <v>#DIV/0!</v>
      </c>
      <c r="P42" s="704">
        <f t="shared" si="8"/>
        <v>1.5866666666666667</v>
      </c>
      <c r="Q42" s="705" t="e">
        <f>(P42+$M$262)+((BC!$F$125)/$F$112)</f>
        <v>#DIV/0!</v>
      </c>
      <c r="R42" s="149" t="e">
        <f t="shared" si="9"/>
        <v>#DIV/0!</v>
      </c>
      <c r="S42" s="393" t="e">
        <f t="shared" si="10"/>
        <v>#DIV/0!</v>
      </c>
      <c r="T42" s="393" t="e">
        <f t="shared" si="11"/>
        <v>#DIV/0!</v>
      </c>
    </row>
    <row r="43" spans="1:20" ht="15.75" customHeight="1" x14ac:dyDescent="0.45">
      <c r="A43" s="720">
        <f>F97+F98</f>
        <v>0</v>
      </c>
      <c r="B43" s="471">
        <v>7026986190</v>
      </c>
      <c r="C43" s="600" t="s">
        <v>905</v>
      </c>
      <c r="D43" s="42">
        <v>300</v>
      </c>
      <c r="E43" s="1">
        <v>112</v>
      </c>
      <c r="F43" s="700">
        <f>'e402-e801'!E43</f>
        <v>0</v>
      </c>
      <c r="G43" s="57">
        <f t="shared" si="1"/>
        <v>0</v>
      </c>
      <c r="H43" s="60">
        <f>(30*BC!$B$47/E43)</f>
        <v>0</v>
      </c>
      <c r="I43" s="701">
        <f t="shared" si="2"/>
        <v>0</v>
      </c>
      <c r="J43" s="701">
        <f t="shared" si="3"/>
        <v>0</v>
      </c>
      <c r="K43" s="216">
        <f t="shared" si="4"/>
        <v>0</v>
      </c>
      <c r="L43" s="702">
        <v>1746</v>
      </c>
      <c r="M43" s="703">
        <f t="shared" si="5"/>
        <v>0</v>
      </c>
      <c r="N43" s="91" t="e">
        <f t="shared" si="6"/>
        <v>#DIV/0!</v>
      </c>
      <c r="O43" s="148" t="e">
        <f t="shared" si="7"/>
        <v>#DIV/0!</v>
      </c>
      <c r="P43" s="704">
        <f t="shared" si="8"/>
        <v>5.82</v>
      </c>
      <c r="Q43" s="705" t="e">
        <f>(P43+$M$262)+((BC!$F$125)/$F$112)</f>
        <v>#DIV/0!</v>
      </c>
      <c r="R43" s="149" t="e">
        <f t="shared" si="9"/>
        <v>#DIV/0!</v>
      </c>
      <c r="S43" s="393" t="e">
        <f t="shared" si="10"/>
        <v>#DIV/0!</v>
      </c>
      <c r="T43" s="393" t="e">
        <f t="shared" si="11"/>
        <v>#DIV/0!</v>
      </c>
    </row>
    <row r="44" spans="1:20" ht="15.75" customHeight="1" x14ac:dyDescent="0.45">
      <c r="B44" s="471">
        <v>7027001190</v>
      </c>
      <c r="C44" s="600" t="s">
        <v>906</v>
      </c>
      <c r="D44" s="42">
        <v>300</v>
      </c>
      <c r="E44" s="1">
        <v>112</v>
      </c>
      <c r="F44" s="700">
        <f>'e402-e801'!E44</f>
        <v>0</v>
      </c>
      <c r="G44" s="57">
        <f t="shared" si="1"/>
        <v>0</v>
      </c>
      <c r="H44" s="60">
        <f>(30*BC!$B$47/E44)</f>
        <v>0</v>
      </c>
      <c r="I44" s="701">
        <f t="shared" si="2"/>
        <v>0</v>
      </c>
      <c r="J44" s="701">
        <f t="shared" si="3"/>
        <v>0</v>
      </c>
      <c r="K44" s="216">
        <f t="shared" si="4"/>
        <v>0</v>
      </c>
      <c r="L44" s="702">
        <v>1761</v>
      </c>
      <c r="M44" s="703">
        <f t="shared" si="5"/>
        <v>0</v>
      </c>
      <c r="N44" s="91" t="e">
        <f t="shared" si="6"/>
        <v>#DIV/0!</v>
      </c>
      <c r="O44" s="148" t="e">
        <f t="shared" si="7"/>
        <v>#DIV/0!</v>
      </c>
      <c r="P44" s="704">
        <f t="shared" si="8"/>
        <v>5.87</v>
      </c>
      <c r="Q44" s="705" t="e">
        <f>(P44+$M$262)+((BC!$F$125)/$F$112)</f>
        <v>#DIV/0!</v>
      </c>
      <c r="R44" s="149" t="e">
        <f t="shared" si="9"/>
        <v>#DIV/0!</v>
      </c>
      <c r="S44" s="393" t="e">
        <f t="shared" si="10"/>
        <v>#DIV/0!</v>
      </c>
      <c r="T44" s="393" t="e">
        <f t="shared" si="11"/>
        <v>#DIV/0!</v>
      </c>
    </row>
    <row r="45" spans="1:20" ht="15.75" customHeight="1" x14ac:dyDescent="0.45">
      <c r="B45" s="471">
        <v>7027028190</v>
      </c>
      <c r="C45" s="600" t="s">
        <v>907</v>
      </c>
      <c r="D45" s="42">
        <v>300</v>
      </c>
      <c r="E45" s="1">
        <v>112</v>
      </c>
      <c r="F45" s="700">
        <f>'e402-e801'!E45</f>
        <v>0</v>
      </c>
      <c r="G45" s="57">
        <f t="shared" si="1"/>
        <v>0</v>
      </c>
      <c r="H45" s="60">
        <f>(30*BC!$B$47/E45)</f>
        <v>0</v>
      </c>
      <c r="I45" s="701">
        <f t="shared" si="2"/>
        <v>0</v>
      </c>
      <c r="J45" s="701">
        <f t="shared" si="3"/>
        <v>0</v>
      </c>
      <c r="K45" s="216">
        <f t="shared" si="4"/>
        <v>0</v>
      </c>
      <c r="L45" s="702">
        <v>1752</v>
      </c>
      <c r="M45" s="703">
        <f t="shared" si="5"/>
        <v>0</v>
      </c>
      <c r="N45" s="91" t="e">
        <f t="shared" si="6"/>
        <v>#DIV/0!</v>
      </c>
      <c r="O45" s="148" t="e">
        <f t="shared" si="7"/>
        <v>#DIV/0!</v>
      </c>
      <c r="P45" s="704">
        <f t="shared" si="8"/>
        <v>5.84</v>
      </c>
      <c r="Q45" s="705" t="e">
        <f>(P45+$M$262)+((BC!$F$125)/$F$112)</f>
        <v>#DIV/0!</v>
      </c>
      <c r="R45" s="149" t="e">
        <f t="shared" si="9"/>
        <v>#DIV/0!</v>
      </c>
      <c r="S45" s="393" t="e">
        <f t="shared" si="10"/>
        <v>#DIV/0!</v>
      </c>
      <c r="T45" s="393" t="e">
        <f t="shared" si="11"/>
        <v>#DIV/0!</v>
      </c>
    </row>
    <row r="46" spans="1:20" ht="15.75" customHeight="1" x14ac:dyDescent="0.45">
      <c r="B46" s="471">
        <v>7299966190</v>
      </c>
      <c r="C46" s="600" t="s">
        <v>908</v>
      </c>
      <c r="D46" s="42">
        <v>300</v>
      </c>
      <c r="E46" s="1">
        <v>112</v>
      </c>
      <c r="F46" s="700">
        <f>'e402-e801'!E46</f>
        <v>0</v>
      </c>
      <c r="G46" s="57">
        <f t="shared" si="1"/>
        <v>0</v>
      </c>
      <c r="H46" s="60">
        <f>(30*BC!$B$47/E46)</f>
        <v>0</v>
      </c>
      <c r="I46" s="701">
        <f t="shared" si="2"/>
        <v>0</v>
      </c>
      <c r="J46" s="701">
        <f t="shared" si="3"/>
        <v>0</v>
      </c>
      <c r="K46" s="216">
        <f t="shared" si="4"/>
        <v>0</v>
      </c>
      <c r="L46" s="702">
        <v>1881</v>
      </c>
      <c r="M46" s="703">
        <f t="shared" si="5"/>
        <v>0</v>
      </c>
      <c r="N46" s="91" t="e">
        <f t="shared" si="6"/>
        <v>#DIV/0!</v>
      </c>
      <c r="O46" s="148" t="e">
        <f t="shared" si="7"/>
        <v>#DIV/0!</v>
      </c>
      <c r="P46" s="704">
        <f t="shared" si="8"/>
        <v>6.27</v>
      </c>
      <c r="Q46" s="705" t="e">
        <f>(P46+$M$262)+((BC!$F$125)/$F$112)</f>
        <v>#DIV/0!</v>
      </c>
      <c r="R46" s="149" t="e">
        <f t="shared" si="9"/>
        <v>#DIV/0!</v>
      </c>
      <c r="S46" s="393" t="e">
        <f t="shared" si="10"/>
        <v>#DIV/0!</v>
      </c>
      <c r="T46" s="393" t="e">
        <f t="shared" si="11"/>
        <v>#DIV/0!</v>
      </c>
    </row>
    <row r="47" spans="1:20" ht="15.75" customHeight="1" x14ac:dyDescent="0.45">
      <c r="B47" s="471">
        <v>9005706190</v>
      </c>
      <c r="C47" s="600" t="s">
        <v>909</v>
      </c>
      <c r="D47" s="42">
        <v>300</v>
      </c>
      <c r="E47" s="1">
        <v>112</v>
      </c>
      <c r="F47" s="700">
        <f>'e402-e801'!E47</f>
        <v>0</v>
      </c>
      <c r="G47" s="57">
        <f t="shared" si="1"/>
        <v>0</v>
      </c>
      <c r="H47" s="60">
        <f>(30*BC!$B$47/E47)</f>
        <v>0</v>
      </c>
      <c r="I47" s="701">
        <f t="shared" si="2"/>
        <v>0</v>
      </c>
      <c r="J47" s="701">
        <f t="shared" si="3"/>
        <v>0</v>
      </c>
      <c r="K47" s="216">
        <f t="shared" si="4"/>
        <v>0</v>
      </c>
      <c r="L47" s="702">
        <v>1998</v>
      </c>
      <c r="M47" s="703">
        <f t="shared" si="5"/>
        <v>0</v>
      </c>
      <c r="N47" s="91" t="e">
        <f t="shared" si="6"/>
        <v>#DIV/0!</v>
      </c>
      <c r="O47" s="148" t="e">
        <f t="shared" si="7"/>
        <v>#DIV/0!</v>
      </c>
      <c r="P47" s="704">
        <f t="shared" si="8"/>
        <v>6.66</v>
      </c>
      <c r="Q47" s="705" t="e">
        <f>(P47+$M$262)+((BC!$F$125)/$F$112)</f>
        <v>#DIV/0!</v>
      </c>
      <c r="R47" s="149" t="e">
        <f t="shared" si="9"/>
        <v>#DIV/0!</v>
      </c>
      <c r="S47" s="393" t="e">
        <f t="shared" si="10"/>
        <v>#DIV/0!</v>
      </c>
      <c r="T47" s="393" t="e">
        <f t="shared" si="11"/>
        <v>#DIV/0!</v>
      </c>
    </row>
    <row r="48" spans="1:20" ht="15.75" customHeight="1" x14ac:dyDescent="0.45">
      <c r="B48" s="471">
        <v>7299982190</v>
      </c>
      <c r="C48" s="600" t="s">
        <v>910</v>
      </c>
      <c r="D48" s="42">
        <v>300</v>
      </c>
      <c r="E48" s="1">
        <v>112</v>
      </c>
      <c r="F48" s="700">
        <f>'e402-e801'!E48</f>
        <v>0</v>
      </c>
      <c r="G48" s="57">
        <f t="shared" si="1"/>
        <v>0</v>
      </c>
      <c r="H48" s="60">
        <f>(30*BC!$B$47/E48)</f>
        <v>0</v>
      </c>
      <c r="I48" s="701">
        <f t="shared" si="2"/>
        <v>0</v>
      </c>
      <c r="J48" s="701">
        <f t="shared" si="3"/>
        <v>0</v>
      </c>
      <c r="K48" s="216">
        <f t="shared" si="4"/>
        <v>0</v>
      </c>
      <c r="L48" s="702">
        <v>3651</v>
      </c>
      <c r="M48" s="703">
        <f t="shared" si="5"/>
        <v>0</v>
      </c>
      <c r="N48" s="91" t="e">
        <f t="shared" si="6"/>
        <v>#DIV/0!</v>
      </c>
      <c r="O48" s="148" t="e">
        <f t="shared" si="7"/>
        <v>#DIV/0!</v>
      </c>
      <c r="P48" s="704">
        <f t="shared" si="8"/>
        <v>12.17</v>
      </c>
      <c r="Q48" s="705" t="e">
        <f>(P48+$M$262)+((BC!$F$125)/$F$112)</f>
        <v>#DIV/0!</v>
      </c>
      <c r="R48" s="149" t="e">
        <f t="shared" si="9"/>
        <v>#DIV/0!</v>
      </c>
      <c r="S48" s="393" t="e">
        <f t="shared" si="10"/>
        <v>#DIV/0!</v>
      </c>
      <c r="T48" s="393" t="e">
        <f t="shared" si="11"/>
        <v>#DIV/0!</v>
      </c>
    </row>
    <row r="49" spans="2:20" ht="15.75" customHeight="1" x14ac:dyDescent="0.45">
      <c r="B49" s="471">
        <v>8817324190</v>
      </c>
      <c r="C49" s="599" t="s">
        <v>911</v>
      </c>
      <c r="D49" s="42">
        <v>100</v>
      </c>
      <c r="E49" s="1">
        <v>112</v>
      </c>
      <c r="F49" s="700">
        <f>'e402-e801'!E49</f>
        <v>0</v>
      </c>
      <c r="G49" s="57">
        <f t="shared" si="1"/>
        <v>0</v>
      </c>
      <c r="H49" s="60">
        <f>(30*BC!$B$47/E49)</f>
        <v>0</v>
      </c>
      <c r="I49" s="701">
        <f t="shared" si="2"/>
        <v>0</v>
      </c>
      <c r="J49" s="701">
        <f t="shared" si="3"/>
        <v>0</v>
      </c>
      <c r="K49" s="216">
        <f t="shared" si="4"/>
        <v>0</v>
      </c>
      <c r="L49" s="692"/>
      <c r="M49" s="703">
        <f t="shared" si="5"/>
        <v>0</v>
      </c>
      <c r="N49" s="91" t="e">
        <f t="shared" si="6"/>
        <v>#DIV/0!</v>
      </c>
      <c r="O49" s="148" t="e">
        <f t="shared" si="7"/>
        <v>#DIV/0!</v>
      </c>
      <c r="P49" s="704">
        <f t="shared" si="8"/>
        <v>0</v>
      </c>
      <c r="Q49" s="705" t="e">
        <f>(P49+$M$262)+((BC!$F$125)/$F$112)</f>
        <v>#DIV/0!</v>
      </c>
      <c r="R49" s="149" t="e">
        <f t="shared" si="9"/>
        <v>#DIV/0!</v>
      </c>
      <c r="S49" s="393" t="e">
        <f t="shared" si="10"/>
        <v>#DIV/0!</v>
      </c>
      <c r="T49" s="393" t="e">
        <f t="shared" si="11"/>
        <v>#DIV/0!</v>
      </c>
    </row>
    <row r="50" spans="2:20" ht="15.75" customHeight="1" x14ac:dyDescent="0.45">
      <c r="B50" s="471">
        <v>7027478190</v>
      </c>
      <c r="C50" s="610" t="s">
        <v>912</v>
      </c>
      <c r="D50" s="42">
        <v>100</v>
      </c>
      <c r="E50" s="1">
        <v>112</v>
      </c>
      <c r="F50" s="700">
        <f>'e402-e801'!E50</f>
        <v>0</v>
      </c>
      <c r="G50" s="57">
        <f t="shared" si="1"/>
        <v>0</v>
      </c>
      <c r="H50" s="60">
        <f>(30*BC!$B$47/E50)</f>
        <v>0</v>
      </c>
      <c r="I50" s="701">
        <f t="shared" si="2"/>
        <v>0</v>
      </c>
      <c r="J50" s="701">
        <f t="shared" si="3"/>
        <v>0</v>
      </c>
      <c r="K50" s="216">
        <f t="shared" si="4"/>
        <v>0</v>
      </c>
      <c r="L50" s="702">
        <v>1109</v>
      </c>
      <c r="M50" s="703">
        <f t="shared" si="5"/>
        <v>0</v>
      </c>
      <c r="N50" s="91" t="e">
        <f t="shared" si="6"/>
        <v>#DIV/0!</v>
      </c>
      <c r="O50" s="148" t="e">
        <f t="shared" si="7"/>
        <v>#DIV/0!</v>
      </c>
      <c r="P50" s="704">
        <f t="shared" si="8"/>
        <v>11.09</v>
      </c>
      <c r="Q50" s="705" t="e">
        <f>(P50+$M$262)+((BC!$F$125)/$F$112)</f>
        <v>#DIV/0!</v>
      </c>
      <c r="R50" s="149" t="e">
        <f t="shared" si="9"/>
        <v>#DIV/0!</v>
      </c>
      <c r="S50" s="393" t="e">
        <f t="shared" si="10"/>
        <v>#DIV/0!</v>
      </c>
      <c r="T50" s="393" t="e">
        <f t="shared" si="11"/>
        <v>#DIV/0!</v>
      </c>
    </row>
    <row r="51" spans="2:20" ht="15.75" customHeight="1" x14ac:dyDescent="0.45">
      <c r="B51" s="471">
        <v>9015043190</v>
      </c>
      <c r="C51" s="612" t="s">
        <v>913</v>
      </c>
      <c r="D51" s="42">
        <v>300</v>
      </c>
      <c r="E51" s="1">
        <v>112</v>
      </c>
      <c r="F51" s="700">
        <f>'e402-e801'!E51</f>
        <v>0</v>
      </c>
      <c r="G51" s="57">
        <f t="shared" si="1"/>
        <v>0</v>
      </c>
      <c r="H51" s="60">
        <f>(30*BC!$B$47/E51)</f>
        <v>0</v>
      </c>
      <c r="I51" s="701">
        <f t="shared" si="2"/>
        <v>0</v>
      </c>
      <c r="J51" s="701">
        <f t="shared" si="3"/>
        <v>0</v>
      </c>
      <c r="K51" s="216">
        <f t="shared" si="4"/>
        <v>0</v>
      </c>
      <c r="L51" s="692"/>
      <c r="M51" s="703">
        <f t="shared" si="5"/>
        <v>0</v>
      </c>
      <c r="N51" s="91" t="e">
        <f t="shared" si="6"/>
        <v>#DIV/0!</v>
      </c>
      <c r="O51" s="148" t="e">
        <f t="shared" si="7"/>
        <v>#DIV/0!</v>
      </c>
      <c r="P51" s="704">
        <f t="shared" si="8"/>
        <v>0</v>
      </c>
      <c r="Q51" s="705" t="e">
        <f>(P51+$M$262)+((BC!$F$125)/$F$112)</f>
        <v>#DIV/0!</v>
      </c>
      <c r="R51" s="149" t="e">
        <f t="shared" si="9"/>
        <v>#DIV/0!</v>
      </c>
      <c r="S51" s="393" t="e">
        <f t="shared" si="10"/>
        <v>#DIV/0!</v>
      </c>
      <c r="T51" s="393" t="e">
        <f t="shared" si="11"/>
        <v>#DIV/0!</v>
      </c>
    </row>
    <row r="52" spans="2:20" ht="15.75" customHeight="1" x14ac:dyDescent="0.45">
      <c r="B52" s="471">
        <v>9007695190</v>
      </c>
      <c r="C52" s="617" t="s">
        <v>914</v>
      </c>
      <c r="D52" s="42">
        <v>100</v>
      </c>
      <c r="E52" s="1">
        <v>112</v>
      </c>
      <c r="F52" s="700">
        <f>'e402-e801'!E52</f>
        <v>0</v>
      </c>
      <c r="G52" s="57">
        <f t="shared" si="1"/>
        <v>0</v>
      </c>
      <c r="H52" s="60">
        <f>(30*BC!$B$47/E52)</f>
        <v>0</v>
      </c>
      <c r="I52" s="701">
        <f t="shared" si="2"/>
        <v>0</v>
      </c>
      <c r="J52" s="701">
        <f t="shared" si="3"/>
        <v>0</v>
      </c>
      <c r="K52" s="216">
        <f t="shared" si="4"/>
        <v>0</v>
      </c>
      <c r="L52" s="702">
        <v>756</v>
      </c>
      <c r="M52" s="703">
        <f t="shared" si="5"/>
        <v>0</v>
      </c>
      <c r="N52" s="91" t="e">
        <f t="shared" si="6"/>
        <v>#DIV/0!</v>
      </c>
      <c r="O52" s="148" t="e">
        <f t="shared" si="7"/>
        <v>#DIV/0!</v>
      </c>
      <c r="P52" s="704">
        <f t="shared" si="8"/>
        <v>7.56</v>
      </c>
      <c r="Q52" s="705" t="e">
        <f>(P52+$M$262)+((BC!$F$125)/$F$112)</f>
        <v>#DIV/0!</v>
      </c>
      <c r="R52" s="149" t="e">
        <f t="shared" si="9"/>
        <v>#DIV/0!</v>
      </c>
      <c r="S52" s="393" t="e">
        <f t="shared" si="10"/>
        <v>#DIV/0!</v>
      </c>
      <c r="T52" s="393" t="e">
        <f t="shared" si="11"/>
        <v>#DIV/0!</v>
      </c>
    </row>
    <row r="53" spans="2:20" ht="15.75" customHeight="1" x14ac:dyDescent="0.45">
      <c r="B53" s="471">
        <v>7028253190</v>
      </c>
      <c r="C53" s="618" t="s">
        <v>915</v>
      </c>
      <c r="D53" s="42">
        <v>100</v>
      </c>
      <c r="E53" s="1">
        <v>112</v>
      </c>
      <c r="F53" s="700">
        <f>'e402-e801'!E53</f>
        <v>0</v>
      </c>
      <c r="G53" s="57">
        <f t="shared" si="1"/>
        <v>0</v>
      </c>
      <c r="H53" s="60">
        <f>(30*BC!$B$47/E53)</f>
        <v>0</v>
      </c>
      <c r="I53" s="701">
        <f t="shared" si="2"/>
        <v>0</v>
      </c>
      <c r="J53" s="701">
        <f t="shared" si="3"/>
        <v>0</v>
      </c>
      <c r="K53" s="216">
        <f t="shared" si="4"/>
        <v>0</v>
      </c>
      <c r="L53" s="702">
        <v>577</v>
      </c>
      <c r="M53" s="703">
        <f t="shared" si="5"/>
        <v>0</v>
      </c>
      <c r="N53" s="91" t="e">
        <f t="shared" si="6"/>
        <v>#DIV/0!</v>
      </c>
      <c r="O53" s="148" t="e">
        <f t="shared" si="7"/>
        <v>#DIV/0!</v>
      </c>
      <c r="P53" s="704">
        <f t="shared" si="8"/>
        <v>5.77</v>
      </c>
      <c r="Q53" s="705" t="e">
        <f>(P53+$M$262)+((BC!$F$125)/$F$112)</f>
        <v>#DIV/0!</v>
      </c>
      <c r="R53" s="149" t="e">
        <f t="shared" si="9"/>
        <v>#DIV/0!</v>
      </c>
      <c r="S53" s="393" t="e">
        <f t="shared" si="10"/>
        <v>#DIV/0!</v>
      </c>
      <c r="T53" s="393" t="e">
        <f t="shared" si="11"/>
        <v>#DIV/0!</v>
      </c>
    </row>
    <row r="54" spans="2:20" ht="15.75" customHeight="1" x14ac:dyDescent="0.45">
      <c r="B54" s="471">
        <v>7027214190</v>
      </c>
      <c r="C54" s="620" t="s">
        <v>916</v>
      </c>
      <c r="D54" s="42">
        <v>100</v>
      </c>
      <c r="E54" s="1">
        <v>112</v>
      </c>
      <c r="F54" s="700">
        <f>'e402-e801'!E54</f>
        <v>0</v>
      </c>
      <c r="G54" s="57">
        <f t="shared" si="1"/>
        <v>0</v>
      </c>
      <c r="H54" s="60">
        <f>(30*BC!$B$47/E54)</f>
        <v>0</v>
      </c>
      <c r="I54" s="701">
        <f t="shared" si="2"/>
        <v>0</v>
      </c>
      <c r="J54" s="701">
        <f t="shared" si="3"/>
        <v>0</v>
      </c>
      <c r="K54" s="216">
        <f t="shared" si="4"/>
        <v>0</v>
      </c>
      <c r="L54" s="702">
        <v>615</v>
      </c>
      <c r="M54" s="703">
        <f t="shared" si="5"/>
        <v>0</v>
      </c>
      <c r="N54" s="91" t="e">
        <f t="shared" si="6"/>
        <v>#DIV/0!</v>
      </c>
      <c r="O54" s="148" t="e">
        <f t="shared" si="7"/>
        <v>#DIV/0!</v>
      </c>
      <c r="P54" s="704">
        <f t="shared" si="8"/>
        <v>6.15</v>
      </c>
      <c r="Q54" s="705" t="e">
        <f>(P54+$M$262)+((BC!$F$125)/$F$112)</f>
        <v>#DIV/0!</v>
      </c>
      <c r="R54" s="149" t="e">
        <f t="shared" si="9"/>
        <v>#DIV/0!</v>
      </c>
      <c r="S54" s="393" t="e">
        <f t="shared" si="10"/>
        <v>#DIV/0!</v>
      </c>
      <c r="T54" s="393" t="e">
        <f t="shared" si="11"/>
        <v>#DIV/0!</v>
      </c>
    </row>
    <row r="55" spans="2:20" ht="15.75" customHeight="1" x14ac:dyDescent="0.45">
      <c r="B55" s="471">
        <v>7027087190</v>
      </c>
      <c r="C55" s="620" t="s">
        <v>917</v>
      </c>
      <c r="D55" s="42">
        <v>100</v>
      </c>
      <c r="E55" s="1">
        <v>112</v>
      </c>
      <c r="F55" s="700">
        <f>'e402-e801'!E55</f>
        <v>0</v>
      </c>
      <c r="G55" s="57">
        <f t="shared" si="1"/>
        <v>0</v>
      </c>
      <c r="H55" s="60">
        <f>(30*BC!$B$47/E55)</f>
        <v>0</v>
      </c>
      <c r="I55" s="701">
        <f t="shared" si="2"/>
        <v>0</v>
      </c>
      <c r="J55" s="701">
        <f t="shared" si="3"/>
        <v>0</v>
      </c>
      <c r="K55" s="216">
        <f t="shared" si="4"/>
        <v>0</v>
      </c>
      <c r="L55" s="702">
        <v>276</v>
      </c>
      <c r="M55" s="703">
        <f t="shared" si="5"/>
        <v>0</v>
      </c>
      <c r="N55" s="91" t="e">
        <f t="shared" si="6"/>
        <v>#DIV/0!</v>
      </c>
      <c r="O55" s="148" t="e">
        <f t="shared" si="7"/>
        <v>#DIV/0!</v>
      </c>
      <c r="P55" s="704">
        <f t="shared" si="8"/>
        <v>2.76</v>
      </c>
      <c r="Q55" s="705" t="e">
        <f>(P55+$M$262)+((BC!$F$125)/$F$112)</f>
        <v>#DIV/0!</v>
      </c>
      <c r="R55" s="149" t="e">
        <f t="shared" si="9"/>
        <v>#DIV/0!</v>
      </c>
      <c r="S55" s="393" t="e">
        <f t="shared" si="10"/>
        <v>#DIV/0!</v>
      </c>
      <c r="T55" s="393" t="e">
        <f t="shared" si="11"/>
        <v>#DIV/0!</v>
      </c>
    </row>
    <row r="56" spans="2:20" ht="15.75" customHeight="1" x14ac:dyDescent="0.45">
      <c r="B56" s="471">
        <v>7027583190</v>
      </c>
      <c r="C56" s="620" t="s">
        <v>918</v>
      </c>
      <c r="D56" s="42">
        <v>100</v>
      </c>
      <c r="E56" s="1">
        <v>112</v>
      </c>
      <c r="F56" s="700">
        <f>'e402-e801'!E56</f>
        <v>0</v>
      </c>
      <c r="G56" s="57">
        <f t="shared" si="1"/>
        <v>0</v>
      </c>
      <c r="H56" s="60">
        <f>(30*BC!$B$47/E56)</f>
        <v>0</v>
      </c>
      <c r="I56" s="701">
        <f t="shared" si="2"/>
        <v>0</v>
      </c>
      <c r="J56" s="701">
        <f t="shared" si="3"/>
        <v>0</v>
      </c>
      <c r="K56" s="216">
        <f t="shared" si="4"/>
        <v>0</v>
      </c>
      <c r="L56" s="702">
        <v>499</v>
      </c>
      <c r="M56" s="703">
        <f t="shared" si="5"/>
        <v>0</v>
      </c>
      <c r="N56" s="91" t="e">
        <f t="shared" si="6"/>
        <v>#DIV/0!</v>
      </c>
      <c r="O56" s="148" t="e">
        <f t="shared" si="7"/>
        <v>#DIV/0!</v>
      </c>
      <c r="P56" s="704">
        <f t="shared" si="8"/>
        <v>4.99</v>
      </c>
      <c r="Q56" s="705" t="e">
        <f>(P56+$M$262)+((BC!$F$125)/$F$112)</f>
        <v>#DIV/0!</v>
      </c>
      <c r="R56" s="149" t="e">
        <f t="shared" si="9"/>
        <v>#DIV/0!</v>
      </c>
      <c r="S56" s="393" t="e">
        <f t="shared" si="10"/>
        <v>#DIV/0!</v>
      </c>
      <c r="T56" s="393" t="e">
        <f t="shared" si="11"/>
        <v>#DIV/0!</v>
      </c>
    </row>
    <row r="57" spans="2:20" ht="15.75" customHeight="1" x14ac:dyDescent="0.45">
      <c r="B57" s="471">
        <v>8946809190</v>
      </c>
      <c r="C57" s="620" t="s">
        <v>919</v>
      </c>
      <c r="D57" s="42">
        <v>100</v>
      </c>
      <c r="E57" s="1">
        <v>112</v>
      </c>
      <c r="F57" s="700">
        <f>'e402-e801'!E57</f>
        <v>0</v>
      </c>
      <c r="G57" s="57">
        <f t="shared" si="1"/>
        <v>0</v>
      </c>
      <c r="H57" s="60">
        <f>(30*BC!$B$47/E57)</f>
        <v>0</v>
      </c>
      <c r="I57" s="701">
        <f t="shared" si="2"/>
        <v>0</v>
      </c>
      <c r="J57" s="701">
        <f t="shared" si="3"/>
        <v>0</v>
      </c>
      <c r="K57" s="216">
        <f t="shared" si="4"/>
        <v>0</v>
      </c>
      <c r="L57" s="702">
        <v>5845</v>
      </c>
      <c r="M57" s="703">
        <f t="shared" si="5"/>
        <v>0</v>
      </c>
      <c r="N57" s="91" t="e">
        <f t="shared" si="6"/>
        <v>#DIV/0!</v>
      </c>
      <c r="O57" s="148" t="e">
        <f t="shared" si="7"/>
        <v>#DIV/0!</v>
      </c>
      <c r="P57" s="704">
        <f t="shared" si="8"/>
        <v>58.45</v>
      </c>
      <c r="Q57" s="705" t="e">
        <f>(P57+$M$262)+((BC!$F$125)/$F$112)</f>
        <v>#DIV/0!</v>
      </c>
      <c r="R57" s="149" t="e">
        <f t="shared" si="9"/>
        <v>#DIV/0!</v>
      </c>
      <c r="S57" s="393" t="e">
        <f t="shared" si="10"/>
        <v>#DIV/0!</v>
      </c>
      <c r="T57" s="393" t="e">
        <f t="shared" si="11"/>
        <v>#DIV/0!</v>
      </c>
    </row>
    <row r="58" spans="2:20" ht="15.75" customHeight="1" x14ac:dyDescent="0.45">
      <c r="B58" s="471">
        <v>9315357190</v>
      </c>
      <c r="C58" s="621" t="s">
        <v>920</v>
      </c>
      <c r="D58" s="42">
        <v>300</v>
      </c>
      <c r="E58" s="1">
        <v>112</v>
      </c>
      <c r="F58" s="700">
        <f>'e402-e801'!E58</f>
        <v>0</v>
      </c>
      <c r="G58" s="57">
        <f t="shared" si="1"/>
        <v>0</v>
      </c>
      <c r="H58" s="60">
        <f>(30*BC!$B$47/E58)</f>
        <v>0</v>
      </c>
      <c r="I58" s="701">
        <f t="shared" si="2"/>
        <v>0</v>
      </c>
      <c r="J58" s="701">
        <f t="shared" si="3"/>
        <v>0</v>
      </c>
      <c r="K58" s="216">
        <f t="shared" si="4"/>
        <v>0</v>
      </c>
      <c r="L58" s="702">
        <v>1824</v>
      </c>
      <c r="M58" s="703">
        <f t="shared" si="5"/>
        <v>0</v>
      </c>
      <c r="N58" s="91" t="e">
        <f t="shared" si="6"/>
        <v>#DIV/0!</v>
      </c>
      <c r="O58" s="148" t="e">
        <f t="shared" si="7"/>
        <v>#DIV/0!</v>
      </c>
      <c r="P58" s="704">
        <f t="shared" si="8"/>
        <v>6.08</v>
      </c>
      <c r="Q58" s="705" t="e">
        <f>(P58+$M$262)+((BC!$F$125)/$F$112)</f>
        <v>#DIV/0!</v>
      </c>
      <c r="R58" s="149" t="e">
        <f t="shared" si="9"/>
        <v>#DIV/0!</v>
      </c>
      <c r="S58" s="393" t="e">
        <f t="shared" si="10"/>
        <v>#DIV/0!</v>
      </c>
      <c r="T58" s="393" t="e">
        <f t="shared" si="11"/>
        <v>#DIV/0!</v>
      </c>
    </row>
    <row r="59" spans="2:20" ht="15.75" customHeight="1" x14ac:dyDescent="0.45">
      <c r="B59" s="471">
        <v>7028059190</v>
      </c>
      <c r="C59" s="621" t="s">
        <v>921</v>
      </c>
      <c r="D59" s="42">
        <v>300</v>
      </c>
      <c r="E59" s="1">
        <v>112</v>
      </c>
      <c r="F59" s="700">
        <f>'e402-e801'!E59</f>
        <v>0</v>
      </c>
      <c r="G59" s="57">
        <f t="shared" si="1"/>
        <v>0</v>
      </c>
      <c r="H59" s="60">
        <f>(30*BC!$B$47/E59)</f>
        <v>0</v>
      </c>
      <c r="I59" s="701">
        <f t="shared" si="2"/>
        <v>0</v>
      </c>
      <c r="J59" s="701">
        <f t="shared" si="3"/>
        <v>0</v>
      </c>
      <c r="K59" s="216">
        <f t="shared" si="4"/>
        <v>0</v>
      </c>
      <c r="L59" s="702">
        <v>1824</v>
      </c>
      <c r="M59" s="703">
        <f t="shared" si="5"/>
        <v>0</v>
      </c>
      <c r="N59" s="91" t="e">
        <f t="shared" si="6"/>
        <v>#DIV/0!</v>
      </c>
      <c r="O59" s="148" t="e">
        <f t="shared" si="7"/>
        <v>#DIV/0!</v>
      </c>
      <c r="P59" s="704">
        <f t="shared" si="8"/>
        <v>6.08</v>
      </c>
      <c r="Q59" s="705" t="e">
        <f>(P59+$M$262)+((BC!$F$125)/$F$112)</f>
        <v>#DIV/0!</v>
      </c>
      <c r="R59" s="149" t="e">
        <f t="shared" si="9"/>
        <v>#DIV/0!</v>
      </c>
      <c r="S59" s="393" t="e">
        <f t="shared" si="10"/>
        <v>#DIV/0!</v>
      </c>
      <c r="T59" s="393" t="e">
        <f t="shared" si="11"/>
        <v>#DIV/0!</v>
      </c>
    </row>
    <row r="60" spans="2:20" ht="15.75" customHeight="1" x14ac:dyDescent="0.45">
      <c r="B60" s="584" t="s">
        <v>922</v>
      </c>
      <c r="C60" s="624" t="s">
        <v>923</v>
      </c>
      <c r="D60" s="42">
        <v>300</v>
      </c>
      <c r="E60" s="1">
        <v>112</v>
      </c>
      <c r="F60" s="700">
        <f>'e402-e801'!E60</f>
        <v>0</v>
      </c>
      <c r="G60" s="57">
        <f t="shared" si="1"/>
        <v>0</v>
      </c>
      <c r="H60" s="60">
        <f>(30*BC!$B$47/E60)</f>
        <v>0</v>
      </c>
      <c r="I60" s="701">
        <f t="shared" si="2"/>
        <v>0</v>
      </c>
      <c r="J60" s="701">
        <f t="shared" si="3"/>
        <v>0</v>
      </c>
      <c r="K60" s="216">
        <f t="shared" si="4"/>
        <v>0</v>
      </c>
      <c r="L60" s="702">
        <v>3554</v>
      </c>
      <c r="M60" s="703">
        <f t="shared" si="5"/>
        <v>0</v>
      </c>
      <c r="N60" s="91" t="e">
        <f t="shared" si="6"/>
        <v>#DIV/0!</v>
      </c>
      <c r="O60" s="148" t="e">
        <f t="shared" si="7"/>
        <v>#DIV/0!</v>
      </c>
      <c r="P60" s="704">
        <f t="shared" si="8"/>
        <v>11.846666666666666</v>
      </c>
      <c r="Q60" s="705" t="e">
        <f>(P60+$M$262)+((BC!$F$125)/$F$112)</f>
        <v>#DIV/0!</v>
      </c>
      <c r="R60" s="149" t="e">
        <f t="shared" si="9"/>
        <v>#DIV/0!</v>
      </c>
      <c r="S60" s="393" t="e">
        <f t="shared" si="10"/>
        <v>#DIV/0!</v>
      </c>
      <c r="T60" s="393" t="e">
        <f t="shared" si="11"/>
        <v>#DIV/0!</v>
      </c>
    </row>
    <row r="61" spans="2:20" ht="15.75" customHeight="1" x14ac:dyDescent="0.45">
      <c r="B61" s="471">
        <v>9005676190</v>
      </c>
      <c r="C61" s="623" t="s">
        <v>924</v>
      </c>
      <c r="D61" s="42">
        <v>100</v>
      </c>
      <c r="E61" s="1">
        <v>112</v>
      </c>
      <c r="F61" s="700">
        <f>'e402-e801'!E61</f>
        <v>0</v>
      </c>
      <c r="G61" s="57">
        <f t="shared" si="1"/>
        <v>0</v>
      </c>
      <c r="H61" s="60">
        <f>(30*BC!$B$47/E61)</f>
        <v>0</v>
      </c>
      <c r="I61" s="701">
        <f t="shared" si="2"/>
        <v>0</v>
      </c>
      <c r="J61" s="701">
        <f t="shared" si="3"/>
        <v>0</v>
      </c>
      <c r="K61" s="216">
        <f t="shared" si="4"/>
        <v>0</v>
      </c>
      <c r="L61" s="692"/>
      <c r="M61" s="703">
        <f t="shared" si="5"/>
        <v>0</v>
      </c>
      <c r="N61" s="91" t="e">
        <f t="shared" si="6"/>
        <v>#DIV/0!</v>
      </c>
      <c r="O61" s="148" t="e">
        <f t="shared" si="7"/>
        <v>#DIV/0!</v>
      </c>
      <c r="P61" s="704">
        <f t="shared" si="8"/>
        <v>0</v>
      </c>
      <c r="Q61" s="705" t="e">
        <f>(P61+$M$262)+((BC!$F$125)/$F$112)</f>
        <v>#DIV/0!</v>
      </c>
      <c r="R61" s="149" t="e">
        <f t="shared" si="9"/>
        <v>#DIV/0!</v>
      </c>
      <c r="S61" s="393" t="e">
        <f t="shared" si="10"/>
        <v>#DIV/0!</v>
      </c>
      <c r="T61" s="393" t="e">
        <f t="shared" si="11"/>
        <v>#DIV/0!</v>
      </c>
    </row>
    <row r="62" spans="2:20" ht="15.75" customHeight="1" x14ac:dyDescent="0.45">
      <c r="B62" s="471">
        <v>9015612190</v>
      </c>
      <c r="C62" s="602" t="s">
        <v>925</v>
      </c>
      <c r="D62" s="42">
        <v>100</v>
      </c>
      <c r="E62" s="1">
        <v>112</v>
      </c>
      <c r="F62" s="700">
        <f>'e402-e801'!E62</f>
        <v>0</v>
      </c>
      <c r="G62" s="57">
        <f t="shared" si="1"/>
        <v>0</v>
      </c>
      <c r="H62" s="60">
        <f>(30*BC!$B$47/E62)</f>
        <v>0</v>
      </c>
      <c r="I62" s="701">
        <f t="shared" si="2"/>
        <v>0</v>
      </c>
      <c r="J62" s="701">
        <f t="shared" si="3"/>
        <v>0</v>
      </c>
      <c r="K62" s="216">
        <f t="shared" si="4"/>
        <v>0</v>
      </c>
      <c r="L62" s="702">
        <v>1055</v>
      </c>
      <c r="M62" s="703">
        <f t="shared" si="5"/>
        <v>0</v>
      </c>
      <c r="N62" s="91" t="e">
        <f t="shared" si="6"/>
        <v>#DIV/0!</v>
      </c>
      <c r="O62" s="148" t="e">
        <f t="shared" si="7"/>
        <v>#DIV/0!</v>
      </c>
      <c r="P62" s="704">
        <f t="shared" si="8"/>
        <v>10.55</v>
      </c>
      <c r="Q62" s="705" t="e">
        <f>(P62+$M$262)+((BC!$F$125)/$F$112)</f>
        <v>#DIV/0!</v>
      </c>
      <c r="R62" s="149" t="e">
        <f t="shared" si="9"/>
        <v>#DIV/0!</v>
      </c>
      <c r="S62" s="393" t="e">
        <f t="shared" si="10"/>
        <v>#DIV/0!</v>
      </c>
      <c r="T62" s="393" t="e">
        <f t="shared" si="11"/>
        <v>#DIV/0!</v>
      </c>
    </row>
    <row r="63" spans="2:20" ht="15.75" customHeight="1" x14ac:dyDescent="0.45">
      <c r="B63" s="614">
        <v>7027273190</v>
      </c>
      <c r="C63" s="625" t="s">
        <v>926</v>
      </c>
      <c r="D63" s="42">
        <v>300</v>
      </c>
      <c r="E63" s="1">
        <v>112</v>
      </c>
      <c r="F63" s="700">
        <f>'e402-e801'!E63</f>
        <v>0</v>
      </c>
      <c r="G63" s="57">
        <f t="shared" si="1"/>
        <v>0</v>
      </c>
      <c r="H63" s="60">
        <f>(30*BC!$B$47/E63)</f>
        <v>0</v>
      </c>
      <c r="I63" s="701">
        <f t="shared" si="2"/>
        <v>0</v>
      </c>
      <c r="J63" s="701">
        <f t="shared" si="3"/>
        <v>0</v>
      </c>
      <c r="K63" s="216">
        <f t="shared" si="4"/>
        <v>0</v>
      </c>
      <c r="L63" s="702">
        <v>1134</v>
      </c>
      <c r="M63" s="703">
        <f t="shared" si="5"/>
        <v>0</v>
      </c>
      <c r="N63" s="91" t="e">
        <f t="shared" si="6"/>
        <v>#DIV/0!</v>
      </c>
      <c r="O63" s="148" t="e">
        <f t="shared" si="7"/>
        <v>#DIV/0!</v>
      </c>
      <c r="P63" s="704">
        <f t="shared" si="8"/>
        <v>3.78</v>
      </c>
      <c r="Q63" s="705" t="e">
        <f>(P63+$M$262)+((BC!$F$125)/$F$112)</f>
        <v>#DIV/0!</v>
      </c>
      <c r="R63" s="149" t="e">
        <f t="shared" si="9"/>
        <v>#DIV/0!</v>
      </c>
      <c r="S63" s="393" t="e">
        <f t="shared" si="10"/>
        <v>#DIV/0!</v>
      </c>
      <c r="T63" s="393" t="e">
        <f t="shared" si="11"/>
        <v>#DIV/0!</v>
      </c>
    </row>
    <row r="64" spans="2:20" ht="15.75" customHeight="1" x14ac:dyDescent="0.45">
      <c r="B64" s="471">
        <v>7027290190</v>
      </c>
      <c r="C64" s="626" t="s">
        <v>927</v>
      </c>
      <c r="D64" s="42">
        <v>300</v>
      </c>
      <c r="E64" s="1">
        <v>112</v>
      </c>
      <c r="F64" s="700">
        <f>'e402-e801'!E64</f>
        <v>0</v>
      </c>
      <c r="G64" s="57">
        <f t="shared" si="1"/>
        <v>0</v>
      </c>
      <c r="H64" s="60">
        <f>(30*BC!$B$47/E64)</f>
        <v>0</v>
      </c>
      <c r="I64" s="701">
        <f t="shared" si="2"/>
        <v>0</v>
      </c>
      <c r="J64" s="701">
        <f t="shared" si="3"/>
        <v>0</v>
      </c>
      <c r="K64" s="216">
        <f t="shared" si="4"/>
        <v>0</v>
      </c>
      <c r="L64" s="702">
        <v>990</v>
      </c>
      <c r="M64" s="703">
        <f t="shared" si="5"/>
        <v>0</v>
      </c>
      <c r="N64" s="91" t="e">
        <f t="shared" si="6"/>
        <v>#DIV/0!</v>
      </c>
      <c r="O64" s="148" t="e">
        <f t="shared" si="7"/>
        <v>#DIV/0!</v>
      </c>
      <c r="P64" s="704">
        <f t="shared" si="8"/>
        <v>3.3</v>
      </c>
      <c r="Q64" s="705" t="e">
        <f>(P64+$M$262)+((BC!$F$125)/$F$112)</f>
        <v>#DIV/0!</v>
      </c>
      <c r="R64" s="149" t="e">
        <f t="shared" si="9"/>
        <v>#DIV/0!</v>
      </c>
      <c r="S64" s="393" t="e">
        <f t="shared" si="10"/>
        <v>#DIV/0!</v>
      </c>
      <c r="T64" s="393" t="e">
        <f t="shared" si="11"/>
        <v>#DIV/0!</v>
      </c>
    </row>
    <row r="65" spans="2:20" ht="15.75" customHeight="1" x14ac:dyDescent="0.45">
      <c r="B65" s="471">
        <v>7028121190</v>
      </c>
      <c r="C65" s="625" t="s">
        <v>928</v>
      </c>
      <c r="D65" s="42">
        <v>300</v>
      </c>
      <c r="E65" s="1">
        <v>112</v>
      </c>
      <c r="F65" s="700">
        <f>'e402-e801'!E65</f>
        <v>0</v>
      </c>
      <c r="G65" s="57">
        <f t="shared" si="1"/>
        <v>0</v>
      </c>
      <c r="H65" s="60">
        <f>(30*BC!$B$47/E65)</f>
        <v>0</v>
      </c>
      <c r="I65" s="701">
        <f t="shared" si="2"/>
        <v>0</v>
      </c>
      <c r="J65" s="701">
        <f t="shared" si="3"/>
        <v>0</v>
      </c>
      <c r="K65" s="216">
        <f t="shared" si="4"/>
        <v>0</v>
      </c>
      <c r="L65" s="702">
        <v>2099</v>
      </c>
      <c r="M65" s="703">
        <f t="shared" si="5"/>
        <v>0</v>
      </c>
      <c r="N65" s="91" t="e">
        <f t="shared" si="6"/>
        <v>#DIV/0!</v>
      </c>
      <c r="O65" s="148" t="e">
        <f t="shared" si="7"/>
        <v>#DIV/0!</v>
      </c>
      <c r="P65" s="704">
        <f t="shared" si="8"/>
        <v>6.996666666666667</v>
      </c>
      <c r="Q65" s="705" t="e">
        <f>(P65+$M$262)+((BC!$F$125)/$F$112)</f>
        <v>#DIV/0!</v>
      </c>
      <c r="R65" s="149" t="e">
        <f t="shared" si="9"/>
        <v>#DIV/0!</v>
      </c>
      <c r="S65" s="393" t="e">
        <f t="shared" si="10"/>
        <v>#DIV/0!</v>
      </c>
      <c r="T65" s="393" t="e">
        <f t="shared" si="11"/>
        <v>#DIV/0!</v>
      </c>
    </row>
    <row r="66" spans="2:20" ht="15.75" customHeight="1" x14ac:dyDescent="0.45">
      <c r="B66" s="471">
        <v>7713258190</v>
      </c>
      <c r="C66" s="628" t="s">
        <v>929</v>
      </c>
      <c r="D66" s="42">
        <v>300</v>
      </c>
      <c r="E66" s="1">
        <v>112</v>
      </c>
      <c r="F66" s="700">
        <f>'e402-e801'!E66</f>
        <v>0</v>
      </c>
      <c r="G66" s="57">
        <f t="shared" si="1"/>
        <v>0</v>
      </c>
      <c r="H66" s="60">
        <f>(30*BC!$B$47/E66)</f>
        <v>0</v>
      </c>
      <c r="I66" s="701">
        <f t="shared" si="2"/>
        <v>0</v>
      </c>
      <c r="J66" s="701">
        <f t="shared" si="3"/>
        <v>0</v>
      </c>
      <c r="K66" s="216">
        <f t="shared" si="4"/>
        <v>0</v>
      </c>
      <c r="L66" s="692"/>
      <c r="M66" s="703">
        <f t="shared" si="5"/>
        <v>0</v>
      </c>
      <c r="N66" s="91" t="e">
        <f t="shared" si="6"/>
        <v>#DIV/0!</v>
      </c>
      <c r="O66" s="148" t="e">
        <f t="shared" si="7"/>
        <v>#DIV/0!</v>
      </c>
      <c r="P66" s="704">
        <f t="shared" si="8"/>
        <v>0</v>
      </c>
      <c r="Q66" s="705" t="e">
        <f>(P66+$M$262)+((BC!$F$125)/$F$112)</f>
        <v>#DIV/0!</v>
      </c>
      <c r="R66" s="149" t="e">
        <f t="shared" si="9"/>
        <v>#DIV/0!</v>
      </c>
      <c r="S66" s="393" t="e">
        <f t="shared" si="10"/>
        <v>#DIV/0!</v>
      </c>
      <c r="T66" s="393" t="e">
        <f t="shared" si="11"/>
        <v>#DIV/0!</v>
      </c>
    </row>
    <row r="67" spans="2:20" ht="15.75" customHeight="1" x14ac:dyDescent="0.45">
      <c r="B67" s="25">
        <v>7027516190</v>
      </c>
      <c r="C67" s="594" t="s">
        <v>930</v>
      </c>
      <c r="D67" s="42">
        <v>100</v>
      </c>
      <c r="E67" s="1">
        <v>112</v>
      </c>
      <c r="F67" s="700">
        <f>'e402-e801'!E67</f>
        <v>0</v>
      </c>
      <c r="G67" s="57">
        <f t="shared" si="1"/>
        <v>0</v>
      </c>
      <c r="H67" s="60">
        <f>(30*BC!$B$47/E67)</f>
        <v>0</v>
      </c>
      <c r="I67" s="701">
        <f t="shared" si="2"/>
        <v>0</v>
      </c>
      <c r="J67" s="701">
        <f t="shared" si="3"/>
        <v>0</v>
      </c>
      <c r="K67" s="216">
        <f t="shared" si="4"/>
        <v>0</v>
      </c>
      <c r="L67" s="702">
        <v>388</v>
      </c>
      <c r="M67" s="703">
        <f t="shared" si="5"/>
        <v>0</v>
      </c>
      <c r="N67" s="91" t="e">
        <f t="shared" si="6"/>
        <v>#DIV/0!</v>
      </c>
      <c r="O67" s="148" t="e">
        <f t="shared" si="7"/>
        <v>#DIV/0!</v>
      </c>
      <c r="P67" s="704">
        <f t="shared" si="8"/>
        <v>3.88</v>
      </c>
      <c r="Q67" s="705" t="e">
        <f>(P67+$M$262)+((BC!$F$125)/$F$112)</f>
        <v>#DIV/0!</v>
      </c>
      <c r="R67" s="149" t="e">
        <f t="shared" si="9"/>
        <v>#DIV/0!</v>
      </c>
      <c r="S67" s="393" t="e">
        <f t="shared" si="10"/>
        <v>#DIV/0!</v>
      </c>
      <c r="T67" s="393" t="e">
        <f t="shared" si="11"/>
        <v>#DIV/0!</v>
      </c>
    </row>
    <row r="68" spans="2:20" ht="15.75" customHeight="1" x14ac:dyDescent="0.45">
      <c r="B68" s="25">
        <v>9744436190</v>
      </c>
      <c r="C68" s="625" t="s">
        <v>931</v>
      </c>
      <c r="D68" s="42">
        <v>100</v>
      </c>
      <c r="E68" s="1">
        <v>112</v>
      </c>
      <c r="F68" s="700">
        <f>'e402-e801'!E68</f>
        <v>0</v>
      </c>
      <c r="G68" s="57">
        <f t="shared" si="1"/>
        <v>0</v>
      </c>
      <c r="H68" s="60">
        <f>(30*BC!$B$47/E68)</f>
        <v>0</v>
      </c>
      <c r="I68" s="701">
        <f t="shared" si="2"/>
        <v>0</v>
      </c>
      <c r="J68" s="701">
        <f t="shared" si="3"/>
        <v>0</v>
      </c>
      <c r="K68" s="216">
        <f t="shared" si="4"/>
        <v>0</v>
      </c>
      <c r="L68" s="702">
        <v>1950</v>
      </c>
      <c r="M68" s="703">
        <f t="shared" si="5"/>
        <v>0</v>
      </c>
      <c r="N68" s="91" t="e">
        <f t="shared" si="6"/>
        <v>#DIV/0!</v>
      </c>
      <c r="O68" s="148" t="e">
        <f t="shared" si="7"/>
        <v>#DIV/0!</v>
      </c>
      <c r="P68" s="704">
        <f t="shared" si="8"/>
        <v>19.5</v>
      </c>
      <c r="Q68" s="705" t="e">
        <f>(P68+$M$262)+((BC!$F$125)/$F$112)</f>
        <v>#DIV/0!</v>
      </c>
      <c r="R68" s="149" t="e">
        <f t="shared" si="9"/>
        <v>#DIV/0!</v>
      </c>
      <c r="S68" s="393" t="e">
        <f t="shared" si="10"/>
        <v>#DIV/0!</v>
      </c>
      <c r="T68" s="393" t="e">
        <f t="shared" si="11"/>
        <v>#DIV/0!</v>
      </c>
    </row>
    <row r="69" spans="2:20" ht="15.75" customHeight="1" x14ac:dyDescent="0.45">
      <c r="B69" s="25">
        <v>9005765190</v>
      </c>
      <c r="C69" s="625" t="s">
        <v>932</v>
      </c>
      <c r="D69" s="42">
        <v>100</v>
      </c>
      <c r="E69" s="1">
        <v>112</v>
      </c>
      <c r="F69" s="700">
        <f>'e402-e801'!E69</f>
        <v>0</v>
      </c>
      <c r="G69" s="57">
        <f t="shared" si="1"/>
        <v>0</v>
      </c>
      <c r="H69" s="60">
        <f>(30*BC!$B$47/E69)</f>
        <v>0</v>
      </c>
      <c r="I69" s="701">
        <f t="shared" si="2"/>
        <v>0</v>
      </c>
      <c r="J69" s="701">
        <f t="shared" si="3"/>
        <v>0</v>
      </c>
      <c r="K69" s="216">
        <f t="shared" si="4"/>
        <v>0</v>
      </c>
      <c r="L69" s="702">
        <v>1300</v>
      </c>
      <c r="M69" s="703">
        <f t="shared" si="5"/>
        <v>0</v>
      </c>
      <c r="N69" s="91" t="e">
        <f t="shared" si="6"/>
        <v>#DIV/0!</v>
      </c>
      <c r="O69" s="148" t="e">
        <f t="shared" si="7"/>
        <v>#DIV/0!</v>
      </c>
      <c r="P69" s="704">
        <f t="shared" si="8"/>
        <v>13</v>
      </c>
      <c r="Q69" s="705" t="e">
        <f>(P69+$M$262)+((BC!$F$125)/$F$112)</f>
        <v>#DIV/0!</v>
      </c>
      <c r="R69" s="149" t="e">
        <f t="shared" si="9"/>
        <v>#DIV/0!</v>
      </c>
      <c r="S69" s="393" t="e">
        <f t="shared" si="10"/>
        <v>#DIV/0!</v>
      </c>
      <c r="T69" s="393" t="e">
        <f t="shared" si="11"/>
        <v>#DIV/0!</v>
      </c>
    </row>
    <row r="70" spans="2:20" ht="15.75" customHeight="1" x14ac:dyDescent="0.45">
      <c r="B70" s="25">
        <v>7027940190</v>
      </c>
      <c r="C70" s="625" t="s">
        <v>933</v>
      </c>
      <c r="D70" s="42">
        <v>100</v>
      </c>
      <c r="E70" s="1">
        <v>112</v>
      </c>
      <c r="F70" s="700">
        <f>'e402-e801'!E70</f>
        <v>0</v>
      </c>
      <c r="G70" s="57">
        <f t="shared" si="1"/>
        <v>0</v>
      </c>
      <c r="H70" s="60">
        <f>(30*BC!$B$47/E70)</f>
        <v>0</v>
      </c>
      <c r="I70" s="701">
        <f t="shared" si="2"/>
        <v>0</v>
      </c>
      <c r="J70" s="701">
        <f t="shared" si="3"/>
        <v>0</v>
      </c>
      <c r="K70" s="216">
        <f t="shared" si="4"/>
        <v>0</v>
      </c>
      <c r="L70" s="702">
        <v>867</v>
      </c>
      <c r="M70" s="703">
        <f t="shared" si="5"/>
        <v>0</v>
      </c>
      <c r="N70" s="91" t="e">
        <f t="shared" si="6"/>
        <v>#DIV/0!</v>
      </c>
      <c r="O70" s="148" t="e">
        <f t="shared" si="7"/>
        <v>#DIV/0!</v>
      </c>
      <c r="P70" s="704">
        <f t="shared" si="8"/>
        <v>8.67</v>
      </c>
      <c r="Q70" s="705" t="e">
        <f>(P70+$M$262)+((BC!$F$125)/$F$112)</f>
        <v>#DIV/0!</v>
      </c>
      <c r="R70" s="149" t="e">
        <f t="shared" si="9"/>
        <v>#DIV/0!</v>
      </c>
      <c r="S70" s="393" t="e">
        <f t="shared" si="10"/>
        <v>#DIV/0!</v>
      </c>
      <c r="T70" s="393" t="e">
        <f t="shared" si="11"/>
        <v>#DIV/0!</v>
      </c>
    </row>
    <row r="71" spans="2:20" ht="15.75" customHeight="1" x14ac:dyDescent="0.45">
      <c r="B71" s="585" t="s">
        <v>934</v>
      </c>
      <c r="C71" s="629" t="s">
        <v>935</v>
      </c>
      <c r="D71" s="42">
        <v>100</v>
      </c>
      <c r="E71" s="1">
        <v>112</v>
      </c>
      <c r="F71" s="700">
        <f>'e402-e801'!E71</f>
        <v>0</v>
      </c>
      <c r="G71" s="57">
        <f t="shared" si="1"/>
        <v>0</v>
      </c>
      <c r="H71" s="60">
        <f>(30*BC!$B$47/E71)</f>
        <v>0</v>
      </c>
      <c r="I71" s="701">
        <f t="shared" si="2"/>
        <v>0</v>
      </c>
      <c r="J71" s="701">
        <f t="shared" si="3"/>
        <v>0</v>
      </c>
      <c r="K71" s="216">
        <f t="shared" si="4"/>
        <v>0</v>
      </c>
      <c r="L71" s="702">
        <v>543</v>
      </c>
      <c r="M71" s="703">
        <f t="shared" si="5"/>
        <v>0</v>
      </c>
      <c r="N71" s="91" t="e">
        <f t="shared" si="6"/>
        <v>#DIV/0!</v>
      </c>
      <c r="O71" s="148" t="e">
        <f t="shared" si="7"/>
        <v>#DIV/0!</v>
      </c>
      <c r="P71" s="704">
        <f t="shared" si="8"/>
        <v>5.43</v>
      </c>
      <c r="Q71" s="705" t="e">
        <f>(P71+$M$262)+((BC!$F$125)/$F$112)</f>
        <v>#DIV/0!</v>
      </c>
      <c r="R71" s="149" t="e">
        <f t="shared" si="9"/>
        <v>#DIV/0!</v>
      </c>
      <c r="S71" s="393" t="e">
        <f t="shared" si="10"/>
        <v>#DIV/0!</v>
      </c>
      <c r="T71" s="393" t="e">
        <f t="shared" si="11"/>
        <v>#DIV/0!</v>
      </c>
    </row>
    <row r="72" spans="2:20" ht="15.75" customHeight="1" x14ac:dyDescent="0.45">
      <c r="B72" s="25">
        <v>7027591190</v>
      </c>
      <c r="C72" s="625" t="s">
        <v>936</v>
      </c>
      <c r="D72" s="42">
        <v>100</v>
      </c>
      <c r="E72" s="1">
        <v>112</v>
      </c>
      <c r="F72" s="700">
        <f>'e402-e801'!E72</f>
        <v>0</v>
      </c>
      <c r="G72" s="57">
        <f t="shared" si="1"/>
        <v>0</v>
      </c>
      <c r="H72" s="60">
        <f>(30*BC!$B$47/E72)</f>
        <v>0</v>
      </c>
      <c r="I72" s="701">
        <f t="shared" si="2"/>
        <v>0</v>
      </c>
      <c r="J72" s="701">
        <f t="shared" si="3"/>
        <v>0</v>
      </c>
      <c r="K72" s="216">
        <f t="shared" si="4"/>
        <v>0</v>
      </c>
      <c r="L72" s="702">
        <v>654</v>
      </c>
      <c r="M72" s="703">
        <f t="shared" si="5"/>
        <v>0</v>
      </c>
      <c r="N72" s="91" t="e">
        <f t="shared" si="6"/>
        <v>#DIV/0!</v>
      </c>
      <c r="O72" s="148" t="e">
        <f t="shared" si="7"/>
        <v>#DIV/0!</v>
      </c>
      <c r="P72" s="704">
        <f t="shared" si="8"/>
        <v>6.54</v>
      </c>
      <c r="Q72" s="705" t="e">
        <f>(P72+$M$262)+((BC!$F$125)/$F$112)</f>
        <v>#DIV/0!</v>
      </c>
      <c r="R72" s="149" t="e">
        <f t="shared" si="9"/>
        <v>#DIV/0!</v>
      </c>
      <c r="S72" s="393" t="e">
        <f t="shared" si="10"/>
        <v>#DIV/0!</v>
      </c>
      <c r="T72" s="393" t="e">
        <f t="shared" si="11"/>
        <v>#DIV/0!</v>
      </c>
    </row>
    <row r="73" spans="2:20" ht="15.75" customHeight="1" x14ac:dyDescent="0.45">
      <c r="B73" s="585" t="s">
        <v>937</v>
      </c>
      <c r="C73" s="631" t="s">
        <v>938</v>
      </c>
      <c r="D73" s="42">
        <v>100</v>
      </c>
      <c r="E73" s="1">
        <v>112</v>
      </c>
      <c r="F73" s="700">
        <f>'e402-e801'!E73</f>
        <v>0</v>
      </c>
      <c r="G73" s="57">
        <f t="shared" si="1"/>
        <v>0</v>
      </c>
      <c r="H73" s="60">
        <f>(30*BC!$B$47/E73)</f>
        <v>0</v>
      </c>
      <c r="I73" s="701">
        <f t="shared" si="2"/>
        <v>0</v>
      </c>
      <c r="J73" s="701">
        <f t="shared" si="3"/>
        <v>0</v>
      </c>
      <c r="K73" s="216">
        <f t="shared" si="4"/>
        <v>0</v>
      </c>
      <c r="L73" s="702">
        <v>861</v>
      </c>
      <c r="M73" s="703">
        <f t="shared" si="5"/>
        <v>0</v>
      </c>
      <c r="N73" s="91" t="e">
        <f t="shared" si="6"/>
        <v>#DIV/0!</v>
      </c>
      <c r="O73" s="148" t="e">
        <f t="shared" si="7"/>
        <v>#DIV/0!</v>
      </c>
      <c r="P73" s="704">
        <f t="shared" si="8"/>
        <v>8.61</v>
      </c>
      <c r="Q73" s="705" t="e">
        <f>(P73+$M$262)+((BC!$F$125)/$F$112)</f>
        <v>#DIV/0!</v>
      </c>
      <c r="R73" s="149" t="e">
        <f t="shared" si="9"/>
        <v>#DIV/0!</v>
      </c>
      <c r="S73" s="393" t="e">
        <f t="shared" si="10"/>
        <v>#DIV/0!</v>
      </c>
      <c r="T73" s="393" t="e">
        <f t="shared" si="11"/>
        <v>#DIV/0!</v>
      </c>
    </row>
    <row r="74" spans="2:20" ht="15.75" customHeight="1" x14ac:dyDescent="0.45">
      <c r="B74" s="585" t="s">
        <v>939</v>
      </c>
      <c r="C74" s="586" t="s">
        <v>940</v>
      </c>
      <c r="D74" s="42">
        <v>300</v>
      </c>
      <c r="E74" s="1">
        <v>112</v>
      </c>
      <c r="F74" s="700">
        <f>'e402-e801'!E74</f>
        <v>0</v>
      </c>
      <c r="G74" s="57">
        <f t="shared" ref="G74:G111" si="12">F74/D74</f>
        <v>0</v>
      </c>
      <c r="H74" s="60">
        <f>(30*BC!$B$47/E74)</f>
        <v>0</v>
      </c>
      <c r="I74" s="701">
        <f t="shared" ref="I74:I111" si="13">IF(H74&gt;G74,H74,G74)</f>
        <v>0</v>
      </c>
      <c r="J74" s="701">
        <f t="shared" ref="J74:J111" si="14">IF(G74=0,0,I74)</f>
        <v>0</v>
      </c>
      <c r="K74" s="216">
        <f t="shared" ref="K74:K111" si="15">ROUNDUP(J74,0)</f>
        <v>0</v>
      </c>
      <c r="L74" s="702">
        <v>5103</v>
      </c>
      <c r="M74" s="703">
        <f t="shared" ref="M74:M111" si="16">L74*K74</f>
        <v>0</v>
      </c>
      <c r="N74" s="91" t="e">
        <f t="shared" ref="N74:N111" si="17">((L74*$K$264)+L74)</f>
        <v>#DIV/0!</v>
      </c>
      <c r="O74" s="148" t="e">
        <f t="shared" ref="O74:O111" si="18">N74*K74</f>
        <v>#DIV/0!</v>
      </c>
      <c r="P74" s="704">
        <f t="shared" ref="P74:P111" si="19">L74/D74</f>
        <v>17.010000000000002</v>
      </c>
      <c r="Q74" s="705" t="e">
        <f>(P74+$M$262)+((BC!$F$125)/$F$112)</f>
        <v>#DIV/0!</v>
      </c>
      <c r="R74" s="149" t="e">
        <f t="shared" ref="R74:R111" si="20">Q74*F74</f>
        <v>#DIV/0!</v>
      </c>
      <c r="S74" s="393" t="e">
        <f t="shared" ref="S74:S111" si="21">((Q74*0.15)+Q74)</f>
        <v>#DIV/0!</v>
      </c>
      <c r="T74" s="393" t="e">
        <f t="shared" ref="T74:T111" si="22">S74*F74</f>
        <v>#DIV/0!</v>
      </c>
    </row>
    <row r="75" spans="2:20" ht="15.75" customHeight="1" x14ac:dyDescent="0.45">
      <c r="B75" s="25">
        <v>9038086190</v>
      </c>
      <c r="C75" s="632" t="s">
        <v>941</v>
      </c>
      <c r="D75" s="42">
        <v>300</v>
      </c>
      <c r="E75" s="1">
        <v>77</v>
      </c>
      <c r="F75" s="700">
        <f>'e402-e801'!E75</f>
        <v>0</v>
      </c>
      <c r="G75" s="57">
        <f t="shared" si="12"/>
        <v>0</v>
      </c>
      <c r="H75" s="60">
        <f>(30*BC!$B$47/E75)</f>
        <v>0</v>
      </c>
      <c r="I75" s="701">
        <f t="shared" si="13"/>
        <v>0</v>
      </c>
      <c r="J75" s="701">
        <f t="shared" si="14"/>
        <v>0</v>
      </c>
      <c r="K75" s="216">
        <f t="shared" si="15"/>
        <v>0</v>
      </c>
      <c r="L75" s="702">
        <v>1971</v>
      </c>
      <c r="M75" s="703">
        <f t="shared" si="16"/>
        <v>0</v>
      </c>
      <c r="N75" s="91" t="e">
        <f t="shared" si="17"/>
        <v>#DIV/0!</v>
      </c>
      <c r="O75" s="148" t="e">
        <f t="shared" si="18"/>
        <v>#DIV/0!</v>
      </c>
      <c r="P75" s="704">
        <f t="shared" si="19"/>
        <v>6.57</v>
      </c>
      <c r="Q75" s="705" t="e">
        <f>(P75+$M$262)+((BC!$F$125)/$F$112)</f>
        <v>#DIV/0!</v>
      </c>
      <c r="R75" s="149" t="e">
        <f t="shared" si="20"/>
        <v>#DIV/0!</v>
      </c>
      <c r="S75" s="393" t="e">
        <f t="shared" si="21"/>
        <v>#DIV/0!</v>
      </c>
      <c r="T75" s="393" t="e">
        <f t="shared" si="22"/>
        <v>#DIV/0!</v>
      </c>
    </row>
    <row r="76" spans="2:20" ht="15.75" customHeight="1" x14ac:dyDescent="0.45">
      <c r="B76" s="25">
        <v>7475918190</v>
      </c>
      <c r="C76" s="615" t="s">
        <v>942</v>
      </c>
      <c r="D76" s="42">
        <v>100</v>
      </c>
      <c r="E76" s="1">
        <v>112</v>
      </c>
      <c r="F76" s="700">
        <f>'e402-e801'!E76</f>
        <v>0</v>
      </c>
      <c r="G76" s="57">
        <f t="shared" si="12"/>
        <v>0</v>
      </c>
      <c r="H76" s="60">
        <f>(30*BC!$B$47/E76)</f>
        <v>0</v>
      </c>
      <c r="I76" s="701">
        <f t="shared" si="13"/>
        <v>0</v>
      </c>
      <c r="J76" s="701">
        <f t="shared" si="14"/>
        <v>0</v>
      </c>
      <c r="K76" s="216">
        <f t="shared" si="15"/>
        <v>0</v>
      </c>
      <c r="L76" s="702">
        <v>859</v>
      </c>
      <c r="M76" s="703">
        <f t="shared" si="16"/>
        <v>0</v>
      </c>
      <c r="N76" s="91" t="e">
        <f t="shared" si="17"/>
        <v>#DIV/0!</v>
      </c>
      <c r="O76" s="148" t="e">
        <f t="shared" si="18"/>
        <v>#DIV/0!</v>
      </c>
      <c r="P76" s="704">
        <f t="shared" si="19"/>
        <v>8.59</v>
      </c>
      <c r="Q76" s="705" t="e">
        <f>(P76+$M$262)+((BC!$F$125)/$F$112)</f>
        <v>#DIV/0!</v>
      </c>
      <c r="R76" s="149" t="e">
        <f t="shared" si="20"/>
        <v>#DIV/0!</v>
      </c>
      <c r="S76" s="393" t="e">
        <f t="shared" si="21"/>
        <v>#DIV/0!</v>
      </c>
      <c r="T76" s="393" t="e">
        <f t="shared" si="22"/>
        <v>#DIV/0!</v>
      </c>
    </row>
    <row r="77" spans="2:20" ht="15.75" customHeight="1" x14ac:dyDescent="0.45">
      <c r="B77" s="25">
        <v>7574720190</v>
      </c>
      <c r="C77" s="615" t="s">
        <v>943</v>
      </c>
      <c r="D77" s="42">
        <v>100</v>
      </c>
      <c r="E77" s="1">
        <v>112</v>
      </c>
      <c r="F77" s="700">
        <f>'e402-e801'!E77</f>
        <v>0</v>
      </c>
      <c r="G77" s="57">
        <f t="shared" si="12"/>
        <v>0</v>
      </c>
      <c r="H77" s="60">
        <f>(30*BC!$B$47/E77)</f>
        <v>0</v>
      </c>
      <c r="I77" s="701">
        <f t="shared" si="13"/>
        <v>0</v>
      </c>
      <c r="J77" s="701">
        <f t="shared" si="14"/>
        <v>0</v>
      </c>
      <c r="K77" s="216">
        <f t="shared" si="15"/>
        <v>0</v>
      </c>
      <c r="L77" s="702">
        <v>1239</v>
      </c>
      <c r="M77" s="703">
        <f t="shared" si="16"/>
        <v>0</v>
      </c>
      <c r="N77" s="91" t="e">
        <f t="shared" si="17"/>
        <v>#DIV/0!</v>
      </c>
      <c r="O77" s="148" t="e">
        <f t="shared" si="18"/>
        <v>#DIV/0!</v>
      </c>
      <c r="P77" s="704">
        <f t="shared" si="19"/>
        <v>12.39</v>
      </c>
      <c r="Q77" s="705" t="e">
        <f>(P77+$M$262)+((BC!$F$125)/$F$112)</f>
        <v>#DIV/0!</v>
      </c>
      <c r="R77" s="149" t="e">
        <f t="shared" si="20"/>
        <v>#DIV/0!</v>
      </c>
      <c r="S77" s="393" t="e">
        <f t="shared" si="21"/>
        <v>#DIV/0!</v>
      </c>
      <c r="T77" s="393" t="e">
        <f t="shared" si="22"/>
        <v>#DIV/0!</v>
      </c>
    </row>
    <row r="78" spans="2:20" ht="15.75" customHeight="1" x14ac:dyDescent="0.45">
      <c r="B78" s="25">
        <v>8836973190</v>
      </c>
      <c r="C78" s="634" t="s">
        <v>944</v>
      </c>
      <c r="D78" s="42">
        <v>300</v>
      </c>
      <c r="E78" s="1">
        <v>112</v>
      </c>
      <c r="F78" s="700">
        <f>'e402-e801'!E78</f>
        <v>0</v>
      </c>
      <c r="G78" s="57">
        <f t="shared" si="12"/>
        <v>0</v>
      </c>
      <c r="H78" s="60">
        <f>(30*BC!$B$47/E78)</f>
        <v>0</v>
      </c>
      <c r="I78" s="701">
        <f t="shared" si="13"/>
        <v>0</v>
      </c>
      <c r="J78" s="701">
        <f t="shared" si="14"/>
        <v>0</v>
      </c>
      <c r="K78" s="216">
        <f t="shared" si="15"/>
        <v>0</v>
      </c>
      <c r="L78" s="702">
        <v>2658</v>
      </c>
      <c r="M78" s="703">
        <f t="shared" si="16"/>
        <v>0</v>
      </c>
      <c r="N78" s="91" t="e">
        <f t="shared" si="17"/>
        <v>#DIV/0!</v>
      </c>
      <c r="O78" s="148" t="e">
        <f t="shared" si="18"/>
        <v>#DIV/0!</v>
      </c>
      <c r="P78" s="704">
        <f t="shared" si="19"/>
        <v>8.86</v>
      </c>
      <c r="Q78" s="705" t="e">
        <f>(P78+$M$262)+((BC!$F$125)/$F$112)</f>
        <v>#DIV/0!</v>
      </c>
      <c r="R78" s="149" t="e">
        <f t="shared" si="20"/>
        <v>#DIV/0!</v>
      </c>
      <c r="S78" s="393" t="e">
        <f t="shared" si="21"/>
        <v>#DIV/0!</v>
      </c>
      <c r="T78" s="393" t="e">
        <f t="shared" si="22"/>
        <v>#DIV/0!</v>
      </c>
    </row>
    <row r="79" spans="2:20" ht="15.75" customHeight="1" x14ac:dyDescent="0.45">
      <c r="B79" s="25">
        <v>8110697190</v>
      </c>
      <c r="C79" s="636" t="s">
        <v>945</v>
      </c>
      <c r="D79" s="42">
        <v>300</v>
      </c>
      <c r="E79" s="1">
        <v>31</v>
      </c>
      <c r="F79" s="700">
        <f>'e402-e801'!E79</f>
        <v>0</v>
      </c>
      <c r="G79" s="57">
        <f t="shared" si="12"/>
        <v>0</v>
      </c>
      <c r="H79" s="60">
        <f>(30*BC!$B$47/E79)</f>
        <v>0</v>
      </c>
      <c r="I79" s="701">
        <f t="shared" si="13"/>
        <v>0</v>
      </c>
      <c r="J79" s="701">
        <f t="shared" si="14"/>
        <v>0</v>
      </c>
      <c r="K79" s="216">
        <f t="shared" si="15"/>
        <v>0</v>
      </c>
      <c r="L79" s="692"/>
      <c r="M79" s="703">
        <f t="shared" si="16"/>
        <v>0</v>
      </c>
      <c r="N79" s="91" t="e">
        <f t="shared" si="17"/>
        <v>#DIV/0!</v>
      </c>
      <c r="O79" s="148" t="e">
        <f t="shared" si="18"/>
        <v>#DIV/0!</v>
      </c>
      <c r="P79" s="704">
        <f t="shared" si="19"/>
        <v>0</v>
      </c>
      <c r="Q79" s="705" t="e">
        <f>(P79+$M$262)+((BC!$F$125)/$F$112)</f>
        <v>#DIV/0!</v>
      </c>
      <c r="R79" s="149" t="e">
        <f t="shared" si="20"/>
        <v>#DIV/0!</v>
      </c>
      <c r="S79" s="393" t="e">
        <f t="shared" si="21"/>
        <v>#DIV/0!</v>
      </c>
      <c r="T79" s="393" t="e">
        <f t="shared" si="22"/>
        <v>#DIV/0!</v>
      </c>
    </row>
    <row r="80" spans="2:20" ht="15.75" customHeight="1" x14ac:dyDescent="0.45">
      <c r="B80" s="25">
        <v>8086664190</v>
      </c>
      <c r="C80" s="638" t="s">
        <v>946</v>
      </c>
      <c r="D80" s="42">
        <v>300</v>
      </c>
      <c r="E80" s="1">
        <v>112</v>
      </c>
      <c r="F80" s="700">
        <f>'e402-e801'!E80</f>
        <v>0</v>
      </c>
      <c r="G80" s="57">
        <f t="shared" si="12"/>
        <v>0</v>
      </c>
      <c r="H80" s="60">
        <f>(30*BC!$B$47/E80)</f>
        <v>0</v>
      </c>
      <c r="I80" s="701">
        <f t="shared" si="13"/>
        <v>0</v>
      </c>
      <c r="J80" s="701">
        <f t="shared" si="14"/>
        <v>0</v>
      </c>
      <c r="K80" s="216">
        <f t="shared" si="15"/>
        <v>0</v>
      </c>
      <c r="L80" s="702">
        <v>1107</v>
      </c>
      <c r="M80" s="703">
        <f t="shared" si="16"/>
        <v>0</v>
      </c>
      <c r="N80" s="91" t="e">
        <f t="shared" si="17"/>
        <v>#DIV/0!</v>
      </c>
      <c r="O80" s="148" t="e">
        <f t="shared" si="18"/>
        <v>#DIV/0!</v>
      </c>
      <c r="P80" s="704">
        <f t="shared" si="19"/>
        <v>3.69</v>
      </c>
      <c r="Q80" s="705" t="e">
        <f>(P80+$M$262)+((BC!$F$125)/$F$112)</f>
        <v>#DIV/0!</v>
      </c>
      <c r="R80" s="149" t="e">
        <f t="shared" si="20"/>
        <v>#DIV/0!</v>
      </c>
      <c r="S80" s="393" t="e">
        <f t="shared" si="21"/>
        <v>#DIV/0!</v>
      </c>
      <c r="T80" s="393" t="e">
        <f t="shared" si="22"/>
        <v>#DIV/0!</v>
      </c>
    </row>
    <row r="81" spans="2:20" ht="15.75" customHeight="1" x14ac:dyDescent="0.45">
      <c r="B81" s="25">
        <v>7026773190</v>
      </c>
      <c r="C81" s="640" t="s">
        <v>947</v>
      </c>
      <c r="D81" s="42">
        <v>300</v>
      </c>
      <c r="E81" s="1">
        <v>112</v>
      </c>
      <c r="F81" s="700">
        <f>'e402-e801'!E81</f>
        <v>0</v>
      </c>
      <c r="G81" s="57">
        <f t="shared" si="12"/>
        <v>0</v>
      </c>
      <c r="H81" s="60">
        <f>(30*BC!$B$47/E81)</f>
        <v>0</v>
      </c>
      <c r="I81" s="701">
        <f t="shared" si="13"/>
        <v>0</v>
      </c>
      <c r="J81" s="701">
        <f t="shared" si="14"/>
        <v>0</v>
      </c>
      <c r="K81" s="216">
        <f t="shared" si="15"/>
        <v>0</v>
      </c>
      <c r="L81" s="702">
        <v>1524</v>
      </c>
      <c r="M81" s="703">
        <f t="shared" si="16"/>
        <v>0</v>
      </c>
      <c r="N81" s="91" t="e">
        <f t="shared" si="17"/>
        <v>#DIV/0!</v>
      </c>
      <c r="O81" s="148" t="e">
        <f t="shared" si="18"/>
        <v>#DIV/0!</v>
      </c>
      <c r="P81" s="704">
        <f t="shared" si="19"/>
        <v>5.08</v>
      </c>
      <c r="Q81" s="705" t="e">
        <f>(P81+$M$262)+((BC!$F$125)/$F$112)</f>
        <v>#DIV/0!</v>
      </c>
      <c r="R81" s="149" t="e">
        <f t="shared" si="20"/>
        <v>#DIV/0!</v>
      </c>
      <c r="S81" s="393" t="e">
        <f t="shared" si="21"/>
        <v>#DIV/0!</v>
      </c>
      <c r="T81" s="393" t="e">
        <f t="shared" si="22"/>
        <v>#DIV/0!</v>
      </c>
    </row>
    <row r="82" spans="2:20" ht="15.75" customHeight="1" x14ac:dyDescent="0.45">
      <c r="B82" s="25">
        <v>8814848190</v>
      </c>
      <c r="C82" s="642" t="s">
        <v>948</v>
      </c>
      <c r="D82" s="42">
        <v>300</v>
      </c>
      <c r="E82" s="1">
        <v>112</v>
      </c>
      <c r="F82" s="700">
        <f>'e402-e801'!E82</f>
        <v>0</v>
      </c>
      <c r="G82" s="57">
        <f t="shared" si="12"/>
        <v>0</v>
      </c>
      <c r="H82" s="60">
        <f>(30*BC!$B$47/E82)</f>
        <v>0</v>
      </c>
      <c r="I82" s="701">
        <f t="shared" si="13"/>
        <v>0</v>
      </c>
      <c r="J82" s="701">
        <f t="shared" si="14"/>
        <v>0</v>
      </c>
      <c r="K82" s="216">
        <f t="shared" si="15"/>
        <v>0</v>
      </c>
      <c r="L82" s="702">
        <v>810</v>
      </c>
      <c r="M82" s="703">
        <f t="shared" si="16"/>
        <v>0</v>
      </c>
      <c r="N82" s="91" t="e">
        <f t="shared" si="17"/>
        <v>#DIV/0!</v>
      </c>
      <c r="O82" s="148" t="e">
        <f t="shared" si="18"/>
        <v>#DIV/0!</v>
      </c>
      <c r="P82" s="704">
        <f t="shared" si="19"/>
        <v>2.7</v>
      </c>
      <c r="Q82" s="705" t="e">
        <f>(P82+$M$262)+((BC!$F$125)/$F$112)</f>
        <v>#DIV/0!</v>
      </c>
      <c r="R82" s="149" t="e">
        <f t="shared" si="20"/>
        <v>#DIV/0!</v>
      </c>
      <c r="S82" s="393" t="e">
        <f t="shared" si="21"/>
        <v>#DIV/0!</v>
      </c>
      <c r="T82" s="393" t="e">
        <f t="shared" si="22"/>
        <v>#DIV/0!</v>
      </c>
    </row>
    <row r="83" spans="2:20" ht="15.75" customHeight="1" x14ac:dyDescent="0.45">
      <c r="B83" s="25">
        <v>8498610190</v>
      </c>
      <c r="C83" s="644" t="s">
        <v>949</v>
      </c>
      <c r="D83" s="42">
        <v>300</v>
      </c>
      <c r="E83" s="1">
        <v>112</v>
      </c>
      <c r="F83" s="700">
        <f>'e402-e801'!E83</f>
        <v>0</v>
      </c>
      <c r="G83" s="57">
        <f t="shared" si="12"/>
        <v>0</v>
      </c>
      <c r="H83" s="60">
        <f>(30*BC!$B$47/E83)</f>
        <v>0</v>
      </c>
      <c r="I83" s="701">
        <f t="shared" si="13"/>
        <v>0</v>
      </c>
      <c r="J83" s="701">
        <f t="shared" si="14"/>
        <v>0</v>
      </c>
      <c r="K83" s="216">
        <f t="shared" si="15"/>
        <v>0</v>
      </c>
      <c r="L83" s="702">
        <v>810</v>
      </c>
      <c r="M83" s="703">
        <f t="shared" si="16"/>
        <v>0</v>
      </c>
      <c r="N83" s="91" t="e">
        <f t="shared" si="17"/>
        <v>#DIV/0!</v>
      </c>
      <c r="O83" s="148" t="e">
        <f t="shared" si="18"/>
        <v>#DIV/0!</v>
      </c>
      <c r="P83" s="704">
        <f t="shared" si="19"/>
        <v>2.7</v>
      </c>
      <c r="Q83" s="705" t="e">
        <f>(P83+$M$262)+((BC!$F$125)/$F$112)</f>
        <v>#DIV/0!</v>
      </c>
      <c r="R83" s="149" t="e">
        <f t="shared" si="20"/>
        <v>#DIV/0!</v>
      </c>
      <c r="S83" s="393" t="e">
        <f t="shared" si="21"/>
        <v>#DIV/0!</v>
      </c>
      <c r="T83" s="393" t="e">
        <f t="shared" si="22"/>
        <v>#DIV/0!</v>
      </c>
    </row>
    <row r="84" spans="2:20" ht="15.75" customHeight="1" x14ac:dyDescent="0.45">
      <c r="B84" s="25">
        <v>7027427190</v>
      </c>
      <c r="C84" s="646" t="s">
        <v>950</v>
      </c>
      <c r="D84" s="42">
        <v>300</v>
      </c>
      <c r="E84" s="1">
        <v>112</v>
      </c>
      <c r="F84" s="700">
        <f>'e402-e801'!E84</f>
        <v>0</v>
      </c>
      <c r="G84" s="57">
        <f t="shared" si="12"/>
        <v>0</v>
      </c>
      <c r="H84" s="60">
        <f>(30*BC!$B$47/E84)</f>
        <v>0</v>
      </c>
      <c r="I84" s="701">
        <f t="shared" si="13"/>
        <v>0</v>
      </c>
      <c r="J84" s="701">
        <f t="shared" si="14"/>
        <v>0</v>
      </c>
      <c r="K84" s="216">
        <f t="shared" si="15"/>
        <v>0</v>
      </c>
      <c r="L84" s="702">
        <v>1032</v>
      </c>
      <c r="M84" s="703">
        <f t="shared" si="16"/>
        <v>0</v>
      </c>
      <c r="N84" s="91" t="e">
        <f t="shared" si="17"/>
        <v>#DIV/0!</v>
      </c>
      <c r="O84" s="148" t="e">
        <f t="shared" si="18"/>
        <v>#DIV/0!</v>
      </c>
      <c r="P84" s="704">
        <f t="shared" si="19"/>
        <v>3.44</v>
      </c>
      <c r="Q84" s="705" t="e">
        <f>(P84+$M$262)+((BC!$F$125)/$F$112)</f>
        <v>#DIV/0!</v>
      </c>
      <c r="R84" s="149" t="e">
        <f t="shared" si="20"/>
        <v>#DIV/0!</v>
      </c>
      <c r="S84" s="393" t="e">
        <f t="shared" si="21"/>
        <v>#DIV/0!</v>
      </c>
      <c r="T84" s="393" t="e">
        <f t="shared" si="22"/>
        <v>#DIV/0!</v>
      </c>
    </row>
    <row r="85" spans="2:20" ht="15.75" customHeight="1" x14ac:dyDescent="0.45">
      <c r="B85" s="25">
        <v>7026838190</v>
      </c>
      <c r="C85" s="647" t="s">
        <v>951</v>
      </c>
      <c r="D85" s="42">
        <v>300</v>
      </c>
      <c r="E85" s="1">
        <v>112</v>
      </c>
      <c r="F85" s="700">
        <f>'e402-e801'!E85</f>
        <v>0</v>
      </c>
      <c r="G85" s="57">
        <f t="shared" si="12"/>
        <v>0</v>
      </c>
      <c r="H85" s="60">
        <f>(30*BC!$B$47/E85)</f>
        <v>0</v>
      </c>
      <c r="I85" s="701">
        <f t="shared" si="13"/>
        <v>0</v>
      </c>
      <c r="J85" s="701">
        <f t="shared" si="14"/>
        <v>0</v>
      </c>
      <c r="K85" s="216">
        <f t="shared" si="15"/>
        <v>0</v>
      </c>
      <c r="L85" s="702">
        <v>1773</v>
      </c>
      <c r="M85" s="703">
        <f t="shared" si="16"/>
        <v>0</v>
      </c>
      <c r="N85" s="91" t="e">
        <f t="shared" si="17"/>
        <v>#DIV/0!</v>
      </c>
      <c r="O85" s="148" t="e">
        <f t="shared" si="18"/>
        <v>#DIV/0!</v>
      </c>
      <c r="P85" s="704">
        <f t="shared" si="19"/>
        <v>5.91</v>
      </c>
      <c r="Q85" s="705" t="e">
        <f>(P85+$M$262)+((BC!$F$125)/$F$112)</f>
        <v>#DIV/0!</v>
      </c>
      <c r="R85" s="149" t="e">
        <f t="shared" si="20"/>
        <v>#DIV/0!</v>
      </c>
      <c r="S85" s="393" t="e">
        <f t="shared" si="21"/>
        <v>#DIV/0!</v>
      </c>
      <c r="T85" s="393" t="e">
        <f t="shared" si="22"/>
        <v>#DIV/0!</v>
      </c>
    </row>
    <row r="86" spans="2:20" ht="15.75" customHeight="1" x14ac:dyDescent="0.45">
      <c r="B86" s="25">
        <v>9014926190</v>
      </c>
      <c r="C86" s="649" t="s">
        <v>952</v>
      </c>
      <c r="D86" s="42">
        <v>300</v>
      </c>
      <c r="E86" s="1">
        <v>112</v>
      </c>
      <c r="F86" s="700">
        <f>'e402-e801'!E86</f>
        <v>0</v>
      </c>
      <c r="G86" s="57">
        <f t="shared" si="12"/>
        <v>0</v>
      </c>
      <c r="H86" s="60">
        <f>(30*BC!$B$47/E86)</f>
        <v>0</v>
      </c>
      <c r="I86" s="701">
        <f t="shared" si="13"/>
        <v>0</v>
      </c>
      <c r="J86" s="701">
        <f t="shared" si="14"/>
        <v>0</v>
      </c>
      <c r="K86" s="216">
        <f t="shared" si="15"/>
        <v>0</v>
      </c>
      <c r="L86" s="702">
        <v>1140</v>
      </c>
      <c r="M86" s="703">
        <f t="shared" si="16"/>
        <v>0</v>
      </c>
      <c r="N86" s="91" t="e">
        <f t="shared" si="17"/>
        <v>#DIV/0!</v>
      </c>
      <c r="O86" s="148" t="e">
        <f t="shared" si="18"/>
        <v>#DIV/0!</v>
      </c>
      <c r="P86" s="704">
        <f t="shared" si="19"/>
        <v>3.8</v>
      </c>
      <c r="Q86" s="705" t="e">
        <f>(P86+$M$262)+((BC!$F$125)/$F$112)</f>
        <v>#DIV/0!</v>
      </c>
      <c r="R86" s="149" t="e">
        <f t="shared" si="20"/>
        <v>#DIV/0!</v>
      </c>
      <c r="S86" s="393" t="e">
        <f t="shared" si="21"/>
        <v>#DIV/0!</v>
      </c>
      <c r="T86" s="393" t="e">
        <f t="shared" si="22"/>
        <v>#DIV/0!</v>
      </c>
    </row>
    <row r="87" spans="2:20" ht="15.75" customHeight="1" x14ac:dyDescent="0.45">
      <c r="B87" s="25">
        <v>7026811190</v>
      </c>
      <c r="C87" s="651" t="s">
        <v>953</v>
      </c>
      <c r="D87" s="42">
        <v>300</v>
      </c>
      <c r="E87" s="1">
        <v>112</v>
      </c>
      <c r="F87" s="700">
        <f>'e402-e801'!E87</f>
        <v>0</v>
      </c>
      <c r="G87" s="57">
        <f t="shared" si="12"/>
        <v>0</v>
      </c>
      <c r="H87" s="60">
        <f>(30*BC!$B$47/E87)</f>
        <v>0</v>
      </c>
      <c r="I87" s="701">
        <f t="shared" si="13"/>
        <v>0</v>
      </c>
      <c r="J87" s="701">
        <f t="shared" si="14"/>
        <v>0</v>
      </c>
      <c r="K87" s="216">
        <f t="shared" si="15"/>
        <v>0</v>
      </c>
      <c r="L87" s="702">
        <v>1677</v>
      </c>
      <c r="M87" s="703">
        <f t="shared" si="16"/>
        <v>0</v>
      </c>
      <c r="N87" s="91" t="e">
        <f t="shared" si="17"/>
        <v>#DIV/0!</v>
      </c>
      <c r="O87" s="148" t="e">
        <f t="shared" si="18"/>
        <v>#DIV/0!</v>
      </c>
      <c r="P87" s="704">
        <f t="shared" si="19"/>
        <v>5.59</v>
      </c>
      <c r="Q87" s="705" t="e">
        <f>(P87+$M$262)+((BC!$F$125)/$F$112)</f>
        <v>#DIV/0!</v>
      </c>
      <c r="R87" s="149" t="e">
        <f t="shared" si="20"/>
        <v>#DIV/0!</v>
      </c>
      <c r="S87" s="393" t="e">
        <f t="shared" si="21"/>
        <v>#DIV/0!</v>
      </c>
      <c r="T87" s="393" t="e">
        <f t="shared" si="22"/>
        <v>#DIV/0!</v>
      </c>
    </row>
    <row r="88" spans="2:20" ht="15.75" customHeight="1" x14ac:dyDescent="0.45">
      <c r="B88" s="25">
        <v>8837058190</v>
      </c>
      <c r="C88" s="653" t="s">
        <v>954</v>
      </c>
      <c r="D88" s="42">
        <v>300</v>
      </c>
      <c r="E88" s="1">
        <v>31</v>
      </c>
      <c r="F88" s="700">
        <f>'e402-e801'!E88</f>
        <v>0</v>
      </c>
      <c r="G88" s="57">
        <f t="shared" si="12"/>
        <v>0</v>
      </c>
      <c r="H88" s="60">
        <f>(30*BC!$B$47/E88)</f>
        <v>0</v>
      </c>
      <c r="I88" s="701">
        <f t="shared" si="13"/>
        <v>0</v>
      </c>
      <c r="J88" s="701">
        <f t="shared" si="14"/>
        <v>0</v>
      </c>
      <c r="K88" s="216">
        <f t="shared" si="15"/>
        <v>0</v>
      </c>
      <c r="L88" s="702">
        <v>1248</v>
      </c>
      <c r="M88" s="703">
        <f t="shared" si="16"/>
        <v>0</v>
      </c>
      <c r="N88" s="91" t="e">
        <f t="shared" si="17"/>
        <v>#DIV/0!</v>
      </c>
      <c r="O88" s="148" t="e">
        <f t="shared" si="18"/>
        <v>#DIV/0!</v>
      </c>
      <c r="P88" s="704">
        <f t="shared" si="19"/>
        <v>4.16</v>
      </c>
      <c r="Q88" s="705" t="e">
        <f>(P88+$M$262)+((BC!$F$125)/$F$112)</f>
        <v>#DIV/0!</v>
      </c>
      <c r="R88" s="149" t="e">
        <f t="shared" si="20"/>
        <v>#DIV/0!</v>
      </c>
      <c r="S88" s="393" t="e">
        <f t="shared" si="21"/>
        <v>#DIV/0!</v>
      </c>
      <c r="T88" s="393" t="e">
        <f t="shared" si="22"/>
        <v>#DIV/0!</v>
      </c>
    </row>
    <row r="89" spans="2:20" ht="15.75" customHeight="1" x14ac:dyDescent="0.45">
      <c r="B89" s="470">
        <v>7027770190</v>
      </c>
      <c r="C89" s="655" t="s">
        <v>955</v>
      </c>
      <c r="D89" s="42">
        <v>300</v>
      </c>
      <c r="E89" s="1">
        <v>112</v>
      </c>
      <c r="F89" s="700">
        <f>'e402-e801'!E89</f>
        <v>0</v>
      </c>
      <c r="G89" s="57">
        <f t="shared" si="12"/>
        <v>0</v>
      </c>
      <c r="H89" s="60">
        <f>(30*BC!$B$47/E89)</f>
        <v>0</v>
      </c>
      <c r="I89" s="701">
        <f t="shared" si="13"/>
        <v>0</v>
      </c>
      <c r="J89" s="701">
        <f t="shared" si="14"/>
        <v>0</v>
      </c>
      <c r="K89" s="216">
        <f t="shared" si="15"/>
        <v>0</v>
      </c>
      <c r="L89" s="702">
        <v>936</v>
      </c>
      <c r="M89" s="703">
        <f t="shared" si="16"/>
        <v>0</v>
      </c>
      <c r="N89" s="91" t="e">
        <f t="shared" si="17"/>
        <v>#DIV/0!</v>
      </c>
      <c r="O89" s="148" t="e">
        <f t="shared" si="18"/>
        <v>#DIV/0!</v>
      </c>
      <c r="P89" s="704">
        <f t="shared" si="19"/>
        <v>3.12</v>
      </c>
      <c r="Q89" s="705" t="e">
        <f>(P89+$M$262)+((BC!$F$125)/$F$112)</f>
        <v>#DIV/0!</v>
      </c>
      <c r="R89" s="149" t="e">
        <f t="shared" si="20"/>
        <v>#DIV/0!</v>
      </c>
      <c r="S89" s="393" t="e">
        <f t="shared" si="21"/>
        <v>#DIV/0!</v>
      </c>
      <c r="T89" s="393" t="e">
        <f t="shared" si="22"/>
        <v>#DIV/0!</v>
      </c>
    </row>
    <row r="90" spans="2:20" ht="15.75" customHeight="1" x14ac:dyDescent="0.45">
      <c r="B90" s="470">
        <v>9755837190</v>
      </c>
      <c r="C90" s="656" t="s">
        <v>956</v>
      </c>
      <c r="D90" s="42">
        <v>100</v>
      </c>
      <c r="E90" s="1">
        <v>112</v>
      </c>
      <c r="F90" s="700">
        <f>'e402-e801'!E90</f>
        <v>0</v>
      </c>
      <c r="G90" s="57">
        <f t="shared" si="12"/>
        <v>0</v>
      </c>
      <c r="H90" s="60">
        <f>(30*BC!$B$47/E90)</f>
        <v>0</v>
      </c>
      <c r="I90" s="701">
        <f t="shared" si="13"/>
        <v>0</v>
      </c>
      <c r="J90" s="701">
        <f t="shared" si="14"/>
        <v>0</v>
      </c>
      <c r="K90" s="216">
        <f t="shared" si="15"/>
        <v>0</v>
      </c>
      <c r="L90" s="702">
        <v>332</v>
      </c>
      <c r="M90" s="703">
        <f t="shared" si="16"/>
        <v>0</v>
      </c>
      <c r="N90" s="91" t="e">
        <f t="shared" si="17"/>
        <v>#DIV/0!</v>
      </c>
      <c r="O90" s="148" t="e">
        <f t="shared" si="18"/>
        <v>#DIV/0!</v>
      </c>
      <c r="P90" s="704">
        <f t="shared" si="19"/>
        <v>3.32</v>
      </c>
      <c r="Q90" s="705" t="e">
        <f>(P90+$M$262)+((BC!$F$125)/$F$112)</f>
        <v>#DIV/0!</v>
      </c>
      <c r="R90" s="149" t="e">
        <f t="shared" si="20"/>
        <v>#DIV/0!</v>
      </c>
      <c r="S90" s="393" t="e">
        <f t="shared" si="21"/>
        <v>#DIV/0!</v>
      </c>
      <c r="T90" s="393" t="e">
        <f t="shared" si="22"/>
        <v>#DIV/0!</v>
      </c>
    </row>
    <row r="91" spans="2:20" ht="15.75" customHeight="1" x14ac:dyDescent="0.45">
      <c r="B91" s="470">
        <v>7028008190</v>
      </c>
      <c r="C91" s="657" t="s">
        <v>957</v>
      </c>
      <c r="D91" s="42">
        <v>300</v>
      </c>
      <c r="E91" s="1">
        <v>112</v>
      </c>
      <c r="F91" s="700">
        <f>'e402-e801'!E91</f>
        <v>0</v>
      </c>
      <c r="G91" s="57">
        <f t="shared" si="12"/>
        <v>0</v>
      </c>
      <c r="H91" s="60">
        <f>(30*BC!$B$47/E91)</f>
        <v>0</v>
      </c>
      <c r="I91" s="701">
        <f t="shared" si="13"/>
        <v>0</v>
      </c>
      <c r="J91" s="701">
        <f t="shared" si="14"/>
        <v>0</v>
      </c>
      <c r="K91" s="216">
        <f t="shared" si="15"/>
        <v>0</v>
      </c>
      <c r="L91" s="702">
        <v>888</v>
      </c>
      <c r="M91" s="703">
        <f t="shared" si="16"/>
        <v>0</v>
      </c>
      <c r="N91" s="91" t="e">
        <f t="shared" si="17"/>
        <v>#DIV/0!</v>
      </c>
      <c r="O91" s="148" t="e">
        <f t="shared" si="18"/>
        <v>#DIV/0!</v>
      </c>
      <c r="P91" s="704">
        <f t="shared" si="19"/>
        <v>2.96</v>
      </c>
      <c r="Q91" s="705" t="e">
        <f>(P91+$M$262)+((BC!$F$125)/$F$112)</f>
        <v>#DIV/0!</v>
      </c>
      <c r="R91" s="149" t="e">
        <f t="shared" si="20"/>
        <v>#DIV/0!</v>
      </c>
      <c r="S91" s="393" t="e">
        <f t="shared" si="21"/>
        <v>#DIV/0!</v>
      </c>
      <c r="T91" s="393" t="e">
        <f t="shared" si="22"/>
        <v>#DIV/0!</v>
      </c>
    </row>
    <row r="92" spans="2:20" ht="15.75" customHeight="1" x14ac:dyDescent="0.45">
      <c r="B92" s="659">
        <v>7027974190</v>
      </c>
      <c r="C92" s="658" t="s">
        <v>958</v>
      </c>
      <c r="D92" s="42">
        <v>100</v>
      </c>
      <c r="E92" s="1">
        <v>112</v>
      </c>
      <c r="F92" s="700">
        <f>'e402-e801'!E92</f>
        <v>0</v>
      </c>
      <c r="G92" s="57">
        <f t="shared" si="12"/>
        <v>0</v>
      </c>
      <c r="H92" s="60">
        <f>(30*BC!$B$47/E92)</f>
        <v>0</v>
      </c>
      <c r="I92" s="701">
        <f t="shared" si="13"/>
        <v>0</v>
      </c>
      <c r="J92" s="701">
        <f t="shared" si="14"/>
        <v>0</v>
      </c>
      <c r="K92" s="216">
        <f t="shared" si="15"/>
        <v>0</v>
      </c>
      <c r="L92" s="702">
        <v>585</v>
      </c>
      <c r="M92" s="703">
        <f t="shared" si="16"/>
        <v>0</v>
      </c>
      <c r="N92" s="91" t="e">
        <f t="shared" si="17"/>
        <v>#DIV/0!</v>
      </c>
      <c r="O92" s="148" t="e">
        <f t="shared" si="18"/>
        <v>#DIV/0!</v>
      </c>
      <c r="P92" s="704">
        <f t="shared" si="19"/>
        <v>5.85</v>
      </c>
      <c r="Q92" s="705" t="e">
        <f>(P92+$M$262)+((BC!$F$125)/$F$112)</f>
        <v>#DIV/0!</v>
      </c>
      <c r="R92" s="149" t="e">
        <f t="shared" si="20"/>
        <v>#DIV/0!</v>
      </c>
      <c r="S92" s="393" t="e">
        <f t="shared" si="21"/>
        <v>#DIV/0!</v>
      </c>
      <c r="T92" s="393" t="e">
        <f t="shared" si="22"/>
        <v>#DIV/0!</v>
      </c>
    </row>
    <row r="93" spans="2:20" ht="15.75" customHeight="1" x14ac:dyDescent="0.45">
      <c r="B93" s="470">
        <v>7028024190</v>
      </c>
      <c r="C93" s="660" t="s">
        <v>959</v>
      </c>
      <c r="D93" s="42">
        <v>300</v>
      </c>
      <c r="E93" s="1">
        <v>112</v>
      </c>
      <c r="F93" s="700">
        <f>'e402-e801'!E93</f>
        <v>0</v>
      </c>
      <c r="G93" s="57">
        <f t="shared" si="12"/>
        <v>0</v>
      </c>
      <c r="H93" s="60">
        <f>(30*BC!$B$47/E93)</f>
        <v>0</v>
      </c>
      <c r="I93" s="701">
        <f t="shared" si="13"/>
        <v>0</v>
      </c>
      <c r="J93" s="701">
        <f t="shared" si="14"/>
        <v>0</v>
      </c>
      <c r="K93" s="216">
        <f t="shared" si="15"/>
        <v>0</v>
      </c>
      <c r="L93" s="702">
        <v>888</v>
      </c>
      <c r="M93" s="703">
        <f t="shared" si="16"/>
        <v>0</v>
      </c>
      <c r="N93" s="91" t="e">
        <f t="shared" si="17"/>
        <v>#DIV/0!</v>
      </c>
      <c r="O93" s="148" t="e">
        <f t="shared" si="18"/>
        <v>#DIV/0!</v>
      </c>
      <c r="P93" s="704">
        <f t="shared" si="19"/>
        <v>2.96</v>
      </c>
      <c r="Q93" s="705" t="e">
        <f>(P93+$M$262)+((BC!$F$125)/$F$112)</f>
        <v>#DIV/0!</v>
      </c>
      <c r="R93" s="149" t="e">
        <f t="shared" si="20"/>
        <v>#DIV/0!</v>
      </c>
      <c r="S93" s="393" t="e">
        <f t="shared" si="21"/>
        <v>#DIV/0!</v>
      </c>
      <c r="T93" s="393" t="e">
        <f t="shared" si="22"/>
        <v>#DIV/0!</v>
      </c>
    </row>
    <row r="94" spans="2:20" ht="15.75" customHeight="1" x14ac:dyDescent="0.45">
      <c r="B94" s="470">
        <v>9118551190</v>
      </c>
      <c r="C94" s="661" t="s">
        <v>960</v>
      </c>
      <c r="D94" s="42">
        <v>300</v>
      </c>
      <c r="E94" s="1">
        <v>112</v>
      </c>
      <c r="F94" s="700">
        <f>'e402-e801'!E94</f>
        <v>0</v>
      </c>
      <c r="G94" s="57">
        <f t="shared" si="12"/>
        <v>0</v>
      </c>
      <c r="H94" s="60">
        <f>(30*BC!$B$47/E94)</f>
        <v>0</v>
      </c>
      <c r="I94" s="701">
        <f t="shared" si="13"/>
        <v>0</v>
      </c>
      <c r="J94" s="701">
        <f t="shared" si="14"/>
        <v>0</v>
      </c>
      <c r="K94" s="216">
        <f t="shared" si="15"/>
        <v>0</v>
      </c>
      <c r="L94" s="702">
        <v>834</v>
      </c>
      <c r="M94" s="703">
        <f t="shared" si="16"/>
        <v>0</v>
      </c>
      <c r="N94" s="91" t="e">
        <f t="shared" si="17"/>
        <v>#DIV/0!</v>
      </c>
      <c r="O94" s="148" t="e">
        <f t="shared" si="18"/>
        <v>#DIV/0!</v>
      </c>
      <c r="P94" s="704">
        <f t="shared" si="19"/>
        <v>2.78</v>
      </c>
      <c r="Q94" s="705" t="e">
        <f>(P94+$M$262)+((BC!$F$125)/$F$112)</f>
        <v>#DIV/0!</v>
      </c>
      <c r="R94" s="149" t="e">
        <f t="shared" si="20"/>
        <v>#DIV/0!</v>
      </c>
      <c r="S94" s="393" t="e">
        <f t="shared" si="21"/>
        <v>#DIV/0!</v>
      </c>
      <c r="T94" s="393" t="e">
        <f t="shared" si="22"/>
        <v>#DIV/0!</v>
      </c>
    </row>
    <row r="95" spans="2:20" ht="15.75" customHeight="1" x14ac:dyDescent="0.45">
      <c r="B95" s="662">
        <v>9342389190</v>
      </c>
      <c r="C95" s="663" t="s">
        <v>961</v>
      </c>
      <c r="D95" s="42">
        <v>100</v>
      </c>
      <c r="E95" s="1">
        <v>112</v>
      </c>
      <c r="F95" s="700">
        <f>'e402-e801'!E95</f>
        <v>0</v>
      </c>
      <c r="G95" s="57">
        <f t="shared" si="12"/>
        <v>0</v>
      </c>
      <c r="H95" s="60">
        <f>(30*BC!$B$47/E95)</f>
        <v>0</v>
      </c>
      <c r="I95" s="701">
        <f t="shared" si="13"/>
        <v>0</v>
      </c>
      <c r="J95" s="701">
        <f t="shared" si="14"/>
        <v>0</v>
      </c>
      <c r="K95" s="216">
        <f t="shared" si="15"/>
        <v>0</v>
      </c>
      <c r="L95" s="702">
        <v>860</v>
      </c>
      <c r="M95" s="703">
        <f t="shared" si="16"/>
        <v>0</v>
      </c>
      <c r="N95" s="91" t="e">
        <f t="shared" si="17"/>
        <v>#DIV/0!</v>
      </c>
      <c r="O95" s="148" t="e">
        <f t="shared" si="18"/>
        <v>#DIV/0!</v>
      </c>
      <c r="P95" s="704">
        <f t="shared" si="19"/>
        <v>8.6</v>
      </c>
      <c r="Q95" s="705" t="e">
        <f>(P95+$M$262)+((BC!$F$125)/$F$112)</f>
        <v>#DIV/0!</v>
      </c>
      <c r="R95" s="149" t="e">
        <f t="shared" si="20"/>
        <v>#DIV/0!</v>
      </c>
      <c r="S95" s="393" t="e">
        <f t="shared" si="21"/>
        <v>#DIV/0!</v>
      </c>
      <c r="T95" s="393" t="e">
        <f t="shared" si="22"/>
        <v>#DIV/0!</v>
      </c>
    </row>
    <row r="96" spans="2:20" ht="15.75" customHeight="1" x14ac:dyDescent="0.45">
      <c r="B96" s="470">
        <v>7027133190</v>
      </c>
      <c r="C96" s="664" t="s">
        <v>962</v>
      </c>
      <c r="D96" s="42">
        <v>300</v>
      </c>
      <c r="E96" s="1">
        <v>112</v>
      </c>
      <c r="F96" s="700">
        <f>'e402-e801'!E96</f>
        <v>0</v>
      </c>
      <c r="G96" s="57">
        <f t="shared" si="12"/>
        <v>0</v>
      </c>
      <c r="H96" s="60">
        <f>(30*BC!$B$47/E96)</f>
        <v>0</v>
      </c>
      <c r="I96" s="701">
        <f t="shared" si="13"/>
        <v>0</v>
      </c>
      <c r="J96" s="701">
        <f t="shared" si="14"/>
        <v>0</v>
      </c>
      <c r="K96" s="216">
        <f t="shared" si="15"/>
        <v>0</v>
      </c>
      <c r="L96" s="702">
        <v>593</v>
      </c>
      <c r="M96" s="703">
        <f t="shared" si="16"/>
        <v>0</v>
      </c>
      <c r="N96" s="91" t="e">
        <f t="shared" si="17"/>
        <v>#DIV/0!</v>
      </c>
      <c r="O96" s="148" t="e">
        <f t="shared" si="18"/>
        <v>#DIV/0!</v>
      </c>
      <c r="P96" s="704">
        <f t="shared" si="19"/>
        <v>1.9766666666666666</v>
      </c>
      <c r="Q96" s="705" t="e">
        <f>(P96+$M$262)+((BC!$F$125)/$F$112)</f>
        <v>#DIV/0!</v>
      </c>
      <c r="R96" s="149" t="e">
        <f t="shared" si="20"/>
        <v>#DIV/0!</v>
      </c>
      <c r="S96" s="393" t="e">
        <f t="shared" si="21"/>
        <v>#DIV/0!</v>
      </c>
      <c r="T96" s="393" t="e">
        <f t="shared" si="22"/>
        <v>#DIV/0!</v>
      </c>
    </row>
    <row r="97" spans="2:22" ht="15.75" customHeight="1" x14ac:dyDescent="0.45">
      <c r="B97" s="470">
        <v>8948852190</v>
      </c>
      <c r="C97" s="665" t="s">
        <v>963</v>
      </c>
      <c r="D97" s="42">
        <v>100</v>
      </c>
      <c r="E97" s="1">
        <v>112</v>
      </c>
      <c r="F97" s="700">
        <f>'e402-e801'!E97</f>
        <v>0</v>
      </c>
      <c r="G97" s="57">
        <f t="shared" si="12"/>
        <v>0</v>
      </c>
      <c r="H97" s="60">
        <f>(30*BC!$B$47/E97)</f>
        <v>0</v>
      </c>
      <c r="I97" s="701">
        <f t="shared" si="13"/>
        <v>0</v>
      </c>
      <c r="J97" s="701">
        <f t="shared" si="14"/>
        <v>0</v>
      </c>
      <c r="K97" s="216">
        <f t="shared" si="15"/>
        <v>0</v>
      </c>
      <c r="L97" s="702">
        <v>548</v>
      </c>
      <c r="M97" s="703">
        <f t="shared" si="16"/>
        <v>0</v>
      </c>
      <c r="N97" s="91" t="e">
        <f t="shared" si="17"/>
        <v>#DIV/0!</v>
      </c>
      <c r="O97" s="148" t="e">
        <f t="shared" si="18"/>
        <v>#DIV/0!</v>
      </c>
      <c r="P97" s="704">
        <f t="shared" si="19"/>
        <v>5.48</v>
      </c>
      <c r="Q97" s="705" t="e">
        <f>(P97+$M$262)+((BC!$F$125)/$F$112)</f>
        <v>#DIV/0!</v>
      </c>
      <c r="R97" s="149" t="e">
        <f t="shared" si="20"/>
        <v>#DIV/0!</v>
      </c>
      <c r="S97" s="393" t="e">
        <f t="shared" si="21"/>
        <v>#DIV/0!</v>
      </c>
      <c r="T97" s="393" t="e">
        <f t="shared" si="22"/>
        <v>#DIV/0!</v>
      </c>
    </row>
    <row r="98" spans="2:22" ht="15.75" customHeight="1" x14ac:dyDescent="0.45">
      <c r="B98" s="470">
        <v>8948909190</v>
      </c>
      <c r="C98" s="665" t="s">
        <v>964</v>
      </c>
      <c r="D98" s="42">
        <v>100</v>
      </c>
      <c r="E98" s="1">
        <v>112</v>
      </c>
      <c r="F98" s="700">
        <f>'e402-e801'!E98</f>
        <v>0</v>
      </c>
      <c r="G98" s="57">
        <f t="shared" si="12"/>
        <v>0</v>
      </c>
      <c r="H98" s="60">
        <f>(30*BC!$B$47/E98)</f>
        <v>0</v>
      </c>
      <c r="I98" s="701">
        <f t="shared" si="13"/>
        <v>0</v>
      </c>
      <c r="J98" s="701">
        <f t="shared" si="14"/>
        <v>0</v>
      </c>
      <c r="K98" s="216">
        <f t="shared" si="15"/>
        <v>0</v>
      </c>
      <c r="L98" s="702">
        <v>439</v>
      </c>
      <c r="M98" s="703">
        <f t="shared" si="16"/>
        <v>0</v>
      </c>
      <c r="N98" s="91" t="e">
        <f t="shared" si="17"/>
        <v>#DIV/0!</v>
      </c>
      <c r="O98" s="148" t="e">
        <f t="shared" si="18"/>
        <v>#DIV/0!</v>
      </c>
      <c r="P98" s="704">
        <f t="shared" si="19"/>
        <v>4.3899999999999997</v>
      </c>
      <c r="Q98" s="705" t="e">
        <f>(P98+$M$262)+((BC!$F$125)/$F$112)</f>
        <v>#DIV/0!</v>
      </c>
      <c r="R98" s="149" t="e">
        <f t="shared" si="20"/>
        <v>#DIV/0!</v>
      </c>
      <c r="S98" s="393" t="e">
        <f t="shared" si="21"/>
        <v>#DIV/0!</v>
      </c>
      <c r="T98" s="393" t="e">
        <f t="shared" si="22"/>
        <v>#DIV/0!</v>
      </c>
    </row>
    <row r="99" spans="2:22" ht="15.75" customHeight="1" x14ac:dyDescent="0.45">
      <c r="B99" s="470">
        <v>8355274190</v>
      </c>
      <c r="C99" s="666" t="s">
        <v>965</v>
      </c>
      <c r="D99" s="42">
        <v>300</v>
      </c>
      <c r="E99" s="1">
        <v>112</v>
      </c>
      <c r="F99" s="700">
        <f>'e402-e801'!E99</f>
        <v>0</v>
      </c>
      <c r="G99" s="57">
        <f t="shared" si="12"/>
        <v>0</v>
      </c>
      <c r="H99" s="60">
        <f>(30*BC!$B$47/E99)</f>
        <v>0</v>
      </c>
      <c r="I99" s="701">
        <f t="shared" si="13"/>
        <v>0</v>
      </c>
      <c r="J99" s="701">
        <f t="shared" si="14"/>
        <v>0</v>
      </c>
      <c r="K99" s="216">
        <f t="shared" si="15"/>
        <v>0</v>
      </c>
      <c r="L99" s="702">
        <v>2137</v>
      </c>
      <c r="M99" s="703">
        <f t="shared" si="16"/>
        <v>0</v>
      </c>
      <c r="N99" s="91" t="e">
        <f t="shared" si="17"/>
        <v>#DIV/0!</v>
      </c>
      <c r="O99" s="148" t="e">
        <f t="shared" si="18"/>
        <v>#DIV/0!</v>
      </c>
      <c r="P99" s="704">
        <f t="shared" si="19"/>
        <v>7.1233333333333331</v>
      </c>
      <c r="Q99" s="705" t="e">
        <f>(P99+$M$262)+((BC!$F$125)/$F$112)</f>
        <v>#DIV/0!</v>
      </c>
      <c r="R99" s="149" t="e">
        <f t="shared" si="20"/>
        <v>#DIV/0!</v>
      </c>
      <c r="S99" s="393" t="e">
        <f t="shared" si="21"/>
        <v>#DIV/0!</v>
      </c>
      <c r="T99" s="393" t="e">
        <f t="shared" si="22"/>
        <v>#DIV/0!</v>
      </c>
    </row>
    <row r="100" spans="2:22" ht="15.75" customHeight="1" x14ac:dyDescent="0.45">
      <c r="B100" s="470">
        <v>8355355190</v>
      </c>
      <c r="C100" s="666" t="s">
        <v>966</v>
      </c>
      <c r="D100" s="42">
        <v>300</v>
      </c>
      <c r="E100" s="1">
        <v>112</v>
      </c>
      <c r="F100" s="700">
        <f>'e402-e801'!E100</f>
        <v>0</v>
      </c>
      <c r="G100" s="57">
        <f t="shared" si="12"/>
        <v>0</v>
      </c>
      <c r="H100" s="60">
        <f>(30*BC!$B$47/E100)</f>
        <v>0</v>
      </c>
      <c r="I100" s="701">
        <f t="shared" si="13"/>
        <v>0</v>
      </c>
      <c r="J100" s="701">
        <f t="shared" si="14"/>
        <v>0</v>
      </c>
      <c r="K100" s="216">
        <f t="shared" si="15"/>
        <v>0</v>
      </c>
      <c r="L100" s="702">
        <v>1515</v>
      </c>
      <c r="M100" s="703">
        <f t="shared" si="16"/>
        <v>0</v>
      </c>
      <c r="N100" s="91" t="e">
        <f t="shared" si="17"/>
        <v>#DIV/0!</v>
      </c>
      <c r="O100" s="148" t="e">
        <f t="shared" si="18"/>
        <v>#DIV/0!</v>
      </c>
      <c r="P100" s="704">
        <f t="shared" si="19"/>
        <v>5.05</v>
      </c>
      <c r="Q100" s="705" t="e">
        <f>(P100+$M$262)+((BC!$F$125)/$F$112)</f>
        <v>#DIV/0!</v>
      </c>
      <c r="R100" s="149" t="e">
        <f t="shared" si="20"/>
        <v>#DIV/0!</v>
      </c>
      <c r="S100" s="393" t="e">
        <f t="shared" si="21"/>
        <v>#DIV/0!</v>
      </c>
      <c r="T100" s="393" t="e">
        <f t="shared" si="22"/>
        <v>#DIV/0!</v>
      </c>
    </row>
    <row r="101" spans="2:22" ht="15.75" customHeight="1" x14ac:dyDescent="0.45">
      <c r="B101" s="470">
        <v>8355380190</v>
      </c>
      <c r="C101" s="667" t="s">
        <v>967</v>
      </c>
      <c r="D101" s="42">
        <v>300</v>
      </c>
      <c r="E101" s="1">
        <v>112</v>
      </c>
      <c r="F101" s="700">
        <f>'e402-e801'!E101</f>
        <v>0</v>
      </c>
      <c r="G101" s="57">
        <f t="shared" si="12"/>
        <v>0</v>
      </c>
      <c r="H101" s="60">
        <f>(30*BC!$B$47/E101)</f>
        <v>0</v>
      </c>
      <c r="I101" s="701">
        <f t="shared" si="13"/>
        <v>0</v>
      </c>
      <c r="J101" s="701">
        <f t="shared" si="14"/>
        <v>0</v>
      </c>
      <c r="K101" s="216">
        <f t="shared" si="15"/>
        <v>0</v>
      </c>
      <c r="L101" s="702">
        <v>835</v>
      </c>
      <c r="M101" s="703">
        <f t="shared" si="16"/>
        <v>0</v>
      </c>
      <c r="N101" s="91" t="e">
        <f t="shared" si="17"/>
        <v>#DIV/0!</v>
      </c>
      <c r="O101" s="148" t="e">
        <f t="shared" si="18"/>
        <v>#DIV/0!</v>
      </c>
      <c r="P101" s="704">
        <f t="shared" si="19"/>
        <v>2.7833333333333332</v>
      </c>
      <c r="Q101" s="705" t="e">
        <f>(P101+$M$262)+((BC!$F$125)/$F$112)</f>
        <v>#DIV/0!</v>
      </c>
      <c r="R101" s="149" t="e">
        <f t="shared" si="20"/>
        <v>#DIV/0!</v>
      </c>
      <c r="S101" s="393" t="e">
        <f t="shared" si="21"/>
        <v>#DIV/0!</v>
      </c>
      <c r="T101" s="393" t="e">
        <f t="shared" si="22"/>
        <v>#DIV/0!</v>
      </c>
    </row>
    <row r="102" spans="2:22" ht="15.75" customHeight="1" x14ac:dyDescent="0.45">
      <c r="B102" s="470">
        <v>9015272190</v>
      </c>
      <c r="C102" s="668" t="s">
        <v>968</v>
      </c>
      <c r="D102" s="42">
        <v>300</v>
      </c>
      <c r="E102" s="1">
        <v>112</v>
      </c>
      <c r="F102" s="700">
        <f>'e402-e801'!E102</f>
        <v>0</v>
      </c>
      <c r="G102" s="57">
        <f t="shared" si="12"/>
        <v>0</v>
      </c>
      <c r="H102" s="60">
        <f>(30*BC!$B$47/E102)</f>
        <v>0</v>
      </c>
      <c r="I102" s="701">
        <f t="shared" si="13"/>
        <v>0</v>
      </c>
      <c r="J102" s="701">
        <f t="shared" si="14"/>
        <v>0</v>
      </c>
      <c r="K102" s="216">
        <f t="shared" si="15"/>
        <v>0</v>
      </c>
      <c r="L102" s="702">
        <v>984</v>
      </c>
      <c r="M102" s="703">
        <f t="shared" si="16"/>
        <v>0</v>
      </c>
      <c r="N102" s="91" t="e">
        <f t="shared" si="17"/>
        <v>#DIV/0!</v>
      </c>
      <c r="O102" s="148" t="e">
        <f t="shared" si="18"/>
        <v>#DIV/0!</v>
      </c>
      <c r="P102" s="704">
        <f t="shared" si="19"/>
        <v>3.28</v>
      </c>
      <c r="Q102" s="705" t="e">
        <f>(P102+$M$262)+((BC!$F$125)/$F$112)</f>
        <v>#DIV/0!</v>
      </c>
      <c r="R102" s="149" t="e">
        <f t="shared" si="20"/>
        <v>#DIV/0!</v>
      </c>
      <c r="S102" s="393" t="e">
        <f t="shared" si="21"/>
        <v>#DIV/0!</v>
      </c>
      <c r="T102" s="393" t="e">
        <f t="shared" si="22"/>
        <v>#DIV/0!</v>
      </c>
    </row>
    <row r="103" spans="2:22" ht="15.75" customHeight="1" x14ac:dyDescent="0.45">
      <c r="B103" s="470">
        <v>9015051190</v>
      </c>
      <c r="C103" s="669" t="s">
        <v>969</v>
      </c>
      <c r="D103" s="42">
        <v>300</v>
      </c>
      <c r="E103" s="1">
        <v>112</v>
      </c>
      <c r="F103" s="700">
        <f>'e402-e801'!E103</f>
        <v>0</v>
      </c>
      <c r="G103" s="57">
        <f t="shared" si="12"/>
        <v>0</v>
      </c>
      <c r="H103" s="60">
        <f>(30*BC!$B$47/E103)</f>
        <v>0</v>
      </c>
      <c r="I103" s="701">
        <f t="shared" si="13"/>
        <v>0</v>
      </c>
      <c r="J103" s="701">
        <f t="shared" si="14"/>
        <v>0</v>
      </c>
      <c r="K103" s="216">
        <f t="shared" si="15"/>
        <v>0</v>
      </c>
      <c r="L103" s="702">
        <v>897</v>
      </c>
      <c r="M103" s="703">
        <f t="shared" si="16"/>
        <v>0</v>
      </c>
      <c r="N103" s="91" t="e">
        <f t="shared" si="17"/>
        <v>#DIV/0!</v>
      </c>
      <c r="O103" s="148" t="e">
        <f t="shared" si="18"/>
        <v>#DIV/0!</v>
      </c>
      <c r="P103" s="704">
        <f t="shared" si="19"/>
        <v>2.99</v>
      </c>
      <c r="Q103" s="705" t="e">
        <f>(P103+$M$262)+((BC!$F$125)/$F$112)</f>
        <v>#DIV/0!</v>
      </c>
      <c r="R103" s="149" t="e">
        <f t="shared" si="20"/>
        <v>#DIV/0!</v>
      </c>
      <c r="S103" s="393" t="e">
        <f t="shared" si="21"/>
        <v>#DIV/0!</v>
      </c>
      <c r="T103" s="393" t="e">
        <f t="shared" si="22"/>
        <v>#DIV/0!</v>
      </c>
    </row>
    <row r="104" spans="2:22" ht="15.75" customHeight="1" x14ac:dyDescent="0.45">
      <c r="B104" s="470">
        <v>9015582190</v>
      </c>
      <c r="C104" s="670" t="s">
        <v>970</v>
      </c>
      <c r="D104" s="42">
        <v>300</v>
      </c>
      <c r="E104" s="1">
        <v>112</v>
      </c>
      <c r="F104" s="700">
        <f>'e402-e801'!E104</f>
        <v>0</v>
      </c>
      <c r="G104" s="57">
        <f t="shared" si="12"/>
        <v>0</v>
      </c>
      <c r="H104" s="60">
        <f>(30*BC!$B$47/E104)</f>
        <v>0</v>
      </c>
      <c r="I104" s="701">
        <f t="shared" si="13"/>
        <v>0</v>
      </c>
      <c r="J104" s="701">
        <f t="shared" si="14"/>
        <v>0</v>
      </c>
      <c r="K104" s="216">
        <f t="shared" si="15"/>
        <v>0</v>
      </c>
      <c r="L104" s="702">
        <v>894</v>
      </c>
      <c r="M104" s="703">
        <f t="shared" si="16"/>
        <v>0</v>
      </c>
      <c r="N104" s="91" t="e">
        <f t="shared" si="17"/>
        <v>#DIV/0!</v>
      </c>
      <c r="O104" s="148" t="e">
        <f t="shared" si="18"/>
        <v>#DIV/0!</v>
      </c>
      <c r="P104" s="704">
        <f t="shared" si="19"/>
        <v>2.98</v>
      </c>
      <c r="Q104" s="705" t="e">
        <f>(P104+$M$262)+((BC!$F$125)/$F$112)</f>
        <v>#DIV/0!</v>
      </c>
      <c r="R104" s="149" t="e">
        <f t="shared" si="20"/>
        <v>#DIV/0!</v>
      </c>
      <c r="S104" s="393" t="e">
        <f t="shared" si="21"/>
        <v>#DIV/0!</v>
      </c>
      <c r="T104" s="393" t="e">
        <f t="shared" si="22"/>
        <v>#DIV/0!</v>
      </c>
    </row>
    <row r="105" spans="2:22" ht="15.75" customHeight="1" x14ac:dyDescent="0.45">
      <c r="B105" s="470">
        <v>9203079190</v>
      </c>
      <c r="C105" s="671" t="s">
        <v>971</v>
      </c>
      <c r="D105" s="42">
        <v>300</v>
      </c>
      <c r="E105" s="1">
        <v>30</v>
      </c>
      <c r="F105" s="700">
        <f>'e402-e801'!E105</f>
        <v>0</v>
      </c>
      <c r="G105" s="57">
        <f t="shared" si="12"/>
        <v>0</v>
      </c>
      <c r="H105" s="60">
        <f>(30*BC!$B$47/E105)</f>
        <v>0</v>
      </c>
      <c r="I105" s="701">
        <f t="shared" si="13"/>
        <v>0</v>
      </c>
      <c r="J105" s="701">
        <f t="shared" si="14"/>
        <v>0</v>
      </c>
      <c r="K105" s="216">
        <f t="shared" si="15"/>
        <v>0</v>
      </c>
      <c r="L105" s="702">
        <v>468</v>
      </c>
      <c r="M105" s="703">
        <f t="shared" si="16"/>
        <v>0</v>
      </c>
      <c r="N105" s="91" t="e">
        <f t="shared" si="17"/>
        <v>#DIV/0!</v>
      </c>
      <c r="O105" s="148" t="e">
        <f t="shared" si="18"/>
        <v>#DIV/0!</v>
      </c>
      <c r="P105" s="704">
        <f t="shared" si="19"/>
        <v>1.56</v>
      </c>
      <c r="Q105" s="705" t="e">
        <f>(P105+$M$262)+((BC!$F$125)/$F$112)</f>
        <v>#DIV/0!</v>
      </c>
      <c r="R105" s="149" t="e">
        <f t="shared" si="20"/>
        <v>#DIV/0!</v>
      </c>
      <c r="S105" s="393" t="e">
        <f t="shared" si="21"/>
        <v>#DIV/0!</v>
      </c>
      <c r="T105" s="393" t="e">
        <f t="shared" si="22"/>
        <v>#DIV/0!</v>
      </c>
    </row>
    <row r="106" spans="2:22" ht="15.75" customHeight="1" x14ac:dyDescent="0.45">
      <c r="B106" s="470">
        <v>9289275190</v>
      </c>
      <c r="C106" s="672" t="s">
        <v>972</v>
      </c>
      <c r="D106" s="42">
        <v>300</v>
      </c>
      <c r="E106" s="1">
        <v>112</v>
      </c>
      <c r="F106" s="700">
        <f>'e402-e801'!E106</f>
        <v>0</v>
      </c>
      <c r="G106" s="57">
        <f t="shared" si="12"/>
        <v>0</v>
      </c>
      <c r="H106" s="60">
        <f>(30*BC!$B$47/E106)</f>
        <v>0</v>
      </c>
      <c r="I106" s="701">
        <f t="shared" si="13"/>
        <v>0</v>
      </c>
      <c r="J106" s="701">
        <f t="shared" si="14"/>
        <v>0</v>
      </c>
      <c r="K106" s="216">
        <f t="shared" si="15"/>
        <v>0</v>
      </c>
      <c r="L106" s="702">
        <v>1659</v>
      </c>
      <c r="M106" s="703">
        <f t="shared" si="16"/>
        <v>0</v>
      </c>
      <c r="N106" s="91" t="e">
        <f t="shared" si="17"/>
        <v>#DIV/0!</v>
      </c>
      <c r="O106" s="148" t="e">
        <f t="shared" si="18"/>
        <v>#DIV/0!</v>
      </c>
      <c r="P106" s="704">
        <f t="shared" si="19"/>
        <v>5.53</v>
      </c>
      <c r="Q106" s="705" t="e">
        <f>(P106+$M$262)+((BC!$F$125)/$F$112)</f>
        <v>#DIV/0!</v>
      </c>
      <c r="R106" s="149" t="e">
        <f t="shared" si="20"/>
        <v>#DIV/0!</v>
      </c>
      <c r="S106" s="393" t="e">
        <f t="shared" si="21"/>
        <v>#DIV/0!</v>
      </c>
      <c r="T106" s="393" t="e">
        <f t="shared" si="22"/>
        <v>#DIV/0!</v>
      </c>
    </row>
    <row r="107" spans="2:22" ht="15.75" customHeight="1" x14ac:dyDescent="0.45">
      <c r="B107" s="470">
        <v>9345299190</v>
      </c>
      <c r="C107" s="674" t="s">
        <v>973</v>
      </c>
      <c r="D107" s="42">
        <v>300</v>
      </c>
      <c r="E107" s="1"/>
      <c r="F107" s="700">
        <f>'e402-e801'!E107</f>
        <v>0</v>
      </c>
      <c r="G107" s="57">
        <f t="shared" si="12"/>
        <v>0</v>
      </c>
      <c r="H107" s="60" t="e">
        <f>(30*BC!$B$47/E107)</f>
        <v>#DIV/0!</v>
      </c>
      <c r="I107" s="701" t="e">
        <f t="shared" si="13"/>
        <v>#DIV/0!</v>
      </c>
      <c r="J107" s="701">
        <f t="shared" si="14"/>
        <v>0</v>
      </c>
      <c r="K107" s="216">
        <f t="shared" si="15"/>
        <v>0</v>
      </c>
      <c r="L107" s="692"/>
      <c r="M107" s="703">
        <f t="shared" si="16"/>
        <v>0</v>
      </c>
      <c r="N107" s="91" t="e">
        <f t="shared" si="17"/>
        <v>#DIV/0!</v>
      </c>
      <c r="O107" s="148" t="e">
        <f t="shared" si="18"/>
        <v>#DIV/0!</v>
      </c>
      <c r="P107" s="704">
        <f t="shared" si="19"/>
        <v>0</v>
      </c>
      <c r="Q107" s="705" t="e">
        <f>(P107+$M$262)+((BC!$F$125)/$F$112)</f>
        <v>#DIV/0!</v>
      </c>
      <c r="R107" s="149" t="e">
        <f t="shared" si="20"/>
        <v>#DIV/0!</v>
      </c>
      <c r="S107" s="393" t="e">
        <f t="shared" si="21"/>
        <v>#DIV/0!</v>
      </c>
      <c r="T107" s="393" t="e">
        <f t="shared" si="22"/>
        <v>#DIV/0!</v>
      </c>
    </row>
    <row r="108" spans="2:22" ht="15.75" customHeight="1" x14ac:dyDescent="0.45">
      <c r="B108" s="676">
        <v>7251246190</v>
      </c>
      <c r="C108" s="676" t="s">
        <v>974</v>
      </c>
      <c r="D108" s="42">
        <v>300</v>
      </c>
      <c r="E108" s="1"/>
      <c r="F108" s="700">
        <f>'e402-e801'!E108</f>
        <v>0</v>
      </c>
      <c r="G108" s="57">
        <f t="shared" si="12"/>
        <v>0</v>
      </c>
      <c r="H108" s="60" t="e">
        <f>(30*BC!$B$47/E108)</f>
        <v>#DIV/0!</v>
      </c>
      <c r="I108" s="701" t="e">
        <f t="shared" si="13"/>
        <v>#DIV/0!</v>
      </c>
      <c r="J108" s="701">
        <f t="shared" si="14"/>
        <v>0</v>
      </c>
      <c r="K108" s="216">
        <f t="shared" si="15"/>
        <v>0</v>
      </c>
      <c r="L108" s="702">
        <v>2997</v>
      </c>
      <c r="M108" s="703">
        <f t="shared" si="16"/>
        <v>0</v>
      </c>
      <c r="N108" s="91" t="e">
        <f t="shared" si="17"/>
        <v>#DIV/0!</v>
      </c>
      <c r="O108" s="148" t="e">
        <f t="shared" si="18"/>
        <v>#DIV/0!</v>
      </c>
      <c r="P108" s="704">
        <f t="shared" si="19"/>
        <v>9.99</v>
      </c>
      <c r="Q108" s="705" t="e">
        <f>(P108+$M$262)+((BC!$F$125)/$F$112)</f>
        <v>#DIV/0!</v>
      </c>
      <c r="R108" s="149" t="e">
        <f t="shared" si="20"/>
        <v>#DIV/0!</v>
      </c>
      <c r="S108" s="393" t="e">
        <f t="shared" si="21"/>
        <v>#DIV/0!</v>
      </c>
      <c r="T108" s="393" t="e">
        <f t="shared" si="22"/>
        <v>#DIV/0!</v>
      </c>
    </row>
    <row r="109" spans="2:22" ht="15.75" customHeight="1" x14ac:dyDescent="0.45">
      <c r="B109" s="676">
        <v>7027257190</v>
      </c>
      <c r="C109" s="677" t="s">
        <v>975</v>
      </c>
      <c r="D109" s="42">
        <v>100</v>
      </c>
      <c r="E109" s="1"/>
      <c r="F109" s="700">
        <f>'e402-e801'!E109</f>
        <v>0</v>
      </c>
      <c r="G109" s="57">
        <f t="shared" si="12"/>
        <v>0</v>
      </c>
      <c r="H109" s="60" t="e">
        <f>(30*BC!$B$47/E109)</f>
        <v>#DIV/0!</v>
      </c>
      <c r="I109" s="701" t="e">
        <f t="shared" si="13"/>
        <v>#DIV/0!</v>
      </c>
      <c r="J109" s="701">
        <f t="shared" si="14"/>
        <v>0</v>
      </c>
      <c r="K109" s="216">
        <f t="shared" si="15"/>
        <v>0</v>
      </c>
      <c r="L109" s="702">
        <v>1143</v>
      </c>
      <c r="M109" s="703">
        <f t="shared" si="16"/>
        <v>0</v>
      </c>
      <c r="N109" s="91" t="e">
        <f t="shared" si="17"/>
        <v>#DIV/0!</v>
      </c>
      <c r="O109" s="148" t="e">
        <f t="shared" si="18"/>
        <v>#DIV/0!</v>
      </c>
      <c r="P109" s="704">
        <f t="shared" si="19"/>
        <v>11.43</v>
      </c>
      <c r="Q109" s="705" t="e">
        <f>(P109+$M$262)+((BC!$F$125)/$F$112)</f>
        <v>#DIV/0!</v>
      </c>
      <c r="R109" s="149" t="e">
        <f t="shared" si="20"/>
        <v>#DIV/0!</v>
      </c>
      <c r="S109" s="393" t="e">
        <f t="shared" si="21"/>
        <v>#DIV/0!</v>
      </c>
      <c r="T109" s="393" t="e">
        <f t="shared" si="22"/>
        <v>#DIV/0!</v>
      </c>
    </row>
    <row r="110" spans="2:22" ht="15.75" customHeight="1" x14ac:dyDescent="0.45">
      <c r="B110" s="676">
        <v>7027834190</v>
      </c>
      <c r="C110" s="676" t="s">
        <v>976</v>
      </c>
      <c r="D110" s="42">
        <v>100</v>
      </c>
      <c r="E110" s="1"/>
      <c r="F110" s="700">
        <f>'e402-e801'!E110</f>
        <v>0</v>
      </c>
      <c r="G110" s="57">
        <f t="shared" si="12"/>
        <v>0</v>
      </c>
      <c r="H110" s="60" t="e">
        <f>(30*BC!$B$47/E110)</f>
        <v>#DIV/0!</v>
      </c>
      <c r="I110" s="701" t="e">
        <f t="shared" si="13"/>
        <v>#DIV/0!</v>
      </c>
      <c r="J110" s="701">
        <f t="shared" si="14"/>
        <v>0</v>
      </c>
      <c r="K110" s="216">
        <f t="shared" si="15"/>
        <v>0</v>
      </c>
      <c r="L110" s="702">
        <v>1152</v>
      </c>
      <c r="M110" s="703">
        <f t="shared" si="16"/>
        <v>0</v>
      </c>
      <c r="N110" s="91" t="e">
        <f t="shared" si="17"/>
        <v>#DIV/0!</v>
      </c>
      <c r="O110" s="148" t="e">
        <f t="shared" si="18"/>
        <v>#DIV/0!</v>
      </c>
      <c r="P110" s="704">
        <f t="shared" si="19"/>
        <v>11.52</v>
      </c>
      <c r="Q110" s="705" t="e">
        <f>(P110+$M$262)+((BC!$F$125)/$F$112)</f>
        <v>#DIV/0!</v>
      </c>
      <c r="R110" s="149" t="e">
        <f t="shared" si="20"/>
        <v>#DIV/0!</v>
      </c>
      <c r="S110" s="393" t="e">
        <f t="shared" si="21"/>
        <v>#DIV/0!</v>
      </c>
      <c r="T110" s="393" t="e">
        <f t="shared" si="22"/>
        <v>#DIV/0!</v>
      </c>
    </row>
    <row r="111" spans="2:22" ht="15.75" customHeight="1" x14ac:dyDescent="0.45">
      <c r="B111" s="676">
        <v>7251254190</v>
      </c>
      <c r="C111" s="676" t="s">
        <v>977</v>
      </c>
      <c r="D111" s="42">
        <v>300</v>
      </c>
      <c r="E111" s="1"/>
      <c r="F111" s="700">
        <f>'e402-e801'!E111</f>
        <v>0</v>
      </c>
      <c r="G111" s="57">
        <f t="shared" si="12"/>
        <v>0</v>
      </c>
      <c r="H111" s="60" t="e">
        <f>(30*BC!$B$47/E111)</f>
        <v>#DIV/0!</v>
      </c>
      <c r="I111" s="701" t="e">
        <f t="shared" si="13"/>
        <v>#DIV/0!</v>
      </c>
      <c r="J111" s="701">
        <f t="shared" si="14"/>
        <v>0</v>
      </c>
      <c r="K111" s="216">
        <f t="shared" si="15"/>
        <v>0</v>
      </c>
      <c r="L111" s="702">
        <v>3579</v>
      </c>
      <c r="M111" s="703">
        <f t="shared" si="16"/>
        <v>0</v>
      </c>
      <c r="N111" s="91" t="e">
        <f t="shared" si="17"/>
        <v>#DIV/0!</v>
      </c>
      <c r="O111" s="148" t="e">
        <f t="shared" si="18"/>
        <v>#DIV/0!</v>
      </c>
      <c r="P111" s="704">
        <f t="shared" si="19"/>
        <v>11.93</v>
      </c>
      <c r="Q111" s="705" t="e">
        <f>(P111+$M$262)+((BC!$F$125)/$F$112)</f>
        <v>#DIV/0!</v>
      </c>
      <c r="R111" s="149" t="e">
        <f t="shared" si="20"/>
        <v>#DIV/0!</v>
      </c>
      <c r="S111" s="393" t="e">
        <f t="shared" si="21"/>
        <v>#DIV/0!</v>
      </c>
      <c r="T111" s="393" t="e">
        <f t="shared" si="22"/>
        <v>#DIV/0!</v>
      </c>
    </row>
    <row r="112" spans="2:22" x14ac:dyDescent="0.35">
      <c r="B112" s="187"/>
      <c r="C112" s="187"/>
      <c r="D112" s="188"/>
      <c r="E112" s="486" t="s">
        <v>19</v>
      </c>
      <c r="F112" s="487">
        <f>SUM(F9:F111)</f>
        <v>0</v>
      </c>
      <c r="G112" s="487"/>
      <c r="H112" s="190"/>
      <c r="I112" s="511"/>
      <c r="J112" s="511"/>
      <c r="K112" s="511"/>
      <c r="L112" s="190"/>
      <c r="M112" s="252">
        <f>SUM(M9:M111)</f>
        <v>0</v>
      </c>
      <c r="N112" s="252"/>
      <c r="O112" s="252" t="e">
        <f>SUM(O9:O111)</f>
        <v>#DIV/0!</v>
      </c>
      <c r="P112" s="190"/>
      <c r="Q112" s="190"/>
      <c r="R112" s="24"/>
      <c r="S112" s="24"/>
      <c r="T112" s="24"/>
      <c r="U112" s="24"/>
      <c r="V112" s="24"/>
    </row>
    <row r="113" spans="2:17" ht="21" x14ac:dyDescent="0.35">
      <c r="B113" s="587" t="s">
        <v>255</v>
      </c>
      <c r="C113" s="588"/>
      <c r="D113" s="589" t="s">
        <v>1082</v>
      </c>
      <c r="E113" s="698" t="s">
        <v>54</v>
      </c>
      <c r="F113" s="481"/>
      <c r="G113" s="482" t="s">
        <v>53</v>
      </c>
      <c r="H113" s="512" t="s">
        <v>52</v>
      </c>
      <c r="I113" s="512" t="s">
        <v>51</v>
      </c>
      <c r="J113" s="512"/>
      <c r="K113" s="482" t="s">
        <v>50</v>
      </c>
      <c r="L113" s="513" t="s">
        <v>49</v>
      </c>
      <c r="M113" s="482" t="s">
        <v>48</v>
      </c>
      <c r="N113" s="92" t="s">
        <v>176</v>
      </c>
      <c r="O113" s="482"/>
      <c r="P113" s="483" t="s">
        <v>318</v>
      </c>
      <c r="Q113" s="483" t="s">
        <v>319</v>
      </c>
    </row>
    <row r="114" spans="2:17" ht="15.75" customHeight="1" x14ac:dyDescent="0.45">
      <c r="B114" s="471">
        <v>8443459190</v>
      </c>
      <c r="C114" s="471" t="s">
        <v>577</v>
      </c>
      <c r="D114" s="42">
        <v>2</v>
      </c>
      <c r="E114" s="1">
        <v>84</v>
      </c>
      <c r="F114" s="1"/>
      <c r="G114" s="706">
        <f>(F9/(0.014*100)/2000)</f>
        <v>0</v>
      </c>
      <c r="H114" s="60">
        <f>(30*BC!$B$47/E114)</f>
        <v>0</v>
      </c>
      <c r="I114" s="701">
        <f>IF(H114&gt;G114,H114,G114)</f>
        <v>0</v>
      </c>
      <c r="J114" s="701">
        <f t="shared" ref="J114:J177" si="23">IF(G114=0,0,I114)</f>
        <v>0</v>
      </c>
      <c r="K114" s="216">
        <f t="shared" ref="K114:K177" si="24">ROUNDUP(J114,0)</f>
        <v>0</v>
      </c>
      <c r="L114" s="367">
        <v>73</v>
      </c>
      <c r="M114" s="148">
        <f>((L114/D114)*K114)</f>
        <v>0</v>
      </c>
      <c r="N114" s="91" t="e">
        <f t="shared" ref="N114:N177" si="25">((L114*$K$264)+L114)</f>
        <v>#DIV/0!</v>
      </c>
      <c r="O114" s="148"/>
      <c r="P114" s="57">
        <f>K114/D114</f>
        <v>0</v>
      </c>
      <c r="Q114" s="57">
        <f>ROUNDUP(P114,0)</f>
        <v>0</v>
      </c>
    </row>
    <row r="115" spans="2:17" ht="15.75" customHeight="1" x14ac:dyDescent="0.45">
      <c r="B115" s="471">
        <v>11731548122</v>
      </c>
      <c r="C115" s="471" t="s">
        <v>978</v>
      </c>
      <c r="D115" s="42">
        <v>2</v>
      </c>
      <c r="E115" s="1">
        <v>84</v>
      </c>
      <c r="F115" s="1"/>
      <c r="G115" s="1">
        <f>(F10/(0.003*100)/2000)</f>
        <v>0</v>
      </c>
      <c r="H115" s="60">
        <f>(30*BC!$B$47/E115)</f>
        <v>0</v>
      </c>
      <c r="I115" s="701">
        <f t="shared" ref="I115:I178" si="26">IF(H115&gt;G115,H115,G115)</f>
        <v>0</v>
      </c>
      <c r="J115" s="701">
        <f t="shared" si="23"/>
        <v>0</v>
      </c>
      <c r="K115" s="216">
        <f t="shared" si="24"/>
        <v>0</v>
      </c>
      <c r="L115" s="367">
        <v>189</v>
      </c>
      <c r="M115" s="148">
        <f t="shared" ref="M115:M178" si="27">((L115/D115)*K115)</f>
        <v>0</v>
      </c>
      <c r="N115" s="91" t="e">
        <f t="shared" si="25"/>
        <v>#DIV/0!</v>
      </c>
      <c r="O115" s="148"/>
      <c r="P115" s="57">
        <f t="shared" ref="P115:P178" si="28">K115/D115</f>
        <v>0</v>
      </c>
      <c r="Q115" s="57">
        <f t="shared" ref="Q115:Q178" si="29">ROUNDUP(P115,0)</f>
        <v>0</v>
      </c>
    </row>
    <row r="116" spans="2:17" ht="15.75" customHeight="1" x14ac:dyDescent="0.45">
      <c r="B116" s="471">
        <v>12017717122</v>
      </c>
      <c r="C116" s="471" t="s">
        <v>979</v>
      </c>
      <c r="D116" s="42">
        <v>2</v>
      </c>
      <c r="E116" s="1">
        <v>84</v>
      </c>
      <c r="F116" s="1"/>
      <c r="G116" s="1">
        <f>(F11/(0.003*100)/2000)</f>
        <v>0</v>
      </c>
      <c r="H116" s="60">
        <f>(30*BC!$B$47/E116)</f>
        <v>0</v>
      </c>
      <c r="I116" s="701">
        <f t="shared" si="26"/>
        <v>0</v>
      </c>
      <c r="J116" s="701">
        <f t="shared" si="23"/>
        <v>0</v>
      </c>
      <c r="K116" s="216">
        <f t="shared" si="24"/>
        <v>0</v>
      </c>
      <c r="L116" s="367">
        <v>189</v>
      </c>
      <c r="M116" s="148">
        <f t="shared" si="27"/>
        <v>0</v>
      </c>
      <c r="N116" s="91" t="e">
        <f t="shared" si="25"/>
        <v>#DIV/0!</v>
      </c>
      <c r="O116" s="148"/>
      <c r="P116" s="57">
        <f t="shared" si="28"/>
        <v>0</v>
      </c>
      <c r="Q116" s="57">
        <f t="shared" si="29"/>
        <v>0</v>
      </c>
    </row>
    <row r="117" spans="2:17" ht="15.75" customHeight="1" x14ac:dyDescent="0.45">
      <c r="B117" s="471">
        <v>9077871190</v>
      </c>
      <c r="C117" s="471" t="s">
        <v>980</v>
      </c>
      <c r="D117" s="42">
        <v>2</v>
      </c>
      <c r="E117" s="1">
        <v>56</v>
      </c>
      <c r="F117" s="1"/>
      <c r="G117" s="1">
        <f>(F12/(0.003*100)/2000)</f>
        <v>0</v>
      </c>
      <c r="H117" s="60">
        <f>(30*BC!$B$47/E117)</f>
        <v>0</v>
      </c>
      <c r="I117" s="701">
        <f t="shared" si="26"/>
        <v>0</v>
      </c>
      <c r="J117" s="701">
        <f t="shared" si="23"/>
        <v>0</v>
      </c>
      <c r="K117" s="216">
        <f t="shared" si="24"/>
        <v>0</v>
      </c>
      <c r="L117" s="367">
        <v>93</v>
      </c>
      <c r="M117" s="148">
        <f t="shared" si="27"/>
        <v>0</v>
      </c>
      <c r="N117" s="91" t="e">
        <f t="shared" si="25"/>
        <v>#DIV/0!</v>
      </c>
      <c r="O117" s="148"/>
      <c r="P117" s="57">
        <f t="shared" si="28"/>
        <v>0</v>
      </c>
      <c r="Q117" s="57">
        <f t="shared" si="29"/>
        <v>0</v>
      </c>
    </row>
    <row r="118" spans="2:17" ht="15.75" customHeight="1" x14ac:dyDescent="0.45">
      <c r="B118" s="471">
        <v>9043292190</v>
      </c>
      <c r="C118" s="471" t="s">
        <v>981</v>
      </c>
      <c r="D118" s="42">
        <v>2</v>
      </c>
      <c r="E118" s="1">
        <v>84</v>
      </c>
      <c r="F118" s="1"/>
      <c r="G118" s="1">
        <f>(F13/(0.004*100)/2000)</f>
        <v>0</v>
      </c>
      <c r="H118" s="60">
        <f>(30*BC!$B$47/E118)</f>
        <v>0</v>
      </c>
      <c r="I118" s="701">
        <f t="shared" si="26"/>
        <v>0</v>
      </c>
      <c r="J118" s="701">
        <f t="shared" si="23"/>
        <v>0</v>
      </c>
      <c r="K118" s="216">
        <f t="shared" si="24"/>
        <v>0</v>
      </c>
      <c r="L118" s="367">
        <v>192</v>
      </c>
      <c r="M118" s="148">
        <f t="shared" si="27"/>
        <v>0</v>
      </c>
      <c r="N118" s="91" t="e">
        <f t="shared" si="25"/>
        <v>#DIV/0!</v>
      </c>
      <c r="O118" s="148"/>
      <c r="P118" s="57">
        <f t="shared" si="28"/>
        <v>0</v>
      </c>
      <c r="Q118" s="57">
        <f t="shared" si="29"/>
        <v>0</v>
      </c>
    </row>
    <row r="119" spans="2:17" ht="15.75" customHeight="1" x14ac:dyDescent="0.45">
      <c r="B119" s="471">
        <v>8991405190</v>
      </c>
      <c r="C119" s="471" t="s">
        <v>982</v>
      </c>
      <c r="D119" s="42">
        <v>2</v>
      </c>
      <c r="E119" s="1">
        <v>93</v>
      </c>
      <c r="F119" s="1"/>
      <c r="G119" s="1">
        <f>(F14/(0.0007*100)/2000)</f>
        <v>0</v>
      </c>
      <c r="H119" s="60">
        <f>(30*BC!$B$47/E119)</f>
        <v>0</v>
      </c>
      <c r="I119" s="701">
        <f t="shared" si="26"/>
        <v>0</v>
      </c>
      <c r="J119" s="701">
        <f t="shared" si="23"/>
        <v>0</v>
      </c>
      <c r="K119" s="216">
        <f t="shared" si="24"/>
        <v>0</v>
      </c>
      <c r="L119" s="367">
        <v>76</v>
      </c>
      <c r="M119" s="148">
        <f t="shared" si="27"/>
        <v>0</v>
      </c>
      <c r="N119" s="91" t="e">
        <f t="shared" si="25"/>
        <v>#DIV/0!</v>
      </c>
      <c r="O119" s="148"/>
      <c r="P119" s="57">
        <f t="shared" si="28"/>
        <v>0</v>
      </c>
      <c r="Q119" s="57">
        <f t="shared" si="29"/>
        <v>0</v>
      </c>
    </row>
    <row r="120" spans="2:17" ht="15.75" customHeight="1" x14ac:dyDescent="0.45">
      <c r="B120" s="471">
        <v>6472931190</v>
      </c>
      <c r="C120" s="471" t="s">
        <v>983</v>
      </c>
      <c r="D120" s="42">
        <v>2</v>
      </c>
      <c r="E120" s="1">
        <v>56</v>
      </c>
      <c r="F120" s="1"/>
      <c r="G120" s="1">
        <f>(F15/(0.0005*100)/2000)</f>
        <v>0</v>
      </c>
      <c r="H120" s="60">
        <f>(30*BC!$B$47/E120)</f>
        <v>0</v>
      </c>
      <c r="I120" s="701">
        <f t="shared" si="26"/>
        <v>0</v>
      </c>
      <c r="J120" s="701">
        <f t="shared" si="23"/>
        <v>0</v>
      </c>
      <c r="K120" s="216">
        <f t="shared" si="24"/>
        <v>0</v>
      </c>
      <c r="L120" s="367">
        <v>222</v>
      </c>
      <c r="M120" s="148">
        <f t="shared" si="27"/>
        <v>0</v>
      </c>
      <c r="N120" s="91" t="e">
        <f t="shared" si="25"/>
        <v>#DIV/0!</v>
      </c>
      <c r="O120" s="148"/>
      <c r="P120" s="57">
        <f t="shared" si="28"/>
        <v>0</v>
      </c>
      <c r="Q120" s="57">
        <f t="shared" si="29"/>
        <v>0</v>
      </c>
    </row>
    <row r="121" spans="2:17" ht="15.75" customHeight="1" x14ac:dyDescent="0.45">
      <c r="B121" s="471">
        <v>9005030190</v>
      </c>
      <c r="C121" s="471" t="s">
        <v>984</v>
      </c>
      <c r="D121" s="42">
        <v>2</v>
      </c>
      <c r="E121" s="1">
        <v>42</v>
      </c>
      <c r="F121" s="1"/>
      <c r="G121" s="1">
        <f>(F16/(0.0005*150)/2000)</f>
        <v>0</v>
      </c>
      <c r="H121" s="60">
        <f>(30*BC!$B$47/E121)</f>
        <v>0</v>
      </c>
      <c r="I121" s="701">
        <f t="shared" si="26"/>
        <v>0</v>
      </c>
      <c r="J121" s="701">
        <f t="shared" si="23"/>
        <v>0</v>
      </c>
      <c r="K121" s="216">
        <f t="shared" si="24"/>
        <v>0</v>
      </c>
      <c r="L121" s="367">
        <v>115</v>
      </c>
      <c r="M121" s="148">
        <f t="shared" si="27"/>
        <v>0</v>
      </c>
      <c r="N121" s="91" t="e">
        <f t="shared" si="25"/>
        <v>#DIV/0!</v>
      </c>
      <c r="O121" s="148"/>
      <c r="P121" s="57">
        <f t="shared" si="28"/>
        <v>0</v>
      </c>
      <c r="Q121" s="57">
        <f t="shared" si="29"/>
        <v>0</v>
      </c>
    </row>
    <row r="122" spans="2:17" ht="15.75" customHeight="1" x14ac:dyDescent="0.45">
      <c r="B122" s="471">
        <v>8496641190</v>
      </c>
      <c r="C122" s="471" t="s">
        <v>985</v>
      </c>
      <c r="D122" s="42">
        <v>2</v>
      </c>
      <c r="E122" s="1">
        <v>84</v>
      </c>
      <c r="F122" s="1"/>
      <c r="G122" s="1">
        <f>(F17/(0.0005*100)/2000)</f>
        <v>0</v>
      </c>
      <c r="H122" s="60">
        <f>(30*BC!$B$47/E122)</f>
        <v>0</v>
      </c>
      <c r="I122" s="701">
        <f t="shared" si="26"/>
        <v>0</v>
      </c>
      <c r="J122" s="701">
        <f t="shared" si="23"/>
        <v>0</v>
      </c>
      <c r="K122" s="216">
        <f t="shared" si="24"/>
        <v>0</v>
      </c>
      <c r="L122" s="367">
        <v>178</v>
      </c>
      <c r="M122" s="148">
        <f t="shared" si="27"/>
        <v>0</v>
      </c>
      <c r="N122" s="91" t="e">
        <f t="shared" si="25"/>
        <v>#DIV/0!</v>
      </c>
      <c r="O122" s="148"/>
      <c r="P122" s="57">
        <f t="shared" si="28"/>
        <v>0</v>
      </c>
      <c r="Q122" s="57">
        <f t="shared" si="29"/>
        <v>0</v>
      </c>
    </row>
    <row r="123" spans="2:17" ht="15.75" customHeight="1" x14ac:dyDescent="0.45">
      <c r="B123" s="471">
        <v>9557423190</v>
      </c>
      <c r="C123" s="471" t="s">
        <v>986</v>
      </c>
      <c r="D123" s="42">
        <v>2</v>
      </c>
      <c r="E123" s="1">
        <v>84</v>
      </c>
      <c r="F123" s="1"/>
      <c r="G123" s="1">
        <f>(F18/(0.0012*100)/2000)</f>
        <v>0</v>
      </c>
      <c r="H123" s="60">
        <f>(30*BC!$B$47/E123)</f>
        <v>0</v>
      </c>
      <c r="I123" s="701">
        <f t="shared" si="26"/>
        <v>0</v>
      </c>
      <c r="J123" s="701">
        <f t="shared" si="23"/>
        <v>0</v>
      </c>
      <c r="K123" s="216">
        <f t="shared" si="24"/>
        <v>0</v>
      </c>
      <c r="L123" s="148">
        <v>77</v>
      </c>
      <c r="M123" s="148">
        <f t="shared" si="27"/>
        <v>0</v>
      </c>
      <c r="N123" s="91" t="e">
        <f t="shared" si="25"/>
        <v>#DIV/0!</v>
      </c>
      <c r="O123" s="148"/>
      <c r="P123" s="57">
        <f t="shared" si="28"/>
        <v>0</v>
      </c>
      <c r="Q123" s="57">
        <f t="shared" si="29"/>
        <v>0</v>
      </c>
    </row>
    <row r="124" spans="2:17" ht="15.75" customHeight="1" x14ac:dyDescent="0.45">
      <c r="B124" s="471">
        <v>9557440190</v>
      </c>
      <c r="C124" s="471" t="s">
        <v>987</v>
      </c>
      <c r="D124" s="42">
        <v>2</v>
      </c>
      <c r="E124" s="1">
        <v>84</v>
      </c>
      <c r="F124" s="1"/>
      <c r="G124" s="1">
        <f>(F19/(0.0011*100)/2000)</f>
        <v>0</v>
      </c>
      <c r="H124" s="60">
        <f>(30*BC!$B$47/E124)</f>
        <v>0</v>
      </c>
      <c r="I124" s="701">
        <f t="shared" si="26"/>
        <v>0</v>
      </c>
      <c r="J124" s="701">
        <f t="shared" si="23"/>
        <v>0</v>
      </c>
      <c r="K124" s="216">
        <f t="shared" si="24"/>
        <v>0</v>
      </c>
      <c r="L124" s="148">
        <v>264</v>
      </c>
      <c r="M124" s="148">
        <f t="shared" si="27"/>
        <v>0</v>
      </c>
      <c r="N124" s="91" t="e">
        <f t="shared" si="25"/>
        <v>#DIV/0!</v>
      </c>
      <c r="O124" s="148"/>
      <c r="P124" s="57">
        <f t="shared" si="28"/>
        <v>0</v>
      </c>
      <c r="Q124" s="57">
        <f t="shared" si="29"/>
        <v>0</v>
      </c>
    </row>
    <row r="125" spans="2:17" ht="15.75" customHeight="1" x14ac:dyDescent="0.45">
      <c r="B125" s="471">
        <v>6656048190</v>
      </c>
      <c r="C125" s="471" t="s">
        <v>988</v>
      </c>
      <c r="D125" s="42">
        <v>2</v>
      </c>
      <c r="E125" s="1">
        <v>31</v>
      </c>
      <c r="F125" s="1"/>
      <c r="G125" s="1">
        <f>(F20/(0.0005*100)/2000)</f>
        <v>0</v>
      </c>
      <c r="H125" s="60">
        <f>(30*BC!$B$47/E125)</f>
        <v>0</v>
      </c>
      <c r="I125" s="701">
        <f t="shared" si="26"/>
        <v>0</v>
      </c>
      <c r="J125" s="701">
        <f t="shared" si="23"/>
        <v>0</v>
      </c>
      <c r="K125" s="216">
        <f t="shared" si="24"/>
        <v>0</v>
      </c>
      <c r="L125" s="367">
        <v>127</v>
      </c>
      <c r="M125" s="148">
        <f t="shared" si="27"/>
        <v>0</v>
      </c>
      <c r="N125" s="91" t="e">
        <f t="shared" si="25"/>
        <v>#DIV/0!</v>
      </c>
      <c r="O125" s="148"/>
      <c r="P125" s="57">
        <f t="shared" si="28"/>
        <v>0</v>
      </c>
      <c r="Q125" s="57">
        <f t="shared" si="29"/>
        <v>0</v>
      </c>
    </row>
    <row r="126" spans="2:17" ht="15.75" customHeight="1" x14ac:dyDescent="0.45">
      <c r="B126" s="471">
        <v>7092547190</v>
      </c>
      <c r="C126" s="471" t="s">
        <v>989</v>
      </c>
      <c r="D126" s="42">
        <v>2</v>
      </c>
      <c r="E126" s="1">
        <v>31</v>
      </c>
      <c r="F126" s="1"/>
      <c r="G126" s="1">
        <f>(F21/(0.0005*100)/2000)</f>
        <v>0</v>
      </c>
      <c r="H126" s="60">
        <f>(30*BC!$B$47/E126)</f>
        <v>0</v>
      </c>
      <c r="I126" s="701">
        <f t="shared" si="26"/>
        <v>0</v>
      </c>
      <c r="J126" s="701">
        <f t="shared" si="23"/>
        <v>0</v>
      </c>
      <c r="K126" s="216">
        <f t="shared" si="24"/>
        <v>0</v>
      </c>
      <c r="L126" s="367">
        <v>79</v>
      </c>
      <c r="M126" s="148">
        <f t="shared" si="27"/>
        <v>0</v>
      </c>
      <c r="N126" s="91" t="e">
        <f t="shared" si="25"/>
        <v>#DIV/0!</v>
      </c>
      <c r="O126" s="148"/>
      <c r="P126" s="57">
        <f t="shared" si="28"/>
        <v>0</v>
      </c>
      <c r="Q126" s="57">
        <f t="shared" si="29"/>
        <v>0</v>
      </c>
    </row>
    <row r="127" spans="2:17" ht="15.75" customHeight="1" x14ac:dyDescent="0.45">
      <c r="B127" s="471">
        <v>3277356190</v>
      </c>
      <c r="C127" s="471" t="s">
        <v>990</v>
      </c>
      <c r="D127" s="42">
        <v>2</v>
      </c>
      <c r="E127" s="1">
        <v>84</v>
      </c>
      <c r="F127" s="1"/>
      <c r="G127" s="1">
        <f>(F22/(0.0012*100)/2000)</f>
        <v>0</v>
      </c>
      <c r="H127" s="60">
        <f>(30*BC!$B$47/E127)</f>
        <v>0</v>
      </c>
      <c r="I127" s="701">
        <f t="shared" si="26"/>
        <v>0</v>
      </c>
      <c r="J127" s="701">
        <f t="shared" si="23"/>
        <v>0</v>
      </c>
      <c r="K127" s="216">
        <f t="shared" si="24"/>
        <v>0</v>
      </c>
      <c r="L127" s="367">
        <v>69</v>
      </c>
      <c r="M127" s="148">
        <f t="shared" si="27"/>
        <v>0</v>
      </c>
      <c r="N127" s="91" t="e">
        <f t="shared" si="25"/>
        <v>#DIV/0!</v>
      </c>
      <c r="O127" s="148"/>
      <c r="P127" s="57">
        <f t="shared" si="28"/>
        <v>0</v>
      </c>
      <c r="Q127" s="57">
        <f t="shared" si="29"/>
        <v>0</v>
      </c>
    </row>
    <row r="128" spans="2:17" ht="15.75" customHeight="1" x14ac:dyDescent="0.45">
      <c r="B128" s="471">
        <v>5202230190</v>
      </c>
      <c r="C128" s="471" t="s">
        <v>991</v>
      </c>
      <c r="D128" s="42">
        <v>2</v>
      </c>
      <c r="E128" s="1">
        <v>84</v>
      </c>
      <c r="F128" s="1"/>
      <c r="G128" s="1">
        <f>(F23/(0.00026*100)/2000)</f>
        <v>0</v>
      </c>
      <c r="H128" s="60">
        <f>(30*BC!$B$47/E128)</f>
        <v>0</v>
      </c>
      <c r="I128" s="701">
        <f t="shared" si="26"/>
        <v>0</v>
      </c>
      <c r="J128" s="701">
        <f t="shared" si="23"/>
        <v>0</v>
      </c>
      <c r="K128" s="216">
        <f t="shared" si="24"/>
        <v>0</v>
      </c>
      <c r="L128" s="367">
        <v>79</v>
      </c>
      <c r="M128" s="148">
        <f t="shared" si="27"/>
        <v>0</v>
      </c>
      <c r="N128" s="91" t="e">
        <f t="shared" si="25"/>
        <v>#DIV/0!</v>
      </c>
      <c r="O128" s="148"/>
      <c r="P128" s="57">
        <f t="shared" si="28"/>
        <v>0</v>
      </c>
      <c r="Q128" s="57">
        <f t="shared" si="29"/>
        <v>0</v>
      </c>
    </row>
    <row r="129" spans="2:17" ht="15.75" customHeight="1" x14ac:dyDescent="0.45">
      <c r="B129" s="471">
        <v>3052028190</v>
      </c>
      <c r="C129" s="471" t="s">
        <v>992</v>
      </c>
      <c r="D129" s="42">
        <v>2</v>
      </c>
      <c r="E129" s="1">
        <v>56</v>
      </c>
      <c r="F129" s="1"/>
      <c r="G129" s="1">
        <f>(F24/(0.0005*100)/2000)</f>
        <v>0</v>
      </c>
      <c r="H129" s="60">
        <f>(30*BC!$B$47/E129)</f>
        <v>0</v>
      </c>
      <c r="I129" s="701">
        <f t="shared" si="26"/>
        <v>0</v>
      </c>
      <c r="J129" s="701">
        <f t="shared" si="23"/>
        <v>0</v>
      </c>
      <c r="K129" s="216">
        <f t="shared" si="24"/>
        <v>0</v>
      </c>
      <c r="L129" s="367">
        <v>116</v>
      </c>
      <c r="M129" s="148">
        <f t="shared" si="27"/>
        <v>0</v>
      </c>
      <c r="N129" s="91" t="e">
        <f t="shared" si="25"/>
        <v>#DIV/0!</v>
      </c>
      <c r="O129" s="148"/>
      <c r="P129" s="57">
        <f t="shared" si="28"/>
        <v>0</v>
      </c>
      <c r="Q129" s="57">
        <f t="shared" si="29"/>
        <v>0</v>
      </c>
    </row>
    <row r="130" spans="2:17" ht="15.75" customHeight="1" x14ac:dyDescent="0.45">
      <c r="B130" s="471">
        <v>3000095122</v>
      </c>
      <c r="C130" s="471" t="s">
        <v>993</v>
      </c>
      <c r="D130" s="42">
        <v>2</v>
      </c>
      <c r="E130" s="1">
        <v>84</v>
      </c>
      <c r="F130" s="1"/>
      <c r="G130" s="1">
        <f>(F25/(0.0005*100)/2000)</f>
        <v>0</v>
      </c>
      <c r="H130" s="60">
        <f>(30*BC!$B$47/E130)</f>
        <v>0</v>
      </c>
      <c r="I130" s="701">
        <f t="shared" si="26"/>
        <v>0</v>
      </c>
      <c r="J130" s="701">
        <f t="shared" si="23"/>
        <v>0</v>
      </c>
      <c r="K130" s="216">
        <f t="shared" si="24"/>
        <v>0</v>
      </c>
      <c r="L130" s="367">
        <v>205</v>
      </c>
      <c r="M130" s="148">
        <f t="shared" si="27"/>
        <v>0</v>
      </c>
      <c r="N130" s="91" t="e">
        <f t="shared" si="25"/>
        <v>#DIV/0!</v>
      </c>
      <c r="O130" s="148"/>
      <c r="P130" s="57">
        <f t="shared" si="28"/>
        <v>0</v>
      </c>
      <c r="Q130" s="57">
        <f t="shared" si="29"/>
        <v>0</v>
      </c>
    </row>
    <row r="131" spans="2:17" ht="15.75" customHeight="1" x14ac:dyDescent="0.45">
      <c r="B131" s="471">
        <v>3302652190</v>
      </c>
      <c r="C131" s="471" t="s">
        <v>994</v>
      </c>
      <c r="D131" s="42">
        <v>2</v>
      </c>
      <c r="E131" s="1">
        <v>84</v>
      </c>
      <c r="F131" s="1"/>
      <c r="G131" s="1">
        <f>(F26/(0.0008*100)/2000)</f>
        <v>0</v>
      </c>
      <c r="H131" s="60">
        <f>(30*BC!$B$47/E131)</f>
        <v>0</v>
      </c>
      <c r="I131" s="701">
        <f t="shared" si="26"/>
        <v>0</v>
      </c>
      <c r="J131" s="701">
        <f t="shared" si="23"/>
        <v>0</v>
      </c>
      <c r="K131" s="216">
        <f t="shared" si="24"/>
        <v>0</v>
      </c>
      <c r="L131" s="367">
        <v>66</v>
      </c>
      <c r="M131" s="148">
        <f t="shared" si="27"/>
        <v>0</v>
      </c>
      <c r="N131" s="91" t="e">
        <f t="shared" si="25"/>
        <v>#DIV/0!</v>
      </c>
      <c r="O131" s="148"/>
      <c r="P131" s="57">
        <f t="shared" si="28"/>
        <v>0</v>
      </c>
      <c r="Q131" s="57">
        <f t="shared" si="29"/>
        <v>0</v>
      </c>
    </row>
    <row r="132" spans="2:17" ht="15.75" customHeight="1" x14ac:dyDescent="0.45">
      <c r="B132" s="471">
        <v>9013296190</v>
      </c>
      <c r="C132" s="471" t="s">
        <v>995</v>
      </c>
      <c r="D132" s="42">
        <v>2</v>
      </c>
      <c r="E132" s="1">
        <v>84</v>
      </c>
      <c r="F132" s="1"/>
      <c r="G132" s="1">
        <f>(F27/(0.0005*100)/2000)</f>
        <v>0</v>
      </c>
      <c r="H132" s="60">
        <f>(30*BC!$B$47/E132)</f>
        <v>0</v>
      </c>
      <c r="I132" s="701">
        <f t="shared" si="26"/>
        <v>0</v>
      </c>
      <c r="J132" s="701">
        <f t="shared" si="23"/>
        <v>0</v>
      </c>
      <c r="K132" s="216">
        <f t="shared" si="24"/>
        <v>0</v>
      </c>
      <c r="L132" s="367">
        <v>85</v>
      </c>
      <c r="M132" s="148">
        <f t="shared" si="27"/>
        <v>0</v>
      </c>
      <c r="N132" s="91" t="e">
        <f t="shared" si="25"/>
        <v>#DIV/0!</v>
      </c>
      <c r="O132" s="148"/>
      <c r="P132" s="57">
        <f t="shared" si="28"/>
        <v>0</v>
      </c>
      <c r="Q132" s="57">
        <f t="shared" si="29"/>
        <v>0</v>
      </c>
    </row>
    <row r="133" spans="2:17" ht="15.75" customHeight="1" x14ac:dyDescent="0.45">
      <c r="B133" s="471">
        <v>4854080200</v>
      </c>
      <c r="C133" s="502" t="s">
        <v>996</v>
      </c>
      <c r="D133" s="42">
        <v>2</v>
      </c>
      <c r="E133" s="1">
        <v>84</v>
      </c>
      <c r="F133" s="1"/>
      <c r="G133" s="1">
        <f>(F28/(0.0005*150)/2000)</f>
        <v>0</v>
      </c>
      <c r="H133" s="60">
        <f>(30*BC!$B$47/E133)</f>
        <v>0</v>
      </c>
      <c r="I133" s="701">
        <f t="shared" si="26"/>
        <v>0</v>
      </c>
      <c r="J133" s="701">
        <f t="shared" si="23"/>
        <v>0</v>
      </c>
      <c r="K133" s="216">
        <f t="shared" si="24"/>
        <v>0</v>
      </c>
      <c r="L133" s="367">
        <v>675</v>
      </c>
      <c r="M133" s="148">
        <f t="shared" si="27"/>
        <v>0</v>
      </c>
      <c r="N133" s="91" t="e">
        <f t="shared" si="25"/>
        <v>#DIV/0!</v>
      </c>
      <c r="O133" s="148"/>
      <c r="P133" s="57">
        <f t="shared" si="28"/>
        <v>0</v>
      </c>
      <c r="Q133" s="57">
        <f t="shared" si="29"/>
        <v>0</v>
      </c>
    </row>
    <row r="134" spans="2:17" ht="15.75" customHeight="1" x14ac:dyDescent="0.45">
      <c r="B134" s="471">
        <v>4854101200</v>
      </c>
      <c r="C134" s="502" t="s">
        <v>997</v>
      </c>
      <c r="D134" s="42">
        <v>2</v>
      </c>
      <c r="E134" s="1">
        <v>84</v>
      </c>
      <c r="F134" s="1"/>
      <c r="G134" s="1">
        <f>(F29/(0.0005*100)/2000)</f>
        <v>0</v>
      </c>
      <c r="H134" s="60">
        <f>(30*BC!$B$47/E134)</f>
        <v>0</v>
      </c>
      <c r="I134" s="701">
        <f t="shared" si="26"/>
        <v>0</v>
      </c>
      <c r="J134" s="701">
        <f t="shared" si="23"/>
        <v>0</v>
      </c>
      <c r="K134" s="216">
        <f t="shared" si="24"/>
        <v>0</v>
      </c>
      <c r="L134" s="367">
        <v>483</v>
      </c>
      <c r="M134" s="148">
        <f t="shared" si="27"/>
        <v>0</v>
      </c>
      <c r="N134" s="91" t="e">
        <f t="shared" si="25"/>
        <v>#DIV/0!</v>
      </c>
      <c r="O134" s="148"/>
      <c r="P134" s="57">
        <f t="shared" si="28"/>
        <v>0</v>
      </c>
      <c r="Q134" s="57">
        <f t="shared" si="29"/>
        <v>0</v>
      </c>
    </row>
    <row r="135" spans="2:17" ht="15.75" customHeight="1" x14ac:dyDescent="0.45">
      <c r="B135" s="471">
        <v>5144701190</v>
      </c>
      <c r="C135" s="471" t="s">
        <v>998</v>
      </c>
      <c r="D135" s="42">
        <v>2</v>
      </c>
      <c r="E135" s="1">
        <v>28</v>
      </c>
      <c r="F135" s="1"/>
      <c r="G135" s="1">
        <f>(F30/(0.0005*100)/2000)</f>
        <v>0</v>
      </c>
      <c r="H135" s="60">
        <f>(30*BC!$B$47/E135)</f>
        <v>0</v>
      </c>
      <c r="I135" s="701">
        <f t="shared" si="26"/>
        <v>0</v>
      </c>
      <c r="J135" s="701">
        <f t="shared" si="23"/>
        <v>0</v>
      </c>
      <c r="K135" s="216">
        <f t="shared" si="24"/>
        <v>0</v>
      </c>
      <c r="L135" s="367">
        <v>433</v>
      </c>
      <c r="M135" s="148">
        <f t="shared" si="27"/>
        <v>0</v>
      </c>
      <c r="N135" s="91" t="e">
        <f t="shared" si="25"/>
        <v>#DIV/0!</v>
      </c>
      <c r="O135" s="148"/>
      <c r="P135" s="57">
        <f t="shared" si="28"/>
        <v>0</v>
      </c>
      <c r="Q135" s="57">
        <f t="shared" si="29"/>
        <v>0</v>
      </c>
    </row>
    <row r="136" spans="2:17" ht="15.75" customHeight="1" x14ac:dyDescent="0.45">
      <c r="B136" s="471">
        <v>5109531190</v>
      </c>
      <c r="C136" s="471" t="s">
        <v>999</v>
      </c>
      <c r="D136" s="42">
        <v>2</v>
      </c>
      <c r="E136" s="1">
        <v>28</v>
      </c>
      <c r="F136" s="1"/>
      <c r="G136" s="1">
        <f>(F31/(0.0005*100)/2000)</f>
        <v>0</v>
      </c>
      <c r="H136" s="60">
        <f>(30*BC!$B$47/E136)</f>
        <v>0</v>
      </c>
      <c r="I136" s="701">
        <f t="shared" si="26"/>
        <v>0</v>
      </c>
      <c r="J136" s="701">
        <f t="shared" si="23"/>
        <v>0</v>
      </c>
      <c r="K136" s="216">
        <f t="shared" si="24"/>
        <v>0</v>
      </c>
      <c r="L136" s="367">
        <v>433</v>
      </c>
      <c r="M136" s="148">
        <f t="shared" si="27"/>
        <v>0</v>
      </c>
      <c r="N136" s="91" t="e">
        <f t="shared" si="25"/>
        <v>#DIV/0!</v>
      </c>
      <c r="O136" s="148"/>
      <c r="P136" s="57">
        <f t="shared" si="28"/>
        <v>0</v>
      </c>
      <c r="Q136" s="57">
        <f t="shared" si="29"/>
        <v>0</v>
      </c>
    </row>
    <row r="137" spans="2:17" ht="15.75" customHeight="1" x14ac:dyDescent="0.45">
      <c r="B137" s="471">
        <v>3184919190</v>
      </c>
      <c r="C137" s="471" t="s">
        <v>1000</v>
      </c>
      <c r="D137" s="42">
        <v>2</v>
      </c>
      <c r="E137" s="1">
        <v>28</v>
      </c>
      <c r="F137" s="1"/>
      <c r="G137" s="1">
        <f>(F32/(0.0005*100)/2000)</f>
        <v>0</v>
      </c>
      <c r="H137" s="60">
        <f>(30*BC!$B$47/E137)</f>
        <v>0</v>
      </c>
      <c r="I137" s="701">
        <f t="shared" si="26"/>
        <v>0</v>
      </c>
      <c r="J137" s="701">
        <f t="shared" si="23"/>
        <v>0</v>
      </c>
      <c r="K137" s="216">
        <f t="shared" si="24"/>
        <v>0</v>
      </c>
      <c r="L137" s="367">
        <v>192</v>
      </c>
      <c r="M137" s="148">
        <f t="shared" si="27"/>
        <v>0</v>
      </c>
      <c r="N137" s="91" t="e">
        <f t="shared" si="25"/>
        <v>#DIV/0!</v>
      </c>
      <c r="O137" s="148"/>
      <c r="P137" s="57">
        <f t="shared" si="28"/>
        <v>0</v>
      </c>
      <c r="Q137" s="57">
        <f t="shared" si="29"/>
        <v>0</v>
      </c>
    </row>
    <row r="138" spans="2:17" ht="15.75" customHeight="1" x14ac:dyDescent="0.45">
      <c r="B138" s="471">
        <v>12017504122</v>
      </c>
      <c r="C138" s="471" t="s">
        <v>1001</v>
      </c>
      <c r="D138" s="42">
        <v>2</v>
      </c>
      <c r="E138" s="1">
        <v>84</v>
      </c>
      <c r="F138" s="1"/>
      <c r="G138" s="1">
        <f>(F33/(0.0009*100)/2000)</f>
        <v>0</v>
      </c>
      <c r="H138" s="60">
        <f>(30*BC!$B$47/E138)</f>
        <v>0</v>
      </c>
      <c r="I138" s="701">
        <f t="shared" si="26"/>
        <v>0</v>
      </c>
      <c r="J138" s="701">
        <f t="shared" si="23"/>
        <v>0</v>
      </c>
      <c r="K138" s="216">
        <f t="shared" si="24"/>
        <v>0</v>
      </c>
      <c r="L138" s="367">
        <v>177</v>
      </c>
      <c r="M138" s="148">
        <f t="shared" si="27"/>
        <v>0</v>
      </c>
      <c r="N138" s="91" t="e">
        <f t="shared" si="25"/>
        <v>#DIV/0!</v>
      </c>
      <c r="O138" s="148"/>
      <c r="P138" s="57">
        <f t="shared" si="28"/>
        <v>0</v>
      </c>
      <c r="Q138" s="57">
        <f t="shared" si="29"/>
        <v>0</v>
      </c>
    </row>
    <row r="139" spans="2:17" ht="15.75" customHeight="1" x14ac:dyDescent="0.45">
      <c r="B139" s="471">
        <v>6687750190</v>
      </c>
      <c r="C139" s="471" t="s">
        <v>1002</v>
      </c>
      <c r="D139" s="42">
        <v>2</v>
      </c>
      <c r="E139" s="1">
        <v>84</v>
      </c>
      <c r="F139" s="1"/>
      <c r="G139" s="1">
        <f>(F34/(0.0005*100)/2000)</f>
        <v>0</v>
      </c>
      <c r="H139" s="60">
        <f>(30*BC!$B$47/E139)</f>
        <v>0</v>
      </c>
      <c r="I139" s="701">
        <f t="shared" si="26"/>
        <v>0</v>
      </c>
      <c r="J139" s="701">
        <f t="shared" si="23"/>
        <v>0</v>
      </c>
      <c r="K139" s="216">
        <f t="shared" si="24"/>
        <v>0</v>
      </c>
      <c r="L139" s="367">
        <v>222</v>
      </c>
      <c r="M139" s="148">
        <f t="shared" si="27"/>
        <v>0</v>
      </c>
      <c r="N139" s="91" t="e">
        <f t="shared" si="25"/>
        <v>#DIV/0!</v>
      </c>
      <c r="O139" s="148"/>
      <c r="P139" s="57">
        <f t="shared" si="28"/>
        <v>0</v>
      </c>
      <c r="Q139" s="57">
        <f t="shared" si="29"/>
        <v>0</v>
      </c>
    </row>
    <row r="140" spans="2:17" ht="15.75" customHeight="1" x14ac:dyDescent="0.45">
      <c r="B140" s="471">
        <v>9290940190</v>
      </c>
      <c r="C140" s="471" t="s">
        <v>1003</v>
      </c>
      <c r="D140" s="42">
        <v>2</v>
      </c>
      <c r="E140" s="1">
        <v>1</v>
      </c>
      <c r="F140" s="1"/>
      <c r="G140" s="1">
        <f>(F35/(0.0005*100)/2000)</f>
        <v>0</v>
      </c>
      <c r="H140" s="60">
        <f>(30*BC!$B$47/E140)</f>
        <v>0</v>
      </c>
      <c r="I140" s="701">
        <f t="shared" si="26"/>
        <v>0</v>
      </c>
      <c r="J140" s="701">
        <f t="shared" si="23"/>
        <v>0</v>
      </c>
      <c r="K140" s="216">
        <f t="shared" si="24"/>
        <v>0</v>
      </c>
      <c r="L140" s="367">
        <v>395</v>
      </c>
      <c r="M140" s="148">
        <f t="shared" si="27"/>
        <v>0</v>
      </c>
      <c r="N140" s="91" t="e">
        <f t="shared" si="25"/>
        <v>#DIV/0!</v>
      </c>
      <c r="O140" s="148"/>
      <c r="P140" s="57">
        <f t="shared" si="28"/>
        <v>0</v>
      </c>
      <c r="Q140" s="57">
        <f t="shared" si="29"/>
        <v>0</v>
      </c>
    </row>
    <row r="141" spans="2:17" ht="15.75" customHeight="1" x14ac:dyDescent="0.45">
      <c r="B141" s="471">
        <v>8959820190</v>
      </c>
      <c r="C141" s="471" t="s">
        <v>1004</v>
      </c>
      <c r="D141" s="42">
        <v>2</v>
      </c>
      <c r="E141" s="1">
        <v>28</v>
      </c>
      <c r="F141" s="1"/>
      <c r="G141" s="1">
        <f>(F36/(0.0005*100)/2000)</f>
        <v>0</v>
      </c>
      <c r="H141" s="60">
        <f>(30*BC!$B$47/E141)</f>
        <v>0</v>
      </c>
      <c r="I141" s="701">
        <f t="shared" si="26"/>
        <v>0</v>
      </c>
      <c r="J141" s="701">
        <f t="shared" si="23"/>
        <v>0</v>
      </c>
      <c r="K141" s="216">
        <f t="shared" si="24"/>
        <v>0</v>
      </c>
      <c r="L141" s="367">
        <v>355</v>
      </c>
      <c r="M141" s="148">
        <f t="shared" si="27"/>
        <v>0</v>
      </c>
      <c r="N141" s="91" t="e">
        <f t="shared" si="25"/>
        <v>#DIV/0!</v>
      </c>
      <c r="O141" s="148"/>
      <c r="P141" s="57">
        <f t="shared" si="28"/>
        <v>0</v>
      </c>
      <c r="Q141" s="57">
        <f t="shared" si="29"/>
        <v>0</v>
      </c>
    </row>
    <row r="142" spans="2:17" ht="15.75" customHeight="1" x14ac:dyDescent="0.45">
      <c r="B142" s="471">
        <v>5390133190</v>
      </c>
      <c r="C142" s="471" t="s">
        <v>1005</v>
      </c>
      <c r="D142" s="42">
        <v>2</v>
      </c>
      <c r="E142" s="1">
        <v>28</v>
      </c>
      <c r="F142" s="1"/>
      <c r="G142" s="1">
        <f>(F37/(0.0002*100)/2000)</f>
        <v>0</v>
      </c>
      <c r="H142" s="60">
        <f>(30*BC!$B$47/E142)</f>
        <v>0</v>
      </c>
      <c r="I142" s="701">
        <f t="shared" si="26"/>
        <v>0</v>
      </c>
      <c r="J142" s="701">
        <f t="shared" si="23"/>
        <v>0</v>
      </c>
      <c r="K142" s="216">
        <f t="shared" si="24"/>
        <v>0</v>
      </c>
      <c r="L142" s="367">
        <v>198</v>
      </c>
      <c r="M142" s="148">
        <f t="shared" si="27"/>
        <v>0</v>
      </c>
      <c r="N142" s="91" t="e">
        <f t="shared" si="25"/>
        <v>#DIV/0!</v>
      </c>
      <c r="O142" s="148"/>
      <c r="P142" s="57">
        <f t="shared" si="28"/>
        <v>0</v>
      </c>
      <c r="Q142" s="57">
        <f t="shared" si="29"/>
        <v>0</v>
      </c>
    </row>
    <row r="143" spans="2:17" ht="15.75" customHeight="1" x14ac:dyDescent="0.45">
      <c r="B143" s="471">
        <v>7957203190</v>
      </c>
      <c r="C143" s="471" t="s">
        <v>1006</v>
      </c>
      <c r="D143" s="42">
        <v>2</v>
      </c>
      <c r="E143" s="1">
        <v>28</v>
      </c>
      <c r="F143" s="1"/>
      <c r="G143" s="1">
        <f>(F38/(0.0005*100)/2000)</f>
        <v>0</v>
      </c>
      <c r="H143" s="60">
        <f>(30*BC!$B$47/E143)</f>
        <v>0</v>
      </c>
      <c r="I143" s="701">
        <f t="shared" si="26"/>
        <v>0</v>
      </c>
      <c r="J143" s="701">
        <f t="shared" si="23"/>
        <v>0</v>
      </c>
      <c r="K143" s="216">
        <f t="shared" si="24"/>
        <v>0</v>
      </c>
      <c r="L143" s="367">
        <v>322</v>
      </c>
      <c r="M143" s="148">
        <f t="shared" si="27"/>
        <v>0</v>
      </c>
      <c r="N143" s="91" t="e">
        <f t="shared" si="25"/>
        <v>#DIV/0!</v>
      </c>
      <c r="O143" s="148"/>
      <c r="P143" s="57">
        <f t="shared" si="28"/>
        <v>0</v>
      </c>
      <c r="Q143" s="57">
        <f t="shared" si="29"/>
        <v>0</v>
      </c>
    </row>
    <row r="144" spans="2:17" ht="15.75" customHeight="1" x14ac:dyDescent="0.45">
      <c r="B144" s="471">
        <v>8838534190</v>
      </c>
      <c r="C144" s="471" t="s">
        <v>1007</v>
      </c>
      <c r="D144" s="42">
        <v>2</v>
      </c>
      <c r="E144" s="1">
        <v>84</v>
      </c>
      <c r="F144" s="1"/>
      <c r="G144" s="1">
        <f>(F39/(0.0024*100)/2000)</f>
        <v>0</v>
      </c>
      <c r="H144" s="60">
        <f>(30*BC!$B$47/E144)</f>
        <v>0</v>
      </c>
      <c r="I144" s="701">
        <f t="shared" si="26"/>
        <v>0</v>
      </c>
      <c r="J144" s="701">
        <f t="shared" si="23"/>
        <v>0</v>
      </c>
      <c r="K144" s="216">
        <f t="shared" si="24"/>
        <v>0</v>
      </c>
      <c r="L144" s="367">
        <v>194</v>
      </c>
      <c r="M144" s="148">
        <f t="shared" si="27"/>
        <v>0</v>
      </c>
      <c r="N144" s="91" t="e">
        <f t="shared" si="25"/>
        <v>#DIV/0!</v>
      </c>
      <c r="O144" s="148"/>
      <c r="P144" s="57">
        <f t="shared" si="28"/>
        <v>0</v>
      </c>
      <c r="Q144" s="57">
        <f t="shared" si="29"/>
        <v>0</v>
      </c>
    </row>
    <row r="145" spans="2:17" ht="15.75" customHeight="1" x14ac:dyDescent="0.45">
      <c r="B145" s="471">
        <v>8851964190</v>
      </c>
      <c r="C145" s="471" t="s">
        <v>1008</v>
      </c>
      <c r="D145" s="42">
        <v>2</v>
      </c>
      <c r="E145" s="1">
        <v>84</v>
      </c>
      <c r="F145" s="1"/>
      <c r="G145" s="1">
        <f>(F40/(0.0016*100)/2000)</f>
        <v>0</v>
      </c>
      <c r="H145" s="60">
        <f>(30*BC!$B$47/E145)</f>
        <v>0</v>
      </c>
      <c r="I145" s="701">
        <f t="shared" si="26"/>
        <v>0</v>
      </c>
      <c r="J145" s="701">
        <f t="shared" si="23"/>
        <v>0</v>
      </c>
      <c r="K145" s="216">
        <f t="shared" si="24"/>
        <v>0</v>
      </c>
      <c r="L145" s="367">
        <v>183</v>
      </c>
      <c r="M145" s="148">
        <f t="shared" si="27"/>
        <v>0</v>
      </c>
      <c r="N145" s="91" t="e">
        <f t="shared" si="25"/>
        <v>#DIV/0!</v>
      </c>
      <c r="O145" s="148"/>
      <c r="P145" s="57">
        <f t="shared" si="28"/>
        <v>0</v>
      </c>
      <c r="Q145" s="57">
        <f t="shared" si="29"/>
        <v>0</v>
      </c>
    </row>
    <row r="146" spans="2:17" ht="15.75" customHeight="1" x14ac:dyDescent="0.45">
      <c r="B146" s="471">
        <v>9227261190</v>
      </c>
      <c r="C146" s="471" t="s">
        <v>1009</v>
      </c>
      <c r="D146" s="42">
        <v>2</v>
      </c>
      <c r="E146" s="1">
        <v>84</v>
      </c>
      <c r="F146" s="1"/>
      <c r="G146" s="1">
        <f>(F41/(0.0003*100)/2000)</f>
        <v>0</v>
      </c>
      <c r="H146" s="60">
        <f>(30*BC!$B$47/E146)</f>
        <v>0</v>
      </c>
      <c r="I146" s="701">
        <f t="shared" si="26"/>
        <v>0</v>
      </c>
      <c r="J146" s="701">
        <f t="shared" si="23"/>
        <v>0</v>
      </c>
      <c r="K146" s="216">
        <f t="shared" si="24"/>
        <v>0</v>
      </c>
      <c r="L146" s="367">
        <v>103</v>
      </c>
      <c r="M146" s="148">
        <f t="shared" si="27"/>
        <v>0</v>
      </c>
      <c r="N146" s="91" t="e">
        <f t="shared" si="25"/>
        <v>#DIV/0!</v>
      </c>
      <c r="O146" s="148"/>
      <c r="P146" s="57">
        <f t="shared" si="28"/>
        <v>0</v>
      </c>
      <c r="Q146" s="57">
        <f t="shared" si="29"/>
        <v>0</v>
      </c>
    </row>
    <row r="147" spans="2:17" ht="15.75" customHeight="1" x14ac:dyDescent="0.45">
      <c r="B147" s="471">
        <v>11731645322</v>
      </c>
      <c r="C147" s="471" t="s">
        <v>1010</v>
      </c>
      <c r="D147" s="42">
        <v>2</v>
      </c>
      <c r="E147" s="1">
        <v>84</v>
      </c>
      <c r="F147" s="1"/>
      <c r="G147" s="1">
        <f>(F42/(0.0006*100)/2000)</f>
        <v>0</v>
      </c>
      <c r="H147" s="60">
        <f>(30*BC!$B$47/E147)</f>
        <v>0</v>
      </c>
      <c r="I147" s="701">
        <f t="shared" si="26"/>
        <v>0</v>
      </c>
      <c r="J147" s="701">
        <f t="shared" si="23"/>
        <v>0</v>
      </c>
      <c r="K147" s="216">
        <f t="shared" si="24"/>
        <v>0</v>
      </c>
      <c r="L147" s="367">
        <v>105</v>
      </c>
      <c r="M147" s="148">
        <f t="shared" si="27"/>
        <v>0</v>
      </c>
      <c r="N147" s="91" t="e">
        <f t="shared" si="25"/>
        <v>#DIV/0!</v>
      </c>
      <c r="O147" s="148"/>
      <c r="P147" s="57">
        <f t="shared" si="28"/>
        <v>0</v>
      </c>
      <c r="Q147" s="57">
        <f t="shared" si="29"/>
        <v>0</v>
      </c>
    </row>
    <row r="148" spans="2:17" ht="15.75" customHeight="1" x14ac:dyDescent="0.45">
      <c r="B148" s="471">
        <v>7030207190</v>
      </c>
      <c r="C148" s="471" t="s">
        <v>1011</v>
      </c>
      <c r="D148" s="42">
        <v>2</v>
      </c>
      <c r="E148" s="1">
        <v>140</v>
      </c>
      <c r="F148" s="1"/>
      <c r="G148" s="1">
        <f>(F43/(0.0008*100)/2000)</f>
        <v>0</v>
      </c>
      <c r="H148" s="60">
        <f>(30*BC!$B$47/E148)</f>
        <v>0</v>
      </c>
      <c r="I148" s="701">
        <f t="shared" si="26"/>
        <v>0</v>
      </c>
      <c r="J148" s="701">
        <f t="shared" si="23"/>
        <v>0</v>
      </c>
      <c r="K148" s="216">
        <f t="shared" si="24"/>
        <v>0</v>
      </c>
      <c r="L148" s="367">
        <v>184</v>
      </c>
      <c r="M148" s="148">
        <f t="shared" si="27"/>
        <v>0</v>
      </c>
      <c r="N148" s="91" t="e">
        <f t="shared" si="25"/>
        <v>#DIV/0!</v>
      </c>
      <c r="O148" s="148"/>
      <c r="P148" s="57">
        <f t="shared" si="28"/>
        <v>0</v>
      </c>
      <c r="Q148" s="57">
        <f t="shared" si="29"/>
        <v>0</v>
      </c>
    </row>
    <row r="149" spans="2:17" ht="15.75" customHeight="1" x14ac:dyDescent="0.45">
      <c r="B149" s="471">
        <v>3045846122</v>
      </c>
      <c r="C149" s="471" t="s">
        <v>1012</v>
      </c>
      <c r="D149" s="42">
        <v>2</v>
      </c>
      <c r="E149" s="1">
        <v>84</v>
      </c>
      <c r="F149" s="1"/>
      <c r="G149" s="1">
        <f>(F44/(0.0002*100)/2000)</f>
        <v>0</v>
      </c>
      <c r="H149" s="60">
        <f>(30*BC!$B$47/E149)</f>
        <v>0</v>
      </c>
      <c r="I149" s="701">
        <f t="shared" si="26"/>
        <v>0</v>
      </c>
      <c r="J149" s="701">
        <f t="shared" si="23"/>
        <v>0</v>
      </c>
      <c r="K149" s="216">
        <f t="shared" si="24"/>
        <v>0</v>
      </c>
      <c r="L149" s="367">
        <v>180</v>
      </c>
      <c r="M149" s="148">
        <f t="shared" si="27"/>
        <v>0</v>
      </c>
      <c r="N149" s="91" t="e">
        <f t="shared" si="25"/>
        <v>#DIV/0!</v>
      </c>
      <c r="O149" s="148"/>
      <c r="P149" s="57">
        <f t="shared" si="28"/>
        <v>0</v>
      </c>
      <c r="Q149" s="57">
        <f t="shared" si="29"/>
        <v>0</v>
      </c>
    </row>
    <row r="150" spans="2:17" ht="15.75" customHeight="1" x14ac:dyDescent="0.45">
      <c r="B150" s="471">
        <v>11776215122</v>
      </c>
      <c r="C150" s="471" t="s">
        <v>1013</v>
      </c>
      <c r="D150" s="42">
        <v>2</v>
      </c>
      <c r="E150" s="1">
        <v>56</v>
      </c>
      <c r="F150" s="1"/>
      <c r="G150" s="1">
        <f>(F45/(0.0005*100)/2000)</f>
        <v>0</v>
      </c>
      <c r="H150" s="60">
        <f>(30*BC!$B$47/E150)</f>
        <v>0</v>
      </c>
      <c r="I150" s="701">
        <f t="shared" si="26"/>
        <v>0</v>
      </c>
      <c r="J150" s="701">
        <f t="shared" si="23"/>
        <v>0</v>
      </c>
      <c r="K150" s="216">
        <f t="shared" si="24"/>
        <v>0</v>
      </c>
      <c r="L150" s="367">
        <v>182</v>
      </c>
      <c r="M150" s="148">
        <f t="shared" si="27"/>
        <v>0</v>
      </c>
      <c r="N150" s="91" t="e">
        <f t="shared" si="25"/>
        <v>#DIV/0!</v>
      </c>
      <c r="O150" s="148"/>
      <c r="P150" s="57">
        <f t="shared" si="28"/>
        <v>0</v>
      </c>
      <c r="Q150" s="57">
        <f t="shared" si="29"/>
        <v>0</v>
      </c>
    </row>
    <row r="151" spans="2:17" ht="15.75" customHeight="1" x14ac:dyDescent="0.45">
      <c r="B151" s="471">
        <v>11820974322</v>
      </c>
      <c r="C151" s="471" t="s">
        <v>1014</v>
      </c>
      <c r="D151" s="42">
        <v>2</v>
      </c>
      <c r="E151" s="1">
        <v>56</v>
      </c>
      <c r="F151" s="1"/>
      <c r="G151" s="1">
        <f>(F46/(0.0005*100)/2000)</f>
        <v>0</v>
      </c>
      <c r="H151" s="60">
        <f>(30*BC!$B$47/E151)</f>
        <v>0</v>
      </c>
      <c r="I151" s="701">
        <f t="shared" si="26"/>
        <v>0</v>
      </c>
      <c r="J151" s="701">
        <f t="shared" si="23"/>
        <v>0</v>
      </c>
      <c r="K151" s="216">
        <f t="shared" si="24"/>
        <v>0</v>
      </c>
      <c r="L151" s="367">
        <v>251</v>
      </c>
      <c r="M151" s="148">
        <f t="shared" si="27"/>
        <v>0</v>
      </c>
      <c r="N151" s="91" t="e">
        <f t="shared" si="25"/>
        <v>#DIV/0!</v>
      </c>
      <c r="O151" s="148"/>
      <c r="P151" s="57">
        <f t="shared" si="28"/>
        <v>0</v>
      </c>
      <c r="Q151" s="57">
        <f t="shared" si="29"/>
        <v>0</v>
      </c>
    </row>
    <row r="152" spans="2:17" ht="15.75" customHeight="1" x14ac:dyDescent="0.45">
      <c r="B152" s="471">
        <v>9175130190</v>
      </c>
      <c r="C152" s="471" t="s">
        <v>1015</v>
      </c>
      <c r="D152" s="42">
        <v>2</v>
      </c>
      <c r="E152" s="1">
        <v>42</v>
      </c>
      <c r="F152" s="1"/>
      <c r="G152" s="1">
        <f>(F47/(0.0005*100)/2000)</f>
        <v>0</v>
      </c>
      <c r="H152" s="60">
        <f>(30*BC!$B$47/E152)</f>
        <v>0</v>
      </c>
      <c r="I152" s="701">
        <f t="shared" si="26"/>
        <v>0</v>
      </c>
      <c r="J152" s="701">
        <f t="shared" si="23"/>
        <v>0</v>
      </c>
      <c r="K152" s="216">
        <f t="shared" si="24"/>
        <v>0</v>
      </c>
      <c r="L152" s="367">
        <v>148</v>
      </c>
      <c r="M152" s="148">
        <f t="shared" si="27"/>
        <v>0</v>
      </c>
      <c r="N152" s="91" t="e">
        <f t="shared" si="25"/>
        <v>#DIV/0!</v>
      </c>
      <c r="O152" s="148"/>
      <c r="P152" s="57">
        <f t="shared" si="28"/>
        <v>0</v>
      </c>
      <c r="Q152" s="57">
        <f t="shared" si="29"/>
        <v>0</v>
      </c>
    </row>
    <row r="153" spans="2:17" ht="15.75" customHeight="1" x14ac:dyDescent="0.45">
      <c r="B153" s="471">
        <v>12133121122</v>
      </c>
      <c r="C153" s="471" t="s">
        <v>1016</v>
      </c>
      <c r="D153" s="42">
        <v>2</v>
      </c>
      <c r="E153" s="1">
        <v>42</v>
      </c>
      <c r="F153" s="1"/>
      <c r="G153" s="1">
        <f>(F48/(0.0005*100)/2000)</f>
        <v>0</v>
      </c>
      <c r="H153" s="60">
        <f>(30*BC!$B$47/E153)</f>
        <v>0</v>
      </c>
      <c r="I153" s="701">
        <f t="shared" si="26"/>
        <v>0</v>
      </c>
      <c r="J153" s="701">
        <f t="shared" si="23"/>
        <v>0</v>
      </c>
      <c r="K153" s="216">
        <f t="shared" si="24"/>
        <v>0</v>
      </c>
      <c r="L153" s="367">
        <v>233</v>
      </c>
      <c r="M153" s="148">
        <f t="shared" si="27"/>
        <v>0</v>
      </c>
      <c r="N153" s="91" t="e">
        <f t="shared" si="25"/>
        <v>#DIV/0!</v>
      </c>
      <c r="O153" s="148"/>
      <c r="P153" s="57">
        <f t="shared" si="28"/>
        <v>0</v>
      </c>
      <c r="Q153" s="57">
        <f t="shared" si="29"/>
        <v>0</v>
      </c>
    </row>
    <row r="154" spans="2:17" ht="15.75" customHeight="1" x14ac:dyDescent="0.45">
      <c r="B154" s="471">
        <v>3289834190</v>
      </c>
      <c r="C154" s="471" t="s">
        <v>1017</v>
      </c>
      <c r="D154" s="42">
        <v>2</v>
      </c>
      <c r="E154" s="1">
        <v>84</v>
      </c>
      <c r="F154" s="1"/>
      <c r="G154" s="1">
        <f>(F49/(0.0005*100)/2000)</f>
        <v>0</v>
      </c>
      <c r="H154" s="60">
        <f>(30*BC!$B$47/E154)</f>
        <v>0</v>
      </c>
      <c r="I154" s="701">
        <f t="shared" si="26"/>
        <v>0</v>
      </c>
      <c r="J154" s="701">
        <f t="shared" si="23"/>
        <v>0</v>
      </c>
      <c r="K154" s="216">
        <f t="shared" si="24"/>
        <v>0</v>
      </c>
      <c r="L154" s="367">
        <v>378</v>
      </c>
      <c r="M154" s="148">
        <f t="shared" si="27"/>
        <v>0</v>
      </c>
      <c r="N154" s="91" t="e">
        <f t="shared" si="25"/>
        <v>#DIV/0!</v>
      </c>
      <c r="O154" s="148"/>
      <c r="P154" s="57">
        <f t="shared" si="28"/>
        <v>0</v>
      </c>
      <c r="Q154" s="57">
        <f t="shared" si="29"/>
        <v>0</v>
      </c>
    </row>
    <row r="155" spans="2:17" ht="15.75" customHeight="1" x14ac:dyDescent="0.45">
      <c r="B155" s="471">
        <v>5950945190</v>
      </c>
      <c r="C155" s="471" t="s">
        <v>1018</v>
      </c>
      <c r="D155" s="42">
        <v>2</v>
      </c>
      <c r="E155" s="1">
        <v>56</v>
      </c>
      <c r="F155" s="1"/>
      <c r="G155" s="1">
        <f>(F50/(0.0003*100)/2000)</f>
        <v>0</v>
      </c>
      <c r="H155" s="60">
        <f>(30*BC!$B$47/E155)</f>
        <v>0</v>
      </c>
      <c r="I155" s="701">
        <f t="shared" si="26"/>
        <v>0</v>
      </c>
      <c r="J155" s="701">
        <f t="shared" si="23"/>
        <v>0</v>
      </c>
      <c r="K155" s="216">
        <f t="shared" si="24"/>
        <v>0</v>
      </c>
      <c r="L155" s="367">
        <v>409</v>
      </c>
      <c r="M155" s="148">
        <f t="shared" si="27"/>
        <v>0</v>
      </c>
      <c r="N155" s="91" t="e">
        <f t="shared" si="25"/>
        <v>#DIV/0!</v>
      </c>
      <c r="O155" s="148"/>
      <c r="P155" s="57">
        <f t="shared" si="28"/>
        <v>0</v>
      </c>
      <c r="Q155" s="57">
        <f t="shared" si="29"/>
        <v>0</v>
      </c>
    </row>
    <row r="156" spans="2:17" ht="15.75" customHeight="1" x14ac:dyDescent="0.45">
      <c r="B156" s="471">
        <v>8333637190</v>
      </c>
      <c r="C156" s="471" t="s">
        <v>1019</v>
      </c>
      <c r="D156" s="42">
        <v>2</v>
      </c>
      <c r="E156" s="1">
        <v>28</v>
      </c>
      <c r="F156" s="1"/>
      <c r="G156" s="1">
        <f t="shared" ref="G156:G167" si="30">(F51/(0.0005*100)/2000)</f>
        <v>0</v>
      </c>
      <c r="H156" s="60">
        <f>(30*BC!$B$47/E156)</f>
        <v>0</v>
      </c>
      <c r="I156" s="701">
        <f t="shared" si="26"/>
        <v>0</v>
      </c>
      <c r="J156" s="701">
        <f t="shared" si="23"/>
        <v>0</v>
      </c>
      <c r="K156" s="216">
        <f t="shared" si="24"/>
        <v>0</v>
      </c>
      <c r="L156" s="367">
        <v>684</v>
      </c>
      <c r="M156" s="148">
        <f t="shared" si="27"/>
        <v>0</v>
      </c>
      <c r="N156" s="91" t="e">
        <f t="shared" si="25"/>
        <v>#DIV/0!</v>
      </c>
      <c r="O156" s="148"/>
      <c r="P156" s="57">
        <f t="shared" si="28"/>
        <v>0</v>
      </c>
      <c r="Q156" s="57">
        <f t="shared" si="29"/>
        <v>0</v>
      </c>
    </row>
    <row r="157" spans="2:17" ht="15.75" customHeight="1" x14ac:dyDescent="0.45">
      <c r="B157" s="471">
        <v>6505970190</v>
      </c>
      <c r="C157" s="471" t="s">
        <v>1020</v>
      </c>
      <c r="D157" s="42">
        <v>2</v>
      </c>
      <c r="E157" s="1">
        <v>56</v>
      </c>
      <c r="F157" s="1"/>
      <c r="G157" s="1">
        <f t="shared" si="30"/>
        <v>0</v>
      </c>
      <c r="H157" s="60">
        <f>(30*BC!$B$47/E157)</f>
        <v>0</v>
      </c>
      <c r="I157" s="701">
        <f t="shared" si="26"/>
        <v>0</v>
      </c>
      <c r="J157" s="701">
        <f t="shared" si="23"/>
        <v>0</v>
      </c>
      <c r="K157" s="216">
        <f t="shared" si="24"/>
        <v>0</v>
      </c>
      <c r="L157" s="367">
        <v>478</v>
      </c>
      <c r="M157" s="148">
        <f t="shared" si="27"/>
        <v>0</v>
      </c>
      <c r="N157" s="91" t="e">
        <f t="shared" si="25"/>
        <v>#DIV/0!</v>
      </c>
      <c r="O157" s="148"/>
      <c r="P157" s="57">
        <f t="shared" si="28"/>
        <v>0</v>
      </c>
      <c r="Q157" s="57">
        <f t="shared" si="29"/>
        <v>0</v>
      </c>
    </row>
    <row r="158" spans="2:17" ht="15.75" customHeight="1" x14ac:dyDescent="0.45">
      <c r="B158" s="471">
        <v>7126999190</v>
      </c>
      <c r="C158" s="471" t="s">
        <v>1021</v>
      </c>
      <c r="D158" s="42">
        <v>2</v>
      </c>
      <c r="E158" s="1">
        <v>28</v>
      </c>
      <c r="F158" s="1"/>
      <c r="G158" s="1">
        <f t="shared" si="30"/>
        <v>0</v>
      </c>
      <c r="H158" s="60">
        <f>(30*BC!$B$47/E158)</f>
        <v>0</v>
      </c>
      <c r="I158" s="701">
        <f t="shared" si="26"/>
        <v>0</v>
      </c>
      <c r="J158" s="701">
        <f t="shared" si="23"/>
        <v>0</v>
      </c>
      <c r="K158" s="216">
        <f t="shared" si="24"/>
        <v>0</v>
      </c>
      <c r="L158" s="367">
        <v>219</v>
      </c>
      <c r="M158" s="148">
        <f t="shared" si="27"/>
        <v>0</v>
      </c>
      <c r="N158" s="91" t="e">
        <f t="shared" si="25"/>
        <v>#DIV/0!</v>
      </c>
      <c r="O158" s="148"/>
      <c r="P158" s="57">
        <f t="shared" si="28"/>
        <v>0</v>
      </c>
      <c r="Q158" s="57">
        <f t="shared" si="29"/>
        <v>0</v>
      </c>
    </row>
    <row r="159" spans="2:17" ht="15.75" customHeight="1" x14ac:dyDescent="0.45">
      <c r="B159" s="471">
        <v>11820907322</v>
      </c>
      <c r="C159" s="471" t="s">
        <v>1022</v>
      </c>
      <c r="D159" s="42">
        <v>2</v>
      </c>
      <c r="E159" s="1">
        <v>56</v>
      </c>
      <c r="F159" s="1"/>
      <c r="G159" s="1">
        <f t="shared" si="30"/>
        <v>0</v>
      </c>
      <c r="H159" s="60">
        <f>(30*BC!$B$47/E159)</f>
        <v>0</v>
      </c>
      <c r="I159" s="701">
        <f t="shared" si="26"/>
        <v>0</v>
      </c>
      <c r="J159" s="701">
        <f t="shared" si="23"/>
        <v>0</v>
      </c>
      <c r="K159" s="216">
        <f t="shared" si="24"/>
        <v>0</v>
      </c>
      <c r="L159" s="367">
        <v>189</v>
      </c>
      <c r="M159" s="148">
        <f t="shared" si="27"/>
        <v>0</v>
      </c>
      <c r="N159" s="91" t="e">
        <f t="shared" si="25"/>
        <v>#DIV/0!</v>
      </c>
      <c r="O159" s="148"/>
      <c r="P159" s="57">
        <f t="shared" si="28"/>
        <v>0</v>
      </c>
      <c r="Q159" s="57">
        <f t="shared" si="29"/>
        <v>0</v>
      </c>
    </row>
    <row r="160" spans="2:17" ht="15.75" customHeight="1" x14ac:dyDescent="0.45">
      <c r="B160" s="471">
        <v>7394667190</v>
      </c>
      <c r="C160" s="471" t="s">
        <v>1023</v>
      </c>
      <c r="D160" s="42">
        <v>2</v>
      </c>
      <c r="E160" s="1">
        <v>84</v>
      </c>
      <c r="F160" s="1"/>
      <c r="G160" s="1">
        <f t="shared" si="30"/>
        <v>0</v>
      </c>
      <c r="H160" s="60">
        <f>(30*BC!$B$47/E160)</f>
        <v>0</v>
      </c>
      <c r="I160" s="701">
        <f t="shared" si="26"/>
        <v>0</v>
      </c>
      <c r="J160" s="701">
        <f t="shared" si="23"/>
        <v>0</v>
      </c>
      <c r="K160" s="216">
        <f t="shared" si="24"/>
        <v>0</v>
      </c>
      <c r="L160" s="367">
        <v>88</v>
      </c>
      <c r="M160" s="148">
        <f t="shared" si="27"/>
        <v>0</v>
      </c>
      <c r="N160" s="91" t="e">
        <f t="shared" si="25"/>
        <v>#DIV/0!</v>
      </c>
      <c r="O160" s="148"/>
      <c r="P160" s="57">
        <f t="shared" si="28"/>
        <v>0</v>
      </c>
      <c r="Q160" s="57">
        <f t="shared" si="29"/>
        <v>0</v>
      </c>
    </row>
    <row r="161" spans="2:17" ht="15.75" customHeight="1" x14ac:dyDescent="0.45">
      <c r="B161" s="471">
        <v>7394675190</v>
      </c>
      <c r="C161" s="471" t="s">
        <v>1024</v>
      </c>
      <c r="D161" s="42">
        <v>2</v>
      </c>
      <c r="E161" s="1">
        <v>84</v>
      </c>
      <c r="F161" s="1"/>
      <c r="G161" s="1">
        <f t="shared" si="30"/>
        <v>0</v>
      </c>
      <c r="H161" s="60">
        <f>(30*BC!$B$47/E161)</f>
        <v>0</v>
      </c>
      <c r="I161" s="701">
        <f t="shared" si="26"/>
        <v>0</v>
      </c>
      <c r="J161" s="701">
        <f t="shared" si="23"/>
        <v>0</v>
      </c>
      <c r="K161" s="216">
        <f t="shared" si="24"/>
        <v>0</v>
      </c>
      <c r="L161" s="367">
        <v>144</v>
      </c>
      <c r="M161" s="148">
        <f t="shared" si="27"/>
        <v>0</v>
      </c>
      <c r="N161" s="91" t="e">
        <f t="shared" si="25"/>
        <v>#DIV/0!</v>
      </c>
      <c r="O161" s="148"/>
      <c r="P161" s="57">
        <f t="shared" si="28"/>
        <v>0</v>
      </c>
      <c r="Q161" s="57">
        <f t="shared" si="29"/>
        <v>0</v>
      </c>
    </row>
    <row r="162" spans="2:17" ht="15.75" customHeight="1" x14ac:dyDescent="0.45">
      <c r="B162" s="471">
        <v>7125941190</v>
      </c>
      <c r="C162" s="471" t="s">
        <v>1025</v>
      </c>
      <c r="D162" s="42">
        <v>2</v>
      </c>
      <c r="E162" s="1">
        <v>56</v>
      </c>
      <c r="F162" s="1"/>
      <c r="G162" s="1">
        <f t="shared" si="30"/>
        <v>0</v>
      </c>
      <c r="H162" s="60">
        <f>(30*BC!$B$47/E162)</f>
        <v>0</v>
      </c>
      <c r="I162" s="701">
        <f t="shared" si="26"/>
        <v>0</v>
      </c>
      <c r="J162" s="701">
        <f t="shared" si="23"/>
        <v>0</v>
      </c>
      <c r="K162" s="216">
        <f t="shared" si="24"/>
        <v>0</v>
      </c>
      <c r="L162" s="367">
        <v>1833</v>
      </c>
      <c r="M162" s="148">
        <f t="shared" si="27"/>
        <v>0</v>
      </c>
      <c r="N162" s="91" t="e">
        <f t="shared" si="25"/>
        <v>#DIV/0!</v>
      </c>
      <c r="O162" s="148"/>
      <c r="P162" s="57">
        <f t="shared" si="28"/>
        <v>0</v>
      </c>
      <c r="Q162" s="57">
        <f t="shared" si="29"/>
        <v>0</v>
      </c>
    </row>
    <row r="163" spans="2:17" ht="15.75" customHeight="1" x14ac:dyDescent="0.45">
      <c r="B163" s="471">
        <v>9315373190</v>
      </c>
      <c r="C163" s="471" t="s">
        <v>1026</v>
      </c>
      <c r="D163" s="42">
        <v>2</v>
      </c>
      <c r="E163" s="1">
        <v>84</v>
      </c>
      <c r="F163" s="1"/>
      <c r="G163" s="1">
        <f>(F58/(0.0007*100)/2000)</f>
        <v>0</v>
      </c>
      <c r="H163" s="60">
        <f>(30*BC!$B$47/E163)</f>
        <v>0</v>
      </c>
      <c r="I163" s="701">
        <f t="shared" si="26"/>
        <v>0</v>
      </c>
      <c r="J163" s="701">
        <f t="shared" si="23"/>
        <v>0</v>
      </c>
      <c r="K163" s="216">
        <f t="shared" si="24"/>
        <v>0</v>
      </c>
      <c r="L163" s="367">
        <v>53</v>
      </c>
      <c r="M163" s="148">
        <f t="shared" si="27"/>
        <v>0</v>
      </c>
      <c r="N163" s="91" t="e">
        <f t="shared" si="25"/>
        <v>#DIV/0!</v>
      </c>
      <c r="O163" s="148"/>
      <c r="P163" s="57">
        <f t="shared" si="28"/>
        <v>0</v>
      </c>
      <c r="Q163" s="57">
        <f t="shared" si="29"/>
        <v>0</v>
      </c>
    </row>
    <row r="164" spans="2:17" ht="15.75" customHeight="1" x14ac:dyDescent="0.45">
      <c r="B164" s="471">
        <v>7439547190</v>
      </c>
      <c r="C164" s="471" t="s">
        <v>1027</v>
      </c>
      <c r="D164" s="42">
        <v>2</v>
      </c>
      <c r="E164" s="1">
        <v>84</v>
      </c>
      <c r="F164" s="1"/>
      <c r="G164" s="1">
        <f t="shared" si="30"/>
        <v>0</v>
      </c>
      <c r="H164" s="60">
        <f>(30*BC!$B$47/E164)</f>
        <v>0</v>
      </c>
      <c r="I164" s="701">
        <f t="shared" si="26"/>
        <v>0</v>
      </c>
      <c r="J164" s="701">
        <f t="shared" si="23"/>
        <v>0</v>
      </c>
      <c r="K164" s="216">
        <f t="shared" si="24"/>
        <v>0</v>
      </c>
      <c r="L164" s="367">
        <v>121</v>
      </c>
      <c r="M164" s="148">
        <f t="shared" si="27"/>
        <v>0</v>
      </c>
      <c r="N164" s="91" t="e">
        <f t="shared" si="25"/>
        <v>#DIV/0!</v>
      </c>
      <c r="O164" s="148"/>
      <c r="P164" s="57">
        <f t="shared" si="28"/>
        <v>0</v>
      </c>
      <c r="Q164" s="57">
        <f t="shared" si="29"/>
        <v>0</v>
      </c>
    </row>
    <row r="165" spans="2:17" ht="15.75" customHeight="1" x14ac:dyDescent="0.45">
      <c r="B165" s="584" t="s">
        <v>1028</v>
      </c>
      <c r="C165" s="586" t="s">
        <v>1029</v>
      </c>
      <c r="D165" s="42">
        <v>2</v>
      </c>
      <c r="E165" s="1">
        <v>84</v>
      </c>
      <c r="F165" s="1"/>
      <c r="G165" s="1">
        <f t="shared" si="30"/>
        <v>0</v>
      </c>
      <c r="H165" s="60">
        <f>(30*BC!$B$47/E165)</f>
        <v>0</v>
      </c>
      <c r="I165" s="701">
        <f t="shared" si="26"/>
        <v>0</v>
      </c>
      <c r="J165" s="701">
        <f t="shared" si="23"/>
        <v>0</v>
      </c>
      <c r="K165" s="216">
        <f t="shared" si="24"/>
        <v>0</v>
      </c>
      <c r="L165" s="367">
        <v>79</v>
      </c>
      <c r="M165" s="148">
        <f t="shared" si="27"/>
        <v>0</v>
      </c>
      <c r="N165" s="91" t="e">
        <f t="shared" si="25"/>
        <v>#DIV/0!</v>
      </c>
      <c r="O165" s="148"/>
      <c r="P165" s="57">
        <f t="shared" si="28"/>
        <v>0</v>
      </c>
      <c r="Q165" s="57">
        <f t="shared" si="29"/>
        <v>0</v>
      </c>
    </row>
    <row r="166" spans="2:17" ht="15.75" customHeight="1" x14ac:dyDescent="0.45">
      <c r="B166" s="471">
        <v>9005684190</v>
      </c>
      <c r="C166" s="471" t="s">
        <v>1030</v>
      </c>
      <c r="D166" s="42">
        <v>2</v>
      </c>
      <c r="E166" s="1">
        <v>84</v>
      </c>
      <c r="F166" s="1"/>
      <c r="G166" s="1">
        <f t="shared" si="30"/>
        <v>0</v>
      </c>
      <c r="H166" s="60">
        <f>(30*BC!$B$47/E166)</f>
        <v>0</v>
      </c>
      <c r="I166" s="701">
        <f t="shared" si="26"/>
        <v>0</v>
      </c>
      <c r="J166" s="701">
        <f t="shared" si="23"/>
        <v>0</v>
      </c>
      <c r="K166" s="216">
        <f t="shared" si="24"/>
        <v>0</v>
      </c>
      <c r="L166" s="367">
        <v>140</v>
      </c>
      <c r="M166" s="148">
        <f t="shared" si="27"/>
        <v>0</v>
      </c>
      <c r="N166" s="91" t="e">
        <f t="shared" si="25"/>
        <v>#DIV/0!</v>
      </c>
      <c r="O166" s="148"/>
      <c r="P166" s="57">
        <f t="shared" si="28"/>
        <v>0</v>
      </c>
      <c r="Q166" s="57">
        <f t="shared" si="29"/>
        <v>0</v>
      </c>
    </row>
    <row r="167" spans="2:17" ht="15.75" customHeight="1" x14ac:dyDescent="0.45">
      <c r="B167" s="471">
        <v>5109469190</v>
      </c>
      <c r="C167" s="471" t="s">
        <v>1031</v>
      </c>
      <c r="D167" s="42">
        <v>2</v>
      </c>
      <c r="E167" s="1">
        <v>84</v>
      </c>
      <c r="F167" s="1"/>
      <c r="G167" s="1">
        <f t="shared" si="30"/>
        <v>0</v>
      </c>
      <c r="H167" s="60">
        <f>(30*BC!$B$47/E167)</f>
        <v>0</v>
      </c>
      <c r="I167" s="701">
        <f t="shared" si="26"/>
        <v>0</v>
      </c>
      <c r="J167" s="701">
        <f t="shared" si="23"/>
        <v>0</v>
      </c>
      <c r="K167" s="216">
        <f t="shared" si="24"/>
        <v>0</v>
      </c>
      <c r="L167" s="367">
        <v>264</v>
      </c>
      <c r="M167" s="148">
        <f t="shared" si="27"/>
        <v>0</v>
      </c>
      <c r="N167" s="91" t="e">
        <f t="shared" si="25"/>
        <v>#DIV/0!</v>
      </c>
      <c r="O167" s="148"/>
      <c r="P167" s="57">
        <f t="shared" si="28"/>
        <v>0</v>
      </c>
      <c r="Q167" s="57">
        <f t="shared" si="29"/>
        <v>0</v>
      </c>
    </row>
    <row r="168" spans="2:17" ht="15.75" customHeight="1" x14ac:dyDescent="0.45">
      <c r="B168" s="471">
        <v>3737586190</v>
      </c>
      <c r="C168" s="471" t="s">
        <v>1032</v>
      </c>
      <c r="D168" s="42">
        <v>2</v>
      </c>
      <c r="E168" s="1">
        <v>84</v>
      </c>
      <c r="F168" s="1"/>
      <c r="G168" s="1">
        <f>(F63/(0.0009*100)/2000)</f>
        <v>0</v>
      </c>
      <c r="H168" s="60">
        <f>(30*BC!$B$47/E168)</f>
        <v>0</v>
      </c>
      <c r="I168" s="701">
        <f t="shared" si="26"/>
        <v>0</v>
      </c>
      <c r="J168" s="701">
        <f t="shared" si="23"/>
        <v>0</v>
      </c>
      <c r="K168" s="216">
        <f t="shared" si="24"/>
        <v>0</v>
      </c>
      <c r="L168" s="367">
        <v>189</v>
      </c>
      <c r="M168" s="148">
        <f t="shared" si="27"/>
        <v>0</v>
      </c>
      <c r="N168" s="91" t="e">
        <f t="shared" si="25"/>
        <v>#DIV/0!</v>
      </c>
      <c r="O168" s="148"/>
      <c r="P168" s="57">
        <f t="shared" si="28"/>
        <v>0</v>
      </c>
      <c r="Q168" s="57">
        <f t="shared" si="29"/>
        <v>0</v>
      </c>
    </row>
    <row r="169" spans="2:17" ht="15.75" customHeight="1" x14ac:dyDescent="0.45">
      <c r="B169" s="471">
        <v>7396473190</v>
      </c>
      <c r="C169" s="471" t="s">
        <v>1033</v>
      </c>
      <c r="D169" s="42">
        <v>2</v>
      </c>
      <c r="E169" s="1">
        <v>84</v>
      </c>
      <c r="F169" s="1"/>
      <c r="G169" s="1">
        <f>(F64/(0.0005*100)/2000)</f>
        <v>0</v>
      </c>
      <c r="H169" s="60">
        <f>(30*BC!$B$47/E169)</f>
        <v>0</v>
      </c>
      <c r="I169" s="701">
        <f t="shared" si="26"/>
        <v>0</v>
      </c>
      <c r="J169" s="701">
        <f t="shared" si="23"/>
        <v>0</v>
      </c>
      <c r="K169" s="216">
        <f t="shared" si="24"/>
        <v>0</v>
      </c>
      <c r="L169" s="367">
        <v>75</v>
      </c>
      <c r="M169" s="148">
        <f t="shared" si="27"/>
        <v>0</v>
      </c>
      <c r="N169" s="91" t="e">
        <f t="shared" si="25"/>
        <v>#DIV/0!</v>
      </c>
      <c r="O169" s="148"/>
      <c r="P169" s="57">
        <f t="shared" si="28"/>
        <v>0</v>
      </c>
      <c r="Q169" s="57">
        <f t="shared" si="29"/>
        <v>0</v>
      </c>
    </row>
    <row r="170" spans="2:17" ht="15.75" customHeight="1" x14ac:dyDescent="0.45">
      <c r="B170" s="471">
        <v>7212780190</v>
      </c>
      <c r="C170" s="471" t="s">
        <v>1034</v>
      </c>
      <c r="D170" s="42">
        <v>2</v>
      </c>
      <c r="E170" s="1">
        <v>84</v>
      </c>
      <c r="F170" s="1"/>
      <c r="G170" s="1">
        <f>(F65/(0.0009*100)/2000)</f>
        <v>0</v>
      </c>
      <c r="H170" s="60">
        <f>(30*BC!$B$47/E170)</f>
        <v>0</v>
      </c>
      <c r="I170" s="701">
        <f t="shared" si="26"/>
        <v>0</v>
      </c>
      <c r="J170" s="701">
        <f t="shared" si="23"/>
        <v>0</v>
      </c>
      <c r="K170" s="216">
        <f t="shared" si="24"/>
        <v>0</v>
      </c>
      <c r="L170" s="367">
        <v>235</v>
      </c>
      <c r="M170" s="148">
        <f t="shared" si="27"/>
        <v>0</v>
      </c>
      <c r="N170" s="91" t="e">
        <f t="shared" si="25"/>
        <v>#DIV/0!</v>
      </c>
      <c r="O170" s="148"/>
      <c r="P170" s="57">
        <f t="shared" si="28"/>
        <v>0</v>
      </c>
      <c r="Q170" s="57">
        <f t="shared" si="29"/>
        <v>0</v>
      </c>
    </row>
    <row r="171" spans="2:17" ht="15.75" customHeight="1" x14ac:dyDescent="0.45">
      <c r="B171" s="471">
        <v>7726350190</v>
      </c>
      <c r="C171" s="471" t="s">
        <v>1035</v>
      </c>
      <c r="D171" s="42">
        <v>2</v>
      </c>
      <c r="E171" s="1">
        <v>31</v>
      </c>
      <c r="F171" s="1"/>
      <c r="G171" s="1">
        <f>(F66/(0.0009*100)/2000)</f>
        <v>0</v>
      </c>
      <c r="H171" s="60">
        <f>(30*BC!$B$47/E171)</f>
        <v>0</v>
      </c>
      <c r="I171" s="701">
        <f t="shared" si="26"/>
        <v>0</v>
      </c>
      <c r="J171" s="701">
        <f t="shared" si="23"/>
        <v>0</v>
      </c>
      <c r="K171" s="216">
        <f t="shared" si="24"/>
        <v>0</v>
      </c>
      <c r="L171" s="367">
        <v>445</v>
      </c>
      <c r="M171" s="148">
        <f t="shared" si="27"/>
        <v>0</v>
      </c>
      <c r="N171" s="91" t="e">
        <f t="shared" si="25"/>
        <v>#DIV/0!</v>
      </c>
      <c r="O171" s="148"/>
      <c r="P171" s="57">
        <f t="shared" si="28"/>
        <v>0</v>
      </c>
      <c r="Q171" s="57">
        <f t="shared" si="29"/>
        <v>0</v>
      </c>
    </row>
    <row r="172" spans="2:17" ht="15.75" customHeight="1" x14ac:dyDescent="0.45">
      <c r="B172" s="471">
        <v>11930427122</v>
      </c>
      <c r="C172" s="471" t="s">
        <v>1036</v>
      </c>
      <c r="D172" s="42">
        <v>2</v>
      </c>
      <c r="E172" s="1">
        <v>84</v>
      </c>
      <c r="F172" s="1"/>
      <c r="G172" s="1">
        <f t="shared" ref="G172:G177" si="31">(F67/(0.0005*100)/2000)</f>
        <v>0</v>
      </c>
      <c r="H172" s="60">
        <f>(30*BC!$B$47/E172)</f>
        <v>0</v>
      </c>
      <c r="I172" s="701">
        <f t="shared" si="26"/>
        <v>0</v>
      </c>
      <c r="J172" s="701">
        <f t="shared" si="23"/>
        <v>0</v>
      </c>
      <c r="K172" s="216">
        <f t="shared" si="24"/>
        <v>0</v>
      </c>
      <c r="L172" s="367">
        <v>229</v>
      </c>
      <c r="M172" s="148">
        <f t="shared" si="27"/>
        <v>0</v>
      </c>
      <c r="N172" s="91" t="e">
        <f t="shared" si="25"/>
        <v>#DIV/0!</v>
      </c>
      <c r="O172" s="148"/>
      <c r="P172" s="57">
        <f t="shared" si="28"/>
        <v>0</v>
      </c>
      <c r="Q172" s="57">
        <f t="shared" si="29"/>
        <v>0</v>
      </c>
    </row>
    <row r="173" spans="2:17" ht="15.75" customHeight="1" x14ac:dyDescent="0.45">
      <c r="B173" s="471">
        <v>8243891190</v>
      </c>
      <c r="C173" s="471" t="s">
        <v>1037</v>
      </c>
      <c r="D173" s="42">
        <v>2</v>
      </c>
      <c r="E173" s="1">
        <v>84</v>
      </c>
      <c r="F173" s="1"/>
      <c r="G173" s="1">
        <f t="shared" si="31"/>
        <v>0</v>
      </c>
      <c r="H173" s="60">
        <f>(30*BC!$B$47/E173)</f>
        <v>0</v>
      </c>
      <c r="I173" s="701">
        <f t="shared" si="26"/>
        <v>0</v>
      </c>
      <c r="J173" s="701">
        <f t="shared" si="23"/>
        <v>0</v>
      </c>
      <c r="K173" s="216">
        <f t="shared" si="24"/>
        <v>0</v>
      </c>
      <c r="L173" s="367">
        <v>126</v>
      </c>
      <c r="M173" s="148">
        <f t="shared" si="27"/>
        <v>0</v>
      </c>
      <c r="N173" s="91" t="e">
        <f t="shared" si="25"/>
        <v>#DIV/0!</v>
      </c>
      <c r="O173" s="148"/>
      <c r="P173" s="57">
        <f t="shared" si="28"/>
        <v>0</v>
      </c>
      <c r="Q173" s="57">
        <f t="shared" si="29"/>
        <v>0</v>
      </c>
    </row>
    <row r="174" spans="2:17" ht="15.75" customHeight="1" x14ac:dyDescent="0.45">
      <c r="B174" s="471">
        <v>5608554190</v>
      </c>
      <c r="C174" s="471" t="s">
        <v>1038</v>
      </c>
      <c r="D174" s="42">
        <v>2</v>
      </c>
      <c r="E174" s="1">
        <v>90</v>
      </c>
      <c r="F174" s="1"/>
      <c r="G174" s="1">
        <f t="shared" si="31"/>
        <v>0</v>
      </c>
      <c r="H174" s="60">
        <f>(30*BC!$B$47/E174)</f>
        <v>0</v>
      </c>
      <c r="I174" s="701">
        <f t="shared" si="26"/>
        <v>0</v>
      </c>
      <c r="J174" s="701">
        <f t="shared" si="23"/>
        <v>0</v>
      </c>
      <c r="K174" s="216">
        <f t="shared" si="24"/>
        <v>0</v>
      </c>
      <c r="L174" s="367">
        <v>456</v>
      </c>
      <c r="M174" s="148">
        <f t="shared" si="27"/>
        <v>0</v>
      </c>
      <c r="N174" s="91" t="e">
        <f t="shared" si="25"/>
        <v>#DIV/0!</v>
      </c>
      <c r="O174" s="148"/>
      <c r="P174" s="57">
        <f t="shared" si="28"/>
        <v>0</v>
      </c>
      <c r="Q174" s="57">
        <f t="shared" si="29"/>
        <v>0</v>
      </c>
    </row>
    <row r="175" spans="2:17" ht="15.75" customHeight="1" x14ac:dyDescent="0.45">
      <c r="B175" s="471">
        <v>3141080190</v>
      </c>
      <c r="C175" s="471" t="s">
        <v>1039</v>
      </c>
      <c r="D175" s="42">
        <v>2</v>
      </c>
      <c r="E175" s="1">
        <v>84</v>
      </c>
      <c r="F175" s="1"/>
      <c r="G175" s="1">
        <f t="shared" si="31"/>
        <v>0</v>
      </c>
      <c r="H175" s="60">
        <f>(30*BC!$B$47/E175)</f>
        <v>0</v>
      </c>
      <c r="I175" s="701">
        <f t="shared" si="26"/>
        <v>0</v>
      </c>
      <c r="J175" s="701">
        <f t="shared" si="23"/>
        <v>0</v>
      </c>
      <c r="K175" s="216">
        <f t="shared" si="24"/>
        <v>0</v>
      </c>
      <c r="L175" s="367">
        <v>266</v>
      </c>
      <c r="M175" s="148">
        <f t="shared" si="27"/>
        <v>0</v>
      </c>
      <c r="N175" s="91" t="e">
        <f t="shared" si="25"/>
        <v>#DIV/0!</v>
      </c>
      <c r="O175" s="148"/>
      <c r="P175" s="57">
        <f t="shared" si="28"/>
        <v>0</v>
      </c>
      <c r="Q175" s="57">
        <f t="shared" si="29"/>
        <v>0</v>
      </c>
    </row>
    <row r="176" spans="2:17" ht="15.75" customHeight="1" x14ac:dyDescent="0.45">
      <c r="B176" s="471">
        <v>11972316122</v>
      </c>
      <c r="C176" s="471" t="s">
        <v>1040</v>
      </c>
      <c r="D176" s="42">
        <v>2</v>
      </c>
      <c r="E176" s="1">
        <v>84</v>
      </c>
      <c r="F176" s="1"/>
      <c r="G176" s="1">
        <f t="shared" si="31"/>
        <v>0</v>
      </c>
      <c r="H176" s="60">
        <f>(30*BC!$B$47/E176)</f>
        <v>0</v>
      </c>
      <c r="I176" s="701">
        <f t="shared" si="26"/>
        <v>0</v>
      </c>
      <c r="J176" s="701">
        <f t="shared" si="23"/>
        <v>0</v>
      </c>
      <c r="K176" s="216">
        <f t="shared" si="24"/>
        <v>0</v>
      </c>
      <c r="L176" s="367">
        <v>162</v>
      </c>
      <c r="M176" s="148">
        <f t="shared" si="27"/>
        <v>0</v>
      </c>
      <c r="N176" s="91" t="e">
        <f t="shared" si="25"/>
        <v>#DIV/0!</v>
      </c>
      <c r="O176" s="148"/>
      <c r="P176" s="57">
        <f t="shared" si="28"/>
        <v>0</v>
      </c>
      <c r="Q176" s="57">
        <f t="shared" si="29"/>
        <v>0</v>
      </c>
    </row>
    <row r="177" spans="2:17" ht="15.75" customHeight="1" x14ac:dyDescent="0.45">
      <c r="B177" s="471">
        <v>11972111122</v>
      </c>
      <c r="C177" s="471" t="s">
        <v>1041</v>
      </c>
      <c r="D177" s="42">
        <v>2</v>
      </c>
      <c r="E177" s="1">
        <v>84</v>
      </c>
      <c r="F177" s="1"/>
      <c r="G177" s="1">
        <f t="shared" si="31"/>
        <v>0</v>
      </c>
      <c r="H177" s="60">
        <f>(30*BC!$B$47/E177)</f>
        <v>0</v>
      </c>
      <c r="I177" s="701">
        <f t="shared" si="26"/>
        <v>0</v>
      </c>
      <c r="J177" s="701">
        <f t="shared" si="23"/>
        <v>0</v>
      </c>
      <c r="K177" s="216">
        <f t="shared" si="24"/>
        <v>0</v>
      </c>
      <c r="L177" s="367">
        <v>335</v>
      </c>
      <c r="M177" s="148">
        <f t="shared" si="27"/>
        <v>0</v>
      </c>
      <c r="N177" s="91" t="e">
        <f t="shared" si="25"/>
        <v>#DIV/0!</v>
      </c>
      <c r="O177" s="148"/>
      <c r="P177" s="57">
        <f t="shared" si="28"/>
        <v>0</v>
      </c>
      <c r="Q177" s="57">
        <f t="shared" si="29"/>
        <v>0</v>
      </c>
    </row>
    <row r="178" spans="2:17" ht="15.75" customHeight="1" x14ac:dyDescent="0.45">
      <c r="B178" s="471">
        <v>9038116190</v>
      </c>
      <c r="C178" s="471" t="s">
        <v>1042</v>
      </c>
      <c r="D178" s="42">
        <v>2</v>
      </c>
      <c r="E178" s="1">
        <v>84</v>
      </c>
      <c r="F178" s="1"/>
      <c r="G178" s="1">
        <f>(F75/(0.0015*100)/2000)</f>
        <v>0</v>
      </c>
      <c r="H178" s="60">
        <f>(30*BC!$B$47/E178)</f>
        <v>0</v>
      </c>
      <c r="I178" s="701">
        <f t="shared" si="26"/>
        <v>0</v>
      </c>
      <c r="J178" s="701">
        <f t="shared" ref="J178:J241" si="32">IF(G178=0,0,I178)</f>
        <v>0</v>
      </c>
      <c r="K178" s="216">
        <f t="shared" ref="K178:K241" si="33">ROUNDUP(J178,0)</f>
        <v>0</v>
      </c>
      <c r="L178" s="367">
        <v>635</v>
      </c>
      <c r="M178" s="148">
        <f t="shared" si="27"/>
        <v>0</v>
      </c>
      <c r="N178" s="91" t="e">
        <f t="shared" ref="N178:N241" si="34">((L178*$K$264)+L178)</f>
        <v>#DIV/0!</v>
      </c>
      <c r="O178" s="148"/>
      <c r="P178" s="57">
        <f t="shared" si="28"/>
        <v>0</v>
      </c>
      <c r="Q178" s="57">
        <f t="shared" si="29"/>
        <v>0</v>
      </c>
    </row>
    <row r="179" spans="2:17" ht="15.75" customHeight="1" x14ac:dyDescent="0.45">
      <c r="B179" s="471">
        <v>7475969190</v>
      </c>
      <c r="C179" s="471" t="s">
        <v>1043</v>
      </c>
      <c r="D179" s="42">
        <v>2</v>
      </c>
      <c r="E179" s="1">
        <v>31</v>
      </c>
      <c r="F179" s="1"/>
      <c r="G179" s="1">
        <f>(F76/(0.0005*100)/2000)</f>
        <v>0</v>
      </c>
      <c r="H179" s="60">
        <f>(30*BC!$B$47/E179)</f>
        <v>0</v>
      </c>
      <c r="I179" s="701">
        <f t="shared" ref="I179:I242" si="35">IF(H179&gt;G179,H179,G179)</f>
        <v>0</v>
      </c>
      <c r="J179" s="701">
        <f t="shared" si="32"/>
        <v>0</v>
      </c>
      <c r="K179" s="216">
        <f t="shared" si="33"/>
        <v>0</v>
      </c>
      <c r="L179" s="367">
        <v>370</v>
      </c>
      <c r="M179" s="148">
        <f t="shared" ref="M179:M242" si="36">((L179/D179)*K179)</f>
        <v>0</v>
      </c>
      <c r="N179" s="91" t="e">
        <f t="shared" si="34"/>
        <v>#DIV/0!</v>
      </c>
      <c r="O179" s="148"/>
      <c r="P179" s="57">
        <f t="shared" ref="P179:P242" si="37">K179/D179</f>
        <v>0</v>
      </c>
      <c r="Q179" s="57">
        <f t="shared" ref="Q179:Q242" si="38">ROUNDUP(P179,0)</f>
        <v>0</v>
      </c>
    </row>
    <row r="180" spans="2:17" ht="15.75" customHeight="1" x14ac:dyDescent="0.45">
      <c r="B180" s="471">
        <v>7574762190</v>
      </c>
      <c r="C180" s="471" t="s">
        <v>1044</v>
      </c>
      <c r="D180" s="42">
        <v>2</v>
      </c>
      <c r="E180" s="1">
        <v>84</v>
      </c>
      <c r="F180" s="1"/>
      <c r="G180" s="1">
        <f>(F77/(0.0005*100)/2000)</f>
        <v>0</v>
      </c>
      <c r="H180" s="60">
        <f>(30*BC!$B$47/E180)</f>
        <v>0</v>
      </c>
      <c r="I180" s="701">
        <f t="shared" si="35"/>
        <v>0</v>
      </c>
      <c r="J180" s="701">
        <f t="shared" si="32"/>
        <v>0</v>
      </c>
      <c r="K180" s="216">
        <f t="shared" si="33"/>
        <v>0</v>
      </c>
      <c r="L180" s="367">
        <v>586</v>
      </c>
      <c r="M180" s="148">
        <f t="shared" si="36"/>
        <v>0</v>
      </c>
      <c r="N180" s="91" t="e">
        <f t="shared" si="34"/>
        <v>#DIV/0!</v>
      </c>
      <c r="O180" s="148"/>
      <c r="P180" s="57">
        <f t="shared" si="37"/>
        <v>0</v>
      </c>
      <c r="Q180" s="57">
        <f t="shared" si="38"/>
        <v>0</v>
      </c>
    </row>
    <row r="181" spans="2:17" ht="15.75" customHeight="1" x14ac:dyDescent="0.45">
      <c r="B181" s="471">
        <v>9289291190</v>
      </c>
      <c r="C181" s="673" t="s">
        <v>1045</v>
      </c>
      <c r="D181" s="42">
        <v>2</v>
      </c>
      <c r="E181" s="1">
        <v>84</v>
      </c>
      <c r="F181" s="1"/>
      <c r="G181" s="1">
        <f>(F106/(0.0005*100)/2000)</f>
        <v>0</v>
      </c>
      <c r="H181" s="60">
        <f>(30*BC!$B$47/E181)</f>
        <v>0</v>
      </c>
      <c r="I181" s="701">
        <f t="shared" si="35"/>
        <v>0</v>
      </c>
      <c r="J181" s="701">
        <f t="shared" si="32"/>
        <v>0</v>
      </c>
      <c r="K181" s="216">
        <f t="shared" si="33"/>
        <v>0</v>
      </c>
      <c r="L181" s="367">
        <v>155</v>
      </c>
      <c r="M181" s="148">
        <f t="shared" si="36"/>
        <v>0</v>
      </c>
      <c r="N181" s="91" t="e">
        <f t="shared" si="34"/>
        <v>#DIV/0!</v>
      </c>
      <c r="O181" s="148"/>
      <c r="P181" s="57">
        <f t="shared" si="37"/>
        <v>0</v>
      </c>
      <c r="Q181" s="57">
        <f t="shared" si="38"/>
        <v>0</v>
      </c>
    </row>
    <row r="182" spans="2:17" ht="15.75" customHeight="1" x14ac:dyDescent="0.45">
      <c r="B182" s="471">
        <v>5889022190</v>
      </c>
      <c r="C182" s="676" t="s">
        <v>1046</v>
      </c>
      <c r="D182" s="42">
        <v>3</v>
      </c>
      <c r="E182" s="1">
        <v>28</v>
      </c>
      <c r="F182" s="1"/>
      <c r="G182" s="1">
        <f>(F108/(0.0005*100)/2000)</f>
        <v>0</v>
      </c>
      <c r="H182" s="60">
        <f>(30*BC!$B$47/E182)</f>
        <v>0</v>
      </c>
      <c r="I182" s="701">
        <f t="shared" si="35"/>
        <v>0</v>
      </c>
      <c r="J182" s="701">
        <f t="shared" si="32"/>
        <v>0</v>
      </c>
      <c r="K182" s="216">
        <f t="shared" si="33"/>
        <v>0</v>
      </c>
      <c r="L182" s="367">
        <v>1433</v>
      </c>
      <c r="M182" s="148">
        <f t="shared" si="36"/>
        <v>0</v>
      </c>
      <c r="N182" s="91" t="e">
        <f t="shared" si="34"/>
        <v>#DIV/0!</v>
      </c>
      <c r="O182" s="148"/>
      <c r="P182" s="57">
        <f t="shared" si="37"/>
        <v>0</v>
      </c>
      <c r="Q182" s="57">
        <f t="shared" si="38"/>
        <v>0</v>
      </c>
    </row>
    <row r="183" spans="2:17" ht="15.75" customHeight="1" x14ac:dyDescent="0.45">
      <c r="B183" s="471">
        <v>6633196190</v>
      </c>
      <c r="C183" s="677" t="s">
        <v>1047</v>
      </c>
      <c r="D183" s="42">
        <v>3</v>
      </c>
      <c r="E183" s="1">
        <v>28</v>
      </c>
      <c r="F183" s="1"/>
      <c r="G183" s="1">
        <f>(F109/(0.0005*100)/2000)</f>
        <v>0</v>
      </c>
      <c r="H183" s="60">
        <f>(30*BC!$B$47/E183)</f>
        <v>0</v>
      </c>
      <c r="I183" s="701">
        <f t="shared" si="35"/>
        <v>0</v>
      </c>
      <c r="J183" s="701">
        <f t="shared" si="32"/>
        <v>0</v>
      </c>
      <c r="K183" s="216">
        <f t="shared" si="33"/>
        <v>0</v>
      </c>
      <c r="L183" s="367">
        <v>331</v>
      </c>
      <c r="M183" s="148">
        <f t="shared" si="36"/>
        <v>0</v>
      </c>
      <c r="N183" s="91" t="e">
        <f t="shared" si="34"/>
        <v>#DIV/0!</v>
      </c>
      <c r="O183" s="148"/>
      <c r="P183" s="57">
        <f t="shared" si="37"/>
        <v>0</v>
      </c>
      <c r="Q183" s="57">
        <f t="shared" si="38"/>
        <v>0</v>
      </c>
    </row>
    <row r="184" spans="2:17" ht="15.75" customHeight="1" x14ac:dyDescent="0.45">
      <c r="B184" s="471">
        <v>6327982190</v>
      </c>
      <c r="C184" s="471" t="s">
        <v>1048</v>
      </c>
      <c r="D184" s="42">
        <v>3</v>
      </c>
      <c r="E184" s="1">
        <v>28</v>
      </c>
      <c r="F184" s="1"/>
      <c r="G184" s="1">
        <f>(F110/(0.0005*100)/2000)</f>
        <v>0</v>
      </c>
      <c r="H184" s="60">
        <f>(30*BC!$B$47/E184)</f>
        <v>0</v>
      </c>
      <c r="I184" s="701">
        <f t="shared" si="35"/>
        <v>0</v>
      </c>
      <c r="J184" s="701">
        <f t="shared" si="32"/>
        <v>0</v>
      </c>
      <c r="K184" s="216">
        <f t="shared" si="33"/>
        <v>0</v>
      </c>
      <c r="L184" s="367">
        <v>333</v>
      </c>
      <c r="M184" s="148">
        <f t="shared" si="36"/>
        <v>0</v>
      </c>
      <c r="N184" s="91" t="e">
        <f t="shared" si="34"/>
        <v>#DIV/0!</v>
      </c>
      <c r="O184" s="148"/>
      <c r="P184" s="57">
        <f t="shared" si="37"/>
        <v>0</v>
      </c>
      <c r="Q184" s="57">
        <f t="shared" si="38"/>
        <v>0</v>
      </c>
    </row>
    <row r="185" spans="2:17" ht="15.75" customHeight="1" x14ac:dyDescent="0.45">
      <c r="B185" s="471">
        <v>5889065190</v>
      </c>
      <c r="C185" s="471" t="s">
        <v>1049</v>
      </c>
      <c r="D185" s="42">
        <v>3</v>
      </c>
      <c r="E185" s="1">
        <v>28</v>
      </c>
      <c r="F185" s="1"/>
      <c r="G185" s="1">
        <f>(F111/(0.0005*100)/2000)</f>
        <v>0</v>
      </c>
      <c r="H185" s="60">
        <f>(30*BC!$B$47/E185)</f>
        <v>0</v>
      </c>
      <c r="I185" s="701">
        <f t="shared" si="35"/>
        <v>0</v>
      </c>
      <c r="J185" s="701">
        <f t="shared" si="32"/>
        <v>0</v>
      </c>
      <c r="K185" s="216">
        <f t="shared" si="33"/>
        <v>0</v>
      </c>
      <c r="L185" s="367">
        <v>1629</v>
      </c>
      <c r="M185" s="148">
        <f t="shared" si="36"/>
        <v>0</v>
      </c>
      <c r="N185" s="91" t="e">
        <f t="shared" si="34"/>
        <v>#DIV/0!</v>
      </c>
      <c r="O185" s="148"/>
      <c r="P185" s="57">
        <f t="shared" si="37"/>
        <v>0</v>
      </c>
      <c r="Q185" s="57">
        <f t="shared" si="38"/>
        <v>0</v>
      </c>
    </row>
    <row r="186" spans="2:17" ht="21" x14ac:dyDescent="0.35">
      <c r="B186" s="587" t="s">
        <v>277</v>
      </c>
      <c r="C186" s="588"/>
      <c r="D186" s="589" t="s">
        <v>1082</v>
      </c>
      <c r="E186" s="698" t="s">
        <v>54</v>
      </c>
      <c r="F186" s="481"/>
      <c r="G186" s="482" t="s">
        <v>53</v>
      </c>
      <c r="H186" s="512" t="s">
        <v>52</v>
      </c>
      <c r="I186" s="512" t="s">
        <v>51</v>
      </c>
      <c r="J186" s="512"/>
      <c r="K186" s="482" t="s">
        <v>50</v>
      </c>
      <c r="L186" s="513" t="s">
        <v>49</v>
      </c>
      <c r="M186" s="482" t="s">
        <v>48</v>
      </c>
      <c r="N186" s="92" t="s">
        <v>176</v>
      </c>
      <c r="O186" s="482"/>
      <c r="P186" s="483" t="s">
        <v>318</v>
      </c>
      <c r="Q186" s="483" t="s">
        <v>319</v>
      </c>
    </row>
    <row r="187" spans="2:17" ht="15.75" customHeight="1" x14ac:dyDescent="0.45">
      <c r="B187" s="471">
        <v>11731416190</v>
      </c>
      <c r="C187" s="594" t="s">
        <v>625</v>
      </c>
      <c r="D187" s="42">
        <v>2</v>
      </c>
      <c r="E187" s="1">
        <v>28</v>
      </c>
      <c r="F187" s="1"/>
      <c r="G187" s="1">
        <f>(A10/(0.0013*300)/3000)</f>
        <v>0</v>
      </c>
      <c r="H187" s="60">
        <f>(30*BC!$B$47/E187)</f>
        <v>0</v>
      </c>
      <c r="I187" s="701">
        <f t="shared" si="35"/>
        <v>0</v>
      </c>
      <c r="J187" s="701">
        <f t="shared" si="32"/>
        <v>0</v>
      </c>
      <c r="K187" s="216">
        <f t="shared" si="33"/>
        <v>0</v>
      </c>
      <c r="L187" s="367">
        <v>101</v>
      </c>
      <c r="M187" s="148">
        <f t="shared" si="36"/>
        <v>0</v>
      </c>
      <c r="N187" s="91" t="e">
        <f t="shared" si="34"/>
        <v>#DIV/0!</v>
      </c>
      <c r="O187" s="148"/>
      <c r="P187" s="57">
        <f t="shared" si="37"/>
        <v>0</v>
      </c>
      <c r="Q187" s="57">
        <f t="shared" si="38"/>
        <v>0</v>
      </c>
    </row>
    <row r="188" spans="2:17" ht="15.75" customHeight="1" x14ac:dyDescent="0.45">
      <c r="B188" s="471">
        <v>8740062190</v>
      </c>
      <c r="C188" s="603" t="s">
        <v>583</v>
      </c>
      <c r="D188" s="42">
        <v>2</v>
      </c>
      <c r="E188" s="1">
        <v>84</v>
      </c>
      <c r="F188" s="1"/>
      <c r="G188" s="1">
        <f>(A18/(0.00001*300)/3000)</f>
        <v>0</v>
      </c>
      <c r="H188" s="60">
        <f>(30*BC!$B$47/E188)</f>
        <v>0</v>
      </c>
      <c r="I188" s="701">
        <f t="shared" si="35"/>
        <v>0</v>
      </c>
      <c r="J188" s="701">
        <f t="shared" si="32"/>
        <v>0</v>
      </c>
      <c r="K188" s="216">
        <f t="shared" si="33"/>
        <v>0</v>
      </c>
      <c r="L188" s="367">
        <v>671</v>
      </c>
      <c r="M188" s="148">
        <f t="shared" si="36"/>
        <v>0</v>
      </c>
      <c r="N188" s="91" t="e">
        <f t="shared" si="34"/>
        <v>#DIV/0!</v>
      </c>
      <c r="O188" s="148"/>
      <c r="P188" s="57">
        <f t="shared" si="37"/>
        <v>0</v>
      </c>
      <c r="Q188" s="57">
        <f t="shared" si="38"/>
        <v>0</v>
      </c>
    </row>
    <row r="189" spans="2:17" ht="15.75" customHeight="1" x14ac:dyDescent="0.45">
      <c r="B189" s="471">
        <v>5341787190</v>
      </c>
      <c r="C189" s="607" t="s">
        <v>613</v>
      </c>
      <c r="D189" s="42">
        <v>3</v>
      </c>
      <c r="E189" s="1">
        <v>31</v>
      </c>
      <c r="F189" s="1"/>
      <c r="G189" s="1">
        <f>(A21/(0.00001*300)/3000)</f>
        <v>0</v>
      </c>
      <c r="H189" s="60">
        <f>(30*BC!$B$47/E189)</f>
        <v>0</v>
      </c>
      <c r="I189" s="701">
        <f t="shared" si="35"/>
        <v>0</v>
      </c>
      <c r="J189" s="701">
        <f t="shared" si="32"/>
        <v>0</v>
      </c>
      <c r="K189" s="216">
        <f t="shared" si="33"/>
        <v>0</v>
      </c>
      <c r="L189" s="367">
        <v>425</v>
      </c>
      <c r="M189" s="148">
        <f t="shared" si="36"/>
        <v>0</v>
      </c>
      <c r="N189" s="91" t="e">
        <f t="shared" si="34"/>
        <v>#DIV/0!</v>
      </c>
      <c r="O189" s="148"/>
      <c r="P189" s="57">
        <f t="shared" si="37"/>
        <v>0</v>
      </c>
      <c r="Q189" s="57">
        <f t="shared" si="38"/>
        <v>0</v>
      </c>
    </row>
    <row r="190" spans="2:17" ht="15.75" customHeight="1" x14ac:dyDescent="0.45">
      <c r="B190" s="471">
        <v>6687776190</v>
      </c>
      <c r="C190" s="604" t="s">
        <v>1050</v>
      </c>
      <c r="D190" s="42">
        <v>2</v>
      </c>
      <c r="E190" s="1">
        <v>28</v>
      </c>
      <c r="F190" s="1"/>
      <c r="G190" s="1"/>
      <c r="H190" s="60">
        <f>(30*BC!$B$47/E190)</f>
        <v>0</v>
      </c>
      <c r="I190" s="701">
        <f t="shared" si="35"/>
        <v>0</v>
      </c>
      <c r="J190" s="701">
        <f t="shared" si="32"/>
        <v>0</v>
      </c>
      <c r="K190" s="216">
        <f t="shared" si="33"/>
        <v>0</v>
      </c>
      <c r="L190" s="367">
        <v>2012</v>
      </c>
      <c r="M190" s="148">
        <f t="shared" si="36"/>
        <v>0</v>
      </c>
      <c r="N190" s="91" t="e">
        <f t="shared" si="34"/>
        <v>#DIV/0!</v>
      </c>
      <c r="O190" s="148"/>
      <c r="P190" s="57">
        <f t="shared" si="37"/>
        <v>0</v>
      </c>
      <c r="Q190" s="57">
        <f t="shared" si="38"/>
        <v>0</v>
      </c>
    </row>
    <row r="191" spans="2:17" ht="15.75" customHeight="1" x14ac:dyDescent="0.45">
      <c r="B191" s="471">
        <v>11776452122</v>
      </c>
      <c r="C191" s="614" t="s">
        <v>624</v>
      </c>
      <c r="D191" s="42">
        <v>2</v>
      </c>
      <c r="E191" s="1">
        <v>28</v>
      </c>
      <c r="F191" s="1"/>
      <c r="G191" s="1">
        <f>(A15/(0.00029*300)/3000)</f>
        <v>0</v>
      </c>
      <c r="H191" s="60">
        <f>(30*BC!$B$47/E191)</f>
        <v>0</v>
      </c>
      <c r="I191" s="701">
        <f t="shared" si="35"/>
        <v>0</v>
      </c>
      <c r="J191" s="701">
        <f t="shared" si="32"/>
        <v>0</v>
      </c>
      <c r="K191" s="216">
        <f t="shared" si="33"/>
        <v>0</v>
      </c>
      <c r="L191" s="367">
        <v>189</v>
      </c>
      <c r="M191" s="148">
        <f t="shared" si="36"/>
        <v>0</v>
      </c>
      <c r="N191" s="91" t="e">
        <f t="shared" si="34"/>
        <v>#DIV/0!</v>
      </c>
      <c r="O191" s="148"/>
      <c r="P191" s="57">
        <f t="shared" si="37"/>
        <v>0</v>
      </c>
      <c r="Q191" s="57">
        <f t="shared" si="38"/>
        <v>0</v>
      </c>
    </row>
    <row r="192" spans="2:17" ht="15.75" customHeight="1" x14ac:dyDescent="0.45">
      <c r="B192" s="471">
        <v>7713223190</v>
      </c>
      <c r="C192" s="628" t="s">
        <v>584</v>
      </c>
      <c r="D192" s="42">
        <v>2</v>
      </c>
      <c r="E192" s="1">
        <v>31</v>
      </c>
      <c r="F192" s="1"/>
      <c r="G192" s="1"/>
      <c r="H192" s="60">
        <f>(30*BC!$B$47/E192)</f>
        <v>0</v>
      </c>
      <c r="I192" s="701">
        <f t="shared" si="35"/>
        <v>0</v>
      </c>
      <c r="J192" s="701">
        <f t="shared" si="32"/>
        <v>0</v>
      </c>
      <c r="K192" s="216">
        <f t="shared" si="33"/>
        <v>0</v>
      </c>
      <c r="L192" s="367">
        <v>929</v>
      </c>
      <c r="M192" s="148">
        <f t="shared" si="36"/>
        <v>0</v>
      </c>
      <c r="N192" s="91" t="e">
        <f t="shared" si="34"/>
        <v>#DIV/0!</v>
      </c>
      <c r="O192" s="148"/>
      <c r="P192" s="57">
        <f t="shared" si="37"/>
        <v>0</v>
      </c>
      <c r="Q192" s="57">
        <f t="shared" si="38"/>
        <v>0</v>
      </c>
    </row>
    <row r="193" spans="2:17" ht="15.75" customHeight="1" x14ac:dyDescent="0.45">
      <c r="B193" s="17">
        <v>4917049190</v>
      </c>
      <c r="C193" s="620" t="s">
        <v>1141</v>
      </c>
      <c r="D193" s="42">
        <v>2</v>
      </c>
      <c r="E193" s="1">
        <v>84</v>
      </c>
      <c r="F193" s="1"/>
      <c r="G193" s="1">
        <f>(A27/(0.00003*300)/3000)</f>
        <v>0</v>
      </c>
      <c r="H193" s="60">
        <f>(30*BC!$B$47/E193)</f>
        <v>0</v>
      </c>
      <c r="I193" s="701">
        <f t="shared" si="35"/>
        <v>0</v>
      </c>
      <c r="J193" s="701">
        <f t="shared" si="32"/>
        <v>0</v>
      </c>
      <c r="K193" s="216">
        <f t="shared" si="33"/>
        <v>0</v>
      </c>
      <c r="L193" s="367">
        <v>127</v>
      </c>
      <c r="M193" s="148">
        <f t="shared" si="36"/>
        <v>0</v>
      </c>
      <c r="N193" s="91" t="e">
        <f t="shared" si="34"/>
        <v>#DIV/0!</v>
      </c>
      <c r="O193" s="148"/>
      <c r="P193" s="57">
        <f t="shared" si="37"/>
        <v>0</v>
      </c>
      <c r="Q193" s="57">
        <f t="shared" si="38"/>
        <v>0</v>
      </c>
    </row>
    <row r="194" spans="2:17" ht="15.75" customHeight="1" x14ac:dyDescent="0.45">
      <c r="B194" s="17">
        <v>5095107190</v>
      </c>
      <c r="C194" s="622" t="s">
        <v>623</v>
      </c>
      <c r="D194" s="42">
        <v>2</v>
      </c>
      <c r="E194" s="1">
        <v>84</v>
      </c>
      <c r="F194" s="1"/>
      <c r="G194" s="1">
        <f>(A31/(0.00006*300)/3000)</f>
        <v>0</v>
      </c>
      <c r="H194" s="60">
        <f>(30*BC!$B$47/E194)</f>
        <v>0</v>
      </c>
      <c r="I194" s="701">
        <f t="shared" si="35"/>
        <v>0</v>
      </c>
      <c r="J194" s="701">
        <f t="shared" si="32"/>
        <v>0</v>
      </c>
      <c r="K194" s="216">
        <f t="shared" si="33"/>
        <v>0</v>
      </c>
      <c r="L194" s="367">
        <v>87</v>
      </c>
      <c r="M194" s="148">
        <f t="shared" si="36"/>
        <v>0</v>
      </c>
      <c r="N194" s="91" t="e">
        <f t="shared" si="34"/>
        <v>#DIV/0!</v>
      </c>
      <c r="O194" s="148"/>
      <c r="P194" s="57">
        <f t="shared" si="37"/>
        <v>0</v>
      </c>
      <c r="Q194" s="57">
        <f t="shared" si="38"/>
        <v>0</v>
      </c>
    </row>
    <row r="195" spans="2:17" ht="15.75" customHeight="1" x14ac:dyDescent="0.45">
      <c r="B195" s="17">
        <v>5042666191</v>
      </c>
      <c r="C195" s="598" t="s">
        <v>619</v>
      </c>
      <c r="D195" s="42">
        <v>2</v>
      </c>
      <c r="E195" s="1">
        <v>28</v>
      </c>
      <c r="F195" s="1"/>
      <c r="G195" s="1">
        <f>(A13/(0.000066*300)/3000)</f>
        <v>0</v>
      </c>
      <c r="H195" s="60">
        <f>(30*BC!$B$47/E195)</f>
        <v>0</v>
      </c>
      <c r="I195" s="701">
        <f t="shared" si="35"/>
        <v>0</v>
      </c>
      <c r="J195" s="701">
        <f t="shared" si="32"/>
        <v>0</v>
      </c>
      <c r="K195" s="216">
        <f t="shared" si="33"/>
        <v>0</v>
      </c>
      <c r="L195" s="367">
        <v>191</v>
      </c>
      <c r="M195" s="148">
        <f t="shared" si="36"/>
        <v>0</v>
      </c>
      <c r="N195" s="91" t="e">
        <f t="shared" si="34"/>
        <v>#DIV/0!</v>
      </c>
      <c r="O195" s="148"/>
      <c r="P195" s="57">
        <f t="shared" si="37"/>
        <v>0</v>
      </c>
      <c r="Q195" s="57">
        <f t="shared" si="38"/>
        <v>0</v>
      </c>
    </row>
    <row r="196" spans="2:17" ht="15.75" customHeight="1" x14ac:dyDescent="0.45">
      <c r="B196" s="17">
        <v>7957211190</v>
      </c>
      <c r="C196" s="609" t="s">
        <v>586</v>
      </c>
      <c r="D196" s="42">
        <v>2</v>
      </c>
      <c r="E196" s="1">
        <v>28</v>
      </c>
      <c r="F196" s="1"/>
      <c r="G196" s="1">
        <f>(F38/(0.00001*300)/3000)</f>
        <v>0</v>
      </c>
      <c r="H196" s="60">
        <f>(30*BC!$B$47/E196)</f>
        <v>0</v>
      </c>
      <c r="I196" s="701">
        <f t="shared" si="35"/>
        <v>0</v>
      </c>
      <c r="J196" s="701">
        <f t="shared" si="32"/>
        <v>0</v>
      </c>
      <c r="K196" s="216">
        <f t="shared" si="33"/>
        <v>0</v>
      </c>
      <c r="L196" s="367">
        <v>391</v>
      </c>
      <c r="M196" s="148">
        <f t="shared" si="36"/>
        <v>0</v>
      </c>
      <c r="N196" s="91" t="e">
        <f t="shared" si="34"/>
        <v>#DIV/0!</v>
      </c>
      <c r="O196" s="148"/>
      <c r="P196" s="57">
        <f t="shared" si="37"/>
        <v>0</v>
      </c>
      <c r="Q196" s="57">
        <f t="shared" si="38"/>
        <v>0</v>
      </c>
    </row>
    <row r="197" spans="2:17" ht="15.75" customHeight="1" x14ac:dyDescent="0.45">
      <c r="B197" s="17">
        <v>5950953190</v>
      </c>
      <c r="C197" s="611" t="s">
        <v>1142</v>
      </c>
      <c r="D197" s="42">
        <v>2</v>
      </c>
      <c r="E197" s="1">
        <v>28</v>
      </c>
      <c r="F197" s="1"/>
      <c r="G197" s="1">
        <f>(F50/(0.00004*300)/3000)</f>
        <v>0</v>
      </c>
      <c r="H197" s="60">
        <f>(30*BC!$B$47/E197)</f>
        <v>0</v>
      </c>
      <c r="I197" s="701">
        <f t="shared" si="35"/>
        <v>0</v>
      </c>
      <c r="J197" s="701">
        <f t="shared" si="32"/>
        <v>0</v>
      </c>
      <c r="K197" s="216">
        <f t="shared" si="33"/>
        <v>0</v>
      </c>
      <c r="L197" s="367">
        <v>237</v>
      </c>
      <c r="M197" s="148">
        <f t="shared" si="36"/>
        <v>0</v>
      </c>
      <c r="N197" s="91" t="e">
        <f t="shared" si="34"/>
        <v>#DIV/0!</v>
      </c>
      <c r="O197" s="148"/>
      <c r="P197" s="57">
        <f t="shared" si="37"/>
        <v>0</v>
      </c>
      <c r="Q197" s="57">
        <f t="shared" si="38"/>
        <v>0</v>
      </c>
    </row>
    <row r="198" spans="2:17" ht="15.75" customHeight="1" x14ac:dyDescent="0.45">
      <c r="B198" s="17">
        <v>8333645190</v>
      </c>
      <c r="C198" s="613" t="s">
        <v>1051</v>
      </c>
      <c r="D198" s="42">
        <v>2</v>
      </c>
      <c r="E198" s="1">
        <v>28</v>
      </c>
      <c r="F198" s="1"/>
      <c r="G198" s="1">
        <f>(F51/(0.00001*300)/3000)</f>
        <v>0</v>
      </c>
      <c r="H198" s="60">
        <f>(30*BC!$B$47/E198)</f>
        <v>0</v>
      </c>
      <c r="I198" s="701">
        <f t="shared" si="35"/>
        <v>0</v>
      </c>
      <c r="J198" s="701">
        <f t="shared" si="32"/>
        <v>0</v>
      </c>
      <c r="K198" s="216">
        <f t="shared" si="33"/>
        <v>0</v>
      </c>
      <c r="L198" s="367">
        <v>327</v>
      </c>
      <c r="M198" s="148">
        <f t="shared" si="36"/>
        <v>0</v>
      </c>
      <c r="N198" s="91" t="e">
        <f t="shared" si="34"/>
        <v>#DIV/0!</v>
      </c>
      <c r="O198" s="148"/>
      <c r="P198" s="57">
        <f t="shared" si="37"/>
        <v>0</v>
      </c>
      <c r="Q198" s="57">
        <f t="shared" si="38"/>
        <v>0</v>
      </c>
    </row>
    <row r="199" spans="2:17" ht="15.75" customHeight="1" x14ac:dyDescent="0.45">
      <c r="B199" s="17">
        <v>6505988190</v>
      </c>
      <c r="C199" s="616" t="s">
        <v>614</v>
      </c>
      <c r="D199" s="42">
        <v>2</v>
      </c>
      <c r="E199" s="1">
        <v>28</v>
      </c>
      <c r="F199" s="1"/>
      <c r="G199" s="1">
        <f>(F52/(0.00001*300)/3000)</f>
        <v>0</v>
      </c>
      <c r="H199" s="60">
        <f>(30*BC!$B$47/E199)</f>
        <v>0</v>
      </c>
      <c r="I199" s="701">
        <f t="shared" si="35"/>
        <v>0</v>
      </c>
      <c r="J199" s="701">
        <f t="shared" si="32"/>
        <v>0</v>
      </c>
      <c r="K199" s="216">
        <f t="shared" si="33"/>
        <v>0</v>
      </c>
      <c r="L199" s="367">
        <v>141</v>
      </c>
      <c r="M199" s="148">
        <f t="shared" si="36"/>
        <v>0</v>
      </c>
      <c r="N199" s="91" t="e">
        <f t="shared" si="34"/>
        <v>#DIV/0!</v>
      </c>
      <c r="O199" s="148"/>
      <c r="P199" s="57">
        <f t="shared" si="37"/>
        <v>0</v>
      </c>
      <c r="Q199" s="57">
        <f t="shared" si="38"/>
        <v>0</v>
      </c>
    </row>
    <row r="200" spans="2:17" ht="15.75" customHeight="1" x14ac:dyDescent="0.45">
      <c r="B200" s="17">
        <v>7360070190</v>
      </c>
      <c r="C200" s="619" t="s">
        <v>1143</v>
      </c>
      <c r="D200" s="42">
        <v>2</v>
      </c>
      <c r="E200" s="1">
        <v>28</v>
      </c>
      <c r="F200" s="1"/>
      <c r="G200" s="1">
        <f>(F53/(0.00001*300)/3000)</f>
        <v>0</v>
      </c>
      <c r="H200" s="60">
        <f>(30*BC!$B$47/E200)</f>
        <v>0</v>
      </c>
      <c r="I200" s="701">
        <f t="shared" si="35"/>
        <v>0</v>
      </c>
      <c r="J200" s="701">
        <f t="shared" si="32"/>
        <v>0</v>
      </c>
      <c r="K200" s="216">
        <f t="shared" si="33"/>
        <v>0</v>
      </c>
      <c r="L200" s="367">
        <v>278</v>
      </c>
      <c r="M200" s="148">
        <f t="shared" si="36"/>
        <v>0</v>
      </c>
      <c r="N200" s="91" t="e">
        <f t="shared" si="34"/>
        <v>#DIV/0!</v>
      </c>
      <c r="O200" s="148"/>
      <c r="P200" s="57">
        <f t="shared" si="37"/>
        <v>0</v>
      </c>
      <c r="Q200" s="57">
        <f t="shared" si="38"/>
        <v>0</v>
      </c>
    </row>
    <row r="201" spans="2:17" ht="15.75" customHeight="1" x14ac:dyDescent="0.45">
      <c r="B201" s="25">
        <v>5618860190</v>
      </c>
      <c r="C201" s="625" t="s">
        <v>626</v>
      </c>
      <c r="D201" s="42">
        <v>2</v>
      </c>
      <c r="E201" s="1">
        <v>31</v>
      </c>
      <c r="F201" s="1"/>
      <c r="G201" s="1">
        <f>(A34/(0.00004*300)/3000)</f>
        <v>0</v>
      </c>
      <c r="H201" s="60">
        <f>(30*BC!$B$47/E201)</f>
        <v>0</v>
      </c>
      <c r="I201" s="701">
        <f t="shared" si="35"/>
        <v>0</v>
      </c>
      <c r="J201" s="701">
        <f t="shared" si="32"/>
        <v>0</v>
      </c>
      <c r="K201" s="216">
        <f t="shared" si="33"/>
        <v>0</v>
      </c>
      <c r="L201" s="367">
        <v>355</v>
      </c>
      <c r="M201" s="148">
        <f t="shared" si="36"/>
        <v>0</v>
      </c>
      <c r="N201" s="91" t="e">
        <f t="shared" si="34"/>
        <v>#DIV/0!</v>
      </c>
      <c r="O201" s="148"/>
      <c r="P201" s="57">
        <f t="shared" si="37"/>
        <v>0</v>
      </c>
      <c r="Q201" s="57">
        <f t="shared" si="38"/>
        <v>0</v>
      </c>
    </row>
    <row r="202" spans="2:17" ht="15.75" customHeight="1" x14ac:dyDescent="0.45">
      <c r="B202" s="17">
        <v>5031664190</v>
      </c>
      <c r="C202" s="630" t="s">
        <v>1144</v>
      </c>
      <c r="D202" s="42">
        <v>2</v>
      </c>
      <c r="E202" s="1">
        <v>28</v>
      </c>
      <c r="F202" s="1"/>
      <c r="G202" s="1">
        <f>(F73/(0.00006*300)/3000)</f>
        <v>0</v>
      </c>
      <c r="H202" s="60">
        <f>(30*BC!$B$47/E202)</f>
        <v>0</v>
      </c>
      <c r="I202" s="701">
        <f t="shared" si="35"/>
        <v>0</v>
      </c>
      <c r="J202" s="701">
        <f t="shared" si="32"/>
        <v>0</v>
      </c>
      <c r="K202" s="216">
        <f t="shared" si="33"/>
        <v>0</v>
      </c>
      <c r="L202" s="367">
        <v>207</v>
      </c>
      <c r="M202" s="148">
        <f t="shared" si="36"/>
        <v>0</v>
      </c>
      <c r="N202" s="91" t="e">
        <f t="shared" si="34"/>
        <v>#DIV/0!</v>
      </c>
      <c r="O202" s="148"/>
      <c r="P202" s="57">
        <f t="shared" si="37"/>
        <v>0</v>
      </c>
      <c r="Q202" s="57">
        <f t="shared" si="38"/>
        <v>0</v>
      </c>
    </row>
    <row r="203" spans="2:17" ht="15.75" customHeight="1" x14ac:dyDescent="0.45">
      <c r="B203" s="17">
        <v>9038124190</v>
      </c>
      <c r="C203" s="632" t="s">
        <v>1145</v>
      </c>
      <c r="D203" s="42">
        <v>3</v>
      </c>
      <c r="E203" s="1">
        <v>31</v>
      </c>
      <c r="F203" s="1"/>
      <c r="G203" s="1">
        <f>(F75/(0.00005*300)/3000)</f>
        <v>0</v>
      </c>
      <c r="H203" s="60">
        <f>(30*BC!$B$47/E203)</f>
        <v>0</v>
      </c>
      <c r="I203" s="701">
        <f t="shared" si="35"/>
        <v>0</v>
      </c>
      <c r="J203" s="701">
        <f t="shared" si="32"/>
        <v>0</v>
      </c>
      <c r="K203" s="216">
        <f t="shared" si="33"/>
        <v>0</v>
      </c>
      <c r="L203" s="367">
        <v>97</v>
      </c>
      <c r="M203" s="148">
        <f t="shared" si="36"/>
        <v>0</v>
      </c>
      <c r="N203" s="91" t="e">
        <f t="shared" si="34"/>
        <v>#DIV/0!</v>
      </c>
      <c r="O203" s="148"/>
      <c r="P203" s="57">
        <f t="shared" si="37"/>
        <v>0</v>
      </c>
      <c r="Q203" s="57">
        <f t="shared" si="38"/>
        <v>0</v>
      </c>
    </row>
    <row r="204" spans="2:17" ht="15.75" customHeight="1" x14ac:dyDescent="0.45">
      <c r="B204" s="17">
        <v>7476108190</v>
      </c>
      <c r="C204" s="615" t="s">
        <v>603</v>
      </c>
      <c r="D204" s="42">
        <v>2</v>
      </c>
      <c r="E204" s="1">
        <v>31</v>
      </c>
      <c r="F204" s="1"/>
      <c r="G204" s="1">
        <f>(A24/(0.00001*300)/3000)</f>
        <v>0</v>
      </c>
      <c r="H204" s="60">
        <f>(30*BC!$B$47/E204)</f>
        <v>0</v>
      </c>
      <c r="I204" s="701">
        <f t="shared" si="35"/>
        <v>0</v>
      </c>
      <c r="J204" s="701">
        <f t="shared" si="32"/>
        <v>0</v>
      </c>
      <c r="K204" s="216">
        <f t="shared" si="33"/>
        <v>0</v>
      </c>
      <c r="L204" s="367">
        <v>472</v>
      </c>
      <c r="M204" s="148">
        <f t="shared" si="36"/>
        <v>0</v>
      </c>
      <c r="N204" s="91" t="e">
        <f t="shared" si="34"/>
        <v>#DIV/0!</v>
      </c>
      <c r="O204" s="148"/>
      <c r="P204" s="57">
        <f t="shared" si="37"/>
        <v>0</v>
      </c>
      <c r="Q204" s="57">
        <f t="shared" si="38"/>
        <v>0</v>
      </c>
    </row>
    <row r="205" spans="2:17" ht="15.75" customHeight="1" x14ac:dyDescent="0.45">
      <c r="B205" s="25">
        <v>6924107190</v>
      </c>
      <c r="C205" s="633" t="s">
        <v>608</v>
      </c>
      <c r="D205" s="42">
        <v>2</v>
      </c>
      <c r="E205" s="1">
        <v>84</v>
      </c>
      <c r="F205" s="1"/>
      <c r="G205" s="1">
        <f t="shared" ref="G205:G215" si="39">(F78/(0.00001*300)/3000)</f>
        <v>0</v>
      </c>
      <c r="H205" s="60">
        <f>(30*BC!$B$47/E205)</f>
        <v>0</v>
      </c>
      <c r="I205" s="701">
        <f t="shared" si="35"/>
        <v>0</v>
      </c>
      <c r="J205" s="701">
        <f t="shared" si="32"/>
        <v>0</v>
      </c>
      <c r="K205" s="216">
        <f t="shared" si="33"/>
        <v>0</v>
      </c>
      <c r="L205" s="367">
        <v>583</v>
      </c>
      <c r="M205" s="148">
        <f t="shared" si="36"/>
        <v>0</v>
      </c>
      <c r="N205" s="91" t="e">
        <f t="shared" si="34"/>
        <v>#DIV/0!</v>
      </c>
      <c r="O205" s="148"/>
      <c r="P205" s="57">
        <f t="shared" si="37"/>
        <v>0</v>
      </c>
      <c r="Q205" s="57">
        <f t="shared" si="38"/>
        <v>0</v>
      </c>
    </row>
    <row r="206" spans="2:17" ht="15.75" customHeight="1" x14ac:dyDescent="0.45">
      <c r="B206" s="25">
        <v>8335923190</v>
      </c>
      <c r="C206" s="635" t="s">
        <v>582</v>
      </c>
      <c r="D206" s="42">
        <v>5</v>
      </c>
      <c r="E206" s="1">
        <v>56</v>
      </c>
      <c r="F206" s="1"/>
      <c r="G206" s="1">
        <f t="shared" si="39"/>
        <v>0</v>
      </c>
      <c r="H206" s="60">
        <f>(30*BC!$B$47/E206)</f>
        <v>0</v>
      </c>
      <c r="I206" s="701">
        <f t="shared" si="35"/>
        <v>0</v>
      </c>
      <c r="J206" s="701">
        <f t="shared" si="32"/>
        <v>0</v>
      </c>
      <c r="K206" s="216">
        <f t="shared" si="33"/>
        <v>0</v>
      </c>
      <c r="L206" s="367">
        <v>246</v>
      </c>
      <c r="M206" s="148">
        <f t="shared" si="36"/>
        <v>0</v>
      </c>
      <c r="N206" s="91" t="e">
        <f t="shared" si="34"/>
        <v>#DIV/0!</v>
      </c>
      <c r="O206" s="148"/>
      <c r="P206" s="57">
        <f t="shared" si="37"/>
        <v>0</v>
      </c>
      <c r="Q206" s="57">
        <f t="shared" si="38"/>
        <v>0</v>
      </c>
    </row>
    <row r="207" spans="2:17" ht="15.75" customHeight="1" x14ac:dyDescent="0.45">
      <c r="B207" s="25">
        <v>8086672190</v>
      </c>
      <c r="C207" s="637" t="s">
        <v>1146</v>
      </c>
      <c r="D207" s="42">
        <v>8</v>
      </c>
      <c r="E207" s="1">
        <v>56</v>
      </c>
      <c r="F207" s="1"/>
      <c r="G207" s="1">
        <f t="shared" si="39"/>
        <v>0</v>
      </c>
      <c r="H207" s="60">
        <f>(30*BC!$B$47/E207)</f>
        <v>0</v>
      </c>
      <c r="I207" s="701">
        <f t="shared" si="35"/>
        <v>0</v>
      </c>
      <c r="J207" s="701">
        <f t="shared" si="32"/>
        <v>0</v>
      </c>
      <c r="K207" s="216">
        <f t="shared" si="33"/>
        <v>0</v>
      </c>
      <c r="L207" s="367">
        <v>142</v>
      </c>
      <c r="M207" s="148">
        <f t="shared" si="36"/>
        <v>0</v>
      </c>
      <c r="N207" s="91" t="e">
        <f t="shared" si="34"/>
        <v>#DIV/0!</v>
      </c>
      <c r="O207" s="148"/>
      <c r="P207" s="57">
        <f t="shared" si="37"/>
        <v>0</v>
      </c>
      <c r="Q207" s="57">
        <f t="shared" si="38"/>
        <v>0</v>
      </c>
    </row>
    <row r="208" spans="2:17" ht="15.75" customHeight="1" x14ac:dyDescent="0.45">
      <c r="B208" s="25">
        <v>11876368122</v>
      </c>
      <c r="C208" s="639" t="s">
        <v>588</v>
      </c>
      <c r="D208" s="42">
        <v>8</v>
      </c>
      <c r="E208" s="1">
        <v>56</v>
      </c>
      <c r="F208" s="1"/>
      <c r="G208" s="1">
        <f t="shared" si="39"/>
        <v>0</v>
      </c>
      <c r="H208" s="60">
        <f>(30*BC!$B$47/E208)</f>
        <v>0</v>
      </c>
      <c r="I208" s="701">
        <f t="shared" si="35"/>
        <v>0</v>
      </c>
      <c r="J208" s="701">
        <f t="shared" si="32"/>
        <v>0</v>
      </c>
      <c r="K208" s="216">
        <f t="shared" si="33"/>
        <v>0</v>
      </c>
      <c r="L208" s="367">
        <v>424</v>
      </c>
      <c r="M208" s="148">
        <f t="shared" si="36"/>
        <v>0</v>
      </c>
      <c r="N208" s="91" t="e">
        <f t="shared" si="34"/>
        <v>#DIV/0!</v>
      </c>
      <c r="O208" s="148"/>
      <c r="P208" s="57">
        <f t="shared" si="37"/>
        <v>0</v>
      </c>
      <c r="Q208" s="57">
        <f t="shared" si="38"/>
        <v>0</v>
      </c>
    </row>
    <row r="209" spans="2:17" ht="15.75" customHeight="1" x14ac:dyDescent="0.45">
      <c r="B209" s="25">
        <v>4687876190</v>
      </c>
      <c r="C209" s="641" t="s">
        <v>1147</v>
      </c>
      <c r="D209" s="42">
        <v>8</v>
      </c>
      <c r="E209" s="1">
        <v>56</v>
      </c>
      <c r="F209" s="1"/>
      <c r="G209" s="1">
        <f t="shared" si="39"/>
        <v>0</v>
      </c>
      <c r="H209" s="60">
        <f>(30*BC!$B$47/E209)</f>
        <v>0</v>
      </c>
      <c r="I209" s="701">
        <f t="shared" si="35"/>
        <v>0</v>
      </c>
      <c r="J209" s="701">
        <f t="shared" si="32"/>
        <v>0</v>
      </c>
      <c r="K209" s="216">
        <f t="shared" si="33"/>
        <v>0</v>
      </c>
      <c r="L209" s="367">
        <v>212</v>
      </c>
      <c r="M209" s="148">
        <f t="shared" si="36"/>
        <v>0</v>
      </c>
      <c r="N209" s="91" t="e">
        <f t="shared" si="34"/>
        <v>#DIV/0!</v>
      </c>
      <c r="O209" s="148"/>
      <c r="P209" s="57">
        <f t="shared" si="37"/>
        <v>0</v>
      </c>
      <c r="Q209" s="57">
        <f t="shared" si="38"/>
        <v>0</v>
      </c>
    </row>
    <row r="210" spans="2:17" ht="15.75" customHeight="1" x14ac:dyDescent="0.45">
      <c r="B210" s="25">
        <v>11876317122</v>
      </c>
      <c r="C210" s="643" t="s">
        <v>593</v>
      </c>
      <c r="D210" s="42">
        <v>8</v>
      </c>
      <c r="E210" s="1">
        <v>56</v>
      </c>
      <c r="F210" s="1"/>
      <c r="G210" s="1">
        <f t="shared" si="39"/>
        <v>0</v>
      </c>
      <c r="H210" s="60">
        <f>(30*BC!$B$47/E210)</f>
        <v>0</v>
      </c>
      <c r="I210" s="701">
        <f t="shared" si="35"/>
        <v>0</v>
      </c>
      <c r="J210" s="701">
        <f t="shared" si="32"/>
        <v>0</v>
      </c>
      <c r="K210" s="216">
        <f t="shared" si="33"/>
        <v>0</v>
      </c>
      <c r="L210" s="367">
        <v>205</v>
      </c>
      <c r="M210" s="148">
        <f t="shared" si="36"/>
        <v>0</v>
      </c>
      <c r="N210" s="91" t="e">
        <f t="shared" si="34"/>
        <v>#DIV/0!</v>
      </c>
      <c r="O210" s="148"/>
      <c r="P210" s="57">
        <f t="shared" si="37"/>
        <v>0</v>
      </c>
      <c r="Q210" s="57">
        <f t="shared" si="38"/>
        <v>0</v>
      </c>
    </row>
    <row r="211" spans="2:17" ht="15.75" customHeight="1" x14ac:dyDescent="0.45">
      <c r="B211" s="25">
        <v>11876376122</v>
      </c>
      <c r="C211" s="645" t="s">
        <v>604</v>
      </c>
      <c r="D211" s="42">
        <v>8</v>
      </c>
      <c r="E211" s="1">
        <v>56</v>
      </c>
      <c r="F211" s="1"/>
      <c r="G211" s="1">
        <f t="shared" si="39"/>
        <v>0</v>
      </c>
      <c r="H211" s="60">
        <f>(30*BC!$B$47/E211)</f>
        <v>0</v>
      </c>
      <c r="I211" s="701">
        <f t="shared" si="35"/>
        <v>0</v>
      </c>
      <c r="J211" s="701">
        <f t="shared" si="32"/>
        <v>0</v>
      </c>
      <c r="K211" s="216">
        <f t="shared" si="33"/>
        <v>0</v>
      </c>
      <c r="L211" s="367">
        <v>208</v>
      </c>
      <c r="M211" s="148">
        <f t="shared" si="36"/>
        <v>0</v>
      </c>
      <c r="N211" s="91" t="e">
        <f t="shared" si="34"/>
        <v>#DIV/0!</v>
      </c>
      <c r="O211" s="148"/>
      <c r="P211" s="57">
        <f t="shared" si="37"/>
        <v>0</v>
      </c>
      <c r="Q211" s="57">
        <f t="shared" si="38"/>
        <v>0</v>
      </c>
    </row>
    <row r="212" spans="2:17" ht="15.75" customHeight="1" x14ac:dyDescent="0.45">
      <c r="B212" s="25">
        <v>11876384122</v>
      </c>
      <c r="C212" s="648" t="s">
        <v>592</v>
      </c>
      <c r="D212" s="42">
        <v>8</v>
      </c>
      <c r="E212" s="1">
        <v>56</v>
      </c>
      <c r="F212" s="1"/>
      <c r="G212" s="1">
        <f t="shared" si="39"/>
        <v>0</v>
      </c>
      <c r="H212" s="60">
        <f>(30*BC!$B$47/E212)</f>
        <v>0</v>
      </c>
      <c r="I212" s="701">
        <f t="shared" si="35"/>
        <v>0</v>
      </c>
      <c r="J212" s="701">
        <f t="shared" si="32"/>
        <v>0</v>
      </c>
      <c r="K212" s="216">
        <f t="shared" si="33"/>
        <v>0</v>
      </c>
      <c r="L212" s="367">
        <v>217</v>
      </c>
      <c r="M212" s="148">
        <f t="shared" si="36"/>
        <v>0</v>
      </c>
      <c r="N212" s="91" t="e">
        <f t="shared" si="34"/>
        <v>#DIV/0!</v>
      </c>
      <c r="O212" s="148"/>
      <c r="P212" s="57">
        <f t="shared" si="37"/>
        <v>0</v>
      </c>
      <c r="Q212" s="57">
        <f t="shared" si="38"/>
        <v>0</v>
      </c>
    </row>
    <row r="213" spans="2:17" ht="15.75" customHeight="1" x14ac:dyDescent="0.45">
      <c r="B213" s="25">
        <v>4927931190</v>
      </c>
      <c r="C213" s="650" t="s">
        <v>1148</v>
      </c>
      <c r="D213" s="42">
        <v>8</v>
      </c>
      <c r="E213" s="1">
        <v>56</v>
      </c>
      <c r="F213" s="1"/>
      <c r="G213" s="1">
        <f t="shared" si="39"/>
        <v>0</v>
      </c>
      <c r="H213" s="60">
        <f>(30*BC!$B$47/E213)</f>
        <v>0</v>
      </c>
      <c r="I213" s="701">
        <f t="shared" si="35"/>
        <v>0</v>
      </c>
      <c r="J213" s="701">
        <f t="shared" si="32"/>
        <v>0</v>
      </c>
      <c r="K213" s="216">
        <f t="shared" si="33"/>
        <v>0</v>
      </c>
      <c r="L213" s="367">
        <v>73</v>
      </c>
      <c r="M213" s="148">
        <f t="shared" si="36"/>
        <v>0</v>
      </c>
      <c r="N213" s="91" t="e">
        <f t="shared" si="34"/>
        <v>#DIV/0!</v>
      </c>
      <c r="O213" s="148"/>
      <c r="P213" s="57">
        <f t="shared" si="37"/>
        <v>0</v>
      </c>
      <c r="Q213" s="57">
        <f t="shared" si="38"/>
        <v>0</v>
      </c>
    </row>
    <row r="214" spans="2:17" ht="15.75" customHeight="1" x14ac:dyDescent="0.45">
      <c r="B214" s="25">
        <v>11876333122</v>
      </c>
      <c r="C214" s="652" t="s">
        <v>590</v>
      </c>
      <c r="D214" s="42">
        <v>8</v>
      </c>
      <c r="E214" s="1">
        <v>56</v>
      </c>
      <c r="F214" s="1"/>
      <c r="G214" s="1">
        <f t="shared" si="39"/>
        <v>0</v>
      </c>
      <c r="H214" s="60">
        <f>(30*BC!$B$47/E214)</f>
        <v>0</v>
      </c>
      <c r="I214" s="701">
        <f t="shared" si="35"/>
        <v>0</v>
      </c>
      <c r="J214" s="701">
        <f t="shared" si="32"/>
        <v>0</v>
      </c>
      <c r="K214" s="216">
        <f t="shared" si="33"/>
        <v>0</v>
      </c>
      <c r="L214" s="367">
        <v>379</v>
      </c>
      <c r="M214" s="148">
        <f t="shared" si="36"/>
        <v>0</v>
      </c>
      <c r="N214" s="91" t="e">
        <f t="shared" si="34"/>
        <v>#DIV/0!</v>
      </c>
      <c r="O214" s="148"/>
      <c r="P214" s="57">
        <f t="shared" si="37"/>
        <v>0</v>
      </c>
      <c r="Q214" s="57">
        <f t="shared" si="38"/>
        <v>0</v>
      </c>
    </row>
    <row r="215" spans="2:17" ht="15.75" customHeight="1" x14ac:dyDescent="0.45">
      <c r="B215" s="25">
        <v>3290379190</v>
      </c>
      <c r="C215" s="654" t="s">
        <v>594</v>
      </c>
      <c r="D215" s="42">
        <v>8</v>
      </c>
      <c r="E215" s="1">
        <v>56</v>
      </c>
      <c r="F215" s="1"/>
      <c r="G215" s="1">
        <f t="shared" si="39"/>
        <v>0</v>
      </c>
      <c r="H215" s="60">
        <f>(30*BC!$B$47/E215)</f>
        <v>0</v>
      </c>
      <c r="I215" s="701">
        <f t="shared" si="35"/>
        <v>0</v>
      </c>
      <c r="J215" s="701">
        <f t="shared" si="32"/>
        <v>0</v>
      </c>
      <c r="K215" s="216">
        <f t="shared" si="33"/>
        <v>0</v>
      </c>
      <c r="L215" s="367">
        <v>149</v>
      </c>
      <c r="M215" s="148">
        <f t="shared" si="36"/>
        <v>0</v>
      </c>
      <c r="N215" s="91" t="e">
        <f t="shared" si="34"/>
        <v>#DIV/0!</v>
      </c>
      <c r="O215" s="148"/>
      <c r="P215" s="57">
        <f t="shared" si="37"/>
        <v>0</v>
      </c>
      <c r="Q215" s="57">
        <f t="shared" si="38"/>
        <v>0</v>
      </c>
    </row>
    <row r="216" spans="2:17" ht="15.75" customHeight="1" x14ac:dyDescent="0.45">
      <c r="B216" s="470">
        <v>4618807190</v>
      </c>
      <c r="C216" s="655" t="s">
        <v>615</v>
      </c>
      <c r="D216" s="42">
        <v>8</v>
      </c>
      <c r="E216" s="1">
        <v>56</v>
      </c>
      <c r="F216" s="1"/>
      <c r="G216" s="1">
        <f t="shared" ref="G216:G223" si="40">(F89/(0.00006*300)/3000)</f>
        <v>0</v>
      </c>
      <c r="H216" s="60">
        <f>(30*BC!$B$47/E216)</f>
        <v>0</v>
      </c>
      <c r="I216" s="701">
        <f t="shared" si="35"/>
        <v>0</v>
      </c>
      <c r="J216" s="701">
        <f t="shared" si="32"/>
        <v>0</v>
      </c>
      <c r="K216" s="216">
        <f t="shared" si="33"/>
        <v>0</v>
      </c>
      <c r="L216" s="367">
        <v>225</v>
      </c>
      <c r="M216" s="148">
        <f t="shared" si="36"/>
        <v>0</v>
      </c>
      <c r="N216" s="91" t="e">
        <f t="shared" si="34"/>
        <v>#DIV/0!</v>
      </c>
      <c r="O216" s="148"/>
      <c r="P216" s="57">
        <f t="shared" si="37"/>
        <v>0</v>
      </c>
      <c r="Q216" s="57">
        <f t="shared" si="38"/>
        <v>0</v>
      </c>
    </row>
    <row r="217" spans="2:17" ht="15.75" customHeight="1" x14ac:dyDescent="0.45">
      <c r="B217" s="470">
        <v>9787518190</v>
      </c>
      <c r="C217" s="656" t="s">
        <v>616</v>
      </c>
      <c r="D217" s="42">
        <v>4</v>
      </c>
      <c r="E217" s="1">
        <v>56</v>
      </c>
      <c r="F217" s="1"/>
      <c r="G217" s="1">
        <f t="shared" si="40"/>
        <v>0</v>
      </c>
      <c r="H217" s="60">
        <f>(30*BC!$B$47/E217)</f>
        <v>0</v>
      </c>
      <c r="I217" s="701">
        <f t="shared" si="35"/>
        <v>0</v>
      </c>
      <c r="J217" s="701">
        <f t="shared" si="32"/>
        <v>0</v>
      </c>
      <c r="K217" s="216">
        <f t="shared" si="33"/>
        <v>0</v>
      </c>
      <c r="L217" s="367">
        <v>334</v>
      </c>
      <c r="M217" s="148">
        <f t="shared" si="36"/>
        <v>0</v>
      </c>
      <c r="N217" s="91" t="e">
        <f t="shared" si="34"/>
        <v>#DIV/0!</v>
      </c>
      <c r="O217" s="148"/>
      <c r="P217" s="57">
        <f t="shared" si="37"/>
        <v>0</v>
      </c>
      <c r="Q217" s="57">
        <f t="shared" si="38"/>
        <v>0</v>
      </c>
    </row>
    <row r="218" spans="2:17" ht="15.75" customHeight="1" x14ac:dyDescent="0.45">
      <c r="B218" s="470">
        <v>4618823190</v>
      </c>
      <c r="C218" s="657" t="s">
        <v>1149</v>
      </c>
      <c r="D218" s="42">
        <v>8</v>
      </c>
      <c r="E218" s="1">
        <v>56</v>
      </c>
      <c r="F218" s="1"/>
      <c r="G218" s="1">
        <f t="shared" si="40"/>
        <v>0</v>
      </c>
      <c r="H218" s="60">
        <f>(30*BC!$B$47/E218)</f>
        <v>0</v>
      </c>
      <c r="I218" s="701">
        <f t="shared" si="35"/>
        <v>0</v>
      </c>
      <c r="J218" s="701">
        <f t="shared" si="32"/>
        <v>0</v>
      </c>
      <c r="K218" s="216">
        <f t="shared" si="33"/>
        <v>0</v>
      </c>
      <c r="L218" s="367">
        <v>248</v>
      </c>
      <c r="M218" s="148">
        <f t="shared" si="36"/>
        <v>0</v>
      </c>
      <c r="N218" s="91" t="e">
        <f t="shared" si="34"/>
        <v>#DIV/0!</v>
      </c>
      <c r="O218" s="148"/>
      <c r="P218" s="57">
        <f t="shared" si="37"/>
        <v>0</v>
      </c>
      <c r="Q218" s="57">
        <f t="shared" si="38"/>
        <v>0</v>
      </c>
    </row>
    <row r="219" spans="2:17" ht="15.75" customHeight="1" x14ac:dyDescent="0.45">
      <c r="B219" s="470">
        <v>5802580190</v>
      </c>
      <c r="C219" s="658" t="s">
        <v>621</v>
      </c>
      <c r="D219" s="42">
        <v>3</v>
      </c>
      <c r="E219" s="1">
        <v>56</v>
      </c>
      <c r="F219" s="1"/>
      <c r="G219" s="1">
        <f t="shared" si="40"/>
        <v>0</v>
      </c>
      <c r="H219" s="60">
        <f>(30*BC!$B$47/E219)</f>
        <v>0</v>
      </c>
      <c r="I219" s="701">
        <f t="shared" si="35"/>
        <v>0</v>
      </c>
      <c r="J219" s="701">
        <f t="shared" si="32"/>
        <v>0</v>
      </c>
      <c r="K219" s="216">
        <f t="shared" si="33"/>
        <v>0</v>
      </c>
      <c r="L219" s="367">
        <v>1238</v>
      </c>
      <c r="M219" s="148">
        <f t="shared" si="36"/>
        <v>0</v>
      </c>
      <c r="N219" s="91" t="e">
        <f t="shared" si="34"/>
        <v>#DIV/0!</v>
      </c>
      <c r="O219" s="148"/>
      <c r="P219" s="57">
        <f t="shared" si="37"/>
        <v>0</v>
      </c>
      <c r="Q219" s="57">
        <f t="shared" si="38"/>
        <v>0</v>
      </c>
    </row>
    <row r="220" spans="2:17" ht="15.75" customHeight="1" x14ac:dyDescent="0.45">
      <c r="B220" s="470">
        <v>4618866190</v>
      </c>
      <c r="C220" s="660" t="s">
        <v>622</v>
      </c>
      <c r="D220" s="42">
        <v>8</v>
      </c>
      <c r="E220" s="1">
        <v>56</v>
      </c>
      <c r="F220" s="1"/>
      <c r="G220" s="1">
        <f t="shared" si="40"/>
        <v>0</v>
      </c>
      <c r="H220" s="60">
        <f>(30*BC!$B$47/E220)</f>
        <v>0</v>
      </c>
      <c r="I220" s="701">
        <f t="shared" si="35"/>
        <v>0</v>
      </c>
      <c r="J220" s="701">
        <f t="shared" si="32"/>
        <v>0</v>
      </c>
      <c r="K220" s="216">
        <f t="shared" si="33"/>
        <v>0</v>
      </c>
      <c r="L220" s="367">
        <v>268</v>
      </c>
      <c r="M220" s="148">
        <f t="shared" si="36"/>
        <v>0</v>
      </c>
      <c r="N220" s="91" t="e">
        <f t="shared" si="34"/>
        <v>#DIV/0!</v>
      </c>
      <c r="O220" s="148"/>
      <c r="P220" s="57">
        <f t="shared" si="37"/>
        <v>0</v>
      </c>
      <c r="Q220" s="57">
        <f t="shared" si="38"/>
        <v>0</v>
      </c>
    </row>
    <row r="221" spans="2:17" ht="15.75" customHeight="1" x14ac:dyDescent="0.45">
      <c r="B221" s="470">
        <v>4784600190</v>
      </c>
      <c r="C221" s="661" t="s">
        <v>598</v>
      </c>
      <c r="D221" s="42">
        <v>8</v>
      </c>
      <c r="E221" s="1">
        <v>56</v>
      </c>
      <c r="F221" s="1"/>
      <c r="G221" s="1">
        <f t="shared" si="40"/>
        <v>0</v>
      </c>
      <c r="H221" s="60">
        <f>(30*BC!$B$47/E221)</f>
        <v>0</v>
      </c>
      <c r="I221" s="701">
        <f t="shared" si="35"/>
        <v>0</v>
      </c>
      <c r="J221" s="701">
        <f t="shared" si="32"/>
        <v>0</v>
      </c>
      <c r="K221" s="216">
        <f t="shared" si="33"/>
        <v>0</v>
      </c>
      <c r="L221" s="367">
        <v>222</v>
      </c>
      <c r="M221" s="148">
        <f t="shared" si="36"/>
        <v>0</v>
      </c>
      <c r="N221" s="91" t="e">
        <f t="shared" si="34"/>
        <v>#DIV/0!</v>
      </c>
      <c r="O221" s="148"/>
      <c r="P221" s="57">
        <f t="shared" si="37"/>
        <v>0</v>
      </c>
      <c r="Q221" s="57">
        <f t="shared" si="38"/>
        <v>0</v>
      </c>
    </row>
    <row r="222" spans="2:17" ht="15.75" customHeight="1" x14ac:dyDescent="0.45">
      <c r="B222" s="470">
        <v>5942322190</v>
      </c>
      <c r="C222" s="663" t="s">
        <v>581</v>
      </c>
      <c r="D222" s="42">
        <v>3</v>
      </c>
      <c r="E222" s="1">
        <v>84</v>
      </c>
      <c r="F222" s="1"/>
      <c r="G222" s="1">
        <f t="shared" si="40"/>
        <v>0</v>
      </c>
      <c r="H222" s="60">
        <f>(30*BC!$B$47/E222)</f>
        <v>0</v>
      </c>
      <c r="I222" s="701">
        <f t="shared" si="35"/>
        <v>0</v>
      </c>
      <c r="J222" s="701">
        <f t="shared" si="32"/>
        <v>0</v>
      </c>
      <c r="K222" s="216">
        <f t="shared" si="33"/>
        <v>0</v>
      </c>
      <c r="L222" s="367">
        <v>589</v>
      </c>
      <c r="M222" s="148">
        <f t="shared" si="36"/>
        <v>0</v>
      </c>
      <c r="N222" s="91" t="e">
        <f t="shared" si="34"/>
        <v>#DIV/0!</v>
      </c>
      <c r="O222" s="148"/>
      <c r="P222" s="57">
        <f t="shared" si="37"/>
        <v>0</v>
      </c>
      <c r="Q222" s="57">
        <f t="shared" si="38"/>
        <v>0</v>
      </c>
    </row>
    <row r="223" spans="2:17" ht="15.75" customHeight="1" x14ac:dyDescent="0.45">
      <c r="B223" s="470">
        <v>4784626190</v>
      </c>
      <c r="C223" s="664" t="s">
        <v>599</v>
      </c>
      <c r="D223" s="42">
        <v>8</v>
      </c>
      <c r="E223" s="1">
        <v>56</v>
      </c>
      <c r="F223" s="1"/>
      <c r="G223" s="1">
        <f t="shared" si="40"/>
        <v>0</v>
      </c>
      <c r="H223" s="60">
        <f>(30*BC!$B$47/E223)</f>
        <v>0</v>
      </c>
      <c r="I223" s="701">
        <f t="shared" si="35"/>
        <v>0</v>
      </c>
      <c r="J223" s="701">
        <f t="shared" si="32"/>
        <v>0</v>
      </c>
      <c r="K223" s="216">
        <f t="shared" si="33"/>
        <v>0</v>
      </c>
      <c r="L223" s="367">
        <v>153</v>
      </c>
      <c r="M223" s="148">
        <f t="shared" si="36"/>
        <v>0</v>
      </c>
      <c r="N223" s="91" t="e">
        <f t="shared" si="34"/>
        <v>#DIV/0!</v>
      </c>
      <c r="O223" s="148"/>
      <c r="P223" s="57">
        <f t="shared" si="37"/>
        <v>0</v>
      </c>
      <c r="Q223" s="57">
        <f t="shared" si="38"/>
        <v>0</v>
      </c>
    </row>
    <row r="224" spans="2:17" ht="15.75" customHeight="1" x14ac:dyDescent="0.45">
      <c r="B224" s="470">
        <v>5572207190</v>
      </c>
      <c r="C224" s="665" t="s">
        <v>1150</v>
      </c>
      <c r="D224" s="42">
        <v>2</v>
      </c>
      <c r="E224" s="1">
        <v>28</v>
      </c>
      <c r="F224" s="1"/>
      <c r="G224" s="1">
        <f>(A43/(0.00001*300)/3000)</f>
        <v>0</v>
      </c>
      <c r="H224" s="60">
        <f>(30*BC!$B$47/E224)</f>
        <v>0</v>
      </c>
      <c r="I224" s="701">
        <f t="shared" si="35"/>
        <v>0</v>
      </c>
      <c r="J224" s="701">
        <f t="shared" si="32"/>
        <v>0</v>
      </c>
      <c r="K224" s="216">
        <f t="shared" si="33"/>
        <v>0</v>
      </c>
      <c r="L224" s="367">
        <v>420</v>
      </c>
      <c r="M224" s="148">
        <f t="shared" si="36"/>
        <v>0</v>
      </c>
      <c r="N224" s="91" t="e">
        <f t="shared" si="34"/>
        <v>#DIV/0!</v>
      </c>
      <c r="O224" s="148"/>
      <c r="P224" s="57">
        <f t="shared" si="37"/>
        <v>0</v>
      </c>
      <c r="Q224" s="57">
        <f t="shared" si="38"/>
        <v>0</v>
      </c>
    </row>
    <row r="225" spans="2:17" ht="15.75" customHeight="1" x14ac:dyDescent="0.45">
      <c r="B225" s="470">
        <v>8355428190</v>
      </c>
      <c r="C225" s="666" t="s">
        <v>601</v>
      </c>
      <c r="D225" s="42">
        <v>2</v>
      </c>
      <c r="E225" s="1">
        <v>112</v>
      </c>
      <c r="F225" s="1"/>
      <c r="G225" s="1">
        <f>(A40/(0.00001*300)/3000)</f>
        <v>0</v>
      </c>
      <c r="H225" s="60">
        <f>(30*BC!$B$47/E225)</f>
        <v>0</v>
      </c>
      <c r="I225" s="701">
        <f t="shared" si="35"/>
        <v>0</v>
      </c>
      <c r="J225" s="701">
        <f t="shared" si="32"/>
        <v>0</v>
      </c>
      <c r="K225" s="216">
        <f t="shared" si="33"/>
        <v>0</v>
      </c>
      <c r="L225" s="367">
        <v>973</v>
      </c>
      <c r="M225" s="148">
        <f t="shared" si="36"/>
        <v>0</v>
      </c>
      <c r="N225" s="91" t="e">
        <f t="shared" si="34"/>
        <v>#DIV/0!</v>
      </c>
      <c r="O225" s="148"/>
      <c r="P225" s="57">
        <f t="shared" si="37"/>
        <v>0</v>
      </c>
      <c r="Q225" s="57">
        <f t="shared" si="38"/>
        <v>0</v>
      </c>
    </row>
    <row r="226" spans="2:17" ht="15.75" customHeight="1" x14ac:dyDescent="0.45">
      <c r="B226" s="470">
        <v>8355436190</v>
      </c>
      <c r="C226" s="667" t="s">
        <v>1151</v>
      </c>
      <c r="D226" s="42">
        <v>4</v>
      </c>
      <c r="E226" s="1">
        <v>112</v>
      </c>
      <c r="F226" s="1"/>
      <c r="G226" s="1">
        <f t="shared" ref="G226:G232" si="41">(F101/(0.00001*300)/3000)</f>
        <v>0</v>
      </c>
      <c r="H226" s="60">
        <f>(30*BC!$B$47/E226)</f>
        <v>0</v>
      </c>
      <c r="I226" s="701">
        <f t="shared" si="35"/>
        <v>0</v>
      </c>
      <c r="J226" s="701">
        <f t="shared" si="32"/>
        <v>0</v>
      </c>
      <c r="K226" s="216">
        <f t="shared" si="33"/>
        <v>0</v>
      </c>
      <c r="L226" s="367">
        <v>234</v>
      </c>
      <c r="M226" s="148">
        <f t="shared" si="36"/>
        <v>0</v>
      </c>
      <c r="N226" s="91" t="e">
        <f t="shared" si="34"/>
        <v>#DIV/0!</v>
      </c>
      <c r="O226" s="148"/>
      <c r="P226" s="57">
        <f t="shared" si="37"/>
        <v>0</v>
      </c>
      <c r="Q226" s="57">
        <f t="shared" si="38"/>
        <v>0</v>
      </c>
    </row>
    <row r="227" spans="2:17" ht="15.75" customHeight="1" x14ac:dyDescent="0.45">
      <c r="B227" s="470">
        <v>7108133190</v>
      </c>
      <c r="C227" s="668" t="s">
        <v>610</v>
      </c>
      <c r="D227" s="42">
        <v>2</v>
      </c>
      <c r="E227" s="1">
        <v>84</v>
      </c>
      <c r="F227" s="1"/>
      <c r="G227" s="1">
        <f t="shared" si="41"/>
        <v>0</v>
      </c>
      <c r="H227" s="60">
        <f>(30*BC!$B$47/E227)</f>
        <v>0</v>
      </c>
      <c r="I227" s="701">
        <f t="shared" si="35"/>
        <v>0</v>
      </c>
      <c r="J227" s="701">
        <f t="shared" si="32"/>
        <v>0</v>
      </c>
      <c r="K227" s="216">
        <f t="shared" si="33"/>
        <v>0</v>
      </c>
      <c r="L227" s="367">
        <v>184</v>
      </c>
      <c r="M227" s="148">
        <f t="shared" si="36"/>
        <v>0</v>
      </c>
      <c r="N227" s="91" t="e">
        <f t="shared" si="34"/>
        <v>#DIV/0!</v>
      </c>
      <c r="O227" s="148"/>
      <c r="P227" s="57">
        <f t="shared" si="37"/>
        <v>0</v>
      </c>
      <c r="Q227" s="57">
        <f t="shared" si="38"/>
        <v>0</v>
      </c>
    </row>
    <row r="228" spans="2:17" ht="15.75" customHeight="1" x14ac:dyDescent="0.45">
      <c r="B228" s="470">
        <v>6923364190</v>
      </c>
      <c r="C228" s="669" t="s">
        <v>618</v>
      </c>
      <c r="D228" s="42">
        <v>2</v>
      </c>
      <c r="E228" s="1">
        <v>168</v>
      </c>
      <c r="F228" s="1"/>
      <c r="G228" s="1">
        <f t="shared" si="41"/>
        <v>0</v>
      </c>
      <c r="H228" s="60">
        <f>(30*BC!$B$47/E228)</f>
        <v>0</v>
      </c>
      <c r="I228" s="701">
        <f t="shared" si="35"/>
        <v>0</v>
      </c>
      <c r="J228" s="701">
        <f t="shared" si="32"/>
        <v>0</v>
      </c>
      <c r="K228" s="216">
        <f t="shared" si="33"/>
        <v>0</v>
      </c>
      <c r="L228" s="367">
        <v>101</v>
      </c>
      <c r="M228" s="148">
        <f t="shared" si="36"/>
        <v>0</v>
      </c>
      <c r="N228" s="91" t="e">
        <f t="shared" si="34"/>
        <v>#DIV/0!</v>
      </c>
      <c r="O228" s="148"/>
      <c r="P228" s="57">
        <f t="shared" si="37"/>
        <v>0</v>
      </c>
      <c r="Q228" s="57">
        <f t="shared" si="38"/>
        <v>0</v>
      </c>
    </row>
    <row r="229" spans="2:17" ht="15.75" customHeight="1" x14ac:dyDescent="0.45">
      <c r="B229" s="470">
        <v>7092571190</v>
      </c>
      <c r="C229" s="670" t="s">
        <v>597</v>
      </c>
      <c r="D229" s="42">
        <v>8</v>
      </c>
      <c r="E229" s="1">
        <v>28</v>
      </c>
      <c r="F229" s="1"/>
      <c r="G229" s="1">
        <f t="shared" si="41"/>
        <v>0</v>
      </c>
      <c r="H229" s="60">
        <f>(30*BC!$B$47/E229)</f>
        <v>0</v>
      </c>
      <c r="I229" s="701">
        <f t="shared" si="35"/>
        <v>0</v>
      </c>
      <c r="J229" s="701">
        <f t="shared" si="32"/>
        <v>0</v>
      </c>
      <c r="K229" s="216">
        <f t="shared" si="33"/>
        <v>0</v>
      </c>
      <c r="L229" s="367">
        <v>284</v>
      </c>
      <c r="M229" s="148">
        <f t="shared" si="36"/>
        <v>0</v>
      </c>
      <c r="N229" s="91" t="e">
        <f t="shared" si="34"/>
        <v>#DIV/0!</v>
      </c>
      <c r="O229" s="148"/>
      <c r="P229" s="57">
        <f t="shared" si="37"/>
        <v>0</v>
      </c>
      <c r="Q229" s="57">
        <f t="shared" si="38"/>
        <v>0</v>
      </c>
    </row>
    <row r="230" spans="2:17" ht="15.75" customHeight="1" x14ac:dyDescent="0.45">
      <c r="B230" s="470">
        <v>9216928190</v>
      </c>
      <c r="C230" s="671" t="s">
        <v>595</v>
      </c>
      <c r="D230" s="42">
        <v>2</v>
      </c>
      <c r="E230" s="1">
        <v>28</v>
      </c>
      <c r="F230" s="1"/>
      <c r="G230" s="1">
        <f t="shared" si="41"/>
        <v>0</v>
      </c>
      <c r="H230" s="60">
        <f>(30*BC!$B$47/E230)</f>
        <v>0</v>
      </c>
      <c r="I230" s="701">
        <f t="shared" si="35"/>
        <v>0</v>
      </c>
      <c r="J230" s="701">
        <f t="shared" si="32"/>
        <v>0</v>
      </c>
      <c r="K230" s="216">
        <f t="shared" si="33"/>
        <v>0</v>
      </c>
      <c r="L230" s="367">
        <v>69</v>
      </c>
      <c r="M230" s="148">
        <f t="shared" si="36"/>
        <v>0</v>
      </c>
      <c r="N230" s="91" t="e">
        <f t="shared" si="34"/>
        <v>#DIV/0!</v>
      </c>
      <c r="O230" s="148"/>
      <c r="P230" s="57">
        <f t="shared" si="37"/>
        <v>0</v>
      </c>
      <c r="Q230" s="57">
        <f t="shared" si="38"/>
        <v>0</v>
      </c>
    </row>
    <row r="231" spans="2:17" ht="15.75" customHeight="1" x14ac:dyDescent="0.45">
      <c r="B231" s="470">
        <v>9289313190</v>
      </c>
      <c r="C231" s="672" t="s">
        <v>595</v>
      </c>
      <c r="D231" s="42">
        <v>2</v>
      </c>
      <c r="E231" s="1">
        <v>84</v>
      </c>
      <c r="F231" s="1"/>
      <c r="G231" s="1">
        <f t="shared" si="41"/>
        <v>0</v>
      </c>
      <c r="H231" s="60">
        <f>(30*BC!$B$47/E231)</f>
        <v>0</v>
      </c>
      <c r="I231" s="701">
        <f t="shared" si="35"/>
        <v>0</v>
      </c>
      <c r="J231" s="701">
        <f t="shared" si="32"/>
        <v>0</v>
      </c>
      <c r="K231" s="216">
        <f t="shared" si="33"/>
        <v>0</v>
      </c>
      <c r="L231" s="367">
        <v>184</v>
      </c>
      <c r="M231" s="148">
        <f t="shared" si="36"/>
        <v>0</v>
      </c>
      <c r="N231" s="91" t="e">
        <f t="shared" si="34"/>
        <v>#DIV/0!</v>
      </c>
      <c r="O231" s="148"/>
      <c r="P231" s="57">
        <f t="shared" si="37"/>
        <v>0</v>
      </c>
      <c r="Q231" s="57">
        <f t="shared" si="38"/>
        <v>0</v>
      </c>
    </row>
    <row r="232" spans="2:17" ht="15.75" customHeight="1" x14ac:dyDescent="0.45">
      <c r="B232" s="470">
        <v>9345302190</v>
      </c>
      <c r="C232" s="674" t="s">
        <v>617</v>
      </c>
      <c r="D232" s="42">
        <v>3</v>
      </c>
      <c r="E232" s="1">
        <v>21</v>
      </c>
      <c r="F232" s="1"/>
      <c r="G232" s="1">
        <f t="shared" si="41"/>
        <v>0</v>
      </c>
      <c r="H232" s="60">
        <f>(30*BC!$B$47/E232)</f>
        <v>0</v>
      </c>
      <c r="I232" s="701">
        <f t="shared" si="35"/>
        <v>0</v>
      </c>
      <c r="J232" s="701">
        <f t="shared" si="32"/>
        <v>0</v>
      </c>
      <c r="K232" s="216">
        <f t="shared" si="33"/>
        <v>0</v>
      </c>
      <c r="L232" s="367">
        <v>287</v>
      </c>
      <c r="M232" s="148">
        <f t="shared" si="36"/>
        <v>0</v>
      </c>
      <c r="N232" s="91" t="e">
        <f t="shared" si="34"/>
        <v>#DIV/0!</v>
      </c>
      <c r="O232" s="148"/>
      <c r="P232" s="57">
        <f t="shared" si="37"/>
        <v>0</v>
      </c>
      <c r="Q232" s="57">
        <f t="shared" si="38"/>
        <v>0</v>
      </c>
    </row>
    <row r="233" spans="2:17" ht="15.75" customHeight="1" x14ac:dyDescent="0.45">
      <c r="B233" s="470">
        <v>5889081190</v>
      </c>
      <c r="C233" s="675" t="s">
        <v>611</v>
      </c>
      <c r="D233" s="42">
        <v>1</v>
      </c>
      <c r="E233" s="1">
        <v>28</v>
      </c>
      <c r="F233" s="1"/>
      <c r="G233" s="1">
        <f>(A37/(0.00001*300)/3000)</f>
        <v>0</v>
      </c>
      <c r="H233" s="60">
        <f>(30*BC!$B$47/E233)</f>
        <v>0</v>
      </c>
      <c r="I233" s="701">
        <f t="shared" si="35"/>
        <v>0</v>
      </c>
      <c r="J233" s="701">
        <f t="shared" si="32"/>
        <v>0</v>
      </c>
      <c r="K233" s="216">
        <f t="shared" si="33"/>
        <v>0</v>
      </c>
      <c r="L233" s="367">
        <v>656</v>
      </c>
      <c r="M233" s="148">
        <f t="shared" si="36"/>
        <v>0</v>
      </c>
      <c r="N233" s="91" t="e">
        <f t="shared" si="34"/>
        <v>#DIV/0!</v>
      </c>
      <c r="O233" s="148"/>
      <c r="P233" s="57">
        <f t="shared" si="37"/>
        <v>0</v>
      </c>
      <c r="Q233" s="57">
        <f t="shared" si="38"/>
        <v>0</v>
      </c>
    </row>
    <row r="234" spans="2:17" ht="15.75" customHeight="1" x14ac:dyDescent="0.45">
      <c r="B234" s="470">
        <v>7294131190</v>
      </c>
      <c r="C234" s="678" t="s">
        <v>602</v>
      </c>
      <c r="D234" s="42">
        <v>1</v>
      </c>
      <c r="E234" s="1">
        <v>28</v>
      </c>
      <c r="F234" s="1"/>
      <c r="G234" s="1">
        <f>(F109/(0.00001*300)/3000)</f>
        <v>0</v>
      </c>
      <c r="H234" s="60">
        <f>(30*BC!$B$47/E234)</f>
        <v>0</v>
      </c>
      <c r="I234" s="701">
        <f t="shared" si="35"/>
        <v>0</v>
      </c>
      <c r="J234" s="701">
        <f t="shared" si="32"/>
        <v>0</v>
      </c>
      <c r="K234" s="216">
        <f t="shared" si="33"/>
        <v>0</v>
      </c>
      <c r="L234" s="367">
        <v>331</v>
      </c>
      <c r="M234" s="148">
        <f t="shared" si="36"/>
        <v>0</v>
      </c>
      <c r="N234" s="91" t="e">
        <f t="shared" si="34"/>
        <v>#DIV/0!</v>
      </c>
      <c r="O234" s="148"/>
      <c r="P234" s="57">
        <f t="shared" si="37"/>
        <v>0</v>
      </c>
      <c r="Q234" s="57">
        <f t="shared" si="38"/>
        <v>0</v>
      </c>
    </row>
    <row r="235" spans="2:17" ht="21" x14ac:dyDescent="0.35">
      <c r="B235" s="587" t="s">
        <v>8</v>
      </c>
      <c r="C235" s="588"/>
      <c r="D235" s="589" t="s">
        <v>1082</v>
      </c>
      <c r="E235" s="698" t="s">
        <v>54</v>
      </c>
      <c r="F235" s="481"/>
      <c r="G235" s="482" t="s">
        <v>53</v>
      </c>
      <c r="H235" s="512" t="s">
        <v>52</v>
      </c>
      <c r="I235" s="512" t="s">
        <v>51</v>
      </c>
      <c r="J235" s="512"/>
      <c r="K235" s="482" t="s">
        <v>50</v>
      </c>
      <c r="L235" s="513" t="s">
        <v>49</v>
      </c>
      <c r="M235" s="482" t="s">
        <v>48</v>
      </c>
      <c r="N235" s="92" t="s">
        <v>176</v>
      </c>
      <c r="O235" s="482"/>
      <c r="P235" s="483" t="s">
        <v>318</v>
      </c>
      <c r="Q235" s="483" t="s">
        <v>319</v>
      </c>
    </row>
    <row r="236" spans="2:17" ht="15.75" customHeight="1" x14ac:dyDescent="0.45">
      <c r="B236" s="471">
        <v>5694302001</v>
      </c>
      <c r="C236" s="471" t="s">
        <v>1052</v>
      </c>
      <c r="D236" s="1">
        <v>1</v>
      </c>
      <c r="E236" s="1">
        <v>365</v>
      </c>
      <c r="F236" s="1"/>
      <c r="G236" s="1">
        <f>(F112/(0.04*50)/2000)</f>
        <v>0</v>
      </c>
      <c r="H236" s="60">
        <f>(30*BC!$B$47/E236)</f>
        <v>0</v>
      </c>
      <c r="I236" s="701">
        <f t="shared" si="35"/>
        <v>0</v>
      </c>
      <c r="J236" s="701">
        <f t="shared" si="32"/>
        <v>0</v>
      </c>
      <c r="K236" s="216">
        <f t="shared" si="33"/>
        <v>0</v>
      </c>
      <c r="L236" s="367">
        <v>231</v>
      </c>
      <c r="M236" s="148">
        <f t="shared" si="36"/>
        <v>0</v>
      </c>
      <c r="N236" s="91" t="e">
        <f t="shared" si="34"/>
        <v>#DIV/0!</v>
      </c>
      <c r="O236" s="148"/>
      <c r="P236" s="57">
        <f t="shared" si="37"/>
        <v>0</v>
      </c>
      <c r="Q236" s="57">
        <f t="shared" si="38"/>
        <v>0</v>
      </c>
    </row>
    <row r="237" spans="2:17" ht="15.75" customHeight="1" x14ac:dyDescent="0.45">
      <c r="B237" s="471">
        <v>7299010190</v>
      </c>
      <c r="C237" s="471" t="s">
        <v>1053</v>
      </c>
      <c r="D237" s="42">
        <v>1</v>
      </c>
      <c r="E237" s="1">
        <v>112</v>
      </c>
      <c r="F237" s="1"/>
      <c r="G237" s="1">
        <f>(F112/(0.02*6000)/100)</f>
        <v>0</v>
      </c>
      <c r="H237" s="60">
        <f>(30*BC!$B$47/E237)</f>
        <v>0</v>
      </c>
      <c r="I237" s="701">
        <f t="shared" si="35"/>
        <v>0</v>
      </c>
      <c r="J237" s="701">
        <f t="shared" si="32"/>
        <v>0</v>
      </c>
      <c r="K237" s="216">
        <f t="shared" si="33"/>
        <v>0</v>
      </c>
      <c r="L237" s="367">
        <v>18</v>
      </c>
      <c r="M237" s="148">
        <f t="shared" si="36"/>
        <v>0</v>
      </c>
      <c r="N237" s="91" t="e">
        <f t="shared" si="34"/>
        <v>#DIV/0!</v>
      </c>
      <c r="O237" s="148"/>
      <c r="P237" s="57">
        <f t="shared" si="37"/>
        <v>0</v>
      </c>
      <c r="Q237" s="57">
        <f t="shared" si="38"/>
        <v>0</v>
      </c>
    </row>
    <row r="238" spans="2:17" ht="15.75" customHeight="1" x14ac:dyDescent="0.45">
      <c r="B238" s="471">
        <v>7299001190</v>
      </c>
      <c r="C238" s="471" t="s">
        <v>1054</v>
      </c>
      <c r="D238" s="42">
        <v>1</v>
      </c>
      <c r="E238" s="1">
        <v>112</v>
      </c>
      <c r="F238" s="1"/>
      <c r="G238" s="1">
        <f>(F112/(0.02*2000)/100)</f>
        <v>0</v>
      </c>
      <c r="H238" s="60">
        <f>(30*BC!$B$47/E238)</f>
        <v>0</v>
      </c>
      <c r="I238" s="701">
        <f t="shared" si="35"/>
        <v>0</v>
      </c>
      <c r="J238" s="701">
        <f t="shared" si="32"/>
        <v>0</v>
      </c>
      <c r="K238" s="216">
        <f t="shared" si="33"/>
        <v>0</v>
      </c>
      <c r="L238" s="367">
        <v>216</v>
      </c>
      <c r="M238" s="148">
        <f t="shared" si="36"/>
        <v>0</v>
      </c>
      <c r="N238" s="91" t="e">
        <f t="shared" si="34"/>
        <v>#DIV/0!</v>
      </c>
      <c r="O238" s="148"/>
      <c r="P238" s="57">
        <f t="shared" si="37"/>
        <v>0</v>
      </c>
      <c r="Q238" s="57">
        <f t="shared" si="38"/>
        <v>0</v>
      </c>
    </row>
    <row r="239" spans="2:17" ht="15.75" customHeight="1" x14ac:dyDescent="0.45">
      <c r="B239" s="25">
        <v>9762582190</v>
      </c>
      <c r="C239" s="471" t="s">
        <v>1055</v>
      </c>
      <c r="D239" s="42">
        <v>1</v>
      </c>
      <c r="E239" s="1">
        <v>28</v>
      </c>
      <c r="F239" s="1"/>
      <c r="G239" s="1">
        <f>(F112/(0.02*6000)/100)</f>
        <v>0</v>
      </c>
      <c r="H239" s="60">
        <f>(30*BC!$B$47/E239)</f>
        <v>0</v>
      </c>
      <c r="I239" s="701">
        <f t="shared" si="35"/>
        <v>0</v>
      </c>
      <c r="J239" s="701">
        <f t="shared" si="32"/>
        <v>0</v>
      </c>
      <c r="K239" s="216">
        <f t="shared" si="33"/>
        <v>0</v>
      </c>
      <c r="L239" s="367">
        <v>128</v>
      </c>
      <c r="M239" s="148">
        <f t="shared" si="36"/>
        <v>0</v>
      </c>
      <c r="N239" s="91" t="e">
        <f t="shared" si="34"/>
        <v>#DIV/0!</v>
      </c>
      <c r="O239" s="148"/>
      <c r="P239" s="57">
        <f t="shared" si="37"/>
        <v>0</v>
      </c>
      <c r="Q239" s="57">
        <f t="shared" si="38"/>
        <v>0</v>
      </c>
    </row>
    <row r="240" spans="2:17" ht="15.75" customHeight="1" x14ac:dyDescent="0.45">
      <c r="B240" s="471">
        <v>6908853190</v>
      </c>
      <c r="C240" s="471" t="s">
        <v>1056</v>
      </c>
      <c r="D240" s="42">
        <v>2</v>
      </c>
      <c r="E240" s="1">
        <v>28</v>
      </c>
      <c r="F240" s="1"/>
      <c r="G240" s="1">
        <f>(F112/(0.0002*200)/12000)</f>
        <v>0</v>
      </c>
      <c r="H240" s="60">
        <f>(30*BC!$B$47/E240)</f>
        <v>0</v>
      </c>
      <c r="I240" s="701">
        <f t="shared" si="35"/>
        <v>0</v>
      </c>
      <c r="J240" s="701">
        <f t="shared" si="32"/>
        <v>0</v>
      </c>
      <c r="K240" s="216">
        <f t="shared" si="33"/>
        <v>0</v>
      </c>
      <c r="L240" s="367">
        <v>29</v>
      </c>
      <c r="M240" s="148">
        <f t="shared" si="36"/>
        <v>0</v>
      </c>
      <c r="N240" s="91" t="e">
        <f t="shared" si="34"/>
        <v>#DIV/0!</v>
      </c>
      <c r="O240" s="148"/>
      <c r="P240" s="57">
        <f t="shared" si="37"/>
        <v>0</v>
      </c>
      <c r="Q240" s="57">
        <f t="shared" si="38"/>
        <v>0</v>
      </c>
    </row>
    <row r="241" spans="2:17" ht="15.75" customHeight="1" x14ac:dyDescent="0.45">
      <c r="B241" s="471">
        <v>4880293190</v>
      </c>
      <c r="C241" s="471" t="s">
        <v>1057</v>
      </c>
      <c r="D241" s="42">
        <v>2</v>
      </c>
      <c r="E241" s="1">
        <v>21</v>
      </c>
      <c r="F241" s="1"/>
      <c r="G241" s="1">
        <f>(F112/(0.00006*230)/12000)</f>
        <v>0</v>
      </c>
      <c r="H241" s="60">
        <f>(30*BC!$B$47/E241)</f>
        <v>0</v>
      </c>
      <c r="I241" s="701">
        <f t="shared" si="35"/>
        <v>0</v>
      </c>
      <c r="J241" s="701">
        <f t="shared" si="32"/>
        <v>0</v>
      </c>
      <c r="K241" s="216">
        <f t="shared" si="33"/>
        <v>0</v>
      </c>
      <c r="L241" s="367">
        <v>109</v>
      </c>
      <c r="M241" s="148">
        <f t="shared" si="36"/>
        <v>0</v>
      </c>
      <c r="N241" s="91" t="e">
        <f t="shared" si="34"/>
        <v>#DIV/0!</v>
      </c>
      <c r="O241" s="148"/>
      <c r="P241" s="57">
        <f t="shared" si="37"/>
        <v>0</v>
      </c>
      <c r="Q241" s="57">
        <f t="shared" si="38"/>
        <v>0</v>
      </c>
    </row>
    <row r="242" spans="2:17" ht="15.75" customHeight="1" x14ac:dyDescent="0.45">
      <c r="B242" s="471">
        <v>6908799190</v>
      </c>
      <c r="C242" s="471" t="s">
        <v>1058</v>
      </c>
      <c r="D242" s="42">
        <v>2</v>
      </c>
      <c r="E242" s="1">
        <v>21</v>
      </c>
      <c r="F242" s="1"/>
      <c r="G242" s="1">
        <f>(F112/(0.00013*300)/12000)</f>
        <v>0</v>
      </c>
      <c r="H242" s="60">
        <f>(30*BC!$B$47/E242)</f>
        <v>0</v>
      </c>
      <c r="I242" s="701">
        <f t="shared" si="35"/>
        <v>0</v>
      </c>
      <c r="J242" s="701">
        <f t="shared" ref="J242:J258" si="42">IF(G242=0,0,I242)</f>
        <v>0</v>
      </c>
      <c r="K242" s="216">
        <f t="shared" ref="K242:K258" si="43">ROUNDUP(J242,0)</f>
        <v>0</v>
      </c>
      <c r="L242" s="367">
        <v>30</v>
      </c>
      <c r="M242" s="148">
        <f t="shared" si="36"/>
        <v>0</v>
      </c>
      <c r="N242" s="91" t="e">
        <f t="shared" ref="N242:N258" si="44">((L242*$K$264)+L242)</f>
        <v>#DIV/0!</v>
      </c>
      <c r="O242" s="148"/>
      <c r="P242" s="57">
        <f t="shared" si="37"/>
        <v>0</v>
      </c>
      <c r="Q242" s="57">
        <f t="shared" si="38"/>
        <v>0</v>
      </c>
    </row>
    <row r="243" spans="2:17" ht="15.75" customHeight="1" x14ac:dyDescent="0.45">
      <c r="B243" s="471">
        <v>7373066190</v>
      </c>
      <c r="C243" s="471" t="s">
        <v>1059</v>
      </c>
      <c r="D243" s="42">
        <v>1</v>
      </c>
      <c r="E243" s="1">
        <v>112</v>
      </c>
      <c r="F243" s="1"/>
      <c r="G243" s="1"/>
      <c r="H243" s="60">
        <f>(30*BC!$B$47/E243)</f>
        <v>0</v>
      </c>
      <c r="I243" s="701">
        <f t="shared" ref="I243:I258" si="45">IF(H243&gt;G243,H243,G243)</f>
        <v>0</v>
      </c>
      <c r="J243" s="701">
        <f t="shared" si="42"/>
        <v>0</v>
      </c>
      <c r="K243" s="216">
        <f t="shared" si="43"/>
        <v>0</v>
      </c>
      <c r="L243" s="367">
        <v>96</v>
      </c>
      <c r="M243" s="148">
        <f t="shared" ref="M243:M258" si="46">((L243/D243)*K243)</f>
        <v>0</v>
      </c>
      <c r="N243" s="91" t="e">
        <f t="shared" si="44"/>
        <v>#DIV/0!</v>
      </c>
      <c r="O243" s="148"/>
      <c r="P243" s="57">
        <f t="shared" ref="P243:P258" si="47">K243/D243</f>
        <v>0</v>
      </c>
      <c r="Q243" s="57">
        <f t="shared" ref="Q243:Q258" si="48">ROUNDUP(P243,0)</f>
        <v>0</v>
      </c>
    </row>
    <row r="244" spans="2:17" ht="15.75" customHeight="1" x14ac:dyDescent="0.45">
      <c r="B244" s="471">
        <v>7372990190</v>
      </c>
      <c r="C244" s="471" t="s">
        <v>1060</v>
      </c>
      <c r="D244" s="42">
        <v>1</v>
      </c>
      <c r="E244" s="1">
        <v>112</v>
      </c>
      <c r="F244" s="1"/>
      <c r="G244" s="1"/>
      <c r="H244" s="60">
        <f>(30*BC!$B$47/E244)</f>
        <v>0</v>
      </c>
      <c r="I244" s="701">
        <f t="shared" si="45"/>
        <v>0</v>
      </c>
      <c r="J244" s="701">
        <f t="shared" si="42"/>
        <v>0</v>
      </c>
      <c r="K244" s="216">
        <f t="shared" si="43"/>
        <v>0</v>
      </c>
      <c r="L244" s="367">
        <v>55</v>
      </c>
      <c r="M244" s="148">
        <f t="shared" si="46"/>
        <v>0</v>
      </c>
      <c r="N244" s="91" t="e">
        <f t="shared" si="44"/>
        <v>#DIV/0!</v>
      </c>
      <c r="O244" s="148"/>
      <c r="P244" s="57">
        <f t="shared" si="47"/>
        <v>0</v>
      </c>
      <c r="Q244" s="57">
        <f t="shared" si="48"/>
        <v>0</v>
      </c>
    </row>
    <row r="245" spans="2:17" ht="15.75" customHeight="1" x14ac:dyDescent="0.45">
      <c r="B245" s="471">
        <v>5118506190</v>
      </c>
      <c r="C245" s="471" t="s">
        <v>1061</v>
      </c>
      <c r="D245" s="42">
        <v>2</v>
      </c>
      <c r="E245" s="1">
        <v>5</v>
      </c>
      <c r="F245" s="1"/>
      <c r="G245" s="1"/>
      <c r="H245" s="60">
        <f>(30*BC!$B$47/E245)</f>
        <v>0</v>
      </c>
      <c r="I245" s="701">
        <f t="shared" si="45"/>
        <v>0</v>
      </c>
      <c r="J245" s="701">
        <f t="shared" si="42"/>
        <v>0</v>
      </c>
      <c r="K245" s="216">
        <f t="shared" si="43"/>
        <v>0</v>
      </c>
      <c r="L245" s="367">
        <v>25</v>
      </c>
      <c r="M245" s="148">
        <f t="shared" si="46"/>
        <v>0</v>
      </c>
      <c r="N245" s="91" t="e">
        <f t="shared" si="44"/>
        <v>#DIV/0!</v>
      </c>
      <c r="O245" s="148"/>
      <c r="P245" s="57">
        <f t="shared" si="47"/>
        <v>0</v>
      </c>
      <c r="Q245" s="57">
        <f t="shared" si="48"/>
        <v>0</v>
      </c>
    </row>
    <row r="246" spans="2:17" ht="15.75" customHeight="1" x14ac:dyDescent="0.45">
      <c r="B246" s="471">
        <v>4444191001</v>
      </c>
      <c r="C246" s="471" t="s">
        <v>630</v>
      </c>
      <c r="D246" s="1">
        <v>1</v>
      </c>
      <c r="E246" s="1">
        <v>365</v>
      </c>
      <c r="F246" s="1"/>
      <c r="G246" s="1">
        <f>((F112-(F112*0.9))/E246)</f>
        <v>0</v>
      </c>
      <c r="H246" s="60">
        <f>(30*BC!$B$47/E246)</f>
        <v>0</v>
      </c>
      <c r="I246" s="701">
        <f t="shared" si="45"/>
        <v>0</v>
      </c>
      <c r="J246" s="701">
        <f t="shared" si="42"/>
        <v>0</v>
      </c>
      <c r="K246" s="216">
        <f t="shared" si="43"/>
        <v>0</v>
      </c>
      <c r="L246" s="367">
        <v>9</v>
      </c>
      <c r="M246" s="148">
        <f t="shared" si="46"/>
        <v>0</v>
      </c>
      <c r="N246" s="91" t="e">
        <f t="shared" si="44"/>
        <v>#DIV/0!</v>
      </c>
      <c r="O246" s="148"/>
      <c r="P246" s="57">
        <f t="shared" si="47"/>
        <v>0</v>
      </c>
      <c r="Q246" s="57">
        <f t="shared" si="48"/>
        <v>0</v>
      </c>
    </row>
    <row r="247" spans="2:17" ht="15.75" customHeight="1" x14ac:dyDescent="0.45">
      <c r="B247" s="471">
        <v>10394246001</v>
      </c>
      <c r="C247" s="471" t="s">
        <v>1062</v>
      </c>
      <c r="D247" s="1">
        <v>20</v>
      </c>
      <c r="E247" s="1">
        <v>365</v>
      </c>
      <c r="F247" s="1"/>
      <c r="G247" s="1"/>
      <c r="H247" s="60">
        <f>(30*BC!$B$47/E247)</f>
        <v>0</v>
      </c>
      <c r="I247" s="701">
        <f t="shared" si="45"/>
        <v>0</v>
      </c>
      <c r="J247" s="701">
        <f t="shared" si="42"/>
        <v>0</v>
      </c>
      <c r="K247" s="216">
        <f t="shared" si="43"/>
        <v>0</v>
      </c>
      <c r="L247" s="367">
        <v>230</v>
      </c>
      <c r="M247" s="148">
        <f t="shared" si="46"/>
        <v>0</v>
      </c>
      <c r="N247" s="91" t="e">
        <f t="shared" si="44"/>
        <v>#DIV/0!</v>
      </c>
      <c r="O247" s="148"/>
      <c r="P247" s="57">
        <f t="shared" si="47"/>
        <v>0</v>
      </c>
      <c r="Q247" s="57">
        <f t="shared" si="48"/>
        <v>0</v>
      </c>
    </row>
    <row r="248" spans="2:17" ht="15.75" customHeight="1" x14ac:dyDescent="0.45">
      <c r="B248" s="470">
        <v>3142949122</v>
      </c>
      <c r="C248" s="490" t="s">
        <v>1063</v>
      </c>
      <c r="D248" s="42">
        <v>365</v>
      </c>
      <c r="E248" s="1">
        <v>1</v>
      </c>
      <c r="F248" s="1"/>
      <c r="G248" s="1"/>
      <c r="H248" s="60">
        <f>(30*BC!$B$47/E248)</f>
        <v>0</v>
      </c>
      <c r="I248" s="701">
        <f t="shared" si="45"/>
        <v>0</v>
      </c>
      <c r="J248" s="701">
        <f t="shared" si="42"/>
        <v>0</v>
      </c>
      <c r="K248" s="216">
        <f t="shared" si="43"/>
        <v>0</v>
      </c>
      <c r="L248" s="367">
        <v>127</v>
      </c>
      <c r="M248" s="148">
        <f t="shared" si="46"/>
        <v>0</v>
      </c>
      <c r="N248" s="91" t="e">
        <f t="shared" si="44"/>
        <v>#DIV/0!</v>
      </c>
      <c r="O248" s="148"/>
      <c r="P248" s="57">
        <f t="shared" si="47"/>
        <v>0</v>
      </c>
      <c r="Q248" s="57">
        <f t="shared" si="48"/>
        <v>0</v>
      </c>
    </row>
    <row r="249" spans="2:17" ht="15.75" customHeight="1" x14ac:dyDescent="0.45">
      <c r="B249" s="470">
        <v>5889073190</v>
      </c>
      <c r="C249" s="675" t="s">
        <v>1064</v>
      </c>
      <c r="D249" s="42">
        <v>100</v>
      </c>
      <c r="E249" s="1">
        <v>84</v>
      </c>
      <c r="F249" s="1"/>
      <c r="G249" s="1"/>
      <c r="H249" s="60">
        <f>(30*BC!$B$47/E249)</f>
        <v>0</v>
      </c>
      <c r="I249" s="701">
        <f t="shared" si="45"/>
        <v>0</v>
      </c>
      <c r="J249" s="701">
        <f t="shared" si="42"/>
        <v>0</v>
      </c>
      <c r="K249" s="216">
        <f t="shared" si="43"/>
        <v>0</v>
      </c>
      <c r="L249" s="367">
        <v>72</v>
      </c>
      <c r="M249" s="148">
        <f t="shared" si="46"/>
        <v>0</v>
      </c>
      <c r="N249" s="91" t="e">
        <f t="shared" si="44"/>
        <v>#DIV/0!</v>
      </c>
      <c r="O249" s="148"/>
      <c r="P249" s="57">
        <f t="shared" si="47"/>
        <v>0</v>
      </c>
      <c r="Q249" s="57">
        <f t="shared" si="48"/>
        <v>0</v>
      </c>
    </row>
    <row r="250" spans="2:17" ht="15.75" customHeight="1" x14ac:dyDescent="0.45">
      <c r="B250" s="470">
        <v>5944317190</v>
      </c>
      <c r="C250" s="627" t="s">
        <v>1065</v>
      </c>
      <c r="D250" s="42">
        <v>4</v>
      </c>
      <c r="E250" s="1">
        <v>14</v>
      </c>
      <c r="F250" s="1"/>
      <c r="G250" s="1"/>
      <c r="H250" s="60">
        <f>(30*BC!$B$47/E250)</f>
        <v>0</v>
      </c>
      <c r="I250" s="701">
        <f t="shared" si="45"/>
        <v>0</v>
      </c>
      <c r="J250" s="701">
        <f t="shared" si="42"/>
        <v>0</v>
      </c>
      <c r="K250" s="216">
        <f t="shared" si="43"/>
        <v>0</v>
      </c>
      <c r="L250" s="367">
        <v>95</v>
      </c>
      <c r="M250" s="148">
        <f t="shared" si="46"/>
        <v>0</v>
      </c>
      <c r="N250" s="91" t="e">
        <f t="shared" si="44"/>
        <v>#DIV/0!</v>
      </c>
      <c r="O250" s="148"/>
      <c r="P250" s="57">
        <f t="shared" si="47"/>
        <v>0</v>
      </c>
      <c r="Q250" s="57">
        <f t="shared" si="48"/>
        <v>0</v>
      </c>
    </row>
    <row r="251" spans="2:17" ht="15.75" customHeight="1" x14ac:dyDescent="0.45">
      <c r="B251" s="470">
        <v>9370064190</v>
      </c>
      <c r="C251" s="490" t="s">
        <v>1066</v>
      </c>
      <c r="D251" s="42">
        <v>1</v>
      </c>
      <c r="E251" s="1">
        <v>28</v>
      </c>
      <c r="F251" s="1"/>
      <c r="G251" s="1"/>
      <c r="H251" s="60">
        <f>(30*BC!$B$47/E251)</f>
        <v>0</v>
      </c>
      <c r="I251" s="701">
        <f t="shared" si="45"/>
        <v>0</v>
      </c>
      <c r="J251" s="701">
        <f t="shared" si="42"/>
        <v>0</v>
      </c>
      <c r="K251" s="216">
        <f t="shared" si="43"/>
        <v>0</v>
      </c>
      <c r="L251" s="367">
        <v>129</v>
      </c>
      <c r="M251" s="148">
        <f t="shared" si="46"/>
        <v>0</v>
      </c>
      <c r="N251" s="91" t="e">
        <f t="shared" si="44"/>
        <v>#DIV/0!</v>
      </c>
      <c r="O251" s="148"/>
      <c r="P251" s="57">
        <f t="shared" si="47"/>
        <v>0</v>
      </c>
      <c r="Q251" s="57">
        <f t="shared" si="48"/>
        <v>0</v>
      </c>
    </row>
    <row r="252" spans="2:17" ht="15.75" customHeight="1" x14ac:dyDescent="0.45">
      <c r="B252" s="470">
        <v>9370099190</v>
      </c>
      <c r="C252" s="490" t="s">
        <v>1067</v>
      </c>
      <c r="D252" s="42">
        <v>1</v>
      </c>
      <c r="E252" s="1">
        <v>28</v>
      </c>
      <c r="F252" s="1"/>
      <c r="G252" s="1"/>
      <c r="H252" s="60">
        <f>(30*BC!$B$47/E252)</f>
        <v>0</v>
      </c>
      <c r="I252" s="701">
        <f t="shared" si="45"/>
        <v>0</v>
      </c>
      <c r="J252" s="701">
        <f t="shared" si="42"/>
        <v>0</v>
      </c>
      <c r="K252" s="216">
        <f t="shared" si="43"/>
        <v>0</v>
      </c>
      <c r="L252" s="367">
        <v>534</v>
      </c>
      <c r="M252" s="148">
        <f t="shared" si="46"/>
        <v>0</v>
      </c>
      <c r="N252" s="91" t="e">
        <f t="shared" si="44"/>
        <v>#DIV/0!</v>
      </c>
      <c r="O252" s="148"/>
      <c r="P252" s="57">
        <f t="shared" si="47"/>
        <v>0</v>
      </c>
      <c r="Q252" s="57">
        <f t="shared" si="48"/>
        <v>0</v>
      </c>
    </row>
    <row r="253" spans="2:17" ht="15.75" customHeight="1" x14ac:dyDescent="0.45">
      <c r="B253" s="470">
        <v>9127127190</v>
      </c>
      <c r="C253" s="490" t="s">
        <v>1068</v>
      </c>
      <c r="D253" s="42">
        <v>2</v>
      </c>
      <c r="E253" s="1">
        <v>56</v>
      </c>
      <c r="F253" s="1"/>
      <c r="G253" s="1"/>
      <c r="H253" s="60">
        <f>(30*BC!$B$47/E253)</f>
        <v>0</v>
      </c>
      <c r="I253" s="701">
        <f t="shared" si="45"/>
        <v>0</v>
      </c>
      <c r="J253" s="701">
        <f t="shared" si="42"/>
        <v>0</v>
      </c>
      <c r="K253" s="216">
        <f t="shared" si="43"/>
        <v>0</v>
      </c>
      <c r="L253" s="148"/>
      <c r="M253" s="148">
        <f t="shared" si="46"/>
        <v>0</v>
      </c>
      <c r="N253" s="91" t="e">
        <f t="shared" si="44"/>
        <v>#DIV/0!</v>
      </c>
      <c r="O253" s="148"/>
      <c r="P253" s="57">
        <f t="shared" si="47"/>
        <v>0</v>
      </c>
      <c r="Q253" s="57">
        <f t="shared" si="48"/>
        <v>0</v>
      </c>
    </row>
    <row r="254" spans="2:17" ht="15.75" customHeight="1" x14ac:dyDescent="0.45">
      <c r="B254" s="471">
        <v>5870020001</v>
      </c>
      <c r="C254" s="471" t="s">
        <v>813</v>
      </c>
      <c r="D254" s="1">
        <v>1</v>
      </c>
      <c r="E254" s="1">
        <v>365</v>
      </c>
      <c r="F254" s="1"/>
      <c r="G254" s="1">
        <f>(F112/2000)/1.2</f>
        <v>0</v>
      </c>
      <c r="H254" s="60">
        <f>(30*BC!$B$47/E254)</f>
        <v>0</v>
      </c>
      <c r="I254" s="701">
        <f t="shared" si="45"/>
        <v>0</v>
      </c>
      <c r="J254" s="701">
        <f t="shared" si="42"/>
        <v>0</v>
      </c>
      <c r="K254" s="216">
        <f t="shared" si="43"/>
        <v>0</v>
      </c>
      <c r="L254" s="367">
        <v>11</v>
      </c>
      <c r="M254" s="148">
        <f t="shared" si="46"/>
        <v>0</v>
      </c>
      <c r="N254" s="91" t="e">
        <f t="shared" si="44"/>
        <v>#DIV/0!</v>
      </c>
      <c r="O254" s="148"/>
      <c r="P254" s="57">
        <f t="shared" si="47"/>
        <v>0</v>
      </c>
      <c r="Q254" s="57">
        <f t="shared" si="48"/>
        <v>0</v>
      </c>
    </row>
    <row r="255" spans="2:17" ht="15.75" customHeight="1" x14ac:dyDescent="0.45">
      <c r="B255" s="471">
        <v>4419987001</v>
      </c>
      <c r="C255" s="471" t="s">
        <v>814</v>
      </c>
      <c r="D255" s="1">
        <v>1</v>
      </c>
      <c r="E255" s="1">
        <v>365</v>
      </c>
      <c r="F255" s="1"/>
      <c r="G255" s="1">
        <f>(F112/D255)/4500</f>
        <v>0</v>
      </c>
      <c r="H255" s="60">
        <f>(30*BC!$B$47/E255)</f>
        <v>0</v>
      </c>
      <c r="I255" s="701">
        <f t="shared" si="45"/>
        <v>0</v>
      </c>
      <c r="J255" s="701">
        <f t="shared" si="42"/>
        <v>0</v>
      </c>
      <c r="K255" s="216">
        <f t="shared" si="43"/>
        <v>0</v>
      </c>
      <c r="L255" s="367">
        <v>7</v>
      </c>
      <c r="M255" s="148">
        <f>((L255/D255)*K255)</f>
        <v>0</v>
      </c>
      <c r="N255" s="91" t="e">
        <f t="shared" si="44"/>
        <v>#DIV/0!</v>
      </c>
      <c r="O255" s="148"/>
      <c r="P255" s="57">
        <f t="shared" si="47"/>
        <v>0</v>
      </c>
      <c r="Q255" s="57">
        <f t="shared" si="48"/>
        <v>0</v>
      </c>
    </row>
    <row r="256" spans="2:17" ht="15.75" customHeight="1" x14ac:dyDescent="0.45">
      <c r="B256" s="471">
        <v>7485409001</v>
      </c>
      <c r="C256" s="471" t="s">
        <v>1069</v>
      </c>
      <c r="D256" s="1">
        <v>1</v>
      </c>
      <c r="E256" s="1">
        <v>365</v>
      </c>
      <c r="F256" s="1"/>
      <c r="G256" s="1"/>
      <c r="H256" s="60">
        <f>(30*BC!$B$47/E256)</f>
        <v>0</v>
      </c>
      <c r="I256" s="701">
        <f t="shared" si="45"/>
        <v>0</v>
      </c>
      <c r="J256" s="701">
        <f t="shared" si="42"/>
        <v>0</v>
      </c>
      <c r="K256" s="216">
        <f t="shared" si="43"/>
        <v>0</v>
      </c>
      <c r="L256" s="367">
        <v>84</v>
      </c>
      <c r="M256" s="148">
        <f t="shared" si="46"/>
        <v>0</v>
      </c>
      <c r="N256" s="91" t="e">
        <f t="shared" si="44"/>
        <v>#DIV/0!</v>
      </c>
      <c r="O256" s="148"/>
      <c r="P256" s="57">
        <f t="shared" si="47"/>
        <v>0</v>
      </c>
      <c r="Q256" s="57">
        <f t="shared" si="48"/>
        <v>0</v>
      </c>
    </row>
    <row r="257" spans="2:18" ht="15.75" customHeight="1" x14ac:dyDescent="0.45">
      <c r="B257" s="471">
        <v>7485433001</v>
      </c>
      <c r="C257" s="471" t="s">
        <v>1070</v>
      </c>
      <c r="D257" s="1">
        <v>1</v>
      </c>
      <c r="E257" s="1">
        <v>365</v>
      </c>
      <c r="F257" s="1"/>
      <c r="G257" s="1"/>
      <c r="H257" s="60">
        <f>(30*BC!$B$47/E257)</f>
        <v>0</v>
      </c>
      <c r="I257" s="701">
        <f t="shared" si="45"/>
        <v>0</v>
      </c>
      <c r="J257" s="701">
        <f t="shared" si="42"/>
        <v>0</v>
      </c>
      <c r="K257" s="216">
        <f t="shared" si="43"/>
        <v>0</v>
      </c>
      <c r="L257" s="367">
        <v>70</v>
      </c>
      <c r="M257" s="148">
        <f t="shared" si="46"/>
        <v>0</v>
      </c>
      <c r="N257" s="91" t="e">
        <f t="shared" si="44"/>
        <v>#DIV/0!</v>
      </c>
      <c r="O257" s="148"/>
      <c r="P257" s="57">
        <f t="shared" si="47"/>
        <v>0</v>
      </c>
      <c r="Q257" s="57">
        <f t="shared" si="48"/>
        <v>0</v>
      </c>
    </row>
    <row r="258" spans="2:18" ht="15.75" customHeight="1" x14ac:dyDescent="0.45">
      <c r="B258" s="471">
        <v>11298500316</v>
      </c>
      <c r="C258" s="471" t="s">
        <v>1071</v>
      </c>
      <c r="D258" s="1">
        <v>5</v>
      </c>
      <c r="E258" s="1">
        <v>73</v>
      </c>
      <c r="F258" s="1"/>
      <c r="G258" s="1">
        <f>(F112/(0.02*800)/1000)</f>
        <v>0</v>
      </c>
      <c r="H258" s="60">
        <f>(30*BC!$B$47/E258)</f>
        <v>0</v>
      </c>
      <c r="I258" s="701">
        <f t="shared" si="45"/>
        <v>0</v>
      </c>
      <c r="J258" s="701">
        <f t="shared" si="42"/>
        <v>0</v>
      </c>
      <c r="K258" s="216">
        <f t="shared" si="43"/>
        <v>0</v>
      </c>
      <c r="L258" s="367">
        <v>98</v>
      </c>
      <c r="M258" s="148">
        <f t="shared" si="46"/>
        <v>0</v>
      </c>
      <c r="N258" s="91" t="e">
        <f t="shared" si="44"/>
        <v>#DIV/0!</v>
      </c>
      <c r="O258" s="148"/>
      <c r="P258" s="57">
        <f t="shared" si="47"/>
        <v>0</v>
      </c>
      <c r="Q258" s="57">
        <f t="shared" si="48"/>
        <v>0</v>
      </c>
    </row>
    <row r="259" spans="2:18" customFormat="1" ht="15.75" customHeight="1" x14ac:dyDescent="0.45">
      <c r="B259" s="287"/>
      <c r="C259" s="56" t="s">
        <v>1086</v>
      </c>
      <c r="D259" s="219"/>
      <c r="E259" s="57"/>
      <c r="F259" s="57"/>
      <c r="G259" s="57"/>
      <c r="H259" s="57"/>
      <c r="I259" s="57"/>
      <c r="J259" s="216">
        <f>BCB47</f>
        <v>0</v>
      </c>
      <c r="K259" s="368">
        <v>3100</v>
      </c>
      <c r="L259" s="57">
        <f>IF(D6=0,0,K259)</f>
        <v>0</v>
      </c>
      <c r="M259" s="394">
        <f>L259*J259</f>
        <v>0</v>
      </c>
      <c r="N259" s="369"/>
      <c r="O259" s="369"/>
      <c r="P259" s="57"/>
      <c r="Q259" s="57"/>
      <c r="R259" s="72"/>
    </row>
    <row r="260" spans="2:18" customFormat="1" ht="15.75" customHeight="1" x14ac:dyDescent="0.45">
      <c r="B260" s="287"/>
      <c r="C260" s="56" t="s">
        <v>1087</v>
      </c>
      <c r="D260" s="219"/>
      <c r="E260" s="57"/>
      <c r="F260" s="57"/>
      <c r="G260" s="57"/>
      <c r="H260" s="57"/>
      <c r="I260" s="57"/>
      <c r="J260" s="216">
        <f>BCB47</f>
        <v>0</v>
      </c>
      <c r="K260" s="368">
        <v>4900</v>
      </c>
      <c r="L260" s="57">
        <f>IF(F6=0,0,K260)</f>
        <v>0</v>
      </c>
      <c r="M260" s="394">
        <f>L260*J260</f>
        <v>0</v>
      </c>
      <c r="N260" s="369"/>
      <c r="O260" s="369"/>
      <c r="P260" s="57"/>
      <c r="Q260" s="57"/>
      <c r="R260" s="72"/>
    </row>
    <row r="261" spans="2:18" ht="15.75" customHeight="1" x14ac:dyDescent="0.35">
      <c r="D261" s="146"/>
      <c r="M261" s="697">
        <f>SUM(M114:M259)</f>
        <v>0</v>
      </c>
      <c r="N261" s="692"/>
      <c r="O261" s="692"/>
      <c r="P261" s="692"/>
    </row>
    <row r="262" spans="2:18" ht="15.75" customHeight="1" x14ac:dyDescent="0.35">
      <c r="D262" s="146"/>
      <c r="M262" s="148" t="e">
        <f>M261/F112</f>
        <v>#DIV/0!</v>
      </c>
      <c r="N262" s="692"/>
      <c r="O262" s="692"/>
    </row>
    <row r="263" spans="2:18" ht="15.75" customHeight="1" x14ac:dyDescent="0.35">
      <c r="D263" s="146"/>
    </row>
    <row r="264" spans="2:18" ht="15.75" customHeight="1" x14ac:dyDescent="0.45">
      <c r="D264" s="146"/>
      <c r="K264" s="580" t="e">
        <f>IF(L264=0,L265,L264)</f>
        <v>#DIV/0!</v>
      </c>
      <c r="L264" s="253" t="e">
        <f>(L259/M112)*J259</f>
        <v>#DIV/0!</v>
      </c>
      <c r="M264" s="93" t="e">
        <f>O112-M112</f>
        <v>#DIV/0!</v>
      </c>
    </row>
    <row r="265" spans="2:18" ht="15.75" customHeight="1" x14ac:dyDescent="0.45">
      <c r="D265" s="146"/>
      <c r="K265" s="21"/>
      <c r="L265" s="253" t="e">
        <f>(L260/M112)*J260</f>
        <v>#DIV/0!</v>
      </c>
      <c r="M265" s="93" t="e">
        <f>O112-M112</f>
        <v>#DIV/0!</v>
      </c>
    </row>
    <row r="266" spans="2:18" ht="15.75" customHeight="1" x14ac:dyDescent="0.35">
      <c r="D266" s="146"/>
    </row>
    <row r="267" spans="2:18" ht="15.75" customHeight="1" x14ac:dyDescent="0.35">
      <c r="D267" s="146"/>
    </row>
    <row r="268" spans="2:18" ht="15.75" customHeight="1" x14ac:dyDescent="0.35">
      <c r="D268" s="146"/>
    </row>
    <row r="269" spans="2:18" ht="15.75" customHeight="1" x14ac:dyDescent="0.35">
      <c r="D269" s="146"/>
    </row>
    <row r="270" spans="2:18" ht="15.75" customHeight="1" x14ac:dyDescent="0.35">
      <c r="D270" s="146"/>
    </row>
    <row r="271" spans="2:18" ht="15.75" customHeight="1" x14ac:dyDescent="0.35">
      <c r="D271" s="146"/>
    </row>
    <row r="272" spans="2:18" ht="15.75" customHeight="1" x14ac:dyDescent="0.35">
      <c r="D272" s="146"/>
    </row>
    <row r="273" spans="4:4" ht="15.75" customHeight="1" x14ac:dyDescent="0.35">
      <c r="D273" s="146"/>
    </row>
    <row r="274" spans="4:4" ht="15.75" customHeight="1" x14ac:dyDescent="0.35">
      <c r="D274" s="146"/>
    </row>
    <row r="275" spans="4:4" ht="15.75" customHeight="1" x14ac:dyDescent="0.35">
      <c r="D275" s="146"/>
    </row>
    <row r="276" spans="4:4" ht="15.75" customHeight="1" x14ac:dyDescent="0.35">
      <c r="D276" s="146"/>
    </row>
    <row r="277" spans="4:4" ht="15.75" customHeight="1" x14ac:dyDescent="0.35">
      <c r="D277" s="146"/>
    </row>
    <row r="278" spans="4:4" ht="15.75" customHeight="1" x14ac:dyDescent="0.35">
      <c r="D278" s="146"/>
    </row>
    <row r="279" spans="4:4" ht="15.75" customHeight="1" x14ac:dyDescent="0.35">
      <c r="D279" s="146"/>
    </row>
    <row r="280" spans="4:4" ht="15.75" customHeight="1" x14ac:dyDescent="0.35">
      <c r="D280" s="146"/>
    </row>
    <row r="281" spans="4:4" ht="15.75" customHeight="1" x14ac:dyDescent="0.35">
      <c r="D281" s="146"/>
    </row>
    <row r="282" spans="4:4" ht="15.75" customHeight="1" x14ac:dyDescent="0.35">
      <c r="D282" s="146"/>
    </row>
    <row r="283" spans="4:4" ht="15.75" customHeight="1" x14ac:dyDescent="0.35">
      <c r="D283" s="146"/>
    </row>
    <row r="284" spans="4:4" ht="15.75" customHeight="1" x14ac:dyDescent="0.35">
      <c r="D284" s="146"/>
    </row>
    <row r="285" spans="4:4" ht="15.75" customHeight="1" x14ac:dyDescent="0.35">
      <c r="D285" s="146"/>
    </row>
    <row r="286" spans="4:4" ht="15.75" customHeight="1" x14ac:dyDescent="0.35">
      <c r="D286" s="146"/>
    </row>
    <row r="287" spans="4:4" ht="15.75" customHeight="1" x14ac:dyDescent="0.35">
      <c r="D287" s="146"/>
    </row>
    <row r="288" spans="4:4" ht="15.75" customHeight="1" x14ac:dyDescent="0.35">
      <c r="D288" s="146"/>
    </row>
    <row r="289" spans="4:4" ht="15.75" customHeight="1" x14ac:dyDescent="0.35">
      <c r="D289" s="146"/>
    </row>
    <row r="290" spans="4:4" ht="15.75" customHeight="1" x14ac:dyDescent="0.35">
      <c r="D290" s="146"/>
    </row>
    <row r="291" spans="4:4" ht="15.75" customHeight="1" x14ac:dyDescent="0.35">
      <c r="D291" s="146"/>
    </row>
    <row r="292" spans="4:4" ht="15.75" customHeight="1" x14ac:dyDescent="0.35">
      <c r="D292" s="146"/>
    </row>
    <row r="293" spans="4:4" ht="15.75" customHeight="1" x14ac:dyDescent="0.35">
      <c r="D293" s="146"/>
    </row>
    <row r="294" spans="4:4" ht="15.75" customHeight="1" x14ac:dyDescent="0.35">
      <c r="D294" s="146"/>
    </row>
    <row r="295" spans="4:4" ht="15.75" customHeight="1" x14ac:dyDescent="0.35">
      <c r="D295" s="146"/>
    </row>
    <row r="296" spans="4:4" ht="15.75" customHeight="1" x14ac:dyDescent="0.35">
      <c r="D296" s="146"/>
    </row>
    <row r="297" spans="4:4" ht="15.75" customHeight="1" x14ac:dyDescent="0.35">
      <c r="D297" s="146"/>
    </row>
    <row r="298" spans="4:4" ht="15.75" customHeight="1" x14ac:dyDescent="0.35">
      <c r="D298" s="146"/>
    </row>
    <row r="299" spans="4:4" ht="15.75" customHeight="1" x14ac:dyDescent="0.35">
      <c r="D299" s="146"/>
    </row>
    <row r="300" spans="4:4" ht="15.75" customHeight="1" x14ac:dyDescent="0.35">
      <c r="D300" s="146"/>
    </row>
    <row r="301" spans="4:4" ht="15.75" customHeight="1" x14ac:dyDescent="0.35">
      <c r="D301" s="146"/>
    </row>
    <row r="302" spans="4:4" ht="15.75" customHeight="1" x14ac:dyDescent="0.35">
      <c r="D302" s="146"/>
    </row>
    <row r="303" spans="4:4" ht="15.75" customHeight="1" x14ac:dyDescent="0.35">
      <c r="D303" s="146"/>
    </row>
    <row r="304" spans="4:4" ht="15.75" customHeight="1" x14ac:dyDescent="0.35">
      <c r="D304" s="146"/>
    </row>
    <row r="305" spans="4:4" ht="15.75" customHeight="1" x14ac:dyDescent="0.35">
      <c r="D305" s="146"/>
    </row>
    <row r="306" spans="4:4" ht="15.75" customHeight="1" x14ac:dyDescent="0.35">
      <c r="D306" s="146"/>
    </row>
    <row r="307" spans="4:4" ht="15.75" customHeight="1" x14ac:dyDescent="0.35">
      <c r="D307" s="146"/>
    </row>
    <row r="308" spans="4:4" ht="15.75" customHeight="1" x14ac:dyDescent="0.35">
      <c r="D308" s="146"/>
    </row>
    <row r="309" spans="4:4" ht="15.75" customHeight="1" x14ac:dyDescent="0.35">
      <c r="D309" s="146"/>
    </row>
    <row r="310" spans="4:4" ht="15.75" customHeight="1" x14ac:dyDescent="0.35">
      <c r="D310" s="146"/>
    </row>
    <row r="311" spans="4:4" ht="15.75" customHeight="1" x14ac:dyDescent="0.35">
      <c r="D311" s="146"/>
    </row>
    <row r="312" spans="4:4" ht="15.75" customHeight="1" x14ac:dyDescent="0.35">
      <c r="D312" s="146"/>
    </row>
    <row r="313" spans="4:4" ht="15.75" customHeight="1" x14ac:dyDescent="0.35">
      <c r="D313" s="146"/>
    </row>
    <row r="314" spans="4:4" ht="15.75" customHeight="1" x14ac:dyDescent="0.35">
      <c r="D314" s="146"/>
    </row>
    <row r="315" spans="4:4" ht="15.75" customHeight="1" x14ac:dyDescent="0.35">
      <c r="D315" s="146"/>
    </row>
    <row r="316" spans="4:4" ht="15.75" customHeight="1" x14ac:dyDescent="0.35">
      <c r="D316" s="146"/>
    </row>
    <row r="317" spans="4:4" ht="15.75" customHeight="1" x14ac:dyDescent="0.35">
      <c r="D317" s="146"/>
    </row>
    <row r="318" spans="4:4" ht="15.75" customHeight="1" x14ac:dyDescent="0.35">
      <c r="D318" s="146"/>
    </row>
    <row r="319" spans="4:4" ht="15.75" customHeight="1" x14ac:dyDescent="0.35">
      <c r="D319" s="146"/>
    </row>
    <row r="320" spans="4:4" ht="15.75" customHeight="1" x14ac:dyDescent="0.35">
      <c r="D320" s="146"/>
    </row>
    <row r="321" spans="4:4" ht="15.75" customHeight="1" x14ac:dyDescent="0.35">
      <c r="D321" s="146"/>
    </row>
    <row r="322" spans="4:4" ht="15.75" customHeight="1" x14ac:dyDescent="0.35">
      <c r="D322" s="146"/>
    </row>
    <row r="323" spans="4:4" ht="15.75" customHeight="1" x14ac:dyDescent="0.35">
      <c r="D323" s="146"/>
    </row>
    <row r="324" spans="4:4" ht="15.75" customHeight="1" x14ac:dyDescent="0.35">
      <c r="D324" s="146"/>
    </row>
    <row r="325" spans="4:4" ht="15.75" customHeight="1" x14ac:dyDescent="0.35">
      <c r="D325" s="146"/>
    </row>
    <row r="326" spans="4:4" ht="15.75" customHeight="1" x14ac:dyDescent="0.35">
      <c r="D326" s="146"/>
    </row>
    <row r="327" spans="4:4" ht="15.75" customHeight="1" x14ac:dyDescent="0.35">
      <c r="D327" s="146"/>
    </row>
    <row r="328" spans="4:4" ht="15.75" customHeight="1" x14ac:dyDescent="0.35">
      <c r="D328" s="146"/>
    </row>
    <row r="329" spans="4:4" ht="15.75" customHeight="1" x14ac:dyDescent="0.35">
      <c r="D329" s="146"/>
    </row>
    <row r="330" spans="4:4" ht="15.75" customHeight="1" x14ac:dyDescent="0.35">
      <c r="D330" s="146"/>
    </row>
    <row r="331" spans="4:4" ht="15.75" customHeight="1" x14ac:dyDescent="0.35">
      <c r="D331" s="146"/>
    </row>
    <row r="332" spans="4:4" ht="15.75" customHeight="1" x14ac:dyDescent="0.35">
      <c r="D332" s="146"/>
    </row>
    <row r="333" spans="4:4" ht="15.75" customHeight="1" x14ac:dyDescent="0.35">
      <c r="D333" s="146"/>
    </row>
    <row r="334" spans="4:4" ht="15.75" customHeight="1" x14ac:dyDescent="0.35">
      <c r="D334" s="146"/>
    </row>
    <row r="335" spans="4:4" ht="15.75" customHeight="1" x14ac:dyDescent="0.35">
      <c r="D335" s="146"/>
    </row>
    <row r="336" spans="4:4" ht="15.75" customHeight="1" x14ac:dyDescent="0.35">
      <c r="D336" s="146"/>
    </row>
    <row r="337" spans="4:4" ht="15.75" customHeight="1" x14ac:dyDescent="0.35">
      <c r="D337" s="146"/>
    </row>
    <row r="338" spans="4:4" ht="15.75" customHeight="1" x14ac:dyDescent="0.35">
      <c r="D338" s="146"/>
    </row>
    <row r="339" spans="4:4" ht="15.75" customHeight="1" x14ac:dyDescent="0.35">
      <c r="D339" s="146"/>
    </row>
    <row r="340" spans="4:4" ht="15.75" customHeight="1" x14ac:dyDescent="0.35">
      <c r="D340" s="146"/>
    </row>
    <row r="341" spans="4:4" ht="15.75" customHeight="1" x14ac:dyDescent="0.35">
      <c r="D341" s="146"/>
    </row>
    <row r="342" spans="4:4" ht="15.75" customHeight="1" x14ac:dyDescent="0.35">
      <c r="D342" s="146"/>
    </row>
    <row r="343" spans="4:4" ht="15.75" customHeight="1" x14ac:dyDescent="0.35">
      <c r="D343" s="146"/>
    </row>
    <row r="344" spans="4:4" ht="15.75" customHeight="1" x14ac:dyDescent="0.35">
      <c r="D344" s="146"/>
    </row>
    <row r="345" spans="4:4" ht="15.75" customHeight="1" x14ac:dyDescent="0.35">
      <c r="D345" s="146"/>
    </row>
    <row r="346" spans="4:4" ht="15.75" customHeight="1" x14ac:dyDescent="0.35">
      <c r="D346" s="146"/>
    </row>
    <row r="347" spans="4:4" ht="15.75" customHeight="1" x14ac:dyDescent="0.35">
      <c r="D347" s="146"/>
    </row>
    <row r="348" spans="4:4" ht="15.75" customHeight="1" x14ac:dyDescent="0.35">
      <c r="D348" s="146"/>
    </row>
    <row r="349" spans="4:4" ht="15.75" customHeight="1" x14ac:dyDescent="0.35">
      <c r="D349" s="146"/>
    </row>
    <row r="350" spans="4:4" ht="15.75" customHeight="1" x14ac:dyDescent="0.35">
      <c r="D350" s="146"/>
    </row>
    <row r="351" spans="4:4" ht="15.75" customHeight="1" x14ac:dyDescent="0.35">
      <c r="D351" s="146"/>
    </row>
    <row r="352" spans="4:4" ht="15.75" customHeight="1" x14ac:dyDescent="0.35">
      <c r="D352" s="146"/>
    </row>
    <row r="353" spans="4:4" ht="15.75" customHeight="1" x14ac:dyDescent="0.35">
      <c r="D353" s="146"/>
    </row>
    <row r="354" spans="4:4" ht="15.75" customHeight="1" x14ac:dyDescent="0.35">
      <c r="D354" s="146"/>
    </row>
    <row r="355" spans="4:4" ht="15.75" customHeight="1" x14ac:dyDescent="0.35">
      <c r="D355" s="146"/>
    </row>
    <row r="356" spans="4:4" ht="15.75" customHeight="1" x14ac:dyDescent="0.35">
      <c r="D356" s="146"/>
    </row>
    <row r="357" spans="4:4" ht="15.75" customHeight="1" x14ac:dyDescent="0.35">
      <c r="D357" s="146"/>
    </row>
    <row r="358" spans="4:4" ht="15.75" customHeight="1" x14ac:dyDescent="0.35">
      <c r="D358" s="146"/>
    </row>
    <row r="359" spans="4:4" ht="15.75" customHeight="1" x14ac:dyDescent="0.35">
      <c r="D359" s="146"/>
    </row>
    <row r="360" spans="4:4" ht="15.75" customHeight="1" x14ac:dyDescent="0.35">
      <c r="D360" s="146"/>
    </row>
    <row r="361" spans="4:4" ht="15.75" customHeight="1" x14ac:dyDescent="0.35">
      <c r="D361" s="146"/>
    </row>
    <row r="362" spans="4:4" ht="15.75" customHeight="1" x14ac:dyDescent="0.35">
      <c r="D362" s="146"/>
    </row>
    <row r="363" spans="4:4" ht="15.75" customHeight="1" x14ac:dyDescent="0.35">
      <c r="D363" s="146"/>
    </row>
    <row r="364" spans="4:4" ht="15.75" customHeight="1" x14ac:dyDescent="0.35">
      <c r="D364" s="146"/>
    </row>
    <row r="365" spans="4:4" ht="15.75" customHeight="1" x14ac:dyDescent="0.35">
      <c r="D365" s="146"/>
    </row>
    <row r="366" spans="4:4" ht="15.75" customHeight="1" x14ac:dyDescent="0.35">
      <c r="D366" s="146"/>
    </row>
    <row r="367" spans="4:4" ht="15.75" customHeight="1" x14ac:dyDescent="0.35">
      <c r="D367" s="146"/>
    </row>
    <row r="368" spans="4:4" ht="15.75" customHeight="1" x14ac:dyDescent="0.35">
      <c r="D368" s="146"/>
    </row>
    <row r="369" spans="4:4" ht="15.75" customHeight="1" x14ac:dyDescent="0.35">
      <c r="D369" s="146"/>
    </row>
    <row r="370" spans="4:4" ht="15.75" customHeight="1" x14ac:dyDescent="0.35">
      <c r="D370" s="146"/>
    </row>
    <row r="371" spans="4:4" ht="15.75" customHeight="1" x14ac:dyDescent="0.35">
      <c r="D371" s="146"/>
    </row>
    <row r="372" spans="4:4" ht="15.75" customHeight="1" x14ac:dyDescent="0.35">
      <c r="D372" s="146"/>
    </row>
    <row r="373" spans="4:4" ht="15.75" customHeight="1" x14ac:dyDescent="0.35">
      <c r="D373" s="146"/>
    </row>
    <row r="374" spans="4:4" ht="15.75" customHeight="1" x14ac:dyDescent="0.35">
      <c r="D374" s="146"/>
    </row>
    <row r="375" spans="4:4" ht="15.75" customHeight="1" x14ac:dyDescent="0.35">
      <c r="D375" s="146"/>
    </row>
    <row r="376" spans="4:4" ht="15.75" customHeight="1" x14ac:dyDescent="0.35">
      <c r="D376" s="146"/>
    </row>
    <row r="377" spans="4:4" ht="15.75" customHeight="1" x14ac:dyDescent="0.35">
      <c r="D377" s="146"/>
    </row>
    <row r="378" spans="4:4" ht="15.75" customHeight="1" x14ac:dyDescent="0.35">
      <c r="D378" s="146"/>
    </row>
    <row r="379" spans="4:4" ht="15.75" customHeight="1" x14ac:dyDescent="0.35">
      <c r="D379" s="146"/>
    </row>
    <row r="380" spans="4:4" ht="15.75" customHeight="1" x14ac:dyDescent="0.35">
      <c r="D380" s="146"/>
    </row>
    <row r="381" spans="4:4" ht="15.75" customHeight="1" x14ac:dyDescent="0.35">
      <c r="D381" s="146"/>
    </row>
    <row r="382" spans="4:4" ht="15.75" customHeight="1" x14ac:dyDescent="0.35">
      <c r="D382" s="146"/>
    </row>
    <row r="383" spans="4:4" ht="15.75" customHeight="1" x14ac:dyDescent="0.35">
      <c r="D383" s="146"/>
    </row>
    <row r="384" spans="4:4" ht="15.75" customHeight="1" x14ac:dyDescent="0.35">
      <c r="D384" s="146"/>
    </row>
    <row r="385" spans="4:4" ht="15.75" customHeight="1" x14ac:dyDescent="0.35">
      <c r="D385" s="146"/>
    </row>
    <row r="386" spans="4:4" ht="15.75" customHeight="1" x14ac:dyDescent="0.35">
      <c r="D386" s="146"/>
    </row>
    <row r="387" spans="4:4" ht="15.75" customHeight="1" x14ac:dyDescent="0.35">
      <c r="D387" s="146"/>
    </row>
    <row r="388" spans="4:4" ht="15.75" customHeight="1" x14ac:dyDescent="0.35">
      <c r="D388" s="146"/>
    </row>
    <row r="389" spans="4:4" ht="15.75" customHeight="1" x14ac:dyDescent="0.35">
      <c r="D389" s="146"/>
    </row>
    <row r="390" spans="4:4" ht="15.75" customHeight="1" x14ac:dyDescent="0.35">
      <c r="D390" s="146"/>
    </row>
    <row r="391" spans="4:4" ht="15.75" customHeight="1" x14ac:dyDescent="0.35">
      <c r="D391" s="146"/>
    </row>
    <row r="392" spans="4:4" ht="15.75" customHeight="1" x14ac:dyDescent="0.35">
      <c r="D392" s="146"/>
    </row>
    <row r="393" spans="4:4" ht="15.75" customHeight="1" x14ac:dyDescent="0.35">
      <c r="D393" s="146"/>
    </row>
    <row r="394" spans="4:4" ht="15.75" customHeight="1" x14ac:dyDescent="0.35">
      <c r="D394" s="146"/>
    </row>
    <row r="395" spans="4:4" ht="15.75" customHeight="1" x14ac:dyDescent="0.35">
      <c r="D395" s="146"/>
    </row>
    <row r="396" spans="4:4" ht="15.75" customHeight="1" x14ac:dyDescent="0.35">
      <c r="D396" s="146"/>
    </row>
    <row r="397" spans="4:4" ht="15.75" customHeight="1" x14ac:dyDescent="0.35">
      <c r="D397" s="146"/>
    </row>
    <row r="398" spans="4:4" ht="15.75" customHeight="1" x14ac:dyDescent="0.35">
      <c r="D398" s="146"/>
    </row>
    <row r="399" spans="4:4" ht="15.75" customHeight="1" x14ac:dyDescent="0.35">
      <c r="D399" s="146"/>
    </row>
    <row r="400" spans="4:4" ht="15.75" customHeight="1" x14ac:dyDescent="0.35">
      <c r="D400" s="146"/>
    </row>
    <row r="401" spans="4:4" ht="15.75" customHeight="1" x14ac:dyDescent="0.35">
      <c r="D401" s="146"/>
    </row>
    <row r="402" spans="4:4" ht="15.75" customHeight="1" x14ac:dyDescent="0.35">
      <c r="D402" s="146"/>
    </row>
    <row r="403" spans="4:4" ht="15.75" customHeight="1" x14ac:dyDescent="0.35">
      <c r="D403" s="146"/>
    </row>
    <row r="404" spans="4:4" ht="15.75" customHeight="1" x14ac:dyDescent="0.35">
      <c r="D404" s="146"/>
    </row>
    <row r="405" spans="4:4" ht="15.75" customHeight="1" x14ac:dyDescent="0.35">
      <c r="D405" s="146"/>
    </row>
    <row r="406" spans="4:4" ht="15.75" customHeight="1" x14ac:dyDescent="0.35">
      <c r="D406" s="146"/>
    </row>
    <row r="407" spans="4:4" ht="15.75" customHeight="1" x14ac:dyDescent="0.35">
      <c r="D407" s="146"/>
    </row>
    <row r="408" spans="4:4" ht="15.75" customHeight="1" x14ac:dyDescent="0.35">
      <c r="D408" s="146"/>
    </row>
    <row r="409" spans="4:4" ht="15.75" customHeight="1" x14ac:dyDescent="0.35">
      <c r="D409" s="146"/>
    </row>
    <row r="410" spans="4:4" ht="15.75" customHeight="1" x14ac:dyDescent="0.35">
      <c r="D410" s="146"/>
    </row>
    <row r="411" spans="4:4" ht="15.75" customHeight="1" x14ac:dyDescent="0.35">
      <c r="D411" s="146"/>
    </row>
    <row r="412" spans="4:4" ht="15.75" customHeight="1" x14ac:dyDescent="0.35">
      <c r="D412" s="146"/>
    </row>
    <row r="413" spans="4:4" ht="15.75" customHeight="1" x14ac:dyDescent="0.35">
      <c r="D413" s="146"/>
    </row>
    <row r="414" spans="4:4" ht="15.75" customHeight="1" x14ac:dyDescent="0.35">
      <c r="D414" s="146"/>
    </row>
    <row r="415" spans="4:4" ht="15.75" customHeight="1" x14ac:dyDescent="0.35">
      <c r="D415" s="146"/>
    </row>
    <row r="416" spans="4:4" ht="15.75" customHeight="1" x14ac:dyDescent="0.35">
      <c r="D416" s="146"/>
    </row>
    <row r="417" spans="4:4" ht="15.75" customHeight="1" x14ac:dyDescent="0.35">
      <c r="D417" s="146"/>
    </row>
    <row r="418" spans="4:4" ht="15.75" customHeight="1" x14ac:dyDescent="0.35">
      <c r="D418" s="146"/>
    </row>
    <row r="419" spans="4:4" ht="15.75" customHeight="1" x14ac:dyDescent="0.35">
      <c r="D419" s="146"/>
    </row>
    <row r="420" spans="4:4" ht="15.75" customHeight="1" x14ac:dyDescent="0.35">
      <c r="D420" s="146"/>
    </row>
    <row r="421" spans="4:4" ht="15.75" customHeight="1" x14ac:dyDescent="0.35">
      <c r="D421" s="146"/>
    </row>
    <row r="422" spans="4:4" ht="15.75" customHeight="1" x14ac:dyDescent="0.35">
      <c r="D422" s="146"/>
    </row>
    <row r="423" spans="4:4" ht="15.75" customHeight="1" x14ac:dyDescent="0.35">
      <c r="D423" s="146"/>
    </row>
    <row r="424" spans="4:4" ht="15.75" customHeight="1" x14ac:dyDescent="0.35">
      <c r="D424" s="146"/>
    </row>
    <row r="425" spans="4:4" ht="15.75" customHeight="1" x14ac:dyDescent="0.35">
      <c r="D425" s="146"/>
    </row>
    <row r="426" spans="4:4" ht="15.75" customHeight="1" x14ac:dyDescent="0.35">
      <c r="D426" s="146"/>
    </row>
    <row r="427" spans="4:4" ht="15.75" customHeight="1" x14ac:dyDescent="0.35">
      <c r="D427" s="146"/>
    </row>
    <row r="428" spans="4:4" ht="15.75" customHeight="1" x14ac:dyDescent="0.35">
      <c r="D428" s="146"/>
    </row>
    <row r="429" spans="4:4" ht="15.75" customHeight="1" x14ac:dyDescent="0.35">
      <c r="D429" s="146"/>
    </row>
    <row r="430" spans="4:4" ht="15.75" customHeight="1" x14ac:dyDescent="0.35">
      <c r="D430" s="146"/>
    </row>
    <row r="431" spans="4:4" ht="15.75" customHeight="1" x14ac:dyDescent="0.35">
      <c r="D431" s="146"/>
    </row>
    <row r="432" spans="4:4" ht="15.75" customHeight="1" x14ac:dyDescent="0.35">
      <c r="D432" s="146"/>
    </row>
    <row r="433" spans="4:4" ht="15.75" customHeight="1" x14ac:dyDescent="0.35">
      <c r="D433" s="146"/>
    </row>
    <row r="434" spans="4:4" ht="15.75" customHeight="1" x14ac:dyDescent="0.35">
      <c r="D434" s="146"/>
    </row>
    <row r="435" spans="4:4" ht="15.75" customHeight="1" x14ac:dyDescent="0.35">
      <c r="D435" s="146"/>
    </row>
    <row r="436" spans="4:4" ht="15.75" customHeight="1" x14ac:dyDescent="0.35">
      <c r="D436" s="146"/>
    </row>
    <row r="437" spans="4:4" ht="15.75" customHeight="1" x14ac:dyDescent="0.35">
      <c r="D437" s="146"/>
    </row>
    <row r="438" spans="4:4" ht="15.75" customHeight="1" x14ac:dyDescent="0.35">
      <c r="D438" s="146"/>
    </row>
    <row r="439" spans="4:4" ht="15.75" customHeight="1" x14ac:dyDescent="0.35">
      <c r="D439" s="146"/>
    </row>
    <row r="440" spans="4:4" ht="15.75" customHeight="1" x14ac:dyDescent="0.35">
      <c r="D440" s="146"/>
    </row>
    <row r="441" spans="4:4" ht="15.75" customHeight="1" x14ac:dyDescent="0.35">
      <c r="D441" s="146"/>
    </row>
    <row r="442" spans="4:4" ht="15.75" customHeight="1" x14ac:dyDescent="0.35">
      <c r="D442" s="146"/>
    </row>
    <row r="443" spans="4:4" ht="15.75" customHeight="1" x14ac:dyDescent="0.35">
      <c r="D443" s="146"/>
    </row>
    <row r="444" spans="4:4" ht="15.75" customHeight="1" x14ac:dyDescent="0.35">
      <c r="D444" s="146"/>
    </row>
    <row r="445" spans="4:4" ht="15.75" customHeight="1" x14ac:dyDescent="0.35">
      <c r="D445" s="146"/>
    </row>
    <row r="446" spans="4:4" ht="15.75" customHeight="1" x14ac:dyDescent="0.35">
      <c r="D446" s="146"/>
    </row>
    <row r="447" spans="4:4" ht="15.75" customHeight="1" x14ac:dyDescent="0.35">
      <c r="D447" s="146"/>
    </row>
    <row r="448" spans="4:4" ht="15.75" customHeight="1" x14ac:dyDescent="0.35">
      <c r="D448" s="146"/>
    </row>
    <row r="449" spans="4:4" ht="15.75" customHeight="1" x14ac:dyDescent="0.35">
      <c r="D449" s="146"/>
    </row>
    <row r="450" spans="4:4" ht="15.75" customHeight="1" x14ac:dyDescent="0.35">
      <c r="D450" s="146"/>
    </row>
    <row r="451" spans="4:4" ht="15.75" customHeight="1" x14ac:dyDescent="0.35">
      <c r="D451" s="146"/>
    </row>
    <row r="452" spans="4:4" ht="15.75" customHeight="1" x14ac:dyDescent="0.35">
      <c r="D452" s="146"/>
    </row>
    <row r="453" spans="4:4" ht="15.75" customHeight="1" x14ac:dyDescent="0.35">
      <c r="D453" s="146"/>
    </row>
    <row r="454" spans="4:4" ht="15.75" customHeight="1" x14ac:dyDescent="0.35">
      <c r="D454" s="146"/>
    </row>
    <row r="455" spans="4:4" ht="15.75" customHeight="1" x14ac:dyDescent="0.35">
      <c r="D455" s="146"/>
    </row>
    <row r="456" spans="4:4" ht="15.75" customHeight="1" x14ac:dyDescent="0.35">
      <c r="D456" s="146"/>
    </row>
    <row r="457" spans="4:4" ht="15.75" customHeight="1" x14ac:dyDescent="0.35">
      <c r="D457" s="146"/>
    </row>
    <row r="458" spans="4:4" ht="15.75" customHeight="1" x14ac:dyDescent="0.35">
      <c r="D458" s="146"/>
    </row>
    <row r="459" spans="4:4" ht="15.75" customHeight="1" x14ac:dyDescent="0.35">
      <c r="D459" s="146"/>
    </row>
    <row r="460" spans="4:4" ht="15.75" customHeight="1" x14ac:dyDescent="0.35">
      <c r="D460" s="146"/>
    </row>
    <row r="461" spans="4:4" ht="15.75" customHeight="1" x14ac:dyDescent="0.35"/>
    <row r="462" spans="4:4" ht="15.75" customHeight="1" x14ac:dyDescent="0.35"/>
    <row r="463" spans="4:4" ht="15.75" customHeight="1" x14ac:dyDescent="0.35"/>
    <row r="464" spans="4: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21</vt:i4>
      </vt:variant>
    </vt:vector>
  </HeadingPairs>
  <TitlesOfParts>
    <vt:vector size="21" baseType="lpstr">
      <vt:lpstr>BC</vt:lpstr>
      <vt:lpstr>c111</vt:lpstr>
      <vt:lpstr>c111 DETERMIACION</vt:lpstr>
      <vt:lpstr>c111 PRUEBA EFECTIVA</vt:lpstr>
      <vt:lpstr>c111 TODO COMPRADO</vt:lpstr>
      <vt:lpstr>c311</vt:lpstr>
      <vt:lpstr>c311 DETERMINACION</vt:lpstr>
      <vt:lpstr>c311 PRUEBA EFECTIVA</vt:lpstr>
      <vt:lpstr>c311 TODO COMPRADO</vt:lpstr>
      <vt:lpstr>e411</vt:lpstr>
      <vt:lpstr>e411 DETERMINACION</vt:lpstr>
      <vt:lpstr>e411 PRUEBA EFECTIVA</vt:lpstr>
      <vt:lpstr>e411 TODO COMPRADO</vt:lpstr>
      <vt:lpstr>c303-c503</vt:lpstr>
      <vt:lpstr>c303-c503 DETERMINACION</vt:lpstr>
      <vt:lpstr>c303-c503 PRUEBA EFECTIVA</vt:lpstr>
      <vt:lpstr>c303-c503 TODO COMPRADO</vt:lpstr>
      <vt:lpstr>e402-e801</vt:lpstr>
      <vt:lpstr>e402-e801 DETERMINACION</vt:lpstr>
      <vt:lpstr>e402-e801 PRUEBA EFECTIVA</vt:lpstr>
      <vt:lpstr>e402-e801 TODO COMPRADO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Pelus Fariño</dc:creator>
  <cp:lastModifiedBy>Alex Pelus Fariño</cp:lastModifiedBy>
  <dcterms:created xsi:type="dcterms:W3CDTF">2024-12-16T20:12:34Z</dcterms:created>
  <dcterms:modified xsi:type="dcterms:W3CDTF">2026-09-01T21:43:42Z</dcterms:modified>
</cp:coreProperties>
</file>