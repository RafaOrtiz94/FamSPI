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C" sheetId="1" r:id="rId4"/>
    <sheet state="visible" name="XP 300" sheetId="2" r:id="rId5"/>
    <sheet state="visible" name="XN-L" sheetId="3" r:id="rId6"/>
    <sheet state="visible" name="XN 1000" sheetId="4" r:id="rId7"/>
    <sheet state="visible" name="c111" sheetId="5" r:id="rId8"/>
    <sheet state="visible" name="c311" sheetId="6" r:id="rId9"/>
    <sheet state="visible" name="e411" sheetId="7" r:id="rId10"/>
    <sheet state="visible" name="c303 c503" sheetId="8" r:id="rId11"/>
    <sheet state="visible" name=" e402 e801" sheetId="9" r:id="rId12"/>
    <sheet state="visible" name="t411 h232" sheetId="10" r:id="rId13"/>
    <sheet state="visible" name="AVL 9180" sheetId="11" r:id="rId14"/>
    <sheet state="visible" name="b123" sheetId="12" r:id="rId15"/>
    <sheet state="visible" name="b101" sheetId="13" r:id="rId16"/>
    <sheet state="visible" name="u6500" sheetId="14" r:id="rId17"/>
  </sheets>
  <externalReferences>
    <externalReference r:id="rId18"/>
    <externalReference r:id="rId19"/>
  </externalReferences>
  <definedNames/>
  <calcPr/>
  <extLst>
    <ext uri="GoogleSheetsCustomDataVersion2">
      <go:sheetsCustomData xmlns:go="http://customooxmlschemas.google.com/" r:id="rId20" roundtripDataChecksum="sNnQdjl9jqcylGjetEygzKPEQ5qMi5F+gkGr9EZiKa8="/>
    </ext>
  </extLst>
</workbook>
</file>

<file path=xl/sharedStrings.xml><?xml version="1.0" encoding="utf-8"?>
<sst xmlns="http://schemas.openxmlformats.org/spreadsheetml/2006/main" count="2395" uniqueCount="1224">
  <si>
    <t>INFORMACIÓN GENERAL PARA CASO DE NEGOCIO (BC)</t>
  </si>
  <si>
    <t>Actualización: 02 marzo 2026. 15:00</t>
  </si>
  <si>
    <t>FECHA MAXIMA PARA CALCULO DE CONSUMIBLES (NO MENOR A 48 HORAS)</t>
  </si>
  <si>
    <t>TIPO DE CLIENTE</t>
  </si>
  <si>
    <t>ENTIDAD CONTRATANTE</t>
  </si>
  <si>
    <t>CLIENTE</t>
  </si>
  <si>
    <t>Código del Proceso</t>
  </si>
  <si>
    <t>Objeto de contratación</t>
  </si>
  <si>
    <t>Provincia /Ciudad</t>
  </si>
  <si>
    <t>* Ambiente de Laboratorio :</t>
  </si>
  <si>
    <t>Número de días por semana que trabaja el laboratorio</t>
  </si>
  <si>
    <t>Turnos por dia</t>
  </si>
  <si>
    <t>Horas por turno</t>
  </si>
  <si>
    <t>Controles de calidad por turno</t>
  </si>
  <si>
    <t>Niveles de Control</t>
  </si>
  <si>
    <t>Frecuencia de controles de calidad semanal (Rutina)</t>
  </si>
  <si>
    <t>Pruebas Especiales</t>
  </si>
  <si>
    <t>Frecuencia de controles de calidad pruebas especiales</t>
  </si>
  <si>
    <t>*Equipamiento</t>
  </si>
  <si>
    <t>Nombre de Equipo Principal</t>
  </si>
  <si>
    <t>Estado de equipo principal (nuevo / usado/ año de fabricación) TDR</t>
  </si>
  <si>
    <t>Estado de equipo: Propio / Alquilado /Nuevo /Reservado/ Serie (FAM)</t>
  </si>
  <si>
    <t>Imagen reserva de equipo</t>
  </si>
  <si>
    <t>Nombre de Equipo Back up</t>
  </si>
  <si>
    <t>Estado de equipo back up (nuevo / usado/ año de fabricación)</t>
  </si>
  <si>
    <t>Se debe instalar a la par del equipo principal? SI/NO</t>
  </si>
  <si>
    <t>Ubicación de los equipos a instalar</t>
  </si>
  <si>
    <t>Permite equipo provisional</t>
  </si>
  <si>
    <t>Requiere equipo complementario) SI/NO</t>
  </si>
  <si>
    <t>Equipo complementario, para que prueba</t>
  </si>
  <si>
    <t>*LIS</t>
  </si>
  <si>
    <t>Incluye LIS : Si / No</t>
  </si>
  <si>
    <t>Proveedor del sistema a trabajar</t>
  </si>
  <si>
    <t>Incluye Hadware: Si/No</t>
  </si>
  <si>
    <t>Número de pacientes MENSUAL</t>
  </si>
  <si>
    <t>Interfaz a sistema actual</t>
  </si>
  <si>
    <t>Nombre del sistema</t>
  </si>
  <si>
    <t>Proveedor</t>
  </si>
  <si>
    <t>Interfaz de equipos</t>
  </si>
  <si>
    <t>Modelo / Proveedor</t>
  </si>
  <si>
    <t>* Requerimiento del BC:</t>
  </si>
  <si>
    <t>Cobro de arriendo del equipamiento: Si / NO (GERENCIA)</t>
  </si>
  <si>
    <t>Plazo</t>
  </si>
  <si>
    <t>Proyección de plazo</t>
  </si>
  <si>
    <t>*Compra</t>
  </si>
  <si>
    <t>Presupuesto Referencial del proceso</t>
  </si>
  <si>
    <t>Porcentaje máximo de canje</t>
  </si>
  <si>
    <t>Compromiso de compra (GERENCIA)</t>
  </si>
  <si>
    <t>*Entregas</t>
  </si>
  <si>
    <t>Total/Parcial - tiempo/Parcial a necesidad del laboratorio</t>
  </si>
  <si>
    <t>Determinacion Efectiva Si/No</t>
  </si>
  <si>
    <t>Observaciones</t>
  </si>
  <si>
    <t>*Inversiones adicionales</t>
  </si>
  <si>
    <t>Características</t>
  </si>
  <si>
    <t>Estado</t>
  </si>
  <si>
    <t>Cantidad</t>
  </si>
  <si>
    <t>Precio</t>
  </si>
  <si>
    <t>Total</t>
  </si>
  <si>
    <t>Control externo de tercera opinión</t>
  </si>
  <si>
    <t>$ -</t>
  </si>
  <si>
    <t>Control interno interlaboratorial</t>
  </si>
  <si>
    <t>Póliza de Fiel Cumplimiento del Contrato</t>
  </si>
  <si>
    <t>$ 72.126,03</t>
  </si>
  <si>
    <t>Póliza de seguro de equipos</t>
  </si>
  <si>
    <t>Ups equipo</t>
  </si>
  <si>
    <t>Equipo</t>
  </si>
  <si>
    <t>Ups servidor</t>
  </si>
  <si>
    <t>Powest on line 1kva 1000VA</t>
  </si>
  <si>
    <t>$ 200,00</t>
  </si>
  <si>
    <t>LIS</t>
  </si>
  <si>
    <t>Interfaz</t>
  </si>
  <si>
    <t>$ 1.500,00</t>
  </si>
  <si>
    <t>Lantronix</t>
  </si>
  <si>
    <t>IP publica</t>
  </si>
  <si>
    <t>Punto de consulta web</t>
  </si>
  <si>
    <t>Internet</t>
  </si>
  <si>
    <t>Router para Internet</t>
  </si>
  <si>
    <t>Servidor</t>
  </si>
  <si>
    <t>Computadores</t>
  </si>
  <si>
    <t>Monitor + Teclado y mouse</t>
  </si>
  <si>
    <t>$ 900,00</t>
  </si>
  <si>
    <t>Mantenimiento Computador</t>
  </si>
  <si>
    <t>Impresora</t>
  </si>
  <si>
    <t>$ 300,00</t>
  </si>
  <si>
    <t>Mantenimiento Impresora</t>
  </si>
  <si>
    <t>Tinta</t>
  </si>
  <si>
    <t>Toner para impresora de equipos (en caso de dejar las impresoras)</t>
  </si>
  <si>
    <t>Impresora Zebra Termica ZD230 ETHERNET Y USB</t>
  </si>
  <si>
    <t>$ 400,00</t>
  </si>
  <si>
    <t>Mantenimiento Impresora Zebra Termica ZD230 ETHERNET Y USB</t>
  </si>
  <si>
    <t>Lector inalambrico de codigo de barra</t>
  </si>
  <si>
    <t>Sistema de destilación de agua pequeño</t>
  </si>
  <si>
    <t>Sistema de osmosis</t>
  </si>
  <si>
    <t>Mantenimiento sistema de osmosis</t>
  </si>
  <si>
    <t>Sistema de prefiltracion</t>
  </si>
  <si>
    <t>Mantenimiento sistema pre filtración</t>
  </si>
  <si>
    <t>Tanque para resina mixta (muerta)</t>
  </si>
  <si>
    <t>Estructura de proteccion para sistema de agua</t>
  </si>
  <si>
    <t>MEMBRANE EQ.OSMOSIS, AG2521TF 2.5 diam</t>
  </si>
  <si>
    <t>FILTER NOM. P/SEDIMENTS PX10-20XX PURTR (CARBON - AZUL)</t>
  </si>
  <si>
    <t>FILTER NOM.P/SEDIMENTS GX05-20XX HYTREX (FIBRA - PAPEL - PAPEL)</t>
  </si>
  <si>
    <t>RESINA IONICA REGENERADA 20 "</t>
  </si>
  <si>
    <t>RESINA MUERTA 16kilos</t>
  </si>
  <si>
    <t>Sal en grano x quintal</t>
  </si>
  <si>
    <t>Modificaciones de espacio fisico - estructura</t>
  </si>
  <si>
    <t>Modificaciones de espacio fisico - mobiliario</t>
  </si>
  <si>
    <t>Climatizacion del area</t>
  </si>
  <si>
    <t>Mantenimiento Climatizacion</t>
  </si>
  <si>
    <t>Rollo de cable UTP CAT5e x 100m</t>
  </si>
  <si>
    <t>$ 31,00</t>
  </si>
  <si>
    <t>Conector RJ45 Delta CAT5E x 50 unds</t>
  </si>
  <si>
    <t>$ 10,00</t>
  </si>
  <si>
    <t>Rack Cerrado POWEST 5UR</t>
  </si>
  <si>
    <t>Soporte para servidor</t>
  </si>
  <si>
    <t>$ 150,00</t>
  </si>
  <si>
    <t>Switch HP Aruba Ion 5 puertos</t>
  </si>
  <si>
    <t>$ 60,00</t>
  </si>
  <si>
    <t>Switch HP Aruba Ion 1430 24 puertos</t>
  </si>
  <si>
    <t>Extensiones y cortapicos</t>
  </si>
  <si>
    <t>Extras (tairas, canaletas, espiral plastico)</t>
  </si>
  <si>
    <t>Etiquetas</t>
  </si>
  <si>
    <t>Rollo x2000 uds</t>
  </si>
  <si>
    <t>$ 6,29</t>
  </si>
  <si>
    <t>A4 printer paper</t>
  </si>
  <si>
    <t>Paquete x 500 uds</t>
  </si>
  <si>
    <t>$ 3,85</t>
  </si>
  <si>
    <t>Refrigerador panorámico</t>
  </si>
  <si>
    <t>Mantenimiento Refrigerador panorámico</t>
  </si>
  <si>
    <t>Refrigerador médico</t>
  </si>
  <si>
    <t>Mantenimiento Refrigerador médico</t>
  </si>
  <si>
    <t>Termometro para refrigerador</t>
  </si>
  <si>
    <t>Termohigrometros</t>
  </si>
  <si>
    <t>$ 70,00</t>
  </si>
  <si>
    <t>Cronometros digitales</t>
  </si>
  <si>
    <t>Centrifuga</t>
  </si>
  <si>
    <t>24 Tubos</t>
  </si>
  <si>
    <t>$ 3.800,00</t>
  </si>
  <si>
    <t>Mantenimiento Centrifuga</t>
  </si>
  <si>
    <t>Servicio Logisticos Proveedores</t>
  </si>
  <si>
    <t>Servicio Logisticos Clientes</t>
  </si>
  <si>
    <t>Ampolla de agua bidestilada</t>
  </si>
  <si>
    <t>Agua destilada por galón</t>
  </si>
  <si>
    <t>Hisopos x 100 uds</t>
  </si>
  <si>
    <t>Mantenimiento</t>
  </si>
  <si>
    <t>$ 0,62</t>
  </si>
  <si>
    <t>Gasas x 100 uds</t>
  </si>
  <si>
    <t>$ 5,90</t>
  </si>
  <si>
    <t>Alcohol prepad 10 x 100 uds</t>
  </si>
  <si>
    <t>$ 5,00</t>
  </si>
  <si>
    <t>Tubos eppendorf X 500 UDS</t>
  </si>
  <si>
    <t>Otros</t>
  </si>
  <si>
    <t>capacitacion, tiempo, lugar, dias, break, material, alojamiento, etc</t>
  </si>
  <si>
    <t>Sub total</t>
  </si>
  <si>
    <t>$ 0,15</t>
  </si>
  <si>
    <t>¿Porque es importante ganar este proceso ?</t>
  </si>
  <si>
    <t>FECHA</t>
  </si>
  <si>
    <t>MODALIDAD</t>
  </si>
  <si>
    <t>DETERMINACIÓN/ DETERMINACIÓN EFECTIVA/COMODATO TODO COBRADO/COMODATO POR DETERMINACIÓN/EQUIPO ALQUILADO</t>
  </si>
  <si>
    <t>PLAZO</t>
  </si>
  <si>
    <t>MESES</t>
  </si>
  <si>
    <t>PROYECCIÓN</t>
  </si>
  <si>
    <t>EQUIPO</t>
  </si>
  <si>
    <t>XP 300</t>
  </si>
  <si>
    <t>Parámetro</t>
  </si>
  <si>
    <t>ID</t>
  </si>
  <si>
    <t>PRODUCTO</t>
  </si>
  <si>
    <t>DET/KIT</t>
  </si>
  <si>
    <t>DIAS ESTABILIDAD</t>
  </si>
  <si>
    <t>DET/AÑO PROCESO</t>
  </si>
  <si>
    <t>PRODUCTO CALCULADO</t>
  </si>
  <si>
    <t>MINIMOS POR ESTABILIDAD</t>
  </si>
  <si>
    <t>PRODUCTO A ENTREGAR</t>
  </si>
  <si>
    <t>REGISTROS SANITARIOS</t>
  </si>
  <si>
    <t>VIGENCIA</t>
  </si>
  <si>
    <t>Biometria básica</t>
  </si>
  <si>
    <t>CELLPACK 20L</t>
  </si>
  <si>
    <t>AD-102-03-10</t>
  </si>
  <si>
    <t>STROMA WH KX21 x 500ML</t>
  </si>
  <si>
    <t>EIGHT CHECK-3WP XTRA ( 4 X 2 ML)</t>
  </si>
  <si>
    <t>AD-485-11-12</t>
  </si>
  <si>
    <t>PAPER ROLL F.PRINTER STP211-144 (10PCS.)</t>
  </si>
  <si>
    <t>No Aplica</t>
  </si>
  <si>
    <t>XN 550</t>
  </si>
  <si>
    <t>(350/450/550)</t>
  </si>
  <si>
    <t>CELLPACK DCL</t>
  </si>
  <si>
    <t>AD-565-06-13</t>
  </si>
  <si>
    <t>SULFOLYSER REAGENT X 5L</t>
  </si>
  <si>
    <t>SULFOLYSER REAGENT 500 ml</t>
  </si>
  <si>
    <t>WDF Lysercell WDF</t>
  </si>
  <si>
    <t>657-RBE-1015</t>
  </si>
  <si>
    <t>WDF Fluorocell WDF 2X42 ML</t>
  </si>
  <si>
    <t>AD-546-04-13</t>
  </si>
  <si>
    <t>CELLCLEAN AUTO 4 ML X 20  </t>
  </si>
  <si>
    <t>XN Check 12x3.0ml Level 1,2,3</t>
  </si>
  <si>
    <t>Reticulocitos</t>
  </si>
  <si>
    <t>FLUOROCELL RET 2 X 12ML</t>
  </si>
  <si>
    <t>CELLPACK DFL 1 L</t>
  </si>
  <si>
    <t>180-RBE-1014</t>
  </si>
  <si>
    <t>Líquidos</t>
  </si>
  <si>
    <t>XN-Check BF 6x3.0ml Level 1,2</t>
  </si>
  <si>
    <t>XN</t>
  </si>
  <si>
    <t xml:space="preserve">AD-102-03-10
</t>
  </si>
  <si>
    <t xml:space="preserve">657-RBE-1015
</t>
  </si>
  <si>
    <t xml:space="preserve">AD-546-04-13
</t>
  </si>
  <si>
    <t>FLUOROCELL WNR 2 X 82ML</t>
  </si>
  <si>
    <t>LYSERCELL-WNR WNR-210A</t>
  </si>
  <si>
    <t>Plaquetas Fluorescentes</t>
  </si>
  <si>
    <t>FLUOROCELL PLT 2 X 12ML</t>
  </si>
  <si>
    <t>c 111</t>
  </si>
  <si>
    <t>REACTIVO</t>
  </si>
  <si>
    <t>CANTIDAD PROCESO/AÑO</t>
  </si>
  <si>
    <t>Glucosa</t>
  </si>
  <si>
    <t>0,00</t>
  </si>
  <si>
    <t>3,04</t>
  </si>
  <si>
    <t>Urea</t>
  </si>
  <si>
    <t>Creatinina</t>
  </si>
  <si>
    <t>Acido Úrico</t>
  </si>
  <si>
    <t>Colesterol</t>
  </si>
  <si>
    <t>Triglicéridos</t>
  </si>
  <si>
    <t>ALT - TGP</t>
  </si>
  <si>
    <t>AST - TGO</t>
  </si>
  <si>
    <t>Fosfatasa alcalina</t>
  </si>
  <si>
    <t>Bilirrubina Total</t>
  </si>
  <si>
    <t>Bilirrubina Directa</t>
  </si>
  <si>
    <t>6,08</t>
  </si>
  <si>
    <t>HDL Colesterol</t>
  </si>
  <si>
    <t>AMILASA</t>
  </si>
  <si>
    <t>LIPASA</t>
  </si>
  <si>
    <t>GGT</t>
  </si>
  <si>
    <t>Albumina</t>
  </si>
  <si>
    <t>LDL Colesterol</t>
  </si>
  <si>
    <t>Calcio</t>
  </si>
  <si>
    <t>CK</t>
  </si>
  <si>
    <t>LDH</t>
  </si>
  <si>
    <t>HbA1c</t>
  </si>
  <si>
    <t>Hierro</t>
  </si>
  <si>
    <t>Proteinas totales</t>
  </si>
  <si>
    <t>PCR latex</t>
  </si>
  <si>
    <t>D-Dimer</t>
  </si>
  <si>
    <t>Phosforo</t>
  </si>
  <si>
    <t>NH3L Ammonia</t>
  </si>
  <si>
    <t>6,52</t>
  </si>
  <si>
    <t>MG2, 100T, COBAS C 111</t>
  </si>
  <si>
    <t>CK-MB</t>
  </si>
  <si>
    <t>TOTAL DET</t>
  </si>
  <si>
    <t>CALIBRADOR</t>
  </si>
  <si>
    <t>Calibrator f.a.s. 12x3 ml</t>
  </si>
  <si>
    <t>1,09</t>
  </si>
  <si>
    <t>Cfas Lipids 3x1ML</t>
  </si>
  <si>
    <t>4,35</t>
  </si>
  <si>
    <t>Cfas Proteins</t>
  </si>
  <si>
    <t>2,61</t>
  </si>
  <si>
    <t>Cfas HbA1c, 3x2ml</t>
  </si>
  <si>
    <t>1,45</t>
  </si>
  <si>
    <t>Ammonia/Ethanol/CO2 Calibrator</t>
  </si>
  <si>
    <t>3,26</t>
  </si>
  <si>
    <t>Cfas D- Dimer</t>
  </si>
  <si>
    <t>Calibrator f.a.s. CK‑MB</t>
  </si>
  <si>
    <t>CONTROL</t>
  </si>
  <si>
    <t>PreciControl ClinChem Multi 1 4x5ml</t>
  </si>
  <si>
    <t>PreciControl ClinChem Multi 2 4x5ml</t>
  </si>
  <si>
    <t>PreciControl HBA1c Norm</t>
  </si>
  <si>
    <t>PRECICONTROL HBA1C PATH</t>
  </si>
  <si>
    <t>Ammonia/Ethanol/CO2 Control Normal</t>
  </si>
  <si>
    <t>1,30</t>
  </si>
  <si>
    <t>PreciControl D- Dimer</t>
  </si>
  <si>
    <t>2,17</t>
  </si>
  <si>
    <t>CONSUMIBLES</t>
  </si>
  <si>
    <t>NaCL 9% cobas c 111</t>
  </si>
  <si>
    <t>HAEMOLYSE REAGENT 800T COBAS C111</t>
  </si>
  <si>
    <t>4,56</t>
  </si>
  <si>
    <t>Activator for cobas c,Integra,c111</t>
  </si>
  <si>
    <t>3,38</t>
  </si>
  <si>
    <t>ISE CLEANING SOLUTION 5x100ml</t>
  </si>
  <si>
    <t>1,00</t>
  </si>
  <si>
    <t>Cobas Integra Cleaner</t>
  </si>
  <si>
    <t>Micro Cuvette Segment</t>
  </si>
  <si>
    <t>Sample cup 250 St</t>
  </si>
  <si>
    <t>URISYS Thermo-printer paper 5</t>
  </si>
  <si>
    <t>0,20</t>
  </si>
  <si>
    <t>LAMP HALOGEN 12V/20W ASSY</t>
  </si>
  <si>
    <t>C311</t>
  </si>
  <si>
    <t>I.D</t>
  </si>
  <si>
    <t>DESCRIPCION</t>
  </si>
  <si>
    <t>DET/AÑO/PROCESO</t>
  </si>
  <si>
    <t>A-1MG TQ GEN.2, 100TEST, COBAS C/INT</t>
  </si>
  <si>
    <t>AAT GEN.2, 100TESTS, COBAS C, INTEGRA</t>
  </si>
  <si>
    <t>ACP HIT 917 LARGE</t>
  </si>
  <si>
    <t>ALB2, 300T, COBAS C, INTEGRA</t>
  </si>
  <si>
    <t>ALB-T TQ GEN.2, 100TESTS, COBAS C, INT</t>
  </si>
  <si>
    <t>ALP2, 200T, COBAS C, INTEGRA</t>
  </si>
  <si>
    <t>ALTL, 500TESTS, COBAS C, INTEGRA</t>
  </si>
  <si>
    <t>AMYL GEN.2, 300TESTS, COBAS C, INTEGRA</t>
  </si>
  <si>
    <t xml:space="preserve">APOAT, 100TESTS, COBAS C, INTEGRA </t>
  </si>
  <si>
    <t>APOBT, 100TESTS, COBAS C, INTEGRA</t>
  </si>
  <si>
    <t>ASLO TQ, 150TESTS, COBAS C</t>
  </si>
  <si>
    <t>ASTL, 500TESTS, COBAS C, INTEGRA</t>
  </si>
  <si>
    <t>B2MG, 140T, COBAS C 311, COBAS C 501/502</t>
  </si>
  <si>
    <t>BIL-D GEN.2, 350TESTS COBAS C, INTEGRA</t>
  </si>
  <si>
    <t>BIL-T GEN.3, 250TESTS COBAS C,INTEGRA</t>
  </si>
  <si>
    <t>C3C, 100TESTS, COBAS C, INTEGRA</t>
  </si>
  <si>
    <t>C4, 100TESTS, COBAS C, INTEGRA</t>
  </si>
  <si>
    <t>CA, GEN.2, 300TESTS, COBAS C,INTEGRA</t>
  </si>
  <si>
    <t>CERU, 100TESTS, COBAS C, INTEGRA</t>
  </si>
  <si>
    <t>CHE GEN.2, 200TESTS, COBAS C, INTEGRA</t>
  </si>
  <si>
    <t>CHOL HICO GEN.2, 400TESTS, COBAS C, INT.</t>
  </si>
  <si>
    <t>CK 200 TESTS, COBAS C/INTEGRA</t>
  </si>
  <si>
    <t>CK-MB 100TESTS, COBAS C/INTEGRA</t>
  </si>
  <si>
    <t>COBAS INTEGRA CO2-L GEN.2 250 TEST</t>
  </si>
  <si>
    <t>COC2, 200T, COBAS C</t>
  </si>
  <si>
    <t>CREAJ2, 700T, COBAS C, INTEGRA</t>
  </si>
  <si>
    <t>CRP LX HS, 300TESTS, COBAS C, INTEGRA</t>
  </si>
  <si>
    <t>CRP4, 250T, COBAS C 311/501/502,INTEGRA</t>
  </si>
  <si>
    <t>CYSC2, 225T, COBAS INTEGRA</t>
  </si>
  <si>
    <t>D-DIMER GEN.2, 100TEST, COBAS C, INTEGRA</t>
  </si>
  <si>
    <t>ETOH2 , 100T, COBAS INTEGRA</t>
  </si>
  <si>
    <t>FRUC, 150TESTS, COBAS C, INTEGRA</t>
  </si>
  <si>
    <t>GGT-2, 400T, COBAS C, INTEGRA</t>
  </si>
  <si>
    <t>GLUC HK GEN.3, 800TESTS, COBAS C, INT.</t>
  </si>
  <si>
    <t>HAPT GEN.2, 100TESTS, COBAS C, INTEGRA</t>
  </si>
  <si>
    <t>HBA1C TQ GEN.3, 150TESTS,COBAS C501/INT</t>
  </si>
  <si>
    <t>HBDH GEN.2, 100TESTS, COBAS C/INT</t>
  </si>
  <si>
    <t>HCYS, 100T COBAS INTEGRA</t>
  </si>
  <si>
    <t>HDLC4, 350T, COBAS C, INTEGRA</t>
  </si>
  <si>
    <t>IGA GEN.2, 150TESTS, COBAS C</t>
  </si>
  <si>
    <t>IGA-C,150T, COBAS C 501/502, COBAS C 311</t>
  </si>
  <si>
    <t>IGG GEN.2, 150TESTS, COBAS C</t>
  </si>
  <si>
    <t>IGM GEN.2, 150TESTS, COBAS C</t>
  </si>
  <si>
    <t>IRON GEN.2, 200TESTS, COBAS C, INTEGRA</t>
  </si>
  <si>
    <t>KAPPA TQ GEN.2, 100TESTS, COBAS C/INT</t>
  </si>
  <si>
    <t>LACT2, 100T, COBAS C, INTEGRA</t>
  </si>
  <si>
    <t>LAMB TQ GEN.2, 100TESTS, COBAS C/INT</t>
  </si>
  <si>
    <t>LDHI GEN.2 ACC.IFCC, 300T, COBAS C, INT</t>
  </si>
  <si>
    <t>LDL-C GEN.3, 200TESTS, COBAS C,INT</t>
  </si>
  <si>
    <t>LIPC, 200TESTS, COBAS C, INTEGRA</t>
  </si>
  <si>
    <t>LPA GEN.2, 150TESTS COBAS C/INT</t>
  </si>
  <si>
    <t>MG2, 250T, COBAS C,INTEGRA</t>
  </si>
  <si>
    <t>7229593190</t>
  </si>
  <si>
    <t>NH3L2, 150T, cobas c 311,cobas c 5</t>
  </si>
  <si>
    <t>PHOS GEN.2, 250TESTS, COBAS C, INTEGRA</t>
  </si>
  <si>
    <t>PREA, 100TESTS, COBAS C, INTEGRA</t>
  </si>
  <si>
    <t>RFII, 100TESTS, COBAS C, INTEGRA</t>
  </si>
  <si>
    <t>STFR2, 100T,COBAS C, INTEGRA</t>
  </si>
  <si>
    <t>THC2, 200T, COBAS C</t>
  </si>
  <si>
    <t>TP GEN.2, 300TESTS, COBAS C, INTEGRA</t>
  </si>
  <si>
    <t>TPUC3, 150T, COBAS C, INTEGRA</t>
  </si>
  <si>
    <t>TRIGL, 250TESTS, COBAS C, INTEGRA</t>
  </si>
  <si>
    <t>TRSF GEN.2, 100TESTS, COBAS C, INTEGRA</t>
  </si>
  <si>
    <t>UA GEN.2, 400TESTS, COBAS C, INTEGRA</t>
  </si>
  <si>
    <t>UIBC, 100TESTS, COBAS C, INTEGRA</t>
  </si>
  <si>
    <t>UREAL, 500T, COBAS C, INTEGRA</t>
  </si>
  <si>
    <t>CALIBRADORES</t>
  </si>
  <si>
    <t>C.f.a.s. Cystatin C</t>
  </si>
  <si>
    <t>C.f.a.s. PAC</t>
  </si>
  <si>
    <t>Calibrator f.a.s.</t>
  </si>
  <si>
    <t xml:space="preserve">Calibrator f.a.s. CK-MB </t>
  </si>
  <si>
    <t>Calibrator f.a.s. IgA/IgM CSF</t>
  </si>
  <si>
    <t xml:space="preserve">Calibrator f.a.s. Lipids </t>
  </si>
  <si>
    <t>Calibrator f.a.s.proteins</t>
  </si>
  <si>
    <t>CALIBRATOR STFR GEN.2</t>
  </si>
  <si>
    <t>Calibrator β2‑Microglobulin</t>
  </si>
  <si>
    <t>Cfas HbA1c</t>
  </si>
  <si>
    <t>Cfas Proteins U</t>
  </si>
  <si>
    <t>D-Dimer Gen.2 Calibrator Set</t>
  </si>
  <si>
    <t>Fe Standard</t>
  </si>
  <si>
    <t>HCYS Calibrator Kit</t>
  </si>
  <si>
    <t>Precimat Fructosamina</t>
  </si>
  <si>
    <t>PRECISET DAT PLUS I</t>
  </si>
  <si>
    <t>Preciset Lp(a) Gen.2</t>
  </si>
  <si>
    <t>Preciset RF</t>
  </si>
  <si>
    <t>CONTROLES</t>
  </si>
  <si>
    <t>PRESENTACION</t>
  </si>
  <si>
    <t xml:space="preserve">Ammonia/Ethanol/CO2 Control  Normal </t>
  </si>
  <si>
    <t>Ammonia/Ethanol/CO2 Control Abnormal</t>
  </si>
  <si>
    <t>Control Set  β2‑Microglobulin (Nivel 1-2)</t>
  </si>
  <si>
    <t xml:space="preserve">CONTROL-SET STFR </t>
  </si>
  <si>
    <t>Cystatin C  Control  Set  Gen.2 (1,2,3)</t>
  </si>
  <si>
    <t>D-Dimer Gen.2 Control I/II</t>
  </si>
  <si>
    <t>HCYS Control Kit Control 1 y 2</t>
  </si>
  <si>
    <t>PreciControl ClinChem Multi 1, 4x5 ml</t>
  </si>
  <si>
    <t>PreciControl ClinChem Multi 2, 4x5 ml</t>
  </si>
  <si>
    <t>PreciControl HbA1c norm</t>
  </si>
  <si>
    <t>PreciControl HbA1c path</t>
  </si>
  <si>
    <t>PreciControl Lp(a) Gen.2</t>
  </si>
  <si>
    <t>PRECINORM FRUC</t>
  </si>
  <si>
    <t>PRECINORM PUC</t>
  </si>
  <si>
    <t>PRECIPATH FRUC</t>
  </si>
  <si>
    <t>PRECIPATH PUC</t>
  </si>
  <si>
    <t>RF Control Set</t>
  </si>
  <si>
    <t>Cell Wash Solution I / NaOH-D</t>
  </si>
  <si>
    <t>Cell Wash Solution II / Acid Wash</t>
  </si>
  <si>
    <t>cobas sample cups</t>
  </si>
  <si>
    <t>Cuvettes – reaction cell sets</t>
  </si>
  <si>
    <t>Ecotergent</t>
  </si>
  <si>
    <t>FILTRO DE RESINA IONICA REGENERADA 20"</t>
  </si>
  <si>
    <t>FILTRO NOM. P/SEDIMENTS GX05-20XX (BLANCO)</t>
  </si>
  <si>
    <t>FILTRO NOM. P/SEDIMENTS PX5-20 PURTR (AZUL)</t>
  </si>
  <si>
    <t>HBA1C TQ HAEMOLYZING RGT, COBAS C</t>
  </si>
  <si>
    <t>Lamp, Halogen</t>
  </si>
  <si>
    <t>Multiclean, Sample Cleaner 1</t>
  </si>
  <si>
    <t>NaCl 9% Diluent</t>
  </si>
  <si>
    <t>NaOH-D c pack</t>
  </si>
  <si>
    <t>SMS</t>
  </si>
  <si>
    <t>SISTEMA PARA ELECTROLITOS</t>
  </si>
  <si>
    <t>ISE Standard low 10x3ML</t>
  </si>
  <si>
    <t>ISE Standard high 10x3ML</t>
  </si>
  <si>
    <t>ISE cleaning solution Sys Clean</t>
  </si>
  <si>
    <t>Activator</t>
  </si>
  <si>
    <t>ISE Diluent Gen.2 (5 × 300 mL)</t>
  </si>
  <si>
    <t>ISE Internal Standard Gen.2 (5 × 600 mL)</t>
  </si>
  <si>
    <t>ISE Reference Electrolyte (5 × 300 mL)</t>
  </si>
  <si>
    <t>REFERENCE ELECTRODE</t>
  </si>
  <si>
    <t>Electrodo sodio</t>
  </si>
  <si>
    <t>Electrodo potasio</t>
  </si>
  <si>
    <t>Electrodo cloro</t>
  </si>
  <si>
    <t>E411 DISK</t>
  </si>
  <si>
    <t>NOMBRE</t>
  </si>
  <si>
    <t>ACTH ELECSYS COBAS E 100 V2</t>
  </si>
  <si>
    <t>Hormona Adrenocorticotrópica</t>
  </si>
  <si>
    <t>4,29</t>
  </si>
  <si>
    <t>AFP ELECSYS COBAS E 100 V2</t>
  </si>
  <si>
    <t>Alfa1 - Fetoproteína</t>
  </si>
  <si>
    <t>6,43</t>
  </si>
  <si>
    <t>AMH plus Elecsys cobas e 100 V3</t>
  </si>
  <si>
    <t>Hormona Antimülleriana</t>
  </si>
  <si>
    <t>#¡DIV/0!</t>
  </si>
  <si>
    <t>ANTI TPO</t>
  </si>
  <si>
    <t>Anti-Peroxidasa Tiroidea</t>
  </si>
  <si>
    <t>24,00</t>
  </si>
  <si>
    <t>ANTI-CCP ELECSYS COBAS E 100</t>
  </si>
  <si>
    <t>Anticuerpos Antipéptido Cíclico Citrulinado</t>
  </si>
  <si>
    <t>12,86</t>
  </si>
  <si>
    <t>ANTI-HAV G2 ELECSYS,COBAS E100 (COI)</t>
  </si>
  <si>
    <t>Anticuerpos Hepatitis A</t>
  </si>
  <si>
    <t>ANTI-HAV IGM ELECSYS COBAS E 100</t>
  </si>
  <si>
    <t>Anticuerpos IGM Hepatitis A</t>
  </si>
  <si>
    <t>ANTI-HBC IGM ELECSYS COBAS E 100</t>
  </si>
  <si>
    <t>Anticuerpos IGM Hepatitis B</t>
  </si>
  <si>
    <t>Anti-HBc II ELECSYS COBAS E100</t>
  </si>
  <si>
    <t>Anticuerpos IgG e IgM Hepatitis B</t>
  </si>
  <si>
    <t>ANTI-HBE ELECSYS COBAS E 100</t>
  </si>
  <si>
    <t>Anticuerpo contra antigeno de HBE</t>
  </si>
  <si>
    <t>Anti-HBs G2 Elecsys cobas e 100 V2</t>
  </si>
  <si>
    <t>Anticuerpo contra antigeno de HBs</t>
  </si>
  <si>
    <t>ANTI-HCV G2 ELECSYS COBAS E 100 V2</t>
  </si>
  <si>
    <t>Anticuerpos contra el virus de la hepatitis C</t>
  </si>
  <si>
    <t>7,35</t>
  </si>
  <si>
    <t>ANTI-SARS-COV-2 ELECSYS COBAS E 200</t>
  </si>
  <si>
    <t>Antígeno de la nucleocápside del coronavirus 2</t>
  </si>
  <si>
    <t>ANTI-SARS-COV-2 S ELECSYS COBAS E 200</t>
  </si>
  <si>
    <t>Anticuerpos de proteina espícula S contra el corona virus 2</t>
  </si>
  <si>
    <t>ANTI-TG ELECSYS COBAS E 100 V5</t>
  </si>
  <si>
    <t>Anticuerpos anti-tiroglobulina</t>
  </si>
  <si>
    <t>8,57</t>
  </si>
  <si>
    <t>ANTI-TSHR ELECSYS COBAS E 100 V2</t>
  </si>
  <si>
    <t>Autoanticuerpos antirreceptor del hipertiroidismo</t>
  </si>
  <si>
    <t>17,14</t>
  </si>
  <si>
    <t>B -CROSSLAPS/SERUM ELECSYS COBAS E 100 V2</t>
  </si>
  <si>
    <t>Productos de degradación del colágeno tipo</t>
  </si>
  <si>
    <t>CA 125 G2 ELECSYS COBAS E 100</t>
  </si>
  <si>
    <t>Marcador Tumoral 125 cancer de ovario</t>
  </si>
  <si>
    <t>CA 15-3 G2 ELECSYS COBAS E 100</t>
  </si>
  <si>
    <t>Marcador Tumoral 15-3 cancer de mama</t>
  </si>
  <si>
    <t>10,29</t>
  </si>
  <si>
    <t>CA 19-9 ELECSYS COBAS E 100</t>
  </si>
  <si>
    <t>Marcador Tumoral 19-9 cancer de pancreas</t>
  </si>
  <si>
    <t>CA 72-4 ELECSYS COBAS E 100 V2</t>
  </si>
  <si>
    <t>Marcador Tumoral Glicoproteína 72-4</t>
  </si>
  <si>
    <t>CEA ELECSYS COBAS E 100</t>
  </si>
  <si>
    <t>Antígeno carcinoembrionario</t>
  </si>
  <si>
    <t>CHAGAS ELECSYS COBAS E 100 V2</t>
  </si>
  <si>
    <t>Anticuerpos contra Trypanosoma cruzi</t>
  </si>
  <si>
    <t>CK-MB STAT ELECSYS COBAS E 100 V4</t>
  </si>
  <si>
    <t>Isoenzima MB de la creatina quinasa</t>
  </si>
  <si>
    <t>CMV IGG AVIDITY ELECSYS COBAS E 100 V2</t>
  </si>
  <si>
    <t>Avidez de anticuerpos IgG contra citomegalovirus</t>
  </si>
  <si>
    <t>CMV IGG ELECSYS COBAS E 100 V2</t>
  </si>
  <si>
    <t>Anticuerpos Inmunoglobinas G contra citomegalovirus</t>
  </si>
  <si>
    <t>CMV IGM ELECSYS COBAS E 100</t>
  </si>
  <si>
    <t>Anticuerpos Inmunoglobinas M contra citomegalovirus</t>
  </si>
  <si>
    <t>CORTISOL G2 ELECSYS COBAS E 100</t>
  </si>
  <si>
    <t>Cortisol</t>
  </si>
  <si>
    <t>C-PEPTIDE ELECSYS COBAS E 100</t>
  </si>
  <si>
    <t>Péptido C</t>
  </si>
  <si>
    <t>CYFRA 21-1 ELECSYS COBAS E 100</t>
  </si>
  <si>
    <t>Fragmentos de citoqueratina 19</t>
  </si>
  <si>
    <t>DHEA-S ELECSYS COBAS E 100</t>
  </si>
  <si>
    <t>Sulfato de dehidroepiandrosterona</t>
  </si>
  <si>
    <t>DIGOXIN ELECSYS COBAS E 100 V2</t>
  </si>
  <si>
    <t>Digoxina</t>
  </si>
  <si>
    <t>EBV EBNA IGG ELECSYS COBAS E 100</t>
  </si>
  <si>
    <t>Anticuerpos IgG contra el antígeno nuclear 1</t>
  </si>
  <si>
    <t>EBV IGM ELECSYS COBAS E 100</t>
  </si>
  <si>
    <t>Anticuerpos IgM contra el virus de Epstein-Bar</t>
  </si>
  <si>
    <t>EBV VCA IGG ELECSYS COBAS E 100</t>
  </si>
  <si>
    <t>Anticuerpos IgG contra el virus de Epstein-Barr</t>
  </si>
  <si>
    <t>ESTRADIOL G3 ELECSYS COBAS E100</t>
  </si>
  <si>
    <t>Estradiol</t>
  </si>
  <si>
    <t>FERRITIN ELECSYS COBAS E 100 V2</t>
  </si>
  <si>
    <t>Ferritina</t>
  </si>
  <si>
    <t>FOLATE G3 ELECSYS COBAS E 100 V3</t>
  </si>
  <si>
    <t>Ácido Fólico</t>
  </si>
  <si>
    <t>FREE HCGBETA ELECSYS COBAS E 100 V2</t>
  </si>
  <si>
    <t>Subunidad β libre de la gonadotropina coriónica humana</t>
  </si>
  <si>
    <t>FREE PSA ELECSYS COBAS E 100 V3</t>
  </si>
  <si>
    <t>Antigeno Prostatico Especifico Libre</t>
  </si>
  <si>
    <t>FSH ELECSYS COBAS E 100 V2</t>
  </si>
  <si>
    <t>Hormona Folículoestimulant</t>
  </si>
  <si>
    <t>FT3 G3 ELECSYS COBAS E 200 V2</t>
  </si>
  <si>
    <t>Triyodotironina libre</t>
  </si>
  <si>
    <t>FT4 G4 ELECSYS COBAS E 200</t>
  </si>
  <si>
    <t>Tiroxina libre</t>
  </si>
  <si>
    <t>GDF-15 ELECSYS COBAS E 100 V2</t>
  </si>
  <si>
    <t>Factor de diferenciación de crecimiento</t>
  </si>
  <si>
    <t>HBEAG ELECSYS COBAS E 100</t>
  </si>
  <si>
    <t>Antigeno E Hepatitis B</t>
  </si>
  <si>
    <t>HBSAG G2 ELECSYS COBAS E 100 V2</t>
  </si>
  <si>
    <t>Antigeno de Superficie Hepatitis B</t>
  </si>
  <si>
    <t>HCG STAT ELECSYS COBAS E 100 V3</t>
  </si>
  <si>
    <t>Gonadotropina Coriónica Humana</t>
  </si>
  <si>
    <t>HCG+BETA ELECSYS COBAS E 100 V2</t>
  </si>
  <si>
    <t>Subunidad β Gonadotropina Coriónica Humana</t>
  </si>
  <si>
    <t>HE4 ELECSYS COBAS E 100</t>
  </si>
  <si>
    <t>Proteína Epididimaria Humana</t>
  </si>
  <si>
    <t>HGH ELECSYS COBAS E 100</t>
  </si>
  <si>
    <t>Hormona de Crecimiento Humana</t>
  </si>
  <si>
    <t>HIV COMBI PT ELECSYS COBAS E 100 V2</t>
  </si>
  <si>
    <t>Antigeno y anticuerpo contra VIH</t>
  </si>
  <si>
    <t>HSV-1 IgG Elecsys cobas e 100 V2</t>
  </si>
  <si>
    <t>Anticuerpos IGG contra virus de herpes 1</t>
  </si>
  <si>
    <t>HSV-2 IgG Elecsys cobas e 100 V2</t>
  </si>
  <si>
    <t>Anticuerpos IGG contra virus de herpes 2</t>
  </si>
  <si>
    <t>HTLV I/II ELECSYS COBAS E100 V2</t>
  </si>
  <si>
    <t>Anticuerpos contra virus linfotrópico humano de células T</t>
  </si>
  <si>
    <t>IGE G2 ELECSYS COBAS E 100</t>
  </si>
  <si>
    <t>Inmunoglobulina E</t>
  </si>
  <si>
    <t>IGF-1 ELECSYS COBAS E 100</t>
  </si>
  <si>
    <t>Factor de crecimiento</t>
  </si>
  <si>
    <t>IGFBP-3 ELECSYS COBAS E 100</t>
  </si>
  <si>
    <t>Proteína transportadora de factor crecimiento</t>
  </si>
  <si>
    <t>IL 6 ELECSYS COBAS E 100 V2</t>
  </si>
  <si>
    <t>Interleucina-6</t>
  </si>
  <si>
    <t>INSULIN ELECSYS COBAS E 100</t>
  </si>
  <si>
    <t>Insulina</t>
  </si>
  <si>
    <t>LH ELECSYS COBAS E 100</t>
  </si>
  <si>
    <t>Hormona luteinizante</t>
  </si>
  <si>
    <t>MYOGLOBIN STAT ELECSYS COBAS E 100</t>
  </si>
  <si>
    <t>Mioglobina</t>
  </si>
  <si>
    <t>N-MID OSTEOCALCIN ELECSYS COBAS E 100</t>
  </si>
  <si>
    <t>Osteocalcina N-MID</t>
  </si>
  <si>
    <t>NSE ELECSYS COBAS E 100</t>
  </si>
  <si>
    <t>Enolasa neuronal específica</t>
  </si>
  <si>
    <t>PAPP-A ELECSYS COBAS E 100 V2</t>
  </si>
  <si>
    <t>Proteina Plasmatica A</t>
  </si>
  <si>
    <t>PCT BRAHMS-ROCHE ELECSYS COBAS E100 V2.1</t>
  </si>
  <si>
    <t>Procalcitonina</t>
  </si>
  <si>
    <t>PIGF ELECSYS COBAS E 100</t>
  </si>
  <si>
    <t>Preeclampsia</t>
  </si>
  <si>
    <t>PROBNP G2 ELECSYS COBAS E 100 V2</t>
  </si>
  <si>
    <t>Péptidos natriuréticos</t>
  </si>
  <si>
    <t>PROBNP G2 STAT ELECSYS COBAS E 100 V2</t>
  </si>
  <si>
    <t>Péptidos natriuréticos STAT</t>
  </si>
  <si>
    <t>PROGESTERONE G3 ELECSYS COBAS E 100</t>
  </si>
  <si>
    <t>Progesterona</t>
  </si>
  <si>
    <t>PROGRP ELECSYS COBAS E 100 V2</t>
  </si>
  <si>
    <t>Péptido liberador de gastrina</t>
  </si>
  <si>
    <t>PROLACTIN G2 ELECSYS COBAS E 100 V2.1</t>
  </si>
  <si>
    <t>Prolactina</t>
  </si>
  <si>
    <t>PTH (1-84) ELECSYS COBAS E 100 V2</t>
  </si>
  <si>
    <t>Parathormona 1-84</t>
  </si>
  <si>
    <t>PTH ELECSYS COBAS E 100</t>
  </si>
  <si>
    <t>Parathormona</t>
  </si>
  <si>
    <t>RUBELLA IGG ELECSYS COBAS E 100</t>
  </si>
  <si>
    <t>Rubéola Inmunoglobina G</t>
  </si>
  <si>
    <t>RUBELLA IGM ELECSYS COBAS E100</t>
  </si>
  <si>
    <t>Rubéola Inmunoglobina M</t>
  </si>
  <si>
    <t>SARS-COV-2 AG ELECSYS COBAS E 200</t>
  </si>
  <si>
    <t>Antigeno corona virus 2</t>
  </si>
  <si>
    <t>SCC ELECSYS COBAS E 100</t>
  </si>
  <si>
    <t>Antígeno del Carcinoma de Células Escamosas</t>
  </si>
  <si>
    <t>SFLT1 ELECSYS COBAS E 100</t>
  </si>
  <si>
    <t>Tirosina quinasa -1</t>
  </si>
  <si>
    <t>SHBG ELECSYS COBAS E 100</t>
  </si>
  <si>
    <t>Globulina Fijadora de Hormonas Sexuales</t>
  </si>
  <si>
    <t>SYPHILIS ELECSYS COBAS E 100 V2</t>
  </si>
  <si>
    <t>Anticuerpos Treponema Pallidum</t>
  </si>
  <si>
    <t>T3 ELECSYS COBAS E 200 V2</t>
  </si>
  <si>
    <t>Triyodotironina</t>
  </si>
  <si>
    <t>T4 ELECSYS COBAS E 200 V3</t>
  </si>
  <si>
    <t>Tiroxina</t>
  </si>
  <si>
    <t>Testosterone</t>
  </si>
  <si>
    <t>Testosterona</t>
  </si>
  <si>
    <t>TG G2 ELECSYS COBAS E 100 V2</t>
  </si>
  <si>
    <t>Tiroglobulina</t>
  </si>
  <si>
    <t>TOTAL PSA ELECSYS COBAS E 100 V3</t>
  </si>
  <si>
    <t>Antigeno Prostatico Especifico Total</t>
  </si>
  <si>
    <t>TOXO IGG AVIDITY ELECSYS COBAS E 100</t>
  </si>
  <si>
    <t>Toxoplasma Inmunoglobinas G Avidity</t>
  </si>
  <si>
    <t>TOXO IGG ELECSYS COBAS E 100</t>
  </si>
  <si>
    <t>Toxoplasma Inmunoglobinas G</t>
  </si>
  <si>
    <t>TOXO IGM ELECSYS COBAS E 100</t>
  </si>
  <si>
    <t>Toxoplasma Inmunoglobinas M</t>
  </si>
  <si>
    <t>TROPONIN I STAT ELECSYS COBAS E 100</t>
  </si>
  <si>
    <t>Troponina I Cardiaca</t>
  </si>
  <si>
    <t>25,71</t>
  </si>
  <si>
    <t>TROPONIN T HS ELECSYS COBAS E 200 V2.1</t>
  </si>
  <si>
    <t>Troponina T Cardiaca High Sensitive</t>
  </si>
  <si>
    <t>TROPONIN T HS STAT ELECSYS COBAS E100 V2</t>
  </si>
  <si>
    <t>Troponina T Cardiaca High Sensitive STAT</t>
  </si>
  <si>
    <t>TSH ELECSYS COBAS E 200 V2</t>
  </si>
  <si>
    <t>Hormona Estimulante de Tiroides</t>
  </si>
  <si>
    <t>VITAMIN B12 G2 ELECSYS COBAS E 100</t>
  </si>
  <si>
    <t>Vitamina B12</t>
  </si>
  <si>
    <t>6,00</t>
  </si>
  <si>
    <t>VITAMIN D TOTAL G3 ELECSYS COBAS E 100</t>
  </si>
  <si>
    <t>Vitamina D</t>
  </si>
  <si>
    <t>DIAS ESTABILDAD</t>
  </si>
  <si>
    <t>ACTH CS ELECSYS V2</t>
  </si>
  <si>
    <t>-</t>
  </si>
  <si>
    <t>AFP G2 CS ELECSYS V3</t>
  </si>
  <si>
    <t>2,14</t>
  </si>
  <si>
    <t>AMH PLUS CS ELECSYS</t>
  </si>
  <si>
    <t>Anti SARS-COV-2-S CS</t>
  </si>
  <si>
    <t>ANTI-TG CS ELECSYS</t>
  </si>
  <si>
    <t>ANTI-TPO CS ELECSYS</t>
  </si>
  <si>
    <t>3,21</t>
  </si>
  <si>
    <t>ANTI-TSHR CS</t>
  </si>
  <si>
    <t>B-CrossLaps CS</t>
  </si>
  <si>
    <t>CA 125 CS</t>
  </si>
  <si>
    <t>1,29</t>
  </si>
  <si>
    <t>CA 15-3 G2 CS ELECSYS</t>
  </si>
  <si>
    <t>CA 19-9 CS</t>
  </si>
  <si>
    <t>CA 72-4 CS ELECSYS V2</t>
  </si>
  <si>
    <t>CEA CS</t>
  </si>
  <si>
    <t>CK-MB STAT CS</t>
  </si>
  <si>
    <t>Cortisol CS</t>
  </si>
  <si>
    <t>C-PEPTIDE CS ELECSYS</t>
  </si>
  <si>
    <t>CYFRA 21-1 CS</t>
  </si>
  <si>
    <t>DHEA-S CS ELECSYS</t>
  </si>
  <si>
    <t>DIGOXIN CS</t>
  </si>
  <si>
    <t>ESTRADIOL G3 CS ELECYSS</t>
  </si>
  <si>
    <t>5,81</t>
  </si>
  <si>
    <t>Ferritina CS</t>
  </si>
  <si>
    <t>Folate G3 CS</t>
  </si>
  <si>
    <t>FREE B HCG CS</t>
  </si>
  <si>
    <t>Free PSA Calset</t>
  </si>
  <si>
    <t>FSH CS Elecsys V3.1</t>
  </si>
  <si>
    <t>FT3 Calset</t>
  </si>
  <si>
    <t>FT4 Calset</t>
  </si>
  <si>
    <t>GDF-15 CS</t>
  </si>
  <si>
    <t>HCG STAT CS</t>
  </si>
  <si>
    <t>HCG+B CalSet</t>
  </si>
  <si>
    <t>HE4 CS</t>
  </si>
  <si>
    <t>HGH CS</t>
  </si>
  <si>
    <t>IgE CS</t>
  </si>
  <si>
    <t>IGF-1 CS</t>
  </si>
  <si>
    <t>IGFBP-3 CS</t>
  </si>
  <si>
    <t>IL 6 CS ELECSYS</t>
  </si>
  <si>
    <t>Insulina CS</t>
  </si>
  <si>
    <t>LH Calset</t>
  </si>
  <si>
    <t>MYOGLOBIN STAT CS</t>
  </si>
  <si>
    <t>N-MID OSTEOCALCIN CS</t>
  </si>
  <si>
    <t>NSE CS</t>
  </si>
  <si>
    <t>PAPP-A CS</t>
  </si>
  <si>
    <t>PIGF CS</t>
  </si>
  <si>
    <t>proBNP CS</t>
  </si>
  <si>
    <t>proBNP STAT CS</t>
  </si>
  <si>
    <t>Progesterona Calset</t>
  </si>
  <si>
    <t>ProGRP CS</t>
  </si>
  <si>
    <t>Prolactin CalSet</t>
  </si>
  <si>
    <t>PTH (1-84) CS</t>
  </si>
  <si>
    <t>2,00</t>
  </si>
  <si>
    <t>PTH CS ELECSYS V2</t>
  </si>
  <si>
    <t>SCC CS</t>
  </si>
  <si>
    <t>sFLT-1 CS</t>
  </si>
  <si>
    <t>SHBG CS</t>
  </si>
  <si>
    <t>T3 Calset</t>
  </si>
  <si>
    <t>T4 Calset</t>
  </si>
  <si>
    <t>Testosterone Calset</t>
  </si>
  <si>
    <t>TG G2 CS ELECSYS V2</t>
  </si>
  <si>
    <t>1,94</t>
  </si>
  <si>
    <t>Total PSA CalSet</t>
  </si>
  <si>
    <t>TROPONIN I STAT CS</t>
  </si>
  <si>
    <t>TROPONIN T HS CS ELECSYS V1.1</t>
  </si>
  <si>
    <t>TROPONIN T HS STAT CS ELECSYS V1.1</t>
  </si>
  <si>
    <t>TSH CalSet</t>
  </si>
  <si>
    <t>VITAMIN B12 G2 CS ELECSYS V2</t>
  </si>
  <si>
    <t>Vitamina D CS</t>
  </si>
  <si>
    <t>ANTI-SARS-COV-2 PC ELECSYS</t>
  </si>
  <si>
    <t>CMV IgG Avidity PC Elecsys</t>
  </si>
  <si>
    <t>1,43</t>
  </si>
  <si>
    <t>HCV Duo PC Elecsys</t>
  </si>
  <si>
    <t>Maternal Care Gen.2 PC Elecsys</t>
  </si>
  <si>
    <t>PreciControl AMH</t>
  </si>
  <si>
    <t>PreciControl AMH Plus</t>
  </si>
  <si>
    <t>PreciControl Anti‑CCP</t>
  </si>
  <si>
    <t>PreciControl Anti‑HAV IgM</t>
  </si>
  <si>
    <t>0,80</t>
  </si>
  <si>
    <t>PreciControl Anti‑HAV II</t>
  </si>
  <si>
    <t>1,61</t>
  </si>
  <si>
    <t>PreciControl Anti‑HBc IgM</t>
  </si>
  <si>
    <t>PreciControl Anti‑HBc II</t>
  </si>
  <si>
    <t>PreciControl Anti‑HBe</t>
  </si>
  <si>
    <t>PreciControl Anti‑HBs</t>
  </si>
  <si>
    <t>PreciControl Anti‑HCV</t>
  </si>
  <si>
    <t>PreciControl Anti‑SARS‑CoV‑2</t>
  </si>
  <si>
    <t>PreciControl Cardiac II</t>
  </si>
  <si>
    <t>PreciControl Chagas</t>
  </si>
  <si>
    <t>PreciControl CMV IgG</t>
  </si>
  <si>
    <t>PreciControl CMV IgM</t>
  </si>
  <si>
    <t>PreciControl EBV EBNA IgG</t>
  </si>
  <si>
    <t>1,07</t>
  </si>
  <si>
    <t>PreciControl EBV IgM/VCA IgG</t>
  </si>
  <si>
    <t>PreciControl Everolimus</t>
  </si>
  <si>
    <t>PreciControl Growth</t>
  </si>
  <si>
    <t>PreciControl HBeAg</t>
  </si>
  <si>
    <t>PreciControl HBsAg II</t>
  </si>
  <si>
    <t>PreciControl HBsAg II quant</t>
  </si>
  <si>
    <t>PreciControl HE4</t>
  </si>
  <si>
    <t>PreciControl HIV Gen II</t>
  </si>
  <si>
    <t>PreciControl HSV</t>
  </si>
  <si>
    <t>PreciControl HTLV</t>
  </si>
  <si>
    <t>PreciControl ISD</t>
  </si>
  <si>
    <t>PreciControl Lung Cancer</t>
  </si>
  <si>
    <t>PreciControl Maternal Care p</t>
  </si>
  <si>
    <t>PreciControl Multimarker Elecsys,cobas e</t>
  </si>
  <si>
    <t>3,87</t>
  </si>
  <si>
    <t>PreciControl ProGRP</t>
  </si>
  <si>
    <t>PreciControl Rubella IgG</t>
  </si>
  <si>
    <t>PreciControl Rubella IgM</t>
  </si>
  <si>
    <t>PreciControl SARS‑CoV‑2 Antigen</t>
  </si>
  <si>
    <t>5,71</t>
  </si>
  <si>
    <t>PreciControl Syphilis</t>
  </si>
  <si>
    <t>PreciControl ThyroAB</t>
  </si>
  <si>
    <t>PreciControl Toxo IgG</t>
  </si>
  <si>
    <t>PreciControl Toxo IgG Avidity</t>
  </si>
  <si>
    <t>PreciControl Toxo IgM</t>
  </si>
  <si>
    <t>PreciControl Troponin</t>
  </si>
  <si>
    <t>PreciControl Tumor Marker Elec</t>
  </si>
  <si>
    <t>PreciControl Universal</t>
  </si>
  <si>
    <t>PreciControl Varia Elecsys</t>
  </si>
  <si>
    <t>PreciControl Vitamin D total III</t>
  </si>
  <si>
    <t>ASSAY CUP</t>
  </si>
  <si>
    <t>0,99</t>
  </si>
  <si>
    <t>ASSY TIP</t>
  </si>
  <si>
    <t>Copillas de muestra Hitachi</t>
  </si>
  <si>
    <t>Elecsys Clean-Cell</t>
  </si>
  <si>
    <t>Elecsys ProCell</t>
  </si>
  <si>
    <t>Elecsys Sys Wash</t>
  </si>
  <si>
    <t>ISE CLEANING SOLUTION</t>
  </si>
  <si>
    <t>Measuring CELL</t>
  </si>
  <si>
    <t>UNIVERSAL DILUENT 2X16ML ELECSYS,COBAS E</t>
  </si>
  <si>
    <t>UNIVERSAL DILUENT 2X36ML ELECSYS,COBAS E</t>
  </si>
  <si>
    <t>CLEAN-LINER</t>
  </si>
  <si>
    <t>COBAS PURE c303</t>
  </si>
  <si>
    <t>COBAS PRO c503</t>
  </si>
  <si>
    <t>PRODUCTO A ENVIAR</t>
  </si>
  <si>
    <t>ÁCIDO ÚRICO</t>
  </si>
  <si>
    <t>UA2, 1300T, cobas c pack green</t>
  </si>
  <si>
    <t>ALBÚMINA RUTINA</t>
  </si>
  <si>
    <t>ALB2, 750T, cobas c pack green</t>
  </si>
  <si>
    <t>Amilasa Serica</t>
  </si>
  <si>
    <t>AMYL2, 750T, cobas c pack green</t>
  </si>
  <si>
    <t>Amilasa Pancreatica</t>
  </si>
  <si>
    <t>AMY-P, 450T, cobas c pack green</t>
  </si>
  <si>
    <t>BILIRRUBINA TOTAL</t>
  </si>
  <si>
    <t>BILT3, 1050T, cobas c pack green</t>
  </si>
  <si>
    <t>Bilirrubina Directa Alto Rendimiento</t>
  </si>
  <si>
    <t>BILD2, 1000T, cobas c pack green</t>
  </si>
  <si>
    <t>CALCIO</t>
  </si>
  <si>
    <t>CA2, 1500T, cobas c pack green</t>
  </si>
  <si>
    <t>COLESTEROL</t>
  </si>
  <si>
    <t>CHOL2, 2600T, cobas c pack green</t>
  </si>
  <si>
    <t>Colinesterasa Gen 2</t>
  </si>
  <si>
    <t>CHE2, 1050T, cobas c pack green</t>
  </si>
  <si>
    <t>CREATIN KINASA</t>
  </si>
  <si>
    <t>CK, 500T, cobas c pack green</t>
  </si>
  <si>
    <t>FOSFATASA ALCALINA</t>
  </si>
  <si>
    <t>ALP2, 1100T, cobas c pack green</t>
  </si>
  <si>
    <t>FOSFORO TOTAL</t>
  </si>
  <si>
    <t>PHOS2, 750T, cobas c pack green</t>
  </si>
  <si>
    <t>γ-Glutamyltransferasa ver. 2</t>
  </si>
  <si>
    <t>GGT-2, 400T, cobas c pack green</t>
  </si>
  <si>
    <t>GLUCOSA</t>
  </si>
  <si>
    <t>GLUC3, 3300T, cobas c pack green</t>
  </si>
  <si>
    <t>HIERRO SÉRICO</t>
  </si>
  <si>
    <t>IRON2, 700T, cobas c pack green</t>
  </si>
  <si>
    <t>Lactato</t>
  </si>
  <si>
    <t>LACT2, 100T, cobas c pack green</t>
  </si>
  <si>
    <t>LDHI2, 850T, cobas c pack green</t>
  </si>
  <si>
    <t>LIPC, 200T, cobas c pack green</t>
  </si>
  <si>
    <t>MAGNESIO</t>
  </si>
  <si>
    <t>MG2, 690T, cobas c pack green</t>
  </si>
  <si>
    <t>ALT (PYP en el mismo reactivo)</t>
  </si>
  <si>
    <t>ALTP2, 800T, cobas c pack green</t>
  </si>
  <si>
    <t>AST (PYP en el mismo reactivo)</t>
  </si>
  <si>
    <t>ASTP2, 800T, cobas c pack green</t>
  </si>
  <si>
    <t>TRIGLICÉRIDOS</t>
  </si>
  <si>
    <t>TRIGL, 1000T, cobas c pack green</t>
  </si>
  <si>
    <t>UREA</t>
  </si>
  <si>
    <t>UREAL, 600T, cobas c pack green</t>
  </si>
  <si>
    <t>α-Hydroxybutyrate Dehydrogenase  Gen.2</t>
  </si>
  <si>
    <t>HBDH, 300T, cobas c pack green</t>
  </si>
  <si>
    <t>Albumin BC</t>
  </si>
  <si>
    <t>ALBP, 500T, cobas c pack green</t>
  </si>
  <si>
    <t>PROTEÍNAS TOTALES</t>
  </si>
  <si>
    <t>TP2, 1050T, cobas c pack green</t>
  </si>
  <si>
    <t>Creatinina Enzimatica</t>
  </si>
  <si>
    <t>CREP2, 600T, cobas c pack green</t>
  </si>
  <si>
    <t>Creatinina Jaffe</t>
  </si>
  <si>
    <t>CREAJ2, 2500T, cobas c pack green</t>
  </si>
  <si>
    <t>COLESTEROL HDL</t>
  </si>
  <si>
    <t>HDLC4, 700T, cobas c pack green</t>
  </si>
  <si>
    <t>COLESTEROL LDL</t>
  </si>
  <si>
    <t>LDLC3, 600T, cobas c pack green</t>
  </si>
  <si>
    <t>Apoliproteina A-1</t>
  </si>
  <si>
    <t>APOAT, 250T, cobas c pack green</t>
  </si>
  <si>
    <t>Apoliproteina B</t>
  </si>
  <si>
    <t>APOBT, 250T, cobas c pack green</t>
  </si>
  <si>
    <t>Indices Sericos</t>
  </si>
  <si>
    <t>SI2, 14500T, cobas c pack green</t>
  </si>
  <si>
    <t>Creatinin Kinasa MB</t>
  </si>
  <si>
    <t>CKMB, 150T, cobas c pack green</t>
  </si>
  <si>
    <t>MICROALBUMINURIA</t>
  </si>
  <si>
    <t>ALBT2, 500T, cobas c pack green</t>
  </si>
  <si>
    <t>Proteinas en Orina y LCR</t>
  </si>
  <si>
    <t>TPUC3, 650T, cobas c pack green</t>
  </si>
  <si>
    <t>Inmunoglobulina G (Ig G)</t>
  </si>
  <si>
    <t>IGG-2, 300T, cobas c pack green</t>
  </si>
  <si>
    <t>Anti-Estreptolisina O (ASO)</t>
  </si>
  <si>
    <t>ASLOT, 200T, cobas c pack green</t>
  </si>
  <si>
    <t>Ceruloplasmina</t>
  </si>
  <si>
    <t>CERU, 200T, cobas c pack green</t>
  </si>
  <si>
    <t>Prealbumina</t>
  </si>
  <si>
    <t>PREA, 200T, cobas c pack green</t>
  </si>
  <si>
    <t>Tina-quant IgM  CSF</t>
  </si>
  <si>
    <t>IGM-C, 150T, cobas c pack green</t>
  </si>
  <si>
    <t>Tina-quant IgA  CSF</t>
  </si>
  <si>
    <t>IGA-C, 150T, cobas c pack green</t>
  </si>
  <si>
    <t>UIBC</t>
  </si>
  <si>
    <t>UIBC, 100T, cobas c pack green</t>
  </si>
  <si>
    <t>CRP CUANTITATIVA*</t>
  </si>
  <si>
    <t>CRP4, 500T, cobas c pack green</t>
  </si>
  <si>
    <t>Complemento C4</t>
  </si>
  <si>
    <t>C4-2, 150T, cobas c pack green</t>
  </si>
  <si>
    <t>Haptoglobina</t>
  </si>
  <si>
    <t>HAPT2, 200T, cobas c pack green</t>
  </si>
  <si>
    <t>Complemento C3</t>
  </si>
  <si>
    <t>C3C-2, 150T, cobas c pack green</t>
  </si>
  <si>
    <t>Cadenas Ligeras Totales Kappa</t>
  </si>
  <si>
    <t>KAPP2, 100T, cobas c pack green</t>
  </si>
  <si>
    <t>Cadenas Ligeras Totales Lambda</t>
  </si>
  <si>
    <t>LAMB2, 100T, cobas c pack green</t>
  </si>
  <si>
    <t>Tina-quant α1-Antitrypsin  ver.2</t>
  </si>
  <si>
    <t>AAT2, 200T, cobas c pack green</t>
  </si>
  <si>
    <t>Transferrina</t>
  </si>
  <si>
    <t>TRSF2, 500T, cobas c pack green</t>
  </si>
  <si>
    <t>Tina-quant Ferritin  Gen.4</t>
  </si>
  <si>
    <t>FERR4, 400T, cobas c pack green</t>
  </si>
  <si>
    <t>Inmunoglobulina M (Ig M) en suero</t>
  </si>
  <si>
    <t>IGM-2, 300T, cobas c pack green</t>
  </si>
  <si>
    <t>8057915190</t>
  </si>
  <si>
    <t>Inmunoglobulina G (Ig G) en suero</t>
  </si>
  <si>
    <t>Inmunoglobulina A (Ig A) en suero</t>
  </si>
  <si>
    <t>IGA-2, 300T, cobas c pack green</t>
  </si>
  <si>
    <t>Hemoglobina Glicosilada alto rendimiento</t>
  </si>
  <si>
    <t>A1CX3, 500T, cobas c pack green</t>
  </si>
  <si>
    <t>Hemoglobina Glicosilada bajo rendimiento</t>
  </si>
  <si>
    <t>A1CX3, 200T, cobas c pack green</t>
  </si>
  <si>
    <t>DIMERO D</t>
  </si>
  <si>
    <t>D-Dimer Gen.2,100Test,cobas c pack green</t>
  </si>
  <si>
    <t>B2-Microglobulina</t>
  </si>
  <si>
    <t>B2MG, 150T, cobas c pack green</t>
  </si>
  <si>
    <t>Lipoproteina A</t>
  </si>
  <si>
    <t>LPA2, 150T, cobas c pack green</t>
  </si>
  <si>
    <t>Cistatina C</t>
  </si>
  <si>
    <t>CYSC2, 250T, cobas c pack green</t>
  </si>
  <si>
    <t>Homocisteina</t>
  </si>
  <si>
    <t>HCYS, 100T, cobas c pack green</t>
  </si>
  <si>
    <t>Bicarbonato</t>
  </si>
  <si>
    <t>CO2-L, 250T, cobas c pack green</t>
  </si>
  <si>
    <t>Amonio Plasmatico</t>
  </si>
  <si>
    <t>NH3L2, 300T cobas c pack green</t>
  </si>
  <si>
    <t>Etanol alto rendimiento</t>
  </si>
  <si>
    <t>ETOH2, 850T, cobas c pack green</t>
  </si>
  <si>
    <t>Etanol bajo rendimiento</t>
  </si>
  <si>
    <t>ETOH2, 150T, cobas c pack green</t>
  </si>
  <si>
    <t>FRUCTOSAMINA</t>
  </si>
  <si>
    <t>FRA, 550T, cobas c pack green</t>
  </si>
  <si>
    <t>Tina-quant Myoglobin  Gen.2</t>
  </si>
  <si>
    <t>MYO2, 200T, cobas c pack green</t>
  </si>
  <si>
    <t>Factor Reumatoideo cuantitativo*</t>
  </si>
  <si>
    <t>RF-II, 400T, cobas c pack green</t>
  </si>
  <si>
    <t>Fenitoína  libre y total</t>
  </si>
  <si>
    <t>PHNY2, 100T, cobas c pack green</t>
  </si>
  <si>
    <t>Fenobarbital</t>
  </si>
  <si>
    <t>PHNO2, 200T, cobas c pack green</t>
  </si>
  <si>
    <t>CARBAMAZEPINA</t>
  </si>
  <si>
    <t>CARB4, 500T, cobas c pack green</t>
  </si>
  <si>
    <t>Ácido valproico</t>
  </si>
  <si>
    <t>VALP2, 200T, cobas c pack green</t>
  </si>
  <si>
    <t>Vancomicina</t>
  </si>
  <si>
    <t>VANC3, 200T, cobas c pack green</t>
  </si>
  <si>
    <t>CONTROLES Y CALIBRADORES</t>
  </si>
  <si>
    <t>Cfas CK.MB 3x1ML</t>
  </si>
  <si>
    <t>C.f.a.s. PUC</t>
  </si>
  <si>
    <t>PreciControl ClinChem Multi 1,20x5ml</t>
  </si>
  <si>
    <t>PreciControl ClinChem Multi 2,20x5ml</t>
  </si>
  <si>
    <t>PreciControl ClinChem Multi 1 QCS,20x5ml</t>
  </si>
  <si>
    <t>PreciControl ClinChem Multi 2 QCS,20x5ml</t>
  </si>
  <si>
    <t>NH3/ETH/CO2 Calibrator</t>
  </si>
  <si>
    <t>NH3/ETH/CO2 Control N</t>
  </si>
  <si>
    <t>NH3/ETH/CO2 Control A</t>
  </si>
  <si>
    <t>PRECIMAT FRUC 3x1ML</t>
  </si>
  <si>
    <t>C.f.a.s. Myoglobin</t>
  </si>
  <si>
    <t>Myoglobin Control Set (Nivel I, II)</t>
  </si>
  <si>
    <t>HITACHI I PRECISET TDM 1</t>
  </si>
  <si>
    <t>TDM Control Set</t>
  </si>
  <si>
    <t>Reaction Cell for c 503 / c 513*</t>
  </si>
  <si>
    <t xml:space="preserve">Caja </t>
  </si>
  <si>
    <t>Reaction Cell for c303</t>
  </si>
  <si>
    <t>ECO-D, 40T, cobas c pack green c303</t>
  </si>
  <si>
    <t>Cassette</t>
  </si>
  <si>
    <t>ECO-D, 40T, cobas c pack green c503</t>
  </si>
  <si>
    <t>NaOH-D, cobas c pack green c303</t>
  </si>
  <si>
    <t>NaOH-D, cobas c pack green c503</t>
  </si>
  <si>
    <t>NACl, cobas c pack green</t>
  </si>
  <si>
    <t>SMS, cobas c pack green</t>
  </si>
  <si>
    <t>Acid Wash 2x2 L c303</t>
  </si>
  <si>
    <t>Caja por 02 galoneras de 2L</t>
  </si>
  <si>
    <t>Acid Wash 2x2 L c503</t>
  </si>
  <si>
    <t>SCCS, 50mL, cobas c pack green</t>
  </si>
  <si>
    <t>Basic Wash 2x2 L c303</t>
  </si>
  <si>
    <t>Basic Wash 2x2 L c503</t>
  </si>
  <si>
    <t>funda de 250</t>
  </si>
  <si>
    <t>A1CD, cobas c pack green</t>
  </si>
  <si>
    <t>Antigen Excess  Reagent  (START)</t>
  </si>
  <si>
    <t>START, 1000T, cobas c pack green</t>
  </si>
  <si>
    <t>Barcode Label 2,5x5,1cm</t>
  </si>
  <si>
    <t>rollo</t>
  </si>
  <si>
    <t>A4 PRINTER PAPER</t>
  </si>
  <si>
    <t>resma</t>
  </si>
  <si>
    <t>RD Standard False Bottom Tube</t>
  </si>
  <si>
    <t>SISTEMA PARA ELECTROLITOS-ISE</t>
  </si>
  <si>
    <t>ISE DEPROTEINIZER cobas integra (6x21ML)</t>
  </si>
  <si>
    <t>ISE Diluent Gen.2, 2x2 Liter</t>
  </si>
  <si>
    <t>ISE Internal Stand Gen.2, 2x2 Liter</t>
  </si>
  <si>
    <t>ISE Reference Electrolyte, 2L</t>
  </si>
  <si>
    <t>ISE Reference Electrolyte 500ML</t>
  </si>
  <si>
    <t>COBAS PURE e402</t>
  </si>
  <si>
    <t>COBAS PRO e801</t>
  </si>
  <si>
    <t>TSH Elecsys E2G 300 V2</t>
  </si>
  <si>
    <t>T3 Elecsys E2G 300 V2</t>
  </si>
  <si>
    <t>T4 Elecsys E2G 300 V2</t>
  </si>
  <si>
    <t>FT3 G3 Elecsys E2G 300</t>
  </si>
  <si>
    <t>FT4 G3 Elecsys E2G 300</t>
  </si>
  <si>
    <t>TG G2 Elecsys E2G 300 V2</t>
  </si>
  <si>
    <t>Anti-TPO Elecsys E2G 300</t>
  </si>
  <si>
    <t>Anti-TG Elecsys E2G 300</t>
  </si>
  <si>
    <t>Anti-TSHR Elecsys E2G 300 V2</t>
  </si>
  <si>
    <t>LH Elecsys E2G 300</t>
  </si>
  <si>
    <t>FSH Elecsys E2G 300</t>
  </si>
  <si>
    <t>Estradiol G3 Elecsys E2G 300</t>
  </si>
  <si>
    <t>Progesterone G3 Elecsys E2G 300</t>
  </si>
  <si>
    <t>Prolactin G2 Elecsys E2G 300</t>
  </si>
  <si>
    <t>Testosterone G2 Elecsys E2G 300</t>
  </si>
  <si>
    <t>SHBG Elecsys E2G 300</t>
  </si>
  <si>
    <t>DHEA-S Elecsys E2G 100</t>
  </si>
  <si>
    <t>HCG+beta Elecsys E2G 300</t>
  </si>
  <si>
    <t>hCG STAT Elecsys E2G 100 V2</t>
  </si>
  <si>
    <t>Free HCGbeta Elecsys E2G 100 V2</t>
  </si>
  <si>
    <t>PAPP-A Elecsys E2G 100 V2</t>
  </si>
  <si>
    <t>PLGF Elecsys E2G 100</t>
  </si>
  <si>
    <t>sFLT1 Elecsys E2G 100</t>
  </si>
  <si>
    <t>C-Peptide Elecsys E2G 100</t>
  </si>
  <si>
    <t>Insulin Elecsys E2G 100</t>
  </si>
  <si>
    <t>Cortisol G2 Elecsys E2G 300</t>
  </si>
  <si>
    <t>Cortisol III Elecsys E2G 300</t>
  </si>
  <si>
    <t>ACTH Elecsys E2G 100</t>
  </si>
  <si>
    <t>hGH Elecsys E2G 100</t>
  </si>
  <si>
    <t>AMH plus Elecsys E2G 100 V2</t>
  </si>
  <si>
    <t>Total PSA Elecsys E2G 300 V2</t>
  </si>
  <si>
    <t>free PSA Elecsys E2G 300 V2</t>
  </si>
  <si>
    <t>AFP Elecsys E2G 300</t>
  </si>
  <si>
    <t>CEA Elecsys E2G 300</t>
  </si>
  <si>
    <t>CA 125 G2 Elecsys E2G 300</t>
  </si>
  <si>
    <t>CA 15-3 G2 Elecsys E2G 300</t>
  </si>
  <si>
    <t>CA 19-9 Elecsys E2G 300</t>
  </si>
  <si>
    <t>Cyfra 21-1 Elecsys E2G 300</t>
  </si>
  <si>
    <t>CA 72-4 Elecsys E2G 300</t>
  </si>
  <si>
    <t>NSE Elecsys E2G 300</t>
  </si>
  <si>
    <t>S100 Elecsys E2G 100 V2</t>
  </si>
  <si>
    <t>HE4 Elecsys E2G 100</t>
  </si>
  <si>
    <t>PIVKAII Elecsys E2G 300</t>
  </si>
  <si>
    <t>proGRP Elecsys E2G 100 V2</t>
  </si>
  <si>
    <t>SCC Elecsys E2G 100</t>
  </si>
  <si>
    <t>Digoxin Elecsys E2G 100</t>
  </si>
  <si>
    <t>CK-MB Elecsys E2G 100</t>
  </si>
  <si>
    <t>Myoglobin Elecsys E2G 100</t>
  </si>
  <si>
    <t>GDF-15 Elecsys E2G 100 V2</t>
  </si>
  <si>
    <t>Troponin T hs Elecsys E2G 300 V2.1</t>
  </si>
  <si>
    <t>Troponin I Elecsys E2G 300</t>
  </si>
  <si>
    <t>9315284190</t>
  </si>
  <si>
    <t>proBNP G2 Elecsys E2G 300 V2.1</t>
  </si>
  <si>
    <t>Calcitonin Elecsys E2G 100</t>
  </si>
  <si>
    <t>IL 6 Elecsys E2G 100 V2</t>
  </si>
  <si>
    <t>Ferritin Elecsys E2G 300</t>
  </si>
  <si>
    <t>Folate G3 Elecsys E2G 300</t>
  </si>
  <si>
    <t>Vitamin B12 G2 Elecsys E2G 300</t>
  </si>
  <si>
    <t>Active B12 Elecsys cobas E2G 300</t>
  </si>
  <si>
    <t>IgE G2 Elecsys E2G 100</t>
  </si>
  <si>
    <t>PTH Elecsys E2G 300</t>
  </si>
  <si>
    <t>PTH (1-84) Elecsys E2G 100</t>
  </si>
  <si>
    <t>Total P1NP Elecsys E2G 100</t>
  </si>
  <si>
    <t>9005781190</t>
  </si>
  <si>
    <t>B-CrossLaps/serum Elecsys E2G 100</t>
  </si>
  <si>
    <t>N-MID Osteocalcin Elecsys E2G 100</t>
  </si>
  <si>
    <t>7251670190</t>
  </si>
  <si>
    <t>Anti-CCP Elecsys E2G 100 V1</t>
  </si>
  <si>
    <t>9318747190</t>
  </si>
  <si>
    <t>PCT Brahms-Roche Elecsys E2G 300 V</t>
  </si>
  <si>
    <t>Vitamin D total G2 Elecsys E2G 300</t>
  </si>
  <si>
    <t>4,68</t>
  </si>
  <si>
    <t>IGF-1 Elecsys E2G 100</t>
  </si>
  <si>
    <t>IGFBP-3 Elecsys E2G 100</t>
  </si>
  <si>
    <t>HIV duo Elecsys E2G 300 V2</t>
  </si>
  <si>
    <t>HCV Duo Elecsys E2G 300</t>
  </si>
  <si>
    <t>11,61</t>
  </si>
  <si>
    <t>Anti-HAV G2 Elecsys E2G 300</t>
  </si>
  <si>
    <t>Anti-HAV IgM Elecsys E2G 300</t>
  </si>
  <si>
    <t>HBsAg G2 Elecsys E2G 300 V2</t>
  </si>
  <si>
    <t>Anti-HBs G2 Elecsys E2G 300 V2</t>
  </si>
  <si>
    <t>HBeAg Elecsys E2G 300</t>
  </si>
  <si>
    <t>Anti-HBe Elecsys E2G 300</t>
  </si>
  <si>
    <t>Anti-HBc G2 Elecsys E2G 300</t>
  </si>
  <si>
    <t>Anti-HBc IgM Elecsys E2G 300</t>
  </si>
  <si>
    <t>Anti-HCV G2 Elecsys E2G 300 V2</t>
  </si>
  <si>
    <t>Rubella IgG Elecsys E2G 300</t>
  </si>
  <si>
    <t>Rubella IgM Elecsys E2G 300</t>
  </si>
  <si>
    <t>Toxo IgG Elecsys E2G 300</t>
  </si>
  <si>
    <t>Toxo IgG Avidity Elecsys E2G 100</t>
  </si>
  <si>
    <t>Toxo IgM Elecsys E2G 300</t>
  </si>
  <si>
    <t>CMV IgG Elecsys E2G 300 V2</t>
  </si>
  <si>
    <t>CMV IgG Avidity Elecsys E2G 100 V2</t>
  </si>
  <si>
    <t>CMV IgM Elecsys E2G 300</t>
  </si>
  <si>
    <t>HSV-1 IgG Elecsys E2G 100 V2</t>
  </si>
  <si>
    <t>HSV-2 IgG Elecsys E2G 100 V2</t>
  </si>
  <si>
    <t>EBV IGM ELECSYS E2G 300</t>
  </si>
  <si>
    <t>EBV VCA IGG ELECSYS E2G 300</t>
  </si>
  <si>
    <t>EBV EBNA IGG ELECSYS E2G 300</t>
  </si>
  <si>
    <t>HTLV Elecsys E2G 300 V2</t>
  </si>
  <si>
    <t>SYPHILIS ELECSYS E2G 300 V2</t>
  </si>
  <si>
    <t>Chagas Elecsys E2G 300 V2</t>
  </si>
  <si>
    <t>Anti-SARS-CoV-2 Elecsys E2G 300</t>
  </si>
  <si>
    <t>12,00</t>
  </si>
  <si>
    <t>Anti-SARS-CoV-2 S Elecsys E2G 300</t>
  </si>
  <si>
    <t>SARS-CoV-2 Ag Elecsys E2G 300</t>
  </si>
  <si>
    <t>Cyclosporine Elecsys E2G 300</t>
  </si>
  <si>
    <t>Everolimus Elecsys E2G 100</t>
  </si>
  <si>
    <t>Sirolimus Elecsys E2G 100</t>
  </si>
  <si>
    <t>Tacrolimus Elecsys E2G 300</t>
  </si>
  <si>
    <t>T3 CalSet</t>
  </si>
  <si>
    <t>T4 CalSet</t>
  </si>
  <si>
    <t>FT3 III CalSet</t>
  </si>
  <si>
    <t>CalSet FT4 III</t>
  </si>
  <si>
    <t>Tg II CalSet</t>
  </si>
  <si>
    <t>Anti‑TPO CalSet</t>
  </si>
  <si>
    <t>Anti‑Tg CalSet</t>
  </si>
  <si>
    <t>CalSet Anti‑TSHR</t>
  </si>
  <si>
    <t>LH CalSet II</t>
  </si>
  <si>
    <t>FSH CS Elecsys V3</t>
  </si>
  <si>
    <t>Estradiol III CalSet</t>
  </si>
  <si>
    <t>Progesterone III CalSet</t>
  </si>
  <si>
    <t>Prolactin II CalSet</t>
  </si>
  <si>
    <t>Testosterone II CalSet II</t>
  </si>
  <si>
    <t>SHBG CalSet</t>
  </si>
  <si>
    <t>DHEA‑S CalSet</t>
  </si>
  <si>
    <t>HCG+β CalSet</t>
  </si>
  <si>
    <t>HCG STAT CalSet</t>
  </si>
  <si>
    <t>free βhCG CalSet</t>
  </si>
  <si>
    <t>PAPP‑A CalSet</t>
  </si>
  <si>
    <t>PlGF CalSet</t>
  </si>
  <si>
    <t>sFlt‑1 CalSet</t>
  </si>
  <si>
    <t>C‑Peptide CalSet</t>
  </si>
  <si>
    <t>Insulin CalSet</t>
  </si>
  <si>
    <t>Cortisol II CalSet</t>
  </si>
  <si>
    <t>CalSet Cortisol III Urine</t>
  </si>
  <si>
    <t>360,00</t>
  </si>
  <si>
    <t>ACTH CalSet</t>
  </si>
  <si>
    <t>hGH CalSet</t>
  </si>
  <si>
    <t>CalSet AMH Plus</t>
  </si>
  <si>
    <t>total PSA CalSet II</t>
  </si>
  <si>
    <t>free PSA CalSet</t>
  </si>
  <si>
    <t>AFP CalSet II</t>
  </si>
  <si>
    <t>CEA CalSet</t>
  </si>
  <si>
    <t>CA 125 II CalSet</t>
  </si>
  <si>
    <t>2,57</t>
  </si>
  <si>
    <t>CA 15-3 II CalSet</t>
  </si>
  <si>
    <t>CA 19‑9 CalSet</t>
  </si>
  <si>
    <t>CYFRA 21‑1 CalSet</t>
  </si>
  <si>
    <t>CA 72‑4 CalSet</t>
  </si>
  <si>
    <t>NSE CalSet</t>
  </si>
  <si>
    <t>S100 CalSet</t>
  </si>
  <si>
    <t>HE4 CalSet</t>
  </si>
  <si>
    <t>CalSet PIVKA‑II</t>
  </si>
  <si>
    <t>ProGRP CalSet</t>
  </si>
  <si>
    <t>SCC CalSet</t>
  </si>
  <si>
    <t>Digoxin CalSet</t>
  </si>
  <si>
    <t>CalSet CK‑MB</t>
  </si>
  <si>
    <t>CalSet Myoglobin</t>
  </si>
  <si>
    <t>CalSet GDF‑15</t>
  </si>
  <si>
    <t>Troponin T hs CS Elecsys E2G V1.1</t>
  </si>
  <si>
    <t>CalSet Troponin I</t>
  </si>
  <si>
    <t>9315314190</t>
  </si>
  <si>
    <t>proBNP G2 CS Elecsys E2G V2.1</t>
  </si>
  <si>
    <t>Calcitonin CalSet</t>
  </si>
  <si>
    <t>Elecsys IL 6 Calset</t>
  </si>
  <si>
    <t>Ferritin CalSet</t>
  </si>
  <si>
    <t>CalSet Folate</t>
  </si>
  <si>
    <t>Vitamin B12 II CalSet</t>
  </si>
  <si>
    <t>CalSet Active B12</t>
  </si>
  <si>
    <t>IgE CalSet</t>
  </si>
  <si>
    <t>CalSet PTH</t>
  </si>
  <si>
    <t>PTH (1‑84) CalSet</t>
  </si>
  <si>
    <t>4,00</t>
  </si>
  <si>
    <t>total P1NP CalSet</t>
  </si>
  <si>
    <t>β‑CrossLaps CalSet</t>
  </si>
  <si>
    <t>N‑MID Osteocalcin CalSet</t>
  </si>
  <si>
    <t>CalSet Vitamin D total III</t>
  </si>
  <si>
    <t>CalSet IGF‑1</t>
  </si>
  <si>
    <t>CalSet IGFBP‑3</t>
  </si>
  <si>
    <t>CalSet Anti‑SARS‑CoV‑2 S</t>
  </si>
  <si>
    <t>Cyclosporine CalSet</t>
  </si>
  <si>
    <t>Everolimus CalSet</t>
  </si>
  <si>
    <t>Sirolimus CalSet</t>
  </si>
  <si>
    <t>Tacrolimus CalSet</t>
  </si>
  <si>
    <t>PreciControl Cortisol Urine</t>
  </si>
  <si>
    <t>PreciControl Active B12</t>
  </si>
  <si>
    <t>PreciControl HCC</t>
  </si>
  <si>
    <t>AssayTip/AssayCup tray</t>
  </si>
  <si>
    <t>Diluent MultiAssay E2G</t>
  </si>
  <si>
    <t>Diluent Universal E2G</t>
  </si>
  <si>
    <t>Elecsys Progesteron Diluent</t>
  </si>
  <si>
    <t>PreClean M G2 2x2L Elecsys E2G e801</t>
  </si>
  <si>
    <t>PreClean M G2 2x2L Elecsys E2G e402</t>
  </si>
  <si>
    <t>CleanCell M 2x2 L Elecsys,cobas e801</t>
  </si>
  <si>
    <t>CleanCell M 2x2 L Elecsys,cobas e402</t>
  </si>
  <si>
    <t>ProCell M G2 2x2L Elecsys E2G e801</t>
  </si>
  <si>
    <t>ProCell M G2 2x2L Elecsys E2G e402</t>
  </si>
  <si>
    <t>BlankCell High Elecsys E2G</t>
  </si>
  <si>
    <t>CellCheck Gen2 Elecsys E2G</t>
  </si>
  <si>
    <t>HBQ Sample Set Elecsys,cobas e</t>
  </si>
  <si>
    <t>72,00</t>
  </si>
  <si>
    <t>Cobas sample cup 5000pcs</t>
  </si>
  <si>
    <t>ControlSet Vials Elecsys,cobas e</t>
  </si>
  <si>
    <t>ISD Sample PT Elecsys cobas e 100</t>
  </si>
  <si>
    <t>Folate RBC Hemolyzing Elecsys,cobas e</t>
  </si>
  <si>
    <t>SARS-CoV-2 Extraction Solution</t>
  </si>
  <si>
    <t>SARS-CoV-2 Extraction Solution C</t>
  </si>
  <si>
    <t>HBsAg Confirmatory Elecsys cobas e</t>
  </si>
  <si>
    <t>Reservoir cup Assy</t>
  </si>
  <si>
    <t>PW LFC CUP ASSY</t>
  </si>
  <si>
    <t>4,93</t>
  </si>
  <si>
    <t>cobas t411</t>
  </si>
  <si>
    <t>PT screen cobas t411 (10x10ml)</t>
  </si>
  <si>
    <t>aPTT MedS cobas t411 (20x5ml)</t>
  </si>
  <si>
    <t>aPTT LowS cobas t411 (10x10ml)</t>
  </si>
  <si>
    <t>PT Calibrator Set cobas t411 (5x1x1ml)</t>
  </si>
  <si>
    <t>Control 1 cobas t411 (20x1ml)</t>
  </si>
  <si>
    <t>Control 2 cobas t411 (20x1ml)</t>
  </si>
  <si>
    <t>Control 4 cobas t411 (20x1ml)</t>
  </si>
  <si>
    <t>D-Dimer Gen. 2 cobas t411</t>
  </si>
  <si>
    <t>D-Dimer Gen.2 Control I/II for t411</t>
  </si>
  <si>
    <t>D-Dimer Gen.2 Calibrator for t411</t>
  </si>
  <si>
    <t>CC 25mM cobas t411 (10x15ml)</t>
  </si>
  <si>
    <t>Day Clean (12x11ml)</t>
  </si>
  <si>
    <t>CleanSol cobas t411 (12x5ml)</t>
  </si>
  <si>
    <t>CPC / t 411 Cuvette bar</t>
  </si>
  <si>
    <t>SAMPLE CUP</t>
  </si>
  <si>
    <t>FAM4</t>
  </si>
  <si>
    <t>AGUA DESTILADA X GALON</t>
  </si>
  <si>
    <t>AMPOLLA DE AGUA BIDESTILADA</t>
  </si>
  <si>
    <t>cobas h 232</t>
  </si>
  <si>
    <t>Roche Cardiac Dimero D</t>
  </si>
  <si>
    <t>ROCHE CARDIAC CK-MB 10 TESTS (COBAS)</t>
  </si>
  <si>
    <t>ROCHE CARDIAC PROBNP+ 10 TESTS (COBAS)</t>
  </si>
  <si>
    <t>ROCHE CARDIAC POC TROP T FOR NEW SW VER.</t>
  </si>
  <si>
    <t xml:space="preserve">Tubo tapa verde </t>
  </si>
  <si>
    <t>AVL 9180</t>
  </si>
  <si>
    <t>SNAPPAK, 9180 9181</t>
  </si>
  <si>
    <t>DEPROTEINIZER (125 ML)</t>
  </si>
  <si>
    <t>CLEANING SOLUTION 988-4</t>
  </si>
  <si>
    <t xml:space="preserve">SODIUM CONDITIONER </t>
  </si>
  <si>
    <t>URINE DILUENT, 125ML (tiempo en uso 5 meses)</t>
  </si>
  <si>
    <t>ISETROL ELECTROLYTE CTRL L 1-3</t>
  </si>
  <si>
    <t>PAPER 91XX SERIES PRINTER 5/PKG</t>
  </si>
  <si>
    <t>AVL NA+ ELECTRODE</t>
  </si>
  <si>
    <t>AVL K+ ELECTRODE</t>
  </si>
  <si>
    <t>AVL CA+ ELECTRODE</t>
  </si>
  <si>
    <t>AVL CL ECTRODE</t>
  </si>
  <si>
    <t>ELECTRODE, ISE REFERENCE, 91XX</t>
  </si>
  <si>
    <t>REFERENCE HOUSING</t>
  </si>
  <si>
    <t>cobas b123</t>
  </si>
  <si>
    <t>ESTABILIDAD</t>
  </si>
  <si>
    <t>FLUID PACK COOX 200</t>
  </si>
  <si>
    <t>Combitrol Plus B, Level 2, 30 pcs</t>
  </si>
  <si>
    <t>Combitrol Plus B, Level 1, 30 pcs</t>
  </si>
  <si>
    <t>Combitrol Plus B, Level 3, 30 pcs</t>
  </si>
  <si>
    <t>Sensor Cartridge, BG/ISE/GLU/LAC</t>
  </si>
  <si>
    <t>Printer paper,  b123</t>
  </si>
  <si>
    <t>CLOT CATCHER PRO</t>
  </si>
  <si>
    <t>AMPOULE ADAPTER (150 PCS)</t>
  </si>
  <si>
    <t>COBAS B101 HBA1C TEST 10PC (DIA CLAIM)</t>
  </si>
  <si>
    <t>COBAS B 101 LIPID PANEL 10PC</t>
  </si>
  <si>
    <t>cobas u6500</t>
  </si>
  <si>
    <t>DET AÑO/PROCESO</t>
  </si>
  <si>
    <t>cobas u cuvette (400 pc)</t>
  </si>
  <si>
    <t>cobas u pack (400 strips)</t>
  </si>
  <si>
    <t>cobas U Calibration Strip, 25 Str.</t>
  </si>
  <si>
    <t>25 (1 UN AÑO)</t>
  </si>
  <si>
    <t>12 MESES</t>
  </si>
  <si>
    <t>DIP &amp; SPIN URINE CONTROL (1470-01)</t>
  </si>
  <si>
    <t>2 MESES</t>
  </si>
  <si>
    <t>WASTE BOX CARTON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</si>
</sst>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-&quot;$&quot;* #,##0.00_-;\-&quot;$&quot;* #,##0.00_-;_-&quot;$&quot;* &quot;-&quot;??_-;_-@"/>
    <numFmt numFmtId="165" formatCode="_(&quot;$&quot;\ * #,##0.00_);_(&quot;$&quot;\ * \(#,##0.00\);_(&quot;$&quot;\ * &quot;-&quot;??_);_(@_)"/>
    <numFmt numFmtId="166" formatCode="0.000000000"/>
    <numFmt numFmtId="167" formatCode="_ * #,##0.00_ ;_ * \-#,##0.00_ ;_ * &quot;-&quot;??_ ;_ @_ "/>
    <numFmt numFmtId="168" formatCode="0.0"/>
  </numFmts>
  <fonts count="12">
    <font>
      <sz val="11.0"/>
      <color theme="1"/>
      <name val="Calibri"/>
      <scheme val="minor"/>
    </font>
    <font>
      <b/>
      <sz val="8.0"/>
      <color rgb="FF000000"/>
      <name val="Calibri"/>
    </font>
    <font/>
    <font>
      <sz val="8.0"/>
      <color rgb="FF000000"/>
      <name val="Calibri"/>
    </font>
    <font>
      <sz val="8.0"/>
      <color rgb="FF1F1F1F"/>
      <name val="Calibri"/>
    </font>
    <font>
      <sz val="8.0"/>
      <color rgb="FF222222"/>
      <name val="Calibri"/>
    </font>
    <font>
      <sz val="11.0"/>
      <color rgb="FF000000"/>
      <name val="Calibri"/>
    </font>
    <font>
      <b/>
      <sz val="8.0"/>
      <color theme="1"/>
      <name val="Calibri"/>
    </font>
    <font>
      <vertAlign val="superscript"/>
      <sz val="8.0"/>
      <color rgb="FF000000"/>
      <name val="Calibri"/>
    </font>
    <font>
      <b/>
      <sz val="10.0"/>
      <color rgb="FF000000"/>
      <name val="Calibri"/>
    </font>
    <font>
      <sz val="10.0"/>
      <color rgb="FF000000"/>
      <name val="Calibri"/>
    </font>
    <font>
      <sz val="11.0"/>
      <color rgb="FF333333"/>
      <name val="Calibri"/>
    </font>
  </fonts>
  <fills count="18">
    <fill>
      <patternFill patternType="none"/>
    </fill>
    <fill>
      <patternFill patternType="lightGray"/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FFFF99"/>
        <bgColor rgb="FFFFFF99"/>
      </patternFill>
    </fill>
    <fill>
      <patternFill patternType="solid">
        <fgColor rgb="FFFECCFA"/>
        <bgColor rgb="FFFECCFA"/>
      </patternFill>
    </fill>
    <fill>
      <patternFill patternType="solid">
        <fgColor rgb="FFE7E6E6"/>
        <bgColor rgb="FFE7E6E6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  <fill>
      <patternFill patternType="solid">
        <fgColor rgb="FFD9D9D9"/>
        <bgColor rgb="FFD9D9D9"/>
      </patternFill>
    </fill>
    <fill>
      <patternFill patternType="solid">
        <fgColor rgb="FF92D050"/>
        <bgColor rgb="FF92D050"/>
      </patternFill>
    </fill>
    <fill>
      <patternFill patternType="solid">
        <fgColor rgb="FF808080"/>
        <bgColor rgb="FF808080"/>
      </patternFill>
    </fill>
    <fill>
      <patternFill patternType="solid">
        <fgColor rgb="FFE6E6E6"/>
        <bgColor rgb="FFE6E6E6"/>
      </patternFill>
    </fill>
    <fill>
      <patternFill patternType="solid">
        <fgColor rgb="FFD8D8D8"/>
        <bgColor rgb="FFD8D8D8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</fills>
  <borders count="29">
    <border/>
    <border>
      <left style="thin">
        <color rgb="FF000000"/>
      </left>
      <top style="thin">
        <color rgb="FF000000"/>
      </top>
      <bottom/>
    </border>
    <border>
      <right style="medium">
        <color rgb="FF000000"/>
      </right>
      <top style="thin">
        <color rgb="FF000000"/>
      </top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2" fillId="0" fontId="2" numFmtId="0" xfId="0" applyBorder="1" applyFont="1"/>
    <xf borderId="0" fillId="0" fontId="3" numFmtId="0" xfId="0" applyAlignment="1" applyFont="1">
      <alignment shrinkToFit="0" vertical="bottom" wrapText="0"/>
    </xf>
    <xf borderId="3" fillId="2" fontId="3" numFmtId="0" xfId="0" applyAlignment="1" applyBorder="1" applyFont="1">
      <alignment horizontal="left" readingOrder="0" shrinkToFit="0" vertical="bottom" wrapText="0"/>
    </xf>
    <xf borderId="4" fillId="2" fontId="1" numFmtId="0" xfId="0" applyAlignment="1" applyBorder="1" applyFont="1">
      <alignment horizontal="center" shrinkToFit="0" wrapText="0"/>
    </xf>
    <xf borderId="5" fillId="2" fontId="1" numFmtId="0" xfId="0" applyAlignment="1" applyBorder="1" applyFont="1">
      <alignment horizontal="left" readingOrder="0" shrinkToFit="0" vertical="bottom" wrapText="0"/>
    </xf>
    <xf borderId="5" fillId="2" fontId="1" numFmtId="0" xfId="0" applyAlignment="1" applyBorder="1" applyFont="1">
      <alignment horizontal="center" shrinkToFit="0" wrapText="0"/>
    </xf>
    <xf borderId="6" fillId="2" fontId="1" numFmtId="0" xfId="0" applyAlignment="1" applyBorder="1" applyFont="1">
      <alignment readingOrder="0" shrinkToFit="0" vertical="bottom" wrapText="0"/>
    </xf>
    <xf borderId="4" fillId="2" fontId="3" numFmtId="0" xfId="0" applyAlignment="1" applyBorder="1" applyFont="1">
      <alignment shrinkToFit="0" vertical="bottom" wrapText="0"/>
    </xf>
    <xf borderId="5" fillId="0" fontId="3" numFmtId="0" xfId="0" applyAlignment="1" applyBorder="1" applyFont="1">
      <alignment readingOrder="0" shrinkToFit="0" wrapText="0"/>
    </xf>
    <xf borderId="5" fillId="0" fontId="3" numFmtId="0" xfId="0" applyAlignment="1" applyBorder="1" applyFont="1">
      <alignment shrinkToFit="0" vertical="bottom" wrapText="0"/>
    </xf>
    <xf borderId="5" fillId="2" fontId="1" numFmtId="0" xfId="0" applyAlignment="1" applyBorder="1" applyFont="1">
      <alignment readingOrder="0" shrinkToFit="0" wrapText="0"/>
    </xf>
    <xf borderId="5" fillId="2" fontId="3" numFmtId="0" xfId="0" applyAlignment="1" applyBorder="1" applyFont="1">
      <alignment shrinkToFit="0" vertical="bottom" wrapText="0"/>
    </xf>
    <xf borderId="5" fillId="0" fontId="1" numFmtId="0" xfId="0" applyAlignment="1" applyBorder="1" applyFont="1">
      <alignment readingOrder="0" shrinkToFit="0" wrapText="0"/>
    </xf>
    <xf borderId="5" fillId="0" fontId="3" numFmtId="0" xfId="0" applyAlignment="1" applyBorder="1" applyFont="1">
      <alignment readingOrder="0"/>
    </xf>
    <xf borderId="5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5" fillId="0" fontId="1" numFmtId="0" xfId="0" applyAlignment="1" applyBorder="1" applyFont="1">
      <alignment readingOrder="0"/>
    </xf>
    <xf borderId="5" fillId="2" fontId="1" numFmtId="0" xfId="0" applyAlignment="1" applyBorder="1" applyFont="1">
      <alignment readingOrder="0"/>
    </xf>
    <xf borderId="5" fillId="2" fontId="3" numFmtId="0" xfId="0" applyAlignment="1" applyBorder="1" applyFont="1">
      <alignment vertical="bottom"/>
    </xf>
    <xf borderId="5" fillId="0" fontId="3" numFmtId="0" xfId="0" applyAlignment="1" applyBorder="1" applyFont="1">
      <alignment readingOrder="0" vertical="bottom"/>
    </xf>
    <xf borderId="7" fillId="0" fontId="3" numFmtId="0" xfId="0" applyAlignment="1" applyBorder="1" applyFont="1">
      <alignment vertical="bottom"/>
    </xf>
    <xf borderId="8" fillId="0" fontId="3" numFmtId="0" xfId="0" applyBorder="1" applyFont="1"/>
    <xf borderId="5" fillId="2" fontId="1" numFmtId="0" xfId="0" applyAlignment="1" applyBorder="1" applyFont="1">
      <alignment readingOrder="0" shrinkToFit="0" vertical="bottom" wrapText="0"/>
    </xf>
    <xf borderId="9" fillId="2" fontId="1" numFmtId="0" xfId="0" applyAlignment="1" applyBorder="1" applyFont="1">
      <alignment horizontal="center" readingOrder="0" shrinkToFit="0" vertical="bottom" wrapText="0"/>
    </xf>
    <xf borderId="6" fillId="3" fontId="3" numFmtId="0" xfId="0" applyAlignment="1" applyBorder="1" applyFill="1" applyFont="1">
      <alignment readingOrder="0"/>
    </xf>
    <xf borderId="4" fillId="0" fontId="1" numFmtId="0" xfId="0" applyAlignment="1" applyBorder="1" applyFont="1">
      <alignment horizontal="center" vertical="bottom"/>
    </xf>
    <xf borderId="4" fillId="3" fontId="3" numFmtId="0" xfId="0" applyAlignment="1" applyBorder="1" applyFont="1">
      <alignment horizontal="center" readingOrder="0" vertical="bottom"/>
    </xf>
    <xf borderId="4" fillId="0" fontId="3" numFmtId="164" xfId="0" applyAlignment="1" applyBorder="1" applyFont="1" applyNumberFormat="1">
      <alignment horizontal="left" vertical="bottom"/>
    </xf>
    <xf borderId="4" fillId="3" fontId="1" numFmtId="164" xfId="0" applyAlignment="1" applyBorder="1" applyFont="1" applyNumberFormat="1">
      <alignment horizontal="left" readingOrder="0" vertical="bottom"/>
    </xf>
    <xf borderId="5" fillId="3" fontId="3" numFmtId="0" xfId="0" applyAlignment="1" applyBorder="1" applyFont="1">
      <alignment readingOrder="0"/>
    </xf>
    <xf borderId="5" fillId="0" fontId="1" numFmtId="0" xfId="0" applyAlignment="1" applyBorder="1" applyFont="1">
      <alignment horizontal="center" vertical="bottom"/>
    </xf>
    <xf borderId="5" fillId="3" fontId="3" numFmtId="0" xfId="0" applyAlignment="1" applyBorder="1" applyFont="1">
      <alignment horizontal="center" readingOrder="0" vertical="bottom"/>
    </xf>
    <xf borderId="5" fillId="0" fontId="3" numFmtId="164" xfId="0" applyAlignment="1" applyBorder="1" applyFont="1" applyNumberFormat="1">
      <alignment horizontal="left" vertical="bottom"/>
    </xf>
    <xf borderId="5" fillId="3" fontId="3" numFmtId="164" xfId="0" applyAlignment="1" applyBorder="1" applyFont="1" applyNumberFormat="1">
      <alignment readingOrder="0" vertical="bottom"/>
    </xf>
    <xf borderId="5" fillId="3" fontId="3" numFmtId="0" xfId="0" applyAlignment="1" applyBorder="1" applyFont="1">
      <alignment vertical="bottom"/>
    </xf>
    <xf borderId="5" fillId="3" fontId="4" numFmtId="0" xfId="0" applyAlignment="1" applyBorder="1" applyFont="1">
      <alignment readingOrder="0" vertical="bottom"/>
    </xf>
    <xf borderId="5" fillId="0" fontId="3" numFmtId="164" xfId="0" applyAlignment="1" applyBorder="1" applyFont="1" applyNumberFormat="1">
      <alignment horizontal="left" readingOrder="0" vertical="bottom"/>
    </xf>
    <xf borderId="5" fillId="3" fontId="3" numFmtId="0" xfId="0" applyAlignment="1" applyBorder="1" applyFont="1">
      <alignment horizontal="center" vertical="bottom"/>
    </xf>
    <xf borderId="5" fillId="0" fontId="3" numFmtId="0" xfId="0" applyAlignment="1" applyBorder="1" applyFont="1">
      <alignment horizontal="center" readingOrder="0" vertical="bottom"/>
    </xf>
    <xf borderId="5" fillId="0" fontId="3" numFmtId="0" xfId="0" applyAlignment="1" applyBorder="1" applyFont="1">
      <alignment horizontal="center" vertical="bottom"/>
    </xf>
    <xf borderId="5" fillId="3" fontId="3" numFmtId="0" xfId="0" applyBorder="1" applyFont="1"/>
    <xf borderId="5" fillId="0" fontId="3" numFmtId="0" xfId="0" applyAlignment="1" applyBorder="1" applyFont="1">
      <alignment horizontal="center" readingOrder="0" shrinkToFit="0" vertical="bottom" wrapText="0"/>
    </xf>
    <xf borderId="5" fillId="3" fontId="5" numFmtId="0" xfId="0" applyAlignment="1" applyBorder="1" applyFont="1">
      <alignment vertical="bottom"/>
    </xf>
    <xf borderId="5" fillId="3" fontId="3" numFmtId="0" xfId="0" applyAlignment="1" applyBorder="1" applyFont="1">
      <alignment shrinkToFit="0" vertical="bottom" wrapText="0"/>
    </xf>
    <xf borderId="5" fillId="0" fontId="3" numFmtId="0" xfId="0" applyAlignment="1" applyBorder="1" applyFont="1">
      <alignment horizontal="center" shrinkToFit="0" vertical="bottom" wrapText="0"/>
    </xf>
    <xf borderId="5" fillId="0" fontId="3" numFmtId="0" xfId="0" applyAlignment="1" applyBorder="1" applyFont="1">
      <alignment horizontal="left" vertical="bottom"/>
    </xf>
    <xf borderId="5" fillId="0" fontId="3" numFmtId="0" xfId="0" applyAlignment="1" applyBorder="1" applyFont="1">
      <alignment horizontal="left" readingOrder="0" vertical="bottom"/>
    </xf>
    <xf borderId="8" fillId="0" fontId="3" numFmtId="0" xfId="0" applyAlignment="1" applyBorder="1" applyFont="1">
      <alignment horizontal="left" readingOrder="0" vertical="bottom"/>
    </xf>
    <xf borderId="5" fillId="0" fontId="3" numFmtId="0" xfId="0" applyAlignment="1" applyBorder="1" applyFont="1">
      <alignment readingOrder="0" shrinkToFit="0" vertical="bottom" wrapText="0"/>
    </xf>
    <xf borderId="5" fillId="0" fontId="6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horizontal="left" vertical="bottom"/>
    </xf>
    <xf borderId="4" fillId="3" fontId="1" numFmtId="0" xfId="0" applyAlignment="1" applyBorder="1" applyFont="1">
      <alignment horizontal="left" readingOrder="0" vertical="bottom"/>
    </xf>
    <xf borderId="5" fillId="0" fontId="3" numFmtId="0" xfId="0" applyAlignment="1" applyBorder="1" applyFont="1">
      <alignment horizontal="left" readingOrder="0" shrinkToFit="0" vertical="bottom" wrapText="0"/>
    </xf>
    <xf borderId="9" fillId="3" fontId="1" numFmtId="0" xfId="0" applyAlignment="1" applyBorder="1" applyFont="1">
      <alignment horizontal="left" readingOrder="0" shrinkToFit="0" vertical="bottom" wrapText="0"/>
    </xf>
    <xf borderId="4" fillId="3" fontId="1" numFmtId="0" xfId="0" applyAlignment="1" applyBorder="1" applyFont="1">
      <alignment horizontal="left" readingOrder="0" shrinkToFit="0" vertical="bottom" wrapText="0"/>
    </xf>
    <xf borderId="10" fillId="0" fontId="3" numFmtId="0" xfId="0" applyAlignment="1" applyBorder="1" applyFont="1">
      <alignment horizontal="left" shrinkToFit="0" wrapText="0"/>
    </xf>
    <xf borderId="10" fillId="0" fontId="2" numFmtId="0" xfId="0" applyBorder="1" applyFont="1"/>
    <xf borderId="9" fillId="0" fontId="2" numFmtId="0" xfId="0" applyBorder="1" applyFont="1"/>
    <xf borderId="0" fillId="0" fontId="3" numFmtId="0" xfId="0" applyAlignment="1" applyFont="1">
      <alignment shrinkToFit="0" vertical="bottom" wrapText="0"/>
    </xf>
    <xf borderId="0" fillId="0" fontId="1" numFmtId="0" xfId="0" applyFont="1"/>
    <xf borderId="0" fillId="0" fontId="3" numFmtId="0" xfId="0" applyAlignment="1" applyFont="1">
      <alignment horizontal="left"/>
    </xf>
    <xf borderId="0" fillId="0" fontId="3" numFmtId="0" xfId="0" applyAlignment="1" applyFont="1">
      <alignment horizontal="center"/>
    </xf>
    <xf borderId="0" fillId="0" fontId="1" numFmtId="15" xfId="0" applyFont="1" applyNumberFormat="1"/>
    <xf borderId="0" fillId="0" fontId="3" numFmtId="0" xfId="0" applyFont="1"/>
    <xf borderId="0" fillId="0" fontId="3" numFmtId="164" xfId="0" applyAlignment="1" applyFont="1" applyNumberFormat="1">
      <alignment horizontal="left"/>
    </xf>
    <xf borderId="0" fillId="0" fontId="3" numFmtId="15" xfId="0" applyAlignment="1" applyFont="1" applyNumberFormat="1">
      <alignment horizontal="left"/>
    </xf>
    <xf borderId="11" fillId="4" fontId="1" numFmtId="0" xfId="0" applyAlignment="1" applyBorder="1" applyFill="1" applyFont="1">
      <alignment horizontal="left"/>
    </xf>
    <xf borderId="11" fillId="4" fontId="1" numFmtId="0" xfId="0" applyAlignment="1" applyBorder="1" applyFont="1">
      <alignment horizontal="center"/>
    </xf>
    <xf borderId="11" fillId="4" fontId="3" numFmtId="0" xfId="0" applyAlignment="1" applyBorder="1" applyFont="1">
      <alignment horizontal="center"/>
    </xf>
    <xf borderId="12" fillId="4" fontId="1" numFmtId="0" xfId="0" applyAlignment="1" applyBorder="1" applyFont="1">
      <alignment horizontal="center" vertical="center"/>
    </xf>
    <xf borderId="12" fillId="4" fontId="1" numFmtId="0" xfId="0" applyAlignment="1" applyBorder="1" applyFont="1">
      <alignment horizontal="center" shrinkToFit="0" vertical="center" wrapText="1"/>
    </xf>
    <xf borderId="13" fillId="0" fontId="3" numFmtId="0" xfId="0" applyAlignment="1" applyBorder="1" applyFont="1">
      <alignment horizontal="center" shrinkToFit="0" vertical="center" wrapText="1"/>
    </xf>
    <xf borderId="5" fillId="0" fontId="3" numFmtId="0" xfId="0" applyAlignment="1" applyBorder="1" applyFont="1">
      <alignment horizontal="left"/>
    </xf>
    <xf borderId="5" fillId="0" fontId="3" numFmtId="0" xfId="0" applyBorder="1" applyFont="1"/>
    <xf borderId="5" fillId="0" fontId="3" numFmtId="0" xfId="0" applyAlignment="1" applyBorder="1" applyFont="1">
      <alignment horizontal="center"/>
    </xf>
    <xf borderId="9" fillId="0" fontId="3" numFmtId="0" xfId="0" applyAlignment="1" applyBorder="1" applyFont="1">
      <alignment horizontal="center"/>
    </xf>
    <xf borderId="5" fillId="0" fontId="3" numFmtId="2" xfId="0" applyAlignment="1" applyBorder="1" applyFont="1" applyNumberFormat="1">
      <alignment horizontal="center"/>
    </xf>
    <xf borderId="5" fillId="5" fontId="3" numFmtId="2" xfId="0" applyAlignment="1" applyBorder="1" applyFill="1" applyFont="1" applyNumberFormat="1">
      <alignment horizontal="center"/>
    </xf>
    <xf borderId="7" fillId="0" fontId="2" numFmtId="0" xfId="0" applyBorder="1" applyFont="1"/>
    <xf borderId="14" fillId="0" fontId="3" numFmtId="0" xfId="0" applyAlignment="1" applyBorder="1" applyFont="1">
      <alignment horizontal="center"/>
    </xf>
    <xf borderId="13" fillId="0" fontId="3" numFmtId="0" xfId="0" applyAlignment="1" applyBorder="1" applyFont="1">
      <alignment horizontal="center"/>
    </xf>
    <xf borderId="13" fillId="0" fontId="3" numFmtId="2" xfId="0" applyAlignment="1" applyBorder="1" applyFont="1" applyNumberFormat="1">
      <alignment horizontal="center"/>
    </xf>
    <xf borderId="6" fillId="0" fontId="2" numFmtId="0" xfId="0" applyBorder="1" applyFont="1"/>
    <xf borderId="11" fillId="4" fontId="3" numFmtId="0" xfId="0" applyAlignment="1" applyBorder="1" applyFont="1">
      <alignment horizontal="left"/>
    </xf>
    <xf borderId="5" fillId="4" fontId="1" numFmtId="0" xfId="0" applyAlignment="1" applyBorder="1" applyFont="1">
      <alignment horizontal="center" vertical="center"/>
    </xf>
    <xf borderId="5" fillId="4" fontId="1" numFmtId="0" xfId="0" applyAlignment="1" applyBorder="1" applyFont="1">
      <alignment horizontal="center" shrinkToFit="0" vertical="center" wrapText="1"/>
    </xf>
    <xf borderId="15" fillId="4" fontId="1" numFmtId="0" xfId="0" applyAlignment="1" applyBorder="1" applyFont="1">
      <alignment horizontal="center" shrinkToFit="0" vertical="center" wrapText="1"/>
    </xf>
    <xf borderId="16" fillId="4" fontId="1" numFmtId="0" xfId="0" applyAlignment="1" applyBorder="1" applyFont="1">
      <alignment horizontal="center" shrinkToFit="0" vertical="center" wrapText="1"/>
    </xf>
    <xf borderId="13" fillId="5" fontId="3" numFmtId="0" xfId="0" applyAlignment="1" applyBorder="1" applyFont="1">
      <alignment horizontal="center" shrinkToFit="0" vertical="center" wrapText="1"/>
    </xf>
    <xf borderId="5" fillId="5" fontId="3" numFmtId="0" xfId="0" applyAlignment="1" applyBorder="1" applyFont="1">
      <alignment horizontal="left" shrinkToFit="0" vertical="center" wrapText="1"/>
    </xf>
    <xf borderId="5" fillId="5" fontId="3" numFmtId="0" xfId="0" applyAlignment="1" applyBorder="1" applyFont="1">
      <alignment horizontal="center"/>
    </xf>
    <xf borderId="17" fillId="5" fontId="3" numFmtId="2" xfId="0" applyAlignment="1" applyBorder="1" applyFont="1" applyNumberFormat="1">
      <alignment horizontal="center"/>
    </xf>
    <xf borderId="5" fillId="5" fontId="3" numFmtId="0" xfId="0" applyAlignment="1" applyBorder="1" applyFont="1">
      <alignment horizontal="left"/>
    </xf>
    <xf borderId="5" fillId="5" fontId="3" numFmtId="0" xfId="0" applyBorder="1" applyFont="1"/>
    <xf borderId="5" fillId="5" fontId="3" numFmtId="0" xfId="0" applyAlignment="1" applyBorder="1" applyFont="1">
      <alignment horizontal="left" shrinkToFit="0" wrapText="1"/>
    </xf>
    <xf borderId="13" fillId="6" fontId="3" numFmtId="0" xfId="0" applyAlignment="1" applyBorder="1" applyFill="1" applyFont="1">
      <alignment horizontal="center" shrinkToFit="0" vertical="center" wrapText="1"/>
    </xf>
    <xf borderId="5" fillId="6" fontId="3" numFmtId="0" xfId="0" applyAlignment="1" applyBorder="1" applyFont="1">
      <alignment horizontal="left" shrinkToFit="0" wrapText="1"/>
    </xf>
    <xf borderId="5" fillId="6" fontId="3" numFmtId="0" xfId="0" applyAlignment="1" applyBorder="1" applyFont="1">
      <alignment shrinkToFit="0" wrapText="1"/>
    </xf>
    <xf borderId="5" fillId="6" fontId="3" numFmtId="0" xfId="0" applyAlignment="1" applyBorder="1" applyFont="1">
      <alignment horizontal="center"/>
    </xf>
    <xf borderId="5" fillId="6" fontId="3" numFmtId="2" xfId="0" applyAlignment="1" applyBorder="1" applyFont="1" applyNumberFormat="1">
      <alignment horizontal="center"/>
    </xf>
    <xf borderId="12" fillId="6" fontId="3" numFmtId="2" xfId="0" applyAlignment="1" applyBorder="1" applyFont="1" applyNumberFormat="1">
      <alignment horizontal="center"/>
    </xf>
    <xf borderId="5" fillId="7" fontId="3" numFmtId="0" xfId="0" applyAlignment="1" applyBorder="1" applyFill="1" applyFont="1">
      <alignment horizontal="center" shrinkToFit="0" vertical="center" wrapText="1"/>
    </xf>
    <xf borderId="5" fillId="7" fontId="3" numFmtId="0" xfId="0" applyAlignment="1" applyBorder="1" applyFont="1">
      <alignment horizontal="left" shrinkToFit="0" vertical="center" wrapText="1"/>
    </xf>
    <xf borderId="5" fillId="7" fontId="3" numFmtId="0" xfId="0" applyAlignment="1" applyBorder="1" applyFont="1">
      <alignment horizontal="center"/>
    </xf>
    <xf borderId="5" fillId="7" fontId="3" numFmtId="2" xfId="0" applyAlignment="1" applyBorder="1" applyFont="1" applyNumberFormat="1">
      <alignment horizontal="center"/>
    </xf>
    <xf borderId="18" fillId="7" fontId="3" numFmtId="2" xfId="0" applyAlignment="1" applyBorder="1" applyFont="1" applyNumberFormat="1">
      <alignment horizontal="center"/>
    </xf>
    <xf borderId="19" fillId="7" fontId="3" numFmtId="2" xfId="0" applyAlignment="1" applyBorder="1" applyFont="1" applyNumberFormat="1">
      <alignment horizontal="center"/>
    </xf>
    <xf borderId="5" fillId="5" fontId="3" numFmtId="0" xfId="0" applyAlignment="1" applyBorder="1" applyFont="1">
      <alignment shrinkToFit="0" wrapText="1"/>
    </xf>
    <xf borderId="12" fillId="5" fontId="3" numFmtId="2" xfId="0" applyAlignment="1" applyBorder="1" applyFont="1" applyNumberFormat="1">
      <alignment horizontal="center"/>
    </xf>
    <xf borderId="13" fillId="8" fontId="3" numFmtId="0" xfId="0" applyAlignment="1" applyBorder="1" applyFill="1" applyFont="1">
      <alignment horizontal="center" shrinkToFit="0" vertical="center" wrapText="1"/>
    </xf>
    <xf borderId="5" fillId="8" fontId="3" numFmtId="0" xfId="0" applyAlignment="1" applyBorder="1" applyFont="1">
      <alignment horizontal="left" shrinkToFit="0" wrapText="1"/>
    </xf>
    <xf borderId="5" fillId="8" fontId="3" numFmtId="0" xfId="0" applyAlignment="1" applyBorder="1" applyFont="1">
      <alignment shrinkToFit="0" wrapText="1"/>
    </xf>
    <xf borderId="5" fillId="8" fontId="3" numFmtId="0" xfId="0" applyAlignment="1" applyBorder="1" applyFont="1">
      <alignment horizontal="center"/>
    </xf>
    <xf borderId="5" fillId="8" fontId="3" numFmtId="2" xfId="0" applyAlignment="1" applyBorder="1" applyFont="1" applyNumberFormat="1">
      <alignment horizontal="center"/>
    </xf>
    <xf borderId="18" fillId="8" fontId="3" numFmtId="2" xfId="0" applyAlignment="1" applyBorder="1" applyFont="1" applyNumberFormat="1">
      <alignment horizontal="center"/>
    </xf>
    <xf borderId="19" fillId="8" fontId="3" numFmtId="2" xfId="0" applyAlignment="1" applyBorder="1" applyFont="1" applyNumberFormat="1">
      <alignment horizontal="center"/>
    </xf>
    <xf borderId="20" fillId="8" fontId="3" numFmtId="2" xfId="0" applyAlignment="1" applyBorder="1" applyFont="1" applyNumberFormat="1">
      <alignment horizontal="center"/>
    </xf>
    <xf borderId="21" fillId="8" fontId="3" numFmtId="2" xfId="0" applyAlignment="1" applyBorder="1" applyFont="1" applyNumberFormat="1">
      <alignment horizontal="center"/>
    </xf>
    <xf borderId="17" fillId="6" fontId="3" numFmtId="2" xfId="0" applyAlignment="1" applyBorder="1" applyFont="1" applyNumberFormat="1">
      <alignment horizontal="center"/>
    </xf>
    <xf borderId="12" fillId="6" fontId="3" numFmtId="0" xfId="0" applyAlignment="1" applyBorder="1" applyFont="1">
      <alignment horizontal="center"/>
    </xf>
    <xf borderId="15" fillId="7" fontId="3" numFmtId="2" xfId="0" applyAlignment="1" applyBorder="1" applyFont="1" applyNumberFormat="1">
      <alignment horizontal="center"/>
    </xf>
    <xf borderId="0" fillId="0" fontId="1" numFmtId="0" xfId="0" applyAlignment="1" applyFont="1">
      <alignment readingOrder="0" vertical="bottom"/>
    </xf>
    <xf borderId="0" fillId="0" fontId="3" numFmtId="0" xfId="0" applyAlignment="1" applyFont="1">
      <alignment horizontal="right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0" fillId="9" fontId="1" numFmtId="0" xfId="0" applyAlignment="1" applyFill="1" applyFont="1">
      <alignment readingOrder="0" vertical="bottom"/>
    </xf>
    <xf borderId="0" fillId="9" fontId="1" numFmtId="0" xfId="0" applyAlignment="1" applyFont="1">
      <alignment horizontal="right" readingOrder="0" vertical="bottom"/>
    </xf>
    <xf borderId="0" fillId="9" fontId="6" numFmtId="0" xfId="0" applyAlignment="1" applyFont="1">
      <alignment vertical="bottom"/>
    </xf>
    <xf borderId="13" fillId="4" fontId="1" numFmtId="0" xfId="0" applyAlignment="1" applyBorder="1" applyFont="1">
      <alignment horizontal="center" readingOrder="0" shrinkToFit="0" wrapText="0"/>
    </xf>
    <xf borderId="14" fillId="4" fontId="1" numFmtId="0" xfId="0" applyAlignment="1" applyBorder="1" applyFont="1">
      <alignment horizontal="center" readingOrder="0" shrinkToFit="0" wrapText="0"/>
    </xf>
    <xf borderId="14" fillId="4" fontId="1" numFmtId="0" xfId="0" applyAlignment="1" applyBorder="1" applyFont="1">
      <alignment horizontal="center" readingOrder="0"/>
    </xf>
    <xf borderId="22" fillId="4" fontId="1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 readingOrder="0"/>
    </xf>
    <xf borderId="5" fillId="0" fontId="3" numFmtId="1" xfId="0" applyAlignment="1" applyBorder="1" applyFont="1" applyNumberFormat="1">
      <alignment horizontal="center" readingOrder="0" shrinkToFit="0" vertical="bottom" wrapText="0"/>
    </xf>
    <xf borderId="5" fillId="0" fontId="3" numFmtId="1" xfId="0" applyAlignment="1" applyBorder="1" applyFont="1" applyNumberFormat="1">
      <alignment horizontal="center" shrinkToFit="0" vertical="bottom" wrapText="0"/>
    </xf>
    <xf borderId="5" fillId="0" fontId="3" numFmtId="2" xfId="0" applyAlignment="1" applyBorder="1" applyFont="1" applyNumberFormat="1">
      <alignment horizontal="center" readingOrder="0" shrinkToFit="0" vertical="bottom" wrapText="0"/>
    </xf>
    <xf borderId="10" fillId="0" fontId="3" numFmtId="2" xfId="0" applyAlignment="1" applyBorder="1" applyFont="1" applyNumberFormat="1">
      <alignment horizontal="center" readingOrder="0" shrinkToFit="0" vertical="bottom" wrapText="0"/>
    </xf>
    <xf borderId="5" fillId="0" fontId="3" numFmtId="2" xfId="0" applyAlignment="1" applyBorder="1" applyFont="1" applyNumberFormat="1">
      <alignment horizontal="center" shrinkToFit="0" vertical="bottom" wrapText="0"/>
    </xf>
    <xf borderId="23" fillId="0" fontId="3" numFmtId="2" xfId="0" applyAlignment="1" applyBorder="1" applyFont="1" applyNumberFormat="1">
      <alignment horizontal="center" readingOrder="0" shrinkToFit="0" vertical="bottom" wrapText="0"/>
    </xf>
    <xf borderId="5" fillId="0" fontId="1" numFmtId="1" xfId="0" applyAlignment="1" applyBorder="1" applyFont="1" applyNumberFormat="1">
      <alignment horizontal="center" shrinkToFit="0" vertical="bottom" wrapText="0"/>
    </xf>
    <xf borderId="5" fillId="0" fontId="3" numFmtId="0" xfId="0" applyAlignment="1" applyBorder="1" applyFont="1">
      <alignment horizontal="left" readingOrder="0" shrinkToFit="0" vertical="top" wrapText="0"/>
    </xf>
    <xf borderId="5" fillId="0" fontId="3" numFmtId="0" xfId="0" applyAlignment="1" applyBorder="1" applyFont="1">
      <alignment horizontal="left" readingOrder="0"/>
    </xf>
    <xf borderId="7" fillId="0" fontId="3" numFmtId="0" xfId="0" applyAlignment="1" applyBorder="1" applyFont="1">
      <alignment horizontal="left" readingOrder="0"/>
    </xf>
    <xf borderId="8" fillId="0" fontId="3" numFmtId="0" xfId="0" applyAlignment="1" applyBorder="1" applyFont="1">
      <alignment horizontal="left" readingOrder="0" shrinkToFit="0" vertical="bottom" wrapText="0"/>
    </xf>
    <xf borderId="5" fillId="0" fontId="3" numFmtId="0" xfId="0" applyAlignment="1" applyBorder="1" applyFont="1">
      <alignment readingOrder="0" shrinkToFit="0" vertical="top" wrapText="0"/>
    </xf>
    <xf borderId="23" fillId="0" fontId="3" numFmtId="0" xfId="0" applyAlignment="1" applyBorder="1" applyFont="1">
      <alignment readingOrder="0" shrinkToFit="0" vertical="top" wrapText="0"/>
    </xf>
    <xf borderId="4" fillId="0" fontId="3" numFmtId="1" xfId="0" applyAlignment="1" applyBorder="1" applyFont="1" applyNumberFormat="1">
      <alignment horizontal="center" readingOrder="0" shrinkToFit="0" vertical="bottom" wrapText="0"/>
    </xf>
    <xf borderId="6" fillId="0" fontId="3" numFmtId="0" xfId="0" applyAlignment="1" applyBorder="1" applyFont="1">
      <alignment horizontal="left" readingOrder="0" shrinkToFit="0" vertical="top" wrapText="0"/>
    </xf>
    <xf borderId="23" fillId="0" fontId="3" numFmtId="1" xfId="0" applyAlignment="1" applyBorder="1" applyFont="1" applyNumberFormat="1">
      <alignment horizontal="center" readingOrder="0" shrinkToFit="0" vertical="bottom" wrapText="0"/>
    </xf>
    <xf borderId="6" fillId="8" fontId="3" numFmtId="0" xfId="0" applyAlignment="1" applyBorder="1" applyFont="1">
      <alignment shrinkToFit="0" vertical="top" wrapText="0"/>
    </xf>
    <xf borderId="4" fillId="8" fontId="3" numFmtId="0" xfId="0" applyAlignment="1" applyBorder="1" applyFont="1">
      <alignment horizontal="left" shrinkToFit="0" vertical="top" wrapText="0"/>
    </xf>
    <xf borderId="4" fillId="8" fontId="1" numFmtId="0" xfId="0" applyAlignment="1" applyBorder="1" applyFont="1">
      <alignment readingOrder="0" shrinkToFit="0" vertical="bottom" wrapText="0"/>
    </xf>
    <xf borderId="4" fillId="8" fontId="1" numFmtId="2" xfId="0" applyAlignment="1" applyBorder="1" applyFont="1" applyNumberFormat="1">
      <alignment shrinkToFit="0" vertical="bottom" wrapText="0"/>
    </xf>
    <xf borderId="4" fillId="8" fontId="1" numFmtId="1" xfId="0" applyAlignment="1" applyBorder="1" applyFont="1" applyNumberFormat="1">
      <alignment horizontal="center" readingOrder="0" shrinkToFit="0" vertical="bottom" wrapText="0"/>
    </xf>
    <xf borderId="4" fillId="8" fontId="3" numFmtId="1" xfId="0" applyAlignment="1" applyBorder="1" applyFont="1" applyNumberFormat="1">
      <alignment horizontal="center" shrinkToFit="0" vertical="bottom" wrapText="0"/>
    </xf>
    <xf borderId="23" fillId="8" fontId="3" numFmtId="165" xfId="0" applyAlignment="1" applyBorder="1" applyFont="1" applyNumberFormat="1">
      <alignment horizontal="center" shrinkToFit="0" vertical="bottom" wrapText="0"/>
    </xf>
    <xf borderId="5" fillId="8" fontId="3" numFmtId="165" xfId="0" applyAlignment="1" applyBorder="1" applyFont="1" applyNumberFormat="1">
      <alignment horizontal="center" shrinkToFit="0" vertical="bottom" wrapText="0"/>
    </xf>
    <xf borderId="6" fillId="10" fontId="1" numFmtId="0" xfId="0" applyAlignment="1" applyBorder="1" applyFill="1" applyFont="1">
      <alignment horizontal="center" readingOrder="0" shrinkToFit="0" vertical="bottom" wrapText="0"/>
    </xf>
    <xf borderId="4" fillId="10" fontId="3" numFmtId="0" xfId="0" applyAlignment="1" applyBorder="1" applyFont="1">
      <alignment horizontal="left" shrinkToFit="0" vertical="bottom" wrapText="0"/>
    </xf>
    <xf borderId="4" fillId="10" fontId="3" numFmtId="0" xfId="0" applyAlignment="1" applyBorder="1" applyFont="1">
      <alignment horizontal="center" shrinkToFit="0" vertical="bottom" wrapText="0"/>
    </xf>
    <xf borderId="4" fillId="10" fontId="3" numFmtId="1" xfId="0" applyAlignment="1" applyBorder="1" applyFont="1" applyNumberFormat="1">
      <alignment shrinkToFit="0" vertical="bottom" wrapText="0"/>
    </xf>
    <xf borderId="5" fillId="10" fontId="3" numFmtId="0" xfId="0" applyAlignment="1" applyBorder="1" applyFont="1">
      <alignment horizontal="center" shrinkToFit="0" vertical="bottom" wrapText="0"/>
    </xf>
    <xf borderId="23" fillId="10" fontId="3" numFmtId="2" xfId="0" applyAlignment="1" applyBorder="1" applyFont="1" applyNumberFormat="1">
      <alignment shrinkToFit="0" vertical="bottom" wrapText="0"/>
    </xf>
    <xf borderId="5" fillId="10" fontId="3" numFmtId="0" xfId="0" applyAlignment="1" applyBorder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2" xfId="0" applyAlignment="1" applyBorder="1" applyFont="1" applyNumberFormat="1">
      <alignment horizontal="center" readingOrder="0" shrinkToFit="0" vertical="bottom" wrapText="0"/>
    </xf>
    <xf borderId="7" fillId="0" fontId="3" numFmtId="0" xfId="0" applyAlignment="1" applyBorder="1" applyFont="1">
      <alignment horizontal="left" readingOrder="0" shrinkToFit="0" vertical="top" wrapText="0"/>
    </xf>
    <xf borderId="4" fillId="0" fontId="3" numFmtId="0" xfId="0" applyAlignment="1" applyBorder="1" applyFont="1">
      <alignment readingOrder="0" shrinkToFit="0" vertical="top" wrapText="0"/>
    </xf>
    <xf borderId="23" fillId="0" fontId="3" numFmtId="0" xfId="0" applyAlignment="1" applyBorder="1" applyFont="1">
      <alignment horizontal="center" readingOrder="0" shrinkToFit="0" vertical="bottom" wrapText="0"/>
    </xf>
    <xf borderId="3" fillId="0" fontId="3" numFmtId="0" xfId="0" applyAlignment="1" applyBorder="1" applyFont="1">
      <alignment horizontal="center" shrinkToFit="0" vertical="bottom" wrapText="0"/>
    </xf>
    <xf borderId="5" fillId="10" fontId="1" numFmtId="0" xfId="0" applyAlignment="1" applyBorder="1" applyFont="1">
      <alignment horizontal="center" readingOrder="0" shrinkToFit="0" vertical="top" wrapText="0"/>
    </xf>
    <xf borderId="5" fillId="10" fontId="3" numFmtId="0" xfId="0" applyAlignment="1" applyBorder="1" applyFont="1">
      <alignment horizontal="left" shrinkToFit="0" vertical="top" wrapText="0"/>
    </xf>
    <xf borderId="5" fillId="10" fontId="3" numFmtId="1" xfId="0" applyAlignment="1" applyBorder="1" applyFont="1" applyNumberFormat="1">
      <alignment horizontal="center" shrinkToFit="0" vertical="bottom" wrapText="0"/>
    </xf>
    <xf borderId="23" fillId="10" fontId="3" numFmtId="2" xfId="0" applyAlignment="1" applyBorder="1" applyFont="1" applyNumberFormat="1">
      <alignment horizontal="center" shrinkToFit="0" vertical="bottom" wrapText="0"/>
    </xf>
    <xf borderId="5" fillId="0" fontId="3" numFmtId="0" xfId="0" applyAlignment="1" applyBorder="1" applyFont="1">
      <alignment horizontal="left" readingOrder="0" shrinkToFit="0" wrapText="0"/>
    </xf>
    <xf borderId="5" fillId="0" fontId="3" numFmtId="166" xfId="0" applyAlignment="1" applyBorder="1" applyFont="1" applyNumberFormat="1">
      <alignment horizontal="center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0" fontId="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shrinkToFit="0" wrapText="1"/>
    </xf>
    <xf borderId="0" fillId="0" fontId="3" numFmtId="0" xfId="0" applyAlignment="1" applyFont="1">
      <alignment horizontal="right" shrinkToFit="0" wrapText="1"/>
    </xf>
    <xf borderId="0" fillId="0" fontId="6" numFmtId="0" xfId="0" applyAlignment="1" applyFont="1">
      <alignment shrinkToFit="0" wrapText="1"/>
    </xf>
    <xf borderId="0" fillId="0" fontId="3" numFmtId="0" xfId="0" applyAlignment="1" applyFont="1">
      <alignment shrinkToFit="0" wrapText="1"/>
    </xf>
    <xf borderId="11" fillId="9" fontId="1" numFmtId="0" xfId="0" applyAlignment="1" applyBorder="1" applyFont="1">
      <alignment shrinkToFit="0" wrapText="1"/>
    </xf>
    <xf borderId="11" fillId="9" fontId="1" numFmtId="0" xfId="0" applyAlignment="1" applyBorder="1" applyFont="1">
      <alignment horizontal="right" shrinkToFit="0" wrapText="1"/>
    </xf>
    <xf borderId="11" fillId="9" fontId="6" numFmtId="0" xfId="0" applyAlignment="1" applyBorder="1" applyFont="1">
      <alignment shrinkToFit="0" wrapText="1"/>
    </xf>
    <xf borderId="0" fillId="0" fontId="3" numFmtId="0" xfId="0" applyAlignment="1" applyFont="1">
      <alignment horizontal="right"/>
    </xf>
    <xf borderId="5" fillId="11" fontId="3" numFmtId="0" xfId="0" applyAlignment="1" applyBorder="1" applyFill="1" applyFont="1">
      <alignment horizontal="center" vertical="center"/>
    </xf>
    <xf borderId="24" fillId="11" fontId="3" numFmtId="0" xfId="0" applyAlignment="1" applyBorder="1" applyFont="1">
      <alignment horizontal="center" vertical="center"/>
    </xf>
    <xf borderId="5" fillId="11" fontId="3" numFmtId="0" xfId="0" applyAlignment="1" applyBorder="1" applyFont="1">
      <alignment horizontal="center" shrinkToFit="0" vertical="center" wrapText="1"/>
    </xf>
    <xf borderId="25" fillId="11" fontId="3" numFmtId="0" xfId="0" applyAlignment="1" applyBorder="1" applyFont="1">
      <alignment horizontal="center" shrinkToFit="0" vertical="center" wrapText="1"/>
    </xf>
    <xf borderId="12" fillId="11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/>
    </xf>
    <xf borderId="4" fillId="0" fontId="3" numFmtId="0" xfId="0" applyAlignment="1" applyBorder="1" applyFont="1">
      <alignment horizontal="center"/>
    </xf>
    <xf borderId="8" fillId="0" fontId="3" numFmtId="0" xfId="0" applyAlignment="1" applyBorder="1" applyFont="1">
      <alignment horizontal="center"/>
    </xf>
    <xf borderId="8" fillId="0" fontId="3" numFmtId="0" xfId="0" applyAlignment="1" applyBorder="1" applyFont="1">
      <alignment horizontal="left"/>
    </xf>
    <xf borderId="5" fillId="8" fontId="3" numFmtId="0" xfId="0" applyAlignment="1" applyBorder="1" applyFont="1">
      <alignment vertical="top"/>
    </xf>
    <xf borderId="5" fillId="8" fontId="3" numFmtId="0" xfId="0" applyAlignment="1" applyBorder="1" applyFont="1">
      <alignment horizontal="left" vertical="top"/>
    </xf>
    <xf borderId="5" fillId="8" fontId="1" numFmtId="1" xfId="0" applyBorder="1" applyFont="1" applyNumberFormat="1"/>
    <xf borderId="5" fillId="8" fontId="3" numFmtId="1" xfId="0" applyAlignment="1" applyBorder="1" applyFont="1" applyNumberFormat="1">
      <alignment horizontal="center"/>
    </xf>
    <xf borderId="26" fillId="11" fontId="3" numFmtId="0" xfId="0" applyAlignment="1" applyBorder="1" applyFont="1">
      <alignment horizontal="center" shrinkToFit="0" vertical="center" wrapText="1"/>
    </xf>
    <xf borderId="27" fillId="11" fontId="1" numFmtId="0" xfId="0" applyAlignment="1" applyBorder="1" applyFont="1">
      <alignment horizontal="center" shrinkToFit="0" wrapText="1"/>
    </xf>
    <xf borderId="5" fillId="12" fontId="3" numFmtId="0" xfId="0" applyAlignment="1" applyBorder="1" applyFill="1" applyFont="1">
      <alignment vertical="center"/>
    </xf>
    <xf borderId="5" fillId="0" fontId="3" numFmtId="0" xfId="0" applyAlignment="1" applyBorder="1" applyFont="1">
      <alignment vertical="center"/>
    </xf>
    <xf borderId="0" fillId="0" fontId="1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9" fontId="1" numFmtId="0" xfId="0" applyAlignment="1" applyFont="1">
      <alignment readingOrder="0" shrinkToFit="0" vertical="bottom" wrapText="0"/>
    </xf>
    <xf borderId="0" fillId="9" fontId="1" numFmtId="0" xfId="0" applyAlignment="1" applyFont="1">
      <alignment horizontal="center" readingOrder="0" shrinkToFit="0" vertical="bottom" wrapText="0"/>
    </xf>
    <xf borderId="0" fillId="9" fontId="1" numFmtId="0" xfId="0" applyAlignment="1" applyFont="1">
      <alignment horizontal="right" shrinkToFit="0" vertical="bottom" wrapText="0"/>
    </xf>
    <xf borderId="0" fillId="9" fontId="6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5" fillId="9" fontId="1" numFmtId="0" xfId="0" applyAlignment="1" applyBorder="1" applyFont="1">
      <alignment horizontal="center" readingOrder="0" vertical="bottom"/>
    </xf>
    <xf borderId="5" fillId="0" fontId="3" numFmtId="0" xfId="0" applyAlignment="1" applyBorder="1" applyFont="1">
      <alignment horizontal="right" readingOrder="0" shrinkToFit="0" vertical="bottom" wrapText="0"/>
    </xf>
    <xf borderId="5" fillId="0" fontId="6" numFmtId="0" xfId="0" applyAlignment="1" applyBorder="1" applyFont="1">
      <alignment horizontal="center" vertical="bottom"/>
    </xf>
    <xf borderId="4" fillId="0" fontId="3" numFmtId="0" xfId="0" applyAlignment="1" applyBorder="1" applyFont="1">
      <alignment horizontal="right" readingOrder="0" shrinkToFit="0" vertical="bottom" wrapText="0"/>
    </xf>
    <xf borderId="27" fillId="13" fontId="1" numFmtId="0" xfId="0" applyAlignment="1" applyBorder="1" applyFill="1" applyFont="1">
      <alignment horizontal="right" readingOrder="0" shrinkToFit="0" vertical="bottom" wrapText="0"/>
    </xf>
    <xf borderId="5" fillId="13" fontId="1" numFmtId="0" xfId="0" applyAlignment="1" applyBorder="1" applyFont="1">
      <alignment horizontal="center" readingOrder="0" shrinkToFit="0" vertical="bottom" wrapText="0"/>
    </xf>
    <xf borderId="5" fillId="13" fontId="1" numFmtId="0" xfId="0" applyAlignment="1" applyBorder="1" applyFont="1">
      <alignment horizontal="center" shrinkToFit="0" vertical="bottom" wrapText="0"/>
    </xf>
    <xf borderId="5" fillId="13" fontId="1" numFmtId="2" xfId="0" applyAlignment="1" applyBorder="1" applyFont="1" applyNumberFormat="1">
      <alignment horizontal="center" shrinkToFit="0" vertical="bottom" wrapText="0"/>
    </xf>
    <xf borderId="5" fillId="13" fontId="3" numFmtId="0" xfId="0" applyAlignment="1" applyBorder="1" applyFont="1">
      <alignment shrinkToFit="0" vertical="bottom" wrapText="0"/>
    </xf>
    <xf borderId="5" fillId="14" fontId="1" numFmtId="0" xfId="0" applyAlignment="1" applyBorder="1" applyFill="1" applyFont="1">
      <alignment readingOrder="0" shrinkToFit="0" vertical="bottom" wrapText="0"/>
    </xf>
    <xf borderId="5" fillId="14" fontId="7" numFmtId="0" xfId="0" applyAlignment="1" applyBorder="1" applyFont="1">
      <alignment shrinkToFit="0" vertical="bottom" wrapText="0"/>
    </xf>
    <xf borderId="5" fillId="14" fontId="7" numFmtId="0" xfId="0" applyAlignment="1" applyBorder="1" applyFont="1">
      <alignment readingOrder="0" shrinkToFit="0" vertical="bottom" wrapText="0"/>
    </xf>
    <xf borderId="5" fillId="14" fontId="7" numFmtId="0" xfId="0" applyAlignment="1" applyBorder="1" applyFont="1">
      <alignment horizontal="center" shrinkToFit="0" vertical="bottom" wrapText="0"/>
    </xf>
    <xf borderId="5" fillId="14" fontId="1" numFmtId="0" xfId="0" applyAlignment="1" applyBorder="1" applyFont="1">
      <alignment horizontal="center" readingOrder="0" shrinkToFit="0" vertical="bottom" wrapText="0"/>
    </xf>
    <xf borderId="5" fillId="14" fontId="1" numFmtId="2" xfId="0" applyAlignment="1" applyBorder="1" applyFont="1" applyNumberFormat="1">
      <alignment horizontal="center" readingOrder="0" shrinkToFit="0" vertical="bottom" wrapText="0"/>
    </xf>
    <xf borderId="5" fillId="0" fontId="3" numFmtId="0" xfId="0" applyAlignment="1" applyBorder="1" applyFont="1">
      <alignment horizontal="right" readingOrder="0" shrinkToFit="0" vertical="top" wrapText="0"/>
    </xf>
    <xf borderId="0" fillId="0" fontId="3" numFmtId="14" xfId="0" applyAlignment="1" applyFont="1" applyNumberFormat="1">
      <alignment horizontal="right" shrinkToFit="0" wrapText="1"/>
    </xf>
    <xf borderId="11" fillId="15" fontId="1" numFmtId="0" xfId="0" applyBorder="1" applyFill="1" applyFont="1"/>
    <xf borderId="5" fillId="15" fontId="1" numFmtId="0" xfId="0" applyAlignment="1" applyBorder="1" applyFont="1">
      <alignment horizontal="right"/>
    </xf>
    <xf borderId="5" fillId="12" fontId="1" numFmtId="0" xfId="0" applyAlignment="1" applyBorder="1" applyFont="1">
      <alignment horizontal="center"/>
    </xf>
    <xf borderId="0" fillId="0" fontId="3" numFmtId="2" xfId="0" applyFont="1" applyNumberFormat="1"/>
    <xf borderId="12" fillId="9" fontId="1" numFmtId="0" xfId="0" applyAlignment="1" applyBorder="1" applyFont="1">
      <alignment horizontal="center" vertical="center"/>
    </xf>
    <xf borderId="27" fillId="9" fontId="1" numFmtId="0" xfId="0" applyAlignment="1" applyBorder="1" applyFont="1">
      <alignment horizontal="center" vertical="center"/>
    </xf>
    <xf borderId="5" fillId="9" fontId="1" numFmtId="0" xfId="0" applyAlignment="1" applyBorder="1" applyFont="1">
      <alignment horizontal="center" vertical="center"/>
    </xf>
    <xf borderId="5" fillId="9" fontId="1" numFmtId="0" xfId="0" applyAlignment="1" applyBorder="1" applyFont="1">
      <alignment horizontal="center" shrinkToFit="0" vertical="center" wrapText="1"/>
    </xf>
    <xf borderId="12" fillId="9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vertical="center"/>
    </xf>
    <xf borderId="5" fillId="0" fontId="3" numFmtId="0" xfId="0" applyAlignment="1" applyBorder="1" applyFont="1">
      <alignment horizontal="right"/>
    </xf>
    <xf borderId="9" fillId="0" fontId="3" numFmtId="0" xfId="0" applyBorder="1" applyFont="1"/>
    <xf borderId="27" fillId="0" fontId="3" numFmtId="0" xfId="0" applyAlignment="1" applyBorder="1" applyFont="1">
      <alignment horizontal="right"/>
    </xf>
    <xf borderId="5" fillId="0" fontId="3" numFmtId="0" xfId="0" applyAlignment="1" applyBorder="1" applyFont="1">
      <alignment horizontal="center" shrinkToFit="0" wrapText="1"/>
    </xf>
    <xf borderId="6" fillId="0" fontId="3" numFmtId="0" xfId="0" applyAlignment="1" applyBorder="1" applyFont="1">
      <alignment horizontal="right"/>
    </xf>
    <xf borderId="5" fillId="0" fontId="3" numFmtId="0" xfId="0" applyAlignment="1" applyBorder="1" applyFont="1">
      <alignment shrinkToFit="0" wrapText="1"/>
    </xf>
    <xf borderId="5" fillId="0" fontId="3" numFmtId="49" xfId="0" applyAlignment="1" applyBorder="1" applyFont="1" applyNumberFormat="1">
      <alignment horizontal="right"/>
    </xf>
    <xf borderId="5" fillId="0" fontId="3" numFmtId="49" xfId="0" applyBorder="1" applyFont="1" applyNumberFormat="1"/>
    <xf borderId="13" fillId="0" fontId="3" numFmtId="0" xfId="0" applyAlignment="1" applyBorder="1" applyFont="1">
      <alignment horizontal="right"/>
    </xf>
    <xf borderId="5" fillId="8" fontId="1" numFmtId="1" xfId="0" applyAlignment="1" applyBorder="1" applyFont="1" applyNumberFormat="1">
      <alignment horizontal="right"/>
    </xf>
    <xf borderId="5" fillId="8" fontId="1" numFmtId="1" xfId="0" applyAlignment="1" applyBorder="1" applyFont="1" applyNumberFormat="1">
      <alignment horizontal="center"/>
    </xf>
    <xf borderId="27" fillId="9" fontId="1" numFmtId="0" xfId="0" applyAlignment="1" applyBorder="1" applyFont="1">
      <alignment horizontal="center"/>
    </xf>
    <xf borderId="5" fillId="9" fontId="1" numFmtId="0" xfId="0" applyBorder="1" applyFont="1"/>
    <xf borderId="5" fillId="9" fontId="1" numFmtId="0" xfId="0" applyAlignment="1" applyBorder="1" applyFont="1">
      <alignment horizontal="center"/>
    </xf>
    <xf borderId="5" fillId="9" fontId="1" numFmtId="2" xfId="0" applyAlignment="1" applyBorder="1" applyFont="1" applyNumberFormat="1">
      <alignment horizontal="center"/>
    </xf>
    <xf borderId="5" fillId="0" fontId="3" numFmtId="167" xfId="0" applyAlignment="1" applyBorder="1" applyFont="1" applyNumberFormat="1">
      <alignment horizontal="center" shrinkToFit="0" wrapText="1"/>
    </xf>
    <xf borderId="5" fillId="0" fontId="3" numFmtId="0" xfId="0" applyAlignment="1" applyBorder="1" applyFont="1">
      <alignment horizontal="right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right"/>
    </xf>
    <xf borderId="5" fillId="0" fontId="1" numFmtId="0" xfId="0" applyAlignment="1" applyBorder="1" applyFont="1">
      <alignment horizontal="center" shrinkToFit="0" vertical="center" wrapText="1"/>
    </xf>
    <xf borderId="5" fillId="0" fontId="1" numFmtId="0" xfId="0" applyAlignment="1" applyBorder="1" applyFont="1">
      <alignment horizontal="right" shrinkToFit="0" vertical="center" wrapText="1"/>
    </xf>
    <xf borderId="28" fillId="0" fontId="2" numFmtId="0" xfId="0" applyBorder="1" applyFont="1"/>
    <xf borderId="27" fillId="0" fontId="3" numFmtId="0" xfId="0" applyBorder="1" applyFont="1"/>
    <xf borderId="5" fillId="0" fontId="3" numFmtId="2" xfId="0" applyAlignment="1" applyBorder="1" applyFont="1" applyNumberFormat="1">
      <alignment horizontal="center" shrinkToFit="0" wrapText="1"/>
    </xf>
    <xf borderId="0" fillId="0" fontId="3" numFmtId="167" xfId="0" applyAlignment="1" applyFont="1" applyNumberFormat="1">
      <alignment horizontal="center" shrinkToFit="0" wrapText="1"/>
    </xf>
    <xf borderId="0" fillId="0" fontId="3" numFmtId="14" xfId="0" applyAlignment="1" applyFont="1" applyNumberFormat="1">
      <alignment horizontal="right" vertical="bottom"/>
    </xf>
    <xf borderId="5" fillId="9" fontId="1" numFmtId="0" xfId="0" applyAlignment="1" applyBorder="1" applyFont="1">
      <alignment readingOrder="0" vertical="bottom"/>
    </xf>
    <xf borderId="5" fillId="9" fontId="1" numFmtId="0" xfId="0" applyAlignment="1" applyBorder="1" applyFont="1">
      <alignment horizontal="right" readingOrder="0" vertical="bottom"/>
    </xf>
    <xf borderId="5" fillId="12" fontId="3" numFmtId="0" xfId="0" applyAlignment="1" applyBorder="1" applyFont="1">
      <alignment vertical="bottom"/>
    </xf>
    <xf borderId="13" fillId="9" fontId="1" numFmtId="0" xfId="0" applyAlignment="1" applyBorder="1" applyFont="1">
      <alignment horizontal="center" readingOrder="0" shrinkToFit="0" wrapText="0"/>
    </xf>
    <xf borderId="14" fillId="9" fontId="1" numFmtId="0" xfId="0" applyAlignment="1" applyBorder="1" applyFont="1">
      <alignment horizontal="center" readingOrder="0" shrinkToFit="0" wrapText="0"/>
    </xf>
    <xf borderId="5" fillId="9" fontId="1" numFmtId="0" xfId="0" applyAlignment="1" applyBorder="1" applyFont="1">
      <alignment horizontal="center" readingOrder="0"/>
    </xf>
    <xf borderId="14" fillId="9" fontId="1" numFmtId="0" xfId="0" applyAlignment="1" applyBorder="1" applyFont="1">
      <alignment horizontal="center" readingOrder="0"/>
    </xf>
    <xf borderId="4" fillId="0" fontId="3" numFmtId="11" xfId="0" applyAlignment="1" applyBorder="1" applyFont="1" applyNumberFormat="1">
      <alignment horizontal="right" readingOrder="0" shrinkToFit="0" vertical="bottom" wrapText="0"/>
    </xf>
    <xf borderId="5" fillId="0" fontId="3" numFmtId="49" xfId="0" applyAlignment="1" applyBorder="1" applyFont="1" applyNumberFormat="1">
      <alignment horizontal="right" readingOrder="0" shrinkToFit="0" vertical="bottom" wrapText="0"/>
    </xf>
    <xf borderId="5" fillId="0" fontId="3" numFmtId="49" xfId="0" applyAlignment="1" applyBorder="1" applyFont="1" applyNumberFormat="1">
      <alignment readingOrder="0"/>
    </xf>
    <xf borderId="5" fillId="0" fontId="3" numFmtId="0" xfId="0" applyAlignment="1" applyBorder="1" applyFont="1">
      <alignment horizontal="right" readingOrder="0" vertical="bottom"/>
    </xf>
    <xf borderId="5" fillId="0" fontId="3" numFmtId="49" xfId="0" applyAlignment="1" applyBorder="1" applyFont="1" applyNumberFormat="1">
      <alignment horizontal="right" readingOrder="0" vertical="bottom"/>
    </xf>
    <xf borderId="5" fillId="0" fontId="3" numFmtId="49" xfId="0" applyAlignment="1" applyBorder="1" applyFont="1" applyNumberFormat="1">
      <alignment readingOrder="0" shrinkToFit="0" vertical="bottom" wrapText="0"/>
    </xf>
    <xf borderId="5" fillId="8" fontId="3" numFmtId="0" xfId="0" applyAlignment="1" applyBorder="1" applyFont="1">
      <alignment shrinkToFit="0" vertical="top" wrapText="0"/>
    </xf>
    <xf borderId="5" fillId="8" fontId="3" numFmtId="0" xfId="0" applyAlignment="1" applyBorder="1" applyFont="1">
      <alignment horizontal="left" shrinkToFit="0" vertical="top" wrapText="0"/>
    </xf>
    <xf borderId="5" fillId="8" fontId="1" numFmtId="1" xfId="0" applyAlignment="1" applyBorder="1" applyFont="1" applyNumberFormat="1">
      <alignment horizontal="right" readingOrder="0" shrinkToFit="0" vertical="bottom" wrapText="0"/>
    </xf>
    <xf borderId="5" fillId="8" fontId="1" numFmtId="1" xfId="0" applyAlignment="1" applyBorder="1" applyFont="1" applyNumberFormat="1">
      <alignment horizontal="center" readingOrder="0" shrinkToFit="0" vertical="bottom" wrapText="0"/>
    </xf>
    <xf borderId="5" fillId="8" fontId="1" numFmtId="1" xfId="0" applyAlignment="1" applyBorder="1" applyFont="1" applyNumberFormat="1">
      <alignment horizontal="center" shrinkToFit="0" vertical="bottom" wrapText="0"/>
    </xf>
    <xf borderId="5" fillId="8" fontId="3" numFmtId="1" xfId="0" applyAlignment="1" applyBorder="1" applyFont="1" applyNumberFormat="1">
      <alignment horizontal="center" shrinkToFit="0" vertical="bottom" wrapText="0"/>
    </xf>
    <xf borderId="5" fillId="8" fontId="3" numFmtId="2" xfId="0" applyAlignment="1" applyBorder="1" applyFont="1" applyNumberFormat="1">
      <alignment horizontal="center" shrinkToFit="0" vertical="bottom" wrapText="0"/>
    </xf>
    <xf borderId="5" fillId="9" fontId="1" numFmtId="0" xfId="0" applyAlignment="1" applyBorder="1" applyFont="1">
      <alignment horizontal="center" readingOrder="0" shrinkToFit="0" vertical="bottom" wrapText="0"/>
    </xf>
    <xf borderId="5" fillId="9" fontId="3" numFmtId="0" xfId="0" applyAlignment="1" applyBorder="1" applyFont="1">
      <alignment shrinkToFit="0" vertical="bottom" wrapText="0"/>
    </xf>
    <xf borderId="5" fillId="9" fontId="7" numFmtId="0" xfId="0" applyAlignment="1" applyBorder="1" applyFont="1">
      <alignment horizontal="center" shrinkToFit="0" vertical="bottom" wrapText="0"/>
    </xf>
    <xf borderId="5" fillId="9" fontId="1" numFmtId="2" xfId="0" applyAlignment="1" applyBorder="1" applyFont="1" applyNumberFormat="1">
      <alignment horizontal="center" readingOrder="0" shrinkToFit="0" vertical="bottom" wrapText="0"/>
    </xf>
    <xf borderId="5" fillId="0" fontId="3" numFmtId="167" xfId="0" applyAlignment="1" applyBorder="1" applyFont="1" applyNumberFormat="1">
      <alignment horizontal="center"/>
    </xf>
    <xf borderId="5" fillId="0" fontId="3" numFmtId="11" xfId="0" applyAlignment="1" applyBorder="1" applyFont="1" applyNumberFormat="1">
      <alignment horizontal="right" readingOrder="0" shrinkToFit="0" vertical="bottom" wrapText="0"/>
    </xf>
    <xf borderId="5" fillId="0" fontId="3" numFmtId="0" xfId="0" applyAlignment="1" applyBorder="1" applyFont="1">
      <alignment horizontal="right" readingOrder="0"/>
    </xf>
    <xf borderId="5" fillId="0" fontId="3" numFmtId="11" xfId="0" applyAlignment="1" applyBorder="1" applyFont="1" applyNumberFormat="1">
      <alignment horizontal="right" readingOrder="0" vertical="bottom"/>
    </xf>
    <xf borderId="0" fillId="0" fontId="3" numFmtId="0" xfId="0" applyAlignment="1" applyFont="1">
      <alignment horizontal="center" vertical="bottom"/>
    </xf>
    <xf borderId="11" fillId="12" fontId="9" numFmtId="0" xfId="0" applyBorder="1" applyFont="1"/>
    <xf borderId="11" fillId="12" fontId="9" numFmtId="0" xfId="0" applyAlignment="1" applyBorder="1" applyFont="1">
      <alignment horizontal="center"/>
    </xf>
    <xf borderId="11" fillId="12" fontId="10" numFmtId="0" xfId="0" applyBorder="1" applyFont="1"/>
    <xf borderId="11" fillId="12" fontId="10" numFmtId="0" xfId="0" applyAlignment="1" applyBorder="1" applyFont="1">
      <alignment horizontal="center"/>
    </xf>
    <xf borderId="0" fillId="0" fontId="3" numFmtId="9" xfId="0" applyAlignment="1" applyFont="1" applyNumberFormat="1">
      <alignment horizontal="right"/>
    </xf>
    <xf borderId="12" fillId="9" fontId="1" numFmtId="0" xfId="0" applyAlignment="1" applyBorder="1" applyFont="1">
      <alignment horizontal="center" shrinkToFit="0" wrapText="1"/>
    </xf>
    <xf borderId="5" fillId="16" fontId="3" numFmtId="0" xfId="0" applyAlignment="1" applyBorder="1" applyFill="1" applyFont="1">
      <alignment horizontal="center"/>
    </xf>
    <xf borderId="26" fillId="16" fontId="3" numFmtId="0" xfId="0" applyAlignment="1" applyBorder="1" applyFont="1">
      <alignment horizontal="center"/>
    </xf>
    <xf borderId="5" fillId="16" fontId="3" numFmtId="2" xfId="0" applyAlignment="1" applyBorder="1" applyFont="1" applyNumberFormat="1">
      <alignment horizontal="center"/>
    </xf>
    <xf borderId="5" fillId="16" fontId="3" numFmtId="2" xfId="0" applyAlignment="1" applyBorder="1" applyFont="1" applyNumberFormat="1">
      <alignment horizontal="center" vertical="center"/>
    </xf>
    <xf borderId="5" fillId="3" fontId="3" numFmtId="0" xfId="0" applyAlignment="1" applyBorder="1" applyFont="1">
      <alignment horizontal="center"/>
    </xf>
    <xf borderId="25" fillId="16" fontId="3" numFmtId="2" xfId="0" applyAlignment="1" applyBorder="1" applyFont="1" applyNumberFormat="1">
      <alignment horizontal="center"/>
    </xf>
    <xf borderId="5" fillId="3" fontId="3" numFmtId="2" xfId="0" applyAlignment="1" applyBorder="1" applyFont="1" applyNumberFormat="1">
      <alignment horizontal="center"/>
    </xf>
    <xf borderId="27" fillId="0" fontId="3" numFmtId="2" xfId="0" applyAlignment="1" applyBorder="1" applyFont="1" applyNumberFormat="1">
      <alignment horizontal="center" vertical="center"/>
    </xf>
    <xf borderId="5" fillId="0" fontId="3" numFmtId="1" xfId="0" applyAlignment="1" applyBorder="1" applyFont="1" applyNumberFormat="1">
      <alignment horizontal="center"/>
    </xf>
    <xf borderId="25" fillId="16" fontId="3" numFmtId="2" xfId="0" applyAlignment="1" applyBorder="1" applyFont="1" applyNumberFormat="1">
      <alignment horizontal="center" vertical="center"/>
    </xf>
    <xf borderId="17" fillId="3" fontId="3" numFmtId="2" xfId="0" applyAlignment="1" applyBorder="1" applyFont="1" applyNumberFormat="1">
      <alignment horizontal="center"/>
    </xf>
    <xf borderId="5" fillId="0" fontId="3" numFmtId="168" xfId="0" applyAlignment="1" applyBorder="1" applyFont="1" applyNumberFormat="1">
      <alignment horizontal="center"/>
    </xf>
    <xf borderId="11" fillId="12" fontId="1" numFmtId="0" xfId="0" applyAlignment="1" applyBorder="1" applyFont="1">
      <alignment horizontal="center"/>
    </xf>
    <xf borderId="11" fillId="12" fontId="3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5" fillId="0" fontId="3" numFmtId="0" xfId="0" applyAlignment="1" applyBorder="1" applyFont="1">
      <alignment horizontal="center" vertical="top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 vertical="center"/>
    </xf>
    <xf borderId="11" fillId="17" fontId="1" numFmtId="0" xfId="0" applyBorder="1" applyFill="1" applyFont="1"/>
    <xf borderId="11" fillId="17" fontId="1" numFmtId="0" xfId="0" applyAlignment="1" applyBorder="1" applyFont="1">
      <alignment horizontal="center"/>
    </xf>
    <xf borderId="11" fillId="17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5" fillId="12" fontId="3" numFmtId="0" xfId="0" applyAlignment="1" applyBorder="1" applyFont="1">
      <alignment horizontal="center" shrinkToFit="0" vertical="center" wrapText="1"/>
    </xf>
    <xf borderId="5" fillId="0" fontId="3" numFmtId="2" xfId="0" applyAlignment="1" applyBorder="1" applyFont="1" applyNumberFormat="1">
      <alignment horizontal="center" shrinkToFit="0" vertical="center" wrapText="1"/>
    </xf>
    <xf borderId="5" fillId="0" fontId="3" numFmtId="0" xfId="0" applyAlignment="1" applyBorder="1" applyFont="1">
      <alignment shrinkToFit="0" vertical="center" wrapText="1"/>
    </xf>
    <xf borderId="5" fillId="0" fontId="3" numFmtId="0" xfId="0" applyAlignment="1" applyBorder="1" applyFont="1">
      <alignment horizontal="right" vertical="top"/>
    </xf>
    <xf borderId="11" fillId="12" fontId="1" numFmtId="0" xfId="0" applyBorder="1" applyFont="1"/>
    <xf borderId="11" fillId="12" fontId="1" numFmtId="0" xfId="0" applyAlignment="1" applyBorder="1" applyFont="1">
      <alignment horizontal="left"/>
    </xf>
    <xf borderId="11" fillId="12" fontId="3" numFmtId="0" xfId="0" applyBorder="1" applyFont="1"/>
    <xf borderId="26" fillId="9" fontId="1" numFmtId="0" xfId="0" applyAlignment="1" applyBorder="1" applyFont="1">
      <alignment horizontal="center" shrinkToFit="0" vertical="center" wrapText="1"/>
    </xf>
    <xf borderId="27" fillId="0" fontId="3" numFmtId="2" xfId="0" applyAlignment="1" applyBorder="1" applyFont="1" applyNumberFormat="1">
      <alignment horizontal="center"/>
    </xf>
    <xf borderId="5" fillId="0" fontId="11" numFmtId="0" xfId="0" applyAlignment="1" applyBorder="1" applyFont="1">
      <alignment horizontal="center" vertical="top"/>
    </xf>
    <xf borderId="5" fillId="0" fontId="6" numFmtId="0" xfId="0" applyAlignment="1" applyBorder="1" applyFont="1">
      <alignment horizontal="center"/>
    </xf>
    <xf borderId="5" fillId="9" fontId="1" numFmtId="165" xfId="0" applyAlignment="1" applyBorder="1" applyFont="1" applyNumberFormat="1">
      <alignment horizontal="center" shrinkToFit="0" vertical="center" wrapText="1"/>
    </xf>
    <xf borderId="5" fillId="0" fontId="3" numFmtId="0" xfId="0" applyAlignment="1" applyBorder="1" applyFont="1">
      <alignment horizontal="right" vertical="center"/>
    </xf>
    <xf borderId="5" fillId="9" fontId="3" numFmtId="0" xfId="0" applyAlignment="1" applyBorder="1" applyFont="1">
      <alignment horizontal="center"/>
    </xf>
    <xf borderId="5" fillId="9" fontId="3" numFmtId="168" xfId="0" applyAlignment="1" applyBorder="1" applyFont="1" applyNumberFormat="1">
      <alignment horizontal="center"/>
    </xf>
    <xf borderId="5" fillId="9" fontId="3" numFmtId="0" xfId="0" applyBorder="1" applyFont="1"/>
    <xf borderId="25" fillId="9" fontId="3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externalLink" Target="externalLinks/externalLink2.xml"/><Relationship Id="rId6" Type="http://schemas.openxmlformats.org/officeDocument/2006/relationships/worksheet" Target="worksheets/sheet3.xml"/><Relationship Id="rId18" Type="http://schemas.openxmlformats.org/officeDocument/2006/relationships/externalLink" Target="externalLinks/externalLink1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34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34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31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31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31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31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30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30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32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32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32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32</xdr:row>
      <xdr:rowOff>0</xdr:rowOff>
    </xdr:from>
    <xdr:ext cx="314325" cy="266700"/>
    <xdr:sp>
      <xdr:nvSpPr>
        <xdr:cNvPr id="3" name="Shape 3"/>
        <xdr:cNvSpPr/>
      </xdr:nvSpPr>
      <xdr:spPr>
        <a:xfrm>
          <a:off x="5193600" y="3651413"/>
          <a:ext cx="3048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TABLA%20MATRIZ%20COSTOS%20PARA%20COMERCIAL%202024-12-06%20HEMATOLOGIA.xlsx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TABLA%20MATRIZ%20COSTOS%20PARA%20COMERCIAL%20POC-T411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BC"/>
      <sheetName val="BIOMETRIA HEMATICA"/>
      <sheetName val="DETERMINACION XP-300"/>
      <sheetName val="PRUEBA EFECTIVA XP-300"/>
      <sheetName val="COMODATO TODO COMPRADO XP-300"/>
      <sheetName val="DETERMINACION XN"/>
      <sheetName val="PRUEBA EFECTIVA XN"/>
      <sheetName val="COMODATO TODO COMPRADO X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BC"/>
      <sheetName val="t411 h232"/>
      <sheetName val="t411-h232-DETERMINACION"/>
      <sheetName val="t411-h232 PRUEBA EFECTIVA"/>
      <sheetName val="t411-h232 TODO COMPRADO"/>
      <sheetName val="AVL-9180"/>
      <sheetName val="AVL-9180 DETERMINACION"/>
      <sheetName val="AVL-9180 PRUEBA EFECTIVA"/>
      <sheetName val="AVL-9180 TODO COPRADO"/>
      <sheetName val="b123"/>
      <sheetName val="b123 DETERMINACION"/>
      <sheetName val="b123 PRUEBA EFECTIVA"/>
      <sheetName val="b123 TODO COMPRADO"/>
      <sheetName val="b101 DETERMINACION"/>
      <sheetName val="b101 PRUEBA EFECTIVA"/>
      <sheetName val="b101 TODO COMPRADO"/>
      <sheetName val="cobas 6500"/>
      <sheetName val="cobas 6500 DETERMINACION"/>
      <sheetName val="U411 DETREMINACION"/>
      <sheetName val="U411 TODO COMPRA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4.43"/>
    <col customWidth="1" min="2" max="2" width="43.14"/>
    <col customWidth="1" min="3" max="6" width="11.43"/>
    <col customWidth="1" min="7" max="26" width="10.71"/>
  </cols>
  <sheetData>
    <row r="1" ht="13.5" customHeight="1">
      <c r="A1" s="1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4" t="s">
        <v>1</v>
      </c>
      <c r="B2" s="5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6" t="s">
        <v>2</v>
      </c>
      <c r="B3" s="7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8" t="s">
        <v>3</v>
      </c>
      <c r="B4" s="9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10" t="s">
        <v>4</v>
      </c>
      <c r="B5" s="1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10" t="s">
        <v>5</v>
      </c>
      <c r="B6" s="11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10" t="s">
        <v>6</v>
      </c>
      <c r="B7" s="11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3.5" customHeight="1">
      <c r="A8" s="10" t="s">
        <v>7</v>
      </c>
      <c r="B8" s="11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3.5" customHeight="1">
      <c r="A9" s="10" t="s">
        <v>8</v>
      </c>
      <c r="B9" s="11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customHeight="1">
      <c r="A10" s="12" t="s">
        <v>9</v>
      </c>
      <c r="B10" s="1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3.5" customHeight="1">
      <c r="A11" s="10" t="s">
        <v>10</v>
      </c>
      <c r="B11" s="11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3.5" customHeight="1">
      <c r="A12" s="10" t="s">
        <v>11</v>
      </c>
      <c r="B12" s="11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customHeight="1">
      <c r="A13" s="10" t="s">
        <v>12</v>
      </c>
      <c r="B13" s="11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3.5" customHeight="1">
      <c r="A14" s="10" t="s">
        <v>13</v>
      </c>
      <c r="B14" s="11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customHeight="1">
      <c r="A15" s="10" t="s">
        <v>14</v>
      </c>
      <c r="B15" s="11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3.5" customHeight="1">
      <c r="A16" s="10" t="s">
        <v>15</v>
      </c>
      <c r="B16" s="11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customHeight="1">
      <c r="A17" s="10" t="s">
        <v>16</v>
      </c>
      <c r="B17" s="11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3.5" customHeight="1">
      <c r="A18" s="10" t="s">
        <v>17</v>
      </c>
      <c r="B18" s="11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3.5" customHeight="1">
      <c r="A19" s="12" t="s">
        <v>18</v>
      </c>
      <c r="B19" s="1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3.5" customHeight="1">
      <c r="A20" s="14" t="s">
        <v>19</v>
      </c>
      <c r="B20" s="11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3.5" customHeight="1">
      <c r="A21" s="10" t="s">
        <v>20</v>
      </c>
      <c r="B21" s="11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0" customHeight="1">
      <c r="A22" s="15" t="s">
        <v>21</v>
      </c>
      <c r="B22" s="16"/>
      <c r="C22" s="17"/>
      <c r="D22" s="17"/>
      <c r="E22" s="17"/>
      <c r="F22" s="17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3.5" customHeight="1">
      <c r="A23" s="10" t="s">
        <v>22</v>
      </c>
      <c r="B23" s="1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>
      <c r="A24" s="10" t="s">
        <v>23</v>
      </c>
      <c r="B24" s="1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>
      <c r="A25" s="10" t="s">
        <v>24</v>
      </c>
      <c r="B25" s="1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>
      <c r="A26" s="15" t="s">
        <v>25</v>
      </c>
      <c r="B26" s="16"/>
      <c r="C26" s="17"/>
      <c r="D26" s="17"/>
      <c r="E26" s="17"/>
      <c r="F26" s="17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>
      <c r="A27" s="10" t="s">
        <v>26</v>
      </c>
      <c r="B27" s="1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3.5" customHeight="1">
      <c r="A28" s="15" t="s">
        <v>27</v>
      </c>
      <c r="B28" s="16"/>
      <c r="C28" s="17"/>
      <c r="D28" s="17"/>
      <c r="E28" s="17"/>
      <c r="F28" s="17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3.5" customHeight="1">
      <c r="A29" s="15" t="s">
        <v>28</v>
      </c>
      <c r="B29" s="16"/>
      <c r="C29" s="17"/>
      <c r="D29" s="17"/>
      <c r="E29" s="17"/>
      <c r="F29" s="17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3.5" customHeight="1">
      <c r="A30" s="15" t="s">
        <v>29</v>
      </c>
      <c r="B30" s="16"/>
      <c r="C30" s="17"/>
      <c r="D30" s="17"/>
      <c r="E30" s="17"/>
      <c r="F30" s="17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customHeight="1">
      <c r="A31" s="12" t="s">
        <v>30</v>
      </c>
      <c r="B31" s="1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3.5" customHeight="1">
      <c r="A32" s="15" t="s">
        <v>31</v>
      </c>
      <c r="B32" s="16"/>
      <c r="C32" s="17"/>
      <c r="D32" s="17"/>
      <c r="E32" s="17"/>
      <c r="F32" s="17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3.5" customHeight="1">
      <c r="A33" s="15" t="s">
        <v>32</v>
      </c>
      <c r="B33" s="16"/>
      <c r="C33" s="17"/>
      <c r="D33" s="17"/>
      <c r="E33" s="17"/>
      <c r="F33" s="17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3.5" customHeight="1">
      <c r="A34" s="15" t="s">
        <v>33</v>
      </c>
      <c r="B34" s="16"/>
      <c r="C34" s="17"/>
      <c r="D34" s="17"/>
      <c r="E34" s="17"/>
      <c r="F34" s="17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3.5" customHeight="1">
      <c r="A35" s="15" t="s">
        <v>34</v>
      </c>
      <c r="B35" s="16"/>
      <c r="C35" s="17"/>
      <c r="D35" s="17"/>
      <c r="E35" s="17"/>
      <c r="F35" s="17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3.5" customHeight="1">
      <c r="A36" s="18" t="s">
        <v>35</v>
      </c>
      <c r="B36" s="16"/>
      <c r="C36" s="17"/>
      <c r="D36" s="17"/>
      <c r="E36" s="17"/>
      <c r="F36" s="17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3.5" customHeight="1">
      <c r="A37" s="15" t="s">
        <v>36</v>
      </c>
      <c r="B37" s="16"/>
      <c r="C37" s="17"/>
      <c r="D37" s="17"/>
      <c r="E37" s="17"/>
      <c r="F37" s="17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3.5" customHeight="1">
      <c r="A38" s="15" t="s">
        <v>37</v>
      </c>
      <c r="B38" s="16"/>
      <c r="C38" s="17"/>
      <c r="D38" s="17"/>
      <c r="E38" s="17"/>
      <c r="F38" s="17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3.5" customHeight="1">
      <c r="A39" s="15" t="s">
        <v>33</v>
      </c>
      <c r="B39" s="16"/>
      <c r="C39" s="17"/>
      <c r="D39" s="17"/>
      <c r="E39" s="17"/>
      <c r="F39" s="17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3.5" customHeight="1">
      <c r="A40" s="18" t="s">
        <v>38</v>
      </c>
      <c r="B40" s="16"/>
      <c r="C40" s="17"/>
      <c r="D40" s="17"/>
      <c r="E40" s="17"/>
      <c r="F40" s="17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3.5" customHeight="1">
      <c r="A41" s="15" t="s">
        <v>39</v>
      </c>
      <c r="B41" s="16"/>
      <c r="C41" s="17"/>
      <c r="D41" s="17"/>
      <c r="E41" s="17"/>
      <c r="F41" s="17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3.5" customHeight="1">
      <c r="A42" s="15" t="s">
        <v>39</v>
      </c>
      <c r="B42" s="16"/>
      <c r="C42" s="17"/>
      <c r="D42" s="17"/>
      <c r="E42" s="17"/>
      <c r="F42" s="17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3.5" customHeight="1">
      <c r="A43" s="15" t="s">
        <v>39</v>
      </c>
      <c r="B43" s="16"/>
      <c r="C43" s="17"/>
      <c r="D43" s="17"/>
      <c r="E43" s="17"/>
      <c r="F43" s="17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>
      <c r="A44" s="19" t="s">
        <v>40</v>
      </c>
      <c r="B44" s="20"/>
      <c r="C44" s="17"/>
      <c r="D44" s="17"/>
      <c r="E44" s="17"/>
      <c r="F44" s="17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>
      <c r="A45" s="15" t="s">
        <v>41</v>
      </c>
      <c r="B45" s="16"/>
      <c r="C45" s="17"/>
      <c r="D45" s="17"/>
      <c r="E45" s="17"/>
      <c r="F45" s="17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>
      <c r="A46" s="15" t="s">
        <v>42</v>
      </c>
      <c r="B46" s="16"/>
      <c r="C46" s="17"/>
      <c r="D46" s="17"/>
      <c r="E46" s="17"/>
      <c r="F46" s="17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>
      <c r="A47" s="15" t="s">
        <v>43</v>
      </c>
      <c r="B47" s="16"/>
      <c r="C47" s="17"/>
      <c r="D47" s="17"/>
      <c r="E47" s="17"/>
      <c r="F47" s="17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>
      <c r="A48" s="19" t="s">
        <v>44</v>
      </c>
      <c r="B48" s="20"/>
      <c r="C48" s="17"/>
      <c r="D48" s="17"/>
      <c r="E48" s="17"/>
      <c r="F48" s="17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>
      <c r="A49" s="15" t="s">
        <v>45</v>
      </c>
      <c r="B49" s="16"/>
      <c r="C49" s="17"/>
      <c r="D49" s="17"/>
      <c r="E49" s="17"/>
      <c r="F49" s="17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>
      <c r="A50" s="15" t="s">
        <v>46</v>
      </c>
      <c r="B50" s="16"/>
      <c r="C50" s="17"/>
      <c r="D50" s="17"/>
      <c r="E50" s="17"/>
      <c r="F50" s="17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>
      <c r="A51" s="21" t="s">
        <v>47</v>
      </c>
      <c r="B51" s="16"/>
      <c r="C51" s="17"/>
      <c r="D51" s="17"/>
      <c r="E51" s="17"/>
      <c r="F51" s="17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>
      <c r="A52" s="19" t="s">
        <v>48</v>
      </c>
      <c r="B52" s="20"/>
      <c r="C52" s="17"/>
      <c r="D52" s="17"/>
      <c r="E52" s="17"/>
      <c r="F52" s="17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>
      <c r="A53" s="15" t="s">
        <v>49</v>
      </c>
      <c r="B53" s="16"/>
      <c r="C53" s="17"/>
      <c r="D53" s="17"/>
      <c r="E53" s="17"/>
      <c r="F53" s="17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>
      <c r="A54" s="15" t="s">
        <v>50</v>
      </c>
      <c r="B54" s="16"/>
      <c r="C54" s="17"/>
      <c r="D54" s="17"/>
      <c r="E54" s="17"/>
      <c r="F54" s="17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>
      <c r="A55" s="21" t="s">
        <v>51</v>
      </c>
      <c r="B55" s="16"/>
      <c r="C55" s="17"/>
      <c r="D55" s="17"/>
      <c r="E55" s="17"/>
      <c r="F55" s="17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>
      <c r="A56" s="22"/>
      <c r="B56" s="23"/>
      <c r="C56" s="17"/>
      <c r="D56" s="17"/>
      <c r="E56" s="17"/>
      <c r="F56" s="17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>
      <c r="A57" s="24" t="s">
        <v>52</v>
      </c>
      <c r="B57" s="25" t="s">
        <v>53</v>
      </c>
      <c r="C57" s="25" t="s">
        <v>54</v>
      </c>
      <c r="D57" s="25" t="s">
        <v>55</v>
      </c>
      <c r="E57" s="25" t="s">
        <v>56</v>
      </c>
      <c r="F57" s="25" t="s">
        <v>57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>
      <c r="A58" s="26" t="s">
        <v>58</v>
      </c>
      <c r="B58" s="27"/>
      <c r="C58" s="27"/>
      <c r="D58" s="28">
        <v>0.0</v>
      </c>
      <c r="E58" s="29"/>
      <c r="F58" s="30" t="s">
        <v>59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>
      <c r="A59" s="31" t="s">
        <v>60</v>
      </c>
      <c r="B59" s="32"/>
      <c r="C59" s="32"/>
      <c r="D59" s="33">
        <v>0.0</v>
      </c>
      <c r="E59" s="34"/>
      <c r="F59" s="30" t="s">
        <v>59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>
      <c r="A60" s="31" t="s">
        <v>61</v>
      </c>
      <c r="B60" s="35" t="s">
        <v>62</v>
      </c>
      <c r="C60" s="36"/>
      <c r="D60" s="33">
        <v>0.0</v>
      </c>
      <c r="E60" s="34"/>
      <c r="F60" s="30" t="s">
        <v>59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>
      <c r="A61" s="31" t="s">
        <v>63</v>
      </c>
      <c r="B61" s="36"/>
      <c r="C61" s="36"/>
      <c r="D61" s="33">
        <v>0.0</v>
      </c>
      <c r="E61" s="34"/>
      <c r="F61" s="30" t="s">
        <v>59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>
      <c r="A62" s="31" t="s">
        <v>64</v>
      </c>
      <c r="B62" s="21" t="s">
        <v>65</v>
      </c>
      <c r="C62" s="16"/>
      <c r="D62" s="33">
        <v>0.0</v>
      </c>
      <c r="E62" s="34"/>
      <c r="F62" s="30" t="s">
        <v>59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>
      <c r="A63" s="31" t="s">
        <v>66</v>
      </c>
      <c r="B63" s="37" t="s">
        <v>67</v>
      </c>
      <c r="C63" s="16"/>
      <c r="D63" s="33">
        <v>0.0</v>
      </c>
      <c r="E63" s="38" t="s">
        <v>68</v>
      </c>
      <c r="F63" s="30" t="s">
        <v>59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>
      <c r="A64" s="31" t="s">
        <v>69</v>
      </c>
      <c r="B64" s="16"/>
      <c r="C64" s="16"/>
      <c r="D64" s="33">
        <v>0.0</v>
      </c>
      <c r="E64" s="34"/>
      <c r="F64" s="30" t="s">
        <v>59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>
      <c r="A65" s="31" t="s">
        <v>70</v>
      </c>
      <c r="B65" s="16"/>
      <c r="C65" s="16"/>
      <c r="D65" s="33">
        <v>0.0</v>
      </c>
      <c r="E65" s="38" t="s">
        <v>71</v>
      </c>
      <c r="F65" s="30" t="s">
        <v>59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>
      <c r="A66" s="31" t="s">
        <v>72</v>
      </c>
      <c r="B66" s="16"/>
      <c r="C66" s="16"/>
      <c r="D66" s="33">
        <v>0.0</v>
      </c>
      <c r="E66" s="34"/>
      <c r="F66" s="30" t="s">
        <v>59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>
      <c r="A67" s="31" t="s">
        <v>73</v>
      </c>
      <c r="B67" s="16"/>
      <c r="C67" s="16"/>
      <c r="D67" s="33">
        <v>0.0</v>
      </c>
      <c r="E67" s="34"/>
      <c r="F67" s="30" t="s">
        <v>59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>
      <c r="A68" s="31" t="s">
        <v>74</v>
      </c>
      <c r="B68" s="16"/>
      <c r="C68" s="16"/>
      <c r="D68" s="33">
        <v>0.0</v>
      </c>
      <c r="E68" s="34"/>
      <c r="F68" s="30" t="s">
        <v>59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>
      <c r="A69" s="31" t="s">
        <v>75</v>
      </c>
      <c r="B69" s="16"/>
      <c r="C69" s="16"/>
      <c r="D69" s="33">
        <v>0.0</v>
      </c>
      <c r="E69" s="34"/>
      <c r="F69" s="30" t="s">
        <v>59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>
      <c r="A70" s="31" t="s">
        <v>76</v>
      </c>
      <c r="B70" s="16"/>
      <c r="C70" s="16"/>
      <c r="D70" s="33">
        <v>0.0</v>
      </c>
      <c r="E70" s="34"/>
      <c r="F70" s="30" t="s">
        <v>59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>
      <c r="A71" s="31" t="s">
        <v>77</v>
      </c>
      <c r="B71" s="16"/>
      <c r="C71" s="16"/>
      <c r="D71" s="33">
        <v>0.0</v>
      </c>
      <c r="E71" s="34"/>
      <c r="F71" s="30" t="s">
        <v>59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>
      <c r="A72" s="31" t="s">
        <v>78</v>
      </c>
      <c r="B72" s="21" t="s">
        <v>79</v>
      </c>
      <c r="C72" s="16"/>
      <c r="D72" s="33">
        <v>0.0</v>
      </c>
      <c r="E72" s="38" t="s">
        <v>80</v>
      </c>
      <c r="F72" s="30" t="s">
        <v>59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>
      <c r="A73" s="31" t="s">
        <v>81</v>
      </c>
      <c r="B73" s="16"/>
      <c r="C73" s="16"/>
      <c r="D73" s="39"/>
      <c r="E73" s="34"/>
      <c r="F73" s="30" t="s">
        <v>59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>
      <c r="A74" s="31" t="s">
        <v>82</v>
      </c>
      <c r="B74" s="16"/>
      <c r="C74" s="16"/>
      <c r="D74" s="33">
        <v>0.0</v>
      </c>
      <c r="E74" s="38" t="s">
        <v>83</v>
      </c>
      <c r="F74" s="30" t="s">
        <v>59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>
      <c r="A75" s="31" t="s">
        <v>84</v>
      </c>
      <c r="B75" s="16"/>
      <c r="C75" s="16"/>
      <c r="D75" s="39"/>
      <c r="E75" s="34"/>
      <c r="F75" s="30" t="s">
        <v>59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>
      <c r="A76" s="31" t="s">
        <v>85</v>
      </c>
      <c r="B76" s="16"/>
      <c r="C76" s="16"/>
      <c r="D76" s="40">
        <v>0.0</v>
      </c>
      <c r="E76" s="34"/>
      <c r="F76" s="30" t="s">
        <v>59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>
      <c r="A77" s="31" t="s">
        <v>86</v>
      </c>
      <c r="B77" s="16"/>
      <c r="C77" s="16"/>
      <c r="D77" s="40">
        <v>0.0</v>
      </c>
      <c r="E77" s="38" t="s">
        <v>68</v>
      </c>
      <c r="F77" s="30" t="s">
        <v>59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>
      <c r="A78" s="31" t="s">
        <v>87</v>
      </c>
      <c r="B78" s="16"/>
      <c r="C78" s="16"/>
      <c r="D78" s="40">
        <v>0.0</v>
      </c>
      <c r="E78" s="38" t="s">
        <v>88</v>
      </c>
      <c r="F78" s="30" t="s">
        <v>59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>
      <c r="A79" s="31" t="s">
        <v>89</v>
      </c>
      <c r="B79" s="16"/>
      <c r="C79" s="16"/>
      <c r="D79" s="41"/>
      <c r="E79" s="34"/>
      <c r="F79" s="30" t="s">
        <v>59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>
      <c r="A80" s="31" t="s">
        <v>90</v>
      </c>
      <c r="B80" s="16"/>
      <c r="C80" s="16"/>
      <c r="D80" s="40">
        <v>0.0</v>
      </c>
      <c r="E80" s="34"/>
      <c r="F80" s="30" t="s">
        <v>59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>
      <c r="A81" s="31" t="s">
        <v>91</v>
      </c>
      <c r="B81" s="16"/>
      <c r="C81" s="16"/>
      <c r="D81" s="40">
        <v>0.0</v>
      </c>
      <c r="E81" s="34"/>
      <c r="F81" s="30" t="s">
        <v>59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>
      <c r="A82" s="31" t="s">
        <v>92</v>
      </c>
      <c r="B82" s="16"/>
      <c r="C82" s="16"/>
      <c r="D82" s="33">
        <v>0.0</v>
      </c>
      <c r="E82" s="34"/>
      <c r="F82" s="30" t="s">
        <v>59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>
      <c r="A83" s="31" t="s">
        <v>93</v>
      </c>
      <c r="B83" s="16"/>
      <c r="C83" s="16"/>
      <c r="D83" s="39"/>
      <c r="E83" s="34"/>
      <c r="F83" s="30" t="s">
        <v>59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>
      <c r="A84" s="31" t="s">
        <v>94</v>
      </c>
      <c r="B84" s="16"/>
      <c r="C84" s="16"/>
      <c r="D84" s="33">
        <v>0.0</v>
      </c>
      <c r="E84" s="34"/>
      <c r="F84" s="30" t="s">
        <v>59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>
      <c r="A85" s="31" t="s">
        <v>95</v>
      </c>
      <c r="B85" s="16"/>
      <c r="C85" s="16"/>
      <c r="D85" s="39"/>
      <c r="E85" s="34"/>
      <c r="F85" s="30" t="s">
        <v>59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>
      <c r="A86" s="31" t="s">
        <v>96</v>
      </c>
      <c r="B86" s="16"/>
      <c r="C86" s="16"/>
      <c r="D86" s="33">
        <v>0.0</v>
      </c>
      <c r="E86" s="34"/>
      <c r="F86" s="30" t="s">
        <v>59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>
      <c r="A87" s="31" t="s">
        <v>97</v>
      </c>
      <c r="B87" s="16"/>
      <c r="C87" s="16"/>
      <c r="D87" s="33">
        <v>0.0</v>
      </c>
      <c r="E87" s="34"/>
      <c r="F87" s="30" t="s">
        <v>59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>
      <c r="A88" s="31" t="s">
        <v>98</v>
      </c>
      <c r="B88" s="42"/>
      <c r="C88" s="42"/>
      <c r="D88" s="43">
        <v>0.0</v>
      </c>
      <c r="E88" s="34"/>
      <c r="F88" s="30" t="s">
        <v>59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>
      <c r="A89" s="31" t="s">
        <v>99</v>
      </c>
      <c r="B89" s="42"/>
      <c r="C89" s="42"/>
      <c r="D89" s="43">
        <v>0.0</v>
      </c>
      <c r="E89" s="34"/>
      <c r="F89" s="30" t="s">
        <v>59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>
      <c r="A90" s="31" t="s">
        <v>100</v>
      </c>
      <c r="B90" s="42"/>
      <c r="C90" s="42"/>
      <c r="D90" s="43">
        <v>0.0</v>
      </c>
      <c r="E90" s="34"/>
      <c r="F90" s="30" t="s">
        <v>59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>
      <c r="A91" s="31" t="s">
        <v>101</v>
      </c>
      <c r="B91" s="42"/>
      <c r="C91" s="44"/>
      <c r="D91" s="43">
        <v>0.0</v>
      </c>
      <c r="E91" s="34"/>
      <c r="F91" s="30" t="s">
        <v>59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>
      <c r="A92" s="31" t="s">
        <v>102</v>
      </c>
      <c r="B92" s="42"/>
      <c r="C92" s="45"/>
      <c r="D92" s="43">
        <v>0.0</v>
      </c>
      <c r="E92" s="34"/>
      <c r="F92" s="30" t="s">
        <v>59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>
      <c r="A93" s="31" t="s">
        <v>103</v>
      </c>
      <c r="B93" s="16"/>
      <c r="C93" s="16"/>
      <c r="D93" s="33">
        <v>0.0</v>
      </c>
      <c r="E93" s="34"/>
      <c r="F93" s="30" t="s">
        <v>59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>
      <c r="A94" s="31" t="s">
        <v>104</v>
      </c>
      <c r="B94" s="42"/>
      <c r="C94" s="45"/>
      <c r="D94" s="43">
        <v>0.0</v>
      </c>
      <c r="E94" s="34"/>
      <c r="F94" s="30" t="s">
        <v>59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>
      <c r="A95" s="31" t="s">
        <v>105</v>
      </c>
      <c r="B95" s="42"/>
      <c r="C95" s="45"/>
      <c r="D95" s="46"/>
      <c r="E95" s="34"/>
      <c r="F95" s="30" t="s">
        <v>59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>
      <c r="A96" s="31" t="s">
        <v>106</v>
      </c>
      <c r="B96" s="16"/>
      <c r="C96" s="16"/>
      <c r="D96" s="33">
        <v>0.0</v>
      </c>
      <c r="E96" s="34"/>
      <c r="F96" s="30" t="s">
        <v>59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>
      <c r="A97" s="31" t="s">
        <v>107</v>
      </c>
      <c r="B97" s="16"/>
      <c r="C97" s="16"/>
      <c r="D97" s="39"/>
      <c r="E97" s="34"/>
      <c r="F97" s="30" t="s">
        <v>59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>
      <c r="A98" s="31" t="s">
        <v>108</v>
      </c>
      <c r="B98" s="16"/>
      <c r="C98" s="16"/>
      <c r="D98" s="33">
        <v>0.0</v>
      </c>
      <c r="E98" s="38" t="s">
        <v>109</v>
      </c>
      <c r="F98" s="30" t="s">
        <v>59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>
      <c r="A99" s="31" t="s">
        <v>110</v>
      </c>
      <c r="B99" s="16"/>
      <c r="C99" s="16"/>
      <c r="D99" s="33">
        <v>0.0</v>
      </c>
      <c r="E99" s="38" t="s">
        <v>111</v>
      </c>
      <c r="F99" s="30" t="s">
        <v>59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>
      <c r="A100" s="31" t="s">
        <v>112</v>
      </c>
      <c r="B100" s="21" t="s">
        <v>113</v>
      </c>
      <c r="C100" s="16"/>
      <c r="D100" s="33">
        <v>0.0</v>
      </c>
      <c r="E100" s="38" t="s">
        <v>114</v>
      </c>
      <c r="F100" s="30" t="s">
        <v>59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>
      <c r="A101" s="31" t="s">
        <v>115</v>
      </c>
      <c r="B101" s="16"/>
      <c r="C101" s="16"/>
      <c r="D101" s="33">
        <v>0.0</v>
      </c>
      <c r="E101" s="38" t="s">
        <v>116</v>
      </c>
      <c r="F101" s="30" t="s">
        <v>59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>
      <c r="A102" s="31" t="s">
        <v>117</v>
      </c>
      <c r="B102" s="16"/>
      <c r="C102" s="16"/>
      <c r="D102" s="33">
        <v>0.0</v>
      </c>
      <c r="E102" s="38" t="s">
        <v>68</v>
      </c>
      <c r="F102" s="30" t="s">
        <v>59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>
      <c r="A103" s="31" t="s">
        <v>118</v>
      </c>
      <c r="B103" s="16"/>
      <c r="C103" s="16"/>
      <c r="D103" s="33">
        <v>0.0</v>
      </c>
      <c r="E103" s="34"/>
      <c r="F103" s="30" t="s">
        <v>59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>
      <c r="A104" s="31" t="s">
        <v>119</v>
      </c>
      <c r="B104" s="16"/>
      <c r="C104" s="16"/>
      <c r="D104" s="33">
        <v>0.0</v>
      </c>
      <c r="E104" s="34"/>
      <c r="F104" s="30" t="s">
        <v>59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>
      <c r="A105" s="31" t="s">
        <v>120</v>
      </c>
      <c r="B105" s="21" t="s">
        <v>121</v>
      </c>
      <c r="C105" s="16"/>
      <c r="D105" s="33">
        <v>0.0</v>
      </c>
      <c r="E105" s="38" t="s">
        <v>122</v>
      </c>
      <c r="F105" s="30" t="s">
        <v>59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>
      <c r="A106" s="31" t="s">
        <v>123</v>
      </c>
      <c r="B106" s="21" t="s">
        <v>124</v>
      </c>
      <c r="C106" s="16"/>
      <c r="D106" s="33">
        <v>0.0</v>
      </c>
      <c r="E106" s="38" t="s">
        <v>125</v>
      </c>
      <c r="F106" s="30" t="s">
        <v>59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>
      <c r="A107" s="31" t="s">
        <v>126</v>
      </c>
      <c r="B107" s="16"/>
      <c r="C107" s="16"/>
      <c r="D107" s="40">
        <v>0.0</v>
      </c>
      <c r="E107" s="34"/>
      <c r="F107" s="30" t="s">
        <v>59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>
      <c r="A108" s="31" t="s">
        <v>127</v>
      </c>
      <c r="B108" s="16"/>
      <c r="C108" s="16"/>
      <c r="D108" s="41"/>
      <c r="E108" s="34"/>
      <c r="F108" s="30" t="s">
        <v>59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>
      <c r="A109" s="31" t="s">
        <v>128</v>
      </c>
      <c r="B109" s="16"/>
      <c r="C109" s="16"/>
      <c r="D109" s="40">
        <v>0.0</v>
      </c>
      <c r="E109" s="34"/>
      <c r="F109" s="30" t="s">
        <v>59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>
      <c r="A110" s="31" t="s">
        <v>129</v>
      </c>
      <c r="B110" s="16"/>
      <c r="C110" s="16"/>
      <c r="D110" s="41"/>
      <c r="E110" s="34"/>
      <c r="F110" s="30" t="s">
        <v>59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>
      <c r="A111" s="31" t="s">
        <v>130</v>
      </c>
      <c r="B111" s="16"/>
      <c r="C111" s="16"/>
      <c r="D111" s="40">
        <v>0.0</v>
      </c>
      <c r="E111" s="34"/>
      <c r="F111" s="30" t="s">
        <v>59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>
      <c r="A112" s="31" t="s">
        <v>131</v>
      </c>
      <c r="B112" s="16"/>
      <c r="C112" s="16"/>
      <c r="D112" s="40">
        <v>0.0</v>
      </c>
      <c r="E112" s="38" t="s">
        <v>132</v>
      </c>
      <c r="F112" s="30" t="s">
        <v>59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>
      <c r="A113" s="31" t="s">
        <v>133</v>
      </c>
      <c r="B113" s="16"/>
      <c r="C113" s="16"/>
      <c r="D113" s="40">
        <v>0.0</v>
      </c>
      <c r="E113" s="38" t="s">
        <v>116</v>
      </c>
      <c r="F113" s="30" t="s">
        <v>59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>
      <c r="A114" s="31" t="s">
        <v>134</v>
      </c>
      <c r="B114" s="21" t="s">
        <v>135</v>
      </c>
      <c r="C114" s="16"/>
      <c r="D114" s="40">
        <v>0.0</v>
      </c>
      <c r="E114" s="38" t="s">
        <v>136</v>
      </c>
      <c r="F114" s="30" t="s">
        <v>59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>
      <c r="A115" s="31" t="s">
        <v>137</v>
      </c>
      <c r="B115" s="16"/>
      <c r="C115" s="16"/>
      <c r="D115" s="41"/>
      <c r="E115" s="34"/>
      <c r="F115" s="30" t="s">
        <v>59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>
      <c r="A116" s="31" t="s">
        <v>138</v>
      </c>
      <c r="B116" s="16"/>
      <c r="C116" s="16"/>
      <c r="D116" s="33">
        <v>0.0</v>
      </c>
      <c r="E116" s="34"/>
      <c r="F116" s="30" t="s">
        <v>59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>
      <c r="A117" s="31" t="s">
        <v>139</v>
      </c>
      <c r="B117" s="16"/>
      <c r="C117" s="16"/>
      <c r="D117" s="33">
        <v>0.0</v>
      </c>
      <c r="E117" s="34"/>
      <c r="F117" s="30" t="s">
        <v>59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>
      <c r="A118" s="31" t="s">
        <v>140</v>
      </c>
      <c r="B118" s="16"/>
      <c r="C118" s="16"/>
      <c r="D118" s="33">
        <v>0.0</v>
      </c>
      <c r="E118" s="47"/>
      <c r="F118" s="30" t="s">
        <v>59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>
      <c r="A119" s="31" t="s">
        <v>141</v>
      </c>
      <c r="B119" s="16"/>
      <c r="C119" s="16"/>
      <c r="D119" s="33">
        <v>0.0</v>
      </c>
      <c r="E119" s="47"/>
      <c r="F119" s="30" t="s">
        <v>59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>
      <c r="A120" s="31" t="s">
        <v>142</v>
      </c>
      <c r="B120" s="21" t="s">
        <v>143</v>
      </c>
      <c r="C120" s="16"/>
      <c r="D120" s="33">
        <v>0.0</v>
      </c>
      <c r="E120" s="48" t="s">
        <v>144</v>
      </c>
      <c r="F120" s="30" t="s">
        <v>59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>
      <c r="A121" s="31" t="s">
        <v>145</v>
      </c>
      <c r="B121" s="21" t="s">
        <v>143</v>
      </c>
      <c r="C121" s="16"/>
      <c r="D121" s="33">
        <v>0.0</v>
      </c>
      <c r="E121" s="48" t="s">
        <v>146</v>
      </c>
      <c r="F121" s="30" t="s">
        <v>59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>
      <c r="A122" s="31" t="s">
        <v>147</v>
      </c>
      <c r="B122" s="21" t="s">
        <v>143</v>
      </c>
      <c r="C122" s="16"/>
      <c r="D122" s="33">
        <v>0.0</v>
      </c>
      <c r="E122" s="49" t="s">
        <v>148</v>
      </c>
      <c r="F122" s="30" t="s">
        <v>59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>
      <c r="A123" s="50" t="s">
        <v>149</v>
      </c>
      <c r="B123" s="51"/>
      <c r="C123" s="16"/>
      <c r="D123" s="36"/>
      <c r="E123" s="52"/>
      <c r="F123" s="53" t="s">
        <v>59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>
      <c r="A124" s="21" t="s">
        <v>150</v>
      </c>
      <c r="B124" s="21" t="s">
        <v>151</v>
      </c>
      <c r="C124" s="16"/>
      <c r="D124" s="36"/>
      <c r="E124" s="52"/>
      <c r="F124" s="53" t="s">
        <v>59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>
      <c r="A125" s="3"/>
      <c r="B125" s="3"/>
      <c r="C125" s="3"/>
      <c r="D125" s="3"/>
      <c r="E125" s="54" t="s">
        <v>152</v>
      </c>
      <c r="F125" s="55" t="s">
        <v>59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>
      <c r="A126" s="3"/>
      <c r="B126" s="3"/>
      <c r="C126" s="3"/>
      <c r="D126" s="3"/>
      <c r="E126" s="54" t="s">
        <v>153</v>
      </c>
      <c r="F126" s="56" t="s">
        <v>59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>
      <c r="A127" s="3"/>
      <c r="B127" s="3"/>
      <c r="C127" s="3"/>
      <c r="D127" s="3"/>
      <c r="E127" s="54" t="s">
        <v>57</v>
      </c>
      <c r="F127" s="55" t="s">
        <v>59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>
      <c r="A129" s="10" t="s">
        <v>154</v>
      </c>
      <c r="B129" s="57"/>
      <c r="C129" s="58"/>
      <c r="D129" s="58"/>
      <c r="E129" s="58"/>
      <c r="F129" s="59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3.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3.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3.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3.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3.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3.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3.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3.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3.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3.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3.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3.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3.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3.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3.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3.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3.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3.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3.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3.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3.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3.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3.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3.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3.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3.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3.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3.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3.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3.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3.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3.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3.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3.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3.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3.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3.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3.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3.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3.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3.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3.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3.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3.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3.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3.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3.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3.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3.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3.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3.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3.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3.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3.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3.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3.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3.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3.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3.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3.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3.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3.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3.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3.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3.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3.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3.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3.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3.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3.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3.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3.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3.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3.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3.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3.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3.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3.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3.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3.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3.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3.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3.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ht="13.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ht="13.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ht="13.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ht="13.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ht="13.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ht="13.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ht="13.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ht="13.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ht="13.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ht="13.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ht="13.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ht="13.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ht="13.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ht="13.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ht="13.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ht="13.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ht="13.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ht="13.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ht="13.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ht="13.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ht="13.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ht="13.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ht="13.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ht="13.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ht="13.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ht="13.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ht="13.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ht="13.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ht="13.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ht="13.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ht="13.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ht="13.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ht="13.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ht="13.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ht="13.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ht="13.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ht="13.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ht="13.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ht="13.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ht="13.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ht="13.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ht="13.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ht="13.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ht="13.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ht="13.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ht="13.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ht="13.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ht="13.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ht="13.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ht="13.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ht="13.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ht="13.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ht="13.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ht="13.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ht="13.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ht="13.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ht="13.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ht="13.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ht="13.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ht="13.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ht="13.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ht="13.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ht="13.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ht="13.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ht="13.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ht="13.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ht="13.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ht="13.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ht="13.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ht="13.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ht="13.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ht="13.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ht="13.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ht="13.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ht="13.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ht="13.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ht="13.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ht="13.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ht="13.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ht="13.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ht="13.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ht="13.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ht="13.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ht="13.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ht="13.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ht="13.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ht="13.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ht="13.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ht="13.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ht="13.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ht="13.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ht="13.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ht="13.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ht="13.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ht="13.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ht="13.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ht="13.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ht="13.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ht="13.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ht="13.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ht="13.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ht="13.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ht="13.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ht="13.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ht="13.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ht="13.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ht="13.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ht="13.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ht="13.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ht="13.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ht="13.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ht="13.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ht="13.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ht="13.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ht="13.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ht="13.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ht="13.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ht="13.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ht="13.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ht="13.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ht="13.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ht="13.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ht="13.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ht="13.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ht="13.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ht="13.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ht="13.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ht="13.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ht="13.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ht="13.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ht="13.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ht="13.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ht="13.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ht="13.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ht="13.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ht="13.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ht="13.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ht="13.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ht="13.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ht="13.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ht="13.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ht="13.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ht="13.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ht="13.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ht="13.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ht="13.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ht="13.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ht="13.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ht="13.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ht="13.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ht="13.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ht="13.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ht="13.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ht="13.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ht="13.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ht="13.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ht="13.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ht="13.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ht="13.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ht="13.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ht="13.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ht="13.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ht="13.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ht="13.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ht="13.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ht="13.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ht="13.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ht="13.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ht="13.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ht="13.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ht="13.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ht="13.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ht="13.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ht="13.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ht="13.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ht="13.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ht="13.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ht="13.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ht="13.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ht="13.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ht="13.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ht="13.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ht="13.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ht="13.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ht="13.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ht="13.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ht="13.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ht="13.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ht="13.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ht="13.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ht="13.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ht="13.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ht="13.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ht="13.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ht="13.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ht="13.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ht="13.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ht="13.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ht="13.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ht="13.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ht="13.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ht="13.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ht="13.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ht="13.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ht="13.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ht="13.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ht="13.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ht="13.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ht="13.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ht="13.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ht="13.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ht="13.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ht="13.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ht="13.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ht="13.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ht="13.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ht="13.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ht="13.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ht="13.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ht="13.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ht="13.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ht="13.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ht="13.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ht="13.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ht="13.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ht="13.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ht="13.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ht="13.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ht="13.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ht="13.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ht="13.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ht="13.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ht="13.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ht="13.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ht="13.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ht="13.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ht="13.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ht="13.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ht="13.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ht="13.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ht="13.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ht="13.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ht="13.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ht="13.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ht="13.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ht="13.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ht="13.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ht="13.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ht="13.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ht="13.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ht="13.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ht="13.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ht="13.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ht="13.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ht="13.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ht="13.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ht="13.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ht="13.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ht="13.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ht="13.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ht="13.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ht="13.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ht="13.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ht="13.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ht="13.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ht="13.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ht="13.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ht="13.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ht="13.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ht="13.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ht="13.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ht="13.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ht="13.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ht="13.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ht="13.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ht="13.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ht="13.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ht="13.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ht="13.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ht="13.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ht="13.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ht="13.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ht="13.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ht="13.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ht="13.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ht="13.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ht="13.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ht="13.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ht="13.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ht="13.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ht="13.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ht="13.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ht="13.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ht="13.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ht="13.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ht="13.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ht="13.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ht="13.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ht="13.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ht="13.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ht="13.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ht="13.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ht="13.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ht="13.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ht="13.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ht="13.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ht="13.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ht="13.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ht="13.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ht="13.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ht="13.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ht="13.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ht="13.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ht="13.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ht="13.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ht="13.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ht="13.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ht="13.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ht="13.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ht="13.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ht="13.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ht="13.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ht="13.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ht="13.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ht="13.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ht="13.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ht="13.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ht="13.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ht="13.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ht="13.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ht="13.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ht="13.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ht="13.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ht="13.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ht="13.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ht="13.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ht="13.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ht="13.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ht="13.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ht="13.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ht="13.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ht="13.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ht="13.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ht="13.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ht="13.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ht="13.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ht="13.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ht="13.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ht="13.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ht="13.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ht="13.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ht="13.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ht="13.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ht="13.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ht="13.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ht="13.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ht="13.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ht="13.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ht="13.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ht="13.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ht="13.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ht="13.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ht="13.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ht="13.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ht="13.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ht="13.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ht="13.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ht="13.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ht="13.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ht="13.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ht="13.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ht="13.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ht="13.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ht="13.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ht="13.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ht="13.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ht="13.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ht="13.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ht="13.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ht="13.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ht="13.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ht="13.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ht="13.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ht="13.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ht="13.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ht="13.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ht="13.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ht="13.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ht="13.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ht="13.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ht="13.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ht="13.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ht="13.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ht="13.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ht="13.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ht="13.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ht="13.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ht="13.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ht="13.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ht="13.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ht="13.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ht="13.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ht="13.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ht="13.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ht="13.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ht="13.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ht="13.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ht="13.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ht="13.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ht="13.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ht="13.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ht="13.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ht="13.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ht="13.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ht="13.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ht="13.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ht="13.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ht="13.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ht="13.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ht="13.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ht="13.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ht="13.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ht="13.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ht="13.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ht="13.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ht="13.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ht="13.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ht="13.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ht="13.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ht="13.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ht="13.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ht="13.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ht="13.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ht="13.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ht="13.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ht="13.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ht="13.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ht="13.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ht="13.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ht="13.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ht="13.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ht="13.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ht="13.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ht="13.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ht="13.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ht="13.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ht="13.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ht="13.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ht="13.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ht="13.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ht="13.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ht="13.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ht="13.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ht="13.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ht="13.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ht="13.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ht="13.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ht="13.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ht="13.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ht="13.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ht="13.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ht="13.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ht="13.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ht="13.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ht="13.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ht="13.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ht="13.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ht="13.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ht="13.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ht="13.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ht="13.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ht="13.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ht="13.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ht="13.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ht="13.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ht="13.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ht="13.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ht="13.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ht="13.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ht="13.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ht="13.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ht="13.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ht="13.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ht="13.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ht="13.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ht="13.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ht="13.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ht="13.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ht="13.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ht="13.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ht="13.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ht="13.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ht="13.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ht="13.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ht="13.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ht="13.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ht="13.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ht="13.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ht="13.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ht="13.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ht="13.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ht="13.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ht="13.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ht="13.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ht="13.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ht="13.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ht="13.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ht="13.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ht="13.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ht="13.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ht="13.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ht="13.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ht="13.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ht="13.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ht="13.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ht="13.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ht="13.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ht="13.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ht="13.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ht="13.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ht="13.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ht="13.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ht="13.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ht="13.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ht="13.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ht="13.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ht="13.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ht="13.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ht="13.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ht="13.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ht="13.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ht="13.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ht="13.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ht="13.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ht="13.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ht="13.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ht="13.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ht="13.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ht="13.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ht="13.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ht="13.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ht="13.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ht="13.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ht="13.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ht="13.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ht="13.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ht="13.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ht="13.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ht="13.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ht="13.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ht="13.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ht="13.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ht="13.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ht="13.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ht="13.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ht="13.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ht="13.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ht="13.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ht="13.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ht="13.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ht="13.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ht="13.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ht="13.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ht="13.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ht="13.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ht="13.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ht="13.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ht="13.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ht="13.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ht="13.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ht="13.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ht="13.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ht="13.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ht="13.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ht="13.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ht="13.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ht="13.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ht="13.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ht="13.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ht="13.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ht="13.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ht="13.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ht="13.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ht="13.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ht="13.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ht="13.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ht="13.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ht="13.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ht="13.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ht="13.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ht="13.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ht="13.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ht="13.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ht="13.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ht="13.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ht="13.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ht="13.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ht="13.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ht="13.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ht="13.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ht="13.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ht="13.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ht="13.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ht="13.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ht="13.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ht="13.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ht="13.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ht="13.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ht="13.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ht="13.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ht="13.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ht="13.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ht="13.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ht="13.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ht="13.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ht="13.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ht="13.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ht="13.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ht="13.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ht="13.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ht="13.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ht="13.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ht="13.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ht="13.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ht="13.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ht="13.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ht="13.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ht="13.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ht="13.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ht="13.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ht="13.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ht="13.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ht="13.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ht="13.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ht="13.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ht="13.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ht="13.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ht="13.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ht="13.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ht="13.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ht="13.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ht="13.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ht="13.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ht="13.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ht="13.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ht="13.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ht="13.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ht="13.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ht="13.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ht="13.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ht="13.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ht="13.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ht="13.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ht="13.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ht="13.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ht="13.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ht="13.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ht="13.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ht="13.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ht="13.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ht="13.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ht="13.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ht="13.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ht="13.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ht="13.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ht="13.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ht="13.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ht="13.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ht="13.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ht="13.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ht="13.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ht="13.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ht="13.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ht="13.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ht="13.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  <row r="1001" ht="13.5" customHeight="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</row>
    <row r="1002" ht="13.5" customHeight="1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</row>
    <row r="1003" ht="13.5" customHeight="1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</row>
    <row r="1004" ht="13.5" customHeight="1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</row>
    <row r="1005" ht="13.5" customHeight="1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</row>
    <row r="1006" ht="13.5" customHeight="1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</row>
    <row r="1007" ht="13.5" customHeight="1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</row>
    <row r="1008" ht="13.5" customHeight="1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</row>
    <row r="1009" ht="13.5" customHeight="1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  <c r="Z1009" s="60"/>
    </row>
    <row r="1010" ht="13.5" customHeight="1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  <c r="Z1010" s="60"/>
    </row>
    <row r="1011" ht="13.5" customHeight="1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60"/>
      <c r="S1011" s="60"/>
      <c r="T1011" s="60"/>
      <c r="U1011" s="60"/>
      <c r="V1011" s="60"/>
      <c r="W1011" s="60"/>
      <c r="X1011" s="60"/>
      <c r="Y1011" s="60"/>
      <c r="Z1011" s="60"/>
    </row>
    <row r="1012" ht="13.5" customHeight="1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</row>
    <row r="1013" ht="13.5" customHeight="1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60"/>
      <c r="S1013" s="60"/>
      <c r="T1013" s="60"/>
      <c r="U1013" s="60"/>
      <c r="V1013" s="60"/>
      <c r="W1013" s="60"/>
      <c r="X1013" s="60"/>
      <c r="Y1013" s="60"/>
      <c r="Z1013" s="60"/>
    </row>
    <row r="1014" ht="13.5" customHeight="1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</row>
    <row r="1015" ht="13.5" customHeight="1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60"/>
      <c r="S1015" s="60"/>
      <c r="T1015" s="60"/>
      <c r="U1015" s="60"/>
      <c r="V1015" s="60"/>
      <c r="W1015" s="60"/>
      <c r="X1015" s="60"/>
      <c r="Y1015" s="60"/>
      <c r="Z1015" s="60"/>
    </row>
    <row r="1016" ht="13.5" customHeight="1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60"/>
      <c r="S1016" s="60"/>
      <c r="T1016" s="60"/>
      <c r="U1016" s="60"/>
      <c r="V1016" s="60"/>
      <c r="W1016" s="60"/>
      <c r="X1016" s="60"/>
      <c r="Y1016" s="60"/>
      <c r="Z1016" s="60"/>
    </row>
  </sheetData>
  <mergeCells count="2">
    <mergeCell ref="A1:B1"/>
    <mergeCell ref="B129:F129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14"/>
    <col customWidth="1" min="2" max="2" width="10.71"/>
    <col customWidth="1" min="3" max="3" width="30.14"/>
    <col customWidth="1" min="4" max="11" width="10.71"/>
  </cols>
  <sheetData>
    <row r="1">
      <c r="A1" s="61" t="s">
        <v>5</v>
      </c>
      <c r="B1" s="61"/>
      <c r="C1" s="62"/>
      <c r="D1" s="62"/>
      <c r="E1" s="62"/>
      <c r="F1" s="62"/>
      <c r="G1" s="63"/>
      <c r="H1" s="62"/>
    </row>
    <row r="2">
      <c r="A2" s="64" t="s">
        <v>155</v>
      </c>
      <c r="B2" s="61"/>
      <c r="C2" s="62"/>
      <c r="D2" s="63"/>
      <c r="E2" s="63"/>
      <c r="F2" s="63"/>
      <c r="G2" s="63"/>
      <c r="H2" s="62"/>
    </row>
    <row r="3">
      <c r="A3" s="64" t="s">
        <v>156</v>
      </c>
      <c r="B3" s="61"/>
      <c r="C3" s="65" t="s">
        <v>157</v>
      </c>
      <c r="D3" s="63"/>
      <c r="E3" s="63"/>
      <c r="F3" s="63"/>
      <c r="G3" s="63"/>
      <c r="H3" s="62"/>
    </row>
    <row r="4">
      <c r="A4" s="64" t="s">
        <v>158</v>
      </c>
      <c r="B4" s="61"/>
      <c r="C4" s="62" t="s">
        <v>159</v>
      </c>
      <c r="D4" s="63"/>
      <c r="E4" s="63"/>
      <c r="F4" s="63"/>
      <c r="G4" s="63"/>
      <c r="H4" s="62"/>
    </row>
    <row r="5">
      <c r="A5" s="64" t="s">
        <v>160</v>
      </c>
      <c r="B5" s="61"/>
      <c r="C5" s="66" t="s">
        <v>159</v>
      </c>
      <c r="D5" s="67"/>
      <c r="E5" s="67"/>
      <c r="F5" s="67"/>
      <c r="G5" s="62"/>
      <c r="H5" s="62"/>
    </row>
    <row r="6">
      <c r="A6" s="68" t="s">
        <v>161</v>
      </c>
      <c r="B6" s="69" t="s">
        <v>162</v>
      </c>
      <c r="C6" s="69"/>
      <c r="D6" s="70"/>
      <c r="E6" s="70"/>
      <c r="F6" s="70"/>
      <c r="G6" s="70"/>
      <c r="H6" s="70"/>
    </row>
    <row r="8">
      <c r="A8" s="71" t="s">
        <v>163</v>
      </c>
      <c r="B8" s="71" t="s">
        <v>164</v>
      </c>
      <c r="C8" s="71" t="s">
        <v>165</v>
      </c>
      <c r="D8" s="71" t="s">
        <v>166</v>
      </c>
      <c r="E8" s="72" t="s">
        <v>167</v>
      </c>
      <c r="F8" s="72" t="s">
        <v>168</v>
      </c>
      <c r="G8" s="72" t="s">
        <v>169</v>
      </c>
      <c r="H8" s="72" t="s">
        <v>170</v>
      </c>
      <c r="I8" s="72" t="s">
        <v>171</v>
      </c>
      <c r="J8" s="72" t="s">
        <v>172</v>
      </c>
      <c r="K8" s="72" t="s">
        <v>173</v>
      </c>
    </row>
    <row r="9">
      <c r="A9" s="73" t="s">
        <v>174</v>
      </c>
      <c r="B9" s="74">
        <v>3.145611001E9</v>
      </c>
      <c r="C9" s="75" t="s">
        <v>175</v>
      </c>
      <c r="D9" s="76">
        <v>450.0</v>
      </c>
      <c r="E9" s="77">
        <v>60.0</v>
      </c>
      <c r="F9" s="76"/>
      <c r="G9" s="78">
        <f t="shared" ref="G9:G12" si="1">F9/D9</f>
        <v>0</v>
      </c>
      <c r="H9" s="78" t="str">
        <f t="shared" ref="H9:H12" si="2">(360/E9)*'[1]BIOMETRIA HEMATICA'!$B$10</f>
        <v>#REF!</v>
      </c>
      <c r="I9" s="78"/>
      <c r="J9" s="79" t="s">
        <v>176</v>
      </c>
      <c r="K9" s="79"/>
    </row>
    <row r="10">
      <c r="A10" s="80"/>
      <c r="B10" s="74">
        <v>1.2216540001E10</v>
      </c>
      <c r="C10" s="75" t="s">
        <v>177</v>
      </c>
      <c r="D10" s="76">
        <v>450.0</v>
      </c>
      <c r="E10" s="77">
        <v>60.0</v>
      </c>
      <c r="F10" s="76"/>
      <c r="G10" s="78">
        <f t="shared" si="1"/>
        <v>0</v>
      </c>
      <c r="H10" s="78" t="str">
        <f t="shared" si="2"/>
        <v>#REF!</v>
      </c>
      <c r="I10" s="78"/>
      <c r="J10" s="79" t="s">
        <v>176</v>
      </c>
      <c r="K10" s="79"/>
    </row>
    <row r="11">
      <c r="A11" s="80"/>
      <c r="B11" s="74">
        <v>3.134466001E9</v>
      </c>
      <c r="C11" s="75" t="s">
        <v>178</v>
      </c>
      <c r="D11" s="76">
        <f>(((F9/30)/12)*E11)</f>
        <v>0</v>
      </c>
      <c r="E11" s="81">
        <v>85.0</v>
      </c>
      <c r="F11" s="82"/>
      <c r="G11" s="83" t="str">
        <f t="shared" si="1"/>
        <v>#DIV/0!</v>
      </c>
      <c r="H11" s="78" t="str">
        <f t="shared" si="2"/>
        <v>#REF!</v>
      </c>
      <c r="I11" s="83"/>
      <c r="J11" s="79" t="s">
        <v>179</v>
      </c>
      <c r="K11" s="79"/>
    </row>
    <row r="12">
      <c r="A12" s="84"/>
      <c r="B12" s="74">
        <v>3.11335318E9</v>
      </c>
      <c r="C12" s="75" t="s">
        <v>180</v>
      </c>
      <c r="D12" s="76">
        <v>900.0</v>
      </c>
      <c r="E12" s="77">
        <v>365.0</v>
      </c>
      <c r="F12" s="76"/>
      <c r="G12" s="78">
        <f t="shared" si="1"/>
        <v>0</v>
      </c>
      <c r="H12" s="78" t="str">
        <f t="shared" si="2"/>
        <v>#REF!</v>
      </c>
      <c r="I12" s="78"/>
      <c r="J12" s="79" t="s">
        <v>181</v>
      </c>
      <c r="K12" s="79"/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A9:A1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10.71"/>
    <col customWidth="1" min="3" max="3" width="26.29"/>
    <col customWidth="1" min="4" max="12" width="10.71"/>
  </cols>
  <sheetData>
    <row r="1" ht="18.75" customHeight="1">
      <c r="A1" s="61" t="s">
        <v>5</v>
      </c>
      <c r="B1" s="61"/>
      <c r="C1" s="62"/>
      <c r="D1" s="62"/>
      <c r="E1" s="62"/>
      <c r="F1" s="62"/>
      <c r="G1" s="63"/>
      <c r="H1" s="63"/>
      <c r="I1" s="62"/>
      <c r="J1" s="62"/>
    </row>
    <row r="2" ht="18.75" customHeight="1">
      <c r="A2" s="64" t="s">
        <v>155</v>
      </c>
      <c r="B2" s="61"/>
      <c r="C2" s="62"/>
      <c r="D2" s="63"/>
      <c r="E2" s="63"/>
      <c r="F2" s="63"/>
      <c r="G2" s="63"/>
      <c r="H2" s="63"/>
      <c r="I2" s="62"/>
      <c r="J2" s="62"/>
    </row>
    <row r="3" ht="18.75" customHeight="1">
      <c r="A3" s="64" t="s">
        <v>156</v>
      </c>
      <c r="C3" s="65" t="s">
        <v>157</v>
      </c>
      <c r="D3" s="63"/>
      <c r="E3" s="63"/>
      <c r="F3" s="63"/>
      <c r="G3" s="63"/>
      <c r="H3" s="63"/>
      <c r="I3" s="62"/>
      <c r="J3" s="62"/>
    </row>
    <row r="4" ht="18.75" customHeight="1">
      <c r="A4" s="64" t="s">
        <v>158</v>
      </c>
      <c r="B4" s="61"/>
      <c r="C4" s="65" t="s">
        <v>159</v>
      </c>
      <c r="D4" s="63"/>
      <c r="E4" s="63"/>
      <c r="F4" s="63"/>
      <c r="G4" s="63"/>
      <c r="H4" s="63"/>
      <c r="I4" s="62"/>
      <c r="J4" s="62"/>
    </row>
    <row r="5" ht="18.75" customHeight="1">
      <c r="A5" s="64" t="s">
        <v>160</v>
      </c>
      <c r="B5" s="61"/>
      <c r="C5" s="65" t="s">
        <v>159</v>
      </c>
      <c r="D5" s="67"/>
      <c r="E5" s="67"/>
      <c r="F5" s="67"/>
      <c r="G5" s="62"/>
      <c r="H5" s="63"/>
      <c r="I5" s="62"/>
      <c r="J5" s="62"/>
    </row>
    <row r="6" ht="18.75" customHeight="1">
      <c r="A6" s="68" t="s">
        <v>161</v>
      </c>
      <c r="B6" s="69" t="s">
        <v>182</v>
      </c>
      <c r="C6" s="69" t="s">
        <v>183</v>
      </c>
      <c r="D6" s="70"/>
      <c r="E6" s="70"/>
      <c r="F6" s="70"/>
      <c r="G6" s="70"/>
      <c r="H6" s="85"/>
      <c r="I6" s="70"/>
      <c r="J6" s="70"/>
    </row>
    <row r="7" ht="18.75" customHeight="1"/>
    <row r="8" ht="24.0" customHeight="1">
      <c r="A8" s="86" t="s">
        <v>163</v>
      </c>
      <c r="B8" s="86" t="s">
        <v>164</v>
      </c>
      <c r="C8" s="86" t="s">
        <v>165</v>
      </c>
      <c r="D8" s="86" t="s">
        <v>166</v>
      </c>
      <c r="E8" s="87" t="s">
        <v>167</v>
      </c>
      <c r="F8" s="87" t="s">
        <v>168</v>
      </c>
      <c r="G8" s="87" t="s">
        <v>169</v>
      </c>
      <c r="H8" s="87" t="s">
        <v>170</v>
      </c>
      <c r="I8" s="87" t="s">
        <v>171</v>
      </c>
      <c r="J8" s="88" t="s">
        <v>171</v>
      </c>
      <c r="K8" s="88" t="s">
        <v>172</v>
      </c>
      <c r="L8" s="89" t="s">
        <v>173</v>
      </c>
    </row>
    <row r="9" ht="18.75" customHeight="1">
      <c r="A9" s="90" t="s">
        <v>174</v>
      </c>
      <c r="B9" s="91">
        <v>6.510167001E9</v>
      </c>
      <c r="C9" s="91" t="s">
        <v>184</v>
      </c>
      <c r="D9" s="92">
        <v>450.0</v>
      </c>
      <c r="E9" s="92">
        <v>60.0</v>
      </c>
      <c r="F9" s="92" t="str">
        <f t="shared" ref="F9:F15" si="1">'[1]BIOMETRIA HEMATICA'!$B$2</f>
        <v>#REF!</v>
      </c>
      <c r="G9" s="92" t="str">
        <f t="shared" ref="G9:G18" si="2">F9/D9</f>
        <v>#REF!</v>
      </c>
      <c r="H9" s="92" t="str">
        <f t="shared" ref="H9:H18" si="3">(360/E9)*'[1]BIOMETRIA HEMATICA'!$B$10</f>
        <v>#REF!</v>
      </c>
      <c r="I9" s="79"/>
      <c r="J9" s="93"/>
      <c r="K9" s="93" t="s">
        <v>185</v>
      </c>
      <c r="L9" s="93"/>
    </row>
    <row r="10" ht="18.75" customHeight="1">
      <c r="A10" s="80"/>
      <c r="B10" s="91">
        <v>3.337006001E9</v>
      </c>
      <c r="C10" s="91" t="s">
        <v>186</v>
      </c>
      <c r="D10" s="92">
        <v>9450.0</v>
      </c>
      <c r="E10" s="92">
        <v>60.0</v>
      </c>
      <c r="F10" s="92" t="str">
        <f t="shared" si="1"/>
        <v>#REF!</v>
      </c>
      <c r="G10" s="92" t="str">
        <f t="shared" si="2"/>
        <v>#REF!</v>
      </c>
      <c r="H10" s="92" t="str">
        <f t="shared" si="3"/>
        <v>#REF!</v>
      </c>
      <c r="I10" s="79"/>
      <c r="J10" s="79"/>
      <c r="K10" s="79" t="s">
        <v>176</v>
      </c>
      <c r="L10" s="79"/>
    </row>
    <row r="11" ht="18.75" customHeight="1">
      <c r="A11" s="80"/>
      <c r="B11" s="94">
        <v>1.2215616001E10</v>
      </c>
      <c r="C11" s="95" t="s">
        <v>187</v>
      </c>
      <c r="D11" s="92">
        <v>850.0</v>
      </c>
      <c r="E11" s="92">
        <v>60.0</v>
      </c>
      <c r="F11" s="92" t="str">
        <f t="shared" si="1"/>
        <v>#REF!</v>
      </c>
      <c r="G11" s="92" t="str">
        <f t="shared" si="2"/>
        <v>#REF!</v>
      </c>
      <c r="H11" s="92" t="str">
        <f t="shared" si="3"/>
        <v>#REF!</v>
      </c>
      <c r="I11" s="79"/>
      <c r="J11" s="79"/>
      <c r="K11" s="79" t="s">
        <v>176</v>
      </c>
      <c r="L11" s="79"/>
    </row>
    <row r="12" ht="18.75" customHeight="1">
      <c r="A12" s="80"/>
      <c r="B12" s="91">
        <v>7.837984001E9</v>
      </c>
      <c r="C12" s="91" t="s">
        <v>188</v>
      </c>
      <c r="D12" s="92">
        <v>2450.0</v>
      </c>
      <c r="E12" s="92">
        <v>90.0</v>
      </c>
      <c r="F12" s="92" t="str">
        <f t="shared" si="1"/>
        <v>#REF!</v>
      </c>
      <c r="G12" s="92" t="str">
        <f t="shared" si="2"/>
        <v>#REF!</v>
      </c>
      <c r="H12" s="92" t="str">
        <f t="shared" si="3"/>
        <v>#REF!</v>
      </c>
      <c r="I12" s="79"/>
      <c r="J12" s="79"/>
      <c r="K12" s="79" t="s">
        <v>189</v>
      </c>
      <c r="L12" s="79"/>
    </row>
    <row r="13" ht="18.75" customHeight="1">
      <c r="A13" s="80"/>
      <c r="B13" s="91">
        <v>6.510256001E9</v>
      </c>
      <c r="C13" s="91" t="s">
        <v>190</v>
      </c>
      <c r="D13" s="92">
        <v>3400.0</v>
      </c>
      <c r="E13" s="92">
        <v>180.0</v>
      </c>
      <c r="F13" s="92" t="str">
        <f t="shared" si="1"/>
        <v>#REF!</v>
      </c>
      <c r="G13" s="92" t="str">
        <f t="shared" si="2"/>
        <v>#REF!</v>
      </c>
      <c r="H13" s="92" t="str">
        <f t="shared" si="3"/>
        <v>#REF!</v>
      </c>
      <c r="I13" s="79"/>
      <c r="J13" s="79"/>
      <c r="K13" s="79" t="s">
        <v>191</v>
      </c>
      <c r="L13" s="79"/>
    </row>
    <row r="14" ht="18.75" customHeight="1">
      <c r="A14" s="80"/>
      <c r="B14" s="91">
        <v>6.952291001E9</v>
      </c>
      <c r="C14" s="91" t="s">
        <v>192</v>
      </c>
      <c r="D14" s="92" t="str">
        <f>(((F9/30)/12)*E14)</f>
        <v>#REF!</v>
      </c>
      <c r="E14" s="92">
        <v>150.0</v>
      </c>
      <c r="F14" s="92" t="str">
        <f t="shared" si="1"/>
        <v>#REF!</v>
      </c>
      <c r="G14" s="92" t="str">
        <f t="shared" si="2"/>
        <v>#REF!</v>
      </c>
      <c r="H14" s="92" t="str">
        <f t="shared" si="3"/>
        <v>#REF!</v>
      </c>
      <c r="I14" s="79"/>
      <c r="J14" s="92"/>
      <c r="K14" s="92" t="s">
        <v>191</v>
      </c>
      <c r="L14" s="92"/>
    </row>
    <row r="15" ht="18.75" customHeight="1">
      <c r="A15" s="84"/>
      <c r="B15" s="96">
        <v>7.051506001E9</v>
      </c>
      <c r="C15" s="91" t="s">
        <v>193</v>
      </c>
      <c r="D15" s="92" t="str">
        <f>(((F9/30)/12)*E15)</f>
        <v>#REF!</v>
      </c>
      <c r="E15" s="92">
        <v>56.0</v>
      </c>
      <c r="F15" s="92" t="str">
        <f t="shared" si="1"/>
        <v>#REF!</v>
      </c>
      <c r="G15" s="92" t="str">
        <f t="shared" si="2"/>
        <v>#REF!</v>
      </c>
      <c r="H15" s="92" t="str">
        <f t="shared" si="3"/>
        <v>#REF!</v>
      </c>
      <c r="I15" s="79"/>
      <c r="J15" s="92"/>
      <c r="K15" s="92" t="s">
        <v>189</v>
      </c>
      <c r="L15" s="92"/>
    </row>
    <row r="16" ht="18.75" customHeight="1">
      <c r="A16" s="97" t="s">
        <v>194</v>
      </c>
      <c r="B16" s="98">
        <v>6.510272001E9</v>
      </c>
      <c r="C16" s="99" t="s">
        <v>195</v>
      </c>
      <c r="D16" s="100">
        <v>650.0</v>
      </c>
      <c r="E16" s="100">
        <v>180.0</v>
      </c>
      <c r="F16" s="100" t="str">
        <f t="shared" ref="F16:F17" si="4">'[1]BIOMETRIA HEMATICA'!$D$2</f>
        <v>#REF!</v>
      </c>
      <c r="G16" s="100" t="str">
        <f t="shared" si="2"/>
        <v>#REF!</v>
      </c>
      <c r="H16" s="100" t="str">
        <f t="shared" si="3"/>
        <v>#REF!</v>
      </c>
      <c r="I16" s="101"/>
      <c r="J16" s="101"/>
      <c r="K16" s="101" t="s">
        <v>191</v>
      </c>
      <c r="L16" s="101"/>
    </row>
    <row r="17" ht="18.75" customHeight="1">
      <c r="A17" s="84"/>
      <c r="B17" s="98">
        <v>9.426752001E9</v>
      </c>
      <c r="C17" s="99" t="s">
        <v>196</v>
      </c>
      <c r="D17" s="100">
        <v>450.0</v>
      </c>
      <c r="E17" s="100">
        <v>60.0</v>
      </c>
      <c r="F17" s="100" t="str">
        <f t="shared" si="4"/>
        <v>#REF!</v>
      </c>
      <c r="G17" s="100" t="str">
        <f t="shared" si="2"/>
        <v>#REF!</v>
      </c>
      <c r="H17" s="100" t="str">
        <f t="shared" si="3"/>
        <v>#REF!</v>
      </c>
      <c r="I17" s="101"/>
      <c r="J17" s="102"/>
      <c r="K17" s="102" t="s">
        <v>197</v>
      </c>
      <c r="L17" s="102"/>
    </row>
    <row r="18" ht="18.75" customHeight="1">
      <c r="A18" s="103" t="s">
        <v>198</v>
      </c>
      <c r="B18" s="104">
        <v>7.051409001E9</v>
      </c>
      <c r="C18" s="104" t="s">
        <v>199</v>
      </c>
      <c r="D18" s="105" t="str">
        <f>(((F9/30)/12)*E18)</f>
        <v>#REF!</v>
      </c>
      <c r="E18" s="105">
        <v>56.0</v>
      </c>
      <c r="F18" s="105" t="str">
        <f>'[1]BIOMETRIA HEMATICA'!$H$2</f>
        <v>#REF!</v>
      </c>
      <c r="G18" s="105" t="str">
        <f t="shared" si="2"/>
        <v>#REF!</v>
      </c>
      <c r="H18" s="105" t="str">
        <f t="shared" si="3"/>
        <v>#REF!</v>
      </c>
      <c r="I18" s="106"/>
      <c r="J18" s="107"/>
      <c r="K18" s="107" t="s">
        <v>191</v>
      </c>
      <c r="L18" s="108"/>
    </row>
    <row r="19" ht="18.75" customHeight="1"/>
    <row r="20" ht="18.75" customHeight="1"/>
    <row r="21" ht="18.75" customHeight="1"/>
    <row r="22" ht="18.75" customHeight="1"/>
    <row r="23" ht="18.75" customHeight="1"/>
    <row r="24" ht="18.75" customHeight="1"/>
    <row r="25" ht="18.75" customHeight="1"/>
    <row r="26" ht="18.75" customHeight="1"/>
    <row r="27" ht="18.75" customHeight="1"/>
    <row r="28" ht="18.75" customHeight="1"/>
    <row r="29" ht="18.75" customHeight="1"/>
    <row r="30" ht="18.75" customHeight="1"/>
    <row r="31" ht="18.75" customHeight="1"/>
    <row r="32" ht="18.75" customHeight="1"/>
    <row r="33" ht="18.75" customHeight="1"/>
    <row r="34" ht="18.75" customHeight="1"/>
    <row r="35" ht="18.75" customHeight="1"/>
    <row r="36" ht="18.75" customHeight="1"/>
    <row r="37" ht="18.75" customHeight="1"/>
    <row r="38" ht="18.75" customHeight="1"/>
    <row r="39" ht="18.75" customHeight="1"/>
    <row r="40" ht="18.75" customHeight="1"/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  <row r="49" ht="18.75" customHeight="1"/>
    <row r="50" ht="18.75" customHeight="1"/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/>
    <row r="60" ht="18.75" customHeight="1"/>
    <row r="61" ht="18.75" customHeight="1"/>
    <row r="62" ht="18.75" customHeight="1"/>
    <row r="63" ht="18.75" customHeight="1"/>
    <row r="64" ht="18.75" customHeight="1"/>
    <row r="65" ht="18.75" customHeight="1"/>
    <row r="66" ht="18.75" customHeight="1"/>
    <row r="67" ht="18.75" customHeight="1"/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2">
    <mergeCell ref="A9:A15"/>
    <mergeCell ref="A16:A17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10.71"/>
    <col customWidth="1" min="3" max="3" width="26.29"/>
    <col customWidth="1" min="4" max="11" width="10.71"/>
  </cols>
  <sheetData>
    <row r="1" ht="18.75" customHeight="1">
      <c r="A1" s="61" t="s">
        <v>5</v>
      </c>
      <c r="B1" s="61"/>
      <c r="C1" s="62"/>
      <c r="D1" s="62"/>
      <c r="E1" s="62"/>
      <c r="F1" s="62"/>
      <c r="G1" s="63"/>
      <c r="H1" s="63"/>
      <c r="I1" s="62"/>
    </row>
    <row r="2" ht="18.75" customHeight="1">
      <c r="A2" s="64" t="s">
        <v>155</v>
      </c>
      <c r="B2" s="61"/>
      <c r="C2" s="62"/>
      <c r="D2" s="63"/>
      <c r="E2" s="63"/>
      <c r="F2" s="63"/>
      <c r="G2" s="63"/>
      <c r="H2" s="63"/>
      <c r="I2" s="62"/>
    </row>
    <row r="3" ht="18.75" customHeight="1">
      <c r="A3" s="64" t="s">
        <v>156</v>
      </c>
      <c r="C3" s="65" t="s">
        <v>157</v>
      </c>
      <c r="D3" s="63"/>
      <c r="E3" s="63"/>
      <c r="F3" s="63"/>
      <c r="G3" s="63"/>
      <c r="H3" s="63"/>
      <c r="I3" s="62"/>
    </row>
    <row r="4" ht="18.75" customHeight="1">
      <c r="A4" s="64" t="s">
        <v>158</v>
      </c>
      <c r="B4" s="61"/>
      <c r="C4" s="65" t="s">
        <v>159</v>
      </c>
      <c r="D4" s="63"/>
      <c r="E4" s="63"/>
      <c r="F4" s="63"/>
      <c r="G4" s="63"/>
      <c r="H4" s="63"/>
      <c r="I4" s="62"/>
    </row>
    <row r="5" ht="18.75" customHeight="1">
      <c r="A5" s="64" t="s">
        <v>160</v>
      </c>
      <c r="B5" s="61"/>
      <c r="C5" s="65" t="s">
        <v>159</v>
      </c>
      <c r="D5" s="67"/>
      <c r="E5" s="67"/>
      <c r="F5" s="67"/>
      <c r="G5" s="62"/>
      <c r="H5" s="63"/>
      <c r="I5" s="62"/>
    </row>
    <row r="6" ht="18.75" customHeight="1">
      <c r="A6" s="68" t="s">
        <v>161</v>
      </c>
      <c r="B6" s="69" t="s">
        <v>200</v>
      </c>
      <c r="C6" s="69">
        <v>1000.0</v>
      </c>
      <c r="D6" s="70"/>
      <c r="E6" s="70"/>
      <c r="F6" s="70"/>
      <c r="G6" s="70"/>
      <c r="H6" s="85"/>
      <c r="I6" s="70"/>
    </row>
    <row r="7" ht="18.75" customHeight="1"/>
    <row r="8" ht="24.0" customHeight="1">
      <c r="A8" s="86" t="s">
        <v>163</v>
      </c>
      <c r="B8" s="86" t="s">
        <v>164</v>
      </c>
      <c r="C8" s="86" t="s">
        <v>165</v>
      </c>
      <c r="D8" s="86" t="s">
        <v>166</v>
      </c>
      <c r="E8" s="87" t="s">
        <v>167</v>
      </c>
      <c r="F8" s="87" t="s">
        <v>168</v>
      </c>
      <c r="G8" s="87" t="s">
        <v>169</v>
      </c>
      <c r="H8" s="87" t="s">
        <v>170</v>
      </c>
      <c r="I8" s="87" t="s">
        <v>171</v>
      </c>
      <c r="J8" s="88" t="s">
        <v>172</v>
      </c>
      <c r="K8" s="89" t="s">
        <v>173</v>
      </c>
    </row>
    <row r="9" ht="18.75" customHeight="1">
      <c r="A9" s="90" t="s">
        <v>174</v>
      </c>
      <c r="B9" s="91">
        <v>6.510167001E9</v>
      </c>
      <c r="C9" s="91" t="s">
        <v>184</v>
      </c>
      <c r="D9" s="92">
        <v>450.0</v>
      </c>
      <c r="E9" s="92">
        <v>60.0</v>
      </c>
      <c r="F9" s="92"/>
      <c r="G9" s="92">
        <f t="shared" ref="G9:G22" si="1">F9/D9</f>
        <v>0</v>
      </c>
      <c r="H9" s="92" t="str">
        <f t="shared" ref="H9:H22" si="2">(360/E9)*'[1]BIOMETRIA HEMATICA'!$B$10</f>
        <v>#REF!</v>
      </c>
      <c r="I9" s="79"/>
      <c r="J9" s="93" t="s">
        <v>191</v>
      </c>
      <c r="K9" s="93"/>
    </row>
    <row r="10" ht="18.75" customHeight="1">
      <c r="A10" s="80"/>
      <c r="B10" s="91">
        <v>3.337006001E9</v>
      </c>
      <c r="C10" s="91" t="s">
        <v>186</v>
      </c>
      <c r="D10" s="92">
        <v>9450.0</v>
      </c>
      <c r="E10" s="92">
        <v>60.0</v>
      </c>
      <c r="F10" s="92"/>
      <c r="G10" s="92">
        <f t="shared" si="1"/>
        <v>0</v>
      </c>
      <c r="H10" s="92" t="str">
        <f t="shared" si="2"/>
        <v>#REF!</v>
      </c>
      <c r="I10" s="79"/>
      <c r="J10" s="79" t="s">
        <v>201</v>
      </c>
      <c r="K10" s="79"/>
    </row>
    <row r="11" ht="18.75" customHeight="1">
      <c r="A11" s="80"/>
      <c r="B11" s="94">
        <v>1.2215616001E10</v>
      </c>
      <c r="C11" s="95" t="s">
        <v>187</v>
      </c>
      <c r="D11" s="92">
        <v>850.0</v>
      </c>
      <c r="E11" s="92">
        <v>60.0</v>
      </c>
      <c r="F11" s="92"/>
      <c r="G11" s="92">
        <f t="shared" si="1"/>
        <v>0</v>
      </c>
      <c r="H11" s="92" t="str">
        <f t="shared" si="2"/>
        <v>#REF!</v>
      </c>
      <c r="I11" s="79"/>
      <c r="J11" s="79" t="s">
        <v>201</v>
      </c>
      <c r="K11" s="79"/>
    </row>
    <row r="12" ht="18.75" customHeight="1">
      <c r="A12" s="80"/>
      <c r="B12" s="91">
        <v>7.837984001E9</v>
      </c>
      <c r="C12" s="91" t="s">
        <v>188</v>
      </c>
      <c r="D12" s="92">
        <v>2450.0</v>
      </c>
      <c r="E12" s="92">
        <v>90.0</v>
      </c>
      <c r="F12" s="92"/>
      <c r="G12" s="92">
        <f t="shared" si="1"/>
        <v>0</v>
      </c>
      <c r="H12" s="92" t="str">
        <f t="shared" si="2"/>
        <v>#REF!</v>
      </c>
      <c r="I12" s="79"/>
      <c r="J12" s="79" t="s">
        <v>202</v>
      </c>
      <c r="K12" s="79"/>
    </row>
    <row r="13" ht="18.75" customHeight="1">
      <c r="A13" s="80"/>
      <c r="B13" s="91">
        <v>6.510256001E9</v>
      </c>
      <c r="C13" s="91" t="s">
        <v>190</v>
      </c>
      <c r="D13" s="92">
        <v>3400.0</v>
      </c>
      <c r="E13" s="92">
        <v>180.0</v>
      </c>
      <c r="F13" s="92"/>
      <c r="G13" s="92">
        <f t="shared" si="1"/>
        <v>0</v>
      </c>
      <c r="H13" s="92" t="str">
        <f t="shared" si="2"/>
        <v>#REF!</v>
      </c>
      <c r="I13" s="79"/>
      <c r="J13" s="79" t="s">
        <v>203</v>
      </c>
      <c r="K13" s="79"/>
    </row>
    <row r="14" ht="18.75" customHeight="1">
      <c r="A14" s="80"/>
      <c r="B14" s="96">
        <v>6.510248001E9</v>
      </c>
      <c r="C14" s="109" t="s">
        <v>204</v>
      </c>
      <c r="D14" s="92">
        <v>6945.0</v>
      </c>
      <c r="E14" s="92">
        <v>180.0</v>
      </c>
      <c r="F14" s="92"/>
      <c r="G14" s="92">
        <f t="shared" si="1"/>
        <v>0</v>
      </c>
      <c r="H14" s="92" t="str">
        <f t="shared" si="2"/>
        <v>#REF!</v>
      </c>
      <c r="I14" s="79"/>
      <c r="J14" s="92" t="s">
        <v>191</v>
      </c>
      <c r="K14" s="92"/>
    </row>
    <row r="15" ht="18.75" customHeight="1">
      <c r="A15" s="80"/>
      <c r="B15" s="96">
        <v>7.838000001E9</v>
      </c>
      <c r="C15" s="109" t="s">
        <v>205</v>
      </c>
      <c r="D15" s="92">
        <v>2950.0</v>
      </c>
      <c r="E15" s="92">
        <v>90.0</v>
      </c>
      <c r="F15" s="92"/>
      <c r="G15" s="92">
        <f t="shared" si="1"/>
        <v>0</v>
      </c>
      <c r="H15" s="92" t="str">
        <f t="shared" si="2"/>
        <v>#REF!</v>
      </c>
      <c r="I15" s="79"/>
      <c r="J15" s="92" t="s">
        <v>202</v>
      </c>
      <c r="K15" s="92"/>
    </row>
    <row r="16" ht="18.75" customHeight="1">
      <c r="A16" s="80"/>
      <c r="B16" s="91">
        <v>6.952291001E9</v>
      </c>
      <c r="C16" s="91" t="s">
        <v>192</v>
      </c>
      <c r="D16" s="92">
        <f>(((F9/30)/12)*E16)</f>
        <v>0</v>
      </c>
      <c r="E16" s="92">
        <v>150.0</v>
      </c>
      <c r="F16" s="92"/>
      <c r="G16" s="92" t="str">
        <f t="shared" si="1"/>
        <v>#DIV/0!</v>
      </c>
      <c r="H16" s="92" t="str">
        <f t="shared" si="2"/>
        <v>#REF!</v>
      </c>
      <c r="I16" s="79"/>
      <c r="J16" s="79" t="s">
        <v>203</v>
      </c>
      <c r="K16" s="79"/>
    </row>
    <row r="17" ht="18.75" customHeight="1">
      <c r="A17" s="84"/>
      <c r="B17" s="96">
        <v>7.051506001E9</v>
      </c>
      <c r="C17" s="91" t="s">
        <v>193</v>
      </c>
      <c r="D17" s="92">
        <f>(((F9/30)/12)*E17)</f>
        <v>0</v>
      </c>
      <c r="E17" s="92">
        <v>56.0</v>
      </c>
      <c r="F17" s="92"/>
      <c r="G17" s="92" t="str">
        <f t="shared" si="1"/>
        <v>#DIV/0!</v>
      </c>
      <c r="H17" s="92" t="str">
        <f t="shared" si="2"/>
        <v>#REF!</v>
      </c>
      <c r="I17" s="79"/>
      <c r="J17" s="110" t="s">
        <v>197</v>
      </c>
      <c r="K17" s="110"/>
    </row>
    <row r="18" ht="18.75" customHeight="1">
      <c r="A18" s="111" t="s">
        <v>206</v>
      </c>
      <c r="B18" s="112">
        <v>6.510299001E9</v>
      </c>
      <c r="C18" s="113" t="s">
        <v>207</v>
      </c>
      <c r="D18" s="114">
        <v>650.0</v>
      </c>
      <c r="E18" s="114">
        <v>180.0</v>
      </c>
      <c r="F18" s="114"/>
      <c r="G18" s="114">
        <f t="shared" si="1"/>
        <v>0</v>
      </c>
      <c r="H18" s="114" t="str">
        <f t="shared" si="2"/>
        <v>#REF!</v>
      </c>
      <c r="I18" s="115"/>
      <c r="J18" s="116" t="s">
        <v>191</v>
      </c>
      <c r="K18" s="117"/>
    </row>
    <row r="19" ht="18.75" customHeight="1">
      <c r="A19" s="84"/>
      <c r="B19" s="112">
        <v>9.426752001E9</v>
      </c>
      <c r="C19" s="113" t="s">
        <v>196</v>
      </c>
      <c r="D19" s="114">
        <v>450.0</v>
      </c>
      <c r="E19" s="114">
        <v>60.0</v>
      </c>
      <c r="F19" s="114"/>
      <c r="G19" s="114">
        <f t="shared" si="1"/>
        <v>0</v>
      </c>
      <c r="H19" s="114" t="str">
        <f t="shared" si="2"/>
        <v>#REF!</v>
      </c>
      <c r="I19" s="115"/>
      <c r="J19" s="118" t="s">
        <v>191</v>
      </c>
      <c r="K19" s="119"/>
    </row>
    <row r="20" ht="18.75" customHeight="1">
      <c r="A20" s="97" t="s">
        <v>194</v>
      </c>
      <c r="B20" s="98">
        <v>6.510272001E9</v>
      </c>
      <c r="C20" s="99" t="s">
        <v>195</v>
      </c>
      <c r="D20" s="100">
        <v>650.0</v>
      </c>
      <c r="E20" s="100">
        <v>180.0</v>
      </c>
      <c r="F20" s="100"/>
      <c r="G20" s="100">
        <f t="shared" si="1"/>
        <v>0</v>
      </c>
      <c r="H20" s="100" t="str">
        <f t="shared" si="2"/>
        <v>#REF!</v>
      </c>
      <c r="I20" s="101"/>
      <c r="J20" s="120" t="s">
        <v>191</v>
      </c>
      <c r="K20" s="120"/>
    </row>
    <row r="21" ht="18.75" customHeight="1">
      <c r="A21" s="84"/>
      <c r="B21" s="98">
        <v>9.426752001E9</v>
      </c>
      <c r="C21" s="99" t="s">
        <v>196</v>
      </c>
      <c r="D21" s="100">
        <v>450.0</v>
      </c>
      <c r="E21" s="100">
        <v>60.0</v>
      </c>
      <c r="F21" s="100"/>
      <c r="G21" s="100">
        <f t="shared" si="1"/>
        <v>0</v>
      </c>
      <c r="H21" s="100" t="str">
        <f t="shared" si="2"/>
        <v>#REF!</v>
      </c>
      <c r="I21" s="101"/>
      <c r="J21" s="121" t="s">
        <v>191</v>
      </c>
      <c r="K21" s="121"/>
    </row>
    <row r="22" ht="18.75" customHeight="1">
      <c r="A22" s="103" t="s">
        <v>198</v>
      </c>
      <c r="B22" s="104">
        <v>7.051409001E9</v>
      </c>
      <c r="C22" s="104" t="s">
        <v>199</v>
      </c>
      <c r="D22" s="105">
        <f>(((F9/30)/12)*E22)</f>
        <v>0</v>
      </c>
      <c r="E22" s="105">
        <v>56.0</v>
      </c>
      <c r="F22" s="105"/>
      <c r="G22" s="105" t="str">
        <f t="shared" si="1"/>
        <v>#DIV/0!</v>
      </c>
      <c r="H22" s="105" t="str">
        <f t="shared" si="2"/>
        <v>#REF!</v>
      </c>
      <c r="I22" s="106"/>
      <c r="J22" s="122" t="s">
        <v>197</v>
      </c>
      <c r="K22" s="122"/>
    </row>
    <row r="23" ht="18.75" customHeight="1"/>
    <row r="24" ht="18.75" customHeight="1"/>
    <row r="25" ht="18.75" customHeight="1"/>
    <row r="26" ht="18.75" customHeight="1"/>
    <row r="27" ht="18.75" customHeight="1"/>
    <row r="28" ht="18.75" customHeight="1"/>
    <row r="29" ht="18.75" customHeight="1"/>
    <row r="30" ht="18.75" customHeight="1"/>
    <row r="31" ht="18.75" customHeight="1"/>
    <row r="32" ht="18.75" customHeight="1"/>
    <row r="33" ht="18.75" customHeight="1"/>
    <row r="34" ht="18.75" customHeight="1"/>
    <row r="35" ht="18.75" customHeight="1"/>
    <row r="36" ht="18.75" customHeight="1"/>
    <row r="37" ht="18.75" customHeight="1"/>
    <row r="38" ht="18.75" customHeight="1"/>
    <row r="39" ht="18.75" customHeight="1"/>
    <row r="40" ht="18.75" customHeight="1"/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  <row r="49" ht="18.75" customHeight="1"/>
    <row r="50" ht="18.75" customHeight="1"/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/>
    <row r="60" ht="18.75" customHeight="1"/>
    <row r="61" ht="18.75" customHeight="1"/>
    <row r="62" ht="18.75" customHeight="1"/>
    <row r="63" ht="18.75" customHeight="1"/>
    <row r="64" ht="18.75" customHeight="1"/>
    <row r="65" ht="18.75" customHeight="1"/>
    <row r="66" ht="18.75" customHeight="1"/>
    <row r="67" ht="18.75" customHeight="1"/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9:A17"/>
    <mergeCell ref="A18:A19"/>
    <mergeCell ref="A20:A21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43"/>
    <col customWidth="1" min="2" max="2" width="24.43"/>
    <col customWidth="1" min="3" max="3" width="7.14"/>
    <col customWidth="1" min="4" max="4" width="8.43"/>
    <col customWidth="1" min="5" max="5" width="17.71"/>
    <col customWidth="1" min="6" max="6" width="8.0"/>
    <col customWidth="1" min="7" max="7" width="9.43"/>
    <col customWidth="1" min="8" max="8" width="8.57"/>
  </cols>
  <sheetData>
    <row r="1" ht="15.0" customHeight="1">
      <c r="A1" s="123" t="s">
        <v>5</v>
      </c>
      <c r="B1" s="124"/>
      <c r="C1" s="125"/>
      <c r="D1" s="125"/>
      <c r="E1" s="125"/>
      <c r="F1" s="126"/>
      <c r="G1" s="127"/>
      <c r="H1" s="127"/>
    </row>
    <row r="2" ht="15.0" customHeight="1">
      <c r="A2" s="123" t="s">
        <v>155</v>
      </c>
      <c r="B2" s="124"/>
      <c r="C2" s="125"/>
      <c r="D2" s="125"/>
      <c r="E2" s="125"/>
      <c r="F2" s="126"/>
      <c r="G2" s="127"/>
      <c r="H2" s="127"/>
    </row>
    <row r="3" ht="15.0" customHeight="1">
      <c r="A3" s="123" t="s">
        <v>156</v>
      </c>
      <c r="B3" s="17"/>
      <c r="F3" s="126"/>
      <c r="G3" s="127"/>
      <c r="H3" s="127"/>
    </row>
    <row r="4" ht="15.0" customHeight="1">
      <c r="A4" s="123" t="s">
        <v>158</v>
      </c>
      <c r="B4" s="124"/>
      <c r="C4" s="128" t="s">
        <v>159</v>
      </c>
      <c r="D4" s="125"/>
      <c r="E4" s="125"/>
      <c r="F4" s="126"/>
      <c r="G4" s="127"/>
      <c r="H4" s="127"/>
    </row>
    <row r="5" ht="15.0" customHeight="1">
      <c r="A5" s="123" t="s">
        <v>160</v>
      </c>
      <c r="B5" s="124"/>
      <c r="C5" s="128" t="s">
        <v>159</v>
      </c>
      <c r="D5" s="125"/>
      <c r="E5" s="125"/>
      <c r="F5" s="126"/>
      <c r="G5" s="127"/>
      <c r="H5" s="127"/>
    </row>
    <row r="6" ht="15.0" customHeight="1">
      <c r="A6" s="129" t="s">
        <v>161</v>
      </c>
      <c r="B6" s="130" t="s">
        <v>208</v>
      </c>
      <c r="C6" s="131"/>
      <c r="D6" s="131"/>
      <c r="E6" s="131"/>
      <c r="F6" s="126"/>
      <c r="G6" s="127"/>
      <c r="H6" s="127"/>
    </row>
    <row r="7">
      <c r="A7" s="127"/>
      <c r="B7" s="127"/>
      <c r="C7" s="127"/>
      <c r="D7" s="127"/>
      <c r="E7" s="127"/>
      <c r="F7" s="127"/>
      <c r="G7" s="127"/>
      <c r="H7" s="127"/>
    </row>
    <row r="8" ht="30.75" customHeight="1">
      <c r="A8" s="132" t="s">
        <v>164</v>
      </c>
      <c r="B8" s="133" t="s">
        <v>209</v>
      </c>
      <c r="C8" s="133" t="s">
        <v>166</v>
      </c>
      <c r="D8" s="134" t="s">
        <v>167</v>
      </c>
      <c r="E8" s="134" t="s">
        <v>210</v>
      </c>
      <c r="F8" s="134" t="s">
        <v>169</v>
      </c>
      <c r="G8" s="135" t="s">
        <v>170</v>
      </c>
      <c r="H8" s="136" t="s">
        <v>171</v>
      </c>
    </row>
    <row r="9" ht="15.0" customHeight="1">
      <c r="A9" s="54">
        <v>4.65752719E9</v>
      </c>
      <c r="B9" s="50" t="s">
        <v>211</v>
      </c>
      <c r="C9" s="43">
        <v>400.0</v>
      </c>
      <c r="D9" s="137">
        <v>120.0</v>
      </c>
      <c r="E9" s="138"/>
      <c r="F9" s="139" t="s">
        <v>212</v>
      </c>
      <c r="G9" s="140" t="s">
        <v>213</v>
      </c>
      <c r="H9" s="141"/>
    </row>
    <row r="10" ht="15.0" customHeight="1">
      <c r="A10" s="54">
        <v>4.65761619E9</v>
      </c>
      <c r="B10" s="50" t="s">
        <v>214</v>
      </c>
      <c r="C10" s="43">
        <v>400.0</v>
      </c>
      <c r="D10" s="137">
        <v>120.0</v>
      </c>
      <c r="E10" s="138"/>
      <c r="F10" s="139" t="s">
        <v>212</v>
      </c>
      <c r="G10" s="142" t="s">
        <v>213</v>
      </c>
      <c r="H10" s="141"/>
    </row>
    <row r="11" ht="15.0" customHeight="1">
      <c r="A11" s="54">
        <v>5.40175519E9</v>
      </c>
      <c r="B11" s="50" t="s">
        <v>215</v>
      </c>
      <c r="C11" s="43">
        <v>400.0</v>
      </c>
      <c r="D11" s="137">
        <v>120.0</v>
      </c>
      <c r="E11" s="138"/>
      <c r="F11" s="139" t="s">
        <v>212</v>
      </c>
      <c r="G11" s="142" t="s">
        <v>213</v>
      </c>
      <c r="H11" s="141"/>
    </row>
    <row r="12" ht="15.0" customHeight="1">
      <c r="A12" s="54">
        <v>4.65760819E9</v>
      </c>
      <c r="B12" s="50" t="s">
        <v>216</v>
      </c>
      <c r="C12" s="43">
        <v>400.0</v>
      </c>
      <c r="D12" s="137">
        <v>120.0</v>
      </c>
      <c r="E12" s="138"/>
      <c r="F12" s="139" t="s">
        <v>212</v>
      </c>
      <c r="G12" s="142" t="s">
        <v>213</v>
      </c>
      <c r="H12" s="141"/>
    </row>
    <row r="13" ht="15.0" customHeight="1">
      <c r="A13" s="54">
        <v>4.71891719E9</v>
      </c>
      <c r="B13" s="50" t="s">
        <v>217</v>
      </c>
      <c r="C13" s="43">
        <v>400.0</v>
      </c>
      <c r="D13" s="137">
        <v>120.0</v>
      </c>
      <c r="E13" s="143"/>
      <c r="F13" s="139" t="s">
        <v>212</v>
      </c>
      <c r="G13" s="142" t="s">
        <v>213</v>
      </c>
      <c r="H13" s="141"/>
    </row>
    <row r="14" ht="15.0" customHeight="1">
      <c r="A14" s="54">
        <v>4.65759419E9</v>
      </c>
      <c r="B14" s="50" t="s">
        <v>218</v>
      </c>
      <c r="C14" s="43">
        <v>200.0</v>
      </c>
      <c r="D14" s="137">
        <v>120.0</v>
      </c>
      <c r="E14" s="138"/>
      <c r="F14" s="139" t="s">
        <v>212</v>
      </c>
      <c r="G14" s="142" t="s">
        <v>213</v>
      </c>
      <c r="H14" s="141"/>
    </row>
    <row r="15" ht="15.0" customHeight="1">
      <c r="A15" s="54">
        <v>4.71856919E9</v>
      </c>
      <c r="B15" s="50" t="s">
        <v>219</v>
      </c>
      <c r="C15" s="43">
        <v>400.0</v>
      </c>
      <c r="D15" s="137">
        <v>120.0</v>
      </c>
      <c r="E15" s="138"/>
      <c r="F15" s="139" t="s">
        <v>212</v>
      </c>
      <c r="G15" s="142" t="s">
        <v>213</v>
      </c>
      <c r="H15" s="141"/>
    </row>
    <row r="16" ht="15.0" customHeight="1">
      <c r="A16" s="54">
        <v>4.65754319E9</v>
      </c>
      <c r="B16" s="50" t="s">
        <v>220</v>
      </c>
      <c r="C16" s="43">
        <v>400.0</v>
      </c>
      <c r="D16" s="137">
        <v>120.0</v>
      </c>
      <c r="E16" s="138"/>
      <c r="F16" s="139" t="s">
        <v>212</v>
      </c>
      <c r="G16" s="142" t="s">
        <v>213</v>
      </c>
      <c r="H16" s="141"/>
    </row>
    <row r="17" ht="15.0" customHeight="1">
      <c r="A17" s="54">
        <v>4.65737319E9</v>
      </c>
      <c r="B17" s="50" t="s">
        <v>221</v>
      </c>
      <c r="C17" s="43">
        <v>200.0</v>
      </c>
      <c r="D17" s="137">
        <v>120.0</v>
      </c>
      <c r="E17" s="138"/>
      <c r="F17" s="139" t="s">
        <v>212</v>
      </c>
      <c r="G17" s="142" t="s">
        <v>213</v>
      </c>
      <c r="H17" s="141"/>
    </row>
    <row r="18" ht="15.0" customHeight="1">
      <c r="A18" s="144">
        <v>5.79564819E9</v>
      </c>
      <c r="B18" s="50" t="s">
        <v>222</v>
      </c>
      <c r="C18" s="43">
        <v>400.0</v>
      </c>
      <c r="D18" s="137">
        <v>120.0</v>
      </c>
      <c r="E18" s="138"/>
      <c r="F18" s="139" t="s">
        <v>212</v>
      </c>
      <c r="G18" s="142" t="s">
        <v>213</v>
      </c>
      <c r="H18" s="141"/>
    </row>
    <row r="19" ht="15.0" customHeight="1">
      <c r="A19" s="54">
        <v>5.58913419E9</v>
      </c>
      <c r="B19" s="50" t="s">
        <v>223</v>
      </c>
      <c r="C19" s="43">
        <v>100.0</v>
      </c>
      <c r="D19" s="137">
        <v>60.0</v>
      </c>
      <c r="E19" s="138"/>
      <c r="F19" s="139" t="s">
        <v>212</v>
      </c>
      <c r="G19" s="142" t="s">
        <v>224</v>
      </c>
      <c r="H19" s="141"/>
    </row>
    <row r="20" ht="15.0" customHeight="1">
      <c r="A20" s="54">
        <v>7.52860419E9</v>
      </c>
      <c r="B20" s="50" t="s">
        <v>225</v>
      </c>
      <c r="C20" s="43">
        <v>200.0</v>
      </c>
      <c r="D20" s="137">
        <v>60.0</v>
      </c>
      <c r="E20" s="138"/>
      <c r="F20" s="139" t="s">
        <v>212</v>
      </c>
      <c r="G20" s="142" t="s">
        <v>224</v>
      </c>
      <c r="H20" s="141"/>
    </row>
    <row r="21" ht="15.0" customHeight="1">
      <c r="A21" s="145">
        <v>5.40149619E9</v>
      </c>
      <c r="B21" s="15" t="s">
        <v>226</v>
      </c>
      <c r="C21" s="43">
        <v>200.0</v>
      </c>
      <c r="D21" s="137">
        <v>60.0</v>
      </c>
      <c r="E21" s="138"/>
      <c r="F21" s="139" t="s">
        <v>212</v>
      </c>
      <c r="G21" s="142" t="s">
        <v>224</v>
      </c>
      <c r="H21" s="141"/>
    </row>
    <row r="22" ht="15.0" customHeight="1">
      <c r="A22" s="145">
        <v>5.40170419E9</v>
      </c>
      <c r="B22" s="15" t="s">
        <v>227</v>
      </c>
      <c r="C22" s="43">
        <v>100.0</v>
      </c>
      <c r="D22" s="137">
        <v>60.0</v>
      </c>
      <c r="E22" s="138"/>
      <c r="F22" s="139" t="s">
        <v>212</v>
      </c>
      <c r="G22" s="142" t="s">
        <v>224</v>
      </c>
      <c r="H22" s="141"/>
    </row>
    <row r="23" ht="15.0" customHeight="1">
      <c r="A23" s="145">
        <v>5.40146119E9</v>
      </c>
      <c r="B23" s="54" t="s">
        <v>228</v>
      </c>
      <c r="C23" s="43">
        <v>200.0</v>
      </c>
      <c r="D23" s="137">
        <v>60.0</v>
      </c>
      <c r="E23" s="138"/>
      <c r="F23" s="139" t="s">
        <v>212</v>
      </c>
      <c r="G23" s="142" t="s">
        <v>224</v>
      </c>
      <c r="H23" s="141"/>
    </row>
    <row r="24" ht="15.0" customHeight="1">
      <c r="A24" s="146">
        <v>4.65735719E9</v>
      </c>
      <c r="B24" s="147" t="s">
        <v>229</v>
      </c>
      <c r="C24" s="43">
        <v>400.0</v>
      </c>
      <c r="D24" s="137">
        <v>120.0</v>
      </c>
      <c r="E24" s="138"/>
      <c r="F24" s="139" t="s">
        <v>212</v>
      </c>
      <c r="G24" s="142" t="s">
        <v>213</v>
      </c>
      <c r="H24" s="141"/>
    </row>
    <row r="25" ht="15.0" customHeight="1">
      <c r="A25" s="54">
        <v>7.00580619E9</v>
      </c>
      <c r="B25" s="50" t="s">
        <v>230</v>
      </c>
      <c r="C25" s="43">
        <v>100.0</v>
      </c>
      <c r="D25" s="137">
        <v>60.0</v>
      </c>
      <c r="E25" s="138"/>
      <c r="F25" s="139" t="s">
        <v>212</v>
      </c>
      <c r="G25" s="142" t="s">
        <v>224</v>
      </c>
      <c r="H25" s="141"/>
    </row>
    <row r="26" ht="15.0" customHeight="1">
      <c r="A26" s="144">
        <v>5.06150419E9</v>
      </c>
      <c r="B26" s="148" t="s">
        <v>231</v>
      </c>
      <c r="C26" s="43">
        <v>400.0</v>
      </c>
      <c r="D26" s="137">
        <v>120.0</v>
      </c>
      <c r="E26" s="138"/>
      <c r="F26" s="139" t="s">
        <v>212</v>
      </c>
      <c r="G26" s="142" t="s">
        <v>213</v>
      </c>
      <c r="H26" s="141"/>
    </row>
    <row r="27" ht="15.0" customHeight="1">
      <c r="A27" s="144">
        <v>7.44201719E9</v>
      </c>
      <c r="B27" s="148" t="s">
        <v>232</v>
      </c>
      <c r="C27" s="43">
        <v>200.0</v>
      </c>
      <c r="D27" s="137">
        <v>60.0</v>
      </c>
      <c r="E27" s="138"/>
      <c r="F27" s="139" t="s">
        <v>212</v>
      </c>
      <c r="G27" s="142" t="s">
        <v>224</v>
      </c>
      <c r="H27" s="141"/>
    </row>
    <row r="28" ht="15.0" customHeight="1">
      <c r="A28" s="144">
        <v>5.40167419E9</v>
      </c>
      <c r="B28" s="148" t="s">
        <v>233</v>
      </c>
      <c r="C28" s="43">
        <v>100.0</v>
      </c>
      <c r="D28" s="137">
        <v>60.0</v>
      </c>
      <c r="E28" s="138"/>
      <c r="F28" s="139" t="s">
        <v>212</v>
      </c>
      <c r="G28" s="142" t="s">
        <v>224</v>
      </c>
      <c r="H28" s="141"/>
    </row>
    <row r="29" ht="15.0" customHeight="1">
      <c r="A29" s="144">
        <v>5.33618019E9</v>
      </c>
      <c r="B29" s="148" t="s">
        <v>234</v>
      </c>
      <c r="C29" s="43">
        <v>200.0</v>
      </c>
      <c r="D29" s="137">
        <v>60.0</v>
      </c>
      <c r="E29" s="138"/>
      <c r="F29" s="139" t="s">
        <v>212</v>
      </c>
      <c r="G29" s="142" t="s">
        <v>224</v>
      </c>
      <c r="H29" s="141"/>
    </row>
    <row r="30" ht="15.0" customHeight="1">
      <c r="A30" s="144">
        <v>5.40165819E9</v>
      </c>
      <c r="B30" s="148" t="s">
        <v>235</v>
      </c>
      <c r="C30" s="43">
        <v>100.0</v>
      </c>
      <c r="D30" s="137">
        <v>60.0</v>
      </c>
      <c r="E30" s="138"/>
      <c r="F30" s="139" t="s">
        <v>212</v>
      </c>
      <c r="G30" s="142" t="s">
        <v>224</v>
      </c>
      <c r="H30" s="141"/>
    </row>
    <row r="31" ht="15.0" customHeight="1">
      <c r="A31" s="144">
        <v>4.65758619E9</v>
      </c>
      <c r="B31" s="148" t="s">
        <v>236</v>
      </c>
      <c r="C31" s="43">
        <v>400.0</v>
      </c>
      <c r="D31" s="137">
        <v>120.0</v>
      </c>
      <c r="E31" s="138"/>
      <c r="F31" s="139" t="s">
        <v>212</v>
      </c>
      <c r="G31" s="142" t="s">
        <v>213</v>
      </c>
      <c r="H31" s="141"/>
    </row>
    <row r="32" ht="15.0" customHeight="1">
      <c r="A32" s="144">
        <v>7.87643219E9</v>
      </c>
      <c r="B32" s="50" t="s">
        <v>237</v>
      </c>
      <c r="C32" s="43">
        <v>200.0</v>
      </c>
      <c r="D32" s="137">
        <v>60.0</v>
      </c>
      <c r="E32" s="138"/>
      <c r="F32" s="139" t="s">
        <v>212</v>
      </c>
      <c r="G32" s="142" t="s">
        <v>224</v>
      </c>
      <c r="H32" s="141"/>
    </row>
    <row r="33" ht="15.0" customHeight="1">
      <c r="A33" s="144">
        <v>5.07775319E9</v>
      </c>
      <c r="B33" s="149" t="s">
        <v>238</v>
      </c>
      <c r="C33" s="43">
        <v>200.0</v>
      </c>
      <c r="D33" s="150">
        <v>120.0</v>
      </c>
      <c r="E33" s="138"/>
      <c r="F33" s="139" t="s">
        <v>212</v>
      </c>
      <c r="G33" s="142" t="s">
        <v>213</v>
      </c>
      <c r="H33" s="141"/>
    </row>
    <row r="34" ht="15.0" customHeight="1">
      <c r="A34" s="144">
        <v>5.40178019E9</v>
      </c>
      <c r="B34" s="149" t="s">
        <v>239</v>
      </c>
      <c r="C34" s="43">
        <v>100.0</v>
      </c>
      <c r="D34" s="150">
        <v>60.0</v>
      </c>
      <c r="E34" s="138"/>
      <c r="F34" s="139" t="s">
        <v>212</v>
      </c>
      <c r="G34" s="142" t="s">
        <v>224</v>
      </c>
      <c r="H34" s="141"/>
    </row>
    <row r="35" ht="15.0" customHeight="1">
      <c r="A35" s="151">
        <v>5.40173919E9</v>
      </c>
      <c r="B35" s="149" t="s">
        <v>240</v>
      </c>
      <c r="C35" s="43">
        <v>100.0</v>
      </c>
      <c r="D35" s="137">
        <v>56.0</v>
      </c>
      <c r="E35" s="138"/>
      <c r="F35" s="139" t="s">
        <v>212</v>
      </c>
      <c r="G35" s="142" t="s">
        <v>241</v>
      </c>
      <c r="H35" s="141"/>
    </row>
    <row r="36" ht="15.0" customHeight="1">
      <c r="A36" s="151">
        <v>8.90001919E9</v>
      </c>
      <c r="B36" s="149" t="s">
        <v>242</v>
      </c>
      <c r="C36" s="43">
        <v>100.0</v>
      </c>
      <c r="D36" s="43">
        <v>56.0</v>
      </c>
      <c r="E36" s="138"/>
      <c r="F36" s="139" t="s">
        <v>212</v>
      </c>
      <c r="G36" s="142" t="s">
        <v>241</v>
      </c>
      <c r="H36" s="141"/>
    </row>
    <row r="37" ht="15.0" customHeight="1">
      <c r="A37" s="151">
        <v>7.44205019E9</v>
      </c>
      <c r="B37" s="149" t="s">
        <v>243</v>
      </c>
      <c r="C37" s="137">
        <v>100.0</v>
      </c>
      <c r="D37" s="137">
        <v>60.0</v>
      </c>
      <c r="E37" s="138"/>
      <c r="F37" s="137" t="s">
        <v>212</v>
      </c>
      <c r="G37" s="152" t="s">
        <v>224</v>
      </c>
      <c r="H37" s="138"/>
    </row>
    <row r="38" ht="15.0" customHeight="1">
      <c r="A38" s="153"/>
      <c r="B38" s="154"/>
      <c r="C38" s="155" t="s">
        <v>244</v>
      </c>
      <c r="D38" s="156"/>
      <c r="E38" s="157">
        <v>0.0</v>
      </c>
      <c r="F38" s="158"/>
      <c r="G38" s="159"/>
      <c r="H38" s="160"/>
    </row>
    <row r="39" ht="15.0" customHeight="1">
      <c r="A39" s="161" t="s">
        <v>245</v>
      </c>
      <c r="B39" s="162"/>
      <c r="C39" s="163"/>
      <c r="D39" s="164"/>
      <c r="E39" s="163"/>
      <c r="F39" s="165"/>
      <c r="G39" s="166"/>
      <c r="H39" s="167"/>
    </row>
    <row r="40" ht="15.0" customHeight="1">
      <c r="A40" s="54">
        <v>1.075935019E10</v>
      </c>
      <c r="B40" s="50" t="s">
        <v>246</v>
      </c>
      <c r="C40" s="43">
        <v>12.0</v>
      </c>
      <c r="D40" s="137">
        <v>28.0</v>
      </c>
      <c r="E40" s="46"/>
      <c r="F40" s="168"/>
      <c r="G40" s="169" t="s">
        <v>247</v>
      </c>
      <c r="H40" s="46"/>
    </row>
    <row r="41" ht="15.0" customHeight="1">
      <c r="A41" s="54">
        <v>1.2172623122E10</v>
      </c>
      <c r="B41" s="50" t="s">
        <v>248</v>
      </c>
      <c r="C41" s="43">
        <v>3.0</v>
      </c>
      <c r="D41" s="137">
        <v>28.0</v>
      </c>
      <c r="E41" s="46"/>
      <c r="F41" s="46"/>
      <c r="G41" s="142" t="s">
        <v>249</v>
      </c>
      <c r="H41" s="46"/>
    </row>
    <row r="42" ht="15.0" customHeight="1">
      <c r="A42" s="144">
        <v>1.1355279216E10</v>
      </c>
      <c r="B42" s="148" t="s">
        <v>250</v>
      </c>
      <c r="C42" s="43">
        <v>5.0</v>
      </c>
      <c r="D42" s="137">
        <v>28.0</v>
      </c>
      <c r="E42" s="46"/>
      <c r="F42" s="46"/>
      <c r="G42" s="142" t="s">
        <v>251</v>
      </c>
      <c r="H42" s="46"/>
    </row>
    <row r="43" ht="15.0" customHeight="1">
      <c r="A43" s="170">
        <v>4.52841719E9</v>
      </c>
      <c r="B43" s="148" t="s">
        <v>252</v>
      </c>
      <c r="C43" s="43">
        <v>3.0</v>
      </c>
      <c r="D43" s="137">
        <v>84.0</v>
      </c>
      <c r="E43" s="46"/>
      <c r="F43" s="46"/>
      <c r="G43" s="142" t="s">
        <v>253</v>
      </c>
      <c r="H43" s="46"/>
    </row>
    <row r="44" ht="15.0" customHeight="1">
      <c r="A44" s="144">
        <v>2.075199519E10</v>
      </c>
      <c r="B44" s="171" t="s">
        <v>254</v>
      </c>
      <c r="C44" s="43">
        <v>2.0</v>
      </c>
      <c r="D44" s="137">
        <v>56.0</v>
      </c>
      <c r="E44" s="46"/>
      <c r="F44" s="46"/>
      <c r="G44" s="142" t="s">
        <v>255</v>
      </c>
      <c r="H44" s="46"/>
    </row>
    <row r="45" ht="15.0" customHeight="1">
      <c r="A45" s="151">
        <v>5.05090119E9</v>
      </c>
      <c r="B45" s="148" t="s">
        <v>256</v>
      </c>
      <c r="C45" s="43">
        <v>1.0</v>
      </c>
      <c r="D45" s="43">
        <v>84.0</v>
      </c>
      <c r="E45" s="46"/>
      <c r="F45" s="46"/>
      <c r="G45" s="142" t="s">
        <v>249</v>
      </c>
      <c r="H45" s="46"/>
    </row>
    <row r="46" ht="15.0" customHeight="1">
      <c r="A46" s="144">
        <v>1.1447394216E10</v>
      </c>
      <c r="B46" s="148" t="s">
        <v>257</v>
      </c>
      <c r="C46" s="43">
        <v>3.0</v>
      </c>
      <c r="D46" s="139">
        <v>28.0</v>
      </c>
      <c r="E46" s="46"/>
      <c r="F46" s="46"/>
      <c r="G46" s="172" t="s">
        <v>249</v>
      </c>
      <c r="H46" s="173"/>
    </row>
    <row r="47" ht="15.0" customHeight="1">
      <c r="A47" s="174" t="s">
        <v>258</v>
      </c>
      <c r="B47" s="175"/>
      <c r="C47" s="165"/>
      <c r="D47" s="176"/>
      <c r="E47" s="165"/>
      <c r="F47" s="165"/>
      <c r="G47" s="177"/>
      <c r="H47" s="165"/>
    </row>
    <row r="48" ht="15.0" customHeight="1">
      <c r="A48" s="178">
        <v>5.94762619E9</v>
      </c>
      <c r="B48" s="10" t="s">
        <v>259</v>
      </c>
      <c r="C48" s="43">
        <v>4.0</v>
      </c>
      <c r="D48" s="137">
        <v>14.0</v>
      </c>
      <c r="E48" s="46"/>
      <c r="F48" s="46"/>
      <c r="G48" s="142" t="s">
        <v>241</v>
      </c>
      <c r="H48" s="46"/>
    </row>
    <row r="49" ht="15.0" customHeight="1">
      <c r="A49" s="178">
        <v>5.94777419E9</v>
      </c>
      <c r="B49" s="10" t="s">
        <v>260</v>
      </c>
      <c r="C49" s="43">
        <v>4.0</v>
      </c>
      <c r="D49" s="137">
        <v>14.0</v>
      </c>
      <c r="E49" s="46"/>
      <c r="F49" s="179"/>
      <c r="G49" s="142" t="s">
        <v>241</v>
      </c>
      <c r="H49" s="46"/>
    </row>
    <row r="50" ht="15.0" customHeight="1">
      <c r="A50" s="144">
        <v>5.47920719E9</v>
      </c>
      <c r="B50" s="148" t="s">
        <v>261</v>
      </c>
      <c r="C50" s="43">
        <v>4.0</v>
      </c>
      <c r="D50" s="137">
        <v>28.0</v>
      </c>
      <c r="E50" s="46"/>
      <c r="F50" s="179"/>
      <c r="G50" s="142" t="s">
        <v>255</v>
      </c>
      <c r="H50" s="46"/>
    </row>
    <row r="51" ht="15.0" customHeight="1">
      <c r="A51" s="180">
        <v>5.91250419E9</v>
      </c>
      <c r="B51" s="181" t="s">
        <v>262</v>
      </c>
      <c r="C51" s="182">
        <v>4.0</v>
      </c>
      <c r="D51" s="137">
        <v>28.0</v>
      </c>
      <c r="E51" s="46"/>
      <c r="F51" s="179"/>
      <c r="G51" s="142" t="s">
        <v>255</v>
      </c>
      <c r="H51" s="46"/>
    </row>
    <row r="52" ht="15.0" customHeight="1">
      <c r="A52" s="54">
        <v>2.075240119E10</v>
      </c>
      <c r="B52" s="50" t="s">
        <v>263</v>
      </c>
      <c r="C52" s="43">
        <v>5.0</v>
      </c>
      <c r="D52" s="150">
        <v>56.0</v>
      </c>
      <c r="E52" s="46"/>
      <c r="F52" s="179"/>
      <c r="G52" s="142" t="s">
        <v>264</v>
      </c>
      <c r="H52" s="46"/>
    </row>
    <row r="53" ht="15.0" customHeight="1">
      <c r="A53" s="54">
        <v>2.075300919E10</v>
      </c>
      <c r="B53" s="50" t="s">
        <v>263</v>
      </c>
      <c r="C53" s="43">
        <v>5.0</v>
      </c>
      <c r="D53" s="150">
        <v>56.0</v>
      </c>
      <c r="E53" s="46"/>
      <c r="F53" s="46"/>
      <c r="G53" s="142" t="s">
        <v>264</v>
      </c>
      <c r="H53" s="46"/>
    </row>
    <row r="54" ht="15.0" customHeight="1">
      <c r="A54" s="151">
        <v>5.05093619E9</v>
      </c>
      <c r="B54" s="171" t="s">
        <v>265</v>
      </c>
      <c r="C54" s="183">
        <v>2.0</v>
      </c>
      <c r="D54" s="137">
        <v>84.0</v>
      </c>
      <c r="E54" s="46"/>
      <c r="F54" s="46"/>
      <c r="G54" s="172" t="s">
        <v>266</v>
      </c>
      <c r="H54" s="46"/>
    </row>
    <row r="55" ht="15.0" customHeight="1">
      <c r="A55" s="174" t="s">
        <v>267</v>
      </c>
      <c r="B55" s="175"/>
      <c r="C55" s="165"/>
      <c r="D55" s="176"/>
      <c r="E55" s="165"/>
      <c r="F55" s="165"/>
      <c r="G55" s="177"/>
      <c r="H55" s="165"/>
    </row>
    <row r="56" ht="15.0" customHeight="1">
      <c r="A56" s="54">
        <v>4.77423019E9</v>
      </c>
      <c r="B56" s="50" t="s">
        <v>268</v>
      </c>
      <c r="C56" s="43">
        <v>4.0</v>
      </c>
      <c r="D56" s="137">
        <v>28.0</v>
      </c>
      <c r="E56" s="46"/>
      <c r="F56" s="46"/>
      <c r="G56" s="142" t="s">
        <v>255</v>
      </c>
      <c r="H56" s="46"/>
    </row>
    <row r="57" ht="15.0" customHeight="1">
      <c r="A57" s="144">
        <v>5.00723219E9</v>
      </c>
      <c r="B57" s="148" t="s">
        <v>269</v>
      </c>
      <c r="C57" s="43">
        <v>8.0</v>
      </c>
      <c r="D57" s="137">
        <v>10.0</v>
      </c>
      <c r="E57" s="46"/>
      <c r="F57" s="46"/>
      <c r="G57" s="142" t="s">
        <v>270</v>
      </c>
      <c r="H57" s="46"/>
    </row>
    <row r="58" ht="15.0" customHeight="1">
      <c r="A58" s="54">
        <v>4.66363219E9</v>
      </c>
      <c r="B58" s="50" t="s">
        <v>271</v>
      </c>
      <c r="C58" s="43">
        <v>9.0</v>
      </c>
      <c r="D58" s="137">
        <v>12.0</v>
      </c>
      <c r="E58" s="46"/>
      <c r="F58" s="46"/>
      <c r="G58" s="142" t="s">
        <v>272</v>
      </c>
      <c r="H58" s="46"/>
    </row>
    <row r="59" ht="15.75" customHeight="1">
      <c r="A59" s="54">
        <v>1.1298500316E10</v>
      </c>
      <c r="B59" s="50" t="s">
        <v>273</v>
      </c>
      <c r="C59" s="43">
        <v>5.0</v>
      </c>
      <c r="D59" s="137">
        <v>73.0</v>
      </c>
      <c r="E59" s="46"/>
      <c r="F59" s="46"/>
      <c r="G59" s="142" t="s">
        <v>274</v>
      </c>
      <c r="H59" s="46"/>
    </row>
    <row r="60" ht="15.75" customHeight="1">
      <c r="A60" s="54">
        <v>2.0754765322E10</v>
      </c>
      <c r="B60" s="50" t="s">
        <v>275</v>
      </c>
      <c r="C60" s="43">
        <v>1.0</v>
      </c>
      <c r="D60" s="137">
        <v>84.0</v>
      </c>
      <c r="E60" s="46"/>
      <c r="F60" s="46"/>
      <c r="G60" s="142" t="s">
        <v>249</v>
      </c>
      <c r="H60" s="46"/>
    </row>
    <row r="61" ht="15.75" customHeight="1">
      <c r="A61" s="54">
        <v>4.357108001E9</v>
      </c>
      <c r="B61" s="50" t="s">
        <v>276</v>
      </c>
      <c r="C61" s="43">
        <v>1.0</v>
      </c>
      <c r="D61" s="137">
        <v>365.0</v>
      </c>
      <c r="E61" s="46"/>
      <c r="F61" s="46"/>
      <c r="G61" s="142" t="s">
        <v>274</v>
      </c>
      <c r="H61" s="46"/>
    </row>
    <row r="62" ht="15.75" customHeight="1">
      <c r="A62" s="180">
        <v>4.444191001E9</v>
      </c>
      <c r="B62" s="50" t="s">
        <v>277</v>
      </c>
      <c r="C62" s="43">
        <v>1.0</v>
      </c>
      <c r="D62" s="137">
        <v>365.0</v>
      </c>
      <c r="E62" s="46"/>
      <c r="F62" s="184"/>
      <c r="G62" s="142" t="s">
        <v>274</v>
      </c>
      <c r="H62" s="46"/>
    </row>
    <row r="63" ht="15.75" customHeight="1">
      <c r="A63" s="54">
        <v>4.352483001E9</v>
      </c>
      <c r="B63" s="50" t="s">
        <v>278</v>
      </c>
      <c r="C63" s="43">
        <v>5.0</v>
      </c>
      <c r="D63" s="137">
        <v>365.0</v>
      </c>
      <c r="E63" s="46"/>
      <c r="F63" s="46"/>
      <c r="G63" s="142" t="s">
        <v>279</v>
      </c>
      <c r="H63" s="46"/>
    </row>
    <row r="64" ht="15.75" customHeight="1">
      <c r="A64" s="54">
        <v>5.344620001E9</v>
      </c>
      <c r="B64" s="50" t="s">
        <v>280</v>
      </c>
      <c r="C64" s="43">
        <v>1.0</v>
      </c>
      <c r="D64" s="43">
        <v>365.0</v>
      </c>
      <c r="E64" s="185"/>
      <c r="F64" s="185"/>
      <c r="G64" s="172" t="s">
        <v>274</v>
      </c>
      <c r="H64" s="185"/>
    </row>
    <row r="65" ht="15.75" customHeight="1">
      <c r="A65" s="127"/>
      <c r="B65" s="127"/>
      <c r="C65" s="127"/>
      <c r="D65" s="127"/>
      <c r="E65" s="127"/>
      <c r="F65" s="127"/>
      <c r="G65" s="127"/>
      <c r="H65" s="127"/>
    </row>
    <row r="66" ht="15.75" customHeight="1">
      <c r="A66" s="127"/>
      <c r="B66" s="127"/>
      <c r="C66" s="127"/>
      <c r="D66" s="127"/>
      <c r="E66" s="127"/>
      <c r="F66" s="127"/>
      <c r="G66" s="127"/>
      <c r="H66" s="127"/>
    </row>
    <row r="67" ht="15.75" customHeight="1">
      <c r="A67" s="127"/>
      <c r="B67" s="127"/>
      <c r="C67" s="127"/>
      <c r="D67" s="127"/>
      <c r="E67" s="127"/>
      <c r="F67" s="127"/>
      <c r="G67" s="127"/>
      <c r="H67" s="127"/>
    </row>
    <row r="68" ht="15.75" customHeight="1">
      <c r="A68" s="127"/>
      <c r="B68" s="127"/>
      <c r="C68" s="127"/>
      <c r="D68" s="127"/>
      <c r="E68" s="127"/>
      <c r="F68" s="127"/>
      <c r="G68" s="127"/>
      <c r="H68" s="127"/>
    </row>
    <row r="69" ht="15.75" customHeight="1">
      <c r="A69" s="127"/>
      <c r="B69" s="127"/>
      <c r="C69" s="127"/>
      <c r="D69" s="127"/>
      <c r="E69" s="127"/>
      <c r="F69" s="127"/>
      <c r="G69" s="127"/>
      <c r="H69" s="127"/>
    </row>
    <row r="70" ht="15.75" customHeight="1">
      <c r="A70" s="127"/>
      <c r="B70" s="127"/>
      <c r="C70" s="127"/>
      <c r="D70" s="127"/>
      <c r="E70" s="127"/>
      <c r="F70" s="127"/>
      <c r="G70" s="127"/>
      <c r="H70" s="127"/>
    </row>
    <row r="71" ht="15.75" customHeight="1">
      <c r="A71" s="127"/>
      <c r="B71" s="127"/>
      <c r="C71" s="127"/>
      <c r="D71" s="127"/>
      <c r="E71" s="127"/>
      <c r="F71" s="127"/>
      <c r="G71" s="127"/>
      <c r="H71" s="127"/>
    </row>
    <row r="72" ht="15.75" customHeight="1">
      <c r="A72" s="127"/>
      <c r="B72" s="127"/>
      <c r="C72" s="127"/>
      <c r="D72" s="127"/>
      <c r="E72" s="127"/>
      <c r="F72" s="127"/>
      <c r="G72" s="127"/>
      <c r="H72" s="127"/>
    </row>
    <row r="73" ht="15.75" customHeight="1">
      <c r="A73" s="127"/>
      <c r="B73" s="127"/>
      <c r="C73" s="127"/>
      <c r="D73" s="127"/>
      <c r="E73" s="127"/>
      <c r="F73" s="127"/>
      <c r="G73" s="127"/>
      <c r="H73" s="127"/>
    </row>
    <row r="74" ht="15.75" customHeight="1">
      <c r="A74" s="127"/>
      <c r="B74" s="127"/>
      <c r="C74" s="127"/>
      <c r="D74" s="127"/>
      <c r="E74" s="127"/>
      <c r="F74" s="127"/>
      <c r="G74" s="127"/>
      <c r="H74" s="127"/>
    </row>
    <row r="75" ht="15.75" customHeight="1">
      <c r="A75" s="127"/>
      <c r="B75" s="127"/>
      <c r="C75" s="127"/>
      <c r="D75" s="127"/>
      <c r="E75" s="127"/>
      <c r="F75" s="127"/>
      <c r="G75" s="127"/>
      <c r="H75" s="127"/>
    </row>
    <row r="76" ht="15.75" customHeight="1">
      <c r="A76" s="127"/>
      <c r="B76" s="127"/>
      <c r="C76" s="127"/>
      <c r="D76" s="127"/>
      <c r="E76" s="127"/>
      <c r="F76" s="127"/>
      <c r="G76" s="127"/>
      <c r="H76" s="127"/>
    </row>
    <row r="77" ht="15.75" customHeight="1">
      <c r="A77" s="127"/>
      <c r="B77" s="127"/>
      <c r="C77" s="127"/>
      <c r="D77" s="127"/>
      <c r="E77" s="127"/>
      <c r="F77" s="127"/>
      <c r="G77" s="127"/>
      <c r="H77" s="127"/>
    </row>
    <row r="78" ht="15.75" customHeight="1">
      <c r="A78" s="127"/>
      <c r="B78" s="127"/>
      <c r="C78" s="127"/>
      <c r="D78" s="127"/>
      <c r="E78" s="127"/>
      <c r="F78" s="127"/>
      <c r="G78" s="127"/>
      <c r="H78" s="127"/>
    </row>
    <row r="79" ht="15.75" customHeight="1">
      <c r="A79" s="127"/>
      <c r="B79" s="127"/>
      <c r="C79" s="127"/>
      <c r="D79" s="127"/>
      <c r="E79" s="127"/>
      <c r="F79" s="127"/>
      <c r="G79" s="127"/>
      <c r="H79" s="127"/>
    </row>
    <row r="80" ht="15.75" customHeight="1">
      <c r="A80" s="127"/>
      <c r="B80" s="127"/>
      <c r="C80" s="127"/>
      <c r="D80" s="127"/>
      <c r="E80" s="127"/>
      <c r="F80" s="127"/>
      <c r="G80" s="127"/>
      <c r="H80" s="127"/>
    </row>
    <row r="81" ht="15.75" customHeight="1">
      <c r="A81" s="127"/>
      <c r="B81" s="127"/>
      <c r="C81" s="127"/>
      <c r="D81" s="127"/>
      <c r="E81" s="127"/>
      <c r="F81" s="127"/>
      <c r="G81" s="127"/>
      <c r="H81" s="127"/>
    </row>
    <row r="82" ht="15.75" customHeight="1">
      <c r="A82" s="127"/>
      <c r="B82" s="127"/>
      <c r="C82" s="127"/>
      <c r="D82" s="127"/>
      <c r="E82" s="127"/>
      <c r="F82" s="127"/>
      <c r="G82" s="127"/>
      <c r="H82" s="127"/>
    </row>
    <row r="83" ht="15.75" customHeight="1">
      <c r="A83" s="127"/>
      <c r="B83" s="127"/>
      <c r="C83" s="127"/>
      <c r="D83" s="127"/>
      <c r="E83" s="127"/>
      <c r="F83" s="127"/>
      <c r="G83" s="127"/>
      <c r="H83" s="127"/>
    </row>
    <row r="84" ht="15.75" customHeight="1">
      <c r="A84" s="127"/>
      <c r="B84" s="127"/>
      <c r="C84" s="127"/>
      <c r="D84" s="127"/>
      <c r="E84" s="127"/>
      <c r="F84" s="127"/>
      <c r="G84" s="127"/>
      <c r="H84" s="127"/>
    </row>
    <row r="85" ht="15.75" customHeight="1">
      <c r="A85" s="127"/>
      <c r="B85" s="127"/>
      <c r="C85" s="127"/>
      <c r="D85" s="127"/>
      <c r="E85" s="127"/>
      <c r="F85" s="127"/>
      <c r="G85" s="127"/>
      <c r="H85" s="127"/>
    </row>
    <row r="86" ht="15.75" customHeight="1">
      <c r="A86" s="127"/>
      <c r="B86" s="127"/>
      <c r="C86" s="127"/>
      <c r="D86" s="127"/>
      <c r="E86" s="127"/>
      <c r="F86" s="127"/>
      <c r="G86" s="127"/>
      <c r="H86" s="127"/>
    </row>
    <row r="87" ht="15.75" customHeight="1">
      <c r="A87" s="127"/>
      <c r="B87" s="127"/>
      <c r="C87" s="127"/>
      <c r="D87" s="127"/>
      <c r="E87" s="127"/>
      <c r="F87" s="127"/>
      <c r="G87" s="127"/>
      <c r="H87" s="127"/>
    </row>
    <row r="88" ht="15.75" customHeight="1">
      <c r="A88" s="127"/>
      <c r="B88" s="127"/>
      <c r="C88" s="127"/>
      <c r="D88" s="127"/>
      <c r="E88" s="127"/>
      <c r="F88" s="127"/>
      <c r="G88" s="127"/>
      <c r="H88" s="127"/>
    </row>
    <row r="89" ht="15.75" customHeight="1">
      <c r="A89" s="127"/>
      <c r="B89" s="127"/>
      <c r="C89" s="127"/>
      <c r="D89" s="127"/>
      <c r="E89" s="127"/>
      <c r="F89" s="127"/>
      <c r="G89" s="127"/>
      <c r="H89" s="127"/>
    </row>
    <row r="90" ht="15.75" customHeight="1">
      <c r="A90" s="127"/>
      <c r="B90" s="127"/>
      <c r="C90" s="127"/>
      <c r="D90" s="127"/>
      <c r="E90" s="127"/>
      <c r="F90" s="127"/>
      <c r="G90" s="127"/>
      <c r="H90" s="127"/>
    </row>
    <row r="91" ht="15.75" customHeight="1">
      <c r="A91" s="127"/>
      <c r="B91" s="127"/>
      <c r="C91" s="127"/>
      <c r="D91" s="127"/>
      <c r="E91" s="127"/>
      <c r="F91" s="127"/>
      <c r="G91" s="127"/>
      <c r="H91" s="127"/>
    </row>
    <row r="92" ht="15.75" customHeight="1">
      <c r="A92" s="127"/>
      <c r="B92" s="127"/>
      <c r="C92" s="127"/>
      <c r="D92" s="127"/>
      <c r="E92" s="127"/>
      <c r="F92" s="127"/>
      <c r="G92" s="127"/>
      <c r="H92" s="127"/>
    </row>
    <row r="93" ht="15.75" customHeight="1">
      <c r="A93" s="127"/>
      <c r="B93" s="127"/>
      <c r="C93" s="127"/>
      <c r="D93" s="127"/>
      <c r="E93" s="127"/>
      <c r="F93" s="127"/>
      <c r="G93" s="127"/>
      <c r="H93" s="127"/>
    </row>
    <row r="94" ht="15.75" customHeight="1">
      <c r="A94" s="127"/>
      <c r="B94" s="127"/>
      <c r="C94" s="127"/>
      <c r="D94" s="127"/>
      <c r="E94" s="127"/>
      <c r="F94" s="127"/>
      <c r="G94" s="127"/>
      <c r="H94" s="127"/>
    </row>
    <row r="95" ht="15.75" customHeight="1">
      <c r="A95" s="127"/>
      <c r="B95" s="127"/>
      <c r="C95" s="127"/>
      <c r="D95" s="127"/>
      <c r="E95" s="127"/>
      <c r="F95" s="127"/>
      <c r="G95" s="127"/>
      <c r="H95" s="127"/>
    </row>
    <row r="96" ht="15.75" customHeight="1">
      <c r="A96" s="127"/>
      <c r="B96" s="127"/>
      <c r="C96" s="127"/>
      <c r="D96" s="127"/>
      <c r="E96" s="127"/>
      <c r="F96" s="127"/>
      <c r="G96" s="127"/>
      <c r="H96" s="127"/>
    </row>
    <row r="97" ht="15.75" customHeight="1">
      <c r="A97" s="127"/>
      <c r="B97" s="127"/>
      <c r="C97" s="127"/>
      <c r="D97" s="127"/>
      <c r="E97" s="127"/>
      <c r="F97" s="127"/>
      <c r="G97" s="127"/>
      <c r="H97" s="127"/>
    </row>
    <row r="98" ht="15.75" customHeight="1">
      <c r="A98" s="127"/>
      <c r="B98" s="127"/>
      <c r="C98" s="127"/>
      <c r="D98" s="127"/>
      <c r="E98" s="127"/>
      <c r="F98" s="127"/>
      <c r="G98" s="127"/>
      <c r="H98" s="127"/>
    </row>
    <row r="99" ht="15.75" customHeight="1">
      <c r="A99" s="127"/>
      <c r="B99" s="127"/>
      <c r="C99" s="127"/>
      <c r="D99" s="127"/>
      <c r="E99" s="127"/>
      <c r="F99" s="127"/>
      <c r="G99" s="127"/>
      <c r="H99" s="127"/>
    </row>
    <row r="100" ht="15.75" customHeight="1">
      <c r="A100" s="127"/>
      <c r="B100" s="127"/>
      <c r="C100" s="127"/>
      <c r="D100" s="127"/>
      <c r="E100" s="127"/>
      <c r="F100" s="127"/>
      <c r="G100" s="127"/>
      <c r="H100" s="127"/>
    </row>
    <row r="101" ht="15.75" customHeight="1">
      <c r="A101" s="127"/>
      <c r="B101" s="127"/>
      <c r="C101" s="127"/>
      <c r="D101" s="127"/>
      <c r="E101" s="127"/>
      <c r="F101" s="127"/>
      <c r="G101" s="127"/>
      <c r="H101" s="127"/>
    </row>
    <row r="102" ht="15.75" customHeight="1">
      <c r="A102" s="127"/>
      <c r="B102" s="127"/>
      <c r="C102" s="127"/>
      <c r="D102" s="127"/>
      <c r="E102" s="127"/>
      <c r="F102" s="127"/>
      <c r="G102" s="127"/>
      <c r="H102" s="127"/>
    </row>
    <row r="103" ht="15.75" customHeight="1">
      <c r="A103" s="127"/>
      <c r="B103" s="127"/>
      <c r="C103" s="127"/>
      <c r="D103" s="127"/>
      <c r="E103" s="127"/>
      <c r="F103" s="127"/>
      <c r="G103" s="127"/>
      <c r="H103" s="127"/>
    </row>
    <row r="104" ht="15.75" customHeight="1">
      <c r="A104" s="127"/>
      <c r="B104" s="127"/>
      <c r="C104" s="127"/>
      <c r="D104" s="127"/>
      <c r="E104" s="127"/>
      <c r="F104" s="127"/>
      <c r="G104" s="127"/>
      <c r="H104" s="127"/>
    </row>
    <row r="105" ht="15.75" customHeight="1">
      <c r="A105" s="127"/>
      <c r="B105" s="127"/>
      <c r="C105" s="127"/>
      <c r="D105" s="127"/>
      <c r="E105" s="127"/>
      <c r="F105" s="127"/>
      <c r="G105" s="127"/>
      <c r="H105" s="127"/>
    </row>
    <row r="106" ht="15.75" customHeight="1">
      <c r="A106" s="127"/>
      <c r="B106" s="127"/>
      <c r="C106" s="127"/>
      <c r="D106" s="127"/>
      <c r="E106" s="127"/>
      <c r="F106" s="127"/>
      <c r="G106" s="127"/>
      <c r="H106" s="127"/>
    </row>
    <row r="107" ht="15.75" customHeight="1">
      <c r="A107" s="127"/>
      <c r="B107" s="127"/>
      <c r="C107" s="127"/>
      <c r="D107" s="127"/>
      <c r="E107" s="127"/>
      <c r="F107" s="127"/>
      <c r="G107" s="127"/>
      <c r="H107" s="127"/>
    </row>
    <row r="108" ht="15.75" customHeight="1">
      <c r="A108" s="127"/>
      <c r="B108" s="127"/>
      <c r="C108" s="127"/>
      <c r="D108" s="127"/>
      <c r="E108" s="127"/>
      <c r="F108" s="127"/>
      <c r="G108" s="127"/>
      <c r="H108" s="127"/>
    </row>
    <row r="109" ht="15.75" customHeight="1">
      <c r="A109" s="127"/>
      <c r="B109" s="127"/>
      <c r="C109" s="127"/>
      <c r="D109" s="127"/>
      <c r="E109" s="127"/>
      <c r="F109" s="127"/>
      <c r="G109" s="127"/>
      <c r="H109" s="127"/>
    </row>
    <row r="110" ht="15.75" customHeight="1">
      <c r="A110" s="127"/>
      <c r="B110" s="127"/>
      <c r="C110" s="127"/>
      <c r="D110" s="127"/>
      <c r="E110" s="127"/>
      <c r="F110" s="127"/>
      <c r="G110" s="127"/>
      <c r="H110" s="127"/>
    </row>
    <row r="111" ht="15.75" customHeight="1">
      <c r="A111" s="127"/>
      <c r="B111" s="127"/>
      <c r="C111" s="127"/>
      <c r="D111" s="127"/>
      <c r="E111" s="127"/>
      <c r="F111" s="127"/>
      <c r="G111" s="127"/>
      <c r="H111" s="127"/>
    </row>
    <row r="112" ht="15.75" customHeight="1">
      <c r="A112" s="127"/>
      <c r="B112" s="127"/>
      <c r="C112" s="127"/>
      <c r="D112" s="127"/>
      <c r="E112" s="127"/>
      <c r="F112" s="127"/>
      <c r="G112" s="127"/>
      <c r="H112" s="127"/>
    </row>
    <row r="113" ht="15.75" customHeight="1">
      <c r="A113" s="127"/>
      <c r="B113" s="127"/>
      <c r="C113" s="127"/>
      <c r="D113" s="127"/>
      <c r="E113" s="127"/>
      <c r="F113" s="127"/>
      <c r="G113" s="127"/>
      <c r="H113" s="127"/>
    </row>
    <row r="114" ht="15.75" customHeight="1">
      <c r="A114" s="127"/>
      <c r="B114" s="127"/>
      <c r="C114" s="127"/>
      <c r="D114" s="127"/>
      <c r="E114" s="127"/>
      <c r="F114" s="127"/>
      <c r="G114" s="127"/>
      <c r="H114" s="127"/>
    </row>
    <row r="115" ht="15.75" customHeight="1">
      <c r="A115" s="127"/>
      <c r="B115" s="127"/>
      <c r="C115" s="127"/>
      <c r="D115" s="127"/>
      <c r="E115" s="127"/>
      <c r="F115" s="127"/>
      <c r="G115" s="127"/>
      <c r="H115" s="127"/>
    </row>
    <row r="116" ht="15.75" customHeight="1">
      <c r="A116" s="127"/>
      <c r="B116" s="127"/>
      <c r="C116" s="127"/>
      <c r="D116" s="127"/>
      <c r="E116" s="127"/>
      <c r="F116" s="127"/>
      <c r="G116" s="127"/>
      <c r="H116" s="127"/>
    </row>
    <row r="117" ht="15.75" customHeight="1">
      <c r="A117" s="127"/>
      <c r="B117" s="127"/>
      <c r="C117" s="127"/>
      <c r="D117" s="127"/>
      <c r="E117" s="127"/>
      <c r="F117" s="127"/>
      <c r="G117" s="127"/>
      <c r="H117" s="127"/>
    </row>
    <row r="118" ht="15.75" customHeight="1">
      <c r="A118" s="127"/>
      <c r="B118" s="127"/>
      <c r="C118" s="127"/>
      <c r="D118" s="127"/>
      <c r="E118" s="127"/>
      <c r="F118" s="127"/>
      <c r="G118" s="127"/>
      <c r="H118" s="127"/>
    </row>
    <row r="119" ht="15.75" customHeight="1">
      <c r="A119" s="127"/>
      <c r="B119" s="127"/>
      <c r="C119" s="127"/>
      <c r="D119" s="127"/>
      <c r="E119" s="127"/>
      <c r="F119" s="127"/>
      <c r="G119" s="127"/>
      <c r="H119" s="127"/>
    </row>
    <row r="120" ht="15.75" customHeight="1">
      <c r="A120" s="127"/>
      <c r="B120" s="127"/>
      <c r="C120" s="127"/>
      <c r="D120" s="127"/>
      <c r="E120" s="127"/>
      <c r="F120" s="127"/>
      <c r="G120" s="127"/>
      <c r="H120" s="127"/>
    </row>
    <row r="121" ht="15.75" customHeight="1">
      <c r="A121" s="127"/>
      <c r="B121" s="127"/>
      <c r="C121" s="127"/>
      <c r="D121" s="127"/>
      <c r="E121" s="127"/>
      <c r="F121" s="127"/>
      <c r="G121" s="127"/>
      <c r="H121" s="127"/>
    </row>
    <row r="122" ht="15.75" customHeight="1">
      <c r="A122" s="127"/>
      <c r="B122" s="127"/>
      <c r="C122" s="127"/>
      <c r="D122" s="127"/>
      <c r="E122" s="127"/>
      <c r="F122" s="127"/>
      <c r="G122" s="127"/>
      <c r="H122" s="127"/>
    </row>
    <row r="123" ht="15.75" customHeight="1">
      <c r="A123" s="127"/>
      <c r="B123" s="127"/>
      <c r="C123" s="127"/>
      <c r="D123" s="127"/>
      <c r="E123" s="127"/>
      <c r="F123" s="127"/>
      <c r="G123" s="127"/>
      <c r="H123" s="127"/>
    </row>
    <row r="124" ht="15.75" customHeight="1">
      <c r="A124" s="127"/>
      <c r="B124" s="127"/>
      <c r="C124" s="127"/>
      <c r="D124" s="127"/>
      <c r="E124" s="127"/>
      <c r="F124" s="127"/>
      <c r="G124" s="127"/>
      <c r="H124" s="127"/>
    </row>
    <row r="125" ht="15.75" customHeight="1">
      <c r="A125" s="127"/>
      <c r="B125" s="127"/>
      <c r="C125" s="127"/>
      <c r="D125" s="127"/>
      <c r="E125" s="127"/>
      <c r="F125" s="127"/>
      <c r="G125" s="127"/>
      <c r="H125" s="127"/>
    </row>
    <row r="126" ht="15.75" customHeight="1">
      <c r="A126" s="127"/>
      <c r="B126" s="127"/>
      <c r="C126" s="127"/>
      <c r="D126" s="127"/>
      <c r="E126" s="127"/>
      <c r="F126" s="127"/>
      <c r="G126" s="127"/>
      <c r="H126" s="127"/>
    </row>
    <row r="127" ht="15.75" customHeight="1">
      <c r="A127" s="127"/>
      <c r="B127" s="127"/>
      <c r="C127" s="127"/>
      <c r="D127" s="127"/>
      <c r="E127" s="127"/>
      <c r="F127" s="127"/>
      <c r="G127" s="127"/>
      <c r="H127" s="127"/>
    </row>
    <row r="128" ht="15.75" customHeight="1">
      <c r="A128" s="127"/>
      <c r="B128" s="127"/>
      <c r="C128" s="127"/>
      <c r="D128" s="127"/>
      <c r="E128" s="127"/>
      <c r="F128" s="127"/>
      <c r="G128" s="127"/>
      <c r="H128" s="127"/>
    </row>
    <row r="129" ht="15.75" customHeight="1">
      <c r="A129" s="127"/>
      <c r="B129" s="127"/>
      <c r="C129" s="127"/>
      <c r="D129" s="127"/>
      <c r="E129" s="127"/>
      <c r="F129" s="127"/>
      <c r="G129" s="127"/>
      <c r="H129" s="127"/>
    </row>
    <row r="130" ht="15.75" customHeight="1">
      <c r="A130" s="127"/>
      <c r="B130" s="127"/>
      <c r="C130" s="127"/>
      <c r="D130" s="127"/>
      <c r="E130" s="127"/>
      <c r="F130" s="127"/>
      <c r="G130" s="127"/>
      <c r="H130" s="127"/>
    </row>
    <row r="131" ht="15.75" customHeight="1">
      <c r="A131" s="127"/>
      <c r="B131" s="127"/>
      <c r="C131" s="127"/>
      <c r="D131" s="127"/>
      <c r="E131" s="127"/>
      <c r="F131" s="127"/>
      <c r="G131" s="127"/>
      <c r="H131" s="127"/>
    </row>
    <row r="132" ht="15.75" customHeight="1">
      <c r="A132" s="127"/>
      <c r="B132" s="127"/>
      <c r="C132" s="127"/>
      <c r="D132" s="127"/>
      <c r="E132" s="127"/>
      <c r="F132" s="127"/>
      <c r="G132" s="127"/>
      <c r="H132" s="127"/>
    </row>
    <row r="133" ht="15.75" customHeight="1">
      <c r="A133" s="127"/>
      <c r="B133" s="127"/>
      <c r="C133" s="127"/>
      <c r="D133" s="127"/>
      <c r="E133" s="127"/>
      <c r="F133" s="127"/>
      <c r="G133" s="127"/>
      <c r="H133" s="127"/>
    </row>
    <row r="134" ht="15.75" customHeight="1">
      <c r="A134" s="127"/>
      <c r="B134" s="127"/>
      <c r="C134" s="127"/>
      <c r="D134" s="127"/>
      <c r="E134" s="127"/>
      <c r="F134" s="127"/>
      <c r="G134" s="127"/>
      <c r="H134" s="127"/>
    </row>
    <row r="135" ht="15.75" customHeight="1">
      <c r="A135" s="127"/>
      <c r="B135" s="127"/>
      <c r="C135" s="127"/>
      <c r="D135" s="127"/>
      <c r="E135" s="127"/>
      <c r="F135" s="127"/>
      <c r="G135" s="127"/>
      <c r="H135" s="127"/>
    </row>
    <row r="136" ht="15.75" customHeight="1">
      <c r="A136" s="127"/>
      <c r="B136" s="127"/>
      <c r="C136" s="127"/>
      <c r="D136" s="127"/>
      <c r="E136" s="127"/>
      <c r="F136" s="127"/>
      <c r="G136" s="127"/>
      <c r="H136" s="127"/>
    </row>
    <row r="137" ht="15.75" customHeight="1">
      <c r="A137" s="127"/>
      <c r="B137" s="127"/>
      <c r="C137" s="127"/>
      <c r="D137" s="127"/>
      <c r="E137" s="127"/>
      <c r="F137" s="127"/>
      <c r="G137" s="127"/>
      <c r="H137" s="127"/>
    </row>
    <row r="138" ht="15.75" customHeight="1">
      <c r="A138" s="127"/>
      <c r="B138" s="127"/>
      <c r="C138" s="127"/>
      <c r="D138" s="127"/>
      <c r="E138" s="127"/>
      <c r="F138" s="127"/>
      <c r="G138" s="127"/>
      <c r="H138" s="127"/>
    </row>
    <row r="139" ht="15.75" customHeight="1">
      <c r="A139" s="127"/>
      <c r="B139" s="127"/>
      <c r="C139" s="127"/>
      <c r="D139" s="127"/>
      <c r="E139" s="127"/>
      <c r="F139" s="127"/>
      <c r="G139" s="127"/>
      <c r="H139" s="127"/>
    </row>
    <row r="140" ht="15.75" customHeight="1">
      <c r="A140" s="127"/>
      <c r="B140" s="127"/>
      <c r="C140" s="127"/>
      <c r="D140" s="127"/>
      <c r="E140" s="127"/>
      <c r="F140" s="127"/>
      <c r="G140" s="127"/>
      <c r="H140" s="127"/>
    </row>
    <row r="141" ht="15.75" customHeight="1">
      <c r="A141" s="127"/>
      <c r="B141" s="127"/>
      <c r="C141" s="127"/>
      <c r="D141" s="127"/>
      <c r="E141" s="127"/>
      <c r="F141" s="127"/>
      <c r="G141" s="127"/>
      <c r="H141" s="127"/>
    </row>
    <row r="142" ht="15.75" customHeight="1">
      <c r="A142" s="127"/>
      <c r="B142" s="127"/>
      <c r="C142" s="127"/>
      <c r="D142" s="127"/>
      <c r="E142" s="127"/>
      <c r="F142" s="127"/>
      <c r="G142" s="127"/>
      <c r="H142" s="127"/>
    </row>
    <row r="143" ht="15.75" customHeight="1">
      <c r="A143" s="127"/>
      <c r="B143" s="127"/>
      <c r="C143" s="127"/>
      <c r="D143" s="127"/>
      <c r="E143" s="127"/>
      <c r="F143" s="127"/>
      <c r="G143" s="127"/>
      <c r="H143" s="127"/>
    </row>
    <row r="144" ht="15.75" customHeight="1">
      <c r="A144" s="127"/>
      <c r="B144" s="127"/>
      <c r="C144" s="127"/>
      <c r="D144" s="127"/>
      <c r="E144" s="127"/>
      <c r="F144" s="127"/>
      <c r="G144" s="127"/>
      <c r="H144" s="127"/>
    </row>
    <row r="145" ht="15.75" customHeight="1">
      <c r="A145" s="127"/>
      <c r="B145" s="127"/>
      <c r="C145" s="127"/>
      <c r="D145" s="127"/>
      <c r="E145" s="127"/>
      <c r="F145" s="127"/>
      <c r="G145" s="127"/>
      <c r="H145" s="127"/>
    </row>
    <row r="146" ht="15.75" customHeight="1">
      <c r="A146" s="127"/>
      <c r="B146" s="127"/>
      <c r="C146" s="127"/>
      <c r="D146" s="127"/>
      <c r="E146" s="127"/>
      <c r="F146" s="127"/>
      <c r="G146" s="127"/>
      <c r="H146" s="127"/>
    </row>
    <row r="147" ht="15.75" customHeight="1">
      <c r="A147" s="127"/>
      <c r="B147" s="127"/>
      <c r="C147" s="127"/>
      <c r="D147" s="127"/>
      <c r="E147" s="127"/>
      <c r="F147" s="127"/>
      <c r="G147" s="127"/>
      <c r="H147" s="127"/>
    </row>
    <row r="148" ht="15.75" customHeight="1">
      <c r="A148" s="127"/>
      <c r="B148" s="127"/>
      <c r="C148" s="127"/>
      <c r="D148" s="127"/>
      <c r="E148" s="127"/>
      <c r="F148" s="127"/>
      <c r="G148" s="127"/>
      <c r="H148" s="127"/>
    </row>
    <row r="149" ht="15.75" customHeight="1">
      <c r="A149" s="127"/>
      <c r="B149" s="127"/>
      <c r="C149" s="127"/>
      <c r="D149" s="127"/>
      <c r="E149" s="127"/>
      <c r="F149" s="127"/>
      <c r="G149" s="127"/>
      <c r="H149" s="127"/>
    </row>
    <row r="150" ht="15.75" customHeight="1">
      <c r="A150" s="127"/>
      <c r="B150" s="127"/>
      <c r="C150" s="127"/>
      <c r="D150" s="127"/>
      <c r="E150" s="127"/>
      <c r="F150" s="127"/>
      <c r="G150" s="127"/>
      <c r="H150" s="127"/>
    </row>
    <row r="151" ht="15.75" customHeight="1">
      <c r="A151" s="127"/>
      <c r="B151" s="127"/>
      <c r="C151" s="127"/>
      <c r="D151" s="127"/>
      <c r="E151" s="127"/>
      <c r="F151" s="127"/>
      <c r="G151" s="127"/>
      <c r="H151" s="127"/>
    </row>
    <row r="152" ht="15.75" customHeight="1">
      <c r="A152" s="127"/>
      <c r="B152" s="127"/>
      <c r="C152" s="127"/>
      <c r="D152" s="127"/>
      <c r="E152" s="127"/>
      <c r="F152" s="127"/>
      <c r="G152" s="127"/>
      <c r="H152" s="127"/>
    </row>
    <row r="153" ht="15.75" customHeight="1">
      <c r="A153" s="127"/>
      <c r="B153" s="127"/>
      <c r="C153" s="127"/>
      <c r="D153" s="127"/>
      <c r="E153" s="127"/>
      <c r="F153" s="127"/>
      <c r="G153" s="127"/>
      <c r="H153" s="127"/>
    </row>
    <row r="154" ht="15.75" customHeight="1">
      <c r="A154" s="127"/>
      <c r="B154" s="127"/>
      <c r="C154" s="127"/>
      <c r="D154" s="127"/>
      <c r="E154" s="127"/>
      <c r="F154" s="127"/>
      <c r="G154" s="127"/>
      <c r="H154" s="127"/>
    </row>
    <row r="155" ht="15.75" customHeight="1">
      <c r="A155" s="127"/>
      <c r="B155" s="127"/>
      <c r="C155" s="127"/>
      <c r="D155" s="127"/>
      <c r="E155" s="127"/>
      <c r="F155" s="127"/>
      <c r="G155" s="127"/>
      <c r="H155" s="127"/>
    </row>
    <row r="156" ht="15.75" customHeight="1">
      <c r="A156" s="127"/>
      <c r="B156" s="127"/>
      <c r="C156" s="127"/>
      <c r="D156" s="127"/>
      <c r="E156" s="127"/>
      <c r="F156" s="127"/>
      <c r="G156" s="127"/>
      <c r="H156" s="127"/>
    </row>
    <row r="157" ht="15.75" customHeight="1">
      <c r="A157" s="127"/>
      <c r="B157" s="127"/>
      <c r="C157" s="127"/>
      <c r="D157" s="127"/>
      <c r="E157" s="127"/>
      <c r="F157" s="127"/>
      <c r="G157" s="127"/>
      <c r="H157" s="127"/>
    </row>
    <row r="158" ht="15.75" customHeight="1">
      <c r="A158" s="127"/>
      <c r="B158" s="127"/>
      <c r="C158" s="127"/>
      <c r="D158" s="127"/>
      <c r="E158" s="127"/>
      <c r="F158" s="127"/>
      <c r="G158" s="127"/>
      <c r="H158" s="127"/>
    </row>
    <row r="159" ht="15.75" customHeight="1">
      <c r="A159" s="127"/>
      <c r="B159" s="127"/>
      <c r="C159" s="127"/>
      <c r="D159" s="127"/>
      <c r="E159" s="127"/>
      <c r="F159" s="127"/>
      <c r="G159" s="127"/>
      <c r="H159" s="127"/>
    </row>
    <row r="160" ht="15.75" customHeight="1">
      <c r="A160" s="127"/>
      <c r="B160" s="127"/>
      <c r="C160" s="127"/>
      <c r="D160" s="127"/>
      <c r="E160" s="127"/>
      <c r="F160" s="127"/>
      <c r="G160" s="127"/>
      <c r="H160" s="127"/>
    </row>
    <row r="161" ht="15.75" customHeight="1">
      <c r="A161" s="127"/>
      <c r="B161" s="127"/>
      <c r="C161" s="127"/>
      <c r="D161" s="127"/>
      <c r="E161" s="127"/>
      <c r="F161" s="127"/>
      <c r="G161" s="127"/>
      <c r="H161" s="127"/>
    </row>
    <row r="162" ht="15.75" customHeight="1">
      <c r="A162" s="127"/>
      <c r="B162" s="127"/>
      <c r="C162" s="127"/>
      <c r="D162" s="127"/>
      <c r="E162" s="127"/>
      <c r="F162" s="127"/>
      <c r="G162" s="127"/>
      <c r="H162" s="127"/>
    </row>
    <row r="163" ht="15.75" customHeight="1">
      <c r="A163" s="127"/>
      <c r="B163" s="127"/>
      <c r="C163" s="127"/>
      <c r="D163" s="127"/>
      <c r="E163" s="127"/>
      <c r="F163" s="127"/>
      <c r="G163" s="127"/>
      <c r="H163" s="127"/>
    </row>
    <row r="164" ht="15.75" customHeight="1">
      <c r="A164" s="127"/>
      <c r="B164" s="127"/>
      <c r="C164" s="127"/>
      <c r="D164" s="127"/>
      <c r="E164" s="127"/>
      <c r="F164" s="127"/>
      <c r="G164" s="127"/>
      <c r="H164" s="127"/>
    </row>
    <row r="165" ht="15.75" customHeight="1">
      <c r="A165" s="127"/>
      <c r="B165" s="127"/>
      <c r="C165" s="127"/>
      <c r="D165" s="127"/>
      <c r="E165" s="127"/>
      <c r="F165" s="127"/>
      <c r="G165" s="127"/>
      <c r="H165" s="127"/>
    </row>
    <row r="166" ht="15.75" customHeight="1">
      <c r="A166" s="127"/>
      <c r="B166" s="127"/>
      <c r="C166" s="127"/>
      <c r="D166" s="127"/>
      <c r="E166" s="127"/>
      <c r="F166" s="127"/>
      <c r="G166" s="127"/>
      <c r="H166" s="127"/>
    </row>
    <row r="167" ht="15.75" customHeight="1">
      <c r="A167" s="127"/>
      <c r="B167" s="127"/>
      <c r="C167" s="127"/>
      <c r="D167" s="127"/>
      <c r="E167" s="127"/>
      <c r="F167" s="127"/>
      <c r="G167" s="127"/>
      <c r="H167" s="127"/>
    </row>
    <row r="168" ht="15.75" customHeight="1">
      <c r="A168" s="127"/>
      <c r="B168" s="127"/>
      <c r="C168" s="127"/>
      <c r="D168" s="127"/>
      <c r="E168" s="127"/>
      <c r="F168" s="127"/>
      <c r="G168" s="127"/>
      <c r="H168" s="127"/>
    </row>
    <row r="169" ht="15.75" customHeight="1">
      <c r="A169" s="127"/>
      <c r="B169" s="127"/>
      <c r="C169" s="127"/>
      <c r="D169" s="127"/>
      <c r="E169" s="127"/>
      <c r="F169" s="127"/>
      <c r="G169" s="127"/>
      <c r="H169" s="127"/>
    </row>
    <row r="170" ht="15.75" customHeight="1">
      <c r="A170" s="127"/>
      <c r="B170" s="127"/>
      <c r="C170" s="127"/>
      <c r="D170" s="127"/>
      <c r="E170" s="127"/>
      <c r="F170" s="127"/>
      <c r="G170" s="127"/>
      <c r="H170" s="127"/>
    </row>
    <row r="171" ht="15.75" customHeight="1">
      <c r="A171" s="127"/>
      <c r="B171" s="127"/>
      <c r="C171" s="127"/>
      <c r="D171" s="127"/>
      <c r="E171" s="127"/>
      <c r="F171" s="127"/>
      <c r="G171" s="127"/>
      <c r="H171" s="127"/>
    </row>
    <row r="172" ht="15.75" customHeight="1">
      <c r="A172" s="127"/>
      <c r="B172" s="127"/>
      <c r="C172" s="127"/>
      <c r="D172" s="127"/>
      <c r="E172" s="127"/>
      <c r="F172" s="127"/>
      <c r="G172" s="127"/>
      <c r="H172" s="127"/>
    </row>
    <row r="173" ht="15.75" customHeight="1">
      <c r="A173" s="127"/>
      <c r="B173" s="127"/>
      <c r="C173" s="127"/>
      <c r="D173" s="127"/>
      <c r="E173" s="127"/>
      <c r="F173" s="127"/>
      <c r="G173" s="127"/>
      <c r="H173" s="127"/>
    </row>
    <row r="174" ht="15.75" customHeight="1">
      <c r="A174" s="127"/>
      <c r="B174" s="127"/>
      <c r="C174" s="127"/>
      <c r="D174" s="127"/>
      <c r="E174" s="127"/>
      <c r="F174" s="127"/>
      <c r="G174" s="127"/>
      <c r="H174" s="127"/>
    </row>
    <row r="175" ht="15.75" customHeight="1">
      <c r="A175" s="127"/>
      <c r="B175" s="127"/>
      <c r="C175" s="127"/>
      <c r="D175" s="127"/>
      <c r="E175" s="127"/>
      <c r="F175" s="127"/>
      <c r="G175" s="127"/>
      <c r="H175" s="127"/>
    </row>
    <row r="176" ht="15.75" customHeight="1">
      <c r="A176" s="127"/>
      <c r="B176" s="127"/>
      <c r="C176" s="127"/>
      <c r="D176" s="127"/>
      <c r="E176" s="127"/>
      <c r="F176" s="127"/>
      <c r="G176" s="127"/>
      <c r="H176" s="127"/>
    </row>
    <row r="177" ht="15.75" customHeight="1">
      <c r="A177" s="127"/>
      <c r="B177" s="127"/>
      <c r="C177" s="127"/>
      <c r="D177" s="127"/>
      <c r="E177" s="127"/>
      <c r="F177" s="127"/>
      <c r="G177" s="127"/>
      <c r="H177" s="127"/>
    </row>
    <row r="178" ht="15.75" customHeight="1">
      <c r="A178" s="127"/>
      <c r="B178" s="127"/>
      <c r="C178" s="127"/>
      <c r="D178" s="127"/>
      <c r="E178" s="127"/>
      <c r="F178" s="127"/>
      <c r="G178" s="127"/>
      <c r="H178" s="127"/>
    </row>
    <row r="179" ht="15.75" customHeight="1">
      <c r="A179" s="127"/>
      <c r="B179" s="127"/>
      <c r="C179" s="127"/>
      <c r="D179" s="127"/>
      <c r="E179" s="127"/>
      <c r="F179" s="127"/>
      <c r="G179" s="127"/>
      <c r="H179" s="127"/>
    </row>
    <row r="180" ht="15.75" customHeight="1">
      <c r="A180" s="127"/>
      <c r="B180" s="127"/>
      <c r="C180" s="127"/>
      <c r="D180" s="127"/>
      <c r="E180" s="127"/>
      <c r="F180" s="127"/>
      <c r="G180" s="127"/>
      <c r="H180" s="127"/>
    </row>
    <row r="181" ht="15.75" customHeight="1">
      <c r="A181" s="127"/>
      <c r="B181" s="127"/>
      <c r="C181" s="127"/>
      <c r="D181" s="127"/>
      <c r="E181" s="127"/>
      <c r="F181" s="127"/>
      <c r="G181" s="127"/>
      <c r="H181" s="127"/>
    </row>
    <row r="182" ht="15.75" customHeight="1">
      <c r="A182" s="127"/>
      <c r="B182" s="127"/>
      <c r="C182" s="127"/>
      <c r="D182" s="127"/>
      <c r="E182" s="127"/>
      <c r="F182" s="127"/>
      <c r="G182" s="127"/>
      <c r="H182" s="127"/>
    </row>
    <row r="183" ht="15.75" customHeight="1">
      <c r="A183" s="127"/>
      <c r="B183" s="127"/>
      <c r="C183" s="127"/>
      <c r="D183" s="127"/>
      <c r="E183" s="127"/>
      <c r="F183" s="127"/>
      <c r="G183" s="127"/>
      <c r="H183" s="127"/>
    </row>
    <row r="184" ht="15.75" customHeight="1">
      <c r="A184" s="127"/>
      <c r="B184" s="127"/>
      <c r="C184" s="127"/>
      <c r="D184" s="127"/>
      <c r="E184" s="127"/>
      <c r="F184" s="127"/>
      <c r="G184" s="127"/>
      <c r="H184" s="127"/>
    </row>
    <row r="185" ht="15.75" customHeight="1">
      <c r="A185" s="127"/>
      <c r="B185" s="127"/>
      <c r="C185" s="127"/>
      <c r="D185" s="127"/>
      <c r="E185" s="127"/>
      <c r="F185" s="127"/>
      <c r="G185" s="127"/>
      <c r="H185" s="127"/>
    </row>
    <row r="186" ht="15.75" customHeight="1">
      <c r="A186" s="127"/>
      <c r="B186" s="127"/>
      <c r="C186" s="127"/>
      <c r="D186" s="127"/>
      <c r="E186" s="127"/>
      <c r="F186" s="127"/>
      <c r="G186" s="127"/>
      <c r="H186" s="127"/>
    </row>
    <row r="187" ht="15.75" customHeight="1">
      <c r="A187" s="127"/>
      <c r="B187" s="127"/>
      <c r="C187" s="127"/>
      <c r="D187" s="127"/>
      <c r="E187" s="127"/>
      <c r="F187" s="127"/>
      <c r="G187" s="127"/>
      <c r="H187" s="127"/>
    </row>
    <row r="188" ht="15.75" customHeight="1">
      <c r="A188" s="127"/>
      <c r="B188" s="127"/>
      <c r="C188" s="127"/>
      <c r="D188" s="127"/>
      <c r="E188" s="127"/>
      <c r="F188" s="127"/>
      <c r="G188" s="127"/>
      <c r="H188" s="127"/>
    </row>
    <row r="189" ht="15.75" customHeight="1">
      <c r="A189" s="127"/>
      <c r="B189" s="127"/>
      <c r="C189" s="127"/>
      <c r="D189" s="127"/>
      <c r="E189" s="127"/>
      <c r="F189" s="127"/>
      <c r="G189" s="127"/>
      <c r="H189" s="127"/>
    </row>
    <row r="190" ht="15.75" customHeight="1">
      <c r="A190" s="127"/>
      <c r="B190" s="127"/>
      <c r="C190" s="127"/>
      <c r="D190" s="127"/>
      <c r="E190" s="127"/>
      <c r="F190" s="127"/>
      <c r="G190" s="127"/>
      <c r="H190" s="127"/>
    </row>
    <row r="191" ht="15.75" customHeight="1">
      <c r="A191" s="127"/>
      <c r="B191" s="127"/>
      <c r="C191" s="127"/>
      <c r="D191" s="127"/>
      <c r="E191" s="127"/>
      <c r="F191" s="127"/>
      <c r="G191" s="127"/>
      <c r="H191" s="127"/>
    </row>
    <row r="192" ht="15.75" customHeight="1">
      <c r="A192" s="127"/>
      <c r="B192" s="127"/>
      <c r="C192" s="127"/>
      <c r="D192" s="127"/>
      <c r="E192" s="127"/>
      <c r="F192" s="127"/>
      <c r="G192" s="127"/>
      <c r="H192" s="127"/>
    </row>
    <row r="193" ht="15.75" customHeight="1">
      <c r="A193" s="127"/>
      <c r="B193" s="127"/>
      <c r="C193" s="127"/>
      <c r="D193" s="127"/>
      <c r="E193" s="127"/>
      <c r="F193" s="127"/>
      <c r="G193" s="127"/>
      <c r="H193" s="127"/>
    </row>
    <row r="194" ht="15.75" customHeight="1">
      <c r="A194" s="127"/>
      <c r="B194" s="127"/>
      <c r="C194" s="127"/>
      <c r="D194" s="127"/>
      <c r="E194" s="127"/>
      <c r="F194" s="127"/>
      <c r="G194" s="127"/>
      <c r="H194" s="127"/>
    </row>
    <row r="195" ht="15.75" customHeight="1">
      <c r="A195" s="127"/>
      <c r="B195" s="127"/>
      <c r="C195" s="127"/>
      <c r="D195" s="127"/>
      <c r="E195" s="127"/>
      <c r="F195" s="127"/>
      <c r="G195" s="127"/>
      <c r="H195" s="127"/>
    </row>
    <row r="196" ht="15.75" customHeight="1">
      <c r="A196" s="127"/>
      <c r="B196" s="127"/>
      <c r="C196" s="127"/>
      <c r="D196" s="127"/>
      <c r="E196" s="127"/>
      <c r="F196" s="127"/>
      <c r="G196" s="127"/>
      <c r="H196" s="127"/>
    </row>
    <row r="197" ht="15.75" customHeight="1">
      <c r="A197" s="127"/>
      <c r="B197" s="127"/>
      <c r="C197" s="127"/>
      <c r="D197" s="127"/>
      <c r="E197" s="127"/>
      <c r="F197" s="127"/>
      <c r="G197" s="127"/>
      <c r="H197" s="127"/>
    </row>
    <row r="198" ht="15.75" customHeight="1">
      <c r="A198" s="127"/>
      <c r="B198" s="127"/>
      <c r="C198" s="127"/>
      <c r="D198" s="127"/>
      <c r="E198" s="127"/>
      <c r="F198" s="127"/>
      <c r="G198" s="127"/>
      <c r="H198" s="127"/>
    </row>
    <row r="199" ht="15.75" customHeight="1">
      <c r="A199" s="127"/>
      <c r="B199" s="127"/>
      <c r="C199" s="127"/>
      <c r="D199" s="127"/>
      <c r="E199" s="127"/>
      <c r="F199" s="127"/>
      <c r="G199" s="127"/>
      <c r="H199" s="127"/>
    </row>
    <row r="200" ht="15.75" customHeight="1">
      <c r="A200" s="127"/>
      <c r="B200" s="127"/>
      <c r="C200" s="127"/>
      <c r="D200" s="127"/>
      <c r="E200" s="127"/>
      <c r="F200" s="127"/>
      <c r="G200" s="127"/>
      <c r="H200" s="127"/>
    </row>
    <row r="201" ht="15.75" customHeight="1">
      <c r="A201" s="127"/>
      <c r="B201" s="127"/>
      <c r="C201" s="127"/>
      <c r="D201" s="127"/>
      <c r="E201" s="127"/>
      <c r="F201" s="127"/>
      <c r="G201" s="127"/>
      <c r="H201" s="127"/>
    </row>
    <row r="202" ht="15.75" customHeight="1">
      <c r="A202" s="127"/>
      <c r="B202" s="127"/>
      <c r="C202" s="127"/>
      <c r="D202" s="127"/>
      <c r="E202" s="127"/>
      <c r="F202" s="127"/>
      <c r="G202" s="127"/>
      <c r="H202" s="127"/>
    </row>
    <row r="203" ht="15.75" customHeight="1">
      <c r="A203" s="127"/>
      <c r="B203" s="127"/>
      <c r="C203" s="127"/>
      <c r="D203" s="127"/>
      <c r="E203" s="127"/>
      <c r="F203" s="127"/>
      <c r="G203" s="127"/>
      <c r="H203" s="127"/>
    </row>
    <row r="204" ht="15.75" customHeight="1">
      <c r="A204" s="127"/>
      <c r="B204" s="127"/>
      <c r="C204" s="127"/>
      <c r="D204" s="127"/>
      <c r="E204" s="127"/>
      <c r="F204" s="127"/>
      <c r="G204" s="127"/>
      <c r="H204" s="127"/>
    </row>
    <row r="205" ht="15.75" customHeight="1">
      <c r="A205" s="127"/>
      <c r="B205" s="127"/>
      <c r="C205" s="127"/>
      <c r="D205" s="127"/>
      <c r="E205" s="127"/>
      <c r="F205" s="127"/>
      <c r="G205" s="127"/>
      <c r="H205" s="127"/>
    </row>
    <row r="206" ht="15.75" customHeight="1">
      <c r="A206" s="127"/>
      <c r="B206" s="127"/>
      <c r="C206" s="127"/>
      <c r="D206" s="127"/>
      <c r="E206" s="127"/>
      <c r="F206" s="127"/>
      <c r="G206" s="127"/>
      <c r="H206" s="127"/>
    </row>
    <row r="207" ht="15.75" customHeight="1">
      <c r="A207" s="127"/>
      <c r="B207" s="127"/>
      <c r="C207" s="127"/>
      <c r="D207" s="127"/>
      <c r="E207" s="127"/>
      <c r="F207" s="127"/>
      <c r="G207" s="127"/>
      <c r="H207" s="127"/>
    </row>
    <row r="208" ht="15.75" customHeight="1">
      <c r="A208" s="127"/>
      <c r="B208" s="127"/>
      <c r="C208" s="127"/>
      <c r="D208" s="127"/>
      <c r="E208" s="127"/>
      <c r="F208" s="127"/>
      <c r="G208" s="127"/>
      <c r="H208" s="127"/>
    </row>
    <row r="209" ht="15.75" customHeight="1">
      <c r="A209" s="127"/>
      <c r="B209" s="127"/>
      <c r="C209" s="127"/>
      <c r="D209" s="127"/>
      <c r="E209" s="127"/>
      <c r="F209" s="127"/>
      <c r="G209" s="127"/>
      <c r="H209" s="127"/>
    </row>
    <row r="210" ht="15.75" customHeight="1">
      <c r="A210" s="127"/>
      <c r="B210" s="127"/>
      <c r="C210" s="127"/>
      <c r="D210" s="127"/>
      <c r="E210" s="127"/>
      <c r="F210" s="127"/>
      <c r="G210" s="127"/>
      <c r="H210" s="127"/>
    </row>
    <row r="211" ht="15.75" customHeight="1">
      <c r="A211" s="127"/>
      <c r="B211" s="127"/>
      <c r="C211" s="127"/>
      <c r="D211" s="127"/>
      <c r="E211" s="127"/>
      <c r="F211" s="127"/>
      <c r="G211" s="127"/>
      <c r="H211" s="127"/>
    </row>
    <row r="212" ht="15.75" customHeight="1">
      <c r="A212" s="127"/>
      <c r="B212" s="127"/>
      <c r="C212" s="127"/>
      <c r="D212" s="127"/>
      <c r="E212" s="127"/>
      <c r="F212" s="127"/>
      <c r="G212" s="127"/>
      <c r="H212" s="127"/>
    </row>
    <row r="213" ht="15.75" customHeight="1">
      <c r="A213" s="127"/>
      <c r="B213" s="127"/>
      <c r="C213" s="127"/>
      <c r="D213" s="127"/>
      <c r="E213" s="127"/>
      <c r="F213" s="127"/>
      <c r="G213" s="127"/>
      <c r="H213" s="127"/>
    </row>
    <row r="214" ht="15.75" customHeight="1">
      <c r="A214" s="127"/>
      <c r="B214" s="127"/>
      <c r="C214" s="127"/>
      <c r="D214" s="127"/>
      <c r="E214" s="127"/>
      <c r="F214" s="127"/>
      <c r="G214" s="127"/>
      <c r="H214" s="127"/>
    </row>
    <row r="215" ht="15.75" customHeight="1">
      <c r="A215" s="127"/>
      <c r="B215" s="127"/>
      <c r="C215" s="127"/>
      <c r="D215" s="127"/>
      <c r="E215" s="127"/>
      <c r="F215" s="127"/>
      <c r="G215" s="127"/>
      <c r="H215" s="127"/>
    </row>
    <row r="216" ht="15.75" customHeight="1">
      <c r="A216" s="127"/>
      <c r="B216" s="127"/>
      <c r="C216" s="127"/>
      <c r="D216" s="127"/>
      <c r="E216" s="127"/>
      <c r="F216" s="127"/>
      <c r="G216" s="127"/>
      <c r="H216" s="127"/>
    </row>
    <row r="217" ht="15.75" customHeight="1">
      <c r="A217" s="127"/>
      <c r="B217" s="127"/>
      <c r="C217" s="127"/>
      <c r="D217" s="127"/>
      <c r="E217" s="127"/>
      <c r="F217" s="127"/>
      <c r="G217" s="127"/>
      <c r="H217" s="127"/>
    </row>
    <row r="218" ht="15.75" customHeight="1">
      <c r="A218" s="127"/>
      <c r="B218" s="127"/>
      <c r="C218" s="127"/>
      <c r="D218" s="127"/>
      <c r="E218" s="127"/>
      <c r="F218" s="127"/>
      <c r="G218" s="127"/>
      <c r="H218" s="127"/>
    </row>
    <row r="219" ht="15.75" customHeight="1">
      <c r="A219" s="127"/>
      <c r="B219" s="127"/>
      <c r="C219" s="127"/>
      <c r="D219" s="127"/>
      <c r="E219" s="127"/>
      <c r="F219" s="127"/>
      <c r="G219" s="127"/>
      <c r="H219" s="127"/>
    </row>
    <row r="220" ht="15.75" customHeight="1">
      <c r="A220" s="127"/>
      <c r="B220" s="127"/>
      <c r="C220" s="127"/>
      <c r="D220" s="127"/>
      <c r="E220" s="127"/>
      <c r="F220" s="127"/>
      <c r="G220" s="127"/>
      <c r="H220" s="127"/>
    </row>
    <row r="221" ht="15.75" customHeight="1">
      <c r="A221" s="127"/>
      <c r="B221" s="127"/>
      <c r="C221" s="127"/>
      <c r="D221" s="127"/>
      <c r="E221" s="127"/>
      <c r="F221" s="127"/>
      <c r="G221" s="127"/>
      <c r="H221" s="127"/>
    </row>
    <row r="222" ht="15.75" customHeight="1">
      <c r="A222" s="127"/>
      <c r="B222" s="127"/>
      <c r="C222" s="127"/>
      <c r="D222" s="127"/>
      <c r="E222" s="127"/>
      <c r="F222" s="127"/>
      <c r="G222" s="127"/>
      <c r="H222" s="127"/>
    </row>
    <row r="223" ht="15.75" customHeight="1">
      <c r="A223" s="127"/>
      <c r="B223" s="127"/>
      <c r="C223" s="127"/>
      <c r="D223" s="127"/>
      <c r="E223" s="127"/>
      <c r="F223" s="127"/>
      <c r="G223" s="127"/>
      <c r="H223" s="127"/>
    </row>
    <row r="224" ht="15.75" customHeight="1">
      <c r="A224" s="127"/>
      <c r="B224" s="127"/>
      <c r="C224" s="127"/>
      <c r="D224" s="127"/>
      <c r="E224" s="127"/>
      <c r="F224" s="127"/>
      <c r="G224" s="127"/>
      <c r="H224" s="127"/>
    </row>
    <row r="225" ht="15.75" customHeight="1">
      <c r="A225" s="127"/>
      <c r="B225" s="127"/>
      <c r="C225" s="127"/>
      <c r="D225" s="127"/>
      <c r="E225" s="127"/>
      <c r="F225" s="127"/>
      <c r="G225" s="127"/>
      <c r="H225" s="127"/>
    </row>
    <row r="226" ht="15.75" customHeight="1">
      <c r="A226" s="127"/>
      <c r="B226" s="127"/>
      <c r="C226" s="127"/>
      <c r="D226" s="127"/>
      <c r="E226" s="127"/>
      <c r="F226" s="127"/>
      <c r="G226" s="127"/>
      <c r="H226" s="127"/>
    </row>
    <row r="227" ht="15.75" customHeight="1">
      <c r="A227" s="127"/>
      <c r="B227" s="127"/>
      <c r="C227" s="127"/>
      <c r="D227" s="127"/>
      <c r="E227" s="127"/>
      <c r="F227" s="127"/>
      <c r="G227" s="127"/>
      <c r="H227" s="127"/>
    </row>
    <row r="228" ht="15.75" customHeight="1">
      <c r="A228" s="127"/>
      <c r="B228" s="127"/>
      <c r="C228" s="127"/>
      <c r="D228" s="127"/>
      <c r="E228" s="127"/>
      <c r="F228" s="127"/>
      <c r="G228" s="127"/>
      <c r="H228" s="127"/>
    </row>
    <row r="229" ht="15.75" customHeight="1">
      <c r="A229" s="127"/>
      <c r="B229" s="127"/>
      <c r="C229" s="127"/>
      <c r="D229" s="127"/>
      <c r="E229" s="127"/>
      <c r="F229" s="127"/>
      <c r="G229" s="127"/>
      <c r="H229" s="127"/>
    </row>
    <row r="230" ht="15.75" customHeight="1">
      <c r="A230" s="127"/>
      <c r="B230" s="127"/>
      <c r="C230" s="127"/>
      <c r="D230" s="127"/>
      <c r="E230" s="127"/>
      <c r="F230" s="127"/>
      <c r="G230" s="127"/>
      <c r="H230" s="127"/>
    </row>
    <row r="231" ht="15.75" customHeight="1">
      <c r="A231" s="127"/>
      <c r="B231" s="127"/>
      <c r="C231" s="127"/>
      <c r="D231" s="127"/>
      <c r="E231" s="127"/>
      <c r="F231" s="127"/>
      <c r="G231" s="127"/>
      <c r="H231" s="127"/>
    </row>
    <row r="232" ht="15.75" customHeight="1">
      <c r="A232" s="127"/>
      <c r="B232" s="127"/>
      <c r="C232" s="127"/>
      <c r="D232" s="127"/>
      <c r="E232" s="127"/>
      <c r="F232" s="127"/>
      <c r="G232" s="127"/>
      <c r="H232" s="127"/>
    </row>
    <row r="233" ht="15.75" customHeight="1">
      <c r="A233" s="127"/>
      <c r="B233" s="127"/>
      <c r="C233" s="127"/>
      <c r="D233" s="127"/>
      <c r="E233" s="127"/>
      <c r="F233" s="127"/>
      <c r="G233" s="127"/>
      <c r="H233" s="127"/>
    </row>
    <row r="234" ht="15.75" customHeight="1">
      <c r="A234" s="127"/>
      <c r="B234" s="127"/>
      <c r="C234" s="127"/>
      <c r="D234" s="127"/>
      <c r="E234" s="127"/>
      <c r="F234" s="127"/>
      <c r="G234" s="127"/>
      <c r="H234" s="127"/>
    </row>
    <row r="235" ht="15.75" customHeight="1">
      <c r="A235" s="127"/>
      <c r="B235" s="127"/>
      <c r="C235" s="127"/>
      <c r="D235" s="127"/>
      <c r="E235" s="127"/>
      <c r="F235" s="127"/>
      <c r="G235" s="127"/>
      <c r="H235" s="127"/>
    </row>
    <row r="236" ht="15.75" customHeight="1">
      <c r="A236" s="127"/>
      <c r="B236" s="127"/>
      <c r="C236" s="127"/>
      <c r="D236" s="127"/>
      <c r="E236" s="127"/>
      <c r="F236" s="127"/>
      <c r="G236" s="127"/>
      <c r="H236" s="127"/>
    </row>
    <row r="237" ht="15.75" customHeight="1">
      <c r="A237" s="127"/>
      <c r="B237" s="127"/>
      <c r="C237" s="127"/>
      <c r="D237" s="127"/>
      <c r="E237" s="127"/>
      <c r="F237" s="127"/>
      <c r="G237" s="127"/>
      <c r="H237" s="127"/>
    </row>
    <row r="238" ht="15.75" customHeight="1">
      <c r="A238" s="127"/>
      <c r="B238" s="127"/>
      <c r="C238" s="127"/>
      <c r="D238" s="127"/>
      <c r="E238" s="127"/>
      <c r="F238" s="127"/>
      <c r="G238" s="127"/>
      <c r="H238" s="127"/>
    </row>
    <row r="239" ht="15.75" customHeight="1">
      <c r="A239" s="127"/>
      <c r="B239" s="127"/>
      <c r="C239" s="127"/>
      <c r="D239" s="127"/>
      <c r="E239" s="127"/>
      <c r="F239" s="127"/>
      <c r="G239" s="127"/>
      <c r="H239" s="127"/>
    </row>
    <row r="240" ht="15.75" customHeight="1">
      <c r="A240" s="127"/>
      <c r="B240" s="127"/>
      <c r="C240" s="127"/>
      <c r="D240" s="127"/>
      <c r="E240" s="127"/>
      <c r="F240" s="127"/>
      <c r="G240" s="127"/>
      <c r="H240" s="127"/>
    </row>
    <row r="241" ht="15.75" customHeight="1">
      <c r="A241" s="127"/>
      <c r="B241" s="127"/>
      <c r="C241" s="127"/>
      <c r="D241" s="127"/>
      <c r="E241" s="127"/>
      <c r="F241" s="127"/>
      <c r="G241" s="127"/>
      <c r="H241" s="127"/>
    </row>
    <row r="242" ht="15.75" customHeight="1">
      <c r="A242" s="127"/>
      <c r="B242" s="127"/>
      <c r="C242" s="127"/>
      <c r="D242" s="127"/>
      <c r="E242" s="127"/>
      <c r="F242" s="127"/>
      <c r="G242" s="127"/>
      <c r="H242" s="127"/>
    </row>
    <row r="243" ht="15.75" customHeight="1">
      <c r="A243" s="127"/>
      <c r="B243" s="127"/>
      <c r="C243" s="127"/>
      <c r="D243" s="127"/>
      <c r="E243" s="127"/>
      <c r="F243" s="127"/>
      <c r="G243" s="127"/>
      <c r="H243" s="127"/>
    </row>
    <row r="244" ht="15.75" customHeight="1">
      <c r="A244" s="127"/>
      <c r="B244" s="127"/>
      <c r="C244" s="127"/>
      <c r="D244" s="127"/>
      <c r="E244" s="127"/>
      <c r="F244" s="127"/>
      <c r="G244" s="127"/>
      <c r="H244" s="127"/>
    </row>
    <row r="245" ht="15.75" customHeight="1">
      <c r="A245" s="127"/>
      <c r="B245" s="127"/>
      <c r="C245" s="127"/>
      <c r="D245" s="127"/>
      <c r="E245" s="127"/>
      <c r="F245" s="127"/>
      <c r="G245" s="127"/>
      <c r="H245" s="127"/>
    </row>
    <row r="246" ht="15.75" customHeight="1">
      <c r="A246" s="127"/>
      <c r="B246" s="127"/>
      <c r="C246" s="127"/>
      <c r="D246" s="127"/>
      <c r="E246" s="127"/>
      <c r="F246" s="127"/>
      <c r="G246" s="127"/>
      <c r="H246" s="127"/>
    </row>
    <row r="247" ht="15.75" customHeight="1">
      <c r="A247" s="127"/>
      <c r="B247" s="127"/>
      <c r="C247" s="127"/>
      <c r="D247" s="127"/>
      <c r="E247" s="127"/>
      <c r="F247" s="127"/>
      <c r="G247" s="127"/>
      <c r="H247" s="127"/>
    </row>
    <row r="248" ht="15.75" customHeight="1">
      <c r="A248" s="127"/>
      <c r="B248" s="127"/>
      <c r="C248" s="127"/>
      <c r="D248" s="127"/>
      <c r="E248" s="127"/>
      <c r="F248" s="127"/>
      <c r="G248" s="127"/>
      <c r="H248" s="127"/>
    </row>
    <row r="249" ht="15.75" customHeight="1">
      <c r="A249" s="127"/>
      <c r="B249" s="127"/>
      <c r="C249" s="127"/>
      <c r="D249" s="127"/>
      <c r="E249" s="127"/>
      <c r="F249" s="127"/>
      <c r="G249" s="127"/>
      <c r="H249" s="127"/>
    </row>
    <row r="250" ht="15.75" customHeight="1">
      <c r="A250" s="127"/>
      <c r="B250" s="127"/>
      <c r="C250" s="127"/>
      <c r="D250" s="127"/>
      <c r="E250" s="127"/>
      <c r="F250" s="127"/>
      <c r="G250" s="127"/>
      <c r="H250" s="127"/>
    </row>
    <row r="251" ht="15.75" customHeight="1">
      <c r="A251" s="127"/>
      <c r="B251" s="127"/>
      <c r="C251" s="127"/>
      <c r="D251" s="127"/>
      <c r="E251" s="127"/>
      <c r="F251" s="127"/>
      <c r="G251" s="127"/>
      <c r="H251" s="127"/>
    </row>
    <row r="252" ht="15.75" customHeight="1">
      <c r="A252" s="127"/>
      <c r="B252" s="127"/>
      <c r="C252" s="127"/>
      <c r="D252" s="127"/>
      <c r="E252" s="127"/>
      <c r="F252" s="127"/>
      <c r="G252" s="127"/>
      <c r="H252" s="127"/>
    </row>
    <row r="253" ht="15.75" customHeight="1">
      <c r="A253" s="127"/>
      <c r="B253" s="127"/>
      <c r="C253" s="127"/>
      <c r="D253" s="127"/>
      <c r="E253" s="127"/>
      <c r="F253" s="127"/>
      <c r="G253" s="127"/>
      <c r="H253" s="127"/>
    </row>
    <row r="254" ht="15.75" customHeight="1">
      <c r="A254" s="127"/>
      <c r="B254" s="127"/>
      <c r="C254" s="127"/>
      <c r="D254" s="127"/>
      <c r="E254" s="127"/>
      <c r="F254" s="127"/>
      <c r="G254" s="127"/>
      <c r="H254" s="127"/>
    </row>
    <row r="255" ht="15.75" customHeight="1">
      <c r="A255" s="127"/>
      <c r="B255" s="127"/>
      <c r="C255" s="127"/>
      <c r="D255" s="127"/>
      <c r="E255" s="127"/>
      <c r="F255" s="127"/>
      <c r="G255" s="127"/>
      <c r="H255" s="127"/>
    </row>
    <row r="256" ht="15.75" customHeight="1">
      <c r="A256" s="127"/>
      <c r="B256" s="127"/>
      <c r="C256" s="127"/>
      <c r="D256" s="127"/>
      <c r="E256" s="127"/>
      <c r="F256" s="127"/>
      <c r="G256" s="127"/>
      <c r="H256" s="127"/>
    </row>
    <row r="257" ht="15.75" customHeight="1">
      <c r="A257" s="127"/>
      <c r="B257" s="127"/>
      <c r="C257" s="127"/>
      <c r="D257" s="127"/>
      <c r="E257" s="127"/>
      <c r="F257" s="127"/>
      <c r="G257" s="127"/>
      <c r="H257" s="127"/>
    </row>
    <row r="258" ht="15.75" customHeight="1">
      <c r="A258" s="127"/>
      <c r="B258" s="127"/>
      <c r="C258" s="127"/>
      <c r="D258" s="127"/>
      <c r="E258" s="127"/>
      <c r="F258" s="127"/>
      <c r="G258" s="127"/>
      <c r="H258" s="127"/>
    </row>
    <row r="259" ht="15.75" customHeight="1">
      <c r="A259" s="127"/>
      <c r="B259" s="127"/>
      <c r="C259" s="127"/>
      <c r="D259" s="127"/>
      <c r="E259" s="127"/>
      <c r="F259" s="127"/>
      <c r="G259" s="127"/>
      <c r="H259" s="127"/>
    </row>
    <row r="260" ht="15.75" customHeight="1">
      <c r="A260" s="127"/>
      <c r="B260" s="127"/>
      <c r="C260" s="127"/>
      <c r="D260" s="127"/>
      <c r="E260" s="127"/>
      <c r="F260" s="127"/>
      <c r="G260" s="127"/>
      <c r="H260" s="127"/>
    </row>
    <row r="261" ht="15.75" customHeight="1">
      <c r="A261" s="127"/>
      <c r="B261" s="127"/>
      <c r="C261" s="127"/>
      <c r="D261" s="127"/>
      <c r="E261" s="127"/>
      <c r="F261" s="127"/>
      <c r="G261" s="127"/>
      <c r="H261" s="127"/>
    </row>
    <row r="262" ht="15.75" customHeight="1">
      <c r="A262" s="127"/>
      <c r="B262" s="127"/>
      <c r="C262" s="127"/>
      <c r="D262" s="127"/>
      <c r="E262" s="127"/>
      <c r="F262" s="127"/>
      <c r="G262" s="127"/>
      <c r="H262" s="127"/>
    </row>
    <row r="263" ht="15.75" customHeight="1">
      <c r="A263" s="127"/>
      <c r="B263" s="127"/>
      <c r="C263" s="127"/>
      <c r="D263" s="127"/>
      <c r="E263" s="127"/>
      <c r="F263" s="127"/>
      <c r="G263" s="127"/>
      <c r="H263" s="127"/>
    </row>
    <row r="264" ht="15.75" customHeight="1">
      <c r="A264" s="127"/>
      <c r="B264" s="127"/>
      <c r="C264" s="127"/>
      <c r="D264" s="127"/>
      <c r="E264" s="127"/>
      <c r="F264" s="127"/>
      <c r="G264" s="127"/>
      <c r="H264" s="127"/>
    </row>
    <row r="265" ht="15.75" customHeight="1">
      <c r="A265" s="127"/>
      <c r="B265" s="127"/>
      <c r="C265" s="127"/>
      <c r="D265" s="127"/>
      <c r="E265" s="127"/>
      <c r="F265" s="127"/>
      <c r="G265" s="127"/>
      <c r="H265" s="127"/>
    </row>
    <row r="266" ht="15.75" customHeight="1">
      <c r="A266" s="127"/>
      <c r="B266" s="127"/>
      <c r="C266" s="127"/>
      <c r="D266" s="127"/>
      <c r="E266" s="127"/>
      <c r="F266" s="127"/>
      <c r="G266" s="127"/>
      <c r="H266" s="127"/>
    </row>
    <row r="267" ht="15.75" customHeight="1">
      <c r="A267" s="127"/>
      <c r="B267" s="127"/>
      <c r="C267" s="127"/>
      <c r="D267" s="127"/>
      <c r="E267" s="127"/>
      <c r="F267" s="127"/>
      <c r="G267" s="127"/>
      <c r="H267" s="127"/>
    </row>
    <row r="268" ht="15.75" customHeight="1">
      <c r="A268" s="127"/>
      <c r="B268" s="127"/>
      <c r="C268" s="127"/>
      <c r="D268" s="127"/>
      <c r="E268" s="127"/>
      <c r="F268" s="127"/>
      <c r="G268" s="127"/>
      <c r="H268" s="127"/>
    </row>
    <row r="269" ht="15.75" customHeight="1">
      <c r="A269" s="127"/>
      <c r="B269" s="127"/>
      <c r="C269" s="127"/>
      <c r="D269" s="127"/>
      <c r="E269" s="127"/>
      <c r="F269" s="127"/>
      <c r="G269" s="127"/>
      <c r="H269" s="127"/>
    </row>
    <row r="270" ht="15.75" customHeight="1">
      <c r="A270" s="127"/>
      <c r="B270" s="127"/>
      <c r="C270" s="127"/>
      <c r="D270" s="127"/>
      <c r="E270" s="127"/>
      <c r="F270" s="127"/>
      <c r="G270" s="127"/>
      <c r="H270" s="127"/>
    </row>
    <row r="271" ht="15.75" customHeight="1">
      <c r="A271" s="127"/>
      <c r="B271" s="127"/>
      <c r="C271" s="127"/>
      <c r="D271" s="127"/>
      <c r="E271" s="127"/>
      <c r="F271" s="127"/>
      <c r="G271" s="127"/>
      <c r="H271" s="127"/>
    </row>
    <row r="272" ht="15.75" customHeight="1">
      <c r="A272" s="127"/>
      <c r="B272" s="127"/>
      <c r="C272" s="127"/>
      <c r="D272" s="127"/>
      <c r="E272" s="127"/>
      <c r="F272" s="127"/>
      <c r="G272" s="127"/>
      <c r="H272" s="127"/>
    </row>
    <row r="273" ht="15.75" customHeight="1">
      <c r="A273" s="127"/>
      <c r="B273" s="127"/>
      <c r="C273" s="127"/>
      <c r="D273" s="127"/>
      <c r="E273" s="127"/>
      <c r="F273" s="127"/>
      <c r="G273" s="127"/>
      <c r="H273" s="127"/>
    </row>
    <row r="274" ht="15.75" customHeight="1">
      <c r="A274" s="127"/>
      <c r="B274" s="127"/>
      <c r="C274" s="127"/>
      <c r="D274" s="127"/>
      <c r="E274" s="127"/>
      <c r="F274" s="127"/>
      <c r="G274" s="127"/>
      <c r="H274" s="127"/>
    </row>
    <row r="275" ht="15.75" customHeight="1">
      <c r="A275" s="127"/>
      <c r="B275" s="127"/>
      <c r="C275" s="127"/>
      <c r="D275" s="127"/>
      <c r="E275" s="127"/>
      <c r="F275" s="127"/>
      <c r="G275" s="127"/>
      <c r="H275" s="127"/>
    </row>
    <row r="276" ht="15.75" customHeight="1">
      <c r="A276" s="127"/>
      <c r="B276" s="127"/>
      <c r="C276" s="127"/>
      <c r="D276" s="127"/>
      <c r="E276" s="127"/>
      <c r="F276" s="127"/>
      <c r="G276" s="127"/>
      <c r="H276" s="127"/>
    </row>
    <row r="277" ht="15.75" customHeight="1">
      <c r="A277" s="127"/>
      <c r="B277" s="127"/>
      <c r="C277" s="127"/>
      <c r="D277" s="127"/>
      <c r="E277" s="127"/>
      <c r="F277" s="127"/>
      <c r="G277" s="127"/>
      <c r="H277" s="127"/>
    </row>
    <row r="278" ht="15.75" customHeight="1">
      <c r="A278" s="127"/>
      <c r="B278" s="127"/>
      <c r="C278" s="127"/>
      <c r="D278" s="127"/>
      <c r="E278" s="127"/>
      <c r="F278" s="127"/>
      <c r="G278" s="127"/>
      <c r="H278" s="127"/>
    </row>
    <row r="279" ht="15.75" customHeight="1">
      <c r="A279" s="127"/>
      <c r="B279" s="127"/>
      <c r="C279" s="127"/>
      <c r="D279" s="127"/>
      <c r="E279" s="127"/>
      <c r="F279" s="127"/>
      <c r="G279" s="127"/>
      <c r="H279" s="127"/>
    </row>
    <row r="280" ht="15.75" customHeight="1">
      <c r="A280" s="127"/>
      <c r="B280" s="127"/>
      <c r="C280" s="127"/>
      <c r="D280" s="127"/>
      <c r="E280" s="127"/>
      <c r="F280" s="127"/>
      <c r="G280" s="127"/>
      <c r="H280" s="127"/>
    </row>
    <row r="281" ht="15.75" customHeight="1">
      <c r="A281" s="127"/>
      <c r="B281" s="127"/>
      <c r="C281" s="127"/>
      <c r="D281" s="127"/>
      <c r="E281" s="127"/>
      <c r="F281" s="127"/>
      <c r="G281" s="127"/>
      <c r="H281" s="127"/>
    </row>
    <row r="282" ht="15.75" customHeight="1">
      <c r="A282" s="127"/>
      <c r="B282" s="127"/>
      <c r="C282" s="127"/>
      <c r="D282" s="127"/>
      <c r="E282" s="127"/>
      <c r="F282" s="127"/>
      <c r="G282" s="127"/>
      <c r="H282" s="127"/>
    </row>
    <row r="283" ht="15.75" customHeight="1">
      <c r="A283" s="127"/>
      <c r="B283" s="127"/>
      <c r="C283" s="127"/>
      <c r="D283" s="127"/>
      <c r="E283" s="127"/>
      <c r="F283" s="127"/>
      <c r="G283" s="127"/>
      <c r="H283" s="127"/>
    </row>
    <row r="284" ht="15.75" customHeight="1">
      <c r="A284" s="127"/>
      <c r="B284" s="127"/>
      <c r="C284" s="127"/>
      <c r="D284" s="127"/>
      <c r="E284" s="127"/>
      <c r="F284" s="127"/>
      <c r="G284" s="127"/>
      <c r="H284" s="127"/>
    </row>
    <row r="285" ht="15.75" customHeight="1">
      <c r="A285" s="127"/>
      <c r="B285" s="127"/>
      <c r="C285" s="127"/>
      <c r="D285" s="127"/>
      <c r="E285" s="127"/>
      <c r="F285" s="127"/>
      <c r="G285" s="127"/>
      <c r="H285" s="127"/>
    </row>
    <row r="286" ht="15.75" customHeight="1">
      <c r="A286" s="127"/>
      <c r="B286" s="127"/>
      <c r="C286" s="127"/>
      <c r="D286" s="127"/>
      <c r="E286" s="127"/>
      <c r="F286" s="127"/>
      <c r="G286" s="127"/>
      <c r="H286" s="127"/>
    </row>
    <row r="287" ht="15.75" customHeight="1">
      <c r="A287" s="127"/>
      <c r="B287" s="127"/>
      <c r="C287" s="127"/>
      <c r="D287" s="127"/>
      <c r="E287" s="127"/>
      <c r="F287" s="127"/>
      <c r="G287" s="127"/>
      <c r="H287" s="127"/>
    </row>
    <row r="288" ht="15.75" customHeight="1">
      <c r="A288" s="127"/>
      <c r="B288" s="127"/>
      <c r="C288" s="127"/>
      <c r="D288" s="127"/>
      <c r="E288" s="127"/>
      <c r="F288" s="127"/>
      <c r="G288" s="127"/>
      <c r="H288" s="127"/>
    </row>
    <row r="289" ht="15.75" customHeight="1">
      <c r="A289" s="127"/>
      <c r="B289" s="127"/>
      <c r="C289" s="127"/>
      <c r="D289" s="127"/>
      <c r="E289" s="127"/>
      <c r="F289" s="127"/>
      <c r="G289" s="127"/>
      <c r="H289" s="127"/>
    </row>
    <row r="290" ht="15.75" customHeight="1">
      <c r="A290" s="127"/>
      <c r="B290" s="127"/>
      <c r="C290" s="127"/>
      <c r="D290" s="127"/>
      <c r="E290" s="127"/>
      <c r="F290" s="127"/>
      <c r="G290" s="127"/>
      <c r="H290" s="127"/>
    </row>
    <row r="291" ht="15.75" customHeight="1">
      <c r="A291" s="127"/>
      <c r="B291" s="127"/>
      <c r="C291" s="127"/>
      <c r="D291" s="127"/>
      <c r="E291" s="127"/>
      <c r="F291" s="127"/>
      <c r="G291" s="127"/>
      <c r="H291" s="127"/>
    </row>
    <row r="292" ht="15.75" customHeight="1">
      <c r="A292" s="127"/>
      <c r="B292" s="127"/>
      <c r="C292" s="127"/>
      <c r="D292" s="127"/>
      <c r="E292" s="127"/>
      <c r="F292" s="127"/>
      <c r="G292" s="127"/>
      <c r="H292" s="127"/>
    </row>
    <row r="293" ht="15.75" customHeight="1">
      <c r="A293" s="127"/>
      <c r="B293" s="127"/>
      <c r="C293" s="127"/>
      <c r="D293" s="127"/>
      <c r="E293" s="127"/>
      <c r="F293" s="127"/>
      <c r="G293" s="127"/>
      <c r="H293" s="127"/>
    </row>
    <row r="294" ht="15.75" customHeight="1">
      <c r="A294" s="127"/>
      <c r="B294" s="127"/>
      <c r="C294" s="127"/>
      <c r="D294" s="127"/>
      <c r="E294" s="127"/>
      <c r="F294" s="127"/>
      <c r="G294" s="127"/>
      <c r="H294" s="127"/>
    </row>
    <row r="295" ht="15.75" customHeight="1">
      <c r="A295" s="127"/>
      <c r="B295" s="127"/>
      <c r="C295" s="127"/>
      <c r="D295" s="127"/>
      <c r="E295" s="127"/>
      <c r="F295" s="127"/>
      <c r="G295" s="127"/>
      <c r="H295" s="127"/>
    </row>
    <row r="296" ht="15.75" customHeight="1">
      <c r="A296" s="127"/>
      <c r="B296" s="127"/>
      <c r="C296" s="127"/>
      <c r="D296" s="127"/>
      <c r="E296" s="127"/>
      <c r="F296" s="127"/>
      <c r="G296" s="127"/>
      <c r="H296" s="127"/>
    </row>
    <row r="297" ht="15.75" customHeight="1">
      <c r="A297" s="127"/>
      <c r="B297" s="127"/>
      <c r="C297" s="127"/>
      <c r="D297" s="127"/>
      <c r="E297" s="127"/>
      <c r="F297" s="127"/>
      <c r="G297" s="127"/>
      <c r="H297" s="127"/>
    </row>
    <row r="298" ht="15.75" customHeight="1">
      <c r="A298" s="127"/>
      <c r="B298" s="127"/>
      <c r="C298" s="127"/>
      <c r="D298" s="127"/>
      <c r="E298" s="127"/>
      <c r="F298" s="127"/>
      <c r="G298" s="127"/>
      <c r="H298" s="127"/>
    </row>
    <row r="299" ht="15.75" customHeight="1">
      <c r="A299" s="127"/>
      <c r="B299" s="127"/>
      <c r="C299" s="127"/>
      <c r="D299" s="127"/>
      <c r="E299" s="127"/>
      <c r="F299" s="127"/>
      <c r="G299" s="127"/>
      <c r="H299" s="127"/>
    </row>
    <row r="300" ht="15.75" customHeight="1">
      <c r="A300" s="127"/>
      <c r="B300" s="127"/>
      <c r="C300" s="127"/>
      <c r="D300" s="127"/>
      <c r="E300" s="127"/>
      <c r="F300" s="127"/>
      <c r="G300" s="127"/>
      <c r="H300" s="127"/>
    </row>
    <row r="301" ht="15.75" customHeight="1">
      <c r="A301" s="127"/>
      <c r="B301" s="127"/>
      <c r="C301" s="127"/>
      <c r="D301" s="127"/>
      <c r="E301" s="127"/>
      <c r="F301" s="127"/>
      <c r="G301" s="127"/>
      <c r="H301" s="127"/>
    </row>
    <row r="302" ht="15.75" customHeight="1">
      <c r="A302" s="127"/>
      <c r="B302" s="127"/>
      <c r="C302" s="127"/>
      <c r="D302" s="127"/>
      <c r="E302" s="127"/>
      <c r="F302" s="127"/>
      <c r="G302" s="127"/>
      <c r="H302" s="127"/>
    </row>
    <row r="303" ht="15.75" customHeight="1">
      <c r="A303" s="127"/>
      <c r="B303" s="127"/>
      <c r="C303" s="127"/>
      <c r="D303" s="127"/>
      <c r="E303" s="127"/>
      <c r="F303" s="127"/>
      <c r="G303" s="127"/>
      <c r="H303" s="127"/>
    </row>
    <row r="304" ht="15.75" customHeight="1">
      <c r="A304" s="127"/>
      <c r="B304" s="127"/>
      <c r="C304" s="127"/>
      <c r="D304" s="127"/>
      <c r="E304" s="127"/>
      <c r="F304" s="127"/>
      <c r="G304" s="127"/>
      <c r="H304" s="127"/>
    </row>
    <row r="305" ht="15.75" customHeight="1">
      <c r="A305" s="127"/>
      <c r="B305" s="127"/>
      <c r="C305" s="127"/>
      <c r="D305" s="127"/>
      <c r="E305" s="127"/>
      <c r="F305" s="127"/>
      <c r="G305" s="127"/>
      <c r="H305" s="127"/>
    </row>
    <row r="306" ht="15.75" customHeight="1">
      <c r="A306" s="127"/>
      <c r="B306" s="127"/>
      <c r="C306" s="127"/>
      <c r="D306" s="127"/>
      <c r="E306" s="127"/>
      <c r="F306" s="127"/>
      <c r="G306" s="127"/>
      <c r="H306" s="127"/>
    </row>
    <row r="307" ht="15.75" customHeight="1">
      <c r="A307" s="127"/>
      <c r="B307" s="127"/>
      <c r="C307" s="127"/>
      <c r="D307" s="127"/>
      <c r="E307" s="127"/>
      <c r="F307" s="127"/>
      <c r="G307" s="127"/>
      <c r="H307" s="127"/>
    </row>
    <row r="308" ht="15.75" customHeight="1">
      <c r="A308" s="127"/>
      <c r="B308" s="127"/>
      <c r="C308" s="127"/>
      <c r="D308" s="127"/>
      <c r="E308" s="127"/>
      <c r="F308" s="127"/>
      <c r="G308" s="127"/>
      <c r="H308" s="127"/>
    </row>
    <row r="309" ht="15.75" customHeight="1">
      <c r="A309" s="127"/>
      <c r="B309" s="127"/>
      <c r="C309" s="127"/>
      <c r="D309" s="127"/>
      <c r="E309" s="127"/>
      <c r="F309" s="127"/>
      <c r="G309" s="127"/>
      <c r="H309" s="127"/>
    </row>
    <row r="310" ht="15.75" customHeight="1">
      <c r="A310" s="127"/>
      <c r="B310" s="127"/>
      <c r="C310" s="127"/>
      <c r="D310" s="127"/>
      <c r="E310" s="127"/>
      <c r="F310" s="127"/>
      <c r="G310" s="127"/>
      <c r="H310" s="127"/>
    </row>
    <row r="311" ht="15.75" customHeight="1">
      <c r="A311" s="127"/>
      <c r="B311" s="127"/>
      <c r="C311" s="127"/>
      <c r="D311" s="127"/>
      <c r="E311" s="127"/>
      <c r="F311" s="127"/>
      <c r="G311" s="127"/>
      <c r="H311" s="127"/>
    </row>
    <row r="312" ht="15.75" customHeight="1">
      <c r="A312" s="127"/>
      <c r="B312" s="127"/>
      <c r="C312" s="127"/>
      <c r="D312" s="127"/>
      <c r="E312" s="127"/>
      <c r="F312" s="127"/>
      <c r="G312" s="127"/>
      <c r="H312" s="127"/>
    </row>
    <row r="313" ht="15.75" customHeight="1">
      <c r="A313" s="127"/>
      <c r="B313" s="127"/>
      <c r="C313" s="127"/>
      <c r="D313" s="127"/>
      <c r="E313" s="127"/>
      <c r="F313" s="127"/>
      <c r="G313" s="127"/>
      <c r="H313" s="127"/>
    </row>
    <row r="314" ht="15.75" customHeight="1">
      <c r="A314" s="127"/>
      <c r="B314" s="127"/>
      <c r="C314" s="127"/>
      <c r="D314" s="127"/>
      <c r="E314" s="127"/>
      <c r="F314" s="127"/>
      <c r="G314" s="127"/>
      <c r="H314" s="127"/>
    </row>
    <row r="315" ht="15.75" customHeight="1">
      <c r="A315" s="127"/>
      <c r="B315" s="127"/>
      <c r="C315" s="127"/>
      <c r="D315" s="127"/>
      <c r="E315" s="127"/>
      <c r="F315" s="127"/>
      <c r="G315" s="127"/>
      <c r="H315" s="127"/>
    </row>
    <row r="316" ht="15.75" customHeight="1">
      <c r="A316" s="127"/>
      <c r="B316" s="127"/>
      <c r="C316" s="127"/>
      <c r="D316" s="127"/>
      <c r="E316" s="127"/>
      <c r="F316" s="127"/>
      <c r="G316" s="127"/>
      <c r="H316" s="127"/>
    </row>
    <row r="317" ht="15.75" customHeight="1">
      <c r="A317" s="127"/>
      <c r="B317" s="127"/>
      <c r="C317" s="127"/>
      <c r="D317" s="127"/>
      <c r="E317" s="127"/>
      <c r="F317" s="127"/>
      <c r="G317" s="127"/>
      <c r="H317" s="127"/>
    </row>
    <row r="318" ht="15.75" customHeight="1">
      <c r="A318" s="127"/>
      <c r="B318" s="127"/>
      <c r="C318" s="127"/>
      <c r="D318" s="127"/>
      <c r="E318" s="127"/>
      <c r="F318" s="127"/>
      <c r="G318" s="127"/>
      <c r="H318" s="127"/>
    </row>
    <row r="319" ht="15.75" customHeight="1">
      <c r="A319" s="127"/>
      <c r="B319" s="127"/>
      <c r="C319" s="127"/>
      <c r="D319" s="127"/>
      <c r="E319" s="127"/>
      <c r="F319" s="127"/>
      <c r="G319" s="127"/>
      <c r="H319" s="127"/>
    </row>
    <row r="320" ht="15.75" customHeight="1">
      <c r="A320" s="127"/>
      <c r="B320" s="127"/>
      <c r="C320" s="127"/>
      <c r="D320" s="127"/>
      <c r="E320" s="127"/>
      <c r="F320" s="127"/>
      <c r="G320" s="127"/>
      <c r="H320" s="127"/>
    </row>
    <row r="321" ht="15.75" customHeight="1">
      <c r="A321" s="127"/>
      <c r="B321" s="127"/>
      <c r="C321" s="127"/>
      <c r="D321" s="127"/>
      <c r="E321" s="127"/>
      <c r="F321" s="127"/>
      <c r="G321" s="127"/>
      <c r="H321" s="127"/>
    </row>
    <row r="322" ht="15.75" customHeight="1">
      <c r="A322" s="127"/>
      <c r="B322" s="127"/>
      <c r="C322" s="127"/>
      <c r="D322" s="127"/>
      <c r="E322" s="127"/>
      <c r="F322" s="127"/>
      <c r="G322" s="127"/>
      <c r="H322" s="127"/>
    </row>
    <row r="323" ht="15.75" customHeight="1">
      <c r="A323" s="127"/>
      <c r="B323" s="127"/>
      <c r="C323" s="127"/>
      <c r="D323" s="127"/>
      <c r="E323" s="127"/>
      <c r="F323" s="127"/>
      <c r="G323" s="127"/>
      <c r="H323" s="127"/>
    </row>
    <row r="324" ht="15.75" customHeight="1">
      <c r="A324" s="127"/>
      <c r="B324" s="127"/>
      <c r="C324" s="127"/>
      <c r="D324" s="127"/>
      <c r="E324" s="127"/>
      <c r="F324" s="127"/>
      <c r="G324" s="127"/>
      <c r="H324" s="127"/>
    </row>
    <row r="325" ht="15.75" customHeight="1">
      <c r="A325" s="127"/>
      <c r="B325" s="127"/>
      <c r="C325" s="127"/>
      <c r="D325" s="127"/>
      <c r="E325" s="127"/>
      <c r="F325" s="127"/>
      <c r="G325" s="127"/>
      <c r="H325" s="127"/>
    </row>
    <row r="326" ht="15.75" customHeight="1">
      <c r="A326" s="127"/>
      <c r="B326" s="127"/>
      <c r="C326" s="127"/>
      <c r="D326" s="127"/>
      <c r="E326" s="127"/>
      <c r="F326" s="127"/>
      <c r="G326" s="127"/>
      <c r="H326" s="127"/>
    </row>
    <row r="327" ht="15.75" customHeight="1">
      <c r="A327" s="127"/>
      <c r="B327" s="127"/>
      <c r="C327" s="127"/>
      <c r="D327" s="127"/>
      <c r="E327" s="127"/>
      <c r="F327" s="127"/>
      <c r="G327" s="127"/>
      <c r="H327" s="127"/>
    </row>
    <row r="328" ht="15.75" customHeight="1">
      <c r="A328" s="127"/>
      <c r="B328" s="127"/>
      <c r="C328" s="127"/>
      <c r="D328" s="127"/>
      <c r="E328" s="127"/>
      <c r="F328" s="127"/>
      <c r="G328" s="127"/>
      <c r="H328" s="127"/>
    </row>
    <row r="329" ht="15.75" customHeight="1">
      <c r="A329" s="127"/>
      <c r="B329" s="127"/>
      <c r="C329" s="127"/>
      <c r="D329" s="127"/>
      <c r="E329" s="127"/>
      <c r="F329" s="127"/>
      <c r="G329" s="127"/>
      <c r="H329" s="127"/>
    </row>
    <row r="330" ht="15.75" customHeight="1">
      <c r="A330" s="127"/>
      <c r="B330" s="127"/>
      <c r="C330" s="127"/>
      <c r="D330" s="127"/>
      <c r="E330" s="127"/>
      <c r="F330" s="127"/>
      <c r="G330" s="127"/>
      <c r="H330" s="127"/>
    </row>
    <row r="331" ht="15.75" customHeight="1">
      <c r="A331" s="127"/>
      <c r="B331" s="127"/>
      <c r="C331" s="127"/>
      <c r="D331" s="127"/>
      <c r="E331" s="127"/>
      <c r="F331" s="127"/>
      <c r="G331" s="127"/>
      <c r="H331" s="127"/>
    </row>
    <row r="332" ht="15.75" customHeight="1">
      <c r="A332" s="127"/>
      <c r="B332" s="127"/>
      <c r="C332" s="127"/>
      <c r="D332" s="127"/>
      <c r="E332" s="127"/>
      <c r="F332" s="127"/>
      <c r="G332" s="127"/>
      <c r="H332" s="127"/>
    </row>
    <row r="333" ht="15.75" customHeight="1">
      <c r="A333" s="127"/>
      <c r="B333" s="127"/>
      <c r="C333" s="127"/>
      <c r="D333" s="127"/>
      <c r="E333" s="127"/>
      <c r="F333" s="127"/>
      <c r="G333" s="127"/>
      <c r="H333" s="127"/>
    </row>
    <row r="334" ht="15.75" customHeight="1">
      <c r="A334" s="127"/>
      <c r="B334" s="127"/>
      <c r="C334" s="127"/>
      <c r="D334" s="127"/>
      <c r="E334" s="127"/>
      <c r="F334" s="127"/>
      <c r="G334" s="127"/>
      <c r="H334" s="127"/>
    </row>
    <row r="335" ht="15.75" customHeight="1">
      <c r="A335" s="127"/>
      <c r="B335" s="127"/>
      <c r="C335" s="127"/>
      <c r="D335" s="127"/>
      <c r="E335" s="127"/>
      <c r="F335" s="127"/>
      <c r="G335" s="127"/>
      <c r="H335" s="127"/>
    </row>
    <row r="336" ht="15.75" customHeight="1">
      <c r="A336" s="127"/>
      <c r="B336" s="127"/>
      <c r="C336" s="127"/>
      <c r="D336" s="127"/>
      <c r="E336" s="127"/>
      <c r="F336" s="127"/>
      <c r="G336" s="127"/>
      <c r="H336" s="127"/>
    </row>
    <row r="337" ht="15.75" customHeight="1">
      <c r="A337" s="127"/>
      <c r="B337" s="127"/>
      <c r="C337" s="127"/>
      <c r="D337" s="127"/>
      <c r="E337" s="127"/>
      <c r="F337" s="127"/>
      <c r="G337" s="127"/>
      <c r="H337" s="127"/>
    </row>
    <row r="338" ht="15.75" customHeight="1">
      <c r="A338" s="127"/>
      <c r="B338" s="127"/>
      <c r="C338" s="127"/>
      <c r="D338" s="127"/>
      <c r="E338" s="127"/>
      <c r="F338" s="127"/>
      <c r="G338" s="127"/>
      <c r="H338" s="127"/>
    </row>
    <row r="339" ht="15.75" customHeight="1">
      <c r="A339" s="127"/>
      <c r="B339" s="127"/>
      <c r="C339" s="127"/>
      <c r="D339" s="127"/>
      <c r="E339" s="127"/>
      <c r="F339" s="127"/>
      <c r="G339" s="127"/>
      <c r="H339" s="127"/>
    </row>
    <row r="340" ht="15.75" customHeight="1">
      <c r="A340" s="127"/>
      <c r="B340" s="127"/>
      <c r="C340" s="127"/>
      <c r="D340" s="127"/>
      <c r="E340" s="127"/>
      <c r="F340" s="127"/>
      <c r="G340" s="127"/>
      <c r="H340" s="127"/>
    </row>
    <row r="341" ht="15.75" customHeight="1">
      <c r="A341" s="127"/>
      <c r="B341" s="127"/>
      <c r="C341" s="127"/>
      <c r="D341" s="127"/>
      <c r="E341" s="127"/>
      <c r="F341" s="127"/>
      <c r="G341" s="127"/>
      <c r="H341" s="127"/>
    </row>
    <row r="342" ht="15.75" customHeight="1">
      <c r="A342" s="127"/>
      <c r="B342" s="127"/>
      <c r="C342" s="127"/>
      <c r="D342" s="127"/>
      <c r="E342" s="127"/>
      <c r="F342" s="127"/>
      <c r="G342" s="127"/>
      <c r="H342" s="127"/>
    </row>
    <row r="343" ht="15.75" customHeight="1">
      <c r="A343" s="127"/>
      <c r="B343" s="127"/>
      <c r="C343" s="127"/>
      <c r="D343" s="127"/>
      <c r="E343" s="127"/>
      <c r="F343" s="127"/>
      <c r="G343" s="127"/>
      <c r="H343" s="127"/>
    </row>
    <row r="344" ht="15.75" customHeight="1">
      <c r="A344" s="127"/>
      <c r="B344" s="127"/>
      <c r="C344" s="127"/>
      <c r="D344" s="127"/>
      <c r="E344" s="127"/>
      <c r="F344" s="127"/>
      <c r="G344" s="127"/>
      <c r="H344" s="127"/>
    </row>
    <row r="345" ht="15.75" customHeight="1">
      <c r="A345" s="127"/>
      <c r="B345" s="127"/>
      <c r="C345" s="127"/>
      <c r="D345" s="127"/>
      <c r="E345" s="127"/>
      <c r="F345" s="127"/>
      <c r="G345" s="127"/>
      <c r="H345" s="127"/>
    </row>
    <row r="346" ht="15.75" customHeight="1">
      <c r="A346" s="127"/>
      <c r="B346" s="127"/>
      <c r="C346" s="127"/>
      <c r="D346" s="127"/>
      <c r="E346" s="127"/>
      <c r="F346" s="127"/>
      <c r="G346" s="127"/>
      <c r="H346" s="127"/>
    </row>
    <row r="347" ht="15.75" customHeight="1">
      <c r="A347" s="127"/>
      <c r="B347" s="127"/>
      <c r="C347" s="127"/>
      <c r="D347" s="127"/>
      <c r="E347" s="127"/>
      <c r="F347" s="127"/>
      <c r="G347" s="127"/>
      <c r="H347" s="127"/>
    </row>
    <row r="348" ht="15.75" customHeight="1">
      <c r="A348" s="127"/>
      <c r="B348" s="127"/>
      <c r="C348" s="127"/>
      <c r="D348" s="127"/>
      <c r="E348" s="127"/>
      <c r="F348" s="127"/>
      <c r="G348" s="127"/>
      <c r="H348" s="127"/>
    </row>
    <row r="349" ht="15.75" customHeight="1">
      <c r="A349" s="127"/>
      <c r="B349" s="127"/>
      <c r="C349" s="127"/>
      <c r="D349" s="127"/>
      <c r="E349" s="127"/>
      <c r="F349" s="127"/>
      <c r="G349" s="127"/>
      <c r="H349" s="127"/>
    </row>
    <row r="350" ht="15.75" customHeight="1">
      <c r="A350" s="127"/>
      <c r="B350" s="127"/>
      <c r="C350" s="127"/>
      <c r="D350" s="127"/>
      <c r="E350" s="127"/>
      <c r="F350" s="127"/>
      <c r="G350" s="127"/>
      <c r="H350" s="127"/>
    </row>
    <row r="351" ht="15.75" customHeight="1">
      <c r="A351" s="127"/>
      <c r="B351" s="127"/>
      <c r="C351" s="127"/>
      <c r="D351" s="127"/>
      <c r="E351" s="127"/>
      <c r="F351" s="127"/>
      <c r="G351" s="127"/>
      <c r="H351" s="127"/>
    </row>
    <row r="352" ht="15.75" customHeight="1">
      <c r="A352" s="127"/>
      <c r="B352" s="127"/>
      <c r="C352" s="127"/>
      <c r="D352" s="127"/>
      <c r="E352" s="127"/>
      <c r="F352" s="127"/>
      <c r="G352" s="127"/>
      <c r="H352" s="127"/>
    </row>
    <row r="353" ht="15.75" customHeight="1">
      <c r="A353" s="127"/>
      <c r="B353" s="127"/>
      <c r="C353" s="127"/>
      <c r="D353" s="127"/>
      <c r="E353" s="127"/>
      <c r="F353" s="127"/>
      <c r="G353" s="127"/>
      <c r="H353" s="127"/>
    </row>
    <row r="354" ht="15.75" customHeight="1">
      <c r="A354" s="127"/>
      <c r="B354" s="127"/>
      <c r="C354" s="127"/>
      <c r="D354" s="127"/>
      <c r="E354" s="127"/>
      <c r="F354" s="127"/>
      <c r="G354" s="127"/>
      <c r="H354" s="127"/>
    </row>
    <row r="355" ht="15.75" customHeight="1">
      <c r="A355" s="127"/>
      <c r="B355" s="127"/>
      <c r="C355" s="127"/>
      <c r="D355" s="127"/>
      <c r="E355" s="127"/>
      <c r="F355" s="127"/>
      <c r="G355" s="127"/>
      <c r="H355" s="127"/>
    </row>
    <row r="356" ht="15.75" customHeight="1">
      <c r="A356" s="127"/>
      <c r="B356" s="127"/>
      <c r="C356" s="127"/>
      <c r="D356" s="127"/>
      <c r="E356" s="127"/>
      <c r="F356" s="127"/>
      <c r="G356" s="127"/>
      <c r="H356" s="127"/>
    </row>
    <row r="357" ht="15.75" customHeight="1">
      <c r="A357" s="127"/>
      <c r="B357" s="127"/>
      <c r="C357" s="127"/>
      <c r="D357" s="127"/>
      <c r="E357" s="127"/>
      <c r="F357" s="127"/>
      <c r="G357" s="127"/>
      <c r="H357" s="127"/>
    </row>
    <row r="358" ht="15.75" customHeight="1">
      <c r="A358" s="127"/>
      <c r="B358" s="127"/>
      <c r="C358" s="127"/>
      <c r="D358" s="127"/>
      <c r="E358" s="127"/>
      <c r="F358" s="127"/>
      <c r="G358" s="127"/>
      <c r="H358" s="127"/>
    </row>
    <row r="359" ht="15.75" customHeight="1">
      <c r="A359" s="127"/>
      <c r="B359" s="127"/>
      <c r="C359" s="127"/>
      <c r="D359" s="127"/>
      <c r="E359" s="127"/>
      <c r="F359" s="127"/>
      <c r="G359" s="127"/>
      <c r="H359" s="127"/>
    </row>
    <row r="360" ht="15.75" customHeight="1">
      <c r="A360" s="127"/>
      <c r="B360" s="127"/>
      <c r="C360" s="127"/>
      <c r="D360" s="127"/>
      <c r="E360" s="127"/>
      <c r="F360" s="127"/>
      <c r="G360" s="127"/>
      <c r="H360" s="127"/>
    </row>
    <row r="361" ht="15.75" customHeight="1">
      <c r="A361" s="127"/>
      <c r="B361" s="127"/>
      <c r="C361" s="127"/>
      <c r="D361" s="127"/>
      <c r="E361" s="127"/>
      <c r="F361" s="127"/>
      <c r="G361" s="127"/>
      <c r="H361" s="127"/>
    </row>
    <row r="362" ht="15.75" customHeight="1">
      <c r="A362" s="127"/>
      <c r="B362" s="127"/>
      <c r="C362" s="127"/>
      <c r="D362" s="127"/>
      <c r="E362" s="127"/>
      <c r="F362" s="127"/>
      <c r="G362" s="127"/>
      <c r="H362" s="127"/>
    </row>
    <row r="363" ht="15.75" customHeight="1">
      <c r="A363" s="127"/>
      <c r="B363" s="127"/>
      <c r="C363" s="127"/>
      <c r="D363" s="127"/>
      <c r="E363" s="127"/>
      <c r="F363" s="127"/>
      <c r="G363" s="127"/>
      <c r="H363" s="127"/>
    </row>
    <row r="364" ht="15.75" customHeight="1">
      <c r="A364" s="127"/>
      <c r="B364" s="127"/>
      <c r="C364" s="127"/>
      <c r="D364" s="127"/>
      <c r="E364" s="127"/>
      <c r="F364" s="127"/>
      <c r="G364" s="127"/>
      <c r="H364" s="127"/>
    </row>
    <row r="365" ht="15.75" customHeight="1">
      <c r="A365" s="127"/>
      <c r="B365" s="127"/>
      <c r="C365" s="127"/>
      <c r="D365" s="127"/>
      <c r="E365" s="127"/>
      <c r="F365" s="127"/>
      <c r="G365" s="127"/>
      <c r="H365" s="127"/>
    </row>
    <row r="366" ht="15.75" customHeight="1">
      <c r="A366" s="127"/>
      <c r="B366" s="127"/>
      <c r="C366" s="127"/>
      <c r="D366" s="127"/>
      <c r="E366" s="127"/>
      <c r="F366" s="127"/>
      <c r="G366" s="127"/>
      <c r="H366" s="127"/>
    </row>
    <row r="367" ht="15.75" customHeight="1">
      <c r="A367" s="127"/>
      <c r="B367" s="127"/>
      <c r="C367" s="127"/>
      <c r="D367" s="127"/>
      <c r="E367" s="127"/>
      <c r="F367" s="127"/>
      <c r="G367" s="127"/>
      <c r="H367" s="127"/>
    </row>
    <row r="368" ht="15.75" customHeight="1">
      <c r="A368" s="127"/>
      <c r="B368" s="127"/>
      <c r="C368" s="127"/>
      <c r="D368" s="127"/>
      <c r="E368" s="127"/>
      <c r="F368" s="127"/>
      <c r="G368" s="127"/>
      <c r="H368" s="127"/>
    </row>
    <row r="369" ht="15.75" customHeight="1">
      <c r="A369" s="127"/>
      <c r="B369" s="127"/>
      <c r="C369" s="127"/>
      <c r="D369" s="127"/>
      <c r="E369" s="127"/>
      <c r="F369" s="127"/>
      <c r="G369" s="127"/>
      <c r="H369" s="127"/>
    </row>
    <row r="370" ht="15.75" customHeight="1">
      <c r="A370" s="127"/>
      <c r="B370" s="127"/>
      <c r="C370" s="127"/>
      <c r="D370" s="127"/>
      <c r="E370" s="127"/>
      <c r="F370" s="127"/>
      <c r="G370" s="127"/>
      <c r="H370" s="127"/>
    </row>
    <row r="371" ht="15.75" customHeight="1">
      <c r="A371" s="127"/>
      <c r="B371" s="127"/>
      <c r="C371" s="127"/>
      <c r="D371" s="127"/>
      <c r="E371" s="127"/>
      <c r="F371" s="127"/>
      <c r="G371" s="127"/>
      <c r="H371" s="127"/>
    </row>
    <row r="372" ht="15.75" customHeight="1">
      <c r="A372" s="127"/>
      <c r="B372" s="127"/>
      <c r="C372" s="127"/>
      <c r="D372" s="127"/>
      <c r="E372" s="127"/>
      <c r="F372" s="127"/>
      <c r="G372" s="127"/>
      <c r="H372" s="127"/>
    </row>
    <row r="373" ht="15.75" customHeight="1">
      <c r="A373" s="127"/>
      <c r="B373" s="127"/>
      <c r="C373" s="127"/>
      <c r="D373" s="127"/>
      <c r="E373" s="127"/>
      <c r="F373" s="127"/>
      <c r="G373" s="127"/>
      <c r="H373" s="127"/>
    </row>
    <row r="374" ht="15.75" customHeight="1">
      <c r="A374" s="127"/>
      <c r="B374" s="127"/>
      <c r="C374" s="127"/>
      <c r="D374" s="127"/>
      <c r="E374" s="127"/>
      <c r="F374" s="127"/>
      <c r="G374" s="127"/>
      <c r="H374" s="127"/>
    </row>
    <row r="375" ht="15.75" customHeight="1">
      <c r="A375" s="127"/>
      <c r="B375" s="127"/>
      <c r="C375" s="127"/>
      <c r="D375" s="127"/>
      <c r="E375" s="127"/>
      <c r="F375" s="127"/>
      <c r="G375" s="127"/>
      <c r="H375" s="127"/>
    </row>
    <row r="376" ht="15.75" customHeight="1">
      <c r="A376" s="127"/>
      <c r="B376" s="127"/>
      <c r="C376" s="127"/>
      <c r="D376" s="127"/>
      <c r="E376" s="127"/>
      <c r="F376" s="127"/>
      <c r="G376" s="127"/>
      <c r="H376" s="127"/>
    </row>
    <row r="377" ht="15.75" customHeight="1">
      <c r="A377" s="127"/>
      <c r="B377" s="127"/>
      <c r="C377" s="127"/>
      <c r="D377" s="127"/>
      <c r="E377" s="127"/>
      <c r="F377" s="127"/>
      <c r="G377" s="127"/>
      <c r="H377" s="127"/>
    </row>
    <row r="378" ht="15.75" customHeight="1">
      <c r="A378" s="127"/>
      <c r="B378" s="127"/>
      <c r="C378" s="127"/>
      <c r="D378" s="127"/>
      <c r="E378" s="127"/>
      <c r="F378" s="127"/>
      <c r="G378" s="127"/>
      <c r="H378" s="127"/>
    </row>
    <row r="379" ht="15.75" customHeight="1">
      <c r="A379" s="127"/>
      <c r="B379" s="127"/>
      <c r="C379" s="127"/>
      <c r="D379" s="127"/>
      <c r="E379" s="127"/>
      <c r="F379" s="127"/>
      <c r="G379" s="127"/>
      <c r="H379" s="127"/>
    </row>
    <row r="380" ht="15.75" customHeight="1">
      <c r="A380" s="127"/>
      <c r="B380" s="127"/>
      <c r="C380" s="127"/>
      <c r="D380" s="127"/>
      <c r="E380" s="127"/>
      <c r="F380" s="127"/>
      <c r="G380" s="127"/>
      <c r="H380" s="127"/>
    </row>
    <row r="381" ht="15.75" customHeight="1">
      <c r="A381" s="127"/>
      <c r="B381" s="127"/>
      <c r="C381" s="127"/>
      <c r="D381" s="127"/>
      <c r="E381" s="127"/>
      <c r="F381" s="127"/>
      <c r="G381" s="127"/>
      <c r="H381" s="127"/>
    </row>
    <row r="382" ht="15.75" customHeight="1">
      <c r="A382" s="127"/>
      <c r="B382" s="127"/>
      <c r="C382" s="127"/>
      <c r="D382" s="127"/>
      <c r="E382" s="127"/>
      <c r="F382" s="127"/>
      <c r="G382" s="127"/>
      <c r="H382" s="127"/>
    </row>
    <row r="383" ht="15.75" customHeight="1">
      <c r="A383" s="127"/>
      <c r="B383" s="127"/>
      <c r="C383" s="127"/>
      <c r="D383" s="127"/>
      <c r="E383" s="127"/>
      <c r="F383" s="127"/>
      <c r="G383" s="127"/>
      <c r="H383" s="127"/>
    </row>
    <row r="384" ht="15.75" customHeight="1">
      <c r="A384" s="127"/>
      <c r="B384" s="127"/>
      <c r="C384" s="127"/>
      <c r="D384" s="127"/>
      <c r="E384" s="127"/>
      <c r="F384" s="127"/>
      <c r="G384" s="127"/>
      <c r="H384" s="127"/>
    </row>
    <row r="385" ht="15.75" customHeight="1">
      <c r="A385" s="127"/>
      <c r="B385" s="127"/>
      <c r="C385" s="127"/>
      <c r="D385" s="127"/>
      <c r="E385" s="127"/>
      <c r="F385" s="127"/>
      <c r="G385" s="127"/>
      <c r="H385" s="127"/>
    </row>
    <row r="386" ht="15.75" customHeight="1">
      <c r="A386" s="127"/>
      <c r="B386" s="127"/>
      <c r="C386" s="127"/>
      <c r="D386" s="127"/>
      <c r="E386" s="127"/>
      <c r="F386" s="127"/>
      <c r="G386" s="127"/>
      <c r="H386" s="127"/>
    </row>
    <row r="387" ht="15.75" customHeight="1">
      <c r="A387" s="127"/>
      <c r="B387" s="127"/>
      <c r="C387" s="127"/>
      <c r="D387" s="127"/>
      <c r="E387" s="127"/>
      <c r="F387" s="127"/>
      <c r="G387" s="127"/>
      <c r="H387" s="127"/>
    </row>
    <row r="388" ht="15.75" customHeight="1">
      <c r="A388" s="127"/>
      <c r="B388" s="127"/>
      <c r="C388" s="127"/>
      <c r="D388" s="127"/>
      <c r="E388" s="127"/>
      <c r="F388" s="127"/>
      <c r="G388" s="127"/>
      <c r="H388" s="127"/>
    </row>
    <row r="389" ht="15.75" customHeight="1">
      <c r="A389" s="127"/>
      <c r="B389" s="127"/>
      <c r="C389" s="127"/>
      <c r="D389" s="127"/>
      <c r="E389" s="127"/>
      <c r="F389" s="127"/>
      <c r="G389" s="127"/>
      <c r="H389" s="127"/>
    </row>
    <row r="390" ht="15.75" customHeight="1">
      <c r="A390" s="127"/>
      <c r="B390" s="127"/>
      <c r="C390" s="127"/>
      <c r="D390" s="127"/>
      <c r="E390" s="127"/>
      <c r="F390" s="127"/>
      <c r="G390" s="127"/>
      <c r="H390" s="127"/>
    </row>
    <row r="391" ht="15.75" customHeight="1">
      <c r="A391" s="127"/>
      <c r="B391" s="127"/>
      <c r="C391" s="127"/>
      <c r="D391" s="127"/>
      <c r="E391" s="127"/>
      <c r="F391" s="127"/>
      <c r="G391" s="127"/>
      <c r="H391" s="127"/>
    </row>
    <row r="392" ht="15.75" customHeight="1">
      <c r="A392" s="127"/>
      <c r="B392" s="127"/>
      <c r="C392" s="127"/>
      <c r="D392" s="127"/>
      <c r="E392" s="127"/>
      <c r="F392" s="127"/>
      <c r="G392" s="127"/>
      <c r="H392" s="127"/>
    </row>
    <row r="393" ht="15.75" customHeight="1">
      <c r="A393" s="127"/>
      <c r="B393" s="127"/>
      <c r="C393" s="127"/>
      <c r="D393" s="127"/>
      <c r="E393" s="127"/>
      <c r="F393" s="127"/>
      <c r="G393" s="127"/>
      <c r="H393" s="127"/>
    </row>
    <row r="394" ht="15.75" customHeight="1">
      <c r="A394" s="127"/>
      <c r="B394" s="127"/>
      <c r="C394" s="127"/>
      <c r="D394" s="127"/>
      <c r="E394" s="127"/>
      <c r="F394" s="127"/>
      <c r="G394" s="127"/>
      <c r="H394" s="127"/>
    </row>
    <row r="395" ht="15.75" customHeight="1">
      <c r="A395" s="127"/>
      <c r="B395" s="127"/>
      <c r="C395" s="127"/>
      <c r="D395" s="127"/>
      <c r="E395" s="127"/>
      <c r="F395" s="127"/>
      <c r="G395" s="127"/>
      <c r="H395" s="127"/>
    </row>
    <row r="396" ht="15.75" customHeight="1">
      <c r="A396" s="127"/>
      <c r="B396" s="127"/>
      <c r="C396" s="127"/>
      <c r="D396" s="127"/>
      <c r="E396" s="127"/>
      <c r="F396" s="127"/>
      <c r="G396" s="127"/>
      <c r="H396" s="127"/>
    </row>
    <row r="397" ht="15.75" customHeight="1">
      <c r="A397" s="127"/>
      <c r="B397" s="127"/>
      <c r="C397" s="127"/>
      <c r="D397" s="127"/>
      <c r="E397" s="127"/>
      <c r="F397" s="127"/>
      <c r="G397" s="127"/>
      <c r="H397" s="127"/>
    </row>
    <row r="398" ht="15.75" customHeight="1">
      <c r="A398" s="127"/>
      <c r="B398" s="127"/>
      <c r="C398" s="127"/>
      <c r="D398" s="127"/>
      <c r="E398" s="127"/>
      <c r="F398" s="127"/>
      <c r="G398" s="127"/>
      <c r="H398" s="127"/>
    </row>
    <row r="399" ht="15.75" customHeight="1">
      <c r="A399" s="127"/>
      <c r="B399" s="127"/>
      <c r="C399" s="127"/>
      <c r="D399" s="127"/>
      <c r="E399" s="127"/>
      <c r="F399" s="127"/>
      <c r="G399" s="127"/>
      <c r="H399" s="127"/>
    </row>
    <row r="400" ht="15.75" customHeight="1">
      <c r="A400" s="127"/>
      <c r="B400" s="127"/>
      <c r="C400" s="127"/>
      <c r="D400" s="127"/>
      <c r="E400" s="127"/>
      <c r="F400" s="127"/>
      <c r="G400" s="127"/>
      <c r="H400" s="127"/>
    </row>
    <row r="401" ht="15.75" customHeight="1">
      <c r="A401" s="127"/>
      <c r="B401" s="127"/>
      <c r="C401" s="127"/>
      <c r="D401" s="127"/>
      <c r="E401" s="127"/>
      <c r="F401" s="127"/>
      <c r="G401" s="127"/>
      <c r="H401" s="127"/>
    </row>
    <row r="402" ht="15.75" customHeight="1">
      <c r="A402" s="127"/>
      <c r="B402" s="127"/>
      <c r="C402" s="127"/>
      <c r="D402" s="127"/>
      <c r="E402" s="127"/>
      <c r="F402" s="127"/>
      <c r="G402" s="127"/>
      <c r="H402" s="127"/>
    </row>
    <row r="403" ht="15.75" customHeight="1">
      <c r="A403" s="127"/>
      <c r="B403" s="127"/>
      <c r="C403" s="127"/>
      <c r="D403" s="127"/>
      <c r="E403" s="127"/>
      <c r="F403" s="127"/>
      <c r="G403" s="127"/>
      <c r="H403" s="127"/>
    </row>
    <row r="404" ht="15.75" customHeight="1">
      <c r="A404" s="127"/>
      <c r="B404" s="127"/>
      <c r="C404" s="127"/>
      <c r="D404" s="127"/>
      <c r="E404" s="127"/>
      <c r="F404" s="127"/>
      <c r="G404" s="127"/>
      <c r="H404" s="127"/>
    </row>
    <row r="405" ht="15.75" customHeight="1">
      <c r="A405" s="127"/>
      <c r="B405" s="127"/>
      <c r="C405" s="127"/>
      <c r="D405" s="127"/>
      <c r="E405" s="127"/>
      <c r="F405" s="127"/>
      <c r="G405" s="127"/>
      <c r="H405" s="127"/>
    </row>
    <row r="406" ht="15.75" customHeight="1">
      <c r="A406" s="127"/>
      <c r="B406" s="127"/>
      <c r="C406" s="127"/>
      <c r="D406" s="127"/>
      <c r="E406" s="127"/>
      <c r="F406" s="127"/>
      <c r="G406" s="127"/>
      <c r="H406" s="127"/>
    </row>
    <row r="407" ht="15.75" customHeight="1">
      <c r="A407" s="127"/>
      <c r="B407" s="127"/>
      <c r="C407" s="127"/>
      <c r="D407" s="127"/>
      <c r="E407" s="127"/>
      <c r="F407" s="127"/>
      <c r="G407" s="127"/>
      <c r="H407" s="127"/>
    </row>
    <row r="408" ht="15.75" customHeight="1">
      <c r="A408" s="127"/>
      <c r="B408" s="127"/>
      <c r="C408" s="127"/>
      <c r="D408" s="127"/>
      <c r="E408" s="127"/>
      <c r="F408" s="127"/>
      <c r="G408" s="127"/>
      <c r="H408" s="127"/>
    </row>
    <row r="409" ht="15.75" customHeight="1">
      <c r="A409" s="127"/>
      <c r="B409" s="127"/>
      <c r="C409" s="127"/>
      <c r="D409" s="127"/>
      <c r="E409" s="127"/>
      <c r="F409" s="127"/>
      <c r="G409" s="127"/>
      <c r="H409" s="127"/>
    </row>
    <row r="410" ht="15.75" customHeight="1">
      <c r="A410" s="127"/>
      <c r="B410" s="127"/>
      <c r="C410" s="127"/>
      <c r="D410" s="127"/>
      <c r="E410" s="127"/>
      <c r="F410" s="127"/>
      <c r="G410" s="127"/>
      <c r="H410" s="127"/>
    </row>
    <row r="411" ht="15.75" customHeight="1">
      <c r="A411" s="127"/>
      <c r="B411" s="127"/>
      <c r="C411" s="127"/>
      <c r="D411" s="127"/>
      <c r="E411" s="127"/>
      <c r="F411" s="127"/>
      <c r="G411" s="127"/>
      <c r="H411" s="127"/>
    </row>
    <row r="412" ht="15.75" customHeight="1">
      <c r="A412" s="127"/>
      <c r="B412" s="127"/>
      <c r="C412" s="127"/>
      <c r="D412" s="127"/>
      <c r="E412" s="127"/>
      <c r="F412" s="127"/>
      <c r="G412" s="127"/>
      <c r="H412" s="127"/>
    </row>
    <row r="413" ht="15.75" customHeight="1">
      <c r="A413" s="127"/>
      <c r="B413" s="127"/>
      <c r="C413" s="127"/>
      <c r="D413" s="127"/>
      <c r="E413" s="127"/>
      <c r="F413" s="127"/>
      <c r="G413" s="127"/>
      <c r="H413" s="127"/>
    </row>
    <row r="414" ht="15.75" customHeight="1">
      <c r="A414" s="127"/>
      <c r="B414" s="127"/>
      <c r="C414" s="127"/>
      <c r="D414" s="127"/>
      <c r="E414" s="127"/>
      <c r="F414" s="127"/>
      <c r="G414" s="127"/>
      <c r="H414" s="127"/>
    </row>
    <row r="415" ht="15.75" customHeight="1">
      <c r="A415" s="127"/>
      <c r="B415" s="127"/>
      <c r="C415" s="127"/>
      <c r="D415" s="127"/>
      <c r="E415" s="127"/>
      <c r="F415" s="127"/>
      <c r="G415" s="127"/>
      <c r="H415" s="127"/>
    </row>
    <row r="416" ht="15.75" customHeight="1">
      <c r="A416" s="127"/>
      <c r="B416" s="127"/>
      <c r="C416" s="127"/>
      <c r="D416" s="127"/>
      <c r="E416" s="127"/>
      <c r="F416" s="127"/>
      <c r="G416" s="127"/>
      <c r="H416" s="127"/>
    </row>
    <row r="417" ht="15.75" customHeight="1">
      <c r="A417" s="127"/>
      <c r="B417" s="127"/>
      <c r="C417" s="127"/>
      <c r="D417" s="127"/>
      <c r="E417" s="127"/>
      <c r="F417" s="127"/>
      <c r="G417" s="127"/>
      <c r="H417" s="127"/>
    </row>
    <row r="418" ht="15.75" customHeight="1">
      <c r="A418" s="127"/>
      <c r="B418" s="127"/>
      <c r="C418" s="127"/>
      <c r="D418" s="127"/>
      <c r="E418" s="127"/>
      <c r="F418" s="127"/>
      <c r="G418" s="127"/>
      <c r="H418" s="127"/>
    </row>
    <row r="419" ht="15.75" customHeight="1">
      <c r="A419" s="127"/>
      <c r="B419" s="127"/>
      <c r="C419" s="127"/>
      <c r="D419" s="127"/>
      <c r="E419" s="127"/>
      <c r="F419" s="127"/>
      <c r="G419" s="127"/>
      <c r="H419" s="127"/>
    </row>
    <row r="420" ht="15.75" customHeight="1">
      <c r="A420" s="127"/>
      <c r="B420" s="127"/>
      <c r="C420" s="127"/>
      <c r="D420" s="127"/>
      <c r="E420" s="127"/>
      <c r="F420" s="127"/>
      <c r="G420" s="127"/>
      <c r="H420" s="127"/>
    </row>
    <row r="421" ht="15.75" customHeight="1">
      <c r="A421" s="127"/>
      <c r="B421" s="127"/>
      <c r="C421" s="127"/>
      <c r="D421" s="127"/>
      <c r="E421" s="127"/>
      <c r="F421" s="127"/>
      <c r="G421" s="127"/>
      <c r="H421" s="127"/>
    </row>
    <row r="422" ht="15.75" customHeight="1">
      <c r="A422" s="127"/>
      <c r="B422" s="127"/>
      <c r="C422" s="127"/>
      <c r="D422" s="127"/>
      <c r="E422" s="127"/>
      <c r="F422" s="127"/>
      <c r="G422" s="127"/>
      <c r="H422" s="127"/>
    </row>
    <row r="423" ht="15.75" customHeight="1">
      <c r="A423" s="127"/>
      <c r="B423" s="127"/>
      <c r="C423" s="127"/>
      <c r="D423" s="127"/>
      <c r="E423" s="127"/>
      <c r="F423" s="127"/>
      <c r="G423" s="127"/>
      <c r="H423" s="127"/>
    </row>
    <row r="424" ht="15.75" customHeight="1">
      <c r="A424" s="127"/>
      <c r="B424" s="127"/>
      <c r="C424" s="127"/>
      <c r="D424" s="127"/>
      <c r="E424" s="127"/>
      <c r="F424" s="127"/>
      <c r="G424" s="127"/>
      <c r="H424" s="127"/>
    </row>
    <row r="425" ht="15.75" customHeight="1">
      <c r="A425" s="127"/>
      <c r="B425" s="127"/>
      <c r="C425" s="127"/>
      <c r="D425" s="127"/>
      <c r="E425" s="127"/>
      <c r="F425" s="127"/>
      <c r="G425" s="127"/>
      <c r="H425" s="127"/>
    </row>
    <row r="426" ht="15.75" customHeight="1">
      <c r="A426" s="127"/>
      <c r="B426" s="127"/>
      <c r="C426" s="127"/>
      <c r="D426" s="127"/>
      <c r="E426" s="127"/>
      <c r="F426" s="127"/>
      <c r="G426" s="127"/>
      <c r="H426" s="127"/>
    </row>
    <row r="427" ht="15.75" customHeight="1">
      <c r="A427" s="127"/>
      <c r="B427" s="127"/>
      <c r="C427" s="127"/>
      <c r="D427" s="127"/>
      <c r="E427" s="127"/>
      <c r="F427" s="127"/>
      <c r="G427" s="127"/>
      <c r="H427" s="127"/>
    </row>
    <row r="428" ht="15.75" customHeight="1">
      <c r="A428" s="127"/>
      <c r="B428" s="127"/>
      <c r="C428" s="127"/>
      <c r="D428" s="127"/>
      <c r="E428" s="127"/>
      <c r="F428" s="127"/>
      <c r="G428" s="127"/>
      <c r="H428" s="127"/>
    </row>
    <row r="429" ht="15.75" customHeight="1">
      <c r="A429" s="127"/>
      <c r="B429" s="127"/>
      <c r="C429" s="127"/>
      <c r="D429" s="127"/>
      <c r="E429" s="127"/>
      <c r="F429" s="127"/>
      <c r="G429" s="127"/>
      <c r="H429" s="127"/>
    </row>
    <row r="430" ht="15.75" customHeight="1">
      <c r="A430" s="127"/>
      <c r="B430" s="127"/>
      <c r="C430" s="127"/>
      <c r="D430" s="127"/>
      <c r="E430" s="127"/>
      <c r="F430" s="127"/>
      <c r="G430" s="127"/>
      <c r="H430" s="127"/>
    </row>
    <row r="431" ht="15.75" customHeight="1">
      <c r="A431" s="127"/>
      <c r="B431" s="127"/>
      <c r="C431" s="127"/>
      <c r="D431" s="127"/>
      <c r="E431" s="127"/>
      <c r="F431" s="127"/>
      <c r="G431" s="127"/>
      <c r="H431" s="127"/>
    </row>
    <row r="432" ht="15.75" customHeight="1">
      <c r="A432" s="127"/>
      <c r="B432" s="127"/>
      <c r="C432" s="127"/>
      <c r="D432" s="127"/>
      <c r="E432" s="127"/>
      <c r="F432" s="127"/>
      <c r="G432" s="127"/>
      <c r="H432" s="127"/>
    </row>
    <row r="433" ht="15.75" customHeight="1">
      <c r="A433" s="127"/>
      <c r="B433" s="127"/>
      <c r="C433" s="127"/>
      <c r="D433" s="127"/>
      <c r="E433" s="127"/>
      <c r="F433" s="127"/>
      <c r="G433" s="127"/>
      <c r="H433" s="127"/>
    </row>
    <row r="434" ht="15.75" customHeight="1">
      <c r="A434" s="127"/>
      <c r="B434" s="127"/>
      <c r="C434" s="127"/>
      <c r="D434" s="127"/>
      <c r="E434" s="127"/>
      <c r="F434" s="127"/>
      <c r="G434" s="127"/>
      <c r="H434" s="127"/>
    </row>
    <row r="435" ht="15.75" customHeight="1">
      <c r="A435" s="127"/>
      <c r="B435" s="127"/>
      <c r="C435" s="127"/>
      <c r="D435" s="127"/>
      <c r="E435" s="127"/>
      <c r="F435" s="127"/>
      <c r="G435" s="127"/>
      <c r="H435" s="127"/>
    </row>
    <row r="436" ht="15.75" customHeight="1">
      <c r="A436" s="127"/>
      <c r="B436" s="127"/>
      <c r="C436" s="127"/>
      <c r="D436" s="127"/>
      <c r="E436" s="127"/>
      <c r="F436" s="127"/>
      <c r="G436" s="127"/>
      <c r="H436" s="127"/>
    </row>
    <row r="437" ht="15.75" customHeight="1">
      <c r="A437" s="127"/>
      <c r="B437" s="127"/>
      <c r="C437" s="127"/>
      <c r="D437" s="127"/>
      <c r="E437" s="127"/>
      <c r="F437" s="127"/>
      <c r="G437" s="127"/>
      <c r="H437" s="127"/>
    </row>
    <row r="438" ht="15.75" customHeight="1">
      <c r="A438" s="127"/>
      <c r="B438" s="127"/>
      <c r="C438" s="127"/>
      <c r="D438" s="127"/>
      <c r="E438" s="127"/>
      <c r="F438" s="127"/>
      <c r="G438" s="127"/>
      <c r="H438" s="127"/>
    </row>
    <row r="439" ht="15.75" customHeight="1">
      <c r="A439" s="127"/>
      <c r="B439" s="127"/>
      <c r="C439" s="127"/>
      <c r="D439" s="127"/>
      <c r="E439" s="127"/>
      <c r="F439" s="127"/>
      <c r="G439" s="127"/>
      <c r="H439" s="127"/>
    </row>
    <row r="440" ht="15.75" customHeight="1">
      <c r="A440" s="127"/>
      <c r="B440" s="127"/>
      <c r="C440" s="127"/>
      <c r="D440" s="127"/>
      <c r="E440" s="127"/>
      <c r="F440" s="127"/>
      <c r="G440" s="127"/>
      <c r="H440" s="127"/>
    </row>
    <row r="441" ht="15.75" customHeight="1">
      <c r="A441" s="127"/>
      <c r="B441" s="127"/>
      <c r="C441" s="127"/>
      <c r="D441" s="127"/>
      <c r="E441" s="127"/>
      <c r="F441" s="127"/>
      <c r="G441" s="127"/>
      <c r="H441" s="127"/>
    </row>
    <row r="442" ht="15.75" customHeight="1">
      <c r="A442" s="127"/>
      <c r="B442" s="127"/>
      <c r="C442" s="127"/>
      <c r="D442" s="127"/>
      <c r="E442" s="127"/>
      <c r="F442" s="127"/>
      <c r="G442" s="127"/>
      <c r="H442" s="127"/>
    </row>
    <row r="443" ht="15.75" customHeight="1">
      <c r="A443" s="127"/>
      <c r="B443" s="127"/>
      <c r="C443" s="127"/>
      <c r="D443" s="127"/>
      <c r="E443" s="127"/>
      <c r="F443" s="127"/>
      <c r="G443" s="127"/>
      <c r="H443" s="127"/>
    </row>
    <row r="444" ht="15.75" customHeight="1">
      <c r="A444" s="127"/>
      <c r="B444" s="127"/>
      <c r="C444" s="127"/>
      <c r="D444" s="127"/>
      <c r="E444" s="127"/>
      <c r="F444" s="127"/>
      <c r="G444" s="127"/>
      <c r="H444" s="127"/>
    </row>
    <row r="445" ht="15.75" customHeight="1">
      <c r="A445" s="127"/>
      <c r="B445" s="127"/>
      <c r="C445" s="127"/>
      <c r="D445" s="127"/>
      <c r="E445" s="127"/>
      <c r="F445" s="127"/>
      <c r="G445" s="127"/>
      <c r="H445" s="127"/>
    </row>
    <row r="446" ht="15.75" customHeight="1">
      <c r="A446" s="127"/>
      <c r="B446" s="127"/>
      <c r="C446" s="127"/>
      <c r="D446" s="127"/>
      <c r="E446" s="127"/>
      <c r="F446" s="127"/>
      <c r="G446" s="127"/>
      <c r="H446" s="127"/>
    </row>
    <row r="447" ht="15.75" customHeight="1">
      <c r="A447" s="127"/>
      <c r="B447" s="127"/>
      <c r="C447" s="127"/>
      <c r="D447" s="127"/>
      <c r="E447" s="127"/>
      <c r="F447" s="127"/>
      <c r="G447" s="127"/>
      <c r="H447" s="127"/>
    </row>
    <row r="448" ht="15.75" customHeight="1">
      <c r="A448" s="127"/>
      <c r="B448" s="127"/>
      <c r="C448" s="127"/>
      <c r="D448" s="127"/>
      <c r="E448" s="127"/>
      <c r="F448" s="127"/>
      <c r="G448" s="127"/>
      <c r="H448" s="127"/>
    </row>
    <row r="449" ht="15.75" customHeight="1">
      <c r="A449" s="127"/>
      <c r="B449" s="127"/>
      <c r="C449" s="127"/>
      <c r="D449" s="127"/>
      <c r="E449" s="127"/>
      <c r="F449" s="127"/>
      <c r="G449" s="127"/>
      <c r="H449" s="127"/>
    </row>
    <row r="450" ht="15.75" customHeight="1">
      <c r="A450" s="127"/>
      <c r="B450" s="127"/>
      <c r="C450" s="127"/>
      <c r="D450" s="127"/>
      <c r="E450" s="127"/>
      <c r="F450" s="127"/>
      <c r="G450" s="127"/>
      <c r="H450" s="127"/>
    </row>
    <row r="451" ht="15.75" customHeight="1">
      <c r="A451" s="127"/>
      <c r="B451" s="127"/>
      <c r="C451" s="127"/>
      <c r="D451" s="127"/>
      <c r="E451" s="127"/>
      <c r="F451" s="127"/>
      <c r="G451" s="127"/>
      <c r="H451" s="127"/>
    </row>
    <row r="452" ht="15.75" customHeight="1">
      <c r="A452" s="127"/>
      <c r="B452" s="127"/>
      <c r="C452" s="127"/>
      <c r="D452" s="127"/>
      <c r="E452" s="127"/>
      <c r="F452" s="127"/>
      <c r="G452" s="127"/>
      <c r="H452" s="127"/>
    </row>
    <row r="453" ht="15.75" customHeight="1">
      <c r="A453" s="127"/>
      <c r="B453" s="127"/>
      <c r="C453" s="127"/>
      <c r="D453" s="127"/>
      <c r="E453" s="127"/>
      <c r="F453" s="127"/>
      <c r="G453" s="127"/>
      <c r="H453" s="127"/>
    </row>
    <row r="454" ht="15.75" customHeight="1">
      <c r="A454" s="127"/>
      <c r="B454" s="127"/>
      <c r="C454" s="127"/>
      <c r="D454" s="127"/>
      <c r="E454" s="127"/>
      <c r="F454" s="127"/>
      <c r="G454" s="127"/>
      <c r="H454" s="127"/>
    </row>
    <row r="455" ht="15.75" customHeight="1">
      <c r="A455" s="127"/>
      <c r="B455" s="127"/>
      <c r="C455" s="127"/>
      <c r="D455" s="127"/>
      <c r="E455" s="127"/>
      <c r="F455" s="127"/>
      <c r="G455" s="127"/>
      <c r="H455" s="127"/>
    </row>
    <row r="456" ht="15.75" customHeight="1">
      <c r="A456" s="127"/>
      <c r="B456" s="127"/>
      <c r="C456" s="127"/>
      <c r="D456" s="127"/>
      <c r="E456" s="127"/>
      <c r="F456" s="127"/>
      <c r="G456" s="127"/>
      <c r="H456" s="127"/>
    </row>
    <row r="457" ht="15.75" customHeight="1">
      <c r="A457" s="127"/>
      <c r="B457" s="127"/>
      <c r="C457" s="127"/>
      <c r="D457" s="127"/>
      <c r="E457" s="127"/>
      <c r="F457" s="127"/>
      <c r="G457" s="127"/>
      <c r="H457" s="127"/>
    </row>
    <row r="458" ht="15.75" customHeight="1">
      <c r="A458" s="127"/>
      <c r="B458" s="127"/>
      <c r="C458" s="127"/>
      <c r="D458" s="127"/>
      <c r="E458" s="127"/>
      <c r="F458" s="127"/>
      <c r="G458" s="127"/>
      <c r="H458" s="127"/>
    </row>
    <row r="459" ht="15.75" customHeight="1">
      <c r="A459" s="127"/>
      <c r="B459" s="127"/>
      <c r="C459" s="127"/>
      <c r="D459" s="127"/>
      <c r="E459" s="127"/>
      <c r="F459" s="127"/>
      <c r="G459" s="127"/>
      <c r="H459" s="127"/>
    </row>
    <row r="460" ht="15.75" customHeight="1">
      <c r="A460" s="127"/>
      <c r="B460" s="127"/>
      <c r="C460" s="127"/>
      <c r="D460" s="127"/>
      <c r="E460" s="127"/>
      <c r="F460" s="127"/>
      <c r="G460" s="127"/>
      <c r="H460" s="127"/>
    </row>
    <row r="461" ht="15.75" customHeight="1">
      <c r="A461" s="127"/>
      <c r="B461" s="127"/>
      <c r="C461" s="127"/>
      <c r="D461" s="127"/>
      <c r="E461" s="127"/>
      <c r="F461" s="127"/>
      <c r="G461" s="127"/>
      <c r="H461" s="127"/>
    </row>
    <row r="462" ht="15.75" customHeight="1">
      <c r="A462" s="127"/>
      <c r="B462" s="127"/>
      <c r="C462" s="127"/>
      <c r="D462" s="127"/>
      <c r="E462" s="127"/>
      <c r="F462" s="127"/>
      <c r="G462" s="127"/>
      <c r="H462" s="127"/>
    </row>
    <row r="463" ht="15.75" customHeight="1">
      <c r="A463" s="127"/>
      <c r="B463" s="127"/>
      <c r="C463" s="127"/>
      <c r="D463" s="127"/>
      <c r="E463" s="127"/>
      <c r="F463" s="127"/>
      <c r="G463" s="127"/>
      <c r="H463" s="127"/>
    </row>
    <row r="464" ht="15.75" customHeight="1">
      <c r="A464" s="127"/>
      <c r="B464" s="127"/>
      <c r="C464" s="127"/>
      <c r="D464" s="127"/>
      <c r="E464" s="127"/>
      <c r="F464" s="127"/>
      <c r="G464" s="127"/>
      <c r="H464" s="127"/>
    </row>
    <row r="465" ht="15.75" customHeight="1">
      <c r="A465" s="127"/>
      <c r="B465" s="127"/>
      <c r="C465" s="127"/>
      <c r="D465" s="127"/>
      <c r="E465" s="127"/>
      <c r="F465" s="127"/>
      <c r="G465" s="127"/>
      <c r="H465" s="127"/>
    </row>
    <row r="466" ht="15.75" customHeight="1">
      <c r="A466" s="127"/>
      <c r="B466" s="127"/>
      <c r="C466" s="127"/>
      <c r="D466" s="127"/>
      <c r="E466" s="127"/>
      <c r="F466" s="127"/>
      <c r="G466" s="127"/>
      <c r="H466" s="127"/>
    </row>
    <row r="467" ht="15.75" customHeight="1">
      <c r="A467" s="127"/>
      <c r="B467" s="127"/>
      <c r="C467" s="127"/>
      <c r="D467" s="127"/>
      <c r="E467" s="127"/>
      <c r="F467" s="127"/>
      <c r="G467" s="127"/>
      <c r="H467" s="127"/>
    </row>
    <row r="468" ht="15.75" customHeight="1">
      <c r="A468" s="127"/>
      <c r="B468" s="127"/>
      <c r="C468" s="127"/>
      <c r="D468" s="127"/>
      <c r="E468" s="127"/>
      <c r="F468" s="127"/>
      <c r="G468" s="127"/>
      <c r="H468" s="127"/>
    </row>
    <row r="469" ht="15.75" customHeight="1">
      <c r="A469" s="127"/>
      <c r="B469" s="127"/>
      <c r="C469" s="127"/>
      <c r="D469" s="127"/>
      <c r="E469" s="127"/>
      <c r="F469" s="127"/>
      <c r="G469" s="127"/>
      <c r="H469" s="127"/>
    </row>
    <row r="470" ht="15.75" customHeight="1">
      <c r="A470" s="127"/>
      <c r="B470" s="127"/>
      <c r="C470" s="127"/>
      <c r="D470" s="127"/>
      <c r="E470" s="127"/>
      <c r="F470" s="127"/>
      <c r="G470" s="127"/>
      <c r="H470" s="127"/>
    </row>
    <row r="471" ht="15.75" customHeight="1">
      <c r="A471" s="127"/>
      <c r="B471" s="127"/>
      <c r="C471" s="127"/>
      <c r="D471" s="127"/>
      <c r="E471" s="127"/>
      <c r="F471" s="127"/>
      <c r="G471" s="127"/>
      <c r="H471" s="127"/>
    </row>
    <row r="472" ht="15.75" customHeight="1">
      <c r="A472" s="127"/>
      <c r="B472" s="127"/>
      <c r="C472" s="127"/>
      <c r="D472" s="127"/>
      <c r="E472" s="127"/>
      <c r="F472" s="127"/>
      <c r="G472" s="127"/>
      <c r="H472" s="127"/>
    </row>
    <row r="473" ht="15.75" customHeight="1">
      <c r="A473" s="127"/>
      <c r="B473" s="127"/>
      <c r="C473" s="127"/>
      <c r="D473" s="127"/>
      <c r="E473" s="127"/>
      <c r="F473" s="127"/>
      <c r="G473" s="127"/>
      <c r="H473" s="127"/>
    </row>
    <row r="474" ht="15.75" customHeight="1">
      <c r="A474" s="127"/>
      <c r="B474" s="127"/>
      <c r="C474" s="127"/>
      <c r="D474" s="127"/>
      <c r="E474" s="127"/>
      <c r="F474" s="127"/>
      <c r="G474" s="127"/>
      <c r="H474" s="127"/>
    </row>
    <row r="475" ht="15.75" customHeight="1">
      <c r="A475" s="127"/>
      <c r="B475" s="127"/>
      <c r="C475" s="127"/>
      <c r="D475" s="127"/>
      <c r="E475" s="127"/>
      <c r="F475" s="127"/>
      <c r="G475" s="127"/>
      <c r="H475" s="127"/>
    </row>
    <row r="476" ht="15.75" customHeight="1">
      <c r="A476" s="127"/>
      <c r="B476" s="127"/>
      <c r="C476" s="127"/>
      <c r="D476" s="127"/>
      <c r="E476" s="127"/>
      <c r="F476" s="127"/>
      <c r="G476" s="127"/>
      <c r="H476" s="127"/>
    </row>
    <row r="477" ht="15.75" customHeight="1">
      <c r="A477" s="127"/>
      <c r="B477" s="127"/>
      <c r="C477" s="127"/>
      <c r="D477" s="127"/>
      <c r="E477" s="127"/>
      <c r="F477" s="127"/>
      <c r="G477" s="127"/>
      <c r="H477" s="127"/>
    </row>
    <row r="478" ht="15.75" customHeight="1">
      <c r="A478" s="127"/>
      <c r="B478" s="127"/>
      <c r="C478" s="127"/>
      <c r="D478" s="127"/>
      <c r="E478" s="127"/>
      <c r="F478" s="127"/>
      <c r="G478" s="127"/>
      <c r="H478" s="127"/>
    </row>
    <row r="479" ht="15.75" customHeight="1">
      <c r="A479" s="127"/>
      <c r="B479" s="127"/>
      <c r="C479" s="127"/>
      <c r="D479" s="127"/>
      <c r="E479" s="127"/>
      <c r="F479" s="127"/>
      <c r="G479" s="127"/>
      <c r="H479" s="127"/>
    </row>
    <row r="480" ht="15.75" customHeight="1">
      <c r="A480" s="127"/>
      <c r="B480" s="127"/>
      <c r="C480" s="127"/>
      <c r="D480" s="127"/>
      <c r="E480" s="127"/>
      <c r="F480" s="127"/>
      <c r="G480" s="127"/>
      <c r="H480" s="127"/>
    </row>
    <row r="481" ht="15.75" customHeight="1">
      <c r="A481" s="127"/>
      <c r="B481" s="127"/>
      <c r="C481" s="127"/>
      <c r="D481" s="127"/>
      <c r="E481" s="127"/>
      <c r="F481" s="127"/>
      <c r="G481" s="127"/>
      <c r="H481" s="127"/>
    </row>
    <row r="482" ht="15.75" customHeight="1">
      <c r="A482" s="127"/>
      <c r="B482" s="127"/>
      <c r="C482" s="127"/>
      <c r="D482" s="127"/>
      <c r="E482" s="127"/>
      <c r="F482" s="127"/>
      <c r="G482" s="127"/>
      <c r="H482" s="127"/>
    </row>
    <row r="483" ht="15.75" customHeight="1">
      <c r="A483" s="127"/>
      <c r="B483" s="127"/>
      <c r="C483" s="127"/>
      <c r="D483" s="127"/>
      <c r="E483" s="127"/>
      <c r="F483" s="127"/>
      <c r="G483" s="127"/>
      <c r="H483" s="127"/>
    </row>
    <row r="484" ht="15.75" customHeight="1">
      <c r="A484" s="127"/>
      <c r="B484" s="127"/>
      <c r="C484" s="127"/>
      <c r="D484" s="127"/>
      <c r="E484" s="127"/>
      <c r="F484" s="127"/>
      <c r="G484" s="127"/>
      <c r="H484" s="127"/>
    </row>
    <row r="485" ht="15.75" customHeight="1">
      <c r="A485" s="127"/>
      <c r="B485" s="127"/>
      <c r="C485" s="127"/>
      <c r="D485" s="127"/>
      <c r="E485" s="127"/>
      <c r="F485" s="127"/>
      <c r="G485" s="127"/>
      <c r="H485" s="127"/>
    </row>
    <row r="486" ht="15.75" customHeight="1">
      <c r="A486" s="127"/>
      <c r="B486" s="127"/>
      <c r="C486" s="127"/>
      <c r="D486" s="127"/>
      <c r="E486" s="127"/>
      <c r="F486" s="127"/>
      <c r="G486" s="127"/>
      <c r="H486" s="127"/>
    </row>
    <row r="487" ht="15.75" customHeight="1">
      <c r="A487" s="127"/>
      <c r="B487" s="127"/>
      <c r="C487" s="127"/>
      <c r="D487" s="127"/>
      <c r="E487" s="127"/>
      <c r="F487" s="127"/>
      <c r="G487" s="127"/>
      <c r="H487" s="127"/>
    </row>
    <row r="488" ht="15.75" customHeight="1">
      <c r="A488" s="127"/>
      <c r="B488" s="127"/>
      <c r="C488" s="127"/>
      <c r="D488" s="127"/>
      <c r="E488" s="127"/>
      <c r="F488" s="127"/>
      <c r="G488" s="127"/>
      <c r="H488" s="127"/>
    </row>
    <row r="489" ht="15.75" customHeight="1">
      <c r="A489" s="127"/>
      <c r="B489" s="127"/>
      <c r="C489" s="127"/>
      <c r="D489" s="127"/>
      <c r="E489" s="127"/>
      <c r="F489" s="127"/>
      <c r="G489" s="127"/>
      <c r="H489" s="127"/>
    </row>
    <row r="490" ht="15.75" customHeight="1">
      <c r="A490" s="127"/>
      <c r="B490" s="127"/>
      <c r="C490" s="127"/>
      <c r="D490" s="127"/>
      <c r="E490" s="127"/>
      <c r="F490" s="127"/>
      <c r="G490" s="127"/>
      <c r="H490" s="127"/>
    </row>
    <row r="491" ht="15.75" customHeight="1">
      <c r="A491" s="127"/>
      <c r="B491" s="127"/>
      <c r="C491" s="127"/>
      <c r="D491" s="127"/>
      <c r="E491" s="127"/>
      <c r="F491" s="127"/>
      <c r="G491" s="127"/>
      <c r="H491" s="127"/>
    </row>
    <row r="492" ht="15.75" customHeight="1">
      <c r="A492" s="127"/>
      <c r="B492" s="127"/>
      <c r="C492" s="127"/>
      <c r="D492" s="127"/>
      <c r="E492" s="127"/>
      <c r="F492" s="127"/>
      <c r="G492" s="127"/>
      <c r="H492" s="127"/>
    </row>
    <row r="493" ht="15.75" customHeight="1">
      <c r="A493" s="127"/>
      <c r="B493" s="127"/>
      <c r="C493" s="127"/>
      <c r="D493" s="127"/>
      <c r="E493" s="127"/>
      <c r="F493" s="127"/>
      <c r="G493" s="127"/>
      <c r="H493" s="127"/>
    </row>
    <row r="494" ht="15.75" customHeight="1">
      <c r="A494" s="127"/>
      <c r="B494" s="127"/>
      <c r="C494" s="127"/>
      <c r="D494" s="127"/>
      <c r="E494" s="127"/>
      <c r="F494" s="127"/>
      <c r="G494" s="127"/>
      <c r="H494" s="127"/>
    </row>
    <row r="495" ht="15.75" customHeight="1">
      <c r="A495" s="127"/>
      <c r="B495" s="127"/>
      <c r="C495" s="127"/>
      <c r="D495" s="127"/>
      <c r="E495" s="127"/>
      <c r="F495" s="127"/>
      <c r="G495" s="127"/>
      <c r="H495" s="127"/>
    </row>
    <row r="496" ht="15.75" customHeight="1">
      <c r="A496" s="127"/>
      <c r="B496" s="127"/>
      <c r="C496" s="127"/>
      <c r="D496" s="127"/>
      <c r="E496" s="127"/>
      <c r="F496" s="127"/>
      <c r="G496" s="127"/>
      <c r="H496" s="127"/>
    </row>
    <row r="497" ht="15.75" customHeight="1">
      <c r="A497" s="127"/>
      <c r="B497" s="127"/>
      <c r="C497" s="127"/>
      <c r="D497" s="127"/>
      <c r="E497" s="127"/>
      <c r="F497" s="127"/>
      <c r="G497" s="127"/>
      <c r="H497" s="127"/>
    </row>
    <row r="498" ht="15.75" customHeight="1">
      <c r="A498" s="127"/>
      <c r="B498" s="127"/>
      <c r="C498" s="127"/>
      <c r="D498" s="127"/>
      <c r="E498" s="127"/>
      <c r="F498" s="127"/>
      <c r="G498" s="127"/>
      <c r="H498" s="127"/>
    </row>
    <row r="499" ht="15.75" customHeight="1">
      <c r="A499" s="127"/>
      <c r="B499" s="127"/>
      <c r="C499" s="127"/>
      <c r="D499" s="127"/>
      <c r="E499" s="127"/>
      <c r="F499" s="127"/>
      <c r="G499" s="127"/>
      <c r="H499" s="127"/>
    </row>
    <row r="500" ht="15.75" customHeight="1">
      <c r="A500" s="127"/>
      <c r="B500" s="127"/>
      <c r="C500" s="127"/>
      <c r="D500" s="127"/>
      <c r="E500" s="127"/>
      <c r="F500" s="127"/>
      <c r="G500" s="127"/>
      <c r="H500" s="127"/>
    </row>
    <row r="501" ht="15.75" customHeight="1">
      <c r="A501" s="127"/>
      <c r="B501" s="127"/>
      <c r="C501" s="127"/>
      <c r="D501" s="127"/>
      <c r="E501" s="127"/>
      <c r="F501" s="127"/>
      <c r="G501" s="127"/>
      <c r="H501" s="127"/>
    </row>
    <row r="502" ht="15.75" customHeight="1">
      <c r="A502" s="127"/>
      <c r="B502" s="127"/>
      <c r="C502" s="127"/>
      <c r="D502" s="127"/>
      <c r="E502" s="127"/>
      <c r="F502" s="127"/>
      <c r="G502" s="127"/>
      <c r="H502" s="127"/>
    </row>
    <row r="503" ht="15.75" customHeight="1">
      <c r="A503" s="127"/>
      <c r="B503" s="127"/>
      <c r="C503" s="127"/>
      <c r="D503" s="127"/>
      <c r="E503" s="127"/>
      <c r="F503" s="127"/>
      <c r="G503" s="127"/>
      <c r="H503" s="127"/>
    </row>
    <row r="504" ht="15.75" customHeight="1">
      <c r="A504" s="127"/>
      <c r="B504" s="127"/>
      <c r="C504" s="127"/>
      <c r="D504" s="127"/>
      <c r="E504" s="127"/>
      <c r="F504" s="127"/>
      <c r="G504" s="127"/>
      <c r="H504" s="127"/>
    </row>
    <row r="505" ht="15.75" customHeight="1">
      <c r="A505" s="127"/>
      <c r="B505" s="127"/>
      <c r="C505" s="127"/>
      <c r="D505" s="127"/>
      <c r="E505" s="127"/>
      <c r="F505" s="127"/>
      <c r="G505" s="127"/>
      <c r="H505" s="127"/>
    </row>
    <row r="506" ht="15.75" customHeight="1">
      <c r="A506" s="127"/>
      <c r="B506" s="127"/>
      <c r="C506" s="127"/>
      <c r="D506" s="127"/>
      <c r="E506" s="127"/>
      <c r="F506" s="127"/>
      <c r="G506" s="127"/>
      <c r="H506" s="127"/>
    </row>
    <row r="507" ht="15.75" customHeight="1">
      <c r="A507" s="127"/>
      <c r="B507" s="127"/>
      <c r="C507" s="127"/>
      <c r="D507" s="127"/>
      <c r="E507" s="127"/>
      <c r="F507" s="127"/>
      <c r="G507" s="127"/>
      <c r="H507" s="127"/>
    </row>
    <row r="508" ht="15.75" customHeight="1">
      <c r="A508" s="127"/>
      <c r="B508" s="127"/>
      <c r="C508" s="127"/>
      <c r="D508" s="127"/>
      <c r="E508" s="127"/>
      <c r="F508" s="127"/>
      <c r="G508" s="127"/>
      <c r="H508" s="127"/>
    </row>
    <row r="509" ht="15.75" customHeight="1">
      <c r="A509" s="127"/>
      <c r="B509" s="127"/>
      <c r="C509" s="127"/>
      <c r="D509" s="127"/>
      <c r="E509" s="127"/>
      <c r="F509" s="127"/>
      <c r="G509" s="127"/>
      <c r="H509" s="127"/>
    </row>
    <row r="510" ht="15.75" customHeight="1">
      <c r="A510" s="127"/>
      <c r="B510" s="127"/>
      <c r="C510" s="127"/>
      <c r="D510" s="127"/>
      <c r="E510" s="127"/>
      <c r="F510" s="127"/>
      <c r="G510" s="127"/>
      <c r="H510" s="127"/>
    </row>
    <row r="511" ht="15.75" customHeight="1">
      <c r="A511" s="127"/>
      <c r="B511" s="127"/>
      <c r="C511" s="127"/>
      <c r="D511" s="127"/>
      <c r="E511" s="127"/>
      <c r="F511" s="127"/>
      <c r="G511" s="127"/>
      <c r="H511" s="127"/>
    </row>
    <row r="512" ht="15.75" customHeight="1">
      <c r="A512" s="127"/>
      <c r="B512" s="127"/>
      <c r="C512" s="127"/>
      <c r="D512" s="127"/>
      <c r="E512" s="127"/>
      <c r="F512" s="127"/>
      <c r="G512" s="127"/>
      <c r="H512" s="127"/>
    </row>
    <row r="513" ht="15.75" customHeight="1">
      <c r="A513" s="127"/>
      <c r="B513" s="127"/>
      <c r="C513" s="127"/>
      <c r="D513" s="127"/>
      <c r="E513" s="127"/>
      <c r="F513" s="127"/>
      <c r="G513" s="127"/>
      <c r="H513" s="127"/>
    </row>
    <row r="514" ht="15.75" customHeight="1">
      <c r="A514" s="127"/>
      <c r="B514" s="127"/>
      <c r="C514" s="127"/>
      <c r="D514" s="127"/>
      <c r="E514" s="127"/>
      <c r="F514" s="127"/>
      <c r="G514" s="127"/>
      <c r="H514" s="127"/>
    </row>
    <row r="515" ht="15.75" customHeight="1">
      <c r="A515" s="127"/>
      <c r="B515" s="127"/>
      <c r="C515" s="127"/>
      <c r="D515" s="127"/>
      <c r="E515" s="127"/>
      <c r="F515" s="127"/>
      <c r="G515" s="127"/>
      <c r="H515" s="127"/>
    </row>
    <row r="516" ht="15.75" customHeight="1">
      <c r="A516" s="127"/>
      <c r="B516" s="127"/>
      <c r="C516" s="127"/>
      <c r="D516" s="127"/>
      <c r="E516" s="127"/>
      <c r="F516" s="127"/>
      <c r="G516" s="127"/>
      <c r="H516" s="127"/>
    </row>
    <row r="517" ht="15.75" customHeight="1">
      <c r="A517" s="127"/>
      <c r="B517" s="127"/>
      <c r="C517" s="127"/>
      <c r="D517" s="127"/>
      <c r="E517" s="127"/>
      <c r="F517" s="127"/>
      <c r="G517" s="127"/>
      <c r="H517" s="127"/>
    </row>
    <row r="518" ht="15.75" customHeight="1">
      <c r="A518" s="127"/>
      <c r="B518" s="127"/>
      <c r="C518" s="127"/>
      <c r="D518" s="127"/>
      <c r="E518" s="127"/>
      <c r="F518" s="127"/>
      <c r="G518" s="127"/>
      <c r="H518" s="127"/>
    </row>
    <row r="519" ht="15.75" customHeight="1">
      <c r="A519" s="127"/>
      <c r="B519" s="127"/>
      <c r="C519" s="127"/>
      <c r="D519" s="127"/>
      <c r="E519" s="127"/>
      <c r="F519" s="127"/>
      <c r="G519" s="127"/>
      <c r="H519" s="127"/>
    </row>
    <row r="520" ht="15.75" customHeight="1">
      <c r="A520" s="127"/>
      <c r="B520" s="127"/>
      <c r="C520" s="127"/>
      <c r="D520" s="127"/>
      <c r="E520" s="127"/>
      <c r="F520" s="127"/>
      <c r="G520" s="127"/>
      <c r="H520" s="127"/>
    </row>
    <row r="521" ht="15.75" customHeight="1">
      <c r="A521" s="127"/>
      <c r="B521" s="127"/>
      <c r="C521" s="127"/>
      <c r="D521" s="127"/>
      <c r="E521" s="127"/>
      <c r="F521" s="127"/>
      <c r="G521" s="127"/>
      <c r="H521" s="127"/>
    </row>
    <row r="522" ht="15.75" customHeight="1">
      <c r="A522" s="127"/>
      <c r="B522" s="127"/>
      <c r="C522" s="127"/>
      <c r="D522" s="127"/>
      <c r="E522" s="127"/>
      <c r="F522" s="127"/>
      <c r="G522" s="127"/>
      <c r="H522" s="127"/>
    </row>
    <row r="523" ht="15.75" customHeight="1">
      <c r="A523" s="127"/>
      <c r="B523" s="127"/>
      <c r="C523" s="127"/>
      <c r="D523" s="127"/>
      <c r="E523" s="127"/>
      <c r="F523" s="127"/>
      <c r="G523" s="127"/>
      <c r="H523" s="127"/>
    </row>
    <row r="524" ht="15.75" customHeight="1">
      <c r="A524" s="127"/>
      <c r="B524" s="127"/>
      <c r="C524" s="127"/>
      <c r="D524" s="127"/>
      <c r="E524" s="127"/>
      <c r="F524" s="127"/>
      <c r="G524" s="127"/>
      <c r="H524" s="127"/>
    </row>
    <row r="525" ht="15.75" customHeight="1">
      <c r="A525" s="127"/>
      <c r="B525" s="127"/>
      <c r="C525" s="127"/>
      <c r="D525" s="127"/>
      <c r="E525" s="127"/>
      <c r="F525" s="127"/>
      <c r="G525" s="127"/>
      <c r="H525" s="127"/>
    </row>
    <row r="526" ht="15.75" customHeight="1">
      <c r="A526" s="127"/>
      <c r="B526" s="127"/>
      <c r="C526" s="127"/>
      <c r="D526" s="127"/>
      <c r="E526" s="127"/>
      <c r="F526" s="127"/>
      <c r="G526" s="127"/>
      <c r="H526" s="127"/>
    </row>
    <row r="527" ht="15.75" customHeight="1">
      <c r="A527" s="127"/>
      <c r="B527" s="127"/>
      <c r="C527" s="127"/>
      <c r="D527" s="127"/>
      <c r="E527" s="127"/>
      <c r="F527" s="127"/>
      <c r="G527" s="127"/>
      <c r="H527" s="127"/>
    </row>
    <row r="528" ht="15.75" customHeight="1">
      <c r="A528" s="127"/>
      <c r="B528" s="127"/>
      <c r="C528" s="127"/>
      <c r="D528" s="127"/>
      <c r="E528" s="127"/>
      <c r="F528" s="127"/>
      <c r="G528" s="127"/>
      <c r="H528" s="127"/>
    </row>
    <row r="529" ht="15.75" customHeight="1">
      <c r="A529" s="127"/>
      <c r="B529" s="127"/>
      <c r="C529" s="127"/>
      <c r="D529" s="127"/>
      <c r="E529" s="127"/>
      <c r="F529" s="127"/>
      <c r="G529" s="127"/>
      <c r="H529" s="127"/>
    </row>
    <row r="530" ht="15.75" customHeight="1">
      <c r="A530" s="127"/>
      <c r="B530" s="127"/>
      <c r="C530" s="127"/>
      <c r="D530" s="127"/>
      <c r="E530" s="127"/>
      <c r="F530" s="127"/>
      <c r="G530" s="127"/>
      <c r="H530" s="127"/>
    </row>
    <row r="531" ht="15.75" customHeight="1">
      <c r="A531" s="127"/>
      <c r="B531" s="127"/>
      <c r="C531" s="127"/>
      <c r="D531" s="127"/>
      <c r="E531" s="127"/>
      <c r="F531" s="127"/>
      <c r="G531" s="127"/>
      <c r="H531" s="127"/>
    </row>
    <row r="532" ht="15.75" customHeight="1">
      <c r="A532" s="127"/>
      <c r="B532" s="127"/>
      <c r="C532" s="127"/>
      <c r="D532" s="127"/>
      <c r="E532" s="127"/>
      <c r="F532" s="127"/>
      <c r="G532" s="127"/>
      <c r="H532" s="127"/>
    </row>
    <row r="533" ht="15.75" customHeight="1">
      <c r="A533" s="127"/>
      <c r="B533" s="127"/>
      <c r="C533" s="127"/>
      <c r="D533" s="127"/>
      <c r="E533" s="127"/>
      <c r="F533" s="127"/>
      <c r="G533" s="127"/>
      <c r="H533" s="127"/>
    </row>
    <row r="534" ht="15.75" customHeight="1">
      <c r="A534" s="127"/>
      <c r="B534" s="127"/>
      <c r="C534" s="127"/>
      <c r="D534" s="127"/>
      <c r="E534" s="127"/>
      <c r="F534" s="127"/>
      <c r="G534" s="127"/>
      <c r="H534" s="127"/>
    </row>
    <row r="535" ht="15.75" customHeight="1">
      <c r="A535" s="127"/>
      <c r="B535" s="127"/>
      <c r="C535" s="127"/>
      <c r="D535" s="127"/>
      <c r="E535" s="127"/>
      <c r="F535" s="127"/>
      <c r="G535" s="127"/>
      <c r="H535" s="127"/>
    </row>
    <row r="536" ht="15.75" customHeight="1">
      <c r="A536" s="127"/>
      <c r="B536" s="127"/>
      <c r="C536" s="127"/>
      <c r="D536" s="127"/>
      <c r="E536" s="127"/>
      <c r="F536" s="127"/>
      <c r="G536" s="127"/>
      <c r="H536" s="127"/>
    </row>
    <row r="537" ht="15.75" customHeight="1">
      <c r="A537" s="127"/>
      <c r="B537" s="127"/>
      <c r="C537" s="127"/>
      <c r="D537" s="127"/>
      <c r="E537" s="127"/>
      <c r="F537" s="127"/>
      <c r="G537" s="127"/>
      <c r="H537" s="127"/>
    </row>
    <row r="538" ht="15.75" customHeight="1">
      <c r="A538" s="127"/>
      <c r="B538" s="127"/>
      <c r="C538" s="127"/>
      <c r="D538" s="127"/>
      <c r="E538" s="127"/>
      <c r="F538" s="127"/>
      <c r="G538" s="127"/>
      <c r="H538" s="127"/>
    </row>
    <row r="539" ht="15.75" customHeight="1">
      <c r="A539" s="127"/>
      <c r="B539" s="127"/>
      <c r="C539" s="127"/>
      <c r="D539" s="127"/>
      <c r="E539" s="127"/>
      <c r="F539" s="127"/>
      <c r="G539" s="127"/>
      <c r="H539" s="127"/>
    </row>
    <row r="540" ht="15.75" customHeight="1">
      <c r="A540" s="127"/>
      <c r="B540" s="127"/>
      <c r="C540" s="127"/>
      <c r="D540" s="127"/>
      <c r="E540" s="127"/>
      <c r="F540" s="127"/>
      <c r="G540" s="127"/>
      <c r="H540" s="127"/>
    </row>
    <row r="541" ht="15.75" customHeight="1">
      <c r="A541" s="127"/>
      <c r="B541" s="127"/>
      <c r="C541" s="127"/>
      <c r="D541" s="127"/>
      <c r="E541" s="127"/>
      <c r="F541" s="127"/>
      <c r="G541" s="127"/>
      <c r="H541" s="127"/>
    </row>
    <row r="542" ht="15.75" customHeight="1">
      <c r="A542" s="127"/>
      <c r="B542" s="127"/>
      <c r="C542" s="127"/>
      <c r="D542" s="127"/>
      <c r="E542" s="127"/>
      <c r="F542" s="127"/>
      <c r="G542" s="127"/>
      <c r="H542" s="127"/>
    </row>
    <row r="543" ht="15.75" customHeight="1">
      <c r="A543" s="127"/>
      <c r="B543" s="127"/>
      <c r="C543" s="127"/>
      <c r="D543" s="127"/>
      <c r="E543" s="127"/>
      <c r="F543" s="127"/>
      <c r="G543" s="127"/>
      <c r="H543" s="127"/>
    </row>
    <row r="544" ht="15.75" customHeight="1">
      <c r="A544" s="127"/>
      <c r="B544" s="127"/>
      <c r="C544" s="127"/>
      <c r="D544" s="127"/>
      <c r="E544" s="127"/>
      <c r="F544" s="127"/>
      <c r="G544" s="127"/>
      <c r="H544" s="127"/>
    </row>
    <row r="545" ht="15.75" customHeight="1">
      <c r="A545" s="127"/>
      <c r="B545" s="127"/>
      <c r="C545" s="127"/>
      <c r="D545" s="127"/>
      <c r="E545" s="127"/>
      <c r="F545" s="127"/>
      <c r="G545" s="127"/>
      <c r="H545" s="127"/>
    </row>
    <row r="546" ht="15.75" customHeight="1">
      <c r="A546" s="127"/>
      <c r="B546" s="127"/>
      <c r="C546" s="127"/>
      <c r="D546" s="127"/>
      <c r="E546" s="127"/>
      <c r="F546" s="127"/>
      <c r="G546" s="127"/>
      <c r="H546" s="127"/>
    </row>
    <row r="547" ht="15.75" customHeight="1">
      <c r="A547" s="127"/>
      <c r="B547" s="127"/>
      <c r="C547" s="127"/>
      <c r="D547" s="127"/>
      <c r="E547" s="127"/>
      <c r="F547" s="127"/>
      <c r="G547" s="127"/>
      <c r="H547" s="127"/>
    </row>
    <row r="548" ht="15.75" customHeight="1">
      <c r="A548" s="127"/>
      <c r="B548" s="127"/>
      <c r="C548" s="127"/>
      <c r="D548" s="127"/>
      <c r="E548" s="127"/>
      <c r="F548" s="127"/>
      <c r="G548" s="127"/>
      <c r="H548" s="127"/>
    </row>
    <row r="549" ht="15.75" customHeight="1">
      <c r="A549" s="127"/>
      <c r="B549" s="127"/>
      <c r="C549" s="127"/>
      <c r="D549" s="127"/>
      <c r="E549" s="127"/>
      <c r="F549" s="127"/>
      <c r="G549" s="127"/>
      <c r="H549" s="127"/>
    </row>
    <row r="550" ht="15.75" customHeight="1">
      <c r="A550" s="127"/>
      <c r="B550" s="127"/>
      <c r="C550" s="127"/>
      <c r="D550" s="127"/>
      <c r="E550" s="127"/>
      <c r="F550" s="127"/>
      <c r="G550" s="127"/>
      <c r="H550" s="127"/>
    </row>
    <row r="551" ht="15.75" customHeight="1">
      <c r="A551" s="127"/>
      <c r="B551" s="127"/>
      <c r="C551" s="127"/>
      <c r="D551" s="127"/>
      <c r="E551" s="127"/>
      <c r="F551" s="127"/>
      <c r="G551" s="127"/>
      <c r="H551" s="127"/>
    </row>
    <row r="552" ht="15.75" customHeight="1">
      <c r="A552" s="127"/>
      <c r="B552" s="127"/>
      <c r="C552" s="127"/>
      <c r="D552" s="127"/>
      <c r="E552" s="127"/>
      <c r="F552" s="127"/>
      <c r="G552" s="127"/>
      <c r="H552" s="127"/>
    </row>
    <row r="553" ht="15.75" customHeight="1">
      <c r="A553" s="127"/>
      <c r="B553" s="127"/>
      <c r="C553" s="127"/>
      <c r="D553" s="127"/>
      <c r="E553" s="127"/>
      <c r="F553" s="127"/>
      <c r="G553" s="127"/>
      <c r="H553" s="127"/>
    </row>
    <row r="554" ht="15.75" customHeight="1">
      <c r="A554" s="127"/>
      <c r="B554" s="127"/>
      <c r="C554" s="127"/>
      <c r="D554" s="127"/>
      <c r="E554" s="127"/>
      <c r="F554" s="127"/>
      <c r="G554" s="127"/>
      <c r="H554" s="127"/>
    </row>
    <row r="555" ht="15.75" customHeight="1">
      <c r="A555" s="127"/>
      <c r="B555" s="127"/>
      <c r="C555" s="127"/>
      <c r="D555" s="127"/>
      <c r="E555" s="127"/>
      <c r="F555" s="127"/>
      <c r="G555" s="127"/>
      <c r="H555" s="127"/>
    </row>
    <row r="556" ht="15.75" customHeight="1">
      <c r="A556" s="127"/>
      <c r="B556" s="127"/>
      <c r="C556" s="127"/>
      <c r="D556" s="127"/>
      <c r="E556" s="127"/>
      <c r="F556" s="127"/>
      <c r="G556" s="127"/>
      <c r="H556" s="127"/>
    </row>
    <row r="557" ht="15.75" customHeight="1">
      <c r="A557" s="127"/>
      <c r="B557" s="127"/>
      <c r="C557" s="127"/>
      <c r="D557" s="127"/>
      <c r="E557" s="127"/>
      <c r="F557" s="127"/>
      <c r="G557" s="127"/>
      <c r="H557" s="127"/>
    </row>
    <row r="558" ht="15.75" customHeight="1">
      <c r="A558" s="127"/>
      <c r="B558" s="127"/>
      <c r="C558" s="127"/>
      <c r="D558" s="127"/>
      <c r="E558" s="127"/>
      <c r="F558" s="127"/>
      <c r="G558" s="127"/>
      <c r="H558" s="127"/>
    </row>
    <row r="559" ht="15.75" customHeight="1">
      <c r="A559" s="127"/>
      <c r="B559" s="127"/>
      <c r="C559" s="127"/>
      <c r="D559" s="127"/>
      <c r="E559" s="127"/>
      <c r="F559" s="127"/>
      <c r="G559" s="127"/>
      <c r="H559" s="127"/>
    </row>
    <row r="560" ht="15.75" customHeight="1">
      <c r="A560" s="127"/>
      <c r="B560" s="127"/>
      <c r="C560" s="127"/>
      <c r="D560" s="127"/>
      <c r="E560" s="127"/>
      <c r="F560" s="127"/>
      <c r="G560" s="127"/>
      <c r="H560" s="127"/>
    </row>
    <row r="561" ht="15.75" customHeight="1">
      <c r="A561" s="127"/>
      <c r="B561" s="127"/>
      <c r="C561" s="127"/>
      <c r="D561" s="127"/>
      <c r="E561" s="127"/>
      <c r="F561" s="127"/>
      <c r="G561" s="127"/>
      <c r="H561" s="127"/>
    </row>
    <row r="562" ht="15.75" customHeight="1">
      <c r="A562" s="127"/>
      <c r="B562" s="127"/>
      <c r="C562" s="127"/>
      <c r="D562" s="127"/>
      <c r="E562" s="127"/>
      <c r="F562" s="127"/>
      <c r="G562" s="127"/>
      <c r="H562" s="127"/>
    </row>
    <row r="563" ht="15.75" customHeight="1">
      <c r="A563" s="127"/>
      <c r="B563" s="127"/>
      <c r="C563" s="127"/>
      <c r="D563" s="127"/>
      <c r="E563" s="127"/>
      <c r="F563" s="127"/>
      <c r="G563" s="127"/>
      <c r="H563" s="127"/>
    </row>
    <row r="564" ht="15.75" customHeight="1">
      <c r="A564" s="127"/>
      <c r="B564" s="127"/>
      <c r="C564" s="127"/>
      <c r="D564" s="127"/>
      <c r="E564" s="127"/>
      <c r="F564" s="127"/>
      <c r="G564" s="127"/>
      <c r="H564" s="127"/>
    </row>
    <row r="565" ht="15.75" customHeight="1">
      <c r="A565" s="127"/>
      <c r="B565" s="127"/>
      <c r="C565" s="127"/>
      <c r="D565" s="127"/>
      <c r="E565" s="127"/>
      <c r="F565" s="127"/>
      <c r="G565" s="127"/>
      <c r="H565" s="127"/>
    </row>
    <row r="566" ht="15.75" customHeight="1">
      <c r="A566" s="127"/>
      <c r="B566" s="127"/>
      <c r="C566" s="127"/>
      <c r="D566" s="127"/>
      <c r="E566" s="127"/>
      <c r="F566" s="127"/>
      <c r="G566" s="127"/>
      <c r="H566" s="127"/>
    </row>
    <row r="567" ht="15.75" customHeight="1">
      <c r="A567" s="127"/>
      <c r="B567" s="127"/>
      <c r="C567" s="127"/>
      <c r="D567" s="127"/>
      <c r="E567" s="127"/>
      <c r="F567" s="127"/>
      <c r="G567" s="127"/>
      <c r="H567" s="127"/>
    </row>
    <row r="568" ht="15.75" customHeight="1">
      <c r="A568" s="127"/>
      <c r="B568" s="127"/>
      <c r="C568" s="127"/>
      <c r="D568" s="127"/>
      <c r="E568" s="127"/>
      <c r="F568" s="127"/>
      <c r="G568" s="127"/>
      <c r="H568" s="127"/>
    </row>
    <row r="569" ht="15.75" customHeight="1">
      <c r="A569" s="127"/>
      <c r="B569" s="127"/>
      <c r="C569" s="127"/>
      <c r="D569" s="127"/>
      <c r="E569" s="127"/>
      <c r="F569" s="127"/>
      <c r="G569" s="127"/>
      <c r="H569" s="127"/>
    </row>
    <row r="570" ht="15.75" customHeight="1">
      <c r="A570" s="127"/>
      <c r="B570" s="127"/>
      <c r="C570" s="127"/>
      <c r="D570" s="127"/>
      <c r="E570" s="127"/>
      <c r="F570" s="127"/>
      <c r="G570" s="127"/>
      <c r="H570" s="127"/>
    </row>
    <row r="571" ht="15.75" customHeight="1">
      <c r="A571" s="127"/>
      <c r="B571" s="127"/>
      <c r="C571" s="127"/>
      <c r="D571" s="127"/>
      <c r="E571" s="127"/>
      <c r="F571" s="127"/>
      <c r="G571" s="127"/>
      <c r="H571" s="127"/>
    </row>
    <row r="572" ht="15.75" customHeight="1">
      <c r="A572" s="127"/>
      <c r="B572" s="127"/>
      <c r="C572" s="127"/>
      <c r="D572" s="127"/>
      <c r="E572" s="127"/>
      <c r="F572" s="127"/>
      <c r="G572" s="127"/>
      <c r="H572" s="127"/>
    </row>
    <row r="573" ht="15.75" customHeight="1">
      <c r="A573" s="127"/>
      <c r="B573" s="127"/>
      <c r="C573" s="127"/>
      <c r="D573" s="127"/>
      <c r="E573" s="127"/>
      <c r="F573" s="127"/>
      <c r="G573" s="127"/>
      <c r="H573" s="127"/>
    </row>
    <row r="574" ht="15.75" customHeight="1">
      <c r="A574" s="127"/>
      <c r="B574" s="127"/>
      <c r="C574" s="127"/>
      <c r="D574" s="127"/>
      <c r="E574" s="127"/>
      <c r="F574" s="127"/>
      <c r="G574" s="127"/>
      <c r="H574" s="127"/>
    </row>
    <row r="575" ht="15.75" customHeight="1">
      <c r="A575" s="127"/>
      <c r="B575" s="127"/>
      <c r="C575" s="127"/>
      <c r="D575" s="127"/>
      <c r="E575" s="127"/>
      <c r="F575" s="127"/>
      <c r="G575" s="127"/>
      <c r="H575" s="127"/>
    </row>
    <row r="576" ht="15.75" customHeight="1">
      <c r="A576" s="127"/>
      <c r="B576" s="127"/>
      <c r="C576" s="127"/>
      <c r="D576" s="127"/>
      <c r="E576" s="127"/>
      <c r="F576" s="127"/>
      <c r="G576" s="127"/>
      <c r="H576" s="127"/>
    </row>
    <row r="577" ht="15.75" customHeight="1">
      <c r="A577" s="127"/>
      <c r="B577" s="127"/>
      <c r="C577" s="127"/>
      <c r="D577" s="127"/>
      <c r="E577" s="127"/>
      <c r="F577" s="127"/>
      <c r="G577" s="127"/>
      <c r="H577" s="127"/>
    </row>
    <row r="578" ht="15.75" customHeight="1">
      <c r="A578" s="127"/>
      <c r="B578" s="127"/>
      <c r="C578" s="127"/>
      <c r="D578" s="127"/>
      <c r="E578" s="127"/>
      <c r="F578" s="127"/>
      <c r="G578" s="127"/>
      <c r="H578" s="127"/>
    </row>
    <row r="579" ht="15.75" customHeight="1">
      <c r="A579" s="127"/>
      <c r="B579" s="127"/>
      <c r="C579" s="127"/>
      <c r="D579" s="127"/>
      <c r="E579" s="127"/>
      <c r="F579" s="127"/>
      <c r="G579" s="127"/>
      <c r="H579" s="127"/>
    </row>
    <row r="580" ht="15.75" customHeight="1">
      <c r="A580" s="127"/>
      <c r="B580" s="127"/>
      <c r="C580" s="127"/>
      <c r="D580" s="127"/>
      <c r="E580" s="127"/>
      <c r="F580" s="127"/>
      <c r="G580" s="127"/>
      <c r="H580" s="127"/>
    </row>
    <row r="581" ht="15.75" customHeight="1">
      <c r="A581" s="127"/>
      <c r="B581" s="127"/>
      <c r="C581" s="127"/>
      <c r="D581" s="127"/>
      <c r="E581" s="127"/>
      <c r="F581" s="127"/>
      <c r="G581" s="127"/>
      <c r="H581" s="127"/>
    </row>
    <row r="582" ht="15.75" customHeight="1">
      <c r="A582" s="127"/>
      <c r="B582" s="127"/>
      <c r="C582" s="127"/>
      <c r="D582" s="127"/>
      <c r="E582" s="127"/>
      <c r="F582" s="127"/>
      <c r="G582" s="127"/>
      <c r="H582" s="127"/>
    </row>
    <row r="583" ht="15.75" customHeight="1">
      <c r="A583" s="127"/>
      <c r="B583" s="127"/>
      <c r="C583" s="127"/>
      <c r="D583" s="127"/>
      <c r="E583" s="127"/>
      <c r="F583" s="127"/>
      <c r="G583" s="127"/>
      <c r="H583" s="127"/>
    </row>
    <row r="584" ht="15.75" customHeight="1">
      <c r="A584" s="127"/>
      <c r="B584" s="127"/>
      <c r="C584" s="127"/>
      <c r="D584" s="127"/>
      <c r="E584" s="127"/>
      <c r="F584" s="127"/>
      <c r="G584" s="127"/>
      <c r="H584" s="127"/>
    </row>
    <row r="585" ht="15.75" customHeight="1">
      <c r="A585" s="127"/>
      <c r="B585" s="127"/>
      <c r="C585" s="127"/>
      <c r="D585" s="127"/>
      <c r="E585" s="127"/>
      <c r="F585" s="127"/>
      <c r="G585" s="127"/>
      <c r="H585" s="127"/>
    </row>
    <row r="586" ht="15.75" customHeight="1">
      <c r="A586" s="127"/>
      <c r="B586" s="127"/>
      <c r="C586" s="127"/>
      <c r="D586" s="127"/>
      <c r="E586" s="127"/>
      <c r="F586" s="127"/>
      <c r="G586" s="127"/>
      <c r="H586" s="127"/>
    </row>
    <row r="587" ht="15.75" customHeight="1">
      <c r="A587" s="127"/>
      <c r="B587" s="127"/>
      <c r="C587" s="127"/>
      <c r="D587" s="127"/>
      <c r="E587" s="127"/>
      <c r="F587" s="127"/>
      <c r="G587" s="127"/>
      <c r="H587" s="127"/>
    </row>
    <row r="588" ht="15.75" customHeight="1">
      <c r="A588" s="127"/>
      <c r="B588" s="127"/>
      <c r="C588" s="127"/>
      <c r="D588" s="127"/>
      <c r="E588" s="127"/>
      <c r="F588" s="127"/>
      <c r="G588" s="127"/>
      <c r="H588" s="127"/>
    </row>
    <row r="589" ht="15.75" customHeight="1">
      <c r="A589" s="127"/>
      <c r="B589" s="127"/>
      <c r="C589" s="127"/>
      <c r="D589" s="127"/>
      <c r="E589" s="127"/>
      <c r="F589" s="127"/>
      <c r="G589" s="127"/>
      <c r="H589" s="127"/>
    </row>
    <row r="590" ht="15.75" customHeight="1">
      <c r="A590" s="127"/>
      <c r="B590" s="127"/>
      <c r="C590" s="127"/>
      <c r="D590" s="127"/>
      <c r="E590" s="127"/>
      <c r="F590" s="127"/>
      <c r="G590" s="127"/>
      <c r="H590" s="127"/>
    </row>
    <row r="591" ht="15.75" customHeight="1">
      <c r="A591" s="127"/>
      <c r="B591" s="127"/>
      <c r="C591" s="127"/>
      <c r="D591" s="127"/>
      <c r="E591" s="127"/>
      <c r="F591" s="127"/>
      <c r="G591" s="127"/>
      <c r="H591" s="127"/>
    </row>
    <row r="592" ht="15.75" customHeight="1">
      <c r="A592" s="127"/>
      <c r="B592" s="127"/>
      <c r="C592" s="127"/>
      <c r="D592" s="127"/>
      <c r="E592" s="127"/>
      <c r="F592" s="127"/>
      <c r="G592" s="127"/>
      <c r="H592" s="127"/>
    </row>
    <row r="593" ht="15.75" customHeight="1">
      <c r="A593" s="127"/>
      <c r="B593" s="127"/>
      <c r="C593" s="127"/>
      <c r="D593" s="127"/>
      <c r="E593" s="127"/>
      <c r="F593" s="127"/>
      <c r="G593" s="127"/>
      <c r="H593" s="127"/>
    </row>
    <row r="594" ht="15.75" customHeight="1">
      <c r="A594" s="127"/>
      <c r="B594" s="127"/>
      <c r="C594" s="127"/>
      <c r="D594" s="127"/>
      <c r="E594" s="127"/>
      <c r="F594" s="127"/>
      <c r="G594" s="127"/>
      <c r="H594" s="127"/>
    </row>
    <row r="595" ht="15.75" customHeight="1">
      <c r="A595" s="127"/>
      <c r="B595" s="127"/>
      <c r="C595" s="127"/>
      <c r="D595" s="127"/>
      <c r="E595" s="127"/>
      <c r="F595" s="127"/>
      <c r="G595" s="127"/>
      <c r="H595" s="127"/>
    </row>
    <row r="596" ht="15.75" customHeight="1">
      <c r="A596" s="127"/>
      <c r="B596" s="127"/>
      <c r="C596" s="127"/>
      <c r="D596" s="127"/>
      <c r="E596" s="127"/>
      <c r="F596" s="127"/>
      <c r="G596" s="127"/>
      <c r="H596" s="127"/>
    </row>
    <row r="597" ht="15.75" customHeight="1">
      <c r="A597" s="127"/>
      <c r="B597" s="127"/>
      <c r="C597" s="127"/>
      <c r="D597" s="127"/>
      <c r="E597" s="127"/>
      <c r="F597" s="127"/>
      <c r="G597" s="127"/>
      <c r="H597" s="127"/>
    </row>
    <row r="598" ht="15.75" customHeight="1">
      <c r="A598" s="127"/>
      <c r="B598" s="127"/>
      <c r="C598" s="127"/>
      <c r="D598" s="127"/>
      <c r="E598" s="127"/>
      <c r="F598" s="127"/>
      <c r="G598" s="127"/>
      <c r="H598" s="127"/>
    </row>
    <row r="599" ht="15.75" customHeight="1">
      <c r="A599" s="127"/>
      <c r="B599" s="127"/>
      <c r="C599" s="127"/>
      <c r="D599" s="127"/>
      <c r="E599" s="127"/>
      <c r="F599" s="127"/>
      <c r="G599" s="127"/>
      <c r="H599" s="127"/>
    </row>
    <row r="600" ht="15.75" customHeight="1">
      <c r="A600" s="127"/>
      <c r="B600" s="127"/>
      <c r="C600" s="127"/>
      <c r="D600" s="127"/>
      <c r="E600" s="127"/>
      <c r="F600" s="127"/>
      <c r="G600" s="127"/>
      <c r="H600" s="127"/>
    </row>
    <row r="601" ht="15.75" customHeight="1">
      <c r="A601" s="127"/>
      <c r="B601" s="127"/>
      <c r="C601" s="127"/>
      <c r="D601" s="127"/>
      <c r="E601" s="127"/>
      <c r="F601" s="127"/>
      <c r="G601" s="127"/>
      <c r="H601" s="127"/>
    </row>
    <row r="602" ht="15.75" customHeight="1">
      <c r="A602" s="127"/>
      <c r="B602" s="127"/>
      <c r="C602" s="127"/>
      <c r="D602" s="127"/>
      <c r="E602" s="127"/>
      <c r="F602" s="127"/>
      <c r="G602" s="127"/>
      <c r="H602" s="127"/>
    </row>
    <row r="603" ht="15.75" customHeight="1">
      <c r="A603" s="127"/>
      <c r="B603" s="127"/>
      <c r="C603" s="127"/>
      <c r="D603" s="127"/>
      <c r="E603" s="127"/>
      <c r="F603" s="127"/>
      <c r="G603" s="127"/>
      <c r="H603" s="127"/>
    </row>
    <row r="604" ht="15.75" customHeight="1">
      <c r="A604" s="127"/>
      <c r="B604" s="127"/>
      <c r="C604" s="127"/>
      <c r="D604" s="127"/>
      <c r="E604" s="127"/>
      <c r="F604" s="127"/>
      <c r="G604" s="127"/>
      <c r="H604" s="127"/>
    </row>
    <row r="605" ht="15.75" customHeight="1">
      <c r="A605" s="127"/>
      <c r="B605" s="127"/>
      <c r="C605" s="127"/>
      <c r="D605" s="127"/>
      <c r="E605" s="127"/>
      <c r="F605" s="127"/>
      <c r="G605" s="127"/>
      <c r="H605" s="127"/>
    </row>
    <row r="606" ht="15.75" customHeight="1">
      <c r="A606" s="127"/>
      <c r="B606" s="127"/>
      <c r="C606" s="127"/>
      <c r="D606" s="127"/>
      <c r="E606" s="127"/>
      <c r="F606" s="127"/>
      <c r="G606" s="127"/>
      <c r="H606" s="127"/>
    </row>
    <row r="607" ht="15.75" customHeight="1">
      <c r="A607" s="127"/>
      <c r="B607" s="127"/>
      <c r="C607" s="127"/>
      <c r="D607" s="127"/>
      <c r="E607" s="127"/>
      <c r="F607" s="127"/>
      <c r="G607" s="127"/>
      <c r="H607" s="127"/>
    </row>
    <row r="608" ht="15.75" customHeight="1">
      <c r="A608" s="127"/>
      <c r="B608" s="127"/>
      <c r="C608" s="127"/>
      <c r="D608" s="127"/>
      <c r="E608" s="127"/>
      <c r="F608" s="127"/>
      <c r="G608" s="127"/>
      <c r="H608" s="127"/>
    </row>
    <row r="609" ht="15.75" customHeight="1">
      <c r="A609" s="127"/>
      <c r="B609" s="127"/>
      <c r="C609" s="127"/>
      <c r="D609" s="127"/>
      <c r="E609" s="127"/>
      <c r="F609" s="127"/>
      <c r="G609" s="127"/>
      <c r="H609" s="127"/>
    </row>
    <row r="610" ht="15.75" customHeight="1">
      <c r="A610" s="127"/>
      <c r="B610" s="127"/>
      <c r="C610" s="127"/>
      <c r="D610" s="127"/>
      <c r="E610" s="127"/>
      <c r="F610" s="127"/>
      <c r="G610" s="127"/>
      <c r="H610" s="127"/>
    </row>
    <row r="611" ht="15.75" customHeight="1">
      <c r="A611" s="127"/>
      <c r="B611" s="127"/>
      <c r="C611" s="127"/>
      <c r="D611" s="127"/>
      <c r="E611" s="127"/>
      <c r="F611" s="127"/>
      <c r="G611" s="127"/>
      <c r="H611" s="127"/>
    </row>
    <row r="612" ht="15.75" customHeight="1">
      <c r="A612" s="127"/>
      <c r="B612" s="127"/>
      <c r="C612" s="127"/>
      <c r="D612" s="127"/>
      <c r="E612" s="127"/>
      <c r="F612" s="127"/>
      <c r="G612" s="127"/>
      <c r="H612" s="127"/>
    </row>
    <row r="613" ht="15.75" customHeight="1">
      <c r="A613" s="127"/>
      <c r="B613" s="127"/>
      <c r="C613" s="127"/>
      <c r="D613" s="127"/>
      <c r="E613" s="127"/>
      <c r="F613" s="127"/>
      <c r="G613" s="127"/>
      <c r="H613" s="127"/>
    </row>
    <row r="614" ht="15.75" customHeight="1">
      <c r="A614" s="127"/>
      <c r="B614" s="127"/>
      <c r="C614" s="127"/>
      <c r="D614" s="127"/>
      <c r="E614" s="127"/>
      <c r="F614" s="127"/>
      <c r="G614" s="127"/>
      <c r="H614" s="127"/>
    </row>
    <row r="615" ht="15.75" customHeight="1">
      <c r="A615" s="127"/>
      <c r="B615" s="127"/>
      <c r="C615" s="127"/>
      <c r="D615" s="127"/>
      <c r="E615" s="127"/>
      <c r="F615" s="127"/>
      <c r="G615" s="127"/>
      <c r="H615" s="127"/>
    </row>
    <row r="616" ht="15.75" customHeight="1">
      <c r="A616" s="127"/>
      <c r="B616" s="127"/>
      <c r="C616" s="127"/>
      <c r="D616" s="127"/>
      <c r="E616" s="127"/>
      <c r="F616" s="127"/>
      <c r="G616" s="127"/>
      <c r="H616" s="127"/>
    </row>
    <row r="617" ht="15.75" customHeight="1">
      <c r="A617" s="127"/>
      <c r="B617" s="127"/>
      <c r="C617" s="127"/>
      <c r="D617" s="127"/>
      <c r="E617" s="127"/>
      <c r="F617" s="127"/>
      <c r="G617" s="127"/>
      <c r="H617" s="127"/>
    </row>
    <row r="618" ht="15.75" customHeight="1">
      <c r="A618" s="127"/>
      <c r="B618" s="127"/>
      <c r="C618" s="127"/>
      <c r="D618" s="127"/>
      <c r="E618" s="127"/>
      <c r="F618" s="127"/>
      <c r="G618" s="127"/>
      <c r="H618" s="127"/>
    </row>
    <row r="619" ht="15.75" customHeight="1">
      <c r="A619" s="127"/>
      <c r="B619" s="127"/>
      <c r="C619" s="127"/>
      <c r="D619" s="127"/>
      <c r="E619" s="127"/>
      <c r="F619" s="127"/>
      <c r="G619" s="127"/>
      <c r="H619" s="127"/>
    </row>
    <row r="620" ht="15.75" customHeight="1">
      <c r="A620" s="127"/>
      <c r="B620" s="127"/>
      <c r="C620" s="127"/>
      <c r="D620" s="127"/>
      <c r="E620" s="127"/>
      <c r="F620" s="127"/>
      <c r="G620" s="127"/>
      <c r="H620" s="127"/>
    </row>
    <row r="621" ht="15.75" customHeight="1">
      <c r="A621" s="127"/>
      <c r="B621" s="127"/>
      <c r="C621" s="127"/>
      <c r="D621" s="127"/>
      <c r="E621" s="127"/>
      <c r="F621" s="127"/>
      <c r="G621" s="127"/>
      <c r="H621" s="127"/>
    </row>
    <row r="622" ht="15.75" customHeight="1">
      <c r="A622" s="127"/>
      <c r="B622" s="127"/>
      <c r="C622" s="127"/>
      <c r="D622" s="127"/>
      <c r="E622" s="127"/>
      <c r="F622" s="127"/>
      <c r="G622" s="127"/>
      <c r="H622" s="127"/>
    </row>
    <row r="623" ht="15.75" customHeight="1">
      <c r="A623" s="127"/>
      <c r="B623" s="127"/>
      <c r="C623" s="127"/>
      <c r="D623" s="127"/>
      <c r="E623" s="127"/>
      <c r="F623" s="127"/>
      <c r="G623" s="127"/>
      <c r="H623" s="127"/>
    </row>
    <row r="624" ht="15.75" customHeight="1">
      <c r="A624" s="127"/>
      <c r="B624" s="127"/>
      <c r="C624" s="127"/>
      <c r="D624" s="127"/>
      <c r="E624" s="127"/>
      <c r="F624" s="127"/>
      <c r="G624" s="127"/>
      <c r="H624" s="127"/>
    </row>
    <row r="625" ht="15.75" customHeight="1">
      <c r="A625" s="127"/>
      <c r="B625" s="127"/>
      <c r="C625" s="127"/>
      <c r="D625" s="127"/>
      <c r="E625" s="127"/>
      <c r="F625" s="127"/>
      <c r="G625" s="127"/>
      <c r="H625" s="127"/>
    </row>
    <row r="626" ht="15.75" customHeight="1">
      <c r="A626" s="127"/>
      <c r="B626" s="127"/>
      <c r="C626" s="127"/>
      <c r="D626" s="127"/>
      <c r="E626" s="127"/>
      <c r="F626" s="127"/>
      <c r="G626" s="127"/>
      <c r="H626" s="127"/>
    </row>
    <row r="627" ht="15.75" customHeight="1">
      <c r="A627" s="127"/>
      <c r="B627" s="127"/>
      <c r="C627" s="127"/>
      <c r="D627" s="127"/>
      <c r="E627" s="127"/>
      <c r="F627" s="127"/>
      <c r="G627" s="127"/>
      <c r="H627" s="127"/>
    </row>
    <row r="628" ht="15.75" customHeight="1">
      <c r="A628" s="127"/>
      <c r="B628" s="127"/>
      <c r="C628" s="127"/>
      <c r="D628" s="127"/>
      <c r="E628" s="127"/>
      <c r="F628" s="127"/>
      <c r="G628" s="127"/>
      <c r="H628" s="127"/>
    </row>
    <row r="629" ht="15.75" customHeight="1">
      <c r="A629" s="127"/>
      <c r="B629" s="127"/>
      <c r="C629" s="127"/>
      <c r="D629" s="127"/>
      <c r="E629" s="127"/>
      <c r="F629" s="127"/>
      <c r="G629" s="127"/>
      <c r="H629" s="127"/>
    </row>
    <row r="630" ht="15.75" customHeight="1">
      <c r="A630" s="127"/>
      <c r="B630" s="127"/>
      <c r="C630" s="127"/>
      <c r="D630" s="127"/>
      <c r="E630" s="127"/>
      <c r="F630" s="127"/>
      <c r="G630" s="127"/>
      <c r="H630" s="127"/>
    </row>
    <row r="631" ht="15.75" customHeight="1">
      <c r="A631" s="127"/>
      <c r="B631" s="127"/>
      <c r="C631" s="127"/>
      <c r="D631" s="127"/>
      <c r="E631" s="127"/>
      <c r="F631" s="127"/>
      <c r="G631" s="127"/>
      <c r="H631" s="127"/>
    </row>
    <row r="632" ht="15.75" customHeight="1">
      <c r="A632" s="127"/>
      <c r="B632" s="127"/>
      <c r="C632" s="127"/>
      <c r="D632" s="127"/>
      <c r="E632" s="127"/>
      <c r="F632" s="127"/>
      <c r="G632" s="127"/>
      <c r="H632" s="127"/>
    </row>
    <row r="633" ht="15.75" customHeight="1">
      <c r="A633" s="127"/>
      <c r="B633" s="127"/>
      <c r="C633" s="127"/>
      <c r="D633" s="127"/>
      <c r="E633" s="127"/>
      <c r="F633" s="127"/>
      <c r="G633" s="127"/>
      <c r="H633" s="127"/>
    </row>
    <row r="634" ht="15.75" customHeight="1">
      <c r="A634" s="127"/>
      <c r="B634" s="127"/>
      <c r="C634" s="127"/>
      <c r="D634" s="127"/>
      <c r="E634" s="127"/>
      <c r="F634" s="127"/>
      <c r="G634" s="127"/>
      <c r="H634" s="127"/>
    </row>
    <row r="635" ht="15.75" customHeight="1">
      <c r="A635" s="127"/>
      <c r="B635" s="127"/>
      <c r="C635" s="127"/>
      <c r="D635" s="127"/>
      <c r="E635" s="127"/>
      <c r="F635" s="127"/>
      <c r="G635" s="127"/>
      <c r="H635" s="127"/>
    </row>
    <row r="636" ht="15.75" customHeight="1">
      <c r="A636" s="127"/>
      <c r="B636" s="127"/>
      <c r="C636" s="127"/>
      <c r="D636" s="127"/>
      <c r="E636" s="127"/>
      <c r="F636" s="127"/>
      <c r="G636" s="127"/>
      <c r="H636" s="127"/>
    </row>
    <row r="637" ht="15.75" customHeight="1">
      <c r="A637" s="127"/>
      <c r="B637" s="127"/>
      <c r="C637" s="127"/>
      <c r="D637" s="127"/>
      <c r="E637" s="127"/>
      <c r="F637" s="127"/>
      <c r="G637" s="127"/>
      <c r="H637" s="127"/>
    </row>
    <row r="638" ht="15.75" customHeight="1">
      <c r="A638" s="127"/>
      <c r="B638" s="127"/>
      <c r="C638" s="127"/>
      <c r="D638" s="127"/>
      <c r="E638" s="127"/>
      <c r="F638" s="127"/>
      <c r="G638" s="127"/>
      <c r="H638" s="127"/>
    </row>
    <row r="639" ht="15.75" customHeight="1">
      <c r="A639" s="127"/>
      <c r="B639" s="127"/>
      <c r="C639" s="127"/>
      <c r="D639" s="127"/>
      <c r="E639" s="127"/>
      <c r="F639" s="127"/>
      <c r="G639" s="127"/>
      <c r="H639" s="127"/>
    </row>
    <row r="640" ht="15.75" customHeight="1">
      <c r="A640" s="127"/>
      <c r="B640" s="127"/>
      <c r="C640" s="127"/>
      <c r="D640" s="127"/>
      <c r="E640" s="127"/>
      <c r="F640" s="127"/>
      <c r="G640" s="127"/>
      <c r="H640" s="127"/>
    </row>
    <row r="641" ht="15.75" customHeight="1">
      <c r="A641" s="127"/>
      <c r="B641" s="127"/>
      <c r="C641" s="127"/>
      <c r="D641" s="127"/>
      <c r="E641" s="127"/>
      <c r="F641" s="127"/>
      <c r="G641" s="127"/>
      <c r="H641" s="127"/>
    </row>
    <row r="642" ht="15.75" customHeight="1">
      <c r="A642" s="127"/>
      <c r="B642" s="127"/>
      <c r="C642" s="127"/>
      <c r="D642" s="127"/>
      <c r="E642" s="127"/>
      <c r="F642" s="127"/>
      <c r="G642" s="127"/>
      <c r="H642" s="127"/>
    </row>
    <row r="643" ht="15.75" customHeight="1">
      <c r="A643" s="127"/>
      <c r="B643" s="127"/>
      <c r="C643" s="127"/>
      <c r="D643" s="127"/>
      <c r="E643" s="127"/>
      <c r="F643" s="127"/>
      <c r="G643" s="127"/>
      <c r="H643" s="127"/>
    </row>
    <row r="644" ht="15.75" customHeight="1">
      <c r="A644" s="127"/>
      <c r="B644" s="127"/>
      <c r="C644" s="127"/>
      <c r="D644" s="127"/>
      <c r="E644" s="127"/>
      <c r="F644" s="127"/>
      <c r="G644" s="127"/>
      <c r="H644" s="127"/>
    </row>
    <row r="645" ht="15.75" customHeight="1">
      <c r="A645" s="127"/>
      <c r="B645" s="127"/>
      <c r="C645" s="127"/>
      <c r="D645" s="127"/>
      <c r="E645" s="127"/>
      <c r="F645" s="127"/>
      <c r="G645" s="127"/>
      <c r="H645" s="127"/>
    </row>
    <row r="646" ht="15.75" customHeight="1">
      <c r="A646" s="127"/>
      <c r="B646" s="127"/>
      <c r="C646" s="127"/>
      <c r="D646" s="127"/>
      <c r="E646" s="127"/>
      <c r="F646" s="127"/>
      <c r="G646" s="127"/>
      <c r="H646" s="127"/>
    </row>
    <row r="647" ht="15.75" customHeight="1">
      <c r="A647" s="127"/>
      <c r="B647" s="127"/>
      <c r="C647" s="127"/>
      <c r="D647" s="127"/>
      <c r="E647" s="127"/>
      <c r="F647" s="127"/>
      <c r="G647" s="127"/>
      <c r="H647" s="127"/>
    </row>
    <row r="648" ht="15.75" customHeight="1">
      <c r="A648" s="127"/>
      <c r="B648" s="127"/>
      <c r="C648" s="127"/>
      <c r="D648" s="127"/>
      <c r="E648" s="127"/>
      <c r="F648" s="127"/>
      <c r="G648" s="127"/>
      <c r="H648" s="127"/>
    </row>
    <row r="649" ht="15.75" customHeight="1">
      <c r="A649" s="127"/>
      <c r="B649" s="127"/>
      <c r="C649" s="127"/>
      <c r="D649" s="127"/>
      <c r="E649" s="127"/>
      <c r="F649" s="127"/>
      <c r="G649" s="127"/>
      <c r="H649" s="127"/>
    </row>
    <row r="650" ht="15.75" customHeight="1">
      <c r="A650" s="127"/>
      <c r="B650" s="127"/>
      <c r="C650" s="127"/>
      <c r="D650" s="127"/>
      <c r="E650" s="127"/>
      <c r="F650" s="127"/>
      <c r="G650" s="127"/>
      <c r="H650" s="127"/>
    </row>
    <row r="651" ht="15.75" customHeight="1">
      <c r="A651" s="127"/>
      <c r="B651" s="127"/>
      <c r="C651" s="127"/>
      <c r="D651" s="127"/>
      <c r="E651" s="127"/>
      <c r="F651" s="127"/>
      <c r="G651" s="127"/>
      <c r="H651" s="127"/>
    </row>
    <row r="652" ht="15.75" customHeight="1">
      <c r="A652" s="127"/>
      <c r="B652" s="127"/>
      <c r="C652" s="127"/>
      <c r="D652" s="127"/>
      <c r="E652" s="127"/>
      <c r="F652" s="127"/>
      <c r="G652" s="127"/>
      <c r="H652" s="127"/>
    </row>
    <row r="653" ht="15.75" customHeight="1">
      <c r="A653" s="127"/>
      <c r="B653" s="127"/>
      <c r="C653" s="127"/>
      <c r="D653" s="127"/>
      <c r="E653" s="127"/>
      <c r="F653" s="127"/>
      <c r="G653" s="127"/>
      <c r="H653" s="127"/>
    </row>
    <row r="654" ht="15.75" customHeight="1">
      <c r="A654" s="127"/>
      <c r="B654" s="127"/>
      <c r="C654" s="127"/>
      <c r="D654" s="127"/>
      <c r="E654" s="127"/>
      <c r="F654" s="127"/>
      <c r="G654" s="127"/>
      <c r="H654" s="127"/>
    </row>
    <row r="655" ht="15.75" customHeight="1">
      <c r="A655" s="127"/>
      <c r="B655" s="127"/>
      <c r="C655" s="127"/>
      <c r="D655" s="127"/>
      <c r="E655" s="127"/>
      <c r="F655" s="127"/>
      <c r="G655" s="127"/>
      <c r="H655" s="127"/>
    </row>
    <row r="656" ht="15.75" customHeight="1">
      <c r="A656" s="127"/>
      <c r="B656" s="127"/>
      <c r="C656" s="127"/>
      <c r="D656" s="127"/>
      <c r="E656" s="127"/>
      <c r="F656" s="127"/>
      <c r="G656" s="127"/>
      <c r="H656" s="127"/>
    </row>
    <row r="657" ht="15.75" customHeight="1">
      <c r="A657" s="127"/>
      <c r="B657" s="127"/>
      <c r="C657" s="127"/>
      <c r="D657" s="127"/>
      <c r="E657" s="127"/>
      <c r="F657" s="127"/>
      <c r="G657" s="127"/>
      <c r="H657" s="127"/>
    </row>
    <row r="658" ht="15.75" customHeight="1">
      <c r="A658" s="127"/>
      <c r="B658" s="127"/>
      <c r="C658" s="127"/>
      <c r="D658" s="127"/>
      <c r="E658" s="127"/>
      <c r="F658" s="127"/>
      <c r="G658" s="127"/>
      <c r="H658" s="127"/>
    </row>
    <row r="659" ht="15.75" customHeight="1">
      <c r="A659" s="127"/>
      <c r="B659" s="127"/>
      <c r="C659" s="127"/>
      <c r="D659" s="127"/>
      <c r="E659" s="127"/>
      <c r="F659" s="127"/>
      <c r="G659" s="127"/>
      <c r="H659" s="127"/>
    </row>
    <row r="660" ht="15.75" customHeight="1">
      <c r="A660" s="127"/>
      <c r="B660" s="127"/>
      <c r="C660" s="127"/>
      <c r="D660" s="127"/>
      <c r="E660" s="127"/>
      <c r="F660" s="127"/>
      <c r="G660" s="127"/>
      <c r="H660" s="127"/>
    </row>
    <row r="661" ht="15.75" customHeight="1">
      <c r="A661" s="127"/>
      <c r="B661" s="127"/>
      <c r="C661" s="127"/>
      <c r="D661" s="127"/>
      <c r="E661" s="127"/>
      <c r="F661" s="127"/>
      <c r="G661" s="127"/>
      <c r="H661" s="127"/>
    </row>
    <row r="662" ht="15.75" customHeight="1">
      <c r="A662" s="127"/>
      <c r="B662" s="127"/>
      <c r="C662" s="127"/>
      <c r="D662" s="127"/>
      <c r="E662" s="127"/>
      <c r="F662" s="127"/>
      <c r="G662" s="127"/>
      <c r="H662" s="127"/>
    </row>
    <row r="663" ht="15.75" customHeight="1">
      <c r="A663" s="127"/>
      <c r="B663" s="127"/>
      <c r="C663" s="127"/>
      <c r="D663" s="127"/>
      <c r="E663" s="127"/>
      <c r="F663" s="127"/>
      <c r="G663" s="127"/>
      <c r="H663" s="127"/>
    </row>
    <row r="664" ht="15.75" customHeight="1">
      <c r="A664" s="127"/>
      <c r="B664" s="127"/>
      <c r="C664" s="127"/>
      <c r="D664" s="127"/>
      <c r="E664" s="127"/>
      <c r="F664" s="127"/>
      <c r="G664" s="127"/>
      <c r="H664" s="127"/>
    </row>
    <row r="665" ht="15.75" customHeight="1">
      <c r="A665" s="127"/>
      <c r="B665" s="127"/>
      <c r="C665" s="127"/>
      <c r="D665" s="127"/>
      <c r="E665" s="127"/>
      <c r="F665" s="127"/>
      <c r="G665" s="127"/>
      <c r="H665" s="127"/>
    </row>
    <row r="666" ht="15.75" customHeight="1">
      <c r="A666" s="127"/>
      <c r="B666" s="127"/>
      <c r="C666" s="127"/>
      <c r="D666" s="127"/>
      <c r="E666" s="127"/>
      <c r="F666" s="127"/>
      <c r="G666" s="127"/>
      <c r="H666" s="127"/>
    </row>
    <row r="667" ht="15.75" customHeight="1">
      <c r="A667" s="127"/>
      <c r="B667" s="127"/>
      <c r="C667" s="127"/>
      <c r="D667" s="127"/>
      <c r="E667" s="127"/>
      <c r="F667" s="127"/>
      <c r="G667" s="127"/>
      <c r="H667" s="127"/>
    </row>
    <row r="668" ht="15.75" customHeight="1">
      <c r="A668" s="127"/>
      <c r="B668" s="127"/>
      <c r="C668" s="127"/>
      <c r="D668" s="127"/>
      <c r="E668" s="127"/>
      <c r="F668" s="127"/>
      <c r="G668" s="127"/>
      <c r="H668" s="127"/>
    </row>
    <row r="669" ht="15.75" customHeight="1">
      <c r="A669" s="127"/>
      <c r="B669" s="127"/>
      <c r="C669" s="127"/>
      <c r="D669" s="127"/>
      <c r="E669" s="127"/>
      <c r="F669" s="127"/>
      <c r="G669" s="127"/>
      <c r="H669" s="127"/>
    </row>
    <row r="670" ht="15.75" customHeight="1">
      <c r="A670" s="127"/>
      <c r="B670" s="127"/>
      <c r="C670" s="127"/>
      <c r="D670" s="127"/>
      <c r="E670" s="127"/>
      <c r="F670" s="127"/>
      <c r="G670" s="127"/>
      <c r="H670" s="127"/>
    </row>
    <row r="671" ht="15.75" customHeight="1">
      <c r="A671" s="127"/>
      <c r="B671" s="127"/>
      <c r="C671" s="127"/>
      <c r="D671" s="127"/>
      <c r="E671" s="127"/>
      <c r="F671" s="127"/>
      <c r="G671" s="127"/>
      <c r="H671" s="127"/>
    </row>
    <row r="672" ht="15.75" customHeight="1">
      <c r="A672" s="127"/>
      <c r="B672" s="127"/>
      <c r="C672" s="127"/>
      <c r="D672" s="127"/>
      <c r="E672" s="127"/>
      <c r="F672" s="127"/>
      <c r="G672" s="127"/>
      <c r="H672" s="127"/>
    </row>
    <row r="673" ht="15.75" customHeight="1">
      <c r="A673" s="127"/>
      <c r="B673" s="127"/>
      <c r="C673" s="127"/>
      <c r="D673" s="127"/>
      <c r="E673" s="127"/>
      <c r="F673" s="127"/>
      <c r="G673" s="127"/>
      <c r="H673" s="127"/>
    </row>
    <row r="674" ht="15.75" customHeight="1">
      <c r="A674" s="127"/>
      <c r="B674" s="127"/>
      <c r="C674" s="127"/>
      <c r="D674" s="127"/>
      <c r="E674" s="127"/>
      <c r="F674" s="127"/>
      <c r="G674" s="127"/>
      <c r="H674" s="127"/>
    </row>
    <row r="675" ht="15.75" customHeight="1">
      <c r="A675" s="127"/>
      <c r="B675" s="127"/>
      <c r="C675" s="127"/>
      <c r="D675" s="127"/>
      <c r="E675" s="127"/>
      <c r="F675" s="127"/>
      <c r="G675" s="127"/>
      <c r="H675" s="127"/>
    </row>
    <row r="676" ht="15.75" customHeight="1">
      <c r="A676" s="127"/>
      <c r="B676" s="127"/>
      <c r="C676" s="127"/>
      <c r="D676" s="127"/>
      <c r="E676" s="127"/>
      <c r="F676" s="127"/>
      <c r="G676" s="127"/>
      <c r="H676" s="127"/>
    </row>
    <row r="677" ht="15.75" customHeight="1">
      <c r="A677" s="127"/>
      <c r="B677" s="127"/>
      <c r="C677" s="127"/>
      <c r="D677" s="127"/>
      <c r="E677" s="127"/>
      <c r="F677" s="127"/>
      <c r="G677" s="127"/>
      <c r="H677" s="127"/>
    </row>
    <row r="678" ht="15.75" customHeight="1">
      <c r="A678" s="127"/>
      <c r="B678" s="127"/>
      <c r="C678" s="127"/>
      <c r="D678" s="127"/>
      <c r="E678" s="127"/>
      <c r="F678" s="127"/>
      <c r="G678" s="127"/>
      <c r="H678" s="127"/>
    </row>
    <row r="679" ht="15.75" customHeight="1">
      <c r="A679" s="127"/>
      <c r="B679" s="127"/>
      <c r="C679" s="127"/>
      <c r="D679" s="127"/>
      <c r="E679" s="127"/>
      <c r="F679" s="127"/>
      <c r="G679" s="127"/>
      <c r="H679" s="127"/>
    </row>
    <row r="680" ht="15.75" customHeight="1">
      <c r="A680" s="127"/>
      <c r="B680" s="127"/>
      <c r="C680" s="127"/>
      <c r="D680" s="127"/>
      <c r="E680" s="127"/>
      <c r="F680" s="127"/>
      <c r="G680" s="127"/>
      <c r="H680" s="127"/>
    </row>
    <row r="681" ht="15.75" customHeight="1">
      <c r="A681" s="127"/>
      <c r="B681" s="127"/>
      <c r="C681" s="127"/>
      <c r="D681" s="127"/>
      <c r="E681" s="127"/>
      <c r="F681" s="127"/>
      <c r="G681" s="127"/>
      <c r="H681" s="127"/>
    </row>
    <row r="682" ht="15.75" customHeight="1">
      <c r="A682" s="127"/>
      <c r="B682" s="127"/>
      <c r="C682" s="127"/>
      <c r="D682" s="127"/>
      <c r="E682" s="127"/>
      <c r="F682" s="127"/>
      <c r="G682" s="127"/>
      <c r="H682" s="127"/>
    </row>
    <row r="683" ht="15.75" customHeight="1">
      <c r="A683" s="127"/>
      <c r="B683" s="127"/>
      <c r="C683" s="127"/>
      <c r="D683" s="127"/>
      <c r="E683" s="127"/>
      <c r="F683" s="127"/>
      <c r="G683" s="127"/>
      <c r="H683" s="127"/>
    </row>
    <row r="684" ht="15.75" customHeight="1">
      <c r="A684" s="127"/>
      <c r="B684" s="127"/>
      <c r="C684" s="127"/>
      <c r="D684" s="127"/>
      <c r="E684" s="127"/>
      <c r="F684" s="127"/>
      <c r="G684" s="127"/>
      <c r="H684" s="127"/>
    </row>
    <row r="685" ht="15.75" customHeight="1">
      <c r="A685" s="127"/>
      <c r="B685" s="127"/>
      <c r="C685" s="127"/>
      <c r="D685" s="127"/>
      <c r="E685" s="127"/>
      <c r="F685" s="127"/>
      <c r="G685" s="127"/>
      <c r="H685" s="127"/>
    </row>
    <row r="686" ht="15.75" customHeight="1">
      <c r="A686" s="127"/>
      <c r="B686" s="127"/>
      <c r="C686" s="127"/>
      <c r="D686" s="127"/>
      <c r="E686" s="127"/>
      <c r="F686" s="127"/>
      <c r="G686" s="127"/>
      <c r="H686" s="127"/>
    </row>
    <row r="687" ht="15.75" customHeight="1">
      <c r="A687" s="127"/>
      <c r="B687" s="127"/>
      <c r="C687" s="127"/>
      <c r="D687" s="127"/>
      <c r="E687" s="127"/>
      <c r="F687" s="127"/>
      <c r="G687" s="127"/>
      <c r="H687" s="127"/>
    </row>
    <row r="688" ht="15.75" customHeight="1">
      <c r="A688" s="127"/>
      <c r="B688" s="127"/>
      <c r="C688" s="127"/>
      <c r="D688" s="127"/>
      <c r="E688" s="127"/>
      <c r="F688" s="127"/>
      <c r="G688" s="127"/>
      <c r="H688" s="127"/>
    </row>
    <row r="689" ht="15.75" customHeight="1">
      <c r="A689" s="127"/>
      <c r="B689" s="127"/>
      <c r="C689" s="127"/>
      <c r="D689" s="127"/>
      <c r="E689" s="127"/>
      <c r="F689" s="127"/>
      <c r="G689" s="127"/>
      <c r="H689" s="127"/>
    </row>
    <row r="690" ht="15.75" customHeight="1">
      <c r="A690" s="127"/>
      <c r="B690" s="127"/>
      <c r="C690" s="127"/>
      <c r="D690" s="127"/>
      <c r="E690" s="127"/>
      <c r="F690" s="127"/>
      <c r="G690" s="127"/>
      <c r="H690" s="127"/>
    </row>
    <row r="691" ht="15.75" customHeight="1">
      <c r="A691" s="127"/>
      <c r="B691" s="127"/>
      <c r="C691" s="127"/>
      <c r="D691" s="127"/>
      <c r="E691" s="127"/>
      <c r="F691" s="127"/>
      <c r="G691" s="127"/>
      <c r="H691" s="127"/>
    </row>
    <row r="692" ht="15.75" customHeight="1">
      <c r="A692" s="127"/>
      <c r="B692" s="127"/>
      <c r="C692" s="127"/>
      <c r="D692" s="127"/>
      <c r="E692" s="127"/>
      <c r="F692" s="127"/>
      <c r="G692" s="127"/>
      <c r="H692" s="127"/>
    </row>
    <row r="693" ht="15.75" customHeight="1">
      <c r="A693" s="127"/>
      <c r="B693" s="127"/>
      <c r="C693" s="127"/>
      <c r="D693" s="127"/>
      <c r="E693" s="127"/>
      <c r="F693" s="127"/>
      <c r="G693" s="127"/>
      <c r="H693" s="127"/>
    </row>
    <row r="694" ht="15.75" customHeight="1">
      <c r="A694" s="127"/>
      <c r="B694" s="127"/>
      <c r="C694" s="127"/>
      <c r="D694" s="127"/>
      <c r="E694" s="127"/>
      <c r="F694" s="127"/>
      <c r="G694" s="127"/>
      <c r="H694" s="127"/>
    </row>
    <row r="695" ht="15.75" customHeight="1">
      <c r="A695" s="127"/>
      <c r="B695" s="127"/>
      <c r="C695" s="127"/>
      <c r="D695" s="127"/>
      <c r="E695" s="127"/>
      <c r="F695" s="127"/>
      <c r="G695" s="127"/>
      <c r="H695" s="127"/>
    </row>
    <row r="696" ht="15.75" customHeight="1">
      <c r="A696" s="127"/>
      <c r="B696" s="127"/>
      <c r="C696" s="127"/>
      <c r="D696" s="127"/>
      <c r="E696" s="127"/>
      <c r="F696" s="127"/>
      <c r="G696" s="127"/>
      <c r="H696" s="127"/>
    </row>
    <row r="697" ht="15.75" customHeight="1">
      <c r="A697" s="127"/>
      <c r="B697" s="127"/>
      <c r="C697" s="127"/>
      <c r="D697" s="127"/>
      <c r="E697" s="127"/>
      <c r="F697" s="127"/>
      <c r="G697" s="127"/>
      <c r="H697" s="127"/>
    </row>
    <row r="698" ht="15.75" customHeight="1">
      <c r="A698" s="127"/>
      <c r="B698" s="127"/>
      <c r="C698" s="127"/>
      <c r="D698" s="127"/>
      <c r="E698" s="127"/>
      <c r="F698" s="127"/>
      <c r="G698" s="127"/>
      <c r="H698" s="127"/>
    </row>
    <row r="699" ht="15.75" customHeight="1">
      <c r="A699" s="127"/>
      <c r="B699" s="127"/>
      <c r="C699" s="127"/>
      <c r="D699" s="127"/>
      <c r="E699" s="127"/>
      <c r="F699" s="127"/>
      <c r="G699" s="127"/>
      <c r="H699" s="127"/>
    </row>
    <row r="700" ht="15.75" customHeight="1">
      <c r="A700" s="127"/>
      <c r="B700" s="127"/>
      <c r="C700" s="127"/>
      <c r="D700" s="127"/>
      <c r="E700" s="127"/>
      <c r="F700" s="127"/>
      <c r="G700" s="127"/>
      <c r="H700" s="127"/>
    </row>
    <row r="701" ht="15.75" customHeight="1">
      <c r="A701" s="127"/>
      <c r="B701" s="127"/>
      <c r="C701" s="127"/>
      <c r="D701" s="127"/>
      <c r="E701" s="127"/>
      <c r="F701" s="127"/>
      <c r="G701" s="127"/>
      <c r="H701" s="127"/>
    </row>
    <row r="702" ht="15.75" customHeight="1">
      <c r="A702" s="127"/>
      <c r="B702" s="127"/>
      <c r="C702" s="127"/>
      <c r="D702" s="127"/>
      <c r="E702" s="127"/>
      <c r="F702" s="127"/>
      <c r="G702" s="127"/>
      <c r="H702" s="127"/>
    </row>
    <row r="703" ht="15.75" customHeight="1">
      <c r="A703" s="127"/>
      <c r="B703" s="127"/>
      <c r="C703" s="127"/>
      <c r="D703" s="127"/>
      <c r="E703" s="127"/>
      <c r="F703" s="127"/>
      <c r="G703" s="127"/>
      <c r="H703" s="127"/>
    </row>
    <row r="704" ht="15.75" customHeight="1">
      <c r="A704" s="127"/>
      <c r="B704" s="127"/>
      <c r="C704" s="127"/>
      <c r="D704" s="127"/>
      <c r="E704" s="127"/>
      <c r="F704" s="127"/>
      <c r="G704" s="127"/>
      <c r="H704" s="127"/>
    </row>
    <row r="705" ht="15.75" customHeight="1">
      <c r="A705" s="127"/>
      <c r="B705" s="127"/>
      <c r="C705" s="127"/>
      <c r="D705" s="127"/>
      <c r="E705" s="127"/>
      <c r="F705" s="127"/>
      <c r="G705" s="127"/>
      <c r="H705" s="127"/>
    </row>
    <row r="706" ht="15.75" customHeight="1">
      <c r="A706" s="127"/>
      <c r="B706" s="127"/>
      <c r="C706" s="127"/>
      <c r="D706" s="127"/>
      <c r="E706" s="127"/>
      <c r="F706" s="127"/>
      <c r="G706" s="127"/>
      <c r="H706" s="127"/>
    </row>
    <row r="707" ht="15.75" customHeight="1">
      <c r="A707" s="127"/>
      <c r="B707" s="127"/>
      <c r="C707" s="127"/>
      <c r="D707" s="127"/>
      <c r="E707" s="127"/>
      <c r="F707" s="127"/>
      <c r="G707" s="127"/>
      <c r="H707" s="127"/>
    </row>
    <row r="708" ht="15.75" customHeight="1">
      <c r="A708" s="127"/>
      <c r="B708" s="127"/>
      <c r="C708" s="127"/>
      <c r="D708" s="127"/>
      <c r="E708" s="127"/>
      <c r="F708" s="127"/>
      <c r="G708" s="127"/>
      <c r="H708" s="127"/>
    </row>
    <row r="709" ht="15.75" customHeight="1">
      <c r="A709" s="127"/>
      <c r="B709" s="127"/>
      <c r="C709" s="127"/>
      <c r="D709" s="127"/>
      <c r="E709" s="127"/>
      <c r="F709" s="127"/>
      <c r="G709" s="127"/>
      <c r="H709" s="127"/>
    </row>
    <row r="710" ht="15.75" customHeight="1">
      <c r="A710" s="127"/>
      <c r="B710" s="127"/>
      <c r="C710" s="127"/>
      <c r="D710" s="127"/>
      <c r="E710" s="127"/>
      <c r="F710" s="127"/>
      <c r="G710" s="127"/>
      <c r="H710" s="127"/>
    </row>
    <row r="711" ht="15.75" customHeight="1">
      <c r="A711" s="127"/>
      <c r="B711" s="127"/>
      <c r="C711" s="127"/>
      <c r="D711" s="127"/>
      <c r="E711" s="127"/>
      <c r="F711" s="127"/>
      <c r="G711" s="127"/>
      <c r="H711" s="127"/>
    </row>
    <row r="712" ht="15.75" customHeight="1">
      <c r="A712" s="127"/>
      <c r="B712" s="127"/>
      <c r="C712" s="127"/>
      <c r="D712" s="127"/>
      <c r="E712" s="127"/>
      <c r="F712" s="127"/>
      <c r="G712" s="127"/>
      <c r="H712" s="127"/>
    </row>
    <row r="713" ht="15.75" customHeight="1">
      <c r="A713" s="127"/>
      <c r="B713" s="127"/>
      <c r="C713" s="127"/>
      <c r="D713" s="127"/>
      <c r="E713" s="127"/>
      <c r="F713" s="127"/>
      <c r="G713" s="127"/>
      <c r="H713" s="127"/>
    </row>
    <row r="714" ht="15.75" customHeight="1">
      <c r="A714" s="127"/>
      <c r="B714" s="127"/>
      <c r="C714" s="127"/>
      <c r="D714" s="127"/>
      <c r="E714" s="127"/>
      <c r="F714" s="127"/>
      <c r="G714" s="127"/>
      <c r="H714" s="127"/>
    </row>
    <row r="715" ht="15.75" customHeight="1">
      <c r="A715" s="127"/>
      <c r="B715" s="127"/>
      <c r="C715" s="127"/>
      <c r="D715" s="127"/>
      <c r="E715" s="127"/>
      <c r="F715" s="127"/>
      <c r="G715" s="127"/>
      <c r="H715" s="127"/>
    </row>
    <row r="716" ht="15.75" customHeight="1">
      <c r="A716" s="127"/>
      <c r="B716" s="127"/>
      <c r="C716" s="127"/>
      <c r="D716" s="127"/>
      <c r="E716" s="127"/>
      <c r="F716" s="127"/>
      <c r="G716" s="127"/>
      <c r="H716" s="127"/>
    </row>
    <row r="717" ht="15.75" customHeight="1">
      <c r="A717" s="127"/>
      <c r="B717" s="127"/>
      <c r="C717" s="127"/>
      <c r="D717" s="127"/>
      <c r="E717" s="127"/>
      <c r="F717" s="127"/>
      <c r="G717" s="127"/>
      <c r="H717" s="127"/>
    </row>
    <row r="718" ht="15.75" customHeight="1">
      <c r="A718" s="127"/>
      <c r="B718" s="127"/>
      <c r="C718" s="127"/>
      <c r="D718" s="127"/>
      <c r="E718" s="127"/>
      <c r="F718" s="127"/>
      <c r="G718" s="127"/>
      <c r="H718" s="127"/>
    </row>
    <row r="719" ht="15.75" customHeight="1">
      <c r="A719" s="127"/>
      <c r="B719" s="127"/>
      <c r="C719" s="127"/>
      <c r="D719" s="127"/>
      <c r="E719" s="127"/>
      <c r="F719" s="127"/>
      <c r="G719" s="127"/>
      <c r="H719" s="127"/>
    </row>
    <row r="720" ht="15.75" customHeight="1">
      <c r="A720" s="127"/>
      <c r="B720" s="127"/>
      <c r="C720" s="127"/>
      <c r="D720" s="127"/>
      <c r="E720" s="127"/>
      <c r="F720" s="127"/>
      <c r="G720" s="127"/>
      <c r="H720" s="127"/>
    </row>
    <row r="721" ht="15.75" customHeight="1">
      <c r="A721" s="127"/>
      <c r="B721" s="127"/>
      <c r="C721" s="127"/>
      <c r="D721" s="127"/>
      <c r="E721" s="127"/>
      <c r="F721" s="127"/>
      <c r="G721" s="127"/>
      <c r="H721" s="127"/>
    </row>
    <row r="722" ht="15.75" customHeight="1">
      <c r="A722" s="127"/>
      <c r="B722" s="127"/>
      <c r="C722" s="127"/>
      <c r="D722" s="127"/>
      <c r="E722" s="127"/>
      <c r="F722" s="127"/>
      <c r="G722" s="127"/>
      <c r="H722" s="127"/>
    </row>
    <row r="723" ht="15.75" customHeight="1">
      <c r="A723" s="127"/>
      <c r="B723" s="127"/>
      <c r="C723" s="127"/>
      <c r="D723" s="127"/>
      <c r="E723" s="127"/>
      <c r="F723" s="127"/>
      <c r="G723" s="127"/>
      <c r="H723" s="127"/>
    </row>
    <row r="724" ht="15.75" customHeight="1">
      <c r="A724" s="127"/>
      <c r="B724" s="127"/>
      <c r="C724" s="127"/>
      <c r="D724" s="127"/>
      <c r="E724" s="127"/>
      <c r="F724" s="127"/>
      <c r="G724" s="127"/>
      <c r="H724" s="127"/>
    </row>
    <row r="725" ht="15.75" customHeight="1">
      <c r="A725" s="127"/>
      <c r="B725" s="127"/>
      <c r="C725" s="127"/>
      <c r="D725" s="127"/>
      <c r="E725" s="127"/>
      <c r="F725" s="127"/>
      <c r="G725" s="127"/>
      <c r="H725" s="127"/>
    </row>
    <row r="726" ht="15.75" customHeight="1">
      <c r="A726" s="127"/>
      <c r="B726" s="127"/>
      <c r="C726" s="127"/>
      <c r="D726" s="127"/>
      <c r="E726" s="127"/>
      <c r="F726" s="127"/>
      <c r="G726" s="127"/>
      <c r="H726" s="127"/>
    </row>
    <row r="727" ht="15.75" customHeight="1">
      <c r="A727" s="127"/>
      <c r="B727" s="127"/>
      <c r="C727" s="127"/>
      <c r="D727" s="127"/>
      <c r="E727" s="127"/>
      <c r="F727" s="127"/>
      <c r="G727" s="127"/>
      <c r="H727" s="127"/>
    </row>
    <row r="728" ht="15.75" customHeight="1">
      <c r="A728" s="127"/>
      <c r="B728" s="127"/>
      <c r="C728" s="127"/>
      <c r="D728" s="127"/>
      <c r="E728" s="127"/>
      <c r="F728" s="127"/>
      <c r="G728" s="127"/>
      <c r="H728" s="127"/>
    </row>
    <row r="729" ht="15.75" customHeight="1">
      <c r="A729" s="127"/>
      <c r="B729" s="127"/>
      <c r="C729" s="127"/>
      <c r="D729" s="127"/>
      <c r="E729" s="127"/>
      <c r="F729" s="127"/>
      <c r="G729" s="127"/>
      <c r="H729" s="127"/>
    </row>
    <row r="730" ht="15.75" customHeight="1">
      <c r="A730" s="127"/>
      <c r="B730" s="127"/>
      <c r="C730" s="127"/>
      <c r="D730" s="127"/>
      <c r="E730" s="127"/>
      <c r="F730" s="127"/>
      <c r="G730" s="127"/>
      <c r="H730" s="127"/>
    </row>
    <row r="731" ht="15.75" customHeight="1">
      <c r="A731" s="127"/>
      <c r="B731" s="127"/>
      <c r="C731" s="127"/>
      <c r="D731" s="127"/>
      <c r="E731" s="127"/>
      <c r="F731" s="127"/>
      <c r="G731" s="127"/>
      <c r="H731" s="127"/>
    </row>
    <row r="732" ht="15.75" customHeight="1">
      <c r="A732" s="127"/>
      <c r="B732" s="127"/>
      <c r="C732" s="127"/>
      <c r="D732" s="127"/>
      <c r="E732" s="127"/>
      <c r="F732" s="127"/>
      <c r="G732" s="127"/>
      <c r="H732" s="127"/>
    </row>
    <row r="733" ht="15.75" customHeight="1">
      <c r="A733" s="127"/>
      <c r="B733" s="127"/>
      <c r="C733" s="127"/>
      <c r="D733" s="127"/>
      <c r="E733" s="127"/>
      <c r="F733" s="127"/>
      <c r="G733" s="127"/>
      <c r="H733" s="127"/>
    </row>
    <row r="734" ht="15.75" customHeight="1">
      <c r="A734" s="127"/>
      <c r="B734" s="127"/>
      <c r="C734" s="127"/>
      <c r="D734" s="127"/>
      <c r="E734" s="127"/>
      <c r="F734" s="127"/>
      <c r="G734" s="127"/>
      <c r="H734" s="127"/>
    </row>
    <row r="735" ht="15.75" customHeight="1">
      <c r="A735" s="127"/>
      <c r="B735" s="127"/>
      <c r="C735" s="127"/>
      <c r="D735" s="127"/>
      <c r="E735" s="127"/>
      <c r="F735" s="127"/>
      <c r="G735" s="127"/>
      <c r="H735" s="127"/>
    </row>
    <row r="736" ht="15.75" customHeight="1">
      <c r="A736" s="127"/>
      <c r="B736" s="127"/>
      <c r="C736" s="127"/>
      <c r="D736" s="127"/>
      <c r="E736" s="127"/>
      <c r="F736" s="127"/>
      <c r="G736" s="127"/>
      <c r="H736" s="127"/>
    </row>
    <row r="737" ht="15.75" customHeight="1">
      <c r="A737" s="127"/>
      <c r="B737" s="127"/>
      <c r="C737" s="127"/>
      <c r="D737" s="127"/>
      <c r="E737" s="127"/>
      <c r="F737" s="127"/>
      <c r="G737" s="127"/>
      <c r="H737" s="127"/>
    </row>
    <row r="738" ht="15.75" customHeight="1">
      <c r="A738" s="127"/>
      <c r="B738" s="127"/>
      <c r="C738" s="127"/>
      <c r="D738" s="127"/>
      <c r="E738" s="127"/>
      <c r="F738" s="127"/>
      <c r="G738" s="127"/>
      <c r="H738" s="127"/>
    </row>
    <row r="739" ht="15.75" customHeight="1">
      <c r="A739" s="127"/>
      <c r="B739" s="127"/>
      <c r="C739" s="127"/>
      <c r="D739" s="127"/>
      <c r="E739" s="127"/>
      <c r="F739" s="127"/>
      <c r="G739" s="127"/>
      <c r="H739" s="127"/>
    </row>
    <row r="740" ht="15.75" customHeight="1">
      <c r="A740" s="127"/>
      <c r="B740" s="127"/>
      <c r="C740" s="127"/>
      <c r="D740" s="127"/>
      <c r="E740" s="127"/>
      <c r="F740" s="127"/>
      <c r="G740" s="127"/>
      <c r="H740" s="127"/>
    </row>
    <row r="741" ht="15.75" customHeight="1">
      <c r="A741" s="127"/>
      <c r="B741" s="127"/>
      <c r="C741" s="127"/>
      <c r="D741" s="127"/>
      <c r="E741" s="127"/>
      <c r="F741" s="127"/>
      <c r="G741" s="127"/>
      <c r="H741" s="127"/>
    </row>
    <row r="742" ht="15.75" customHeight="1">
      <c r="A742" s="127"/>
      <c r="B742" s="127"/>
      <c r="C742" s="127"/>
      <c r="D742" s="127"/>
      <c r="E742" s="127"/>
      <c r="F742" s="127"/>
      <c r="G742" s="127"/>
      <c r="H742" s="127"/>
    </row>
    <row r="743" ht="15.75" customHeight="1">
      <c r="A743" s="127"/>
      <c r="B743" s="127"/>
      <c r="C743" s="127"/>
      <c r="D743" s="127"/>
      <c r="E743" s="127"/>
      <c r="F743" s="127"/>
      <c r="G743" s="127"/>
      <c r="H743" s="127"/>
    </row>
    <row r="744" ht="15.75" customHeight="1">
      <c r="A744" s="127"/>
      <c r="B744" s="127"/>
      <c r="C744" s="127"/>
      <c r="D744" s="127"/>
      <c r="E744" s="127"/>
      <c r="F744" s="127"/>
      <c r="G744" s="127"/>
      <c r="H744" s="127"/>
    </row>
    <row r="745" ht="15.75" customHeight="1">
      <c r="A745" s="127"/>
      <c r="B745" s="127"/>
      <c r="C745" s="127"/>
      <c r="D745" s="127"/>
      <c r="E745" s="127"/>
      <c r="F745" s="127"/>
      <c r="G745" s="127"/>
      <c r="H745" s="127"/>
    </row>
    <row r="746" ht="15.75" customHeight="1">
      <c r="A746" s="127"/>
      <c r="B746" s="127"/>
      <c r="C746" s="127"/>
      <c r="D746" s="127"/>
      <c r="E746" s="127"/>
      <c r="F746" s="127"/>
      <c r="G746" s="127"/>
      <c r="H746" s="127"/>
    </row>
    <row r="747" ht="15.75" customHeight="1">
      <c r="A747" s="127"/>
      <c r="B747" s="127"/>
      <c r="C747" s="127"/>
      <c r="D747" s="127"/>
      <c r="E747" s="127"/>
      <c r="F747" s="127"/>
      <c r="G747" s="127"/>
      <c r="H747" s="127"/>
    </row>
    <row r="748" ht="15.75" customHeight="1">
      <c r="A748" s="127"/>
      <c r="B748" s="127"/>
      <c r="C748" s="127"/>
      <c r="D748" s="127"/>
      <c r="E748" s="127"/>
      <c r="F748" s="127"/>
      <c r="G748" s="127"/>
      <c r="H748" s="127"/>
    </row>
    <row r="749" ht="15.75" customHeight="1">
      <c r="A749" s="127"/>
      <c r="B749" s="127"/>
      <c r="C749" s="127"/>
      <c r="D749" s="127"/>
      <c r="E749" s="127"/>
      <c r="F749" s="127"/>
      <c r="G749" s="127"/>
      <c r="H749" s="127"/>
    </row>
    <row r="750" ht="15.75" customHeight="1">
      <c r="A750" s="127"/>
      <c r="B750" s="127"/>
      <c r="C750" s="127"/>
      <c r="D750" s="127"/>
      <c r="E750" s="127"/>
      <c r="F750" s="127"/>
      <c r="G750" s="127"/>
      <c r="H750" s="127"/>
    </row>
    <row r="751" ht="15.75" customHeight="1">
      <c r="A751" s="127"/>
      <c r="B751" s="127"/>
      <c r="C751" s="127"/>
      <c r="D751" s="127"/>
      <c r="E751" s="127"/>
      <c r="F751" s="127"/>
      <c r="G751" s="127"/>
      <c r="H751" s="127"/>
    </row>
    <row r="752" ht="15.75" customHeight="1">
      <c r="A752" s="127"/>
      <c r="B752" s="127"/>
      <c r="C752" s="127"/>
      <c r="D752" s="127"/>
      <c r="E752" s="127"/>
      <c r="F752" s="127"/>
      <c r="G752" s="127"/>
      <c r="H752" s="127"/>
    </row>
    <row r="753" ht="15.75" customHeight="1">
      <c r="A753" s="127"/>
      <c r="B753" s="127"/>
      <c r="C753" s="127"/>
      <c r="D753" s="127"/>
      <c r="E753" s="127"/>
      <c r="F753" s="127"/>
      <c r="G753" s="127"/>
      <c r="H753" s="127"/>
    </row>
    <row r="754" ht="15.75" customHeight="1">
      <c r="A754" s="127"/>
      <c r="B754" s="127"/>
      <c r="C754" s="127"/>
      <c r="D754" s="127"/>
      <c r="E754" s="127"/>
      <c r="F754" s="127"/>
      <c r="G754" s="127"/>
      <c r="H754" s="127"/>
    </row>
    <row r="755" ht="15.75" customHeight="1">
      <c r="A755" s="127"/>
      <c r="B755" s="127"/>
      <c r="C755" s="127"/>
      <c r="D755" s="127"/>
      <c r="E755" s="127"/>
      <c r="F755" s="127"/>
      <c r="G755" s="127"/>
      <c r="H755" s="127"/>
    </row>
    <row r="756" ht="15.75" customHeight="1">
      <c r="A756" s="127"/>
      <c r="B756" s="127"/>
      <c r="C756" s="127"/>
      <c r="D756" s="127"/>
      <c r="E756" s="127"/>
      <c r="F756" s="127"/>
      <c r="G756" s="127"/>
      <c r="H756" s="127"/>
    </row>
    <row r="757" ht="15.75" customHeight="1">
      <c r="A757" s="127"/>
      <c r="B757" s="127"/>
      <c r="C757" s="127"/>
      <c r="D757" s="127"/>
      <c r="E757" s="127"/>
      <c r="F757" s="127"/>
      <c r="G757" s="127"/>
      <c r="H757" s="127"/>
    </row>
    <row r="758" ht="15.75" customHeight="1">
      <c r="A758" s="127"/>
      <c r="B758" s="127"/>
      <c r="C758" s="127"/>
      <c r="D758" s="127"/>
      <c r="E758" s="127"/>
      <c r="F758" s="127"/>
      <c r="G758" s="127"/>
      <c r="H758" s="127"/>
    </row>
    <row r="759" ht="15.75" customHeight="1">
      <c r="A759" s="127"/>
      <c r="B759" s="127"/>
      <c r="C759" s="127"/>
      <c r="D759" s="127"/>
      <c r="E759" s="127"/>
      <c r="F759" s="127"/>
      <c r="G759" s="127"/>
      <c r="H759" s="127"/>
    </row>
    <row r="760" ht="15.75" customHeight="1">
      <c r="A760" s="127"/>
      <c r="B760" s="127"/>
      <c r="C760" s="127"/>
      <c r="D760" s="127"/>
      <c r="E760" s="127"/>
      <c r="F760" s="127"/>
      <c r="G760" s="127"/>
      <c r="H760" s="127"/>
    </row>
    <row r="761" ht="15.75" customHeight="1">
      <c r="A761" s="127"/>
      <c r="B761" s="127"/>
      <c r="C761" s="127"/>
      <c r="D761" s="127"/>
      <c r="E761" s="127"/>
      <c r="F761" s="127"/>
      <c r="G761" s="127"/>
      <c r="H761" s="127"/>
    </row>
    <row r="762" ht="15.75" customHeight="1">
      <c r="A762" s="127"/>
      <c r="B762" s="127"/>
      <c r="C762" s="127"/>
      <c r="D762" s="127"/>
      <c r="E762" s="127"/>
      <c r="F762" s="127"/>
      <c r="G762" s="127"/>
      <c r="H762" s="127"/>
    </row>
    <row r="763" ht="15.75" customHeight="1">
      <c r="A763" s="127"/>
      <c r="B763" s="127"/>
      <c r="C763" s="127"/>
      <c r="D763" s="127"/>
      <c r="E763" s="127"/>
      <c r="F763" s="127"/>
      <c r="G763" s="127"/>
      <c r="H763" s="127"/>
    </row>
    <row r="764" ht="15.75" customHeight="1">
      <c r="A764" s="127"/>
      <c r="B764" s="127"/>
      <c r="C764" s="127"/>
      <c r="D764" s="127"/>
      <c r="E764" s="127"/>
      <c r="F764" s="127"/>
      <c r="G764" s="127"/>
      <c r="H764" s="127"/>
    </row>
    <row r="765" ht="15.75" customHeight="1">
      <c r="A765" s="127"/>
      <c r="B765" s="127"/>
      <c r="C765" s="127"/>
      <c r="D765" s="127"/>
      <c r="E765" s="127"/>
      <c r="F765" s="127"/>
      <c r="G765" s="127"/>
      <c r="H765" s="127"/>
    </row>
    <row r="766" ht="15.75" customHeight="1">
      <c r="A766" s="127"/>
      <c r="B766" s="127"/>
      <c r="C766" s="127"/>
      <c r="D766" s="127"/>
      <c r="E766" s="127"/>
      <c r="F766" s="127"/>
      <c r="G766" s="127"/>
      <c r="H766" s="127"/>
    </row>
    <row r="767" ht="15.75" customHeight="1">
      <c r="A767" s="127"/>
      <c r="B767" s="127"/>
      <c r="C767" s="127"/>
      <c r="D767" s="127"/>
      <c r="E767" s="127"/>
      <c r="F767" s="127"/>
      <c r="G767" s="127"/>
      <c r="H767" s="127"/>
    </row>
    <row r="768" ht="15.75" customHeight="1">
      <c r="A768" s="127"/>
      <c r="B768" s="127"/>
      <c r="C768" s="127"/>
      <c r="D768" s="127"/>
      <c r="E768" s="127"/>
      <c r="F768" s="127"/>
      <c r="G768" s="127"/>
      <c r="H768" s="127"/>
    </row>
    <row r="769" ht="15.75" customHeight="1">
      <c r="A769" s="127"/>
      <c r="B769" s="127"/>
      <c r="C769" s="127"/>
      <c r="D769" s="127"/>
      <c r="E769" s="127"/>
      <c r="F769" s="127"/>
      <c r="G769" s="127"/>
      <c r="H769" s="127"/>
    </row>
    <row r="770" ht="15.75" customHeight="1">
      <c r="A770" s="127"/>
      <c r="B770" s="127"/>
      <c r="C770" s="127"/>
      <c r="D770" s="127"/>
      <c r="E770" s="127"/>
      <c r="F770" s="127"/>
      <c r="G770" s="127"/>
      <c r="H770" s="127"/>
    </row>
    <row r="771" ht="15.75" customHeight="1">
      <c r="A771" s="127"/>
      <c r="B771" s="127"/>
      <c r="C771" s="127"/>
      <c r="D771" s="127"/>
      <c r="E771" s="127"/>
      <c r="F771" s="127"/>
      <c r="G771" s="127"/>
      <c r="H771" s="127"/>
    </row>
    <row r="772" ht="15.75" customHeight="1">
      <c r="A772" s="127"/>
      <c r="B772" s="127"/>
      <c r="C772" s="127"/>
      <c r="D772" s="127"/>
      <c r="E772" s="127"/>
      <c r="F772" s="127"/>
      <c r="G772" s="127"/>
      <c r="H772" s="127"/>
    </row>
    <row r="773" ht="15.75" customHeight="1">
      <c r="A773" s="127"/>
      <c r="B773" s="127"/>
      <c r="C773" s="127"/>
      <c r="D773" s="127"/>
      <c r="E773" s="127"/>
      <c r="F773" s="127"/>
      <c r="G773" s="127"/>
      <c r="H773" s="127"/>
    </row>
    <row r="774" ht="15.75" customHeight="1">
      <c r="A774" s="127"/>
      <c r="B774" s="127"/>
      <c r="C774" s="127"/>
      <c r="D774" s="127"/>
      <c r="E774" s="127"/>
      <c r="F774" s="127"/>
      <c r="G774" s="127"/>
      <c r="H774" s="127"/>
    </row>
    <row r="775" ht="15.75" customHeight="1">
      <c r="A775" s="127"/>
      <c r="B775" s="127"/>
      <c r="C775" s="127"/>
      <c r="D775" s="127"/>
      <c r="E775" s="127"/>
      <c r="F775" s="127"/>
      <c r="G775" s="127"/>
      <c r="H775" s="127"/>
    </row>
    <row r="776" ht="15.75" customHeight="1">
      <c r="A776" s="127"/>
      <c r="B776" s="127"/>
      <c r="C776" s="127"/>
      <c r="D776" s="127"/>
      <c r="E776" s="127"/>
      <c r="F776" s="127"/>
      <c r="G776" s="127"/>
      <c r="H776" s="127"/>
    </row>
    <row r="777" ht="15.75" customHeight="1">
      <c r="A777" s="127"/>
      <c r="B777" s="127"/>
      <c r="C777" s="127"/>
      <c r="D777" s="127"/>
      <c r="E777" s="127"/>
      <c r="F777" s="127"/>
      <c r="G777" s="127"/>
      <c r="H777" s="127"/>
    </row>
    <row r="778" ht="15.75" customHeight="1">
      <c r="A778" s="127"/>
      <c r="B778" s="127"/>
      <c r="C778" s="127"/>
      <c r="D778" s="127"/>
      <c r="E778" s="127"/>
      <c r="F778" s="127"/>
      <c r="G778" s="127"/>
      <c r="H778" s="127"/>
    </row>
    <row r="779" ht="15.75" customHeight="1">
      <c r="A779" s="127"/>
      <c r="B779" s="127"/>
      <c r="C779" s="127"/>
      <c r="D779" s="127"/>
      <c r="E779" s="127"/>
      <c r="F779" s="127"/>
      <c r="G779" s="127"/>
      <c r="H779" s="127"/>
    </row>
    <row r="780" ht="15.75" customHeight="1">
      <c r="A780" s="127"/>
      <c r="B780" s="127"/>
      <c r="C780" s="127"/>
      <c r="D780" s="127"/>
      <c r="E780" s="127"/>
      <c r="F780" s="127"/>
      <c r="G780" s="127"/>
      <c r="H780" s="127"/>
    </row>
    <row r="781" ht="15.75" customHeight="1">
      <c r="A781" s="127"/>
      <c r="B781" s="127"/>
      <c r="C781" s="127"/>
      <c r="D781" s="127"/>
      <c r="E781" s="127"/>
      <c r="F781" s="127"/>
      <c r="G781" s="127"/>
      <c r="H781" s="127"/>
    </row>
    <row r="782" ht="15.75" customHeight="1">
      <c r="A782" s="127"/>
      <c r="B782" s="127"/>
      <c r="C782" s="127"/>
      <c r="D782" s="127"/>
      <c r="E782" s="127"/>
      <c r="F782" s="127"/>
      <c r="G782" s="127"/>
      <c r="H782" s="127"/>
    </row>
    <row r="783" ht="15.75" customHeight="1">
      <c r="A783" s="127"/>
      <c r="B783" s="127"/>
      <c r="C783" s="127"/>
      <c r="D783" s="127"/>
      <c r="E783" s="127"/>
      <c r="F783" s="127"/>
      <c r="G783" s="127"/>
      <c r="H783" s="127"/>
    </row>
    <row r="784" ht="15.75" customHeight="1">
      <c r="A784" s="127"/>
      <c r="B784" s="127"/>
      <c r="C784" s="127"/>
      <c r="D784" s="127"/>
      <c r="E784" s="127"/>
      <c r="F784" s="127"/>
      <c r="G784" s="127"/>
      <c r="H784" s="127"/>
    </row>
    <row r="785" ht="15.75" customHeight="1">
      <c r="A785" s="127"/>
      <c r="B785" s="127"/>
      <c r="C785" s="127"/>
      <c r="D785" s="127"/>
      <c r="E785" s="127"/>
      <c r="F785" s="127"/>
      <c r="G785" s="127"/>
      <c r="H785" s="127"/>
    </row>
    <row r="786" ht="15.75" customHeight="1">
      <c r="A786" s="127"/>
      <c r="B786" s="127"/>
      <c r="C786" s="127"/>
      <c r="D786" s="127"/>
      <c r="E786" s="127"/>
      <c r="F786" s="127"/>
      <c r="G786" s="127"/>
      <c r="H786" s="127"/>
    </row>
    <row r="787" ht="15.75" customHeight="1">
      <c r="A787" s="127"/>
      <c r="B787" s="127"/>
      <c r="C787" s="127"/>
      <c r="D787" s="127"/>
      <c r="E787" s="127"/>
      <c r="F787" s="127"/>
      <c r="G787" s="127"/>
      <c r="H787" s="127"/>
    </row>
    <row r="788" ht="15.75" customHeight="1">
      <c r="A788" s="127"/>
      <c r="B788" s="127"/>
      <c r="C788" s="127"/>
      <c r="D788" s="127"/>
      <c r="E788" s="127"/>
      <c r="F788" s="127"/>
      <c r="G788" s="127"/>
      <c r="H788" s="127"/>
    </row>
    <row r="789" ht="15.75" customHeight="1">
      <c r="A789" s="127"/>
      <c r="B789" s="127"/>
      <c r="C789" s="127"/>
      <c r="D789" s="127"/>
      <c r="E789" s="127"/>
      <c r="F789" s="127"/>
      <c r="G789" s="127"/>
      <c r="H789" s="127"/>
    </row>
    <row r="790" ht="15.75" customHeight="1">
      <c r="A790" s="127"/>
      <c r="B790" s="127"/>
      <c r="C790" s="127"/>
      <c r="D790" s="127"/>
      <c r="E790" s="127"/>
      <c r="F790" s="127"/>
      <c r="G790" s="127"/>
      <c r="H790" s="127"/>
    </row>
    <row r="791" ht="15.75" customHeight="1">
      <c r="A791" s="127"/>
      <c r="B791" s="127"/>
      <c r="C791" s="127"/>
      <c r="D791" s="127"/>
      <c r="E791" s="127"/>
      <c r="F791" s="127"/>
      <c r="G791" s="127"/>
      <c r="H791" s="127"/>
    </row>
    <row r="792" ht="15.75" customHeight="1">
      <c r="A792" s="127"/>
      <c r="B792" s="127"/>
      <c r="C792" s="127"/>
      <c r="D792" s="127"/>
      <c r="E792" s="127"/>
      <c r="F792" s="127"/>
      <c r="G792" s="127"/>
      <c r="H792" s="127"/>
    </row>
    <row r="793" ht="15.75" customHeight="1">
      <c r="A793" s="127"/>
      <c r="B793" s="127"/>
      <c r="C793" s="127"/>
      <c r="D793" s="127"/>
      <c r="E793" s="127"/>
      <c r="F793" s="127"/>
      <c r="G793" s="127"/>
      <c r="H793" s="127"/>
    </row>
    <row r="794" ht="15.75" customHeight="1">
      <c r="A794" s="127"/>
      <c r="B794" s="127"/>
      <c r="C794" s="127"/>
      <c r="D794" s="127"/>
      <c r="E794" s="127"/>
      <c r="F794" s="127"/>
      <c r="G794" s="127"/>
      <c r="H794" s="127"/>
    </row>
    <row r="795" ht="15.75" customHeight="1">
      <c r="A795" s="127"/>
      <c r="B795" s="127"/>
      <c r="C795" s="127"/>
      <c r="D795" s="127"/>
      <c r="E795" s="127"/>
      <c r="F795" s="127"/>
      <c r="G795" s="127"/>
      <c r="H795" s="127"/>
    </row>
    <row r="796" ht="15.75" customHeight="1">
      <c r="A796" s="127"/>
      <c r="B796" s="127"/>
      <c r="C796" s="127"/>
      <c r="D796" s="127"/>
      <c r="E796" s="127"/>
      <c r="F796" s="127"/>
      <c r="G796" s="127"/>
      <c r="H796" s="127"/>
    </row>
    <row r="797" ht="15.75" customHeight="1">
      <c r="A797" s="127"/>
      <c r="B797" s="127"/>
      <c r="C797" s="127"/>
      <c r="D797" s="127"/>
      <c r="E797" s="127"/>
      <c r="F797" s="127"/>
      <c r="G797" s="127"/>
      <c r="H797" s="127"/>
    </row>
    <row r="798" ht="15.75" customHeight="1">
      <c r="A798" s="127"/>
      <c r="B798" s="127"/>
      <c r="C798" s="127"/>
      <c r="D798" s="127"/>
      <c r="E798" s="127"/>
      <c r="F798" s="127"/>
      <c r="G798" s="127"/>
      <c r="H798" s="127"/>
    </row>
    <row r="799" ht="15.75" customHeight="1">
      <c r="A799" s="127"/>
      <c r="B799" s="127"/>
      <c r="C799" s="127"/>
      <c r="D799" s="127"/>
      <c r="E799" s="127"/>
      <c r="F799" s="127"/>
      <c r="G799" s="127"/>
      <c r="H799" s="127"/>
    </row>
    <row r="800" ht="15.75" customHeight="1">
      <c r="A800" s="127"/>
      <c r="B800" s="127"/>
      <c r="C800" s="127"/>
      <c r="D800" s="127"/>
      <c r="E800" s="127"/>
      <c r="F800" s="127"/>
      <c r="G800" s="127"/>
      <c r="H800" s="127"/>
    </row>
    <row r="801" ht="15.75" customHeight="1">
      <c r="A801" s="127"/>
      <c r="B801" s="127"/>
      <c r="C801" s="127"/>
      <c r="D801" s="127"/>
      <c r="E801" s="127"/>
      <c r="F801" s="127"/>
      <c r="G801" s="127"/>
      <c r="H801" s="127"/>
    </row>
    <row r="802" ht="15.75" customHeight="1">
      <c r="A802" s="127"/>
      <c r="B802" s="127"/>
      <c r="C802" s="127"/>
      <c r="D802" s="127"/>
      <c r="E802" s="127"/>
      <c r="F802" s="127"/>
      <c r="G802" s="127"/>
      <c r="H802" s="127"/>
    </row>
    <row r="803" ht="15.75" customHeight="1">
      <c r="A803" s="127"/>
      <c r="B803" s="127"/>
      <c r="C803" s="127"/>
      <c r="D803" s="127"/>
      <c r="E803" s="127"/>
      <c r="F803" s="127"/>
      <c r="G803" s="127"/>
      <c r="H803" s="127"/>
    </row>
    <row r="804" ht="15.75" customHeight="1">
      <c r="A804" s="127"/>
      <c r="B804" s="127"/>
      <c r="C804" s="127"/>
      <c r="D804" s="127"/>
      <c r="E804" s="127"/>
      <c r="F804" s="127"/>
      <c r="G804" s="127"/>
      <c r="H804" s="127"/>
    </row>
    <row r="805" ht="15.75" customHeight="1">
      <c r="A805" s="127"/>
      <c r="B805" s="127"/>
      <c r="C805" s="127"/>
      <c r="D805" s="127"/>
      <c r="E805" s="127"/>
      <c r="F805" s="127"/>
      <c r="G805" s="127"/>
      <c r="H805" s="127"/>
    </row>
    <row r="806" ht="15.75" customHeight="1">
      <c r="A806" s="127"/>
      <c r="B806" s="127"/>
      <c r="C806" s="127"/>
      <c r="D806" s="127"/>
      <c r="E806" s="127"/>
      <c r="F806" s="127"/>
      <c r="G806" s="127"/>
      <c r="H806" s="127"/>
    </row>
    <row r="807" ht="15.75" customHeight="1">
      <c r="A807" s="127"/>
      <c r="B807" s="127"/>
      <c r="C807" s="127"/>
      <c r="D807" s="127"/>
      <c r="E807" s="127"/>
      <c r="F807" s="127"/>
      <c r="G807" s="127"/>
      <c r="H807" s="127"/>
    </row>
    <row r="808" ht="15.75" customHeight="1">
      <c r="A808" s="127"/>
      <c r="B808" s="127"/>
      <c r="C808" s="127"/>
      <c r="D808" s="127"/>
      <c r="E808" s="127"/>
      <c r="F808" s="127"/>
      <c r="G808" s="127"/>
      <c r="H808" s="127"/>
    </row>
    <row r="809" ht="15.75" customHeight="1">
      <c r="A809" s="127"/>
      <c r="B809" s="127"/>
      <c r="C809" s="127"/>
      <c r="D809" s="127"/>
      <c r="E809" s="127"/>
      <c r="F809" s="127"/>
      <c r="G809" s="127"/>
      <c r="H809" s="127"/>
    </row>
    <row r="810" ht="15.75" customHeight="1">
      <c r="A810" s="127"/>
      <c r="B810" s="127"/>
      <c r="C810" s="127"/>
      <c r="D810" s="127"/>
      <c r="E810" s="127"/>
      <c r="F810" s="127"/>
      <c r="G810" s="127"/>
      <c r="H810" s="127"/>
    </row>
    <row r="811" ht="15.75" customHeight="1">
      <c r="A811" s="127"/>
      <c r="B811" s="127"/>
      <c r="C811" s="127"/>
      <c r="D811" s="127"/>
      <c r="E811" s="127"/>
      <c r="F811" s="127"/>
      <c r="G811" s="127"/>
      <c r="H811" s="127"/>
    </row>
    <row r="812" ht="15.75" customHeight="1">
      <c r="A812" s="127"/>
      <c r="B812" s="127"/>
      <c r="C812" s="127"/>
      <c r="D812" s="127"/>
      <c r="E812" s="127"/>
      <c r="F812" s="127"/>
      <c r="G812" s="127"/>
      <c r="H812" s="127"/>
    </row>
    <row r="813" ht="15.75" customHeight="1">
      <c r="A813" s="127"/>
      <c r="B813" s="127"/>
      <c r="C813" s="127"/>
      <c r="D813" s="127"/>
      <c r="E813" s="127"/>
      <c r="F813" s="127"/>
      <c r="G813" s="127"/>
      <c r="H813" s="127"/>
    </row>
    <row r="814" ht="15.75" customHeight="1">
      <c r="A814" s="127"/>
      <c r="B814" s="127"/>
      <c r="C814" s="127"/>
      <c r="D814" s="127"/>
      <c r="E814" s="127"/>
      <c r="F814" s="127"/>
      <c r="G814" s="127"/>
      <c r="H814" s="127"/>
    </row>
    <row r="815" ht="15.75" customHeight="1">
      <c r="A815" s="127"/>
      <c r="B815" s="127"/>
      <c r="C815" s="127"/>
      <c r="D815" s="127"/>
      <c r="E815" s="127"/>
      <c r="F815" s="127"/>
      <c r="G815" s="127"/>
      <c r="H815" s="127"/>
    </row>
    <row r="816" ht="15.75" customHeight="1">
      <c r="A816" s="127"/>
      <c r="B816" s="127"/>
      <c r="C816" s="127"/>
      <c r="D816" s="127"/>
      <c r="E816" s="127"/>
      <c r="F816" s="127"/>
      <c r="G816" s="127"/>
      <c r="H816" s="127"/>
    </row>
    <row r="817" ht="15.75" customHeight="1">
      <c r="A817" s="127"/>
      <c r="B817" s="127"/>
      <c r="C817" s="127"/>
      <c r="D817" s="127"/>
      <c r="E817" s="127"/>
      <c r="F817" s="127"/>
      <c r="G817" s="127"/>
      <c r="H817" s="127"/>
    </row>
    <row r="818" ht="15.75" customHeight="1">
      <c r="A818" s="127"/>
      <c r="B818" s="127"/>
      <c r="C818" s="127"/>
      <c r="D818" s="127"/>
      <c r="E818" s="127"/>
      <c r="F818" s="127"/>
      <c r="G818" s="127"/>
      <c r="H818" s="127"/>
    </row>
    <row r="819" ht="15.75" customHeight="1">
      <c r="A819" s="127"/>
      <c r="B819" s="127"/>
      <c r="C819" s="127"/>
      <c r="D819" s="127"/>
      <c r="E819" s="127"/>
      <c r="F819" s="127"/>
      <c r="G819" s="127"/>
      <c r="H819" s="127"/>
    </row>
    <row r="820" ht="15.75" customHeight="1">
      <c r="A820" s="127"/>
      <c r="B820" s="127"/>
      <c r="C820" s="127"/>
      <c r="D820" s="127"/>
      <c r="E820" s="127"/>
      <c r="F820" s="127"/>
      <c r="G820" s="127"/>
      <c r="H820" s="127"/>
    </row>
    <row r="821" ht="15.75" customHeight="1">
      <c r="A821" s="127"/>
      <c r="B821" s="127"/>
      <c r="C821" s="127"/>
      <c r="D821" s="127"/>
      <c r="E821" s="127"/>
      <c r="F821" s="127"/>
      <c r="G821" s="127"/>
      <c r="H821" s="127"/>
    </row>
    <row r="822" ht="15.75" customHeight="1">
      <c r="A822" s="127"/>
      <c r="B822" s="127"/>
      <c r="C822" s="127"/>
      <c r="D822" s="127"/>
      <c r="E822" s="127"/>
      <c r="F822" s="127"/>
      <c r="G822" s="127"/>
      <c r="H822" s="127"/>
    </row>
    <row r="823" ht="15.75" customHeight="1">
      <c r="A823" s="127"/>
      <c r="B823" s="127"/>
      <c r="C823" s="127"/>
      <c r="D823" s="127"/>
      <c r="E823" s="127"/>
      <c r="F823" s="127"/>
      <c r="G823" s="127"/>
      <c r="H823" s="127"/>
    </row>
    <row r="824" ht="15.75" customHeight="1">
      <c r="A824" s="127"/>
      <c r="B824" s="127"/>
      <c r="C824" s="127"/>
      <c r="D824" s="127"/>
      <c r="E824" s="127"/>
      <c r="F824" s="127"/>
      <c r="G824" s="127"/>
      <c r="H824" s="127"/>
    </row>
    <row r="825" ht="15.75" customHeight="1">
      <c r="A825" s="127"/>
      <c r="B825" s="127"/>
      <c r="C825" s="127"/>
      <c r="D825" s="127"/>
      <c r="E825" s="127"/>
      <c r="F825" s="127"/>
      <c r="G825" s="127"/>
      <c r="H825" s="127"/>
    </row>
    <row r="826" ht="15.75" customHeight="1">
      <c r="A826" s="127"/>
      <c r="B826" s="127"/>
      <c r="C826" s="127"/>
      <c r="D826" s="127"/>
      <c r="E826" s="127"/>
      <c r="F826" s="127"/>
      <c r="G826" s="127"/>
      <c r="H826" s="127"/>
    </row>
    <row r="827" ht="15.75" customHeight="1">
      <c r="A827" s="127"/>
      <c r="B827" s="127"/>
      <c r="C827" s="127"/>
      <c r="D827" s="127"/>
      <c r="E827" s="127"/>
      <c r="F827" s="127"/>
      <c r="G827" s="127"/>
      <c r="H827" s="127"/>
    </row>
    <row r="828" ht="15.75" customHeight="1">
      <c r="A828" s="127"/>
      <c r="B828" s="127"/>
      <c r="C828" s="127"/>
      <c r="D828" s="127"/>
      <c r="E828" s="127"/>
      <c r="F828" s="127"/>
      <c r="G828" s="127"/>
      <c r="H828" s="127"/>
    </row>
    <row r="829" ht="15.75" customHeight="1">
      <c r="A829" s="127"/>
      <c r="B829" s="127"/>
      <c r="C829" s="127"/>
      <c r="D829" s="127"/>
      <c r="E829" s="127"/>
      <c r="F829" s="127"/>
      <c r="G829" s="127"/>
      <c r="H829" s="127"/>
    </row>
    <row r="830" ht="15.75" customHeight="1">
      <c r="A830" s="127"/>
      <c r="B830" s="127"/>
      <c r="C830" s="127"/>
      <c r="D830" s="127"/>
      <c r="E830" s="127"/>
      <c r="F830" s="127"/>
      <c r="G830" s="127"/>
      <c r="H830" s="127"/>
    </row>
    <row r="831" ht="15.75" customHeight="1">
      <c r="A831" s="127"/>
      <c r="B831" s="127"/>
      <c r="C831" s="127"/>
      <c r="D831" s="127"/>
      <c r="E831" s="127"/>
      <c r="F831" s="127"/>
      <c r="G831" s="127"/>
      <c r="H831" s="127"/>
    </row>
    <row r="832" ht="15.75" customHeight="1">
      <c r="A832" s="127"/>
      <c r="B832" s="127"/>
      <c r="C832" s="127"/>
      <c r="D832" s="127"/>
      <c r="E832" s="127"/>
      <c r="F832" s="127"/>
      <c r="G832" s="127"/>
      <c r="H832" s="127"/>
    </row>
    <row r="833" ht="15.75" customHeight="1">
      <c r="A833" s="127"/>
      <c r="B833" s="127"/>
      <c r="C833" s="127"/>
      <c r="D833" s="127"/>
      <c r="E833" s="127"/>
      <c r="F833" s="127"/>
      <c r="G833" s="127"/>
      <c r="H833" s="127"/>
    </row>
    <row r="834" ht="15.75" customHeight="1">
      <c r="A834" s="127"/>
      <c r="B834" s="127"/>
      <c r="C834" s="127"/>
      <c r="D834" s="127"/>
      <c r="E834" s="127"/>
      <c r="F834" s="127"/>
      <c r="G834" s="127"/>
      <c r="H834" s="127"/>
    </row>
    <row r="835" ht="15.75" customHeight="1">
      <c r="A835" s="127"/>
      <c r="B835" s="127"/>
      <c r="C835" s="127"/>
      <c r="D835" s="127"/>
      <c r="E835" s="127"/>
      <c r="F835" s="127"/>
      <c r="G835" s="127"/>
      <c r="H835" s="127"/>
    </row>
    <row r="836" ht="15.75" customHeight="1">
      <c r="A836" s="127"/>
      <c r="B836" s="127"/>
      <c r="C836" s="127"/>
      <c r="D836" s="127"/>
      <c r="E836" s="127"/>
      <c r="F836" s="127"/>
      <c r="G836" s="127"/>
      <c r="H836" s="127"/>
    </row>
    <row r="837" ht="15.75" customHeight="1">
      <c r="A837" s="127"/>
      <c r="B837" s="127"/>
      <c r="C837" s="127"/>
      <c r="D837" s="127"/>
      <c r="E837" s="127"/>
      <c r="F837" s="127"/>
      <c r="G837" s="127"/>
      <c r="H837" s="127"/>
    </row>
    <row r="838" ht="15.75" customHeight="1">
      <c r="A838" s="127"/>
      <c r="B838" s="127"/>
      <c r="C838" s="127"/>
      <c r="D838" s="127"/>
      <c r="E838" s="127"/>
      <c r="F838" s="127"/>
      <c r="G838" s="127"/>
      <c r="H838" s="127"/>
    </row>
    <row r="839" ht="15.75" customHeight="1">
      <c r="A839" s="127"/>
      <c r="B839" s="127"/>
      <c r="C839" s="127"/>
      <c r="D839" s="127"/>
      <c r="E839" s="127"/>
      <c r="F839" s="127"/>
      <c r="G839" s="127"/>
      <c r="H839" s="127"/>
    </row>
    <row r="840" ht="15.75" customHeight="1">
      <c r="A840" s="127"/>
      <c r="B840" s="127"/>
      <c r="C840" s="127"/>
      <c r="D840" s="127"/>
      <c r="E840" s="127"/>
      <c r="F840" s="127"/>
      <c r="G840" s="127"/>
      <c r="H840" s="127"/>
    </row>
    <row r="841" ht="15.75" customHeight="1">
      <c r="A841" s="127"/>
      <c r="B841" s="127"/>
      <c r="C841" s="127"/>
      <c r="D841" s="127"/>
      <c r="E841" s="127"/>
      <c r="F841" s="127"/>
      <c r="G841" s="127"/>
      <c r="H841" s="127"/>
    </row>
    <row r="842" ht="15.75" customHeight="1">
      <c r="A842" s="127"/>
      <c r="B842" s="127"/>
      <c r="C842" s="127"/>
      <c r="D842" s="127"/>
      <c r="E842" s="127"/>
      <c r="F842" s="127"/>
      <c r="G842" s="127"/>
      <c r="H842" s="127"/>
    </row>
    <row r="843" ht="15.75" customHeight="1">
      <c r="A843" s="127"/>
      <c r="B843" s="127"/>
      <c r="C843" s="127"/>
      <c r="D843" s="127"/>
      <c r="E843" s="127"/>
      <c r="F843" s="127"/>
      <c r="G843" s="127"/>
      <c r="H843" s="127"/>
    </row>
    <row r="844" ht="15.75" customHeight="1">
      <c r="A844" s="127"/>
      <c r="B844" s="127"/>
      <c r="C844" s="127"/>
      <c r="D844" s="127"/>
      <c r="E844" s="127"/>
      <c r="F844" s="127"/>
      <c r="G844" s="127"/>
      <c r="H844" s="127"/>
    </row>
    <row r="845" ht="15.75" customHeight="1">
      <c r="A845" s="127"/>
      <c r="B845" s="127"/>
      <c r="C845" s="127"/>
      <c r="D845" s="127"/>
      <c r="E845" s="127"/>
      <c r="F845" s="127"/>
      <c r="G845" s="127"/>
      <c r="H845" s="127"/>
    </row>
    <row r="846" ht="15.75" customHeight="1">
      <c r="A846" s="127"/>
      <c r="B846" s="127"/>
      <c r="C846" s="127"/>
      <c r="D846" s="127"/>
      <c r="E846" s="127"/>
      <c r="F846" s="127"/>
      <c r="G846" s="127"/>
      <c r="H846" s="127"/>
    </row>
    <row r="847" ht="15.75" customHeight="1">
      <c r="A847" s="127"/>
      <c r="B847" s="127"/>
      <c r="C847" s="127"/>
      <c r="D847" s="127"/>
      <c r="E847" s="127"/>
      <c r="F847" s="127"/>
      <c r="G847" s="127"/>
      <c r="H847" s="127"/>
    </row>
    <row r="848" ht="15.75" customHeight="1">
      <c r="A848" s="127"/>
      <c r="B848" s="127"/>
      <c r="C848" s="127"/>
      <c r="D848" s="127"/>
      <c r="E848" s="127"/>
      <c r="F848" s="127"/>
      <c r="G848" s="127"/>
      <c r="H848" s="127"/>
    </row>
    <row r="849" ht="15.75" customHeight="1">
      <c r="A849" s="127"/>
      <c r="B849" s="127"/>
      <c r="C849" s="127"/>
      <c r="D849" s="127"/>
      <c r="E849" s="127"/>
      <c r="F849" s="127"/>
      <c r="G849" s="127"/>
      <c r="H849" s="127"/>
    </row>
    <row r="850" ht="15.75" customHeight="1">
      <c r="A850" s="127"/>
      <c r="B850" s="127"/>
      <c r="C850" s="127"/>
      <c r="D850" s="127"/>
      <c r="E850" s="127"/>
      <c r="F850" s="127"/>
      <c r="G850" s="127"/>
      <c r="H850" s="127"/>
    </row>
    <row r="851" ht="15.75" customHeight="1">
      <c r="A851" s="127"/>
      <c r="B851" s="127"/>
      <c r="C851" s="127"/>
      <c r="D851" s="127"/>
      <c r="E851" s="127"/>
      <c r="F851" s="127"/>
      <c r="G851" s="127"/>
      <c r="H851" s="127"/>
    </row>
    <row r="852" ht="15.75" customHeight="1">
      <c r="A852" s="127"/>
      <c r="B852" s="127"/>
      <c r="C852" s="127"/>
      <c r="D852" s="127"/>
      <c r="E852" s="127"/>
      <c r="F852" s="127"/>
      <c r="G852" s="127"/>
      <c r="H852" s="127"/>
    </row>
    <row r="853" ht="15.75" customHeight="1">
      <c r="A853" s="127"/>
      <c r="B853" s="127"/>
      <c r="C853" s="127"/>
      <c r="D853" s="127"/>
      <c r="E853" s="127"/>
      <c r="F853" s="127"/>
      <c r="G853" s="127"/>
      <c r="H853" s="127"/>
    </row>
    <row r="854" ht="15.75" customHeight="1">
      <c r="A854" s="127"/>
      <c r="B854" s="127"/>
      <c r="C854" s="127"/>
      <c r="D854" s="127"/>
      <c r="E854" s="127"/>
      <c r="F854" s="127"/>
      <c r="G854" s="127"/>
      <c r="H854" s="127"/>
    </row>
    <row r="855" ht="15.75" customHeight="1">
      <c r="A855" s="127"/>
      <c r="B855" s="127"/>
      <c r="C855" s="127"/>
      <c r="D855" s="127"/>
      <c r="E855" s="127"/>
      <c r="F855" s="127"/>
      <c r="G855" s="127"/>
      <c r="H855" s="127"/>
    </row>
    <row r="856" ht="15.75" customHeight="1">
      <c r="A856" s="127"/>
      <c r="B856" s="127"/>
      <c r="C856" s="127"/>
      <c r="D856" s="127"/>
      <c r="E856" s="127"/>
      <c r="F856" s="127"/>
      <c r="G856" s="127"/>
      <c r="H856" s="127"/>
    </row>
    <row r="857" ht="15.75" customHeight="1">
      <c r="A857" s="127"/>
      <c r="B857" s="127"/>
      <c r="C857" s="127"/>
      <c r="D857" s="127"/>
      <c r="E857" s="127"/>
      <c r="F857" s="127"/>
      <c r="G857" s="127"/>
      <c r="H857" s="127"/>
    </row>
    <row r="858" ht="15.75" customHeight="1">
      <c r="A858" s="127"/>
      <c r="B858" s="127"/>
      <c r="C858" s="127"/>
      <c r="D858" s="127"/>
      <c r="E858" s="127"/>
      <c r="F858" s="127"/>
      <c r="G858" s="127"/>
      <c r="H858" s="127"/>
    </row>
    <row r="859" ht="15.75" customHeight="1">
      <c r="A859" s="127"/>
      <c r="B859" s="127"/>
      <c r="C859" s="127"/>
      <c r="D859" s="127"/>
      <c r="E859" s="127"/>
      <c r="F859" s="127"/>
      <c r="G859" s="127"/>
      <c r="H859" s="127"/>
    </row>
    <row r="860" ht="15.75" customHeight="1">
      <c r="A860" s="127"/>
      <c r="B860" s="127"/>
      <c r="C860" s="127"/>
      <c r="D860" s="127"/>
      <c r="E860" s="127"/>
      <c r="F860" s="127"/>
      <c r="G860" s="127"/>
      <c r="H860" s="127"/>
    </row>
    <row r="861" ht="15.75" customHeight="1">
      <c r="A861" s="127"/>
      <c r="B861" s="127"/>
      <c r="C861" s="127"/>
      <c r="D861" s="127"/>
      <c r="E861" s="127"/>
      <c r="F861" s="127"/>
      <c r="G861" s="127"/>
      <c r="H861" s="127"/>
    </row>
    <row r="862" ht="15.75" customHeight="1">
      <c r="A862" s="127"/>
      <c r="B862" s="127"/>
      <c r="C862" s="127"/>
      <c r="D862" s="127"/>
      <c r="E862" s="127"/>
      <c r="F862" s="127"/>
      <c r="G862" s="127"/>
      <c r="H862" s="127"/>
    </row>
    <row r="863" ht="15.75" customHeight="1">
      <c r="A863" s="127"/>
      <c r="B863" s="127"/>
      <c r="C863" s="127"/>
      <c r="D863" s="127"/>
      <c r="E863" s="127"/>
      <c r="F863" s="127"/>
      <c r="G863" s="127"/>
      <c r="H863" s="127"/>
    </row>
    <row r="864" ht="15.75" customHeight="1">
      <c r="A864" s="127"/>
      <c r="B864" s="127"/>
      <c r="C864" s="127"/>
      <c r="D864" s="127"/>
      <c r="E864" s="127"/>
      <c r="F864" s="127"/>
      <c r="G864" s="127"/>
      <c r="H864" s="127"/>
    </row>
    <row r="865" ht="15.75" customHeight="1">
      <c r="A865" s="127"/>
      <c r="B865" s="127"/>
      <c r="C865" s="127"/>
      <c r="D865" s="127"/>
      <c r="E865" s="127"/>
      <c r="F865" s="127"/>
      <c r="G865" s="127"/>
      <c r="H865" s="127"/>
    </row>
    <row r="866" ht="15.75" customHeight="1">
      <c r="A866" s="127"/>
      <c r="B866" s="127"/>
      <c r="C866" s="127"/>
      <c r="D866" s="127"/>
      <c r="E866" s="127"/>
      <c r="F866" s="127"/>
      <c r="G866" s="127"/>
      <c r="H866" s="127"/>
    </row>
    <row r="867" ht="15.75" customHeight="1">
      <c r="A867" s="127"/>
      <c r="B867" s="127"/>
      <c r="C867" s="127"/>
      <c r="D867" s="127"/>
      <c r="E867" s="127"/>
      <c r="F867" s="127"/>
      <c r="G867" s="127"/>
      <c r="H867" s="127"/>
    </row>
    <row r="868" ht="15.75" customHeight="1">
      <c r="A868" s="127"/>
      <c r="B868" s="127"/>
      <c r="C868" s="127"/>
      <c r="D868" s="127"/>
      <c r="E868" s="127"/>
      <c r="F868" s="127"/>
      <c r="G868" s="127"/>
      <c r="H868" s="127"/>
    </row>
    <row r="869" ht="15.75" customHeight="1">
      <c r="A869" s="127"/>
      <c r="B869" s="127"/>
      <c r="C869" s="127"/>
      <c r="D869" s="127"/>
      <c r="E869" s="127"/>
      <c r="F869" s="127"/>
      <c r="G869" s="127"/>
      <c r="H869" s="127"/>
    </row>
    <row r="870" ht="15.75" customHeight="1">
      <c r="A870" s="127"/>
      <c r="B870" s="127"/>
      <c r="C870" s="127"/>
      <c r="D870" s="127"/>
      <c r="E870" s="127"/>
      <c r="F870" s="127"/>
      <c r="G870" s="127"/>
      <c r="H870" s="127"/>
    </row>
    <row r="871" ht="15.75" customHeight="1">
      <c r="A871" s="127"/>
      <c r="B871" s="127"/>
      <c r="C871" s="127"/>
      <c r="D871" s="127"/>
      <c r="E871" s="127"/>
      <c r="F871" s="127"/>
      <c r="G871" s="127"/>
      <c r="H871" s="127"/>
    </row>
    <row r="872" ht="15.75" customHeight="1">
      <c r="A872" s="127"/>
      <c r="B872" s="127"/>
      <c r="C872" s="127"/>
      <c r="D872" s="127"/>
      <c r="E872" s="127"/>
      <c r="F872" s="127"/>
      <c r="G872" s="127"/>
      <c r="H872" s="127"/>
    </row>
    <row r="873" ht="15.75" customHeight="1">
      <c r="A873" s="127"/>
      <c r="B873" s="127"/>
      <c r="C873" s="127"/>
      <c r="D873" s="127"/>
      <c r="E873" s="127"/>
      <c r="F873" s="127"/>
      <c r="G873" s="127"/>
      <c r="H873" s="127"/>
    </row>
    <row r="874" ht="15.75" customHeight="1">
      <c r="A874" s="127"/>
      <c r="B874" s="127"/>
      <c r="C874" s="127"/>
      <c r="D874" s="127"/>
      <c r="E874" s="127"/>
      <c r="F874" s="127"/>
      <c r="G874" s="127"/>
      <c r="H874" s="127"/>
    </row>
    <row r="875" ht="15.75" customHeight="1">
      <c r="A875" s="127"/>
      <c r="B875" s="127"/>
      <c r="C875" s="127"/>
      <c r="D875" s="127"/>
      <c r="E875" s="127"/>
      <c r="F875" s="127"/>
      <c r="G875" s="127"/>
      <c r="H875" s="127"/>
    </row>
    <row r="876" ht="15.75" customHeight="1">
      <c r="A876" s="127"/>
      <c r="B876" s="127"/>
      <c r="C876" s="127"/>
      <c r="D876" s="127"/>
      <c r="E876" s="127"/>
      <c r="F876" s="127"/>
      <c r="G876" s="127"/>
      <c r="H876" s="127"/>
    </row>
    <row r="877" ht="15.75" customHeight="1">
      <c r="A877" s="127"/>
      <c r="B877" s="127"/>
      <c r="C877" s="127"/>
      <c r="D877" s="127"/>
      <c r="E877" s="127"/>
      <c r="F877" s="127"/>
      <c r="G877" s="127"/>
      <c r="H877" s="127"/>
    </row>
    <row r="878" ht="15.75" customHeight="1">
      <c r="A878" s="127"/>
      <c r="B878" s="127"/>
      <c r="C878" s="127"/>
      <c r="D878" s="127"/>
      <c r="E878" s="127"/>
      <c r="F878" s="127"/>
      <c r="G878" s="127"/>
      <c r="H878" s="127"/>
    </row>
    <row r="879" ht="15.75" customHeight="1">
      <c r="A879" s="127"/>
      <c r="B879" s="127"/>
      <c r="C879" s="127"/>
      <c r="D879" s="127"/>
      <c r="E879" s="127"/>
      <c r="F879" s="127"/>
      <c r="G879" s="127"/>
      <c r="H879" s="127"/>
    </row>
    <row r="880" ht="15.75" customHeight="1">
      <c r="A880" s="127"/>
      <c r="B880" s="127"/>
      <c r="C880" s="127"/>
      <c r="D880" s="127"/>
      <c r="E880" s="127"/>
      <c r="F880" s="127"/>
      <c r="G880" s="127"/>
      <c r="H880" s="127"/>
    </row>
    <row r="881" ht="15.75" customHeight="1">
      <c r="A881" s="127"/>
      <c r="B881" s="127"/>
      <c r="C881" s="127"/>
      <c r="D881" s="127"/>
      <c r="E881" s="127"/>
      <c r="F881" s="127"/>
      <c r="G881" s="127"/>
      <c r="H881" s="127"/>
    </row>
    <row r="882" ht="15.75" customHeight="1">
      <c r="A882" s="127"/>
      <c r="B882" s="127"/>
      <c r="C882" s="127"/>
      <c r="D882" s="127"/>
      <c r="E882" s="127"/>
      <c r="F882" s="127"/>
      <c r="G882" s="127"/>
      <c r="H882" s="127"/>
    </row>
    <row r="883" ht="15.75" customHeight="1">
      <c r="A883" s="127"/>
      <c r="B883" s="127"/>
      <c r="C883" s="127"/>
      <c r="D883" s="127"/>
      <c r="E883" s="127"/>
      <c r="F883" s="127"/>
      <c r="G883" s="127"/>
      <c r="H883" s="127"/>
    </row>
    <row r="884" ht="15.75" customHeight="1">
      <c r="A884" s="127"/>
      <c r="B884" s="127"/>
      <c r="C884" s="127"/>
      <c r="D884" s="127"/>
      <c r="E884" s="127"/>
      <c r="F884" s="127"/>
      <c r="G884" s="127"/>
      <c r="H884" s="127"/>
    </row>
    <row r="885" ht="15.75" customHeight="1">
      <c r="A885" s="127"/>
      <c r="B885" s="127"/>
      <c r="C885" s="127"/>
      <c r="D885" s="127"/>
      <c r="E885" s="127"/>
      <c r="F885" s="127"/>
      <c r="G885" s="127"/>
      <c r="H885" s="127"/>
    </row>
    <row r="886" ht="15.75" customHeight="1">
      <c r="A886" s="127"/>
      <c r="B886" s="127"/>
      <c r="C886" s="127"/>
      <c r="D886" s="127"/>
      <c r="E886" s="127"/>
      <c r="F886" s="127"/>
      <c r="G886" s="127"/>
      <c r="H886" s="127"/>
    </row>
    <row r="887" ht="15.75" customHeight="1">
      <c r="A887" s="127"/>
      <c r="B887" s="127"/>
      <c r="C887" s="127"/>
      <c r="D887" s="127"/>
      <c r="E887" s="127"/>
      <c r="F887" s="127"/>
      <c r="G887" s="127"/>
      <c r="H887" s="127"/>
    </row>
    <row r="888" ht="15.75" customHeight="1">
      <c r="A888" s="127"/>
      <c r="B888" s="127"/>
      <c r="C888" s="127"/>
      <c r="D888" s="127"/>
      <c r="E888" s="127"/>
      <c r="F888" s="127"/>
      <c r="G888" s="127"/>
      <c r="H888" s="127"/>
    </row>
    <row r="889" ht="15.75" customHeight="1">
      <c r="A889" s="127"/>
      <c r="B889" s="127"/>
      <c r="C889" s="127"/>
      <c r="D889" s="127"/>
      <c r="E889" s="127"/>
      <c r="F889" s="127"/>
      <c r="G889" s="127"/>
      <c r="H889" s="127"/>
    </row>
    <row r="890" ht="15.75" customHeight="1">
      <c r="A890" s="127"/>
      <c r="B890" s="127"/>
      <c r="C890" s="127"/>
      <c r="D890" s="127"/>
      <c r="E890" s="127"/>
      <c r="F890" s="127"/>
      <c r="G890" s="127"/>
      <c r="H890" s="127"/>
    </row>
    <row r="891" ht="15.75" customHeight="1">
      <c r="A891" s="127"/>
      <c r="B891" s="127"/>
      <c r="C891" s="127"/>
      <c r="D891" s="127"/>
      <c r="E891" s="127"/>
      <c r="F891" s="127"/>
      <c r="G891" s="127"/>
      <c r="H891" s="127"/>
    </row>
    <row r="892" ht="15.75" customHeight="1">
      <c r="A892" s="127"/>
      <c r="B892" s="127"/>
      <c r="C892" s="127"/>
      <c r="D892" s="127"/>
      <c r="E892" s="127"/>
      <c r="F892" s="127"/>
      <c r="G892" s="127"/>
      <c r="H892" s="127"/>
    </row>
    <row r="893" ht="15.75" customHeight="1">
      <c r="A893" s="127"/>
      <c r="B893" s="127"/>
      <c r="C893" s="127"/>
      <c r="D893" s="127"/>
      <c r="E893" s="127"/>
      <c r="F893" s="127"/>
      <c r="G893" s="127"/>
      <c r="H893" s="127"/>
    </row>
    <row r="894" ht="15.75" customHeight="1">
      <c r="A894" s="127"/>
      <c r="B894" s="127"/>
      <c r="C894" s="127"/>
      <c r="D894" s="127"/>
      <c r="E894" s="127"/>
      <c r="F894" s="127"/>
      <c r="G894" s="127"/>
      <c r="H894" s="127"/>
    </row>
    <row r="895" ht="15.75" customHeight="1">
      <c r="A895" s="127"/>
      <c r="B895" s="127"/>
      <c r="C895" s="127"/>
      <c r="D895" s="127"/>
      <c r="E895" s="127"/>
      <c r="F895" s="127"/>
      <c r="G895" s="127"/>
      <c r="H895" s="127"/>
    </row>
    <row r="896" ht="15.75" customHeight="1">
      <c r="A896" s="127"/>
      <c r="B896" s="127"/>
      <c r="C896" s="127"/>
      <c r="D896" s="127"/>
      <c r="E896" s="127"/>
      <c r="F896" s="127"/>
      <c r="G896" s="127"/>
      <c r="H896" s="127"/>
    </row>
    <row r="897" ht="15.75" customHeight="1">
      <c r="A897" s="127"/>
      <c r="B897" s="127"/>
      <c r="C897" s="127"/>
      <c r="D897" s="127"/>
      <c r="E897" s="127"/>
      <c r="F897" s="127"/>
      <c r="G897" s="127"/>
      <c r="H897" s="127"/>
    </row>
    <row r="898" ht="15.75" customHeight="1">
      <c r="A898" s="127"/>
      <c r="B898" s="127"/>
      <c r="C898" s="127"/>
      <c r="D898" s="127"/>
      <c r="E898" s="127"/>
      <c r="F898" s="127"/>
      <c r="G898" s="127"/>
      <c r="H898" s="127"/>
    </row>
    <row r="899" ht="15.75" customHeight="1">
      <c r="A899" s="127"/>
      <c r="B899" s="127"/>
      <c r="C899" s="127"/>
      <c r="D899" s="127"/>
      <c r="E899" s="127"/>
      <c r="F899" s="127"/>
      <c r="G899" s="127"/>
      <c r="H899" s="127"/>
    </row>
    <row r="900" ht="15.75" customHeight="1">
      <c r="A900" s="127"/>
      <c r="B900" s="127"/>
      <c r="C900" s="127"/>
      <c r="D900" s="127"/>
      <c r="E900" s="127"/>
      <c r="F900" s="127"/>
      <c r="G900" s="127"/>
      <c r="H900" s="127"/>
    </row>
    <row r="901" ht="15.75" customHeight="1">
      <c r="A901" s="127"/>
      <c r="B901" s="127"/>
      <c r="C901" s="127"/>
      <c r="D901" s="127"/>
      <c r="E901" s="127"/>
      <c r="F901" s="127"/>
      <c r="G901" s="127"/>
      <c r="H901" s="127"/>
    </row>
    <row r="902" ht="15.75" customHeight="1">
      <c r="A902" s="127"/>
      <c r="B902" s="127"/>
      <c r="C902" s="127"/>
      <c r="D902" s="127"/>
      <c r="E902" s="127"/>
      <c r="F902" s="127"/>
      <c r="G902" s="127"/>
      <c r="H902" s="127"/>
    </row>
    <row r="903" ht="15.75" customHeight="1">
      <c r="A903" s="127"/>
      <c r="B903" s="127"/>
      <c r="C903" s="127"/>
      <c r="D903" s="127"/>
      <c r="E903" s="127"/>
      <c r="F903" s="127"/>
      <c r="G903" s="127"/>
      <c r="H903" s="127"/>
    </row>
    <row r="904" ht="15.75" customHeight="1">
      <c r="A904" s="127"/>
      <c r="B904" s="127"/>
      <c r="C904" s="127"/>
      <c r="D904" s="127"/>
      <c r="E904" s="127"/>
      <c r="F904" s="127"/>
      <c r="G904" s="127"/>
      <c r="H904" s="127"/>
    </row>
    <row r="905" ht="15.75" customHeight="1">
      <c r="A905" s="127"/>
      <c r="B905" s="127"/>
      <c r="C905" s="127"/>
      <c r="D905" s="127"/>
      <c r="E905" s="127"/>
      <c r="F905" s="127"/>
      <c r="G905" s="127"/>
      <c r="H905" s="127"/>
    </row>
    <row r="906" ht="15.75" customHeight="1">
      <c r="A906" s="127"/>
      <c r="B906" s="127"/>
      <c r="C906" s="127"/>
      <c r="D906" s="127"/>
      <c r="E906" s="127"/>
      <c r="F906" s="127"/>
      <c r="G906" s="127"/>
      <c r="H906" s="127"/>
    </row>
    <row r="907" ht="15.75" customHeight="1">
      <c r="A907" s="127"/>
      <c r="B907" s="127"/>
      <c r="C907" s="127"/>
      <c r="D907" s="127"/>
      <c r="E907" s="127"/>
      <c r="F907" s="127"/>
      <c r="G907" s="127"/>
      <c r="H907" s="127"/>
    </row>
    <row r="908" ht="15.75" customHeight="1">
      <c r="A908" s="127"/>
      <c r="B908" s="127"/>
      <c r="C908" s="127"/>
      <c r="D908" s="127"/>
      <c r="E908" s="127"/>
      <c r="F908" s="127"/>
      <c r="G908" s="127"/>
      <c r="H908" s="127"/>
    </row>
    <row r="909" ht="15.75" customHeight="1">
      <c r="A909" s="127"/>
      <c r="B909" s="127"/>
      <c r="C909" s="127"/>
      <c r="D909" s="127"/>
      <c r="E909" s="127"/>
      <c r="F909" s="127"/>
      <c r="G909" s="127"/>
      <c r="H909" s="127"/>
    </row>
    <row r="910" ht="15.75" customHeight="1">
      <c r="A910" s="127"/>
      <c r="B910" s="127"/>
      <c r="C910" s="127"/>
      <c r="D910" s="127"/>
      <c r="E910" s="127"/>
      <c r="F910" s="127"/>
      <c r="G910" s="127"/>
      <c r="H910" s="127"/>
    </row>
    <row r="911" ht="15.75" customHeight="1">
      <c r="A911" s="127"/>
      <c r="B911" s="127"/>
      <c r="C911" s="127"/>
      <c r="D911" s="127"/>
      <c r="E911" s="127"/>
      <c r="F911" s="127"/>
      <c r="G911" s="127"/>
      <c r="H911" s="127"/>
    </row>
    <row r="912" ht="15.75" customHeight="1">
      <c r="A912" s="127"/>
      <c r="B912" s="127"/>
      <c r="C912" s="127"/>
      <c r="D912" s="127"/>
      <c r="E912" s="127"/>
      <c r="F912" s="127"/>
      <c r="G912" s="127"/>
      <c r="H912" s="127"/>
    </row>
    <row r="913" ht="15.75" customHeight="1">
      <c r="A913" s="127"/>
      <c r="B913" s="127"/>
      <c r="C913" s="127"/>
      <c r="D913" s="127"/>
      <c r="E913" s="127"/>
      <c r="F913" s="127"/>
      <c r="G913" s="127"/>
      <c r="H913" s="127"/>
    </row>
    <row r="914" ht="15.75" customHeight="1">
      <c r="A914" s="127"/>
      <c r="B914" s="127"/>
      <c r="C914" s="127"/>
      <c r="D914" s="127"/>
      <c r="E914" s="127"/>
      <c r="F914" s="127"/>
      <c r="G914" s="127"/>
      <c r="H914" s="127"/>
    </row>
    <row r="915" ht="15.75" customHeight="1">
      <c r="A915" s="127"/>
      <c r="B915" s="127"/>
      <c r="C915" s="127"/>
      <c r="D915" s="127"/>
      <c r="E915" s="127"/>
      <c r="F915" s="127"/>
      <c r="G915" s="127"/>
      <c r="H915" s="127"/>
    </row>
    <row r="916" ht="15.75" customHeight="1">
      <c r="A916" s="127"/>
      <c r="B916" s="127"/>
      <c r="C916" s="127"/>
      <c r="D916" s="127"/>
      <c r="E916" s="127"/>
      <c r="F916" s="127"/>
      <c r="G916" s="127"/>
      <c r="H916" s="127"/>
    </row>
    <row r="917" ht="15.75" customHeight="1">
      <c r="A917" s="127"/>
      <c r="B917" s="127"/>
      <c r="C917" s="127"/>
      <c r="D917" s="127"/>
      <c r="E917" s="127"/>
      <c r="F917" s="127"/>
      <c r="G917" s="127"/>
      <c r="H917" s="127"/>
    </row>
    <row r="918" ht="15.75" customHeight="1">
      <c r="A918" s="127"/>
      <c r="B918" s="127"/>
      <c r="C918" s="127"/>
      <c r="D918" s="127"/>
      <c r="E918" s="127"/>
      <c r="F918" s="127"/>
      <c r="G918" s="127"/>
      <c r="H918" s="127"/>
    </row>
    <row r="919" ht="15.75" customHeight="1">
      <c r="A919" s="127"/>
      <c r="B919" s="127"/>
      <c r="C919" s="127"/>
      <c r="D919" s="127"/>
      <c r="E919" s="127"/>
      <c r="F919" s="127"/>
      <c r="G919" s="127"/>
      <c r="H919" s="127"/>
    </row>
    <row r="920" ht="15.75" customHeight="1">
      <c r="A920" s="127"/>
      <c r="B920" s="127"/>
      <c r="C920" s="127"/>
      <c r="D920" s="127"/>
      <c r="E920" s="127"/>
      <c r="F920" s="127"/>
      <c r="G920" s="127"/>
      <c r="H920" s="127"/>
    </row>
    <row r="921" ht="15.75" customHeight="1">
      <c r="A921" s="127"/>
      <c r="B921" s="127"/>
      <c r="C921" s="127"/>
      <c r="D921" s="127"/>
      <c r="E921" s="127"/>
      <c r="F921" s="127"/>
      <c r="G921" s="127"/>
      <c r="H921" s="127"/>
    </row>
    <row r="922" ht="15.75" customHeight="1">
      <c r="A922" s="127"/>
      <c r="B922" s="127"/>
      <c r="C922" s="127"/>
      <c r="D922" s="127"/>
      <c r="E922" s="127"/>
      <c r="F922" s="127"/>
      <c r="G922" s="127"/>
      <c r="H922" s="127"/>
    </row>
    <row r="923" ht="15.75" customHeight="1">
      <c r="A923" s="127"/>
      <c r="B923" s="127"/>
      <c r="C923" s="127"/>
      <c r="D923" s="127"/>
      <c r="E923" s="127"/>
      <c r="F923" s="127"/>
      <c r="G923" s="127"/>
      <c r="H923" s="127"/>
    </row>
    <row r="924" ht="15.75" customHeight="1">
      <c r="A924" s="127"/>
      <c r="B924" s="127"/>
      <c r="C924" s="127"/>
      <c r="D924" s="127"/>
      <c r="E924" s="127"/>
      <c r="F924" s="127"/>
      <c r="G924" s="127"/>
      <c r="H924" s="127"/>
    </row>
    <row r="925" ht="15.75" customHeight="1">
      <c r="A925" s="127"/>
      <c r="B925" s="127"/>
      <c r="C925" s="127"/>
      <c r="D925" s="127"/>
      <c r="E925" s="127"/>
      <c r="F925" s="127"/>
      <c r="G925" s="127"/>
      <c r="H925" s="127"/>
    </row>
    <row r="926" ht="15.75" customHeight="1">
      <c r="A926" s="127"/>
      <c r="B926" s="127"/>
      <c r="C926" s="127"/>
      <c r="D926" s="127"/>
      <c r="E926" s="127"/>
      <c r="F926" s="127"/>
      <c r="G926" s="127"/>
      <c r="H926" s="127"/>
    </row>
    <row r="927" ht="15.75" customHeight="1">
      <c r="A927" s="127"/>
      <c r="B927" s="127"/>
      <c r="C927" s="127"/>
      <c r="D927" s="127"/>
      <c r="E927" s="127"/>
      <c r="F927" s="127"/>
      <c r="G927" s="127"/>
      <c r="H927" s="127"/>
    </row>
    <row r="928" ht="15.75" customHeight="1">
      <c r="A928" s="127"/>
      <c r="B928" s="127"/>
      <c r="C928" s="127"/>
      <c r="D928" s="127"/>
      <c r="E928" s="127"/>
      <c r="F928" s="127"/>
      <c r="G928" s="127"/>
      <c r="H928" s="127"/>
    </row>
    <row r="929" ht="15.75" customHeight="1">
      <c r="A929" s="127"/>
      <c r="B929" s="127"/>
      <c r="C929" s="127"/>
      <c r="D929" s="127"/>
      <c r="E929" s="127"/>
      <c r="F929" s="127"/>
      <c r="G929" s="127"/>
      <c r="H929" s="127"/>
    </row>
    <row r="930" ht="15.75" customHeight="1">
      <c r="A930" s="127"/>
      <c r="B930" s="127"/>
      <c r="C930" s="127"/>
      <c r="D930" s="127"/>
      <c r="E930" s="127"/>
      <c r="F930" s="127"/>
      <c r="G930" s="127"/>
      <c r="H930" s="127"/>
    </row>
    <row r="931" ht="15.75" customHeight="1">
      <c r="A931" s="127"/>
      <c r="B931" s="127"/>
      <c r="C931" s="127"/>
      <c r="D931" s="127"/>
      <c r="E931" s="127"/>
      <c r="F931" s="127"/>
      <c r="G931" s="127"/>
      <c r="H931" s="127"/>
    </row>
    <row r="932" ht="15.75" customHeight="1">
      <c r="A932" s="127"/>
      <c r="B932" s="127"/>
      <c r="C932" s="127"/>
      <c r="D932" s="127"/>
      <c r="E932" s="127"/>
      <c r="F932" s="127"/>
      <c r="G932" s="127"/>
      <c r="H932" s="127"/>
    </row>
    <row r="933" ht="15.75" customHeight="1">
      <c r="A933" s="127"/>
      <c r="B933" s="127"/>
      <c r="C933" s="127"/>
      <c r="D933" s="127"/>
      <c r="E933" s="127"/>
      <c r="F933" s="127"/>
      <c r="G933" s="127"/>
      <c r="H933" s="127"/>
    </row>
    <row r="934" ht="15.75" customHeight="1">
      <c r="A934" s="127"/>
      <c r="B934" s="127"/>
      <c r="C934" s="127"/>
      <c r="D934" s="127"/>
      <c r="E934" s="127"/>
      <c r="F934" s="127"/>
      <c r="G934" s="127"/>
      <c r="H934" s="127"/>
    </row>
    <row r="935" ht="15.75" customHeight="1">
      <c r="A935" s="127"/>
      <c r="B935" s="127"/>
      <c r="C935" s="127"/>
      <c r="D935" s="127"/>
      <c r="E935" s="127"/>
      <c r="F935" s="127"/>
      <c r="G935" s="127"/>
      <c r="H935" s="127"/>
    </row>
    <row r="936" ht="15.75" customHeight="1">
      <c r="A936" s="127"/>
      <c r="B936" s="127"/>
      <c r="C936" s="127"/>
      <c r="D936" s="127"/>
      <c r="E936" s="127"/>
      <c r="F936" s="127"/>
      <c r="G936" s="127"/>
      <c r="H936" s="127"/>
    </row>
    <row r="937" ht="15.75" customHeight="1">
      <c r="A937" s="127"/>
      <c r="B937" s="127"/>
      <c r="C937" s="127"/>
      <c r="D937" s="127"/>
      <c r="E937" s="127"/>
      <c r="F937" s="127"/>
      <c r="G937" s="127"/>
      <c r="H937" s="127"/>
    </row>
    <row r="938" ht="15.75" customHeight="1">
      <c r="A938" s="127"/>
      <c r="B938" s="127"/>
      <c r="C938" s="127"/>
      <c r="D938" s="127"/>
      <c r="E938" s="127"/>
      <c r="F938" s="127"/>
      <c r="G938" s="127"/>
      <c r="H938" s="127"/>
    </row>
    <row r="939" ht="15.75" customHeight="1">
      <c r="A939" s="127"/>
      <c r="B939" s="127"/>
      <c r="C939" s="127"/>
      <c r="D939" s="127"/>
      <c r="E939" s="127"/>
      <c r="F939" s="127"/>
      <c r="G939" s="127"/>
      <c r="H939" s="127"/>
    </row>
    <row r="940" ht="15.75" customHeight="1">
      <c r="A940" s="127"/>
      <c r="B940" s="127"/>
      <c r="C940" s="127"/>
      <c r="D940" s="127"/>
      <c r="E940" s="127"/>
      <c r="F940" s="127"/>
      <c r="G940" s="127"/>
      <c r="H940" s="127"/>
    </row>
    <row r="941" ht="15.75" customHeight="1">
      <c r="A941" s="127"/>
      <c r="B941" s="127"/>
      <c r="C941" s="127"/>
      <c r="D941" s="127"/>
      <c r="E941" s="127"/>
      <c r="F941" s="127"/>
      <c r="G941" s="127"/>
      <c r="H941" s="127"/>
    </row>
    <row r="942" ht="15.75" customHeight="1">
      <c r="A942" s="127"/>
      <c r="B942" s="127"/>
      <c r="C942" s="127"/>
      <c r="D942" s="127"/>
      <c r="E942" s="127"/>
      <c r="F942" s="127"/>
      <c r="G942" s="127"/>
      <c r="H942" s="127"/>
    </row>
    <row r="943" ht="15.75" customHeight="1">
      <c r="A943" s="127"/>
      <c r="B943" s="127"/>
      <c r="C943" s="127"/>
      <c r="D943" s="127"/>
      <c r="E943" s="127"/>
      <c r="F943" s="127"/>
      <c r="G943" s="127"/>
      <c r="H943" s="127"/>
    </row>
    <row r="944" ht="15.75" customHeight="1">
      <c r="A944" s="127"/>
      <c r="B944" s="127"/>
      <c r="C944" s="127"/>
      <c r="D944" s="127"/>
      <c r="E944" s="127"/>
      <c r="F944" s="127"/>
      <c r="G944" s="127"/>
      <c r="H944" s="127"/>
    </row>
    <row r="945" ht="15.75" customHeight="1">
      <c r="A945" s="127"/>
      <c r="B945" s="127"/>
      <c r="C945" s="127"/>
      <c r="D945" s="127"/>
      <c r="E945" s="127"/>
      <c r="F945" s="127"/>
      <c r="G945" s="127"/>
      <c r="H945" s="127"/>
    </row>
    <row r="946" ht="15.75" customHeight="1">
      <c r="A946" s="127"/>
      <c r="B946" s="127"/>
      <c r="C946" s="127"/>
      <c r="D946" s="127"/>
      <c r="E946" s="127"/>
      <c r="F946" s="127"/>
      <c r="G946" s="127"/>
      <c r="H946" s="127"/>
    </row>
    <row r="947" ht="15.75" customHeight="1">
      <c r="A947" s="127"/>
      <c r="B947" s="127"/>
      <c r="C947" s="127"/>
      <c r="D947" s="127"/>
      <c r="E947" s="127"/>
      <c r="F947" s="127"/>
      <c r="G947" s="127"/>
      <c r="H947" s="127"/>
    </row>
    <row r="948" ht="15.75" customHeight="1">
      <c r="A948" s="127"/>
      <c r="B948" s="127"/>
      <c r="C948" s="127"/>
      <c r="D948" s="127"/>
      <c r="E948" s="127"/>
      <c r="F948" s="127"/>
      <c r="G948" s="127"/>
      <c r="H948" s="127"/>
    </row>
    <row r="949" ht="15.75" customHeight="1">
      <c r="A949" s="127"/>
      <c r="B949" s="127"/>
      <c r="C949" s="127"/>
      <c r="D949" s="127"/>
      <c r="E949" s="127"/>
      <c r="F949" s="127"/>
      <c r="G949" s="127"/>
      <c r="H949" s="127"/>
    </row>
    <row r="950" ht="15.75" customHeight="1">
      <c r="A950" s="127"/>
      <c r="B950" s="127"/>
      <c r="C950" s="127"/>
      <c r="D950" s="127"/>
      <c r="E950" s="127"/>
      <c r="F950" s="127"/>
      <c r="G950" s="127"/>
      <c r="H950" s="127"/>
    </row>
    <row r="951" ht="15.75" customHeight="1">
      <c r="A951" s="127"/>
      <c r="B951" s="127"/>
      <c r="C951" s="127"/>
      <c r="D951" s="127"/>
      <c r="E951" s="127"/>
      <c r="F951" s="127"/>
      <c r="G951" s="127"/>
      <c r="H951" s="127"/>
    </row>
    <row r="952" ht="15.75" customHeight="1">
      <c r="A952" s="127"/>
      <c r="B952" s="127"/>
      <c r="C952" s="127"/>
      <c r="D952" s="127"/>
      <c r="E952" s="127"/>
      <c r="F952" s="127"/>
      <c r="G952" s="127"/>
      <c r="H952" s="127"/>
    </row>
    <row r="953" ht="15.75" customHeight="1">
      <c r="A953" s="127"/>
      <c r="B953" s="127"/>
      <c r="C953" s="127"/>
      <c r="D953" s="127"/>
      <c r="E953" s="127"/>
      <c r="F953" s="127"/>
      <c r="G953" s="127"/>
      <c r="H953" s="127"/>
    </row>
    <row r="954" ht="15.75" customHeight="1">
      <c r="A954" s="127"/>
      <c r="B954" s="127"/>
      <c r="C954" s="127"/>
      <c r="D954" s="127"/>
      <c r="E954" s="127"/>
      <c r="F954" s="127"/>
      <c r="G954" s="127"/>
      <c r="H954" s="127"/>
    </row>
    <row r="955" ht="15.75" customHeight="1">
      <c r="A955" s="127"/>
      <c r="B955" s="127"/>
      <c r="C955" s="127"/>
      <c r="D955" s="127"/>
      <c r="E955" s="127"/>
      <c r="F955" s="127"/>
      <c r="G955" s="127"/>
      <c r="H955" s="127"/>
    </row>
    <row r="956" ht="15.75" customHeight="1">
      <c r="A956" s="127"/>
      <c r="B956" s="127"/>
      <c r="C956" s="127"/>
      <c r="D956" s="127"/>
      <c r="E956" s="127"/>
      <c r="F956" s="127"/>
      <c r="G956" s="127"/>
      <c r="H956" s="127"/>
    </row>
    <row r="957" ht="15.75" customHeight="1">
      <c r="A957" s="127"/>
      <c r="B957" s="127"/>
      <c r="C957" s="127"/>
      <c r="D957" s="127"/>
      <c r="E957" s="127"/>
      <c r="F957" s="127"/>
      <c r="G957" s="127"/>
      <c r="H957" s="127"/>
    </row>
    <row r="958" ht="15.75" customHeight="1">
      <c r="A958" s="127"/>
      <c r="B958" s="127"/>
      <c r="C958" s="127"/>
      <c r="D958" s="127"/>
      <c r="E958" s="127"/>
      <c r="F958" s="127"/>
      <c r="G958" s="127"/>
      <c r="H958" s="127"/>
    </row>
    <row r="959" ht="15.75" customHeight="1">
      <c r="A959" s="127"/>
      <c r="B959" s="127"/>
      <c r="C959" s="127"/>
      <c r="D959" s="127"/>
      <c r="E959" s="127"/>
      <c r="F959" s="127"/>
      <c r="G959" s="127"/>
      <c r="H959" s="127"/>
    </row>
    <row r="960" ht="15.75" customHeight="1">
      <c r="A960" s="127"/>
      <c r="B960" s="127"/>
      <c r="C960" s="127"/>
      <c r="D960" s="127"/>
      <c r="E960" s="127"/>
      <c r="F960" s="127"/>
      <c r="G960" s="127"/>
      <c r="H960" s="127"/>
    </row>
    <row r="961" ht="15.75" customHeight="1">
      <c r="A961" s="127"/>
      <c r="B961" s="127"/>
      <c r="C961" s="127"/>
      <c r="D961" s="127"/>
      <c r="E961" s="127"/>
      <c r="F961" s="127"/>
      <c r="G961" s="127"/>
      <c r="H961" s="127"/>
    </row>
    <row r="962" ht="15.75" customHeight="1">
      <c r="A962" s="127"/>
      <c r="B962" s="127"/>
      <c r="C962" s="127"/>
      <c r="D962" s="127"/>
      <c r="E962" s="127"/>
      <c r="F962" s="127"/>
      <c r="G962" s="127"/>
      <c r="H962" s="127"/>
    </row>
    <row r="963" ht="15.75" customHeight="1">
      <c r="A963" s="127"/>
      <c r="B963" s="127"/>
      <c r="C963" s="127"/>
      <c r="D963" s="127"/>
      <c r="E963" s="127"/>
      <c r="F963" s="127"/>
      <c r="G963" s="127"/>
      <c r="H963" s="127"/>
    </row>
    <row r="964" ht="15.75" customHeight="1">
      <c r="A964" s="127"/>
      <c r="B964" s="127"/>
      <c r="C964" s="127"/>
      <c r="D964" s="127"/>
      <c r="E964" s="127"/>
      <c r="F964" s="127"/>
      <c r="G964" s="127"/>
      <c r="H964" s="127"/>
    </row>
    <row r="965" ht="15.75" customHeight="1">
      <c r="A965" s="127"/>
      <c r="B965" s="127"/>
      <c r="C965" s="127"/>
      <c r="D965" s="127"/>
      <c r="E965" s="127"/>
      <c r="F965" s="127"/>
      <c r="G965" s="127"/>
      <c r="H965" s="127"/>
    </row>
    <row r="966" ht="15.75" customHeight="1">
      <c r="A966" s="127"/>
      <c r="B966" s="127"/>
      <c r="C966" s="127"/>
      <c r="D966" s="127"/>
      <c r="E966" s="127"/>
      <c r="F966" s="127"/>
      <c r="G966" s="127"/>
      <c r="H966" s="127"/>
    </row>
    <row r="967" ht="15.75" customHeight="1">
      <c r="A967" s="127"/>
      <c r="B967" s="127"/>
      <c r="C967" s="127"/>
      <c r="D967" s="127"/>
      <c r="E967" s="127"/>
      <c r="F967" s="127"/>
      <c r="G967" s="127"/>
      <c r="H967" s="127"/>
    </row>
    <row r="968" ht="15.75" customHeight="1">
      <c r="A968" s="127"/>
      <c r="B968" s="127"/>
      <c r="C968" s="127"/>
      <c r="D968" s="127"/>
      <c r="E968" s="127"/>
      <c r="F968" s="127"/>
      <c r="G968" s="127"/>
      <c r="H968" s="127"/>
    </row>
    <row r="969" ht="15.75" customHeight="1">
      <c r="A969" s="127"/>
      <c r="B969" s="127"/>
      <c r="C969" s="127"/>
      <c r="D969" s="127"/>
      <c r="E969" s="127"/>
      <c r="F969" s="127"/>
      <c r="G969" s="127"/>
      <c r="H969" s="127"/>
    </row>
    <row r="970" ht="15.75" customHeight="1">
      <c r="A970" s="127"/>
      <c r="B970" s="127"/>
      <c r="C970" s="127"/>
      <c r="D970" s="127"/>
      <c r="E970" s="127"/>
      <c r="F970" s="127"/>
      <c r="G970" s="127"/>
      <c r="H970" s="127"/>
    </row>
    <row r="971" ht="15.75" customHeight="1">
      <c r="A971" s="127"/>
      <c r="B971" s="127"/>
      <c r="C971" s="127"/>
      <c r="D971" s="127"/>
      <c r="E971" s="127"/>
      <c r="F971" s="127"/>
      <c r="G971" s="127"/>
      <c r="H971" s="127"/>
    </row>
    <row r="972" ht="15.75" customHeight="1">
      <c r="A972" s="127"/>
      <c r="B972" s="127"/>
      <c r="C972" s="127"/>
      <c r="D972" s="127"/>
      <c r="E972" s="127"/>
      <c r="F972" s="127"/>
      <c r="G972" s="127"/>
      <c r="H972" s="127"/>
    </row>
    <row r="973" ht="15.75" customHeight="1">
      <c r="A973" s="127"/>
      <c r="B973" s="127"/>
      <c r="C973" s="127"/>
      <c r="D973" s="127"/>
      <c r="E973" s="127"/>
      <c r="F973" s="127"/>
      <c r="G973" s="127"/>
      <c r="H973" s="127"/>
    </row>
    <row r="974" ht="15.75" customHeight="1">
      <c r="A974" s="127"/>
      <c r="B974" s="127"/>
      <c r="C974" s="127"/>
      <c r="D974" s="127"/>
      <c r="E974" s="127"/>
      <c r="F974" s="127"/>
      <c r="G974" s="127"/>
      <c r="H974" s="127"/>
    </row>
    <row r="975" ht="15.75" customHeight="1">
      <c r="A975" s="127"/>
      <c r="B975" s="127"/>
      <c r="C975" s="127"/>
      <c r="D975" s="127"/>
      <c r="E975" s="127"/>
      <c r="F975" s="127"/>
      <c r="G975" s="127"/>
      <c r="H975" s="127"/>
    </row>
    <row r="976" ht="15.75" customHeight="1">
      <c r="A976" s="127"/>
      <c r="B976" s="127"/>
      <c r="C976" s="127"/>
      <c r="D976" s="127"/>
      <c r="E976" s="127"/>
      <c r="F976" s="127"/>
      <c r="G976" s="127"/>
      <c r="H976" s="127"/>
    </row>
    <row r="977" ht="15.75" customHeight="1">
      <c r="A977" s="127"/>
      <c r="B977" s="127"/>
      <c r="C977" s="127"/>
      <c r="D977" s="127"/>
      <c r="E977" s="127"/>
      <c r="F977" s="127"/>
      <c r="G977" s="127"/>
      <c r="H977" s="127"/>
    </row>
    <row r="978" ht="15.75" customHeight="1">
      <c r="A978" s="127"/>
      <c r="B978" s="127"/>
      <c r="C978" s="127"/>
      <c r="D978" s="127"/>
      <c r="E978" s="127"/>
      <c r="F978" s="127"/>
      <c r="G978" s="127"/>
      <c r="H978" s="127"/>
    </row>
    <row r="979" ht="15.75" customHeight="1">
      <c r="A979" s="127"/>
      <c r="B979" s="127"/>
      <c r="C979" s="127"/>
      <c r="D979" s="127"/>
      <c r="E979" s="127"/>
      <c r="F979" s="127"/>
      <c r="G979" s="127"/>
      <c r="H979" s="127"/>
    </row>
    <row r="980" ht="15.75" customHeight="1">
      <c r="A980" s="127"/>
      <c r="B980" s="127"/>
      <c r="C980" s="127"/>
      <c r="D980" s="127"/>
      <c r="E980" s="127"/>
      <c r="F980" s="127"/>
      <c r="G980" s="127"/>
      <c r="H980" s="127"/>
    </row>
    <row r="981" ht="15.75" customHeight="1">
      <c r="A981" s="127"/>
      <c r="B981" s="127"/>
      <c r="C981" s="127"/>
      <c r="D981" s="127"/>
      <c r="E981" s="127"/>
      <c r="F981" s="127"/>
      <c r="G981" s="127"/>
      <c r="H981" s="127"/>
    </row>
    <row r="982" ht="15.75" customHeight="1">
      <c r="A982" s="127"/>
      <c r="B982" s="127"/>
      <c r="C982" s="127"/>
      <c r="D982" s="127"/>
      <c r="E982" s="127"/>
      <c r="F982" s="127"/>
      <c r="G982" s="127"/>
      <c r="H982" s="127"/>
    </row>
    <row r="983" ht="15.75" customHeight="1">
      <c r="A983" s="127"/>
      <c r="B983" s="127"/>
      <c r="C983" s="127"/>
      <c r="D983" s="127"/>
      <c r="E983" s="127"/>
      <c r="F983" s="127"/>
      <c r="G983" s="127"/>
      <c r="H983" s="127"/>
    </row>
    <row r="984" ht="15.75" customHeight="1">
      <c r="A984" s="127"/>
      <c r="B984" s="127"/>
      <c r="C984" s="127"/>
      <c r="D984" s="127"/>
      <c r="E984" s="127"/>
      <c r="F984" s="127"/>
      <c r="G984" s="127"/>
      <c r="H984" s="127"/>
    </row>
    <row r="985" ht="15.75" customHeight="1">
      <c r="A985" s="127"/>
      <c r="B985" s="127"/>
      <c r="C985" s="127"/>
      <c r="D985" s="127"/>
      <c r="E985" s="127"/>
      <c r="F985" s="127"/>
      <c r="G985" s="127"/>
      <c r="H985" s="127"/>
    </row>
    <row r="986" ht="15.75" customHeight="1">
      <c r="A986" s="127"/>
      <c r="B986" s="127"/>
      <c r="C986" s="127"/>
      <c r="D986" s="127"/>
      <c r="E986" s="127"/>
      <c r="F986" s="127"/>
      <c r="G986" s="127"/>
      <c r="H986" s="127"/>
    </row>
    <row r="987" ht="15.75" customHeight="1">
      <c r="A987" s="127"/>
      <c r="B987" s="127"/>
      <c r="C987" s="127"/>
      <c r="D987" s="127"/>
      <c r="E987" s="127"/>
      <c r="F987" s="127"/>
      <c r="G987" s="127"/>
      <c r="H987" s="127"/>
    </row>
    <row r="988" ht="15.75" customHeight="1">
      <c r="A988" s="127"/>
      <c r="B988" s="127"/>
      <c r="C988" s="127"/>
      <c r="D988" s="127"/>
      <c r="E988" s="127"/>
      <c r="F988" s="127"/>
      <c r="G988" s="127"/>
      <c r="H988" s="127"/>
    </row>
    <row r="989" ht="15.75" customHeight="1">
      <c r="A989" s="127"/>
      <c r="B989" s="127"/>
      <c r="C989" s="127"/>
      <c r="D989" s="127"/>
      <c r="E989" s="127"/>
      <c r="F989" s="127"/>
      <c r="G989" s="127"/>
      <c r="H989" s="127"/>
    </row>
    <row r="990" ht="15.75" customHeight="1">
      <c r="A990" s="127"/>
      <c r="B990" s="127"/>
      <c r="C990" s="127"/>
      <c r="D990" s="127"/>
      <c r="E990" s="127"/>
      <c r="F990" s="127"/>
      <c r="G990" s="127"/>
      <c r="H990" s="127"/>
    </row>
    <row r="991" ht="15.75" customHeight="1">
      <c r="A991" s="127"/>
      <c r="B991" s="127"/>
      <c r="C991" s="127"/>
      <c r="D991" s="127"/>
      <c r="E991" s="127"/>
      <c r="F991" s="127"/>
      <c r="G991" s="127"/>
      <c r="H991" s="127"/>
    </row>
    <row r="992" ht="15.75" customHeight="1">
      <c r="A992" s="127"/>
      <c r="B992" s="127"/>
      <c r="C992" s="127"/>
      <c r="D992" s="127"/>
      <c r="E992" s="127"/>
      <c r="F992" s="127"/>
      <c r="G992" s="127"/>
      <c r="H992" s="127"/>
    </row>
    <row r="993" ht="15.75" customHeight="1">
      <c r="A993" s="127"/>
      <c r="B993" s="127"/>
      <c r="C993" s="127"/>
      <c r="D993" s="127"/>
      <c r="E993" s="127"/>
      <c r="F993" s="127"/>
      <c r="G993" s="127"/>
      <c r="H993" s="127"/>
    </row>
    <row r="994" ht="15.75" customHeight="1">
      <c r="A994" s="127"/>
      <c r="B994" s="127"/>
      <c r="C994" s="127"/>
      <c r="D994" s="127"/>
      <c r="E994" s="127"/>
      <c r="F994" s="127"/>
      <c r="G994" s="127"/>
      <c r="H994" s="127"/>
    </row>
    <row r="995" ht="15.75" customHeight="1">
      <c r="A995" s="127"/>
      <c r="B995" s="127"/>
      <c r="C995" s="127"/>
      <c r="D995" s="127"/>
      <c r="E995" s="127"/>
      <c r="F995" s="127"/>
      <c r="G995" s="127"/>
      <c r="H995" s="127"/>
    </row>
    <row r="996" ht="15.75" customHeight="1">
      <c r="A996" s="127"/>
      <c r="B996" s="127"/>
      <c r="C996" s="127"/>
      <c r="D996" s="127"/>
      <c r="E996" s="127"/>
      <c r="F996" s="127"/>
      <c r="G996" s="127"/>
      <c r="H996" s="127"/>
    </row>
    <row r="997" ht="15.75" customHeight="1">
      <c r="A997" s="127"/>
      <c r="B997" s="127"/>
      <c r="C997" s="127"/>
      <c r="D997" s="127"/>
      <c r="E997" s="127"/>
      <c r="F997" s="127"/>
      <c r="G997" s="127"/>
      <c r="H997" s="127"/>
    </row>
    <row r="998" ht="15.75" customHeight="1">
      <c r="A998" s="127"/>
      <c r="B998" s="127"/>
      <c r="C998" s="127"/>
      <c r="D998" s="127"/>
      <c r="E998" s="127"/>
      <c r="F998" s="127"/>
      <c r="G998" s="127"/>
      <c r="H998" s="127"/>
    </row>
    <row r="999" ht="15.75" customHeight="1">
      <c r="A999" s="127"/>
      <c r="B999" s="127"/>
      <c r="C999" s="127"/>
      <c r="D999" s="127"/>
      <c r="E999" s="127"/>
      <c r="F999" s="127"/>
      <c r="G999" s="127"/>
      <c r="H999" s="127"/>
    </row>
    <row r="1000" ht="15.75" customHeight="1">
      <c r="A1000" s="127"/>
      <c r="B1000" s="127"/>
      <c r="C1000" s="127"/>
      <c r="D1000" s="127"/>
      <c r="E1000" s="127"/>
      <c r="F1000" s="127"/>
      <c r="G1000" s="127"/>
      <c r="H1000" s="127"/>
    </row>
    <row r="1001" ht="15.75" customHeight="1">
      <c r="A1001" s="127"/>
      <c r="B1001" s="127"/>
      <c r="C1001" s="127"/>
      <c r="D1001" s="127"/>
      <c r="E1001" s="127"/>
      <c r="F1001" s="127"/>
      <c r="G1001" s="127"/>
      <c r="H1001" s="127"/>
    </row>
    <row r="1002" ht="15.75" customHeight="1">
      <c r="A1002" s="127"/>
      <c r="B1002" s="127"/>
      <c r="C1002" s="127"/>
      <c r="D1002" s="127"/>
      <c r="E1002" s="127"/>
      <c r="F1002" s="127"/>
      <c r="G1002" s="127"/>
      <c r="H1002" s="127"/>
    </row>
    <row r="1003" ht="15.75" customHeight="1">
      <c r="A1003" s="127"/>
      <c r="B1003" s="127"/>
      <c r="C1003" s="127"/>
      <c r="D1003" s="127"/>
      <c r="E1003" s="127"/>
      <c r="F1003" s="127"/>
      <c r="G1003" s="127"/>
      <c r="H1003" s="127"/>
    </row>
    <row r="1004" ht="15.75" customHeight="1">
      <c r="A1004" s="127"/>
      <c r="B1004" s="127"/>
      <c r="C1004" s="127"/>
      <c r="D1004" s="127"/>
      <c r="E1004" s="127"/>
      <c r="F1004" s="127"/>
      <c r="G1004" s="127"/>
      <c r="H1004" s="127"/>
    </row>
    <row r="1005" ht="15.75" customHeight="1">
      <c r="A1005" s="127"/>
      <c r="B1005" s="127"/>
      <c r="C1005" s="127"/>
      <c r="D1005" s="127"/>
      <c r="E1005" s="127"/>
      <c r="F1005" s="127"/>
      <c r="G1005" s="127"/>
      <c r="H1005" s="127"/>
    </row>
    <row r="1006" ht="15.75" customHeight="1">
      <c r="A1006" s="127"/>
      <c r="B1006" s="127"/>
      <c r="C1006" s="127"/>
      <c r="D1006" s="127"/>
      <c r="E1006" s="127"/>
      <c r="F1006" s="127"/>
      <c r="G1006" s="127"/>
      <c r="H1006" s="127"/>
    </row>
  </sheetData>
  <mergeCells count="1">
    <mergeCell ref="B3:E3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9.29"/>
    <col customWidth="1" min="3" max="3" width="12.0"/>
    <col customWidth="1" min="4" max="4" width="11.0"/>
    <col customWidth="1" min="5" max="5" width="12.0"/>
    <col customWidth="1" min="6" max="6" width="14.29"/>
    <col customWidth="1" min="7" max="7" width="16.71"/>
    <col customWidth="1" min="8" max="8" width="14.57"/>
    <col customWidth="1" min="9" max="26" width="10.71"/>
  </cols>
  <sheetData>
    <row r="1" ht="13.5" customHeight="1">
      <c r="A1" s="186" t="s">
        <v>5</v>
      </c>
      <c r="B1" s="187"/>
      <c r="C1" s="188"/>
      <c r="D1" s="188"/>
      <c r="E1" s="188"/>
      <c r="F1" s="188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3.5" customHeight="1">
      <c r="A2" s="186" t="s">
        <v>155</v>
      </c>
      <c r="B2" s="187"/>
      <c r="C2" s="188"/>
      <c r="D2" s="188"/>
      <c r="E2" s="188"/>
      <c r="F2" s="188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3.5" customHeight="1">
      <c r="A3" s="186" t="s">
        <v>156</v>
      </c>
      <c r="B3" s="189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3.5" customHeight="1">
      <c r="A4" s="186" t="s">
        <v>158</v>
      </c>
      <c r="B4" s="187"/>
      <c r="C4" s="189" t="s">
        <v>159</v>
      </c>
      <c r="D4" s="188"/>
      <c r="E4" s="188"/>
      <c r="F4" s="18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3.5" customHeight="1">
      <c r="A5" s="186" t="s">
        <v>160</v>
      </c>
      <c r="B5" s="187"/>
      <c r="C5" s="189" t="s">
        <v>159</v>
      </c>
      <c r="D5" s="188"/>
      <c r="E5" s="188"/>
      <c r="F5" s="18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3.5" customHeight="1">
      <c r="A6" s="190" t="s">
        <v>161</v>
      </c>
      <c r="B6" s="191" t="s">
        <v>281</v>
      </c>
      <c r="C6" s="192"/>
      <c r="D6" s="192"/>
      <c r="E6" s="192"/>
      <c r="F6" s="192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3.5" customHeight="1">
      <c r="A7" s="65"/>
      <c r="B7" s="193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3.5" customHeight="1">
      <c r="A8" s="194" t="s">
        <v>282</v>
      </c>
      <c r="B8" s="195" t="s">
        <v>283</v>
      </c>
      <c r="C8" s="194" t="s">
        <v>166</v>
      </c>
      <c r="D8" s="194" t="s">
        <v>167</v>
      </c>
      <c r="E8" s="196" t="s">
        <v>284</v>
      </c>
      <c r="F8" s="197" t="s">
        <v>169</v>
      </c>
      <c r="G8" s="197" t="s">
        <v>170</v>
      </c>
      <c r="H8" s="198" t="s">
        <v>171</v>
      </c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3.5" customHeight="1">
      <c r="A9" s="76">
        <v>6.75005219E9</v>
      </c>
      <c r="B9" s="199" t="s">
        <v>285</v>
      </c>
      <c r="C9" s="200">
        <v>200.0</v>
      </c>
      <c r="D9" s="200">
        <v>84.0</v>
      </c>
      <c r="E9" s="200"/>
      <c r="F9" s="78">
        <f t="shared" ref="F9:F73" si="1">E9/C9</f>
        <v>0</v>
      </c>
      <c r="G9" s="78">
        <f t="shared" ref="G9:G73" si="2">365/D9</f>
        <v>4.345238095</v>
      </c>
      <c r="H9" s="78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3.5" customHeight="1">
      <c r="A10" s="76">
        <v>3.005771322E9</v>
      </c>
      <c r="B10" s="199" t="s">
        <v>286</v>
      </c>
      <c r="C10" s="200">
        <v>100.0</v>
      </c>
      <c r="D10" s="200">
        <v>84.0</v>
      </c>
      <c r="E10" s="200"/>
      <c r="F10" s="78">
        <f t="shared" si="1"/>
        <v>0</v>
      </c>
      <c r="G10" s="78">
        <f t="shared" si="2"/>
        <v>4.345238095</v>
      </c>
      <c r="H10" s="78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3.5" customHeight="1">
      <c r="A11" s="76">
        <v>4.37535119E9</v>
      </c>
      <c r="B11" s="199" t="s">
        <v>287</v>
      </c>
      <c r="C11" s="200">
        <v>400.0</v>
      </c>
      <c r="D11" s="200">
        <v>84.0</v>
      </c>
      <c r="E11" s="200"/>
      <c r="F11" s="78">
        <f t="shared" si="1"/>
        <v>0</v>
      </c>
      <c r="G11" s="78">
        <f t="shared" si="2"/>
        <v>4.345238095</v>
      </c>
      <c r="H11" s="78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3.5" customHeight="1">
      <c r="A12" s="76">
        <v>3.183688122E9</v>
      </c>
      <c r="B12" s="199" t="s">
        <v>288</v>
      </c>
      <c r="C12" s="200">
        <v>300.0</v>
      </c>
      <c r="D12" s="200">
        <v>84.0</v>
      </c>
      <c r="E12" s="200"/>
      <c r="F12" s="78">
        <f t="shared" si="1"/>
        <v>0</v>
      </c>
      <c r="G12" s="78">
        <f t="shared" si="2"/>
        <v>4.345238095</v>
      </c>
      <c r="H12" s="78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3.5" customHeight="1">
      <c r="A13" s="76">
        <v>4.46965819E9</v>
      </c>
      <c r="B13" s="199" t="s">
        <v>289</v>
      </c>
      <c r="C13" s="200">
        <v>100.0</v>
      </c>
      <c r="D13" s="200">
        <v>84.0</v>
      </c>
      <c r="E13" s="200"/>
      <c r="F13" s="78">
        <f t="shared" si="1"/>
        <v>0</v>
      </c>
      <c r="G13" s="78">
        <f t="shared" si="2"/>
        <v>4.345238095</v>
      </c>
      <c r="H13" s="78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3.5" customHeight="1">
      <c r="A14" s="76">
        <v>3.33375219E9</v>
      </c>
      <c r="B14" s="199" t="s">
        <v>290</v>
      </c>
      <c r="C14" s="200">
        <v>200.0</v>
      </c>
      <c r="D14" s="200">
        <v>56.0</v>
      </c>
      <c r="E14" s="200"/>
      <c r="F14" s="78">
        <f t="shared" si="1"/>
        <v>0</v>
      </c>
      <c r="G14" s="78">
        <f t="shared" si="2"/>
        <v>6.517857143</v>
      </c>
      <c r="H14" s="78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3.5" customHeight="1">
      <c r="A15" s="76">
        <v>2.0764957322E10</v>
      </c>
      <c r="B15" s="199" t="s">
        <v>291</v>
      </c>
      <c r="C15" s="200">
        <v>500.0</v>
      </c>
      <c r="D15" s="200">
        <v>84.0</v>
      </c>
      <c r="E15" s="200"/>
      <c r="F15" s="78">
        <f t="shared" si="1"/>
        <v>0</v>
      </c>
      <c r="G15" s="78">
        <f t="shared" si="2"/>
        <v>4.345238095</v>
      </c>
      <c r="H15" s="78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3.5" customHeight="1">
      <c r="A16" s="76">
        <v>3.183742122E9</v>
      </c>
      <c r="B16" s="199" t="s">
        <v>292</v>
      </c>
      <c r="C16" s="200">
        <v>300.0</v>
      </c>
      <c r="D16" s="200">
        <v>84.0</v>
      </c>
      <c r="E16" s="200"/>
      <c r="F16" s="78">
        <f t="shared" si="1"/>
        <v>0</v>
      </c>
      <c r="G16" s="78">
        <f t="shared" si="2"/>
        <v>4.345238095</v>
      </c>
      <c r="H16" s="78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3.5" customHeight="1">
      <c r="A17" s="76">
        <v>3.032566122E9</v>
      </c>
      <c r="B17" s="199" t="s">
        <v>293</v>
      </c>
      <c r="C17" s="201">
        <v>100.0</v>
      </c>
      <c r="D17" s="201">
        <v>84.0</v>
      </c>
      <c r="E17" s="200"/>
      <c r="F17" s="78">
        <f t="shared" si="1"/>
        <v>0</v>
      </c>
      <c r="G17" s="78">
        <f t="shared" si="2"/>
        <v>4.345238095</v>
      </c>
      <c r="H17" s="78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3.5" customHeight="1">
      <c r="A18" s="76">
        <v>3.032574122E9</v>
      </c>
      <c r="B18" s="199" t="s">
        <v>294</v>
      </c>
      <c r="C18" s="77">
        <v>100.0</v>
      </c>
      <c r="D18" s="200">
        <v>84.0</v>
      </c>
      <c r="E18" s="200"/>
      <c r="F18" s="78">
        <f t="shared" si="1"/>
        <v>0</v>
      </c>
      <c r="G18" s="78">
        <f t="shared" si="2"/>
        <v>4.345238095</v>
      </c>
      <c r="H18" s="78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3.5" customHeight="1">
      <c r="A19" s="76">
        <v>4.48940319E9</v>
      </c>
      <c r="B19" s="199" t="s">
        <v>295</v>
      </c>
      <c r="C19" s="200">
        <v>150.0</v>
      </c>
      <c r="D19" s="200">
        <v>84.0</v>
      </c>
      <c r="E19" s="200"/>
      <c r="F19" s="78">
        <f t="shared" si="1"/>
        <v>0</v>
      </c>
      <c r="G19" s="78">
        <f t="shared" si="2"/>
        <v>4.345238095</v>
      </c>
      <c r="H19" s="78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3.5" customHeight="1">
      <c r="A20" s="76">
        <v>2.0764949322E10</v>
      </c>
      <c r="B20" s="199" t="s">
        <v>296</v>
      </c>
      <c r="C20" s="200">
        <v>500.0</v>
      </c>
      <c r="D20" s="200">
        <v>84.0</v>
      </c>
      <c r="E20" s="200"/>
      <c r="F20" s="78">
        <f t="shared" si="1"/>
        <v>0</v>
      </c>
      <c r="G20" s="78">
        <f t="shared" si="2"/>
        <v>4.345238095</v>
      </c>
      <c r="H20" s="78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3.5" customHeight="1">
      <c r="A21" s="76">
        <v>8.04743019E9</v>
      </c>
      <c r="B21" s="199" t="s">
        <v>297</v>
      </c>
      <c r="C21" s="200">
        <v>140.0</v>
      </c>
      <c r="D21" s="200">
        <v>84.0</v>
      </c>
      <c r="E21" s="200"/>
      <c r="F21" s="78">
        <f t="shared" si="1"/>
        <v>0</v>
      </c>
      <c r="G21" s="78">
        <f t="shared" si="2"/>
        <v>4.345238095</v>
      </c>
      <c r="H21" s="78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3.5" customHeight="1">
      <c r="A22" s="76">
        <v>5.58906119E9</v>
      </c>
      <c r="B22" s="199" t="s">
        <v>298</v>
      </c>
      <c r="C22" s="200">
        <v>350.0</v>
      </c>
      <c r="D22" s="200">
        <v>42.0</v>
      </c>
      <c r="E22" s="200"/>
      <c r="F22" s="78">
        <f t="shared" si="1"/>
        <v>0</v>
      </c>
      <c r="G22" s="78">
        <f t="shared" si="2"/>
        <v>8.69047619</v>
      </c>
      <c r="H22" s="78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3.5" customHeight="1">
      <c r="A23" s="76">
        <v>5.79539719E9</v>
      </c>
      <c r="B23" s="199" t="s">
        <v>299</v>
      </c>
      <c r="C23" s="200">
        <v>250.0</v>
      </c>
      <c r="D23" s="200">
        <v>42.0</v>
      </c>
      <c r="E23" s="200"/>
      <c r="F23" s="78">
        <f t="shared" si="1"/>
        <v>0</v>
      </c>
      <c r="G23" s="78">
        <f t="shared" si="2"/>
        <v>8.69047619</v>
      </c>
      <c r="H23" s="78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3.5" customHeight="1">
      <c r="A24" s="76">
        <v>3.001938322E9</v>
      </c>
      <c r="B24" s="199" t="s">
        <v>300</v>
      </c>
      <c r="C24" s="200">
        <v>100.0</v>
      </c>
      <c r="D24" s="200">
        <v>42.0</v>
      </c>
      <c r="E24" s="200"/>
      <c r="F24" s="78">
        <f t="shared" si="1"/>
        <v>0</v>
      </c>
      <c r="G24" s="78">
        <f t="shared" si="2"/>
        <v>8.69047619</v>
      </c>
      <c r="H24" s="78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3.5" customHeight="1">
      <c r="A25" s="76">
        <v>3.001962322E9</v>
      </c>
      <c r="B25" s="199" t="s">
        <v>301</v>
      </c>
      <c r="C25" s="200">
        <v>100.0</v>
      </c>
      <c r="D25" s="200">
        <v>56.0</v>
      </c>
      <c r="E25" s="200"/>
      <c r="F25" s="78">
        <f t="shared" si="1"/>
        <v>0</v>
      </c>
      <c r="G25" s="78">
        <f t="shared" si="2"/>
        <v>6.517857143</v>
      </c>
      <c r="H25" s="78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3.5" customHeight="1">
      <c r="A26" s="76">
        <v>5.06148219E9</v>
      </c>
      <c r="B26" s="199" t="s">
        <v>302</v>
      </c>
      <c r="C26" s="200">
        <v>300.0</v>
      </c>
      <c r="D26" s="200">
        <v>56.0</v>
      </c>
      <c r="E26" s="200"/>
      <c r="F26" s="78">
        <f t="shared" si="1"/>
        <v>0</v>
      </c>
      <c r="G26" s="78">
        <f t="shared" si="2"/>
        <v>6.517857143</v>
      </c>
      <c r="H26" s="78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3.5" customHeight="1">
      <c r="A27" s="76">
        <v>2.0764663322E10</v>
      </c>
      <c r="B27" s="199" t="s">
        <v>303</v>
      </c>
      <c r="C27" s="200">
        <v>100.0</v>
      </c>
      <c r="D27" s="200">
        <v>56.0</v>
      </c>
      <c r="E27" s="200"/>
      <c r="F27" s="78">
        <f t="shared" si="1"/>
        <v>0</v>
      </c>
      <c r="G27" s="78">
        <f t="shared" si="2"/>
        <v>6.517857143</v>
      </c>
      <c r="H27" s="78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3.5" customHeight="1">
      <c r="A28" s="76">
        <v>4.49857719E9</v>
      </c>
      <c r="B28" s="199" t="s">
        <v>304</v>
      </c>
      <c r="C28" s="200">
        <v>200.0</v>
      </c>
      <c r="D28" s="200">
        <v>28.0</v>
      </c>
      <c r="E28" s="200"/>
      <c r="F28" s="78">
        <f t="shared" si="1"/>
        <v>0</v>
      </c>
      <c r="G28" s="78">
        <f t="shared" si="2"/>
        <v>13.03571429</v>
      </c>
      <c r="H28" s="78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3.5" customHeight="1">
      <c r="A29" s="76">
        <v>3.03977319E9</v>
      </c>
      <c r="B29" s="199" t="s">
        <v>305</v>
      </c>
      <c r="C29" s="200">
        <v>400.0</v>
      </c>
      <c r="D29" s="200">
        <v>28.0</v>
      </c>
      <c r="E29" s="200"/>
      <c r="F29" s="78">
        <f t="shared" si="1"/>
        <v>0</v>
      </c>
      <c r="G29" s="78">
        <f t="shared" si="2"/>
        <v>13.03571429</v>
      </c>
      <c r="H29" s="78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3.5" customHeight="1">
      <c r="A30" s="76">
        <v>7.19079419E9</v>
      </c>
      <c r="B30" s="199" t="s">
        <v>306</v>
      </c>
      <c r="C30" s="200">
        <v>200.0</v>
      </c>
      <c r="D30" s="200">
        <v>56.0</v>
      </c>
      <c r="E30" s="200"/>
      <c r="F30" s="78">
        <f t="shared" si="1"/>
        <v>0</v>
      </c>
      <c r="G30" s="78">
        <f t="shared" si="2"/>
        <v>6.517857143</v>
      </c>
      <c r="H30" s="78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3.5" customHeight="1">
      <c r="A31" s="76">
        <v>7.19080819E9</v>
      </c>
      <c r="B31" s="199" t="s">
        <v>307</v>
      </c>
      <c r="C31" s="200">
        <v>100.0</v>
      </c>
      <c r="D31" s="200">
        <v>56.0</v>
      </c>
      <c r="E31" s="200"/>
      <c r="F31" s="78">
        <f t="shared" si="1"/>
        <v>0</v>
      </c>
      <c r="G31" s="78">
        <f t="shared" si="2"/>
        <v>6.517857143</v>
      </c>
      <c r="H31" s="78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3.5" customHeight="1">
      <c r="A32" s="76">
        <v>3.28992319E9</v>
      </c>
      <c r="B32" s="199" t="s">
        <v>308</v>
      </c>
      <c r="C32" s="200">
        <v>250.0</v>
      </c>
      <c r="D32" s="200">
        <v>42.0</v>
      </c>
      <c r="E32" s="200"/>
      <c r="F32" s="78">
        <f t="shared" si="1"/>
        <v>0</v>
      </c>
      <c r="G32" s="78">
        <f t="shared" si="2"/>
        <v>8.69047619</v>
      </c>
      <c r="H32" s="78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3.5" customHeight="1">
      <c r="A33" s="76">
        <v>4.49082719E9</v>
      </c>
      <c r="B33" s="199" t="s">
        <v>309</v>
      </c>
      <c r="C33" s="200">
        <v>200.0</v>
      </c>
      <c r="D33" s="200">
        <v>56.0</v>
      </c>
      <c r="E33" s="200"/>
      <c r="F33" s="78">
        <f t="shared" si="1"/>
        <v>0</v>
      </c>
      <c r="G33" s="78">
        <f t="shared" si="2"/>
        <v>6.517857143</v>
      </c>
      <c r="H33" s="78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3.5" customHeight="1">
      <c r="A34" s="76">
        <v>4.81071619E9</v>
      </c>
      <c r="B34" s="199" t="s">
        <v>310</v>
      </c>
      <c r="C34" s="200">
        <v>700.0</v>
      </c>
      <c r="D34" s="200">
        <v>56.0</v>
      </c>
      <c r="E34" s="200"/>
      <c r="F34" s="78">
        <f t="shared" si="1"/>
        <v>0</v>
      </c>
      <c r="G34" s="78">
        <f t="shared" si="2"/>
        <v>6.517857143</v>
      </c>
      <c r="H34" s="78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3.5" customHeight="1">
      <c r="A35" s="76">
        <v>4.62891819E9</v>
      </c>
      <c r="B35" s="199" t="s">
        <v>311</v>
      </c>
      <c r="C35" s="200">
        <v>100.0</v>
      </c>
      <c r="D35" s="200">
        <v>84.0</v>
      </c>
      <c r="E35" s="200"/>
      <c r="F35" s="78">
        <f t="shared" si="1"/>
        <v>0</v>
      </c>
      <c r="G35" s="78">
        <f t="shared" si="2"/>
        <v>4.345238095</v>
      </c>
      <c r="H35" s="78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3.5" customHeight="1">
      <c r="A36" s="76">
        <v>7.87603319E9</v>
      </c>
      <c r="B36" s="199" t="s">
        <v>312</v>
      </c>
      <c r="C36" s="200">
        <v>250.0</v>
      </c>
      <c r="D36" s="200">
        <v>84.0</v>
      </c>
      <c r="E36" s="200"/>
      <c r="F36" s="78">
        <f t="shared" si="1"/>
        <v>0</v>
      </c>
      <c r="G36" s="78">
        <f t="shared" si="2"/>
        <v>4.345238095</v>
      </c>
      <c r="H36" s="78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3.5" customHeight="1">
      <c r="A37" s="76">
        <v>6.60023919E9</v>
      </c>
      <c r="B37" s="199" t="s">
        <v>313</v>
      </c>
      <c r="C37" s="200">
        <v>225.0</v>
      </c>
      <c r="D37" s="200">
        <v>56.0</v>
      </c>
      <c r="E37" s="200"/>
      <c r="F37" s="78">
        <f t="shared" si="1"/>
        <v>0</v>
      </c>
      <c r="G37" s="78">
        <f t="shared" si="2"/>
        <v>6.517857143</v>
      </c>
      <c r="H37" s="78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3.5" customHeight="1">
      <c r="A38" s="76">
        <v>4.91255119E9</v>
      </c>
      <c r="B38" s="199" t="s">
        <v>314</v>
      </c>
      <c r="C38" s="200">
        <v>100.0</v>
      </c>
      <c r="D38" s="200">
        <v>84.0</v>
      </c>
      <c r="E38" s="200"/>
      <c r="F38" s="78">
        <f t="shared" si="1"/>
        <v>0</v>
      </c>
      <c r="G38" s="78">
        <f t="shared" si="2"/>
        <v>4.345238095</v>
      </c>
      <c r="H38" s="78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3.5" customHeight="1">
      <c r="A39" s="76">
        <v>3.18377719E9</v>
      </c>
      <c r="B39" s="199" t="s">
        <v>315</v>
      </c>
      <c r="C39" s="200">
        <v>100.0</v>
      </c>
      <c r="D39" s="200">
        <v>84.0</v>
      </c>
      <c r="E39" s="200"/>
      <c r="F39" s="78">
        <f t="shared" si="1"/>
        <v>0</v>
      </c>
      <c r="G39" s="78">
        <f t="shared" si="2"/>
        <v>4.345238095</v>
      </c>
      <c r="H39" s="78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3.5" customHeight="1">
      <c r="A40" s="76">
        <v>4.53793919E9</v>
      </c>
      <c r="B40" s="199" t="s">
        <v>316</v>
      </c>
      <c r="C40" s="200">
        <v>150.0</v>
      </c>
      <c r="D40" s="200">
        <v>56.0</v>
      </c>
      <c r="E40" s="200"/>
      <c r="F40" s="78">
        <f t="shared" si="1"/>
        <v>0</v>
      </c>
      <c r="G40" s="78">
        <f t="shared" si="2"/>
        <v>6.517857143</v>
      </c>
      <c r="H40" s="78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3.5" customHeight="1">
      <c r="A41" s="76">
        <v>3.002721122E9</v>
      </c>
      <c r="B41" s="199" t="s">
        <v>317</v>
      </c>
      <c r="C41" s="200">
        <v>400.0</v>
      </c>
      <c r="D41" s="200">
        <v>84.0</v>
      </c>
      <c r="E41" s="200"/>
      <c r="F41" s="78">
        <f t="shared" si="1"/>
        <v>0</v>
      </c>
      <c r="G41" s="78">
        <f t="shared" si="2"/>
        <v>4.345238095</v>
      </c>
      <c r="H41" s="78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3.5" customHeight="1">
      <c r="A42" s="76">
        <v>4.40448319E9</v>
      </c>
      <c r="B42" s="199" t="s">
        <v>318</v>
      </c>
      <c r="C42" s="200">
        <v>800.0</v>
      </c>
      <c r="D42" s="200">
        <v>56.0</v>
      </c>
      <c r="E42" s="200"/>
      <c r="F42" s="78">
        <f t="shared" si="1"/>
        <v>0</v>
      </c>
      <c r="G42" s="78">
        <f t="shared" si="2"/>
        <v>6.517857143</v>
      </c>
      <c r="H42" s="78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3.5" customHeight="1">
      <c r="A43" s="76">
        <v>3.005593322E9</v>
      </c>
      <c r="B43" s="199" t="s">
        <v>319</v>
      </c>
      <c r="C43" s="200">
        <v>100.0</v>
      </c>
      <c r="D43" s="200">
        <v>84.0</v>
      </c>
      <c r="E43" s="200"/>
      <c r="F43" s="78">
        <f t="shared" si="1"/>
        <v>0</v>
      </c>
      <c r="G43" s="78">
        <f t="shared" si="2"/>
        <v>4.345238095</v>
      </c>
      <c r="H43" s="78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3.5" customHeight="1">
      <c r="A44" s="76">
        <v>5.33616319E9</v>
      </c>
      <c r="B44" s="199" t="s">
        <v>320</v>
      </c>
      <c r="C44" s="200">
        <v>150.0</v>
      </c>
      <c r="D44" s="200">
        <v>84.0</v>
      </c>
      <c r="E44" s="200"/>
      <c r="F44" s="78">
        <f t="shared" si="1"/>
        <v>0</v>
      </c>
      <c r="G44" s="78">
        <f t="shared" si="2"/>
        <v>4.345238095</v>
      </c>
      <c r="H44" s="78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3.5" customHeight="1">
      <c r="A45" s="76">
        <v>6.75003619E9</v>
      </c>
      <c r="B45" s="199" t="s">
        <v>321</v>
      </c>
      <c r="C45" s="200">
        <v>100.0</v>
      </c>
      <c r="D45" s="200">
        <v>84.0</v>
      </c>
      <c r="E45" s="200"/>
      <c r="F45" s="78">
        <f t="shared" si="1"/>
        <v>0</v>
      </c>
      <c r="G45" s="78">
        <f t="shared" si="2"/>
        <v>4.345238095</v>
      </c>
      <c r="H45" s="78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3.5" customHeight="1">
      <c r="A46" s="76">
        <v>5.38541519E9</v>
      </c>
      <c r="B46" s="199" t="s">
        <v>322</v>
      </c>
      <c r="C46" s="200">
        <v>100.0</v>
      </c>
      <c r="D46" s="200">
        <v>28.0</v>
      </c>
      <c r="E46" s="200"/>
      <c r="F46" s="78">
        <f t="shared" si="1"/>
        <v>0</v>
      </c>
      <c r="G46" s="78">
        <f t="shared" si="2"/>
        <v>13.03571429</v>
      </c>
      <c r="H46" s="78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3.5" customHeight="1">
      <c r="A47" s="76">
        <v>7.52856619E9</v>
      </c>
      <c r="B47" s="199" t="s">
        <v>323</v>
      </c>
      <c r="C47" s="200">
        <v>350.0</v>
      </c>
      <c r="D47" s="200">
        <v>84.0</v>
      </c>
      <c r="E47" s="200"/>
      <c r="F47" s="78">
        <f t="shared" si="1"/>
        <v>0</v>
      </c>
      <c r="G47" s="78">
        <f t="shared" si="2"/>
        <v>4.345238095</v>
      </c>
      <c r="H47" s="78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3.5" customHeight="1">
      <c r="A48" s="76">
        <v>3.50734319E9</v>
      </c>
      <c r="B48" s="199" t="s">
        <v>324</v>
      </c>
      <c r="C48" s="200">
        <v>150.0</v>
      </c>
      <c r="D48" s="200">
        <v>84.0</v>
      </c>
      <c r="E48" s="200"/>
      <c r="F48" s="78">
        <f t="shared" si="1"/>
        <v>0</v>
      </c>
      <c r="G48" s="78">
        <f t="shared" si="2"/>
        <v>4.345238095</v>
      </c>
      <c r="H48" s="78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3.5" customHeight="1">
      <c r="A49" s="76">
        <v>5.97305819E9</v>
      </c>
      <c r="B49" s="199" t="s">
        <v>325</v>
      </c>
      <c r="C49" s="200">
        <v>150.0</v>
      </c>
      <c r="D49" s="200">
        <v>84.0</v>
      </c>
      <c r="E49" s="200"/>
      <c r="F49" s="78">
        <f t="shared" si="1"/>
        <v>0</v>
      </c>
      <c r="G49" s="78">
        <f t="shared" si="2"/>
        <v>4.345238095</v>
      </c>
      <c r="H49" s="78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3.5" customHeight="1">
      <c r="A50" s="76">
        <v>3.50743219E9</v>
      </c>
      <c r="B50" s="199" t="s">
        <v>326</v>
      </c>
      <c r="C50" s="200">
        <v>150.0</v>
      </c>
      <c r="D50" s="200">
        <v>84.0</v>
      </c>
      <c r="E50" s="200"/>
      <c r="F50" s="78">
        <f t="shared" si="1"/>
        <v>0</v>
      </c>
      <c r="G50" s="78">
        <f t="shared" si="2"/>
        <v>4.345238095</v>
      </c>
      <c r="H50" s="78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3.5" customHeight="1">
      <c r="A51" s="76">
        <v>3.50719019E9</v>
      </c>
      <c r="B51" s="199" t="s">
        <v>327</v>
      </c>
      <c r="C51" s="200">
        <v>150.0</v>
      </c>
      <c r="D51" s="200">
        <v>84.0</v>
      </c>
      <c r="E51" s="200"/>
      <c r="F51" s="78">
        <f t="shared" si="1"/>
        <v>0</v>
      </c>
      <c r="G51" s="78">
        <f t="shared" si="2"/>
        <v>4.345238095</v>
      </c>
      <c r="H51" s="78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3.5" customHeight="1">
      <c r="A52" s="76">
        <v>3.183696122E9</v>
      </c>
      <c r="B52" s="199" t="s">
        <v>328</v>
      </c>
      <c r="C52" s="200">
        <v>200.0</v>
      </c>
      <c r="D52" s="200">
        <v>42.0</v>
      </c>
      <c r="E52" s="200"/>
      <c r="F52" s="78">
        <f t="shared" si="1"/>
        <v>0</v>
      </c>
      <c r="G52" s="78">
        <f t="shared" si="2"/>
        <v>8.69047619</v>
      </c>
      <c r="H52" s="78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3.5" customHeight="1">
      <c r="A53" s="76">
        <v>6.74997619E9</v>
      </c>
      <c r="B53" s="199" t="s">
        <v>329</v>
      </c>
      <c r="C53" s="200">
        <v>100.0</v>
      </c>
      <c r="D53" s="200">
        <v>84.0</v>
      </c>
      <c r="E53" s="200"/>
      <c r="F53" s="78">
        <f t="shared" si="1"/>
        <v>0</v>
      </c>
      <c r="G53" s="78">
        <f t="shared" si="2"/>
        <v>4.345238095</v>
      </c>
      <c r="H53" s="78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3.5" customHeight="1">
      <c r="A54" s="76">
        <v>3.18370019E9</v>
      </c>
      <c r="B54" s="199" t="s">
        <v>330</v>
      </c>
      <c r="C54" s="200">
        <v>100.0</v>
      </c>
      <c r="D54" s="200">
        <v>84.0</v>
      </c>
      <c r="E54" s="200"/>
      <c r="F54" s="78">
        <f t="shared" si="1"/>
        <v>0</v>
      </c>
      <c r="G54" s="78">
        <f t="shared" si="2"/>
        <v>4.345238095</v>
      </c>
      <c r="H54" s="78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3.5" customHeight="1">
      <c r="A55" s="76">
        <v>6.74999219E9</v>
      </c>
      <c r="B55" s="199" t="s">
        <v>331</v>
      </c>
      <c r="C55" s="200">
        <v>100.0</v>
      </c>
      <c r="D55" s="200">
        <v>84.0</v>
      </c>
      <c r="E55" s="200"/>
      <c r="F55" s="78">
        <f t="shared" si="1"/>
        <v>0</v>
      </c>
      <c r="G55" s="78">
        <f t="shared" si="2"/>
        <v>4.345238095</v>
      </c>
      <c r="H55" s="78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3.5" customHeight="1">
      <c r="A56" s="76">
        <v>3.004732122E9</v>
      </c>
      <c r="B56" s="199" t="s">
        <v>332</v>
      </c>
      <c r="C56" s="200">
        <v>300.0</v>
      </c>
      <c r="D56" s="200">
        <v>84.0</v>
      </c>
      <c r="E56" s="200"/>
      <c r="F56" s="78">
        <f t="shared" si="1"/>
        <v>0</v>
      </c>
      <c r="G56" s="78">
        <f t="shared" si="2"/>
        <v>4.345238095</v>
      </c>
      <c r="H56" s="78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3.5" customHeight="1">
      <c r="A57" s="76">
        <v>7.00571719E9</v>
      </c>
      <c r="B57" s="199" t="s">
        <v>333</v>
      </c>
      <c r="C57" s="200">
        <v>200.0</v>
      </c>
      <c r="D57" s="200">
        <v>84.0</v>
      </c>
      <c r="E57" s="200"/>
      <c r="F57" s="78">
        <f t="shared" si="1"/>
        <v>0</v>
      </c>
      <c r="G57" s="78">
        <f t="shared" si="2"/>
        <v>4.345238095</v>
      </c>
      <c r="H57" s="78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3.5" customHeight="1">
      <c r="A58" s="76">
        <v>3.029590322E9</v>
      </c>
      <c r="B58" s="199" t="s">
        <v>334</v>
      </c>
      <c r="C58" s="200">
        <v>200.0</v>
      </c>
      <c r="D58" s="200">
        <v>28.0</v>
      </c>
      <c r="E58" s="200"/>
      <c r="F58" s="78">
        <f t="shared" si="1"/>
        <v>0</v>
      </c>
      <c r="G58" s="78">
        <f t="shared" si="2"/>
        <v>13.03571429</v>
      </c>
      <c r="H58" s="78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3.5" customHeight="1">
      <c r="A59" s="76">
        <v>5.85262519E9</v>
      </c>
      <c r="B59" s="199" t="s">
        <v>335</v>
      </c>
      <c r="C59" s="200">
        <v>150.0</v>
      </c>
      <c r="D59" s="200">
        <v>42.0</v>
      </c>
      <c r="E59" s="200"/>
      <c r="F59" s="78">
        <f t="shared" si="1"/>
        <v>0</v>
      </c>
      <c r="G59" s="78">
        <f t="shared" si="2"/>
        <v>8.69047619</v>
      </c>
      <c r="H59" s="78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3.5" customHeight="1">
      <c r="A60" s="76">
        <v>6.48164719E9</v>
      </c>
      <c r="B60" s="199" t="s">
        <v>336</v>
      </c>
      <c r="C60" s="200">
        <v>250.0</v>
      </c>
      <c r="D60" s="200">
        <v>84.0</v>
      </c>
      <c r="E60" s="200"/>
      <c r="F60" s="78">
        <f t="shared" si="1"/>
        <v>0</v>
      </c>
      <c r="G60" s="78">
        <f t="shared" si="2"/>
        <v>4.345238095</v>
      </c>
      <c r="H60" s="78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3.5" customHeight="1">
      <c r="A61" s="76" t="s">
        <v>337</v>
      </c>
      <c r="B61" s="65" t="s">
        <v>338</v>
      </c>
      <c r="C61" s="200">
        <v>150.0</v>
      </c>
      <c r="D61" s="200">
        <v>56.0</v>
      </c>
      <c r="E61" s="200"/>
      <c r="F61" s="78">
        <f t="shared" si="1"/>
        <v>0</v>
      </c>
      <c r="G61" s="78">
        <f t="shared" si="2"/>
        <v>6.517857143</v>
      </c>
      <c r="H61" s="78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3.5" customHeight="1">
      <c r="A62" s="76">
        <v>3.183793122E9</v>
      </c>
      <c r="B62" s="199" t="s">
        <v>339</v>
      </c>
      <c r="C62" s="200">
        <v>250.0</v>
      </c>
      <c r="D62" s="200">
        <v>84.0</v>
      </c>
      <c r="E62" s="200"/>
      <c r="F62" s="78">
        <f t="shared" si="1"/>
        <v>0</v>
      </c>
      <c r="G62" s="78">
        <f t="shared" si="2"/>
        <v>4.345238095</v>
      </c>
      <c r="H62" s="78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3.5" customHeight="1">
      <c r="A63" s="76">
        <v>2.0764655322E10</v>
      </c>
      <c r="B63" s="199" t="s">
        <v>340</v>
      </c>
      <c r="C63" s="200">
        <v>100.0</v>
      </c>
      <c r="D63" s="200">
        <v>56.0</v>
      </c>
      <c r="E63" s="200"/>
      <c r="F63" s="78">
        <f t="shared" si="1"/>
        <v>0</v>
      </c>
      <c r="G63" s="78">
        <f t="shared" si="2"/>
        <v>6.517857143</v>
      </c>
      <c r="H63" s="78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3.5" customHeight="1">
      <c r="A64" s="76">
        <v>2.0764574322E10</v>
      </c>
      <c r="B64" s="199" t="s">
        <v>341</v>
      </c>
      <c r="C64" s="200">
        <v>100.0</v>
      </c>
      <c r="D64" s="200">
        <v>56.0</v>
      </c>
      <c r="E64" s="200"/>
      <c r="F64" s="78">
        <f t="shared" si="1"/>
        <v>0</v>
      </c>
      <c r="G64" s="78">
        <f t="shared" si="2"/>
        <v>6.517857143</v>
      </c>
      <c r="H64" s="78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3.5" customHeight="1">
      <c r="A65" s="76">
        <v>7.22784119E9</v>
      </c>
      <c r="B65" s="199" t="s">
        <v>342</v>
      </c>
      <c r="C65" s="200">
        <v>100.0</v>
      </c>
      <c r="D65" s="200">
        <v>182.0</v>
      </c>
      <c r="E65" s="200"/>
      <c r="F65" s="78">
        <f t="shared" si="1"/>
        <v>0</v>
      </c>
      <c r="G65" s="78">
        <f t="shared" si="2"/>
        <v>2.005494505</v>
      </c>
      <c r="H65" s="78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3.5" customHeight="1">
      <c r="A66" s="76">
        <v>4.49100919E9</v>
      </c>
      <c r="B66" s="199" t="s">
        <v>343</v>
      </c>
      <c r="C66" s="200">
        <v>200.0</v>
      </c>
      <c r="D66" s="200">
        <v>56.0</v>
      </c>
      <c r="E66" s="200"/>
      <c r="F66" s="78">
        <f t="shared" si="1"/>
        <v>0</v>
      </c>
      <c r="G66" s="78">
        <f t="shared" si="2"/>
        <v>6.517857143</v>
      </c>
      <c r="H66" s="78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3.5" customHeight="1">
      <c r="A67" s="76">
        <v>3.18373419E9</v>
      </c>
      <c r="B67" s="199" t="s">
        <v>344</v>
      </c>
      <c r="C67" s="200">
        <v>300.0</v>
      </c>
      <c r="D67" s="200">
        <v>28.0</v>
      </c>
      <c r="E67" s="200"/>
      <c r="F67" s="78">
        <f t="shared" si="1"/>
        <v>0</v>
      </c>
      <c r="G67" s="78">
        <f t="shared" si="2"/>
        <v>13.03571429</v>
      </c>
      <c r="H67" s="78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3.5" customHeight="1">
      <c r="A68" s="76">
        <v>3.33382519E9</v>
      </c>
      <c r="B68" s="199" t="s">
        <v>345</v>
      </c>
      <c r="C68" s="200">
        <v>150.0</v>
      </c>
      <c r="D68" s="200">
        <v>84.0</v>
      </c>
      <c r="E68" s="200"/>
      <c r="F68" s="78">
        <f t="shared" si="1"/>
        <v>0</v>
      </c>
      <c r="G68" s="78">
        <f t="shared" si="2"/>
        <v>4.345238095</v>
      </c>
      <c r="H68" s="78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3.5" customHeight="1">
      <c r="A69" s="76">
        <v>2.0767107322E10</v>
      </c>
      <c r="B69" s="199" t="s">
        <v>346</v>
      </c>
      <c r="C69" s="200">
        <v>250.0</v>
      </c>
      <c r="D69" s="200">
        <v>56.0</v>
      </c>
      <c r="E69" s="200"/>
      <c r="F69" s="78">
        <f t="shared" si="1"/>
        <v>0</v>
      </c>
      <c r="G69" s="78">
        <f t="shared" si="2"/>
        <v>6.517857143</v>
      </c>
      <c r="H69" s="78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3.5" customHeight="1">
      <c r="A70" s="76">
        <v>3.015050122E9</v>
      </c>
      <c r="B70" s="199" t="s">
        <v>347</v>
      </c>
      <c r="C70" s="200">
        <v>100.0</v>
      </c>
      <c r="D70" s="200">
        <v>56.0</v>
      </c>
      <c r="E70" s="200"/>
      <c r="F70" s="78">
        <f t="shared" si="1"/>
        <v>0</v>
      </c>
      <c r="G70" s="78">
        <f t="shared" si="2"/>
        <v>6.517857143</v>
      </c>
      <c r="H70" s="78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3.5" customHeight="1">
      <c r="A71" s="76">
        <v>3.18380719E9</v>
      </c>
      <c r="B71" s="199" t="s">
        <v>348</v>
      </c>
      <c r="C71" s="200">
        <v>400.0</v>
      </c>
      <c r="D71" s="200">
        <v>56.0</v>
      </c>
      <c r="E71" s="200"/>
      <c r="F71" s="78">
        <f t="shared" si="1"/>
        <v>0</v>
      </c>
      <c r="G71" s="78">
        <f t="shared" si="2"/>
        <v>6.517857143</v>
      </c>
      <c r="H71" s="78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3.5" customHeight="1">
      <c r="A72" s="76">
        <v>4.53635519E9</v>
      </c>
      <c r="B72" s="199" t="s">
        <v>349</v>
      </c>
      <c r="C72" s="200">
        <v>100.0</v>
      </c>
      <c r="D72" s="200">
        <v>56.0</v>
      </c>
      <c r="E72" s="200"/>
      <c r="F72" s="78">
        <f t="shared" si="1"/>
        <v>0</v>
      </c>
      <c r="G72" s="78">
        <f t="shared" si="2"/>
        <v>6.517857143</v>
      </c>
      <c r="H72" s="78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3.5" customHeight="1">
      <c r="A73" s="82">
        <v>4.46071519E9</v>
      </c>
      <c r="B73" s="202" t="s">
        <v>350</v>
      </c>
      <c r="C73" s="201">
        <v>500.0</v>
      </c>
      <c r="D73" s="201">
        <v>56.0</v>
      </c>
      <c r="E73" s="200"/>
      <c r="F73" s="83">
        <f t="shared" si="1"/>
        <v>0</v>
      </c>
      <c r="G73" s="83">
        <f t="shared" si="2"/>
        <v>6.517857143</v>
      </c>
      <c r="H73" s="78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3.5" customHeight="1">
      <c r="A74" s="203"/>
      <c r="B74" s="203"/>
      <c r="C74" s="204"/>
      <c r="D74" s="205" t="s">
        <v>244</v>
      </c>
      <c r="E74" s="206">
        <f>SUM(E9:E73)</f>
        <v>0</v>
      </c>
      <c r="F74" s="206"/>
      <c r="G74" s="206"/>
      <c r="H74" s="206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3.5" customHeight="1">
      <c r="A75" s="194"/>
      <c r="B75" s="194" t="s">
        <v>351</v>
      </c>
      <c r="C75" s="194"/>
      <c r="D75" s="194" t="s">
        <v>167</v>
      </c>
      <c r="E75" s="196"/>
      <c r="F75" s="197" t="s">
        <v>169</v>
      </c>
      <c r="G75" s="197" t="s">
        <v>170</v>
      </c>
      <c r="H75" s="198" t="s">
        <v>171</v>
      </c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3.5" customHeight="1">
      <c r="A76" s="76">
        <v>2.075199519E10</v>
      </c>
      <c r="B76" s="74" t="s">
        <v>254</v>
      </c>
      <c r="C76" s="76">
        <v>2.0</v>
      </c>
      <c r="D76" s="76">
        <v>56.0</v>
      </c>
      <c r="E76" s="76"/>
      <c r="F76" s="76"/>
      <c r="G76" s="83">
        <f t="shared" ref="G76:G94" si="3">(365/D76)/C76</f>
        <v>3.258928571</v>
      </c>
      <c r="H76" s="76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3.5" customHeight="1">
      <c r="A77" s="76">
        <v>4.97590119E9</v>
      </c>
      <c r="B77" s="74" t="s">
        <v>352</v>
      </c>
      <c r="C77" s="76">
        <v>1.0</v>
      </c>
      <c r="D77" s="76"/>
      <c r="E77" s="76"/>
      <c r="F77" s="76"/>
      <c r="G77" s="83" t="str">
        <f t="shared" si="3"/>
        <v>#DIV/0!</v>
      </c>
      <c r="H77" s="76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3.5" customHeight="1">
      <c r="A78" s="76">
        <v>3.55594119E9</v>
      </c>
      <c r="B78" s="74" t="s">
        <v>353</v>
      </c>
      <c r="C78" s="76">
        <v>3.0</v>
      </c>
      <c r="D78" s="76">
        <v>14.0</v>
      </c>
      <c r="E78" s="76"/>
      <c r="F78" s="76"/>
      <c r="G78" s="83">
        <f t="shared" si="3"/>
        <v>8.69047619</v>
      </c>
      <c r="H78" s="76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3.5" customHeight="1">
      <c r="A79" s="76">
        <v>1.075935019E10</v>
      </c>
      <c r="B79" s="74" t="s">
        <v>354</v>
      </c>
      <c r="C79" s="76">
        <v>12.0</v>
      </c>
      <c r="D79" s="76">
        <v>28.0</v>
      </c>
      <c r="E79" s="76"/>
      <c r="F79" s="76"/>
      <c r="G79" s="83">
        <f t="shared" si="3"/>
        <v>1.086309524</v>
      </c>
      <c r="H79" s="76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3.5" customHeight="1">
      <c r="A80" s="76">
        <v>1.1447394216E10</v>
      </c>
      <c r="B80" s="74" t="s">
        <v>355</v>
      </c>
      <c r="C80" s="76">
        <v>3.0</v>
      </c>
      <c r="D80" s="76">
        <v>28.0</v>
      </c>
      <c r="E80" s="76"/>
      <c r="F80" s="76"/>
      <c r="G80" s="83">
        <f t="shared" si="3"/>
        <v>4.345238095</v>
      </c>
      <c r="H80" s="76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3.5" customHeight="1">
      <c r="A81" s="76">
        <v>6.53385019E9</v>
      </c>
      <c r="B81" s="74" t="s">
        <v>356</v>
      </c>
      <c r="C81" s="76">
        <v>3.0</v>
      </c>
      <c r="D81" s="76">
        <v>14.0</v>
      </c>
      <c r="E81" s="76"/>
      <c r="F81" s="76"/>
      <c r="G81" s="83">
        <f t="shared" si="3"/>
        <v>8.69047619</v>
      </c>
      <c r="H81" s="76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3.5" customHeight="1">
      <c r="A82" s="76">
        <v>1.2172623122E10</v>
      </c>
      <c r="B82" s="74" t="s">
        <v>357</v>
      </c>
      <c r="C82" s="76">
        <v>3.0</v>
      </c>
      <c r="D82" s="76">
        <v>28.0</v>
      </c>
      <c r="E82" s="76"/>
      <c r="F82" s="76"/>
      <c r="G82" s="83">
        <f t="shared" si="3"/>
        <v>4.345238095</v>
      </c>
      <c r="H82" s="76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3.5" customHeight="1">
      <c r="A83" s="76">
        <v>1.1355279216E10</v>
      </c>
      <c r="B83" s="74" t="s">
        <v>358</v>
      </c>
      <c r="C83" s="76">
        <v>5.0</v>
      </c>
      <c r="D83" s="76">
        <v>28.0</v>
      </c>
      <c r="E83" s="76"/>
      <c r="F83" s="76"/>
      <c r="G83" s="83">
        <f t="shared" si="3"/>
        <v>2.607142857</v>
      </c>
      <c r="H83" s="76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3.5" customHeight="1">
      <c r="A84" s="76">
        <v>8.75377619E9</v>
      </c>
      <c r="B84" s="74" t="s">
        <v>359</v>
      </c>
      <c r="C84" s="76">
        <v>3.0</v>
      </c>
      <c r="D84" s="76">
        <v>28.0</v>
      </c>
      <c r="E84" s="76"/>
      <c r="F84" s="76"/>
      <c r="G84" s="83">
        <f t="shared" si="3"/>
        <v>4.345238095</v>
      </c>
      <c r="H84" s="76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3.5" customHeight="1">
      <c r="A85" s="76">
        <v>8.04754519E9</v>
      </c>
      <c r="B85" s="74" t="s">
        <v>360</v>
      </c>
      <c r="C85" s="76">
        <v>2.0</v>
      </c>
      <c r="D85" s="76">
        <v>84.0</v>
      </c>
      <c r="E85" s="76"/>
      <c r="F85" s="76"/>
      <c r="G85" s="83">
        <f t="shared" si="3"/>
        <v>2.172619048</v>
      </c>
      <c r="H85" s="76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3.5" customHeight="1">
      <c r="A86" s="76">
        <v>4.52841719E9</v>
      </c>
      <c r="B86" s="74" t="s">
        <v>361</v>
      </c>
      <c r="C86" s="76">
        <v>3.0</v>
      </c>
      <c r="D86" s="76">
        <v>84.0</v>
      </c>
      <c r="E86" s="76"/>
      <c r="F86" s="76"/>
      <c r="G86" s="83">
        <f t="shared" si="3"/>
        <v>1.448412698</v>
      </c>
      <c r="H86" s="76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3.5" customHeight="1">
      <c r="A87" s="76">
        <v>3.121305122E9</v>
      </c>
      <c r="B87" s="74" t="s">
        <v>362</v>
      </c>
      <c r="C87" s="76">
        <v>5.0</v>
      </c>
      <c r="D87" s="76">
        <v>28.0</v>
      </c>
      <c r="E87" s="76"/>
      <c r="F87" s="76"/>
      <c r="G87" s="83">
        <f t="shared" si="3"/>
        <v>2.607142857</v>
      </c>
      <c r="H87" s="76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3.5" customHeight="1">
      <c r="A88" s="76">
        <v>5.05090119E9</v>
      </c>
      <c r="B88" s="74" t="s">
        <v>363</v>
      </c>
      <c r="C88" s="76">
        <v>1.0</v>
      </c>
      <c r="D88" s="76">
        <v>84.0</v>
      </c>
      <c r="E88" s="76"/>
      <c r="F88" s="76"/>
      <c r="G88" s="83">
        <f t="shared" si="3"/>
        <v>4.345238095</v>
      </c>
      <c r="H88" s="76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3.5" customHeight="1">
      <c r="A89" s="76">
        <v>1.2146401216E10</v>
      </c>
      <c r="B89" s="74" t="s">
        <v>364</v>
      </c>
      <c r="C89" s="76">
        <v>1.0</v>
      </c>
      <c r="D89" s="76">
        <v>360.0</v>
      </c>
      <c r="E89" s="76"/>
      <c r="F89" s="76"/>
      <c r="G89" s="83">
        <f t="shared" si="3"/>
        <v>1.013888889</v>
      </c>
      <c r="H89" s="76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3.5" customHeight="1">
      <c r="A90" s="76">
        <v>5.38550419E9</v>
      </c>
      <c r="B90" s="74" t="s">
        <v>365</v>
      </c>
      <c r="C90" s="76">
        <v>2.0</v>
      </c>
      <c r="D90" s="76">
        <v>28.0</v>
      </c>
      <c r="E90" s="76"/>
      <c r="F90" s="76"/>
      <c r="G90" s="83">
        <f t="shared" si="3"/>
        <v>6.517857143</v>
      </c>
      <c r="H90" s="76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3.5" customHeight="1">
      <c r="A91" s="76">
        <v>1.1098993122E10</v>
      </c>
      <c r="B91" s="74" t="s">
        <v>366</v>
      </c>
      <c r="C91" s="76">
        <v>3.0</v>
      </c>
      <c r="D91" s="76">
        <v>28.0</v>
      </c>
      <c r="E91" s="76"/>
      <c r="F91" s="76"/>
      <c r="G91" s="83">
        <f t="shared" si="3"/>
        <v>4.345238095</v>
      </c>
      <c r="H91" s="76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3.5" customHeight="1">
      <c r="A92" s="76">
        <v>3.30467119E9</v>
      </c>
      <c r="B92" s="74" t="s">
        <v>367</v>
      </c>
      <c r="C92" s="76">
        <v>1.0</v>
      </c>
      <c r="D92" s="76">
        <v>60.0</v>
      </c>
      <c r="E92" s="76"/>
      <c r="F92" s="76"/>
      <c r="G92" s="83">
        <f t="shared" si="3"/>
        <v>6.083333333</v>
      </c>
      <c r="H92" s="76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3.5" customHeight="1">
      <c r="A93" s="76">
        <v>5.85264119E9</v>
      </c>
      <c r="B93" s="74" t="s">
        <v>368</v>
      </c>
      <c r="C93" s="76">
        <v>1.0</v>
      </c>
      <c r="D93" s="76">
        <v>14.0</v>
      </c>
      <c r="E93" s="76"/>
      <c r="F93" s="76"/>
      <c r="G93" s="83">
        <f t="shared" si="3"/>
        <v>26.07142857</v>
      </c>
      <c r="H93" s="76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3.5" customHeight="1">
      <c r="A94" s="76">
        <v>1.2172828322E10</v>
      </c>
      <c r="B94" s="74" t="s">
        <v>369</v>
      </c>
      <c r="C94" s="76">
        <v>1.0</v>
      </c>
      <c r="D94" s="76">
        <v>30.0</v>
      </c>
      <c r="E94" s="76"/>
      <c r="F94" s="76"/>
      <c r="G94" s="83">
        <f t="shared" si="3"/>
        <v>12.16666667</v>
      </c>
      <c r="H94" s="76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3.5" customHeight="1">
      <c r="A95" s="194"/>
      <c r="B95" s="194" t="s">
        <v>370</v>
      </c>
      <c r="C95" s="194" t="s">
        <v>371</v>
      </c>
      <c r="D95" s="194" t="s">
        <v>167</v>
      </c>
      <c r="E95" s="196"/>
      <c r="F95" s="197" t="s">
        <v>169</v>
      </c>
      <c r="G95" s="197" t="s">
        <v>170</v>
      </c>
      <c r="H95" s="198" t="s">
        <v>171</v>
      </c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3.5" customHeight="1">
      <c r="A96" s="76">
        <v>2.075240119E10</v>
      </c>
      <c r="B96" s="74" t="s">
        <v>372</v>
      </c>
      <c r="C96" s="76">
        <v>5.0</v>
      </c>
      <c r="D96" s="76">
        <v>56.0</v>
      </c>
      <c r="E96" s="76"/>
      <c r="F96" s="76"/>
      <c r="G96" s="83">
        <f t="shared" ref="G96:G112" si="4">(365/D96)/C96</f>
        <v>1.303571429</v>
      </c>
      <c r="H96" s="76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3.5" customHeight="1">
      <c r="A97" s="76">
        <v>2.075300919E10</v>
      </c>
      <c r="B97" s="74" t="s">
        <v>373</v>
      </c>
      <c r="C97" s="76">
        <v>5.0</v>
      </c>
      <c r="D97" s="76">
        <v>56.0</v>
      </c>
      <c r="E97" s="76"/>
      <c r="F97" s="76"/>
      <c r="G97" s="83">
        <f t="shared" si="4"/>
        <v>1.303571429</v>
      </c>
      <c r="H97" s="76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3.5" customHeight="1">
      <c r="A98" s="76">
        <v>8.36278519E9</v>
      </c>
      <c r="B98" s="74" t="s">
        <v>374</v>
      </c>
      <c r="C98" s="76">
        <v>2.0</v>
      </c>
      <c r="D98" s="76">
        <v>84.0</v>
      </c>
      <c r="E98" s="76"/>
      <c r="F98" s="76"/>
      <c r="G98" s="83">
        <f t="shared" si="4"/>
        <v>2.172619048</v>
      </c>
      <c r="H98" s="76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3.5" customHeight="1">
      <c r="A99" s="76">
        <v>8.27820219E9</v>
      </c>
      <c r="B99" s="74" t="s">
        <v>375</v>
      </c>
      <c r="C99" s="76">
        <v>3.0</v>
      </c>
      <c r="D99" s="76">
        <v>28.0</v>
      </c>
      <c r="E99" s="76"/>
      <c r="F99" s="76"/>
      <c r="G99" s="83">
        <f t="shared" si="4"/>
        <v>4.345238095</v>
      </c>
      <c r="H99" s="76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3.5" customHeight="1">
      <c r="A100" s="76">
        <v>6.72937119E9</v>
      </c>
      <c r="B100" s="74" t="s">
        <v>376</v>
      </c>
      <c r="C100" s="76">
        <v>3.0</v>
      </c>
      <c r="D100" s="76">
        <v>30.0</v>
      </c>
      <c r="E100" s="76"/>
      <c r="F100" s="76"/>
      <c r="G100" s="83">
        <f t="shared" si="4"/>
        <v>4.055555556</v>
      </c>
      <c r="H100" s="76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  <row r="101" ht="13.5" customHeight="1">
      <c r="A101" s="76">
        <v>5.05093619E9</v>
      </c>
      <c r="B101" s="74" t="s">
        <v>377</v>
      </c>
      <c r="C101" s="76">
        <v>2.0</v>
      </c>
      <c r="D101" s="76">
        <v>84.0</v>
      </c>
      <c r="E101" s="76"/>
      <c r="F101" s="76"/>
      <c r="G101" s="83">
        <f t="shared" si="4"/>
        <v>2.172619048</v>
      </c>
      <c r="H101" s="76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</row>
    <row r="102" ht="13.5" customHeight="1">
      <c r="A102" s="76">
        <v>5.14242319E9</v>
      </c>
      <c r="B102" s="74" t="s">
        <v>378</v>
      </c>
      <c r="C102" s="76">
        <v>2.0</v>
      </c>
      <c r="D102" s="76">
        <v>28.0</v>
      </c>
      <c r="E102" s="76"/>
      <c r="F102" s="76"/>
      <c r="G102" s="83">
        <f t="shared" si="4"/>
        <v>6.517857143</v>
      </c>
      <c r="H102" s="76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</row>
    <row r="103" ht="13.5" customHeight="1">
      <c r="A103" s="76">
        <v>5.94762619E9</v>
      </c>
      <c r="B103" s="74" t="s">
        <v>379</v>
      </c>
      <c r="C103" s="76">
        <v>4.0</v>
      </c>
      <c r="D103" s="76">
        <v>14.0</v>
      </c>
      <c r="E103" s="76"/>
      <c r="F103" s="76"/>
      <c r="G103" s="83">
        <f t="shared" si="4"/>
        <v>6.517857143</v>
      </c>
      <c r="H103" s="76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</row>
    <row r="104" ht="13.5" customHeight="1">
      <c r="A104" s="76">
        <v>5.94777419E9</v>
      </c>
      <c r="B104" s="74" t="s">
        <v>380</v>
      </c>
      <c r="C104" s="76">
        <v>4.0</v>
      </c>
      <c r="D104" s="76">
        <v>14.0</v>
      </c>
      <c r="E104" s="76"/>
      <c r="F104" s="76"/>
      <c r="G104" s="83">
        <f t="shared" si="4"/>
        <v>6.517857143</v>
      </c>
      <c r="H104" s="76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</row>
    <row r="105" ht="13.5" customHeight="1">
      <c r="A105" s="76">
        <v>5.47920719E9</v>
      </c>
      <c r="B105" s="74" t="s">
        <v>381</v>
      </c>
      <c r="C105" s="76">
        <v>4.0</v>
      </c>
      <c r="D105" s="76">
        <v>28.0</v>
      </c>
      <c r="E105" s="76"/>
      <c r="F105" s="76"/>
      <c r="G105" s="83">
        <f t="shared" si="4"/>
        <v>3.258928571</v>
      </c>
      <c r="H105" s="76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</row>
    <row r="106" ht="13.5" customHeight="1">
      <c r="A106" s="76">
        <v>5.91250419E9</v>
      </c>
      <c r="B106" s="74" t="s">
        <v>382</v>
      </c>
      <c r="C106" s="76">
        <v>4.0</v>
      </c>
      <c r="D106" s="76">
        <v>28.0</v>
      </c>
      <c r="E106" s="76"/>
      <c r="F106" s="76"/>
      <c r="G106" s="83">
        <f t="shared" si="4"/>
        <v>3.258928571</v>
      </c>
      <c r="H106" s="76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</row>
    <row r="107" ht="13.5" customHeight="1">
      <c r="A107" s="76">
        <v>5.85265019E9</v>
      </c>
      <c r="B107" s="74" t="s">
        <v>383</v>
      </c>
      <c r="C107" s="76">
        <v>2.0</v>
      </c>
      <c r="D107" s="76">
        <v>14.0</v>
      </c>
      <c r="E107" s="76"/>
      <c r="F107" s="76"/>
      <c r="G107" s="83">
        <f t="shared" si="4"/>
        <v>13.03571429</v>
      </c>
      <c r="H107" s="76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</row>
    <row r="108" ht="13.5" customHeight="1">
      <c r="A108" s="76">
        <v>1.1098985122E10</v>
      </c>
      <c r="B108" s="74" t="s">
        <v>384</v>
      </c>
      <c r="C108" s="76">
        <v>3.0</v>
      </c>
      <c r="D108" s="76">
        <v>28.0</v>
      </c>
      <c r="E108" s="76"/>
      <c r="F108" s="76"/>
      <c r="G108" s="83">
        <f t="shared" si="4"/>
        <v>4.345238095</v>
      </c>
      <c r="H108" s="76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</row>
    <row r="109" ht="13.5" customHeight="1">
      <c r="A109" s="76">
        <v>3.121313122E9</v>
      </c>
      <c r="B109" s="74" t="s">
        <v>385</v>
      </c>
      <c r="C109" s="76">
        <v>4.0</v>
      </c>
      <c r="D109" s="76">
        <v>28.0</v>
      </c>
      <c r="E109" s="76"/>
      <c r="F109" s="76"/>
      <c r="G109" s="83">
        <f t="shared" si="4"/>
        <v>3.258928571</v>
      </c>
      <c r="H109" s="76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</row>
    <row r="110" ht="13.5" customHeight="1">
      <c r="A110" s="76">
        <v>1.1174118122E10</v>
      </c>
      <c r="B110" s="74" t="s">
        <v>386</v>
      </c>
      <c r="C110" s="76">
        <v>3.0</v>
      </c>
      <c r="D110" s="76">
        <v>28.0</v>
      </c>
      <c r="E110" s="76"/>
      <c r="F110" s="76"/>
      <c r="G110" s="83">
        <f t="shared" si="4"/>
        <v>4.345238095</v>
      </c>
      <c r="H110" s="76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</row>
    <row r="111" ht="13.5" customHeight="1">
      <c r="A111" s="76">
        <v>3.121291122E9</v>
      </c>
      <c r="B111" s="74" t="s">
        <v>387</v>
      </c>
      <c r="C111" s="76">
        <v>4.0</v>
      </c>
      <c r="D111" s="76">
        <v>28.0</v>
      </c>
      <c r="E111" s="76"/>
      <c r="F111" s="76"/>
      <c r="G111" s="83">
        <f t="shared" si="4"/>
        <v>3.258928571</v>
      </c>
      <c r="H111" s="76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</row>
    <row r="112" ht="13.5" customHeight="1">
      <c r="A112" s="76">
        <v>3.005496122E9</v>
      </c>
      <c r="B112" s="74" t="s">
        <v>388</v>
      </c>
      <c r="C112" s="76">
        <v>4.0</v>
      </c>
      <c r="D112" s="76">
        <v>30.0</v>
      </c>
      <c r="E112" s="76"/>
      <c r="F112" s="76"/>
      <c r="G112" s="83">
        <f t="shared" si="4"/>
        <v>3.041666667</v>
      </c>
      <c r="H112" s="76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</row>
    <row r="113" ht="13.5" customHeight="1">
      <c r="A113" s="194"/>
      <c r="B113" s="194" t="s">
        <v>267</v>
      </c>
      <c r="C113" s="194" t="s">
        <v>371</v>
      </c>
      <c r="D113" s="194" t="s">
        <v>167</v>
      </c>
      <c r="E113" s="196"/>
      <c r="F113" s="197" t="s">
        <v>169</v>
      </c>
      <c r="G113" s="207" t="s">
        <v>170</v>
      </c>
      <c r="H113" s="198" t="s">
        <v>171</v>
      </c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</row>
    <row r="114" ht="13.5" customHeight="1">
      <c r="A114" s="76">
        <v>4.88028519E9</v>
      </c>
      <c r="B114" s="75" t="s">
        <v>389</v>
      </c>
      <c r="C114" s="76">
        <v>2.0</v>
      </c>
      <c r="D114" s="76">
        <v>70.0</v>
      </c>
      <c r="E114" s="76"/>
      <c r="F114" s="76"/>
      <c r="G114" s="78">
        <f t="shared" ref="G114:G128" si="5">(365/D114)/C114</f>
        <v>2.607142857</v>
      </c>
      <c r="H114" s="76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</row>
    <row r="115" ht="13.5" customHeight="1">
      <c r="A115" s="76">
        <v>4.88030719E9</v>
      </c>
      <c r="B115" s="75" t="s">
        <v>390</v>
      </c>
      <c r="C115" s="76">
        <v>2.0</v>
      </c>
      <c r="D115" s="76">
        <v>84.0</v>
      </c>
      <c r="E115" s="76"/>
      <c r="F115" s="76"/>
      <c r="G115" s="78">
        <f t="shared" si="5"/>
        <v>2.172619048</v>
      </c>
      <c r="H115" s="76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</row>
    <row r="116" ht="13.5" customHeight="1">
      <c r="A116" s="76">
        <v>4.444191001E9</v>
      </c>
      <c r="B116" s="74" t="s">
        <v>391</v>
      </c>
      <c r="C116" s="76">
        <v>1.0</v>
      </c>
      <c r="D116" s="76">
        <v>365.0</v>
      </c>
      <c r="E116" s="76"/>
      <c r="F116" s="76"/>
      <c r="G116" s="78">
        <f t="shared" si="5"/>
        <v>1</v>
      </c>
      <c r="H116" s="76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</row>
    <row r="117" ht="13.5" customHeight="1">
      <c r="A117" s="76">
        <v>4.555040001E9</v>
      </c>
      <c r="B117" s="74" t="s">
        <v>392</v>
      </c>
      <c r="C117" s="76">
        <v>3.0</v>
      </c>
      <c r="D117" s="76">
        <v>84.0</v>
      </c>
      <c r="E117" s="76"/>
      <c r="F117" s="76"/>
      <c r="G117" s="78">
        <f t="shared" si="5"/>
        <v>1.448412698</v>
      </c>
      <c r="H117" s="76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</row>
    <row r="118" ht="13.5" customHeight="1">
      <c r="A118" s="76">
        <v>5.42248519E9</v>
      </c>
      <c r="B118" s="75" t="s">
        <v>393</v>
      </c>
      <c r="C118" s="76">
        <v>1.0</v>
      </c>
      <c r="D118" s="76">
        <v>28.0</v>
      </c>
      <c r="E118" s="76"/>
      <c r="F118" s="76"/>
      <c r="G118" s="78">
        <f t="shared" si="5"/>
        <v>13.03571429</v>
      </c>
      <c r="H118" s="76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</row>
    <row r="119" ht="13.5" customHeight="1">
      <c r="A119" s="76">
        <v>4.554124001E9</v>
      </c>
      <c r="B119" s="75" t="s">
        <v>394</v>
      </c>
      <c r="C119" s="76">
        <v>1.0</v>
      </c>
      <c r="D119" s="76">
        <v>30.0</v>
      </c>
      <c r="E119" s="76"/>
      <c r="F119" s="76"/>
      <c r="G119" s="78">
        <f t="shared" si="5"/>
        <v>12.16666667</v>
      </c>
      <c r="H119" s="76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</row>
    <row r="120" ht="13.5" customHeight="1">
      <c r="A120" s="76">
        <v>4.516273001E9</v>
      </c>
      <c r="B120" s="75" t="s">
        <v>395</v>
      </c>
      <c r="C120" s="76">
        <v>1.0</v>
      </c>
      <c r="D120" s="76">
        <v>30.0</v>
      </c>
      <c r="E120" s="76"/>
      <c r="F120" s="76"/>
      <c r="G120" s="78">
        <f t="shared" si="5"/>
        <v>12.16666667</v>
      </c>
      <c r="H120" s="76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</row>
    <row r="121" ht="13.5" customHeight="1">
      <c r="A121" s="76">
        <v>4.516265001E9</v>
      </c>
      <c r="B121" s="75" t="s">
        <v>396</v>
      </c>
      <c r="C121" s="76">
        <v>1.0</v>
      </c>
      <c r="D121" s="76">
        <v>30.0</v>
      </c>
      <c r="E121" s="76"/>
      <c r="F121" s="76"/>
      <c r="G121" s="78">
        <f t="shared" si="5"/>
        <v>12.16666667</v>
      </c>
      <c r="H121" s="76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</row>
    <row r="122" ht="13.5" customHeight="1">
      <c r="A122" s="76">
        <v>4.52818219E9</v>
      </c>
      <c r="B122" s="75" t="s">
        <v>397</v>
      </c>
      <c r="C122" s="76">
        <v>1.0</v>
      </c>
      <c r="D122" s="76">
        <v>28.0</v>
      </c>
      <c r="E122" s="76"/>
      <c r="F122" s="76"/>
      <c r="G122" s="78">
        <f t="shared" si="5"/>
        <v>13.03571429</v>
      </c>
      <c r="H122" s="76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</row>
    <row r="123" ht="13.5" customHeight="1">
      <c r="A123" s="76">
        <v>4.813707001E9</v>
      </c>
      <c r="B123" s="75" t="s">
        <v>398</v>
      </c>
      <c r="C123" s="76">
        <v>1.0</v>
      </c>
      <c r="D123" s="76">
        <v>45.0</v>
      </c>
      <c r="E123" s="76"/>
      <c r="F123" s="76"/>
      <c r="G123" s="78">
        <f t="shared" si="5"/>
        <v>8.111111111</v>
      </c>
      <c r="H123" s="76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</row>
    <row r="124" ht="13.5" customHeight="1">
      <c r="A124" s="76">
        <v>4.516303001E9</v>
      </c>
      <c r="B124" s="75" t="s">
        <v>98</v>
      </c>
      <c r="C124" s="76">
        <v>1.0</v>
      </c>
      <c r="D124" s="76">
        <v>360.0</v>
      </c>
      <c r="E124" s="76"/>
      <c r="F124" s="76"/>
      <c r="G124" s="78">
        <f t="shared" si="5"/>
        <v>1.013888889</v>
      </c>
      <c r="H124" s="76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</row>
    <row r="125" ht="13.5" customHeight="1">
      <c r="A125" s="76">
        <v>4.70872519E9</v>
      </c>
      <c r="B125" s="75" t="s">
        <v>399</v>
      </c>
      <c r="C125" s="76">
        <v>12.0</v>
      </c>
      <c r="D125" s="76">
        <v>28.0</v>
      </c>
      <c r="E125" s="76"/>
      <c r="F125" s="76"/>
      <c r="G125" s="78">
        <f t="shared" si="5"/>
        <v>1.086309524</v>
      </c>
      <c r="H125" s="76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</row>
    <row r="126" ht="13.5" customHeight="1">
      <c r="A126" s="76">
        <v>4.48935719E9</v>
      </c>
      <c r="B126" s="75" t="s">
        <v>400</v>
      </c>
      <c r="C126" s="76">
        <v>1.0</v>
      </c>
      <c r="D126" s="76">
        <v>84.0</v>
      </c>
      <c r="E126" s="76"/>
      <c r="F126" s="76"/>
      <c r="G126" s="78">
        <f t="shared" si="5"/>
        <v>4.345238095</v>
      </c>
      <c r="H126" s="76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</row>
    <row r="127" ht="13.5" customHeight="1">
      <c r="A127" s="76">
        <v>4.48924119E9</v>
      </c>
      <c r="B127" s="75" t="s">
        <v>401</v>
      </c>
      <c r="C127" s="76">
        <v>1.0</v>
      </c>
      <c r="D127" s="76">
        <v>84.0</v>
      </c>
      <c r="E127" s="76"/>
      <c r="F127" s="76"/>
      <c r="G127" s="78">
        <f t="shared" si="5"/>
        <v>4.345238095</v>
      </c>
      <c r="H127" s="76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</row>
    <row r="128" ht="13.5" customHeight="1">
      <c r="A128" s="76">
        <v>4.48922519E9</v>
      </c>
      <c r="B128" s="75" t="s">
        <v>402</v>
      </c>
      <c r="C128" s="76">
        <v>1.0</v>
      </c>
      <c r="D128" s="76">
        <v>84.0</v>
      </c>
      <c r="E128" s="76"/>
      <c r="F128" s="76"/>
      <c r="G128" s="78">
        <f t="shared" si="5"/>
        <v>4.345238095</v>
      </c>
      <c r="H128" s="76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</row>
    <row r="129" ht="13.5" customHeight="1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</row>
    <row r="130" ht="13.5" customHeight="1">
      <c r="A130" s="208" t="s">
        <v>403</v>
      </c>
      <c r="B130" s="59"/>
      <c r="C130" s="196" t="s">
        <v>284</v>
      </c>
      <c r="D130" s="194" t="s">
        <v>371</v>
      </c>
      <c r="E130" s="194" t="s">
        <v>167</v>
      </c>
      <c r="F130" s="196" t="s">
        <v>169</v>
      </c>
      <c r="G130" s="196" t="s">
        <v>170</v>
      </c>
      <c r="H130" s="196" t="s">
        <v>171</v>
      </c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</row>
    <row r="131" ht="13.5" customHeight="1">
      <c r="A131" s="75">
        <v>1.1183974216E10</v>
      </c>
      <c r="B131" s="75" t="s">
        <v>404</v>
      </c>
      <c r="C131" s="209"/>
      <c r="D131" s="76">
        <v>10.0</v>
      </c>
      <c r="E131" s="76">
        <v>1.0</v>
      </c>
      <c r="F131" s="76"/>
      <c r="G131" s="76">
        <f t="shared" ref="G131:G141" si="6">365/D131</f>
        <v>36.5</v>
      </c>
      <c r="H131" s="76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</row>
    <row r="132" ht="13.5" customHeight="1">
      <c r="A132" s="75">
        <v>1.1183982216E10</v>
      </c>
      <c r="B132" s="75" t="s">
        <v>405</v>
      </c>
      <c r="C132" s="210"/>
      <c r="D132" s="76">
        <v>10.0</v>
      </c>
      <c r="E132" s="76">
        <v>1.0</v>
      </c>
      <c r="F132" s="76"/>
      <c r="G132" s="76">
        <f t="shared" si="6"/>
        <v>36.5</v>
      </c>
      <c r="H132" s="76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</row>
    <row r="133" ht="13.5" customHeight="1">
      <c r="A133" s="75">
        <v>1.1298500316E10</v>
      </c>
      <c r="B133" s="75" t="s">
        <v>406</v>
      </c>
      <c r="C133" s="210"/>
      <c r="D133" s="76">
        <v>5.0</v>
      </c>
      <c r="E133" s="76">
        <v>74.0</v>
      </c>
      <c r="F133" s="76"/>
      <c r="G133" s="76">
        <f t="shared" si="6"/>
        <v>73</v>
      </c>
      <c r="H133" s="76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</row>
    <row r="134" ht="13.5" customHeight="1">
      <c r="A134" s="75">
        <v>4.66363219E9</v>
      </c>
      <c r="B134" s="75" t="s">
        <v>407</v>
      </c>
      <c r="C134" s="210"/>
      <c r="D134" s="76">
        <v>9.0</v>
      </c>
      <c r="E134" s="76">
        <v>28.0</v>
      </c>
      <c r="F134" s="78"/>
      <c r="G134" s="78">
        <f t="shared" si="6"/>
        <v>40.55555556</v>
      </c>
      <c r="H134" s="78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</row>
    <row r="135" ht="13.5" customHeight="1">
      <c r="A135" s="75">
        <v>4.52263019E9</v>
      </c>
      <c r="B135" s="75" t="s">
        <v>408</v>
      </c>
      <c r="C135" s="210"/>
      <c r="D135" s="76">
        <v>5.0</v>
      </c>
      <c r="E135" s="76">
        <v>14.0</v>
      </c>
      <c r="F135" s="78"/>
      <c r="G135" s="76">
        <f t="shared" si="6"/>
        <v>73</v>
      </c>
      <c r="H135" s="76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</row>
    <row r="136" ht="13.5" customHeight="1">
      <c r="A136" s="75">
        <v>4.52232019E9</v>
      </c>
      <c r="B136" s="75" t="s">
        <v>409</v>
      </c>
      <c r="C136" s="210"/>
      <c r="D136" s="76">
        <v>5.0</v>
      </c>
      <c r="E136" s="76">
        <v>14.0</v>
      </c>
      <c r="F136" s="76"/>
      <c r="G136" s="76">
        <f t="shared" si="6"/>
        <v>73</v>
      </c>
      <c r="H136" s="76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</row>
    <row r="137" ht="13.5" customHeight="1">
      <c r="A137" s="75">
        <v>1.1360981216E10</v>
      </c>
      <c r="B137" s="75" t="s">
        <v>410</v>
      </c>
      <c r="C137" s="210"/>
      <c r="D137" s="76">
        <v>5.0</v>
      </c>
      <c r="E137" s="76">
        <v>28.0</v>
      </c>
      <c r="F137" s="76"/>
      <c r="G137" s="76">
        <f t="shared" si="6"/>
        <v>73</v>
      </c>
      <c r="H137" s="76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</row>
    <row r="138" ht="13.5" customHeight="1">
      <c r="A138" s="75">
        <v>3.149501001E9</v>
      </c>
      <c r="B138" s="75" t="s">
        <v>411</v>
      </c>
      <c r="C138" s="210"/>
      <c r="D138" s="76">
        <v>1.0</v>
      </c>
      <c r="E138" s="76">
        <v>168.0</v>
      </c>
      <c r="F138" s="76"/>
      <c r="G138" s="76">
        <f t="shared" si="6"/>
        <v>365</v>
      </c>
      <c r="H138" s="76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</row>
    <row r="139" ht="13.5" customHeight="1">
      <c r="A139" s="75">
        <v>1.0825468001E10</v>
      </c>
      <c r="B139" s="75" t="s">
        <v>412</v>
      </c>
      <c r="C139" s="210"/>
      <c r="D139" s="76">
        <v>1.0</v>
      </c>
      <c r="E139" s="76">
        <v>56.0</v>
      </c>
      <c r="F139" s="76"/>
      <c r="G139" s="76">
        <f t="shared" si="6"/>
        <v>365</v>
      </c>
      <c r="H139" s="76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</row>
    <row r="140" ht="13.5" customHeight="1">
      <c r="A140" s="75">
        <v>1.0825441001E10</v>
      </c>
      <c r="B140" s="75" t="s">
        <v>413</v>
      </c>
      <c r="C140" s="210"/>
      <c r="D140" s="76">
        <v>1.0</v>
      </c>
      <c r="E140" s="76">
        <v>56.0</v>
      </c>
      <c r="F140" s="76"/>
      <c r="G140" s="76">
        <f t="shared" si="6"/>
        <v>365</v>
      </c>
      <c r="H140" s="76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</row>
    <row r="141" ht="13.5" customHeight="1">
      <c r="A141" s="75">
        <v>3.246353001E9</v>
      </c>
      <c r="B141" s="75" t="s">
        <v>414</v>
      </c>
      <c r="C141" s="210"/>
      <c r="D141" s="76">
        <v>1.0</v>
      </c>
      <c r="E141" s="76">
        <v>56.0</v>
      </c>
      <c r="F141" s="76"/>
      <c r="G141" s="76">
        <f t="shared" si="6"/>
        <v>365</v>
      </c>
      <c r="H141" s="76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</row>
    <row r="142" ht="13.5" customHeight="1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</row>
    <row r="143" ht="13.5" customHeight="1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</row>
    <row r="144" ht="13.5" customHeight="1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</row>
    <row r="145" ht="13.5" customHeight="1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</row>
    <row r="146" ht="13.5" customHeight="1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</row>
    <row r="147" ht="13.5" customHeight="1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</row>
    <row r="148" ht="13.5" customHeight="1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</row>
    <row r="149" ht="13.5" customHeight="1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</row>
    <row r="150" ht="13.5" customHeight="1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</row>
    <row r="151" ht="13.5" customHeight="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</row>
    <row r="152" ht="13.5" customHeight="1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</row>
    <row r="153" ht="13.5" customHeight="1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</row>
    <row r="154" ht="13.5" customHeight="1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</row>
    <row r="155" ht="13.5" customHeight="1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</row>
    <row r="156" ht="13.5" customHeight="1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</row>
    <row r="157" ht="13.5" customHeight="1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</row>
    <row r="158" ht="13.5" customHeight="1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</row>
    <row r="159" ht="13.5" customHeight="1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</row>
    <row r="160" ht="13.5" customHeight="1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</row>
    <row r="161" ht="13.5" customHeight="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</row>
    <row r="162" ht="13.5" customHeight="1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</row>
    <row r="163" ht="13.5" customHeight="1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</row>
    <row r="164" ht="13.5" customHeight="1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</row>
    <row r="165" ht="13.5" customHeight="1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</row>
    <row r="166" ht="13.5" customHeight="1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</row>
    <row r="167" ht="13.5" customHeight="1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</row>
    <row r="168" ht="13.5" customHeight="1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</row>
    <row r="169" ht="13.5" customHeight="1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</row>
    <row r="170" ht="13.5" customHeight="1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</row>
    <row r="171" ht="13.5" customHeight="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</row>
    <row r="172" ht="13.5" customHeight="1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</row>
    <row r="173" ht="13.5" customHeight="1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</row>
    <row r="174" ht="13.5" customHeight="1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</row>
    <row r="175" ht="13.5" customHeight="1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</row>
    <row r="176" ht="13.5" customHeight="1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</row>
    <row r="177" ht="13.5" customHeight="1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</row>
    <row r="178" ht="13.5" customHeight="1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</row>
    <row r="179" ht="13.5" customHeight="1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</row>
    <row r="180" ht="13.5" customHeight="1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</row>
    <row r="181" ht="13.5" customHeight="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</row>
    <row r="182" ht="13.5" customHeight="1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</row>
    <row r="183" ht="13.5" customHeight="1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</row>
    <row r="184" ht="13.5" customHeight="1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</row>
    <row r="185" ht="13.5" customHeight="1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</row>
    <row r="186" ht="13.5" customHeight="1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</row>
    <row r="187" ht="13.5" customHeight="1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</row>
    <row r="188" ht="13.5" customHeight="1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</row>
    <row r="189" ht="13.5" customHeight="1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</row>
    <row r="190" ht="13.5" customHeight="1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</row>
    <row r="191" ht="13.5" customHeight="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</row>
    <row r="192" ht="13.5" customHeight="1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</row>
    <row r="193" ht="13.5" customHeight="1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</row>
    <row r="194" ht="13.5" customHeight="1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</row>
    <row r="195" ht="13.5" customHeight="1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</row>
    <row r="196" ht="13.5" customHeight="1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</row>
    <row r="197" ht="13.5" customHeight="1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</row>
    <row r="198" ht="13.5" customHeight="1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</row>
    <row r="199" ht="13.5" customHeight="1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</row>
    <row r="200" ht="13.5" customHeight="1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</row>
    <row r="201" ht="13.5" customHeight="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</row>
    <row r="202" ht="13.5" customHeight="1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</row>
    <row r="203" ht="13.5" customHeight="1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</row>
    <row r="204" ht="13.5" customHeight="1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</row>
    <row r="205" ht="13.5" customHeight="1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</row>
    <row r="206" ht="13.5" customHeight="1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</row>
    <row r="207" ht="13.5" customHeight="1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</row>
    <row r="208" ht="13.5" customHeight="1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</row>
    <row r="209" ht="13.5" customHeight="1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</row>
    <row r="210" ht="13.5" customHeight="1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</row>
    <row r="211" ht="13.5" customHeight="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</row>
    <row r="212" ht="13.5" customHeight="1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</row>
    <row r="213" ht="13.5" customHeight="1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</row>
    <row r="214" ht="13.5" customHeight="1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</row>
    <row r="215" ht="13.5" customHeight="1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</row>
    <row r="216" ht="13.5" customHeight="1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</row>
    <row r="217" ht="13.5" customHeight="1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</row>
    <row r="218" ht="13.5" customHeight="1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</row>
    <row r="219" ht="13.5" customHeight="1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</row>
    <row r="220" ht="13.5" customHeight="1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</row>
    <row r="221" ht="13.5" customHeight="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</row>
    <row r="222" ht="13.5" customHeight="1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</row>
    <row r="223" ht="13.5" customHeight="1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</row>
    <row r="224" ht="13.5" customHeight="1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</row>
    <row r="225" ht="13.5" customHeight="1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</row>
    <row r="226" ht="13.5" customHeight="1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</row>
    <row r="227" ht="13.5" customHeight="1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</row>
    <row r="228" ht="13.5" customHeight="1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</row>
    <row r="229" ht="13.5" customHeight="1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</row>
    <row r="230" ht="13.5" customHeight="1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</row>
    <row r="231" ht="13.5" customHeight="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</row>
    <row r="232" ht="13.5" customHeight="1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</row>
    <row r="233" ht="13.5" customHeight="1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</row>
    <row r="234" ht="13.5" customHeight="1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</row>
    <row r="235" ht="13.5" customHeight="1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</row>
    <row r="236" ht="13.5" customHeight="1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</row>
    <row r="237" ht="13.5" customHeight="1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</row>
    <row r="238" ht="13.5" customHeight="1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</row>
    <row r="239" ht="13.5" customHeight="1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</row>
    <row r="240" ht="13.5" customHeight="1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</row>
    <row r="241" ht="13.5" customHeight="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</row>
    <row r="242" ht="13.5" customHeight="1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</row>
    <row r="243" ht="13.5" customHeight="1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</row>
    <row r="244" ht="13.5" customHeight="1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</row>
    <row r="245" ht="13.5" customHeight="1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</row>
    <row r="246" ht="13.5" customHeight="1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</row>
    <row r="247" ht="13.5" customHeight="1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</row>
    <row r="248" ht="13.5" customHeight="1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</row>
    <row r="249" ht="13.5" customHeight="1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</row>
    <row r="250" ht="13.5" customHeight="1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</row>
    <row r="251" ht="13.5" customHeight="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</row>
    <row r="252" ht="13.5" customHeight="1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</row>
    <row r="253" ht="13.5" customHeight="1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</row>
    <row r="254" ht="13.5" customHeight="1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</row>
    <row r="255" ht="13.5" customHeight="1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</row>
    <row r="256" ht="13.5" customHeight="1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</row>
    <row r="257" ht="13.5" customHeight="1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</row>
    <row r="258" ht="13.5" customHeight="1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</row>
    <row r="259" ht="13.5" customHeight="1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</row>
    <row r="260" ht="13.5" customHeight="1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</row>
    <row r="261" ht="13.5" customHeight="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</row>
    <row r="262" ht="13.5" customHeight="1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</row>
    <row r="263" ht="13.5" customHeight="1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</row>
    <row r="264" ht="13.5" customHeight="1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</row>
    <row r="265" ht="13.5" customHeight="1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</row>
    <row r="266" ht="13.5" customHeight="1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</row>
    <row r="267" ht="13.5" customHeight="1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</row>
    <row r="268" ht="13.5" customHeight="1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</row>
    <row r="269" ht="13.5" customHeight="1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</row>
    <row r="270" ht="13.5" customHeight="1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</row>
    <row r="271" ht="13.5" customHeight="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</row>
    <row r="272" ht="13.5" customHeight="1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</row>
    <row r="273" ht="13.5" customHeight="1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</row>
    <row r="274" ht="13.5" customHeight="1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</row>
    <row r="275" ht="13.5" customHeight="1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</row>
    <row r="276" ht="13.5" customHeight="1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</row>
    <row r="277" ht="13.5" customHeight="1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</row>
    <row r="278" ht="13.5" customHeight="1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</row>
    <row r="279" ht="13.5" customHeight="1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</row>
    <row r="280" ht="13.5" customHeight="1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</row>
    <row r="281" ht="13.5" customHeight="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</row>
    <row r="282" ht="13.5" customHeight="1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</row>
    <row r="283" ht="13.5" customHeight="1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</row>
    <row r="284" ht="13.5" customHeight="1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</row>
    <row r="285" ht="13.5" customHeight="1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</row>
    <row r="286" ht="13.5" customHeight="1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</row>
    <row r="287" ht="13.5" customHeight="1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</row>
    <row r="288" ht="13.5" customHeight="1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</row>
    <row r="289" ht="13.5" customHeight="1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</row>
    <row r="290" ht="13.5" customHeight="1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</row>
    <row r="291" ht="13.5" customHeight="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</row>
    <row r="292" ht="13.5" customHeight="1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</row>
    <row r="293" ht="13.5" customHeight="1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</row>
    <row r="294" ht="13.5" customHeight="1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</row>
    <row r="295" ht="13.5" customHeight="1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</row>
    <row r="296" ht="13.5" customHeight="1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</row>
    <row r="297" ht="13.5" customHeight="1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</row>
    <row r="298" ht="13.5" customHeight="1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</row>
    <row r="299" ht="13.5" customHeight="1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</row>
    <row r="300" ht="13.5" customHeight="1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</row>
    <row r="301" ht="13.5" customHeight="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</row>
    <row r="302" ht="13.5" customHeight="1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</row>
    <row r="303" ht="13.5" customHeight="1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</row>
    <row r="304" ht="13.5" customHeight="1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</row>
    <row r="305" ht="13.5" customHeight="1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</row>
    <row r="306" ht="13.5" customHeight="1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</row>
    <row r="307" ht="13.5" customHeight="1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</row>
    <row r="308" ht="13.5" customHeight="1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</row>
    <row r="309" ht="13.5" customHeight="1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</row>
    <row r="310" ht="13.5" customHeight="1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</row>
    <row r="311" ht="13.5" customHeight="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</row>
    <row r="312" ht="13.5" customHeight="1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</row>
    <row r="313" ht="13.5" customHeight="1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</row>
    <row r="314" ht="13.5" customHeight="1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</row>
    <row r="315" ht="13.5" customHeight="1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</row>
    <row r="316" ht="13.5" customHeight="1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</row>
    <row r="317" ht="13.5" customHeight="1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</row>
    <row r="318" ht="13.5" customHeight="1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</row>
    <row r="319" ht="13.5" customHeight="1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</row>
    <row r="320" ht="13.5" customHeight="1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</row>
    <row r="321" ht="13.5" customHeight="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</row>
    <row r="322" ht="13.5" customHeight="1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</row>
    <row r="323" ht="13.5" customHeight="1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</row>
    <row r="324" ht="13.5" customHeight="1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</row>
    <row r="325" ht="13.5" customHeight="1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</row>
    <row r="326" ht="13.5" customHeight="1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</row>
    <row r="327" ht="13.5" customHeight="1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</row>
    <row r="328" ht="13.5" customHeight="1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</row>
    <row r="329" ht="13.5" customHeight="1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</row>
    <row r="330" ht="13.5" customHeight="1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</row>
    <row r="331" ht="13.5" customHeight="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</row>
    <row r="332" ht="13.5" customHeight="1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</row>
    <row r="333" ht="13.5" customHeight="1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</row>
    <row r="334" ht="13.5" customHeight="1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</row>
    <row r="335" ht="13.5" customHeight="1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</row>
    <row r="336" ht="13.5" customHeight="1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</row>
    <row r="337" ht="13.5" customHeight="1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</row>
    <row r="338" ht="13.5" customHeight="1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</row>
    <row r="339" ht="13.5" customHeight="1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</row>
    <row r="340" ht="13.5" customHeight="1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</row>
    <row r="341" ht="13.5" customHeight="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</row>
    <row r="342" ht="13.5" customHeight="1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</row>
    <row r="343" ht="13.5" customHeight="1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</row>
    <row r="344" ht="13.5" customHeight="1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</row>
    <row r="345" ht="13.5" customHeight="1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</row>
    <row r="346" ht="13.5" customHeight="1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</row>
    <row r="347" ht="13.5" customHeight="1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</row>
    <row r="348" ht="13.5" customHeight="1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</row>
    <row r="349" ht="13.5" customHeight="1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</row>
    <row r="350" ht="13.5" customHeight="1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</row>
    <row r="351" ht="13.5" customHeight="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</row>
    <row r="352" ht="13.5" customHeight="1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</row>
    <row r="353" ht="13.5" customHeight="1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</row>
    <row r="354" ht="13.5" customHeight="1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</row>
    <row r="355" ht="13.5" customHeight="1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</row>
    <row r="356" ht="13.5" customHeight="1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</row>
    <row r="357" ht="13.5" customHeight="1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</row>
    <row r="358" ht="13.5" customHeight="1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</row>
    <row r="359" ht="13.5" customHeight="1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</row>
    <row r="360" ht="13.5" customHeight="1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</row>
    <row r="361" ht="13.5" customHeight="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</row>
    <row r="362" ht="13.5" customHeight="1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</row>
    <row r="363" ht="13.5" customHeight="1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</row>
    <row r="364" ht="13.5" customHeight="1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</row>
    <row r="365" ht="13.5" customHeight="1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</row>
    <row r="366" ht="13.5" customHeight="1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</row>
    <row r="367" ht="13.5" customHeight="1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</row>
    <row r="368" ht="13.5" customHeight="1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</row>
    <row r="369" ht="13.5" customHeight="1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</row>
    <row r="370" ht="13.5" customHeight="1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</row>
    <row r="371" ht="13.5" customHeight="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</row>
    <row r="372" ht="13.5" customHeight="1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</row>
    <row r="373" ht="13.5" customHeight="1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</row>
    <row r="374" ht="13.5" customHeight="1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</row>
    <row r="375" ht="13.5" customHeight="1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</row>
    <row r="376" ht="13.5" customHeight="1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</row>
    <row r="377" ht="13.5" customHeight="1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</row>
    <row r="378" ht="13.5" customHeight="1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</row>
    <row r="379" ht="13.5" customHeight="1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</row>
    <row r="380" ht="13.5" customHeight="1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</row>
    <row r="381" ht="13.5" customHeight="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</row>
    <row r="382" ht="13.5" customHeight="1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</row>
    <row r="383" ht="13.5" customHeight="1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</row>
    <row r="384" ht="13.5" customHeight="1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</row>
    <row r="385" ht="13.5" customHeight="1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</row>
    <row r="386" ht="13.5" customHeight="1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</row>
    <row r="387" ht="13.5" customHeight="1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</row>
    <row r="388" ht="13.5" customHeight="1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</row>
    <row r="389" ht="13.5" customHeight="1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</row>
    <row r="390" ht="13.5" customHeight="1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</row>
    <row r="391" ht="13.5" customHeight="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</row>
    <row r="392" ht="13.5" customHeight="1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</row>
    <row r="393" ht="13.5" customHeight="1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</row>
    <row r="394" ht="13.5" customHeight="1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</row>
    <row r="395" ht="13.5" customHeight="1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</row>
    <row r="396" ht="13.5" customHeight="1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</row>
    <row r="397" ht="13.5" customHeight="1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</row>
    <row r="398" ht="13.5" customHeight="1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</row>
    <row r="399" ht="13.5" customHeight="1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</row>
    <row r="400" ht="13.5" customHeight="1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</row>
    <row r="401" ht="13.5" customHeight="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</row>
    <row r="402" ht="13.5" customHeight="1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</row>
    <row r="403" ht="13.5" customHeight="1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</row>
    <row r="404" ht="13.5" customHeight="1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</row>
    <row r="405" ht="13.5" customHeight="1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</row>
    <row r="406" ht="13.5" customHeight="1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</row>
    <row r="407" ht="13.5" customHeight="1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</row>
    <row r="408" ht="13.5" customHeight="1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</row>
    <row r="409" ht="13.5" customHeight="1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</row>
    <row r="410" ht="13.5" customHeight="1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</row>
    <row r="411" ht="13.5" customHeight="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</row>
    <row r="412" ht="13.5" customHeight="1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</row>
    <row r="413" ht="13.5" customHeight="1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</row>
    <row r="414" ht="13.5" customHeight="1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</row>
    <row r="415" ht="13.5" customHeight="1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</row>
    <row r="416" ht="13.5" customHeight="1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</row>
    <row r="417" ht="13.5" customHeight="1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</row>
    <row r="418" ht="13.5" customHeight="1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</row>
    <row r="419" ht="13.5" customHeight="1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</row>
    <row r="420" ht="13.5" customHeight="1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</row>
    <row r="421" ht="13.5" customHeight="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</row>
    <row r="422" ht="13.5" customHeight="1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</row>
    <row r="423" ht="13.5" customHeight="1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</row>
    <row r="424" ht="13.5" customHeight="1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</row>
    <row r="425" ht="13.5" customHeight="1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</row>
    <row r="426" ht="13.5" customHeight="1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</row>
    <row r="427" ht="13.5" customHeight="1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</row>
    <row r="428" ht="13.5" customHeight="1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</row>
    <row r="429" ht="13.5" customHeight="1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</row>
    <row r="430" ht="13.5" customHeight="1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</row>
    <row r="431" ht="13.5" customHeight="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</row>
    <row r="432" ht="13.5" customHeight="1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</row>
    <row r="433" ht="13.5" customHeight="1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</row>
    <row r="434" ht="13.5" customHeight="1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</row>
    <row r="435" ht="13.5" customHeight="1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</row>
    <row r="436" ht="13.5" customHeight="1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</row>
    <row r="437" ht="13.5" customHeight="1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</row>
    <row r="438" ht="13.5" customHeight="1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</row>
    <row r="439" ht="13.5" customHeight="1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</row>
    <row r="440" ht="13.5" customHeight="1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</row>
    <row r="441" ht="13.5" customHeight="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</row>
    <row r="442" ht="13.5" customHeight="1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</row>
    <row r="443" ht="13.5" customHeight="1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</row>
    <row r="444" ht="13.5" customHeight="1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</row>
    <row r="445" ht="13.5" customHeight="1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</row>
    <row r="446" ht="13.5" customHeight="1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</row>
    <row r="447" ht="13.5" customHeight="1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</row>
    <row r="448" ht="13.5" customHeight="1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</row>
    <row r="449" ht="13.5" customHeight="1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</row>
    <row r="450" ht="13.5" customHeight="1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</row>
    <row r="451" ht="13.5" customHeight="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</row>
    <row r="452" ht="13.5" customHeight="1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</row>
    <row r="453" ht="13.5" customHeight="1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</row>
    <row r="454" ht="13.5" customHeight="1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</row>
    <row r="455" ht="13.5" customHeight="1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</row>
    <row r="456" ht="13.5" customHeight="1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</row>
    <row r="457" ht="13.5" customHeight="1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</row>
    <row r="458" ht="13.5" customHeight="1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</row>
    <row r="459" ht="13.5" customHeight="1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</row>
    <row r="460" ht="13.5" customHeight="1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</row>
    <row r="461" ht="13.5" customHeight="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</row>
    <row r="462" ht="13.5" customHeight="1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</row>
    <row r="463" ht="13.5" customHeight="1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</row>
    <row r="464" ht="13.5" customHeight="1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</row>
    <row r="465" ht="13.5" customHeight="1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</row>
    <row r="466" ht="13.5" customHeight="1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</row>
    <row r="467" ht="13.5" customHeight="1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</row>
    <row r="468" ht="13.5" customHeight="1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</row>
    <row r="469" ht="13.5" customHeight="1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</row>
    <row r="470" ht="13.5" customHeight="1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</row>
    <row r="471" ht="13.5" customHeight="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</row>
    <row r="472" ht="13.5" customHeight="1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</row>
    <row r="473" ht="13.5" customHeight="1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</row>
    <row r="474" ht="13.5" customHeight="1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</row>
    <row r="475" ht="13.5" customHeight="1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</row>
    <row r="476" ht="13.5" customHeight="1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</row>
    <row r="477" ht="13.5" customHeight="1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</row>
    <row r="478" ht="13.5" customHeight="1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</row>
    <row r="479" ht="13.5" customHeight="1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</row>
    <row r="480" ht="13.5" customHeight="1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</row>
    <row r="481" ht="13.5" customHeight="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</row>
    <row r="482" ht="13.5" customHeight="1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</row>
    <row r="483" ht="13.5" customHeight="1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</row>
    <row r="484" ht="13.5" customHeight="1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</row>
    <row r="485" ht="13.5" customHeight="1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</row>
    <row r="486" ht="13.5" customHeight="1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</row>
    <row r="487" ht="13.5" customHeight="1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</row>
    <row r="488" ht="13.5" customHeight="1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</row>
    <row r="489" ht="13.5" customHeight="1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</row>
    <row r="490" ht="13.5" customHeight="1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</row>
    <row r="491" ht="13.5" customHeight="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</row>
    <row r="492" ht="13.5" customHeight="1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</row>
    <row r="493" ht="13.5" customHeight="1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</row>
    <row r="494" ht="13.5" customHeight="1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</row>
    <row r="495" ht="13.5" customHeight="1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</row>
    <row r="496" ht="13.5" customHeight="1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</row>
    <row r="497" ht="13.5" customHeight="1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</row>
    <row r="498" ht="13.5" customHeight="1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</row>
    <row r="499" ht="13.5" customHeight="1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</row>
    <row r="500" ht="13.5" customHeight="1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</row>
    <row r="501" ht="13.5" customHeight="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  <c r="Y501" s="65"/>
      <c r="Z501" s="65"/>
    </row>
    <row r="502" ht="13.5" customHeight="1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  <c r="Y502" s="65"/>
      <c r="Z502" s="65"/>
    </row>
    <row r="503" ht="13.5" customHeight="1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  <c r="Y503" s="65"/>
      <c r="Z503" s="65"/>
    </row>
    <row r="504" ht="13.5" customHeight="1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  <c r="Y504" s="65"/>
      <c r="Z504" s="65"/>
    </row>
    <row r="505" ht="13.5" customHeight="1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  <c r="Y505" s="65"/>
      <c r="Z505" s="65"/>
    </row>
    <row r="506" ht="13.5" customHeight="1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  <c r="Y506" s="65"/>
      <c r="Z506" s="65"/>
    </row>
    <row r="507" ht="13.5" customHeight="1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  <c r="Y507" s="65"/>
      <c r="Z507" s="65"/>
    </row>
    <row r="508" ht="13.5" customHeight="1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  <c r="Y508" s="65"/>
      <c r="Z508" s="65"/>
    </row>
    <row r="509" ht="13.5" customHeight="1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  <c r="Y509" s="65"/>
      <c r="Z509" s="65"/>
    </row>
    <row r="510" ht="13.5" customHeight="1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  <c r="Y510" s="65"/>
      <c r="Z510" s="65"/>
    </row>
    <row r="511" ht="13.5" customHeight="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  <c r="Y511" s="65"/>
      <c r="Z511" s="65"/>
    </row>
    <row r="512" ht="13.5" customHeight="1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  <c r="Y512" s="65"/>
      <c r="Z512" s="65"/>
    </row>
    <row r="513" ht="13.5" customHeight="1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  <c r="Y513" s="65"/>
      <c r="Z513" s="65"/>
    </row>
    <row r="514" ht="13.5" customHeight="1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  <c r="Y514" s="65"/>
      <c r="Z514" s="65"/>
    </row>
    <row r="515" ht="13.5" customHeight="1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  <c r="Y515" s="65"/>
      <c r="Z515" s="65"/>
    </row>
    <row r="516" ht="13.5" customHeight="1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  <c r="Y516" s="65"/>
      <c r="Z516" s="65"/>
    </row>
    <row r="517" ht="13.5" customHeight="1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  <c r="Y517" s="65"/>
      <c r="Z517" s="65"/>
    </row>
    <row r="518" ht="13.5" customHeight="1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  <c r="Y518" s="65"/>
      <c r="Z518" s="65"/>
    </row>
    <row r="519" ht="13.5" customHeight="1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  <c r="Y519" s="65"/>
      <c r="Z519" s="65"/>
    </row>
    <row r="520" ht="13.5" customHeight="1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  <c r="Y520" s="65"/>
      <c r="Z520" s="65"/>
    </row>
    <row r="521" ht="13.5" customHeight="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  <c r="Y521" s="65"/>
      <c r="Z521" s="65"/>
    </row>
    <row r="522" ht="13.5" customHeight="1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  <c r="Y522" s="65"/>
      <c r="Z522" s="65"/>
    </row>
    <row r="523" ht="13.5" customHeight="1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  <c r="Y523" s="65"/>
      <c r="Z523" s="65"/>
    </row>
    <row r="524" ht="13.5" customHeight="1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  <c r="Y524" s="65"/>
      <c r="Z524" s="65"/>
    </row>
    <row r="525" ht="13.5" customHeight="1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  <c r="Y525" s="65"/>
      <c r="Z525" s="65"/>
    </row>
    <row r="526" ht="13.5" customHeight="1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  <c r="Y526" s="65"/>
      <c r="Z526" s="65"/>
    </row>
    <row r="527" ht="13.5" customHeight="1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  <c r="Y527" s="65"/>
      <c r="Z527" s="65"/>
    </row>
    <row r="528" ht="13.5" customHeight="1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  <c r="Y528" s="65"/>
      <c r="Z528" s="65"/>
    </row>
    <row r="529" ht="13.5" customHeight="1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  <c r="Y529" s="65"/>
      <c r="Z529" s="65"/>
    </row>
    <row r="530" ht="13.5" customHeight="1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  <c r="Y530" s="65"/>
      <c r="Z530" s="65"/>
    </row>
    <row r="531" ht="13.5" customHeight="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  <c r="Y531" s="65"/>
      <c r="Z531" s="65"/>
    </row>
    <row r="532" ht="13.5" customHeight="1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  <c r="Y532" s="65"/>
      <c r="Z532" s="65"/>
    </row>
    <row r="533" ht="13.5" customHeight="1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  <c r="Y533" s="65"/>
      <c r="Z533" s="65"/>
    </row>
    <row r="534" ht="13.5" customHeight="1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  <c r="Y534" s="65"/>
      <c r="Z534" s="65"/>
    </row>
    <row r="535" ht="13.5" customHeight="1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  <c r="Y535" s="65"/>
      <c r="Z535" s="65"/>
    </row>
    <row r="536" ht="13.5" customHeight="1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  <c r="Y536" s="65"/>
      <c r="Z536" s="65"/>
    </row>
    <row r="537" ht="13.5" customHeight="1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  <c r="Y537" s="65"/>
      <c r="Z537" s="65"/>
    </row>
    <row r="538" ht="13.5" customHeight="1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  <c r="Y538" s="65"/>
      <c r="Z538" s="65"/>
    </row>
    <row r="539" ht="13.5" customHeight="1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  <c r="Y539" s="65"/>
      <c r="Z539" s="65"/>
    </row>
    <row r="540" ht="13.5" customHeight="1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  <c r="Y540" s="65"/>
      <c r="Z540" s="65"/>
    </row>
    <row r="541" ht="13.5" customHeight="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  <c r="Y541" s="65"/>
      <c r="Z541" s="65"/>
    </row>
    <row r="542" ht="13.5" customHeight="1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  <c r="Y542" s="65"/>
      <c r="Z542" s="65"/>
    </row>
    <row r="543" ht="13.5" customHeight="1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  <c r="Y543" s="65"/>
      <c r="Z543" s="65"/>
    </row>
    <row r="544" ht="13.5" customHeight="1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  <c r="Y544" s="65"/>
      <c r="Z544" s="65"/>
    </row>
    <row r="545" ht="13.5" customHeight="1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  <c r="Y545" s="65"/>
      <c r="Z545" s="65"/>
    </row>
    <row r="546" ht="13.5" customHeight="1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  <c r="Y546" s="65"/>
      <c r="Z546" s="65"/>
    </row>
    <row r="547" ht="13.5" customHeight="1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  <c r="Y547" s="65"/>
      <c r="Z547" s="65"/>
    </row>
    <row r="548" ht="13.5" customHeight="1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  <c r="Y548" s="65"/>
      <c r="Z548" s="65"/>
    </row>
    <row r="549" ht="13.5" customHeight="1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  <c r="Y549" s="65"/>
      <c r="Z549" s="65"/>
    </row>
    <row r="550" ht="13.5" customHeight="1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  <c r="Y550" s="65"/>
      <c r="Z550" s="65"/>
    </row>
    <row r="551" ht="13.5" customHeight="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  <c r="Y551" s="65"/>
      <c r="Z551" s="65"/>
    </row>
    <row r="552" ht="13.5" customHeight="1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  <c r="Y552" s="65"/>
      <c r="Z552" s="65"/>
    </row>
    <row r="553" ht="13.5" customHeight="1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  <c r="Y553" s="65"/>
      <c r="Z553" s="65"/>
    </row>
    <row r="554" ht="13.5" customHeight="1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  <c r="Y554" s="65"/>
      <c r="Z554" s="65"/>
    </row>
    <row r="555" ht="13.5" customHeight="1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  <c r="Y555" s="65"/>
      <c r="Z555" s="65"/>
    </row>
    <row r="556" ht="13.5" customHeight="1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  <c r="Y556" s="65"/>
      <c r="Z556" s="65"/>
    </row>
    <row r="557" ht="13.5" customHeight="1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  <c r="Y557" s="65"/>
      <c r="Z557" s="65"/>
    </row>
    <row r="558" ht="13.5" customHeight="1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  <c r="Y558" s="65"/>
      <c r="Z558" s="65"/>
    </row>
    <row r="559" ht="13.5" customHeight="1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  <c r="Y559" s="65"/>
      <c r="Z559" s="65"/>
    </row>
    <row r="560" ht="13.5" customHeight="1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  <c r="Y560" s="65"/>
      <c r="Z560" s="65"/>
    </row>
    <row r="561" ht="13.5" customHeight="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  <c r="Y561" s="65"/>
      <c r="Z561" s="65"/>
    </row>
    <row r="562" ht="13.5" customHeight="1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  <c r="Y562" s="65"/>
      <c r="Z562" s="65"/>
    </row>
    <row r="563" ht="13.5" customHeight="1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  <c r="Y563" s="65"/>
      <c r="Z563" s="65"/>
    </row>
    <row r="564" ht="13.5" customHeight="1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  <c r="Y564" s="65"/>
      <c r="Z564" s="65"/>
    </row>
    <row r="565" ht="13.5" customHeight="1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  <c r="Y565" s="65"/>
      <c r="Z565" s="65"/>
    </row>
    <row r="566" ht="13.5" customHeight="1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  <c r="Y566" s="65"/>
      <c r="Z566" s="65"/>
    </row>
    <row r="567" ht="13.5" customHeight="1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  <c r="Y567" s="65"/>
      <c r="Z567" s="65"/>
    </row>
    <row r="568" ht="13.5" customHeight="1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  <c r="Y568" s="65"/>
      <c r="Z568" s="65"/>
    </row>
    <row r="569" ht="13.5" customHeight="1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  <c r="Y569" s="65"/>
      <c r="Z569" s="65"/>
    </row>
    <row r="570" ht="13.5" customHeight="1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  <c r="Y570" s="65"/>
      <c r="Z570" s="65"/>
    </row>
    <row r="571" ht="13.5" customHeight="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  <c r="Y571" s="65"/>
      <c r="Z571" s="65"/>
    </row>
    <row r="572" ht="13.5" customHeight="1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  <c r="Y572" s="65"/>
      <c r="Z572" s="65"/>
    </row>
    <row r="573" ht="13.5" customHeight="1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  <c r="Y573" s="65"/>
      <c r="Z573" s="65"/>
    </row>
    <row r="574" ht="13.5" customHeight="1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  <c r="Y574" s="65"/>
      <c r="Z574" s="65"/>
    </row>
    <row r="575" ht="13.5" customHeight="1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  <c r="Y575" s="65"/>
      <c r="Z575" s="65"/>
    </row>
    <row r="576" ht="13.5" customHeight="1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  <c r="Y576" s="65"/>
      <c r="Z576" s="65"/>
    </row>
    <row r="577" ht="13.5" customHeight="1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  <c r="Y577" s="65"/>
      <c r="Z577" s="65"/>
    </row>
    <row r="578" ht="13.5" customHeight="1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  <c r="Y578" s="65"/>
      <c r="Z578" s="65"/>
    </row>
    <row r="579" ht="13.5" customHeight="1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  <c r="Y579" s="65"/>
      <c r="Z579" s="65"/>
    </row>
    <row r="580" ht="13.5" customHeight="1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  <c r="Y580" s="65"/>
      <c r="Z580" s="65"/>
    </row>
    <row r="581" ht="13.5" customHeight="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  <c r="Y581" s="65"/>
      <c r="Z581" s="65"/>
    </row>
    <row r="582" ht="13.5" customHeight="1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  <c r="Y582" s="65"/>
      <c r="Z582" s="65"/>
    </row>
    <row r="583" ht="13.5" customHeight="1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  <c r="Y583" s="65"/>
      <c r="Z583" s="65"/>
    </row>
    <row r="584" ht="13.5" customHeight="1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  <c r="Y584" s="65"/>
      <c r="Z584" s="65"/>
    </row>
    <row r="585" ht="13.5" customHeight="1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  <c r="Y585" s="65"/>
      <c r="Z585" s="65"/>
    </row>
    <row r="586" ht="13.5" customHeight="1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  <c r="Y586" s="65"/>
      <c r="Z586" s="65"/>
    </row>
    <row r="587" ht="13.5" customHeight="1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  <c r="Y587" s="65"/>
      <c r="Z587" s="65"/>
    </row>
    <row r="588" ht="13.5" customHeight="1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  <c r="Y588" s="65"/>
      <c r="Z588" s="65"/>
    </row>
    <row r="589" ht="13.5" customHeight="1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  <c r="Y589" s="65"/>
      <c r="Z589" s="65"/>
    </row>
    <row r="590" ht="13.5" customHeight="1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  <c r="Y590" s="65"/>
      <c r="Z590" s="65"/>
    </row>
    <row r="591" ht="13.5" customHeight="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  <c r="Y591" s="65"/>
      <c r="Z591" s="65"/>
    </row>
    <row r="592" ht="13.5" customHeight="1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  <c r="Y592" s="65"/>
      <c r="Z592" s="65"/>
    </row>
    <row r="593" ht="13.5" customHeight="1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  <c r="Y593" s="65"/>
      <c r="Z593" s="65"/>
    </row>
    <row r="594" ht="13.5" customHeight="1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  <c r="Y594" s="65"/>
      <c r="Z594" s="65"/>
    </row>
    <row r="595" ht="13.5" customHeight="1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  <c r="Y595" s="65"/>
      <c r="Z595" s="65"/>
    </row>
    <row r="596" ht="13.5" customHeight="1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  <c r="Y596" s="65"/>
      <c r="Z596" s="65"/>
    </row>
    <row r="597" ht="13.5" customHeight="1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  <c r="Y597" s="65"/>
      <c r="Z597" s="65"/>
    </row>
    <row r="598" ht="13.5" customHeight="1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  <c r="Y598" s="65"/>
      <c r="Z598" s="65"/>
    </row>
    <row r="599" ht="13.5" customHeight="1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  <c r="Y599" s="65"/>
      <c r="Z599" s="65"/>
    </row>
    <row r="600" ht="13.5" customHeight="1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  <c r="Y600" s="65"/>
      <c r="Z600" s="65"/>
    </row>
    <row r="601" ht="13.5" customHeight="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  <c r="Y601" s="65"/>
      <c r="Z601" s="65"/>
    </row>
    <row r="602" ht="13.5" customHeight="1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  <c r="Y602" s="65"/>
      <c r="Z602" s="65"/>
    </row>
    <row r="603" ht="13.5" customHeight="1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  <c r="Y603" s="65"/>
      <c r="Z603" s="65"/>
    </row>
    <row r="604" ht="13.5" customHeight="1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  <c r="Y604" s="65"/>
      <c r="Z604" s="65"/>
    </row>
    <row r="605" ht="13.5" customHeight="1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  <c r="Y605" s="65"/>
      <c r="Z605" s="65"/>
    </row>
    <row r="606" ht="13.5" customHeight="1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  <c r="Y606" s="65"/>
      <c r="Z606" s="65"/>
    </row>
    <row r="607" ht="13.5" customHeight="1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  <c r="Y607" s="65"/>
      <c r="Z607" s="65"/>
    </row>
    <row r="608" ht="13.5" customHeight="1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  <c r="Y608" s="65"/>
      <c r="Z608" s="65"/>
    </row>
    <row r="609" ht="13.5" customHeight="1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  <c r="Y609" s="65"/>
      <c r="Z609" s="65"/>
    </row>
    <row r="610" ht="13.5" customHeight="1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  <c r="Y610" s="65"/>
      <c r="Z610" s="65"/>
    </row>
    <row r="611" ht="13.5" customHeight="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  <c r="Y611" s="65"/>
      <c r="Z611" s="65"/>
    </row>
    <row r="612" ht="13.5" customHeight="1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  <c r="Y612" s="65"/>
      <c r="Z612" s="65"/>
    </row>
    <row r="613" ht="13.5" customHeight="1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  <c r="Y613" s="65"/>
      <c r="Z613" s="65"/>
    </row>
    <row r="614" ht="13.5" customHeight="1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  <c r="Y614" s="65"/>
      <c r="Z614" s="65"/>
    </row>
    <row r="615" ht="13.5" customHeight="1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  <c r="Y615" s="65"/>
      <c r="Z615" s="65"/>
    </row>
    <row r="616" ht="13.5" customHeight="1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  <c r="Y616" s="65"/>
      <c r="Z616" s="65"/>
    </row>
    <row r="617" ht="13.5" customHeight="1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  <c r="Y617" s="65"/>
      <c r="Z617" s="65"/>
    </row>
    <row r="618" ht="13.5" customHeight="1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  <c r="Y618" s="65"/>
      <c r="Z618" s="65"/>
    </row>
    <row r="619" ht="13.5" customHeight="1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  <c r="Y619" s="65"/>
      <c r="Z619" s="65"/>
    </row>
    <row r="620" ht="13.5" customHeight="1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  <c r="Y620" s="65"/>
      <c r="Z620" s="65"/>
    </row>
    <row r="621" ht="13.5" customHeight="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  <c r="Y621" s="65"/>
      <c r="Z621" s="65"/>
    </row>
    <row r="622" ht="13.5" customHeight="1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  <c r="Y622" s="65"/>
      <c r="Z622" s="65"/>
    </row>
    <row r="623" ht="13.5" customHeight="1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  <c r="Y623" s="65"/>
      <c r="Z623" s="65"/>
    </row>
    <row r="624" ht="13.5" customHeight="1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  <c r="Y624" s="65"/>
      <c r="Z624" s="65"/>
    </row>
    <row r="625" ht="13.5" customHeight="1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  <c r="Y625" s="65"/>
      <c r="Z625" s="65"/>
    </row>
    <row r="626" ht="13.5" customHeight="1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  <c r="Y626" s="65"/>
      <c r="Z626" s="65"/>
    </row>
    <row r="627" ht="13.5" customHeight="1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  <c r="Y627" s="65"/>
      <c r="Z627" s="65"/>
    </row>
    <row r="628" ht="13.5" customHeight="1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  <c r="Y628" s="65"/>
      <c r="Z628" s="65"/>
    </row>
    <row r="629" ht="13.5" customHeight="1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  <c r="Y629" s="65"/>
      <c r="Z629" s="65"/>
    </row>
    <row r="630" ht="13.5" customHeight="1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  <c r="Y630" s="65"/>
      <c r="Z630" s="65"/>
    </row>
    <row r="631" ht="13.5" customHeight="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  <c r="Y631" s="65"/>
      <c r="Z631" s="65"/>
    </row>
    <row r="632" ht="13.5" customHeight="1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  <c r="Y632" s="65"/>
      <c r="Z632" s="65"/>
    </row>
    <row r="633" ht="13.5" customHeight="1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  <c r="Y633" s="65"/>
      <c r="Z633" s="65"/>
    </row>
    <row r="634" ht="13.5" customHeight="1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  <c r="Y634" s="65"/>
      <c r="Z634" s="65"/>
    </row>
    <row r="635" ht="13.5" customHeight="1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  <c r="Y635" s="65"/>
      <c r="Z635" s="65"/>
    </row>
    <row r="636" ht="13.5" customHeight="1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  <c r="Y636" s="65"/>
      <c r="Z636" s="65"/>
    </row>
    <row r="637" ht="13.5" customHeight="1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  <c r="Y637" s="65"/>
      <c r="Z637" s="65"/>
    </row>
    <row r="638" ht="13.5" customHeight="1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  <c r="Y638" s="65"/>
      <c r="Z638" s="65"/>
    </row>
    <row r="639" ht="13.5" customHeight="1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  <c r="Y639" s="65"/>
      <c r="Z639" s="65"/>
    </row>
    <row r="640" ht="13.5" customHeight="1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  <c r="Y640" s="65"/>
      <c r="Z640" s="65"/>
    </row>
    <row r="641" ht="13.5" customHeight="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  <c r="Y641" s="65"/>
      <c r="Z641" s="65"/>
    </row>
    <row r="642" ht="13.5" customHeight="1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  <c r="Y642" s="65"/>
      <c r="Z642" s="65"/>
    </row>
    <row r="643" ht="13.5" customHeight="1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  <c r="Y643" s="65"/>
      <c r="Z643" s="65"/>
    </row>
    <row r="644" ht="13.5" customHeight="1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  <c r="Y644" s="65"/>
      <c r="Z644" s="65"/>
    </row>
    <row r="645" ht="13.5" customHeight="1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  <c r="Y645" s="65"/>
      <c r="Z645" s="65"/>
    </row>
    <row r="646" ht="13.5" customHeight="1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  <c r="Y646" s="65"/>
      <c r="Z646" s="65"/>
    </row>
    <row r="647" ht="13.5" customHeight="1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  <c r="Y647" s="65"/>
      <c r="Z647" s="65"/>
    </row>
    <row r="648" ht="13.5" customHeight="1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  <c r="Y648" s="65"/>
      <c r="Z648" s="65"/>
    </row>
    <row r="649" ht="13.5" customHeight="1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  <c r="Y649" s="65"/>
      <c r="Z649" s="65"/>
    </row>
    <row r="650" ht="13.5" customHeight="1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  <c r="Y650" s="65"/>
      <c r="Z650" s="65"/>
    </row>
    <row r="651" ht="13.5" customHeight="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  <c r="Y651" s="65"/>
      <c r="Z651" s="65"/>
    </row>
    <row r="652" ht="13.5" customHeight="1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  <c r="Y652" s="65"/>
      <c r="Z652" s="65"/>
    </row>
    <row r="653" ht="13.5" customHeight="1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  <c r="Y653" s="65"/>
      <c r="Z653" s="65"/>
    </row>
    <row r="654" ht="13.5" customHeight="1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  <c r="Y654" s="65"/>
      <c r="Z654" s="65"/>
    </row>
    <row r="655" ht="13.5" customHeight="1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  <c r="Y655" s="65"/>
      <c r="Z655" s="65"/>
    </row>
    <row r="656" ht="13.5" customHeight="1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  <c r="Y656" s="65"/>
      <c r="Z656" s="65"/>
    </row>
    <row r="657" ht="13.5" customHeight="1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  <c r="Y657" s="65"/>
      <c r="Z657" s="65"/>
    </row>
    <row r="658" ht="13.5" customHeight="1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  <c r="Y658" s="65"/>
      <c r="Z658" s="65"/>
    </row>
    <row r="659" ht="13.5" customHeight="1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  <c r="Y659" s="65"/>
      <c r="Z659" s="65"/>
    </row>
    <row r="660" ht="13.5" customHeight="1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  <c r="Y660" s="65"/>
      <c r="Z660" s="65"/>
    </row>
    <row r="661" ht="13.5" customHeight="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  <c r="Y661" s="65"/>
      <c r="Z661" s="65"/>
    </row>
    <row r="662" ht="13.5" customHeight="1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  <c r="Y662" s="65"/>
      <c r="Z662" s="65"/>
    </row>
    <row r="663" ht="13.5" customHeight="1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  <c r="Y663" s="65"/>
      <c r="Z663" s="65"/>
    </row>
    <row r="664" ht="13.5" customHeight="1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  <c r="Y664" s="65"/>
      <c r="Z664" s="65"/>
    </row>
    <row r="665" ht="13.5" customHeight="1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  <c r="Y665" s="65"/>
      <c r="Z665" s="65"/>
    </row>
    <row r="666" ht="13.5" customHeight="1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  <c r="Y666" s="65"/>
      <c r="Z666" s="65"/>
    </row>
    <row r="667" ht="13.5" customHeight="1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  <c r="Y667" s="65"/>
      <c r="Z667" s="65"/>
    </row>
    <row r="668" ht="13.5" customHeight="1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  <c r="Y668" s="65"/>
      <c r="Z668" s="65"/>
    </row>
    <row r="669" ht="13.5" customHeight="1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  <c r="Y669" s="65"/>
      <c r="Z669" s="65"/>
    </row>
    <row r="670" ht="13.5" customHeight="1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  <c r="Y670" s="65"/>
      <c r="Z670" s="65"/>
    </row>
    <row r="671" ht="13.5" customHeight="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  <c r="Y671" s="65"/>
      <c r="Z671" s="65"/>
    </row>
    <row r="672" ht="13.5" customHeight="1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  <c r="Y672" s="65"/>
      <c r="Z672" s="65"/>
    </row>
    <row r="673" ht="13.5" customHeight="1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  <c r="Y673" s="65"/>
      <c r="Z673" s="65"/>
    </row>
    <row r="674" ht="13.5" customHeight="1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  <c r="Y674" s="65"/>
      <c r="Z674" s="65"/>
    </row>
    <row r="675" ht="13.5" customHeight="1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  <c r="Y675" s="65"/>
      <c r="Z675" s="65"/>
    </row>
    <row r="676" ht="13.5" customHeight="1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  <c r="Y676" s="65"/>
      <c r="Z676" s="65"/>
    </row>
    <row r="677" ht="13.5" customHeight="1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  <c r="Y677" s="65"/>
      <c r="Z677" s="65"/>
    </row>
    <row r="678" ht="13.5" customHeight="1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  <c r="Y678" s="65"/>
      <c r="Z678" s="65"/>
    </row>
    <row r="679" ht="13.5" customHeight="1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  <c r="Y679" s="65"/>
      <c r="Z679" s="65"/>
    </row>
    <row r="680" ht="13.5" customHeight="1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  <c r="Y680" s="65"/>
      <c r="Z680" s="65"/>
    </row>
    <row r="681" ht="13.5" customHeight="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  <c r="Y681" s="65"/>
      <c r="Z681" s="65"/>
    </row>
    <row r="682" ht="13.5" customHeight="1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  <c r="Y682" s="65"/>
      <c r="Z682" s="65"/>
    </row>
    <row r="683" ht="13.5" customHeight="1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  <c r="Y683" s="65"/>
      <c r="Z683" s="65"/>
    </row>
    <row r="684" ht="13.5" customHeight="1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  <c r="Y684" s="65"/>
      <c r="Z684" s="65"/>
    </row>
    <row r="685" ht="13.5" customHeight="1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  <c r="Y685" s="65"/>
      <c r="Z685" s="65"/>
    </row>
    <row r="686" ht="13.5" customHeight="1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  <c r="Y686" s="65"/>
      <c r="Z686" s="65"/>
    </row>
    <row r="687" ht="13.5" customHeight="1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  <c r="Y687" s="65"/>
      <c r="Z687" s="65"/>
    </row>
    <row r="688" ht="13.5" customHeight="1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  <c r="Y688" s="65"/>
      <c r="Z688" s="65"/>
    </row>
    <row r="689" ht="13.5" customHeight="1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  <c r="Y689" s="65"/>
      <c r="Z689" s="65"/>
    </row>
    <row r="690" ht="13.5" customHeight="1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  <c r="Y690" s="65"/>
      <c r="Z690" s="65"/>
    </row>
    <row r="691" ht="13.5" customHeight="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  <c r="Y691" s="65"/>
      <c r="Z691" s="65"/>
    </row>
    <row r="692" ht="13.5" customHeight="1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  <c r="Y692" s="65"/>
      <c r="Z692" s="65"/>
    </row>
    <row r="693" ht="13.5" customHeight="1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  <c r="Y693" s="65"/>
      <c r="Z693" s="65"/>
    </row>
    <row r="694" ht="13.5" customHeight="1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  <c r="Y694" s="65"/>
      <c r="Z694" s="65"/>
    </row>
    <row r="695" ht="13.5" customHeight="1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  <c r="Y695" s="65"/>
      <c r="Z695" s="65"/>
    </row>
    <row r="696" ht="13.5" customHeight="1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  <c r="Y696" s="65"/>
      <c r="Z696" s="65"/>
    </row>
    <row r="697" ht="13.5" customHeight="1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  <c r="Y697" s="65"/>
      <c r="Z697" s="65"/>
    </row>
    <row r="698" ht="13.5" customHeight="1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  <c r="Y698" s="65"/>
      <c r="Z698" s="65"/>
    </row>
    <row r="699" ht="13.5" customHeight="1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  <c r="Y699" s="65"/>
      <c r="Z699" s="65"/>
    </row>
    <row r="700" ht="13.5" customHeight="1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  <c r="Y700" s="65"/>
      <c r="Z700" s="65"/>
    </row>
    <row r="701" ht="13.5" customHeight="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  <c r="Y701" s="65"/>
      <c r="Z701" s="65"/>
    </row>
    <row r="702" ht="13.5" customHeight="1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  <c r="Y702" s="65"/>
      <c r="Z702" s="65"/>
    </row>
    <row r="703" ht="13.5" customHeight="1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  <c r="Y703" s="65"/>
      <c r="Z703" s="65"/>
    </row>
    <row r="704" ht="13.5" customHeight="1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  <c r="Y704" s="65"/>
      <c r="Z704" s="65"/>
    </row>
    <row r="705" ht="13.5" customHeight="1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  <c r="Y705" s="65"/>
      <c r="Z705" s="65"/>
    </row>
    <row r="706" ht="13.5" customHeight="1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  <c r="Y706" s="65"/>
      <c r="Z706" s="65"/>
    </row>
    <row r="707" ht="13.5" customHeight="1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  <c r="Y707" s="65"/>
      <c r="Z707" s="65"/>
    </row>
    <row r="708" ht="13.5" customHeight="1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  <c r="Y708" s="65"/>
      <c r="Z708" s="65"/>
    </row>
    <row r="709" ht="13.5" customHeight="1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  <c r="Y709" s="65"/>
      <c r="Z709" s="65"/>
    </row>
    <row r="710" ht="13.5" customHeight="1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  <c r="Y710" s="65"/>
      <c r="Z710" s="65"/>
    </row>
    <row r="711" ht="13.5" customHeight="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  <c r="Y711" s="65"/>
      <c r="Z711" s="65"/>
    </row>
    <row r="712" ht="13.5" customHeight="1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  <c r="Y712" s="65"/>
      <c r="Z712" s="65"/>
    </row>
    <row r="713" ht="13.5" customHeight="1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  <c r="Y713" s="65"/>
      <c r="Z713" s="65"/>
    </row>
    <row r="714" ht="13.5" customHeight="1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  <c r="Y714" s="65"/>
      <c r="Z714" s="65"/>
    </row>
    <row r="715" ht="13.5" customHeight="1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  <c r="Y715" s="65"/>
      <c r="Z715" s="65"/>
    </row>
    <row r="716" ht="13.5" customHeight="1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  <c r="Y716" s="65"/>
      <c r="Z716" s="65"/>
    </row>
    <row r="717" ht="13.5" customHeight="1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  <c r="Y717" s="65"/>
      <c r="Z717" s="65"/>
    </row>
    <row r="718" ht="13.5" customHeight="1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  <c r="Y718" s="65"/>
      <c r="Z718" s="65"/>
    </row>
    <row r="719" ht="13.5" customHeight="1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  <c r="Y719" s="65"/>
      <c r="Z719" s="65"/>
    </row>
    <row r="720" ht="13.5" customHeight="1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  <c r="Y720" s="65"/>
      <c r="Z720" s="65"/>
    </row>
    <row r="721" ht="13.5" customHeight="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  <c r="Y721" s="65"/>
      <c r="Z721" s="65"/>
    </row>
    <row r="722" ht="13.5" customHeight="1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  <c r="Y722" s="65"/>
      <c r="Z722" s="65"/>
    </row>
    <row r="723" ht="13.5" customHeight="1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  <c r="Y723" s="65"/>
      <c r="Z723" s="65"/>
    </row>
    <row r="724" ht="13.5" customHeight="1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  <c r="Y724" s="65"/>
      <c r="Z724" s="65"/>
    </row>
    <row r="725" ht="13.5" customHeight="1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  <c r="Y725" s="65"/>
      <c r="Z725" s="65"/>
    </row>
    <row r="726" ht="13.5" customHeight="1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  <c r="Y726" s="65"/>
      <c r="Z726" s="65"/>
    </row>
    <row r="727" ht="13.5" customHeight="1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  <c r="Y727" s="65"/>
      <c r="Z727" s="65"/>
    </row>
    <row r="728" ht="13.5" customHeight="1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  <c r="Y728" s="65"/>
      <c r="Z728" s="65"/>
    </row>
    <row r="729" ht="13.5" customHeight="1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  <c r="Y729" s="65"/>
      <c r="Z729" s="65"/>
    </row>
    <row r="730" ht="13.5" customHeight="1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  <c r="Y730" s="65"/>
      <c r="Z730" s="65"/>
    </row>
    <row r="731" ht="13.5" customHeight="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  <c r="Y731" s="65"/>
      <c r="Z731" s="65"/>
    </row>
    <row r="732" ht="13.5" customHeight="1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  <c r="Y732" s="65"/>
      <c r="Z732" s="65"/>
    </row>
    <row r="733" ht="13.5" customHeight="1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  <c r="Y733" s="65"/>
      <c r="Z733" s="65"/>
    </row>
    <row r="734" ht="13.5" customHeight="1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  <c r="Y734" s="65"/>
      <c r="Z734" s="65"/>
    </row>
    <row r="735" ht="13.5" customHeight="1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  <c r="Y735" s="65"/>
      <c r="Z735" s="65"/>
    </row>
    <row r="736" ht="13.5" customHeight="1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  <c r="Y736" s="65"/>
      <c r="Z736" s="65"/>
    </row>
    <row r="737" ht="13.5" customHeight="1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  <c r="Y737" s="65"/>
      <c r="Z737" s="65"/>
    </row>
    <row r="738" ht="13.5" customHeight="1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  <c r="Y738" s="65"/>
      <c r="Z738" s="65"/>
    </row>
    <row r="739" ht="13.5" customHeight="1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  <c r="Y739" s="65"/>
      <c r="Z739" s="65"/>
    </row>
    <row r="740" ht="13.5" customHeight="1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  <c r="Y740" s="65"/>
      <c r="Z740" s="65"/>
    </row>
    <row r="741" ht="13.5" customHeight="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  <c r="Y741" s="65"/>
      <c r="Z741" s="65"/>
    </row>
    <row r="742" ht="13.5" customHeight="1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  <c r="Y742" s="65"/>
      <c r="Z742" s="65"/>
    </row>
    <row r="743" ht="13.5" customHeight="1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  <c r="Y743" s="65"/>
      <c r="Z743" s="65"/>
    </row>
    <row r="744" ht="13.5" customHeight="1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  <c r="Y744" s="65"/>
      <c r="Z744" s="65"/>
    </row>
    <row r="745" ht="13.5" customHeight="1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  <c r="Y745" s="65"/>
      <c r="Z745" s="65"/>
    </row>
    <row r="746" ht="13.5" customHeight="1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  <c r="Y746" s="65"/>
      <c r="Z746" s="65"/>
    </row>
    <row r="747" ht="13.5" customHeight="1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  <c r="Y747" s="65"/>
      <c r="Z747" s="65"/>
    </row>
    <row r="748" ht="13.5" customHeight="1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  <c r="Y748" s="65"/>
      <c r="Z748" s="65"/>
    </row>
    <row r="749" ht="13.5" customHeight="1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  <c r="Y749" s="65"/>
      <c r="Z749" s="65"/>
    </row>
    <row r="750" ht="13.5" customHeight="1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  <c r="Y750" s="65"/>
      <c r="Z750" s="65"/>
    </row>
    <row r="751" ht="13.5" customHeight="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  <c r="Y751" s="65"/>
      <c r="Z751" s="65"/>
    </row>
    <row r="752" ht="13.5" customHeight="1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  <c r="Y752" s="65"/>
      <c r="Z752" s="65"/>
    </row>
    <row r="753" ht="13.5" customHeight="1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  <c r="Y753" s="65"/>
      <c r="Z753" s="65"/>
    </row>
    <row r="754" ht="13.5" customHeight="1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  <c r="Y754" s="65"/>
      <c r="Z754" s="65"/>
    </row>
    <row r="755" ht="13.5" customHeight="1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  <c r="Y755" s="65"/>
      <c r="Z755" s="65"/>
    </row>
    <row r="756" ht="13.5" customHeight="1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  <c r="Y756" s="65"/>
      <c r="Z756" s="65"/>
    </row>
    <row r="757" ht="13.5" customHeight="1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  <c r="Y757" s="65"/>
      <c r="Z757" s="65"/>
    </row>
    <row r="758" ht="13.5" customHeight="1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  <c r="Y758" s="65"/>
      <c r="Z758" s="65"/>
    </row>
    <row r="759" ht="13.5" customHeight="1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  <c r="Y759" s="65"/>
      <c r="Z759" s="65"/>
    </row>
    <row r="760" ht="13.5" customHeight="1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  <c r="Y760" s="65"/>
      <c r="Z760" s="65"/>
    </row>
    <row r="761" ht="13.5" customHeight="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  <c r="Y761" s="65"/>
      <c r="Z761" s="65"/>
    </row>
    <row r="762" ht="13.5" customHeight="1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  <c r="Y762" s="65"/>
      <c r="Z762" s="65"/>
    </row>
    <row r="763" ht="13.5" customHeight="1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  <c r="Y763" s="65"/>
      <c r="Z763" s="65"/>
    </row>
    <row r="764" ht="13.5" customHeight="1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  <c r="Y764" s="65"/>
      <c r="Z764" s="65"/>
    </row>
    <row r="765" ht="13.5" customHeight="1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  <c r="Y765" s="65"/>
      <c r="Z765" s="65"/>
    </row>
    <row r="766" ht="13.5" customHeight="1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  <c r="Y766" s="65"/>
      <c r="Z766" s="65"/>
    </row>
    <row r="767" ht="13.5" customHeight="1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  <c r="Y767" s="65"/>
      <c r="Z767" s="65"/>
    </row>
    <row r="768" ht="13.5" customHeight="1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  <c r="Y768" s="65"/>
      <c r="Z768" s="65"/>
    </row>
    <row r="769" ht="13.5" customHeight="1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  <c r="Y769" s="65"/>
      <c r="Z769" s="65"/>
    </row>
    <row r="770" ht="13.5" customHeight="1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  <c r="Y770" s="65"/>
      <c r="Z770" s="65"/>
    </row>
    <row r="771" ht="13.5" customHeight="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  <c r="Y771" s="65"/>
      <c r="Z771" s="65"/>
    </row>
    <row r="772" ht="13.5" customHeight="1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  <c r="Y772" s="65"/>
      <c r="Z772" s="65"/>
    </row>
    <row r="773" ht="13.5" customHeight="1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  <c r="Y773" s="65"/>
      <c r="Z773" s="65"/>
    </row>
    <row r="774" ht="13.5" customHeight="1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  <c r="Y774" s="65"/>
      <c r="Z774" s="65"/>
    </row>
    <row r="775" ht="13.5" customHeight="1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  <c r="Y775" s="65"/>
      <c r="Z775" s="65"/>
    </row>
    <row r="776" ht="13.5" customHeight="1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  <c r="Y776" s="65"/>
      <c r="Z776" s="65"/>
    </row>
    <row r="777" ht="13.5" customHeight="1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  <c r="Y777" s="65"/>
      <c r="Z777" s="65"/>
    </row>
    <row r="778" ht="13.5" customHeight="1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  <c r="Y778" s="65"/>
      <c r="Z778" s="65"/>
    </row>
    <row r="779" ht="13.5" customHeight="1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  <c r="Y779" s="65"/>
      <c r="Z779" s="65"/>
    </row>
    <row r="780" ht="13.5" customHeight="1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  <c r="Y780" s="65"/>
      <c r="Z780" s="65"/>
    </row>
    <row r="781" ht="13.5" customHeight="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  <c r="Y781" s="65"/>
      <c r="Z781" s="65"/>
    </row>
    <row r="782" ht="13.5" customHeight="1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  <c r="Y782" s="65"/>
      <c r="Z782" s="65"/>
    </row>
    <row r="783" ht="13.5" customHeight="1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  <c r="Y783" s="65"/>
      <c r="Z783" s="65"/>
    </row>
    <row r="784" ht="13.5" customHeight="1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  <c r="Y784" s="65"/>
      <c r="Z784" s="65"/>
    </row>
    <row r="785" ht="13.5" customHeight="1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  <c r="Y785" s="65"/>
      <c r="Z785" s="65"/>
    </row>
    <row r="786" ht="13.5" customHeight="1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  <c r="Y786" s="65"/>
      <c r="Z786" s="65"/>
    </row>
    <row r="787" ht="13.5" customHeight="1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  <c r="Y787" s="65"/>
      <c r="Z787" s="65"/>
    </row>
    <row r="788" ht="13.5" customHeight="1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  <c r="Y788" s="65"/>
      <c r="Z788" s="65"/>
    </row>
    <row r="789" ht="13.5" customHeight="1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  <c r="Y789" s="65"/>
      <c r="Z789" s="65"/>
    </row>
    <row r="790" ht="13.5" customHeight="1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  <c r="Y790" s="65"/>
      <c r="Z790" s="65"/>
    </row>
    <row r="791" ht="13.5" customHeight="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  <c r="Y791" s="65"/>
      <c r="Z791" s="65"/>
    </row>
    <row r="792" ht="13.5" customHeight="1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  <c r="Y792" s="65"/>
      <c r="Z792" s="65"/>
    </row>
    <row r="793" ht="13.5" customHeight="1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  <c r="Y793" s="65"/>
      <c r="Z793" s="65"/>
    </row>
    <row r="794" ht="13.5" customHeight="1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  <c r="Y794" s="65"/>
      <c r="Z794" s="65"/>
    </row>
    <row r="795" ht="13.5" customHeight="1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  <c r="Y795" s="65"/>
      <c r="Z795" s="65"/>
    </row>
    <row r="796" ht="13.5" customHeight="1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  <c r="Y796" s="65"/>
      <c r="Z796" s="65"/>
    </row>
    <row r="797" ht="13.5" customHeight="1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  <c r="Y797" s="65"/>
      <c r="Z797" s="65"/>
    </row>
    <row r="798" ht="13.5" customHeight="1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  <c r="Y798" s="65"/>
      <c r="Z798" s="65"/>
    </row>
    <row r="799" ht="13.5" customHeight="1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  <c r="Y799" s="65"/>
      <c r="Z799" s="65"/>
    </row>
    <row r="800" ht="13.5" customHeight="1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  <c r="Y800" s="65"/>
      <c r="Z800" s="65"/>
    </row>
    <row r="801" ht="13.5" customHeight="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  <c r="Y801" s="65"/>
      <c r="Z801" s="65"/>
    </row>
    <row r="802" ht="13.5" customHeight="1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  <c r="Y802" s="65"/>
      <c r="Z802" s="65"/>
    </row>
    <row r="803" ht="13.5" customHeight="1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  <c r="Y803" s="65"/>
      <c r="Z803" s="65"/>
    </row>
    <row r="804" ht="13.5" customHeight="1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  <c r="Y804" s="65"/>
      <c r="Z804" s="65"/>
    </row>
    <row r="805" ht="13.5" customHeight="1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  <c r="Y805" s="65"/>
      <c r="Z805" s="65"/>
    </row>
    <row r="806" ht="13.5" customHeight="1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  <c r="Y806" s="65"/>
      <c r="Z806" s="65"/>
    </row>
    <row r="807" ht="13.5" customHeight="1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  <c r="Y807" s="65"/>
      <c r="Z807" s="65"/>
    </row>
    <row r="808" ht="13.5" customHeight="1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  <c r="Y808" s="65"/>
      <c r="Z808" s="65"/>
    </row>
    <row r="809" ht="13.5" customHeight="1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  <c r="Y809" s="65"/>
      <c r="Z809" s="65"/>
    </row>
    <row r="810" ht="13.5" customHeight="1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  <c r="Y810" s="65"/>
      <c r="Z810" s="65"/>
    </row>
    <row r="811" ht="13.5" customHeight="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  <c r="Y811" s="65"/>
      <c r="Z811" s="65"/>
    </row>
    <row r="812" ht="13.5" customHeight="1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  <c r="Y812" s="65"/>
      <c r="Z812" s="65"/>
    </row>
    <row r="813" ht="13.5" customHeight="1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  <c r="Y813" s="65"/>
      <c r="Z813" s="65"/>
    </row>
    <row r="814" ht="13.5" customHeight="1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  <c r="Y814" s="65"/>
      <c r="Z814" s="65"/>
    </row>
    <row r="815" ht="13.5" customHeight="1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  <c r="Y815" s="65"/>
      <c r="Z815" s="65"/>
    </row>
    <row r="816" ht="13.5" customHeight="1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  <c r="Y816" s="65"/>
      <c r="Z816" s="65"/>
    </row>
    <row r="817" ht="13.5" customHeight="1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  <c r="Y817" s="65"/>
      <c r="Z817" s="65"/>
    </row>
    <row r="818" ht="13.5" customHeight="1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  <c r="Y818" s="65"/>
      <c r="Z818" s="65"/>
    </row>
    <row r="819" ht="13.5" customHeight="1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  <c r="Y819" s="65"/>
      <c r="Z819" s="65"/>
    </row>
    <row r="820" ht="13.5" customHeight="1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  <c r="Y820" s="65"/>
      <c r="Z820" s="65"/>
    </row>
    <row r="821" ht="13.5" customHeight="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  <c r="Y821" s="65"/>
      <c r="Z821" s="65"/>
    </row>
    <row r="822" ht="13.5" customHeight="1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  <c r="Y822" s="65"/>
      <c r="Z822" s="65"/>
    </row>
    <row r="823" ht="13.5" customHeight="1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  <c r="Y823" s="65"/>
      <c r="Z823" s="65"/>
    </row>
    <row r="824" ht="13.5" customHeight="1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  <c r="Y824" s="65"/>
      <c r="Z824" s="65"/>
    </row>
    <row r="825" ht="13.5" customHeight="1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  <c r="Y825" s="65"/>
      <c r="Z825" s="65"/>
    </row>
    <row r="826" ht="13.5" customHeight="1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  <c r="Y826" s="65"/>
      <c r="Z826" s="65"/>
    </row>
    <row r="827" ht="13.5" customHeight="1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  <c r="Y827" s="65"/>
      <c r="Z827" s="65"/>
    </row>
    <row r="828" ht="13.5" customHeight="1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  <c r="Y828" s="65"/>
      <c r="Z828" s="65"/>
    </row>
    <row r="829" ht="13.5" customHeight="1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  <c r="Y829" s="65"/>
      <c r="Z829" s="65"/>
    </row>
    <row r="830" ht="13.5" customHeight="1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  <c r="Y830" s="65"/>
      <c r="Z830" s="65"/>
    </row>
    <row r="831" ht="13.5" customHeight="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  <c r="Y831" s="65"/>
      <c r="Z831" s="65"/>
    </row>
    <row r="832" ht="13.5" customHeight="1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  <c r="Y832" s="65"/>
      <c r="Z832" s="65"/>
    </row>
    <row r="833" ht="13.5" customHeight="1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  <c r="Y833" s="65"/>
      <c r="Z833" s="65"/>
    </row>
    <row r="834" ht="13.5" customHeight="1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  <c r="Y834" s="65"/>
      <c r="Z834" s="65"/>
    </row>
    <row r="835" ht="13.5" customHeight="1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  <c r="Y835" s="65"/>
      <c r="Z835" s="65"/>
    </row>
    <row r="836" ht="13.5" customHeight="1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  <c r="Y836" s="65"/>
      <c r="Z836" s="65"/>
    </row>
    <row r="837" ht="13.5" customHeight="1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  <c r="Y837" s="65"/>
      <c r="Z837" s="65"/>
    </row>
    <row r="838" ht="13.5" customHeight="1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  <c r="Y838" s="65"/>
      <c r="Z838" s="65"/>
    </row>
    <row r="839" ht="13.5" customHeight="1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  <c r="Y839" s="65"/>
      <c r="Z839" s="65"/>
    </row>
    <row r="840" ht="13.5" customHeight="1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  <c r="Y840" s="65"/>
      <c r="Z840" s="65"/>
    </row>
    <row r="841" ht="13.5" customHeight="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  <c r="Y841" s="65"/>
      <c r="Z841" s="65"/>
    </row>
    <row r="842" ht="13.5" customHeight="1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  <c r="Y842" s="65"/>
      <c r="Z842" s="65"/>
    </row>
    <row r="843" ht="13.5" customHeight="1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  <c r="Y843" s="65"/>
      <c r="Z843" s="65"/>
    </row>
    <row r="844" ht="13.5" customHeight="1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  <c r="Y844" s="65"/>
      <c r="Z844" s="65"/>
    </row>
    <row r="845" ht="13.5" customHeight="1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  <c r="Y845" s="65"/>
      <c r="Z845" s="65"/>
    </row>
    <row r="846" ht="13.5" customHeight="1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  <c r="Y846" s="65"/>
      <c r="Z846" s="65"/>
    </row>
    <row r="847" ht="13.5" customHeight="1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  <c r="Y847" s="65"/>
      <c r="Z847" s="65"/>
    </row>
    <row r="848" ht="13.5" customHeight="1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  <c r="Y848" s="65"/>
      <c r="Z848" s="65"/>
    </row>
    <row r="849" ht="13.5" customHeight="1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  <c r="Y849" s="65"/>
      <c r="Z849" s="65"/>
    </row>
    <row r="850" ht="13.5" customHeight="1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  <c r="Y850" s="65"/>
      <c r="Z850" s="65"/>
    </row>
    <row r="851" ht="13.5" customHeight="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  <c r="Y851" s="65"/>
      <c r="Z851" s="65"/>
    </row>
    <row r="852" ht="13.5" customHeight="1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  <c r="Y852" s="65"/>
      <c r="Z852" s="65"/>
    </row>
    <row r="853" ht="13.5" customHeight="1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  <c r="Y853" s="65"/>
      <c r="Z853" s="65"/>
    </row>
    <row r="854" ht="13.5" customHeight="1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  <c r="Y854" s="65"/>
      <c r="Z854" s="65"/>
    </row>
    <row r="855" ht="13.5" customHeight="1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  <c r="Y855" s="65"/>
      <c r="Z855" s="65"/>
    </row>
    <row r="856" ht="13.5" customHeight="1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  <c r="Y856" s="65"/>
      <c r="Z856" s="65"/>
    </row>
    <row r="857" ht="13.5" customHeight="1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  <c r="Y857" s="65"/>
      <c r="Z857" s="65"/>
    </row>
    <row r="858" ht="13.5" customHeight="1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  <c r="Y858" s="65"/>
      <c r="Z858" s="65"/>
    </row>
    <row r="859" ht="13.5" customHeight="1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  <c r="Y859" s="65"/>
      <c r="Z859" s="65"/>
    </row>
    <row r="860" ht="13.5" customHeight="1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  <c r="Y860" s="65"/>
      <c r="Z860" s="65"/>
    </row>
    <row r="861" ht="13.5" customHeight="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  <c r="Y861" s="65"/>
      <c r="Z861" s="65"/>
    </row>
    <row r="862" ht="13.5" customHeight="1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  <c r="Y862" s="65"/>
      <c r="Z862" s="65"/>
    </row>
    <row r="863" ht="13.5" customHeight="1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  <c r="Y863" s="65"/>
      <c r="Z863" s="65"/>
    </row>
    <row r="864" ht="13.5" customHeight="1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  <c r="Y864" s="65"/>
      <c r="Z864" s="65"/>
    </row>
    <row r="865" ht="13.5" customHeight="1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  <c r="Y865" s="65"/>
      <c r="Z865" s="65"/>
    </row>
    <row r="866" ht="13.5" customHeight="1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  <c r="Y866" s="65"/>
      <c r="Z866" s="65"/>
    </row>
    <row r="867" ht="13.5" customHeight="1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  <c r="Y867" s="65"/>
      <c r="Z867" s="65"/>
    </row>
    <row r="868" ht="13.5" customHeight="1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  <c r="Y868" s="65"/>
      <c r="Z868" s="65"/>
    </row>
    <row r="869" ht="13.5" customHeight="1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  <c r="Y869" s="65"/>
      <c r="Z869" s="65"/>
    </row>
    <row r="870" ht="13.5" customHeight="1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  <c r="Y870" s="65"/>
      <c r="Z870" s="65"/>
    </row>
    <row r="871" ht="13.5" customHeight="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  <c r="Y871" s="65"/>
      <c r="Z871" s="65"/>
    </row>
    <row r="872" ht="13.5" customHeight="1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  <c r="Y872" s="65"/>
      <c r="Z872" s="65"/>
    </row>
    <row r="873" ht="13.5" customHeight="1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  <c r="Y873" s="65"/>
      <c r="Z873" s="65"/>
    </row>
    <row r="874" ht="13.5" customHeight="1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  <c r="Y874" s="65"/>
      <c r="Z874" s="65"/>
    </row>
    <row r="875" ht="13.5" customHeight="1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  <c r="Y875" s="65"/>
      <c r="Z875" s="65"/>
    </row>
    <row r="876" ht="13.5" customHeight="1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  <c r="Y876" s="65"/>
      <c r="Z876" s="65"/>
    </row>
    <row r="877" ht="13.5" customHeight="1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  <c r="Y877" s="65"/>
      <c r="Z877" s="65"/>
    </row>
    <row r="878" ht="13.5" customHeight="1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  <c r="Y878" s="65"/>
      <c r="Z878" s="65"/>
    </row>
    <row r="879" ht="13.5" customHeight="1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  <c r="Y879" s="65"/>
      <c r="Z879" s="65"/>
    </row>
    <row r="880" ht="13.5" customHeight="1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  <c r="Y880" s="65"/>
      <c r="Z880" s="65"/>
    </row>
    <row r="881" ht="13.5" customHeight="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  <c r="Y881" s="65"/>
      <c r="Z881" s="65"/>
    </row>
    <row r="882" ht="13.5" customHeight="1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  <c r="Y882" s="65"/>
      <c r="Z882" s="65"/>
    </row>
    <row r="883" ht="13.5" customHeight="1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  <c r="Y883" s="65"/>
      <c r="Z883" s="65"/>
    </row>
    <row r="884" ht="13.5" customHeight="1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  <c r="Y884" s="65"/>
      <c r="Z884" s="65"/>
    </row>
    <row r="885" ht="13.5" customHeight="1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  <c r="Y885" s="65"/>
      <c r="Z885" s="65"/>
    </row>
    <row r="886" ht="13.5" customHeight="1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  <c r="Y886" s="65"/>
      <c r="Z886" s="65"/>
    </row>
    <row r="887" ht="13.5" customHeight="1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  <c r="Y887" s="65"/>
      <c r="Z887" s="65"/>
    </row>
    <row r="888" ht="13.5" customHeight="1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  <c r="Y888" s="65"/>
      <c r="Z888" s="65"/>
    </row>
    <row r="889" ht="13.5" customHeight="1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  <c r="Y889" s="65"/>
      <c r="Z889" s="65"/>
    </row>
    <row r="890" ht="13.5" customHeight="1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  <c r="Y890" s="65"/>
      <c r="Z890" s="65"/>
    </row>
    <row r="891" ht="13.5" customHeight="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  <c r="Y891" s="65"/>
      <c r="Z891" s="65"/>
    </row>
    <row r="892" ht="13.5" customHeight="1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  <c r="Y892" s="65"/>
      <c r="Z892" s="65"/>
    </row>
    <row r="893" ht="13.5" customHeight="1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  <c r="Y893" s="65"/>
      <c r="Z893" s="65"/>
    </row>
    <row r="894" ht="13.5" customHeight="1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  <c r="Y894" s="65"/>
      <c r="Z894" s="65"/>
    </row>
    <row r="895" ht="13.5" customHeight="1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  <c r="Y895" s="65"/>
      <c r="Z895" s="65"/>
    </row>
    <row r="896" ht="13.5" customHeight="1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  <c r="Y896" s="65"/>
      <c r="Z896" s="65"/>
    </row>
    <row r="897" ht="13.5" customHeight="1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  <c r="Y897" s="65"/>
      <c r="Z897" s="65"/>
    </row>
    <row r="898" ht="13.5" customHeight="1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  <c r="Y898" s="65"/>
      <c r="Z898" s="65"/>
    </row>
    <row r="899" ht="13.5" customHeight="1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  <c r="Y899" s="65"/>
      <c r="Z899" s="65"/>
    </row>
    <row r="900" ht="13.5" customHeight="1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  <c r="Y900" s="65"/>
      <c r="Z900" s="65"/>
    </row>
    <row r="901" ht="13.5" customHeight="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  <c r="Y901" s="65"/>
      <c r="Z901" s="65"/>
    </row>
    <row r="902" ht="13.5" customHeight="1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  <c r="Y902" s="65"/>
      <c r="Z902" s="65"/>
    </row>
    <row r="903" ht="13.5" customHeight="1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  <c r="Y903" s="65"/>
      <c r="Z903" s="65"/>
    </row>
    <row r="904" ht="13.5" customHeight="1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  <c r="Y904" s="65"/>
      <c r="Z904" s="65"/>
    </row>
    <row r="905" ht="13.5" customHeight="1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  <c r="Y905" s="65"/>
      <c r="Z905" s="65"/>
    </row>
    <row r="906" ht="13.5" customHeight="1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  <c r="Y906" s="65"/>
      <c r="Z906" s="65"/>
    </row>
    <row r="907" ht="13.5" customHeight="1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  <c r="Y907" s="65"/>
      <c r="Z907" s="65"/>
    </row>
    <row r="908" ht="13.5" customHeight="1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  <c r="Y908" s="65"/>
      <c r="Z908" s="65"/>
    </row>
    <row r="909" ht="13.5" customHeight="1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  <c r="Y909" s="65"/>
      <c r="Z909" s="65"/>
    </row>
    <row r="910" ht="13.5" customHeight="1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  <c r="Y910" s="65"/>
      <c r="Z910" s="65"/>
    </row>
    <row r="911" ht="13.5" customHeight="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  <c r="Y911" s="65"/>
      <c r="Z911" s="65"/>
    </row>
    <row r="912" ht="13.5" customHeight="1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  <c r="Y912" s="65"/>
      <c r="Z912" s="65"/>
    </row>
    <row r="913" ht="13.5" customHeight="1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  <c r="Y913" s="65"/>
      <c r="Z913" s="65"/>
    </row>
    <row r="914" ht="13.5" customHeight="1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  <c r="Y914" s="65"/>
      <c r="Z914" s="65"/>
    </row>
    <row r="915" ht="13.5" customHeight="1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  <c r="Y915" s="65"/>
      <c r="Z915" s="65"/>
    </row>
    <row r="916" ht="13.5" customHeight="1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  <c r="Y916" s="65"/>
      <c r="Z916" s="65"/>
    </row>
    <row r="917" ht="13.5" customHeight="1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  <c r="Y917" s="65"/>
      <c r="Z917" s="65"/>
    </row>
    <row r="918" ht="13.5" customHeight="1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  <c r="Y918" s="65"/>
      <c r="Z918" s="65"/>
    </row>
    <row r="919" ht="13.5" customHeight="1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  <c r="Y919" s="65"/>
      <c r="Z919" s="65"/>
    </row>
    <row r="920" ht="13.5" customHeight="1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  <c r="Y920" s="65"/>
      <c r="Z920" s="65"/>
    </row>
    <row r="921" ht="13.5" customHeight="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  <c r="Y921" s="65"/>
      <c r="Z921" s="65"/>
    </row>
    <row r="922" ht="13.5" customHeight="1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  <c r="Y922" s="65"/>
      <c r="Z922" s="65"/>
    </row>
    <row r="923" ht="13.5" customHeight="1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  <c r="Y923" s="65"/>
      <c r="Z923" s="65"/>
    </row>
    <row r="924" ht="13.5" customHeight="1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  <c r="Y924" s="65"/>
      <c r="Z924" s="65"/>
    </row>
    <row r="925" ht="13.5" customHeight="1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  <c r="Y925" s="65"/>
      <c r="Z925" s="65"/>
    </row>
    <row r="926" ht="13.5" customHeight="1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  <c r="Y926" s="65"/>
      <c r="Z926" s="65"/>
    </row>
    <row r="927" ht="13.5" customHeight="1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  <c r="Y927" s="65"/>
      <c r="Z927" s="65"/>
    </row>
    <row r="928" ht="13.5" customHeight="1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  <c r="Y928" s="65"/>
      <c r="Z928" s="65"/>
    </row>
    <row r="929" ht="13.5" customHeight="1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  <c r="Y929" s="65"/>
      <c r="Z929" s="65"/>
    </row>
    <row r="930" ht="13.5" customHeight="1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  <c r="Y930" s="65"/>
      <c r="Z930" s="65"/>
    </row>
    <row r="931" ht="13.5" customHeight="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  <c r="Y931" s="65"/>
      <c r="Z931" s="65"/>
    </row>
    <row r="932" ht="13.5" customHeight="1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  <c r="Y932" s="65"/>
      <c r="Z932" s="65"/>
    </row>
    <row r="933" ht="13.5" customHeight="1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  <c r="Y933" s="65"/>
      <c r="Z933" s="65"/>
    </row>
    <row r="934" ht="13.5" customHeight="1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  <c r="Y934" s="65"/>
      <c r="Z934" s="65"/>
    </row>
    <row r="935" ht="13.5" customHeight="1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  <c r="Y935" s="65"/>
      <c r="Z935" s="65"/>
    </row>
    <row r="936" ht="13.5" customHeight="1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  <c r="Y936" s="65"/>
      <c r="Z936" s="65"/>
    </row>
    <row r="937" ht="13.5" customHeight="1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  <c r="Y937" s="65"/>
      <c r="Z937" s="65"/>
    </row>
    <row r="938" ht="13.5" customHeight="1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  <c r="Y938" s="65"/>
      <c r="Z938" s="65"/>
    </row>
    <row r="939" ht="13.5" customHeight="1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  <c r="Y939" s="65"/>
      <c r="Z939" s="65"/>
    </row>
    <row r="940" ht="13.5" customHeight="1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  <c r="Y940" s="65"/>
      <c r="Z940" s="65"/>
    </row>
    <row r="941" ht="13.5" customHeight="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  <c r="Y941" s="65"/>
      <c r="Z941" s="65"/>
    </row>
    <row r="942" ht="13.5" customHeight="1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  <c r="Y942" s="65"/>
      <c r="Z942" s="65"/>
    </row>
    <row r="943" ht="13.5" customHeight="1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  <c r="Y943" s="65"/>
      <c r="Z943" s="65"/>
    </row>
    <row r="944" ht="13.5" customHeight="1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  <c r="Y944" s="65"/>
      <c r="Z944" s="65"/>
    </row>
    <row r="945" ht="13.5" customHeight="1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  <c r="Y945" s="65"/>
      <c r="Z945" s="65"/>
    </row>
    <row r="946" ht="13.5" customHeight="1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  <c r="Y946" s="65"/>
      <c r="Z946" s="65"/>
    </row>
    <row r="947" ht="13.5" customHeight="1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  <c r="Y947" s="65"/>
      <c r="Z947" s="65"/>
    </row>
    <row r="948" ht="13.5" customHeight="1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  <c r="Y948" s="65"/>
      <c r="Z948" s="65"/>
    </row>
    <row r="949" ht="13.5" customHeight="1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  <c r="Y949" s="65"/>
      <c r="Z949" s="65"/>
    </row>
    <row r="950" ht="13.5" customHeight="1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  <c r="Y950" s="65"/>
      <c r="Z950" s="65"/>
    </row>
    <row r="951" ht="13.5" customHeight="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  <c r="Y951" s="65"/>
      <c r="Z951" s="65"/>
    </row>
    <row r="952" ht="13.5" customHeight="1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  <c r="Y952" s="65"/>
      <c r="Z952" s="65"/>
    </row>
    <row r="953" ht="13.5" customHeight="1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  <c r="Y953" s="65"/>
      <c r="Z953" s="65"/>
    </row>
    <row r="954" ht="13.5" customHeight="1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  <c r="Y954" s="65"/>
      <c r="Z954" s="65"/>
    </row>
    <row r="955" ht="13.5" customHeight="1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  <c r="Y955" s="65"/>
      <c r="Z955" s="65"/>
    </row>
    <row r="956" ht="13.5" customHeight="1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  <c r="Y956" s="65"/>
      <c r="Z956" s="65"/>
    </row>
    <row r="957" ht="13.5" customHeight="1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  <c r="Y957" s="65"/>
      <c r="Z957" s="65"/>
    </row>
    <row r="958" ht="13.5" customHeight="1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  <c r="Y958" s="65"/>
      <c r="Z958" s="65"/>
    </row>
    <row r="959" ht="13.5" customHeight="1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  <c r="Y959" s="65"/>
      <c r="Z959" s="65"/>
    </row>
    <row r="960" ht="13.5" customHeight="1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  <c r="Y960" s="65"/>
      <c r="Z960" s="65"/>
    </row>
    <row r="961" ht="13.5" customHeight="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  <c r="Y961" s="65"/>
      <c r="Z961" s="65"/>
    </row>
    <row r="962" ht="13.5" customHeight="1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  <c r="Y962" s="65"/>
      <c r="Z962" s="65"/>
    </row>
    <row r="963" ht="13.5" customHeight="1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  <c r="Y963" s="65"/>
      <c r="Z963" s="65"/>
    </row>
    <row r="964" ht="13.5" customHeight="1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  <c r="Y964" s="65"/>
      <c r="Z964" s="65"/>
    </row>
    <row r="965" ht="13.5" customHeight="1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  <c r="Y965" s="65"/>
      <c r="Z965" s="65"/>
    </row>
    <row r="966" ht="13.5" customHeight="1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  <c r="Y966" s="65"/>
      <c r="Z966" s="65"/>
    </row>
    <row r="967" ht="13.5" customHeight="1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  <c r="Y967" s="65"/>
      <c r="Z967" s="65"/>
    </row>
    <row r="968" ht="13.5" customHeight="1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  <c r="Y968" s="65"/>
      <c r="Z968" s="65"/>
    </row>
    <row r="969" ht="13.5" customHeight="1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  <c r="Y969" s="65"/>
      <c r="Z969" s="65"/>
    </row>
    <row r="970" ht="13.5" customHeight="1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  <c r="Y970" s="65"/>
      <c r="Z970" s="65"/>
    </row>
    <row r="971" ht="13.5" customHeight="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  <c r="Y971" s="65"/>
      <c r="Z971" s="65"/>
    </row>
    <row r="972" ht="13.5" customHeight="1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  <c r="Y972" s="65"/>
      <c r="Z972" s="65"/>
    </row>
    <row r="973" ht="13.5" customHeight="1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  <c r="Y973" s="65"/>
      <c r="Z973" s="65"/>
    </row>
    <row r="974" ht="13.5" customHeight="1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  <c r="Y974" s="65"/>
      <c r="Z974" s="65"/>
    </row>
    <row r="975" ht="13.5" customHeight="1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  <c r="Y975" s="65"/>
      <c r="Z975" s="65"/>
    </row>
    <row r="976" ht="13.5" customHeight="1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  <c r="Y976" s="65"/>
      <c r="Z976" s="65"/>
    </row>
    <row r="977" ht="13.5" customHeight="1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  <c r="Y977" s="65"/>
      <c r="Z977" s="65"/>
    </row>
    <row r="978" ht="13.5" customHeight="1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  <c r="Y978" s="65"/>
      <c r="Z978" s="65"/>
    </row>
    <row r="979" ht="13.5" customHeight="1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  <c r="Y979" s="65"/>
      <c r="Z979" s="65"/>
    </row>
    <row r="980" ht="13.5" customHeight="1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  <c r="Y980" s="65"/>
      <c r="Z980" s="65"/>
    </row>
    <row r="981" ht="13.5" customHeight="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  <c r="Y981" s="65"/>
      <c r="Z981" s="65"/>
    </row>
    <row r="982" ht="13.5" customHeight="1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  <c r="Y982" s="65"/>
      <c r="Z982" s="65"/>
    </row>
    <row r="983" ht="13.5" customHeight="1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  <c r="Y983" s="65"/>
      <c r="Z983" s="65"/>
    </row>
    <row r="984" ht="13.5" customHeight="1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  <c r="Y984" s="65"/>
      <c r="Z984" s="65"/>
    </row>
    <row r="985" ht="13.5" customHeight="1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  <c r="Y985" s="65"/>
      <c r="Z985" s="65"/>
    </row>
    <row r="986" ht="13.5" customHeight="1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  <c r="Y986" s="65"/>
      <c r="Z986" s="65"/>
    </row>
    <row r="987" ht="13.5" customHeight="1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  <c r="R987" s="65"/>
      <c r="S987" s="65"/>
      <c r="T987" s="65"/>
      <c r="U987" s="65"/>
      <c r="V987" s="65"/>
      <c r="W987" s="65"/>
      <c r="X987" s="65"/>
      <c r="Y987" s="65"/>
      <c r="Z987" s="65"/>
    </row>
    <row r="988" ht="13.5" customHeight="1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  <c r="R988" s="65"/>
      <c r="S988" s="65"/>
      <c r="T988" s="65"/>
      <c r="U988" s="65"/>
      <c r="V988" s="65"/>
      <c r="W988" s="65"/>
      <c r="X988" s="65"/>
      <c r="Y988" s="65"/>
      <c r="Z988" s="65"/>
    </row>
    <row r="989" ht="13.5" customHeight="1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  <c r="R989" s="65"/>
      <c r="S989" s="65"/>
      <c r="T989" s="65"/>
      <c r="U989" s="65"/>
      <c r="V989" s="65"/>
      <c r="W989" s="65"/>
      <c r="X989" s="65"/>
      <c r="Y989" s="65"/>
      <c r="Z989" s="65"/>
    </row>
    <row r="990" ht="13.5" customHeight="1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  <c r="R990" s="65"/>
      <c r="S990" s="65"/>
      <c r="T990" s="65"/>
      <c r="U990" s="65"/>
      <c r="V990" s="65"/>
      <c r="W990" s="65"/>
      <c r="X990" s="65"/>
      <c r="Y990" s="65"/>
      <c r="Z990" s="65"/>
    </row>
    <row r="991" ht="13.5" customHeight="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  <c r="R991" s="65"/>
      <c r="S991" s="65"/>
      <c r="T991" s="65"/>
      <c r="U991" s="65"/>
      <c r="V991" s="65"/>
      <c r="W991" s="65"/>
      <c r="X991" s="65"/>
      <c r="Y991" s="65"/>
      <c r="Z991" s="65"/>
    </row>
    <row r="992" ht="13.5" customHeight="1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  <c r="R992" s="65"/>
      <c r="S992" s="65"/>
      <c r="T992" s="65"/>
      <c r="U992" s="65"/>
      <c r="V992" s="65"/>
      <c r="W992" s="65"/>
      <c r="X992" s="65"/>
      <c r="Y992" s="65"/>
      <c r="Z992" s="65"/>
    </row>
    <row r="993" ht="13.5" customHeight="1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  <c r="R993" s="65"/>
      <c r="S993" s="65"/>
      <c r="T993" s="65"/>
      <c r="U993" s="65"/>
      <c r="V993" s="65"/>
      <c r="W993" s="65"/>
      <c r="X993" s="65"/>
      <c r="Y993" s="65"/>
      <c r="Z993" s="65"/>
    </row>
    <row r="994" ht="13.5" customHeight="1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  <c r="R994" s="65"/>
      <c r="S994" s="65"/>
      <c r="T994" s="65"/>
      <c r="U994" s="65"/>
      <c r="V994" s="65"/>
      <c r="W994" s="65"/>
      <c r="X994" s="65"/>
      <c r="Y994" s="65"/>
      <c r="Z994" s="65"/>
    </row>
    <row r="995" ht="13.5" customHeight="1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  <c r="R995" s="65"/>
      <c r="S995" s="65"/>
      <c r="T995" s="65"/>
      <c r="U995" s="65"/>
      <c r="V995" s="65"/>
      <c r="W995" s="65"/>
      <c r="X995" s="65"/>
      <c r="Y995" s="65"/>
      <c r="Z995" s="65"/>
    </row>
    <row r="996" ht="13.5" customHeight="1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  <c r="R996" s="65"/>
      <c r="S996" s="65"/>
      <c r="T996" s="65"/>
      <c r="U996" s="65"/>
      <c r="V996" s="65"/>
      <c r="W996" s="65"/>
      <c r="X996" s="65"/>
      <c r="Y996" s="65"/>
      <c r="Z996" s="65"/>
    </row>
    <row r="997" ht="13.5" customHeight="1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  <c r="R997" s="65"/>
      <c r="S997" s="65"/>
      <c r="T997" s="65"/>
      <c r="U997" s="65"/>
      <c r="V997" s="65"/>
      <c r="W997" s="65"/>
      <c r="X997" s="65"/>
      <c r="Y997" s="65"/>
      <c r="Z997" s="65"/>
    </row>
    <row r="998" ht="13.5" customHeight="1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  <c r="R998" s="65"/>
      <c r="S998" s="65"/>
      <c r="T998" s="65"/>
      <c r="U998" s="65"/>
      <c r="V998" s="65"/>
      <c r="W998" s="65"/>
      <c r="X998" s="65"/>
      <c r="Y998" s="65"/>
      <c r="Z998" s="65"/>
    </row>
    <row r="999" ht="13.5" customHeight="1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  <c r="R999" s="65"/>
      <c r="S999" s="65"/>
      <c r="T999" s="65"/>
      <c r="U999" s="65"/>
      <c r="V999" s="65"/>
      <c r="W999" s="65"/>
      <c r="X999" s="65"/>
      <c r="Y999" s="65"/>
      <c r="Z999" s="65"/>
    </row>
    <row r="1000" ht="13.5" customHeight="1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  <c r="R1000" s="65"/>
      <c r="S1000" s="65"/>
      <c r="T1000" s="65"/>
      <c r="U1000" s="65"/>
      <c r="V1000" s="65"/>
      <c r="W1000" s="65"/>
      <c r="X1000" s="65"/>
      <c r="Y1000" s="65"/>
      <c r="Z1000" s="65"/>
    </row>
  </sheetData>
  <mergeCells count="2">
    <mergeCell ref="B3:F3"/>
    <mergeCell ref="A130:B130"/>
  </mergeCells>
  <conditionalFormatting sqref="A61:B61">
    <cfRule type="expression" dxfId="0" priority="1">
      <formula>#REF!&gt;0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14"/>
    <col customWidth="1" min="2" max="2" width="30.0"/>
    <col customWidth="1" min="3" max="3" width="37.43"/>
    <col customWidth="1" min="4" max="4" width="8.0"/>
    <col customWidth="1" min="5" max="5" width="12.86"/>
    <col customWidth="1" min="6" max="6" width="15.29"/>
    <col customWidth="1" min="7" max="7" width="13.71"/>
  </cols>
  <sheetData>
    <row r="1" ht="15.75" customHeight="1">
      <c r="A1" s="211" t="s">
        <v>5</v>
      </c>
      <c r="B1" s="127"/>
      <c r="C1" s="127"/>
      <c r="D1" s="212"/>
      <c r="E1" s="212"/>
      <c r="F1" s="212"/>
      <c r="G1" s="21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5.75" customHeight="1">
      <c r="A2" s="211" t="s">
        <v>155</v>
      </c>
      <c r="B2" s="127"/>
      <c r="C2" s="127"/>
      <c r="D2" s="212"/>
      <c r="E2" s="212"/>
      <c r="F2" s="212"/>
      <c r="G2" s="21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15.75" customHeight="1">
      <c r="A3" s="211" t="s">
        <v>156</v>
      </c>
      <c r="B3" s="127"/>
      <c r="C3" s="127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ht="15.75" customHeight="1">
      <c r="A4" s="211" t="s">
        <v>158</v>
      </c>
      <c r="B4" s="127"/>
      <c r="C4" s="181" t="s">
        <v>159</v>
      </c>
      <c r="D4" s="127"/>
      <c r="E4" s="212"/>
      <c r="F4" s="212"/>
      <c r="G4" s="2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ht="15.75" customHeight="1">
      <c r="A5" s="211" t="s">
        <v>160</v>
      </c>
      <c r="B5" s="127"/>
      <c r="C5" s="181" t="s">
        <v>159</v>
      </c>
      <c r="D5" s="127"/>
      <c r="E5" s="212"/>
      <c r="F5" s="212"/>
      <c r="G5" s="212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ht="15.75" customHeight="1">
      <c r="A6" s="213" t="s">
        <v>161</v>
      </c>
      <c r="B6" s="214" t="s">
        <v>415</v>
      </c>
      <c r="C6" s="215"/>
      <c r="D6" s="216"/>
      <c r="E6" s="216"/>
      <c r="F6" s="216"/>
      <c r="G6" s="216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ht="15.75" customHeight="1">
      <c r="A7" s="217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218" t="s">
        <v>282</v>
      </c>
      <c r="B8" s="218" t="s">
        <v>283</v>
      </c>
      <c r="C8" s="218" t="s">
        <v>416</v>
      </c>
      <c r="D8" s="218" t="s">
        <v>166</v>
      </c>
      <c r="E8" s="218" t="s">
        <v>167</v>
      </c>
      <c r="F8" s="218" t="s">
        <v>284</v>
      </c>
      <c r="G8" s="218" t="s">
        <v>169</v>
      </c>
      <c r="H8" s="218" t="s">
        <v>170</v>
      </c>
      <c r="I8" s="218" t="s">
        <v>171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ht="15.75" customHeight="1">
      <c r="A9" s="219">
        <v>8.94671019E9</v>
      </c>
      <c r="B9" s="50" t="s">
        <v>417</v>
      </c>
      <c r="C9" s="50" t="s">
        <v>418</v>
      </c>
      <c r="D9" s="43">
        <v>100.0</v>
      </c>
      <c r="E9" s="43">
        <v>84.0</v>
      </c>
      <c r="F9" s="220"/>
      <c r="G9" s="43">
        <v>0.0</v>
      </c>
      <c r="H9" s="139" t="s">
        <v>419</v>
      </c>
      <c r="I9" s="11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ht="15.75" customHeight="1">
      <c r="A10" s="219">
        <v>9.01506019E9</v>
      </c>
      <c r="B10" s="50" t="s">
        <v>420</v>
      </c>
      <c r="C10" s="50" t="s">
        <v>421</v>
      </c>
      <c r="D10" s="43">
        <v>100.0</v>
      </c>
      <c r="E10" s="43">
        <v>56.0</v>
      </c>
      <c r="F10" s="220"/>
      <c r="G10" s="43">
        <v>0.0</v>
      </c>
      <c r="H10" s="139" t="s">
        <v>422</v>
      </c>
      <c r="I10" s="11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</row>
    <row r="11" ht="15.75" customHeight="1">
      <c r="A11" s="219">
        <v>1.005951619E10</v>
      </c>
      <c r="B11" s="50" t="s">
        <v>423</v>
      </c>
      <c r="C11" s="50" t="s">
        <v>424</v>
      </c>
      <c r="D11" s="43">
        <v>100.0</v>
      </c>
      <c r="E11" s="46"/>
      <c r="F11" s="220"/>
      <c r="G11" s="43">
        <v>0.0</v>
      </c>
      <c r="H11" s="139" t="s">
        <v>425</v>
      </c>
      <c r="I11" s="11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ht="15.75" customHeight="1">
      <c r="A12" s="219">
        <v>6.36859019E9</v>
      </c>
      <c r="B12" s="50" t="s">
        <v>426</v>
      </c>
      <c r="C12" s="50" t="s">
        <v>427</v>
      </c>
      <c r="D12" s="43">
        <v>100.0</v>
      </c>
      <c r="E12" s="43">
        <v>15.0</v>
      </c>
      <c r="F12" s="220"/>
      <c r="G12" s="43">
        <v>0.0</v>
      </c>
      <c r="H12" s="139" t="s">
        <v>428</v>
      </c>
      <c r="I12" s="1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ht="15.75" customHeight="1">
      <c r="A13" s="219">
        <v>5.03165619E9</v>
      </c>
      <c r="B13" s="50" t="s">
        <v>429</v>
      </c>
      <c r="C13" s="50" t="s">
        <v>430</v>
      </c>
      <c r="D13" s="43">
        <v>100.0</v>
      </c>
      <c r="E13" s="43">
        <v>28.0</v>
      </c>
      <c r="F13" s="220"/>
      <c r="G13" s="43">
        <v>0.0</v>
      </c>
      <c r="H13" s="139" t="s">
        <v>431</v>
      </c>
      <c r="I13" s="11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</row>
    <row r="14" ht="15.75" customHeight="1">
      <c r="A14" s="219">
        <v>8.08663019E9</v>
      </c>
      <c r="B14" s="50" t="s">
        <v>432</v>
      </c>
      <c r="C14" s="50" t="s">
        <v>433</v>
      </c>
      <c r="D14" s="43">
        <v>100.0</v>
      </c>
      <c r="E14" s="43">
        <v>56.0</v>
      </c>
      <c r="F14" s="220"/>
      <c r="G14" s="43">
        <v>0.0</v>
      </c>
      <c r="H14" s="139" t="s">
        <v>422</v>
      </c>
      <c r="I14" s="1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ht="15.75" customHeight="1">
      <c r="A15" s="219">
        <v>1.1820591122E10</v>
      </c>
      <c r="B15" s="50" t="s">
        <v>434</v>
      </c>
      <c r="C15" s="50" t="s">
        <v>435</v>
      </c>
      <c r="D15" s="43">
        <v>100.0</v>
      </c>
      <c r="E15" s="43">
        <v>56.0</v>
      </c>
      <c r="F15" s="220"/>
      <c r="G15" s="43">
        <v>0.0</v>
      </c>
      <c r="H15" s="139" t="s">
        <v>422</v>
      </c>
      <c r="I15" s="11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ht="15.75" customHeight="1">
      <c r="A16" s="219">
        <v>1.1820567122E10</v>
      </c>
      <c r="B16" s="50" t="s">
        <v>436</v>
      </c>
      <c r="C16" s="50" t="s">
        <v>437</v>
      </c>
      <c r="D16" s="43">
        <v>100.0</v>
      </c>
      <c r="E16" s="43">
        <v>28.0</v>
      </c>
      <c r="F16" s="220"/>
      <c r="G16" s="43">
        <v>0.0</v>
      </c>
      <c r="H16" s="139" t="s">
        <v>431</v>
      </c>
      <c r="I16" s="11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</row>
    <row r="17" ht="15.75" customHeight="1">
      <c r="A17" s="219">
        <v>9.01491819E9</v>
      </c>
      <c r="B17" s="50" t="s">
        <v>438</v>
      </c>
      <c r="C17" s="50" t="s">
        <v>439</v>
      </c>
      <c r="D17" s="43">
        <v>100.0</v>
      </c>
      <c r="E17" s="43">
        <v>56.0</v>
      </c>
      <c r="F17" s="220"/>
      <c r="G17" s="43">
        <v>0.0</v>
      </c>
      <c r="H17" s="139" t="s">
        <v>422</v>
      </c>
      <c r="I17" s="11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</row>
    <row r="18" ht="15.75" customHeight="1">
      <c r="A18" s="219">
        <v>1.1820613122E10</v>
      </c>
      <c r="B18" s="50" t="s">
        <v>440</v>
      </c>
      <c r="C18" s="50" t="s">
        <v>441</v>
      </c>
      <c r="D18" s="43">
        <v>100.0</v>
      </c>
      <c r="E18" s="43">
        <v>56.0</v>
      </c>
      <c r="F18" s="220"/>
      <c r="G18" s="43">
        <v>0.0</v>
      </c>
      <c r="H18" s="139" t="s">
        <v>422</v>
      </c>
      <c r="I18" s="11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</row>
    <row r="19" ht="15.75" customHeight="1">
      <c r="A19" s="219">
        <v>8.49859819E9</v>
      </c>
      <c r="B19" s="50" t="s">
        <v>442</v>
      </c>
      <c r="C19" s="50" t="s">
        <v>443</v>
      </c>
      <c r="D19" s="43">
        <v>100.0</v>
      </c>
      <c r="E19" s="43">
        <v>56.0</v>
      </c>
      <c r="F19" s="220"/>
      <c r="G19" s="43">
        <v>0.0</v>
      </c>
      <c r="H19" s="139" t="s">
        <v>422</v>
      </c>
      <c r="I19" s="11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</row>
    <row r="20" ht="15.75" customHeight="1">
      <c r="A20" s="219">
        <v>8.83698119E9</v>
      </c>
      <c r="B20" s="50" t="s">
        <v>444</v>
      </c>
      <c r="C20" s="50" t="s">
        <v>445</v>
      </c>
      <c r="D20" s="43">
        <v>100.0</v>
      </c>
      <c r="E20" s="43">
        <v>49.0</v>
      </c>
      <c r="F20" s="220"/>
      <c r="G20" s="43">
        <v>0.0</v>
      </c>
      <c r="H20" s="139" t="s">
        <v>446</v>
      </c>
      <c r="I20" s="11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</row>
    <row r="21" ht="15.75" customHeight="1">
      <c r="A21" s="219">
        <v>9.20309519E9</v>
      </c>
      <c r="B21" s="50" t="s">
        <v>447</v>
      </c>
      <c r="C21" s="50" t="s">
        <v>448</v>
      </c>
      <c r="D21" s="43">
        <v>200.0</v>
      </c>
      <c r="E21" s="43">
        <v>28.0</v>
      </c>
      <c r="F21" s="220"/>
      <c r="G21" s="43">
        <v>0.0</v>
      </c>
      <c r="H21" s="139" t="s">
        <v>431</v>
      </c>
      <c r="I21" s="1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ht="15.75" customHeight="1">
      <c r="A22" s="219">
        <v>9.28926719E9</v>
      </c>
      <c r="B22" s="50" t="s">
        <v>449</v>
      </c>
      <c r="C22" s="50" t="s">
        <v>450</v>
      </c>
      <c r="D22" s="43">
        <v>200.0</v>
      </c>
      <c r="E22" s="43">
        <v>28.0</v>
      </c>
      <c r="F22" s="220"/>
      <c r="G22" s="43">
        <v>0.0</v>
      </c>
      <c r="H22" s="139" t="s">
        <v>431</v>
      </c>
      <c r="I22" s="11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ht="15.75" customHeight="1">
      <c r="A23" s="219">
        <v>9.00499819E9</v>
      </c>
      <c r="B23" s="50" t="s">
        <v>451</v>
      </c>
      <c r="C23" s="50" t="s">
        <v>452</v>
      </c>
      <c r="D23" s="43">
        <v>100.0</v>
      </c>
      <c r="E23" s="43">
        <v>42.0</v>
      </c>
      <c r="F23" s="220"/>
      <c r="G23" s="43">
        <v>0.0</v>
      </c>
      <c r="H23" s="139" t="s">
        <v>453</v>
      </c>
      <c r="I23" s="11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</row>
    <row r="24" ht="15.75" customHeight="1">
      <c r="A24" s="219">
        <v>8.49660919E9</v>
      </c>
      <c r="B24" s="50" t="s">
        <v>454</v>
      </c>
      <c r="C24" s="50" t="s">
        <v>455</v>
      </c>
      <c r="D24" s="43">
        <v>100.0</v>
      </c>
      <c r="E24" s="43">
        <v>21.0</v>
      </c>
      <c r="F24" s="220"/>
      <c r="G24" s="43">
        <v>0.0</v>
      </c>
      <c r="H24" s="139" t="s">
        <v>456</v>
      </c>
      <c r="I24" s="11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</row>
    <row r="25" ht="15.75" customHeight="1">
      <c r="A25" s="219">
        <v>9.00577319E9</v>
      </c>
      <c r="B25" s="50" t="s">
        <v>457</v>
      </c>
      <c r="C25" s="50" t="s">
        <v>458</v>
      </c>
      <c r="D25" s="43">
        <v>100.0</v>
      </c>
      <c r="E25" s="43">
        <v>56.0</v>
      </c>
      <c r="F25" s="220"/>
      <c r="G25" s="43">
        <v>0.0</v>
      </c>
      <c r="H25" s="139" t="s">
        <v>422</v>
      </c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ht="15.75" customHeight="1">
      <c r="A26" s="219">
        <v>1.177622319E10</v>
      </c>
      <c r="B26" s="50" t="s">
        <v>459</v>
      </c>
      <c r="C26" s="50" t="s">
        <v>460</v>
      </c>
      <c r="D26" s="43">
        <v>100.0</v>
      </c>
      <c r="E26" s="43">
        <v>42.0</v>
      </c>
      <c r="F26" s="220"/>
      <c r="G26" s="43">
        <v>0.0</v>
      </c>
      <c r="H26" s="139" t="s">
        <v>453</v>
      </c>
      <c r="I26" s="11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</row>
    <row r="27" ht="15.75" customHeight="1">
      <c r="A27" s="219">
        <v>3.045838122E9</v>
      </c>
      <c r="B27" s="50" t="s">
        <v>461</v>
      </c>
      <c r="C27" s="50" t="s">
        <v>462</v>
      </c>
      <c r="D27" s="43">
        <v>100.0</v>
      </c>
      <c r="E27" s="43">
        <v>35.0</v>
      </c>
      <c r="F27" s="220"/>
      <c r="G27" s="43">
        <v>0.0</v>
      </c>
      <c r="H27" s="139" t="s">
        <v>463</v>
      </c>
      <c r="I27" s="11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</row>
    <row r="28" ht="15.75" customHeight="1">
      <c r="A28" s="219">
        <v>1.1776193122E10</v>
      </c>
      <c r="B28" s="50" t="s">
        <v>464</v>
      </c>
      <c r="C28" s="50" t="s">
        <v>465</v>
      </c>
      <c r="D28" s="43">
        <v>100.0</v>
      </c>
      <c r="E28" s="43">
        <v>56.0</v>
      </c>
      <c r="F28" s="220"/>
      <c r="G28" s="43">
        <v>0.0</v>
      </c>
      <c r="H28" s="139" t="s">
        <v>422</v>
      </c>
      <c r="I28" s="1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ht="15.75" customHeight="1">
      <c r="A29" s="219">
        <v>9.00569219E9</v>
      </c>
      <c r="B29" s="50" t="s">
        <v>466</v>
      </c>
      <c r="C29" s="50" t="s">
        <v>467</v>
      </c>
      <c r="D29" s="43">
        <v>100.0</v>
      </c>
      <c r="E29" s="43">
        <v>56.0</v>
      </c>
      <c r="F29" s="220"/>
      <c r="G29" s="43">
        <v>0.0</v>
      </c>
      <c r="H29" s="139" t="s">
        <v>422</v>
      </c>
      <c r="I29" s="11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ht="15.75" customHeight="1">
      <c r="A30" s="219">
        <v>1.1731629322E10</v>
      </c>
      <c r="B30" s="50" t="s">
        <v>468</v>
      </c>
      <c r="C30" s="50" t="s">
        <v>469</v>
      </c>
      <c r="D30" s="43">
        <v>100.0</v>
      </c>
      <c r="E30" s="43">
        <v>42.0</v>
      </c>
      <c r="F30" s="220"/>
      <c r="G30" s="43">
        <v>0.0</v>
      </c>
      <c r="H30" s="139" t="s">
        <v>453</v>
      </c>
      <c r="I30" s="11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</row>
    <row r="31" ht="15.75" customHeight="1">
      <c r="A31" s="219">
        <v>9.01556619E9</v>
      </c>
      <c r="B31" s="50" t="s">
        <v>470</v>
      </c>
      <c r="C31" s="50" t="s">
        <v>471</v>
      </c>
      <c r="D31" s="43">
        <v>100.0</v>
      </c>
      <c r="E31" s="43">
        <v>56.0</v>
      </c>
      <c r="F31" s="220"/>
      <c r="G31" s="43">
        <v>0.0</v>
      </c>
      <c r="H31" s="139" t="s">
        <v>422</v>
      </c>
      <c r="I31" s="1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ht="15.75" customHeight="1">
      <c r="A32" s="219">
        <v>5.95764819E9</v>
      </c>
      <c r="B32" s="50" t="s">
        <v>472</v>
      </c>
      <c r="C32" s="50" t="s">
        <v>473</v>
      </c>
      <c r="D32" s="43">
        <v>100.0</v>
      </c>
      <c r="E32" s="43">
        <v>56.0</v>
      </c>
      <c r="F32" s="220"/>
      <c r="G32" s="43">
        <v>0.0</v>
      </c>
      <c r="H32" s="139" t="s">
        <v>422</v>
      </c>
      <c r="I32" s="11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</row>
    <row r="33" ht="15.75" customHeight="1">
      <c r="A33" s="219">
        <v>9.34239719E9</v>
      </c>
      <c r="B33" s="50" t="s">
        <v>474</v>
      </c>
      <c r="C33" s="50" t="s">
        <v>475</v>
      </c>
      <c r="D33" s="43">
        <v>100.0</v>
      </c>
      <c r="E33" s="43">
        <v>56.0</v>
      </c>
      <c r="F33" s="220"/>
      <c r="G33" s="43">
        <v>0.0</v>
      </c>
      <c r="H33" s="139" t="s">
        <v>422</v>
      </c>
      <c r="I33" s="1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ht="15.75" customHeight="1">
      <c r="A34" s="219">
        <v>9.11854319E9</v>
      </c>
      <c r="B34" s="50" t="s">
        <v>476</v>
      </c>
      <c r="C34" s="50" t="s">
        <v>477</v>
      </c>
      <c r="D34" s="43">
        <v>100.0</v>
      </c>
      <c r="E34" s="43">
        <v>21.0</v>
      </c>
      <c r="F34" s="220"/>
      <c r="G34" s="43">
        <v>0.0</v>
      </c>
      <c r="H34" s="139" t="s">
        <v>456</v>
      </c>
      <c r="I34" s="11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</row>
    <row r="35" ht="15.75" customHeight="1">
      <c r="A35" s="221">
        <v>4.78461819E9</v>
      </c>
      <c r="B35" s="50" t="s">
        <v>478</v>
      </c>
      <c r="C35" s="50" t="s">
        <v>479</v>
      </c>
      <c r="D35" s="43">
        <v>100.0</v>
      </c>
      <c r="E35" s="43">
        <v>42.0</v>
      </c>
      <c r="F35" s="220"/>
      <c r="G35" s="43">
        <v>0.0</v>
      </c>
      <c r="H35" s="139" t="s">
        <v>453</v>
      </c>
      <c r="I35" s="11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</row>
    <row r="36" ht="15.75" customHeight="1">
      <c r="A36" s="221">
        <v>6.68773319E9</v>
      </c>
      <c r="B36" s="50" t="s">
        <v>480</v>
      </c>
      <c r="C36" s="50" t="s">
        <v>481</v>
      </c>
      <c r="D36" s="43">
        <v>100.0</v>
      </c>
      <c r="E36" s="43">
        <v>56.0</v>
      </c>
      <c r="F36" s="220"/>
      <c r="G36" s="43">
        <v>0.0</v>
      </c>
      <c r="H36" s="139" t="s">
        <v>422</v>
      </c>
      <c r="I36" s="11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</row>
    <row r="37" ht="15.75" customHeight="1">
      <c r="A37" s="219">
        <v>3.18489719E9</v>
      </c>
      <c r="B37" s="50" t="s">
        <v>482</v>
      </c>
      <c r="C37" s="50" t="s">
        <v>483</v>
      </c>
      <c r="D37" s="43">
        <v>100.0</v>
      </c>
      <c r="E37" s="43">
        <v>56.0</v>
      </c>
      <c r="F37" s="220"/>
      <c r="G37" s="43">
        <v>0.0</v>
      </c>
      <c r="H37" s="139" t="s">
        <v>422</v>
      </c>
      <c r="I37" s="1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ht="15.75" customHeight="1">
      <c r="A38" s="221">
        <v>1.1820966122E10</v>
      </c>
      <c r="B38" s="50" t="s">
        <v>484</v>
      </c>
      <c r="C38" s="50" t="s">
        <v>485</v>
      </c>
      <c r="D38" s="43">
        <v>100.0</v>
      </c>
      <c r="E38" s="43">
        <v>56.0</v>
      </c>
      <c r="F38" s="220"/>
      <c r="G38" s="43">
        <v>0.0</v>
      </c>
      <c r="H38" s="139" t="s">
        <v>422</v>
      </c>
      <c r="I38" s="1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ht="15.75" customHeight="1">
      <c r="A39" s="221">
        <v>3.000087122E9</v>
      </c>
      <c r="B39" s="50" t="s">
        <v>486</v>
      </c>
      <c r="C39" s="50" t="s">
        <v>487</v>
      </c>
      <c r="D39" s="43">
        <v>100.0</v>
      </c>
      <c r="E39" s="43">
        <v>56.0</v>
      </c>
      <c r="F39" s="220"/>
      <c r="G39" s="43">
        <v>0.0</v>
      </c>
      <c r="H39" s="139" t="s">
        <v>422</v>
      </c>
      <c r="I39" s="11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ht="15.75" customHeight="1">
      <c r="A40" s="219">
        <v>1.182079619E10</v>
      </c>
      <c r="B40" s="50" t="s">
        <v>488</v>
      </c>
      <c r="C40" s="50" t="s">
        <v>489</v>
      </c>
      <c r="D40" s="43">
        <v>100.0</v>
      </c>
      <c r="E40" s="43">
        <v>56.0</v>
      </c>
      <c r="F40" s="220"/>
      <c r="G40" s="43">
        <v>0.0</v>
      </c>
      <c r="H40" s="139" t="s">
        <v>422</v>
      </c>
      <c r="I40" s="11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ht="15.75" customHeight="1">
      <c r="A41" s="219">
        <v>8.35537119E9</v>
      </c>
      <c r="B41" s="50" t="s">
        <v>490</v>
      </c>
      <c r="C41" s="50" t="s">
        <v>491</v>
      </c>
      <c r="D41" s="43">
        <v>100.0</v>
      </c>
      <c r="E41" s="43">
        <v>28.0</v>
      </c>
      <c r="F41" s="220"/>
      <c r="G41" s="43">
        <v>0.0</v>
      </c>
      <c r="H41" s="139" t="s">
        <v>431</v>
      </c>
      <c r="I41" s="11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</row>
    <row r="42" ht="15.75" customHeight="1">
      <c r="A42" s="219">
        <v>8.35525819E9</v>
      </c>
      <c r="B42" s="50" t="s">
        <v>492</v>
      </c>
      <c r="C42" s="50" t="s">
        <v>493</v>
      </c>
      <c r="D42" s="43">
        <v>100.0</v>
      </c>
      <c r="E42" s="43">
        <v>28.0</v>
      </c>
      <c r="F42" s="220"/>
      <c r="G42" s="43">
        <v>0.0</v>
      </c>
      <c r="H42" s="139" t="s">
        <v>431</v>
      </c>
      <c r="I42" s="11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ht="15.75" customHeight="1">
      <c r="A43" s="219">
        <v>8.35531219E9</v>
      </c>
      <c r="B43" s="50" t="s">
        <v>494</v>
      </c>
      <c r="C43" s="50" t="s">
        <v>495</v>
      </c>
      <c r="D43" s="43">
        <v>100.0</v>
      </c>
      <c r="E43" s="43">
        <v>28.0</v>
      </c>
      <c r="F43" s="220"/>
      <c r="G43" s="43">
        <v>0.0</v>
      </c>
      <c r="H43" s="139" t="s">
        <v>431</v>
      </c>
      <c r="I43" s="11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</row>
    <row r="44" ht="15.75" customHeight="1">
      <c r="A44" s="219">
        <v>6.65602119E9</v>
      </c>
      <c r="B44" s="50" t="s">
        <v>496</v>
      </c>
      <c r="C44" s="50" t="s">
        <v>497</v>
      </c>
      <c r="D44" s="43">
        <v>100.0</v>
      </c>
      <c r="E44" s="43">
        <v>56.0</v>
      </c>
      <c r="F44" s="220"/>
      <c r="G44" s="43">
        <v>0.0</v>
      </c>
      <c r="H44" s="139" t="s">
        <v>422</v>
      </c>
      <c r="I44" s="11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</row>
    <row r="45" ht="15.75" customHeight="1">
      <c r="A45" s="219">
        <v>3.73755119E9</v>
      </c>
      <c r="B45" s="50" t="s">
        <v>498</v>
      </c>
      <c r="C45" s="50" t="s">
        <v>499</v>
      </c>
      <c r="D45" s="43">
        <v>100.0</v>
      </c>
      <c r="E45" s="43">
        <v>42.0</v>
      </c>
      <c r="F45" s="220"/>
      <c r="G45" s="43">
        <v>0.0</v>
      </c>
      <c r="H45" s="139" t="s">
        <v>453</v>
      </c>
      <c r="I45" s="11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</row>
    <row r="46" ht="15.75" customHeight="1">
      <c r="A46" s="219">
        <v>8.32413119E9</v>
      </c>
      <c r="B46" s="50" t="s">
        <v>500</v>
      </c>
      <c r="C46" s="50" t="s">
        <v>501</v>
      </c>
      <c r="D46" s="43">
        <v>100.0</v>
      </c>
      <c r="E46" s="43">
        <v>28.0</v>
      </c>
      <c r="F46" s="220"/>
      <c r="G46" s="43">
        <v>0.0</v>
      </c>
      <c r="H46" s="139" t="s">
        <v>431</v>
      </c>
      <c r="I46" s="11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</row>
    <row r="47" ht="15.75" customHeight="1">
      <c r="A47" s="219">
        <v>8.86029719E9</v>
      </c>
      <c r="B47" s="50" t="s">
        <v>502</v>
      </c>
      <c r="C47" s="50" t="s">
        <v>503</v>
      </c>
      <c r="D47" s="43">
        <v>100.0</v>
      </c>
      <c r="E47" s="43">
        <v>28.0</v>
      </c>
      <c r="F47" s="220"/>
      <c r="G47" s="43">
        <v>0.0</v>
      </c>
      <c r="H47" s="139" t="s">
        <v>431</v>
      </c>
      <c r="I47" s="11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ht="15.75" customHeight="1">
      <c r="A48" s="219">
        <v>8.82860119E9</v>
      </c>
      <c r="B48" s="50" t="s">
        <v>504</v>
      </c>
      <c r="C48" s="50" t="s">
        <v>505</v>
      </c>
      <c r="D48" s="43">
        <v>100.0</v>
      </c>
      <c r="E48" s="43">
        <v>42.0</v>
      </c>
      <c r="F48" s="220"/>
      <c r="G48" s="43">
        <v>0.0</v>
      </c>
      <c r="H48" s="139" t="s">
        <v>453</v>
      </c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ht="15.75" customHeight="1">
      <c r="A49" s="219">
        <v>8.93235219E9</v>
      </c>
      <c r="B49" s="50" t="s">
        <v>506</v>
      </c>
      <c r="C49" s="50" t="s">
        <v>507</v>
      </c>
      <c r="D49" s="43">
        <v>100.0</v>
      </c>
      <c r="E49" s="43">
        <v>56.0</v>
      </c>
      <c r="F49" s="220"/>
      <c r="G49" s="43">
        <v>0.0</v>
      </c>
      <c r="H49" s="139" t="s">
        <v>422</v>
      </c>
      <c r="I49" s="11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</row>
    <row r="50" ht="15.75" customHeight="1">
      <c r="A50" s="219">
        <v>9.00580319E9</v>
      </c>
      <c r="B50" s="50" t="s">
        <v>508</v>
      </c>
      <c r="C50" s="50" t="s">
        <v>509</v>
      </c>
      <c r="D50" s="43">
        <v>200.0</v>
      </c>
      <c r="E50" s="43">
        <v>56.0</v>
      </c>
      <c r="F50" s="220"/>
      <c r="G50" s="43">
        <v>0.0</v>
      </c>
      <c r="H50" s="139" t="s">
        <v>422</v>
      </c>
      <c r="I50" s="11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</row>
    <row r="51" ht="15.75" customHeight="1">
      <c r="A51" s="219">
        <v>9.04327619E9</v>
      </c>
      <c r="B51" s="50" t="s">
        <v>510</v>
      </c>
      <c r="C51" s="50" t="s">
        <v>511</v>
      </c>
      <c r="D51" s="43">
        <v>200.0</v>
      </c>
      <c r="E51" s="43">
        <v>56.0</v>
      </c>
      <c r="F51" s="220"/>
      <c r="G51" s="43">
        <v>0.0</v>
      </c>
      <c r="H51" s="139" t="s">
        <v>422</v>
      </c>
      <c r="I51" s="11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</row>
    <row r="52" ht="15.75" customHeight="1">
      <c r="A52" s="219">
        <v>8.94677919E9</v>
      </c>
      <c r="B52" s="50" t="s">
        <v>512</v>
      </c>
      <c r="C52" s="50" t="s">
        <v>513</v>
      </c>
      <c r="D52" s="43">
        <v>100.0</v>
      </c>
      <c r="E52" s="43">
        <v>56.0</v>
      </c>
      <c r="F52" s="220"/>
      <c r="G52" s="43">
        <v>0.0</v>
      </c>
      <c r="H52" s="139" t="s">
        <v>422</v>
      </c>
      <c r="I52" s="11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ht="15.75" customHeight="1">
      <c r="A53" s="219">
        <v>1.1820583122E10</v>
      </c>
      <c r="B53" s="50" t="s">
        <v>514</v>
      </c>
      <c r="C53" s="50" t="s">
        <v>515</v>
      </c>
      <c r="D53" s="43">
        <v>100.0</v>
      </c>
      <c r="E53" s="43">
        <v>56.0</v>
      </c>
      <c r="F53" s="220"/>
      <c r="G53" s="43">
        <v>0.0</v>
      </c>
      <c r="H53" s="139" t="s">
        <v>422</v>
      </c>
      <c r="I53" s="11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ht="15.75" customHeight="1">
      <c r="A54" s="219">
        <v>8.81485619E9</v>
      </c>
      <c r="B54" s="50" t="s">
        <v>516</v>
      </c>
      <c r="C54" s="50" t="s">
        <v>517</v>
      </c>
      <c r="D54" s="43">
        <v>100.0</v>
      </c>
      <c r="E54" s="43">
        <v>42.0</v>
      </c>
      <c r="F54" s="220"/>
      <c r="G54" s="43">
        <v>0.0</v>
      </c>
      <c r="H54" s="139" t="s">
        <v>453</v>
      </c>
      <c r="I54" s="11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ht="15.75" customHeight="1">
      <c r="A55" s="219">
        <v>8.89058719E9</v>
      </c>
      <c r="B55" s="50" t="s">
        <v>518</v>
      </c>
      <c r="C55" s="50" t="s">
        <v>519</v>
      </c>
      <c r="D55" s="43">
        <v>100.0</v>
      </c>
      <c r="E55" s="43">
        <v>28.0</v>
      </c>
      <c r="F55" s="220"/>
      <c r="G55" s="43">
        <v>0.0</v>
      </c>
      <c r="H55" s="139" t="s">
        <v>431</v>
      </c>
      <c r="I55" s="11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ht="15.75" customHeight="1">
      <c r="A56" s="219">
        <v>3.27174919E9</v>
      </c>
      <c r="B56" s="50" t="s">
        <v>520</v>
      </c>
      <c r="C56" s="50" t="s">
        <v>521</v>
      </c>
      <c r="D56" s="43">
        <v>100.0</v>
      </c>
      <c r="E56" s="43">
        <v>28.0</v>
      </c>
      <c r="F56" s="220"/>
      <c r="G56" s="43">
        <v>0.0</v>
      </c>
      <c r="H56" s="139" t="s">
        <v>431</v>
      </c>
      <c r="I56" s="11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</row>
    <row r="57" ht="15.75" customHeight="1">
      <c r="A57" s="219">
        <v>5.95092919E9</v>
      </c>
      <c r="B57" s="50" t="s">
        <v>522</v>
      </c>
      <c r="C57" s="50" t="s">
        <v>523</v>
      </c>
      <c r="D57" s="43">
        <v>100.0</v>
      </c>
      <c r="E57" s="43">
        <v>28.0</v>
      </c>
      <c r="F57" s="220"/>
      <c r="G57" s="43">
        <v>0.0</v>
      </c>
      <c r="H57" s="139" t="s">
        <v>431</v>
      </c>
      <c r="I57" s="11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7"/>
    </row>
    <row r="58" ht="15.75" customHeight="1">
      <c r="A58" s="219">
        <v>5.39012519E9</v>
      </c>
      <c r="B58" s="50" t="s">
        <v>524</v>
      </c>
      <c r="C58" s="50" t="s">
        <v>525</v>
      </c>
      <c r="D58" s="43">
        <v>100.0</v>
      </c>
      <c r="E58" s="43">
        <v>56.0</v>
      </c>
      <c r="F58" s="220"/>
      <c r="G58" s="43">
        <v>0.0</v>
      </c>
      <c r="H58" s="139" t="s">
        <v>422</v>
      </c>
      <c r="I58" s="11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ht="15.75" customHeight="1">
      <c r="A59" s="219">
        <v>8.92416319E9</v>
      </c>
      <c r="B59" s="50" t="s">
        <v>526</v>
      </c>
      <c r="C59" s="50" t="s">
        <v>527</v>
      </c>
      <c r="D59" s="43">
        <v>100.0</v>
      </c>
      <c r="E59" s="43">
        <v>28.0</v>
      </c>
      <c r="F59" s="220"/>
      <c r="G59" s="43">
        <v>0.0</v>
      </c>
      <c r="H59" s="139" t="s">
        <v>431</v>
      </c>
      <c r="I59" s="11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</row>
    <row r="60" ht="15.75" customHeight="1">
      <c r="A60" s="219">
        <v>8.94884419E9</v>
      </c>
      <c r="B60" s="50" t="s">
        <v>528</v>
      </c>
      <c r="C60" s="50" t="s">
        <v>529</v>
      </c>
      <c r="D60" s="43">
        <v>100.0</v>
      </c>
      <c r="E60" s="43">
        <v>28.0</v>
      </c>
      <c r="F60" s="220"/>
      <c r="G60" s="43">
        <v>0.0</v>
      </c>
      <c r="H60" s="139" t="s">
        <v>431</v>
      </c>
      <c r="I60" s="11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ht="15.75" customHeight="1">
      <c r="A61" s="219">
        <v>8.94888719E9</v>
      </c>
      <c r="B61" s="50" t="s">
        <v>530</v>
      </c>
      <c r="C61" s="50" t="s">
        <v>531</v>
      </c>
      <c r="D61" s="43">
        <v>100.0</v>
      </c>
      <c r="E61" s="43">
        <v>28.0</v>
      </c>
      <c r="F61" s="220"/>
      <c r="G61" s="43">
        <v>0.0</v>
      </c>
      <c r="H61" s="139" t="s">
        <v>431</v>
      </c>
      <c r="I61" s="11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</row>
    <row r="62" ht="15.75" customHeight="1">
      <c r="A62" s="219">
        <v>9.01517519E9</v>
      </c>
      <c r="B62" s="50" t="s">
        <v>532</v>
      </c>
      <c r="C62" s="50" t="s">
        <v>533</v>
      </c>
      <c r="D62" s="43">
        <v>100.0</v>
      </c>
      <c r="E62" s="43">
        <v>28.0</v>
      </c>
      <c r="F62" s="220"/>
      <c r="G62" s="43">
        <v>0.0</v>
      </c>
      <c r="H62" s="139" t="s">
        <v>431</v>
      </c>
      <c r="I62" s="11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</row>
    <row r="63" ht="15.75" customHeight="1">
      <c r="A63" s="219">
        <v>4.82703119E9</v>
      </c>
      <c r="B63" s="50" t="s">
        <v>534</v>
      </c>
      <c r="C63" s="50" t="s">
        <v>535</v>
      </c>
      <c r="D63" s="43">
        <v>100.0</v>
      </c>
      <c r="E63" s="43">
        <v>56.0</v>
      </c>
      <c r="F63" s="220"/>
      <c r="G63" s="43">
        <v>0.0</v>
      </c>
      <c r="H63" s="139" t="s">
        <v>422</v>
      </c>
      <c r="I63" s="11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219">
        <v>7.47589619E9</v>
      </c>
      <c r="B64" s="50" t="s">
        <v>536</v>
      </c>
      <c r="C64" s="50" t="s">
        <v>537</v>
      </c>
      <c r="D64" s="43">
        <v>100.0</v>
      </c>
      <c r="E64" s="43">
        <v>28.0</v>
      </c>
      <c r="F64" s="220"/>
      <c r="G64" s="43">
        <v>0.0</v>
      </c>
      <c r="H64" s="139" t="s">
        <v>431</v>
      </c>
      <c r="I64" s="11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ht="15.75" customHeight="1">
      <c r="A65" s="219">
        <v>7.57469019E9</v>
      </c>
      <c r="B65" s="54" t="s">
        <v>538</v>
      </c>
      <c r="C65" s="54" t="s">
        <v>539</v>
      </c>
      <c r="D65" s="43">
        <v>100.0</v>
      </c>
      <c r="E65" s="43">
        <v>28.0</v>
      </c>
      <c r="F65" s="220"/>
      <c r="G65" s="43">
        <v>0.0</v>
      </c>
      <c r="H65" s="139" t="s">
        <v>431</v>
      </c>
      <c r="I65" s="11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ht="15.75" customHeight="1">
      <c r="A66" s="219">
        <v>9.01560419E9</v>
      </c>
      <c r="B66" s="50" t="s">
        <v>540</v>
      </c>
      <c r="C66" s="50" t="s">
        <v>541</v>
      </c>
      <c r="D66" s="43">
        <v>100.0</v>
      </c>
      <c r="E66" s="43">
        <v>28.0</v>
      </c>
      <c r="F66" s="220"/>
      <c r="G66" s="43">
        <v>0.0</v>
      </c>
      <c r="H66" s="139" t="s">
        <v>431</v>
      </c>
      <c r="I66" s="11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ht="15.75" customHeight="1">
      <c r="A67" s="219">
        <v>1.2017547122E10</v>
      </c>
      <c r="B67" s="50" t="s">
        <v>542</v>
      </c>
      <c r="C67" s="50" t="s">
        <v>543</v>
      </c>
      <c r="D67" s="43">
        <v>100.0</v>
      </c>
      <c r="E67" s="43">
        <v>28.0</v>
      </c>
      <c r="F67" s="220"/>
      <c r="G67" s="43">
        <v>0.0</v>
      </c>
      <c r="H67" s="139" t="s">
        <v>431</v>
      </c>
      <c r="I67" s="11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ht="15.75" customHeight="1">
      <c r="A68" s="219">
        <v>1.1732234122E10</v>
      </c>
      <c r="B68" s="50" t="s">
        <v>544</v>
      </c>
      <c r="C68" s="50" t="s">
        <v>545</v>
      </c>
      <c r="D68" s="43">
        <v>100.0</v>
      </c>
      <c r="E68" s="43">
        <v>56.0</v>
      </c>
      <c r="F68" s="220"/>
      <c r="G68" s="43">
        <v>0.0</v>
      </c>
      <c r="H68" s="139" t="s">
        <v>422</v>
      </c>
      <c r="I68" s="11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</row>
    <row r="69" ht="15.75" customHeight="1">
      <c r="A69" s="219">
        <v>1.1820788122E10</v>
      </c>
      <c r="B69" s="50" t="s">
        <v>546</v>
      </c>
      <c r="C69" s="50" t="s">
        <v>547</v>
      </c>
      <c r="D69" s="43">
        <v>100.0</v>
      </c>
      <c r="E69" s="43">
        <v>56.0</v>
      </c>
      <c r="F69" s="220"/>
      <c r="G69" s="43">
        <v>0.0</v>
      </c>
      <c r="H69" s="139" t="s">
        <v>422</v>
      </c>
      <c r="I69" s="11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</row>
    <row r="70" ht="15.75" customHeight="1">
      <c r="A70" s="219">
        <v>1.2149133122E10</v>
      </c>
      <c r="B70" s="50" t="s">
        <v>548</v>
      </c>
      <c r="C70" s="50" t="s">
        <v>549</v>
      </c>
      <c r="D70" s="43">
        <v>100.0</v>
      </c>
      <c r="E70" s="43">
        <v>56.0</v>
      </c>
      <c r="F70" s="220"/>
      <c r="G70" s="43">
        <v>0.0</v>
      </c>
      <c r="H70" s="139" t="s">
        <v>422</v>
      </c>
      <c r="I70" s="11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ht="15.75" customHeight="1">
      <c r="A71" s="219">
        <v>1.2133113122E10</v>
      </c>
      <c r="B71" s="50" t="s">
        <v>550</v>
      </c>
      <c r="C71" s="50" t="s">
        <v>551</v>
      </c>
      <c r="D71" s="43">
        <v>100.0</v>
      </c>
      <c r="E71" s="43">
        <v>56.0</v>
      </c>
      <c r="F71" s="220"/>
      <c r="G71" s="43">
        <v>0.0</v>
      </c>
      <c r="H71" s="139" t="s">
        <v>422</v>
      </c>
      <c r="I71" s="11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ht="15.75" customHeight="1">
      <c r="A72" s="219">
        <v>8.86017319E9</v>
      </c>
      <c r="B72" s="50" t="s">
        <v>552</v>
      </c>
      <c r="C72" s="50" t="s">
        <v>553</v>
      </c>
      <c r="D72" s="43">
        <v>100.0</v>
      </c>
      <c r="E72" s="43">
        <v>21.0</v>
      </c>
      <c r="F72" s="220"/>
      <c r="G72" s="43">
        <v>0.0</v>
      </c>
      <c r="H72" s="139" t="s">
        <v>456</v>
      </c>
      <c r="I72" s="11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ht="15.75" customHeight="1">
      <c r="A73" s="219">
        <v>9.31871219E9</v>
      </c>
      <c r="B73" s="50" t="s">
        <v>554</v>
      </c>
      <c r="C73" s="50" t="s">
        <v>555</v>
      </c>
      <c r="D73" s="43">
        <v>100.0</v>
      </c>
      <c r="E73" s="43">
        <v>28.0</v>
      </c>
      <c r="F73" s="220"/>
      <c r="G73" s="43">
        <v>0.0</v>
      </c>
      <c r="H73" s="139" t="s">
        <v>431</v>
      </c>
      <c r="I73" s="11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7"/>
    </row>
    <row r="74" ht="15.75" customHeight="1">
      <c r="A74" s="219">
        <v>5.14467119E9</v>
      </c>
      <c r="B74" s="50" t="s">
        <v>556</v>
      </c>
      <c r="C74" s="50" t="s">
        <v>557</v>
      </c>
      <c r="D74" s="43">
        <v>100.0</v>
      </c>
      <c r="E74" s="43">
        <v>84.0</v>
      </c>
      <c r="F74" s="220"/>
      <c r="G74" s="43">
        <v>0.0</v>
      </c>
      <c r="H74" s="139" t="s">
        <v>419</v>
      </c>
      <c r="I74" s="11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</row>
    <row r="75" ht="15.75" customHeight="1">
      <c r="A75" s="219">
        <v>9.31526819E9</v>
      </c>
      <c r="B75" s="50" t="s">
        <v>558</v>
      </c>
      <c r="C75" s="50" t="s">
        <v>559</v>
      </c>
      <c r="D75" s="43">
        <v>100.0</v>
      </c>
      <c r="E75" s="43">
        <v>56.0</v>
      </c>
      <c r="F75" s="220"/>
      <c r="G75" s="43">
        <v>0.0</v>
      </c>
      <c r="H75" s="139" t="s">
        <v>422</v>
      </c>
      <c r="I75" s="11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</row>
    <row r="76" ht="15.75" customHeight="1">
      <c r="A76" s="219">
        <v>8.83674419E9</v>
      </c>
      <c r="B76" s="50" t="s">
        <v>560</v>
      </c>
      <c r="C76" s="50" t="s">
        <v>561</v>
      </c>
      <c r="D76" s="43">
        <v>100.0</v>
      </c>
      <c r="E76" s="46"/>
      <c r="F76" s="220"/>
      <c r="G76" s="43">
        <v>0.0</v>
      </c>
      <c r="H76" s="139" t="s">
        <v>425</v>
      </c>
      <c r="I76" s="11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7"/>
    </row>
    <row r="77" ht="15.75" customHeight="1">
      <c r="A77" s="219">
        <v>7.09253919E9</v>
      </c>
      <c r="B77" s="50" t="s">
        <v>562</v>
      </c>
      <c r="C77" s="50" t="s">
        <v>563</v>
      </c>
      <c r="D77" s="43">
        <v>100.0</v>
      </c>
      <c r="E77" s="43">
        <v>56.0</v>
      </c>
      <c r="F77" s="220"/>
      <c r="G77" s="43">
        <v>0.0</v>
      </c>
      <c r="H77" s="139" t="s">
        <v>422</v>
      </c>
      <c r="I77" s="11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ht="15.75" customHeight="1">
      <c r="A78" s="219">
        <v>9.00763619E9</v>
      </c>
      <c r="B78" s="50" t="s">
        <v>564</v>
      </c>
      <c r="C78" s="50" t="s">
        <v>565</v>
      </c>
      <c r="D78" s="43">
        <v>100.0</v>
      </c>
      <c r="E78" s="43">
        <v>42.0</v>
      </c>
      <c r="F78" s="220"/>
      <c r="G78" s="43">
        <v>0.0</v>
      </c>
      <c r="H78" s="139" t="s">
        <v>453</v>
      </c>
      <c r="I78" s="11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7"/>
    </row>
    <row r="79" ht="15.75" customHeight="1">
      <c r="A79" s="219">
        <v>3.20309319E9</v>
      </c>
      <c r="B79" s="50" t="s">
        <v>566</v>
      </c>
      <c r="C79" s="50" t="s">
        <v>567</v>
      </c>
      <c r="D79" s="43">
        <v>100.0</v>
      </c>
      <c r="E79" s="43">
        <v>56.0</v>
      </c>
      <c r="F79" s="220"/>
      <c r="G79" s="43">
        <v>0.0</v>
      </c>
      <c r="H79" s="139" t="s">
        <v>422</v>
      </c>
      <c r="I79" s="11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7"/>
    </row>
    <row r="80" ht="15.75" customHeight="1">
      <c r="A80" s="219">
        <v>9.00575719E9</v>
      </c>
      <c r="B80" s="50" t="s">
        <v>568</v>
      </c>
      <c r="C80" s="50" t="s">
        <v>569</v>
      </c>
      <c r="D80" s="43">
        <v>100.0</v>
      </c>
      <c r="E80" s="43">
        <v>56.0</v>
      </c>
      <c r="F80" s="220"/>
      <c r="G80" s="43">
        <v>0.0</v>
      </c>
      <c r="H80" s="139" t="s">
        <v>422</v>
      </c>
      <c r="I80" s="11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ht="15.75" customHeight="1">
      <c r="A81" s="219">
        <v>8.92838019E9</v>
      </c>
      <c r="B81" s="50" t="s">
        <v>570</v>
      </c>
      <c r="C81" s="50" t="s">
        <v>571</v>
      </c>
      <c r="D81" s="43">
        <v>100.0</v>
      </c>
      <c r="E81" s="43">
        <v>56.0</v>
      </c>
      <c r="F81" s="220"/>
      <c r="G81" s="43">
        <v>0.0</v>
      </c>
      <c r="H81" s="139" t="s">
        <v>422</v>
      </c>
      <c r="I81" s="11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</row>
    <row r="82" ht="15.75" customHeight="1">
      <c r="A82" s="219">
        <v>4.61879319E9</v>
      </c>
      <c r="B82" s="50" t="s">
        <v>572</v>
      </c>
      <c r="C82" s="50" t="s">
        <v>573</v>
      </c>
      <c r="D82" s="43">
        <v>100.0</v>
      </c>
      <c r="E82" s="43">
        <v>84.0</v>
      </c>
      <c r="F82" s="220"/>
      <c r="G82" s="43">
        <v>0.0</v>
      </c>
      <c r="H82" s="139" t="s">
        <v>419</v>
      </c>
      <c r="I82" s="11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ht="15.75" customHeight="1">
      <c r="A83" s="219">
        <v>4.61883119E9</v>
      </c>
      <c r="B83" s="50" t="s">
        <v>574</v>
      </c>
      <c r="C83" s="50" t="s">
        <v>575</v>
      </c>
      <c r="D83" s="43">
        <v>100.0</v>
      </c>
      <c r="E83" s="43">
        <v>84.0</v>
      </c>
      <c r="F83" s="220"/>
      <c r="G83" s="43">
        <v>0.0</v>
      </c>
      <c r="H83" s="139" t="s">
        <v>419</v>
      </c>
      <c r="I83" s="11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</row>
    <row r="84" ht="15.75" customHeight="1">
      <c r="A84" s="219">
        <v>9.34527219E9</v>
      </c>
      <c r="B84" s="50" t="s">
        <v>576</v>
      </c>
      <c r="C84" s="50" t="s">
        <v>577</v>
      </c>
      <c r="D84" s="43">
        <v>200.0</v>
      </c>
      <c r="E84" s="43">
        <v>56.0</v>
      </c>
      <c r="F84" s="220"/>
      <c r="G84" s="43">
        <v>0.0</v>
      </c>
      <c r="H84" s="139" t="s">
        <v>422</v>
      </c>
      <c r="I84" s="11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ht="15.75" customHeight="1">
      <c r="A85" s="219">
        <v>7.12697219E9</v>
      </c>
      <c r="B85" s="50" t="s">
        <v>578</v>
      </c>
      <c r="C85" s="50" t="s">
        <v>579</v>
      </c>
      <c r="D85" s="43">
        <v>100.0</v>
      </c>
      <c r="E85" s="43">
        <v>49.0</v>
      </c>
      <c r="F85" s="220"/>
      <c r="G85" s="43">
        <v>0.0</v>
      </c>
      <c r="H85" s="139" t="s">
        <v>446</v>
      </c>
      <c r="I85" s="11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7"/>
    </row>
    <row r="86" ht="15.75" customHeight="1">
      <c r="A86" s="219">
        <v>5.10952319E9</v>
      </c>
      <c r="B86" s="50" t="s">
        <v>580</v>
      </c>
      <c r="C86" s="50" t="s">
        <v>581</v>
      </c>
      <c r="D86" s="43">
        <v>100.0</v>
      </c>
      <c r="E86" s="43">
        <v>84.0</v>
      </c>
      <c r="F86" s="220"/>
      <c r="G86" s="43">
        <v>0.0</v>
      </c>
      <c r="H86" s="139" t="s">
        <v>419</v>
      </c>
      <c r="I86" s="11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ht="15.75" customHeight="1">
      <c r="A87" s="219">
        <v>3.05200119E9</v>
      </c>
      <c r="B87" s="50" t="s">
        <v>582</v>
      </c>
      <c r="C87" s="50" t="s">
        <v>583</v>
      </c>
      <c r="D87" s="43">
        <v>100.0</v>
      </c>
      <c r="E87" s="43">
        <v>49.0</v>
      </c>
      <c r="F87" s="220"/>
      <c r="G87" s="43">
        <v>0.0</v>
      </c>
      <c r="H87" s="139" t="s">
        <v>446</v>
      </c>
      <c r="I87" s="11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ht="15.75" customHeight="1">
      <c r="A88" s="219">
        <v>9.01497719E9</v>
      </c>
      <c r="B88" s="50" t="s">
        <v>584</v>
      </c>
      <c r="C88" s="50" t="s">
        <v>585</v>
      </c>
      <c r="D88" s="43">
        <v>100.0</v>
      </c>
      <c r="E88" s="43">
        <v>28.0</v>
      </c>
      <c r="F88" s="220"/>
      <c r="G88" s="43">
        <v>0.0</v>
      </c>
      <c r="H88" s="139" t="s">
        <v>431</v>
      </c>
      <c r="I88" s="11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ht="15.75" customHeight="1">
      <c r="A89" s="219">
        <v>9.00772519E9</v>
      </c>
      <c r="B89" s="50" t="s">
        <v>586</v>
      </c>
      <c r="C89" s="50" t="s">
        <v>587</v>
      </c>
      <c r="D89" s="43">
        <v>200.0</v>
      </c>
      <c r="E89" s="43">
        <v>56.0</v>
      </c>
      <c r="F89" s="220"/>
      <c r="G89" s="43">
        <v>0.0</v>
      </c>
      <c r="H89" s="139" t="s">
        <v>422</v>
      </c>
      <c r="I89" s="11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</row>
    <row r="90" ht="15.75" customHeight="1">
      <c r="A90" s="219">
        <v>9.00774119E9</v>
      </c>
      <c r="B90" s="50" t="s">
        <v>588</v>
      </c>
      <c r="C90" s="50" t="s">
        <v>589</v>
      </c>
      <c r="D90" s="43">
        <v>200.0</v>
      </c>
      <c r="E90" s="43">
        <v>56.0</v>
      </c>
      <c r="F90" s="220"/>
      <c r="G90" s="43">
        <v>0.0</v>
      </c>
      <c r="H90" s="139" t="s">
        <v>422</v>
      </c>
      <c r="I90" s="11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7"/>
    </row>
    <row r="91" ht="15.75" customHeight="1">
      <c r="A91" s="219">
        <v>8.94635319E9</v>
      </c>
      <c r="B91" s="50" t="s">
        <v>590</v>
      </c>
      <c r="C91" s="50" t="s">
        <v>591</v>
      </c>
      <c r="D91" s="43">
        <v>100.0</v>
      </c>
      <c r="E91" s="43">
        <v>56.0</v>
      </c>
      <c r="F91" s="220"/>
      <c r="G91" s="43">
        <v>0.0</v>
      </c>
      <c r="H91" s="139" t="s">
        <v>422</v>
      </c>
      <c r="I91" s="11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7"/>
    </row>
    <row r="92" ht="15.75" customHeight="1">
      <c r="A92" s="219">
        <v>8.90655619E9</v>
      </c>
      <c r="B92" s="50" t="s">
        <v>592</v>
      </c>
      <c r="C92" s="50" t="s">
        <v>593</v>
      </c>
      <c r="D92" s="43">
        <v>100.0</v>
      </c>
      <c r="E92" s="43">
        <v>28.0</v>
      </c>
      <c r="F92" s="220"/>
      <c r="G92" s="43">
        <v>0.0</v>
      </c>
      <c r="H92" s="139" t="s">
        <v>431</v>
      </c>
      <c r="I92" s="11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</row>
    <row r="93" ht="15.75" customHeight="1">
      <c r="A93" s="219">
        <v>8.79168619E9</v>
      </c>
      <c r="B93" s="50" t="s">
        <v>594</v>
      </c>
      <c r="C93" s="50" t="s">
        <v>595</v>
      </c>
      <c r="D93" s="43">
        <v>100.0</v>
      </c>
      <c r="E93" s="43">
        <v>56.0</v>
      </c>
      <c r="F93" s="220"/>
      <c r="G93" s="43">
        <v>0.0</v>
      </c>
      <c r="H93" s="139" t="s">
        <v>422</v>
      </c>
      <c r="I93" s="11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7"/>
    </row>
    <row r="94" ht="15.75" customHeight="1">
      <c r="A94" s="219">
        <v>5.80257119E9</v>
      </c>
      <c r="B94" s="50" t="s">
        <v>596</v>
      </c>
      <c r="C94" s="50" t="s">
        <v>597</v>
      </c>
      <c r="D94" s="43">
        <v>100.0</v>
      </c>
      <c r="E94" s="43">
        <v>84.0</v>
      </c>
      <c r="F94" s="220"/>
      <c r="G94" s="43">
        <v>0.0</v>
      </c>
      <c r="H94" s="139" t="s">
        <v>419</v>
      </c>
      <c r="I94" s="11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7"/>
    </row>
    <row r="95" ht="15.75" customHeight="1">
      <c r="A95" s="219">
        <v>4.61881519E9</v>
      </c>
      <c r="B95" s="50" t="s">
        <v>598</v>
      </c>
      <c r="C95" s="50" t="s">
        <v>599</v>
      </c>
      <c r="D95" s="43">
        <v>100.0</v>
      </c>
      <c r="E95" s="43">
        <v>84.0</v>
      </c>
      <c r="F95" s="220"/>
      <c r="G95" s="43">
        <v>0.0</v>
      </c>
      <c r="H95" s="139" t="s">
        <v>419</v>
      </c>
      <c r="I95" s="11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ht="15.75" customHeight="1">
      <c r="A96" s="219">
        <v>4.61885819E9</v>
      </c>
      <c r="B96" s="50" t="s">
        <v>600</v>
      </c>
      <c r="C96" s="50" t="s">
        <v>601</v>
      </c>
      <c r="D96" s="43">
        <v>100.0</v>
      </c>
      <c r="E96" s="43">
        <v>84.0</v>
      </c>
      <c r="F96" s="220"/>
      <c r="G96" s="43">
        <v>0.0</v>
      </c>
      <c r="H96" s="139" t="s">
        <v>419</v>
      </c>
      <c r="I96" s="11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ht="15.75" customHeight="1">
      <c r="A97" s="219">
        <v>5.09479819E9</v>
      </c>
      <c r="B97" s="50" t="s">
        <v>602</v>
      </c>
      <c r="C97" s="50" t="s">
        <v>603</v>
      </c>
      <c r="D97" s="43">
        <v>100.0</v>
      </c>
      <c r="E97" s="43">
        <v>14.0</v>
      </c>
      <c r="F97" s="220"/>
      <c r="G97" s="43">
        <v>0.0</v>
      </c>
      <c r="H97" s="139" t="s">
        <v>604</v>
      </c>
      <c r="I97" s="11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ht="15.75" customHeight="1">
      <c r="A98" s="219">
        <v>9.31532219E9</v>
      </c>
      <c r="B98" s="50" t="s">
        <v>605</v>
      </c>
      <c r="C98" s="50" t="s">
        <v>606</v>
      </c>
      <c r="D98" s="43">
        <v>200.0</v>
      </c>
      <c r="E98" s="43">
        <v>28.0</v>
      </c>
      <c r="F98" s="220"/>
      <c r="G98" s="43">
        <v>0.0</v>
      </c>
      <c r="H98" s="139" t="s">
        <v>431</v>
      </c>
      <c r="I98" s="11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ht="15.75" customHeight="1">
      <c r="A99" s="219">
        <v>9.31534919E9</v>
      </c>
      <c r="B99" s="50" t="s">
        <v>607</v>
      </c>
      <c r="C99" s="50" t="s">
        <v>608</v>
      </c>
      <c r="D99" s="43">
        <v>100.0</v>
      </c>
      <c r="E99" s="43">
        <v>28.0</v>
      </c>
      <c r="F99" s="220"/>
      <c r="G99" s="43">
        <v>0.0</v>
      </c>
      <c r="H99" s="139" t="s">
        <v>431</v>
      </c>
      <c r="I99" s="11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7"/>
    </row>
    <row r="100" ht="15.75" customHeight="1">
      <c r="A100" s="219">
        <v>8.42932419E9</v>
      </c>
      <c r="B100" s="50" t="s">
        <v>609</v>
      </c>
      <c r="C100" s="50" t="s">
        <v>610</v>
      </c>
      <c r="D100" s="43">
        <v>200.0</v>
      </c>
      <c r="E100" s="43">
        <v>56.0</v>
      </c>
      <c r="F100" s="220"/>
      <c r="G100" s="43">
        <v>0.0</v>
      </c>
      <c r="H100" s="139" t="s">
        <v>422</v>
      </c>
      <c r="I100" s="11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ht="15.75" customHeight="1">
      <c r="A101" s="219">
        <v>7.21277119E9</v>
      </c>
      <c r="B101" s="50" t="s">
        <v>611</v>
      </c>
      <c r="C101" s="50" t="s">
        <v>612</v>
      </c>
      <c r="D101" s="43">
        <v>100.0</v>
      </c>
      <c r="E101" s="43">
        <v>60.0</v>
      </c>
      <c r="F101" s="220"/>
      <c r="G101" s="43">
        <v>0.0</v>
      </c>
      <c r="H101" s="139" t="s">
        <v>613</v>
      </c>
      <c r="I101" s="11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7"/>
    </row>
    <row r="102" ht="15.75" customHeight="1">
      <c r="A102" s="219">
        <v>9.03807819E9</v>
      </c>
      <c r="B102" s="50" t="s">
        <v>614</v>
      </c>
      <c r="C102" s="50" t="s">
        <v>615</v>
      </c>
      <c r="D102" s="43">
        <v>100.0</v>
      </c>
      <c r="E102" s="43">
        <v>28.0</v>
      </c>
      <c r="F102" s="220"/>
      <c r="G102" s="43">
        <v>0.0</v>
      </c>
      <c r="H102" s="139" t="s">
        <v>431</v>
      </c>
      <c r="I102" s="11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ht="15.75" customHeight="1">
      <c r="A103" s="222" t="s">
        <v>244</v>
      </c>
      <c r="B103" s="58"/>
      <c r="C103" s="58"/>
      <c r="D103" s="58"/>
      <c r="E103" s="59"/>
      <c r="F103" s="223">
        <v>0.0</v>
      </c>
      <c r="G103" s="224"/>
      <c r="H103" s="225"/>
      <c r="I103" s="22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ht="15.75" customHeight="1">
      <c r="A104" s="227" t="s">
        <v>351</v>
      </c>
      <c r="B104" s="228"/>
      <c r="C104" s="228"/>
      <c r="D104" s="229" t="s">
        <v>371</v>
      </c>
      <c r="E104" s="229" t="s">
        <v>616</v>
      </c>
      <c r="F104" s="230"/>
      <c r="G104" s="231" t="s">
        <v>169</v>
      </c>
      <c r="H104" s="232" t="s">
        <v>170</v>
      </c>
      <c r="I104" s="231" t="s">
        <v>171</v>
      </c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7"/>
    </row>
    <row r="105" ht="15.75" customHeight="1">
      <c r="A105" s="219">
        <v>8.95982019E9</v>
      </c>
      <c r="B105" s="50" t="s">
        <v>617</v>
      </c>
      <c r="C105" s="43" t="s">
        <v>618</v>
      </c>
      <c r="D105" s="43">
        <v>2.0</v>
      </c>
      <c r="E105" s="43">
        <v>28.0</v>
      </c>
      <c r="F105" s="46"/>
      <c r="G105" s="46"/>
      <c r="H105" s="139" t="s">
        <v>422</v>
      </c>
      <c r="I105" s="11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ht="15.75" customHeight="1">
      <c r="A106" s="219">
        <v>9.22726119E9</v>
      </c>
      <c r="B106" s="50" t="s">
        <v>619</v>
      </c>
      <c r="C106" s="43" t="s">
        <v>618</v>
      </c>
      <c r="D106" s="43">
        <v>2.0</v>
      </c>
      <c r="E106" s="43">
        <v>84.0</v>
      </c>
      <c r="F106" s="46"/>
      <c r="G106" s="46"/>
      <c r="H106" s="139" t="s">
        <v>620</v>
      </c>
      <c r="I106" s="11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7"/>
    </row>
    <row r="107" ht="15.75" customHeight="1">
      <c r="A107" s="219">
        <v>7.95720319E9</v>
      </c>
      <c r="B107" s="50" t="s">
        <v>621</v>
      </c>
      <c r="C107" s="43" t="s">
        <v>618</v>
      </c>
      <c r="D107" s="43">
        <v>2.0</v>
      </c>
      <c r="E107" s="43">
        <v>28.0</v>
      </c>
      <c r="F107" s="46"/>
      <c r="G107" s="46"/>
      <c r="H107" s="139" t="s">
        <v>422</v>
      </c>
      <c r="I107" s="11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ht="15.75" customHeight="1">
      <c r="A108" s="219">
        <v>9.28929119E9</v>
      </c>
      <c r="B108" s="50" t="s">
        <v>622</v>
      </c>
      <c r="C108" s="43" t="s">
        <v>618</v>
      </c>
      <c r="D108" s="43">
        <v>2.0</v>
      </c>
      <c r="E108" s="43">
        <v>42.0</v>
      </c>
      <c r="F108" s="46"/>
      <c r="G108" s="46"/>
      <c r="H108" s="139" t="s">
        <v>419</v>
      </c>
      <c r="I108" s="11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ht="15.75" customHeight="1">
      <c r="A109" s="219">
        <v>9.00503019E9</v>
      </c>
      <c r="B109" s="50" t="s">
        <v>623</v>
      </c>
      <c r="C109" s="43" t="s">
        <v>618</v>
      </c>
      <c r="D109" s="43">
        <v>2.0</v>
      </c>
      <c r="E109" s="43">
        <v>42.0</v>
      </c>
      <c r="F109" s="46"/>
      <c r="G109" s="46"/>
      <c r="H109" s="139" t="s">
        <v>419</v>
      </c>
      <c r="I109" s="11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ht="15.75" customHeight="1">
      <c r="A110" s="219">
        <v>6.47293119E9</v>
      </c>
      <c r="B110" s="54" t="s">
        <v>624</v>
      </c>
      <c r="C110" s="43" t="s">
        <v>618</v>
      </c>
      <c r="D110" s="43">
        <v>2.0</v>
      </c>
      <c r="E110" s="43">
        <v>56.0</v>
      </c>
      <c r="F110" s="46"/>
      <c r="G110" s="46"/>
      <c r="H110" s="139" t="s">
        <v>625</v>
      </c>
      <c r="I110" s="11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5.75" customHeight="1">
      <c r="A111" s="219">
        <v>8.49664119E9</v>
      </c>
      <c r="B111" s="50" t="s">
        <v>626</v>
      </c>
      <c r="C111" s="43" t="s">
        <v>618</v>
      </c>
      <c r="D111" s="43">
        <v>2.0</v>
      </c>
      <c r="E111" s="43">
        <v>84.0</v>
      </c>
      <c r="F111" s="46"/>
      <c r="G111" s="46"/>
      <c r="H111" s="139" t="s">
        <v>620</v>
      </c>
      <c r="I111" s="11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5.75" customHeight="1">
      <c r="A112" s="219">
        <v>1.1972316122E10</v>
      </c>
      <c r="B112" s="50" t="s">
        <v>627</v>
      </c>
      <c r="C112" s="43" t="s">
        <v>618</v>
      </c>
      <c r="D112" s="43">
        <v>2.0</v>
      </c>
      <c r="E112" s="43">
        <v>84.0</v>
      </c>
      <c r="F112" s="46"/>
      <c r="G112" s="46"/>
      <c r="H112" s="139" t="s">
        <v>620</v>
      </c>
      <c r="I112" s="11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5.75" customHeight="1">
      <c r="A113" s="219">
        <v>7.03020719E9</v>
      </c>
      <c r="B113" s="50" t="s">
        <v>628</v>
      </c>
      <c r="C113" s="43" t="s">
        <v>618</v>
      </c>
      <c r="D113" s="43">
        <v>2.0</v>
      </c>
      <c r="E113" s="43">
        <v>140.0</v>
      </c>
      <c r="F113" s="46"/>
      <c r="G113" s="46"/>
      <c r="H113" s="139" t="s">
        <v>629</v>
      </c>
      <c r="I113" s="11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5.75" customHeight="1">
      <c r="A114" s="219">
        <v>3.045846122E9</v>
      </c>
      <c r="B114" s="50" t="s">
        <v>630</v>
      </c>
      <c r="C114" s="43" t="s">
        <v>618</v>
      </c>
      <c r="D114" s="43">
        <v>2.0</v>
      </c>
      <c r="E114" s="43">
        <v>84.0</v>
      </c>
      <c r="F114" s="46"/>
      <c r="G114" s="46"/>
      <c r="H114" s="139" t="s">
        <v>620</v>
      </c>
      <c r="I114" s="11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5.75" customHeight="1">
      <c r="A115" s="219">
        <v>1.1776215122E10</v>
      </c>
      <c r="B115" s="50" t="s">
        <v>631</v>
      </c>
      <c r="C115" s="43" t="s">
        <v>618</v>
      </c>
      <c r="D115" s="43">
        <v>2.0</v>
      </c>
      <c r="E115" s="43">
        <v>56.0</v>
      </c>
      <c r="F115" s="46"/>
      <c r="G115" s="46"/>
      <c r="H115" s="139" t="s">
        <v>625</v>
      </c>
      <c r="I115" s="11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5.75" customHeight="1">
      <c r="A116" s="219">
        <v>9.17513019E9</v>
      </c>
      <c r="B116" s="50" t="s">
        <v>632</v>
      </c>
      <c r="C116" s="43" t="s">
        <v>618</v>
      </c>
      <c r="D116" s="43">
        <v>2.0</v>
      </c>
      <c r="E116" s="43">
        <v>42.0</v>
      </c>
      <c r="F116" s="46"/>
      <c r="G116" s="46"/>
      <c r="H116" s="139" t="s">
        <v>419</v>
      </c>
      <c r="I116" s="11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5.75" customHeight="1">
      <c r="A117" s="219">
        <v>1.1731645322E10</v>
      </c>
      <c r="B117" s="50" t="s">
        <v>633</v>
      </c>
      <c r="C117" s="43" t="s">
        <v>618</v>
      </c>
      <c r="D117" s="43">
        <v>2.0</v>
      </c>
      <c r="E117" s="43">
        <v>84.0</v>
      </c>
      <c r="F117" s="46"/>
      <c r="G117" s="46"/>
      <c r="H117" s="139" t="s">
        <v>620</v>
      </c>
      <c r="I117" s="11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219">
        <v>5.95765619E9</v>
      </c>
      <c r="B118" s="50" t="s">
        <v>634</v>
      </c>
      <c r="C118" s="43" t="s">
        <v>618</v>
      </c>
      <c r="D118" s="43">
        <v>2.0</v>
      </c>
      <c r="E118" s="43">
        <v>84.0</v>
      </c>
      <c r="F118" s="46"/>
      <c r="G118" s="46"/>
      <c r="H118" s="139" t="s">
        <v>620</v>
      </c>
      <c r="I118" s="11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219">
        <v>6.68775019E9</v>
      </c>
      <c r="B119" s="50" t="s">
        <v>635</v>
      </c>
      <c r="C119" s="43" t="s">
        <v>618</v>
      </c>
      <c r="D119" s="43">
        <v>2.0</v>
      </c>
      <c r="E119" s="43">
        <v>84.0</v>
      </c>
      <c r="F119" s="46"/>
      <c r="G119" s="46"/>
      <c r="H119" s="139" t="s">
        <v>620</v>
      </c>
      <c r="I119" s="11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219">
        <v>3.18491919E9</v>
      </c>
      <c r="B120" s="50" t="s">
        <v>636</v>
      </c>
      <c r="C120" s="43" t="s">
        <v>618</v>
      </c>
      <c r="D120" s="43">
        <v>2.0</v>
      </c>
      <c r="E120" s="43">
        <v>28.0</v>
      </c>
      <c r="F120" s="46"/>
      <c r="G120" s="46"/>
      <c r="H120" s="139" t="s">
        <v>422</v>
      </c>
      <c r="I120" s="11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219">
        <v>1.1820974322E10</v>
      </c>
      <c r="B121" s="50" t="s">
        <v>637</v>
      </c>
      <c r="C121" s="43" t="s">
        <v>618</v>
      </c>
      <c r="D121" s="43">
        <v>2.0</v>
      </c>
      <c r="E121" s="43">
        <v>56.0</v>
      </c>
      <c r="F121" s="46"/>
      <c r="G121" s="46"/>
      <c r="H121" s="139" t="s">
        <v>625</v>
      </c>
      <c r="I121" s="11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219">
        <v>3.000095122E9</v>
      </c>
      <c r="B122" s="50" t="s">
        <v>638</v>
      </c>
      <c r="C122" s="43" t="s">
        <v>618</v>
      </c>
      <c r="D122" s="43">
        <v>2.0</v>
      </c>
      <c r="E122" s="43">
        <v>84.0</v>
      </c>
      <c r="F122" s="46"/>
      <c r="G122" s="46"/>
      <c r="H122" s="139" t="s">
        <v>620</v>
      </c>
      <c r="I122" s="11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219">
        <v>1.1820907322E10</v>
      </c>
      <c r="B123" s="50" t="s">
        <v>639</v>
      </c>
      <c r="C123" s="43" t="s">
        <v>618</v>
      </c>
      <c r="D123" s="43">
        <v>2.0</v>
      </c>
      <c r="E123" s="43">
        <v>56.0</v>
      </c>
      <c r="F123" s="46"/>
      <c r="G123" s="46"/>
      <c r="H123" s="139" t="s">
        <v>625</v>
      </c>
      <c r="I123" s="11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219">
        <v>6.65604819E9</v>
      </c>
      <c r="B124" s="54" t="s">
        <v>640</v>
      </c>
      <c r="C124" s="43" t="s">
        <v>618</v>
      </c>
      <c r="D124" s="43">
        <v>2.0</v>
      </c>
      <c r="E124" s="43">
        <v>31.0</v>
      </c>
      <c r="F124" s="46"/>
      <c r="G124" s="46"/>
      <c r="H124" s="139" t="s">
        <v>641</v>
      </c>
      <c r="I124" s="11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219">
        <v>3.73758619E9</v>
      </c>
      <c r="B125" s="50" t="s">
        <v>642</v>
      </c>
      <c r="C125" s="43" t="s">
        <v>618</v>
      </c>
      <c r="D125" s="43">
        <v>2.0</v>
      </c>
      <c r="E125" s="43">
        <v>84.0</v>
      </c>
      <c r="F125" s="46"/>
      <c r="G125" s="46"/>
      <c r="H125" s="139" t="s">
        <v>620</v>
      </c>
      <c r="I125" s="11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219">
        <v>8.32418219E9</v>
      </c>
      <c r="B126" s="50" t="s">
        <v>643</v>
      </c>
      <c r="C126" s="43" t="s">
        <v>618</v>
      </c>
      <c r="D126" s="43">
        <v>2.0</v>
      </c>
      <c r="E126" s="43">
        <v>84.0</v>
      </c>
      <c r="F126" s="46"/>
      <c r="G126" s="46"/>
      <c r="H126" s="139" t="s">
        <v>620</v>
      </c>
      <c r="I126" s="11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219">
        <v>4.8540802E9</v>
      </c>
      <c r="B127" s="50" t="s">
        <v>644</v>
      </c>
      <c r="C127" s="43" t="s">
        <v>618</v>
      </c>
      <c r="D127" s="43">
        <v>2.0</v>
      </c>
      <c r="E127" s="43">
        <v>84.0</v>
      </c>
      <c r="F127" s="46"/>
      <c r="G127" s="46"/>
      <c r="H127" s="139" t="s">
        <v>620</v>
      </c>
      <c r="I127" s="11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A128" s="219">
        <v>8.85196419E9</v>
      </c>
      <c r="B128" s="50" t="s">
        <v>645</v>
      </c>
      <c r="C128" s="43" t="s">
        <v>618</v>
      </c>
      <c r="D128" s="43">
        <v>2.0</v>
      </c>
      <c r="E128" s="43">
        <v>84.0</v>
      </c>
      <c r="F128" s="46"/>
      <c r="G128" s="46"/>
      <c r="H128" s="139" t="s">
        <v>620</v>
      </c>
      <c r="I128" s="11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A129" s="219">
        <v>9.55744019E9</v>
      </c>
      <c r="B129" s="50" t="s">
        <v>646</v>
      </c>
      <c r="C129" s="43" t="s">
        <v>618</v>
      </c>
      <c r="D129" s="43">
        <v>2.0</v>
      </c>
      <c r="E129" s="43">
        <v>84.0</v>
      </c>
      <c r="F129" s="46"/>
      <c r="G129" s="46"/>
      <c r="H129" s="139" t="s">
        <v>620</v>
      </c>
      <c r="I129" s="11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233">
        <v>9.07787119E9</v>
      </c>
      <c r="B130" s="50" t="s">
        <v>647</v>
      </c>
      <c r="C130" s="43" t="s">
        <v>618</v>
      </c>
      <c r="D130" s="43">
        <v>2.0</v>
      </c>
      <c r="E130" s="43">
        <v>56.0</v>
      </c>
      <c r="F130" s="46"/>
      <c r="G130" s="46"/>
      <c r="H130" s="139" t="s">
        <v>625</v>
      </c>
      <c r="I130" s="11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219">
        <v>9.04329219E9</v>
      </c>
      <c r="B131" s="50" t="s">
        <v>648</v>
      </c>
      <c r="C131" s="43" t="s">
        <v>618</v>
      </c>
      <c r="D131" s="43">
        <v>2.0</v>
      </c>
      <c r="E131" s="43">
        <v>84.0</v>
      </c>
      <c r="F131" s="46"/>
      <c r="G131" s="46"/>
      <c r="H131" s="139" t="s">
        <v>620</v>
      </c>
      <c r="I131" s="11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219">
        <v>7.12594119E9</v>
      </c>
      <c r="B132" s="50" t="s">
        <v>649</v>
      </c>
      <c r="C132" s="43" t="s">
        <v>618</v>
      </c>
      <c r="D132" s="43">
        <v>2.0</v>
      </c>
      <c r="E132" s="43">
        <v>56.0</v>
      </c>
      <c r="F132" s="46"/>
      <c r="G132" s="46"/>
      <c r="H132" s="139" t="s">
        <v>625</v>
      </c>
      <c r="I132" s="11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219">
        <v>9.01329619E9</v>
      </c>
      <c r="B133" s="50" t="s">
        <v>650</v>
      </c>
      <c r="C133" s="43" t="s">
        <v>618</v>
      </c>
      <c r="D133" s="43">
        <v>2.0</v>
      </c>
      <c r="E133" s="43">
        <v>84.0</v>
      </c>
      <c r="F133" s="46"/>
      <c r="G133" s="46"/>
      <c r="H133" s="139" t="s">
        <v>620</v>
      </c>
      <c r="I133" s="11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219">
        <v>3.30265219E9</v>
      </c>
      <c r="B134" s="50" t="s">
        <v>651</v>
      </c>
      <c r="C134" s="43" t="s">
        <v>618</v>
      </c>
      <c r="D134" s="43">
        <v>2.0</v>
      </c>
      <c r="E134" s="43">
        <v>84.0</v>
      </c>
      <c r="F134" s="46"/>
      <c r="G134" s="46"/>
      <c r="H134" s="139" t="s">
        <v>620</v>
      </c>
      <c r="I134" s="11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219">
        <v>5.95094519E9</v>
      </c>
      <c r="B135" s="50" t="s">
        <v>652</v>
      </c>
      <c r="C135" s="43" t="s">
        <v>618</v>
      </c>
      <c r="D135" s="43">
        <v>2.0</v>
      </c>
      <c r="E135" s="43">
        <v>56.0</v>
      </c>
      <c r="F135" s="46"/>
      <c r="G135" s="46"/>
      <c r="H135" s="139" t="s">
        <v>625</v>
      </c>
      <c r="I135" s="11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219">
        <v>5.39013319E9</v>
      </c>
      <c r="B136" s="50" t="s">
        <v>653</v>
      </c>
      <c r="C136" s="43" t="s">
        <v>618</v>
      </c>
      <c r="D136" s="43">
        <v>2.0</v>
      </c>
      <c r="E136" s="43">
        <v>28.0</v>
      </c>
      <c r="F136" s="46"/>
      <c r="G136" s="46"/>
      <c r="H136" s="139" t="s">
        <v>422</v>
      </c>
      <c r="I136" s="11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219">
        <v>1.1930427122E10</v>
      </c>
      <c r="B137" s="50" t="s">
        <v>654</v>
      </c>
      <c r="C137" s="43" t="s">
        <v>618</v>
      </c>
      <c r="D137" s="43">
        <v>2.0</v>
      </c>
      <c r="E137" s="43">
        <v>84.0</v>
      </c>
      <c r="F137" s="46"/>
      <c r="G137" s="46"/>
      <c r="H137" s="139" t="s">
        <v>620</v>
      </c>
      <c r="I137" s="11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219">
        <v>7.47596919E9</v>
      </c>
      <c r="B138" s="50" t="s">
        <v>655</v>
      </c>
      <c r="C138" s="43" t="s">
        <v>618</v>
      </c>
      <c r="D138" s="43">
        <v>2.0</v>
      </c>
      <c r="E138" s="43">
        <v>31.0</v>
      </c>
      <c r="F138" s="46"/>
      <c r="G138" s="46"/>
      <c r="H138" s="139" t="s">
        <v>641</v>
      </c>
      <c r="I138" s="11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219">
        <v>7.57476219E9</v>
      </c>
      <c r="B139" s="50" t="s">
        <v>656</v>
      </c>
      <c r="C139" s="43" t="s">
        <v>618</v>
      </c>
      <c r="D139" s="43">
        <v>2.0</v>
      </c>
      <c r="E139" s="43">
        <v>84.0</v>
      </c>
      <c r="F139" s="46"/>
      <c r="G139" s="46"/>
      <c r="H139" s="139" t="s">
        <v>620</v>
      </c>
      <c r="I139" s="11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219">
        <v>5.10946919E9</v>
      </c>
      <c r="B140" s="50" t="s">
        <v>657</v>
      </c>
      <c r="C140" s="43" t="s">
        <v>618</v>
      </c>
      <c r="D140" s="43">
        <v>2.0</v>
      </c>
      <c r="E140" s="43">
        <v>84.0</v>
      </c>
      <c r="F140" s="46"/>
      <c r="G140" s="46"/>
      <c r="H140" s="139" t="s">
        <v>620</v>
      </c>
      <c r="I140" s="11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219">
        <v>1.2017504122E10</v>
      </c>
      <c r="B141" s="50" t="s">
        <v>658</v>
      </c>
      <c r="C141" s="43" t="s">
        <v>618</v>
      </c>
      <c r="D141" s="43">
        <v>2.0</v>
      </c>
      <c r="E141" s="43">
        <v>84.0</v>
      </c>
      <c r="F141" s="46"/>
      <c r="G141" s="46"/>
      <c r="H141" s="139" t="s">
        <v>620</v>
      </c>
      <c r="I141" s="11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219">
        <v>9.55742319E9</v>
      </c>
      <c r="B142" s="54" t="s">
        <v>659</v>
      </c>
      <c r="C142" s="43" t="s">
        <v>618</v>
      </c>
      <c r="D142" s="43">
        <v>2.0</v>
      </c>
      <c r="E142" s="43">
        <v>84.0</v>
      </c>
      <c r="F142" s="46"/>
      <c r="G142" s="46"/>
      <c r="H142" s="139" t="s">
        <v>620</v>
      </c>
      <c r="I142" s="11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219">
        <v>1.1820893122E10</v>
      </c>
      <c r="B143" s="50" t="s">
        <v>660</v>
      </c>
      <c r="C143" s="43" t="s">
        <v>618</v>
      </c>
      <c r="D143" s="43">
        <v>2.0</v>
      </c>
      <c r="E143" s="43">
        <v>84.0</v>
      </c>
      <c r="F143" s="46"/>
      <c r="G143" s="46"/>
      <c r="H143" s="139" t="s">
        <v>620</v>
      </c>
      <c r="I143" s="11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219">
        <v>1.1972111122E10</v>
      </c>
      <c r="B144" s="50" t="s">
        <v>661</v>
      </c>
      <c r="C144" s="43" t="s">
        <v>618</v>
      </c>
      <c r="D144" s="43">
        <v>2.0</v>
      </c>
      <c r="E144" s="43">
        <v>84.0</v>
      </c>
      <c r="F144" s="46"/>
      <c r="G144" s="46"/>
      <c r="H144" s="139" t="s">
        <v>620</v>
      </c>
      <c r="I144" s="11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219">
        <v>1.2133121122E10</v>
      </c>
      <c r="B145" s="50" t="s">
        <v>662</v>
      </c>
      <c r="C145" s="43" t="s">
        <v>618</v>
      </c>
      <c r="D145" s="43">
        <v>2.0</v>
      </c>
      <c r="E145" s="43">
        <v>42.0</v>
      </c>
      <c r="F145" s="46"/>
      <c r="G145" s="46"/>
      <c r="H145" s="139" t="s">
        <v>419</v>
      </c>
      <c r="I145" s="11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219">
        <v>4.8541012E9</v>
      </c>
      <c r="B146" s="50" t="s">
        <v>663</v>
      </c>
      <c r="C146" s="43" t="s">
        <v>618</v>
      </c>
      <c r="D146" s="43">
        <v>2.0</v>
      </c>
      <c r="E146" s="43">
        <v>84.0</v>
      </c>
      <c r="F146" s="46"/>
      <c r="G146" s="46"/>
      <c r="H146" s="139" t="s">
        <v>620</v>
      </c>
      <c r="I146" s="11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219">
        <v>5.14470119E9</v>
      </c>
      <c r="B147" s="50" t="s">
        <v>664</v>
      </c>
      <c r="C147" s="43" t="s">
        <v>618</v>
      </c>
      <c r="D147" s="43">
        <v>2.0</v>
      </c>
      <c r="E147" s="43">
        <v>28.0</v>
      </c>
      <c r="F147" s="46"/>
      <c r="G147" s="46"/>
      <c r="H147" s="139" t="s">
        <v>422</v>
      </c>
      <c r="I147" s="11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219">
        <v>9.31529219E9</v>
      </c>
      <c r="B148" s="50" t="s">
        <v>665</v>
      </c>
      <c r="C148" s="43" t="s">
        <v>618</v>
      </c>
      <c r="D148" s="43">
        <v>2.0</v>
      </c>
      <c r="E148" s="43">
        <v>84.0</v>
      </c>
      <c r="F148" s="46"/>
      <c r="G148" s="46"/>
      <c r="H148" s="139" t="s">
        <v>620</v>
      </c>
      <c r="I148" s="11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219">
        <v>9.31527619E9</v>
      </c>
      <c r="B149" s="50" t="s">
        <v>666</v>
      </c>
      <c r="C149" s="43" t="s">
        <v>618</v>
      </c>
      <c r="D149" s="43">
        <v>2.0</v>
      </c>
      <c r="E149" s="46"/>
      <c r="F149" s="46"/>
      <c r="G149" s="46"/>
      <c r="H149" s="139" t="s">
        <v>425</v>
      </c>
      <c r="I149" s="11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219">
        <v>7.09254719E9</v>
      </c>
      <c r="B150" s="50" t="s">
        <v>667</v>
      </c>
      <c r="C150" s="43" t="s">
        <v>618</v>
      </c>
      <c r="D150" s="43">
        <v>2.0</v>
      </c>
      <c r="E150" s="43">
        <v>31.0</v>
      </c>
      <c r="F150" s="46"/>
      <c r="G150" s="46"/>
      <c r="H150" s="139" t="s">
        <v>641</v>
      </c>
      <c r="I150" s="11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219">
        <v>6.50597019E9</v>
      </c>
      <c r="B151" s="50" t="s">
        <v>668</v>
      </c>
      <c r="C151" s="43" t="s">
        <v>618</v>
      </c>
      <c r="D151" s="43">
        <v>2.0</v>
      </c>
      <c r="E151" s="43">
        <v>56.0</v>
      </c>
      <c r="F151" s="46"/>
      <c r="G151" s="46"/>
      <c r="H151" s="139" t="s">
        <v>625</v>
      </c>
      <c r="I151" s="11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219">
        <v>3.27735619E9</v>
      </c>
      <c r="B152" s="50" t="s">
        <v>669</v>
      </c>
      <c r="C152" s="43" t="s">
        <v>618</v>
      </c>
      <c r="D152" s="43">
        <v>2.0</v>
      </c>
      <c r="E152" s="43">
        <v>84.0</v>
      </c>
      <c r="F152" s="46"/>
      <c r="G152" s="46"/>
      <c r="H152" s="139" t="s">
        <v>620</v>
      </c>
      <c r="I152" s="11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219">
        <v>5.60855419E9</v>
      </c>
      <c r="B153" s="50" t="s">
        <v>670</v>
      </c>
      <c r="C153" s="43" t="s">
        <v>618</v>
      </c>
      <c r="D153" s="43">
        <v>2.0</v>
      </c>
      <c r="E153" s="43">
        <v>90.0</v>
      </c>
      <c r="F153" s="46"/>
      <c r="G153" s="46"/>
      <c r="H153" s="139" t="s">
        <v>671</v>
      </c>
      <c r="I153" s="11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219">
        <v>8.92845219E9</v>
      </c>
      <c r="B154" s="50" t="s">
        <v>672</v>
      </c>
      <c r="C154" s="43" t="s">
        <v>618</v>
      </c>
      <c r="D154" s="43">
        <v>2.0</v>
      </c>
      <c r="E154" s="43">
        <v>84.0</v>
      </c>
      <c r="F154" s="46"/>
      <c r="G154" s="46"/>
      <c r="H154" s="139" t="s">
        <v>620</v>
      </c>
      <c r="I154" s="11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219">
        <v>7.12699919E9</v>
      </c>
      <c r="B155" s="50" t="s">
        <v>673</v>
      </c>
      <c r="C155" s="43" t="s">
        <v>618</v>
      </c>
      <c r="D155" s="43">
        <v>2.0</v>
      </c>
      <c r="E155" s="43">
        <v>28.0</v>
      </c>
      <c r="F155" s="46"/>
      <c r="G155" s="46"/>
      <c r="H155" s="139" t="s">
        <v>422</v>
      </c>
      <c r="I155" s="11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219">
        <v>5.10953119E9</v>
      </c>
      <c r="B156" s="50" t="s">
        <v>674</v>
      </c>
      <c r="C156" s="43" t="s">
        <v>618</v>
      </c>
      <c r="D156" s="43">
        <v>2.0</v>
      </c>
      <c r="E156" s="43">
        <v>28.0</v>
      </c>
      <c r="F156" s="46"/>
      <c r="G156" s="46"/>
      <c r="H156" s="139" t="s">
        <v>422</v>
      </c>
      <c r="I156" s="11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219">
        <v>3.05202819E9</v>
      </c>
      <c r="B157" s="50" t="s">
        <v>675</v>
      </c>
      <c r="C157" s="43" t="s">
        <v>618</v>
      </c>
      <c r="D157" s="43">
        <v>2.0</v>
      </c>
      <c r="E157" s="43">
        <v>56.0</v>
      </c>
      <c r="F157" s="46"/>
      <c r="G157" s="46"/>
      <c r="H157" s="139" t="s">
        <v>625</v>
      </c>
      <c r="I157" s="11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219">
        <v>1.1731548122E10</v>
      </c>
      <c r="B158" s="50" t="s">
        <v>676</v>
      </c>
      <c r="C158" s="43" t="s">
        <v>618</v>
      </c>
      <c r="D158" s="43">
        <v>2.0</v>
      </c>
      <c r="E158" s="43">
        <v>56.0</v>
      </c>
      <c r="F158" s="46"/>
      <c r="G158" s="46"/>
      <c r="H158" s="139" t="s">
        <v>625</v>
      </c>
      <c r="I158" s="11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219">
        <v>1.2017717122E10</v>
      </c>
      <c r="B159" s="50" t="s">
        <v>677</v>
      </c>
      <c r="C159" s="43" t="s">
        <v>618</v>
      </c>
      <c r="D159" s="43">
        <v>2.0</v>
      </c>
      <c r="E159" s="43">
        <v>84.0</v>
      </c>
      <c r="F159" s="46"/>
      <c r="G159" s="46"/>
      <c r="H159" s="139" t="s">
        <v>620</v>
      </c>
      <c r="I159" s="11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219">
        <v>5.20223019E9</v>
      </c>
      <c r="B160" s="50" t="s">
        <v>678</v>
      </c>
      <c r="C160" s="43" t="s">
        <v>618</v>
      </c>
      <c r="D160" s="43">
        <v>2.0</v>
      </c>
      <c r="E160" s="43">
        <v>84.0</v>
      </c>
      <c r="F160" s="46"/>
      <c r="G160" s="46"/>
      <c r="H160" s="139" t="s">
        <v>620</v>
      </c>
      <c r="I160" s="11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219">
        <v>8.99140519E9</v>
      </c>
      <c r="B161" s="50" t="s">
        <v>679</v>
      </c>
      <c r="C161" s="43" t="s">
        <v>618</v>
      </c>
      <c r="D161" s="43">
        <v>2.0</v>
      </c>
      <c r="E161" s="43">
        <v>93.0</v>
      </c>
      <c r="F161" s="46"/>
      <c r="G161" s="46"/>
      <c r="H161" s="139" t="s">
        <v>680</v>
      </c>
      <c r="I161" s="11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219">
        <v>8.83853419E9</v>
      </c>
      <c r="B162" s="50" t="s">
        <v>681</v>
      </c>
      <c r="C162" s="43" t="s">
        <v>618</v>
      </c>
      <c r="D162" s="43">
        <v>2.0</v>
      </c>
      <c r="E162" s="43">
        <v>84.0</v>
      </c>
      <c r="F162" s="46"/>
      <c r="G162" s="46"/>
      <c r="H162" s="139" t="s">
        <v>620</v>
      </c>
      <c r="I162" s="11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219">
        <v>5.09480119E9</v>
      </c>
      <c r="B163" s="50" t="s">
        <v>682</v>
      </c>
      <c r="C163" s="43" t="s">
        <v>618</v>
      </c>
      <c r="D163" s="43">
        <v>2.0</v>
      </c>
      <c r="E163" s="43">
        <v>84.0</v>
      </c>
      <c r="F163" s="46"/>
      <c r="G163" s="46"/>
      <c r="H163" s="139" t="s">
        <v>620</v>
      </c>
      <c r="I163" s="11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219">
        <v>9.31536519E9</v>
      </c>
      <c r="B164" s="50" t="s">
        <v>683</v>
      </c>
      <c r="C164" s="43" t="s">
        <v>618</v>
      </c>
      <c r="D164" s="43">
        <v>2.0</v>
      </c>
      <c r="E164" s="43">
        <v>84.0</v>
      </c>
      <c r="F164" s="46"/>
      <c r="G164" s="46"/>
      <c r="H164" s="139" t="s">
        <v>620</v>
      </c>
      <c r="I164" s="11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219">
        <v>9.31538119E9</v>
      </c>
      <c r="B165" s="50" t="s">
        <v>684</v>
      </c>
      <c r="C165" s="43" t="s">
        <v>618</v>
      </c>
      <c r="D165" s="43">
        <v>2.0</v>
      </c>
      <c r="E165" s="43">
        <v>84.0</v>
      </c>
      <c r="F165" s="46"/>
      <c r="G165" s="46"/>
      <c r="H165" s="139" t="s">
        <v>620</v>
      </c>
      <c r="I165" s="11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219">
        <v>8.44345919E9</v>
      </c>
      <c r="B166" s="50" t="s">
        <v>685</v>
      </c>
      <c r="C166" s="43" t="s">
        <v>618</v>
      </c>
      <c r="D166" s="43">
        <v>2.0</v>
      </c>
      <c r="E166" s="43">
        <v>84.0</v>
      </c>
      <c r="F166" s="46"/>
      <c r="G166" s="46"/>
      <c r="H166" s="139" t="s">
        <v>620</v>
      </c>
      <c r="I166" s="11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219">
        <v>7.21278019E9</v>
      </c>
      <c r="B167" s="50" t="s">
        <v>686</v>
      </c>
      <c r="C167" s="43" t="s">
        <v>618</v>
      </c>
      <c r="D167" s="43">
        <v>2.0</v>
      </c>
      <c r="E167" s="43">
        <v>84.0</v>
      </c>
      <c r="F167" s="46"/>
      <c r="G167" s="46"/>
      <c r="H167" s="139" t="s">
        <v>620</v>
      </c>
      <c r="I167" s="11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219">
        <v>9.03811619E9</v>
      </c>
      <c r="B168" s="50" t="s">
        <v>687</v>
      </c>
      <c r="C168" s="43" t="s">
        <v>618</v>
      </c>
      <c r="D168" s="43">
        <v>2.0</v>
      </c>
      <c r="E168" s="43">
        <v>84.0</v>
      </c>
      <c r="F168" s="46"/>
      <c r="G168" s="46"/>
      <c r="H168" s="139" t="s">
        <v>620</v>
      </c>
      <c r="I168" s="11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227" t="s">
        <v>370</v>
      </c>
      <c r="B169" s="228"/>
      <c r="C169" s="228"/>
      <c r="D169" s="229" t="s">
        <v>371</v>
      </c>
      <c r="E169" s="229" t="s">
        <v>616</v>
      </c>
      <c r="F169" s="230"/>
      <c r="G169" s="231" t="s">
        <v>169</v>
      </c>
      <c r="H169" s="232" t="s">
        <v>170</v>
      </c>
      <c r="I169" s="231" t="s">
        <v>171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219">
        <v>9.21692819E9</v>
      </c>
      <c r="B170" s="50" t="s">
        <v>688</v>
      </c>
      <c r="C170" s="43" t="s">
        <v>618</v>
      </c>
      <c r="D170" s="43">
        <v>2.0</v>
      </c>
      <c r="E170" s="43">
        <v>28.0</v>
      </c>
      <c r="F170" s="46"/>
      <c r="G170" s="46"/>
      <c r="H170" s="139" t="s">
        <v>422</v>
      </c>
      <c r="I170" s="11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219">
        <v>5.94232219E9</v>
      </c>
      <c r="B171" s="50" t="s">
        <v>689</v>
      </c>
      <c r="C171" s="43" t="s">
        <v>618</v>
      </c>
      <c r="D171" s="43">
        <v>3.0</v>
      </c>
      <c r="E171" s="43">
        <v>84.0</v>
      </c>
      <c r="F171" s="46"/>
      <c r="G171" s="46"/>
      <c r="H171" s="139" t="s">
        <v>690</v>
      </c>
      <c r="I171" s="11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219">
        <v>8.33592319E9</v>
      </c>
      <c r="B172" s="50" t="s">
        <v>691</v>
      </c>
      <c r="C172" s="43" t="s">
        <v>618</v>
      </c>
      <c r="D172" s="43">
        <v>5.0</v>
      </c>
      <c r="E172" s="46"/>
      <c r="F172" s="46"/>
      <c r="G172" s="46"/>
      <c r="H172" s="139" t="s">
        <v>425</v>
      </c>
      <c r="I172" s="11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219">
        <v>8.74006219E9</v>
      </c>
      <c r="B173" s="50" t="s">
        <v>692</v>
      </c>
      <c r="C173" s="43" t="s">
        <v>618</v>
      </c>
      <c r="D173" s="43">
        <v>3.0</v>
      </c>
      <c r="E173" s="43">
        <v>84.0</v>
      </c>
      <c r="F173" s="46"/>
      <c r="G173" s="46"/>
      <c r="H173" s="139" t="s">
        <v>690</v>
      </c>
      <c r="I173" s="11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219">
        <v>6.70996619E9</v>
      </c>
      <c r="B174" s="50" t="s">
        <v>693</v>
      </c>
      <c r="C174" s="43" t="s">
        <v>618</v>
      </c>
      <c r="D174" s="43">
        <v>2.0</v>
      </c>
      <c r="E174" s="46"/>
      <c r="F174" s="46"/>
      <c r="G174" s="46"/>
      <c r="H174" s="139" t="s">
        <v>425</v>
      </c>
      <c r="I174" s="11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219">
        <v>7.95721119E9</v>
      </c>
      <c r="B175" s="50" t="s">
        <v>694</v>
      </c>
      <c r="C175" s="43" t="s">
        <v>618</v>
      </c>
      <c r="D175" s="43">
        <v>2.0</v>
      </c>
      <c r="E175" s="43">
        <v>28.0</v>
      </c>
      <c r="F175" s="46"/>
      <c r="G175" s="46"/>
      <c r="H175" s="139" t="s">
        <v>422</v>
      </c>
      <c r="I175" s="11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219">
        <v>5.03166419E9</v>
      </c>
      <c r="B176" s="50" t="s">
        <v>695</v>
      </c>
      <c r="C176" s="43" t="s">
        <v>618</v>
      </c>
      <c r="D176" s="43">
        <v>2.0</v>
      </c>
      <c r="E176" s="43">
        <v>28.0</v>
      </c>
      <c r="F176" s="46"/>
      <c r="G176" s="46"/>
      <c r="H176" s="139" t="s">
        <v>422</v>
      </c>
      <c r="I176" s="11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219">
        <v>1.1876368122E10</v>
      </c>
      <c r="B177" s="50" t="s">
        <v>696</v>
      </c>
      <c r="C177" s="43" t="s">
        <v>618</v>
      </c>
      <c r="D177" s="43">
        <v>8.0</v>
      </c>
      <c r="E177" s="43">
        <v>56.0</v>
      </c>
      <c r="F177" s="46"/>
      <c r="G177" s="46"/>
      <c r="H177" s="139" t="s">
        <v>697</v>
      </c>
      <c r="I177" s="11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219">
        <v>8.08667219E9</v>
      </c>
      <c r="B178" s="50" t="s">
        <v>698</v>
      </c>
      <c r="C178" s="43" t="s">
        <v>618</v>
      </c>
      <c r="D178" s="43">
        <v>4.0</v>
      </c>
      <c r="E178" s="43">
        <v>56.0</v>
      </c>
      <c r="F178" s="46"/>
      <c r="G178" s="46"/>
      <c r="H178" s="139" t="s">
        <v>699</v>
      </c>
      <c r="I178" s="11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219">
        <v>1.1876333122E10</v>
      </c>
      <c r="B179" s="50" t="s">
        <v>700</v>
      </c>
      <c r="C179" s="43" t="s">
        <v>618</v>
      </c>
      <c r="D179" s="43">
        <v>8.0</v>
      </c>
      <c r="E179" s="43">
        <v>56.0</v>
      </c>
      <c r="F179" s="46"/>
      <c r="G179" s="46"/>
      <c r="H179" s="139" t="s">
        <v>697</v>
      </c>
      <c r="I179" s="11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219">
        <v>4.92793119E9</v>
      </c>
      <c r="B180" s="50" t="s">
        <v>701</v>
      </c>
      <c r="C180" s="43" t="s">
        <v>618</v>
      </c>
      <c r="D180" s="43">
        <v>8.0</v>
      </c>
      <c r="E180" s="43">
        <v>56.0</v>
      </c>
      <c r="F180" s="46"/>
      <c r="G180" s="46"/>
      <c r="H180" s="139" t="s">
        <v>697</v>
      </c>
      <c r="I180" s="11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219">
        <v>1.1876384122E10</v>
      </c>
      <c r="B181" s="50" t="s">
        <v>702</v>
      </c>
      <c r="C181" s="43" t="s">
        <v>618</v>
      </c>
      <c r="D181" s="43">
        <v>8.0</v>
      </c>
      <c r="E181" s="43">
        <v>56.0</v>
      </c>
      <c r="F181" s="46"/>
      <c r="G181" s="46"/>
      <c r="H181" s="139" t="s">
        <v>697</v>
      </c>
      <c r="I181" s="11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219">
        <v>1.1876317122E10</v>
      </c>
      <c r="B182" s="50" t="s">
        <v>703</v>
      </c>
      <c r="C182" s="43" t="s">
        <v>618</v>
      </c>
      <c r="D182" s="43">
        <v>8.0</v>
      </c>
      <c r="E182" s="43">
        <v>56.0</v>
      </c>
      <c r="F182" s="46"/>
      <c r="G182" s="46"/>
      <c r="H182" s="139" t="s">
        <v>697</v>
      </c>
      <c r="I182" s="11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219">
        <v>3.29037919E9</v>
      </c>
      <c r="B183" s="50" t="s">
        <v>704</v>
      </c>
      <c r="C183" s="43" t="s">
        <v>618</v>
      </c>
      <c r="D183" s="43">
        <v>8.0</v>
      </c>
      <c r="E183" s="43">
        <v>56.0</v>
      </c>
      <c r="F183" s="46"/>
      <c r="G183" s="46"/>
      <c r="H183" s="139" t="s">
        <v>697</v>
      </c>
      <c r="I183" s="11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219">
        <v>9.21692819E9</v>
      </c>
      <c r="B184" s="50" t="s">
        <v>705</v>
      </c>
      <c r="C184" s="43" t="s">
        <v>618</v>
      </c>
      <c r="D184" s="43">
        <v>2.0</v>
      </c>
      <c r="E184" s="43">
        <v>28.0</v>
      </c>
      <c r="F184" s="46"/>
      <c r="G184" s="46"/>
      <c r="H184" s="139" t="s">
        <v>422</v>
      </c>
      <c r="I184" s="11"/>
      <c r="J184" s="212"/>
      <c r="K184" s="212"/>
      <c r="L184" s="212"/>
      <c r="M184" s="212"/>
      <c r="N184" s="212"/>
      <c r="O184" s="212"/>
      <c r="P184" s="212"/>
      <c r="Q184" s="212"/>
      <c r="R184" s="212"/>
      <c r="S184" s="212"/>
      <c r="T184" s="212"/>
      <c r="U184" s="212"/>
      <c r="V184" s="212"/>
      <c r="W184" s="212"/>
      <c r="X184" s="212"/>
      <c r="Y184" s="212"/>
      <c r="Z184" s="212"/>
      <c r="AA184" s="212"/>
    </row>
    <row r="185" ht="15.75" customHeight="1">
      <c r="A185" s="219">
        <v>9.28931319E9</v>
      </c>
      <c r="B185" s="50" t="s">
        <v>705</v>
      </c>
      <c r="C185" s="43" t="s">
        <v>618</v>
      </c>
      <c r="D185" s="43">
        <v>2.0</v>
      </c>
      <c r="E185" s="43">
        <v>84.0</v>
      </c>
      <c r="F185" s="46"/>
      <c r="G185" s="46"/>
      <c r="H185" s="139" t="s">
        <v>620</v>
      </c>
      <c r="I185" s="11"/>
      <c r="J185" s="212"/>
      <c r="K185" s="212"/>
      <c r="L185" s="212"/>
      <c r="M185" s="212"/>
      <c r="N185" s="212"/>
      <c r="O185" s="212"/>
      <c r="P185" s="212"/>
      <c r="Q185" s="212"/>
      <c r="R185" s="212"/>
      <c r="S185" s="212"/>
      <c r="T185" s="212"/>
      <c r="U185" s="212"/>
      <c r="V185" s="212"/>
      <c r="W185" s="212"/>
      <c r="X185" s="212"/>
      <c r="Y185" s="212"/>
      <c r="Z185" s="212"/>
      <c r="AA185" s="212"/>
    </row>
    <row r="186" ht="15.75" customHeight="1">
      <c r="A186" s="219">
        <v>4.91704919E9</v>
      </c>
      <c r="B186" s="50" t="s">
        <v>706</v>
      </c>
      <c r="C186" s="43" t="s">
        <v>618</v>
      </c>
      <c r="D186" s="43">
        <v>2.0</v>
      </c>
      <c r="E186" s="43">
        <v>84.0</v>
      </c>
      <c r="F186" s="46"/>
      <c r="G186" s="46"/>
      <c r="H186" s="139" t="s">
        <v>620</v>
      </c>
      <c r="I186" s="11"/>
      <c r="J186" s="212"/>
      <c r="K186" s="212"/>
      <c r="L186" s="212"/>
      <c r="M186" s="212"/>
      <c r="N186" s="212"/>
      <c r="O186" s="212"/>
      <c r="P186" s="212"/>
      <c r="Q186" s="212"/>
      <c r="R186" s="212"/>
      <c r="S186" s="212"/>
      <c r="T186" s="212"/>
      <c r="U186" s="212"/>
      <c r="V186" s="212"/>
      <c r="W186" s="212"/>
      <c r="X186" s="212"/>
      <c r="Y186" s="212"/>
      <c r="Z186" s="212"/>
      <c r="AA186" s="212"/>
    </row>
    <row r="187" ht="15.75" customHeight="1">
      <c r="A187" s="219">
        <v>7.09257119E9</v>
      </c>
      <c r="B187" s="50" t="s">
        <v>707</v>
      </c>
      <c r="C187" s="43" t="s">
        <v>618</v>
      </c>
      <c r="D187" s="43">
        <v>8.0</v>
      </c>
      <c r="E187" s="43">
        <v>28.0</v>
      </c>
      <c r="F187" s="46"/>
      <c r="G187" s="46"/>
      <c r="H187" s="139" t="s">
        <v>699</v>
      </c>
      <c r="I187" s="11"/>
      <c r="J187" s="212"/>
      <c r="K187" s="212"/>
      <c r="L187" s="212"/>
      <c r="M187" s="212"/>
      <c r="N187" s="212"/>
      <c r="O187" s="212"/>
      <c r="P187" s="212"/>
      <c r="Q187" s="212"/>
      <c r="R187" s="212"/>
      <c r="S187" s="212"/>
      <c r="T187" s="212"/>
      <c r="U187" s="212"/>
      <c r="V187" s="212"/>
      <c r="W187" s="212"/>
      <c r="X187" s="212"/>
      <c r="Y187" s="212"/>
      <c r="Z187" s="212"/>
      <c r="AA187" s="212"/>
    </row>
    <row r="188" ht="15.75" customHeight="1">
      <c r="A188" s="219">
        <v>4.78460019E9</v>
      </c>
      <c r="B188" s="50" t="s">
        <v>708</v>
      </c>
      <c r="C188" s="43" t="s">
        <v>618</v>
      </c>
      <c r="D188" s="43">
        <v>8.0</v>
      </c>
      <c r="E188" s="43">
        <v>56.0</v>
      </c>
      <c r="F188" s="46"/>
      <c r="G188" s="46"/>
      <c r="H188" s="139" t="s">
        <v>697</v>
      </c>
      <c r="I188" s="11"/>
      <c r="J188" s="212"/>
      <c r="K188" s="212"/>
      <c r="L188" s="212"/>
      <c r="M188" s="212"/>
      <c r="N188" s="212"/>
      <c r="O188" s="212"/>
      <c r="P188" s="212"/>
      <c r="Q188" s="212"/>
      <c r="R188" s="212"/>
      <c r="S188" s="212"/>
      <c r="T188" s="212"/>
      <c r="U188" s="212"/>
      <c r="V188" s="212"/>
      <c r="W188" s="212"/>
      <c r="X188" s="212"/>
      <c r="Y188" s="212"/>
      <c r="Z188" s="212"/>
      <c r="AA188" s="212"/>
    </row>
    <row r="189" ht="15.75" customHeight="1">
      <c r="A189" s="219">
        <v>4.78462619E9</v>
      </c>
      <c r="B189" s="50" t="s">
        <v>709</v>
      </c>
      <c r="C189" s="43" t="s">
        <v>618</v>
      </c>
      <c r="D189" s="43">
        <v>8.0</v>
      </c>
      <c r="E189" s="43">
        <v>56.0</v>
      </c>
      <c r="F189" s="46"/>
      <c r="G189" s="46"/>
      <c r="H189" s="139" t="s">
        <v>697</v>
      </c>
      <c r="I189" s="11"/>
      <c r="J189" s="212"/>
      <c r="K189" s="212"/>
      <c r="L189" s="212"/>
      <c r="M189" s="212"/>
      <c r="N189" s="212"/>
      <c r="O189" s="212"/>
      <c r="P189" s="212"/>
      <c r="Q189" s="212"/>
      <c r="R189" s="212"/>
      <c r="S189" s="212"/>
      <c r="T189" s="212"/>
      <c r="U189" s="212"/>
      <c r="V189" s="212"/>
      <c r="W189" s="212"/>
      <c r="X189" s="212"/>
      <c r="Y189" s="212"/>
      <c r="Z189" s="212"/>
      <c r="AA189" s="212"/>
    </row>
    <row r="190" ht="15.75" customHeight="1">
      <c r="A190" s="219">
        <v>8.35543619E9</v>
      </c>
      <c r="B190" s="50" t="s">
        <v>710</v>
      </c>
      <c r="C190" s="43" t="s">
        <v>618</v>
      </c>
      <c r="D190" s="43">
        <v>4.0</v>
      </c>
      <c r="E190" s="43">
        <v>84.0</v>
      </c>
      <c r="F190" s="46"/>
      <c r="G190" s="46"/>
      <c r="H190" s="139" t="s">
        <v>711</v>
      </c>
      <c r="I190" s="11"/>
      <c r="J190" s="212"/>
      <c r="K190" s="212"/>
      <c r="L190" s="212"/>
      <c r="M190" s="212"/>
      <c r="N190" s="212"/>
      <c r="O190" s="212"/>
      <c r="P190" s="212"/>
      <c r="Q190" s="212"/>
      <c r="R190" s="212"/>
      <c r="S190" s="212"/>
      <c r="T190" s="212"/>
      <c r="U190" s="212"/>
      <c r="V190" s="212"/>
      <c r="W190" s="212"/>
      <c r="X190" s="212"/>
      <c r="Y190" s="212"/>
      <c r="Z190" s="212"/>
      <c r="AA190" s="212"/>
    </row>
    <row r="191" ht="15.75" customHeight="1">
      <c r="A191" s="219">
        <v>8.35542819E9</v>
      </c>
      <c r="B191" s="50" t="s">
        <v>712</v>
      </c>
      <c r="C191" s="43" t="s">
        <v>618</v>
      </c>
      <c r="D191" s="43">
        <v>3.0</v>
      </c>
      <c r="E191" s="43">
        <v>112.0</v>
      </c>
      <c r="F191" s="46"/>
      <c r="G191" s="46"/>
      <c r="H191" s="139" t="s">
        <v>711</v>
      </c>
      <c r="I191" s="11"/>
      <c r="J191" s="212"/>
      <c r="K191" s="212"/>
      <c r="L191" s="212"/>
      <c r="M191" s="212"/>
      <c r="N191" s="212"/>
      <c r="O191" s="212"/>
      <c r="P191" s="212"/>
      <c r="Q191" s="212"/>
      <c r="R191" s="212"/>
      <c r="S191" s="212"/>
      <c r="T191" s="212"/>
      <c r="U191" s="212"/>
      <c r="V191" s="212"/>
      <c r="W191" s="212"/>
      <c r="X191" s="212"/>
      <c r="Y191" s="212"/>
      <c r="Z191" s="212"/>
      <c r="AA191" s="212"/>
    </row>
    <row r="192" ht="15.75" customHeight="1">
      <c r="A192" s="219">
        <v>7.29413119E9</v>
      </c>
      <c r="B192" s="50" t="s">
        <v>713</v>
      </c>
      <c r="C192" s="43" t="s">
        <v>618</v>
      </c>
      <c r="D192" s="43">
        <v>1.0</v>
      </c>
      <c r="E192" s="43">
        <v>28.0</v>
      </c>
      <c r="F192" s="46"/>
      <c r="G192" s="46"/>
      <c r="H192" s="139" t="s">
        <v>431</v>
      </c>
      <c r="I192" s="11"/>
      <c r="J192" s="212"/>
      <c r="K192" s="212"/>
      <c r="L192" s="212"/>
      <c r="M192" s="212"/>
      <c r="N192" s="212"/>
      <c r="O192" s="212"/>
      <c r="P192" s="212"/>
      <c r="Q192" s="212"/>
      <c r="R192" s="212"/>
      <c r="S192" s="212"/>
      <c r="T192" s="212"/>
      <c r="U192" s="212"/>
      <c r="V192" s="212"/>
      <c r="W192" s="212"/>
      <c r="X192" s="212"/>
      <c r="Y192" s="212"/>
      <c r="Z192" s="212"/>
      <c r="AA192" s="212"/>
    </row>
    <row r="193" ht="15.75" customHeight="1">
      <c r="A193" s="219">
        <v>7.47610819E9</v>
      </c>
      <c r="B193" s="50" t="s">
        <v>714</v>
      </c>
      <c r="C193" s="43" t="s">
        <v>618</v>
      </c>
      <c r="D193" s="43">
        <v>2.0</v>
      </c>
      <c r="E193" s="43">
        <v>31.0</v>
      </c>
      <c r="F193" s="46"/>
      <c r="G193" s="46"/>
      <c r="H193" s="139" t="s">
        <v>641</v>
      </c>
      <c r="I193" s="11"/>
      <c r="J193" s="212"/>
      <c r="K193" s="212"/>
      <c r="L193" s="212"/>
      <c r="M193" s="212"/>
      <c r="N193" s="212"/>
      <c r="O193" s="212"/>
      <c r="P193" s="212"/>
      <c r="Q193" s="212"/>
      <c r="R193" s="212"/>
      <c r="S193" s="212"/>
      <c r="T193" s="212"/>
      <c r="U193" s="212"/>
      <c r="V193" s="212"/>
      <c r="W193" s="212"/>
      <c r="X193" s="212"/>
      <c r="Y193" s="212"/>
      <c r="Z193" s="212"/>
      <c r="AA193" s="212"/>
    </row>
    <row r="194" ht="15.75" customHeight="1">
      <c r="A194" s="219">
        <v>1.1876376122E10</v>
      </c>
      <c r="B194" s="50" t="s">
        <v>715</v>
      </c>
      <c r="C194" s="43" t="s">
        <v>618</v>
      </c>
      <c r="D194" s="43">
        <v>8.0</v>
      </c>
      <c r="E194" s="43">
        <v>56.0</v>
      </c>
      <c r="F194" s="46"/>
      <c r="G194" s="46"/>
      <c r="H194" s="139" t="s">
        <v>697</v>
      </c>
      <c r="I194" s="11"/>
      <c r="J194" s="212"/>
      <c r="K194" s="212"/>
      <c r="L194" s="212"/>
      <c r="M194" s="212"/>
      <c r="N194" s="212"/>
      <c r="O194" s="212"/>
      <c r="P194" s="212"/>
      <c r="Q194" s="212"/>
      <c r="R194" s="212"/>
      <c r="S194" s="212"/>
      <c r="T194" s="212"/>
      <c r="U194" s="212"/>
      <c r="V194" s="212"/>
      <c r="W194" s="212"/>
      <c r="X194" s="212"/>
      <c r="Y194" s="212"/>
      <c r="Z194" s="212"/>
      <c r="AA194" s="212"/>
    </row>
    <row r="195" ht="15.75" customHeight="1">
      <c r="A195" s="219">
        <v>4.68787619E9</v>
      </c>
      <c r="B195" s="50" t="s">
        <v>716</v>
      </c>
      <c r="C195" s="43" t="s">
        <v>618</v>
      </c>
      <c r="D195" s="43">
        <v>8.0</v>
      </c>
      <c r="E195" s="43">
        <v>56.0</v>
      </c>
      <c r="F195" s="46"/>
      <c r="G195" s="46"/>
      <c r="H195" s="139" t="s">
        <v>697</v>
      </c>
      <c r="I195" s="11"/>
      <c r="J195" s="212"/>
      <c r="K195" s="212"/>
      <c r="L195" s="212"/>
      <c r="M195" s="212"/>
      <c r="N195" s="212"/>
      <c r="O195" s="212"/>
      <c r="P195" s="212"/>
      <c r="Q195" s="212"/>
      <c r="R195" s="212"/>
      <c r="S195" s="212"/>
      <c r="T195" s="212"/>
      <c r="U195" s="212"/>
      <c r="V195" s="212"/>
      <c r="W195" s="212"/>
      <c r="X195" s="212"/>
      <c r="Y195" s="212"/>
      <c r="Z195" s="212"/>
      <c r="AA195" s="212"/>
    </row>
    <row r="196" ht="15.75" customHeight="1">
      <c r="A196" s="219">
        <v>7.14374519E9</v>
      </c>
      <c r="B196" s="50" t="s">
        <v>717</v>
      </c>
      <c r="C196" s="43" t="s">
        <v>618</v>
      </c>
      <c r="D196" s="43">
        <v>5.0</v>
      </c>
      <c r="E196" s="43">
        <v>56.0</v>
      </c>
      <c r="F196" s="46"/>
      <c r="G196" s="46"/>
      <c r="H196" s="139" t="s">
        <v>629</v>
      </c>
      <c r="I196" s="11"/>
      <c r="J196" s="212"/>
      <c r="K196" s="212"/>
      <c r="L196" s="212"/>
      <c r="M196" s="212"/>
      <c r="N196" s="212"/>
      <c r="O196" s="212"/>
      <c r="P196" s="212"/>
      <c r="Q196" s="212"/>
      <c r="R196" s="212"/>
      <c r="S196" s="212"/>
      <c r="T196" s="212"/>
      <c r="U196" s="212"/>
      <c r="V196" s="212"/>
      <c r="W196" s="212"/>
      <c r="X196" s="212"/>
      <c r="Y196" s="212"/>
      <c r="Z196" s="212"/>
      <c r="AA196" s="212"/>
    </row>
    <row r="197" ht="15.75" customHeight="1">
      <c r="A197" s="219">
        <v>5.95095319E9</v>
      </c>
      <c r="B197" s="50" t="s">
        <v>718</v>
      </c>
      <c r="C197" s="43" t="s">
        <v>618</v>
      </c>
      <c r="D197" s="43">
        <v>2.0</v>
      </c>
      <c r="E197" s="43">
        <v>28.0</v>
      </c>
      <c r="F197" s="46"/>
      <c r="G197" s="46"/>
      <c r="H197" s="139" t="s">
        <v>422</v>
      </c>
      <c r="I197" s="11"/>
      <c r="J197" s="212"/>
      <c r="K197" s="212"/>
      <c r="L197" s="212"/>
      <c r="M197" s="212"/>
      <c r="N197" s="212"/>
      <c r="O197" s="212"/>
      <c r="P197" s="212"/>
      <c r="Q197" s="212"/>
      <c r="R197" s="212"/>
      <c r="S197" s="212"/>
      <c r="T197" s="212"/>
      <c r="U197" s="212"/>
      <c r="V197" s="212"/>
      <c r="W197" s="212"/>
      <c r="X197" s="212"/>
      <c r="Y197" s="212"/>
      <c r="Z197" s="212"/>
      <c r="AA197" s="212"/>
    </row>
    <row r="198" ht="15.75" customHeight="1">
      <c r="A198" s="219">
        <v>6.92410719E9</v>
      </c>
      <c r="B198" s="50" t="s">
        <v>719</v>
      </c>
      <c r="C198" s="43" t="s">
        <v>618</v>
      </c>
      <c r="D198" s="43">
        <v>3.0</v>
      </c>
      <c r="E198" s="43">
        <v>84.0</v>
      </c>
      <c r="F198" s="46"/>
      <c r="G198" s="46"/>
      <c r="H198" s="139" t="s">
        <v>690</v>
      </c>
      <c r="I198" s="11"/>
      <c r="J198" s="212"/>
      <c r="K198" s="212"/>
      <c r="L198" s="212"/>
      <c r="M198" s="212"/>
      <c r="N198" s="212"/>
      <c r="O198" s="212"/>
      <c r="P198" s="212"/>
      <c r="Q198" s="212"/>
      <c r="R198" s="212"/>
      <c r="S198" s="212"/>
      <c r="T198" s="212"/>
      <c r="U198" s="212"/>
      <c r="V198" s="212"/>
      <c r="W198" s="212"/>
      <c r="X198" s="212"/>
      <c r="Y198" s="212"/>
      <c r="Z198" s="212"/>
      <c r="AA198" s="212"/>
    </row>
    <row r="199" ht="15.75" customHeight="1">
      <c r="A199" s="219">
        <v>5.57220719E9</v>
      </c>
      <c r="B199" s="50" t="s">
        <v>720</v>
      </c>
      <c r="C199" s="43" t="s">
        <v>618</v>
      </c>
      <c r="D199" s="43">
        <v>2.0</v>
      </c>
      <c r="E199" s="43">
        <v>28.0</v>
      </c>
      <c r="F199" s="46"/>
      <c r="G199" s="46"/>
      <c r="H199" s="139" t="s">
        <v>422</v>
      </c>
      <c r="I199" s="11"/>
      <c r="J199" s="212"/>
      <c r="K199" s="212"/>
      <c r="L199" s="212"/>
      <c r="M199" s="212"/>
      <c r="N199" s="212"/>
      <c r="O199" s="212"/>
      <c r="P199" s="212"/>
      <c r="Q199" s="212"/>
      <c r="R199" s="212"/>
      <c r="S199" s="212"/>
      <c r="T199" s="212"/>
      <c r="U199" s="212"/>
      <c r="V199" s="212"/>
      <c r="W199" s="212"/>
      <c r="X199" s="212"/>
      <c r="Y199" s="212"/>
      <c r="Z199" s="212"/>
      <c r="AA199" s="212"/>
    </row>
    <row r="200" ht="15.75" customHeight="1">
      <c r="A200" s="219">
        <v>7.10813319E9</v>
      </c>
      <c r="B200" s="50" t="s">
        <v>721</v>
      </c>
      <c r="C200" s="43" t="s">
        <v>618</v>
      </c>
      <c r="D200" s="43">
        <v>3.0</v>
      </c>
      <c r="E200" s="43">
        <v>84.0</v>
      </c>
      <c r="F200" s="46"/>
      <c r="G200" s="46"/>
      <c r="H200" s="139" t="s">
        <v>690</v>
      </c>
      <c r="I200" s="11"/>
      <c r="J200" s="212"/>
      <c r="K200" s="212"/>
      <c r="L200" s="212"/>
      <c r="M200" s="212"/>
      <c r="N200" s="212"/>
      <c r="O200" s="212"/>
      <c r="P200" s="212"/>
      <c r="Q200" s="212"/>
      <c r="R200" s="212"/>
      <c r="S200" s="212"/>
      <c r="T200" s="212"/>
      <c r="U200" s="212"/>
      <c r="V200" s="212"/>
      <c r="W200" s="212"/>
      <c r="X200" s="212"/>
      <c r="Y200" s="212"/>
      <c r="Z200" s="212"/>
      <c r="AA200" s="212"/>
    </row>
    <row r="201" ht="15.75" customHeight="1">
      <c r="A201" s="219">
        <v>5.88908119E9</v>
      </c>
      <c r="B201" s="50" t="s">
        <v>722</v>
      </c>
      <c r="C201" s="43" t="s">
        <v>618</v>
      </c>
      <c r="D201" s="43">
        <v>1.0</v>
      </c>
      <c r="E201" s="43">
        <v>28.0</v>
      </c>
      <c r="F201" s="46"/>
      <c r="G201" s="46"/>
      <c r="H201" s="139" t="s">
        <v>431</v>
      </c>
      <c r="I201" s="11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7"/>
    </row>
    <row r="202" ht="15.75" customHeight="1">
      <c r="A202" s="219">
        <v>7.36007019E9</v>
      </c>
      <c r="B202" s="50" t="s">
        <v>723</v>
      </c>
      <c r="C202" s="43" t="s">
        <v>618</v>
      </c>
      <c r="D202" s="43">
        <v>2.0</v>
      </c>
      <c r="E202" s="43">
        <v>28.0</v>
      </c>
      <c r="F202" s="46"/>
      <c r="G202" s="46"/>
      <c r="H202" s="139" t="s">
        <v>422</v>
      </c>
      <c r="I202" s="11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7"/>
    </row>
    <row r="203" ht="15.75" customHeight="1">
      <c r="A203" s="219">
        <v>8.74006219E9</v>
      </c>
      <c r="B203" s="50" t="s">
        <v>724</v>
      </c>
      <c r="C203" s="43" t="s">
        <v>618</v>
      </c>
      <c r="D203" s="43">
        <v>3.0</v>
      </c>
      <c r="E203" s="43">
        <v>84.0</v>
      </c>
      <c r="F203" s="46"/>
      <c r="G203" s="46"/>
      <c r="H203" s="139" t="s">
        <v>690</v>
      </c>
      <c r="I203" s="11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</row>
    <row r="204" ht="15.75" customHeight="1">
      <c r="A204" s="219">
        <v>5.34178719E9</v>
      </c>
      <c r="B204" s="50" t="s">
        <v>725</v>
      </c>
      <c r="C204" s="43" t="s">
        <v>618</v>
      </c>
      <c r="D204" s="43">
        <v>3.0</v>
      </c>
      <c r="E204" s="43">
        <v>31.0</v>
      </c>
      <c r="F204" s="46"/>
      <c r="G204" s="46"/>
      <c r="H204" s="139" t="s">
        <v>726</v>
      </c>
      <c r="I204" s="11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7"/>
    </row>
    <row r="205" ht="15.75" customHeight="1">
      <c r="A205" s="219">
        <v>6.50598819E9</v>
      </c>
      <c r="B205" s="50" t="s">
        <v>727</v>
      </c>
      <c r="C205" s="43" t="s">
        <v>618</v>
      </c>
      <c r="D205" s="43">
        <v>2.0</v>
      </c>
      <c r="E205" s="46"/>
      <c r="F205" s="46"/>
      <c r="G205" s="46"/>
      <c r="H205" s="139" t="s">
        <v>425</v>
      </c>
      <c r="I205" s="11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7"/>
    </row>
    <row r="206" ht="15.75" customHeight="1">
      <c r="A206" s="219">
        <v>4.61880719E9</v>
      </c>
      <c r="B206" s="50" t="s">
        <v>728</v>
      </c>
      <c r="C206" s="43" t="s">
        <v>618</v>
      </c>
      <c r="D206" s="43">
        <v>8.0</v>
      </c>
      <c r="E206" s="43">
        <v>56.0</v>
      </c>
      <c r="F206" s="46"/>
      <c r="G206" s="46"/>
      <c r="H206" s="139" t="s">
        <v>697</v>
      </c>
      <c r="I206" s="11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7"/>
    </row>
    <row r="207" ht="15.75" customHeight="1">
      <c r="A207" s="219">
        <v>4.61884019E9</v>
      </c>
      <c r="B207" s="50" t="s">
        <v>729</v>
      </c>
      <c r="C207" s="43" t="s">
        <v>618</v>
      </c>
      <c r="D207" s="43">
        <v>4.0</v>
      </c>
      <c r="E207" s="43">
        <v>56.0</v>
      </c>
      <c r="F207" s="46"/>
      <c r="G207" s="46"/>
      <c r="H207" s="139" t="s">
        <v>699</v>
      </c>
      <c r="I207" s="11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7"/>
    </row>
    <row r="208" ht="15.75" customHeight="1">
      <c r="A208" s="219">
        <v>9.34530219E9</v>
      </c>
      <c r="B208" s="50" t="s">
        <v>730</v>
      </c>
      <c r="C208" s="43" t="s">
        <v>618</v>
      </c>
      <c r="D208" s="43">
        <v>3.0</v>
      </c>
      <c r="E208" s="43">
        <v>21.0</v>
      </c>
      <c r="F208" s="46"/>
      <c r="G208" s="46"/>
      <c r="H208" s="139" t="s">
        <v>731</v>
      </c>
      <c r="I208" s="11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7"/>
    </row>
    <row r="209" ht="15.75" customHeight="1">
      <c r="A209" s="219">
        <v>6.92336419E9</v>
      </c>
      <c r="B209" s="50" t="s">
        <v>732</v>
      </c>
      <c r="C209" s="43" t="s">
        <v>618</v>
      </c>
      <c r="D209" s="43">
        <v>2.0</v>
      </c>
      <c r="E209" s="43">
        <v>168.0</v>
      </c>
      <c r="F209" s="46"/>
      <c r="G209" s="46"/>
      <c r="H209" s="139" t="s">
        <v>711</v>
      </c>
      <c r="I209" s="11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7"/>
    </row>
    <row r="210" ht="15.75" customHeight="1">
      <c r="A210" s="219">
        <v>5.042666191E9</v>
      </c>
      <c r="B210" s="50" t="s">
        <v>733</v>
      </c>
      <c r="C210" s="43" t="s">
        <v>618</v>
      </c>
      <c r="D210" s="43">
        <v>2.0</v>
      </c>
      <c r="E210" s="43">
        <v>28.0</v>
      </c>
      <c r="F210" s="46"/>
      <c r="G210" s="46"/>
      <c r="H210" s="139" t="s">
        <v>422</v>
      </c>
      <c r="I210" s="11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7"/>
    </row>
    <row r="211" ht="15.75" customHeight="1">
      <c r="A211" s="219">
        <v>4.61882319E9</v>
      </c>
      <c r="B211" s="50" t="s">
        <v>734</v>
      </c>
      <c r="C211" s="43" t="s">
        <v>618</v>
      </c>
      <c r="D211" s="43">
        <v>8.0</v>
      </c>
      <c r="E211" s="43">
        <v>56.0</v>
      </c>
      <c r="F211" s="46"/>
      <c r="G211" s="46"/>
      <c r="H211" s="139" t="s">
        <v>697</v>
      </c>
      <c r="I211" s="11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7"/>
    </row>
    <row r="212" ht="15.75" customHeight="1">
      <c r="A212" s="219">
        <v>5.80258019E9</v>
      </c>
      <c r="B212" s="50" t="s">
        <v>735</v>
      </c>
      <c r="C212" s="43" t="s">
        <v>618</v>
      </c>
      <c r="D212" s="43">
        <v>3.0</v>
      </c>
      <c r="E212" s="43">
        <v>56.0</v>
      </c>
      <c r="F212" s="46"/>
      <c r="G212" s="46"/>
      <c r="H212" s="139" t="s">
        <v>620</v>
      </c>
      <c r="I212" s="11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7"/>
    </row>
    <row r="213" ht="15.75" customHeight="1">
      <c r="A213" s="219">
        <v>4.61886619E9</v>
      </c>
      <c r="B213" s="50" t="s">
        <v>736</v>
      </c>
      <c r="C213" s="43" t="s">
        <v>618</v>
      </c>
      <c r="D213" s="43">
        <v>8.0</v>
      </c>
      <c r="E213" s="43">
        <v>56.0</v>
      </c>
      <c r="F213" s="46"/>
      <c r="G213" s="46"/>
      <c r="H213" s="139" t="s">
        <v>697</v>
      </c>
      <c r="I213" s="11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7"/>
    </row>
    <row r="214" ht="15.75" customHeight="1">
      <c r="A214" s="219">
        <v>5.09510719E9</v>
      </c>
      <c r="B214" s="50" t="s">
        <v>737</v>
      </c>
      <c r="C214" s="43" t="s">
        <v>618</v>
      </c>
      <c r="D214" s="43">
        <v>2.0</v>
      </c>
      <c r="E214" s="43">
        <v>84.0</v>
      </c>
      <c r="F214" s="46"/>
      <c r="G214" s="46"/>
      <c r="H214" s="139" t="s">
        <v>620</v>
      </c>
      <c r="I214" s="11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7"/>
    </row>
    <row r="215" ht="15.75" customHeight="1">
      <c r="A215" s="219">
        <v>1.1776452122E10</v>
      </c>
      <c r="B215" s="50" t="s">
        <v>738</v>
      </c>
      <c r="C215" s="43" t="s">
        <v>618</v>
      </c>
      <c r="D215" s="43">
        <v>2.0</v>
      </c>
      <c r="E215" s="43">
        <v>28.0</v>
      </c>
      <c r="F215" s="46"/>
      <c r="G215" s="46"/>
      <c r="H215" s="139" t="s">
        <v>422</v>
      </c>
      <c r="I215" s="11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7"/>
    </row>
    <row r="216" ht="15.75" customHeight="1">
      <c r="A216" s="219">
        <v>1.173141619E10</v>
      </c>
      <c r="B216" s="50" t="s">
        <v>739</v>
      </c>
      <c r="C216" s="43" t="s">
        <v>618</v>
      </c>
      <c r="D216" s="43">
        <v>2.0</v>
      </c>
      <c r="E216" s="43">
        <v>28.0</v>
      </c>
      <c r="F216" s="46"/>
      <c r="G216" s="46"/>
      <c r="H216" s="139" t="s">
        <v>422</v>
      </c>
      <c r="I216" s="11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7"/>
    </row>
    <row r="217" ht="15.75" customHeight="1">
      <c r="A217" s="219">
        <v>5.61886019E9</v>
      </c>
      <c r="B217" s="50" t="s">
        <v>740</v>
      </c>
      <c r="C217" s="43" t="s">
        <v>618</v>
      </c>
      <c r="D217" s="43">
        <v>2.0</v>
      </c>
      <c r="E217" s="43">
        <v>28.0</v>
      </c>
      <c r="F217" s="46"/>
      <c r="G217" s="46"/>
      <c r="H217" s="139" t="s">
        <v>422</v>
      </c>
      <c r="I217" s="11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7"/>
    </row>
    <row r="218" ht="15.75" customHeight="1">
      <c r="A218" s="219">
        <v>9.03812419E9</v>
      </c>
      <c r="B218" s="50" t="s">
        <v>741</v>
      </c>
      <c r="C218" s="43" t="s">
        <v>618</v>
      </c>
      <c r="D218" s="43">
        <v>3.0</v>
      </c>
      <c r="E218" s="43">
        <v>31.0</v>
      </c>
      <c r="F218" s="46"/>
      <c r="G218" s="46"/>
      <c r="H218" s="139" t="s">
        <v>726</v>
      </c>
      <c r="I218" s="11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7"/>
    </row>
    <row r="219" ht="15.75" customHeight="1">
      <c r="A219" s="227" t="s">
        <v>267</v>
      </c>
      <c r="B219" s="228"/>
      <c r="C219" s="228"/>
      <c r="D219" s="229" t="s">
        <v>371</v>
      </c>
      <c r="E219" s="229" t="s">
        <v>616</v>
      </c>
      <c r="F219" s="230"/>
      <c r="G219" s="231" t="s">
        <v>169</v>
      </c>
      <c r="H219" s="232" t="s">
        <v>170</v>
      </c>
      <c r="I219" s="231" t="s">
        <v>171</v>
      </c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7"/>
    </row>
    <row r="220" ht="15.75" customHeight="1">
      <c r="A220" s="219">
        <v>1.1706802001E10</v>
      </c>
      <c r="B220" s="50" t="s">
        <v>742</v>
      </c>
      <c r="C220" s="43" t="s">
        <v>618</v>
      </c>
      <c r="D220" s="43">
        <v>1.0</v>
      </c>
      <c r="E220" s="43">
        <v>365.0</v>
      </c>
      <c r="F220" s="46"/>
      <c r="G220" s="46"/>
      <c r="H220" s="139" t="s">
        <v>743</v>
      </c>
      <c r="I220" s="11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  <c r="AA220" s="127"/>
    </row>
    <row r="221" ht="15.75" customHeight="1">
      <c r="A221" s="219">
        <v>1.1706799001E10</v>
      </c>
      <c r="B221" s="50" t="s">
        <v>744</v>
      </c>
      <c r="C221" s="43" t="s">
        <v>618</v>
      </c>
      <c r="D221" s="43">
        <v>1.0</v>
      </c>
      <c r="E221" s="43">
        <v>365.0</v>
      </c>
      <c r="F221" s="46"/>
      <c r="G221" s="46"/>
      <c r="H221" s="139" t="s">
        <v>743</v>
      </c>
      <c r="I221" s="11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  <c r="AA221" s="127"/>
    </row>
    <row r="222" ht="15.75" customHeight="1">
      <c r="A222" s="219">
        <v>4.444191001E9</v>
      </c>
      <c r="B222" s="50" t="s">
        <v>745</v>
      </c>
      <c r="C222" s="43" t="s">
        <v>618</v>
      </c>
      <c r="D222" s="43">
        <v>1.0</v>
      </c>
      <c r="E222" s="43">
        <v>365.0</v>
      </c>
      <c r="F222" s="46"/>
      <c r="G222" s="46"/>
      <c r="H222" s="139" t="s">
        <v>743</v>
      </c>
      <c r="I222" s="11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  <c r="AA222" s="127"/>
    </row>
    <row r="223" ht="15.75" customHeight="1">
      <c r="A223" s="219">
        <v>1.1662970122E10</v>
      </c>
      <c r="B223" s="50" t="s">
        <v>746</v>
      </c>
      <c r="C223" s="43" t="s">
        <v>618</v>
      </c>
      <c r="D223" s="43">
        <v>6.0</v>
      </c>
      <c r="E223" s="43">
        <v>28.0</v>
      </c>
      <c r="F223" s="46"/>
      <c r="G223" s="46"/>
      <c r="H223" s="139" t="s">
        <v>620</v>
      </c>
      <c r="I223" s="11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  <c r="AA223" s="127"/>
    </row>
    <row r="224" ht="15.75" customHeight="1">
      <c r="A224" s="219">
        <v>1.1662988122E10</v>
      </c>
      <c r="B224" s="50" t="s">
        <v>747</v>
      </c>
      <c r="C224" s="43" t="s">
        <v>618</v>
      </c>
      <c r="D224" s="43">
        <v>6.0</v>
      </c>
      <c r="E224" s="43">
        <v>28.0</v>
      </c>
      <c r="F224" s="46"/>
      <c r="G224" s="46"/>
      <c r="H224" s="139" t="s">
        <v>620</v>
      </c>
      <c r="I224" s="11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  <c r="AA224" s="127"/>
    </row>
    <row r="225" ht="15.75" customHeight="1">
      <c r="A225" s="219">
        <v>1.1930346122E10</v>
      </c>
      <c r="B225" s="50" t="s">
        <v>748</v>
      </c>
      <c r="C225" s="43" t="s">
        <v>618</v>
      </c>
      <c r="D225" s="43">
        <v>1.0</v>
      </c>
      <c r="E225" s="43">
        <v>168.0</v>
      </c>
      <c r="F225" s="46"/>
      <c r="G225" s="46"/>
      <c r="H225" s="139" t="s">
        <v>620</v>
      </c>
      <c r="I225" s="11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  <c r="AA225" s="127"/>
    </row>
    <row r="226" ht="15.75" customHeight="1">
      <c r="A226" s="219">
        <v>1.1298500316E10</v>
      </c>
      <c r="B226" s="50" t="s">
        <v>749</v>
      </c>
      <c r="C226" s="43" t="s">
        <v>618</v>
      </c>
      <c r="D226" s="43">
        <v>5.0</v>
      </c>
      <c r="E226" s="43">
        <v>365.0</v>
      </c>
      <c r="F226" s="46"/>
      <c r="G226" s="46"/>
      <c r="H226" s="139" t="s">
        <v>279</v>
      </c>
      <c r="I226" s="11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  <c r="AA226" s="127"/>
    </row>
    <row r="227" ht="15.75" customHeight="1">
      <c r="A227" s="219">
        <v>5.151643001E9</v>
      </c>
      <c r="B227" s="50" t="s">
        <v>750</v>
      </c>
      <c r="C227" s="43" t="s">
        <v>618</v>
      </c>
      <c r="D227" s="43">
        <v>1.0</v>
      </c>
      <c r="E227" s="43">
        <v>365.0</v>
      </c>
      <c r="F227" s="46"/>
      <c r="G227" s="46"/>
      <c r="H227" s="139" t="s">
        <v>743</v>
      </c>
      <c r="I227" s="11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  <c r="AA227" s="127"/>
    </row>
    <row r="228" ht="15.75" customHeight="1">
      <c r="A228" s="219">
        <v>1.1732277122E10</v>
      </c>
      <c r="B228" s="50" t="s">
        <v>751</v>
      </c>
      <c r="C228" s="43" t="s">
        <v>618</v>
      </c>
      <c r="D228" s="43">
        <v>2.0</v>
      </c>
      <c r="E228" s="43">
        <v>84.0</v>
      </c>
      <c r="F228" s="46"/>
      <c r="G228" s="46"/>
      <c r="H228" s="139" t="s">
        <v>620</v>
      </c>
      <c r="I228" s="11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  <c r="AA228" s="127"/>
    </row>
    <row r="229" ht="15.75" customHeight="1">
      <c r="A229" s="219">
        <v>3.183971122E9</v>
      </c>
      <c r="B229" s="50" t="s">
        <v>752</v>
      </c>
      <c r="C229" s="43" t="s">
        <v>618</v>
      </c>
      <c r="D229" s="43">
        <v>1.0</v>
      </c>
      <c r="E229" s="43">
        <v>84.0</v>
      </c>
      <c r="F229" s="46"/>
      <c r="G229" s="46"/>
      <c r="H229" s="139" t="s">
        <v>419</v>
      </c>
      <c r="I229" s="11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  <c r="AA229" s="127"/>
    </row>
    <row r="230" ht="15.75" customHeight="1">
      <c r="A230" s="219">
        <v>1.1800507001E10</v>
      </c>
      <c r="B230" s="54" t="s">
        <v>753</v>
      </c>
      <c r="C230" s="43" t="s">
        <v>618</v>
      </c>
      <c r="D230" s="43">
        <v>1.0</v>
      </c>
      <c r="E230" s="43">
        <v>365.0</v>
      </c>
      <c r="F230" s="46"/>
      <c r="G230" s="46"/>
      <c r="H230" s="139" t="s">
        <v>743</v>
      </c>
      <c r="I230" s="11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7"/>
    </row>
    <row r="231" ht="15.75" customHeight="1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  <c r="AA231" s="127"/>
    </row>
    <row r="232" ht="15.75" customHeight="1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  <c r="AA232" s="127"/>
    </row>
    <row r="233" ht="15.75" customHeight="1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  <c r="AA233" s="127"/>
    </row>
    <row r="234" ht="15.75" customHeight="1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  <c r="AA234" s="127"/>
    </row>
    <row r="235" ht="15.75" customHeight="1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  <c r="AA235" s="127"/>
    </row>
    <row r="236" ht="15.75" customHeight="1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  <c r="AA236" s="127"/>
    </row>
    <row r="237" ht="15.75" customHeight="1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  <c r="AA237" s="127"/>
    </row>
    <row r="238" ht="15.75" customHeight="1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  <c r="AA238" s="127"/>
    </row>
    <row r="239" ht="15.75" customHeight="1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  <c r="AA239" s="127"/>
    </row>
    <row r="240" ht="15.75" customHeight="1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  <c r="AA240" s="127"/>
    </row>
    <row r="241" ht="15.75" customHeight="1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  <c r="AA241" s="127"/>
    </row>
    <row r="242" ht="15.75" customHeight="1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  <c r="AA242" s="127"/>
    </row>
    <row r="243" ht="15.75" customHeight="1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  <c r="AA243" s="127"/>
    </row>
    <row r="244" ht="15.75" customHeight="1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  <c r="AA244" s="127"/>
    </row>
    <row r="245" ht="15.75" customHeight="1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  <c r="AA245" s="127"/>
    </row>
    <row r="246" ht="15.75" customHeight="1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  <c r="AA246" s="127"/>
    </row>
    <row r="247" ht="15.75" customHeight="1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  <c r="AA247" s="127"/>
    </row>
    <row r="248" ht="15.75" customHeight="1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  <c r="AA248" s="127"/>
    </row>
    <row r="249" ht="15.75" customHeight="1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  <c r="AA249" s="127"/>
    </row>
    <row r="250" ht="15.75" customHeight="1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  <c r="AA250" s="127"/>
    </row>
    <row r="251" ht="15.75" customHeight="1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  <c r="AA251" s="127"/>
    </row>
    <row r="252" ht="15.75" customHeight="1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  <c r="AA252" s="127"/>
    </row>
    <row r="253" ht="15.75" customHeight="1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  <c r="AA253" s="127"/>
    </row>
    <row r="254" ht="15.75" customHeight="1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  <c r="AA254" s="127"/>
    </row>
    <row r="255" ht="15.75" customHeight="1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  <c r="AA255" s="127"/>
    </row>
    <row r="256" ht="15.75" customHeight="1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  <c r="AA256" s="127"/>
    </row>
    <row r="257" ht="15.75" customHeight="1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  <c r="AA257" s="127"/>
    </row>
    <row r="258" ht="15.75" customHeight="1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  <c r="AA258" s="127"/>
    </row>
    <row r="259" ht="15.75" customHeight="1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  <c r="AA259" s="127"/>
    </row>
    <row r="260" ht="15.75" customHeight="1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  <c r="AA260" s="127"/>
    </row>
    <row r="261" ht="15.75" customHeight="1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  <c r="AA261" s="127"/>
    </row>
    <row r="262" ht="15.75" customHeight="1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  <c r="AA262" s="127"/>
    </row>
    <row r="263" ht="15.75" customHeight="1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  <c r="AA263" s="127"/>
    </row>
    <row r="264" ht="15.75" customHeight="1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  <c r="AA264" s="127"/>
    </row>
    <row r="265" ht="15.75" customHeight="1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  <c r="AA265" s="127"/>
    </row>
    <row r="266" ht="15.75" customHeight="1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  <c r="AA266" s="127"/>
    </row>
    <row r="267" ht="15.75" customHeight="1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  <c r="AA267" s="127"/>
    </row>
    <row r="268" ht="15.75" customHeight="1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  <c r="AA268" s="127"/>
    </row>
    <row r="269" ht="15.75" customHeight="1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  <c r="AA269" s="127"/>
    </row>
    <row r="270" ht="15.75" customHeight="1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  <c r="AA270" s="127"/>
    </row>
    <row r="271" ht="15.75" customHeight="1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  <c r="AA271" s="127"/>
    </row>
    <row r="272" ht="15.75" customHeight="1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  <c r="AA272" s="127"/>
    </row>
    <row r="273" ht="15.75" customHeight="1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  <c r="AA273" s="127"/>
    </row>
    <row r="274" ht="15.75" customHeight="1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  <c r="AA274" s="127"/>
    </row>
    <row r="275" ht="15.75" customHeight="1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  <c r="AA275" s="127"/>
    </row>
    <row r="276" ht="15.75" customHeight="1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  <c r="AA276" s="127"/>
    </row>
    <row r="277" ht="15.75" customHeight="1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  <c r="AA277" s="127"/>
    </row>
    <row r="278" ht="15.75" customHeight="1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  <c r="AA278" s="127"/>
    </row>
    <row r="279" ht="15.75" customHeight="1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  <c r="AA279" s="127"/>
    </row>
    <row r="280" ht="15.75" customHeight="1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  <c r="AA280" s="127"/>
    </row>
    <row r="281" ht="15.75" customHeight="1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  <c r="AA281" s="127"/>
    </row>
    <row r="282" ht="15.75" customHeight="1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  <c r="AA282" s="127"/>
    </row>
    <row r="283" ht="15.75" customHeight="1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  <c r="AA283" s="127"/>
    </row>
    <row r="284" ht="15.75" customHeight="1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  <c r="AA284" s="127"/>
    </row>
    <row r="285" ht="15.75" customHeight="1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  <c r="AA285" s="127"/>
    </row>
    <row r="286" ht="15.75" customHeight="1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  <c r="AA286" s="127"/>
    </row>
    <row r="287" ht="15.75" customHeight="1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  <c r="AA287" s="127"/>
    </row>
    <row r="288" ht="15.75" customHeight="1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  <c r="AA288" s="127"/>
    </row>
    <row r="289" ht="15.75" customHeight="1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  <c r="AA289" s="127"/>
    </row>
    <row r="290" ht="15.75" customHeight="1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  <c r="AA290" s="127"/>
    </row>
    <row r="291" ht="15.75" customHeight="1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  <c r="AA291" s="127"/>
    </row>
    <row r="292" ht="15.75" customHeight="1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  <c r="AA292" s="127"/>
    </row>
    <row r="293" ht="15.75" customHeight="1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  <c r="AA293" s="127"/>
    </row>
    <row r="294" ht="15.75" customHeight="1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  <c r="AA294" s="127"/>
    </row>
    <row r="295" ht="15.75" customHeight="1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  <c r="AA295" s="127"/>
    </row>
    <row r="296" ht="15.75" customHeight="1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  <c r="AA296" s="127"/>
    </row>
    <row r="297" ht="15.75" customHeight="1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  <c r="AA297" s="127"/>
    </row>
    <row r="298" ht="15.75" customHeight="1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  <c r="AA298" s="127"/>
    </row>
    <row r="299" ht="15.75" customHeight="1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  <c r="AA299" s="127"/>
    </row>
    <row r="300" ht="15.75" customHeight="1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  <c r="AA300" s="127"/>
    </row>
    <row r="301" ht="15.75" customHeight="1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  <c r="AA301" s="127"/>
    </row>
    <row r="302" ht="15.75" customHeight="1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  <c r="AA302" s="127"/>
    </row>
    <row r="303" ht="15.75" customHeight="1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  <c r="AA303" s="127"/>
    </row>
    <row r="304" ht="15.75" customHeight="1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  <c r="AA304" s="127"/>
    </row>
    <row r="305" ht="15.75" customHeight="1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  <c r="AA305" s="127"/>
    </row>
    <row r="306" ht="15.75" customHeight="1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  <c r="AA306" s="127"/>
    </row>
    <row r="307" ht="15.75" customHeight="1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  <c r="AA307" s="127"/>
    </row>
    <row r="308" ht="15.75" customHeight="1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  <c r="AA308" s="127"/>
    </row>
    <row r="309" ht="15.75" customHeight="1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  <c r="AA309" s="127"/>
    </row>
    <row r="310" ht="15.75" customHeight="1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  <c r="AA310" s="127"/>
    </row>
    <row r="311" ht="15.75" customHeight="1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  <c r="AA311" s="127"/>
    </row>
    <row r="312" ht="15.75" customHeight="1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  <c r="AA312" s="127"/>
    </row>
    <row r="313" ht="15.75" customHeight="1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  <c r="AA313" s="127"/>
    </row>
    <row r="314" ht="15.75" customHeight="1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  <c r="AA314" s="127"/>
    </row>
    <row r="315" ht="15.75" customHeight="1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  <c r="AA315" s="127"/>
    </row>
    <row r="316" ht="15.75" customHeight="1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  <c r="AA316" s="127"/>
    </row>
    <row r="317" ht="15.75" customHeight="1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  <c r="AA317" s="127"/>
    </row>
    <row r="318" ht="15.75" customHeight="1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  <c r="AA318" s="127"/>
    </row>
    <row r="319" ht="15.75" customHeight="1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  <c r="AA319" s="127"/>
    </row>
    <row r="320" ht="15.75" customHeight="1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  <c r="AA320" s="127"/>
    </row>
    <row r="321" ht="15.75" customHeight="1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  <c r="AA321" s="127"/>
    </row>
    <row r="322" ht="15.75" customHeight="1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  <c r="AA322" s="127"/>
    </row>
    <row r="323" ht="15.75" customHeight="1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  <c r="AA323" s="127"/>
    </row>
    <row r="324" ht="15.75" customHeight="1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  <c r="AA324" s="127"/>
    </row>
    <row r="325" ht="15.75" customHeight="1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  <c r="AA325" s="127"/>
    </row>
    <row r="326" ht="15.75" customHeight="1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  <c r="AA326" s="127"/>
    </row>
    <row r="327" ht="15.75" customHeight="1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  <c r="AA327" s="127"/>
    </row>
    <row r="328" ht="15.75" customHeight="1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  <c r="AA328" s="127"/>
    </row>
    <row r="329" ht="15.75" customHeight="1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  <c r="AA329" s="127"/>
    </row>
    <row r="330" ht="15.75" customHeight="1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  <c r="AA330" s="127"/>
    </row>
    <row r="331" ht="15.75" customHeight="1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  <c r="AA331" s="127"/>
    </row>
    <row r="332" ht="15.75" customHeight="1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  <c r="AA332" s="127"/>
    </row>
    <row r="333" ht="15.75" customHeight="1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  <c r="AA333" s="127"/>
    </row>
    <row r="334" ht="15.75" customHeight="1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  <c r="AA334" s="127"/>
    </row>
    <row r="335" ht="15.75" customHeight="1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  <c r="AA335" s="127"/>
    </row>
    <row r="336" ht="15.75" customHeight="1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  <c r="AA336" s="127"/>
    </row>
    <row r="337" ht="15.75" customHeight="1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  <c r="AA337" s="127"/>
    </row>
    <row r="338" ht="15.75" customHeight="1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  <c r="AA338" s="127"/>
    </row>
    <row r="339" ht="15.75" customHeight="1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  <c r="AA339" s="127"/>
    </row>
    <row r="340" ht="15.75" customHeight="1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  <c r="AA340" s="127"/>
    </row>
    <row r="341" ht="15.75" customHeight="1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  <c r="AA341" s="127"/>
    </row>
    <row r="342" ht="15.75" customHeight="1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  <c r="AA342" s="127"/>
    </row>
    <row r="343" ht="15.75" customHeight="1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  <c r="AA343" s="127"/>
    </row>
    <row r="344" ht="15.75" customHeight="1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  <c r="AA344" s="127"/>
    </row>
    <row r="345" ht="15.75" customHeight="1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  <c r="AA345" s="127"/>
    </row>
    <row r="346" ht="15.75" customHeight="1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  <c r="AA346" s="127"/>
    </row>
    <row r="347" ht="15.75" customHeight="1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  <c r="AA347" s="127"/>
    </row>
    <row r="348" ht="15.75" customHeight="1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  <c r="AA348" s="127"/>
    </row>
    <row r="349" ht="15.75" customHeight="1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  <c r="AA349" s="127"/>
    </row>
    <row r="350" ht="15.75" customHeight="1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  <c r="AA350" s="127"/>
    </row>
    <row r="351" ht="15.75" customHeight="1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  <c r="AA351" s="127"/>
    </row>
    <row r="352" ht="15.75" customHeight="1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  <c r="AA352" s="127"/>
    </row>
    <row r="353" ht="15.75" customHeight="1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  <c r="AA353" s="127"/>
    </row>
    <row r="354" ht="15.75" customHeight="1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  <c r="AA354" s="127"/>
    </row>
    <row r="355" ht="15.75" customHeight="1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  <c r="AA355" s="127"/>
    </row>
    <row r="356" ht="15.75" customHeight="1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  <c r="AA356" s="127"/>
    </row>
    <row r="357" ht="15.75" customHeight="1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  <c r="AA357" s="127"/>
    </row>
    <row r="358" ht="15.75" customHeight="1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  <c r="AA358" s="127"/>
    </row>
    <row r="359" ht="15.75" customHeight="1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  <c r="AA359" s="127"/>
    </row>
    <row r="360" ht="15.75" customHeight="1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  <c r="AA360" s="127"/>
    </row>
    <row r="361" ht="15.75" customHeight="1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  <c r="AA361" s="127"/>
    </row>
    <row r="362" ht="15.75" customHeight="1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  <c r="AA362" s="127"/>
    </row>
    <row r="363" ht="15.75" customHeight="1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  <c r="AA363" s="127"/>
    </row>
    <row r="364" ht="15.75" customHeight="1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  <c r="AA364" s="127"/>
    </row>
    <row r="365" ht="15.75" customHeight="1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  <c r="AA365" s="127"/>
    </row>
    <row r="366" ht="15.75" customHeight="1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  <c r="AA366" s="127"/>
    </row>
    <row r="367" ht="15.75" customHeight="1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  <c r="AA367" s="127"/>
    </row>
    <row r="368" ht="15.75" customHeight="1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  <c r="AA368" s="127"/>
    </row>
    <row r="369" ht="15.75" customHeight="1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  <c r="AA369" s="127"/>
    </row>
    <row r="370" ht="15.75" customHeight="1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  <c r="AA370" s="127"/>
    </row>
    <row r="371" ht="15.75" customHeight="1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  <c r="AA371" s="127"/>
    </row>
    <row r="372" ht="15.75" customHeight="1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  <c r="AA372" s="127"/>
    </row>
    <row r="373" ht="15.75" customHeight="1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  <c r="AA373" s="127"/>
    </row>
    <row r="374" ht="15.75" customHeight="1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  <c r="AA374" s="127"/>
    </row>
    <row r="375" ht="15.75" customHeight="1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  <c r="AA375" s="127"/>
    </row>
    <row r="376" ht="15.75" customHeight="1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  <c r="AA376" s="127"/>
    </row>
    <row r="377" ht="15.75" customHeight="1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  <c r="AA377" s="127"/>
    </row>
    <row r="378" ht="15.75" customHeight="1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  <c r="AA378" s="127"/>
    </row>
    <row r="379" ht="15.75" customHeight="1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  <c r="AA379" s="127"/>
    </row>
    <row r="380" ht="15.75" customHeight="1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  <c r="AA380" s="127"/>
    </row>
    <row r="381" ht="15.75" customHeight="1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  <c r="AA381" s="127"/>
    </row>
    <row r="382" ht="15.75" customHeight="1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  <c r="AA382" s="127"/>
    </row>
    <row r="383" ht="15.75" customHeight="1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  <c r="AA383" s="127"/>
    </row>
    <row r="384" ht="15.75" customHeight="1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  <c r="AA384" s="127"/>
    </row>
    <row r="385" ht="15.75" customHeight="1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  <c r="AA385" s="127"/>
    </row>
    <row r="386" ht="15.75" customHeight="1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  <c r="AA386" s="127"/>
    </row>
    <row r="387" ht="15.75" customHeight="1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  <c r="AA387" s="127"/>
    </row>
    <row r="388" ht="15.75" customHeight="1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  <c r="AA388" s="127"/>
    </row>
    <row r="389" ht="15.75" customHeight="1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  <c r="AA389" s="127"/>
    </row>
    <row r="390" ht="15.75" customHeight="1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  <c r="AA390" s="127"/>
    </row>
    <row r="391" ht="15.75" customHeight="1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  <c r="AA391" s="127"/>
    </row>
    <row r="392" ht="15.75" customHeight="1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  <c r="AA392" s="127"/>
    </row>
    <row r="393" ht="15.75" customHeight="1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  <c r="AA393" s="127"/>
    </row>
    <row r="394" ht="15.75" customHeight="1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  <c r="AA394" s="127"/>
    </row>
    <row r="395" ht="15.75" customHeight="1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  <c r="AA395" s="127"/>
    </row>
    <row r="396" ht="15.75" customHeight="1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  <c r="AA396" s="127"/>
    </row>
    <row r="397" ht="15.75" customHeight="1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  <c r="AA397" s="127"/>
    </row>
    <row r="398" ht="15.75" customHeight="1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  <c r="AA398" s="127"/>
    </row>
    <row r="399" ht="15.75" customHeight="1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  <c r="AA399" s="127"/>
    </row>
    <row r="400" ht="15.75" customHeight="1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  <c r="AA400" s="127"/>
    </row>
    <row r="401" ht="15.75" customHeight="1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  <c r="AA401" s="127"/>
    </row>
    <row r="402" ht="15.75" customHeight="1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  <c r="AA402" s="127"/>
    </row>
    <row r="403" ht="15.75" customHeight="1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  <c r="AA403" s="127"/>
    </row>
    <row r="404" ht="15.75" customHeight="1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  <c r="AA404" s="127"/>
    </row>
    <row r="405" ht="15.75" customHeight="1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  <c r="AA405" s="127"/>
    </row>
    <row r="406" ht="15.75" customHeight="1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  <c r="AA406" s="127"/>
    </row>
    <row r="407" ht="15.75" customHeight="1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  <c r="AA407" s="127"/>
    </row>
    <row r="408" ht="15.75" customHeight="1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  <c r="AA408" s="127"/>
    </row>
    <row r="409" ht="15.75" customHeight="1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  <c r="AA409" s="127"/>
    </row>
    <row r="410" ht="15.75" customHeight="1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  <c r="AA410" s="127"/>
    </row>
    <row r="411" ht="15.75" customHeight="1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  <c r="AA411" s="127"/>
    </row>
    <row r="412" ht="15.75" customHeight="1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  <c r="AA412" s="127"/>
    </row>
    <row r="413" ht="15.75" customHeight="1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  <c r="AA413" s="127"/>
    </row>
    <row r="414" ht="15.75" customHeight="1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  <c r="AA414" s="127"/>
    </row>
    <row r="415" ht="15.75" customHeight="1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  <c r="AA415" s="127"/>
    </row>
    <row r="416" ht="15.75" customHeight="1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  <c r="AA416" s="127"/>
    </row>
    <row r="417" ht="15.75" customHeight="1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  <c r="AA417" s="127"/>
    </row>
    <row r="418" ht="15.75" customHeight="1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  <c r="AA418" s="127"/>
    </row>
    <row r="419" ht="15.75" customHeight="1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  <c r="AA419" s="127"/>
    </row>
    <row r="420" ht="15.75" customHeight="1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  <c r="AA420" s="127"/>
    </row>
    <row r="421" ht="15.75" customHeight="1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  <c r="AA421" s="127"/>
    </row>
    <row r="422" ht="15.75" customHeight="1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  <c r="AA422" s="127"/>
    </row>
    <row r="423" ht="15.75" customHeight="1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  <c r="AA423" s="127"/>
    </row>
    <row r="424" ht="15.75" customHeight="1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  <c r="AA424" s="127"/>
    </row>
    <row r="425" ht="15.75" customHeight="1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  <c r="AA425" s="127"/>
    </row>
    <row r="426" ht="15.75" customHeight="1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  <c r="AA426" s="127"/>
    </row>
    <row r="427" ht="15.75" customHeight="1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  <c r="AA427" s="127"/>
    </row>
    <row r="428" ht="15.75" customHeight="1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  <c r="AA428" s="127"/>
    </row>
    <row r="429" ht="15.75" customHeight="1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  <c r="AA429" s="127"/>
    </row>
    <row r="430" ht="15.75" customHeight="1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  <c r="AA430" s="127"/>
    </row>
    <row r="431" ht="15.75" customHeight="1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  <c r="AA431" s="127"/>
    </row>
    <row r="432" ht="15.75" customHeight="1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  <c r="AA432" s="127"/>
    </row>
    <row r="433" ht="15.75" customHeight="1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  <c r="AA433" s="127"/>
    </row>
    <row r="434" ht="15.75" customHeight="1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  <c r="AA434" s="127"/>
    </row>
    <row r="435" ht="15.75" customHeight="1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  <c r="AA435" s="127"/>
    </row>
    <row r="436" ht="15.75" customHeight="1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  <c r="AA436" s="127"/>
    </row>
    <row r="437" ht="15.75" customHeight="1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  <c r="AA437" s="127"/>
    </row>
    <row r="438" ht="15.75" customHeight="1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  <c r="AA438" s="127"/>
    </row>
    <row r="439" ht="15.75" customHeight="1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  <c r="AA439" s="127"/>
    </row>
    <row r="440" ht="15.75" customHeight="1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  <c r="AA440" s="127"/>
    </row>
    <row r="441" ht="15.75" customHeight="1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  <c r="AA441" s="127"/>
    </row>
    <row r="442" ht="15.75" customHeight="1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  <c r="AA442" s="127"/>
    </row>
    <row r="443" ht="15.75" customHeight="1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  <c r="AA443" s="127"/>
    </row>
    <row r="444" ht="15.75" customHeight="1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  <c r="AA444" s="127"/>
    </row>
    <row r="445" ht="15.75" customHeight="1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  <c r="AA445" s="127"/>
    </row>
    <row r="446" ht="15.75" customHeight="1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  <c r="AA446" s="127"/>
    </row>
    <row r="447" ht="15.75" customHeight="1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  <c r="AA447" s="127"/>
    </row>
    <row r="448" ht="15.75" customHeight="1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  <c r="AA448" s="127"/>
    </row>
    <row r="449" ht="15.75" customHeight="1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  <c r="AA449" s="127"/>
    </row>
    <row r="450" ht="15.75" customHeight="1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  <c r="AA450" s="127"/>
    </row>
    <row r="451" ht="15.75" customHeight="1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  <c r="AA451" s="127"/>
    </row>
    <row r="452" ht="15.75" customHeight="1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  <c r="AA452" s="127"/>
    </row>
    <row r="453" ht="15.75" customHeight="1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  <c r="AA453" s="127"/>
    </row>
    <row r="454" ht="15.75" customHeight="1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  <c r="AA454" s="127"/>
    </row>
    <row r="455" ht="15.75" customHeight="1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  <c r="AA455" s="127"/>
    </row>
    <row r="456" ht="15.75" customHeight="1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  <c r="AA456" s="127"/>
    </row>
    <row r="457" ht="15.75" customHeight="1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  <c r="AA457" s="127"/>
    </row>
    <row r="458" ht="15.75" customHeight="1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  <c r="AA458" s="127"/>
    </row>
    <row r="459" ht="15.75" customHeight="1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  <c r="AA459" s="127"/>
    </row>
    <row r="460" ht="15.75" customHeight="1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  <c r="AA460" s="127"/>
    </row>
    <row r="461" ht="15.75" customHeight="1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  <c r="AA461" s="127"/>
    </row>
    <row r="462" ht="15.75" customHeight="1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  <c r="AA462" s="127"/>
    </row>
    <row r="463" ht="15.75" customHeight="1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  <c r="AA463" s="127"/>
    </row>
    <row r="464" ht="15.75" customHeight="1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  <c r="AA464" s="127"/>
    </row>
    <row r="465" ht="15.75" customHeight="1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  <c r="AA465" s="127"/>
    </row>
    <row r="466" ht="15.75" customHeight="1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  <c r="AA466" s="127"/>
    </row>
    <row r="467" ht="15.75" customHeight="1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  <c r="AA467" s="127"/>
    </row>
    <row r="468" ht="15.75" customHeight="1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  <c r="AA468" s="127"/>
    </row>
    <row r="469" ht="15.75" customHeight="1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  <c r="AA469" s="127"/>
    </row>
    <row r="470" ht="15.75" customHeight="1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  <c r="AA470" s="127"/>
    </row>
    <row r="471" ht="15.75" customHeight="1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  <c r="AA471" s="127"/>
    </row>
    <row r="472" ht="15.75" customHeight="1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  <c r="AA472" s="127"/>
    </row>
    <row r="473" ht="15.75" customHeight="1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  <c r="AA473" s="127"/>
    </row>
    <row r="474" ht="15.75" customHeight="1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  <c r="AA474" s="127"/>
    </row>
    <row r="475" ht="15.75" customHeight="1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  <c r="AA475" s="127"/>
    </row>
    <row r="476" ht="15.75" customHeight="1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  <c r="AA476" s="127"/>
    </row>
    <row r="477" ht="15.75" customHeight="1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  <c r="AA477" s="127"/>
    </row>
    <row r="478" ht="15.75" customHeight="1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  <c r="AA478" s="127"/>
    </row>
    <row r="479" ht="15.75" customHeight="1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  <c r="AA479" s="127"/>
    </row>
    <row r="480" ht="15.75" customHeight="1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  <c r="AA480" s="127"/>
    </row>
    <row r="481" ht="15.75" customHeight="1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  <c r="AA481" s="127"/>
    </row>
    <row r="482" ht="15.75" customHeight="1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  <c r="AA482" s="127"/>
    </row>
    <row r="483" ht="15.75" customHeight="1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  <c r="AA483" s="127"/>
    </row>
    <row r="484" ht="15.75" customHeight="1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  <c r="AA484" s="127"/>
    </row>
    <row r="485" ht="15.75" customHeight="1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  <c r="AA485" s="127"/>
    </row>
    <row r="486" ht="15.75" customHeight="1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  <c r="AA486" s="127"/>
    </row>
    <row r="487" ht="15.75" customHeight="1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  <c r="AA487" s="127"/>
    </row>
    <row r="488" ht="15.75" customHeight="1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  <c r="AA488" s="127"/>
    </row>
    <row r="489" ht="15.75" customHeight="1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  <c r="AA489" s="127"/>
    </row>
    <row r="490" ht="15.75" customHeight="1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  <c r="AA490" s="127"/>
    </row>
    <row r="491" ht="15.75" customHeight="1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  <c r="AA491" s="127"/>
    </row>
    <row r="492" ht="15.75" customHeight="1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  <c r="AA492" s="127"/>
    </row>
    <row r="493" ht="15.75" customHeight="1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  <c r="AA493" s="127"/>
    </row>
    <row r="494" ht="15.75" customHeight="1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  <c r="AA494" s="127"/>
    </row>
    <row r="495" ht="15.75" customHeight="1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  <c r="AA495" s="127"/>
    </row>
    <row r="496" ht="15.75" customHeight="1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  <c r="AA496" s="127"/>
    </row>
    <row r="497" ht="15.75" customHeight="1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  <c r="AA497" s="127"/>
    </row>
    <row r="498" ht="15.75" customHeight="1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  <c r="AA498" s="127"/>
    </row>
    <row r="499" ht="15.75" customHeight="1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  <c r="AA499" s="127"/>
    </row>
    <row r="500" ht="15.75" customHeight="1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  <c r="AA500" s="127"/>
    </row>
    <row r="501" ht="15.75" customHeight="1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  <c r="AA501" s="127"/>
    </row>
    <row r="502" ht="15.75" customHeight="1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  <c r="AA502" s="127"/>
    </row>
    <row r="503" ht="15.75" customHeight="1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  <c r="AA503" s="127"/>
    </row>
    <row r="504" ht="15.75" customHeight="1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  <c r="AA504" s="127"/>
    </row>
    <row r="505" ht="15.75" customHeight="1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  <c r="AA505" s="127"/>
    </row>
    <row r="506" ht="15.75" customHeight="1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  <c r="AA506" s="127"/>
    </row>
    <row r="507" ht="15.75" customHeight="1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  <c r="AA507" s="127"/>
    </row>
    <row r="508" ht="15.75" customHeight="1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  <c r="AA508" s="127"/>
    </row>
    <row r="509" ht="15.75" customHeight="1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  <c r="AA509" s="127"/>
    </row>
    <row r="510" ht="15.75" customHeight="1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  <c r="AA510" s="127"/>
    </row>
    <row r="511" ht="15.75" customHeight="1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  <c r="AA511" s="127"/>
    </row>
    <row r="512" ht="15.75" customHeight="1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  <c r="AA512" s="127"/>
    </row>
    <row r="513" ht="15.75" customHeight="1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  <c r="AA513" s="127"/>
    </row>
    <row r="514" ht="15.75" customHeight="1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  <c r="AA514" s="127"/>
    </row>
    <row r="515" ht="15.75" customHeight="1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  <c r="AA515" s="127"/>
    </row>
    <row r="516" ht="15.75" customHeight="1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  <c r="AA516" s="127"/>
    </row>
    <row r="517" ht="15.75" customHeight="1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  <c r="AA517" s="127"/>
    </row>
    <row r="518" ht="15.75" customHeight="1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  <c r="AA518" s="127"/>
    </row>
    <row r="519" ht="15.75" customHeight="1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  <c r="AA519" s="127"/>
    </row>
    <row r="520" ht="15.75" customHeight="1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  <c r="AA520" s="127"/>
    </row>
    <row r="521" ht="15.75" customHeight="1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  <c r="AA521" s="127"/>
    </row>
    <row r="522" ht="15.75" customHeight="1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  <c r="AA522" s="127"/>
    </row>
    <row r="523" ht="15.75" customHeight="1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  <c r="AA523" s="127"/>
    </row>
    <row r="524" ht="15.75" customHeight="1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  <c r="AA524" s="127"/>
    </row>
    <row r="525" ht="15.75" customHeight="1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  <c r="AA525" s="127"/>
    </row>
    <row r="526" ht="15.75" customHeight="1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  <c r="AA526" s="127"/>
    </row>
    <row r="527" ht="15.75" customHeight="1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  <c r="AA527" s="127"/>
    </row>
    <row r="528" ht="15.75" customHeight="1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  <c r="AA528" s="127"/>
    </row>
    <row r="529" ht="15.75" customHeight="1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  <c r="AA529" s="127"/>
    </row>
    <row r="530" ht="15.75" customHeight="1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  <c r="AA530" s="127"/>
    </row>
    <row r="531" ht="15.75" customHeight="1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  <c r="AA531" s="127"/>
    </row>
    <row r="532" ht="15.75" customHeight="1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  <c r="AA532" s="127"/>
    </row>
    <row r="533" ht="15.75" customHeight="1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  <c r="AA533" s="127"/>
    </row>
    <row r="534" ht="15.75" customHeight="1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  <c r="AA534" s="127"/>
    </row>
    <row r="535" ht="15.75" customHeight="1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  <c r="AA535" s="127"/>
    </row>
    <row r="536" ht="15.75" customHeight="1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  <c r="AA536" s="127"/>
    </row>
    <row r="537" ht="15.75" customHeight="1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  <c r="AA537" s="127"/>
    </row>
    <row r="538" ht="15.75" customHeight="1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  <c r="AA538" s="127"/>
    </row>
    <row r="539" ht="15.75" customHeight="1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  <c r="AA539" s="127"/>
    </row>
    <row r="540" ht="15.75" customHeight="1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  <c r="AA540" s="127"/>
    </row>
    <row r="541" ht="15.75" customHeight="1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  <c r="AA541" s="127"/>
    </row>
    <row r="542" ht="15.75" customHeight="1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  <c r="AA542" s="127"/>
    </row>
    <row r="543" ht="15.75" customHeight="1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  <c r="AA543" s="127"/>
    </row>
    <row r="544" ht="15.75" customHeight="1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  <c r="AA544" s="127"/>
    </row>
    <row r="545" ht="15.75" customHeight="1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  <c r="AA545" s="127"/>
    </row>
    <row r="546" ht="15.75" customHeight="1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  <c r="AA546" s="127"/>
    </row>
    <row r="547" ht="15.75" customHeight="1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  <c r="AA547" s="127"/>
    </row>
    <row r="548" ht="15.75" customHeight="1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  <c r="AA548" s="127"/>
    </row>
    <row r="549" ht="15.75" customHeight="1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  <c r="AA549" s="127"/>
    </row>
    <row r="550" ht="15.75" customHeight="1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  <c r="AA550" s="127"/>
    </row>
    <row r="551" ht="15.75" customHeight="1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  <c r="AA551" s="127"/>
    </row>
    <row r="552" ht="15.75" customHeight="1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  <c r="AA552" s="127"/>
    </row>
    <row r="553" ht="15.75" customHeight="1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  <c r="AA553" s="127"/>
    </row>
    <row r="554" ht="15.75" customHeight="1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  <c r="AA554" s="127"/>
    </row>
    <row r="555" ht="15.75" customHeight="1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  <c r="AA555" s="127"/>
    </row>
    <row r="556" ht="15.75" customHeight="1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  <c r="AA556" s="127"/>
    </row>
    <row r="557" ht="15.75" customHeight="1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  <c r="AA557" s="127"/>
    </row>
    <row r="558" ht="15.75" customHeight="1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  <c r="AA558" s="127"/>
    </row>
    <row r="559" ht="15.75" customHeight="1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  <c r="AA559" s="127"/>
    </row>
    <row r="560" ht="15.75" customHeight="1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  <c r="AA560" s="127"/>
    </row>
    <row r="561" ht="15.75" customHeight="1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  <c r="AA561" s="127"/>
    </row>
    <row r="562" ht="15.75" customHeight="1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  <c r="AA562" s="127"/>
    </row>
    <row r="563" ht="15.75" customHeight="1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  <c r="AA563" s="127"/>
    </row>
    <row r="564" ht="15.75" customHeight="1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  <c r="AA564" s="127"/>
    </row>
    <row r="565" ht="15.75" customHeight="1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  <c r="AA565" s="127"/>
    </row>
    <row r="566" ht="15.75" customHeight="1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  <c r="AA566" s="127"/>
    </row>
    <row r="567" ht="15.75" customHeight="1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  <c r="AA567" s="127"/>
    </row>
    <row r="568" ht="15.75" customHeight="1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  <c r="AA568" s="127"/>
    </row>
    <row r="569" ht="15.75" customHeight="1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  <c r="AA569" s="127"/>
    </row>
    <row r="570" ht="15.75" customHeight="1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  <c r="AA570" s="127"/>
    </row>
    <row r="571" ht="15.75" customHeight="1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  <c r="AA571" s="127"/>
    </row>
    <row r="572" ht="15.75" customHeight="1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  <c r="AA572" s="127"/>
    </row>
    <row r="573" ht="15.75" customHeight="1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  <c r="AA573" s="127"/>
    </row>
    <row r="574" ht="15.75" customHeight="1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  <c r="AA574" s="127"/>
    </row>
    <row r="575" ht="15.75" customHeight="1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  <c r="AA575" s="127"/>
    </row>
    <row r="576" ht="15.75" customHeight="1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  <c r="AA576" s="127"/>
    </row>
    <row r="577" ht="15.75" customHeight="1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  <c r="AA577" s="127"/>
    </row>
    <row r="578" ht="15.75" customHeight="1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  <c r="AA578" s="127"/>
    </row>
    <row r="579" ht="15.75" customHeight="1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  <c r="AA579" s="127"/>
    </row>
    <row r="580" ht="15.75" customHeight="1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  <c r="AA580" s="127"/>
    </row>
    <row r="581" ht="15.75" customHeight="1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  <c r="AA581" s="127"/>
    </row>
    <row r="582" ht="15.75" customHeight="1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  <c r="AA582" s="127"/>
    </row>
    <row r="583" ht="15.75" customHeight="1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  <c r="AA583" s="127"/>
    </row>
    <row r="584" ht="15.75" customHeight="1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  <c r="AA584" s="127"/>
    </row>
    <row r="585" ht="15.75" customHeight="1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  <c r="AA585" s="127"/>
    </row>
    <row r="586" ht="15.75" customHeight="1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  <c r="AA586" s="127"/>
    </row>
    <row r="587" ht="15.75" customHeight="1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  <c r="AA587" s="127"/>
    </row>
    <row r="588" ht="15.75" customHeight="1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  <c r="AA588" s="127"/>
    </row>
    <row r="589" ht="15.75" customHeight="1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  <c r="AA589" s="127"/>
    </row>
    <row r="590" ht="15.75" customHeight="1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  <c r="AA590" s="127"/>
    </row>
    <row r="591" ht="15.75" customHeight="1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  <c r="AA591" s="127"/>
    </row>
    <row r="592" ht="15.75" customHeight="1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  <c r="AA592" s="127"/>
    </row>
    <row r="593" ht="15.75" customHeight="1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  <c r="AA593" s="127"/>
    </row>
    <row r="594" ht="15.75" customHeight="1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  <c r="AA594" s="127"/>
    </row>
    <row r="595" ht="15.75" customHeight="1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  <c r="AA595" s="127"/>
    </row>
    <row r="596" ht="15.75" customHeight="1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  <c r="AA596" s="127"/>
    </row>
    <row r="597" ht="15.75" customHeight="1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  <c r="AA597" s="127"/>
    </row>
    <row r="598" ht="15.75" customHeight="1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  <c r="AA598" s="127"/>
    </row>
    <row r="599" ht="15.75" customHeight="1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  <c r="AA599" s="127"/>
    </row>
    <row r="600" ht="15.75" customHeight="1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  <c r="AA600" s="127"/>
    </row>
    <row r="601" ht="15.75" customHeight="1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  <c r="AA601" s="127"/>
    </row>
    <row r="602" ht="15.75" customHeight="1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  <c r="AA602" s="127"/>
    </row>
    <row r="603" ht="15.75" customHeight="1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  <c r="AA603" s="127"/>
    </row>
    <row r="604" ht="15.75" customHeight="1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  <c r="AA604" s="127"/>
    </row>
    <row r="605" ht="15.75" customHeight="1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  <c r="AA605" s="127"/>
    </row>
    <row r="606" ht="15.75" customHeight="1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  <c r="AA606" s="127"/>
    </row>
    <row r="607" ht="15.75" customHeight="1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  <c r="AA607" s="127"/>
    </row>
    <row r="608" ht="15.75" customHeight="1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  <c r="AA608" s="127"/>
    </row>
    <row r="609" ht="15.75" customHeight="1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  <c r="AA609" s="127"/>
    </row>
    <row r="610" ht="15.75" customHeight="1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  <c r="AA610" s="127"/>
    </row>
    <row r="611" ht="15.75" customHeight="1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  <c r="AA611" s="127"/>
    </row>
    <row r="612" ht="15.75" customHeight="1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  <c r="AA612" s="127"/>
    </row>
    <row r="613" ht="15.75" customHeight="1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  <c r="AA613" s="127"/>
    </row>
    <row r="614" ht="15.75" customHeight="1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  <c r="AA614" s="127"/>
    </row>
    <row r="615" ht="15.75" customHeight="1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  <c r="AA615" s="127"/>
    </row>
    <row r="616" ht="15.75" customHeight="1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  <c r="AA616" s="127"/>
    </row>
    <row r="617" ht="15.75" customHeight="1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  <c r="AA617" s="127"/>
    </row>
    <row r="618" ht="15.75" customHeight="1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  <c r="AA618" s="127"/>
    </row>
    <row r="619" ht="15.75" customHeight="1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  <c r="AA619" s="127"/>
    </row>
    <row r="620" ht="15.75" customHeight="1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  <c r="AA620" s="127"/>
    </row>
    <row r="621" ht="15.75" customHeight="1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  <c r="AA621" s="127"/>
    </row>
    <row r="622" ht="15.75" customHeight="1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  <c r="AA622" s="127"/>
    </row>
    <row r="623" ht="15.75" customHeight="1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  <c r="AA623" s="127"/>
    </row>
    <row r="624" ht="15.75" customHeight="1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  <c r="AA624" s="127"/>
    </row>
    <row r="625" ht="15.75" customHeight="1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  <c r="AA625" s="127"/>
    </row>
    <row r="626" ht="15.75" customHeight="1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  <c r="AA626" s="127"/>
    </row>
    <row r="627" ht="15.75" customHeight="1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  <c r="AA627" s="127"/>
    </row>
    <row r="628" ht="15.75" customHeight="1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  <c r="AA628" s="127"/>
    </row>
    <row r="629" ht="15.75" customHeight="1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  <c r="AA629" s="127"/>
    </row>
    <row r="630" ht="15.75" customHeight="1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  <c r="AA630" s="127"/>
    </row>
    <row r="631" ht="15.75" customHeight="1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  <c r="AA631" s="127"/>
    </row>
    <row r="632" ht="15.75" customHeight="1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  <c r="AA632" s="127"/>
    </row>
    <row r="633" ht="15.75" customHeight="1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  <c r="AA633" s="127"/>
    </row>
    <row r="634" ht="15.75" customHeight="1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  <c r="AA634" s="127"/>
    </row>
    <row r="635" ht="15.75" customHeight="1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  <c r="AA635" s="127"/>
    </row>
    <row r="636" ht="15.75" customHeight="1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  <c r="AA636" s="127"/>
    </row>
    <row r="637" ht="15.75" customHeight="1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  <c r="AA637" s="127"/>
    </row>
    <row r="638" ht="15.75" customHeight="1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  <c r="AA638" s="127"/>
    </row>
    <row r="639" ht="15.75" customHeight="1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  <c r="AA639" s="127"/>
    </row>
    <row r="640" ht="15.75" customHeight="1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  <c r="AA640" s="127"/>
    </row>
    <row r="641" ht="15.75" customHeight="1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  <c r="AA641" s="127"/>
    </row>
    <row r="642" ht="15.75" customHeight="1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  <c r="AA642" s="127"/>
    </row>
    <row r="643" ht="15.75" customHeight="1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  <c r="AA643" s="127"/>
    </row>
    <row r="644" ht="15.75" customHeight="1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  <c r="AA644" s="127"/>
    </row>
    <row r="645" ht="15.75" customHeight="1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  <c r="AA645" s="127"/>
    </row>
    <row r="646" ht="15.75" customHeight="1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  <c r="AA646" s="127"/>
    </row>
    <row r="647" ht="15.75" customHeight="1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  <c r="AA647" s="127"/>
    </row>
    <row r="648" ht="15.75" customHeight="1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  <c r="AA648" s="127"/>
    </row>
    <row r="649" ht="15.75" customHeight="1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  <c r="AA649" s="127"/>
    </row>
    <row r="650" ht="15.75" customHeight="1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  <c r="AA650" s="127"/>
    </row>
    <row r="651" ht="15.75" customHeight="1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  <c r="AA651" s="127"/>
    </row>
    <row r="652" ht="15.75" customHeight="1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  <c r="AA652" s="127"/>
    </row>
    <row r="653" ht="15.75" customHeight="1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  <c r="AA653" s="127"/>
    </row>
    <row r="654" ht="15.75" customHeight="1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  <c r="AA654" s="127"/>
    </row>
    <row r="655" ht="15.75" customHeight="1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  <c r="AA655" s="127"/>
    </row>
    <row r="656" ht="15.75" customHeight="1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  <c r="AA656" s="127"/>
    </row>
    <row r="657" ht="15.75" customHeight="1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  <c r="AA657" s="127"/>
    </row>
    <row r="658" ht="15.75" customHeight="1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  <c r="AA658" s="127"/>
    </row>
    <row r="659" ht="15.75" customHeight="1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  <c r="AA659" s="127"/>
    </row>
    <row r="660" ht="15.75" customHeight="1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  <c r="AA660" s="127"/>
    </row>
    <row r="661" ht="15.75" customHeight="1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  <c r="AA661" s="127"/>
    </row>
    <row r="662" ht="15.75" customHeight="1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  <c r="AA662" s="127"/>
    </row>
    <row r="663" ht="15.75" customHeight="1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  <c r="AA663" s="127"/>
    </row>
    <row r="664" ht="15.75" customHeight="1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  <c r="AA664" s="127"/>
    </row>
    <row r="665" ht="15.75" customHeight="1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  <c r="AA665" s="127"/>
    </row>
    <row r="666" ht="15.75" customHeight="1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  <c r="AA666" s="127"/>
    </row>
    <row r="667" ht="15.75" customHeight="1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  <c r="AA667" s="127"/>
    </row>
    <row r="668" ht="15.75" customHeight="1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  <c r="AA668" s="127"/>
    </row>
    <row r="669" ht="15.75" customHeight="1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  <c r="AA669" s="127"/>
    </row>
    <row r="670" ht="15.75" customHeight="1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  <c r="AA670" s="127"/>
    </row>
    <row r="671" ht="15.75" customHeight="1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  <c r="AA671" s="127"/>
    </row>
    <row r="672" ht="15.75" customHeight="1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  <c r="AA672" s="127"/>
    </row>
    <row r="673" ht="15.75" customHeight="1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  <c r="AA673" s="127"/>
    </row>
    <row r="674" ht="15.75" customHeight="1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  <c r="AA674" s="127"/>
    </row>
    <row r="675" ht="15.75" customHeight="1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  <c r="AA675" s="127"/>
    </row>
    <row r="676" ht="15.75" customHeight="1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  <c r="AA676" s="127"/>
    </row>
    <row r="677" ht="15.75" customHeight="1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  <c r="AA677" s="127"/>
    </row>
    <row r="678" ht="15.75" customHeight="1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  <c r="AA678" s="127"/>
    </row>
    <row r="679" ht="15.75" customHeight="1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  <c r="AA679" s="127"/>
    </row>
    <row r="680" ht="15.75" customHeight="1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  <c r="AA680" s="127"/>
    </row>
    <row r="681" ht="15.75" customHeight="1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  <c r="AA681" s="127"/>
    </row>
    <row r="682" ht="15.75" customHeight="1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  <c r="AA682" s="127"/>
    </row>
    <row r="683" ht="15.75" customHeight="1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  <c r="AA683" s="127"/>
    </row>
    <row r="684" ht="15.75" customHeight="1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  <c r="AA684" s="127"/>
    </row>
    <row r="685" ht="15.75" customHeight="1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  <c r="AA685" s="127"/>
    </row>
    <row r="686" ht="15.75" customHeight="1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  <c r="AA686" s="127"/>
    </row>
    <row r="687" ht="15.75" customHeight="1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  <c r="AA687" s="127"/>
    </row>
    <row r="688" ht="15.75" customHeight="1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  <c r="AA688" s="127"/>
    </row>
    <row r="689" ht="15.75" customHeight="1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  <c r="AA689" s="127"/>
    </row>
    <row r="690" ht="15.75" customHeight="1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  <c r="AA690" s="127"/>
    </row>
    <row r="691" ht="15.75" customHeight="1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  <c r="AA691" s="127"/>
    </row>
    <row r="692" ht="15.75" customHeight="1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  <c r="AA692" s="127"/>
    </row>
    <row r="693" ht="15.75" customHeight="1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  <c r="AA693" s="127"/>
    </row>
    <row r="694" ht="15.75" customHeight="1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  <c r="AA694" s="127"/>
    </row>
    <row r="695" ht="15.75" customHeight="1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  <c r="AA695" s="127"/>
    </row>
    <row r="696" ht="15.75" customHeight="1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  <c r="AA696" s="127"/>
    </row>
    <row r="697" ht="15.75" customHeight="1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  <c r="AA697" s="127"/>
    </row>
    <row r="698" ht="15.75" customHeight="1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  <c r="AA698" s="127"/>
    </row>
    <row r="699" ht="15.75" customHeight="1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  <c r="AA699" s="127"/>
    </row>
    <row r="700" ht="15.75" customHeight="1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  <c r="AA700" s="127"/>
    </row>
    <row r="701" ht="15.75" customHeight="1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  <c r="AA701" s="127"/>
    </row>
    <row r="702" ht="15.75" customHeight="1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  <c r="AA702" s="127"/>
    </row>
    <row r="703" ht="15.75" customHeight="1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  <c r="AA703" s="127"/>
    </row>
    <row r="704" ht="15.75" customHeight="1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  <c r="AA704" s="127"/>
    </row>
    <row r="705" ht="15.75" customHeight="1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  <c r="AA705" s="127"/>
    </row>
    <row r="706" ht="15.75" customHeight="1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  <c r="AA706" s="127"/>
    </row>
    <row r="707" ht="15.75" customHeight="1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  <c r="AA707" s="127"/>
    </row>
    <row r="708" ht="15.75" customHeight="1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  <c r="AA708" s="127"/>
    </row>
    <row r="709" ht="15.75" customHeight="1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  <c r="AA709" s="127"/>
    </row>
    <row r="710" ht="15.75" customHeight="1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  <c r="AA710" s="127"/>
    </row>
    <row r="711" ht="15.75" customHeight="1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  <c r="AA711" s="127"/>
    </row>
    <row r="712" ht="15.75" customHeight="1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  <c r="AA712" s="127"/>
    </row>
    <row r="713" ht="15.75" customHeight="1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  <c r="AA713" s="127"/>
    </row>
    <row r="714" ht="15.75" customHeight="1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  <c r="AA714" s="127"/>
    </row>
    <row r="715" ht="15.75" customHeight="1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  <c r="AA715" s="127"/>
    </row>
    <row r="716" ht="15.75" customHeight="1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  <c r="AA716" s="127"/>
    </row>
    <row r="717" ht="15.75" customHeight="1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  <c r="AA717" s="127"/>
    </row>
    <row r="718" ht="15.75" customHeight="1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  <c r="AA718" s="127"/>
    </row>
    <row r="719" ht="15.75" customHeight="1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  <c r="AA719" s="127"/>
    </row>
    <row r="720" ht="15.75" customHeight="1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  <c r="AA720" s="127"/>
    </row>
    <row r="721" ht="15.75" customHeight="1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  <c r="AA721" s="127"/>
    </row>
    <row r="722" ht="15.75" customHeight="1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  <c r="AA722" s="127"/>
    </row>
    <row r="723" ht="15.75" customHeight="1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  <c r="AA723" s="127"/>
    </row>
    <row r="724" ht="15.75" customHeight="1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  <c r="AA724" s="127"/>
    </row>
    <row r="725" ht="15.75" customHeight="1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  <c r="AA725" s="127"/>
    </row>
    <row r="726" ht="15.75" customHeight="1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  <c r="AA726" s="127"/>
    </row>
    <row r="727" ht="15.75" customHeight="1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  <c r="AA727" s="127"/>
    </row>
    <row r="728" ht="15.75" customHeight="1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  <c r="AA728" s="127"/>
    </row>
    <row r="729" ht="15.75" customHeight="1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  <c r="AA729" s="127"/>
    </row>
    <row r="730" ht="15.75" customHeight="1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  <c r="AA730" s="127"/>
    </row>
    <row r="731" ht="15.75" customHeight="1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  <c r="AA731" s="127"/>
    </row>
    <row r="732" ht="15.75" customHeight="1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  <c r="AA732" s="127"/>
    </row>
    <row r="733" ht="15.75" customHeight="1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  <c r="AA733" s="127"/>
    </row>
    <row r="734" ht="15.75" customHeight="1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  <c r="AA734" s="127"/>
    </row>
    <row r="735" ht="15.75" customHeight="1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  <c r="AA735" s="127"/>
    </row>
    <row r="736" ht="15.75" customHeight="1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  <c r="AA736" s="127"/>
    </row>
    <row r="737" ht="15.75" customHeight="1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  <c r="AA737" s="127"/>
    </row>
    <row r="738" ht="15.75" customHeight="1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  <c r="AA738" s="127"/>
    </row>
    <row r="739" ht="15.75" customHeight="1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  <c r="AA739" s="127"/>
    </row>
    <row r="740" ht="15.75" customHeight="1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  <c r="AA740" s="127"/>
    </row>
    <row r="741" ht="15.75" customHeight="1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  <c r="AA741" s="127"/>
    </row>
    <row r="742" ht="15.75" customHeight="1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  <c r="AA742" s="127"/>
    </row>
    <row r="743" ht="15.75" customHeight="1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  <c r="AA743" s="127"/>
    </row>
    <row r="744" ht="15.75" customHeight="1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  <c r="AA744" s="127"/>
    </row>
    <row r="745" ht="15.75" customHeight="1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  <c r="AA745" s="127"/>
    </row>
    <row r="746" ht="15.75" customHeight="1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  <c r="AA746" s="127"/>
    </row>
    <row r="747" ht="15.75" customHeight="1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  <c r="AA747" s="127"/>
    </row>
    <row r="748" ht="15.75" customHeight="1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  <c r="AA748" s="127"/>
    </row>
    <row r="749" ht="15.75" customHeight="1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  <c r="AA749" s="127"/>
    </row>
    <row r="750" ht="15.75" customHeight="1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  <c r="AA750" s="127"/>
    </row>
    <row r="751" ht="15.75" customHeight="1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  <c r="AA751" s="127"/>
    </row>
    <row r="752" ht="15.75" customHeight="1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  <c r="AA752" s="127"/>
    </row>
    <row r="753" ht="15.75" customHeight="1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  <c r="AA753" s="127"/>
    </row>
    <row r="754" ht="15.75" customHeight="1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  <c r="AA754" s="127"/>
    </row>
    <row r="755" ht="15.75" customHeight="1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  <c r="AA755" s="127"/>
    </row>
    <row r="756" ht="15.75" customHeight="1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  <c r="AA756" s="127"/>
    </row>
    <row r="757" ht="15.75" customHeight="1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  <c r="AA757" s="127"/>
    </row>
    <row r="758" ht="15.75" customHeight="1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  <c r="AA758" s="127"/>
    </row>
    <row r="759" ht="15.75" customHeight="1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  <c r="AA759" s="127"/>
    </row>
    <row r="760" ht="15.75" customHeight="1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  <c r="AA760" s="127"/>
    </row>
    <row r="761" ht="15.75" customHeight="1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  <c r="AA761" s="127"/>
    </row>
    <row r="762" ht="15.75" customHeight="1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  <c r="AA762" s="127"/>
    </row>
    <row r="763" ht="15.75" customHeight="1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  <c r="AA763" s="127"/>
    </row>
    <row r="764" ht="15.75" customHeight="1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  <c r="AA764" s="127"/>
    </row>
    <row r="765" ht="15.75" customHeight="1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  <c r="AA765" s="127"/>
    </row>
    <row r="766" ht="15.75" customHeight="1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  <c r="AA766" s="127"/>
    </row>
    <row r="767" ht="15.75" customHeight="1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  <c r="AA767" s="127"/>
    </row>
    <row r="768" ht="15.75" customHeight="1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  <c r="AA768" s="127"/>
    </row>
    <row r="769" ht="15.75" customHeight="1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  <c r="AA769" s="127"/>
    </row>
    <row r="770" ht="15.75" customHeight="1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  <c r="AA770" s="127"/>
    </row>
    <row r="771" ht="15.75" customHeight="1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  <c r="AA771" s="127"/>
    </row>
    <row r="772" ht="15.75" customHeight="1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  <c r="AA772" s="127"/>
    </row>
    <row r="773" ht="15.75" customHeight="1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  <c r="AA773" s="127"/>
    </row>
    <row r="774" ht="15.75" customHeight="1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  <c r="AA774" s="127"/>
    </row>
    <row r="775" ht="15.75" customHeight="1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  <c r="AA775" s="127"/>
    </row>
    <row r="776" ht="15.75" customHeight="1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  <c r="AA776" s="127"/>
    </row>
    <row r="777" ht="15.75" customHeight="1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  <c r="AA777" s="127"/>
    </row>
    <row r="778" ht="15.75" customHeight="1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  <c r="AA778" s="127"/>
    </row>
    <row r="779" ht="15.75" customHeight="1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  <c r="AA779" s="127"/>
    </row>
    <row r="780" ht="15.75" customHeight="1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  <c r="AA780" s="127"/>
    </row>
    <row r="781" ht="15.75" customHeight="1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  <c r="AA781" s="127"/>
    </row>
    <row r="782" ht="15.75" customHeight="1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  <c r="AA782" s="127"/>
    </row>
    <row r="783" ht="15.75" customHeight="1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  <c r="AA783" s="127"/>
    </row>
    <row r="784" ht="15.75" customHeight="1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  <c r="AA784" s="127"/>
    </row>
    <row r="785" ht="15.75" customHeight="1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  <c r="AA785" s="127"/>
    </row>
    <row r="786" ht="15.75" customHeight="1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  <c r="AA786" s="127"/>
    </row>
    <row r="787" ht="15.75" customHeight="1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  <c r="AA787" s="127"/>
    </row>
    <row r="788" ht="15.75" customHeight="1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  <c r="AA788" s="127"/>
    </row>
    <row r="789" ht="15.75" customHeight="1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  <c r="AA789" s="127"/>
    </row>
    <row r="790" ht="15.75" customHeight="1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  <c r="AA790" s="127"/>
    </row>
    <row r="791" ht="15.75" customHeight="1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  <c r="AA791" s="127"/>
    </row>
    <row r="792" ht="15.75" customHeight="1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  <c r="AA792" s="127"/>
    </row>
    <row r="793" ht="15.75" customHeight="1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  <c r="AA793" s="127"/>
    </row>
    <row r="794" ht="15.75" customHeight="1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  <c r="AA794" s="127"/>
    </row>
    <row r="795" ht="15.75" customHeight="1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  <c r="AA795" s="127"/>
    </row>
    <row r="796" ht="15.75" customHeight="1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  <c r="AA796" s="127"/>
    </row>
    <row r="797" ht="15.75" customHeight="1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  <c r="AA797" s="127"/>
    </row>
    <row r="798" ht="15.75" customHeight="1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  <c r="AA798" s="127"/>
    </row>
    <row r="799" ht="15.75" customHeight="1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  <c r="AA799" s="127"/>
    </row>
    <row r="800" ht="15.75" customHeight="1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  <c r="AA800" s="127"/>
    </row>
    <row r="801" ht="15.75" customHeight="1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  <c r="AA801" s="127"/>
    </row>
    <row r="802" ht="15.75" customHeight="1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  <c r="AA802" s="127"/>
    </row>
    <row r="803" ht="15.75" customHeight="1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  <c r="AA803" s="127"/>
    </row>
    <row r="804" ht="15.75" customHeight="1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  <c r="AA804" s="127"/>
    </row>
    <row r="805" ht="15.75" customHeight="1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  <c r="AA805" s="127"/>
    </row>
    <row r="806" ht="15.75" customHeight="1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  <c r="AA806" s="127"/>
    </row>
    <row r="807" ht="15.75" customHeight="1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  <c r="AA807" s="127"/>
    </row>
    <row r="808" ht="15.75" customHeight="1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  <c r="AA808" s="127"/>
    </row>
    <row r="809" ht="15.75" customHeight="1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  <c r="AA809" s="127"/>
    </row>
    <row r="810" ht="15.75" customHeight="1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  <c r="AA810" s="127"/>
    </row>
    <row r="811" ht="15.75" customHeight="1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  <c r="AA811" s="127"/>
    </row>
    <row r="812" ht="15.75" customHeight="1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  <c r="AA812" s="127"/>
    </row>
    <row r="813" ht="15.75" customHeight="1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  <c r="AA813" s="127"/>
    </row>
    <row r="814" ht="15.75" customHeight="1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  <c r="AA814" s="127"/>
    </row>
    <row r="815" ht="15.75" customHeight="1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  <c r="AA815" s="127"/>
    </row>
    <row r="816" ht="15.75" customHeight="1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  <c r="AA816" s="127"/>
    </row>
    <row r="817" ht="15.75" customHeight="1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  <c r="AA817" s="127"/>
    </row>
    <row r="818" ht="15.75" customHeight="1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  <c r="AA818" s="127"/>
    </row>
    <row r="819" ht="15.75" customHeight="1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  <c r="AA819" s="127"/>
    </row>
    <row r="820" ht="15.75" customHeight="1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  <c r="AA820" s="127"/>
    </row>
    <row r="821" ht="15.75" customHeight="1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  <c r="AA821" s="127"/>
    </row>
    <row r="822" ht="15.75" customHeight="1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  <c r="AA822" s="127"/>
    </row>
    <row r="823" ht="15.75" customHeight="1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  <c r="AA823" s="127"/>
    </row>
    <row r="824" ht="15.75" customHeight="1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  <c r="AA824" s="127"/>
    </row>
    <row r="825" ht="15.75" customHeight="1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  <c r="AA825" s="127"/>
    </row>
    <row r="826" ht="15.75" customHeight="1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  <c r="AA826" s="127"/>
    </row>
    <row r="827" ht="15.75" customHeight="1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  <c r="AA827" s="127"/>
    </row>
    <row r="828" ht="15.75" customHeight="1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  <c r="AA828" s="127"/>
    </row>
    <row r="829" ht="15.75" customHeight="1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  <c r="AA829" s="127"/>
    </row>
    <row r="830" ht="15.75" customHeight="1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  <c r="AA830" s="127"/>
    </row>
    <row r="831" ht="15.75" customHeight="1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  <c r="AA831" s="127"/>
    </row>
    <row r="832" ht="15.75" customHeight="1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  <c r="AA832" s="127"/>
    </row>
    <row r="833" ht="15.75" customHeight="1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  <c r="AA833" s="127"/>
    </row>
    <row r="834" ht="15.75" customHeight="1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  <c r="AA834" s="127"/>
    </row>
    <row r="835" ht="15.75" customHeight="1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  <c r="AA835" s="127"/>
    </row>
    <row r="836" ht="15.75" customHeight="1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  <c r="AA836" s="127"/>
    </row>
    <row r="837" ht="15.75" customHeight="1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  <c r="AA837" s="127"/>
    </row>
    <row r="838" ht="15.75" customHeight="1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  <c r="AA838" s="127"/>
    </row>
    <row r="839" ht="15.75" customHeight="1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  <c r="AA839" s="127"/>
    </row>
    <row r="840" ht="15.75" customHeight="1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  <c r="AA840" s="127"/>
    </row>
    <row r="841" ht="15.75" customHeight="1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  <c r="AA841" s="127"/>
    </row>
    <row r="842" ht="15.75" customHeight="1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  <c r="AA842" s="127"/>
    </row>
    <row r="843" ht="15.75" customHeight="1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  <c r="AA843" s="127"/>
    </row>
    <row r="844" ht="15.75" customHeight="1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  <c r="AA844" s="127"/>
    </row>
    <row r="845" ht="15.75" customHeight="1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  <c r="AA845" s="127"/>
    </row>
    <row r="846" ht="15.75" customHeight="1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  <c r="AA846" s="127"/>
    </row>
    <row r="847" ht="15.75" customHeight="1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  <c r="AA847" s="127"/>
    </row>
    <row r="848" ht="15.75" customHeight="1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  <c r="AA848" s="127"/>
    </row>
    <row r="849" ht="15.75" customHeight="1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  <c r="AA849" s="127"/>
    </row>
    <row r="850" ht="15.75" customHeight="1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  <c r="AA850" s="127"/>
    </row>
    <row r="851" ht="15.75" customHeight="1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  <c r="AA851" s="127"/>
    </row>
    <row r="852" ht="15.75" customHeight="1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  <c r="AA852" s="127"/>
    </row>
    <row r="853" ht="15.75" customHeight="1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  <c r="AA853" s="127"/>
    </row>
    <row r="854" ht="15.75" customHeight="1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  <c r="AA854" s="127"/>
    </row>
    <row r="855" ht="15.75" customHeight="1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  <c r="AA855" s="127"/>
    </row>
    <row r="856" ht="15.75" customHeight="1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  <c r="AA856" s="127"/>
    </row>
    <row r="857" ht="15.75" customHeight="1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  <c r="AA857" s="127"/>
    </row>
    <row r="858" ht="15.75" customHeight="1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  <c r="AA858" s="127"/>
    </row>
    <row r="859" ht="15.75" customHeight="1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  <c r="AA859" s="127"/>
    </row>
    <row r="860" ht="15.75" customHeight="1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  <c r="AA860" s="127"/>
    </row>
    <row r="861" ht="15.75" customHeight="1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  <c r="AA861" s="127"/>
    </row>
    <row r="862" ht="15.75" customHeight="1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  <c r="AA862" s="127"/>
    </row>
    <row r="863" ht="15.75" customHeight="1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  <c r="AA863" s="127"/>
    </row>
    <row r="864" ht="15.75" customHeight="1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  <c r="AA864" s="127"/>
    </row>
    <row r="865" ht="15.75" customHeight="1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  <c r="AA865" s="127"/>
    </row>
    <row r="866" ht="15.75" customHeight="1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  <c r="AA866" s="127"/>
    </row>
    <row r="867" ht="15.75" customHeight="1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  <c r="AA867" s="127"/>
    </row>
    <row r="868" ht="15.75" customHeight="1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  <c r="AA868" s="127"/>
    </row>
    <row r="869" ht="15.75" customHeight="1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  <c r="AA869" s="127"/>
    </row>
    <row r="870" ht="15.75" customHeight="1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  <c r="AA870" s="127"/>
    </row>
    <row r="871" ht="15.75" customHeight="1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  <c r="AA871" s="127"/>
    </row>
    <row r="872" ht="15.75" customHeight="1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  <c r="AA872" s="127"/>
    </row>
    <row r="873" ht="15.75" customHeight="1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  <c r="AA873" s="127"/>
    </row>
    <row r="874" ht="15.75" customHeight="1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  <c r="AA874" s="127"/>
    </row>
    <row r="875" ht="15.75" customHeight="1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  <c r="AA875" s="127"/>
    </row>
    <row r="876" ht="15.75" customHeight="1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  <c r="AA876" s="127"/>
    </row>
    <row r="877" ht="15.75" customHeight="1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  <c r="AA877" s="127"/>
    </row>
    <row r="878" ht="15.75" customHeight="1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  <c r="AA878" s="127"/>
    </row>
    <row r="879" ht="15.75" customHeight="1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  <c r="AA879" s="127"/>
    </row>
    <row r="880" ht="15.75" customHeight="1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  <c r="AA880" s="127"/>
    </row>
    <row r="881" ht="15.75" customHeight="1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  <c r="AA881" s="127"/>
    </row>
    <row r="882" ht="15.75" customHeight="1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  <c r="AA882" s="127"/>
    </row>
    <row r="883" ht="15.75" customHeight="1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  <c r="AA883" s="127"/>
    </row>
    <row r="884" ht="15.75" customHeight="1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  <c r="AA884" s="127"/>
    </row>
    <row r="885" ht="15.75" customHeight="1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  <c r="AA885" s="127"/>
    </row>
    <row r="886" ht="15.75" customHeight="1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  <c r="AA886" s="127"/>
    </row>
    <row r="887" ht="15.75" customHeight="1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  <c r="AA887" s="127"/>
    </row>
    <row r="888" ht="15.75" customHeight="1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  <c r="AA888" s="127"/>
    </row>
    <row r="889" ht="15.75" customHeight="1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  <c r="AA889" s="127"/>
    </row>
    <row r="890" ht="15.75" customHeight="1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  <c r="AA890" s="127"/>
    </row>
    <row r="891" ht="15.75" customHeight="1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  <c r="AA891" s="127"/>
    </row>
    <row r="892" ht="15.75" customHeight="1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  <c r="AA892" s="127"/>
    </row>
    <row r="893" ht="15.75" customHeight="1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  <c r="AA893" s="127"/>
    </row>
    <row r="894" ht="15.75" customHeight="1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  <c r="AA894" s="127"/>
    </row>
    <row r="895" ht="15.75" customHeight="1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  <c r="AA895" s="127"/>
    </row>
    <row r="896" ht="15.75" customHeight="1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  <c r="AA896" s="127"/>
    </row>
    <row r="897" ht="15.75" customHeight="1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  <c r="AA897" s="127"/>
    </row>
    <row r="898" ht="15.75" customHeight="1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  <c r="AA898" s="127"/>
    </row>
    <row r="899" ht="15.75" customHeight="1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  <c r="AA899" s="127"/>
    </row>
    <row r="900" ht="15.75" customHeight="1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  <c r="AA900" s="127"/>
    </row>
    <row r="901" ht="15.75" customHeight="1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  <c r="AA901" s="127"/>
    </row>
    <row r="902" ht="15.75" customHeight="1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  <c r="AA902" s="127"/>
    </row>
    <row r="903" ht="15.75" customHeight="1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  <c r="AA903" s="127"/>
    </row>
    <row r="904" ht="15.75" customHeight="1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  <c r="AA904" s="127"/>
    </row>
    <row r="905" ht="15.75" customHeight="1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  <c r="AA905" s="127"/>
    </row>
    <row r="906" ht="15.75" customHeight="1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  <c r="AA906" s="127"/>
    </row>
    <row r="907" ht="15.75" customHeight="1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  <c r="AA907" s="127"/>
    </row>
    <row r="908" ht="15.75" customHeight="1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  <c r="AA908" s="127"/>
    </row>
    <row r="909" ht="15.75" customHeight="1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  <c r="AA909" s="127"/>
    </row>
    <row r="910" ht="15.75" customHeight="1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  <c r="AA910" s="127"/>
    </row>
    <row r="911" ht="15.75" customHeight="1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  <c r="AA911" s="127"/>
    </row>
    <row r="912" ht="15.75" customHeight="1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  <c r="AA912" s="127"/>
    </row>
    <row r="913" ht="15.75" customHeight="1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  <c r="AA913" s="127"/>
    </row>
    <row r="914" ht="15.75" customHeight="1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  <c r="AA914" s="127"/>
    </row>
    <row r="915" ht="15.75" customHeight="1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  <c r="AA915" s="127"/>
    </row>
    <row r="916" ht="15.75" customHeight="1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  <c r="AA916" s="127"/>
    </row>
    <row r="917" ht="15.75" customHeight="1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  <c r="AA917" s="127"/>
    </row>
    <row r="918" ht="15.75" customHeight="1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  <c r="AA918" s="127"/>
    </row>
    <row r="919" ht="15.75" customHeight="1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  <c r="AA919" s="127"/>
    </row>
    <row r="920" ht="15.75" customHeight="1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  <c r="AA920" s="127"/>
    </row>
    <row r="921" ht="15.75" customHeight="1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  <c r="AA921" s="127"/>
    </row>
    <row r="922" ht="15.75" customHeight="1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  <c r="AA922" s="127"/>
    </row>
    <row r="923" ht="15.75" customHeight="1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  <c r="AA923" s="127"/>
    </row>
    <row r="924" ht="15.75" customHeight="1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  <c r="AA924" s="127"/>
    </row>
    <row r="925" ht="15.75" customHeight="1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  <c r="AA925" s="127"/>
    </row>
    <row r="926" ht="15.75" customHeight="1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  <c r="AA926" s="127"/>
    </row>
    <row r="927" ht="15.75" customHeight="1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  <c r="AA927" s="127"/>
    </row>
    <row r="928" ht="15.75" customHeight="1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  <c r="AA928" s="127"/>
    </row>
    <row r="929" ht="15.75" customHeight="1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  <c r="AA929" s="127"/>
    </row>
    <row r="930" ht="15.75" customHeight="1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  <c r="AA930" s="127"/>
    </row>
    <row r="931" ht="15.75" customHeight="1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  <c r="AA931" s="127"/>
    </row>
    <row r="932" ht="15.75" customHeight="1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  <c r="AA932" s="127"/>
    </row>
    <row r="933" ht="15.75" customHeight="1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  <c r="AA933" s="127"/>
    </row>
    <row r="934" ht="15.75" customHeight="1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  <c r="AA934" s="127"/>
    </row>
    <row r="935" ht="15.75" customHeight="1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  <c r="AA935" s="127"/>
    </row>
    <row r="936" ht="15.75" customHeight="1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  <c r="AA936" s="127"/>
    </row>
    <row r="937" ht="15.75" customHeight="1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  <c r="AA937" s="127"/>
    </row>
    <row r="938" ht="15.75" customHeight="1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  <c r="AA938" s="127"/>
    </row>
    <row r="939" ht="15.75" customHeight="1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  <c r="AA939" s="127"/>
    </row>
    <row r="940" ht="15.75" customHeight="1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  <c r="AA940" s="127"/>
    </row>
    <row r="941" ht="15.75" customHeight="1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  <c r="AA941" s="127"/>
    </row>
    <row r="942" ht="15.75" customHeight="1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  <c r="AA942" s="127"/>
    </row>
    <row r="943" ht="15.75" customHeight="1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  <c r="AA943" s="127"/>
    </row>
    <row r="944" ht="15.75" customHeight="1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  <c r="AA944" s="127"/>
    </row>
    <row r="945" ht="15.75" customHeight="1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  <c r="AA945" s="127"/>
    </row>
    <row r="946" ht="15.75" customHeight="1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  <c r="AA946" s="127"/>
    </row>
    <row r="947" ht="15.75" customHeight="1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  <c r="AA947" s="127"/>
    </row>
    <row r="948" ht="15.75" customHeight="1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  <c r="AA948" s="127"/>
    </row>
    <row r="949" ht="15.75" customHeight="1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  <c r="AA949" s="127"/>
    </row>
    <row r="950" ht="15.75" customHeight="1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  <c r="AA950" s="127"/>
    </row>
    <row r="951" ht="15.75" customHeight="1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  <c r="AA951" s="127"/>
    </row>
    <row r="952" ht="15.75" customHeight="1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  <c r="AA952" s="127"/>
    </row>
    <row r="953" ht="15.75" customHeight="1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  <c r="AA953" s="127"/>
    </row>
    <row r="954" ht="15.75" customHeight="1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  <c r="AA954" s="127"/>
    </row>
    <row r="955" ht="15.75" customHeight="1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  <c r="AA955" s="127"/>
    </row>
    <row r="956" ht="15.75" customHeight="1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  <c r="AA956" s="127"/>
    </row>
    <row r="957" ht="15.75" customHeight="1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  <c r="AA957" s="127"/>
    </row>
    <row r="958" ht="15.75" customHeight="1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  <c r="AA958" s="127"/>
    </row>
    <row r="959" ht="15.75" customHeight="1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  <c r="AA959" s="127"/>
    </row>
    <row r="960" ht="15.75" customHeight="1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  <c r="AA960" s="127"/>
    </row>
    <row r="961" ht="15.75" customHeight="1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  <c r="AA961" s="127"/>
    </row>
    <row r="962" ht="15.75" customHeight="1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  <c r="AA962" s="127"/>
    </row>
    <row r="963" ht="15.75" customHeight="1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  <c r="AA963" s="127"/>
    </row>
    <row r="964" ht="15.75" customHeight="1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  <c r="AA964" s="127"/>
    </row>
    <row r="965" ht="15.75" customHeight="1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  <c r="AA965" s="127"/>
    </row>
    <row r="966" ht="15.75" customHeight="1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  <c r="AA966" s="127"/>
    </row>
    <row r="967" ht="15.75" customHeight="1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  <c r="AA967" s="127"/>
    </row>
    <row r="968" ht="15.75" customHeight="1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  <c r="AA968" s="127"/>
    </row>
    <row r="969" ht="15.75" customHeight="1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  <c r="AA969" s="127"/>
    </row>
    <row r="970" ht="15.75" customHeight="1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  <c r="AA970" s="127"/>
    </row>
    <row r="971" ht="15.75" customHeight="1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  <c r="AA971" s="127"/>
    </row>
    <row r="972" ht="15.75" customHeight="1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  <c r="AA972" s="127"/>
    </row>
    <row r="973" ht="15.75" customHeight="1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  <c r="AA973" s="127"/>
    </row>
    <row r="974" ht="15.75" customHeight="1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  <c r="AA974" s="127"/>
    </row>
    <row r="975" ht="15.75" customHeight="1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  <c r="AA975" s="127"/>
    </row>
    <row r="976" ht="15.75" customHeight="1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  <c r="AA976" s="127"/>
    </row>
    <row r="977" ht="15.75" customHeight="1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  <c r="AA977" s="127"/>
    </row>
    <row r="978" ht="15.75" customHeight="1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  <c r="AA978" s="127"/>
    </row>
    <row r="979" ht="15.75" customHeight="1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  <c r="AA979" s="127"/>
    </row>
    <row r="980" ht="15.75" customHeight="1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  <c r="AA980" s="127"/>
    </row>
    <row r="981" ht="15.75" customHeight="1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  <c r="AA981" s="127"/>
    </row>
    <row r="982" ht="15.75" customHeight="1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  <c r="AA982" s="127"/>
    </row>
    <row r="983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  <c r="AA983" s="127"/>
    </row>
    <row r="984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  <c r="AA984" s="127"/>
    </row>
    <row r="985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  <c r="AA985" s="127"/>
    </row>
    <row r="986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  <c r="AA986" s="127"/>
    </row>
    <row r="987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  <c r="AA987" s="127"/>
    </row>
    <row r="988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  <c r="AA988" s="127"/>
    </row>
    <row r="989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  <c r="AA989" s="127"/>
    </row>
    <row r="990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  <c r="AA990" s="127"/>
    </row>
    <row r="991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  <c r="AA991" s="127"/>
    </row>
    <row r="992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  <c r="AA992" s="127"/>
    </row>
    <row r="993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  <c r="AA993" s="127"/>
    </row>
    <row r="994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  <c r="AA994" s="127"/>
    </row>
    <row r="995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  <c r="AA995" s="127"/>
    </row>
    <row r="996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  <c r="AA996" s="127"/>
    </row>
    <row r="997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  <c r="AA997" s="127"/>
    </row>
    <row r="998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  <c r="AA998" s="127"/>
    </row>
    <row r="999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  <c r="AA999" s="127"/>
    </row>
    <row r="1000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  <c r="AA1000" s="127"/>
    </row>
  </sheetData>
  <mergeCells count="1">
    <mergeCell ref="A103:E103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5.29"/>
    <col customWidth="1" min="3" max="3" width="25.14"/>
    <col customWidth="1" min="4" max="4" width="10.57"/>
    <col customWidth="1" min="5" max="5" width="11.0"/>
    <col customWidth="1" min="6" max="6" width="10.57"/>
    <col customWidth="1" min="7" max="7" width="14.71"/>
    <col customWidth="1" min="8" max="8" width="17.14"/>
    <col customWidth="1" min="9" max="9" width="15.0"/>
    <col customWidth="1" min="10" max="26" width="10.71"/>
  </cols>
  <sheetData>
    <row r="1">
      <c r="A1" s="186" t="s">
        <v>5</v>
      </c>
      <c r="B1" s="187"/>
      <c r="C1" s="189"/>
      <c r="D1" s="187"/>
      <c r="E1" s="189"/>
      <c r="F1" s="189"/>
      <c r="G1" s="189"/>
      <c r="H1" s="65"/>
      <c r="I1" s="65"/>
      <c r="J1" s="65"/>
      <c r="K1" s="65"/>
      <c r="L1" s="65"/>
      <c r="M1" s="65"/>
      <c r="N1" s="65"/>
      <c r="O1" s="65"/>
    </row>
    <row r="2">
      <c r="A2" s="186" t="s">
        <v>155</v>
      </c>
      <c r="B2" s="234"/>
      <c r="C2" s="189"/>
      <c r="D2" s="187"/>
      <c r="E2" s="189"/>
      <c r="F2" s="189"/>
      <c r="G2" s="189"/>
      <c r="H2" s="65"/>
      <c r="I2" s="65"/>
      <c r="J2" s="65"/>
      <c r="K2" s="65"/>
      <c r="L2" s="65"/>
      <c r="M2" s="65"/>
      <c r="N2" s="65"/>
      <c r="O2" s="65"/>
    </row>
    <row r="3">
      <c r="A3" s="186" t="s">
        <v>156</v>
      </c>
      <c r="B3" s="187"/>
      <c r="C3" s="189"/>
      <c r="D3" s="187"/>
      <c r="E3" s="189"/>
      <c r="F3" s="189"/>
      <c r="G3" s="189"/>
      <c r="H3" s="65"/>
      <c r="I3" s="65"/>
      <c r="J3" s="65"/>
      <c r="K3" s="65"/>
      <c r="L3" s="65"/>
      <c r="M3" s="65"/>
      <c r="N3" s="65"/>
      <c r="O3" s="65"/>
    </row>
    <row r="4">
      <c r="A4" s="186" t="s">
        <v>158</v>
      </c>
      <c r="B4" s="187"/>
      <c r="C4" s="189" t="s">
        <v>159</v>
      </c>
      <c r="D4" s="187"/>
      <c r="E4" s="189"/>
      <c r="F4" s="189"/>
      <c r="G4" s="189"/>
      <c r="H4" s="65"/>
      <c r="I4" s="65"/>
      <c r="J4" s="65"/>
      <c r="K4" s="65"/>
      <c r="L4" s="65"/>
      <c r="M4" s="65"/>
      <c r="N4" s="65"/>
      <c r="O4" s="65"/>
    </row>
    <row r="5">
      <c r="A5" s="186" t="s">
        <v>160</v>
      </c>
      <c r="B5" s="187"/>
      <c r="C5" s="189" t="s">
        <v>159</v>
      </c>
      <c r="D5" s="187"/>
      <c r="E5" s="189"/>
      <c r="F5" s="189"/>
      <c r="G5" s="189"/>
      <c r="H5" s="65"/>
      <c r="I5" s="65"/>
      <c r="J5" s="65"/>
      <c r="K5" s="65"/>
      <c r="L5" s="65"/>
      <c r="M5" s="65"/>
      <c r="N5" s="65"/>
      <c r="O5" s="65"/>
    </row>
    <row r="6">
      <c r="A6" s="235" t="s">
        <v>161</v>
      </c>
      <c r="B6" s="236" t="s">
        <v>754</v>
      </c>
      <c r="C6" s="237"/>
      <c r="D6" s="236" t="s">
        <v>755</v>
      </c>
      <c r="E6" s="237"/>
      <c r="F6" s="65"/>
      <c r="G6" s="65"/>
      <c r="H6" s="238"/>
      <c r="I6" s="65"/>
      <c r="J6" s="65"/>
      <c r="K6" s="65"/>
      <c r="L6" s="65"/>
      <c r="M6" s="65"/>
      <c r="N6" s="65"/>
      <c r="O6" s="65"/>
    </row>
    <row r="7">
      <c r="A7" s="65"/>
      <c r="B7" s="65"/>
      <c r="C7" s="65"/>
      <c r="D7" s="193"/>
      <c r="E7" s="193"/>
      <c r="F7" s="65"/>
      <c r="G7" s="65"/>
      <c r="H7" s="238"/>
      <c r="I7" s="65"/>
      <c r="J7" s="65"/>
      <c r="K7" s="65"/>
      <c r="L7" s="65"/>
      <c r="M7" s="65"/>
      <c r="N7" s="65"/>
      <c r="O7" s="65"/>
    </row>
    <row r="8">
      <c r="A8" s="239" t="s">
        <v>282</v>
      </c>
      <c r="B8" s="240" t="s">
        <v>283</v>
      </c>
      <c r="C8" s="59"/>
      <c r="D8" s="241" t="s">
        <v>166</v>
      </c>
      <c r="E8" s="242" t="s">
        <v>167</v>
      </c>
      <c r="F8" s="243" t="s">
        <v>284</v>
      </c>
      <c r="G8" s="242" t="s">
        <v>169</v>
      </c>
      <c r="H8" s="242" t="s">
        <v>170</v>
      </c>
      <c r="I8" s="242" t="s">
        <v>756</v>
      </c>
      <c r="J8" s="244"/>
      <c r="K8" s="244"/>
      <c r="L8" s="244"/>
      <c r="M8" s="244"/>
      <c r="N8" s="244"/>
      <c r="O8" s="244"/>
      <c r="P8" s="245"/>
      <c r="Q8" s="245"/>
      <c r="R8" s="245"/>
      <c r="S8" s="245"/>
      <c r="T8" s="245"/>
      <c r="U8" s="245"/>
      <c r="V8" s="245"/>
      <c r="W8" s="245"/>
      <c r="X8" s="245"/>
      <c r="Y8" s="245"/>
      <c r="Z8" s="245"/>
    </row>
    <row r="9">
      <c r="A9" s="246">
        <v>8.05875019E9</v>
      </c>
      <c r="B9" s="247" t="s">
        <v>757</v>
      </c>
      <c r="C9" s="75" t="s">
        <v>758</v>
      </c>
      <c r="D9" s="246">
        <v>1300.0</v>
      </c>
      <c r="E9" s="248">
        <v>182.0</v>
      </c>
      <c r="F9" s="249"/>
      <c r="G9" s="76">
        <f t="shared" ref="G9:G82" si="1">F9/D9</f>
        <v>0</v>
      </c>
      <c r="H9" s="78">
        <f t="shared" ref="H9:H82" si="2">(360/E9)</f>
        <v>1.978021978</v>
      </c>
      <c r="I9" s="78"/>
      <c r="J9" s="65"/>
      <c r="K9" s="65"/>
      <c r="L9" s="65"/>
      <c r="M9" s="65"/>
      <c r="N9" s="65"/>
      <c r="O9" s="65"/>
    </row>
    <row r="10">
      <c r="A10" s="246">
        <v>8.05669219E9</v>
      </c>
      <c r="B10" s="247" t="s">
        <v>759</v>
      </c>
      <c r="C10" s="75" t="s">
        <v>760</v>
      </c>
      <c r="D10" s="246">
        <v>750.0</v>
      </c>
      <c r="E10" s="248">
        <v>182.0</v>
      </c>
      <c r="F10" s="249"/>
      <c r="G10" s="76">
        <f t="shared" si="1"/>
        <v>0</v>
      </c>
      <c r="H10" s="78">
        <f t="shared" si="2"/>
        <v>1.978021978</v>
      </c>
      <c r="I10" s="78"/>
      <c r="J10" s="65"/>
      <c r="K10" s="65"/>
      <c r="L10" s="65"/>
      <c r="M10" s="65"/>
      <c r="N10" s="65"/>
      <c r="O10" s="65"/>
    </row>
    <row r="11">
      <c r="A11" s="250">
        <v>8.05681119E9</v>
      </c>
      <c r="B11" s="75" t="s">
        <v>761</v>
      </c>
      <c r="C11" s="75" t="s">
        <v>762</v>
      </c>
      <c r="D11" s="246">
        <v>750.0</v>
      </c>
      <c r="E11" s="248">
        <v>182.0</v>
      </c>
      <c r="F11" s="249"/>
      <c r="G11" s="76">
        <f t="shared" si="1"/>
        <v>0</v>
      </c>
      <c r="H11" s="78">
        <f t="shared" si="2"/>
        <v>1.978021978</v>
      </c>
      <c r="I11" s="78"/>
      <c r="J11" s="65"/>
      <c r="K11" s="65"/>
      <c r="L11" s="65"/>
      <c r="M11" s="65"/>
      <c r="N11" s="65"/>
      <c r="O11" s="65"/>
    </row>
    <row r="12">
      <c r="A12" s="246">
        <v>8.05682019E9</v>
      </c>
      <c r="B12" s="75" t="s">
        <v>763</v>
      </c>
      <c r="C12" s="75" t="s">
        <v>764</v>
      </c>
      <c r="D12" s="246">
        <v>450.0</v>
      </c>
      <c r="E12" s="248">
        <v>182.0</v>
      </c>
      <c r="F12" s="251"/>
      <c r="G12" s="76">
        <f t="shared" si="1"/>
        <v>0</v>
      </c>
      <c r="H12" s="78">
        <f t="shared" si="2"/>
        <v>1.978021978</v>
      </c>
      <c r="I12" s="78"/>
      <c r="J12" s="65"/>
      <c r="K12" s="65"/>
      <c r="L12" s="65"/>
      <c r="M12" s="65"/>
      <c r="N12" s="65"/>
      <c r="O12" s="65"/>
    </row>
    <row r="13">
      <c r="A13" s="246">
        <v>8.05696019E9</v>
      </c>
      <c r="B13" s="75" t="s">
        <v>765</v>
      </c>
      <c r="C13" s="75" t="s">
        <v>766</v>
      </c>
      <c r="D13" s="246">
        <v>1050.0</v>
      </c>
      <c r="E13" s="248">
        <v>42.0</v>
      </c>
      <c r="F13" s="249"/>
      <c r="G13" s="76">
        <f t="shared" si="1"/>
        <v>0</v>
      </c>
      <c r="H13" s="78">
        <f t="shared" si="2"/>
        <v>8.571428571</v>
      </c>
      <c r="I13" s="78"/>
      <c r="J13" s="65"/>
      <c r="K13" s="65"/>
      <c r="L13" s="65"/>
      <c r="M13" s="65"/>
      <c r="N13" s="65"/>
      <c r="O13" s="65"/>
    </row>
    <row r="14">
      <c r="A14" s="246">
        <v>8.05695119E9</v>
      </c>
      <c r="B14" s="75" t="s">
        <v>767</v>
      </c>
      <c r="C14" s="75" t="s">
        <v>768</v>
      </c>
      <c r="D14" s="246">
        <v>1000.0</v>
      </c>
      <c r="E14" s="248">
        <v>182.0</v>
      </c>
      <c r="F14" s="249"/>
      <c r="G14" s="76">
        <f t="shared" si="1"/>
        <v>0</v>
      </c>
      <c r="H14" s="78">
        <f t="shared" si="2"/>
        <v>1.978021978</v>
      </c>
      <c r="I14" s="78"/>
      <c r="J14" s="65"/>
      <c r="K14" s="65"/>
      <c r="L14" s="65"/>
      <c r="M14" s="65"/>
      <c r="N14" s="65"/>
      <c r="O14" s="65"/>
    </row>
    <row r="15">
      <c r="A15" s="246">
        <v>8.05742719E9</v>
      </c>
      <c r="B15" s="75" t="s">
        <v>769</v>
      </c>
      <c r="C15" s="75" t="s">
        <v>770</v>
      </c>
      <c r="D15" s="246">
        <v>1500.0</v>
      </c>
      <c r="E15" s="248">
        <v>182.0</v>
      </c>
      <c r="F15" s="249"/>
      <c r="G15" s="76">
        <f t="shared" si="1"/>
        <v>0</v>
      </c>
      <c r="H15" s="78">
        <f t="shared" si="2"/>
        <v>1.978021978</v>
      </c>
      <c r="I15" s="78"/>
      <c r="J15" s="65"/>
      <c r="K15" s="65"/>
      <c r="L15" s="65"/>
      <c r="M15" s="65"/>
      <c r="N15" s="65"/>
      <c r="O15" s="65"/>
    </row>
    <row r="16">
      <c r="A16" s="246">
        <v>8.05744319E9</v>
      </c>
      <c r="B16" s="75" t="s">
        <v>771</v>
      </c>
      <c r="C16" s="75" t="s">
        <v>772</v>
      </c>
      <c r="D16" s="246">
        <v>2600.0</v>
      </c>
      <c r="E16" s="248">
        <v>182.0</v>
      </c>
      <c r="F16" s="249"/>
      <c r="G16" s="76">
        <f t="shared" si="1"/>
        <v>0</v>
      </c>
      <c r="H16" s="78">
        <f t="shared" si="2"/>
        <v>1.978021978</v>
      </c>
      <c r="I16" s="78"/>
      <c r="J16" s="65"/>
      <c r="K16" s="65"/>
      <c r="L16" s="65"/>
      <c r="M16" s="65"/>
      <c r="N16" s="65"/>
      <c r="O16" s="65"/>
    </row>
    <row r="17">
      <c r="A17" s="246">
        <v>8.10556119E9</v>
      </c>
      <c r="B17" s="75" t="s">
        <v>773</v>
      </c>
      <c r="C17" s="75" t="s">
        <v>774</v>
      </c>
      <c r="D17" s="246">
        <v>1050.0</v>
      </c>
      <c r="E17" s="248">
        <v>182.0</v>
      </c>
      <c r="F17" s="251"/>
      <c r="G17" s="76">
        <f t="shared" si="1"/>
        <v>0</v>
      </c>
      <c r="H17" s="78">
        <f t="shared" si="2"/>
        <v>1.978021978</v>
      </c>
      <c r="I17" s="78"/>
      <c r="J17" s="65"/>
      <c r="K17" s="65"/>
      <c r="L17" s="65"/>
      <c r="M17" s="65"/>
      <c r="N17" s="65"/>
      <c r="O17" s="65"/>
    </row>
    <row r="18">
      <c r="A18" s="246">
        <v>8.05746019E9</v>
      </c>
      <c r="B18" s="75" t="s">
        <v>775</v>
      </c>
      <c r="C18" s="75" t="s">
        <v>776</v>
      </c>
      <c r="D18" s="246">
        <v>500.0</v>
      </c>
      <c r="E18" s="248">
        <v>56.0</v>
      </c>
      <c r="F18" s="249"/>
      <c r="G18" s="76">
        <f t="shared" si="1"/>
        <v>0</v>
      </c>
      <c r="H18" s="78">
        <f t="shared" si="2"/>
        <v>6.428571429</v>
      </c>
      <c r="I18" s="78"/>
      <c r="J18" s="65"/>
      <c r="K18" s="65"/>
      <c r="L18" s="65"/>
      <c r="M18" s="65"/>
      <c r="N18" s="65"/>
      <c r="O18" s="65"/>
    </row>
    <row r="19">
      <c r="A19" s="246">
        <v>8.05675719E9</v>
      </c>
      <c r="B19" s="75" t="s">
        <v>777</v>
      </c>
      <c r="C19" s="75" t="s">
        <v>778</v>
      </c>
      <c r="D19" s="246">
        <v>1100.0</v>
      </c>
      <c r="E19" s="248">
        <v>56.0</v>
      </c>
      <c r="F19" s="249"/>
      <c r="G19" s="76">
        <f t="shared" si="1"/>
        <v>0</v>
      </c>
      <c r="H19" s="78">
        <f t="shared" si="2"/>
        <v>6.428571429</v>
      </c>
      <c r="I19" s="78"/>
      <c r="J19" s="65"/>
      <c r="K19" s="65"/>
      <c r="L19" s="65"/>
      <c r="M19" s="65"/>
      <c r="N19" s="65"/>
      <c r="O19" s="65"/>
    </row>
    <row r="20">
      <c r="A20" s="246">
        <v>8.05861019E9</v>
      </c>
      <c r="B20" s="75" t="s">
        <v>779</v>
      </c>
      <c r="C20" s="75" t="s">
        <v>780</v>
      </c>
      <c r="D20" s="246">
        <v>750.0</v>
      </c>
      <c r="E20" s="248">
        <v>182.0</v>
      </c>
      <c r="F20" s="251"/>
      <c r="G20" s="76">
        <f t="shared" si="1"/>
        <v>0</v>
      </c>
      <c r="H20" s="78">
        <f t="shared" si="2"/>
        <v>1.978021978</v>
      </c>
      <c r="I20" s="78"/>
      <c r="J20" s="65"/>
      <c r="K20" s="65"/>
      <c r="L20" s="65"/>
      <c r="M20" s="65"/>
      <c r="N20" s="65"/>
      <c r="O20" s="65"/>
    </row>
    <row r="21" ht="15.75" customHeight="1">
      <c r="A21" s="246">
        <v>8.05779619E9</v>
      </c>
      <c r="B21" s="75" t="s">
        <v>781</v>
      </c>
      <c r="C21" s="75" t="s">
        <v>782</v>
      </c>
      <c r="D21" s="246">
        <v>400.0</v>
      </c>
      <c r="E21" s="248">
        <v>84.0</v>
      </c>
      <c r="F21" s="249"/>
      <c r="G21" s="76">
        <f t="shared" si="1"/>
        <v>0</v>
      </c>
      <c r="H21" s="78">
        <f t="shared" si="2"/>
        <v>4.285714286</v>
      </c>
      <c r="I21" s="78"/>
      <c r="J21" s="65"/>
      <c r="K21" s="65"/>
      <c r="L21" s="65"/>
      <c r="M21" s="65"/>
      <c r="N21" s="65"/>
      <c r="O21" s="65"/>
    </row>
    <row r="22" ht="15.75" customHeight="1">
      <c r="A22" s="246">
        <v>8.05780019E9</v>
      </c>
      <c r="B22" s="75" t="s">
        <v>783</v>
      </c>
      <c r="C22" s="75" t="s">
        <v>784</v>
      </c>
      <c r="D22" s="246">
        <v>3300.0</v>
      </c>
      <c r="E22" s="248">
        <v>182.0</v>
      </c>
      <c r="F22" s="249"/>
      <c r="G22" s="76">
        <f t="shared" si="1"/>
        <v>0</v>
      </c>
      <c r="H22" s="78">
        <f t="shared" si="2"/>
        <v>1.978021978</v>
      </c>
      <c r="I22" s="78"/>
      <c r="J22" s="65"/>
      <c r="K22" s="65"/>
      <c r="L22" s="65"/>
      <c r="M22" s="65"/>
      <c r="N22" s="65"/>
      <c r="O22" s="65"/>
    </row>
    <row r="23" ht="15.75" customHeight="1">
      <c r="A23" s="246">
        <v>8.05793119E9</v>
      </c>
      <c r="B23" s="75" t="s">
        <v>785</v>
      </c>
      <c r="C23" s="75" t="s">
        <v>786</v>
      </c>
      <c r="D23" s="246">
        <v>700.0</v>
      </c>
      <c r="E23" s="248">
        <v>84.0</v>
      </c>
      <c r="F23" s="249"/>
      <c r="G23" s="76">
        <f t="shared" si="1"/>
        <v>0</v>
      </c>
      <c r="H23" s="78">
        <f t="shared" si="2"/>
        <v>4.285714286</v>
      </c>
      <c r="I23" s="78"/>
      <c r="J23" s="65"/>
      <c r="K23" s="65"/>
      <c r="L23" s="65"/>
      <c r="M23" s="65"/>
      <c r="N23" s="65"/>
      <c r="O23" s="65"/>
    </row>
    <row r="24" ht="15.75" customHeight="1">
      <c r="A24" s="246">
        <v>8.05794019E9</v>
      </c>
      <c r="B24" s="75" t="s">
        <v>787</v>
      </c>
      <c r="C24" s="75" t="s">
        <v>788</v>
      </c>
      <c r="D24" s="246">
        <v>100.0</v>
      </c>
      <c r="E24" s="248">
        <v>84.0</v>
      </c>
      <c r="F24" s="251"/>
      <c r="G24" s="76">
        <f t="shared" si="1"/>
        <v>0</v>
      </c>
      <c r="H24" s="78">
        <f t="shared" si="2"/>
        <v>4.285714286</v>
      </c>
      <c r="I24" s="78"/>
      <c r="J24" s="65"/>
      <c r="K24" s="65"/>
      <c r="L24" s="65"/>
      <c r="M24" s="65"/>
      <c r="N24" s="65"/>
      <c r="O24" s="65"/>
    </row>
    <row r="25" ht="15.75" customHeight="1">
      <c r="A25" s="246">
        <v>8.05795819E9</v>
      </c>
      <c r="B25" s="75" t="s">
        <v>233</v>
      </c>
      <c r="C25" s="75" t="s">
        <v>789</v>
      </c>
      <c r="D25" s="246">
        <v>850.0</v>
      </c>
      <c r="E25" s="248">
        <v>182.0</v>
      </c>
      <c r="F25" s="249"/>
      <c r="G25" s="76">
        <f t="shared" si="1"/>
        <v>0</v>
      </c>
      <c r="H25" s="78">
        <f t="shared" si="2"/>
        <v>1.978021978</v>
      </c>
      <c r="I25" s="78"/>
      <c r="J25" s="65"/>
      <c r="K25" s="65"/>
      <c r="L25" s="65"/>
      <c r="M25" s="65"/>
      <c r="N25" s="65"/>
      <c r="O25" s="65"/>
    </row>
    <row r="26" ht="15.75" customHeight="1">
      <c r="A26" s="246">
        <v>8.05798219E9</v>
      </c>
      <c r="B26" s="75" t="s">
        <v>227</v>
      </c>
      <c r="C26" s="75" t="s">
        <v>790</v>
      </c>
      <c r="D26" s="246">
        <v>200.0</v>
      </c>
      <c r="E26" s="248">
        <v>28.0</v>
      </c>
      <c r="F26" s="249"/>
      <c r="G26" s="76">
        <f t="shared" si="1"/>
        <v>0</v>
      </c>
      <c r="H26" s="78">
        <f t="shared" si="2"/>
        <v>12.85714286</v>
      </c>
      <c r="I26" s="78"/>
      <c r="J26" s="65"/>
      <c r="K26" s="65"/>
      <c r="L26" s="65"/>
      <c r="M26" s="65"/>
      <c r="N26" s="65"/>
      <c r="O26" s="65"/>
    </row>
    <row r="27" ht="15.75" customHeight="1">
      <c r="A27" s="246">
        <v>8.05801619E9</v>
      </c>
      <c r="B27" s="75" t="s">
        <v>791</v>
      </c>
      <c r="C27" s="75" t="s">
        <v>792</v>
      </c>
      <c r="D27" s="246">
        <v>690.0</v>
      </c>
      <c r="E27" s="248">
        <v>182.0</v>
      </c>
      <c r="F27" s="251"/>
      <c r="G27" s="76">
        <f t="shared" si="1"/>
        <v>0</v>
      </c>
      <c r="H27" s="78">
        <f t="shared" si="2"/>
        <v>1.978021978</v>
      </c>
      <c r="I27" s="78"/>
      <c r="J27" s="65"/>
      <c r="K27" s="65"/>
      <c r="L27" s="65"/>
      <c r="M27" s="65"/>
      <c r="N27" s="65"/>
      <c r="O27" s="65"/>
    </row>
    <row r="28" ht="15.75" customHeight="1">
      <c r="A28" s="246">
        <v>8.10469719E9</v>
      </c>
      <c r="B28" s="75" t="s">
        <v>793</v>
      </c>
      <c r="C28" s="75" t="s">
        <v>794</v>
      </c>
      <c r="D28" s="246">
        <v>800.0</v>
      </c>
      <c r="E28" s="248">
        <v>182.0</v>
      </c>
      <c r="F28" s="249"/>
      <c r="G28" s="76">
        <f t="shared" si="1"/>
        <v>0</v>
      </c>
      <c r="H28" s="78">
        <f t="shared" si="2"/>
        <v>1.978021978</v>
      </c>
      <c r="I28" s="78"/>
      <c r="J28" s="65"/>
      <c r="K28" s="65"/>
      <c r="L28" s="65"/>
      <c r="M28" s="65"/>
      <c r="N28" s="65"/>
      <c r="O28" s="65"/>
    </row>
    <row r="29" ht="15.75" customHeight="1">
      <c r="A29" s="246">
        <v>8.10471919E9</v>
      </c>
      <c r="B29" s="75" t="s">
        <v>795</v>
      </c>
      <c r="C29" s="75" t="s">
        <v>796</v>
      </c>
      <c r="D29" s="246">
        <v>800.0</v>
      </c>
      <c r="E29" s="248">
        <v>182.0</v>
      </c>
      <c r="F29" s="249"/>
      <c r="G29" s="76">
        <f t="shared" si="1"/>
        <v>0</v>
      </c>
      <c r="H29" s="78">
        <f t="shared" si="2"/>
        <v>1.978021978</v>
      </c>
      <c r="I29" s="78"/>
      <c r="J29" s="65"/>
      <c r="K29" s="65"/>
      <c r="L29" s="65"/>
      <c r="M29" s="65"/>
      <c r="N29" s="65"/>
      <c r="O29" s="65"/>
    </row>
    <row r="30" ht="15.75" customHeight="1">
      <c r="A30" s="246">
        <v>8.05868719E9</v>
      </c>
      <c r="B30" s="75" t="s">
        <v>797</v>
      </c>
      <c r="C30" s="75" t="s">
        <v>798</v>
      </c>
      <c r="D30" s="246">
        <v>1000.0</v>
      </c>
      <c r="E30" s="248">
        <v>182.0</v>
      </c>
      <c r="F30" s="249"/>
      <c r="G30" s="76">
        <f t="shared" si="1"/>
        <v>0</v>
      </c>
      <c r="H30" s="78">
        <f t="shared" si="2"/>
        <v>1.978021978</v>
      </c>
      <c r="I30" s="78"/>
      <c r="J30" s="65"/>
      <c r="K30" s="65"/>
      <c r="L30" s="65"/>
      <c r="M30" s="65"/>
      <c r="N30" s="65"/>
      <c r="O30" s="65"/>
    </row>
    <row r="31" ht="15.75" customHeight="1">
      <c r="A31" s="246">
        <v>8.05880619E9</v>
      </c>
      <c r="B31" s="75" t="s">
        <v>799</v>
      </c>
      <c r="C31" s="75" t="s">
        <v>800</v>
      </c>
      <c r="D31" s="246">
        <v>600.0</v>
      </c>
      <c r="E31" s="248">
        <v>56.0</v>
      </c>
      <c r="F31" s="249"/>
      <c r="G31" s="76">
        <f t="shared" si="1"/>
        <v>0</v>
      </c>
      <c r="H31" s="78">
        <f t="shared" si="2"/>
        <v>6.428571429</v>
      </c>
      <c r="I31" s="78"/>
      <c r="J31" s="65"/>
      <c r="K31" s="65"/>
      <c r="L31" s="65"/>
      <c r="M31" s="65"/>
      <c r="N31" s="65"/>
      <c r="O31" s="65"/>
    </row>
    <row r="32" ht="15.75" customHeight="1">
      <c r="A32" s="246">
        <v>8.10605319E9</v>
      </c>
      <c r="B32" s="75" t="s">
        <v>801</v>
      </c>
      <c r="C32" s="75" t="s">
        <v>802</v>
      </c>
      <c r="D32" s="246">
        <v>300.0</v>
      </c>
      <c r="E32" s="248">
        <v>182.0</v>
      </c>
      <c r="F32" s="251"/>
      <c r="G32" s="76">
        <f t="shared" si="1"/>
        <v>0</v>
      </c>
      <c r="H32" s="78">
        <f t="shared" si="2"/>
        <v>1.978021978</v>
      </c>
      <c r="I32" s="78"/>
      <c r="J32" s="65"/>
      <c r="K32" s="65"/>
      <c r="L32" s="65"/>
      <c r="M32" s="65"/>
      <c r="N32" s="65"/>
      <c r="O32" s="65"/>
    </row>
    <row r="33" ht="15.75" customHeight="1">
      <c r="A33" s="75">
        <v>8.05671419E9</v>
      </c>
      <c r="B33" s="75" t="s">
        <v>803</v>
      </c>
      <c r="C33" s="75" t="s">
        <v>804</v>
      </c>
      <c r="D33" s="246">
        <v>500.0</v>
      </c>
      <c r="E33" s="248">
        <v>182.0</v>
      </c>
      <c r="F33" s="251"/>
      <c r="G33" s="76">
        <f t="shared" si="1"/>
        <v>0</v>
      </c>
      <c r="H33" s="78">
        <f t="shared" si="2"/>
        <v>1.978021978</v>
      </c>
      <c r="I33" s="78"/>
      <c r="J33" s="65"/>
      <c r="K33" s="65"/>
      <c r="L33" s="65"/>
      <c r="M33" s="65"/>
      <c r="N33" s="65"/>
      <c r="O33" s="65"/>
    </row>
    <row r="34" ht="15.75" customHeight="1">
      <c r="A34" s="75">
        <v>8.05865219E9</v>
      </c>
      <c r="B34" s="75" t="s">
        <v>805</v>
      </c>
      <c r="C34" s="75" t="s">
        <v>806</v>
      </c>
      <c r="D34" s="246">
        <v>1050.0</v>
      </c>
      <c r="E34" s="248">
        <v>182.0</v>
      </c>
      <c r="F34" s="249"/>
      <c r="G34" s="76">
        <f t="shared" si="1"/>
        <v>0</v>
      </c>
      <c r="H34" s="78">
        <f t="shared" si="2"/>
        <v>1.978021978</v>
      </c>
      <c r="I34" s="78"/>
      <c r="J34" s="65"/>
      <c r="K34" s="65"/>
      <c r="L34" s="65"/>
      <c r="M34" s="65"/>
      <c r="N34" s="65"/>
      <c r="O34" s="65"/>
    </row>
    <row r="35" ht="15.75" customHeight="1">
      <c r="A35" s="75">
        <v>8.05752419E9</v>
      </c>
      <c r="B35" s="75" t="s">
        <v>807</v>
      </c>
      <c r="C35" s="75" t="s">
        <v>808</v>
      </c>
      <c r="D35" s="246">
        <v>600.0</v>
      </c>
      <c r="E35" s="248">
        <v>126.0</v>
      </c>
      <c r="F35" s="251"/>
      <c r="G35" s="76">
        <f t="shared" si="1"/>
        <v>0</v>
      </c>
      <c r="H35" s="78">
        <f t="shared" si="2"/>
        <v>2.857142857</v>
      </c>
      <c r="I35" s="78"/>
      <c r="J35" s="65"/>
      <c r="K35" s="65"/>
      <c r="L35" s="65"/>
      <c r="M35" s="65"/>
      <c r="N35" s="65"/>
      <c r="O35" s="65"/>
    </row>
    <row r="36" ht="15.75" customHeight="1">
      <c r="A36" s="75">
        <v>8.05753219E9</v>
      </c>
      <c r="B36" s="75" t="s">
        <v>809</v>
      </c>
      <c r="C36" s="75" t="s">
        <v>810</v>
      </c>
      <c r="D36" s="246">
        <v>2500.0</v>
      </c>
      <c r="E36" s="248">
        <v>182.0</v>
      </c>
      <c r="F36" s="249"/>
      <c r="G36" s="76">
        <f t="shared" si="1"/>
        <v>0</v>
      </c>
      <c r="H36" s="78">
        <f t="shared" si="2"/>
        <v>1.978021978</v>
      </c>
      <c r="I36" s="78"/>
      <c r="J36" s="65"/>
      <c r="K36" s="65"/>
      <c r="L36" s="65"/>
      <c r="M36" s="65"/>
      <c r="N36" s="65"/>
      <c r="O36" s="65"/>
    </row>
    <row r="37" ht="15.75" customHeight="1">
      <c r="A37" s="75">
        <v>8.05787719E9</v>
      </c>
      <c r="B37" s="75" t="s">
        <v>811</v>
      </c>
      <c r="C37" s="75" t="s">
        <v>812</v>
      </c>
      <c r="D37" s="246">
        <v>700.0</v>
      </c>
      <c r="E37" s="248">
        <v>84.0</v>
      </c>
      <c r="F37" s="249"/>
      <c r="G37" s="76">
        <f t="shared" si="1"/>
        <v>0</v>
      </c>
      <c r="H37" s="78">
        <f t="shared" si="2"/>
        <v>4.285714286</v>
      </c>
      <c r="I37" s="78"/>
      <c r="J37" s="65"/>
      <c r="K37" s="65"/>
      <c r="L37" s="65"/>
      <c r="M37" s="65"/>
      <c r="N37" s="65"/>
      <c r="O37" s="65"/>
    </row>
    <row r="38" ht="15.75" customHeight="1">
      <c r="A38" s="75">
        <v>8.05796619E9</v>
      </c>
      <c r="B38" s="75" t="s">
        <v>813</v>
      </c>
      <c r="C38" s="75" t="s">
        <v>814</v>
      </c>
      <c r="D38" s="246">
        <v>600.0</v>
      </c>
      <c r="E38" s="248">
        <v>182.0</v>
      </c>
      <c r="F38" s="251"/>
      <c r="G38" s="76">
        <f t="shared" si="1"/>
        <v>0</v>
      </c>
      <c r="H38" s="78">
        <f t="shared" si="2"/>
        <v>1.978021978</v>
      </c>
      <c r="I38" s="78"/>
      <c r="J38" s="65"/>
      <c r="K38" s="65"/>
      <c r="L38" s="65"/>
      <c r="M38" s="65"/>
      <c r="N38" s="65"/>
      <c r="O38" s="65"/>
    </row>
    <row r="39" ht="15.75" customHeight="1">
      <c r="A39" s="75">
        <v>8.10544819E9</v>
      </c>
      <c r="B39" s="75" t="s">
        <v>815</v>
      </c>
      <c r="C39" s="75" t="s">
        <v>816</v>
      </c>
      <c r="D39" s="246">
        <v>250.0</v>
      </c>
      <c r="E39" s="248">
        <v>182.0</v>
      </c>
      <c r="F39" s="251"/>
      <c r="G39" s="76">
        <f t="shared" si="1"/>
        <v>0</v>
      </c>
      <c r="H39" s="78">
        <f t="shared" si="2"/>
        <v>1.978021978</v>
      </c>
      <c r="I39" s="78"/>
      <c r="J39" s="65"/>
      <c r="K39" s="65"/>
      <c r="L39" s="65"/>
      <c r="M39" s="65"/>
      <c r="N39" s="65"/>
      <c r="O39" s="65"/>
    </row>
    <row r="40" ht="15.75" customHeight="1">
      <c r="A40" s="75">
        <v>8.10546419E9</v>
      </c>
      <c r="B40" s="75" t="s">
        <v>817</v>
      </c>
      <c r="C40" s="75" t="s">
        <v>818</v>
      </c>
      <c r="D40" s="246">
        <v>250.0</v>
      </c>
      <c r="E40" s="248">
        <v>182.0</v>
      </c>
      <c r="F40" s="251"/>
      <c r="G40" s="76">
        <f t="shared" si="1"/>
        <v>0</v>
      </c>
      <c r="H40" s="78">
        <f t="shared" si="2"/>
        <v>1.978021978</v>
      </c>
      <c r="I40" s="78"/>
      <c r="J40" s="65"/>
      <c r="K40" s="65"/>
      <c r="L40" s="65"/>
      <c r="M40" s="65"/>
      <c r="N40" s="65"/>
      <c r="O40" s="65"/>
    </row>
    <row r="41" ht="15.75" customHeight="1">
      <c r="A41" s="75">
        <v>8.06351619E9</v>
      </c>
      <c r="B41" s="75" t="s">
        <v>819</v>
      </c>
      <c r="C41" s="75" t="s">
        <v>820</v>
      </c>
      <c r="D41" s="246">
        <v>14500.0</v>
      </c>
      <c r="E41" s="248">
        <v>182.0</v>
      </c>
      <c r="F41" s="251"/>
      <c r="G41" s="76">
        <f t="shared" si="1"/>
        <v>0</v>
      </c>
      <c r="H41" s="78">
        <f t="shared" si="2"/>
        <v>1.978021978</v>
      </c>
      <c r="I41" s="78"/>
      <c r="J41" s="65"/>
      <c r="K41" s="65"/>
      <c r="L41" s="65"/>
      <c r="M41" s="65"/>
      <c r="N41" s="65"/>
      <c r="O41" s="65"/>
    </row>
    <row r="42" ht="15.75" customHeight="1">
      <c r="A42" s="75">
        <v>8.05748619E9</v>
      </c>
      <c r="B42" s="75" t="s">
        <v>821</v>
      </c>
      <c r="C42" s="75" t="s">
        <v>822</v>
      </c>
      <c r="D42" s="246">
        <v>150.0</v>
      </c>
      <c r="E42" s="248">
        <v>56.0</v>
      </c>
      <c r="F42" s="249"/>
      <c r="G42" s="76">
        <f t="shared" si="1"/>
        <v>0</v>
      </c>
      <c r="H42" s="78">
        <f t="shared" si="2"/>
        <v>6.428571429</v>
      </c>
      <c r="I42" s="78"/>
      <c r="J42" s="65"/>
      <c r="K42" s="65"/>
      <c r="L42" s="65"/>
      <c r="M42" s="65"/>
      <c r="N42" s="65"/>
      <c r="O42" s="65"/>
    </row>
    <row r="43" ht="15.75" customHeight="1">
      <c r="A43" s="75">
        <v>8.05672219E9</v>
      </c>
      <c r="B43" s="75" t="s">
        <v>823</v>
      </c>
      <c r="C43" s="75" t="s">
        <v>824</v>
      </c>
      <c r="D43" s="246">
        <v>500.0</v>
      </c>
      <c r="E43" s="248">
        <v>182.0</v>
      </c>
      <c r="F43" s="249"/>
      <c r="G43" s="76">
        <f t="shared" si="1"/>
        <v>0</v>
      </c>
      <c r="H43" s="78">
        <f t="shared" si="2"/>
        <v>1.978021978</v>
      </c>
      <c r="I43" s="78"/>
      <c r="J43" s="65"/>
      <c r="K43" s="65"/>
      <c r="L43" s="65"/>
      <c r="M43" s="65"/>
      <c r="N43" s="65"/>
      <c r="O43" s="65"/>
    </row>
    <row r="44" ht="15.75" customHeight="1">
      <c r="A44" s="75">
        <v>8.05867919E9</v>
      </c>
      <c r="B44" s="75" t="s">
        <v>825</v>
      </c>
      <c r="C44" s="75" t="s">
        <v>826</v>
      </c>
      <c r="D44" s="246">
        <v>650.0</v>
      </c>
      <c r="E44" s="248">
        <v>182.0</v>
      </c>
      <c r="F44" s="251"/>
      <c r="G44" s="76">
        <f t="shared" si="1"/>
        <v>0</v>
      </c>
      <c r="H44" s="78">
        <f t="shared" si="2"/>
        <v>1.978021978</v>
      </c>
      <c r="I44" s="78"/>
      <c r="J44" s="65"/>
      <c r="K44" s="65"/>
      <c r="L44" s="65"/>
      <c r="M44" s="65"/>
      <c r="N44" s="65"/>
      <c r="O44" s="65"/>
    </row>
    <row r="45" ht="15.75" customHeight="1">
      <c r="A45" s="75">
        <v>8.05791519E9</v>
      </c>
      <c r="B45" s="75" t="s">
        <v>827</v>
      </c>
      <c r="C45" s="75" t="s">
        <v>828</v>
      </c>
      <c r="D45" s="246">
        <v>300.0</v>
      </c>
      <c r="E45" s="248">
        <v>182.0</v>
      </c>
      <c r="F45" s="251"/>
      <c r="G45" s="76">
        <f t="shared" si="1"/>
        <v>0</v>
      </c>
      <c r="H45" s="78">
        <f t="shared" si="2"/>
        <v>1.978021978</v>
      </c>
      <c r="I45" s="78"/>
      <c r="J45" s="65"/>
      <c r="K45" s="65"/>
      <c r="L45" s="65"/>
      <c r="M45" s="65"/>
      <c r="N45" s="65"/>
      <c r="O45" s="65"/>
    </row>
    <row r="46" ht="15.75" customHeight="1">
      <c r="A46" s="246">
        <v>8.10547219E9</v>
      </c>
      <c r="B46" s="75" t="s">
        <v>829</v>
      </c>
      <c r="C46" s="75" t="s">
        <v>830</v>
      </c>
      <c r="D46" s="246">
        <v>200.0</v>
      </c>
      <c r="E46" s="248">
        <v>182.0</v>
      </c>
      <c r="F46" s="251"/>
      <c r="G46" s="76">
        <f t="shared" si="1"/>
        <v>0</v>
      </c>
      <c r="H46" s="78">
        <f t="shared" si="2"/>
        <v>1.978021978</v>
      </c>
      <c r="I46" s="78"/>
      <c r="J46" s="65"/>
      <c r="K46" s="65"/>
      <c r="L46" s="65"/>
      <c r="M46" s="65"/>
      <c r="N46" s="65"/>
      <c r="O46" s="65"/>
    </row>
    <row r="47" ht="15.75" customHeight="1">
      <c r="A47" s="246">
        <v>8.10555319E9</v>
      </c>
      <c r="B47" s="75" t="s">
        <v>831</v>
      </c>
      <c r="C47" s="75" t="s">
        <v>832</v>
      </c>
      <c r="D47" s="246">
        <v>200.0</v>
      </c>
      <c r="E47" s="248">
        <v>56.0</v>
      </c>
      <c r="F47" s="251"/>
      <c r="G47" s="76">
        <f t="shared" si="1"/>
        <v>0</v>
      </c>
      <c r="H47" s="78">
        <f t="shared" si="2"/>
        <v>6.428571429</v>
      </c>
      <c r="I47" s="78"/>
      <c r="J47" s="65"/>
      <c r="K47" s="65"/>
      <c r="L47" s="65"/>
      <c r="M47" s="65"/>
      <c r="N47" s="65"/>
      <c r="O47" s="65"/>
    </row>
    <row r="48" ht="15.75" customHeight="1">
      <c r="A48" s="246">
        <v>8.25264519E9</v>
      </c>
      <c r="B48" s="75" t="s">
        <v>833</v>
      </c>
      <c r="C48" s="75" t="s">
        <v>834</v>
      </c>
      <c r="D48" s="246">
        <v>200.0</v>
      </c>
      <c r="E48" s="248">
        <v>182.0</v>
      </c>
      <c r="F48" s="251"/>
      <c r="G48" s="76">
        <f t="shared" si="1"/>
        <v>0</v>
      </c>
      <c r="H48" s="78">
        <f t="shared" si="2"/>
        <v>1.978021978</v>
      </c>
      <c r="I48" s="78"/>
      <c r="J48" s="65"/>
      <c r="K48" s="65"/>
      <c r="L48" s="65"/>
      <c r="M48" s="65"/>
      <c r="N48" s="65"/>
      <c r="O48" s="65"/>
    </row>
    <row r="49" ht="15.75" customHeight="1">
      <c r="A49" s="246">
        <v>8.10607019E9</v>
      </c>
      <c r="B49" s="75" t="s">
        <v>835</v>
      </c>
      <c r="C49" s="75" t="s">
        <v>836</v>
      </c>
      <c r="D49" s="246">
        <v>150.0</v>
      </c>
      <c r="E49" s="248">
        <v>182.0</v>
      </c>
      <c r="F49" s="251"/>
      <c r="G49" s="76">
        <f t="shared" si="1"/>
        <v>0</v>
      </c>
      <c r="H49" s="78">
        <f t="shared" si="2"/>
        <v>1.978021978</v>
      </c>
      <c r="I49" s="78"/>
      <c r="J49" s="65"/>
      <c r="K49" s="65"/>
      <c r="L49" s="65"/>
      <c r="M49" s="65"/>
      <c r="N49" s="65"/>
      <c r="O49" s="65"/>
    </row>
    <row r="50" ht="15.75" customHeight="1">
      <c r="A50" s="246">
        <v>8.10606119E9</v>
      </c>
      <c r="B50" s="75" t="s">
        <v>837</v>
      </c>
      <c r="C50" s="75" t="s">
        <v>838</v>
      </c>
      <c r="D50" s="246">
        <v>150.0</v>
      </c>
      <c r="E50" s="248">
        <v>182.0</v>
      </c>
      <c r="F50" s="251"/>
      <c r="G50" s="76">
        <f t="shared" si="1"/>
        <v>0</v>
      </c>
      <c r="H50" s="78">
        <f t="shared" si="2"/>
        <v>1.978021978</v>
      </c>
      <c r="I50" s="78"/>
      <c r="J50" s="65"/>
      <c r="K50" s="65"/>
      <c r="L50" s="65"/>
      <c r="M50" s="65"/>
      <c r="N50" s="65"/>
      <c r="O50" s="65"/>
    </row>
    <row r="51" ht="15.75" customHeight="1">
      <c r="A51" s="246">
        <v>8.05877619E9</v>
      </c>
      <c r="B51" s="75" t="s">
        <v>839</v>
      </c>
      <c r="C51" s="75" t="s">
        <v>840</v>
      </c>
      <c r="D51" s="246">
        <v>100.0</v>
      </c>
      <c r="E51" s="248">
        <v>56.0</v>
      </c>
      <c r="F51" s="251"/>
      <c r="G51" s="76">
        <f t="shared" si="1"/>
        <v>0</v>
      </c>
      <c r="H51" s="78">
        <f t="shared" si="2"/>
        <v>6.428571429</v>
      </c>
      <c r="I51" s="78"/>
      <c r="J51" s="65"/>
      <c r="K51" s="65"/>
      <c r="L51" s="65"/>
      <c r="M51" s="65"/>
      <c r="N51" s="65"/>
      <c r="O51" s="65"/>
    </row>
    <row r="52" ht="15.75" customHeight="1">
      <c r="A52" s="246">
        <v>8.05759119E9</v>
      </c>
      <c r="B52" s="75" t="s">
        <v>841</v>
      </c>
      <c r="C52" s="75" t="s">
        <v>842</v>
      </c>
      <c r="D52" s="246">
        <v>500.0</v>
      </c>
      <c r="E52" s="248">
        <v>84.0</v>
      </c>
      <c r="F52" s="249"/>
      <c r="G52" s="76">
        <f t="shared" si="1"/>
        <v>0</v>
      </c>
      <c r="H52" s="78">
        <f t="shared" si="2"/>
        <v>4.285714286</v>
      </c>
      <c r="I52" s="78"/>
      <c r="J52" s="65"/>
      <c r="K52" s="65"/>
      <c r="L52" s="65"/>
      <c r="M52" s="65"/>
      <c r="N52" s="65"/>
      <c r="O52" s="65"/>
    </row>
    <row r="53" ht="15.75" customHeight="1">
      <c r="A53" s="246">
        <v>8.10554519E9</v>
      </c>
      <c r="B53" s="75" t="s">
        <v>843</v>
      </c>
      <c r="C53" s="75" t="s">
        <v>844</v>
      </c>
      <c r="D53" s="246">
        <v>150.0</v>
      </c>
      <c r="E53" s="248">
        <v>154.0</v>
      </c>
      <c r="F53" s="251"/>
      <c r="G53" s="76">
        <f t="shared" si="1"/>
        <v>0</v>
      </c>
      <c r="H53" s="78">
        <f t="shared" si="2"/>
        <v>2.337662338</v>
      </c>
      <c r="I53" s="78"/>
      <c r="J53" s="65"/>
      <c r="K53" s="65"/>
      <c r="L53" s="65"/>
      <c r="M53" s="65"/>
      <c r="N53" s="65"/>
      <c r="O53" s="65"/>
    </row>
    <row r="54" ht="15.75" customHeight="1">
      <c r="A54" s="246">
        <v>8.10604519E9</v>
      </c>
      <c r="B54" s="75" t="s">
        <v>845</v>
      </c>
      <c r="C54" s="75" t="s">
        <v>846</v>
      </c>
      <c r="D54" s="246">
        <v>200.0</v>
      </c>
      <c r="E54" s="248">
        <v>182.0</v>
      </c>
      <c r="F54" s="251"/>
      <c r="G54" s="76">
        <f t="shared" si="1"/>
        <v>0</v>
      </c>
      <c r="H54" s="78">
        <f t="shared" si="2"/>
        <v>1.978021978</v>
      </c>
      <c r="I54" s="78"/>
      <c r="J54" s="65"/>
      <c r="K54" s="65"/>
      <c r="L54" s="65"/>
      <c r="M54" s="65"/>
      <c r="N54" s="65"/>
      <c r="O54" s="65"/>
    </row>
    <row r="55" ht="15.75" customHeight="1">
      <c r="A55" s="246">
        <v>8.10553719E9</v>
      </c>
      <c r="B55" s="75" t="s">
        <v>847</v>
      </c>
      <c r="C55" s="75" t="s">
        <v>848</v>
      </c>
      <c r="D55" s="246">
        <v>150.0</v>
      </c>
      <c r="E55" s="248">
        <v>154.0</v>
      </c>
      <c r="F55" s="251"/>
      <c r="G55" s="76">
        <f t="shared" si="1"/>
        <v>0</v>
      </c>
      <c r="H55" s="78">
        <f t="shared" si="2"/>
        <v>2.337662338</v>
      </c>
      <c r="I55" s="78"/>
      <c r="J55" s="65"/>
      <c r="K55" s="65"/>
      <c r="L55" s="65"/>
      <c r="M55" s="65"/>
      <c r="N55" s="65"/>
      <c r="O55" s="65"/>
    </row>
    <row r="56" ht="15.75" customHeight="1">
      <c r="A56" s="246">
        <v>8.10608819E9</v>
      </c>
      <c r="B56" s="75" t="s">
        <v>849</v>
      </c>
      <c r="C56" s="75" t="s">
        <v>850</v>
      </c>
      <c r="D56" s="246">
        <v>100.0</v>
      </c>
      <c r="E56" s="248">
        <v>182.0</v>
      </c>
      <c r="F56" s="251"/>
      <c r="G56" s="76">
        <f t="shared" si="1"/>
        <v>0</v>
      </c>
      <c r="H56" s="78">
        <f t="shared" si="2"/>
        <v>1.978021978</v>
      </c>
      <c r="I56" s="78"/>
      <c r="J56" s="65"/>
      <c r="K56" s="65"/>
      <c r="L56" s="65"/>
      <c r="M56" s="65"/>
      <c r="N56" s="65"/>
      <c r="O56" s="65"/>
    </row>
    <row r="57" ht="15.75" customHeight="1">
      <c r="A57" s="246">
        <v>8.10609619E9</v>
      </c>
      <c r="B57" s="75" t="s">
        <v>851</v>
      </c>
      <c r="C57" s="75" t="s">
        <v>852</v>
      </c>
      <c r="D57" s="246">
        <v>100.0</v>
      </c>
      <c r="E57" s="248">
        <v>182.0</v>
      </c>
      <c r="F57" s="251"/>
      <c r="G57" s="76">
        <f t="shared" si="1"/>
        <v>0</v>
      </c>
      <c r="H57" s="78">
        <f t="shared" si="2"/>
        <v>1.978021978</v>
      </c>
      <c r="I57" s="78"/>
      <c r="J57" s="65"/>
      <c r="K57" s="65"/>
      <c r="L57" s="65"/>
      <c r="M57" s="65"/>
      <c r="N57" s="65"/>
      <c r="O57" s="65"/>
    </row>
    <row r="58" ht="15.75" customHeight="1">
      <c r="A58" s="246">
        <v>8.10139619E9</v>
      </c>
      <c r="B58" s="75" t="s">
        <v>853</v>
      </c>
      <c r="C58" s="75" t="s">
        <v>854</v>
      </c>
      <c r="D58" s="246">
        <v>200.0</v>
      </c>
      <c r="E58" s="248">
        <v>182.0</v>
      </c>
      <c r="F58" s="251"/>
      <c r="G58" s="76">
        <f t="shared" si="1"/>
        <v>0</v>
      </c>
      <c r="H58" s="78">
        <f t="shared" si="2"/>
        <v>1.978021978</v>
      </c>
      <c r="I58" s="78"/>
      <c r="J58" s="65"/>
      <c r="K58" s="65"/>
      <c r="L58" s="65"/>
      <c r="M58" s="65"/>
      <c r="N58" s="65"/>
      <c r="O58" s="65"/>
    </row>
    <row r="59" ht="15.75" customHeight="1">
      <c r="A59" s="246">
        <v>8.05873319E9</v>
      </c>
      <c r="B59" s="75" t="s">
        <v>855</v>
      </c>
      <c r="C59" s="75" t="s">
        <v>856</v>
      </c>
      <c r="D59" s="246">
        <v>500.0</v>
      </c>
      <c r="E59" s="248">
        <v>182.0</v>
      </c>
      <c r="F59" s="251"/>
      <c r="G59" s="76">
        <f t="shared" si="1"/>
        <v>0</v>
      </c>
      <c r="H59" s="78">
        <f t="shared" si="2"/>
        <v>1.978021978</v>
      </c>
      <c r="I59" s="78"/>
      <c r="J59" s="65"/>
      <c r="K59" s="65"/>
      <c r="L59" s="65"/>
      <c r="M59" s="65"/>
      <c r="N59" s="65"/>
      <c r="O59" s="65"/>
    </row>
    <row r="60" ht="15.75" customHeight="1">
      <c r="A60" s="246">
        <v>8.05764819E9</v>
      </c>
      <c r="B60" s="75" t="s">
        <v>857</v>
      </c>
      <c r="C60" s="75" t="s">
        <v>858</v>
      </c>
      <c r="D60" s="246">
        <v>400.0</v>
      </c>
      <c r="E60" s="248">
        <v>182.0</v>
      </c>
      <c r="F60" s="251"/>
      <c r="G60" s="76">
        <f t="shared" si="1"/>
        <v>0</v>
      </c>
      <c r="H60" s="78">
        <f t="shared" si="2"/>
        <v>1.978021978</v>
      </c>
      <c r="I60" s="78"/>
      <c r="J60" s="65"/>
      <c r="K60" s="65"/>
      <c r="L60" s="65"/>
      <c r="M60" s="65"/>
      <c r="N60" s="65"/>
      <c r="O60" s="65"/>
    </row>
    <row r="61" ht="15.75" customHeight="1">
      <c r="A61" s="246">
        <v>8.05792319E9</v>
      </c>
      <c r="B61" s="75" t="s">
        <v>859</v>
      </c>
      <c r="C61" s="75" t="s">
        <v>860</v>
      </c>
      <c r="D61" s="246">
        <v>300.0</v>
      </c>
      <c r="E61" s="248">
        <v>182.0</v>
      </c>
      <c r="F61" s="251"/>
      <c r="G61" s="76">
        <f t="shared" si="1"/>
        <v>0</v>
      </c>
      <c r="H61" s="78">
        <f t="shared" si="2"/>
        <v>1.978021978</v>
      </c>
      <c r="I61" s="78"/>
      <c r="J61" s="65"/>
      <c r="K61" s="65"/>
      <c r="L61" s="65"/>
      <c r="M61" s="65"/>
      <c r="N61" s="65"/>
      <c r="O61" s="65"/>
    </row>
    <row r="62" ht="15.75" customHeight="1">
      <c r="A62" s="252" t="s">
        <v>861</v>
      </c>
      <c r="B62" s="75" t="s">
        <v>862</v>
      </c>
      <c r="C62" s="253" t="s">
        <v>828</v>
      </c>
      <c r="D62" s="246">
        <v>300.0</v>
      </c>
      <c r="E62" s="248">
        <v>182.0</v>
      </c>
      <c r="F62" s="251"/>
      <c r="G62" s="76">
        <f t="shared" si="1"/>
        <v>0</v>
      </c>
      <c r="H62" s="78">
        <f t="shared" si="2"/>
        <v>1.978021978</v>
      </c>
      <c r="I62" s="78"/>
      <c r="J62" s="65"/>
      <c r="K62" s="65"/>
      <c r="L62" s="65"/>
      <c r="M62" s="65"/>
      <c r="N62" s="65"/>
      <c r="O62" s="65"/>
    </row>
    <row r="63" ht="15.75" customHeight="1">
      <c r="A63" s="246">
        <v>8.05788519E9</v>
      </c>
      <c r="B63" s="75" t="s">
        <v>863</v>
      </c>
      <c r="C63" s="75" t="s">
        <v>864</v>
      </c>
      <c r="D63" s="246">
        <v>300.0</v>
      </c>
      <c r="E63" s="248">
        <v>182.0</v>
      </c>
      <c r="F63" s="251"/>
      <c r="G63" s="76">
        <f t="shared" si="1"/>
        <v>0</v>
      </c>
      <c r="H63" s="78">
        <f t="shared" si="2"/>
        <v>1.978021978</v>
      </c>
      <c r="I63" s="78"/>
      <c r="J63" s="65"/>
      <c r="K63" s="65"/>
      <c r="L63" s="65"/>
      <c r="M63" s="65"/>
      <c r="N63" s="65"/>
      <c r="O63" s="65"/>
    </row>
    <row r="64" ht="15.75" customHeight="1">
      <c r="A64" s="75">
        <v>8.05666819E9</v>
      </c>
      <c r="B64" s="75" t="s">
        <v>865</v>
      </c>
      <c r="C64" s="75" t="s">
        <v>866</v>
      </c>
      <c r="D64" s="246">
        <v>500.0</v>
      </c>
      <c r="E64" s="248">
        <v>182.0</v>
      </c>
      <c r="F64" s="251"/>
      <c r="G64" s="76">
        <f t="shared" si="1"/>
        <v>0</v>
      </c>
      <c r="H64" s="78">
        <f t="shared" si="2"/>
        <v>1.978021978</v>
      </c>
      <c r="I64" s="78"/>
      <c r="J64" s="65"/>
      <c r="K64" s="65"/>
      <c r="L64" s="65"/>
      <c r="M64" s="65"/>
      <c r="N64" s="65"/>
      <c r="O64" s="65"/>
    </row>
    <row r="65" ht="15.75" customHeight="1">
      <c r="A65" s="75">
        <v>8.44569919E9</v>
      </c>
      <c r="B65" s="75" t="s">
        <v>867</v>
      </c>
      <c r="C65" s="75" t="s">
        <v>868</v>
      </c>
      <c r="D65" s="246">
        <v>200.0</v>
      </c>
      <c r="E65" s="248">
        <v>28.0</v>
      </c>
      <c r="F65" s="249"/>
      <c r="G65" s="76">
        <f t="shared" si="1"/>
        <v>0</v>
      </c>
      <c r="H65" s="78">
        <f t="shared" si="2"/>
        <v>12.85714286</v>
      </c>
      <c r="I65" s="78"/>
      <c r="J65" s="65"/>
      <c r="K65" s="65"/>
      <c r="L65" s="65"/>
      <c r="M65" s="65"/>
      <c r="N65" s="65"/>
      <c r="O65" s="65"/>
    </row>
    <row r="66" ht="15.75" customHeight="1">
      <c r="A66" s="75">
        <v>8.10562619E9</v>
      </c>
      <c r="B66" s="75" t="s">
        <v>869</v>
      </c>
      <c r="C66" s="75" t="s">
        <v>870</v>
      </c>
      <c r="D66" s="246">
        <v>100.0</v>
      </c>
      <c r="E66" s="248">
        <v>182.0</v>
      </c>
      <c r="F66" s="249"/>
      <c r="G66" s="76">
        <f t="shared" si="1"/>
        <v>0</v>
      </c>
      <c r="H66" s="78">
        <f t="shared" si="2"/>
        <v>1.978021978</v>
      </c>
      <c r="I66" s="78"/>
      <c r="J66" s="65"/>
      <c r="K66" s="65"/>
      <c r="L66" s="65"/>
      <c r="M66" s="65"/>
      <c r="N66" s="65"/>
      <c r="O66" s="65"/>
    </row>
    <row r="67" ht="15.75" customHeight="1">
      <c r="A67" s="75">
        <v>8.10552919E9</v>
      </c>
      <c r="B67" s="75" t="s">
        <v>871</v>
      </c>
      <c r="C67" s="75" t="s">
        <v>872</v>
      </c>
      <c r="D67" s="246">
        <v>150.0</v>
      </c>
      <c r="E67" s="248">
        <v>84.0</v>
      </c>
      <c r="F67" s="251"/>
      <c r="G67" s="76">
        <f t="shared" si="1"/>
        <v>0</v>
      </c>
      <c r="H67" s="78">
        <f t="shared" si="2"/>
        <v>4.285714286</v>
      </c>
      <c r="I67" s="78"/>
      <c r="J67" s="65"/>
      <c r="K67" s="65"/>
      <c r="L67" s="65"/>
      <c r="M67" s="65"/>
      <c r="N67" s="65"/>
      <c r="O67" s="65"/>
    </row>
    <row r="68" ht="15.75" customHeight="1">
      <c r="A68" s="75">
        <v>8.10612619E9</v>
      </c>
      <c r="B68" s="75" t="s">
        <v>873</v>
      </c>
      <c r="C68" s="75" t="s">
        <v>874</v>
      </c>
      <c r="D68" s="246">
        <v>150.0</v>
      </c>
      <c r="E68" s="248">
        <v>182.0</v>
      </c>
      <c r="F68" s="251"/>
      <c r="G68" s="76">
        <f t="shared" si="1"/>
        <v>0</v>
      </c>
      <c r="H68" s="78">
        <f t="shared" si="2"/>
        <v>1.978021978</v>
      </c>
      <c r="I68" s="78"/>
      <c r="J68" s="65"/>
      <c r="K68" s="65"/>
      <c r="L68" s="65"/>
      <c r="M68" s="65"/>
      <c r="N68" s="65"/>
      <c r="O68" s="65"/>
    </row>
    <row r="69" ht="15.75" customHeight="1">
      <c r="A69" s="75">
        <v>8.10559619E9</v>
      </c>
      <c r="B69" s="75" t="s">
        <v>875</v>
      </c>
      <c r="C69" s="75" t="s">
        <v>876</v>
      </c>
      <c r="D69" s="246">
        <v>250.0</v>
      </c>
      <c r="E69" s="248">
        <v>182.0</v>
      </c>
      <c r="F69" s="251"/>
      <c r="G69" s="76">
        <f t="shared" si="1"/>
        <v>0</v>
      </c>
      <c r="H69" s="78">
        <f t="shared" si="2"/>
        <v>1.978021978</v>
      </c>
      <c r="I69" s="78"/>
      <c r="J69" s="65"/>
      <c r="K69" s="65"/>
      <c r="L69" s="65"/>
      <c r="M69" s="65"/>
      <c r="N69" s="65"/>
      <c r="O69" s="65"/>
    </row>
    <row r="70" ht="15.75" customHeight="1">
      <c r="A70" s="75">
        <v>8.05782619E9</v>
      </c>
      <c r="B70" s="75" t="s">
        <v>877</v>
      </c>
      <c r="C70" s="75" t="s">
        <v>878</v>
      </c>
      <c r="D70" s="246">
        <v>100.0</v>
      </c>
      <c r="E70" s="248">
        <v>28.0</v>
      </c>
      <c r="F70" s="251"/>
      <c r="G70" s="76">
        <f t="shared" si="1"/>
        <v>0</v>
      </c>
      <c r="H70" s="78">
        <f t="shared" si="2"/>
        <v>12.85714286</v>
      </c>
      <c r="I70" s="78"/>
      <c r="J70" s="65"/>
      <c r="K70" s="65"/>
      <c r="L70" s="65"/>
      <c r="M70" s="65"/>
      <c r="N70" s="65"/>
      <c r="O70" s="65"/>
    </row>
    <row r="71" ht="15.75" customHeight="1">
      <c r="A71" s="75">
        <v>8.05749419E9</v>
      </c>
      <c r="B71" s="75" t="s">
        <v>879</v>
      </c>
      <c r="C71" s="75" t="s">
        <v>880</v>
      </c>
      <c r="D71" s="246">
        <v>250.0</v>
      </c>
      <c r="E71" s="248">
        <v>42.0</v>
      </c>
      <c r="F71" s="251"/>
      <c r="G71" s="76">
        <f t="shared" si="1"/>
        <v>0</v>
      </c>
      <c r="H71" s="78">
        <f t="shared" si="2"/>
        <v>8.571428571</v>
      </c>
      <c r="I71" s="78"/>
      <c r="J71" s="65"/>
      <c r="K71" s="65"/>
      <c r="L71" s="65"/>
      <c r="M71" s="65"/>
      <c r="N71" s="65"/>
      <c r="O71" s="65"/>
    </row>
    <row r="72" ht="15.75" customHeight="1">
      <c r="A72" s="75">
        <v>8.05802419E9</v>
      </c>
      <c r="B72" s="75" t="s">
        <v>881</v>
      </c>
      <c r="C72" s="75" t="s">
        <v>882</v>
      </c>
      <c r="D72" s="246">
        <v>300.0</v>
      </c>
      <c r="E72" s="248">
        <v>112.0</v>
      </c>
      <c r="F72" s="251"/>
      <c r="G72" s="76">
        <f t="shared" si="1"/>
        <v>0</v>
      </c>
      <c r="H72" s="78">
        <f t="shared" si="2"/>
        <v>3.214285714</v>
      </c>
      <c r="I72" s="78"/>
      <c r="J72" s="65"/>
      <c r="K72" s="65"/>
      <c r="L72" s="65"/>
      <c r="M72" s="65"/>
      <c r="N72" s="65"/>
      <c r="O72" s="65"/>
    </row>
    <row r="73" ht="15.75" customHeight="1">
      <c r="A73" s="75">
        <v>8.05763019E9</v>
      </c>
      <c r="B73" s="75" t="s">
        <v>883</v>
      </c>
      <c r="C73" s="75" t="s">
        <v>884</v>
      </c>
      <c r="D73" s="246">
        <v>850.0</v>
      </c>
      <c r="E73" s="248">
        <v>84.0</v>
      </c>
      <c r="F73" s="251"/>
      <c r="G73" s="76">
        <f t="shared" si="1"/>
        <v>0</v>
      </c>
      <c r="H73" s="78">
        <f t="shared" si="2"/>
        <v>4.285714286</v>
      </c>
      <c r="I73" s="78"/>
      <c r="J73" s="65"/>
      <c r="K73" s="65"/>
      <c r="L73" s="65"/>
      <c r="M73" s="65"/>
      <c r="N73" s="65"/>
      <c r="O73" s="65"/>
    </row>
    <row r="74" ht="15.75" customHeight="1">
      <c r="A74" s="75">
        <v>8.44567219E9</v>
      </c>
      <c r="B74" s="75" t="s">
        <v>885</v>
      </c>
      <c r="C74" s="75" t="s">
        <v>886</v>
      </c>
      <c r="D74" s="246">
        <v>150.0</v>
      </c>
      <c r="E74" s="248">
        <v>84.0</v>
      </c>
      <c r="F74" s="251"/>
      <c r="G74" s="76">
        <f t="shared" si="1"/>
        <v>0</v>
      </c>
      <c r="H74" s="78">
        <f t="shared" si="2"/>
        <v>4.285714286</v>
      </c>
      <c r="I74" s="78"/>
      <c r="J74" s="65"/>
      <c r="K74" s="65"/>
      <c r="L74" s="65"/>
      <c r="M74" s="65"/>
      <c r="N74" s="65"/>
      <c r="O74" s="65"/>
    </row>
    <row r="75" ht="15.75" customHeight="1">
      <c r="A75" s="75">
        <v>8.10567719E9</v>
      </c>
      <c r="B75" s="75" t="s">
        <v>887</v>
      </c>
      <c r="C75" s="75" t="s">
        <v>888</v>
      </c>
      <c r="D75" s="246">
        <v>550.0</v>
      </c>
      <c r="E75" s="248">
        <v>56.0</v>
      </c>
      <c r="F75" s="251"/>
      <c r="G75" s="76">
        <f t="shared" si="1"/>
        <v>0</v>
      </c>
      <c r="H75" s="78">
        <f t="shared" si="2"/>
        <v>6.428571429</v>
      </c>
      <c r="I75" s="78"/>
      <c r="J75" s="65"/>
      <c r="K75" s="65"/>
      <c r="L75" s="65"/>
      <c r="M75" s="65"/>
      <c r="N75" s="65"/>
      <c r="O75" s="65"/>
    </row>
    <row r="76" ht="15.75" customHeight="1">
      <c r="A76" s="75">
        <v>8.25262919E9</v>
      </c>
      <c r="B76" s="75" t="s">
        <v>889</v>
      </c>
      <c r="C76" s="75" t="s">
        <v>890</v>
      </c>
      <c r="D76" s="246">
        <v>200.0</v>
      </c>
      <c r="E76" s="248">
        <v>84.0</v>
      </c>
      <c r="F76" s="251"/>
      <c r="G76" s="76">
        <f t="shared" si="1"/>
        <v>0</v>
      </c>
      <c r="H76" s="78">
        <f t="shared" si="2"/>
        <v>4.285714286</v>
      </c>
      <c r="I76" s="78"/>
      <c r="J76" s="65"/>
      <c r="K76" s="65"/>
      <c r="L76" s="65"/>
      <c r="M76" s="65"/>
      <c r="N76" s="65"/>
      <c r="O76" s="65"/>
    </row>
    <row r="77" ht="15.75" customHeight="1">
      <c r="A77" s="75">
        <v>8.05862819E9</v>
      </c>
      <c r="B77" s="75" t="s">
        <v>891</v>
      </c>
      <c r="C77" s="75" t="s">
        <v>892</v>
      </c>
      <c r="D77" s="246">
        <v>400.0</v>
      </c>
      <c r="E77" s="248">
        <v>56.0</v>
      </c>
      <c r="F77" s="249"/>
      <c r="G77" s="76">
        <f t="shared" si="1"/>
        <v>0</v>
      </c>
      <c r="H77" s="78">
        <f t="shared" si="2"/>
        <v>6.428571429</v>
      </c>
      <c r="I77" s="78"/>
      <c r="J77" s="65"/>
      <c r="K77" s="65"/>
      <c r="L77" s="65"/>
      <c r="M77" s="65"/>
      <c r="N77" s="65"/>
      <c r="O77" s="65"/>
    </row>
    <row r="78" ht="15.75" customHeight="1">
      <c r="A78" s="75">
        <v>8.44556719E9</v>
      </c>
      <c r="B78" s="75" t="s">
        <v>893</v>
      </c>
      <c r="C78" s="75" t="s">
        <v>894</v>
      </c>
      <c r="D78" s="246">
        <v>100.0</v>
      </c>
      <c r="E78" s="248">
        <v>84.0</v>
      </c>
      <c r="F78" s="251"/>
      <c r="G78" s="76">
        <f t="shared" si="1"/>
        <v>0</v>
      </c>
      <c r="H78" s="78">
        <f t="shared" si="2"/>
        <v>4.285714286</v>
      </c>
      <c r="I78" s="78"/>
      <c r="J78" s="65"/>
      <c r="K78" s="65"/>
      <c r="L78" s="65"/>
      <c r="M78" s="65"/>
      <c r="N78" s="65"/>
      <c r="O78" s="65"/>
    </row>
    <row r="79" ht="15.75" customHeight="1">
      <c r="A79" s="75">
        <v>8.05858019E9</v>
      </c>
      <c r="B79" s="75" t="s">
        <v>895</v>
      </c>
      <c r="C79" s="75" t="s">
        <v>896</v>
      </c>
      <c r="D79" s="246">
        <v>200.0</v>
      </c>
      <c r="E79" s="248">
        <v>90.0</v>
      </c>
      <c r="F79" s="251"/>
      <c r="G79" s="76">
        <f t="shared" si="1"/>
        <v>0</v>
      </c>
      <c r="H79" s="78">
        <f t="shared" si="2"/>
        <v>4</v>
      </c>
      <c r="I79" s="78"/>
      <c r="J79" s="65"/>
      <c r="K79" s="65"/>
      <c r="L79" s="65"/>
      <c r="M79" s="65"/>
      <c r="N79" s="65"/>
      <c r="O79" s="65"/>
    </row>
    <row r="80" ht="15.75" customHeight="1">
      <c r="A80" s="75">
        <v>8.05743519E9</v>
      </c>
      <c r="B80" s="75" t="s">
        <v>897</v>
      </c>
      <c r="C80" s="75" t="s">
        <v>898</v>
      </c>
      <c r="D80" s="246">
        <v>500.0</v>
      </c>
      <c r="E80" s="248">
        <v>182.0</v>
      </c>
      <c r="F80" s="251"/>
      <c r="G80" s="76">
        <f t="shared" si="1"/>
        <v>0</v>
      </c>
      <c r="H80" s="78">
        <f t="shared" si="2"/>
        <v>1.978021978</v>
      </c>
      <c r="I80" s="78"/>
      <c r="J80" s="65"/>
      <c r="K80" s="65"/>
      <c r="L80" s="65"/>
      <c r="M80" s="65"/>
      <c r="N80" s="65"/>
      <c r="O80" s="65"/>
    </row>
    <row r="81" ht="15.75" customHeight="1">
      <c r="A81" s="75">
        <v>8.44557519E9</v>
      </c>
      <c r="B81" s="75" t="s">
        <v>899</v>
      </c>
      <c r="C81" s="75" t="s">
        <v>900</v>
      </c>
      <c r="D81" s="246">
        <v>200.0</v>
      </c>
      <c r="E81" s="248">
        <v>126.0</v>
      </c>
      <c r="F81" s="251"/>
      <c r="G81" s="76">
        <f t="shared" si="1"/>
        <v>0</v>
      </c>
      <c r="H81" s="78">
        <f t="shared" si="2"/>
        <v>2.857142857</v>
      </c>
      <c r="I81" s="78"/>
      <c r="J81" s="65"/>
      <c r="K81" s="65"/>
      <c r="L81" s="65"/>
      <c r="M81" s="65"/>
      <c r="N81" s="65"/>
      <c r="O81" s="65"/>
    </row>
    <row r="82" ht="15.75" customHeight="1">
      <c r="A82" s="254">
        <v>8.05884919E9</v>
      </c>
      <c r="B82" s="75" t="s">
        <v>901</v>
      </c>
      <c r="C82" s="75" t="s">
        <v>902</v>
      </c>
      <c r="D82" s="246">
        <v>200.0</v>
      </c>
      <c r="E82" s="248">
        <v>84.0</v>
      </c>
      <c r="F82" s="251"/>
      <c r="G82" s="76">
        <f t="shared" si="1"/>
        <v>0</v>
      </c>
      <c r="H82" s="78">
        <f t="shared" si="2"/>
        <v>4.285714286</v>
      </c>
      <c r="I82" s="78"/>
      <c r="J82" s="65"/>
      <c r="K82" s="65"/>
      <c r="L82" s="65"/>
      <c r="M82" s="65"/>
      <c r="N82" s="65"/>
      <c r="O82" s="65"/>
    </row>
    <row r="83" ht="15.75" customHeight="1">
      <c r="A83" s="203"/>
      <c r="B83" s="203"/>
      <c r="C83" s="204"/>
      <c r="D83" s="205"/>
      <c r="E83" s="255" t="s">
        <v>244</v>
      </c>
      <c r="F83" s="256">
        <f>SUM(F9:F82)</f>
        <v>0</v>
      </c>
      <c r="G83" s="206"/>
      <c r="H83" s="115"/>
      <c r="I83" s="115"/>
      <c r="J83" s="65"/>
      <c r="K83" s="65"/>
      <c r="L83" s="65"/>
      <c r="M83" s="65"/>
      <c r="N83" s="65"/>
      <c r="O83" s="65"/>
    </row>
    <row r="84" ht="15.75" customHeight="1">
      <c r="A84" s="257" t="s">
        <v>903</v>
      </c>
      <c r="B84" s="58"/>
      <c r="C84" s="59"/>
      <c r="D84" s="258" t="s">
        <v>371</v>
      </c>
      <c r="E84" s="258" t="s">
        <v>616</v>
      </c>
      <c r="F84" s="259"/>
      <c r="G84" s="259" t="s">
        <v>169</v>
      </c>
      <c r="H84" s="260" t="s">
        <v>170</v>
      </c>
      <c r="I84" s="260" t="s">
        <v>171</v>
      </c>
      <c r="J84" s="65"/>
      <c r="K84" s="65"/>
      <c r="L84" s="65"/>
      <c r="M84" s="65"/>
      <c r="N84" s="65"/>
      <c r="O84" s="65"/>
    </row>
    <row r="85" ht="15.75" customHeight="1">
      <c r="A85" s="75">
        <v>1.075935019E10</v>
      </c>
      <c r="B85" s="75" t="s">
        <v>354</v>
      </c>
      <c r="C85" s="75" t="s">
        <v>354</v>
      </c>
      <c r="D85" s="246">
        <v>12.0</v>
      </c>
      <c r="E85" s="246">
        <v>28.0</v>
      </c>
      <c r="F85" s="76"/>
      <c r="G85" s="261"/>
      <c r="H85" s="78">
        <f t="shared" ref="H85:H125" si="3">(360/E85)</f>
        <v>12.85714286</v>
      </c>
      <c r="I85" s="78"/>
      <c r="J85" s="65"/>
      <c r="K85" s="65"/>
      <c r="L85" s="65"/>
      <c r="M85" s="65"/>
      <c r="N85" s="65"/>
      <c r="O85" s="65"/>
    </row>
    <row r="86" ht="15.75" customHeight="1">
      <c r="A86" s="75">
        <v>3.121313122E9</v>
      </c>
      <c r="B86" s="75" t="s">
        <v>385</v>
      </c>
      <c r="C86" s="75" t="s">
        <v>385</v>
      </c>
      <c r="D86" s="246">
        <v>4.0</v>
      </c>
      <c r="E86" s="246">
        <v>28.0</v>
      </c>
      <c r="F86" s="76"/>
      <c r="G86" s="261"/>
      <c r="H86" s="78">
        <f t="shared" si="3"/>
        <v>12.85714286</v>
      </c>
      <c r="I86" s="78"/>
      <c r="J86" s="65"/>
      <c r="K86" s="65"/>
      <c r="L86" s="65"/>
      <c r="M86" s="65"/>
      <c r="N86" s="65"/>
      <c r="O86" s="65"/>
    </row>
    <row r="87" ht="15.75" customHeight="1">
      <c r="A87" s="75">
        <v>3.121291122E9</v>
      </c>
      <c r="B87" s="75" t="s">
        <v>387</v>
      </c>
      <c r="C87" s="75" t="s">
        <v>387</v>
      </c>
      <c r="D87" s="246">
        <v>4.0</v>
      </c>
      <c r="E87" s="246">
        <v>28.0</v>
      </c>
      <c r="F87" s="76"/>
      <c r="G87" s="261"/>
      <c r="H87" s="78">
        <f t="shared" si="3"/>
        <v>12.85714286</v>
      </c>
      <c r="I87" s="78"/>
      <c r="J87" s="65"/>
      <c r="K87" s="65"/>
      <c r="L87" s="65"/>
      <c r="M87" s="65"/>
      <c r="N87" s="65"/>
      <c r="O87" s="65"/>
    </row>
    <row r="88" ht="15.75" customHeight="1">
      <c r="A88" s="75">
        <v>1.2172623122E10</v>
      </c>
      <c r="B88" s="75" t="s">
        <v>357</v>
      </c>
      <c r="C88" s="75" t="s">
        <v>248</v>
      </c>
      <c r="D88" s="246">
        <v>3.0</v>
      </c>
      <c r="E88" s="246">
        <v>28.0</v>
      </c>
      <c r="F88" s="76"/>
      <c r="G88" s="261"/>
      <c r="H88" s="78">
        <f t="shared" si="3"/>
        <v>12.85714286</v>
      </c>
      <c r="I88" s="78"/>
      <c r="J88" s="65"/>
      <c r="K88" s="65"/>
      <c r="L88" s="65"/>
      <c r="M88" s="65"/>
      <c r="N88" s="65"/>
      <c r="O88" s="65"/>
    </row>
    <row r="89" ht="15.75" customHeight="1">
      <c r="A89" s="75">
        <v>1.1447394216E10</v>
      </c>
      <c r="B89" s="75" t="s">
        <v>355</v>
      </c>
      <c r="C89" s="75" t="s">
        <v>904</v>
      </c>
      <c r="D89" s="246">
        <v>3.0</v>
      </c>
      <c r="E89" s="246">
        <v>28.0</v>
      </c>
      <c r="F89" s="76"/>
      <c r="G89" s="261"/>
      <c r="H89" s="78">
        <f t="shared" si="3"/>
        <v>12.85714286</v>
      </c>
      <c r="I89" s="78"/>
      <c r="J89" s="65"/>
      <c r="K89" s="65"/>
      <c r="L89" s="65"/>
      <c r="M89" s="65"/>
      <c r="N89" s="65"/>
      <c r="O89" s="65"/>
    </row>
    <row r="90" ht="15.75" customHeight="1">
      <c r="A90" s="75">
        <v>3.121305122E9</v>
      </c>
      <c r="B90" s="75" t="s">
        <v>362</v>
      </c>
      <c r="C90" s="75" t="s">
        <v>905</v>
      </c>
      <c r="D90" s="246">
        <v>5.0</v>
      </c>
      <c r="E90" s="246">
        <v>28.0</v>
      </c>
      <c r="F90" s="76"/>
      <c r="G90" s="261"/>
      <c r="H90" s="78">
        <f t="shared" si="3"/>
        <v>12.85714286</v>
      </c>
      <c r="I90" s="78"/>
      <c r="J90" s="65"/>
      <c r="K90" s="65"/>
      <c r="L90" s="65"/>
      <c r="M90" s="65"/>
      <c r="N90" s="65"/>
      <c r="O90" s="65"/>
    </row>
    <row r="91" ht="15.75" customHeight="1">
      <c r="A91" s="246">
        <v>3.55594119E9</v>
      </c>
      <c r="B91" s="75" t="s">
        <v>353</v>
      </c>
      <c r="C91" s="75" t="s">
        <v>353</v>
      </c>
      <c r="D91" s="246">
        <v>3.0</v>
      </c>
      <c r="E91" s="246">
        <v>14.0</v>
      </c>
      <c r="F91" s="76"/>
      <c r="G91" s="261"/>
      <c r="H91" s="78">
        <f t="shared" si="3"/>
        <v>25.71428571</v>
      </c>
      <c r="I91" s="78"/>
      <c r="J91" s="65"/>
      <c r="K91" s="65"/>
      <c r="L91" s="65"/>
      <c r="M91" s="65"/>
      <c r="N91" s="65"/>
      <c r="O91" s="65"/>
    </row>
    <row r="92" ht="15.75" customHeight="1">
      <c r="A92" s="246">
        <v>6.53385019E9</v>
      </c>
      <c r="B92" s="75" t="s">
        <v>356</v>
      </c>
      <c r="C92" s="75" t="s">
        <v>356</v>
      </c>
      <c r="D92" s="246">
        <v>3.0</v>
      </c>
      <c r="E92" s="246">
        <v>14.0</v>
      </c>
      <c r="F92" s="76"/>
      <c r="G92" s="261"/>
      <c r="H92" s="78">
        <f t="shared" si="3"/>
        <v>25.71428571</v>
      </c>
      <c r="I92" s="78"/>
      <c r="J92" s="65"/>
      <c r="K92" s="65"/>
      <c r="L92" s="65"/>
      <c r="M92" s="65"/>
      <c r="N92" s="65"/>
      <c r="O92" s="65"/>
    </row>
    <row r="93" ht="15.75" customHeight="1">
      <c r="A93" s="246">
        <v>1.2146401216E10</v>
      </c>
      <c r="B93" s="75" t="s">
        <v>364</v>
      </c>
      <c r="C93" s="75" t="s">
        <v>364</v>
      </c>
      <c r="D93" s="246">
        <v>1.0</v>
      </c>
      <c r="E93" s="246">
        <v>183.0</v>
      </c>
      <c r="F93" s="76"/>
      <c r="G93" s="261"/>
      <c r="H93" s="78">
        <f t="shared" si="3"/>
        <v>1.967213115</v>
      </c>
      <c r="I93" s="78"/>
      <c r="J93" s="65"/>
      <c r="K93" s="65"/>
      <c r="L93" s="65"/>
      <c r="M93" s="65"/>
      <c r="N93" s="65"/>
      <c r="O93" s="65"/>
    </row>
    <row r="94" ht="15.75" customHeight="1">
      <c r="A94" s="246">
        <v>1.1355279216E10</v>
      </c>
      <c r="B94" s="75" t="s">
        <v>358</v>
      </c>
      <c r="C94" s="75" t="s">
        <v>358</v>
      </c>
      <c r="D94" s="246">
        <v>5.0</v>
      </c>
      <c r="E94" s="246">
        <v>28.0</v>
      </c>
      <c r="F94" s="76"/>
      <c r="G94" s="261"/>
      <c r="H94" s="78">
        <f t="shared" si="3"/>
        <v>12.85714286</v>
      </c>
      <c r="I94" s="78"/>
      <c r="J94" s="65"/>
      <c r="K94" s="65"/>
      <c r="L94" s="65"/>
      <c r="M94" s="65"/>
      <c r="N94" s="65"/>
      <c r="O94" s="65"/>
    </row>
    <row r="95" ht="15.75" customHeight="1">
      <c r="A95" s="246">
        <v>5.11700319E9</v>
      </c>
      <c r="B95" s="75" t="s">
        <v>906</v>
      </c>
      <c r="C95" s="75" t="s">
        <v>906</v>
      </c>
      <c r="D95" s="246">
        <v>20.0</v>
      </c>
      <c r="E95" s="246">
        <v>28.0</v>
      </c>
      <c r="F95" s="76"/>
      <c r="G95" s="261"/>
      <c r="H95" s="78">
        <f t="shared" si="3"/>
        <v>12.85714286</v>
      </c>
      <c r="I95" s="78"/>
      <c r="J95" s="65"/>
      <c r="K95" s="65"/>
      <c r="L95" s="65"/>
      <c r="M95" s="65"/>
      <c r="N95" s="65"/>
      <c r="O95" s="65"/>
    </row>
    <row r="96" ht="15.75" customHeight="1">
      <c r="A96" s="246">
        <v>5.11721619E9</v>
      </c>
      <c r="B96" s="75" t="s">
        <v>907</v>
      </c>
      <c r="C96" s="75" t="s">
        <v>907</v>
      </c>
      <c r="D96" s="246">
        <v>20.0</v>
      </c>
      <c r="E96" s="246">
        <v>14.0</v>
      </c>
      <c r="F96" s="76"/>
      <c r="G96" s="261"/>
      <c r="H96" s="78">
        <f t="shared" si="3"/>
        <v>25.71428571</v>
      </c>
      <c r="I96" s="78"/>
      <c r="J96" s="65"/>
      <c r="K96" s="65"/>
      <c r="L96" s="65"/>
      <c r="M96" s="65"/>
      <c r="N96" s="65"/>
      <c r="O96" s="65"/>
    </row>
    <row r="97" ht="15.75" customHeight="1">
      <c r="A97" s="246">
        <v>5.117208922E9</v>
      </c>
      <c r="B97" s="75" t="s">
        <v>908</v>
      </c>
      <c r="C97" s="75" t="s">
        <v>908</v>
      </c>
      <c r="D97" s="246">
        <v>20.0</v>
      </c>
      <c r="E97" s="246"/>
      <c r="F97" s="76"/>
      <c r="G97" s="261"/>
      <c r="H97" s="78" t="str">
        <f t="shared" si="3"/>
        <v>#DIV/0!</v>
      </c>
      <c r="I97" s="78"/>
      <c r="J97" s="65"/>
      <c r="K97" s="65"/>
      <c r="L97" s="65"/>
      <c r="M97" s="65"/>
      <c r="N97" s="65"/>
      <c r="O97" s="65"/>
    </row>
    <row r="98" ht="15.75" customHeight="1">
      <c r="A98" s="246">
        <v>5.117291922E9</v>
      </c>
      <c r="B98" s="75" t="s">
        <v>909</v>
      </c>
      <c r="C98" s="75" t="s">
        <v>909</v>
      </c>
      <c r="D98" s="246">
        <v>20.0</v>
      </c>
      <c r="E98" s="246"/>
      <c r="F98" s="76"/>
      <c r="G98" s="261"/>
      <c r="H98" s="78" t="str">
        <f t="shared" si="3"/>
        <v>#DIV/0!</v>
      </c>
      <c r="I98" s="78"/>
      <c r="J98" s="65"/>
      <c r="K98" s="65"/>
      <c r="L98" s="65"/>
      <c r="M98" s="65"/>
      <c r="N98" s="65"/>
      <c r="O98" s="65"/>
    </row>
    <row r="99" ht="15.75" customHeight="1">
      <c r="A99" s="246">
        <v>5.94762619E9</v>
      </c>
      <c r="B99" s="75" t="s">
        <v>379</v>
      </c>
      <c r="C99" s="75" t="s">
        <v>379</v>
      </c>
      <c r="D99" s="246">
        <v>4.0</v>
      </c>
      <c r="E99" s="246">
        <v>14.0</v>
      </c>
      <c r="F99" s="76"/>
      <c r="G99" s="261"/>
      <c r="H99" s="78">
        <f t="shared" si="3"/>
        <v>25.71428571</v>
      </c>
      <c r="I99" s="78"/>
      <c r="J99" s="65"/>
      <c r="K99" s="65"/>
      <c r="L99" s="65"/>
      <c r="M99" s="65"/>
      <c r="N99" s="65"/>
      <c r="O99" s="65"/>
    </row>
    <row r="100" ht="15.75" customHeight="1">
      <c r="A100" s="246">
        <v>5.94777419E9</v>
      </c>
      <c r="B100" s="75" t="s">
        <v>380</v>
      </c>
      <c r="C100" s="75" t="s">
        <v>380</v>
      </c>
      <c r="D100" s="246">
        <v>4.0</v>
      </c>
      <c r="E100" s="246">
        <v>14.0</v>
      </c>
      <c r="F100" s="76"/>
      <c r="G100" s="261"/>
      <c r="H100" s="78">
        <f t="shared" si="3"/>
        <v>25.71428571</v>
      </c>
      <c r="I100" s="78"/>
      <c r="J100" s="65"/>
      <c r="K100" s="65"/>
      <c r="L100" s="65"/>
      <c r="M100" s="65"/>
      <c r="N100" s="65"/>
      <c r="O100" s="65"/>
    </row>
    <row r="101" ht="15.75" customHeight="1">
      <c r="A101" s="75">
        <v>4.52841719E9</v>
      </c>
      <c r="B101" s="75" t="s">
        <v>361</v>
      </c>
      <c r="C101" s="75" t="s">
        <v>361</v>
      </c>
      <c r="D101" s="246">
        <v>3.0</v>
      </c>
      <c r="E101" s="246">
        <v>84.0</v>
      </c>
      <c r="F101" s="75"/>
      <c r="G101" s="261"/>
      <c r="H101" s="78">
        <f t="shared" si="3"/>
        <v>4.285714286</v>
      </c>
      <c r="I101" s="78"/>
      <c r="J101" s="65"/>
      <c r="K101" s="65"/>
      <c r="L101" s="65"/>
      <c r="M101" s="65"/>
      <c r="N101" s="65"/>
      <c r="O101" s="65"/>
    </row>
    <row r="102" ht="15.75" customHeight="1">
      <c r="A102" s="75">
        <v>5.47920719E9</v>
      </c>
      <c r="B102" s="75" t="s">
        <v>381</v>
      </c>
      <c r="C102" s="75" t="s">
        <v>381</v>
      </c>
      <c r="D102" s="246">
        <v>4.0</v>
      </c>
      <c r="E102" s="246">
        <v>28.0</v>
      </c>
      <c r="F102" s="76"/>
      <c r="G102" s="261"/>
      <c r="H102" s="78">
        <f t="shared" si="3"/>
        <v>12.85714286</v>
      </c>
      <c r="I102" s="78"/>
      <c r="J102" s="65"/>
      <c r="K102" s="65"/>
      <c r="L102" s="65"/>
      <c r="M102" s="65"/>
      <c r="N102" s="65"/>
      <c r="O102" s="65"/>
    </row>
    <row r="103" ht="15.75" customHeight="1">
      <c r="A103" s="75">
        <v>5.91250419E9</v>
      </c>
      <c r="B103" s="75" t="s">
        <v>382</v>
      </c>
      <c r="C103" s="75" t="s">
        <v>382</v>
      </c>
      <c r="D103" s="246">
        <v>4.0</v>
      </c>
      <c r="E103" s="246">
        <v>28.0</v>
      </c>
      <c r="F103" s="76"/>
      <c r="G103" s="261"/>
      <c r="H103" s="78">
        <f t="shared" si="3"/>
        <v>12.85714286</v>
      </c>
      <c r="I103" s="78"/>
      <c r="J103" s="65"/>
      <c r="K103" s="65"/>
      <c r="L103" s="65"/>
      <c r="M103" s="65"/>
      <c r="N103" s="65"/>
      <c r="O103" s="65"/>
    </row>
    <row r="104" ht="15.75" customHeight="1">
      <c r="A104" s="75">
        <v>5.05090119E9</v>
      </c>
      <c r="B104" s="75" t="s">
        <v>363</v>
      </c>
      <c r="C104" s="75"/>
      <c r="D104" s="246">
        <v>1.0</v>
      </c>
      <c r="E104" s="246">
        <v>84.0</v>
      </c>
      <c r="F104" s="76"/>
      <c r="G104" s="261"/>
      <c r="H104" s="78">
        <f t="shared" si="3"/>
        <v>4.285714286</v>
      </c>
      <c r="I104" s="78"/>
      <c r="J104" s="65"/>
      <c r="K104" s="65"/>
      <c r="L104" s="65"/>
      <c r="M104" s="65"/>
      <c r="N104" s="65"/>
      <c r="O104" s="65"/>
    </row>
    <row r="105" ht="15.75" customHeight="1">
      <c r="A105" s="75">
        <v>5.05093619E9</v>
      </c>
      <c r="B105" s="75" t="s">
        <v>377</v>
      </c>
      <c r="C105" s="75"/>
      <c r="D105" s="246">
        <v>2.0</v>
      </c>
      <c r="E105" s="246">
        <v>84.0</v>
      </c>
      <c r="F105" s="76"/>
      <c r="G105" s="261"/>
      <c r="H105" s="78">
        <f t="shared" si="3"/>
        <v>4.285714286</v>
      </c>
      <c r="I105" s="78"/>
      <c r="J105" s="65"/>
      <c r="K105" s="65"/>
      <c r="L105" s="65"/>
      <c r="M105" s="65"/>
      <c r="N105" s="65"/>
      <c r="O105" s="65"/>
    </row>
    <row r="106" ht="15.75" customHeight="1">
      <c r="A106" s="75">
        <v>8.04754519E9</v>
      </c>
      <c r="B106" s="75" t="s">
        <v>360</v>
      </c>
      <c r="C106" s="75"/>
      <c r="D106" s="246">
        <v>2.0</v>
      </c>
      <c r="E106" s="246">
        <v>84.0</v>
      </c>
      <c r="F106" s="76"/>
      <c r="G106" s="261"/>
      <c r="H106" s="78">
        <f t="shared" si="3"/>
        <v>4.285714286</v>
      </c>
      <c r="I106" s="78"/>
      <c r="J106" s="65"/>
      <c r="K106" s="65"/>
      <c r="L106" s="65"/>
      <c r="M106" s="65"/>
      <c r="N106" s="65"/>
      <c r="O106" s="65"/>
    </row>
    <row r="107" ht="15.75" customHeight="1">
      <c r="A107" s="75">
        <v>8.36278519E9</v>
      </c>
      <c r="B107" s="75" t="s">
        <v>374</v>
      </c>
      <c r="C107" s="75"/>
      <c r="D107" s="246">
        <v>2.0</v>
      </c>
      <c r="E107" s="246">
        <v>84.0</v>
      </c>
      <c r="F107" s="76"/>
      <c r="G107" s="261"/>
      <c r="H107" s="78">
        <f t="shared" si="3"/>
        <v>4.285714286</v>
      </c>
      <c r="I107" s="78"/>
      <c r="J107" s="65"/>
      <c r="K107" s="65"/>
      <c r="L107" s="65"/>
      <c r="M107" s="65"/>
      <c r="N107" s="65"/>
      <c r="O107" s="65"/>
    </row>
    <row r="108" ht="15.75" customHeight="1">
      <c r="A108" s="75">
        <v>5.85264119E9</v>
      </c>
      <c r="B108" s="75" t="s">
        <v>368</v>
      </c>
      <c r="C108" s="75"/>
      <c r="D108" s="246">
        <v>1.0</v>
      </c>
      <c r="E108" s="246">
        <v>14.0</v>
      </c>
      <c r="F108" s="76"/>
      <c r="G108" s="261"/>
      <c r="H108" s="78">
        <f t="shared" si="3"/>
        <v>25.71428571</v>
      </c>
      <c r="I108" s="78"/>
      <c r="J108" s="65"/>
      <c r="K108" s="65"/>
      <c r="L108" s="65"/>
      <c r="M108" s="65"/>
      <c r="N108" s="65"/>
      <c r="O108" s="65"/>
    </row>
    <row r="109" ht="15.75" customHeight="1">
      <c r="A109" s="75">
        <v>5.85265019E9</v>
      </c>
      <c r="B109" s="75" t="s">
        <v>383</v>
      </c>
      <c r="C109" s="75"/>
      <c r="D109" s="246">
        <v>2.0</v>
      </c>
      <c r="E109" s="246">
        <v>14.0</v>
      </c>
      <c r="F109" s="76"/>
      <c r="G109" s="261"/>
      <c r="H109" s="78">
        <f t="shared" si="3"/>
        <v>25.71428571</v>
      </c>
      <c r="I109" s="78"/>
      <c r="J109" s="65"/>
      <c r="K109" s="65"/>
      <c r="L109" s="65"/>
      <c r="M109" s="65"/>
      <c r="N109" s="65"/>
      <c r="O109" s="65"/>
    </row>
    <row r="110" ht="15.75" customHeight="1">
      <c r="A110" s="75">
        <v>4.975901191E9</v>
      </c>
      <c r="B110" s="75" t="s">
        <v>352</v>
      </c>
      <c r="C110" s="75"/>
      <c r="D110" s="246">
        <v>1.0</v>
      </c>
      <c r="E110" s="246">
        <v>30.0</v>
      </c>
      <c r="F110" s="76"/>
      <c r="G110" s="261"/>
      <c r="H110" s="78">
        <f t="shared" si="3"/>
        <v>12</v>
      </c>
      <c r="I110" s="78"/>
      <c r="J110" s="65"/>
      <c r="K110" s="65"/>
      <c r="L110" s="65"/>
      <c r="M110" s="65"/>
      <c r="N110" s="65"/>
      <c r="O110" s="65"/>
    </row>
    <row r="111" ht="15.75" customHeight="1">
      <c r="A111" s="75">
        <v>6.72937119E9</v>
      </c>
      <c r="B111" s="75" t="s">
        <v>376</v>
      </c>
      <c r="C111" s="75"/>
      <c r="D111" s="246">
        <v>3.0</v>
      </c>
      <c r="E111" s="246">
        <v>30.0</v>
      </c>
      <c r="F111" s="76"/>
      <c r="G111" s="261"/>
      <c r="H111" s="78">
        <f t="shared" si="3"/>
        <v>12</v>
      </c>
      <c r="I111" s="78"/>
      <c r="J111" s="65"/>
      <c r="K111" s="65"/>
      <c r="L111" s="65"/>
      <c r="M111" s="65"/>
      <c r="N111" s="65"/>
      <c r="O111" s="65"/>
    </row>
    <row r="112" ht="15.75" customHeight="1">
      <c r="A112" s="75">
        <v>5.38550419E9</v>
      </c>
      <c r="B112" s="75" t="s">
        <v>365</v>
      </c>
      <c r="C112" s="75"/>
      <c r="D112" s="246">
        <v>2.0</v>
      </c>
      <c r="E112" s="246">
        <v>28.0</v>
      </c>
      <c r="F112" s="76"/>
      <c r="G112" s="261"/>
      <c r="H112" s="78">
        <f t="shared" si="3"/>
        <v>12.85714286</v>
      </c>
      <c r="I112" s="78"/>
      <c r="J112" s="65"/>
      <c r="K112" s="65"/>
      <c r="L112" s="65"/>
      <c r="M112" s="65"/>
      <c r="N112" s="65"/>
      <c r="O112" s="65"/>
    </row>
    <row r="113" ht="15.75" customHeight="1">
      <c r="A113" s="75">
        <v>5.14242319E9</v>
      </c>
      <c r="B113" s="75" t="s">
        <v>378</v>
      </c>
      <c r="C113" s="75"/>
      <c r="D113" s="246">
        <v>2.0</v>
      </c>
      <c r="E113" s="246">
        <v>28.0</v>
      </c>
      <c r="F113" s="76"/>
      <c r="G113" s="261"/>
      <c r="H113" s="78">
        <f t="shared" si="3"/>
        <v>12.85714286</v>
      </c>
      <c r="I113" s="78"/>
      <c r="J113" s="65"/>
      <c r="K113" s="65"/>
      <c r="L113" s="65"/>
      <c r="M113" s="65"/>
      <c r="N113" s="65"/>
      <c r="O113" s="65"/>
    </row>
    <row r="114" ht="15.75" customHeight="1">
      <c r="A114" s="75">
        <v>2.075199519E10</v>
      </c>
      <c r="B114" s="75" t="s">
        <v>254</v>
      </c>
      <c r="C114" s="75" t="s">
        <v>910</v>
      </c>
      <c r="D114" s="246">
        <v>2.0</v>
      </c>
      <c r="E114" s="246">
        <v>56.0</v>
      </c>
      <c r="F114" s="76"/>
      <c r="G114" s="261"/>
      <c r="H114" s="78">
        <f t="shared" si="3"/>
        <v>6.428571429</v>
      </c>
      <c r="I114" s="78"/>
      <c r="J114" s="65"/>
      <c r="K114" s="65"/>
      <c r="L114" s="65"/>
      <c r="M114" s="65"/>
      <c r="N114" s="65"/>
      <c r="O114" s="65"/>
    </row>
    <row r="115" ht="15.75" customHeight="1">
      <c r="A115" s="75">
        <v>2.075240119E10</v>
      </c>
      <c r="B115" s="75" t="s">
        <v>372</v>
      </c>
      <c r="C115" s="75" t="s">
        <v>911</v>
      </c>
      <c r="D115" s="246">
        <v>5.0</v>
      </c>
      <c r="E115" s="246">
        <v>56.0</v>
      </c>
      <c r="F115" s="76"/>
      <c r="G115" s="261"/>
      <c r="H115" s="78">
        <f t="shared" si="3"/>
        <v>6.428571429</v>
      </c>
      <c r="I115" s="78"/>
      <c r="J115" s="65"/>
      <c r="K115" s="65"/>
      <c r="L115" s="65"/>
      <c r="M115" s="65"/>
      <c r="N115" s="65"/>
      <c r="O115" s="65"/>
    </row>
    <row r="116" ht="15.75" customHeight="1">
      <c r="A116" s="75">
        <v>2.075300919E10</v>
      </c>
      <c r="B116" s="75" t="s">
        <v>373</v>
      </c>
      <c r="C116" s="75" t="s">
        <v>912</v>
      </c>
      <c r="D116" s="246">
        <v>5.0</v>
      </c>
      <c r="E116" s="246">
        <v>56.0</v>
      </c>
      <c r="F116" s="76"/>
      <c r="G116" s="261"/>
      <c r="H116" s="78">
        <f t="shared" si="3"/>
        <v>6.428571429</v>
      </c>
      <c r="I116" s="78"/>
      <c r="J116" s="65"/>
      <c r="K116" s="65"/>
      <c r="L116" s="65"/>
      <c r="M116" s="65"/>
      <c r="N116" s="65"/>
      <c r="O116" s="65"/>
    </row>
    <row r="117" ht="15.75" customHeight="1">
      <c r="A117" s="75">
        <v>1.1098993122E10</v>
      </c>
      <c r="B117" s="75" t="s">
        <v>366</v>
      </c>
      <c r="C117" s="75" t="s">
        <v>913</v>
      </c>
      <c r="D117" s="246">
        <v>3.0</v>
      </c>
      <c r="E117" s="246">
        <v>28.0</v>
      </c>
      <c r="F117" s="76"/>
      <c r="G117" s="261"/>
      <c r="H117" s="78">
        <f t="shared" si="3"/>
        <v>12.85714286</v>
      </c>
      <c r="I117" s="78"/>
      <c r="J117" s="65"/>
      <c r="K117" s="65"/>
      <c r="L117" s="65"/>
      <c r="M117" s="65"/>
      <c r="N117" s="65"/>
      <c r="O117" s="65"/>
    </row>
    <row r="118" ht="15.75" customHeight="1">
      <c r="A118" s="75">
        <v>1.1098985122E10</v>
      </c>
      <c r="B118" s="75" t="s">
        <v>384</v>
      </c>
      <c r="C118" s="75"/>
      <c r="D118" s="246">
        <v>3.0</v>
      </c>
      <c r="E118" s="246">
        <v>28.0</v>
      </c>
      <c r="F118" s="76"/>
      <c r="G118" s="261"/>
      <c r="H118" s="78">
        <f t="shared" si="3"/>
        <v>12.85714286</v>
      </c>
      <c r="I118" s="78"/>
      <c r="J118" s="65"/>
      <c r="K118" s="65"/>
      <c r="L118" s="65"/>
      <c r="M118" s="65"/>
      <c r="N118" s="65"/>
      <c r="O118" s="65"/>
    </row>
    <row r="119" ht="15.75" customHeight="1">
      <c r="A119" s="75">
        <v>1.1174118122E10</v>
      </c>
      <c r="B119" s="75" t="s">
        <v>386</v>
      </c>
      <c r="C119" s="75"/>
      <c r="D119" s="246">
        <v>3.0</v>
      </c>
      <c r="E119" s="246">
        <v>28.0</v>
      </c>
      <c r="F119" s="76"/>
      <c r="G119" s="261"/>
      <c r="H119" s="78">
        <f t="shared" si="3"/>
        <v>12.85714286</v>
      </c>
      <c r="I119" s="78"/>
      <c r="J119" s="65"/>
      <c r="K119" s="65"/>
      <c r="L119" s="65"/>
      <c r="M119" s="65"/>
      <c r="N119" s="65"/>
      <c r="O119" s="65"/>
    </row>
    <row r="120" ht="15.75" customHeight="1">
      <c r="A120" s="75">
        <v>4.58004419E9</v>
      </c>
      <c r="B120" s="75" t="s">
        <v>914</v>
      </c>
      <c r="C120" s="75"/>
      <c r="D120" s="246">
        <v>3.0</v>
      </c>
      <c r="E120" s="246">
        <v>28.0</v>
      </c>
      <c r="F120" s="76"/>
      <c r="G120" s="261"/>
      <c r="H120" s="78">
        <f t="shared" si="3"/>
        <v>12.85714286</v>
      </c>
      <c r="I120" s="78"/>
      <c r="J120" s="65"/>
      <c r="K120" s="65"/>
      <c r="L120" s="65"/>
      <c r="M120" s="65"/>
      <c r="N120" s="65"/>
      <c r="O120" s="65"/>
    </row>
    <row r="121" ht="15.75" customHeight="1">
      <c r="A121" s="75">
        <v>1.1730835216E10</v>
      </c>
      <c r="B121" s="75" t="s">
        <v>915</v>
      </c>
      <c r="C121" s="75"/>
      <c r="D121" s="246">
        <v>2.0</v>
      </c>
      <c r="E121" s="246">
        <v>56.0</v>
      </c>
      <c r="F121" s="76"/>
      <c r="G121" s="261"/>
      <c r="H121" s="78">
        <f t="shared" si="3"/>
        <v>6.428571429</v>
      </c>
      <c r="I121" s="78"/>
      <c r="J121" s="65"/>
      <c r="K121" s="65"/>
      <c r="L121" s="65"/>
      <c r="M121" s="65"/>
      <c r="N121" s="65"/>
      <c r="O121" s="65"/>
    </row>
    <row r="122" ht="15.75" customHeight="1">
      <c r="A122" s="75">
        <v>1.2172828322E10</v>
      </c>
      <c r="B122" s="75" t="s">
        <v>369</v>
      </c>
      <c r="C122" s="75"/>
      <c r="D122" s="246">
        <v>1.0</v>
      </c>
      <c r="E122" s="246">
        <v>30.0</v>
      </c>
      <c r="F122" s="76"/>
      <c r="G122" s="261"/>
      <c r="H122" s="78">
        <f t="shared" si="3"/>
        <v>12</v>
      </c>
      <c r="I122" s="78"/>
      <c r="J122" s="65"/>
      <c r="K122" s="65"/>
      <c r="L122" s="65"/>
      <c r="M122" s="65"/>
      <c r="N122" s="65"/>
      <c r="O122" s="65"/>
    </row>
    <row r="123" ht="15.75" customHeight="1">
      <c r="A123" s="75">
        <v>3.005496122E9</v>
      </c>
      <c r="B123" s="75" t="s">
        <v>388</v>
      </c>
      <c r="C123" s="75"/>
      <c r="D123" s="246">
        <v>4.0</v>
      </c>
      <c r="E123" s="246">
        <v>30.0</v>
      </c>
      <c r="F123" s="76"/>
      <c r="G123" s="261"/>
      <c r="H123" s="78">
        <f t="shared" si="3"/>
        <v>12</v>
      </c>
      <c r="I123" s="78"/>
      <c r="J123" s="65"/>
      <c r="K123" s="65"/>
      <c r="L123" s="65"/>
      <c r="M123" s="65"/>
      <c r="N123" s="65"/>
      <c r="O123" s="65"/>
    </row>
    <row r="124" ht="15.75" customHeight="1">
      <c r="A124" s="75">
        <v>3.37579019E9</v>
      </c>
      <c r="B124" s="75" t="s">
        <v>916</v>
      </c>
      <c r="C124" s="75"/>
      <c r="D124" s="246">
        <v>6.0</v>
      </c>
      <c r="E124" s="246">
        <v>280.0</v>
      </c>
      <c r="F124" s="76"/>
      <c r="G124" s="261"/>
      <c r="H124" s="78">
        <f t="shared" si="3"/>
        <v>1.285714286</v>
      </c>
      <c r="I124" s="78"/>
      <c r="J124" s="65"/>
      <c r="K124" s="65"/>
      <c r="L124" s="65"/>
      <c r="M124" s="65"/>
      <c r="N124" s="65"/>
      <c r="O124" s="65"/>
    </row>
    <row r="125" ht="15.75" customHeight="1">
      <c r="A125" s="75">
        <v>4.52153619E9</v>
      </c>
      <c r="B125" s="75" t="s">
        <v>917</v>
      </c>
      <c r="C125" s="75"/>
      <c r="D125" s="246">
        <v>6.0</v>
      </c>
      <c r="E125" s="246">
        <v>336.0</v>
      </c>
      <c r="F125" s="76"/>
      <c r="G125" s="261"/>
      <c r="H125" s="78">
        <f t="shared" si="3"/>
        <v>1.071428571</v>
      </c>
      <c r="I125" s="78"/>
      <c r="J125" s="65"/>
      <c r="K125" s="65"/>
      <c r="L125" s="65"/>
      <c r="M125" s="65"/>
      <c r="N125" s="65"/>
      <c r="O125" s="65"/>
    </row>
    <row r="126" ht="15.75" customHeight="1">
      <c r="A126" s="257" t="s">
        <v>267</v>
      </c>
      <c r="B126" s="58"/>
      <c r="C126" s="59"/>
      <c r="D126" s="258" t="s">
        <v>371</v>
      </c>
      <c r="E126" s="258" t="s">
        <v>616</v>
      </c>
      <c r="F126" s="259"/>
      <c r="G126" s="259" t="s">
        <v>169</v>
      </c>
      <c r="H126" s="260" t="s">
        <v>170</v>
      </c>
      <c r="I126" s="260" t="s">
        <v>171</v>
      </c>
      <c r="J126" s="65"/>
      <c r="K126" s="65"/>
      <c r="L126" s="65"/>
      <c r="M126" s="65"/>
      <c r="N126" s="65"/>
      <c r="O126" s="65"/>
    </row>
    <row r="127" ht="15.75" customHeight="1">
      <c r="A127" s="75">
        <v>7.700814001E9</v>
      </c>
      <c r="B127" s="75" t="s">
        <v>918</v>
      </c>
      <c r="C127" s="75" t="s">
        <v>919</v>
      </c>
      <c r="D127" s="246">
        <v>1.0</v>
      </c>
      <c r="E127" s="246">
        <v>60.0</v>
      </c>
      <c r="F127" s="76"/>
      <c r="G127" s="261"/>
      <c r="H127" s="78">
        <f t="shared" ref="H127:H146" si="4">(360/E127)</f>
        <v>6</v>
      </c>
      <c r="I127" s="78"/>
      <c r="J127" s="65"/>
      <c r="K127" s="65"/>
      <c r="L127" s="65"/>
      <c r="M127" s="65"/>
      <c r="N127" s="65"/>
      <c r="O127" s="65"/>
    </row>
    <row r="128" ht="15.75" customHeight="1">
      <c r="A128" s="246">
        <v>9.033408001E9</v>
      </c>
      <c r="B128" s="75" t="s">
        <v>920</v>
      </c>
      <c r="C128" s="75" t="s">
        <v>919</v>
      </c>
      <c r="D128" s="262">
        <v>1.0</v>
      </c>
      <c r="E128" s="262">
        <v>60.0</v>
      </c>
      <c r="F128" s="263"/>
      <c r="G128" s="261"/>
      <c r="H128" s="78">
        <f t="shared" si="4"/>
        <v>6</v>
      </c>
      <c r="I128" s="78"/>
      <c r="J128" s="65"/>
      <c r="K128" s="65"/>
      <c r="L128" s="65"/>
      <c r="M128" s="65"/>
      <c r="N128" s="65"/>
      <c r="O128" s="65"/>
    </row>
    <row r="129" ht="15.75" customHeight="1">
      <c r="A129" s="75">
        <v>8.06335419E9</v>
      </c>
      <c r="B129" s="75" t="s">
        <v>921</v>
      </c>
      <c r="C129" s="75" t="s">
        <v>922</v>
      </c>
      <c r="D129" s="246">
        <v>1.0</v>
      </c>
      <c r="E129" s="246">
        <v>28.0</v>
      </c>
      <c r="F129" s="76"/>
      <c r="G129" s="261"/>
      <c r="H129" s="78">
        <f t="shared" si="4"/>
        <v>12.85714286</v>
      </c>
      <c r="I129" s="78"/>
      <c r="J129" s="65"/>
      <c r="K129" s="65"/>
      <c r="L129" s="65"/>
      <c r="M129" s="65"/>
      <c r="N129" s="65"/>
      <c r="O129" s="65"/>
    </row>
    <row r="130" ht="15.75" customHeight="1">
      <c r="A130" s="75">
        <v>8.06335419E9</v>
      </c>
      <c r="B130" s="75" t="s">
        <v>923</v>
      </c>
      <c r="C130" s="75" t="s">
        <v>922</v>
      </c>
      <c r="D130" s="246">
        <v>1.0</v>
      </c>
      <c r="E130" s="246">
        <v>28.0</v>
      </c>
      <c r="F130" s="76"/>
      <c r="G130" s="261"/>
      <c r="H130" s="78">
        <f t="shared" si="4"/>
        <v>12.85714286</v>
      </c>
      <c r="I130" s="78"/>
      <c r="J130" s="65"/>
      <c r="K130" s="65"/>
      <c r="L130" s="65"/>
      <c r="M130" s="65"/>
      <c r="N130" s="65"/>
      <c r="O130" s="65"/>
    </row>
    <row r="131" ht="15.75" customHeight="1">
      <c r="A131" s="75">
        <v>8.06345119E9</v>
      </c>
      <c r="B131" s="75" t="s">
        <v>924</v>
      </c>
      <c r="C131" s="75" t="s">
        <v>922</v>
      </c>
      <c r="D131" s="246">
        <v>1.0</v>
      </c>
      <c r="E131" s="246">
        <v>84.0</v>
      </c>
      <c r="F131" s="76"/>
      <c r="G131" s="261"/>
      <c r="H131" s="78">
        <f t="shared" si="4"/>
        <v>4.285714286</v>
      </c>
      <c r="I131" s="78"/>
      <c r="J131" s="65"/>
      <c r="K131" s="65"/>
      <c r="L131" s="65"/>
      <c r="M131" s="65"/>
      <c r="N131" s="65"/>
      <c r="O131" s="65"/>
    </row>
    <row r="132" ht="15.75" customHeight="1">
      <c r="A132" s="75">
        <v>8.06345119E9</v>
      </c>
      <c r="B132" s="75" t="s">
        <v>925</v>
      </c>
      <c r="C132" s="75" t="s">
        <v>922</v>
      </c>
      <c r="D132" s="246">
        <v>1.0</v>
      </c>
      <c r="E132" s="246">
        <v>84.0</v>
      </c>
      <c r="F132" s="76"/>
      <c r="G132" s="261"/>
      <c r="H132" s="78">
        <f t="shared" si="4"/>
        <v>4.285714286</v>
      </c>
      <c r="I132" s="78"/>
      <c r="J132" s="65"/>
      <c r="K132" s="65"/>
      <c r="L132" s="65"/>
      <c r="M132" s="65"/>
      <c r="N132" s="65"/>
      <c r="O132" s="65"/>
    </row>
    <row r="133" ht="15.75" customHeight="1">
      <c r="A133" s="75">
        <v>8.06349419E9</v>
      </c>
      <c r="B133" s="75" t="s">
        <v>926</v>
      </c>
      <c r="C133" s="75" t="s">
        <v>922</v>
      </c>
      <c r="D133" s="264">
        <v>1.0</v>
      </c>
      <c r="E133" s="264">
        <v>182.0</v>
      </c>
      <c r="F133" s="76"/>
      <c r="G133" s="261"/>
      <c r="H133" s="78">
        <f t="shared" si="4"/>
        <v>1.978021978</v>
      </c>
      <c r="I133" s="78"/>
      <c r="J133" s="65"/>
      <c r="K133" s="65"/>
      <c r="L133" s="65"/>
      <c r="M133" s="65"/>
      <c r="N133" s="65"/>
      <c r="O133" s="65"/>
    </row>
    <row r="134" ht="15.75" customHeight="1">
      <c r="A134" s="75">
        <v>8.06347819E9</v>
      </c>
      <c r="B134" s="75" t="s">
        <v>927</v>
      </c>
      <c r="C134" s="75" t="s">
        <v>922</v>
      </c>
      <c r="D134" s="246">
        <v>1.0</v>
      </c>
      <c r="E134" s="246">
        <v>84.0</v>
      </c>
      <c r="F134" s="76"/>
      <c r="G134" s="261"/>
      <c r="H134" s="78">
        <f t="shared" si="4"/>
        <v>4.285714286</v>
      </c>
      <c r="I134" s="78"/>
      <c r="J134" s="65"/>
      <c r="K134" s="65"/>
      <c r="L134" s="65"/>
      <c r="M134" s="65"/>
      <c r="N134" s="65"/>
      <c r="O134" s="65"/>
    </row>
    <row r="135" ht="15.75" customHeight="1">
      <c r="A135" s="75">
        <v>8.30272319E9</v>
      </c>
      <c r="B135" s="75" t="s">
        <v>928</v>
      </c>
      <c r="C135" s="75" t="s">
        <v>929</v>
      </c>
      <c r="D135" s="246">
        <v>2.0</v>
      </c>
      <c r="E135" s="246">
        <v>84.0</v>
      </c>
      <c r="F135" s="76"/>
      <c r="G135" s="261"/>
      <c r="H135" s="78">
        <f t="shared" si="4"/>
        <v>4.285714286</v>
      </c>
      <c r="I135" s="78"/>
      <c r="J135" s="65"/>
      <c r="K135" s="65"/>
      <c r="L135" s="65"/>
      <c r="M135" s="65"/>
      <c r="N135" s="65"/>
      <c r="O135" s="65"/>
    </row>
    <row r="136" ht="15.75" customHeight="1">
      <c r="A136" s="75">
        <v>8.30272319E9</v>
      </c>
      <c r="B136" s="75" t="s">
        <v>930</v>
      </c>
      <c r="C136" s="75" t="s">
        <v>929</v>
      </c>
      <c r="D136" s="246">
        <v>2.0</v>
      </c>
      <c r="E136" s="246">
        <v>84.0</v>
      </c>
      <c r="F136" s="76"/>
      <c r="G136" s="261"/>
      <c r="H136" s="78">
        <f t="shared" si="4"/>
        <v>4.285714286</v>
      </c>
      <c r="I136" s="78"/>
      <c r="J136" s="65"/>
      <c r="K136" s="65"/>
      <c r="L136" s="65"/>
      <c r="M136" s="65"/>
      <c r="N136" s="65"/>
      <c r="O136" s="65"/>
    </row>
    <row r="137" ht="15.75" customHeight="1">
      <c r="A137" s="75">
        <v>8.46309319E9</v>
      </c>
      <c r="B137" s="75" t="s">
        <v>931</v>
      </c>
      <c r="C137" s="75" t="s">
        <v>922</v>
      </c>
      <c r="D137" s="246">
        <v>1.0</v>
      </c>
      <c r="E137" s="246">
        <v>7.0</v>
      </c>
      <c r="F137" s="76"/>
      <c r="G137" s="261"/>
      <c r="H137" s="78">
        <f t="shared" si="4"/>
        <v>51.42857143</v>
      </c>
      <c r="I137" s="78"/>
      <c r="J137" s="65"/>
      <c r="K137" s="65"/>
      <c r="L137" s="65"/>
      <c r="M137" s="65"/>
      <c r="N137" s="65"/>
      <c r="O137" s="65"/>
    </row>
    <row r="138" ht="15.75" customHeight="1">
      <c r="A138" s="75">
        <v>8.30254519E9</v>
      </c>
      <c r="B138" s="75" t="s">
        <v>932</v>
      </c>
      <c r="C138" s="75" t="s">
        <v>929</v>
      </c>
      <c r="D138" s="246">
        <v>2.0</v>
      </c>
      <c r="E138" s="246">
        <v>70.0</v>
      </c>
      <c r="F138" s="76"/>
      <c r="G138" s="261"/>
      <c r="H138" s="78">
        <f t="shared" si="4"/>
        <v>5.142857143</v>
      </c>
      <c r="I138" s="78"/>
      <c r="J138" s="65"/>
      <c r="K138" s="65"/>
      <c r="L138" s="65"/>
      <c r="M138" s="65"/>
      <c r="N138" s="65"/>
      <c r="O138" s="65"/>
    </row>
    <row r="139" ht="15.75" customHeight="1">
      <c r="A139" s="75">
        <v>8.30254519E9</v>
      </c>
      <c r="B139" s="75" t="s">
        <v>933</v>
      </c>
      <c r="C139" s="75" t="s">
        <v>929</v>
      </c>
      <c r="D139" s="246">
        <v>2.0</v>
      </c>
      <c r="E139" s="246">
        <v>70.0</v>
      </c>
      <c r="F139" s="76"/>
      <c r="G139" s="261"/>
      <c r="H139" s="78">
        <f t="shared" si="4"/>
        <v>5.142857143</v>
      </c>
      <c r="I139" s="78"/>
      <c r="J139" s="65"/>
      <c r="K139" s="65"/>
      <c r="L139" s="65"/>
      <c r="M139" s="65"/>
      <c r="N139" s="65"/>
      <c r="O139" s="65"/>
    </row>
    <row r="140" ht="15.75" customHeight="1">
      <c r="A140" s="75">
        <v>4.444191001E9</v>
      </c>
      <c r="B140" s="75" t="s">
        <v>745</v>
      </c>
      <c r="C140" s="74" t="s">
        <v>934</v>
      </c>
      <c r="D140" s="246">
        <v>1.0</v>
      </c>
      <c r="E140" s="246">
        <v>365.0</v>
      </c>
      <c r="F140" s="76"/>
      <c r="G140" s="261"/>
      <c r="H140" s="78">
        <f t="shared" si="4"/>
        <v>0.9863013699</v>
      </c>
      <c r="I140" s="78"/>
      <c r="J140" s="65"/>
      <c r="K140" s="65"/>
      <c r="L140" s="65"/>
      <c r="M140" s="65"/>
      <c r="N140" s="65"/>
      <c r="O140" s="65"/>
    </row>
    <row r="141" ht="15.75" customHeight="1">
      <c r="A141" s="75">
        <v>8.46310719E9</v>
      </c>
      <c r="B141" s="75" t="s">
        <v>935</v>
      </c>
      <c r="C141" s="75" t="s">
        <v>922</v>
      </c>
      <c r="D141" s="246">
        <v>1.0</v>
      </c>
      <c r="E141" s="246">
        <v>28.0</v>
      </c>
      <c r="F141" s="76"/>
      <c r="G141" s="261"/>
      <c r="H141" s="78">
        <f t="shared" si="4"/>
        <v>12.85714286</v>
      </c>
      <c r="I141" s="78"/>
      <c r="J141" s="65"/>
      <c r="K141" s="65"/>
      <c r="L141" s="65"/>
      <c r="M141" s="65"/>
      <c r="N141" s="65"/>
      <c r="O141" s="65"/>
    </row>
    <row r="142" ht="15.75" customHeight="1">
      <c r="A142" s="75">
        <v>8.05932219E9</v>
      </c>
      <c r="B142" s="75" t="s">
        <v>936</v>
      </c>
      <c r="C142" s="75" t="s">
        <v>937</v>
      </c>
      <c r="D142" s="246">
        <v>1.0</v>
      </c>
      <c r="E142" s="246">
        <v>182.0</v>
      </c>
      <c r="F142" s="76"/>
      <c r="G142" s="261"/>
      <c r="H142" s="78">
        <f t="shared" si="4"/>
        <v>1.978021978</v>
      </c>
      <c r="I142" s="78"/>
      <c r="J142" s="65"/>
      <c r="K142" s="65"/>
      <c r="L142" s="65"/>
      <c r="M142" s="65"/>
      <c r="N142" s="65"/>
      <c r="O142" s="65"/>
    </row>
    <row r="143" ht="15.75" customHeight="1">
      <c r="A143" s="75">
        <v>5.870020001E9</v>
      </c>
      <c r="B143" s="75" t="s">
        <v>938</v>
      </c>
      <c r="C143" s="74" t="s">
        <v>939</v>
      </c>
      <c r="D143" s="246">
        <v>1.0</v>
      </c>
      <c r="E143" s="246"/>
      <c r="F143" s="76"/>
      <c r="G143" s="261"/>
      <c r="H143" s="78" t="str">
        <f t="shared" si="4"/>
        <v>#DIV/0!</v>
      </c>
      <c r="I143" s="78"/>
      <c r="J143" s="65"/>
      <c r="K143" s="65"/>
      <c r="L143" s="65"/>
      <c r="M143" s="65"/>
      <c r="N143" s="65"/>
      <c r="O143" s="65"/>
    </row>
    <row r="144" ht="15.75" customHeight="1">
      <c r="A144" s="75">
        <v>4.419987001E9</v>
      </c>
      <c r="B144" s="75" t="s">
        <v>940</v>
      </c>
      <c r="C144" s="74" t="s">
        <v>941</v>
      </c>
      <c r="D144" s="246">
        <v>1.0</v>
      </c>
      <c r="E144" s="246"/>
      <c r="F144" s="76"/>
      <c r="G144" s="261"/>
      <c r="H144" s="78" t="str">
        <f t="shared" si="4"/>
        <v>#DIV/0!</v>
      </c>
      <c r="I144" s="78"/>
      <c r="J144" s="65"/>
      <c r="K144" s="65"/>
      <c r="L144" s="65"/>
      <c r="M144" s="65"/>
      <c r="N144" s="65"/>
      <c r="O144" s="65"/>
    </row>
    <row r="145" ht="15.75" customHeight="1">
      <c r="A145" s="246">
        <v>4.740955001E9</v>
      </c>
      <c r="B145" s="75" t="s">
        <v>942</v>
      </c>
      <c r="C145" s="74"/>
      <c r="D145" s="246">
        <v>1.0</v>
      </c>
      <c r="E145" s="246"/>
      <c r="F145" s="74"/>
      <c r="G145" s="261"/>
      <c r="H145" s="78" t="str">
        <f t="shared" si="4"/>
        <v>#DIV/0!</v>
      </c>
      <c r="I145" s="78"/>
      <c r="J145" s="65"/>
      <c r="K145" s="65"/>
      <c r="L145" s="65"/>
      <c r="M145" s="65"/>
      <c r="N145" s="65"/>
      <c r="O145" s="65"/>
    </row>
    <row r="146" ht="15.75" customHeight="1">
      <c r="A146" s="246">
        <v>4.813707001E9</v>
      </c>
      <c r="B146" s="75" t="s">
        <v>398</v>
      </c>
      <c r="C146" s="265"/>
      <c r="D146" s="266">
        <v>1.0</v>
      </c>
      <c r="E146" s="266"/>
      <c r="F146" s="265"/>
      <c r="G146" s="261"/>
      <c r="H146" s="78" t="str">
        <f t="shared" si="4"/>
        <v>#DIV/0!</v>
      </c>
      <c r="I146" s="78"/>
      <c r="J146" s="65"/>
      <c r="K146" s="65"/>
      <c r="L146" s="65"/>
      <c r="M146" s="65"/>
      <c r="N146" s="65"/>
      <c r="O146" s="65"/>
    </row>
    <row r="147" ht="15.75" customHeight="1">
      <c r="A147" s="257" t="s">
        <v>943</v>
      </c>
      <c r="B147" s="267"/>
      <c r="C147" s="243" t="s">
        <v>284</v>
      </c>
      <c r="D147" s="258" t="s">
        <v>371</v>
      </c>
      <c r="E147" s="258" t="s">
        <v>616</v>
      </c>
      <c r="F147" s="259"/>
      <c r="G147" s="259" t="s">
        <v>169</v>
      </c>
      <c r="H147" s="259" t="s">
        <v>170</v>
      </c>
      <c r="I147" s="259" t="s">
        <v>171</v>
      </c>
      <c r="J147" s="65"/>
      <c r="K147" s="65"/>
      <c r="L147" s="65"/>
      <c r="M147" s="65"/>
      <c r="N147" s="65"/>
      <c r="O147" s="65"/>
    </row>
    <row r="148" ht="15.75" customHeight="1">
      <c r="A148" s="75">
        <v>1.1183974216E10</v>
      </c>
      <c r="B148" s="268" t="s">
        <v>404</v>
      </c>
      <c r="C148" s="209">
        <v>7500.0</v>
      </c>
      <c r="D148" s="76">
        <v>10.0</v>
      </c>
      <c r="E148" s="76">
        <v>1.0</v>
      </c>
      <c r="F148" s="76"/>
      <c r="G148" s="269"/>
      <c r="H148" s="76">
        <f t="shared" ref="H148:H160" si="5">(360/E148)</f>
        <v>360</v>
      </c>
      <c r="I148" s="76"/>
      <c r="J148" s="65"/>
      <c r="K148" s="65"/>
      <c r="L148" s="65"/>
      <c r="M148" s="65"/>
      <c r="N148" s="65"/>
      <c r="O148" s="65"/>
    </row>
    <row r="149" ht="15.75" customHeight="1">
      <c r="A149" s="75">
        <v>1.1183982216E10</v>
      </c>
      <c r="B149" s="268" t="s">
        <v>405</v>
      </c>
      <c r="C149" s="210"/>
      <c r="D149" s="76">
        <v>10.0</v>
      </c>
      <c r="E149" s="76">
        <v>1.0</v>
      </c>
      <c r="F149" s="76"/>
      <c r="G149" s="269"/>
      <c r="H149" s="76">
        <f t="shared" si="5"/>
        <v>360</v>
      </c>
      <c r="I149" s="76"/>
      <c r="J149" s="65"/>
      <c r="K149" s="65"/>
      <c r="L149" s="65"/>
      <c r="M149" s="65"/>
      <c r="N149" s="65"/>
      <c r="O149" s="65"/>
    </row>
    <row r="150" ht="15.75" customHeight="1">
      <c r="A150" s="75">
        <v>1.1298500316E10</v>
      </c>
      <c r="B150" s="268" t="s">
        <v>406</v>
      </c>
      <c r="C150" s="210"/>
      <c r="D150" s="76">
        <v>5.0</v>
      </c>
      <c r="E150" s="76">
        <v>73.0</v>
      </c>
      <c r="F150" s="76"/>
      <c r="G150" s="269"/>
      <c r="H150" s="78">
        <f t="shared" si="5"/>
        <v>4.931506849</v>
      </c>
      <c r="I150" s="78"/>
      <c r="J150" s="65"/>
      <c r="K150" s="65"/>
      <c r="L150" s="65"/>
      <c r="M150" s="65"/>
      <c r="N150" s="65"/>
      <c r="O150" s="65"/>
    </row>
    <row r="151" ht="15.75" customHeight="1">
      <c r="A151" s="75">
        <v>4.66363219E9</v>
      </c>
      <c r="B151" s="268" t="s">
        <v>407</v>
      </c>
      <c r="C151" s="210"/>
      <c r="D151" s="76">
        <v>9.0</v>
      </c>
      <c r="E151" s="76">
        <v>12.0</v>
      </c>
      <c r="F151" s="76"/>
      <c r="G151" s="269"/>
      <c r="H151" s="78">
        <f t="shared" si="5"/>
        <v>30</v>
      </c>
      <c r="I151" s="78"/>
      <c r="J151" s="65"/>
      <c r="K151" s="65"/>
      <c r="L151" s="65"/>
      <c r="M151" s="65"/>
      <c r="N151" s="65"/>
      <c r="O151" s="65"/>
    </row>
    <row r="152" ht="15.75" customHeight="1">
      <c r="A152" s="246">
        <v>2.0763071122E10</v>
      </c>
      <c r="B152" s="268" t="s">
        <v>944</v>
      </c>
      <c r="C152" s="210"/>
      <c r="D152" s="76">
        <v>6.0</v>
      </c>
      <c r="E152" s="76">
        <v>56.0</v>
      </c>
      <c r="F152" s="76"/>
      <c r="G152" s="269"/>
      <c r="H152" s="78">
        <f t="shared" si="5"/>
        <v>6.428571429</v>
      </c>
      <c r="I152" s="78"/>
      <c r="J152" s="65"/>
      <c r="K152" s="65"/>
      <c r="L152" s="65"/>
      <c r="M152" s="65"/>
      <c r="N152" s="65"/>
      <c r="O152" s="65"/>
    </row>
    <row r="153" ht="15.75" customHeight="1">
      <c r="A153" s="75">
        <v>4.88048019E9</v>
      </c>
      <c r="B153" s="268" t="s">
        <v>945</v>
      </c>
      <c r="C153" s="210"/>
      <c r="D153" s="76">
        <v>2.0</v>
      </c>
      <c r="E153" s="76">
        <v>42.0</v>
      </c>
      <c r="F153" s="76"/>
      <c r="G153" s="269"/>
      <c r="H153" s="78">
        <f t="shared" si="5"/>
        <v>8.571428571</v>
      </c>
      <c r="I153" s="78"/>
      <c r="J153" s="65"/>
      <c r="K153" s="65"/>
      <c r="L153" s="65"/>
      <c r="M153" s="65"/>
      <c r="N153" s="65"/>
      <c r="O153" s="65"/>
    </row>
    <row r="154" ht="15.75" customHeight="1">
      <c r="A154" s="75">
        <v>4.88045519E9</v>
      </c>
      <c r="B154" s="268" t="s">
        <v>946</v>
      </c>
      <c r="C154" s="210"/>
      <c r="D154" s="76">
        <v>2.0</v>
      </c>
      <c r="E154" s="76">
        <v>42.0</v>
      </c>
      <c r="F154" s="76"/>
      <c r="G154" s="269"/>
      <c r="H154" s="78">
        <f t="shared" si="5"/>
        <v>8.571428571</v>
      </c>
      <c r="I154" s="78"/>
      <c r="J154" s="65"/>
      <c r="K154" s="65"/>
      <c r="L154" s="65"/>
      <c r="M154" s="65"/>
      <c r="N154" s="65"/>
      <c r="O154" s="65"/>
    </row>
    <row r="155" ht="15.75" customHeight="1">
      <c r="A155" s="75">
        <v>8.39201319E9</v>
      </c>
      <c r="B155" s="268" t="s">
        <v>947</v>
      </c>
      <c r="C155" s="210"/>
      <c r="D155" s="76">
        <v>2.0</v>
      </c>
      <c r="E155" s="76">
        <v>365.0</v>
      </c>
      <c r="F155" s="76"/>
      <c r="G155" s="269"/>
      <c r="H155" s="78">
        <f t="shared" si="5"/>
        <v>0.9863013699</v>
      </c>
      <c r="I155" s="78"/>
      <c r="J155" s="65"/>
      <c r="K155" s="65"/>
      <c r="L155" s="65"/>
      <c r="M155" s="65"/>
      <c r="N155" s="65"/>
      <c r="O155" s="65"/>
    </row>
    <row r="156" ht="15.75" customHeight="1">
      <c r="A156" s="75">
        <v>1.0820652216E10</v>
      </c>
      <c r="B156" s="268" t="s">
        <v>948</v>
      </c>
      <c r="C156" s="210"/>
      <c r="D156" s="76">
        <v>1.0</v>
      </c>
      <c r="E156" s="76">
        <v>365.0</v>
      </c>
      <c r="F156" s="76"/>
      <c r="G156" s="269"/>
      <c r="H156" s="78">
        <f t="shared" si="5"/>
        <v>0.9863013699</v>
      </c>
      <c r="I156" s="78"/>
      <c r="J156" s="65"/>
      <c r="K156" s="65"/>
      <c r="L156" s="65"/>
      <c r="M156" s="65"/>
      <c r="N156" s="65"/>
      <c r="O156" s="65"/>
    </row>
    <row r="157" ht="15.75" customHeight="1">
      <c r="A157" s="75">
        <v>3.149501001E9</v>
      </c>
      <c r="B157" s="268" t="s">
        <v>411</v>
      </c>
      <c r="C157" s="210"/>
      <c r="D157" s="76">
        <v>1.0</v>
      </c>
      <c r="E157" s="76">
        <v>168.0</v>
      </c>
      <c r="F157" s="76"/>
      <c r="G157" s="269"/>
      <c r="H157" s="78">
        <f t="shared" si="5"/>
        <v>2.142857143</v>
      </c>
      <c r="I157" s="78"/>
      <c r="J157" s="65"/>
      <c r="K157" s="65"/>
      <c r="L157" s="65"/>
      <c r="M157" s="65"/>
      <c r="N157" s="65"/>
      <c r="O157" s="65"/>
    </row>
    <row r="158" ht="15.75" customHeight="1">
      <c r="A158" s="75">
        <v>1.0825468001E10</v>
      </c>
      <c r="B158" s="268" t="s">
        <v>412</v>
      </c>
      <c r="C158" s="210"/>
      <c r="D158" s="76">
        <v>1.0</v>
      </c>
      <c r="E158" s="76">
        <v>56.0</v>
      </c>
      <c r="F158" s="76"/>
      <c r="G158" s="269"/>
      <c r="H158" s="78">
        <f t="shared" si="5"/>
        <v>6.428571429</v>
      </c>
      <c r="I158" s="78"/>
      <c r="J158" s="65"/>
      <c r="K158" s="65"/>
      <c r="L158" s="65"/>
      <c r="M158" s="65"/>
      <c r="N158" s="65"/>
      <c r="O158" s="65"/>
    </row>
    <row r="159" ht="15.75" customHeight="1">
      <c r="A159" s="75">
        <v>1.0825441001E10</v>
      </c>
      <c r="B159" s="268" t="s">
        <v>413</v>
      </c>
      <c r="C159" s="210"/>
      <c r="D159" s="76">
        <v>1.0</v>
      </c>
      <c r="E159" s="76">
        <v>56.0</v>
      </c>
      <c r="F159" s="76"/>
      <c r="G159" s="269"/>
      <c r="H159" s="78">
        <f t="shared" si="5"/>
        <v>6.428571429</v>
      </c>
      <c r="I159" s="78"/>
      <c r="J159" s="65"/>
      <c r="K159" s="65"/>
      <c r="L159" s="65"/>
      <c r="M159" s="65"/>
      <c r="N159" s="65"/>
      <c r="O159" s="65"/>
    </row>
    <row r="160" ht="15.75" customHeight="1">
      <c r="A160" s="75">
        <v>3.246353001E9</v>
      </c>
      <c r="B160" s="268" t="s">
        <v>414</v>
      </c>
      <c r="C160" s="210"/>
      <c r="D160" s="76">
        <v>1.0</v>
      </c>
      <c r="E160" s="76">
        <v>56.0</v>
      </c>
      <c r="F160" s="76"/>
      <c r="G160" s="269"/>
      <c r="H160" s="78">
        <f t="shared" si="5"/>
        <v>6.428571429</v>
      </c>
      <c r="I160" s="78"/>
      <c r="J160" s="65"/>
      <c r="K160" s="65"/>
      <c r="L160" s="65"/>
      <c r="M160" s="65"/>
      <c r="N160" s="65"/>
      <c r="O160" s="65"/>
    </row>
    <row r="161" ht="15.75" customHeight="1">
      <c r="A161" s="65"/>
      <c r="B161" s="65"/>
      <c r="C161" s="63"/>
      <c r="D161" s="193"/>
      <c r="E161" s="63"/>
      <c r="F161" s="270"/>
      <c r="G161" s="65"/>
      <c r="H161" s="65"/>
      <c r="I161" s="65"/>
      <c r="J161" s="65"/>
      <c r="K161" s="65"/>
      <c r="L161" s="65"/>
      <c r="M161" s="65"/>
      <c r="N161" s="65"/>
      <c r="O161" s="65"/>
    </row>
    <row r="162" ht="15.75" customHeight="1">
      <c r="A162" s="65"/>
      <c r="B162" s="65"/>
      <c r="C162" s="65"/>
      <c r="D162" s="193"/>
      <c r="E162" s="63"/>
      <c r="F162" s="270"/>
      <c r="G162" s="65"/>
      <c r="H162" s="65"/>
      <c r="I162" s="65"/>
      <c r="J162" s="65"/>
      <c r="K162" s="65"/>
      <c r="L162" s="65"/>
      <c r="M162" s="65"/>
      <c r="N162" s="65"/>
      <c r="O162" s="65"/>
    </row>
    <row r="163" ht="15.75" customHeight="1">
      <c r="A163" s="65"/>
      <c r="B163" s="65"/>
      <c r="C163" s="65"/>
      <c r="D163" s="193"/>
      <c r="E163" s="63"/>
      <c r="F163" s="270"/>
      <c r="G163" s="65"/>
      <c r="H163" s="65"/>
      <c r="I163" s="65"/>
      <c r="J163" s="65"/>
      <c r="K163" s="65"/>
      <c r="L163" s="65"/>
      <c r="M163" s="65"/>
      <c r="N163" s="65"/>
      <c r="O163" s="65"/>
    </row>
    <row r="164" ht="15.75" customHeight="1">
      <c r="A164" s="65"/>
      <c r="B164" s="65"/>
      <c r="C164" s="65"/>
      <c r="D164" s="193"/>
      <c r="E164" s="63"/>
      <c r="F164" s="270"/>
      <c r="G164" s="65"/>
      <c r="H164" s="65"/>
      <c r="I164" s="65"/>
      <c r="J164" s="65"/>
      <c r="K164" s="65"/>
      <c r="L164" s="65"/>
      <c r="M164" s="65"/>
      <c r="N164" s="65"/>
      <c r="O164" s="65"/>
    </row>
    <row r="165" ht="15.75" customHeight="1">
      <c r="A165" s="65"/>
      <c r="B165" s="65"/>
      <c r="C165" s="65"/>
      <c r="D165" s="193"/>
      <c r="E165" s="63"/>
      <c r="F165" s="270"/>
      <c r="G165" s="65"/>
      <c r="H165" s="65"/>
      <c r="I165" s="65"/>
      <c r="J165" s="65"/>
      <c r="K165" s="65"/>
      <c r="L165" s="65"/>
      <c r="M165" s="65"/>
      <c r="N165" s="65"/>
      <c r="O165" s="65"/>
    </row>
    <row r="166" ht="15.75" customHeight="1">
      <c r="A166" s="65"/>
      <c r="B166" s="65"/>
      <c r="C166" s="65"/>
      <c r="D166" s="193"/>
      <c r="E166" s="63"/>
      <c r="F166" s="270"/>
      <c r="G166" s="65"/>
      <c r="H166" s="65"/>
      <c r="I166" s="65"/>
      <c r="J166" s="65"/>
      <c r="K166" s="65"/>
      <c r="L166" s="65"/>
      <c r="M166" s="65"/>
      <c r="N166" s="65"/>
      <c r="O166" s="65"/>
    </row>
    <row r="167" ht="15.75" customHeight="1">
      <c r="A167" s="65"/>
      <c r="B167" s="65"/>
      <c r="C167" s="65"/>
      <c r="D167" s="193"/>
      <c r="E167" s="63"/>
      <c r="F167" s="270"/>
      <c r="G167" s="65"/>
      <c r="H167" s="65"/>
      <c r="I167" s="65"/>
      <c r="J167" s="65"/>
      <c r="K167" s="65"/>
      <c r="L167" s="65"/>
      <c r="M167" s="65"/>
      <c r="N167" s="65"/>
      <c r="O167" s="65"/>
    </row>
    <row r="168" ht="15.75" customHeight="1">
      <c r="A168" s="65"/>
      <c r="B168" s="65"/>
      <c r="C168" s="65"/>
      <c r="D168" s="193"/>
      <c r="E168" s="63"/>
      <c r="F168" s="270"/>
      <c r="G168" s="65"/>
      <c r="H168" s="65"/>
      <c r="I168" s="65"/>
      <c r="J168" s="65"/>
      <c r="K168" s="65"/>
      <c r="L168" s="65"/>
      <c r="M168" s="65"/>
      <c r="N168" s="65"/>
      <c r="O168" s="65"/>
    </row>
    <row r="169" ht="15.75" customHeight="1">
      <c r="A169" s="65"/>
      <c r="B169" s="65"/>
      <c r="C169" s="65"/>
      <c r="D169" s="193"/>
      <c r="E169" s="63"/>
      <c r="F169" s="270"/>
      <c r="G169" s="65"/>
      <c r="H169" s="65"/>
      <c r="I169" s="65"/>
      <c r="J169" s="65"/>
      <c r="K169" s="65"/>
      <c r="L169" s="65"/>
      <c r="M169" s="65"/>
      <c r="N169" s="65"/>
      <c r="O169" s="65"/>
    </row>
    <row r="170" ht="15.75" customHeight="1">
      <c r="A170" s="65"/>
      <c r="B170" s="65"/>
      <c r="C170" s="65"/>
      <c r="D170" s="193"/>
      <c r="E170" s="63"/>
      <c r="F170" s="270"/>
      <c r="G170" s="65"/>
      <c r="H170" s="65"/>
      <c r="I170" s="65"/>
      <c r="J170" s="65"/>
      <c r="K170" s="65"/>
      <c r="L170" s="65"/>
      <c r="M170" s="65"/>
      <c r="N170" s="65"/>
      <c r="O170" s="65"/>
    </row>
    <row r="171" ht="15.75" customHeight="1">
      <c r="A171" s="65"/>
      <c r="B171" s="65"/>
      <c r="C171" s="65"/>
      <c r="D171" s="193"/>
      <c r="E171" s="63"/>
      <c r="F171" s="270"/>
      <c r="G171" s="65"/>
      <c r="H171" s="65"/>
      <c r="I171" s="65"/>
      <c r="J171" s="65"/>
      <c r="K171" s="65"/>
      <c r="L171" s="65"/>
      <c r="M171" s="65"/>
      <c r="N171" s="65"/>
      <c r="O171" s="65"/>
    </row>
    <row r="172" ht="15.75" customHeight="1">
      <c r="A172" s="65"/>
      <c r="B172" s="65"/>
      <c r="C172" s="65"/>
      <c r="D172" s="193"/>
      <c r="E172" s="63"/>
      <c r="F172" s="270"/>
      <c r="G172" s="65"/>
      <c r="H172" s="65"/>
      <c r="I172" s="65"/>
      <c r="J172" s="65"/>
      <c r="K172" s="65"/>
      <c r="L172" s="65"/>
      <c r="M172" s="65"/>
      <c r="N172" s="65"/>
      <c r="O172" s="65"/>
    </row>
    <row r="173" ht="15.75" customHeight="1">
      <c r="A173" s="65"/>
      <c r="B173" s="65"/>
      <c r="C173" s="65"/>
      <c r="D173" s="193"/>
      <c r="E173" s="63"/>
      <c r="F173" s="270"/>
      <c r="G173" s="65"/>
      <c r="H173" s="65"/>
      <c r="I173" s="65"/>
      <c r="J173" s="65"/>
      <c r="K173" s="65"/>
      <c r="L173" s="65"/>
      <c r="M173" s="65"/>
      <c r="N173" s="65"/>
      <c r="O173" s="65"/>
    </row>
    <row r="174" ht="15.75" customHeight="1">
      <c r="A174" s="65"/>
      <c r="B174" s="65"/>
      <c r="C174" s="65"/>
      <c r="D174" s="193"/>
      <c r="E174" s="63"/>
      <c r="F174" s="270"/>
      <c r="G174" s="65"/>
      <c r="H174" s="65"/>
      <c r="I174" s="65"/>
      <c r="J174" s="65"/>
      <c r="K174" s="65"/>
      <c r="L174" s="65"/>
      <c r="M174" s="65"/>
      <c r="N174" s="65"/>
      <c r="O174" s="65"/>
    </row>
    <row r="175" ht="15.75" customHeight="1">
      <c r="A175" s="65"/>
      <c r="B175" s="65"/>
      <c r="C175" s="65"/>
      <c r="D175" s="193"/>
      <c r="E175" s="63"/>
      <c r="F175" s="270"/>
      <c r="G175" s="65"/>
      <c r="H175" s="65"/>
      <c r="I175" s="65"/>
      <c r="J175" s="65"/>
      <c r="K175" s="65"/>
      <c r="L175" s="65"/>
      <c r="M175" s="65"/>
      <c r="N175" s="65"/>
      <c r="O175" s="65"/>
    </row>
    <row r="176" ht="15.75" customHeight="1">
      <c r="A176" s="65"/>
      <c r="B176" s="65"/>
      <c r="C176" s="65"/>
      <c r="D176" s="193"/>
      <c r="E176" s="63"/>
      <c r="F176" s="270"/>
      <c r="G176" s="65"/>
      <c r="H176" s="65"/>
      <c r="I176" s="65"/>
      <c r="J176" s="65"/>
      <c r="K176" s="65"/>
      <c r="L176" s="65"/>
      <c r="M176" s="65"/>
      <c r="N176" s="65"/>
      <c r="O176" s="65"/>
    </row>
    <row r="177" ht="15.75" customHeight="1">
      <c r="A177" s="65"/>
      <c r="B177" s="65"/>
      <c r="C177" s="65"/>
      <c r="D177" s="193"/>
      <c r="E177" s="63"/>
      <c r="F177" s="270"/>
      <c r="G177" s="65"/>
      <c r="H177" s="65"/>
      <c r="I177" s="65"/>
      <c r="J177" s="65"/>
      <c r="K177" s="65"/>
      <c r="L177" s="65"/>
      <c r="M177" s="65"/>
      <c r="N177" s="65"/>
      <c r="O177" s="65"/>
    </row>
    <row r="178" ht="15.75" customHeight="1">
      <c r="A178" s="65"/>
      <c r="B178" s="65"/>
      <c r="C178" s="65"/>
      <c r="D178" s="193"/>
      <c r="E178" s="63"/>
      <c r="F178" s="270"/>
      <c r="G178" s="65"/>
      <c r="H178" s="65"/>
      <c r="I178" s="65"/>
      <c r="J178" s="65"/>
      <c r="K178" s="65"/>
      <c r="L178" s="65"/>
      <c r="M178" s="65"/>
      <c r="N178" s="65"/>
      <c r="O178" s="65"/>
    </row>
    <row r="179" ht="15.75" customHeight="1">
      <c r="A179" s="65"/>
      <c r="B179" s="65"/>
      <c r="C179" s="65"/>
      <c r="D179" s="193"/>
      <c r="E179" s="63"/>
      <c r="F179" s="270"/>
      <c r="G179" s="65"/>
      <c r="H179" s="65"/>
      <c r="I179" s="65"/>
      <c r="J179" s="65"/>
      <c r="K179" s="65"/>
      <c r="L179" s="65"/>
      <c r="M179" s="65"/>
      <c r="N179" s="65"/>
      <c r="O179" s="65"/>
    </row>
    <row r="180" ht="15.75" customHeight="1">
      <c r="A180" s="65"/>
      <c r="B180" s="65"/>
      <c r="C180" s="65"/>
      <c r="D180" s="193"/>
      <c r="E180" s="63"/>
      <c r="F180" s="270"/>
      <c r="G180" s="65"/>
      <c r="H180" s="65"/>
      <c r="I180" s="65"/>
      <c r="J180" s="65"/>
      <c r="K180" s="65"/>
      <c r="L180" s="65"/>
      <c r="M180" s="65"/>
      <c r="N180" s="65"/>
      <c r="O180" s="65"/>
    </row>
    <row r="181" ht="15.75" customHeight="1">
      <c r="A181" s="65"/>
      <c r="B181" s="65"/>
      <c r="C181" s="65"/>
      <c r="D181" s="193"/>
      <c r="E181" s="63"/>
      <c r="F181" s="270"/>
      <c r="G181" s="65"/>
      <c r="H181" s="65"/>
      <c r="I181" s="65"/>
      <c r="J181" s="65"/>
      <c r="K181" s="65"/>
      <c r="L181" s="65"/>
      <c r="M181" s="65"/>
      <c r="N181" s="65"/>
      <c r="O181" s="65"/>
    </row>
    <row r="182" ht="15.75" customHeight="1">
      <c r="A182" s="65"/>
      <c r="B182" s="65"/>
      <c r="C182" s="65"/>
      <c r="D182" s="193"/>
      <c r="E182" s="63"/>
      <c r="F182" s="270"/>
      <c r="G182" s="65"/>
      <c r="H182" s="65"/>
      <c r="I182" s="65"/>
      <c r="J182" s="65"/>
      <c r="K182" s="65"/>
      <c r="L182" s="65"/>
      <c r="M182" s="65"/>
      <c r="N182" s="65"/>
      <c r="O182" s="65"/>
    </row>
    <row r="183" ht="15.75" customHeight="1">
      <c r="A183" s="65"/>
      <c r="B183" s="65"/>
      <c r="C183" s="65"/>
      <c r="D183" s="193"/>
      <c r="E183" s="63"/>
      <c r="F183" s="270"/>
      <c r="G183" s="65"/>
      <c r="H183" s="65"/>
      <c r="I183" s="65"/>
      <c r="J183" s="65"/>
      <c r="K183" s="65"/>
      <c r="L183" s="65"/>
      <c r="M183" s="65"/>
      <c r="N183" s="65"/>
      <c r="O183" s="65"/>
    </row>
    <row r="184" ht="15.75" customHeight="1">
      <c r="A184" s="65"/>
      <c r="B184" s="65"/>
      <c r="C184" s="65"/>
      <c r="D184" s="193"/>
      <c r="E184" s="63"/>
      <c r="F184" s="270"/>
      <c r="G184" s="65"/>
      <c r="H184" s="65"/>
      <c r="I184" s="65"/>
      <c r="J184" s="65"/>
      <c r="K184" s="65"/>
      <c r="L184" s="65"/>
      <c r="M184" s="65"/>
      <c r="N184" s="65"/>
      <c r="O184" s="65"/>
    </row>
    <row r="185" ht="15.75" customHeight="1">
      <c r="A185" s="65"/>
      <c r="B185" s="65"/>
      <c r="C185" s="65"/>
      <c r="D185" s="193"/>
      <c r="E185" s="63"/>
      <c r="F185" s="270"/>
      <c r="G185" s="65"/>
      <c r="H185" s="65"/>
      <c r="I185" s="65"/>
      <c r="J185" s="65"/>
      <c r="K185" s="65"/>
      <c r="L185" s="65"/>
      <c r="M185" s="65"/>
      <c r="N185" s="65"/>
      <c r="O185" s="65"/>
    </row>
    <row r="186" ht="15.75" customHeight="1">
      <c r="A186" s="65"/>
      <c r="B186" s="65"/>
      <c r="C186" s="65"/>
      <c r="D186" s="193"/>
      <c r="E186" s="63"/>
      <c r="F186" s="270"/>
      <c r="G186" s="65"/>
      <c r="H186" s="65"/>
      <c r="I186" s="65"/>
      <c r="J186" s="65"/>
      <c r="K186" s="65"/>
      <c r="L186" s="65"/>
      <c r="M186" s="65"/>
      <c r="N186" s="65"/>
      <c r="O186" s="65"/>
    </row>
    <row r="187" ht="15.75" customHeight="1">
      <c r="A187" s="65"/>
      <c r="B187" s="65"/>
      <c r="C187" s="65"/>
      <c r="D187" s="193"/>
      <c r="E187" s="63"/>
      <c r="F187" s="270"/>
      <c r="G187" s="65"/>
      <c r="H187" s="65"/>
      <c r="I187" s="65"/>
      <c r="J187" s="65"/>
      <c r="K187" s="65"/>
      <c r="L187" s="65"/>
      <c r="M187" s="65"/>
      <c r="N187" s="65"/>
      <c r="O187" s="65"/>
    </row>
    <row r="188" ht="15.75" customHeight="1">
      <c r="A188" s="65"/>
      <c r="B188" s="65"/>
      <c r="C188" s="65"/>
      <c r="D188" s="193"/>
      <c r="E188" s="63"/>
      <c r="F188" s="270"/>
      <c r="G188" s="65"/>
      <c r="H188" s="65"/>
      <c r="I188" s="65"/>
      <c r="J188" s="65"/>
      <c r="K188" s="65"/>
      <c r="L188" s="65"/>
      <c r="M188" s="65"/>
      <c r="N188" s="65"/>
      <c r="O188" s="65"/>
    </row>
    <row r="189" ht="15.75" customHeight="1">
      <c r="A189" s="65"/>
      <c r="B189" s="65"/>
      <c r="C189" s="65"/>
      <c r="D189" s="193"/>
      <c r="E189" s="63"/>
      <c r="F189" s="270"/>
      <c r="G189" s="65"/>
      <c r="H189" s="65"/>
      <c r="I189" s="65"/>
      <c r="J189" s="65"/>
      <c r="K189" s="65"/>
      <c r="L189" s="65"/>
      <c r="M189" s="65"/>
      <c r="N189" s="65"/>
      <c r="O189" s="65"/>
    </row>
    <row r="190" ht="15.75" customHeight="1">
      <c r="A190" s="65"/>
      <c r="B190" s="65"/>
      <c r="C190" s="65"/>
      <c r="D190" s="193"/>
      <c r="E190" s="63"/>
      <c r="F190" s="270"/>
      <c r="G190" s="65"/>
      <c r="H190" s="65"/>
      <c r="I190" s="65"/>
      <c r="J190" s="65"/>
      <c r="K190" s="65"/>
      <c r="L190" s="65"/>
      <c r="M190" s="65"/>
      <c r="N190" s="65"/>
      <c r="O190" s="65"/>
    </row>
    <row r="191" ht="15.75" customHeight="1">
      <c r="A191" s="65"/>
      <c r="B191" s="65"/>
      <c r="C191" s="65"/>
      <c r="D191" s="193"/>
      <c r="E191" s="63"/>
      <c r="F191" s="270"/>
      <c r="G191" s="65"/>
      <c r="H191" s="65"/>
      <c r="I191" s="65"/>
      <c r="J191" s="65"/>
      <c r="K191" s="65"/>
      <c r="L191" s="65"/>
      <c r="M191" s="65"/>
      <c r="N191" s="65"/>
      <c r="O191" s="65"/>
    </row>
    <row r="192" ht="15.75" customHeight="1">
      <c r="A192" s="65"/>
      <c r="B192" s="65"/>
      <c r="C192" s="65"/>
      <c r="D192" s="193"/>
      <c r="E192" s="63"/>
      <c r="F192" s="270"/>
      <c r="G192" s="65"/>
      <c r="H192" s="65"/>
      <c r="I192" s="65"/>
      <c r="J192" s="65"/>
      <c r="K192" s="65"/>
      <c r="L192" s="65"/>
      <c r="M192" s="65"/>
      <c r="N192" s="65"/>
      <c r="O192" s="65"/>
    </row>
    <row r="193" ht="15.75" customHeight="1">
      <c r="A193" s="65"/>
      <c r="B193" s="65"/>
      <c r="C193" s="65"/>
      <c r="D193" s="193"/>
      <c r="E193" s="63"/>
      <c r="F193" s="270"/>
      <c r="G193" s="65"/>
      <c r="H193" s="65"/>
      <c r="I193" s="65"/>
      <c r="J193" s="65"/>
      <c r="K193" s="65"/>
      <c r="L193" s="65"/>
      <c r="M193" s="65"/>
      <c r="N193" s="65"/>
      <c r="O193" s="65"/>
    </row>
    <row r="194" ht="15.75" customHeight="1">
      <c r="A194" s="65"/>
      <c r="B194" s="65"/>
      <c r="C194" s="65"/>
      <c r="D194" s="193"/>
      <c r="E194" s="63"/>
      <c r="F194" s="270"/>
      <c r="G194" s="65"/>
      <c r="H194" s="65"/>
      <c r="I194" s="65"/>
      <c r="J194" s="65"/>
      <c r="K194" s="65"/>
      <c r="L194" s="65"/>
      <c r="M194" s="65"/>
      <c r="N194" s="65"/>
      <c r="O194" s="65"/>
    </row>
    <row r="195" ht="15.75" customHeight="1">
      <c r="A195" s="65"/>
      <c r="B195" s="65"/>
      <c r="C195" s="65"/>
      <c r="D195" s="193"/>
      <c r="E195" s="63"/>
      <c r="F195" s="270"/>
      <c r="G195" s="65"/>
      <c r="H195" s="65"/>
      <c r="I195" s="65"/>
      <c r="J195" s="65"/>
      <c r="K195" s="65"/>
      <c r="L195" s="65"/>
      <c r="M195" s="65"/>
      <c r="N195" s="65"/>
      <c r="O195" s="65"/>
    </row>
    <row r="196" ht="15.75" customHeight="1">
      <c r="A196" s="65"/>
      <c r="B196" s="65"/>
      <c r="C196" s="65"/>
      <c r="D196" s="193"/>
      <c r="E196" s="63"/>
      <c r="F196" s="270"/>
      <c r="G196" s="65"/>
      <c r="H196" s="65"/>
      <c r="I196" s="65"/>
      <c r="J196" s="65"/>
      <c r="K196" s="65"/>
      <c r="L196" s="65"/>
      <c r="M196" s="65"/>
      <c r="N196" s="65"/>
      <c r="O196" s="65"/>
    </row>
    <row r="197" ht="15.75" customHeight="1">
      <c r="A197" s="65"/>
      <c r="B197" s="65"/>
      <c r="C197" s="65"/>
      <c r="D197" s="193"/>
      <c r="E197" s="63"/>
      <c r="F197" s="270"/>
      <c r="G197" s="65"/>
      <c r="H197" s="65"/>
      <c r="I197" s="65"/>
      <c r="J197" s="65"/>
      <c r="K197" s="65"/>
      <c r="L197" s="65"/>
      <c r="M197" s="65"/>
      <c r="N197" s="65"/>
      <c r="O197" s="65"/>
    </row>
    <row r="198" ht="15.75" customHeight="1">
      <c r="A198" s="65"/>
      <c r="B198" s="65"/>
      <c r="C198" s="65"/>
      <c r="D198" s="193"/>
      <c r="E198" s="63"/>
      <c r="F198" s="270"/>
      <c r="G198" s="65"/>
      <c r="H198" s="65"/>
      <c r="I198" s="65"/>
      <c r="J198" s="65"/>
      <c r="K198" s="65"/>
      <c r="L198" s="65"/>
      <c r="M198" s="65"/>
      <c r="N198" s="65"/>
      <c r="O198" s="65"/>
    </row>
    <row r="199" ht="15.75" customHeight="1">
      <c r="A199" s="65"/>
      <c r="B199" s="65"/>
      <c r="C199" s="65"/>
      <c r="D199" s="193"/>
      <c r="E199" s="63"/>
      <c r="F199" s="270"/>
      <c r="G199" s="65"/>
      <c r="H199" s="65"/>
      <c r="I199" s="65"/>
      <c r="J199" s="65"/>
      <c r="K199" s="65"/>
      <c r="L199" s="65"/>
      <c r="M199" s="65"/>
      <c r="N199" s="65"/>
      <c r="O199" s="65"/>
    </row>
    <row r="200" ht="15.75" customHeight="1">
      <c r="A200" s="65"/>
      <c r="B200" s="65"/>
      <c r="C200" s="65"/>
      <c r="D200" s="193"/>
      <c r="E200" s="63"/>
      <c r="F200" s="270"/>
      <c r="G200" s="65"/>
      <c r="H200" s="65"/>
      <c r="I200" s="65"/>
      <c r="J200" s="65"/>
      <c r="K200" s="65"/>
      <c r="L200" s="65"/>
      <c r="M200" s="65"/>
      <c r="N200" s="65"/>
      <c r="O200" s="65"/>
    </row>
    <row r="201" ht="15.75" customHeight="1">
      <c r="A201" s="65"/>
      <c r="B201" s="65"/>
      <c r="C201" s="65"/>
      <c r="D201" s="193"/>
      <c r="E201" s="63"/>
      <c r="F201" s="270"/>
      <c r="G201" s="65"/>
      <c r="H201" s="65"/>
      <c r="I201" s="65"/>
      <c r="J201" s="65"/>
      <c r="K201" s="65"/>
      <c r="L201" s="65"/>
      <c r="M201" s="65"/>
      <c r="N201" s="65"/>
      <c r="O201" s="65"/>
    </row>
    <row r="202" ht="15.75" customHeight="1">
      <c r="A202" s="65"/>
      <c r="B202" s="65"/>
      <c r="C202" s="65"/>
      <c r="D202" s="193"/>
      <c r="E202" s="63"/>
      <c r="F202" s="270"/>
      <c r="G202" s="65"/>
      <c r="H202" s="65"/>
      <c r="I202" s="65"/>
      <c r="J202" s="65"/>
      <c r="K202" s="65"/>
      <c r="L202" s="65"/>
      <c r="M202" s="65"/>
      <c r="N202" s="65"/>
      <c r="O202" s="65"/>
    </row>
    <row r="203" ht="15.75" customHeight="1">
      <c r="A203" s="65"/>
      <c r="B203" s="65"/>
      <c r="C203" s="65"/>
      <c r="D203" s="193"/>
      <c r="E203" s="63"/>
      <c r="F203" s="270"/>
      <c r="G203" s="65"/>
      <c r="H203" s="65"/>
      <c r="I203" s="65"/>
      <c r="J203" s="65"/>
      <c r="K203" s="65"/>
      <c r="L203" s="65"/>
      <c r="M203" s="65"/>
      <c r="N203" s="65"/>
      <c r="O203" s="65"/>
    </row>
    <row r="204" ht="15.75" customHeight="1">
      <c r="A204" s="65"/>
      <c r="B204" s="65"/>
      <c r="C204" s="65"/>
      <c r="D204" s="193"/>
      <c r="E204" s="63"/>
      <c r="F204" s="270"/>
      <c r="G204" s="65"/>
      <c r="H204" s="65"/>
      <c r="I204" s="65"/>
      <c r="J204" s="65"/>
      <c r="K204" s="65"/>
      <c r="L204" s="65"/>
      <c r="M204" s="65"/>
      <c r="N204" s="65"/>
      <c r="O204" s="65"/>
    </row>
    <row r="205" ht="15.75" customHeight="1">
      <c r="A205" s="65"/>
      <c r="B205" s="65"/>
      <c r="C205" s="65"/>
      <c r="D205" s="193"/>
      <c r="E205" s="63"/>
      <c r="F205" s="270"/>
      <c r="G205" s="65"/>
      <c r="H205" s="65"/>
      <c r="I205" s="65"/>
      <c r="J205" s="65"/>
      <c r="K205" s="65"/>
      <c r="L205" s="65"/>
      <c r="M205" s="65"/>
      <c r="N205" s="65"/>
      <c r="O205" s="65"/>
    </row>
    <row r="206" ht="15.75" customHeight="1">
      <c r="A206" s="65"/>
      <c r="B206" s="65"/>
      <c r="C206" s="65"/>
      <c r="D206" s="193"/>
      <c r="E206" s="63"/>
      <c r="F206" s="270"/>
      <c r="G206" s="65"/>
      <c r="H206" s="65"/>
      <c r="I206" s="65"/>
      <c r="J206" s="65"/>
      <c r="K206" s="65"/>
      <c r="L206" s="65"/>
      <c r="M206" s="65"/>
      <c r="N206" s="65"/>
      <c r="O206" s="65"/>
    </row>
    <row r="207" ht="15.75" customHeight="1">
      <c r="A207" s="65"/>
      <c r="B207" s="65"/>
      <c r="C207" s="65"/>
      <c r="D207" s="193"/>
      <c r="E207" s="63"/>
      <c r="F207" s="270"/>
      <c r="G207" s="65"/>
      <c r="H207" s="65"/>
      <c r="I207" s="65"/>
      <c r="J207" s="65"/>
      <c r="K207" s="65"/>
      <c r="L207" s="65"/>
      <c r="M207" s="65"/>
      <c r="N207" s="65"/>
      <c r="O207" s="65"/>
    </row>
    <row r="208" ht="15.75" customHeight="1">
      <c r="A208" s="65"/>
      <c r="B208" s="65"/>
      <c r="C208" s="65"/>
      <c r="D208" s="193"/>
      <c r="E208" s="63"/>
      <c r="F208" s="270"/>
      <c r="G208" s="65"/>
      <c r="H208" s="65"/>
      <c r="I208" s="65"/>
      <c r="J208" s="65"/>
      <c r="K208" s="65"/>
      <c r="L208" s="65"/>
      <c r="M208" s="65"/>
      <c r="N208" s="65"/>
      <c r="O208" s="65"/>
    </row>
    <row r="209" ht="15.75" customHeight="1">
      <c r="A209" s="65"/>
      <c r="B209" s="65"/>
      <c r="C209" s="65"/>
      <c r="D209" s="193"/>
      <c r="E209" s="63"/>
      <c r="F209" s="270"/>
      <c r="G209" s="65"/>
      <c r="H209" s="65"/>
      <c r="I209" s="65"/>
      <c r="J209" s="65"/>
      <c r="K209" s="65"/>
      <c r="L209" s="65"/>
      <c r="M209" s="65"/>
      <c r="N209" s="65"/>
      <c r="O209" s="65"/>
    </row>
    <row r="210" ht="15.75" customHeight="1">
      <c r="A210" s="65"/>
      <c r="B210" s="65"/>
      <c r="C210" s="65"/>
      <c r="D210" s="193"/>
      <c r="E210" s="63"/>
      <c r="F210" s="270"/>
      <c r="G210" s="65"/>
      <c r="H210" s="65"/>
      <c r="I210" s="65"/>
      <c r="J210" s="65"/>
      <c r="K210" s="65"/>
      <c r="L210" s="65"/>
      <c r="M210" s="65"/>
      <c r="N210" s="65"/>
      <c r="O210" s="65"/>
    </row>
    <row r="211" ht="15.75" customHeight="1">
      <c r="A211" s="65"/>
      <c r="B211" s="65"/>
      <c r="C211" s="65"/>
      <c r="D211" s="193"/>
      <c r="E211" s="63"/>
      <c r="F211" s="270"/>
      <c r="G211" s="65"/>
      <c r="H211" s="65"/>
      <c r="I211" s="65"/>
      <c r="J211" s="65"/>
      <c r="K211" s="65"/>
      <c r="L211" s="65"/>
      <c r="M211" s="65"/>
      <c r="N211" s="65"/>
      <c r="O211" s="65"/>
    </row>
    <row r="212" ht="15.75" customHeight="1">
      <c r="A212" s="65"/>
      <c r="B212" s="65"/>
      <c r="C212" s="65"/>
      <c r="D212" s="193"/>
      <c r="E212" s="63"/>
      <c r="F212" s="270"/>
      <c r="G212" s="65"/>
      <c r="H212" s="65"/>
      <c r="I212" s="65"/>
      <c r="J212" s="65"/>
      <c r="K212" s="65"/>
      <c r="L212" s="65"/>
      <c r="M212" s="65"/>
      <c r="N212" s="65"/>
      <c r="O212" s="65"/>
    </row>
    <row r="213" ht="15.75" customHeight="1">
      <c r="A213" s="65"/>
      <c r="B213" s="65"/>
      <c r="C213" s="65"/>
      <c r="D213" s="193"/>
      <c r="E213" s="63"/>
      <c r="F213" s="270"/>
      <c r="G213" s="65"/>
      <c r="H213" s="65"/>
      <c r="I213" s="65"/>
      <c r="J213" s="65"/>
      <c r="K213" s="65"/>
      <c r="L213" s="65"/>
      <c r="M213" s="65"/>
      <c r="N213" s="65"/>
      <c r="O213" s="65"/>
    </row>
    <row r="214" ht="15.75" customHeight="1">
      <c r="A214" s="65"/>
      <c r="B214" s="65"/>
      <c r="C214" s="65"/>
      <c r="D214" s="193"/>
      <c r="E214" s="63"/>
      <c r="F214" s="270"/>
      <c r="G214" s="65"/>
      <c r="H214" s="65"/>
      <c r="I214" s="65"/>
      <c r="J214" s="65"/>
      <c r="K214" s="65"/>
      <c r="L214" s="65"/>
      <c r="M214" s="65"/>
      <c r="N214" s="65"/>
      <c r="O214" s="65"/>
    </row>
    <row r="215" ht="15.75" customHeight="1">
      <c r="A215" s="65"/>
      <c r="B215" s="65"/>
      <c r="C215" s="65"/>
      <c r="D215" s="193"/>
      <c r="E215" s="63"/>
      <c r="F215" s="270"/>
      <c r="G215" s="65"/>
      <c r="H215" s="65"/>
      <c r="I215" s="65"/>
      <c r="J215" s="65"/>
      <c r="K215" s="65"/>
      <c r="L215" s="65"/>
      <c r="M215" s="65"/>
      <c r="N215" s="65"/>
      <c r="O215" s="65"/>
    </row>
    <row r="216" ht="15.75" customHeight="1">
      <c r="A216" s="65"/>
      <c r="B216" s="65"/>
      <c r="C216" s="65"/>
      <c r="D216" s="193"/>
      <c r="E216" s="63"/>
      <c r="F216" s="270"/>
      <c r="G216" s="65"/>
      <c r="H216" s="65"/>
      <c r="I216" s="65"/>
      <c r="J216" s="65"/>
      <c r="K216" s="65"/>
      <c r="L216" s="65"/>
      <c r="M216" s="65"/>
      <c r="N216" s="65"/>
      <c r="O216" s="65"/>
    </row>
    <row r="217" ht="15.75" customHeight="1">
      <c r="A217" s="65"/>
      <c r="B217" s="65"/>
      <c r="C217" s="65"/>
      <c r="D217" s="193"/>
      <c r="E217" s="63"/>
      <c r="F217" s="270"/>
      <c r="G217" s="65"/>
      <c r="H217" s="65"/>
      <c r="I217" s="65"/>
      <c r="J217" s="65"/>
      <c r="K217" s="65"/>
      <c r="L217" s="65"/>
      <c r="M217" s="65"/>
      <c r="N217" s="65"/>
      <c r="O217" s="65"/>
    </row>
    <row r="218" ht="15.75" customHeight="1">
      <c r="A218" s="65"/>
      <c r="B218" s="65"/>
      <c r="C218" s="65"/>
      <c r="D218" s="193"/>
      <c r="E218" s="63"/>
      <c r="F218" s="270"/>
      <c r="G218" s="65"/>
      <c r="H218" s="65"/>
      <c r="I218" s="65"/>
      <c r="J218" s="65"/>
      <c r="K218" s="65"/>
      <c r="L218" s="65"/>
      <c r="M218" s="65"/>
      <c r="N218" s="65"/>
      <c r="O218" s="65"/>
    </row>
    <row r="219" ht="15.75" customHeight="1">
      <c r="A219" s="65"/>
      <c r="B219" s="65"/>
      <c r="C219" s="65"/>
      <c r="D219" s="193"/>
      <c r="E219" s="63"/>
      <c r="F219" s="270"/>
      <c r="G219" s="65"/>
      <c r="H219" s="65"/>
      <c r="I219" s="65"/>
      <c r="J219" s="65"/>
      <c r="K219" s="65"/>
      <c r="L219" s="65"/>
      <c r="M219" s="65"/>
      <c r="N219" s="65"/>
      <c r="O219" s="65"/>
    </row>
    <row r="220" ht="15.75" customHeight="1">
      <c r="A220" s="65"/>
      <c r="B220" s="65"/>
      <c r="C220" s="65"/>
      <c r="D220" s="193"/>
      <c r="E220" s="63"/>
      <c r="F220" s="270"/>
      <c r="G220" s="65"/>
      <c r="H220" s="65"/>
      <c r="I220" s="65"/>
      <c r="J220" s="65"/>
      <c r="K220" s="65"/>
      <c r="L220" s="65"/>
      <c r="M220" s="65"/>
      <c r="N220" s="65"/>
      <c r="O220" s="65"/>
    </row>
    <row r="221" ht="15.75" customHeight="1">
      <c r="A221" s="65"/>
      <c r="B221" s="65"/>
      <c r="C221" s="65"/>
      <c r="D221" s="193"/>
      <c r="E221" s="63"/>
      <c r="F221" s="270"/>
      <c r="G221" s="65"/>
      <c r="H221" s="65"/>
      <c r="I221" s="65"/>
      <c r="J221" s="65"/>
      <c r="K221" s="65"/>
      <c r="L221" s="65"/>
      <c r="M221" s="65"/>
      <c r="N221" s="65"/>
      <c r="O221" s="65"/>
    </row>
    <row r="222" ht="15.75" customHeight="1">
      <c r="A222" s="65"/>
      <c r="B222" s="65"/>
      <c r="C222" s="65"/>
      <c r="D222" s="193"/>
      <c r="E222" s="63"/>
      <c r="F222" s="270"/>
      <c r="G222" s="65"/>
      <c r="H222" s="65"/>
      <c r="I222" s="65"/>
      <c r="J222" s="65"/>
      <c r="K222" s="65"/>
      <c r="L222" s="65"/>
      <c r="M222" s="65"/>
      <c r="N222" s="65"/>
      <c r="O222" s="65"/>
    </row>
    <row r="223" ht="15.75" customHeight="1">
      <c r="A223" s="65"/>
      <c r="B223" s="65"/>
      <c r="C223" s="65"/>
      <c r="D223" s="193"/>
      <c r="E223" s="63"/>
      <c r="F223" s="270"/>
      <c r="G223" s="65"/>
      <c r="H223" s="65"/>
      <c r="I223" s="65"/>
      <c r="J223" s="65"/>
      <c r="K223" s="65"/>
      <c r="L223" s="65"/>
      <c r="M223" s="65"/>
      <c r="N223" s="65"/>
      <c r="O223" s="65"/>
    </row>
    <row r="224" ht="15.75" customHeight="1">
      <c r="A224" s="65"/>
      <c r="B224" s="65"/>
      <c r="C224" s="65"/>
      <c r="D224" s="193"/>
      <c r="E224" s="63"/>
      <c r="F224" s="270"/>
      <c r="G224" s="65"/>
      <c r="H224" s="65"/>
      <c r="I224" s="65"/>
      <c r="J224" s="65"/>
      <c r="K224" s="65"/>
      <c r="L224" s="65"/>
      <c r="M224" s="65"/>
      <c r="N224" s="65"/>
      <c r="O224" s="65"/>
    </row>
    <row r="225" ht="15.75" customHeight="1">
      <c r="A225" s="65"/>
      <c r="B225" s="65"/>
      <c r="C225" s="65"/>
      <c r="D225" s="193"/>
      <c r="E225" s="63"/>
      <c r="F225" s="270"/>
      <c r="G225" s="65"/>
      <c r="H225" s="65"/>
      <c r="I225" s="65"/>
      <c r="J225" s="65"/>
      <c r="K225" s="65"/>
      <c r="L225" s="65"/>
      <c r="M225" s="65"/>
      <c r="N225" s="65"/>
      <c r="O225" s="65"/>
    </row>
    <row r="226" ht="15.75" customHeight="1">
      <c r="A226" s="65"/>
      <c r="B226" s="65"/>
      <c r="C226" s="65"/>
      <c r="D226" s="193"/>
      <c r="E226" s="63"/>
      <c r="F226" s="270"/>
      <c r="G226" s="65"/>
      <c r="H226" s="65"/>
      <c r="I226" s="65"/>
      <c r="J226" s="65"/>
      <c r="K226" s="65"/>
      <c r="L226" s="65"/>
      <c r="M226" s="65"/>
      <c r="N226" s="65"/>
      <c r="O226" s="65"/>
    </row>
    <row r="227" ht="15.75" customHeight="1">
      <c r="A227" s="65"/>
      <c r="B227" s="65"/>
      <c r="C227" s="65"/>
      <c r="D227" s="193"/>
      <c r="E227" s="63"/>
      <c r="F227" s="270"/>
      <c r="G227" s="65"/>
      <c r="H227" s="65"/>
      <c r="I227" s="65"/>
      <c r="J227" s="65"/>
      <c r="K227" s="65"/>
      <c r="L227" s="65"/>
      <c r="M227" s="65"/>
      <c r="N227" s="65"/>
      <c r="O227" s="65"/>
    </row>
    <row r="228" ht="15.75" customHeight="1">
      <c r="A228" s="65"/>
      <c r="B228" s="65"/>
      <c r="C228" s="65"/>
      <c r="D228" s="193"/>
      <c r="E228" s="63"/>
      <c r="F228" s="270"/>
      <c r="G228" s="65"/>
      <c r="H228" s="65"/>
      <c r="I228" s="65"/>
      <c r="J228" s="65"/>
      <c r="K228" s="65"/>
      <c r="L228" s="65"/>
      <c r="M228" s="65"/>
      <c r="N228" s="65"/>
      <c r="O228" s="65"/>
    </row>
    <row r="229" ht="15.75" customHeight="1">
      <c r="A229" s="65"/>
      <c r="B229" s="65"/>
      <c r="C229" s="65"/>
      <c r="D229" s="193"/>
      <c r="E229" s="63"/>
      <c r="F229" s="270"/>
      <c r="G229" s="65"/>
      <c r="H229" s="65"/>
      <c r="I229" s="65"/>
      <c r="J229" s="65"/>
      <c r="K229" s="65"/>
      <c r="L229" s="65"/>
      <c r="M229" s="65"/>
      <c r="N229" s="65"/>
      <c r="O229" s="65"/>
    </row>
    <row r="230" ht="15.75" customHeight="1">
      <c r="A230" s="65"/>
      <c r="B230" s="65"/>
      <c r="C230" s="65"/>
      <c r="D230" s="193"/>
      <c r="E230" s="63"/>
      <c r="F230" s="270"/>
      <c r="G230" s="65"/>
      <c r="H230" s="65"/>
      <c r="I230" s="65"/>
      <c r="J230" s="65"/>
      <c r="K230" s="65"/>
      <c r="L230" s="65"/>
      <c r="M230" s="65"/>
      <c r="N230" s="65"/>
      <c r="O230" s="65"/>
    </row>
    <row r="231" ht="15.75" customHeight="1">
      <c r="A231" s="65"/>
      <c r="B231" s="65"/>
      <c r="C231" s="65"/>
      <c r="D231" s="193"/>
      <c r="E231" s="63"/>
      <c r="F231" s="270"/>
      <c r="G231" s="65"/>
      <c r="H231" s="65"/>
      <c r="I231" s="65"/>
      <c r="J231" s="65"/>
      <c r="K231" s="65"/>
      <c r="L231" s="65"/>
      <c r="M231" s="65"/>
      <c r="N231" s="65"/>
      <c r="O231" s="65"/>
    </row>
    <row r="232" ht="15.75" customHeight="1">
      <c r="A232" s="65"/>
      <c r="B232" s="65"/>
      <c r="C232" s="65"/>
      <c r="D232" s="193"/>
      <c r="E232" s="63"/>
      <c r="F232" s="270"/>
      <c r="G232" s="65"/>
      <c r="H232" s="65"/>
      <c r="I232" s="65"/>
      <c r="J232" s="65"/>
      <c r="K232" s="65"/>
      <c r="L232" s="65"/>
      <c r="M232" s="65"/>
      <c r="N232" s="65"/>
      <c r="O232" s="65"/>
    </row>
    <row r="233" ht="15.75" customHeight="1">
      <c r="A233" s="65"/>
      <c r="B233" s="65"/>
      <c r="C233" s="65"/>
      <c r="D233" s="193"/>
      <c r="E233" s="63"/>
      <c r="F233" s="270"/>
      <c r="G233" s="65"/>
      <c r="H233" s="65"/>
      <c r="I233" s="65"/>
      <c r="J233" s="65"/>
      <c r="K233" s="65"/>
      <c r="L233" s="65"/>
      <c r="M233" s="65"/>
      <c r="N233" s="65"/>
      <c r="O233" s="65"/>
    </row>
    <row r="234" ht="15.75" customHeight="1">
      <c r="A234" s="65"/>
      <c r="B234" s="65"/>
      <c r="C234" s="65"/>
      <c r="D234" s="193"/>
      <c r="E234" s="63"/>
      <c r="F234" s="270"/>
      <c r="G234" s="65"/>
      <c r="H234" s="65"/>
      <c r="I234" s="65"/>
      <c r="J234" s="65"/>
      <c r="K234" s="65"/>
      <c r="L234" s="65"/>
      <c r="M234" s="65"/>
      <c r="N234" s="65"/>
      <c r="O234" s="65"/>
    </row>
    <row r="235" ht="15.75" customHeight="1">
      <c r="A235" s="65"/>
      <c r="B235" s="65"/>
      <c r="C235" s="65"/>
      <c r="D235" s="193"/>
      <c r="E235" s="63"/>
      <c r="F235" s="270"/>
      <c r="G235" s="65"/>
      <c r="H235" s="65"/>
      <c r="I235" s="65"/>
      <c r="J235" s="65"/>
      <c r="K235" s="65"/>
      <c r="L235" s="65"/>
      <c r="M235" s="65"/>
      <c r="N235" s="65"/>
      <c r="O235" s="65"/>
    </row>
    <row r="236" ht="15.75" customHeight="1">
      <c r="A236" s="65"/>
      <c r="B236" s="65"/>
      <c r="C236" s="65"/>
      <c r="D236" s="193"/>
      <c r="E236" s="63"/>
      <c r="F236" s="270"/>
      <c r="G236" s="65"/>
      <c r="H236" s="65"/>
      <c r="I236" s="65"/>
      <c r="J236" s="65"/>
      <c r="K236" s="65"/>
      <c r="L236" s="65"/>
      <c r="M236" s="65"/>
      <c r="N236" s="65"/>
      <c r="O236" s="65"/>
    </row>
    <row r="237" ht="15.75" customHeight="1">
      <c r="A237" s="65"/>
      <c r="B237" s="65"/>
      <c r="C237" s="65"/>
      <c r="D237" s="193"/>
      <c r="E237" s="63"/>
      <c r="F237" s="270"/>
      <c r="G237" s="65"/>
      <c r="H237" s="65"/>
      <c r="I237" s="65"/>
      <c r="J237" s="65"/>
      <c r="K237" s="65"/>
      <c r="L237" s="65"/>
      <c r="M237" s="65"/>
      <c r="N237" s="65"/>
      <c r="O237" s="65"/>
    </row>
    <row r="238" ht="15.75" customHeight="1">
      <c r="A238" s="65"/>
      <c r="B238" s="65"/>
      <c r="C238" s="65"/>
      <c r="D238" s="193"/>
      <c r="E238" s="63"/>
      <c r="F238" s="270"/>
      <c r="G238" s="65"/>
      <c r="H238" s="65"/>
      <c r="I238" s="65"/>
      <c r="J238" s="65"/>
      <c r="K238" s="65"/>
      <c r="L238" s="65"/>
      <c r="M238" s="65"/>
      <c r="N238" s="65"/>
      <c r="O238" s="65"/>
    </row>
    <row r="239" ht="15.75" customHeight="1">
      <c r="A239" s="65"/>
      <c r="B239" s="65"/>
      <c r="C239" s="65"/>
      <c r="D239" s="193"/>
      <c r="E239" s="63"/>
      <c r="F239" s="270"/>
      <c r="G239" s="65"/>
      <c r="H239" s="65"/>
      <c r="I239" s="65"/>
      <c r="J239" s="65"/>
      <c r="K239" s="65"/>
      <c r="L239" s="65"/>
      <c r="M239" s="65"/>
      <c r="N239" s="65"/>
      <c r="O239" s="65"/>
    </row>
    <row r="240" ht="15.75" customHeight="1">
      <c r="A240" s="65"/>
      <c r="B240" s="65"/>
      <c r="C240" s="65"/>
      <c r="D240" s="193"/>
      <c r="E240" s="63"/>
      <c r="F240" s="270"/>
      <c r="G240" s="65"/>
      <c r="H240" s="65"/>
      <c r="I240" s="65"/>
      <c r="J240" s="65"/>
      <c r="K240" s="65"/>
      <c r="L240" s="65"/>
      <c r="M240" s="65"/>
      <c r="N240" s="65"/>
      <c r="O240" s="65"/>
    </row>
    <row r="241" ht="15.75" customHeight="1">
      <c r="A241" s="65"/>
      <c r="B241" s="65"/>
      <c r="C241" s="65"/>
      <c r="D241" s="193"/>
      <c r="E241" s="63"/>
      <c r="F241" s="270"/>
      <c r="G241" s="65"/>
      <c r="H241" s="65"/>
      <c r="I241" s="65"/>
      <c r="J241" s="65"/>
      <c r="K241" s="65"/>
      <c r="L241" s="65"/>
      <c r="M241" s="65"/>
      <c r="N241" s="65"/>
      <c r="O241" s="65"/>
    </row>
    <row r="242" ht="15.75" customHeight="1">
      <c r="A242" s="65"/>
      <c r="B242" s="65"/>
      <c r="C242" s="65"/>
      <c r="D242" s="193"/>
      <c r="E242" s="63"/>
      <c r="F242" s="270"/>
      <c r="G242" s="65"/>
      <c r="H242" s="65"/>
      <c r="I242" s="65"/>
      <c r="J242" s="65"/>
      <c r="K242" s="65"/>
      <c r="L242" s="65"/>
      <c r="M242" s="65"/>
      <c r="N242" s="65"/>
      <c r="O242" s="65"/>
    </row>
    <row r="243" ht="15.75" customHeight="1">
      <c r="A243" s="65"/>
      <c r="B243" s="65"/>
      <c r="C243" s="65"/>
      <c r="D243" s="193"/>
      <c r="E243" s="63"/>
      <c r="F243" s="270"/>
      <c r="G243" s="65"/>
      <c r="H243" s="65"/>
      <c r="I243" s="65"/>
      <c r="J243" s="65"/>
      <c r="K243" s="65"/>
      <c r="L243" s="65"/>
      <c r="M243" s="65"/>
      <c r="N243" s="65"/>
      <c r="O243" s="65"/>
    </row>
    <row r="244" ht="15.75" customHeight="1">
      <c r="A244" s="65"/>
      <c r="B244" s="65"/>
      <c r="C244" s="65"/>
      <c r="D244" s="193"/>
      <c r="E244" s="63"/>
      <c r="F244" s="270"/>
      <c r="G244" s="65"/>
      <c r="H244" s="65"/>
      <c r="I244" s="65"/>
      <c r="J244" s="65"/>
      <c r="K244" s="65"/>
      <c r="L244" s="65"/>
      <c r="M244" s="65"/>
      <c r="N244" s="65"/>
      <c r="O244" s="65"/>
    </row>
    <row r="245" ht="15.75" customHeight="1">
      <c r="A245" s="65"/>
      <c r="B245" s="65"/>
      <c r="C245" s="65"/>
      <c r="D245" s="193"/>
      <c r="E245" s="63"/>
      <c r="F245" s="270"/>
      <c r="G245" s="65"/>
      <c r="H245" s="65"/>
      <c r="I245" s="65"/>
      <c r="J245" s="65"/>
      <c r="K245" s="65"/>
      <c r="L245" s="65"/>
      <c r="M245" s="65"/>
      <c r="N245" s="65"/>
      <c r="O245" s="65"/>
    </row>
    <row r="246" ht="15.75" customHeight="1">
      <c r="A246" s="65"/>
      <c r="B246" s="65"/>
      <c r="C246" s="65"/>
      <c r="D246" s="193"/>
      <c r="E246" s="63"/>
      <c r="F246" s="270"/>
      <c r="G246" s="65"/>
      <c r="H246" s="65"/>
      <c r="I246" s="65"/>
      <c r="J246" s="65"/>
      <c r="K246" s="65"/>
      <c r="L246" s="65"/>
      <c r="M246" s="65"/>
      <c r="N246" s="65"/>
      <c r="O246" s="65"/>
    </row>
    <row r="247" ht="15.75" customHeight="1">
      <c r="A247" s="65"/>
      <c r="B247" s="65"/>
      <c r="C247" s="65"/>
      <c r="D247" s="193"/>
      <c r="E247" s="63"/>
      <c r="F247" s="270"/>
      <c r="G247" s="65"/>
      <c r="H247" s="65"/>
      <c r="I247" s="65"/>
      <c r="J247" s="65"/>
      <c r="K247" s="65"/>
      <c r="L247" s="65"/>
      <c r="M247" s="65"/>
      <c r="N247" s="65"/>
      <c r="O247" s="65"/>
    </row>
    <row r="248" ht="15.75" customHeight="1">
      <c r="A248" s="65"/>
      <c r="B248" s="65"/>
      <c r="C248" s="65"/>
      <c r="D248" s="193"/>
      <c r="E248" s="63"/>
      <c r="F248" s="270"/>
      <c r="G248" s="65"/>
      <c r="H248" s="65"/>
      <c r="I248" s="65"/>
      <c r="J248" s="65"/>
      <c r="K248" s="65"/>
      <c r="L248" s="65"/>
      <c r="M248" s="65"/>
      <c r="N248" s="65"/>
      <c r="O248" s="65"/>
    </row>
    <row r="249" ht="15.75" customHeight="1">
      <c r="A249" s="65"/>
      <c r="B249" s="65"/>
      <c r="C249" s="65"/>
      <c r="D249" s="193"/>
      <c r="E249" s="63"/>
      <c r="F249" s="270"/>
      <c r="G249" s="65"/>
      <c r="H249" s="65"/>
      <c r="I249" s="65"/>
      <c r="J249" s="65"/>
      <c r="K249" s="65"/>
      <c r="L249" s="65"/>
      <c r="M249" s="65"/>
      <c r="N249" s="65"/>
      <c r="O249" s="65"/>
    </row>
    <row r="250" ht="15.75" customHeight="1">
      <c r="A250" s="65"/>
      <c r="B250" s="65"/>
      <c r="C250" s="65"/>
      <c r="D250" s="193"/>
      <c r="E250" s="63"/>
      <c r="F250" s="270"/>
      <c r="G250" s="65"/>
      <c r="H250" s="65"/>
      <c r="I250" s="65"/>
      <c r="J250" s="65"/>
      <c r="K250" s="65"/>
      <c r="L250" s="65"/>
      <c r="M250" s="65"/>
      <c r="N250" s="65"/>
      <c r="O250" s="65"/>
    </row>
    <row r="251" ht="15.75" customHeight="1">
      <c r="A251" s="65"/>
      <c r="B251" s="65"/>
      <c r="C251" s="65"/>
      <c r="D251" s="193"/>
      <c r="E251" s="63"/>
      <c r="F251" s="270"/>
      <c r="G251" s="65"/>
      <c r="H251" s="65"/>
      <c r="I251" s="65"/>
      <c r="J251" s="65"/>
      <c r="K251" s="65"/>
      <c r="L251" s="65"/>
      <c r="M251" s="65"/>
      <c r="N251" s="65"/>
      <c r="O251" s="65"/>
    </row>
    <row r="252" ht="15.75" customHeight="1">
      <c r="A252" s="65"/>
      <c r="B252" s="65"/>
      <c r="C252" s="65"/>
      <c r="D252" s="193"/>
      <c r="E252" s="63"/>
      <c r="F252" s="270"/>
      <c r="G252" s="65"/>
      <c r="H252" s="65"/>
      <c r="I252" s="65"/>
      <c r="J252" s="65"/>
      <c r="K252" s="65"/>
      <c r="L252" s="65"/>
      <c r="M252" s="65"/>
      <c r="N252" s="65"/>
      <c r="O252" s="65"/>
    </row>
    <row r="253" ht="15.75" customHeight="1">
      <c r="A253" s="65"/>
      <c r="B253" s="65"/>
      <c r="C253" s="65"/>
      <c r="D253" s="193"/>
      <c r="E253" s="63"/>
      <c r="F253" s="270"/>
      <c r="G253" s="65"/>
      <c r="H253" s="65"/>
      <c r="I253" s="65"/>
      <c r="J253" s="65"/>
      <c r="K253" s="65"/>
      <c r="L253" s="65"/>
      <c r="M253" s="65"/>
      <c r="N253" s="65"/>
      <c r="O253" s="65"/>
    </row>
    <row r="254" ht="15.75" customHeight="1">
      <c r="A254" s="65"/>
      <c r="B254" s="65"/>
      <c r="C254" s="65"/>
      <c r="D254" s="193"/>
      <c r="E254" s="63"/>
      <c r="F254" s="270"/>
      <c r="G254" s="65"/>
      <c r="H254" s="65"/>
      <c r="I254" s="65"/>
      <c r="J254" s="65"/>
      <c r="K254" s="65"/>
      <c r="L254" s="65"/>
      <c r="M254" s="65"/>
      <c r="N254" s="65"/>
      <c r="O254" s="65"/>
    </row>
    <row r="255" ht="15.75" customHeight="1">
      <c r="A255" s="65"/>
      <c r="B255" s="65"/>
      <c r="C255" s="65"/>
      <c r="D255" s="193"/>
      <c r="E255" s="63"/>
      <c r="F255" s="270"/>
      <c r="G255" s="65"/>
      <c r="H255" s="65"/>
      <c r="I255" s="65"/>
      <c r="J255" s="65"/>
      <c r="K255" s="65"/>
      <c r="L255" s="65"/>
      <c r="M255" s="65"/>
      <c r="N255" s="65"/>
      <c r="O255" s="65"/>
    </row>
    <row r="256" ht="15.75" customHeight="1">
      <c r="A256" s="65"/>
      <c r="B256" s="65"/>
      <c r="C256" s="65"/>
      <c r="D256" s="193"/>
      <c r="E256" s="63"/>
      <c r="F256" s="270"/>
      <c r="G256" s="65"/>
      <c r="H256" s="65"/>
      <c r="I256" s="65"/>
      <c r="J256" s="65"/>
      <c r="K256" s="65"/>
      <c r="L256" s="65"/>
      <c r="M256" s="65"/>
      <c r="N256" s="65"/>
      <c r="O256" s="65"/>
    </row>
    <row r="257" ht="15.75" customHeight="1">
      <c r="A257" s="65"/>
      <c r="B257" s="65"/>
      <c r="C257" s="65"/>
      <c r="D257" s="193"/>
      <c r="E257" s="63"/>
      <c r="F257" s="270"/>
      <c r="G257" s="65"/>
      <c r="H257" s="65"/>
      <c r="I257" s="65"/>
      <c r="J257" s="65"/>
      <c r="K257" s="65"/>
      <c r="L257" s="65"/>
      <c r="M257" s="65"/>
      <c r="N257" s="65"/>
      <c r="O257" s="65"/>
    </row>
    <row r="258" ht="15.75" customHeight="1">
      <c r="A258" s="65"/>
      <c r="B258" s="65"/>
      <c r="C258" s="65"/>
      <c r="D258" s="193"/>
      <c r="E258" s="63"/>
      <c r="F258" s="270"/>
      <c r="G258" s="65"/>
      <c r="H258" s="65"/>
      <c r="I258" s="65"/>
      <c r="J258" s="65"/>
      <c r="K258" s="65"/>
      <c r="L258" s="65"/>
      <c r="M258" s="65"/>
      <c r="N258" s="65"/>
      <c r="O258" s="65"/>
    </row>
    <row r="259" ht="15.75" customHeight="1">
      <c r="A259" s="65"/>
      <c r="B259" s="65"/>
      <c r="C259" s="65"/>
      <c r="D259" s="193"/>
      <c r="E259" s="63"/>
      <c r="F259" s="270"/>
      <c r="G259" s="65"/>
      <c r="H259" s="65"/>
      <c r="I259" s="65"/>
      <c r="J259" s="65"/>
      <c r="K259" s="65"/>
      <c r="L259" s="65"/>
      <c r="M259" s="65"/>
      <c r="N259" s="65"/>
      <c r="O259" s="65"/>
    </row>
    <row r="260" ht="15.75" customHeight="1">
      <c r="A260" s="65"/>
      <c r="B260" s="65"/>
      <c r="C260" s="65"/>
      <c r="D260" s="193"/>
      <c r="E260" s="63"/>
      <c r="F260" s="270"/>
      <c r="G260" s="65"/>
      <c r="H260" s="65"/>
      <c r="I260" s="65"/>
      <c r="J260" s="65"/>
      <c r="K260" s="65"/>
      <c r="L260" s="65"/>
      <c r="M260" s="65"/>
      <c r="N260" s="65"/>
      <c r="O260" s="65"/>
    </row>
    <row r="261" ht="15.75" customHeight="1">
      <c r="A261" s="65"/>
      <c r="B261" s="65"/>
      <c r="C261" s="65"/>
      <c r="D261" s="193"/>
      <c r="E261" s="63"/>
      <c r="F261" s="270"/>
      <c r="G261" s="65"/>
      <c r="H261" s="65"/>
      <c r="I261" s="65"/>
      <c r="J261" s="65"/>
      <c r="K261" s="65"/>
      <c r="L261" s="65"/>
      <c r="M261" s="65"/>
      <c r="N261" s="65"/>
      <c r="O261" s="65"/>
    </row>
    <row r="262" ht="15.75" customHeight="1">
      <c r="A262" s="65"/>
      <c r="B262" s="65"/>
      <c r="C262" s="65"/>
      <c r="D262" s="193"/>
      <c r="E262" s="63"/>
      <c r="F262" s="270"/>
      <c r="G262" s="65"/>
      <c r="H262" s="65"/>
      <c r="I262" s="65"/>
      <c r="J262" s="65"/>
      <c r="K262" s="65"/>
      <c r="L262" s="65"/>
      <c r="M262" s="65"/>
      <c r="N262" s="65"/>
      <c r="O262" s="65"/>
    </row>
    <row r="263" ht="15.75" customHeight="1">
      <c r="A263" s="65"/>
      <c r="B263" s="65"/>
      <c r="C263" s="65"/>
      <c r="D263" s="193"/>
      <c r="E263" s="63"/>
      <c r="F263" s="270"/>
      <c r="G263" s="65"/>
      <c r="H263" s="65"/>
      <c r="I263" s="65"/>
      <c r="J263" s="65"/>
      <c r="K263" s="65"/>
      <c r="L263" s="65"/>
      <c r="M263" s="65"/>
      <c r="N263" s="65"/>
      <c r="O263" s="65"/>
    </row>
    <row r="264" ht="15.75" customHeight="1">
      <c r="A264" s="65"/>
      <c r="B264" s="65"/>
      <c r="C264" s="65"/>
      <c r="D264" s="193"/>
      <c r="E264" s="63"/>
      <c r="F264" s="270"/>
      <c r="G264" s="65"/>
      <c r="H264" s="65"/>
      <c r="I264" s="65"/>
      <c r="J264" s="65"/>
      <c r="K264" s="65"/>
      <c r="L264" s="65"/>
      <c r="M264" s="65"/>
      <c r="N264" s="65"/>
      <c r="O264" s="65"/>
    </row>
    <row r="265" ht="15.75" customHeight="1">
      <c r="A265" s="65"/>
      <c r="B265" s="65"/>
      <c r="C265" s="65"/>
      <c r="D265" s="193"/>
      <c r="E265" s="63"/>
      <c r="F265" s="270"/>
      <c r="G265" s="65"/>
      <c r="H265" s="65"/>
      <c r="I265" s="65"/>
      <c r="J265" s="65"/>
      <c r="K265" s="65"/>
      <c r="L265" s="65"/>
      <c r="M265" s="65"/>
      <c r="N265" s="65"/>
      <c r="O265" s="65"/>
    </row>
    <row r="266" ht="15.75" customHeight="1">
      <c r="A266" s="65"/>
      <c r="B266" s="65"/>
      <c r="C266" s="65"/>
      <c r="D266" s="193"/>
      <c r="E266" s="63"/>
      <c r="F266" s="270"/>
      <c r="G266" s="65"/>
      <c r="H266" s="65"/>
      <c r="I266" s="65"/>
      <c r="J266" s="65"/>
      <c r="K266" s="65"/>
      <c r="L266" s="65"/>
      <c r="M266" s="65"/>
      <c r="N266" s="65"/>
      <c r="O266" s="65"/>
    </row>
    <row r="267" ht="15.75" customHeight="1">
      <c r="A267" s="65"/>
      <c r="B267" s="65"/>
      <c r="C267" s="65"/>
      <c r="D267" s="193"/>
      <c r="E267" s="63"/>
      <c r="F267" s="270"/>
      <c r="G267" s="65"/>
      <c r="H267" s="65"/>
      <c r="I267" s="65"/>
      <c r="J267" s="65"/>
      <c r="K267" s="65"/>
      <c r="L267" s="65"/>
      <c r="M267" s="65"/>
      <c r="N267" s="65"/>
      <c r="O267" s="65"/>
    </row>
    <row r="268" ht="15.75" customHeight="1">
      <c r="A268" s="65"/>
      <c r="B268" s="65"/>
      <c r="C268" s="65"/>
      <c r="D268" s="193"/>
      <c r="E268" s="63"/>
      <c r="F268" s="270"/>
      <c r="G268" s="65"/>
      <c r="H268" s="65"/>
      <c r="I268" s="65"/>
      <c r="J268" s="65"/>
      <c r="K268" s="65"/>
      <c r="L268" s="65"/>
      <c r="M268" s="65"/>
      <c r="N268" s="65"/>
      <c r="O268" s="65"/>
    </row>
    <row r="269" ht="15.75" customHeight="1">
      <c r="A269" s="65"/>
      <c r="B269" s="65"/>
      <c r="C269" s="65"/>
      <c r="D269" s="193"/>
      <c r="E269" s="63"/>
      <c r="F269" s="270"/>
      <c r="G269" s="65"/>
      <c r="H269" s="65"/>
      <c r="I269" s="65"/>
      <c r="J269" s="65"/>
      <c r="K269" s="65"/>
      <c r="L269" s="65"/>
      <c r="M269" s="65"/>
      <c r="N269" s="65"/>
      <c r="O269" s="65"/>
    </row>
    <row r="270" ht="15.75" customHeight="1">
      <c r="A270" s="65"/>
      <c r="B270" s="65"/>
      <c r="C270" s="65"/>
      <c r="D270" s="193"/>
      <c r="E270" s="63"/>
      <c r="F270" s="270"/>
      <c r="G270" s="65"/>
      <c r="H270" s="65"/>
      <c r="I270" s="65"/>
      <c r="J270" s="65"/>
      <c r="K270" s="65"/>
      <c r="L270" s="65"/>
      <c r="M270" s="65"/>
      <c r="N270" s="65"/>
      <c r="O270" s="65"/>
    </row>
    <row r="271" ht="15.75" customHeight="1">
      <c r="A271" s="65"/>
      <c r="B271" s="65"/>
      <c r="C271" s="65"/>
      <c r="D271" s="193"/>
      <c r="E271" s="63"/>
      <c r="F271" s="270"/>
      <c r="G271" s="65"/>
      <c r="H271" s="65"/>
      <c r="I271" s="65"/>
      <c r="J271" s="65"/>
      <c r="K271" s="65"/>
      <c r="L271" s="65"/>
      <c r="M271" s="65"/>
      <c r="N271" s="65"/>
      <c r="O271" s="65"/>
    </row>
    <row r="272" ht="15.75" customHeight="1">
      <c r="A272" s="65"/>
      <c r="B272" s="65"/>
      <c r="C272" s="65"/>
      <c r="D272" s="193"/>
      <c r="E272" s="63"/>
      <c r="F272" s="270"/>
      <c r="G272" s="65"/>
      <c r="H272" s="65"/>
      <c r="I272" s="65"/>
      <c r="J272" s="65"/>
      <c r="K272" s="65"/>
      <c r="L272" s="65"/>
      <c r="M272" s="65"/>
      <c r="N272" s="65"/>
      <c r="O272" s="65"/>
    </row>
    <row r="273" ht="15.75" customHeight="1">
      <c r="A273" s="65"/>
      <c r="B273" s="65"/>
      <c r="C273" s="65"/>
      <c r="D273" s="193"/>
      <c r="E273" s="63"/>
      <c r="F273" s="270"/>
      <c r="G273" s="65"/>
      <c r="H273" s="65"/>
      <c r="I273" s="65"/>
      <c r="J273" s="65"/>
      <c r="K273" s="65"/>
      <c r="L273" s="65"/>
      <c r="M273" s="65"/>
      <c r="N273" s="65"/>
      <c r="O273" s="65"/>
    </row>
    <row r="274" ht="15.75" customHeight="1">
      <c r="A274" s="65"/>
      <c r="B274" s="65"/>
      <c r="C274" s="65"/>
      <c r="D274" s="193"/>
      <c r="E274" s="63"/>
      <c r="F274" s="270"/>
      <c r="G274" s="65"/>
      <c r="H274" s="65"/>
      <c r="I274" s="65"/>
      <c r="J274" s="65"/>
      <c r="K274" s="65"/>
      <c r="L274" s="65"/>
      <c r="M274" s="65"/>
      <c r="N274" s="65"/>
      <c r="O274" s="65"/>
    </row>
    <row r="275" ht="15.75" customHeight="1">
      <c r="A275" s="65"/>
      <c r="B275" s="65"/>
      <c r="C275" s="65"/>
      <c r="D275" s="193"/>
      <c r="E275" s="63"/>
      <c r="F275" s="270"/>
      <c r="G275" s="65"/>
      <c r="H275" s="65"/>
      <c r="I275" s="65"/>
      <c r="J275" s="65"/>
      <c r="K275" s="65"/>
      <c r="L275" s="65"/>
      <c r="M275" s="65"/>
      <c r="N275" s="65"/>
      <c r="O275" s="65"/>
    </row>
    <row r="276" ht="15.75" customHeight="1">
      <c r="A276" s="65"/>
      <c r="B276" s="65"/>
      <c r="C276" s="65"/>
      <c r="D276" s="193"/>
      <c r="E276" s="63"/>
      <c r="F276" s="270"/>
      <c r="G276" s="65"/>
      <c r="H276" s="65"/>
      <c r="I276" s="65"/>
      <c r="J276" s="65"/>
      <c r="K276" s="65"/>
      <c r="L276" s="65"/>
      <c r="M276" s="65"/>
      <c r="N276" s="65"/>
      <c r="O276" s="65"/>
    </row>
    <row r="277" ht="15.75" customHeight="1">
      <c r="A277" s="65"/>
      <c r="B277" s="65"/>
      <c r="C277" s="65"/>
      <c r="D277" s="193"/>
      <c r="E277" s="63"/>
      <c r="F277" s="270"/>
      <c r="G277" s="65"/>
      <c r="H277" s="65"/>
      <c r="I277" s="65"/>
      <c r="J277" s="65"/>
      <c r="K277" s="65"/>
      <c r="L277" s="65"/>
      <c r="M277" s="65"/>
      <c r="N277" s="65"/>
      <c r="O277" s="65"/>
    </row>
    <row r="278" ht="15.75" customHeight="1">
      <c r="A278" s="65"/>
      <c r="B278" s="65"/>
      <c r="C278" s="65"/>
      <c r="D278" s="193"/>
      <c r="E278" s="63"/>
      <c r="F278" s="270"/>
      <c r="G278" s="65"/>
      <c r="H278" s="65"/>
      <c r="I278" s="65"/>
      <c r="J278" s="65"/>
      <c r="K278" s="65"/>
      <c r="L278" s="65"/>
      <c r="M278" s="65"/>
      <c r="N278" s="65"/>
      <c r="O278" s="65"/>
    </row>
    <row r="279" ht="15.75" customHeight="1">
      <c r="A279" s="65"/>
      <c r="B279" s="65"/>
      <c r="C279" s="65"/>
      <c r="D279" s="193"/>
      <c r="E279" s="63"/>
      <c r="F279" s="270"/>
      <c r="G279" s="65"/>
      <c r="H279" s="65"/>
      <c r="I279" s="65"/>
      <c r="J279" s="65"/>
      <c r="K279" s="65"/>
      <c r="L279" s="65"/>
      <c r="M279" s="65"/>
      <c r="N279" s="65"/>
      <c r="O279" s="65"/>
    </row>
    <row r="280" ht="15.75" customHeight="1">
      <c r="A280" s="65"/>
      <c r="B280" s="65"/>
      <c r="C280" s="65"/>
      <c r="D280" s="193"/>
      <c r="E280" s="63"/>
      <c r="F280" s="270"/>
      <c r="G280" s="65"/>
      <c r="H280" s="65"/>
      <c r="I280" s="65"/>
      <c r="J280" s="65"/>
      <c r="K280" s="65"/>
      <c r="L280" s="65"/>
      <c r="M280" s="65"/>
      <c r="N280" s="65"/>
      <c r="O280" s="65"/>
    </row>
    <row r="281" ht="15.75" customHeight="1">
      <c r="A281" s="65"/>
      <c r="B281" s="65"/>
      <c r="C281" s="65"/>
      <c r="D281" s="193"/>
      <c r="E281" s="63"/>
      <c r="F281" s="270"/>
      <c r="G281" s="65"/>
      <c r="H281" s="65"/>
      <c r="I281" s="65"/>
      <c r="J281" s="65"/>
      <c r="K281" s="65"/>
      <c r="L281" s="65"/>
      <c r="M281" s="65"/>
      <c r="N281" s="65"/>
      <c r="O281" s="65"/>
    </row>
    <row r="282" ht="15.75" customHeight="1">
      <c r="A282" s="65"/>
      <c r="B282" s="65"/>
      <c r="C282" s="65"/>
      <c r="D282" s="193"/>
      <c r="E282" s="63"/>
      <c r="F282" s="270"/>
      <c r="G282" s="65"/>
      <c r="H282" s="65"/>
      <c r="I282" s="65"/>
      <c r="J282" s="65"/>
      <c r="K282" s="65"/>
      <c r="L282" s="65"/>
      <c r="M282" s="65"/>
      <c r="N282" s="65"/>
      <c r="O282" s="65"/>
    </row>
    <row r="283" ht="15.75" customHeight="1">
      <c r="A283" s="65"/>
      <c r="B283" s="65"/>
      <c r="C283" s="65"/>
      <c r="D283" s="193"/>
      <c r="E283" s="63"/>
      <c r="F283" s="270"/>
      <c r="G283" s="65"/>
      <c r="H283" s="65"/>
      <c r="I283" s="65"/>
      <c r="J283" s="65"/>
      <c r="K283" s="65"/>
      <c r="L283" s="65"/>
      <c r="M283" s="65"/>
      <c r="N283" s="65"/>
      <c r="O283" s="65"/>
    </row>
    <row r="284" ht="15.75" customHeight="1">
      <c r="A284" s="65"/>
      <c r="B284" s="65"/>
      <c r="C284" s="65"/>
      <c r="D284" s="193"/>
      <c r="E284" s="63"/>
      <c r="F284" s="270"/>
      <c r="G284" s="65"/>
      <c r="H284" s="65"/>
      <c r="I284" s="65"/>
      <c r="J284" s="65"/>
      <c r="K284" s="65"/>
      <c r="L284" s="65"/>
      <c r="M284" s="65"/>
      <c r="N284" s="65"/>
      <c r="O284" s="65"/>
    </row>
    <row r="285" ht="15.75" customHeight="1">
      <c r="A285" s="65"/>
      <c r="B285" s="65"/>
      <c r="C285" s="65"/>
      <c r="D285" s="193"/>
      <c r="E285" s="63"/>
      <c r="F285" s="270"/>
      <c r="G285" s="65"/>
      <c r="H285" s="65"/>
      <c r="I285" s="65"/>
      <c r="J285" s="65"/>
      <c r="K285" s="65"/>
      <c r="L285" s="65"/>
      <c r="M285" s="65"/>
      <c r="N285" s="65"/>
      <c r="O285" s="65"/>
    </row>
    <row r="286" ht="15.75" customHeight="1">
      <c r="A286" s="65"/>
      <c r="B286" s="65"/>
      <c r="C286" s="65"/>
      <c r="D286" s="193"/>
      <c r="E286" s="63"/>
      <c r="F286" s="270"/>
      <c r="G286" s="65"/>
      <c r="H286" s="65"/>
      <c r="I286" s="65"/>
      <c r="J286" s="65"/>
      <c r="K286" s="65"/>
      <c r="L286" s="65"/>
      <c r="M286" s="65"/>
      <c r="N286" s="65"/>
      <c r="O286" s="65"/>
    </row>
    <row r="287" ht="15.75" customHeight="1">
      <c r="A287" s="65"/>
      <c r="B287" s="65"/>
      <c r="C287" s="65"/>
      <c r="D287" s="193"/>
      <c r="E287" s="63"/>
      <c r="F287" s="270"/>
      <c r="G287" s="65"/>
      <c r="H287" s="65"/>
      <c r="I287" s="65"/>
      <c r="J287" s="65"/>
      <c r="K287" s="65"/>
      <c r="L287" s="65"/>
      <c r="M287" s="65"/>
      <c r="N287" s="65"/>
      <c r="O287" s="65"/>
    </row>
    <row r="288" ht="15.75" customHeight="1">
      <c r="A288" s="65"/>
      <c r="B288" s="65"/>
      <c r="C288" s="65"/>
      <c r="D288" s="193"/>
      <c r="E288" s="63"/>
      <c r="F288" s="270"/>
      <c r="G288" s="65"/>
      <c r="H288" s="65"/>
      <c r="I288" s="65"/>
      <c r="J288" s="65"/>
      <c r="K288" s="65"/>
      <c r="L288" s="65"/>
      <c r="M288" s="65"/>
      <c r="N288" s="65"/>
      <c r="O288" s="65"/>
    </row>
    <row r="289" ht="15.75" customHeight="1">
      <c r="A289" s="65"/>
      <c r="B289" s="65"/>
      <c r="C289" s="65"/>
      <c r="D289" s="193"/>
      <c r="E289" s="63"/>
      <c r="F289" s="270"/>
      <c r="G289" s="65"/>
      <c r="H289" s="65"/>
      <c r="I289" s="65"/>
      <c r="J289" s="65"/>
      <c r="K289" s="65"/>
      <c r="L289" s="65"/>
      <c r="M289" s="65"/>
      <c r="N289" s="65"/>
      <c r="O289" s="65"/>
    </row>
    <row r="290" ht="15.75" customHeight="1">
      <c r="A290" s="65"/>
      <c r="B290" s="65"/>
      <c r="C290" s="65"/>
      <c r="D290" s="193"/>
      <c r="E290" s="63"/>
      <c r="F290" s="270"/>
      <c r="G290" s="65"/>
      <c r="H290" s="65"/>
      <c r="I290" s="65"/>
      <c r="J290" s="65"/>
      <c r="K290" s="65"/>
      <c r="L290" s="65"/>
      <c r="M290" s="65"/>
      <c r="N290" s="65"/>
      <c r="O290" s="65"/>
    </row>
    <row r="291" ht="15.75" customHeight="1">
      <c r="A291" s="65"/>
      <c r="B291" s="65"/>
      <c r="C291" s="65"/>
      <c r="D291" s="193"/>
      <c r="E291" s="63"/>
      <c r="F291" s="270"/>
      <c r="G291" s="65"/>
      <c r="H291" s="65"/>
      <c r="I291" s="65"/>
      <c r="J291" s="65"/>
      <c r="K291" s="65"/>
      <c r="L291" s="65"/>
      <c r="M291" s="65"/>
      <c r="N291" s="65"/>
      <c r="O291" s="65"/>
    </row>
    <row r="292" ht="15.75" customHeight="1">
      <c r="A292" s="65"/>
      <c r="B292" s="65"/>
      <c r="C292" s="65"/>
      <c r="D292" s="193"/>
      <c r="E292" s="63"/>
      <c r="F292" s="270"/>
      <c r="G292" s="65"/>
      <c r="H292" s="65"/>
      <c r="I292" s="65"/>
      <c r="J292" s="65"/>
      <c r="K292" s="65"/>
      <c r="L292" s="65"/>
      <c r="M292" s="65"/>
      <c r="N292" s="65"/>
      <c r="O292" s="65"/>
    </row>
    <row r="293" ht="15.75" customHeight="1">
      <c r="A293" s="65"/>
      <c r="B293" s="65"/>
      <c r="C293" s="65"/>
      <c r="D293" s="193"/>
      <c r="E293" s="63"/>
      <c r="F293" s="270"/>
      <c r="G293" s="65"/>
      <c r="H293" s="65"/>
      <c r="I293" s="65"/>
      <c r="J293" s="65"/>
      <c r="K293" s="65"/>
      <c r="L293" s="65"/>
      <c r="M293" s="65"/>
      <c r="N293" s="65"/>
      <c r="O293" s="65"/>
    </row>
    <row r="294" ht="15.75" customHeight="1">
      <c r="A294" s="65"/>
      <c r="B294" s="65"/>
      <c r="C294" s="65"/>
      <c r="D294" s="193"/>
      <c r="E294" s="63"/>
      <c r="F294" s="270"/>
      <c r="G294" s="65"/>
      <c r="H294" s="65"/>
      <c r="I294" s="65"/>
      <c r="J294" s="65"/>
      <c r="K294" s="65"/>
      <c r="L294" s="65"/>
      <c r="M294" s="65"/>
      <c r="N294" s="65"/>
      <c r="O294" s="65"/>
    </row>
    <row r="295" ht="15.75" customHeight="1">
      <c r="A295" s="65"/>
      <c r="B295" s="65"/>
      <c r="C295" s="65"/>
      <c r="D295" s="193"/>
      <c r="E295" s="63"/>
      <c r="F295" s="270"/>
      <c r="G295" s="65"/>
      <c r="H295" s="65"/>
      <c r="I295" s="65"/>
      <c r="J295" s="65"/>
      <c r="K295" s="65"/>
      <c r="L295" s="65"/>
      <c r="M295" s="65"/>
      <c r="N295" s="65"/>
      <c r="O295" s="65"/>
    </row>
    <row r="296" ht="15.75" customHeight="1">
      <c r="A296" s="65"/>
      <c r="B296" s="65"/>
      <c r="C296" s="65"/>
      <c r="D296" s="193"/>
      <c r="E296" s="63"/>
      <c r="F296" s="270"/>
      <c r="G296" s="65"/>
      <c r="H296" s="65"/>
      <c r="I296" s="65"/>
      <c r="J296" s="65"/>
      <c r="K296" s="65"/>
      <c r="L296" s="65"/>
      <c r="M296" s="65"/>
      <c r="N296" s="65"/>
      <c r="O296" s="65"/>
    </row>
    <row r="297" ht="15.75" customHeight="1">
      <c r="A297" s="65"/>
      <c r="B297" s="65"/>
      <c r="C297" s="65"/>
      <c r="D297" s="193"/>
      <c r="E297" s="63"/>
      <c r="F297" s="270"/>
      <c r="G297" s="65"/>
      <c r="H297" s="65"/>
      <c r="I297" s="65"/>
      <c r="J297" s="65"/>
      <c r="K297" s="65"/>
      <c r="L297" s="65"/>
      <c r="M297" s="65"/>
      <c r="N297" s="65"/>
      <c r="O297" s="65"/>
    </row>
    <row r="298" ht="15.75" customHeight="1">
      <c r="A298" s="65"/>
      <c r="B298" s="65"/>
      <c r="C298" s="65"/>
      <c r="D298" s="193"/>
      <c r="E298" s="63"/>
      <c r="F298" s="270"/>
      <c r="G298" s="65"/>
      <c r="H298" s="65"/>
      <c r="I298" s="65"/>
      <c r="J298" s="65"/>
      <c r="K298" s="65"/>
      <c r="L298" s="65"/>
      <c r="M298" s="65"/>
      <c r="N298" s="65"/>
      <c r="O298" s="65"/>
    </row>
    <row r="299" ht="15.75" customHeight="1">
      <c r="A299" s="65"/>
      <c r="B299" s="65"/>
      <c r="C299" s="65"/>
      <c r="D299" s="193"/>
      <c r="E299" s="63"/>
      <c r="F299" s="270"/>
      <c r="G299" s="65"/>
      <c r="H299" s="65"/>
      <c r="I299" s="65"/>
      <c r="J299" s="65"/>
      <c r="K299" s="65"/>
      <c r="L299" s="65"/>
      <c r="M299" s="65"/>
      <c r="N299" s="65"/>
      <c r="O299" s="65"/>
    </row>
    <row r="300" ht="15.75" customHeight="1">
      <c r="A300" s="65"/>
      <c r="B300" s="65"/>
      <c r="C300" s="65"/>
      <c r="D300" s="193"/>
      <c r="E300" s="63"/>
      <c r="F300" s="270"/>
      <c r="G300" s="65"/>
      <c r="H300" s="65"/>
      <c r="I300" s="65"/>
      <c r="J300" s="65"/>
      <c r="K300" s="65"/>
      <c r="L300" s="65"/>
      <c r="M300" s="65"/>
      <c r="N300" s="65"/>
      <c r="O300" s="65"/>
    </row>
    <row r="301" ht="15.75" customHeight="1">
      <c r="A301" s="65"/>
      <c r="B301" s="65"/>
      <c r="C301" s="65"/>
      <c r="D301" s="193"/>
      <c r="E301" s="63"/>
      <c r="F301" s="270"/>
      <c r="G301" s="65"/>
      <c r="H301" s="65"/>
      <c r="I301" s="65"/>
      <c r="J301" s="65"/>
      <c r="K301" s="65"/>
      <c r="L301" s="65"/>
      <c r="M301" s="65"/>
      <c r="N301" s="65"/>
      <c r="O301" s="65"/>
    </row>
    <row r="302" ht="15.75" customHeight="1">
      <c r="A302" s="65"/>
      <c r="B302" s="65"/>
      <c r="C302" s="65"/>
      <c r="D302" s="193"/>
      <c r="E302" s="63"/>
      <c r="F302" s="270"/>
      <c r="G302" s="65"/>
      <c r="H302" s="65"/>
      <c r="I302" s="65"/>
      <c r="J302" s="65"/>
      <c r="K302" s="65"/>
      <c r="L302" s="65"/>
      <c r="M302" s="65"/>
      <c r="N302" s="65"/>
      <c r="O302" s="65"/>
    </row>
    <row r="303" ht="15.75" customHeight="1">
      <c r="A303" s="65"/>
      <c r="B303" s="65"/>
      <c r="C303" s="65"/>
      <c r="D303" s="193"/>
      <c r="E303" s="63"/>
      <c r="F303" s="270"/>
      <c r="G303" s="65"/>
      <c r="H303" s="65"/>
      <c r="I303" s="65"/>
      <c r="J303" s="65"/>
      <c r="K303" s="65"/>
      <c r="L303" s="65"/>
      <c r="M303" s="65"/>
      <c r="N303" s="65"/>
      <c r="O303" s="65"/>
    </row>
    <row r="304" ht="15.75" customHeight="1">
      <c r="A304" s="65"/>
      <c r="B304" s="65"/>
      <c r="C304" s="65"/>
      <c r="D304" s="193"/>
      <c r="E304" s="63"/>
      <c r="F304" s="270"/>
      <c r="G304" s="65"/>
      <c r="H304" s="65"/>
      <c r="I304" s="65"/>
      <c r="J304" s="65"/>
      <c r="K304" s="65"/>
      <c r="L304" s="65"/>
      <c r="M304" s="65"/>
      <c r="N304" s="65"/>
      <c r="O304" s="65"/>
    </row>
    <row r="305" ht="15.75" customHeight="1">
      <c r="A305" s="65"/>
      <c r="B305" s="65"/>
      <c r="C305" s="65"/>
      <c r="D305" s="193"/>
      <c r="E305" s="63"/>
      <c r="F305" s="270"/>
      <c r="G305" s="65"/>
      <c r="H305" s="65"/>
      <c r="I305" s="65"/>
      <c r="J305" s="65"/>
      <c r="K305" s="65"/>
      <c r="L305" s="65"/>
      <c r="M305" s="65"/>
      <c r="N305" s="65"/>
      <c r="O305" s="65"/>
    </row>
    <row r="306" ht="15.75" customHeight="1">
      <c r="A306" s="65"/>
      <c r="B306" s="65"/>
      <c r="C306" s="65"/>
      <c r="D306" s="193"/>
      <c r="E306" s="63"/>
      <c r="F306" s="270"/>
      <c r="G306" s="65"/>
      <c r="H306" s="65"/>
      <c r="I306" s="65"/>
      <c r="J306" s="65"/>
      <c r="K306" s="65"/>
      <c r="L306" s="65"/>
      <c r="M306" s="65"/>
      <c r="N306" s="65"/>
      <c r="O306" s="65"/>
    </row>
    <row r="307" ht="15.75" customHeight="1">
      <c r="A307" s="65"/>
      <c r="B307" s="65"/>
      <c r="C307" s="65"/>
      <c r="D307" s="193"/>
      <c r="E307" s="63"/>
      <c r="F307" s="270"/>
      <c r="G307" s="65"/>
      <c r="H307" s="65"/>
      <c r="I307" s="65"/>
      <c r="J307" s="65"/>
      <c r="K307" s="65"/>
      <c r="L307" s="65"/>
      <c r="M307" s="65"/>
      <c r="N307" s="65"/>
      <c r="O307" s="65"/>
    </row>
    <row r="308" ht="15.75" customHeight="1">
      <c r="A308" s="65"/>
      <c r="B308" s="65"/>
      <c r="C308" s="65"/>
      <c r="D308" s="193"/>
      <c r="E308" s="63"/>
      <c r="F308" s="270"/>
      <c r="G308" s="65"/>
      <c r="H308" s="65"/>
      <c r="I308" s="65"/>
      <c r="J308" s="65"/>
      <c r="K308" s="65"/>
      <c r="L308" s="65"/>
      <c r="M308" s="65"/>
      <c r="N308" s="65"/>
      <c r="O308" s="65"/>
    </row>
    <row r="309" ht="15.75" customHeight="1">
      <c r="A309" s="65"/>
      <c r="B309" s="65"/>
      <c r="C309" s="65"/>
      <c r="D309" s="193"/>
      <c r="E309" s="63"/>
      <c r="F309" s="270"/>
      <c r="G309" s="65"/>
      <c r="H309" s="65"/>
      <c r="I309" s="65"/>
      <c r="J309" s="65"/>
      <c r="K309" s="65"/>
      <c r="L309" s="65"/>
      <c r="M309" s="65"/>
      <c r="N309" s="65"/>
      <c r="O309" s="65"/>
    </row>
    <row r="310" ht="15.75" customHeight="1">
      <c r="A310" s="65"/>
      <c r="B310" s="65"/>
      <c r="C310" s="65"/>
      <c r="D310" s="193"/>
      <c r="E310" s="63"/>
      <c r="F310" s="270"/>
      <c r="G310" s="65"/>
      <c r="H310" s="65"/>
      <c r="I310" s="65"/>
      <c r="J310" s="65"/>
      <c r="K310" s="65"/>
      <c r="L310" s="65"/>
      <c r="M310" s="65"/>
      <c r="N310" s="65"/>
      <c r="O310" s="65"/>
    </row>
    <row r="311" ht="15.75" customHeight="1">
      <c r="A311" s="65"/>
      <c r="B311" s="65"/>
      <c r="C311" s="65"/>
      <c r="D311" s="193"/>
      <c r="E311" s="63"/>
      <c r="F311" s="270"/>
      <c r="G311" s="65"/>
      <c r="H311" s="65"/>
      <c r="I311" s="65"/>
      <c r="J311" s="65"/>
      <c r="K311" s="65"/>
      <c r="L311" s="65"/>
      <c r="M311" s="65"/>
      <c r="N311" s="65"/>
      <c r="O311" s="65"/>
    </row>
    <row r="312" ht="15.75" customHeight="1">
      <c r="A312" s="65"/>
      <c r="B312" s="65"/>
      <c r="C312" s="65"/>
      <c r="D312" s="193"/>
      <c r="E312" s="63"/>
      <c r="F312" s="270"/>
      <c r="G312" s="65"/>
      <c r="H312" s="65"/>
      <c r="I312" s="65"/>
      <c r="J312" s="65"/>
      <c r="K312" s="65"/>
      <c r="L312" s="65"/>
      <c r="M312" s="65"/>
      <c r="N312" s="65"/>
      <c r="O312" s="65"/>
    </row>
    <row r="313" ht="15.75" customHeight="1">
      <c r="A313" s="65"/>
      <c r="B313" s="65"/>
      <c r="C313" s="65"/>
      <c r="D313" s="193"/>
      <c r="E313" s="63"/>
      <c r="F313" s="270"/>
      <c r="G313" s="65"/>
      <c r="H313" s="65"/>
      <c r="I313" s="65"/>
      <c r="J313" s="65"/>
      <c r="K313" s="65"/>
      <c r="L313" s="65"/>
      <c r="M313" s="65"/>
      <c r="N313" s="65"/>
      <c r="O313" s="65"/>
    </row>
    <row r="314" ht="15.75" customHeight="1">
      <c r="A314" s="65"/>
      <c r="B314" s="65"/>
      <c r="C314" s="65"/>
      <c r="D314" s="193"/>
      <c r="E314" s="63"/>
      <c r="F314" s="270"/>
      <c r="G314" s="65"/>
      <c r="H314" s="65"/>
      <c r="I314" s="65"/>
      <c r="J314" s="65"/>
      <c r="K314" s="65"/>
      <c r="L314" s="65"/>
      <c r="M314" s="65"/>
      <c r="N314" s="65"/>
      <c r="O314" s="65"/>
    </row>
    <row r="315" ht="15.75" customHeight="1">
      <c r="A315" s="65"/>
      <c r="B315" s="65"/>
      <c r="C315" s="65"/>
      <c r="D315" s="193"/>
      <c r="E315" s="63"/>
      <c r="F315" s="270"/>
      <c r="G315" s="65"/>
      <c r="H315" s="65"/>
      <c r="I315" s="65"/>
      <c r="J315" s="65"/>
      <c r="K315" s="65"/>
      <c r="L315" s="65"/>
      <c r="M315" s="65"/>
      <c r="N315" s="65"/>
      <c r="O315" s="65"/>
    </row>
    <row r="316" ht="15.75" customHeight="1">
      <c r="A316" s="65"/>
      <c r="B316" s="65"/>
      <c r="C316" s="65"/>
      <c r="D316" s="193"/>
      <c r="E316" s="63"/>
      <c r="F316" s="270"/>
      <c r="G316" s="65"/>
      <c r="H316" s="65"/>
      <c r="I316" s="65"/>
      <c r="J316" s="65"/>
      <c r="K316" s="65"/>
      <c r="L316" s="65"/>
      <c r="M316" s="65"/>
      <c r="N316" s="65"/>
      <c r="O316" s="65"/>
    </row>
    <row r="317" ht="15.75" customHeight="1">
      <c r="A317" s="65"/>
      <c r="B317" s="65"/>
      <c r="C317" s="65"/>
      <c r="D317" s="193"/>
      <c r="E317" s="63"/>
      <c r="F317" s="270"/>
      <c r="G317" s="65"/>
      <c r="H317" s="65"/>
      <c r="I317" s="65"/>
      <c r="J317" s="65"/>
      <c r="K317" s="65"/>
      <c r="L317" s="65"/>
      <c r="M317" s="65"/>
      <c r="N317" s="65"/>
      <c r="O317" s="65"/>
    </row>
    <row r="318" ht="15.75" customHeight="1">
      <c r="A318" s="65"/>
      <c r="B318" s="65"/>
      <c r="C318" s="65"/>
      <c r="D318" s="193"/>
      <c r="E318" s="63"/>
      <c r="F318" s="270"/>
      <c r="G318" s="65"/>
      <c r="H318" s="65"/>
      <c r="I318" s="65"/>
      <c r="J318" s="65"/>
      <c r="K318" s="65"/>
      <c r="L318" s="65"/>
      <c r="M318" s="65"/>
      <c r="N318" s="65"/>
      <c r="O318" s="65"/>
    </row>
    <row r="319" ht="15.75" customHeight="1">
      <c r="A319" s="65"/>
      <c r="B319" s="65"/>
      <c r="C319" s="65"/>
      <c r="D319" s="193"/>
      <c r="E319" s="63"/>
      <c r="F319" s="270"/>
      <c r="G319" s="65"/>
      <c r="H319" s="65"/>
      <c r="I319" s="65"/>
      <c r="J319" s="65"/>
      <c r="K319" s="65"/>
      <c r="L319" s="65"/>
      <c r="M319" s="65"/>
      <c r="N319" s="65"/>
      <c r="O319" s="65"/>
    </row>
    <row r="320" ht="15.75" customHeight="1">
      <c r="A320" s="65"/>
      <c r="B320" s="65"/>
      <c r="C320" s="65"/>
      <c r="D320" s="193"/>
      <c r="E320" s="63"/>
      <c r="F320" s="270"/>
      <c r="G320" s="65"/>
      <c r="H320" s="65"/>
      <c r="I320" s="65"/>
      <c r="J320" s="65"/>
      <c r="K320" s="65"/>
      <c r="L320" s="65"/>
      <c r="M320" s="65"/>
      <c r="N320" s="65"/>
      <c r="O320" s="65"/>
    </row>
    <row r="321" ht="15.75" customHeight="1">
      <c r="A321" s="65"/>
      <c r="B321" s="65"/>
      <c r="C321" s="65"/>
      <c r="D321" s="193"/>
      <c r="E321" s="63"/>
      <c r="F321" s="270"/>
      <c r="G321" s="65"/>
      <c r="H321" s="65"/>
      <c r="I321" s="65"/>
      <c r="J321" s="65"/>
      <c r="K321" s="65"/>
      <c r="L321" s="65"/>
      <c r="M321" s="65"/>
      <c r="N321" s="65"/>
      <c r="O321" s="65"/>
    </row>
    <row r="322" ht="15.75" customHeight="1">
      <c r="A322" s="65"/>
      <c r="B322" s="65"/>
      <c r="C322" s="65"/>
      <c r="D322" s="193"/>
      <c r="E322" s="63"/>
      <c r="F322" s="270"/>
      <c r="G322" s="65"/>
      <c r="H322" s="65"/>
      <c r="I322" s="65"/>
      <c r="J322" s="65"/>
      <c r="K322" s="65"/>
      <c r="L322" s="65"/>
      <c r="M322" s="65"/>
      <c r="N322" s="65"/>
      <c r="O322" s="65"/>
    </row>
    <row r="323" ht="15.75" customHeight="1">
      <c r="A323" s="65"/>
      <c r="B323" s="65"/>
      <c r="C323" s="65"/>
      <c r="D323" s="193"/>
      <c r="E323" s="63"/>
      <c r="F323" s="270"/>
      <c r="G323" s="65"/>
      <c r="H323" s="65"/>
      <c r="I323" s="65"/>
      <c r="J323" s="65"/>
      <c r="K323" s="65"/>
      <c r="L323" s="65"/>
      <c r="M323" s="65"/>
      <c r="N323" s="65"/>
      <c r="O323" s="65"/>
    </row>
    <row r="324" ht="15.75" customHeight="1">
      <c r="A324" s="65"/>
      <c r="B324" s="65"/>
      <c r="C324" s="65"/>
      <c r="D324" s="193"/>
      <c r="E324" s="63"/>
      <c r="F324" s="270"/>
      <c r="G324" s="65"/>
      <c r="H324" s="65"/>
      <c r="I324" s="65"/>
      <c r="J324" s="65"/>
      <c r="K324" s="65"/>
      <c r="L324" s="65"/>
      <c r="M324" s="65"/>
      <c r="N324" s="65"/>
      <c r="O324" s="65"/>
    </row>
    <row r="325" ht="15.75" customHeight="1">
      <c r="A325" s="65"/>
      <c r="B325" s="65"/>
      <c r="C325" s="65"/>
      <c r="D325" s="193"/>
      <c r="E325" s="63"/>
      <c r="F325" s="270"/>
      <c r="G325" s="65"/>
      <c r="H325" s="65"/>
      <c r="I325" s="65"/>
      <c r="J325" s="65"/>
      <c r="K325" s="65"/>
      <c r="L325" s="65"/>
      <c r="M325" s="65"/>
      <c r="N325" s="65"/>
      <c r="O325" s="65"/>
    </row>
    <row r="326" ht="15.75" customHeight="1">
      <c r="A326" s="65"/>
      <c r="B326" s="65"/>
      <c r="C326" s="65"/>
      <c r="D326" s="193"/>
      <c r="E326" s="63"/>
      <c r="F326" s="270"/>
      <c r="G326" s="65"/>
      <c r="H326" s="65"/>
      <c r="I326" s="65"/>
      <c r="J326" s="65"/>
      <c r="K326" s="65"/>
      <c r="L326" s="65"/>
      <c r="M326" s="65"/>
      <c r="N326" s="65"/>
      <c r="O326" s="65"/>
    </row>
    <row r="327" ht="15.75" customHeight="1">
      <c r="A327" s="65"/>
      <c r="B327" s="65"/>
      <c r="C327" s="65"/>
      <c r="D327" s="193"/>
      <c r="E327" s="63"/>
      <c r="F327" s="270"/>
      <c r="G327" s="65"/>
      <c r="H327" s="65"/>
      <c r="I327" s="65"/>
      <c r="J327" s="65"/>
      <c r="K327" s="65"/>
      <c r="L327" s="65"/>
      <c r="M327" s="65"/>
      <c r="N327" s="65"/>
      <c r="O327" s="65"/>
    </row>
    <row r="328" ht="15.75" customHeight="1">
      <c r="A328" s="65"/>
      <c r="B328" s="65"/>
      <c r="C328" s="65"/>
      <c r="D328" s="193"/>
      <c r="E328" s="63"/>
      <c r="F328" s="270"/>
      <c r="G328" s="65"/>
      <c r="H328" s="65"/>
      <c r="I328" s="65"/>
      <c r="J328" s="65"/>
      <c r="K328" s="65"/>
      <c r="L328" s="65"/>
      <c r="M328" s="65"/>
      <c r="N328" s="65"/>
      <c r="O328" s="65"/>
    </row>
    <row r="329" ht="15.75" customHeight="1">
      <c r="A329" s="65"/>
      <c r="B329" s="65"/>
      <c r="C329" s="65"/>
      <c r="D329" s="193"/>
      <c r="E329" s="63"/>
      <c r="F329" s="270"/>
      <c r="G329" s="65"/>
      <c r="H329" s="65"/>
      <c r="I329" s="65"/>
      <c r="J329" s="65"/>
      <c r="K329" s="65"/>
      <c r="L329" s="65"/>
      <c r="M329" s="65"/>
      <c r="N329" s="65"/>
      <c r="O329" s="65"/>
    </row>
    <row r="330" ht="15.75" customHeight="1">
      <c r="A330" s="65"/>
      <c r="B330" s="65"/>
      <c r="C330" s="65"/>
      <c r="D330" s="193"/>
      <c r="E330" s="63"/>
      <c r="F330" s="270"/>
      <c r="G330" s="65"/>
      <c r="H330" s="65"/>
      <c r="I330" s="65"/>
      <c r="J330" s="65"/>
      <c r="K330" s="65"/>
      <c r="L330" s="65"/>
      <c r="M330" s="65"/>
      <c r="N330" s="65"/>
      <c r="O330" s="65"/>
    </row>
    <row r="331" ht="15.75" customHeight="1">
      <c r="A331" s="65"/>
      <c r="B331" s="65"/>
      <c r="C331" s="65"/>
      <c r="D331" s="193"/>
      <c r="E331" s="63"/>
      <c r="F331" s="270"/>
      <c r="G331" s="65"/>
      <c r="H331" s="65"/>
      <c r="I331" s="65"/>
      <c r="J331" s="65"/>
      <c r="K331" s="65"/>
      <c r="L331" s="65"/>
      <c r="M331" s="65"/>
      <c r="N331" s="65"/>
      <c r="O331" s="65"/>
    </row>
    <row r="332" ht="15.75" customHeight="1">
      <c r="A332" s="65"/>
      <c r="B332" s="65"/>
      <c r="C332" s="65"/>
      <c r="D332" s="193"/>
      <c r="E332" s="63"/>
      <c r="F332" s="270"/>
      <c r="G332" s="65"/>
      <c r="H332" s="65"/>
      <c r="I332" s="65"/>
      <c r="J332" s="65"/>
      <c r="K332" s="65"/>
      <c r="L332" s="65"/>
      <c r="M332" s="65"/>
      <c r="N332" s="65"/>
      <c r="O332" s="65"/>
    </row>
    <row r="333" ht="15.75" customHeight="1">
      <c r="A333" s="65"/>
      <c r="B333" s="65"/>
      <c r="C333" s="65"/>
      <c r="D333" s="193"/>
      <c r="E333" s="63"/>
      <c r="F333" s="270"/>
      <c r="G333" s="65"/>
      <c r="H333" s="65"/>
      <c r="I333" s="65"/>
      <c r="J333" s="65"/>
      <c r="K333" s="65"/>
      <c r="L333" s="65"/>
      <c r="M333" s="65"/>
      <c r="N333" s="65"/>
      <c r="O333" s="65"/>
    </row>
    <row r="334" ht="15.75" customHeight="1">
      <c r="A334" s="65"/>
      <c r="B334" s="65"/>
      <c r="C334" s="65"/>
      <c r="D334" s="193"/>
      <c r="E334" s="63"/>
      <c r="F334" s="270"/>
      <c r="G334" s="65"/>
      <c r="H334" s="65"/>
      <c r="I334" s="65"/>
      <c r="J334" s="65"/>
      <c r="K334" s="65"/>
      <c r="L334" s="65"/>
      <c r="M334" s="65"/>
      <c r="N334" s="65"/>
      <c r="O334" s="65"/>
    </row>
    <row r="335" ht="15.75" customHeight="1">
      <c r="A335" s="65"/>
      <c r="B335" s="65"/>
      <c r="C335" s="65"/>
      <c r="D335" s="193"/>
      <c r="E335" s="63"/>
      <c r="F335" s="270"/>
      <c r="G335" s="65"/>
      <c r="H335" s="65"/>
      <c r="I335" s="65"/>
      <c r="J335" s="65"/>
      <c r="K335" s="65"/>
      <c r="L335" s="65"/>
      <c r="M335" s="65"/>
      <c r="N335" s="65"/>
      <c r="O335" s="65"/>
    </row>
    <row r="336" ht="15.75" customHeight="1">
      <c r="A336" s="65"/>
      <c r="B336" s="65"/>
      <c r="C336" s="65"/>
      <c r="D336" s="193"/>
      <c r="E336" s="63"/>
      <c r="F336" s="270"/>
      <c r="G336" s="65"/>
      <c r="H336" s="65"/>
      <c r="I336" s="65"/>
      <c r="J336" s="65"/>
      <c r="K336" s="65"/>
      <c r="L336" s="65"/>
      <c r="M336" s="65"/>
      <c r="N336" s="65"/>
      <c r="O336" s="65"/>
    </row>
    <row r="337" ht="15.75" customHeight="1">
      <c r="A337" s="65"/>
      <c r="B337" s="65"/>
      <c r="C337" s="65"/>
      <c r="D337" s="193"/>
      <c r="E337" s="63"/>
      <c r="F337" s="270"/>
      <c r="G337" s="65"/>
      <c r="H337" s="65"/>
      <c r="I337" s="65"/>
      <c r="J337" s="65"/>
      <c r="K337" s="65"/>
      <c r="L337" s="65"/>
      <c r="M337" s="65"/>
      <c r="N337" s="65"/>
      <c r="O337" s="65"/>
    </row>
    <row r="338" ht="15.75" customHeight="1">
      <c r="A338" s="65"/>
      <c r="B338" s="65"/>
      <c r="C338" s="65"/>
      <c r="D338" s="193"/>
      <c r="E338" s="63"/>
      <c r="F338" s="270"/>
      <c r="G338" s="65"/>
      <c r="H338" s="65"/>
      <c r="I338" s="65"/>
      <c r="J338" s="65"/>
      <c r="K338" s="65"/>
      <c r="L338" s="65"/>
      <c r="M338" s="65"/>
      <c r="N338" s="65"/>
      <c r="O338" s="65"/>
    </row>
    <row r="339" ht="15.75" customHeight="1">
      <c r="A339" s="65"/>
      <c r="B339" s="65"/>
      <c r="C339" s="65"/>
      <c r="D339" s="193"/>
      <c r="E339" s="63"/>
      <c r="F339" s="270"/>
      <c r="G339" s="65"/>
      <c r="H339" s="65"/>
      <c r="I339" s="65"/>
      <c r="J339" s="65"/>
      <c r="K339" s="65"/>
      <c r="L339" s="65"/>
      <c r="M339" s="65"/>
      <c r="N339" s="65"/>
      <c r="O339" s="65"/>
    </row>
    <row r="340" ht="15.75" customHeight="1">
      <c r="A340" s="65"/>
      <c r="B340" s="65"/>
      <c r="C340" s="65"/>
      <c r="D340" s="193"/>
      <c r="E340" s="63"/>
      <c r="F340" s="270"/>
      <c r="G340" s="65"/>
      <c r="H340" s="65"/>
      <c r="I340" s="65"/>
      <c r="J340" s="65"/>
      <c r="K340" s="65"/>
      <c r="L340" s="65"/>
      <c r="M340" s="65"/>
      <c r="N340" s="65"/>
      <c r="O340" s="65"/>
    </row>
    <row r="341" ht="15.75" customHeight="1">
      <c r="A341" s="65"/>
      <c r="B341" s="65"/>
      <c r="C341" s="65"/>
      <c r="D341" s="193"/>
      <c r="E341" s="63"/>
      <c r="F341" s="270"/>
      <c r="G341" s="65"/>
      <c r="H341" s="65"/>
      <c r="I341" s="65"/>
      <c r="J341" s="65"/>
      <c r="K341" s="65"/>
      <c r="L341" s="65"/>
      <c r="M341" s="65"/>
      <c r="N341" s="65"/>
      <c r="O341" s="65"/>
    </row>
    <row r="342" ht="15.75" customHeight="1">
      <c r="A342" s="65"/>
      <c r="B342" s="65"/>
      <c r="C342" s="65"/>
      <c r="D342" s="193"/>
      <c r="E342" s="63"/>
      <c r="F342" s="270"/>
      <c r="G342" s="65"/>
      <c r="H342" s="65"/>
      <c r="I342" s="65"/>
      <c r="J342" s="65"/>
      <c r="K342" s="65"/>
      <c r="L342" s="65"/>
      <c r="M342" s="65"/>
      <c r="N342" s="65"/>
      <c r="O342" s="65"/>
    </row>
    <row r="343" ht="15.75" customHeight="1">
      <c r="A343" s="65"/>
      <c r="B343" s="65"/>
      <c r="C343" s="65"/>
      <c r="D343" s="193"/>
      <c r="E343" s="63"/>
      <c r="F343" s="270"/>
      <c r="G343" s="65"/>
      <c r="H343" s="65"/>
      <c r="I343" s="65"/>
      <c r="J343" s="65"/>
      <c r="K343" s="65"/>
      <c r="L343" s="65"/>
      <c r="M343" s="65"/>
      <c r="N343" s="65"/>
      <c r="O343" s="65"/>
    </row>
    <row r="344" ht="15.75" customHeight="1">
      <c r="A344" s="65"/>
      <c r="B344" s="65"/>
      <c r="C344" s="65"/>
      <c r="D344" s="193"/>
      <c r="E344" s="63"/>
      <c r="F344" s="270"/>
      <c r="G344" s="65"/>
      <c r="H344" s="65"/>
      <c r="I344" s="65"/>
      <c r="J344" s="65"/>
      <c r="K344" s="65"/>
      <c r="L344" s="65"/>
      <c r="M344" s="65"/>
      <c r="N344" s="65"/>
      <c r="O344" s="65"/>
    </row>
    <row r="345" ht="15.75" customHeight="1">
      <c r="A345" s="65"/>
      <c r="B345" s="65"/>
      <c r="C345" s="65"/>
      <c r="D345" s="193"/>
      <c r="E345" s="63"/>
      <c r="F345" s="270"/>
      <c r="G345" s="65"/>
      <c r="H345" s="65"/>
      <c r="I345" s="65"/>
      <c r="J345" s="65"/>
      <c r="K345" s="65"/>
      <c r="L345" s="65"/>
      <c r="M345" s="65"/>
      <c r="N345" s="65"/>
      <c r="O345" s="65"/>
    </row>
    <row r="346" ht="15.75" customHeight="1">
      <c r="A346" s="65"/>
      <c r="B346" s="65"/>
      <c r="C346" s="65"/>
      <c r="D346" s="193"/>
      <c r="E346" s="63"/>
      <c r="F346" s="270"/>
      <c r="G346" s="65"/>
      <c r="H346" s="65"/>
      <c r="I346" s="65"/>
      <c r="J346" s="65"/>
      <c r="K346" s="65"/>
      <c r="L346" s="65"/>
      <c r="M346" s="65"/>
      <c r="N346" s="65"/>
      <c r="O346" s="65"/>
    </row>
    <row r="347" ht="15.75" customHeight="1">
      <c r="A347" s="65"/>
      <c r="B347" s="65"/>
      <c r="C347" s="65"/>
      <c r="D347" s="193"/>
      <c r="E347" s="63"/>
      <c r="F347" s="270"/>
      <c r="G347" s="65"/>
      <c r="H347" s="65"/>
      <c r="I347" s="65"/>
      <c r="J347" s="65"/>
      <c r="K347" s="65"/>
      <c r="L347" s="65"/>
      <c r="M347" s="65"/>
      <c r="N347" s="65"/>
      <c r="O347" s="65"/>
    </row>
    <row r="348" ht="15.75" customHeight="1">
      <c r="A348" s="65"/>
      <c r="B348" s="65"/>
      <c r="C348" s="65"/>
      <c r="D348" s="193"/>
      <c r="E348" s="63"/>
      <c r="F348" s="270"/>
      <c r="G348" s="65"/>
      <c r="H348" s="65"/>
      <c r="I348" s="65"/>
      <c r="J348" s="65"/>
      <c r="K348" s="65"/>
      <c r="L348" s="65"/>
      <c r="M348" s="65"/>
      <c r="N348" s="65"/>
      <c r="O348" s="65"/>
    </row>
    <row r="349" ht="15.75" customHeight="1">
      <c r="A349" s="65"/>
      <c r="B349" s="65"/>
      <c r="C349" s="65"/>
      <c r="D349" s="193"/>
      <c r="E349" s="63"/>
      <c r="F349" s="270"/>
      <c r="G349" s="65"/>
      <c r="H349" s="65"/>
      <c r="I349" s="65"/>
      <c r="J349" s="65"/>
      <c r="K349" s="65"/>
      <c r="L349" s="65"/>
      <c r="M349" s="65"/>
      <c r="N349" s="65"/>
      <c r="O349" s="65"/>
    </row>
    <row r="350" ht="15.75" customHeight="1">
      <c r="A350" s="65"/>
      <c r="B350" s="65"/>
      <c r="C350" s="65"/>
      <c r="D350" s="193"/>
      <c r="E350" s="63"/>
      <c r="F350" s="270"/>
      <c r="G350" s="65"/>
      <c r="H350" s="65"/>
      <c r="I350" s="65"/>
      <c r="J350" s="65"/>
      <c r="K350" s="65"/>
      <c r="L350" s="65"/>
      <c r="M350" s="65"/>
      <c r="N350" s="65"/>
      <c r="O350" s="65"/>
    </row>
    <row r="351" ht="15.75" customHeight="1">
      <c r="A351" s="65"/>
      <c r="B351" s="65"/>
      <c r="C351" s="65"/>
      <c r="D351" s="193"/>
      <c r="E351" s="63"/>
      <c r="F351" s="270"/>
      <c r="G351" s="65"/>
      <c r="H351" s="65"/>
      <c r="I351" s="65"/>
      <c r="J351" s="65"/>
      <c r="K351" s="65"/>
      <c r="L351" s="65"/>
      <c r="M351" s="65"/>
      <c r="N351" s="65"/>
      <c r="O351" s="65"/>
    </row>
    <row r="352" ht="15.75" customHeight="1">
      <c r="A352" s="65"/>
      <c r="B352" s="65"/>
      <c r="C352" s="65"/>
      <c r="D352" s="193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</row>
    <row r="353" ht="15.75" customHeight="1">
      <c r="A353" s="65"/>
      <c r="B353" s="65"/>
      <c r="C353" s="65"/>
      <c r="D353" s="193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</row>
    <row r="354" ht="15.75" customHeight="1">
      <c r="A354" s="65"/>
      <c r="B354" s="65"/>
      <c r="C354" s="65"/>
      <c r="D354" s="193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</row>
    <row r="355" ht="15.75" customHeight="1">
      <c r="A355" s="65"/>
      <c r="B355" s="65"/>
      <c r="C355" s="65"/>
      <c r="D355" s="193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</row>
    <row r="356" ht="15.75" customHeight="1">
      <c r="A356" s="65"/>
      <c r="B356" s="65"/>
      <c r="C356" s="65"/>
      <c r="D356" s="193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</row>
    <row r="357" ht="15.75" customHeight="1">
      <c r="A357" s="65"/>
      <c r="B357" s="65"/>
      <c r="C357" s="65"/>
      <c r="D357" s="193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</row>
    <row r="358" ht="15.75" customHeight="1">
      <c r="A358" s="65"/>
      <c r="B358" s="65"/>
      <c r="C358" s="65"/>
      <c r="D358" s="193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</row>
    <row r="359" ht="15.75" customHeight="1">
      <c r="A359" s="65"/>
      <c r="B359" s="65"/>
      <c r="C359" s="65"/>
      <c r="D359" s="193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</row>
    <row r="360" ht="15.75" customHeight="1">
      <c r="A360" s="65"/>
      <c r="B360" s="65"/>
      <c r="C360" s="65"/>
      <c r="D360" s="193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</row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4">
    <mergeCell ref="B8:C8"/>
    <mergeCell ref="A84:C84"/>
    <mergeCell ref="A126:C126"/>
    <mergeCell ref="A147:B147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4.14"/>
    <col customWidth="1" min="3" max="3" width="9.57"/>
    <col customWidth="1" min="4" max="4" width="11.43"/>
    <col customWidth="1" min="5" max="5" width="10.57"/>
    <col customWidth="1" min="6" max="6" width="14.71"/>
    <col customWidth="1" min="7" max="7" width="17.14"/>
    <col customWidth="1" min="8" max="8" width="15.0"/>
    <col customWidth="1" min="9" max="26" width="10.71"/>
  </cols>
  <sheetData>
    <row r="1">
      <c r="A1" s="123" t="s">
        <v>5</v>
      </c>
      <c r="B1" s="124"/>
      <c r="C1" s="17"/>
      <c r="D1" s="17"/>
      <c r="E1" s="17"/>
      <c r="F1" s="17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>
      <c r="A2" s="123" t="s">
        <v>155</v>
      </c>
      <c r="B2" s="271"/>
      <c r="C2" s="17"/>
      <c r="D2" s="17"/>
      <c r="E2" s="17"/>
      <c r="F2" s="17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>
      <c r="A3" s="123" t="s">
        <v>156</v>
      </c>
      <c r="B3" s="124"/>
      <c r="C3" s="17"/>
      <c r="D3" s="17"/>
      <c r="E3" s="17"/>
      <c r="F3" s="17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>
      <c r="A4" s="123" t="s">
        <v>158</v>
      </c>
      <c r="B4" s="124"/>
      <c r="C4" s="128" t="s">
        <v>159</v>
      </c>
      <c r="D4" s="17"/>
      <c r="E4" s="17"/>
      <c r="F4" s="17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>
      <c r="A5" s="123" t="s">
        <v>160</v>
      </c>
      <c r="B5" s="124"/>
      <c r="C5" s="128" t="s">
        <v>159</v>
      </c>
      <c r="D5" s="17"/>
      <c r="E5" s="17"/>
      <c r="F5" s="17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>
      <c r="A6" s="272" t="s">
        <v>161</v>
      </c>
      <c r="B6" s="273" t="s">
        <v>949</v>
      </c>
      <c r="C6" s="274"/>
      <c r="D6" s="273" t="s">
        <v>950</v>
      </c>
      <c r="E6" s="274"/>
      <c r="F6" s="17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>
      <c r="A8" s="275" t="s">
        <v>283</v>
      </c>
      <c r="B8" s="276" t="s">
        <v>282</v>
      </c>
      <c r="C8" s="276" t="s">
        <v>166</v>
      </c>
      <c r="D8" s="277" t="s">
        <v>167</v>
      </c>
      <c r="E8" s="278" t="s">
        <v>284</v>
      </c>
      <c r="F8" s="277" t="s">
        <v>169</v>
      </c>
      <c r="G8" s="218" t="s">
        <v>170</v>
      </c>
      <c r="H8" s="277" t="s">
        <v>756</v>
      </c>
      <c r="I8" s="3"/>
      <c r="J8" s="3"/>
      <c r="K8" s="3"/>
      <c r="L8" s="3"/>
      <c r="M8" s="3"/>
      <c r="N8" s="3"/>
      <c r="O8" s="3"/>
      <c r="P8" s="3"/>
      <c r="Q8" s="3"/>
    </row>
    <row r="9">
      <c r="A9" s="219">
        <v>8.44343219E9</v>
      </c>
      <c r="B9" s="50" t="s">
        <v>951</v>
      </c>
      <c r="C9" s="40">
        <v>300.0</v>
      </c>
      <c r="D9" s="172">
        <v>112.0</v>
      </c>
      <c r="E9" s="41"/>
      <c r="F9" s="43">
        <v>0.0</v>
      </c>
      <c r="G9" s="139" t="s">
        <v>625</v>
      </c>
      <c r="H9" s="141"/>
      <c r="I9" s="3"/>
      <c r="J9" s="3"/>
      <c r="K9" s="3"/>
      <c r="L9" s="3"/>
      <c r="M9" s="3"/>
      <c r="N9" s="3"/>
      <c r="O9" s="3"/>
      <c r="P9" s="3"/>
      <c r="Q9" s="3"/>
    </row>
    <row r="10">
      <c r="A10" s="219">
        <v>9.00773319E9</v>
      </c>
      <c r="B10" s="50" t="s">
        <v>952</v>
      </c>
      <c r="C10" s="40">
        <v>300.0</v>
      </c>
      <c r="D10" s="43">
        <v>112.0</v>
      </c>
      <c r="E10" s="41"/>
      <c r="F10" s="43">
        <v>0.0</v>
      </c>
      <c r="G10" s="139" t="s">
        <v>625</v>
      </c>
      <c r="H10" s="141"/>
      <c r="I10" s="3"/>
      <c r="J10" s="3"/>
      <c r="K10" s="3"/>
      <c r="L10" s="3"/>
      <c r="M10" s="3"/>
      <c r="N10" s="3"/>
      <c r="O10" s="3"/>
      <c r="P10" s="3"/>
      <c r="Q10" s="3"/>
    </row>
    <row r="11">
      <c r="A11" s="219">
        <v>9.00778419E9</v>
      </c>
      <c r="B11" s="50" t="s">
        <v>953</v>
      </c>
      <c r="C11" s="40">
        <v>300.0</v>
      </c>
      <c r="D11" s="43">
        <v>112.0</v>
      </c>
      <c r="E11" s="41"/>
      <c r="F11" s="43">
        <v>0.0</v>
      </c>
      <c r="G11" s="139" t="s">
        <v>625</v>
      </c>
      <c r="H11" s="141"/>
      <c r="I11" s="3"/>
      <c r="J11" s="3"/>
      <c r="K11" s="3"/>
      <c r="L11" s="3"/>
      <c r="M11" s="3"/>
      <c r="N11" s="3"/>
      <c r="O11" s="3"/>
      <c r="P11" s="3"/>
      <c r="Q11" s="3"/>
    </row>
    <row r="12">
      <c r="A12" s="219">
        <v>9.00581119E9</v>
      </c>
      <c r="B12" s="50" t="s">
        <v>954</v>
      </c>
      <c r="C12" s="40">
        <v>300.0</v>
      </c>
      <c r="D12" s="43">
        <v>112.0</v>
      </c>
      <c r="E12" s="41"/>
      <c r="F12" s="43">
        <v>0.0</v>
      </c>
      <c r="G12" s="139" t="s">
        <v>625</v>
      </c>
      <c r="H12" s="141"/>
      <c r="I12" s="3"/>
      <c r="J12" s="3"/>
      <c r="K12" s="3"/>
      <c r="L12" s="3"/>
      <c r="M12" s="3"/>
      <c r="N12" s="3"/>
      <c r="O12" s="3"/>
      <c r="P12" s="3"/>
      <c r="Q12" s="3"/>
    </row>
    <row r="13">
      <c r="A13" s="219">
        <v>9.04328419E9</v>
      </c>
      <c r="B13" s="50" t="s">
        <v>955</v>
      </c>
      <c r="C13" s="40">
        <v>300.0</v>
      </c>
      <c r="D13" s="43">
        <v>112.0</v>
      </c>
      <c r="E13" s="41"/>
      <c r="F13" s="43">
        <v>0.0</v>
      </c>
      <c r="G13" s="139" t="s">
        <v>625</v>
      </c>
      <c r="H13" s="141"/>
      <c r="I13" s="3"/>
      <c r="J13" s="3"/>
      <c r="K13" s="3"/>
      <c r="L13" s="3"/>
      <c r="M13" s="3"/>
      <c r="N13" s="3"/>
      <c r="O13" s="3"/>
      <c r="P13" s="3"/>
      <c r="Q13" s="3"/>
    </row>
    <row r="14">
      <c r="A14" s="219">
        <v>8.90656419E9</v>
      </c>
      <c r="B14" s="50" t="s">
        <v>956</v>
      </c>
      <c r="C14" s="40">
        <v>300.0</v>
      </c>
      <c r="D14" s="43">
        <v>112.0</v>
      </c>
      <c r="E14" s="41"/>
      <c r="F14" s="43">
        <v>0.0</v>
      </c>
      <c r="G14" s="139" t="s">
        <v>625</v>
      </c>
      <c r="H14" s="141"/>
      <c r="I14" s="3"/>
      <c r="J14" s="3"/>
      <c r="K14" s="3"/>
      <c r="L14" s="3"/>
      <c r="M14" s="3"/>
      <c r="N14" s="3"/>
      <c r="O14" s="3"/>
      <c r="P14" s="3"/>
      <c r="Q14" s="3"/>
    </row>
    <row r="15">
      <c r="A15" s="219">
        <v>7.02693519E9</v>
      </c>
      <c r="B15" s="50" t="s">
        <v>957</v>
      </c>
      <c r="C15" s="40">
        <v>300.0</v>
      </c>
      <c r="D15" s="43">
        <v>112.0</v>
      </c>
      <c r="E15" s="41"/>
      <c r="F15" s="43">
        <v>0.0</v>
      </c>
      <c r="G15" s="139" t="s">
        <v>625</v>
      </c>
      <c r="H15" s="141"/>
      <c r="I15" s="3"/>
      <c r="J15" s="3"/>
      <c r="K15" s="3"/>
      <c r="L15" s="3"/>
      <c r="M15" s="3"/>
      <c r="N15" s="3"/>
      <c r="O15" s="3"/>
      <c r="P15" s="3"/>
      <c r="Q15" s="3"/>
    </row>
    <row r="16">
      <c r="A16" s="219">
        <v>9.00502119E9</v>
      </c>
      <c r="B16" s="50" t="s">
        <v>958</v>
      </c>
      <c r="C16" s="40">
        <v>300.0</v>
      </c>
      <c r="D16" s="43">
        <v>112.0</v>
      </c>
      <c r="E16" s="41"/>
      <c r="F16" s="43">
        <v>0.0</v>
      </c>
      <c r="G16" s="139" t="s">
        <v>625</v>
      </c>
      <c r="H16" s="141"/>
      <c r="I16" s="3"/>
      <c r="J16" s="3"/>
      <c r="K16" s="3"/>
      <c r="L16" s="3"/>
      <c r="M16" s="3"/>
      <c r="N16" s="3"/>
      <c r="O16" s="3"/>
      <c r="P16" s="3"/>
      <c r="Q16" s="3"/>
    </row>
    <row r="17">
      <c r="A17" s="219">
        <v>8.49663319E9</v>
      </c>
      <c r="B17" s="50" t="s">
        <v>959</v>
      </c>
      <c r="C17" s="40">
        <v>100.0</v>
      </c>
      <c r="D17" s="43">
        <v>112.0</v>
      </c>
      <c r="E17" s="41"/>
      <c r="F17" s="43">
        <v>0.0</v>
      </c>
      <c r="G17" s="139" t="s">
        <v>625</v>
      </c>
      <c r="H17" s="141"/>
      <c r="I17" s="3"/>
      <c r="J17" s="3"/>
      <c r="K17" s="3"/>
      <c r="L17" s="3"/>
      <c r="M17" s="3"/>
      <c r="N17" s="3"/>
      <c r="O17" s="3"/>
      <c r="P17" s="3"/>
      <c r="Q17" s="3"/>
    </row>
    <row r="18">
      <c r="A18" s="219">
        <v>7.02757519E9</v>
      </c>
      <c r="B18" s="15" t="s">
        <v>960</v>
      </c>
      <c r="C18" s="40">
        <v>300.0</v>
      </c>
      <c r="D18" s="43">
        <v>112.0</v>
      </c>
      <c r="E18" s="41"/>
      <c r="F18" s="43">
        <v>0.0</v>
      </c>
      <c r="G18" s="139" t="s">
        <v>625</v>
      </c>
      <c r="H18" s="141"/>
      <c r="I18" s="3"/>
      <c r="J18" s="3"/>
      <c r="K18" s="3"/>
      <c r="L18" s="3"/>
      <c r="M18" s="3"/>
      <c r="N18" s="3"/>
      <c r="O18" s="3"/>
      <c r="P18" s="3"/>
      <c r="Q18" s="3"/>
    </row>
    <row r="19">
      <c r="A19" s="219">
        <v>8.93238719E9</v>
      </c>
      <c r="B19" s="15" t="s">
        <v>961</v>
      </c>
      <c r="C19" s="40">
        <v>300.0</v>
      </c>
      <c r="D19" s="43">
        <v>112.0</v>
      </c>
      <c r="E19" s="41"/>
      <c r="F19" s="43">
        <v>0.0</v>
      </c>
      <c r="G19" s="139" t="s">
        <v>625</v>
      </c>
      <c r="H19" s="141"/>
      <c r="I19" s="3"/>
      <c r="J19" s="3"/>
      <c r="K19" s="3"/>
      <c r="L19" s="3"/>
      <c r="M19" s="3"/>
      <c r="N19" s="3"/>
      <c r="O19" s="3"/>
      <c r="P19" s="3"/>
      <c r="Q19" s="3"/>
    </row>
    <row r="20" ht="15.75" customHeight="1">
      <c r="A20" s="219">
        <v>7.02724919E9</v>
      </c>
      <c r="B20" s="15" t="s">
        <v>962</v>
      </c>
      <c r="C20" s="40">
        <v>300.0</v>
      </c>
      <c r="D20" s="43">
        <v>112.0</v>
      </c>
      <c r="E20" s="41"/>
      <c r="F20" s="43">
        <v>0.0</v>
      </c>
      <c r="G20" s="139" t="s">
        <v>625</v>
      </c>
      <c r="H20" s="141"/>
      <c r="I20" s="3"/>
      <c r="J20" s="3"/>
      <c r="K20" s="3"/>
      <c r="L20" s="3"/>
      <c r="M20" s="3"/>
      <c r="N20" s="3"/>
      <c r="O20" s="3"/>
      <c r="P20" s="3"/>
      <c r="Q20" s="3"/>
    </row>
    <row r="21" ht="15.75" customHeight="1">
      <c r="A21" s="219">
        <v>9.75574819E9</v>
      </c>
      <c r="B21" s="15" t="s">
        <v>963</v>
      </c>
      <c r="C21" s="40">
        <v>100.0</v>
      </c>
      <c r="D21" s="43">
        <v>112.0</v>
      </c>
      <c r="E21" s="41"/>
      <c r="F21" s="43">
        <v>0.0</v>
      </c>
      <c r="G21" s="139" t="s">
        <v>625</v>
      </c>
      <c r="H21" s="141"/>
      <c r="I21" s="3"/>
      <c r="J21" s="3"/>
      <c r="K21" s="3"/>
      <c r="L21" s="3"/>
      <c r="M21" s="3"/>
      <c r="N21" s="3"/>
      <c r="O21" s="3"/>
      <c r="P21" s="3"/>
      <c r="Q21" s="3"/>
    </row>
    <row r="22" ht="15.75" customHeight="1">
      <c r="A22" s="219">
        <v>7.02773719E9</v>
      </c>
      <c r="B22" s="15" t="s">
        <v>964</v>
      </c>
      <c r="C22" s="40">
        <v>300.0</v>
      </c>
      <c r="D22" s="43">
        <v>112.0</v>
      </c>
      <c r="E22" s="41"/>
      <c r="F22" s="43">
        <v>0.0</v>
      </c>
      <c r="G22" s="139" t="s">
        <v>625</v>
      </c>
      <c r="H22" s="141"/>
      <c r="I22" s="3"/>
      <c r="J22" s="3"/>
      <c r="K22" s="3"/>
      <c r="L22" s="3"/>
      <c r="M22" s="3"/>
      <c r="N22" s="3"/>
      <c r="O22" s="3"/>
      <c r="P22" s="3"/>
      <c r="Q22" s="3"/>
    </row>
    <row r="23" ht="15.75" customHeight="1">
      <c r="A23" s="219">
        <v>8.94637019E9</v>
      </c>
      <c r="B23" s="15" t="s">
        <v>965</v>
      </c>
      <c r="C23" s="40">
        <v>300.0</v>
      </c>
      <c r="D23" s="43">
        <v>112.0</v>
      </c>
      <c r="E23" s="41"/>
      <c r="F23" s="43">
        <v>0.0</v>
      </c>
      <c r="G23" s="139" t="s">
        <v>625</v>
      </c>
      <c r="H23" s="141"/>
      <c r="I23" s="3"/>
      <c r="J23" s="3"/>
      <c r="K23" s="3"/>
      <c r="L23" s="3"/>
      <c r="M23" s="3"/>
      <c r="N23" s="3"/>
      <c r="O23" s="3"/>
      <c r="P23" s="3"/>
      <c r="Q23" s="3"/>
    </row>
    <row r="24" ht="15.75" customHeight="1">
      <c r="A24" s="219">
        <v>7.25849619E9</v>
      </c>
      <c r="B24" s="15" t="s">
        <v>966</v>
      </c>
      <c r="C24" s="40">
        <v>300.0</v>
      </c>
      <c r="D24" s="43">
        <v>112.0</v>
      </c>
      <c r="E24" s="41"/>
      <c r="F24" s="43">
        <v>0.0</v>
      </c>
      <c r="G24" s="139" t="s">
        <v>625</v>
      </c>
      <c r="H24" s="141"/>
      <c r="I24" s="3"/>
      <c r="J24" s="3"/>
      <c r="K24" s="3"/>
      <c r="L24" s="3"/>
      <c r="M24" s="3"/>
      <c r="N24" s="3"/>
      <c r="O24" s="3"/>
      <c r="P24" s="3"/>
      <c r="Q24" s="3"/>
    </row>
    <row r="25" ht="15.75" customHeight="1">
      <c r="A25" s="219">
        <v>7.02719219E9</v>
      </c>
      <c r="B25" s="15" t="s">
        <v>967</v>
      </c>
      <c r="C25" s="40">
        <v>100.0</v>
      </c>
      <c r="D25" s="43">
        <v>112.0</v>
      </c>
      <c r="E25" s="41"/>
      <c r="F25" s="43">
        <v>0.0</v>
      </c>
      <c r="G25" s="139" t="s">
        <v>625</v>
      </c>
      <c r="H25" s="141"/>
      <c r="I25" s="3"/>
      <c r="J25" s="3"/>
      <c r="K25" s="3"/>
      <c r="L25" s="3"/>
      <c r="M25" s="3"/>
      <c r="N25" s="3"/>
      <c r="O25" s="3"/>
      <c r="P25" s="3"/>
      <c r="Q25" s="3"/>
    </row>
    <row r="26" ht="15.75" customHeight="1">
      <c r="A26" s="219">
        <v>7.25102519E9</v>
      </c>
      <c r="B26" s="15" t="s">
        <v>968</v>
      </c>
      <c r="C26" s="40">
        <v>300.0</v>
      </c>
      <c r="D26" s="43">
        <v>112.0</v>
      </c>
      <c r="E26" s="41"/>
      <c r="F26" s="43">
        <v>0.0</v>
      </c>
      <c r="G26" s="139" t="s">
        <v>625</v>
      </c>
      <c r="H26" s="141"/>
      <c r="I26" s="3"/>
      <c r="J26" s="3"/>
      <c r="K26" s="3"/>
      <c r="L26" s="3"/>
      <c r="M26" s="3"/>
      <c r="N26" s="3"/>
      <c r="O26" s="3"/>
      <c r="P26" s="3"/>
      <c r="Q26" s="3"/>
    </row>
    <row r="27" ht="15.75" customHeight="1">
      <c r="A27" s="219">
        <v>8.89059519E9</v>
      </c>
      <c r="B27" s="15" t="s">
        <v>969</v>
      </c>
      <c r="C27" s="40">
        <v>100.0</v>
      </c>
      <c r="D27" s="43">
        <v>112.0</v>
      </c>
      <c r="E27" s="41"/>
      <c r="F27" s="43">
        <v>0.0</v>
      </c>
      <c r="G27" s="139" t="s">
        <v>625</v>
      </c>
      <c r="H27" s="141"/>
      <c r="I27" s="3"/>
      <c r="J27" s="3"/>
      <c r="K27" s="3"/>
      <c r="L27" s="3"/>
      <c r="M27" s="3"/>
      <c r="N27" s="3"/>
      <c r="O27" s="3"/>
      <c r="P27" s="3"/>
      <c r="Q27" s="3"/>
    </row>
    <row r="28" ht="15.75" customHeight="1">
      <c r="A28" s="219">
        <v>8.86031919E9</v>
      </c>
      <c r="B28" s="15" t="s">
        <v>970</v>
      </c>
      <c r="C28" s="40">
        <v>100.0</v>
      </c>
      <c r="D28" s="43">
        <v>112.0</v>
      </c>
      <c r="E28" s="41"/>
      <c r="F28" s="43">
        <v>0.0</v>
      </c>
      <c r="G28" s="139" t="s">
        <v>625</v>
      </c>
      <c r="H28" s="141"/>
      <c r="I28" s="3"/>
      <c r="J28" s="3"/>
      <c r="K28" s="3"/>
      <c r="L28" s="3"/>
      <c r="M28" s="3"/>
      <c r="N28" s="3"/>
      <c r="O28" s="3"/>
      <c r="P28" s="3"/>
      <c r="Q28" s="3"/>
    </row>
    <row r="29" ht="15.75" customHeight="1">
      <c r="A29" s="219">
        <v>8.86018119E9</v>
      </c>
      <c r="B29" s="15" t="s">
        <v>971</v>
      </c>
      <c r="C29" s="40">
        <v>100.0</v>
      </c>
      <c r="D29" s="43">
        <v>112.0</v>
      </c>
      <c r="E29" s="41"/>
      <c r="F29" s="43">
        <v>0.0</v>
      </c>
      <c r="G29" s="139" t="s">
        <v>625</v>
      </c>
      <c r="H29" s="141"/>
      <c r="I29" s="3"/>
      <c r="J29" s="3"/>
      <c r="K29" s="3"/>
      <c r="L29" s="3"/>
      <c r="M29" s="3"/>
      <c r="N29" s="3"/>
      <c r="O29" s="3"/>
      <c r="P29" s="3"/>
      <c r="Q29" s="3"/>
    </row>
    <row r="30" ht="15.75" customHeight="1">
      <c r="A30" s="219">
        <v>7.02764819E9</v>
      </c>
      <c r="B30" s="15" t="s">
        <v>972</v>
      </c>
      <c r="C30" s="40">
        <v>100.0</v>
      </c>
      <c r="D30" s="43">
        <v>112.0</v>
      </c>
      <c r="E30" s="41"/>
      <c r="F30" s="43">
        <v>0.0</v>
      </c>
      <c r="G30" s="139" t="s">
        <v>625</v>
      </c>
      <c r="H30" s="141"/>
      <c r="I30" s="3"/>
      <c r="J30" s="3"/>
      <c r="K30" s="3"/>
      <c r="L30" s="3"/>
      <c r="M30" s="3"/>
      <c r="N30" s="3"/>
      <c r="O30" s="3"/>
      <c r="P30" s="3"/>
      <c r="Q30" s="3"/>
    </row>
    <row r="31" ht="15.75" customHeight="1">
      <c r="A31" s="219">
        <v>7.02781819E9</v>
      </c>
      <c r="B31" s="15" t="s">
        <v>973</v>
      </c>
      <c r="C31" s="40">
        <v>100.0</v>
      </c>
      <c r="D31" s="43">
        <v>112.0</v>
      </c>
      <c r="E31" s="41"/>
      <c r="F31" s="43">
        <v>0.0</v>
      </c>
      <c r="G31" s="139" t="s">
        <v>625</v>
      </c>
      <c r="H31" s="141"/>
      <c r="I31" s="3"/>
      <c r="J31" s="3"/>
      <c r="K31" s="3"/>
      <c r="L31" s="3"/>
      <c r="M31" s="3"/>
      <c r="N31" s="3"/>
      <c r="O31" s="3"/>
      <c r="P31" s="3"/>
      <c r="Q31" s="3"/>
    </row>
    <row r="32" ht="15.75" customHeight="1">
      <c r="A32" s="219">
        <v>7.02716819E9</v>
      </c>
      <c r="B32" s="15" t="s">
        <v>974</v>
      </c>
      <c r="C32" s="40">
        <v>100.0</v>
      </c>
      <c r="D32" s="43">
        <v>112.0</v>
      </c>
      <c r="E32" s="41"/>
      <c r="F32" s="43">
        <v>0.0</v>
      </c>
      <c r="G32" s="139" t="s">
        <v>625</v>
      </c>
      <c r="H32" s="141"/>
      <c r="I32" s="3"/>
      <c r="J32" s="3"/>
      <c r="K32" s="3"/>
      <c r="L32" s="3"/>
      <c r="M32" s="3"/>
      <c r="N32" s="3"/>
      <c r="O32" s="3"/>
      <c r="P32" s="3"/>
      <c r="Q32" s="3"/>
    </row>
    <row r="33" ht="15.75" customHeight="1">
      <c r="A33" s="219">
        <v>7.02755919E9</v>
      </c>
      <c r="B33" s="15" t="s">
        <v>975</v>
      </c>
      <c r="C33" s="40">
        <v>100.0</v>
      </c>
      <c r="D33" s="43">
        <v>112.0</v>
      </c>
      <c r="E33" s="41"/>
      <c r="F33" s="43">
        <v>0.0</v>
      </c>
      <c r="G33" s="139" t="s">
        <v>625</v>
      </c>
      <c r="H33" s="141"/>
      <c r="I33" s="3"/>
      <c r="J33" s="3"/>
      <c r="K33" s="3"/>
      <c r="L33" s="3"/>
      <c r="M33" s="3"/>
      <c r="N33" s="3"/>
      <c r="O33" s="3"/>
      <c r="P33" s="3"/>
      <c r="Q33" s="3"/>
    </row>
    <row r="34" ht="15.75" customHeight="1">
      <c r="A34" s="221">
        <v>7.02715019E9</v>
      </c>
      <c r="B34" s="15" t="s">
        <v>976</v>
      </c>
      <c r="C34" s="40">
        <v>300.0</v>
      </c>
      <c r="D34" s="43">
        <v>112.0</v>
      </c>
      <c r="E34" s="41"/>
      <c r="F34" s="43">
        <v>0.0</v>
      </c>
      <c r="G34" s="139" t="s">
        <v>625</v>
      </c>
      <c r="H34" s="141"/>
      <c r="I34" s="3"/>
      <c r="J34" s="3"/>
      <c r="K34" s="3"/>
      <c r="L34" s="3"/>
      <c r="M34" s="3"/>
      <c r="N34" s="3"/>
      <c r="O34" s="3"/>
      <c r="P34" s="3"/>
      <c r="Q34" s="3"/>
    </row>
    <row r="35" ht="15.75" customHeight="1">
      <c r="A35" s="221">
        <v>7.68280819E9</v>
      </c>
      <c r="B35" s="15" t="s">
        <v>977</v>
      </c>
      <c r="C35" s="40">
        <v>300.0</v>
      </c>
      <c r="D35" s="43">
        <v>112.0</v>
      </c>
      <c r="E35" s="41"/>
      <c r="F35" s="43">
        <v>0.0</v>
      </c>
      <c r="G35" s="139" t="s">
        <v>625</v>
      </c>
      <c r="H35" s="141"/>
      <c r="I35" s="3"/>
      <c r="J35" s="3"/>
      <c r="K35" s="3"/>
      <c r="L35" s="3"/>
      <c r="M35" s="3"/>
      <c r="N35" s="3"/>
      <c r="O35" s="3"/>
      <c r="P35" s="3"/>
      <c r="Q35" s="3"/>
    </row>
    <row r="36" ht="15.75" customHeight="1">
      <c r="A36" s="221">
        <v>8.94672819E9</v>
      </c>
      <c r="B36" s="15" t="s">
        <v>978</v>
      </c>
      <c r="C36" s="40">
        <v>100.0</v>
      </c>
      <c r="D36" s="43">
        <v>112.0</v>
      </c>
      <c r="E36" s="41"/>
      <c r="F36" s="43">
        <v>0.0</v>
      </c>
      <c r="G36" s="139" t="s">
        <v>625</v>
      </c>
      <c r="H36" s="141"/>
      <c r="I36" s="3"/>
      <c r="J36" s="3"/>
      <c r="K36" s="3"/>
      <c r="L36" s="3"/>
      <c r="M36" s="3"/>
      <c r="N36" s="3"/>
      <c r="O36" s="3"/>
      <c r="P36" s="3"/>
      <c r="Q36" s="3"/>
    </row>
    <row r="37" ht="15.75" customHeight="1">
      <c r="A37" s="221">
        <v>7.02748619E9</v>
      </c>
      <c r="B37" s="15" t="s">
        <v>979</v>
      </c>
      <c r="C37" s="40">
        <v>100.0</v>
      </c>
      <c r="D37" s="43">
        <v>112.0</v>
      </c>
      <c r="E37" s="41"/>
      <c r="F37" s="43">
        <v>0.0</v>
      </c>
      <c r="G37" s="139" t="s">
        <v>625</v>
      </c>
      <c r="H37" s="141"/>
      <c r="I37" s="3"/>
      <c r="J37" s="3"/>
      <c r="K37" s="3"/>
      <c r="L37" s="3"/>
      <c r="M37" s="3"/>
      <c r="N37" s="3"/>
      <c r="O37" s="3"/>
      <c r="P37" s="3"/>
      <c r="Q37" s="3"/>
    </row>
    <row r="38" ht="15.75" customHeight="1">
      <c r="A38" s="279">
        <v>1.006E13</v>
      </c>
      <c r="B38" s="15" t="s">
        <v>980</v>
      </c>
      <c r="C38" s="40">
        <v>100.0</v>
      </c>
      <c r="D38" s="43">
        <v>112.0</v>
      </c>
      <c r="E38" s="41"/>
      <c r="F38" s="43">
        <v>0.0</v>
      </c>
      <c r="G38" s="139" t="s">
        <v>625</v>
      </c>
      <c r="H38" s="141"/>
      <c r="I38" s="3"/>
      <c r="J38" s="3"/>
      <c r="K38" s="3"/>
      <c r="L38" s="3"/>
      <c r="M38" s="3"/>
      <c r="N38" s="3"/>
      <c r="O38" s="3"/>
      <c r="P38" s="3"/>
      <c r="Q38" s="3"/>
    </row>
    <row r="39" ht="15.75" customHeight="1">
      <c r="A39" s="221">
        <v>9.74486019E9</v>
      </c>
      <c r="B39" s="15" t="s">
        <v>981</v>
      </c>
      <c r="C39" s="40">
        <v>100.0</v>
      </c>
      <c r="D39" s="43">
        <v>112.0</v>
      </c>
      <c r="E39" s="41"/>
      <c r="F39" s="43">
        <v>0.0</v>
      </c>
      <c r="G39" s="139" t="s">
        <v>625</v>
      </c>
      <c r="H39" s="141"/>
      <c r="I39" s="3"/>
      <c r="J39" s="3"/>
      <c r="K39" s="3"/>
      <c r="L39" s="3"/>
      <c r="M39" s="3"/>
      <c r="N39" s="3"/>
      <c r="O39" s="3"/>
      <c r="P39" s="3"/>
      <c r="Q39" s="3"/>
    </row>
    <row r="40" ht="15.75" customHeight="1">
      <c r="A40" s="219">
        <v>8.82861019E9</v>
      </c>
      <c r="B40" s="15" t="s">
        <v>982</v>
      </c>
      <c r="C40" s="40">
        <v>300.0</v>
      </c>
      <c r="D40" s="43">
        <v>112.0</v>
      </c>
      <c r="E40" s="41"/>
      <c r="F40" s="43">
        <v>0.0</v>
      </c>
      <c r="G40" s="139" t="s">
        <v>625</v>
      </c>
      <c r="H40" s="141"/>
      <c r="I40" s="3"/>
      <c r="J40" s="3"/>
      <c r="K40" s="3"/>
      <c r="L40" s="3"/>
      <c r="M40" s="3"/>
      <c r="N40" s="3"/>
      <c r="O40" s="3"/>
      <c r="P40" s="3"/>
      <c r="Q40" s="3"/>
    </row>
    <row r="41" ht="15.75" customHeight="1">
      <c r="A41" s="219">
        <v>9.73138519E9</v>
      </c>
      <c r="B41" s="15" t="s">
        <v>983</v>
      </c>
      <c r="C41" s="40">
        <v>100.0</v>
      </c>
      <c r="D41" s="43">
        <v>112.0</v>
      </c>
      <c r="E41" s="41"/>
      <c r="F41" s="43">
        <v>0.0</v>
      </c>
      <c r="G41" s="139" t="s">
        <v>625</v>
      </c>
      <c r="H41" s="141"/>
      <c r="I41" s="3"/>
      <c r="J41" s="3"/>
      <c r="K41" s="3"/>
      <c r="L41" s="3"/>
      <c r="M41" s="3"/>
      <c r="N41" s="3"/>
      <c r="O41" s="3"/>
      <c r="P41" s="3"/>
      <c r="Q41" s="3"/>
    </row>
    <row r="42" ht="15.75" customHeight="1">
      <c r="A42" s="219">
        <v>7.02707919E9</v>
      </c>
      <c r="B42" s="15" t="s">
        <v>984</v>
      </c>
      <c r="C42" s="40">
        <v>300.0</v>
      </c>
      <c r="D42" s="43">
        <v>112.0</v>
      </c>
      <c r="E42" s="41"/>
      <c r="F42" s="43">
        <v>0.0</v>
      </c>
      <c r="G42" s="139" t="s">
        <v>625</v>
      </c>
      <c r="H42" s="141"/>
      <c r="I42" s="3"/>
      <c r="J42" s="3"/>
      <c r="K42" s="3"/>
      <c r="L42" s="3"/>
      <c r="M42" s="3"/>
      <c r="N42" s="3"/>
      <c r="O42" s="3"/>
      <c r="P42" s="3"/>
      <c r="Q42" s="3"/>
    </row>
    <row r="43" ht="15.75" customHeight="1">
      <c r="A43" s="219">
        <v>7.02698619E9</v>
      </c>
      <c r="B43" s="15" t="s">
        <v>985</v>
      </c>
      <c r="C43" s="40">
        <v>300.0</v>
      </c>
      <c r="D43" s="43">
        <v>112.0</v>
      </c>
      <c r="E43" s="41"/>
      <c r="F43" s="43">
        <v>0.0</v>
      </c>
      <c r="G43" s="139" t="s">
        <v>625</v>
      </c>
      <c r="H43" s="141"/>
      <c r="I43" s="3"/>
      <c r="J43" s="3"/>
      <c r="K43" s="3"/>
      <c r="L43" s="3"/>
      <c r="M43" s="3"/>
      <c r="N43" s="3"/>
      <c r="O43" s="3"/>
      <c r="P43" s="3"/>
      <c r="Q43" s="3"/>
    </row>
    <row r="44" ht="15.75" customHeight="1">
      <c r="A44" s="219">
        <v>7.02700119E9</v>
      </c>
      <c r="B44" s="15" t="s">
        <v>986</v>
      </c>
      <c r="C44" s="40">
        <v>300.0</v>
      </c>
      <c r="D44" s="43">
        <v>112.0</v>
      </c>
      <c r="E44" s="41"/>
      <c r="F44" s="43">
        <v>0.0</v>
      </c>
      <c r="G44" s="139" t="s">
        <v>625</v>
      </c>
      <c r="H44" s="141"/>
      <c r="I44" s="3"/>
      <c r="J44" s="3"/>
      <c r="K44" s="3"/>
      <c r="L44" s="3"/>
      <c r="M44" s="3"/>
      <c r="N44" s="3"/>
      <c r="O44" s="3"/>
      <c r="P44" s="3"/>
      <c r="Q44" s="3"/>
    </row>
    <row r="45" ht="15.75" customHeight="1">
      <c r="A45" s="219">
        <v>7.02702819E9</v>
      </c>
      <c r="B45" s="15" t="s">
        <v>987</v>
      </c>
      <c r="C45" s="40">
        <v>300.0</v>
      </c>
      <c r="D45" s="43">
        <v>112.0</v>
      </c>
      <c r="E45" s="41"/>
      <c r="F45" s="43">
        <v>0.0</v>
      </c>
      <c r="G45" s="139" t="s">
        <v>625</v>
      </c>
      <c r="H45" s="141"/>
      <c r="I45" s="3"/>
      <c r="J45" s="3"/>
      <c r="K45" s="3"/>
      <c r="L45" s="3"/>
      <c r="M45" s="3"/>
      <c r="N45" s="3"/>
      <c r="O45" s="3"/>
      <c r="P45" s="3"/>
      <c r="Q45" s="3"/>
    </row>
    <row r="46" ht="15.75" customHeight="1">
      <c r="A46" s="219">
        <v>7.29996619E9</v>
      </c>
      <c r="B46" s="15" t="s">
        <v>988</v>
      </c>
      <c r="C46" s="40">
        <v>300.0</v>
      </c>
      <c r="D46" s="43">
        <v>112.0</v>
      </c>
      <c r="E46" s="41"/>
      <c r="F46" s="43">
        <v>0.0</v>
      </c>
      <c r="G46" s="139" t="s">
        <v>625</v>
      </c>
      <c r="H46" s="141"/>
      <c r="I46" s="3"/>
      <c r="J46" s="3"/>
      <c r="K46" s="3"/>
      <c r="L46" s="3"/>
      <c r="M46" s="3"/>
      <c r="N46" s="3"/>
      <c r="O46" s="3"/>
      <c r="P46" s="3"/>
      <c r="Q46" s="3"/>
    </row>
    <row r="47" ht="15.75" customHeight="1">
      <c r="A47" s="219">
        <v>9.00570619E9</v>
      </c>
      <c r="B47" s="15" t="s">
        <v>989</v>
      </c>
      <c r="C47" s="40">
        <v>300.0</v>
      </c>
      <c r="D47" s="43">
        <v>112.0</v>
      </c>
      <c r="E47" s="41"/>
      <c r="F47" s="43">
        <v>0.0</v>
      </c>
      <c r="G47" s="139" t="s">
        <v>625</v>
      </c>
      <c r="H47" s="141"/>
      <c r="I47" s="3"/>
      <c r="J47" s="3"/>
      <c r="K47" s="3"/>
      <c r="L47" s="3"/>
      <c r="M47" s="3"/>
      <c r="N47" s="3"/>
      <c r="O47" s="3"/>
      <c r="P47" s="3"/>
      <c r="Q47" s="3"/>
    </row>
    <row r="48" ht="15.75" customHeight="1">
      <c r="A48" s="219">
        <v>7.29998219E9</v>
      </c>
      <c r="B48" s="15" t="s">
        <v>990</v>
      </c>
      <c r="C48" s="40">
        <v>300.0</v>
      </c>
      <c r="D48" s="43">
        <v>112.0</v>
      </c>
      <c r="E48" s="41"/>
      <c r="F48" s="43">
        <v>0.0</v>
      </c>
      <c r="G48" s="139" t="s">
        <v>625</v>
      </c>
      <c r="H48" s="141"/>
      <c r="I48" s="3"/>
      <c r="J48" s="3"/>
      <c r="K48" s="3"/>
      <c r="L48" s="3"/>
      <c r="M48" s="3"/>
      <c r="N48" s="3"/>
      <c r="O48" s="3"/>
      <c r="P48" s="3"/>
      <c r="Q48" s="3"/>
    </row>
    <row r="49" ht="15.75" customHeight="1">
      <c r="A49" s="219">
        <v>8.81732419E9</v>
      </c>
      <c r="B49" s="15" t="s">
        <v>991</v>
      </c>
      <c r="C49" s="40">
        <v>100.0</v>
      </c>
      <c r="D49" s="43">
        <v>112.0</v>
      </c>
      <c r="E49" s="41"/>
      <c r="F49" s="43">
        <v>0.0</v>
      </c>
      <c r="G49" s="139" t="s">
        <v>625</v>
      </c>
      <c r="H49" s="141"/>
      <c r="I49" s="3"/>
      <c r="J49" s="3"/>
      <c r="K49" s="3"/>
      <c r="L49" s="3"/>
      <c r="M49" s="3"/>
      <c r="N49" s="3"/>
      <c r="O49" s="3"/>
      <c r="P49" s="3"/>
      <c r="Q49" s="3"/>
    </row>
    <row r="50" ht="15.75" customHeight="1">
      <c r="A50" s="219">
        <v>7.02747819E9</v>
      </c>
      <c r="B50" s="15" t="s">
        <v>992</v>
      </c>
      <c r="C50" s="40">
        <v>100.0</v>
      </c>
      <c r="D50" s="43">
        <v>112.0</v>
      </c>
      <c r="E50" s="41"/>
      <c r="F50" s="43">
        <v>0.0</v>
      </c>
      <c r="G50" s="139" t="s">
        <v>625</v>
      </c>
      <c r="H50" s="141"/>
      <c r="I50" s="3"/>
      <c r="J50" s="3"/>
      <c r="K50" s="3"/>
      <c r="L50" s="3"/>
      <c r="M50" s="3"/>
      <c r="N50" s="3"/>
      <c r="O50" s="3"/>
      <c r="P50" s="3"/>
      <c r="Q50" s="3"/>
    </row>
    <row r="51" ht="15.75" customHeight="1">
      <c r="A51" s="219">
        <v>9.01504319E9</v>
      </c>
      <c r="B51" s="15" t="s">
        <v>993</v>
      </c>
      <c r="C51" s="40">
        <v>300.0</v>
      </c>
      <c r="D51" s="43">
        <v>112.0</v>
      </c>
      <c r="E51" s="41"/>
      <c r="F51" s="43">
        <v>0.0</v>
      </c>
      <c r="G51" s="139" t="s">
        <v>625</v>
      </c>
      <c r="H51" s="141"/>
      <c r="I51" s="3"/>
      <c r="J51" s="3"/>
      <c r="K51" s="3"/>
      <c r="L51" s="3"/>
      <c r="M51" s="3"/>
      <c r="N51" s="3"/>
      <c r="O51" s="3"/>
      <c r="P51" s="3"/>
      <c r="Q51" s="3"/>
    </row>
    <row r="52" ht="15.75" customHeight="1">
      <c r="A52" s="219">
        <v>9.00769519E9</v>
      </c>
      <c r="B52" s="15" t="s">
        <v>994</v>
      </c>
      <c r="C52" s="40">
        <v>100.0</v>
      </c>
      <c r="D52" s="43">
        <v>112.0</v>
      </c>
      <c r="E52" s="41"/>
      <c r="F52" s="43">
        <v>0.0</v>
      </c>
      <c r="G52" s="139" t="s">
        <v>625</v>
      </c>
      <c r="H52" s="141"/>
      <c r="I52" s="3"/>
      <c r="J52" s="3"/>
      <c r="K52" s="3"/>
      <c r="L52" s="3"/>
      <c r="M52" s="3"/>
      <c r="N52" s="3"/>
      <c r="O52" s="3"/>
      <c r="P52" s="3"/>
      <c r="Q52" s="3"/>
    </row>
    <row r="53" ht="15.75" customHeight="1">
      <c r="A53" s="219">
        <v>7.02825319E9</v>
      </c>
      <c r="B53" s="15" t="s">
        <v>995</v>
      </c>
      <c r="C53" s="40">
        <v>100.0</v>
      </c>
      <c r="D53" s="43">
        <v>112.0</v>
      </c>
      <c r="E53" s="41"/>
      <c r="F53" s="43">
        <v>0.0</v>
      </c>
      <c r="G53" s="139" t="s">
        <v>625</v>
      </c>
      <c r="H53" s="141"/>
      <c r="I53" s="3"/>
      <c r="J53" s="3"/>
      <c r="K53" s="3"/>
      <c r="L53" s="3"/>
      <c r="M53" s="3"/>
      <c r="N53" s="3"/>
      <c r="O53" s="3"/>
      <c r="P53" s="3"/>
      <c r="Q53" s="3"/>
    </row>
    <row r="54" ht="15.75" customHeight="1">
      <c r="A54" s="219">
        <v>7.02721419E9</v>
      </c>
      <c r="B54" s="15" t="s">
        <v>996</v>
      </c>
      <c r="C54" s="40">
        <v>100.0</v>
      </c>
      <c r="D54" s="43">
        <v>112.0</v>
      </c>
      <c r="E54" s="41"/>
      <c r="F54" s="43">
        <v>0.0</v>
      </c>
      <c r="G54" s="139" t="s">
        <v>625</v>
      </c>
      <c r="H54" s="141"/>
      <c r="I54" s="3"/>
      <c r="J54" s="3"/>
      <c r="K54" s="3"/>
      <c r="L54" s="3"/>
      <c r="M54" s="3"/>
      <c r="N54" s="3"/>
      <c r="O54" s="3"/>
      <c r="P54" s="3"/>
      <c r="Q54" s="3"/>
    </row>
    <row r="55" ht="15.75" customHeight="1">
      <c r="A55" s="219">
        <v>7.02708719E9</v>
      </c>
      <c r="B55" s="15" t="s">
        <v>997</v>
      </c>
      <c r="C55" s="40">
        <v>100.0</v>
      </c>
      <c r="D55" s="43">
        <v>112.0</v>
      </c>
      <c r="E55" s="41"/>
      <c r="F55" s="43">
        <v>0.0</v>
      </c>
      <c r="G55" s="139" t="s">
        <v>625</v>
      </c>
      <c r="H55" s="141"/>
      <c r="I55" s="3"/>
      <c r="J55" s="3"/>
      <c r="K55" s="3"/>
      <c r="L55" s="3"/>
      <c r="M55" s="3"/>
      <c r="N55" s="3"/>
      <c r="O55" s="3"/>
      <c r="P55" s="3"/>
      <c r="Q55" s="3"/>
    </row>
    <row r="56" ht="15.75" customHeight="1">
      <c r="A56" s="219">
        <v>7.02758319E9</v>
      </c>
      <c r="B56" s="15" t="s">
        <v>998</v>
      </c>
      <c r="C56" s="40">
        <v>100.0</v>
      </c>
      <c r="D56" s="43">
        <v>112.0</v>
      </c>
      <c r="E56" s="41"/>
      <c r="F56" s="43">
        <v>0.0</v>
      </c>
      <c r="G56" s="139" t="s">
        <v>625</v>
      </c>
      <c r="H56" s="141"/>
      <c r="I56" s="3"/>
      <c r="J56" s="3"/>
      <c r="K56" s="3"/>
      <c r="L56" s="3"/>
      <c r="M56" s="3"/>
      <c r="N56" s="3"/>
      <c r="O56" s="3"/>
      <c r="P56" s="3"/>
      <c r="Q56" s="3"/>
    </row>
    <row r="57" ht="15.75" customHeight="1">
      <c r="A57" s="219">
        <v>8.94680919E9</v>
      </c>
      <c r="B57" s="15" t="s">
        <v>999</v>
      </c>
      <c r="C57" s="40">
        <v>100.0</v>
      </c>
      <c r="D57" s="43">
        <v>112.0</v>
      </c>
      <c r="E57" s="41"/>
      <c r="F57" s="43">
        <v>0.0</v>
      </c>
      <c r="G57" s="139" t="s">
        <v>625</v>
      </c>
      <c r="H57" s="141"/>
      <c r="I57" s="3"/>
      <c r="J57" s="3"/>
      <c r="K57" s="3"/>
      <c r="L57" s="3"/>
      <c r="M57" s="3"/>
      <c r="N57" s="3"/>
      <c r="O57" s="3"/>
      <c r="P57" s="3"/>
      <c r="Q57" s="3"/>
    </row>
    <row r="58" ht="15.75" customHeight="1">
      <c r="A58" s="219">
        <v>9.31535719E9</v>
      </c>
      <c r="B58" s="15" t="s">
        <v>1000</v>
      </c>
      <c r="C58" s="40">
        <v>300.0</v>
      </c>
      <c r="D58" s="43">
        <v>112.0</v>
      </c>
      <c r="E58" s="41"/>
      <c r="F58" s="43">
        <v>0.0</v>
      </c>
      <c r="G58" s="139" t="s">
        <v>625</v>
      </c>
      <c r="H58" s="141"/>
      <c r="I58" s="3"/>
      <c r="J58" s="3"/>
      <c r="K58" s="3"/>
      <c r="L58" s="3"/>
      <c r="M58" s="3"/>
      <c r="N58" s="3"/>
      <c r="O58" s="3"/>
      <c r="P58" s="3"/>
      <c r="Q58" s="3"/>
    </row>
    <row r="59" ht="15.75" customHeight="1">
      <c r="A59" s="219">
        <v>7.02805919E9</v>
      </c>
      <c r="B59" s="15" t="s">
        <v>1001</v>
      </c>
      <c r="C59" s="40">
        <v>300.0</v>
      </c>
      <c r="D59" s="43">
        <v>112.0</v>
      </c>
      <c r="E59" s="41"/>
      <c r="F59" s="43">
        <v>0.0</v>
      </c>
      <c r="G59" s="139" t="s">
        <v>625</v>
      </c>
      <c r="H59" s="141"/>
      <c r="I59" s="3"/>
      <c r="J59" s="3"/>
      <c r="K59" s="3"/>
      <c r="L59" s="3"/>
      <c r="M59" s="3"/>
      <c r="N59" s="3"/>
      <c r="O59" s="3"/>
      <c r="P59" s="3"/>
      <c r="Q59" s="3"/>
    </row>
    <row r="60" ht="15.75" customHeight="1">
      <c r="A60" s="280" t="s">
        <v>1002</v>
      </c>
      <c r="B60" s="281" t="s">
        <v>1003</v>
      </c>
      <c r="C60" s="40">
        <v>300.0</v>
      </c>
      <c r="D60" s="43">
        <v>112.0</v>
      </c>
      <c r="E60" s="41"/>
      <c r="F60" s="43">
        <v>0.0</v>
      </c>
      <c r="G60" s="139" t="s">
        <v>625</v>
      </c>
      <c r="H60" s="141"/>
      <c r="I60" s="3"/>
      <c r="J60" s="3"/>
      <c r="K60" s="3"/>
      <c r="L60" s="3"/>
      <c r="M60" s="3"/>
      <c r="N60" s="3"/>
      <c r="O60" s="3"/>
      <c r="P60" s="3"/>
      <c r="Q60" s="3"/>
    </row>
    <row r="61" ht="15.75" customHeight="1">
      <c r="A61" s="219">
        <v>9.00567619E9</v>
      </c>
      <c r="B61" s="15" t="s">
        <v>1004</v>
      </c>
      <c r="C61" s="40">
        <v>100.0</v>
      </c>
      <c r="D61" s="43">
        <v>112.0</v>
      </c>
      <c r="E61" s="41"/>
      <c r="F61" s="43">
        <v>0.0</v>
      </c>
      <c r="G61" s="139" t="s">
        <v>625</v>
      </c>
      <c r="H61" s="141"/>
      <c r="I61" s="3"/>
      <c r="J61" s="3"/>
      <c r="K61" s="3"/>
      <c r="L61" s="3"/>
      <c r="M61" s="3"/>
      <c r="N61" s="3"/>
      <c r="O61" s="3"/>
      <c r="P61" s="3"/>
      <c r="Q61" s="3"/>
    </row>
    <row r="62" ht="15.75" customHeight="1">
      <c r="A62" s="219">
        <v>9.01561219E9</v>
      </c>
      <c r="B62" s="15" t="s">
        <v>1005</v>
      </c>
      <c r="C62" s="40">
        <v>100.0</v>
      </c>
      <c r="D62" s="43">
        <v>112.0</v>
      </c>
      <c r="E62" s="41"/>
      <c r="F62" s="43">
        <v>0.0</v>
      </c>
      <c r="G62" s="139" t="s">
        <v>625</v>
      </c>
      <c r="H62" s="141"/>
      <c r="I62" s="3"/>
      <c r="J62" s="3"/>
      <c r="K62" s="3"/>
      <c r="L62" s="3"/>
      <c r="M62" s="3"/>
      <c r="N62" s="3"/>
      <c r="O62" s="3"/>
      <c r="P62" s="3"/>
      <c r="Q62" s="3"/>
    </row>
    <row r="63" ht="15.75" customHeight="1">
      <c r="A63" s="219">
        <v>7.02727319E9</v>
      </c>
      <c r="B63" s="50" t="s">
        <v>1006</v>
      </c>
      <c r="C63" s="40">
        <v>300.0</v>
      </c>
      <c r="D63" s="43">
        <v>112.0</v>
      </c>
      <c r="E63" s="41"/>
      <c r="F63" s="43">
        <v>0.0</v>
      </c>
      <c r="G63" s="139" t="s">
        <v>625</v>
      </c>
      <c r="H63" s="141"/>
      <c r="I63" s="3"/>
      <c r="J63" s="3"/>
      <c r="K63" s="3"/>
      <c r="L63" s="3"/>
      <c r="M63" s="3"/>
      <c r="N63" s="3"/>
      <c r="O63" s="3"/>
      <c r="P63" s="3"/>
      <c r="Q63" s="3"/>
    </row>
    <row r="64" ht="15.75" customHeight="1">
      <c r="A64" s="219">
        <v>7.02729019E9</v>
      </c>
      <c r="B64" s="50" t="s">
        <v>1007</v>
      </c>
      <c r="C64" s="40">
        <v>300.0</v>
      </c>
      <c r="D64" s="43">
        <v>112.0</v>
      </c>
      <c r="E64" s="41"/>
      <c r="F64" s="43">
        <v>0.0</v>
      </c>
      <c r="G64" s="139" t="s">
        <v>625</v>
      </c>
      <c r="H64" s="141"/>
      <c r="I64" s="3"/>
      <c r="J64" s="3"/>
      <c r="K64" s="3"/>
      <c r="L64" s="3"/>
      <c r="M64" s="3"/>
      <c r="N64" s="3"/>
      <c r="O64" s="3"/>
      <c r="P64" s="3"/>
      <c r="Q64" s="3"/>
    </row>
    <row r="65" ht="15.75" customHeight="1">
      <c r="A65" s="219">
        <v>7.02812119E9</v>
      </c>
      <c r="B65" s="50" t="s">
        <v>1008</v>
      </c>
      <c r="C65" s="40">
        <v>300.0</v>
      </c>
      <c r="D65" s="43">
        <v>112.0</v>
      </c>
      <c r="E65" s="41"/>
      <c r="F65" s="43">
        <v>0.0</v>
      </c>
      <c r="G65" s="139" t="s">
        <v>625</v>
      </c>
      <c r="H65" s="141"/>
      <c r="I65" s="3"/>
      <c r="J65" s="3"/>
      <c r="K65" s="3"/>
      <c r="L65" s="3"/>
      <c r="M65" s="3"/>
      <c r="N65" s="3"/>
      <c r="O65" s="3"/>
      <c r="P65" s="3"/>
      <c r="Q65" s="3"/>
    </row>
    <row r="66" ht="15.75" customHeight="1">
      <c r="A66" s="219">
        <v>7.71325819E9</v>
      </c>
      <c r="B66" s="50" t="s">
        <v>1009</v>
      </c>
      <c r="C66" s="40">
        <v>300.0</v>
      </c>
      <c r="D66" s="43">
        <v>112.0</v>
      </c>
      <c r="E66" s="41"/>
      <c r="F66" s="43">
        <v>0.0</v>
      </c>
      <c r="G66" s="139" t="s">
        <v>625</v>
      </c>
      <c r="H66" s="141"/>
      <c r="I66" s="3"/>
      <c r="J66" s="3"/>
      <c r="K66" s="3"/>
      <c r="L66" s="3"/>
      <c r="M66" s="3"/>
      <c r="N66" s="3"/>
      <c r="O66" s="3"/>
      <c r="P66" s="3"/>
      <c r="Q66" s="3"/>
    </row>
    <row r="67" ht="15.75" customHeight="1">
      <c r="A67" s="282">
        <v>7.02751619E9</v>
      </c>
      <c r="B67" s="50" t="s">
        <v>1010</v>
      </c>
      <c r="C67" s="40">
        <v>100.0</v>
      </c>
      <c r="D67" s="43">
        <v>112.0</v>
      </c>
      <c r="E67" s="41"/>
      <c r="F67" s="43">
        <v>0.0</v>
      </c>
      <c r="G67" s="139" t="s">
        <v>625</v>
      </c>
      <c r="H67" s="141"/>
      <c r="I67" s="3"/>
      <c r="J67" s="3"/>
      <c r="K67" s="3"/>
      <c r="L67" s="3"/>
      <c r="M67" s="3"/>
      <c r="N67" s="3"/>
      <c r="O67" s="3"/>
      <c r="P67" s="3"/>
      <c r="Q67" s="3"/>
    </row>
    <row r="68" ht="15.75" customHeight="1">
      <c r="A68" s="282">
        <v>9.74443619E9</v>
      </c>
      <c r="B68" s="50" t="s">
        <v>1011</v>
      </c>
      <c r="C68" s="40">
        <v>100.0</v>
      </c>
      <c r="D68" s="43">
        <v>112.0</v>
      </c>
      <c r="E68" s="41"/>
      <c r="F68" s="43">
        <v>0.0</v>
      </c>
      <c r="G68" s="139" t="s">
        <v>625</v>
      </c>
      <c r="H68" s="141"/>
      <c r="I68" s="3"/>
      <c r="J68" s="3"/>
      <c r="K68" s="3"/>
      <c r="L68" s="3"/>
      <c r="M68" s="3"/>
      <c r="N68" s="3"/>
      <c r="O68" s="3"/>
      <c r="P68" s="3"/>
      <c r="Q68" s="3"/>
    </row>
    <row r="69" ht="15.75" customHeight="1">
      <c r="A69" s="282">
        <v>9.00576519E9</v>
      </c>
      <c r="B69" s="50" t="s">
        <v>1012</v>
      </c>
      <c r="C69" s="40">
        <v>100.0</v>
      </c>
      <c r="D69" s="43">
        <v>112.0</v>
      </c>
      <c r="E69" s="41"/>
      <c r="F69" s="43">
        <v>0.0</v>
      </c>
      <c r="G69" s="139" t="s">
        <v>625</v>
      </c>
      <c r="H69" s="141"/>
      <c r="I69" s="3"/>
      <c r="J69" s="3"/>
      <c r="K69" s="3"/>
      <c r="L69" s="3"/>
      <c r="M69" s="3"/>
      <c r="N69" s="3"/>
      <c r="O69" s="3"/>
      <c r="P69" s="3"/>
      <c r="Q69" s="3"/>
    </row>
    <row r="70" ht="15.75" customHeight="1">
      <c r="A70" s="282">
        <v>7.02794019E9</v>
      </c>
      <c r="B70" s="50" t="s">
        <v>1013</v>
      </c>
      <c r="C70" s="40">
        <v>100.0</v>
      </c>
      <c r="D70" s="43">
        <v>112.0</v>
      </c>
      <c r="E70" s="41"/>
      <c r="F70" s="43">
        <v>0.0</v>
      </c>
      <c r="G70" s="139" t="s">
        <v>625</v>
      </c>
      <c r="H70" s="141"/>
      <c r="I70" s="3"/>
      <c r="J70" s="3"/>
      <c r="K70" s="3"/>
      <c r="L70" s="3"/>
      <c r="M70" s="3"/>
      <c r="N70" s="3"/>
      <c r="O70" s="3"/>
      <c r="P70" s="3"/>
      <c r="Q70" s="3"/>
    </row>
    <row r="71" ht="15.75" customHeight="1">
      <c r="A71" s="283" t="s">
        <v>1014</v>
      </c>
      <c r="B71" s="284" t="s">
        <v>1015</v>
      </c>
      <c r="C71" s="40">
        <v>100.0</v>
      </c>
      <c r="D71" s="43">
        <v>112.0</v>
      </c>
      <c r="E71" s="41"/>
      <c r="F71" s="43">
        <v>0.0</v>
      </c>
      <c r="G71" s="139" t="s">
        <v>625</v>
      </c>
      <c r="H71" s="141"/>
      <c r="I71" s="3"/>
      <c r="J71" s="3"/>
      <c r="K71" s="3"/>
      <c r="L71" s="3"/>
      <c r="M71" s="3"/>
      <c r="N71" s="3"/>
      <c r="O71" s="3"/>
      <c r="P71" s="3"/>
      <c r="Q71" s="3"/>
    </row>
    <row r="72" ht="15.75" customHeight="1">
      <c r="A72" s="282">
        <v>7.02759119E9</v>
      </c>
      <c r="B72" s="50" t="s">
        <v>1016</v>
      </c>
      <c r="C72" s="40">
        <v>100.0</v>
      </c>
      <c r="D72" s="43">
        <v>112.0</v>
      </c>
      <c r="E72" s="41"/>
      <c r="F72" s="43">
        <v>0.0</v>
      </c>
      <c r="G72" s="139" t="s">
        <v>625</v>
      </c>
      <c r="H72" s="141"/>
      <c r="I72" s="3"/>
      <c r="J72" s="3"/>
      <c r="K72" s="3"/>
      <c r="L72" s="3"/>
      <c r="M72" s="3"/>
      <c r="N72" s="3"/>
      <c r="O72" s="3"/>
      <c r="P72" s="3"/>
      <c r="Q72" s="3"/>
    </row>
    <row r="73" ht="15.75" customHeight="1">
      <c r="A73" s="283" t="s">
        <v>1017</v>
      </c>
      <c r="B73" s="284" t="s">
        <v>1018</v>
      </c>
      <c r="C73" s="40">
        <v>100.0</v>
      </c>
      <c r="D73" s="43">
        <v>112.0</v>
      </c>
      <c r="E73" s="41"/>
      <c r="F73" s="43">
        <v>0.0</v>
      </c>
      <c r="G73" s="139" t="s">
        <v>625</v>
      </c>
      <c r="H73" s="141"/>
      <c r="I73" s="3"/>
      <c r="J73" s="3"/>
      <c r="K73" s="3"/>
      <c r="L73" s="3"/>
      <c r="M73" s="3"/>
      <c r="N73" s="3"/>
      <c r="O73" s="3"/>
      <c r="P73" s="3"/>
      <c r="Q73" s="3"/>
    </row>
    <row r="74" ht="15.75" customHeight="1">
      <c r="A74" s="283" t="s">
        <v>1019</v>
      </c>
      <c r="B74" s="284" t="s">
        <v>1020</v>
      </c>
      <c r="C74" s="40">
        <v>300.0</v>
      </c>
      <c r="D74" s="43">
        <v>112.0</v>
      </c>
      <c r="E74" s="41"/>
      <c r="F74" s="43">
        <v>0.0</v>
      </c>
      <c r="G74" s="139" t="s">
        <v>625</v>
      </c>
      <c r="H74" s="141"/>
      <c r="I74" s="3"/>
      <c r="J74" s="3"/>
      <c r="K74" s="3"/>
      <c r="L74" s="3"/>
      <c r="M74" s="3"/>
      <c r="N74" s="3"/>
      <c r="O74" s="3"/>
      <c r="P74" s="3"/>
      <c r="Q74" s="3"/>
    </row>
    <row r="75" ht="15.75" customHeight="1">
      <c r="A75" s="282">
        <v>9.03808619E9</v>
      </c>
      <c r="B75" s="50" t="s">
        <v>1021</v>
      </c>
      <c r="C75" s="40">
        <v>300.0</v>
      </c>
      <c r="D75" s="43">
        <v>77.0</v>
      </c>
      <c r="E75" s="41"/>
      <c r="F75" s="43">
        <v>0.0</v>
      </c>
      <c r="G75" s="139" t="s">
        <v>1022</v>
      </c>
      <c r="H75" s="141"/>
      <c r="I75" s="3"/>
      <c r="J75" s="3"/>
      <c r="K75" s="3"/>
      <c r="L75" s="3"/>
      <c r="M75" s="3"/>
      <c r="N75" s="3"/>
      <c r="O75" s="3"/>
      <c r="P75" s="3"/>
      <c r="Q75" s="3"/>
    </row>
    <row r="76" ht="15.75" customHeight="1">
      <c r="A76" s="282">
        <v>7.47591819E9</v>
      </c>
      <c r="B76" s="50" t="s">
        <v>1023</v>
      </c>
      <c r="C76" s="40">
        <v>100.0</v>
      </c>
      <c r="D76" s="43">
        <v>112.0</v>
      </c>
      <c r="E76" s="41"/>
      <c r="F76" s="43">
        <v>0.0</v>
      </c>
      <c r="G76" s="139" t="s">
        <v>625</v>
      </c>
      <c r="H76" s="141"/>
      <c r="I76" s="3"/>
      <c r="J76" s="3"/>
      <c r="K76" s="3"/>
      <c r="L76" s="3"/>
      <c r="M76" s="3"/>
      <c r="N76" s="3"/>
      <c r="O76" s="3"/>
      <c r="P76" s="3"/>
      <c r="Q76" s="3"/>
    </row>
    <row r="77" ht="15.75" customHeight="1">
      <c r="A77" s="282">
        <v>7.57472019E9</v>
      </c>
      <c r="B77" s="50" t="s">
        <v>1024</v>
      </c>
      <c r="C77" s="40">
        <v>100.0</v>
      </c>
      <c r="D77" s="43">
        <v>112.0</v>
      </c>
      <c r="E77" s="41"/>
      <c r="F77" s="43">
        <v>0.0</v>
      </c>
      <c r="G77" s="139" t="s">
        <v>625</v>
      </c>
      <c r="H77" s="141"/>
      <c r="I77" s="3"/>
      <c r="J77" s="3"/>
      <c r="K77" s="3"/>
      <c r="L77" s="3"/>
      <c r="M77" s="3"/>
      <c r="N77" s="3"/>
      <c r="O77" s="3"/>
      <c r="P77" s="3"/>
      <c r="Q77" s="3"/>
    </row>
    <row r="78" ht="15.75" customHeight="1">
      <c r="A78" s="282">
        <v>8.83697319E9</v>
      </c>
      <c r="B78" s="50" t="s">
        <v>1025</v>
      </c>
      <c r="C78" s="40">
        <v>300.0</v>
      </c>
      <c r="D78" s="43">
        <v>112.0</v>
      </c>
      <c r="E78" s="41"/>
      <c r="F78" s="43">
        <v>0.0</v>
      </c>
      <c r="G78" s="139" t="s">
        <v>625</v>
      </c>
      <c r="H78" s="141"/>
      <c r="I78" s="3"/>
      <c r="J78" s="3"/>
      <c r="K78" s="3"/>
      <c r="L78" s="3"/>
      <c r="M78" s="3"/>
      <c r="N78" s="3"/>
      <c r="O78" s="3"/>
      <c r="P78" s="3"/>
      <c r="Q78" s="3"/>
    </row>
    <row r="79" ht="15.75" customHeight="1">
      <c r="A79" s="282">
        <v>8.11069719E9</v>
      </c>
      <c r="B79" s="50" t="s">
        <v>1026</v>
      </c>
      <c r="C79" s="40">
        <v>300.0</v>
      </c>
      <c r="D79" s="43">
        <v>31.0</v>
      </c>
      <c r="E79" s="41"/>
      <c r="F79" s="43">
        <v>0.0</v>
      </c>
      <c r="G79" s="139" t="s">
        <v>1027</v>
      </c>
      <c r="H79" s="141"/>
      <c r="I79" s="3"/>
      <c r="J79" s="3"/>
      <c r="K79" s="3"/>
      <c r="L79" s="3"/>
      <c r="M79" s="3"/>
      <c r="N79" s="3"/>
      <c r="O79" s="3"/>
      <c r="P79" s="3"/>
      <c r="Q79" s="3"/>
    </row>
    <row r="80" ht="15.75" customHeight="1">
      <c r="A80" s="282">
        <v>8.08666419E9</v>
      </c>
      <c r="B80" s="50" t="s">
        <v>1028</v>
      </c>
      <c r="C80" s="40">
        <v>300.0</v>
      </c>
      <c r="D80" s="43">
        <v>112.0</v>
      </c>
      <c r="E80" s="41"/>
      <c r="F80" s="43">
        <v>0.0</v>
      </c>
      <c r="G80" s="139" t="s">
        <v>625</v>
      </c>
      <c r="H80" s="141"/>
      <c r="I80" s="3"/>
      <c r="J80" s="3"/>
      <c r="K80" s="3"/>
      <c r="L80" s="3"/>
      <c r="M80" s="3"/>
      <c r="N80" s="3"/>
      <c r="O80" s="3"/>
      <c r="P80" s="3"/>
      <c r="Q80" s="3"/>
    </row>
    <row r="81" ht="15.75" customHeight="1">
      <c r="A81" s="282">
        <v>7.02677319E9</v>
      </c>
      <c r="B81" s="50" t="s">
        <v>1029</v>
      </c>
      <c r="C81" s="40">
        <v>300.0</v>
      </c>
      <c r="D81" s="43">
        <v>112.0</v>
      </c>
      <c r="E81" s="41"/>
      <c r="F81" s="43">
        <v>0.0</v>
      </c>
      <c r="G81" s="139" t="s">
        <v>625</v>
      </c>
      <c r="H81" s="141"/>
      <c r="I81" s="3"/>
      <c r="J81" s="3"/>
      <c r="K81" s="3"/>
      <c r="L81" s="3"/>
      <c r="M81" s="3"/>
      <c r="N81" s="3"/>
      <c r="O81" s="3"/>
      <c r="P81" s="3"/>
      <c r="Q81" s="3"/>
    </row>
    <row r="82" ht="15.75" customHeight="1">
      <c r="A82" s="282">
        <v>8.81484819E9</v>
      </c>
      <c r="B82" s="50" t="s">
        <v>1030</v>
      </c>
      <c r="C82" s="40">
        <v>300.0</v>
      </c>
      <c r="D82" s="43">
        <v>112.0</v>
      </c>
      <c r="E82" s="41"/>
      <c r="F82" s="43">
        <v>0.0</v>
      </c>
      <c r="G82" s="139" t="s">
        <v>625</v>
      </c>
      <c r="H82" s="141"/>
      <c r="I82" s="3"/>
      <c r="J82" s="3"/>
      <c r="K82" s="3"/>
      <c r="L82" s="3"/>
      <c r="M82" s="3"/>
      <c r="N82" s="3"/>
      <c r="O82" s="3"/>
      <c r="P82" s="3"/>
      <c r="Q82" s="3"/>
    </row>
    <row r="83" ht="15.75" customHeight="1">
      <c r="A83" s="282">
        <v>8.49861019E9</v>
      </c>
      <c r="B83" s="50" t="s">
        <v>1031</v>
      </c>
      <c r="C83" s="40">
        <v>300.0</v>
      </c>
      <c r="D83" s="43">
        <v>112.0</v>
      </c>
      <c r="E83" s="41"/>
      <c r="F83" s="43">
        <v>0.0</v>
      </c>
      <c r="G83" s="139" t="s">
        <v>625</v>
      </c>
      <c r="H83" s="141"/>
      <c r="I83" s="3"/>
      <c r="J83" s="3"/>
      <c r="K83" s="3"/>
      <c r="L83" s="3"/>
      <c r="M83" s="3"/>
      <c r="N83" s="3"/>
      <c r="O83" s="3"/>
      <c r="P83" s="3"/>
      <c r="Q83" s="3"/>
    </row>
    <row r="84" ht="15.75" customHeight="1">
      <c r="A84" s="282">
        <v>7.02742719E9</v>
      </c>
      <c r="B84" s="50" t="s">
        <v>1032</v>
      </c>
      <c r="C84" s="40">
        <v>300.0</v>
      </c>
      <c r="D84" s="43">
        <v>112.0</v>
      </c>
      <c r="E84" s="41"/>
      <c r="F84" s="43">
        <v>0.0</v>
      </c>
      <c r="G84" s="139" t="s">
        <v>625</v>
      </c>
      <c r="H84" s="141"/>
      <c r="I84" s="3"/>
      <c r="J84" s="3"/>
      <c r="K84" s="3"/>
      <c r="L84" s="3"/>
      <c r="M84" s="3"/>
      <c r="N84" s="3"/>
      <c r="O84" s="3"/>
      <c r="P84" s="3"/>
      <c r="Q84" s="3"/>
    </row>
    <row r="85" ht="15.75" customHeight="1">
      <c r="A85" s="282">
        <v>7.02683819E9</v>
      </c>
      <c r="B85" s="50" t="s">
        <v>1033</v>
      </c>
      <c r="C85" s="40">
        <v>300.0</v>
      </c>
      <c r="D85" s="43">
        <v>112.0</v>
      </c>
      <c r="E85" s="41"/>
      <c r="F85" s="43">
        <v>0.0</v>
      </c>
      <c r="G85" s="139" t="s">
        <v>625</v>
      </c>
      <c r="H85" s="141"/>
      <c r="I85" s="3"/>
      <c r="J85" s="3"/>
      <c r="K85" s="3"/>
      <c r="L85" s="3"/>
      <c r="M85" s="3"/>
      <c r="N85" s="3"/>
      <c r="O85" s="3"/>
      <c r="P85" s="3"/>
      <c r="Q85" s="3"/>
    </row>
    <row r="86" ht="15.75" customHeight="1">
      <c r="A86" s="282">
        <v>9.01492619E9</v>
      </c>
      <c r="B86" s="50" t="s">
        <v>1034</v>
      </c>
      <c r="C86" s="40">
        <v>300.0</v>
      </c>
      <c r="D86" s="43">
        <v>112.0</v>
      </c>
      <c r="E86" s="41"/>
      <c r="F86" s="43">
        <v>0.0</v>
      </c>
      <c r="G86" s="139" t="s">
        <v>625</v>
      </c>
      <c r="H86" s="141"/>
      <c r="I86" s="3"/>
      <c r="J86" s="3"/>
      <c r="K86" s="3"/>
      <c r="L86" s="3"/>
      <c r="M86" s="3"/>
      <c r="N86" s="3"/>
      <c r="O86" s="3"/>
      <c r="P86" s="3"/>
      <c r="Q86" s="3"/>
    </row>
    <row r="87" ht="15.75" customHeight="1">
      <c r="A87" s="282">
        <v>7.02681119E9</v>
      </c>
      <c r="B87" s="50" t="s">
        <v>1035</v>
      </c>
      <c r="C87" s="40">
        <v>300.0</v>
      </c>
      <c r="D87" s="43">
        <v>112.0</v>
      </c>
      <c r="E87" s="41"/>
      <c r="F87" s="43">
        <v>0.0</v>
      </c>
      <c r="G87" s="139" t="s">
        <v>625</v>
      </c>
      <c r="H87" s="141"/>
      <c r="I87" s="3"/>
      <c r="J87" s="3"/>
      <c r="K87" s="3"/>
      <c r="L87" s="3"/>
      <c r="M87" s="3"/>
      <c r="N87" s="3"/>
      <c r="O87" s="3"/>
      <c r="P87" s="3"/>
      <c r="Q87" s="3"/>
    </row>
    <row r="88" ht="15.75" customHeight="1">
      <c r="A88" s="282">
        <v>8.83705819E9</v>
      </c>
      <c r="B88" s="50" t="s">
        <v>1036</v>
      </c>
      <c r="C88" s="40">
        <v>300.0</v>
      </c>
      <c r="D88" s="43">
        <v>31.0</v>
      </c>
      <c r="E88" s="41"/>
      <c r="F88" s="43">
        <v>0.0</v>
      </c>
      <c r="G88" s="139" t="s">
        <v>1027</v>
      </c>
      <c r="H88" s="141"/>
      <c r="I88" s="3"/>
      <c r="J88" s="3"/>
      <c r="K88" s="3"/>
      <c r="L88" s="3"/>
      <c r="M88" s="3"/>
      <c r="N88" s="3"/>
      <c r="O88" s="3"/>
      <c r="P88" s="3"/>
      <c r="Q88" s="3"/>
    </row>
    <row r="89" ht="15.75" customHeight="1">
      <c r="A89" s="219">
        <v>7.02777019E9</v>
      </c>
      <c r="B89" s="54" t="s">
        <v>1037</v>
      </c>
      <c r="C89" s="40">
        <v>300.0</v>
      </c>
      <c r="D89" s="43">
        <v>112.0</v>
      </c>
      <c r="E89" s="41"/>
      <c r="F89" s="43">
        <v>0.0</v>
      </c>
      <c r="G89" s="139" t="s">
        <v>625</v>
      </c>
      <c r="H89" s="141"/>
      <c r="I89" s="3"/>
      <c r="J89" s="3"/>
      <c r="K89" s="3"/>
      <c r="L89" s="3"/>
      <c r="M89" s="3"/>
      <c r="N89" s="3"/>
      <c r="O89" s="3"/>
      <c r="P89" s="3"/>
      <c r="Q89" s="3"/>
    </row>
    <row r="90" ht="15.75" customHeight="1">
      <c r="A90" s="219">
        <v>9.75583719E9</v>
      </c>
      <c r="B90" s="54" t="s">
        <v>1038</v>
      </c>
      <c r="C90" s="40">
        <v>100.0</v>
      </c>
      <c r="D90" s="43">
        <v>112.0</v>
      </c>
      <c r="E90" s="41"/>
      <c r="F90" s="43">
        <v>0.0</v>
      </c>
      <c r="G90" s="139" t="s">
        <v>625</v>
      </c>
      <c r="H90" s="141"/>
      <c r="I90" s="3"/>
      <c r="J90" s="3"/>
      <c r="K90" s="3"/>
      <c r="L90" s="3"/>
      <c r="M90" s="3"/>
      <c r="N90" s="3"/>
      <c r="O90" s="3"/>
      <c r="P90" s="3"/>
      <c r="Q90" s="3"/>
    </row>
    <row r="91" ht="15.75" customHeight="1">
      <c r="A91" s="219">
        <v>7.02800819E9</v>
      </c>
      <c r="B91" s="54" t="s">
        <v>1039</v>
      </c>
      <c r="C91" s="40">
        <v>300.0</v>
      </c>
      <c r="D91" s="43">
        <v>112.0</v>
      </c>
      <c r="E91" s="41"/>
      <c r="F91" s="43">
        <v>0.0</v>
      </c>
      <c r="G91" s="139" t="s">
        <v>625</v>
      </c>
      <c r="H91" s="141"/>
      <c r="I91" s="3"/>
      <c r="J91" s="3"/>
      <c r="K91" s="3"/>
      <c r="L91" s="3"/>
      <c r="M91" s="3"/>
      <c r="N91" s="3"/>
      <c r="O91" s="3"/>
      <c r="P91" s="3"/>
      <c r="Q91" s="3"/>
    </row>
    <row r="92" ht="15.75" customHeight="1">
      <c r="A92" s="219">
        <v>7.02797419E9</v>
      </c>
      <c r="B92" s="54" t="s">
        <v>1040</v>
      </c>
      <c r="C92" s="40">
        <v>100.0</v>
      </c>
      <c r="D92" s="43">
        <v>112.0</v>
      </c>
      <c r="E92" s="41"/>
      <c r="F92" s="43">
        <v>0.0</v>
      </c>
      <c r="G92" s="139" t="s">
        <v>625</v>
      </c>
      <c r="H92" s="141"/>
      <c r="I92" s="3"/>
      <c r="J92" s="3"/>
      <c r="K92" s="3"/>
      <c r="L92" s="3"/>
      <c r="M92" s="3"/>
      <c r="N92" s="3"/>
      <c r="O92" s="3"/>
      <c r="P92" s="3"/>
      <c r="Q92" s="3"/>
    </row>
    <row r="93" ht="15.75" customHeight="1">
      <c r="A93" s="219">
        <v>7.02802419E9</v>
      </c>
      <c r="B93" s="54" t="s">
        <v>1041</v>
      </c>
      <c r="C93" s="40">
        <v>300.0</v>
      </c>
      <c r="D93" s="43">
        <v>112.0</v>
      </c>
      <c r="E93" s="41"/>
      <c r="F93" s="43">
        <v>0.0</v>
      </c>
      <c r="G93" s="139" t="s">
        <v>625</v>
      </c>
      <c r="H93" s="141"/>
      <c r="I93" s="3"/>
      <c r="J93" s="3"/>
      <c r="K93" s="3"/>
      <c r="L93" s="3"/>
      <c r="M93" s="3"/>
      <c r="N93" s="3"/>
      <c r="O93" s="3"/>
      <c r="P93" s="3"/>
      <c r="Q93" s="3"/>
    </row>
    <row r="94" ht="15.75" customHeight="1">
      <c r="A94" s="219">
        <v>9.11855119E9</v>
      </c>
      <c r="B94" s="54" t="s">
        <v>1042</v>
      </c>
      <c r="C94" s="40">
        <v>300.0</v>
      </c>
      <c r="D94" s="43">
        <v>112.0</v>
      </c>
      <c r="E94" s="41"/>
      <c r="F94" s="43">
        <v>0.0</v>
      </c>
      <c r="G94" s="139" t="s">
        <v>625</v>
      </c>
      <c r="H94" s="141"/>
      <c r="I94" s="3"/>
      <c r="J94" s="3"/>
      <c r="K94" s="3"/>
      <c r="L94" s="3"/>
      <c r="M94" s="3"/>
      <c r="N94" s="3"/>
      <c r="O94" s="3"/>
      <c r="P94" s="3"/>
      <c r="Q94" s="3"/>
    </row>
    <row r="95" ht="15.75" customHeight="1">
      <c r="A95" s="219">
        <v>9.34238919E9</v>
      </c>
      <c r="B95" s="54" t="s">
        <v>1043</v>
      </c>
      <c r="C95" s="40">
        <v>100.0</v>
      </c>
      <c r="D95" s="43">
        <v>112.0</v>
      </c>
      <c r="E95" s="41"/>
      <c r="F95" s="43">
        <v>0.0</v>
      </c>
      <c r="G95" s="139" t="s">
        <v>625</v>
      </c>
      <c r="H95" s="141"/>
      <c r="I95" s="3"/>
      <c r="J95" s="3"/>
      <c r="K95" s="3"/>
      <c r="L95" s="3"/>
      <c r="M95" s="3"/>
      <c r="N95" s="3"/>
      <c r="O95" s="3"/>
      <c r="P95" s="3"/>
      <c r="Q95" s="3"/>
    </row>
    <row r="96" ht="15.75" customHeight="1">
      <c r="A96" s="219">
        <v>7.02713319E9</v>
      </c>
      <c r="B96" s="54" t="s">
        <v>1044</v>
      </c>
      <c r="C96" s="40">
        <v>300.0</v>
      </c>
      <c r="D96" s="43">
        <v>112.0</v>
      </c>
      <c r="E96" s="41"/>
      <c r="F96" s="43">
        <v>0.0</v>
      </c>
      <c r="G96" s="139" t="s">
        <v>625</v>
      </c>
      <c r="H96" s="141"/>
      <c r="I96" s="3"/>
      <c r="J96" s="3"/>
      <c r="K96" s="3"/>
      <c r="L96" s="3"/>
      <c r="M96" s="3"/>
      <c r="N96" s="3"/>
      <c r="O96" s="3"/>
      <c r="P96" s="3"/>
      <c r="Q96" s="3"/>
    </row>
    <row r="97" ht="15.75" customHeight="1">
      <c r="A97" s="219">
        <v>8.94885219E9</v>
      </c>
      <c r="B97" s="54" t="s">
        <v>1045</v>
      </c>
      <c r="C97" s="40">
        <v>100.0</v>
      </c>
      <c r="D97" s="43">
        <v>112.0</v>
      </c>
      <c r="E97" s="41"/>
      <c r="F97" s="43">
        <v>0.0</v>
      </c>
      <c r="G97" s="139" t="s">
        <v>625</v>
      </c>
      <c r="H97" s="141"/>
      <c r="I97" s="3"/>
      <c r="J97" s="3"/>
      <c r="K97" s="3"/>
      <c r="L97" s="3"/>
      <c r="M97" s="3"/>
      <c r="N97" s="3"/>
      <c r="O97" s="3"/>
      <c r="P97" s="3"/>
      <c r="Q97" s="3"/>
    </row>
    <row r="98" ht="15.75" customHeight="1">
      <c r="A98" s="219">
        <v>8.94890919E9</v>
      </c>
      <c r="B98" s="54" t="s">
        <v>1046</v>
      </c>
      <c r="C98" s="40">
        <v>100.0</v>
      </c>
      <c r="D98" s="43">
        <v>112.0</v>
      </c>
      <c r="E98" s="41"/>
      <c r="F98" s="43">
        <v>0.0</v>
      </c>
      <c r="G98" s="139" t="s">
        <v>625</v>
      </c>
      <c r="H98" s="141"/>
      <c r="I98" s="3"/>
      <c r="J98" s="3"/>
      <c r="K98" s="3"/>
      <c r="L98" s="3"/>
      <c r="M98" s="3"/>
      <c r="N98" s="3"/>
      <c r="O98" s="3"/>
      <c r="P98" s="3"/>
      <c r="Q98" s="3"/>
    </row>
    <row r="99" ht="15.75" customHeight="1">
      <c r="A99" s="219">
        <v>8.35527419E9</v>
      </c>
      <c r="B99" s="54" t="s">
        <v>1047</v>
      </c>
      <c r="C99" s="40">
        <v>300.0</v>
      </c>
      <c r="D99" s="43">
        <v>112.0</v>
      </c>
      <c r="E99" s="41"/>
      <c r="F99" s="43">
        <v>0.0</v>
      </c>
      <c r="G99" s="139" t="s">
        <v>625</v>
      </c>
      <c r="H99" s="141"/>
      <c r="I99" s="3"/>
      <c r="J99" s="3"/>
      <c r="K99" s="3"/>
      <c r="L99" s="3"/>
      <c r="M99" s="3"/>
      <c r="N99" s="3"/>
      <c r="O99" s="3"/>
      <c r="P99" s="3"/>
      <c r="Q99" s="3"/>
    </row>
    <row r="100" ht="15.75" customHeight="1">
      <c r="A100" s="219">
        <v>8.35535519E9</v>
      </c>
      <c r="B100" s="54" t="s">
        <v>1048</v>
      </c>
      <c r="C100" s="40">
        <v>300.0</v>
      </c>
      <c r="D100" s="43">
        <v>112.0</v>
      </c>
      <c r="E100" s="41"/>
      <c r="F100" s="43">
        <v>0.0</v>
      </c>
      <c r="G100" s="139" t="s">
        <v>625</v>
      </c>
      <c r="H100" s="141"/>
      <c r="I100" s="3"/>
      <c r="J100" s="3"/>
      <c r="K100" s="3"/>
      <c r="L100" s="3"/>
      <c r="M100" s="3"/>
      <c r="N100" s="3"/>
      <c r="O100" s="3"/>
      <c r="P100" s="3"/>
      <c r="Q100" s="3"/>
    </row>
    <row r="101" ht="15.75" customHeight="1">
      <c r="A101" s="219">
        <v>8.35538019E9</v>
      </c>
      <c r="B101" s="54" t="s">
        <v>1049</v>
      </c>
      <c r="C101" s="40">
        <v>300.0</v>
      </c>
      <c r="D101" s="43">
        <v>112.0</v>
      </c>
      <c r="E101" s="41"/>
      <c r="F101" s="43">
        <v>0.0</v>
      </c>
      <c r="G101" s="139" t="s">
        <v>625</v>
      </c>
      <c r="H101" s="141"/>
      <c r="I101" s="3"/>
      <c r="J101" s="3"/>
      <c r="K101" s="3"/>
      <c r="L101" s="3"/>
      <c r="M101" s="3"/>
      <c r="N101" s="3"/>
      <c r="O101" s="3"/>
      <c r="P101" s="3"/>
      <c r="Q101" s="3"/>
    </row>
    <row r="102" ht="15.75" customHeight="1">
      <c r="A102" s="219">
        <v>9.01527219E9</v>
      </c>
      <c r="B102" s="54" t="s">
        <v>1050</v>
      </c>
      <c r="C102" s="40">
        <v>300.0</v>
      </c>
      <c r="D102" s="43">
        <v>112.0</v>
      </c>
      <c r="E102" s="41"/>
      <c r="F102" s="43">
        <v>0.0</v>
      </c>
      <c r="G102" s="139" t="s">
        <v>625</v>
      </c>
      <c r="H102" s="141"/>
      <c r="I102" s="3"/>
      <c r="J102" s="3"/>
      <c r="K102" s="3"/>
      <c r="L102" s="3"/>
      <c r="M102" s="3"/>
      <c r="N102" s="3"/>
      <c r="O102" s="3"/>
      <c r="P102" s="3"/>
      <c r="Q102" s="3"/>
    </row>
    <row r="103" ht="15.75" customHeight="1">
      <c r="A103" s="219">
        <v>9.01505119E9</v>
      </c>
      <c r="B103" s="54" t="s">
        <v>1051</v>
      </c>
      <c r="C103" s="40">
        <v>300.0</v>
      </c>
      <c r="D103" s="43">
        <v>112.0</v>
      </c>
      <c r="E103" s="41"/>
      <c r="F103" s="43">
        <v>0.0</v>
      </c>
      <c r="G103" s="139" t="s">
        <v>625</v>
      </c>
      <c r="H103" s="141"/>
      <c r="I103" s="3"/>
      <c r="J103" s="3"/>
      <c r="K103" s="3"/>
      <c r="L103" s="3"/>
      <c r="M103" s="3"/>
      <c r="N103" s="3"/>
      <c r="O103" s="3"/>
      <c r="P103" s="3"/>
      <c r="Q103" s="3"/>
    </row>
    <row r="104" ht="15.75" customHeight="1">
      <c r="A104" s="219">
        <v>9.01558219E9</v>
      </c>
      <c r="B104" s="54" t="s">
        <v>1052</v>
      </c>
      <c r="C104" s="40">
        <v>300.0</v>
      </c>
      <c r="D104" s="43">
        <v>112.0</v>
      </c>
      <c r="E104" s="41"/>
      <c r="F104" s="43">
        <v>0.0</v>
      </c>
      <c r="G104" s="139" t="s">
        <v>625</v>
      </c>
      <c r="H104" s="141"/>
      <c r="I104" s="3"/>
      <c r="J104" s="3"/>
      <c r="K104" s="3"/>
      <c r="L104" s="3"/>
      <c r="M104" s="3"/>
      <c r="N104" s="3"/>
      <c r="O104" s="3"/>
      <c r="P104" s="3"/>
      <c r="Q104" s="3"/>
    </row>
    <row r="105" ht="15.75" customHeight="1">
      <c r="A105" s="219">
        <v>9.20307919E9</v>
      </c>
      <c r="B105" s="54" t="s">
        <v>1053</v>
      </c>
      <c r="C105" s="40">
        <v>300.0</v>
      </c>
      <c r="D105" s="43">
        <v>30.0</v>
      </c>
      <c r="E105" s="41"/>
      <c r="F105" s="43">
        <v>0.0</v>
      </c>
      <c r="G105" s="139" t="s">
        <v>1054</v>
      </c>
      <c r="H105" s="141"/>
      <c r="I105" s="3"/>
      <c r="J105" s="3"/>
      <c r="K105" s="3"/>
      <c r="L105" s="3"/>
      <c r="M105" s="3"/>
      <c r="N105" s="3"/>
      <c r="O105" s="3"/>
      <c r="P105" s="3"/>
      <c r="Q105" s="3"/>
    </row>
    <row r="106" ht="15.75" customHeight="1">
      <c r="A106" s="219">
        <v>9.28927519E9</v>
      </c>
      <c r="B106" s="54" t="s">
        <v>1055</v>
      </c>
      <c r="C106" s="40">
        <v>300.0</v>
      </c>
      <c r="D106" s="43">
        <v>112.0</v>
      </c>
      <c r="E106" s="41"/>
      <c r="F106" s="43">
        <v>0.0</v>
      </c>
      <c r="G106" s="139" t="s">
        <v>625</v>
      </c>
      <c r="H106" s="141"/>
      <c r="I106" s="3"/>
      <c r="J106" s="3"/>
      <c r="K106" s="3"/>
      <c r="L106" s="3"/>
      <c r="M106" s="3"/>
      <c r="N106" s="3"/>
      <c r="O106" s="3"/>
      <c r="P106" s="3"/>
      <c r="Q106" s="3"/>
    </row>
    <row r="107" ht="15.75" customHeight="1">
      <c r="A107" s="219">
        <v>9.34529919E9</v>
      </c>
      <c r="B107" s="54" t="s">
        <v>1056</v>
      </c>
      <c r="C107" s="40">
        <v>300.0</v>
      </c>
      <c r="D107" s="46"/>
      <c r="E107" s="41"/>
      <c r="F107" s="43">
        <v>0.0</v>
      </c>
      <c r="G107" s="139" t="s">
        <v>425</v>
      </c>
      <c r="H107" s="141"/>
      <c r="I107" s="3"/>
      <c r="J107" s="3"/>
      <c r="K107" s="3"/>
      <c r="L107" s="3"/>
      <c r="M107" s="3"/>
      <c r="N107" s="3"/>
      <c r="O107" s="3"/>
      <c r="P107" s="3"/>
      <c r="Q107" s="3"/>
    </row>
    <row r="108" ht="15.75" customHeight="1">
      <c r="A108" s="219">
        <v>7.25124619E9</v>
      </c>
      <c r="B108" s="50" t="s">
        <v>1057</v>
      </c>
      <c r="C108" s="40">
        <v>300.0</v>
      </c>
      <c r="D108" s="46"/>
      <c r="E108" s="41"/>
      <c r="F108" s="43">
        <v>0.0</v>
      </c>
      <c r="G108" s="139" t="s">
        <v>425</v>
      </c>
      <c r="H108" s="141"/>
      <c r="I108" s="3"/>
      <c r="J108" s="3"/>
      <c r="K108" s="3"/>
      <c r="L108" s="3"/>
      <c r="M108" s="3"/>
      <c r="N108" s="3"/>
      <c r="O108" s="3"/>
      <c r="P108" s="3"/>
      <c r="Q108" s="3"/>
    </row>
    <row r="109" ht="15.75" customHeight="1">
      <c r="A109" s="219">
        <v>7.02725719E9</v>
      </c>
      <c r="B109" s="50" t="s">
        <v>1058</v>
      </c>
      <c r="C109" s="40">
        <v>100.0</v>
      </c>
      <c r="D109" s="46"/>
      <c r="E109" s="41"/>
      <c r="F109" s="43">
        <v>0.0</v>
      </c>
      <c r="G109" s="139" t="s">
        <v>425</v>
      </c>
      <c r="H109" s="141"/>
      <c r="I109" s="3"/>
      <c r="J109" s="3"/>
      <c r="K109" s="3"/>
      <c r="L109" s="3"/>
      <c r="M109" s="3"/>
      <c r="N109" s="3"/>
      <c r="O109" s="3"/>
      <c r="P109" s="3"/>
      <c r="Q109" s="3"/>
    </row>
    <row r="110" ht="15.75" customHeight="1">
      <c r="A110" s="219">
        <v>7.02783419E9</v>
      </c>
      <c r="B110" s="50" t="s">
        <v>1059</v>
      </c>
      <c r="C110" s="40">
        <v>100.0</v>
      </c>
      <c r="D110" s="46"/>
      <c r="E110" s="41"/>
      <c r="F110" s="43">
        <v>0.0</v>
      </c>
      <c r="G110" s="139" t="s">
        <v>425</v>
      </c>
      <c r="H110" s="141"/>
      <c r="I110" s="3"/>
      <c r="J110" s="3"/>
      <c r="K110" s="3"/>
      <c r="L110" s="3"/>
      <c r="M110" s="3"/>
      <c r="N110" s="3"/>
      <c r="O110" s="3"/>
      <c r="P110" s="3"/>
      <c r="Q110" s="3"/>
    </row>
    <row r="111" ht="15.75" customHeight="1">
      <c r="A111" s="219">
        <v>7.25125419E9</v>
      </c>
      <c r="B111" s="50" t="s">
        <v>1060</v>
      </c>
      <c r="C111" s="40">
        <v>300.0</v>
      </c>
      <c r="D111" s="46"/>
      <c r="E111" s="41"/>
      <c r="F111" s="43">
        <v>0.0</v>
      </c>
      <c r="G111" s="139" t="s">
        <v>425</v>
      </c>
      <c r="H111" s="141"/>
      <c r="I111" s="3"/>
      <c r="J111" s="3"/>
      <c r="K111" s="3"/>
      <c r="L111" s="3"/>
      <c r="M111" s="3"/>
      <c r="N111" s="3"/>
      <c r="O111" s="3"/>
      <c r="P111" s="3"/>
      <c r="Q111" s="3"/>
    </row>
    <row r="112" ht="15.75" customHeight="1">
      <c r="A112" s="285"/>
      <c r="B112" s="285"/>
      <c r="C112" s="286"/>
      <c r="D112" s="287" t="s">
        <v>244</v>
      </c>
      <c r="E112" s="288">
        <v>0.0</v>
      </c>
      <c r="F112" s="289"/>
      <c r="G112" s="290"/>
      <c r="H112" s="291"/>
      <c r="I112" s="3"/>
      <c r="J112" s="3"/>
      <c r="K112" s="3"/>
      <c r="L112" s="3"/>
      <c r="M112" s="3"/>
      <c r="N112" s="3"/>
      <c r="O112" s="3"/>
      <c r="P112" s="3"/>
      <c r="Q112" s="3"/>
    </row>
    <row r="113" ht="15.75" customHeight="1">
      <c r="A113" s="292" t="s">
        <v>351</v>
      </c>
      <c r="B113" s="293"/>
      <c r="C113" s="218" t="s">
        <v>371</v>
      </c>
      <c r="D113" s="277" t="s">
        <v>167</v>
      </c>
      <c r="E113" s="294"/>
      <c r="F113" s="292" t="s">
        <v>169</v>
      </c>
      <c r="G113" s="295" t="s">
        <v>170</v>
      </c>
      <c r="H113" s="295" t="s">
        <v>171</v>
      </c>
      <c r="I113" s="3"/>
      <c r="J113" s="3"/>
      <c r="K113" s="3"/>
      <c r="L113" s="3"/>
      <c r="M113" s="3"/>
      <c r="N113" s="3"/>
      <c r="O113" s="3"/>
      <c r="P113" s="3"/>
      <c r="Q113" s="3"/>
    </row>
    <row r="114" ht="15.75" customHeight="1">
      <c r="A114" s="219">
        <v>8.44345919E9</v>
      </c>
      <c r="B114" s="50" t="s">
        <v>685</v>
      </c>
      <c r="C114" s="40">
        <v>2.0</v>
      </c>
      <c r="D114" s="43">
        <v>84.0</v>
      </c>
      <c r="E114" s="46"/>
      <c r="F114" s="296"/>
      <c r="G114" s="139" t="s">
        <v>419</v>
      </c>
      <c r="H114" s="141"/>
      <c r="I114" s="3"/>
      <c r="J114" s="3"/>
      <c r="K114" s="3"/>
      <c r="L114" s="3"/>
      <c r="M114" s="3"/>
      <c r="N114" s="3"/>
      <c r="O114" s="3"/>
      <c r="P114" s="3"/>
      <c r="Q114" s="3"/>
    </row>
    <row r="115" ht="15.75" customHeight="1">
      <c r="A115" s="297">
        <v>1.1732E14</v>
      </c>
      <c r="B115" s="50" t="s">
        <v>1061</v>
      </c>
      <c r="C115" s="40">
        <v>2.0</v>
      </c>
      <c r="D115" s="43">
        <v>84.0</v>
      </c>
      <c r="E115" s="46"/>
      <c r="F115" s="46"/>
      <c r="G115" s="139" t="s">
        <v>419</v>
      </c>
      <c r="H115" s="141"/>
      <c r="I115" s="3"/>
      <c r="J115" s="3"/>
      <c r="K115" s="3"/>
      <c r="L115" s="3"/>
      <c r="M115" s="3"/>
      <c r="N115" s="3"/>
      <c r="O115" s="3"/>
      <c r="P115" s="3"/>
      <c r="Q115" s="3"/>
    </row>
    <row r="116" ht="15.75" customHeight="1">
      <c r="A116" s="297">
        <v>1.2018E14</v>
      </c>
      <c r="B116" s="50" t="s">
        <v>1062</v>
      </c>
      <c r="C116" s="40">
        <v>2.0</v>
      </c>
      <c r="D116" s="43">
        <v>84.0</v>
      </c>
      <c r="E116" s="46"/>
      <c r="F116" s="46"/>
      <c r="G116" s="139" t="s">
        <v>419</v>
      </c>
      <c r="H116" s="141"/>
      <c r="I116" s="3"/>
      <c r="J116" s="3"/>
      <c r="K116" s="3"/>
      <c r="L116" s="3"/>
      <c r="M116" s="3"/>
      <c r="N116" s="3"/>
      <c r="O116" s="3"/>
      <c r="P116" s="3"/>
      <c r="Q116" s="3"/>
    </row>
    <row r="117" ht="15.75" customHeight="1">
      <c r="A117" s="219">
        <v>9.07787119E9</v>
      </c>
      <c r="B117" s="50" t="s">
        <v>1063</v>
      </c>
      <c r="C117" s="40">
        <v>2.0</v>
      </c>
      <c r="D117" s="43">
        <v>56.0</v>
      </c>
      <c r="E117" s="46"/>
      <c r="F117" s="46"/>
      <c r="G117" s="139" t="s">
        <v>422</v>
      </c>
      <c r="H117" s="141"/>
      <c r="I117" s="3"/>
      <c r="J117" s="3"/>
      <c r="K117" s="3"/>
      <c r="L117" s="3"/>
      <c r="M117" s="3"/>
      <c r="N117" s="3"/>
      <c r="O117" s="3"/>
      <c r="P117" s="3"/>
      <c r="Q117" s="3"/>
    </row>
    <row r="118" ht="15.75" customHeight="1">
      <c r="A118" s="219">
        <v>9.04329219E9</v>
      </c>
      <c r="B118" s="50" t="s">
        <v>1064</v>
      </c>
      <c r="C118" s="40">
        <v>2.0</v>
      </c>
      <c r="D118" s="43">
        <v>84.0</v>
      </c>
      <c r="E118" s="46"/>
      <c r="F118" s="46"/>
      <c r="G118" s="139" t="s">
        <v>419</v>
      </c>
      <c r="H118" s="141"/>
      <c r="I118" s="3"/>
      <c r="J118" s="3"/>
      <c r="K118" s="3"/>
      <c r="L118" s="3"/>
      <c r="M118" s="3"/>
      <c r="N118" s="3"/>
      <c r="O118" s="3"/>
      <c r="P118" s="3"/>
      <c r="Q118" s="3"/>
    </row>
    <row r="119" ht="15.75" customHeight="1">
      <c r="A119" s="219">
        <v>8.99140519E9</v>
      </c>
      <c r="B119" s="50" t="s">
        <v>1065</v>
      </c>
      <c r="C119" s="40">
        <v>2.0</v>
      </c>
      <c r="D119" s="43">
        <v>93.0</v>
      </c>
      <c r="E119" s="46"/>
      <c r="F119" s="46"/>
      <c r="G119" s="139" t="s">
        <v>726</v>
      </c>
      <c r="H119" s="141"/>
      <c r="I119" s="3"/>
      <c r="J119" s="3"/>
      <c r="K119" s="3"/>
      <c r="L119" s="3"/>
      <c r="M119" s="3"/>
      <c r="N119" s="3"/>
      <c r="O119" s="3"/>
      <c r="P119" s="3"/>
      <c r="Q119" s="3"/>
    </row>
    <row r="120" ht="15.75" customHeight="1">
      <c r="A120" s="219">
        <v>6.47293119E9</v>
      </c>
      <c r="B120" s="50" t="s">
        <v>1066</v>
      </c>
      <c r="C120" s="40">
        <v>2.0</v>
      </c>
      <c r="D120" s="43">
        <v>56.0</v>
      </c>
      <c r="E120" s="46"/>
      <c r="F120" s="46"/>
      <c r="G120" s="139" t="s">
        <v>422</v>
      </c>
      <c r="H120" s="141"/>
      <c r="I120" s="3"/>
      <c r="J120" s="3"/>
      <c r="K120" s="3"/>
      <c r="L120" s="3"/>
      <c r="M120" s="3"/>
      <c r="N120" s="3"/>
      <c r="O120" s="3"/>
      <c r="P120" s="3"/>
      <c r="Q120" s="3"/>
    </row>
    <row r="121" ht="15.75" customHeight="1">
      <c r="A121" s="219">
        <v>9.00503019E9</v>
      </c>
      <c r="B121" s="50" t="s">
        <v>1067</v>
      </c>
      <c r="C121" s="40">
        <v>2.0</v>
      </c>
      <c r="D121" s="43">
        <v>42.0</v>
      </c>
      <c r="E121" s="46"/>
      <c r="F121" s="46"/>
      <c r="G121" s="139" t="s">
        <v>453</v>
      </c>
      <c r="H121" s="141"/>
      <c r="I121" s="3"/>
      <c r="J121" s="3"/>
      <c r="K121" s="3"/>
      <c r="L121" s="3"/>
      <c r="M121" s="3"/>
      <c r="N121" s="3"/>
      <c r="O121" s="3"/>
      <c r="P121" s="3"/>
      <c r="Q121" s="3"/>
    </row>
    <row r="122" ht="15.75" customHeight="1">
      <c r="A122" s="219">
        <v>8.49664119E9</v>
      </c>
      <c r="B122" s="50" t="s">
        <v>1068</v>
      </c>
      <c r="C122" s="40">
        <v>2.0</v>
      </c>
      <c r="D122" s="43">
        <v>84.0</v>
      </c>
      <c r="E122" s="46"/>
      <c r="F122" s="46"/>
      <c r="G122" s="139" t="s">
        <v>419</v>
      </c>
      <c r="H122" s="141"/>
      <c r="I122" s="3"/>
      <c r="J122" s="3"/>
      <c r="K122" s="3"/>
      <c r="L122" s="3"/>
      <c r="M122" s="3"/>
      <c r="N122" s="3"/>
      <c r="O122" s="3"/>
      <c r="P122" s="3"/>
      <c r="Q122" s="3"/>
    </row>
    <row r="123" ht="15.75" customHeight="1">
      <c r="A123" s="219">
        <v>9.55742319E9</v>
      </c>
      <c r="B123" s="50" t="s">
        <v>1069</v>
      </c>
      <c r="C123" s="40">
        <v>2.0</v>
      </c>
      <c r="D123" s="43">
        <v>84.0</v>
      </c>
      <c r="E123" s="46"/>
      <c r="F123" s="46"/>
      <c r="G123" s="139" t="s">
        <v>419</v>
      </c>
      <c r="H123" s="141"/>
      <c r="I123" s="3"/>
      <c r="J123" s="3"/>
      <c r="K123" s="3"/>
      <c r="L123" s="3"/>
      <c r="M123" s="3"/>
      <c r="N123" s="3"/>
      <c r="O123" s="3"/>
      <c r="P123" s="3"/>
      <c r="Q123" s="3"/>
    </row>
    <row r="124" ht="15.75" customHeight="1">
      <c r="A124" s="219">
        <v>9.55744019E9</v>
      </c>
      <c r="B124" s="50" t="s">
        <v>1070</v>
      </c>
      <c r="C124" s="40">
        <v>2.0</v>
      </c>
      <c r="D124" s="43">
        <v>84.0</v>
      </c>
      <c r="E124" s="46"/>
      <c r="F124" s="46"/>
      <c r="G124" s="139" t="s">
        <v>419</v>
      </c>
      <c r="H124" s="141"/>
      <c r="I124" s="3"/>
      <c r="J124" s="3"/>
      <c r="K124" s="3"/>
      <c r="L124" s="3"/>
      <c r="M124" s="3"/>
      <c r="N124" s="3"/>
      <c r="O124" s="3"/>
      <c r="P124" s="3"/>
      <c r="Q124" s="3"/>
    </row>
    <row r="125" ht="15.75" customHeight="1">
      <c r="A125" s="219">
        <v>6.65604819E9</v>
      </c>
      <c r="B125" s="50" t="s">
        <v>1071</v>
      </c>
      <c r="C125" s="40">
        <v>2.0</v>
      </c>
      <c r="D125" s="43">
        <v>31.0</v>
      </c>
      <c r="E125" s="46"/>
      <c r="F125" s="46"/>
      <c r="G125" s="139" t="s">
        <v>1027</v>
      </c>
      <c r="H125" s="141"/>
      <c r="I125" s="3"/>
      <c r="J125" s="3"/>
      <c r="K125" s="3"/>
      <c r="L125" s="3"/>
      <c r="M125" s="3"/>
      <c r="N125" s="3"/>
      <c r="O125" s="3"/>
      <c r="P125" s="3"/>
      <c r="Q125" s="3"/>
    </row>
    <row r="126" ht="15.75" customHeight="1">
      <c r="A126" s="219">
        <v>7.09254719E9</v>
      </c>
      <c r="B126" s="50" t="s">
        <v>1072</v>
      </c>
      <c r="C126" s="40">
        <v>2.0</v>
      </c>
      <c r="D126" s="43">
        <v>31.0</v>
      </c>
      <c r="E126" s="46"/>
      <c r="F126" s="46"/>
      <c r="G126" s="139" t="s">
        <v>1027</v>
      </c>
      <c r="H126" s="141"/>
      <c r="I126" s="3"/>
      <c r="J126" s="3"/>
      <c r="K126" s="3"/>
      <c r="L126" s="3"/>
      <c r="M126" s="3"/>
      <c r="N126" s="3"/>
      <c r="O126" s="3"/>
      <c r="P126" s="3"/>
      <c r="Q126" s="3"/>
    </row>
    <row r="127" ht="15.75" customHeight="1">
      <c r="A127" s="219">
        <v>3.27735619E9</v>
      </c>
      <c r="B127" s="50" t="s">
        <v>1073</v>
      </c>
      <c r="C127" s="40">
        <v>2.0</v>
      </c>
      <c r="D127" s="43">
        <v>84.0</v>
      </c>
      <c r="E127" s="46"/>
      <c r="F127" s="46"/>
      <c r="G127" s="139" t="s">
        <v>419</v>
      </c>
      <c r="H127" s="141"/>
      <c r="I127" s="3"/>
      <c r="J127" s="3"/>
      <c r="K127" s="3"/>
      <c r="L127" s="3"/>
      <c r="M127" s="3"/>
      <c r="N127" s="3"/>
      <c r="O127" s="3"/>
      <c r="P127" s="3"/>
      <c r="Q127" s="3"/>
    </row>
    <row r="128" ht="15.75" customHeight="1">
      <c r="A128" s="219">
        <v>5.20223019E9</v>
      </c>
      <c r="B128" s="50" t="s">
        <v>1074</v>
      </c>
      <c r="C128" s="40">
        <v>2.0</v>
      </c>
      <c r="D128" s="43">
        <v>84.0</v>
      </c>
      <c r="E128" s="46"/>
      <c r="F128" s="46"/>
      <c r="G128" s="139" t="s">
        <v>419</v>
      </c>
      <c r="H128" s="141"/>
      <c r="I128" s="3"/>
      <c r="J128" s="3"/>
      <c r="K128" s="3"/>
      <c r="L128" s="3"/>
      <c r="M128" s="3"/>
      <c r="N128" s="3"/>
      <c r="O128" s="3"/>
      <c r="P128" s="3"/>
      <c r="Q128" s="3"/>
    </row>
    <row r="129" ht="15.75" customHeight="1">
      <c r="A129" s="219">
        <v>3.05202819E9</v>
      </c>
      <c r="B129" s="50" t="s">
        <v>1075</v>
      </c>
      <c r="C129" s="40">
        <v>2.0</v>
      </c>
      <c r="D129" s="43">
        <v>56.0</v>
      </c>
      <c r="E129" s="46"/>
      <c r="F129" s="46"/>
      <c r="G129" s="139" t="s">
        <v>422</v>
      </c>
      <c r="H129" s="141"/>
      <c r="I129" s="3"/>
      <c r="J129" s="3"/>
      <c r="K129" s="3"/>
      <c r="L129" s="3"/>
      <c r="M129" s="3"/>
      <c r="N129" s="3"/>
      <c r="O129" s="3"/>
      <c r="P129" s="3"/>
      <c r="Q129" s="3"/>
    </row>
    <row r="130" ht="15.75" customHeight="1">
      <c r="A130" s="219">
        <v>3.000095122E9</v>
      </c>
      <c r="B130" s="50" t="s">
        <v>1076</v>
      </c>
      <c r="C130" s="40">
        <v>2.0</v>
      </c>
      <c r="D130" s="43">
        <v>84.0</v>
      </c>
      <c r="E130" s="46"/>
      <c r="F130" s="46"/>
      <c r="G130" s="139" t="s">
        <v>419</v>
      </c>
      <c r="H130" s="141"/>
      <c r="I130" s="3"/>
      <c r="J130" s="3"/>
      <c r="K130" s="3"/>
      <c r="L130" s="3"/>
      <c r="M130" s="3"/>
      <c r="N130" s="3"/>
      <c r="O130" s="3"/>
      <c r="P130" s="3"/>
      <c r="Q130" s="3"/>
    </row>
    <row r="131" ht="15.75" customHeight="1">
      <c r="A131" s="219">
        <v>3.30265219E9</v>
      </c>
      <c r="B131" s="50" t="s">
        <v>1077</v>
      </c>
      <c r="C131" s="40">
        <v>2.0</v>
      </c>
      <c r="D131" s="43">
        <v>84.0</v>
      </c>
      <c r="E131" s="46"/>
      <c r="F131" s="46"/>
      <c r="G131" s="139" t="s">
        <v>419</v>
      </c>
      <c r="H131" s="141"/>
      <c r="I131" s="3"/>
      <c r="J131" s="3"/>
      <c r="K131" s="3"/>
      <c r="L131" s="3"/>
      <c r="M131" s="3"/>
      <c r="N131" s="3"/>
      <c r="O131" s="3"/>
      <c r="P131" s="3"/>
      <c r="Q131" s="3"/>
    </row>
    <row r="132" ht="15.75" customHeight="1">
      <c r="A132" s="219">
        <v>9.01329619E9</v>
      </c>
      <c r="B132" s="50" t="s">
        <v>1078</v>
      </c>
      <c r="C132" s="40">
        <v>2.0</v>
      </c>
      <c r="D132" s="43">
        <v>84.0</v>
      </c>
      <c r="E132" s="46"/>
      <c r="F132" s="46"/>
      <c r="G132" s="139" t="s">
        <v>419</v>
      </c>
      <c r="H132" s="141"/>
      <c r="I132" s="3"/>
      <c r="J132" s="3"/>
      <c r="K132" s="3"/>
      <c r="L132" s="3"/>
      <c r="M132" s="3"/>
      <c r="N132" s="3"/>
      <c r="O132" s="3"/>
      <c r="P132" s="3"/>
      <c r="Q132" s="3"/>
    </row>
    <row r="133" ht="15.75" customHeight="1">
      <c r="A133" s="219">
        <v>4.8540802E9</v>
      </c>
      <c r="B133" s="178" t="s">
        <v>1079</v>
      </c>
      <c r="C133" s="40">
        <v>2.0</v>
      </c>
      <c r="D133" s="43">
        <v>84.0</v>
      </c>
      <c r="E133" s="46"/>
      <c r="F133" s="46"/>
      <c r="G133" s="139" t="s">
        <v>419</v>
      </c>
      <c r="H133" s="141"/>
      <c r="I133" s="3"/>
      <c r="J133" s="3"/>
      <c r="K133" s="3"/>
      <c r="L133" s="3"/>
      <c r="M133" s="3"/>
      <c r="N133" s="3"/>
      <c r="O133" s="3"/>
      <c r="P133" s="3"/>
      <c r="Q133" s="3"/>
    </row>
    <row r="134" ht="15.75" customHeight="1">
      <c r="A134" s="219">
        <v>4.8541012E9</v>
      </c>
      <c r="B134" s="178" t="s">
        <v>1080</v>
      </c>
      <c r="C134" s="40">
        <v>2.0</v>
      </c>
      <c r="D134" s="43">
        <v>84.0</v>
      </c>
      <c r="E134" s="46"/>
      <c r="F134" s="46"/>
      <c r="G134" s="139" t="s">
        <v>419</v>
      </c>
      <c r="H134" s="141"/>
      <c r="I134" s="3"/>
      <c r="J134" s="3"/>
      <c r="K134" s="3"/>
      <c r="L134" s="3"/>
      <c r="M134" s="3"/>
      <c r="N134" s="3"/>
      <c r="O134" s="3"/>
      <c r="P134" s="3"/>
      <c r="Q134" s="3"/>
    </row>
    <row r="135" ht="15.75" customHeight="1">
      <c r="A135" s="219">
        <v>5.14470119E9</v>
      </c>
      <c r="B135" s="50" t="s">
        <v>1081</v>
      </c>
      <c r="C135" s="40">
        <v>2.0</v>
      </c>
      <c r="D135" s="43">
        <v>28.0</v>
      </c>
      <c r="E135" s="46"/>
      <c r="F135" s="46"/>
      <c r="G135" s="139" t="s">
        <v>431</v>
      </c>
      <c r="H135" s="141"/>
      <c r="I135" s="3"/>
      <c r="J135" s="3"/>
      <c r="K135" s="3"/>
      <c r="L135" s="3"/>
      <c r="M135" s="3"/>
      <c r="N135" s="3"/>
      <c r="O135" s="3"/>
      <c r="P135" s="3"/>
      <c r="Q135" s="3"/>
    </row>
    <row r="136" ht="15.75" customHeight="1">
      <c r="A136" s="219">
        <v>5.10953119E9</v>
      </c>
      <c r="B136" s="50" t="s">
        <v>1082</v>
      </c>
      <c r="C136" s="40">
        <v>2.0</v>
      </c>
      <c r="D136" s="43">
        <v>28.0</v>
      </c>
      <c r="E136" s="46"/>
      <c r="F136" s="46"/>
      <c r="G136" s="139" t="s">
        <v>431</v>
      </c>
      <c r="H136" s="141"/>
      <c r="I136" s="3"/>
      <c r="J136" s="3"/>
      <c r="K136" s="3"/>
      <c r="L136" s="3"/>
      <c r="M136" s="3"/>
      <c r="N136" s="3"/>
      <c r="O136" s="3"/>
      <c r="P136" s="3"/>
      <c r="Q136" s="3"/>
    </row>
    <row r="137" ht="15.75" customHeight="1">
      <c r="A137" s="219">
        <v>3.18491919E9</v>
      </c>
      <c r="B137" s="50" t="s">
        <v>1083</v>
      </c>
      <c r="C137" s="40">
        <v>2.0</v>
      </c>
      <c r="D137" s="43">
        <v>28.0</v>
      </c>
      <c r="E137" s="46"/>
      <c r="F137" s="46"/>
      <c r="G137" s="139" t="s">
        <v>431</v>
      </c>
      <c r="H137" s="141"/>
      <c r="I137" s="3"/>
      <c r="J137" s="3"/>
      <c r="K137" s="3"/>
      <c r="L137" s="3"/>
      <c r="M137" s="3"/>
      <c r="N137" s="3"/>
      <c r="O137" s="3"/>
      <c r="P137" s="3"/>
      <c r="Q137" s="3"/>
    </row>
    <row r="138" ht="15.75" customHeight="1">
      <c r="A138" s="297">
        <v>1.2018E14</v>
      </c>
      <c r="B138" s="50" t="s">
        <v>1084</v>
      </c>
      <c r="C138" s="40">
        <v>2.0</v>
      </c>
      <c r="D138" s="43">
        <v>84.0</v>
      </c>
      <c r="E138" s="46"/>
      <c r="F138" s="46"/>
      <c r="G138" s="139" t="s">
        <v>419</v>
      </c>
      <c r="H138" s="141"/>
      <c r="I138" s="3"/>
      <c r="J138" s="3"/>
      <c r="K138" s="3"/>
      <c r="L138" s="3"/>
      <c r="M138" s="3"/>
      <c r="N138" s="3"/>
      <c r="O138" s="3"/>
      <c r="P138" s="3"/>
      <c r="Q138" s="3"/>
    </row>
    <row r="139" ht="15.75" customHeight="1">
      <c r="A139" s="219">
        <v>6.68775019E9</v>
      </c>
      <c r="B139" s="50" t="s">
        <v>1085</v>
      </c>
      <c r="C139" s="40">
        <v>2.0</v>
      </c>
      <c r="D139" s="43">
        <v>84.0</v>
      </c>
      <c r="E139" s="46"/>
      <c r="F139" s="46"/>
      <c r="G139" s="139" t="s">
        <v>419</v>
      </c>
      <c r="H139" s="141"/>
      <c r="I139" s="3"/>
      <c r="J139" s="3"/>
      <c r="K139" s="3"/>
      <c r="L139" s="3"/>
      <c r="M139" s="3"/>
      <c r="N139" s="3"/>
      <c r="O139" s="3"/>
      <c r="P139" s="3"/>
      <c r="Q139" s="3"/>
    </row>
    <row r="140" ht="15.75" customHeight="1">
      <c r="A140" s="219">
        <v>9.29094019E9</v>
      </c>
      <c r="B140" s="50" t="s">
        <v>1086</v>
      </c>
      <c r="C140" s="40">
        <v>2.0</v>
      </c>
      <c r="D140" s="43">
        <v>1.0</v>
      </c>
      <c r="E140" s="46"/>
      <c r="F140" s="46"/>
      <c r="G140" s="139" t="s">
        <v>1087</v>
      </c>
      <c r="H140" s="141"/>
      <c r="I140" s="3"/>
      <c r="J140" s="3"/>
      <c r="K140" s="3"/>
      <c r="L140" s="3"/>
      <c r="M140" s="3"/>
      <c r="N140" s="3"/>
      <c r="O140" s="3"/>
      <c r="P140" s="3"/>
      <c r="Q140" s="3"/>
    </row>
    <row r="141" ht="15.75" customHeight="1">
      <c r="A141" s="219">
        <v>8.95982019E9</v>
      </c>
      <c r="B141" s="50" t="s">
        <v>1088</v>
      </c>
      <c r="C141" s="40">
        <v>2.0</v>
      </c>
      <c r="D141" s="43">
        <v>28.0</v>
      </c>
      <c r="E141" s="46"/>
      <c r="F141" s="46"/>
      <c r="G141" s="139" t="s">
        <v>431</v>
      </c>
      <c r="H141" s="141"/>
      <c r="I141" s="3"/>
      <c r="J141" s="3"/>
      <c r="K141" s="3"/>
      <c r="L141" s="3"/>
      <c r="M141" s="3"/>
      <c r="N141" s="3"/>
      <c r="O141" s="3"/>
      <c r="P141" s="3"/>
      <c r="Q141" s="3"/>
    </row>
    <row r="142" ht="15.75" customHeight="1">
      <c r="A142" s="219">
        <v>5.39013319E9</v>
      </c>
      <c r="B142" s="50" t="s">
        <v>1089</v>
      </c>
      <c r="C142" s="40">
        <v>2.0</v>
      </c>
      <c r="D142" s="43">
        <v>28.0</v>
      </c>
      <c r="E142" s="46"/>
      <c r="F142" s="46"/>
      <c r="G142" s="139" t="s">
        <v>431</v>
      </c>
      <c r="H142" s="141"/>
      <c r="I142" s="3"/>
      <c r="J142" s="3"/>
      <c r="K142" s="3"/>
      <c r="L142" s="3"/>
      <c r="M142" s="3"/>
      <c r="N142" s="3"/>
      <c r="O142" s="3"/>
      <c r="P142" s="3"/>
      <c r="Q142" s="3"/>
    </row>
    <row r="143" ht="15.75" customHeight="1">
      <c r="A143" s="219">
        <v>7.95720319E9</v>
      </c>
      <c r="B143" s="50" t="s">
        <v>1090</v>
      </c>
      <c r="C143" s="40">
        <v>2.0</v>
      </c>
      <c r="D143" s="43">
        <v>28.0</v>
      </c>
      <c r="E143" s="46"/>
      <c r="F143" s="46"/>
      <c r="G143" s="139" t="s">
        <v>431</v>
      </c>
      <c r="H143" s="141"/>
      <c r="I143" s="3"/>
      <c r="J143" s="3"/>
      <c r="K143" s="3"/>
      <c r="L143" s="3"/>
      <c r="M143" s="3"/>
      <c r="N143" s="3"/>
      <c r="O143" s="3"/>
      <c r="P143" s="3"/>
      <c r="Q143" s="3"/>
    </row>
    <row r="144" ht="15.75" customHeight="1">
      <c r="A144" s="219">
        <v>8.83853419E9</v>
      </c>
      <c r="B144" s="50" t="s">
        <v>1091</v>
      </c>
      <c r="C144" s="40">
        <v>2.0</v>
      </c>
      <c r="D144" s="43">
        <v>84.0</v>
      </c>
      <c r="E144" s="46"/>
      <c r="F144" s="46"/>
      <c r="G144" s="139" t="s">
        <v>419</v>
      </c>
      <c r="H144" s="141"/>
      <c r="I144" s="3"/>
      <c r="J144" s="3"/>
      <c r="K144" s="3"/>
      <c r="L144" s="3"/>
      <c r="M144" s="3"/>
      <c r="N144" s="3"/>
      <c r="O144" s="3"/>
      <c r="P144" s="3"/>
      <c r="Q144" s="3"/>
    </row>
    <row r="145" ht="15.75" customHeight="1">
      <c r="A145" s="219">
        <v>8.85196419E9</v>
      </c>
      <c r="B145" s="50" t="s">
        <v>1092</v>
      </c>
      <c r="C145" s="40">
        <v>2.0</v>
      </c>
      <c r="D145" s="43">
        <v>84.0</v>
      </c>
      <c r="E145" s="46"/>
      <c r="F145" s="46"/>
      <c r="G145" s="139" t="s">
        <v>419</v>
      </c>
      <c r="H145" s="141"/>
      <c r="I145" s="3"/>
      <c r="J145" s="3"/>
      <c r="K145" s="3"/>
      <c r="L145" s="3"/>
      <c r="M145" s="3"/>
      <c r="N145" s="3"/>
      <c r="O145" s="3"/>
      <c r="P145" s="3"/>
      <c r="Q145" s="3"/>
    </row>
    <row r="146" ht="15.75" customHeight="1">
      <c r="A146" s="219">
        <v>9.22726119E9</v>
      </c>
      <c r="B146" s="50" t="s">
        <v>1093</v>
      </c>
      <c r="C146" s="40">
        <v>2.0</v>
      </c>
      <c r="D146" s="43">
        <v>84.0</v>
      </c>
      <c r="E146" s="46"/>
      <c r="F146" s="46"/>
      <c r="G146" s="139" t="s">
        <v>419</v>
      </c>
      <c r="H146" s="141"/>
      <c r="I146" s="3"/>
      <c r="J146" s="3"/>
      <c r="K146" s="3"/>
      <c r="L146" s="3"/>
      <c r="M146" s="3"/>
      <c r="N146" s="3"/>
      <c r="O146" s="3"/>
      <c r="P146" s="3"/>
      <c r="Q146" s="3"/>
    </row>
    <row r="147" ht="15.75" customHeight="1">
      <c r="A147" s="297">
        <v>1.1732E14</v>
      </c>
      <c r="B147" s="50" t="s">
        <v>1094</v>
      </c>
      <c r="C147" s="40">
        <v>2.0</v>
      </c>
      <c r="D147" s="43">
        <v>84.0</v>
      </c>
      <c r="E147" s="46"/>
      <c r="F147" s="46"/>
      <c r="G147" s="139" t="s">
        <v>419</v>
      </c>
      <c r="H147" s="141"/>
      <c r="I147" s="3"/>
      <c r="J147" s="3"/>
      <c r="K147" s="3"/>
      <c r="L147" s="3"/>
      <c r="M147" s="3"/>
      <c r="N147" s="3"/>
      <c r="O147" s="3"/>
      <c r="P147" s="3"/>
      <c r="Q147" s="3"/>
    </row>
    <row r="148" ht="15.75" customHeight="1">
      <c r="A148" s="219">
        <v>7.03020719E9</v>
      </c>
      <c r="B148" s="50" t="s">
        <v>1095</v>
      </c>
      <c r="C148" s="40">
        <v>2.0</v>
      </c>
      <c r="D148" s="43">
        <v>140.0</v>
      </c>
      <c r="E148" s="46"/>
      <c r="F148" s="46"/>
      <c r="G148" s="139" t="s">
        <v>1096</v>
      </c>
      <c r="H148" s="141"/>
      <c r="I148" s="3"/>
      <c r="J148" s="3"/>
      <c r="K148" s="3"/>
      <c r="L148" s="3"/>
      <c r="M148" s="3"/>
      <c r="N148" s="3"/>
      <c r="O148" s="3"/>
      <c r="P148" s="3"/>
      <c r="Q148" s="3"/>
    </row>
    <row r="149" ht="15.75" customHeight="1">
      <c r="A149" s="219">
        <v>3.045846122E9</v>
      </c>
      <c r="B149" s="50" t="s">
        <v>1097</v>
      </c>
      <c r="C149" s="40">
        <v>2.0</v>
      </c>
      <c r="D149" s="43">
        <v>84.0</v>
      </c>
      <c r="E149" s="46"/>
      <c r="F149" s="46"/>
      <c r="G149" s="139" t="s">
        <v>419</v>
      </c>
      <c r="H149" s="141"/>
      <c r="I149" s="3"/>
      <c r="J149" s="3"/>
      <c r="K149" s="3"/>
      <c r="L149" s="3"/>
      <c r="M149" s="3"/>
      <c r="N149" s="3"/>
      <c r="O149" s="3"/>
      <c r="P149" s="3"/>
      <c r="Q149" s="3"/>
    </row>
    <row r="150" ht="15.75" customHeight="1">
      <c r="A150" s="297">
        <v>1.1776E14</v>
      </c>
      <c r="B150" s="50" t="s">
        <v>1098</v>
      </c>
      <c r="C150" s="40">
        <v>2.0</v>
      </c>
      <c r="D150" s="43">
        <v>56.0</v>
      </c>
      <c r="E150" s="46"/>
      <c r="F150" s="46"/>
      <c r="G150" s="139" t="s">
        <v>422</v>
      </c>
      <c r="H150" s="141"/>
      <c r="I150" s="3"/>
      <c r="J150" s="3"/>
      <c r="K150" s="3"/>
      <c r="L150" s="3"/>
      <c r="M150" s="3"/>
      <c r="N150" s="3"/>
      <c r="O150" s="3"/>
      <c r="P150" s="3"/>
      <c r="Q150" s="3"/>
    </row>
    <row r="151" ht="15.75" customHeight="1">
      <c r="A151" s="297">
        <v>1.1821E14</v>
      </c>
      <c r="B151" s="50" t="s">
        <v>1099</v>
      </c>
      <c r="C151" s="40">
        <v>2.0</v>
      </c>
      <c r="D151" s="43">
        <v>56.0</v>
      </c>
      <c r="E151" s="46"/>
      <c r="F151" s="46"/>
      <c r="G151" s="139" t="s">
        <v>422</v>
      </c>
      <c r="H151" s="141"/>
      <c r="I151" s="3"/>
      <c r="J151" s="3"/>
      <c r="K151" s="3"/>
      <c r="L151" s="3"/>
      <c r="M151" s="3"/>
      <c r="N151" s="3"/>
      <c r="O151" s="3"/>
      <c r="P151" s="3"/>
      <c r="Q151" s="3"/>
    </row>
    <row r="152" ht="15.75" customHeight="1">
      <c r="A152" s="219">
        <v>9.17513019E9</v>
      </c>
      <c r="B152" s="50" t="s">
        <v>1100</v>
      </c>
      <c r="C152" s="40">
        <v>2.0</v>
      </c>
      <c r="D152" s="43">
        <v>42.0</v>
      </c>
      <c r="E152" s="46"/>
      <c r="F152" s="46"/>
      <c r="G152" s="139" t="s">
        <v>453</v>
      </c>
      <c r="H152" s="141"/>
      <c r="I152" s="3"/>
      <c r="J152" s="3"/>
      <c r="K152" s="3"/>
      <c r="L152" s="3"/>
      <c r="M152" s="3"/>
      <c r="N152" s="3"/>
      <c r="O152" s="3"/>
      <c r="P152" s="3"/>
      <c r="Q152" s="3"/>
    </row>
    <row r="153" ht="15.75" customHeight="1">
      <c r="A153" s="297">
        <v>1.2133E14</v>
      </c>
      <c r="B153" s="50" t="s">
        <v>1101</v>
      </c>
      <c r="C153" s="40">
        <v>2.0</v>
      </c>
      <c r="D153" s="43">
        <v>42.0</v>
      </c>
      <c r="E153" s="46"/>
      <c r="F153" s="46"/>
      <c r="G153" s="139" t="s">
        <v>453</v>
      </c>
      <c r="H153" s="141"/>
      <c r="I153" s="3"/>
      <c r="J153" s="3"/>
      <c r="K153" s="3"/>
      <c r="L153" s="3"/>
      <c r="M153" s="3"/>
      <c r="N153" s="3"/>
      <c r="O153" s="3"/>
      <c r="P153" s="3"/>
      <c r="Q153" s="3"/>
    </row>
    <row r="154" ht="15.75" customHeight="1">
      <c r="A154" s="219">
        <v>3.28983419E9</v>
      </c>
      <c r="B154" s="50" t="s">
        <v>1102</v>
      </c>
      <c r="C154" s="40">
        <v>2.0</v>
      </c>
      <c r="D154" s="43">
        <v>84.0</v>
      </c>
      <c r="E154" s="46"/>
      <c r="F154" s="46"/>
      <c r="G154" s="139" t="s">
        <v>419</v>
      </c>
      <c r="H154" s="141"/>
      <c r="I154" s="3"/>
      <c r="J154" s="3"/>
      <c r="K154" s="3"/>
      <c r="L154" s="3"/>
      <c r="M154" s="3"/>
      <c r="N154" s="3"/>
      <c r="O154" s="3"/>
      <c r="P154" s="3"/>
      <c r="Q154" s="3"/>
    </row>
    <row r="155" ht="15.75" customHeight="1">
      <c r="A155" s="219">
        <v>5.95094519E9</v>
      </c>
      <c r="B155" s="50" t="s">
        <v>1103</v>
      </c>
      <c r="C155" s="40">
        <v>2.0</v>
      </c>
      <c r="D155" s="43">
        <v>56.0</v>
      </c>
      <c r="E155" s="46"/>
      <c r="F155" s="46"/>
      <c r="G155" s="139" t="s">
        <v>422</v>
      </c>
      <c r="H155" s="141"/>
      <c r="I155" s="3"/>
      <c r="J155" s="3"/>
      <c r="K155" s="3"/>
      <c r="L155" s="3"/>
      <c r="M155" s="3"/>
      <c r="N155" s="3"/>
      <c r="O155" s="3"/>
      <c r="P155" s="3"/>
      <c r="Q155" s="3"/>
    </row>
    <row r="156" ht="15.75" customHeight="1">
      <c r="A156" s="219">
        <v>8.33363719E9</v>
      </c>
      <c r="B156" s="50" t="s">
        <v>1104</v>
      </c>
      <c r="C156" s="40">
        <v>2.0</v>
      </c>
      <c r="D156" s="43">
        <v>28.0</v>
      </c>
      <c r="E156" s="46"/>
      <c r="F156" s="46"/>
      <c r="G156" s="139" t="s">
        <v>431</v>
      </c>
      <c r="H156" s="141"/>
      <c r="I156" s="3"/>
      <c r="J156" s="3"/>
      <c r="K156" s="3"/>
      <c r="L156" s="3"/>
      <c r="M156" s="3"/>
      <c r="N156" s="3"/>
      <c r="O156" s="3"/>
      <c r="P156" s="3"/>
      <c r="Q156" s="3"/>
    </row>
    <row r="157" ht="15.75" customHeight="1">
      <c r="A157" s="219">
        <v>6.50597019E9</v>
      </c>
      <c r="B157" s="50" t="s">
        <v>1105</v>
      </c>
      <c r="C157" s="40">
        <v>2.0</v>
      </c>
      <c r="D157" s="43">
        <v>56.0</v>
      </c>
      <c r="E157" s="46"/>
      <c r="F157" s="46"/>
      <c r="G157" s="139" t="s">
        <v>422</v>
      </c>
      <c r="H157" s="141"/>
      <c r="I157" s="3"/>
      <c r="J157" s="3"/>
      <c r="K157" s="3"/>
      <c r="L157" s="3"/>
      <c r="M157" s="3"/>
      <c r="N157" s="3"/>
      <c r="O157" s="3"/>
      <c r="P157" s="3"/>
      <c r="Q157" s="3"/>
    </row>
    <row r="158" ht="15.75" customHeight="1">
      <c r="A158" s="219">
        <v>7.12699919E9</v>
      </c>
      <c r="B158" s="50" t="s">
        <v>1106</v>
      </c>
      <c r="C158" s="40">
        <v>2.0</v>
      </c>
      <c r="D158" s="43">
        <v>28.0</v>
      </c>
      <c r="E158" s="46"/>
      <c r="F158" s="46"/>
      <c r="G158" s="139" t="s">
        <v>431</v>
      </c>
      <c r="H158" s="141"/>
      <c r="I158" s="3"/>
      <c r="J158" s="3"/>
      <c r="K158" s="3"/>
      <c r="L158" s="3"/>
      <c r="M158" s="3"/>
      <c r="N158" s="3"/>
      <c r="O158" s="3"/>
      <c r="P158" s="3"/>
      <c r="Q158" s="3"/>
    </row>
    <row r="159" ht="15.75" customHeight="1">
      <c r="A159" s="297">
        <v>1.1821E14</v>
      </c>
      <c r="B159" s="50" t="s">
        <v>1107</v>
      </c>
      <c r="C159" s="40">
        <v>2.0</v>
      </c>
      <c r="D159" s="43">
        <v>56.0</v>
      </c>
      <c r="E159" s="46"/>
      <c r="F159" s="46"/>
      <c r="G159" s="139" t="s">
        <v>422</v>
      </c>
      <c r="H159" s="141"/>
      <c r="I159" s="3"/>
      <c r="J159" s="3"/>
      <c r="K159" s="3"/>
      <c r="L159" s="3"/>
      <c r="M159" s="3"/>
      <c r="N159" s="3"/>
      <c r="O159" s="3"/>
      <c r="P159" s="3"/>
      <c r="Q159" s="3"/>
    </row>
    <row r="160" ht="15.75" customHeight="1">
      <c r="A160" s="219">
        <v>7.39466719E9</v>
      </c>
      <c r="B160" s="50" t="s">
        <v>1108</v>
      </c>
      <c r="C160" s="40">
        <v>2.0</v>
      </c>
      <c r="D160" s="43">
        <v>84.0</v>
      </c>
      <c r="E160" s="46"/>
      <c r="F160" s="46"/>
      <c r="G160" s="139" t="s">
        <v>419</v>
      </c>
      <c r="H160" s="141"/>
      <c r="I160" s="3"/>
      <c r="J160" s="3"/>
      <c r="K160" s="3"/>
      <c r="L160" s="3"/>
      <c r="M160" s="3"/>
      <c r="N160" s="3"/>
      <c r="O160" s="3"/>
      <c r="P160" s="3"/>
      <c r="Q160" s="3"/>
    </row>
    <row r="161" ht="15.75" customHeight="1">
      <c r="A161" s="219">
        <v>7.39467519E9</v>
      </c>
      <c r="B161" s="50" t="s">
        <v>1109</v>
      </c>
      <c r="C161" s="40">
        <v>2.0</v>
      </c>
      <c r="D161" s="43">
        <v>84.0</v>
      </c>
      <c r="E161" s="46"/>
      <c r="F161" s="46"/>
      <c r="G161" s="139" t="s">
        <v>419</v>
      </c>
      <c r="H161" s="141"/>
      <c r="I161" s="3"/>
      <c r="J161" s="3"/>
      <c r="K161" s="3"/>
      <c r="L161" s="3"/>
      <c r="M161" s="3"/>
      <c r="N161" s="3"/>
      <c r="O161" s="3"/>
      <c r="P161" s="3"/>
      <c r="Q161" s="3"/>
    </row>
    <row r="162" ht="15.75" customHeight="1">
      <c r="A162" s="219">
        <v>7.12594119E9</v>
      </c>
      <c r="B162" s="50" t="s">
        <v>1110</v>
      </c>
      <c r="C162" s="40">
        <v>2.0</v>
      </c>
      <c r="D162" s="43">
        <v>56.0</v>
      </c>
      <c r="E162" s="46"/>
      <c r="F162" s="46"/>
      <c r="G162" s="139" t="s">
        <v>422</v>
      </c>
      <c r="H162" s="141"/>
      <c r="I162" s="3"/>
      <c r="J162" s="3"/>
      <c r="K162" s="3"/>
      <c r="L162" s="3"/>
      <c r="M162" s="3"/>
      <c r="N162" s="3"/>
      <c r="O162" s="3"/>
      <c r="P162" s="3"/>
      <c r="Q162" s="3"/>
    </row>
    <row r="163" ht="15.75" customHeight="1">
      <c r="A163" s="219">
        <v>9.31537319E9</v>
      </c>
      <c r="B163" s="50" t="s">
        <v>1111</v>
      </c>
      <c r="C163" s="40">
        <v>2.0</v>
      </c>
      <c r="D163" s="43">
        <v>84.0</v>
      </c>
      <c r="E163" s="46"/>
      <c r="F163" s="46"/>
      <c r="G163" s="139" t="s">
        <v>419</v>
      </c>
      <c r="H163" s="141"/>
      <c r="I163" s="3"/>
      <c r="J163" s="3"/>
      <c r="K163" s="3"/>
      <c r="L163" s="3"/>
      <c r="M163" s="3"/>
      <c r="N163" s="3"/>
      <c r="O163" s="3"/>
      <c r="P163" s="3"/>
      <c r="Q163" s="3"/>
    </row>
    <row r="164" ht="15.75" customHeight="1">
      <c r="A164" s="219">
        <v>7.43954719E9</v>
      </c>
      <c r="B164" s="50" t="s">
        <v>1112</v>
      </c>
      <c r="C164" s="40">
        <v>2.0</v>
      </c>
      <c r="D164" s="43">
        <v>84.0</v>
      </c>
      <c r="E164" s="46"/>
      <c r="F164" s="46"/>
      <c r="G164" s="139" t="s">
        <v>419</v>
      </c>
      <c r="H164" s="141"/>
      <c r="I164" s="3"/>
      <c r="J164" s="3"/>
      <c r="K164" s="3"/>
      <c r="L164" s="3"/>
      <c r="M164" s="3"/>
      <c r="N164" s="3"/>
      <c r="O164" s="3"/>
      <c r="P164" s="3"/>
      <c r="Q164" s="3"/>
    </row>
    <row r="165" ht="15.75" customHeight="1">
      <c r="A165" s="280" t="s">
        <v>1113</v>
      </c>
      <c r="B165" s="284" t="s">
        <v>1114</v>
      </c>
      <c r="C165" s="40">
        <v>2.0</v>
      </c>
      <c r="D165" s="43">
        <v>84.0</v>
      </c>
      <c r="E165" s="46"/>
      <c r="F165" s="46"/>
      <c r="G165" s="139" t="s">
        <v>419</v>
      </c>
      <c r="H165" s="141"/>
      <c r="I165" s="3"/>
      <c r="J165" s="3"/>
      <c r="K165" s="3"/>
      <c r="L165" s="3"/>
      <c r="M165" s="3"/>
      <c r="N165" s="3"/>
      <c r="O165" s="3"/>
      <c r="P165" s="3"/>
      <c r="Q165" s="3"/>
    </row>
    <row r="166" ht="15.75" customHeight="1">
      <c r="A166" s="219">
        <v>9.00568419E9</v>
      </c>
      <c r="B166" s="50" t="s">
        <v>1115</v>
      </c>
      <c r="C166" s="40">
        <v>2.0</v>
      </c>
      <c r="D166" s="43">
        <v>84.0</v>
      </c>
      <c r="E166" s="46"/>
      <c r="F166" s="46"/>
      <c r="G166" s="139" t="s">
        <v>419</v>
      </c>
      <c r="H166" s="141"/>
      <c r="I166" s="3"/>
      <c r="J166" s="3"/>
      <c r="K166" s="3"/>
      <c r="L166" s="3"/>
      <c r="M166" s="3"/>
      <c r="N166" s="3"/>
      <c r="O166" s="3"/>
      <c r="P166" s="3"/>
      <c r="Q166" s="3"/>
    </row>
    <row r="167" ht="15.75" customHeight="1">
      <c r="A167" s="219">
        <v>5.10946919E9</v>
      </c>
      <c r="B167" s="50" t="s">
        <v>1116</v>
      </c>
      <c r="C167" s="40">
        <v>2.0</v>
      </c>
      <c r="D167" s="43">
        <v>84.0</v>
      </c>
      <c r="E167" s="46"/>
      <c r="F167" s="46"/>
      <c r="G167" s="139" t="s">
        <v>419</v>
      </c>
      <c r="H167" s="141"/>
      <c r="I167" s="3"/>
      <c r="J167" s="3"/>
      <c r="K167" s="3"/>
      <c r="L167" s="3"/>
      <c r="M167" s="3"/>
      <c r="N167" s="3"/>
      <c r="O167" s="3"/>
      <c r="P167" s="3"/>
      <c r="Q167" s="3"/>
    </row>
    <row r="168" ht="15.75" customHeight="1">
      <c r="A168" s="219">
        <v>3.73758619E9</v>
      </c>
      <c r="B168" s="50" t="s">
        <v>1117</v>
      </c>
      <c r="C168" s="40">
        <v>2.0</v>
      </c>
      <c r="D168" s="43">
        <v>84.0</v>
      </c>
      <c r="E168" s="46"/>
      <c r="F168" s="46"/>
      <c r="G168" s="139" t="s">
        <v>419</v>
      </c>
      <c r="H168" s="141"/>
      <c r="I168" s="3"/>
      <c r="J168" s="3"/>
      <c r="K168" s="3"/>
      <c r="L168" s="3"/>
      <c r="M168" s="3"/>
      <c r="N168" s="3"/>
      <c r="O168" s="3"/>
      <c r="P168" s="3"/>
      <c r="Q168" s="3"/>
    </row>
    <row r="169" ht="15.75" customHeight="1">
      <c r="A169" s="219">
        <v>7.39647319E9</v>
      </c>
      <c r="B169" s="50" t="s">
        <v>1118</v>
      </c>
      <c r="C169" s="40">
        <v>2.0</v>
      </c>
      <c r="D169" s="43">
        <v>84.0</v>
      </c>
      <c r="E169" s="46"/>
      <c r="F169" s="46"/>
      <c r="G169" s="139" t="s">
        <v>419</v>
      </c>
      <c r="H169" s="141"/>
      <c r="I169" s="3"/>
      <c r="J169" s="3"/>
      <c r="K169" s="3"/>
      <c r="L169" s="3"/>
      <c r="M169" s="3"/>
      <c r="N169" s="3"/>
      <c r="O169" s="3"/>
      <c r="P169" s="3"/>
      <c r="Q169" s="3"/>
    </row>
    <row r="170" ht="15.75" customHeight="1">
      <c r="A170" s="219">
        <v>7.21278019E9</v>
      </c>
      <c r="B170" s="50" t="s">
        <v>1119</v>
      </c>
      <c r="C170" s="40">
        <v>2.0</v>
      </c>
      <c r="D170" s="43">
        <v>84.0</v>
      </c>
      <c r="E170" s="46"/>
      <c r="F170" s="46"/>
      <c r="G170" s="139" t="s">
        <v>419</v>
      </c>
      <c r="H170" s="141"/>
      <c r="I170" s="3"/>
      <c r="J170" s="3"/>
      <c r="K170" s="3"/>
      <c r="L170" s="3"/>
      <c r="M170" s="3"/>
      <c r="N170" s="3"/>
      <c r="O170" s="3"/>
      <c r="P170" s="3"/>
      <c r="Q170" s="3"/>
    </row>
    <row r="171" ht="15.75" customHeight="1">
      <c r="A171" s="219">
        <v>7.72635019E9</v>
      </c>
      <c r="B171" s="50" t="s">
        <v>1120</v>
      </c>
      <c r="C171" s="40">
        <v>2.0</v>
      </c>
      <c r="D171" s="43">
        <v>31.0</v>
      </c>
      <c r="E171" s="46"/>
      <c r="F171" s="46"/>
      <c r="G171" s="139" t="s">
        <v>1027</v>
      </c>
      <c r="H171" s="141"/>
      <c r="I171" s="3"/>
      <c r="J171" s="3"/>
      <c r="K171" s="3"/>
      <c r="L171" s="3"/>
      <c r="M171" s="3"/>
      <c r="N171" s="3"/>
      <c r="O171" s="3"/>
      <c r="P171" s="3"/>
      <c r="Q171" s="3"/>
    </row>
    <row r="172" ht="15.75" customHeight="1">
      <c r="A172" s="297">
        <v>1.193E13</v>
      </c>
      <c r="B172" s="50" t="s">
        <v>1121</v>
      </c>
      <c r="C172" s="40">
        <v>2.0</v>
      </c>
      <c r="D172" s="43">
        <v>84.0</v>
      </c>
      <c r="E172" s="46"/>
      <c r="F172" s="46"/>
      <c r="G172" s="139" t="s">
        <v>419</v>
      </c>
      <c r="H172" s="141"/>
      <c r="I172" s="3"/>
      <c r="J172" s="3"/>
      <c r="K172" s="3"/>
      <c r="L172" s="3"/>
      <c r="M172" s="3"/>
      <c r="N172" s="3"/>
      <c r="O172" s="3"/>
      <c r="P172" s="3"/>
      <c r="Q172" s="3"/>
    </row>
    <row r="173" ht="15.75" customHeight="1">
      <c r="A173" s="219">
        <v>8.24389119E9</v>
      </c>
      <c r="B173" s="50" t="s">
        <v>1122</v>
      </c>
      <c r="C173" s="40">
        <v>2.0</v>
      </c>
      <c r="D173" s="43">
        <v>84.0</v>
      </c>
      <c r="E173" s="46"/>
      <c r="F173" s="46"/>
      <c r="G173" s="139" t="s">
        <v>419</v>
      </c>
      <c r="H173" s="141"/>
      <c r="I173" s="3"/>
      <c r="J173" s="3"/>
      <c r="K173" s="3"/>
      <c r="L173" s="3"/>
      <c r="M173" s="3"/>
      <c r="N173" s="3"/>
      <c r="O173" s="3"/>
      <c r="P173" s="3"/>
      <c r="Q173" s="3"/>
    </row>
    <row r="174" ht="15.75" customHeight="1">
      <c r="A174" s="219">
        <v>5.60855419E9</v>
      </c>
      <c r="B174" s="50" t="s">
        <v>1123</v>
      </c>
      <c r="C174" s="40">
        <v>2.0</v>
      </c>
      <c r="D174" s="43">
        <v>90.0</v>
      </c>
      <c r="E174" s="46"/>
      <c r="F174" s="46"/>
      <c r="G174" s="139" t="s">
        <v>1124</v>
      </c>
      <c r="H174" s="141"/>
      <c r="I174" s="3"/>
      <c r="J174" s="3"/>
      <c r="K174" s="3"/>
      <c r="L174" s="3"/>
      <c r="M174" s="3"/>
      <c r="N174" s="3"/>
      <c r="O174" s="3"/>
      <c r="P174" s="3"/>
      <c r="Q174" s="3"/>
    </row>
    <row r="175" ht="15.75" customHeight="1">
      <c r="A175" s="219">
        <v>3.14108019E9</v>
      </c>
      <c r="B175" s="50" t="s">
        <v>1125</v>
      </c>
      <c r="C175" s="40">
        <v>2.0</v>
      </c>
      <c r="D175" s="43">
        <v>84.0</v>
      </c>
      <c r="E175" s="46"/>
      <c r="F175" s="46"/>
      <c r="G175" s="139" t="s">
        <v>419</v>
      </c>
      <c r="H175" s="141"/>
      <c r="I175" s="3"/>
      <c r="J175" s="3"/>
      <c r="K175" s="3"/>
      <c r="L175" s="3"/>
      <c r="M175" s="3"/>
      <c r="N175" s="3"/>
      <c r="O175" s="3"/>
      <c r="P175" s="3"/>
      <c r="Q175" s="3"/>
    </row>
    <row r="176" ht="15.75" customHeight="1">
      <c r="A176" s="297">
        <v>1.1972E14</v>
      </c>
      <c r="B176" s="50" t="s">
        <v>1126</v>
      </c>
      <c r="C176" s="40">
        <v>2.0</v>
      </c>
      <c r="D176" s="43">
        <v>84.0</v>
      </c>
      <c r="E176" s="46"/>
      <c r="F176" s="46"/>
      <c r="G176" s="139" t="s">
        <v>419</v>
      </c>
      <c r="H176" s="141"/>
      <c r="I176" s="3"/>
      <c r="J176" s="3"/>
      <c r="K176" s="3"/>
      <c r="L176" s="3"/>
      <c r="M176" s="3"/>
      <c r="N176" s="3"/>
      <c r="O176" s="3"/>
      <c r="P176" s="3"/>
      <c r="Q176" s="3"/>
    </row>
    <row r="177" ht="15.75" customHeight="1">
      <c r="A177" s="297">
        <v>1.1972E14</v>
      </c>
      <c r="B177" s="50" t="s">
        <v>1127</v>
      </c>
      <c r="C177" s="40">
        <v>2.0</v>
      </c>
      <c r="D177" s="43">
        <v>84.0</v>
      </c>
      <c r="E177" s="46"/>
      <c r="F177" s="46"/>
      <c r="G177" s="139" t="s">
        <v>419</v>
      </c>
      <c r="H177" s="141"/>
      <c r="I177" s="3"/>
      <c r="J177" s="3"/>
      <c r="K177" s="3"/>
      <c r="L177" s="3"/>
      <c r="M177" s="3"/>
      <c r="N177" s="3"/>
      <c r="O177" s="3"/>
      <c r="P177" s="3"/>
      <c r="Q177" s="3"/>
    </row>
    <row r="178" ht="15.75" customHeight="1">
      <c r="A178" s="219">
        <v>9.03811619E9</v>
      </c>
      <c r="B178" s="50" t="s">
        <v>1128</v>
      </c>
      <c r="C178" s="40">
        <v>2.0</v>
      </c>
      <c r="D178" s="43">
        <v>84.0</v>
      </c>
      <c r="E178" s="46"/>
      <c r="F178" s="46"/>
      <c r="G178" s="139" t="s">
        <v>419</v>
      </c>
      <c r="H178" s="141"/>
      <c r="I178" s="3"/>
      <c r="J178" s="3"/>
      <c r="K178" s="3"/>
      <c r="L178" s="3"/>
      <c r="M178" s="3"/>
      <c r="N178" s="3"/>
      <c r="O178" s="3"/>
      <c r="P178" s="3"/>
      <c r="Q178" s="3"/>
    </row>
    <row r="179" ht="15.75" customHeight="1">
      <c r="A179" s="219">
        <v>7.47596919E9</v>
      </c>
      <c r="B179" s="50" t="s">
        <v>1129</v>
      </c>
      <c r="C179" s="40">
        <v>2.0</v>
      </c>
      <c r="D179" s="43">
        <v>31.0</v>
      </c>
      <c r="E179" s="46"/>
      <c r="F179" s="46"/>
      <c r="G179" s="139" t="s">
        <v>1027</v>
      </c>
      <c r="H179" s="141"/>
      <c r="I179" s="3"/>
      <c r="J179" s="3"/>
      <c r="K179" s="3"/>
      <c r="L179" s="3"/>
      <c r="M179" s="3"/>
      <c r="N179" s="3"/>
      <c r="O179" s="3"/>
      <c r="P179" s="3"/>
      <c r="Q179" s="3"/>
    </row>
    <row r="180" ht="15.75" customHeight="1">
      <c r="A180" s="219">
        <v>7.57476219E9</v>
      </c>
      <c r="B180" s="50" t="s">
        <v>1130</v>
      </c>
      <c r="C180" s="40">
        <v>2.0</v>
      </c>
      <c r="D180" s="43">
        <v>84.0</v>
      </c>
      <c r="E180" s="46"/>
      <c r="F180" s="46"/>
      <c r="G180" s="139" t="s">
        <v>419</v>
      </c>
      <c r="H180" s="141"/>
      <c r="I180" s="3"/>
      <c r="J180" s="3"/>
      <c r="K180" s="3"/>
      <c r="L180" s="3"/>
      <c r="M180" s="3"/>
      <c r="N180" s="3"/>
      <c r="O180" s="3"/>
      <c r="P180" s="3"/>
      <c r="Q180" s="3"/>
    </row>
    <row r="181" ht="15.75" customHeight="1">
      <c r="A181" s="219">
        <v>9.28929119E9</v>
      </c>
      <c r="B181" s="50" t="s">
        <v>1131</v>
      </c>
      <c r="C181" s="40">
        <v>2.0</v>
      </c>
      <c r="D181" s="43">
        <v>84.0</v>
      </c>
      <c r="E181" s="46"/>
      <c r="F181" s="46"/>
      <c r="G181" s="139" t="s">
        <v>419</v>
      </c>
      <c r="H181" s="141"/>
      <c r="I181" s="3"/>
      <c r="J181" s="3"/>
      <c r="K181" s="3"/>
      <c r="L181" s="3"/>
      <c r="M181" s="3"/>
      <c r="N181" s="3"/>
      <c r="O181" s="3"/>
      <c r="P181" s="3"/>
      <c r="Q181" s="3"/>
    </row>
    <row r="182" ht="15.75" customHeight="1">
      <c r="A182" s="219">
        <v>5.88902219E9</v>
      </c>
      <c r="B182" s="50" t="s">
        <v>1132</v>
      </c>
      <c r="C182" s="40">
        <v>3.0</v>
      </c>
      <c r="D182" s="43">
        <v>28.0</v>
      </c>
      <c r="E182" s="46"/>
      <c r="F182" s="46"/>
      <c r="G182" s="139" t="s">
        <v>431</v>
      </c>
      <c r="H182" s="141"/>
      <c r="I182" s="3"/>
      <c r="J182" s="3"/>
      <c r="K182" s="3"/>
      <c r="L182" s="3"/>
      <c r="M182" s="3"/>
      <c r="N182" s="3"/>
      <c r="O182" s="3"/>
      <c r="P182" s="3"/>
      <c r="Q182" s="3"/>
    </row>
    <row r="183" ht="15.75" customHeight="1">
      <c r="A183" s="219">
        <v>6.63319619E9</v>
      </c>
      <c r="B183" s="50" t="s">
        <v>1133</v>
      </c>
      <c r="C183" s="40">
        <v>3.0</v>
      </c>
      <c r="D183" s="43">
        <v>28.0</v>
      </c>
      <c r="E183" s="46"/>
      <c r="F183" s="46"/>
      <c r="G183" s="139" t="s">
        <v>431</v>
      </c>
      <c r="H183" s="141"/>
      <c r="I183" s="3"/>
      <c r="J183" s="3"/>
      <c r="K183" s="3"/>
      <c r="L183" s="3"/>
      <c r="M183" s="3"/>
      <c r="N183" s="3"/>
      <c r="O183" s="3"/>
      <c r="P183" s="3"/>
      <c r="Q183" s="3"/>
    </row>
    <row r="184" ht="15.75" customHeight="1">
      <c r="A184" s="219">
        <v>6.32798219E9</v>
      </c>
      <c r="B184" s="50" t="s">
        <v>1134</v>
      </c>
      <c r="C184" s="40">
        <v>3.0</v>
      </c>
      <c r="D184" s="43">
        <v>28.0</v>
      </c>
      <c r="E184" s="46"/>
      <c r="F184" s="46"/>
      <c r="G184" s="139" t="s">
        <v>431</v>
      </c>
      <c r="H184" s="141"/>
      <c r="I184" s="3"/>
      <c r="J184" s="3"/>
      <c r="K184" s="3"/>
      <c r="L184" s="3"/>
      <c r="M184" s="3"/>
      <c r="N184" s="3"/>
      <c r="O184" s="3"/>
      <c r="P184" s="3"/>
      <c r="Q184" s="3"/>
    </row>
    <row r="185" ht="15.75" customHeight="1">
      <c r="A185" s="219">
        <v>5.88906519E9</v>
      </c>
      <c r="B185" s="50" t="s">
        <v>1135</v>
      </c>
      <c r="C185" s="40">
        <v>3.0</v>
      </c>
      <c r="D185" s="43">
        <v>28.0</v>
      </c>
      <c r="E185" s="46"/>
      <c r="F185" s="46"/>
      <c r="G185" s="139" t="s">
        <v>431</v>
      </c>
      <c r="H185" s="141"/>
      <c r="I185" s="3"/>
      <c r="J185" s="3"/>
      <c r="K185" s="3"/>
      <c r="L185" s="3"/>
      <c r="M185" s="3"/>
      <c r="N185" s="3"/>
      <c r="O185" s="3"/>
      <c r="P185" s="3"/>
      <c r="Q185" s="3"/>
    </row>
    <row r="186" ht="15.75" customHeight="1">
      <c r="A186" s="292" t="s">
        <v>370</v>
      </c>
      <c r="B186" s="293"/>
      <c r="C186" s="218" t="s">
        <v>371</v>
      </c>
      <c r="D186" s="277" t="s">
        <v>167</v>
      </c>
      <c r="E186" s="294"/>
      <c r="F186" s="292" t="s">
        <v>169</v>
      </c>
      <c r="G186" s="295" t="s">
        <v>170</v>
      </c>
      <c r="H186" s="295" t="s">
        <v>171</v>
      </c>
      <c r="I186" s="3"/>
      <c r="J186" s="3"/>
      <c r="K186" s="3"/>
      <c r="L186" s="3"/>
      <c r="M186" s="3"/>
      <c r="N186" s="3"/>
      <c r="O186" s="3"/>
      <c r="P186" s="3"/>
      <c r="Q186" s="3"/>
    </row>
    <row r="187" ht="15.75" customHeight="1">
      <c r="A187" s="297">
        <v>1.1731E14</v>
      </c>
      <c r="B187" s="50" t="s">
        <v>739</v>
      </c>
      <c r="C187" s="40">
        <v>2.0</v>
      </c>
      <c r="D187" s="43">
        <v>28.0</v>
      </c>
      <c r="E187" s="46"/>
      <c r="F187" s="46"/>
      <c r="G187" s="139" t="s">
        <v>431</v>
      </c>
      <c r="H187" s="141"/>
      <c r="I187" s="3"/>
      <c r="J187" s="3"/>
      <c r="K187" s="3"/>
      <c r="L187" s="3"/>
      <c r="M187" s="3"/>
      <c r="N187" s="3"/>
      <c r="O187" s="3"/>
      <c r="P187" s="3"/>
      <c r="Q187" s="3"/>
    </row>
    <row r="188" ht="15.75" customHeight="1">
      <c r="A188" s="219">
        <v>8.74006219E9</v>
      </c>
      <c r="B188" s="50" t="s">
        <v>692</v>
      </c>
      <c r="C188" s="40">
        <v>2.0</v>
      </c>
      <c r="D188" s="43">
        <v>84.0</v>
      </c>
      <c r="E188" s="46"/>
      <c r="F188" s="46"/>
      <c r="G188" s="139" t="s">
        <v>419</v>
      </c>
      <c r="H188" s="141"/>
      <c r="I188" s="3"/>
      <c r="J188" s="3"/>
      <c r="K188" s="3"/>
      <c r="L188" s="3"/>
      <c r="M188" s="3"/>
      <c r="N188" s="3"/>
      <c r="O188" s="3"/>
      <c r="P188" s="3"/>
      <c r="Q188" s="3"/>
    </row>
    <row r="189" ht="15.75" customHeight="1">
      <c r="A189" s="219">
        <v>5.34178719E9</v>
      </c>
      <c r="B189" s="50" t="s">
        <v>725</v>
      </c>
      <c r="C189" s="40">
        <v>3.0</v>
      </c>
      <c r="D189" s="43">
        <v>31.0</v>
      </c>
      <c r="E189" s="46"/>
      <c r="F189" s="46"/>
      <c r="G189" s="139" t="s">
        <v>1027</v>
      </c>
      <c r="H189" s="141"/>
      <c r="I189" s="3"/>
      <c r="J189" s="3"/>
      <c r="K189" s="3"/>
      <c r="L189" s="3"/>
      <c r="M189" s="3"/>
      <c r="N189" s="3"/>
      <c r="O189" s="3"/>
      <c r="P189" s="3"/>
      <c r="Q189" s="3"/>
    </row>
    <row r="190" ht="15.75" customHeight="1">
      <c r="A190" s="219">
        <v>6.68777619E9</v>
      </c>
      <c r="B190" s="50" t="s">
        <v>1136</v>
      </c>
      <c r="C190" s="40">
        <v>2.0</v>
      </c>
      <c r="D190" s="43">
        <v>28.0</v>
      </c>
      <c r="E190" s="46"/>
      <c r="F190" s="46"/>
      <c r="G190" s="139" t="s">
        <v>431</v>
      </c>
      <c r="H190" s="141"/>
      <c r="I190" s="3"/>
      <c r="J190" s="3"/>
      <c r="K190" s="3"/>
      <c r="L190" s="3"/>
      <c r="M190" s="3"/>
      <c r="N190" s="3"/>
      <c r="O190" s="3"/>
      <c r="P190" s="3"/>
      <c r="Q190" s="3"/>
    </row>
    <row r="191" ht="15.75" customHeight="1">
      <c r="A191" s="297">
        <v>1.1776E14</v>
      </c>
      <c r="B191" s="50" t="s">
        <v>738</v>
      </c>
      <c r="C191" s="40">
        <v>2.0</v>
      </c>
      <c r="D191" s="43">
        <v>28.0</v>
      </c>
      <c r="E191" s="46"/>
      <c r="F191" s="46"/>
      <c r="G191" s="139" t="s">
        <v>431</v>
      </c>
      <c r="H191" s="141"/>
      <c r="I191" s="3"/>
      <c r="J191" s="3"/>
      <c r="K191" s="3"/>
      <c r="L191" s="3"/>
      <c r="M191" s="3"/>
      <c r="N191" s="3"/>
      <c r="O191" s="3"/>
      <c r="P191" s="3"/>
      <c r="Q191" s="3"/>
    </row>
    <row r="192" ht="15.75" customHeight="1">
      <c r="A192" s="219">
        <v>7.71322319E9</v>
      </c>
      <c r="B192" s="50" t="s">
        <v>1137</v>
      </c>
      <c r="C192" s="40">
        <v>2.0</v>
      </c>
      <c r="D192" s="43">
        <v>31.0</v>
      </c>
      <c r="E192" s="46"/>
      <c r="F192" s="46"/>
      <c r="G192" s="139" t="s">
        <v>1027</v>
      </c>
      <c r="H192" s="141"/>
      <c r="I192" s="3"/>
      <c r="J192" s="3"/>
      <c r="K192" s="3"/>
      <c r="L192" s="3"/>
      <c r="M192" s="3"/>
      <c r="N192" s="3"/>
      <c r="O192" s="3"/>
      <c r="P192" s="3"/>
      <c r="Q192" s="3"/>
    </row>
    <row r="193" ht="15.75" customHeight="1">
      <c r="A193" s="298">
        <v>4.91704919E9</v>
      </c>
      <c r="B193" s="15" t="s">
        <v>706</v>
      </c>
      <c r="C193" s="40">
        <v>2.0</v>
      </c>
      <c r="D193" s="43">
        <v>84.0</v>
      </c>
      <c r="E193" s="46"/>
      <c r="F193" s="46"/>
      <c r="G193" s="139" t="s">
        <v>419</v>
      </c>
      <c r="H193" s="141"/>
      <c r="I193" s="3"/>
      <c r="J193" s="3"/>
      <c r="K193" s="3"/>
      <c r="L193" s="3"/>
      <c r="M193" s="3"/>
      <c r="N193" s="3"/>
      <c r="O193" s="3"/>
      <c r="P193" s="3"/>
      <c r="Q193" s="3"/>
    </row>
    <row r="194" ht="15.75" customHeight="1">
      <c r="A194" s="298">
        <v>5.09510719E9</v>
      </c>
      <c r="B194" s="50" t="s">
        <v>737</v>
      </c>
      <c r="C194" s="40">
        <v>2.0</v>
      </c>
      <c r="D194" s="43">
        <v>84.0</v>
      </c>
      <c r="E194" s="46"/>
      <c r="F194" s="46"/>
      <c r="G194" s="139" t="s">
        <v>419</v>
      </c>
      <c r="H194" s="141"/>
      <c r="I194" s="3"/>
      <c r="J194" s="3"/>
      <c r="K194" s="3"/>
      <c r="L194" s="3"/>
      <c r="M194" s="3"/>
      <c r="N194" s="3"/>
      <c r="O194" s="3"/>
      <c r="P194" s="3"/>
      <c r="Q194" s="3"/>
    </row>
    <row r="195" ht="15.75" customHeight="1">
      <c r="A195" s="298">
        <v>5.042666191E9</v>
      </c>
      <c r="B195" s="50" t="s">
        <v>733</v>
      </c>
      <c r="C195" s="40">
        <v>2.0</v>
      </c>
      <c r="D195" s="43">
        <v>28.0</v>
      </c>
      <c r="E195" s="46"/>
      <c r="F195" s="46"/>
      <c r="G195" s="139" t="s">
        <v>431</v>
      </c>
      <c r="H195" s="141"/>
      <c r="I195" s="3"/>
      <c r="J195" s="3"/>
      <c r="K195" s="3"/>
      <c r="L195" s="3"/>
      <c r="M195" s="3"/>
      <c r="N195" s="3"/>
      <c r="O195" s="3"/>
      <c r="P195" s="3"/>
      <c r="Q195" s="3"/>
    </row>
    <row r="196" ht="15.75" customHeight="1">
      <c r="A196" s="298">
        <v>7.95721119E9</v>
      </c>
      <c r="B196" s="50" t="s">
        <v>694</v>
      </c>
      <c r="C196" s="40">
        <v>2.0</v>
      </c>
      <c r="D196" s="43">
        <v>28.0</v>
      </c>
      <c r="E196" s="46"/>
      <c r="F196" s="46"/>
      <c r="G196" s="139" t="s">
        <v>431</v>
      </c>
      <c r="H196" s="141"/>
      <c r="I196" s="3"/>
      <c r="J196" s="3"/>
      <c r="K196" s="3"/>
      <c r="L196" s="3"/>
      <c r="M196" s="3"/>
      <c r="N196" s="3"/>
      <c r="O196" s="3"/>
      <c r="P196" s="3"/>
      <c r="Q196" s="3"/>
    </row>
    <row r="197" ht="15.75" customHeight="1">
      <c r="A197" s="298">
        <v>5.95095319E9</v>
      </c>
      <c r="B197" s="50" t="s">
        <v>718</v>
      </c>
      <c r="C197" s="40">
        <v>2.0</v>
      </c>
      <c r="D197" s="43">
        <v>28.0</v>
      </c>
      <c r="E197" s="46"/>
      <c r="F197" s="46"/>
      <c r="G197" s="139" t="s">
        <v>431</v>
      </c>
      <c r="H197" s="141"/>
      <c r="I197" s="3"/>
      <c r="J197" s="3"/>
      <c r="K197" s="3"/>
      <c r="L197" s="3"/>
      <c r="M197" s="3"/>
      <c r="N197" s="3"/>
      <c r="O197" s="3"/>
      <c r="P197" s="3"/>
      <c r="Q197" s="3"/>
    </row>
    <row r="198" ht="15.75" customHeight="1">
      <c r="A198" s="298">
        <v>8.33364519E9</v>
      </c>
      <c r="B198" s="50" t="s">
        <v>1138</v>
      </c>
      <c r="C198" s="40">
        <v>2.0</v>
      </c>
      <c r="D198" s="43">
        <v>28.0</v>
      </c>
      <c r="E198" s="46"/>
      <c r="F198" s="46"/>
      <c r="G198" s="139" t="s">
        <v>431</v>
      </c>
      <c r="H198" s="141"/>
      <c r="I198" s="3"/>
      <c r="J198" s="3"/>
      <c r="K198" s="3"/>
      <c r="L198" s="3"/>
      <c r="M198" s="3"/>
      <c r="N198" s="3"/>
      <c r="O198" s="3"/>
      <c r="P198" s="3"/>
      <c r="Q198" s="3"/>
    </row>
    <row r="199" ht="15.75" customHeight="1">
      <c r="A199" s="298">
        <v>6.50598819E9</v>
      </c>
      <c r="B199" s="50" t="s">
        <v>727</v>
      </c>
      <c r="C199" s="40">
        <v>2.0</v>
      </c>
      <c r="D199" s="43">
        <v>28.0</v>
      </c>
      <c r="E199" s="46"/>
      <c r="F199" s="46"/>
      <c r="G199" s="139" t="s">
        <v>431</v>
      </c>
      <c r="H199" s="141"/>
      <c r="I199" s="3"/>
      <c r="J199" s="3"/>
      <c r="K199" s="3"/>
      <c r="L199" s="3"/>
      <c r="M199" s="3"/>
      <c r="N199" s="3"/>
      <c r="O199" s="3"/>
      <c r="P199" s="3"/>
      <c r="Q199" s="3"/>
    </row>
    <row r="200" ht="15.75" customHeight="1">
      <c r="A200" s="298">
        <v>7.36007019E9</v>
      </c>
      <c r="B200" s="50" t="s">
        <v>723</v>
      </c>
      <c r="C200" s="40">
        <v>2.0</v>
      </c>
      <c r="D200" s="43">
        <v>28.0</v>
      </c>
      <c r="E200" s="46"/>
      <c r="F200" s="46"/>
      <c r="G200" s="139" t="s">
        <v>431</v>
      </c>
      <c r="H200" s="141"/>
      <c r="I200" s="3"/>
      <c r="J200" s="3"/>
      <c r="K200" s="3"/>
      <c r="L200" s="3"/>
      <c r="M200" s="3"/>
      <c r="N200" s="3"/>
      <c r="O200" s="3"/>
      <c r="P200" s="3"/>
      <c r="Q200" s="3"/>
    </row>
    <row r="201" ht="15.75" customHeight="1">
      <c r="A201" s="282">
        <v>5.61886019E9</v>
      </c>
      <c r="B201" s="50" t="s">
        <v>740</v>
      </c>
      <c r="C201" s="40">
        <v>2.0</v>
      </c>
      <c r="D201" s="43">
        <v>31.0</v>
      </c>
      <c r="E201" s="46"/>
      <c r="F201" s="46"/>
      <c r="G201" s="139" t="s">
        <v>1027</v>
      </c>
      <c r="H201" s="141"/>
      <c r="I201" s="3"/>
      <c r="J201" s="3"/>
      <c r="K201" s="3"/>
      <c r="L201" s="3"/>
      <c r="M201" s="3"/>
      <c r="N201" s="3"/>
      <c r="O201" s="3"/>
      <c r="P201" s="3"/>
      <c r="Q201" s="3"/>
    </row>
    <row r="202" ht="15.75" customHeight="1">
      <c r="A202" s="298">
        <v>5.03166419E9</v>
      </c>
      <c r="B202" s="50" t="s">
        <v>695</v>
      </c>
      <c r="C202" s="40">
        <v>2.0</v>
      </c>
      <c r="D202" s="43">
        <v>28.0</v>
      </c>
      <c r="E202" s="46"/>
      <c r="F202" s="46"/>
      <c r="G202" s="139" t="s">
        <v>431</v>
      </c>
      <c r="H202" s="141"/>
      <c r="I202" s="3"/>
      <c r="J202" s="3"/>
      <c r="K202" s="3"/>
      <c r="L202" s="3"/>
      <c r="M202" s="3"/>
      <c r="N202" s="3"/>
      <c r="O202" s="3"/>
      <c r="P202" s="3"/>
      <c r="Q202" s="3"/>
    </row>
    <row r="203" ht="15.75" customHeight="1">
      <c r="A203" s="298">
        <v>9.03812419E9</v>
      </c>
      <c r="B203" s="50" t="s">
        <v>741</v>
      </c>
      <c r="C203" s="40">
        <v>3.0</v>
      </c>
      <c r="D203" s="43">
        <v>31.0</v>
      </c>
      <c r="E203" s="46"/>
      <c r="F203" s="46"/>
      <c r="G203" s="139" t="s">
        <v>1027</v>
      </c>
      <c r="H203" s="141"/>
      <c r="I203" s="3"/>
      <c r="J203" s="3"/>
      <c r="K203" s="3"/>
      <c r="L203" s="3"/>
      <c r="M203" s="3"/>
      <c r="N203" s="3"/>
      <c r="O203" s="3"/>
      <c r="P203" s="3"/>
      <c r="Q203" s="3"/>
    </row>
    <row r="204" ht="15.75" customHeight="1">
      <c r="A204" s="298">
        <v>7.47610819E9</v>
      </c>
      <c r="B204" s="50" t="s">
        <v>714</v>
      </c>
      <c r="C204" s="40">
        <v>2.0</v>
      </c>
      <c r="D204" s="43">
        <v>31.0</v>
      </c>
      <c r="E204" s="46"/>
      <c r="F204" s="46"/>
      <c r="G204" s="139" t="s">
        <v>1027</v>
      </c>
      <c r="H204" s="141"/>
      <c r="I204" s="3"/>
      <c r="J204" s="3"/>
      <c r="K204" s="3"/>
      <c r="L204" s="3"/>
      <c r="M204" s="3"/>
      <c r="N204" s="3"/>
      <c r="O204" s="3"/>
      <c r="P204" s="3"/>
      <c r="Q204" s="3"/>
    </row>
    <row r="205" ht="15.75" customHeight="1">
      <c r="A205" s="282">
        <v>6.92410719E9</v>
      </c>
      <c r="B205" s="21" t="s">
        <v>719</v>
      </c>
      <c r="C205" s="40">
        <v>2.0</v>
      </c>
      <c r="D205" s="43">
        <v>84.0</v>
      </c>
      <c r="E205" s="46"/>
      <c r="F205" s="46"/>
      <c r="G205" s="139" t="s">
        <v>419</v>
      </c>
      <c r="H205" s="141"/>
      <c r="I205" s="3"/>
      <c r="J205" s="3"/>
      <c r="K205" s="3"/>
      <c r="L205" s="3"/>
      <c r="M205" s="3"/>
      <c r="N205" s="3"/>
      <c r="O205" s="3"/>
      <c r="P205" s="3"/>
      <c r="Q205" s="3"/>
    </row>
    <row r="206" ht="15.75" customHeight="1">
      <c r="A206" s="282">
        <v>8.33592319E9</v>
      </c>
      <c r="B206" s="21" t="s">
        <v>691</v>
      </c>
      <c r="C206" s="40">
        <v>5.0</v>
      </c>
      <c r="D206" s="43">
        <v>56.0</v>
      </c>
      <c r="E206" s="46"/>
      <c r="F206" s="46"/>
      <c r="G206" s="139" t="s">
        <v>422</v>
      </c>
      <c r="H206" s="141"/>
      <c r="I206" s="3"/>
      <c r="J206" s="3"/>
      <c r="K206" s="3"/>
      <c r="L206" s="3"/>
      <c r="M206" s="3"/>
      <c r="N206" s="3"/>
      <c r="O206" s="3"/>
      <c r="P206" s="3"/>
      <c r="Q206" s="3"/>
    </row>
    <row r="207" ht="15.75" customHeight="1">
      <c r="A207" s="282">
        <v>8.08667219E9</v>
      </c>
      <c r="B207" s="21" t="s">
        <v>698</v>
      </c>
      <c r="C207" s="40">
        <v>8.0</v>
      </c>
      <c r="D207" s="43">
        <v>56.0</v>
      </c>
      <c r="E207" s="46"/>
      <c r="F207" s="46"/>
      <c r="G207" s="139" t="s">
        <v>422</v>
      </c>
      <c r="H207" s="141"/>
      <c r="I207" s="3"/>
      <c r="J207" s="3"/>
      <c r="K207" s="3"/>
      <c r="L207" s="3"/>
      <c r="M207" s="3"/>
      <c r="N207" s="3"/>
      <c r="O207" s="3"/>
      <c r="P207" s="3"/>
      <c r="Q207" s="3"/>
    </row>
    <row r="208" ht="15.75" customHeight="1">
      <c r="A208" s="299">
        <v>1.1876E14</v>
      </c>
      <c r="B208" s="21" t="s">
        <v>696</v>
      </c>
      <c r="C208" s="40">
        <v>8.0</v>
      </c>
      <c r="D208" s="43">
        <v>56.0</v>
      </c>
      <c r="E208" s="46"/>
      <c r="F208" s="46"/>
      <c r="G208" s="139" t="s">
        <v>422</v>
      </c>
      <c r="H208" s="141"/>
      <c r="I208" s="3"/>
      <c r="J208" s="3"/>
      <c r="K208" s="3"/>
      <c r="L208" s="3"/>
      <c r="M208" s="3"/>
      <c r="N208" s="3"/>
      <c r="O208" s="3"/>
      <c r="P208" s="3"/>
      <c r="Q208" s="3"/>
    </row>
    <row r="209" ht="15.75" customHeight="1">
      <c r="A209" s="282">
        <v>4.68787619E9</v>
      </c>
      <c r="B209" s="21" t="s">
        <v>716</v>
      </c>
      <c r="C209" s="40">
        <v>8.0</v>
      </c>
      <c r="D209" s="43">
        <v>56.0</v>
      </c>
      <c r="E209" s="46"/>
      <c r="F209" s="46"/>
      <c r="G209" s="139" t="s">
        <v>422</v>
      </c>
      <c r="H209" s="141"/>
      <c r="I209" s="3"/>
      <c r="J209" s="3"/>
      <c r="K209" s="3"/>
      <c r="L209" s="3"/>
      <c r="M209" s="3"/>
      <c r="N209" s="3"/>
      <c r="O209" s="3"/>
      <c r="P209" s="3"/>
      <c r="Q209" s="3"/>
    </row>
    <row r="210" ht="15.75" customHeight="1">
      <c r="A210" s="299">
        <v>1.1876E14</v>
      </c>
      <c r="B210" s="21" t="s">
        <v>703</v>
      </c>
      <c r="C210" s="40">
        <v>8.0</v>
      </c>
      <c r="D210" s="43">
        <v>56.0</v>
      </c>
      <c r="E210" s="46"/>
      <c r="F210" s="46"/>
      <c r="G210" s="139" t="s">
        <v>422</v>
      </c>
      <c r="H210" s="141"/>
      <c r="I210" s="3"/>
      <c r="J210" s="3"/>
      <c r="K210" s="3"/>
      <c r="L210" s="3"/>
      <c r="M210" s="3"/>
      <c r="N210" s="3"/>
      <c r="O210" s="3"/>
      <c r="P210" s="3"/>
      <c r="Q210" s="3"/>
    </row>
    <row r="211" ht="15.75" customHeight="1">
      <c r="A211" s="299">
        <v>1.1876E14</v>
      </c>
      <c r="B211" s="21" t="s">
        <v>715</v>
      </c>
      <c r="C211" s="40">
        <v>8.0</v>
      </c>
      <c r="D211" s="43">
        <v>56.0</v>
      </c>
      <c r="E211" s="46"/>
      <c r="F211" s="46"/>
      <c r="G211" s="139" t="s">
        <v>422</v>
      </c>
      <c r="H211" s="141"/>
      <c r="I211" s="3"/>
      <c r="J211" s="3"/>
      <c r="K211" s="3"/>
      <c r="L211" s="3"/>
      <c r="M211" s="3"/>
      <c r="N211" s="3"/>
      <c r="O211" s="3"/>
      <c r="P211" s="3"/>
      <c r="Q211" s="3"/>
    </row>
    <row r="212" ht="15.75" customHeight="1">
      <c r="A212" s="299">
        <v>1.1876E14</v>
      </c>
      <c r="B212" s="21" t="s">
        <v>702</v>
      </c>
      <c r="C212" s="40">
        <v>8.0</v>
      </c>
      <c r="D212" s="43">
        <v>56.0</v>
      </c>
      <c r="E212" s="46"/>
      <c r="F212" s="46"/>
      <c r="G212" s="139" t="s">
        <v>422</v>
      </c>
      <c r="H212" s="141"/>
      <c r="I212" s="3"/>
      <c r="J212" s="3"/>
      <c r="K212" s="3"/>
      <c r="L212" s="3"/>
      <c r="M212" s="3"/>
      <c r="N212" s="3"/>
      <c r="O212" s="3"/>
      <c r="P212" s="3"/>
      <c r="Q212" s="3"/>
    </row>
    <row r="213" ht="15.75" customHeight="1">
      <c r="A213" s="282">
        <v>4.92793119E9</v>
      </c>
      <c r="B213" s="21" t="s">
        <v>701</v>
      </c>
      <c r="C213" s="40">
        <v>8.0</v>
      </c>
      <c r="D213" s="43">
        <v>56.0</v>
      </c>
      <c r="E213" s="46"/>
      <c r="F213" s="46"/>
      <c r="G213" s="139" t="s">
        <v>422</v>
      </c>
      <c r="H213" s="141"/>
      <c r="I213" s="3"/>
      <c r="J213" s="3"/>
      <c r="K213" s="3"/>
      <c r="L213" s="3"/>
      <c r="M213" s="3"/>
      <c r="N213" s="3"/>
      <c r="O213" s="3"/>
      <c r="P213" s="3"/>
      <c r="Q213" s="3"/>
    </row>
    <row r="214" ht="15.75" customHeight="1">
      <c r="A214" s="299">
        <v>1.1876E14</v>
      </c>
      <c r="B214" s="21" t="s">
        <v>700</v>
      </c>
      <c r="C214" s="40">
        <v>8.0</v>
      </c>
      <c r="D214" s="43">
        <v>56.0</v>
      </c>
      <c r="E214" s="46"/>
      <c r="F214" s="46"/>
      <c r="G214" s="139" t="s">
        <v>422</v>
      </c>
      <c r="H214" s="141"/>
      <c r="I214" s="3"/>
      <c r="J214" s="3"/>
      <c r="K214" s="3"/>
      <c r="L214" s="3"/>
      <c r="M214" s="3"/>
      <c r="N214" s="3"/>
      <c r="O214" s="3"/>
      <c r="P214" s="3"/>
      <c r="Q214" s="3"/>
    </row>
    <row r="215" ht="15.75" customHeight="1">
      <c r="A215" s="282">
        <v>3.29037919E9</v>
      </c>
      <c r="B215" s="21" t="s">
        <v>704</v>
      </c>
      <c r="C215" s="40">
        <v>8.0</v>
      </c>
      <c r="D215" s="43">
        <v>56.0</v>
      </c>
      <c r="E215" s="46"/>
      <c r="F215" s="46"/>
      <c r="G215" s="139" t="s">
        <v>422</v>
      </c>
      <c r="H215" s="141"/>
      <c r="I215" s="3"/>
      <c r="J215" s="3"/>
      <c r="K215" s="3"/>
      <c r="L215" s="3"/>
      <c r="M215" s="3"/>
      <c r="N215" s="3"/>
      <c r="O215" s="3"/>
      <c r="P215" s="3"/>
      <c r="Q215" s="3"/>
    </row>
    <row r="216" ht="15.75" customHeight="1">
      <c r="A216" s="219">
        <v>4.61880719E9</v>
      </c>
      <c r="B216" s="54" t="s">
        <v>728</v>
      </c>
      <c r="C216" s="40">
        <v>8.0</v>
      </c>
      <c r="D216" s="43">
        <v>56.0</v>
      </c>
      <c r="E216" s="46"/>
      <c r="F216" s="46"/>
      <c r="G216" s="139" t="s">
        <v>422</v>
      </c>
      <c r="H216" s="141"/>
      <c r="I216" s="3"/>
      <c r="J216" s="3"/>
      <c r="K216" s="3"/>
      <c r="L216" s="3"/>
      <c r="M216" s="3"/>
      <c r="N216" s="3"/>
      <c r="O216" s="3"/>
      <c r="P216" s="3"/>
      <c r="Q216" s="3"/>
    </row>
    <row r="217" ht="15.75" customHeight="1">
      <c r="A217" s="219">
        <v>4.61884019E9</v>
      </c>
      <c r="B217" s="54" t="s">
        <v>729</v>
      </c>
      <c r="C217" s="40">
        <v>4.0</v>
      </c>
      <c r="D217" s="43">
        <v>56.0</v>
      </c>
      <c r="E217" s="46"/>
      <c r="F217" s="46"/>
      <c r="G217" s="139" t="s">
        <v>422</v>
      </c>
      <c r="H217" s="141"/>
      <c r="I217" s="3"/>
      <c r="J217" s="3"/>
      <c r="K217" s="3"/>
      <c r="L217" s="3"/>
      <c r="M217" s="3"/>
      <c r="N217" s="3"/>
      <c r="O217" s="3"/>
      <c r="P217" s="3"/>
      <c r="Q217" s="3"/>
    </row>
    <row r="218" ht="15.75" customHeight="1">
      <c r="A218" s="219">
        <v>4.61882319E9</v>
      </c>
      <c r="B218" s="54" t="s">
        <v>734</v>
      </c>
      <c r="C218" s="40">
        <v>8.0</v>
      </c>
      <c r="D218" s="43">
        <v>56.0</v>
      </c>
      <c r="E218" s="46"/>
      <c r="F218" s="46"/>
      <c r="G218" s="139" t="s">
        <v>422</v>
      </c>
      <c r="H218" s="141"/>
      <c r="I218" s="3"/>
      <c r="J218" s="3"/>
      <c r="K218" s="3"/>
      <c r="L218" s="3"/>
      <c r="M218" s="3"/>
      <c r="N218" s="3"/>
      <c r="O218" s="3"/>
      <c r="P218" s="3"/>
      <c r="Q218" s="3"/>
    </row>
    <row r="219" ht="15.75" customHeight="1">
      <c r="A219" s="219">
        <v>5.80258019E9</v>
      </c>
      <c r="B219" s="54" t="s">
        <v>735</v>
      </c>
      <c r="C219" s="40">
        <v>3.0</v>
      </c>
      <c r="D219" s="43">
        <v>56.0</v>
      </c>
      <c r="E219" s="46"/>
      <c r="F219" s="46"/>
      <c r="G219" s="139" t="s">
        <v>422</v>
      </c>
      <c r="H219" s="141"/>
      <c r="I219" s="3"/>
      <c r="J219" s="3"/>
      <c r="K219" s="3"/>
      <c r="L219" s="3"/>
      <c r="M219" s="3"/>
      <c r="N219" s="3"/>
      <c r="O219" s="3"/>
      <c r="P219" s="3"/>
      <c r="Q219" s="3"/>
    </row>
    <row r="220" ht="15.75" customHeight="1">
      <c r="A220" s="219">
        <v>4.61886619E9</v>
      </c>
      <c r="B220" s="54" t="s">
        <v>736</v>
      </c>
      <c r="C220" s="40">
        <v>8.0</v>
      </c>
      <c r="D220" s="43">
        <v>56.0</v>
      </c>
      <c r="E220" s="46"/>
      <c r="F220" s="46"/>
      <c r="G220" s="139" t="s">
        <v>422</v>
      </c>
      <c r="H220" s="141"/>
      <c r="I220" s="3"/>
      <c r="J220" s="3"/>
      <c r="K220" s="3"/>
      <c r="L220" s="3"/>
      <c r="M220" s="3"/>
      <c r="N220" s="3"/>
      <c r="O220" s="3"/>
      <c r="P220" s="3"/>
      <c r="Q220" s="3"/>
    </row>
    <row r="221" ht="15.75" customHeight="1">
      <c r="A221" s="219">
        <v>4.78460019E9</v>
      </c>
      <c r="B221" s="54" t="s">
        <v>708</v>
      </c>
      <c r="C221" s="40">
        <v>8.0</v>
      </c>
      <c r="D221" s="43">
        <v>56.0</v>
      </c>
      <c r="E221" s="46"/>
      <c r="F221" s="46"/>
      <c r="G221" s="139" t="s">
        <v>422</v>
      </c>
      <c r="H221" s="141"/>
      <c r="I221" s="3"/>
      <c r="J221" s="3"/>
      <c r="K221" s="3"/>
      <c r="L221" s="3"/>
      <c r="M221" s="3"/>
      <c r="N221" s="3"/>
      <c r="O221" s="3"/>
      <c r="P221" s="3"/>
      <c r="Q221" s="3"/>
    </row>
    <row r="222" ht="15.75" customHeight="1">
      <c r="A222" s="219">
        <v>5.94232219E9</v>
      </c>
      <c r="B222" s="54" t="s">
        <v>689</v>
      </c>
      <c r="C222" s="40">
        <v>3.0</v>
      </c>
      <c r="D222" s="43">
        <v>84.0</v>
      </c>
      <c r="E222" s="46"/>
      <c r="F222" s="46"/>
      <c r="G222" s="139" t="s">
        <v>419</v>
      </c>
      <c r="H222" s="141"/>
      <c r="I222" s="3"/>
      <c r="J222" s="3"/>
      <c r="K222" s="3"/>
      <c r="L222" s="3"/>
      <c r="M222" s="3"/>
      <c r="N222" s="3"/>
      <c r="O222" s="3"/>
      <c r="P222" s="3"/>
      <c r="Q222" s="3"/>
    </row>
    <row r="223" ht="15.75" customHeight="1">
      <c r="A223" s="219">
        <v>4.78462619E9</v>
      </c>
      <c r="B223" s="54" t="s">
        <v>709</v>
      </c>
      <c r="C223" s="40">
        <v>8.0</v>
      </c>
      <c r="D223" s="43">
        <v>56.0</v>
      </c>
      <c r="E223" s="46"/>
      <c r="F223" s="46"/>
      <c r="G223" s="139" t="s">
        <v>422</v>
      </c>
      <c r="H223" s="141"/>
      <c r="I223" s="3"/>
      <c r="J223" s="3"/>
      <c r="K223" s="3"/>
      <c r="L223" s="3"/>
      <c r="M223" s="3"/>
      <c r="N223" s="3"/>
      <c r="O223" s="3"/>
      <c r="P223" s="3"/>
      <c r="Q223" s="3"/>
    </row>
    <row r="224" ht="15.75" customHeight="1">
      <c r="A224" s="219">
        <v>5.57220719E9</v>
      </c>
      <c r="B224" s="54" t="s">
        <v>720</v>
      </c>
      <c r="C224" s="40">
        <v>2.0</v>
      </c>
      <c r="D224" s="43">
        <v>28.0</v>
      </c>
      <c r="E224" s="46"/>
      <c r="F224" s="46"/>
      <c r="G224" s="139" t="s">
        <v>431</v>
      </c>
      <c r="H224" s="141"/>
      <c r="I224" s="3"/>
      <c r="J224" s="3"/>
      <c r="K224" s="3"/>
      <c r="L224" s="3"/>
      <c r="M224" s="3"/>
      <c r="N224" s="3"/>
      <c r="O224" s="3"/>
      <c r="P224" s="3"/>
      <c r="Q224" s="3"/>
    </row>
    <row r="225" ht="15.75" customHeight="1">
      <c r="A225" s="219">
        <v>8.35542819E9</v>
      </c>
      <c r="B225" s="54" t="s">
        <v>712</v>
      </c>
      <c r="C225" s="40">
        <v>2.0</v>
      </c>
      <c r="D225" s="43">
        <v>112.0</v>
      </c>
      <c r="E225" s="46"/>
      <c r="F225" s="46"/>
      <c r="G225" s="139" t="s">
        <v>625</v>
      </c>
      <c r="H225" s="141"/>
      <c r="I225" s="3"/>
      <c r="J225" s="3"/>
      <c r="K225" s="3"/>
      <c r="L225" s="3"/>
      <c r="M225" s="3"/>
      <c r="N225" s="3"/>
      <c r="O225" s="3"/>
      <c r="P225" s="3"/>
      <c r="Q225" s="3"/>
    </row>
    <row r="226" ht="15.75" customHeight="1">
      <c r="A226" s="219">
        <v>8.35543619E9</v>
      </c>
      <c r="B226" s="54" t="s">
        <v>710</v>
      </c>
      <c r="C226" s="40">
        <v>4.0</v>
      </c>
      <c r="D226" s="43">
        <v>112.0</v>
      </c>
      <c r="E226" s="46"/>
      <c r="F226" s="46"/>
      <c r="G226" s="139" t="s">
        <v>625</v>
      </c>
      <c r="H226" s="141"/>
      <c r="I226" s="3"/>
      <c r="J226" s="3"/>
      <c r="K226" s="3"/>
      <c r="L226" s="3"/>
      <c r="M226" s="3"/>
      <c r="N226" s="3"/>
      <c r="O226" s="3"/>
      <c r="P226" s="3"/>
      <c r="Q226" s="3"/>
    </row>
    <row r="227" ht="15.75" customHeight="1">
      <c r="A227" s="219">
        <v>7.10813319E9</v>
      </c>
      <c r="B227" s="54" t="s">
        <v>721</v>
      </c>
      <c r="C227" s="40">
        <v>2.0</v>
      </c>
      <c r="D227" s="43">
        <v>84.0</v>
      </c>
      <c r="E227" s="46"/>
      <c r="F227" s="46"/>
      <c r="G227" s="139" t="s">
        <v>419</v>
      </c>
      <c r="H227" s="141"/>
      <c r="I227" s="3"/>
      <c r="J227" s="3"/>
      <c r="K227" s="3"/>
      <c r="L227" s="3"/>
      <c r="M227" s="3"/>
      <c r="N227" s="3"/>
      <c r="O227" s="3"/>
      <c r="P227" s="3"/>
      <c r="Q227" s="3"/>
    </row>
    <row r="228" ht="15.75" customHeight="1">
      <c r="A228" s="219">
        <v>6.92336419E9</v>
      </c>
      <c r="B228" s="54" t="s">
        <v>732</v>
      </c>
      <c r="C228" s="40">
        <v>2.0</v>
      </c>
      <c r="D228" s="43">
        <v>168.0</v>
      </c>
      <c r="E228" s="46"/>
      <c r="F228" s="46"/>
      <c r="G228" s="139" t="s">
        <v>620</v>
      </c>
      <c r="H228" s="141"/>
      <c r="I228" s="3"/>
      <c r="J228" s="3"/>
      <c r="K228" s="3"/>
      <c r="L228" s="3"/>
      <c r="M228" s="3"/>
      <c r="N228" s="3"/>
      <c r="O228" s="3"/>
      <c r="P228" s="3"/>
      <c r="Q228" s="3"/>
    </row>
    <row r="229" ht="15.75" customHeight="1">
      <c r="A229" s="219">
        <v>7.09257119E9</v>
      </c>
      <c r="B229" s="54" t="s">
        <v>707</v>
      </c>
      <c r="C229" s="40">
        <v>8.0</v>
      </c>
      <c r="D229" s="43">
        <v>28.0</v>
      </c>
      <c r="E229" s="46"/>
      <c r="F229" s="46"/>
      <c r="G229" s="139" t="s">
        <v>431</v>
      </c>
      <c r="H229" s="141"/>
      <c r="I229" s="3"/>
      <c r="J229" s="3"/>
      <c r="K229" s="3"/>
      <c r="L229" s="3"/>
      <c r="M229" s="3"/>
      <c r="N229" s="3"/>
      <c r="O229" s="3"/>
      <c r="P229" s="3"/>
      <c r="Q229" s="3"/>
    </row>
    <row r="230" ht="15.75" customHeight="1">
      <c r="A230" s="219">
        <v>9.21692819E9</v>
      </c>
      <c r="B230" s="54" t="s">
        <v>705</v>
      </c>
      <c r="C230" s="40">
        <v>2.0</v>
      </c>
      <c r="D230" s="43">
        <v>28.0</v>
      </c>
      <c r="E230" s="46"/>
      <c r="F230" s="46"/>
      <c r="G230" s="139" t="s">
        <v>431</v>
      </c>
      <c r="H230" s="141"/>
      <c r="I230" s="3"/>
      <c r="J230" s="3"/>
      <c r="K230" s="3"/>
      <c r="L230" s="3"/>
      <c r="M230" s="3"/>
      <c r="N230" s="3"/>
      <c r="O230" s="3"/>
      <c r="P230" s="3"/>
      <c r="Q230" s="3"/>
    </row>
    <row r="231" ht="15.75" customHeight="1">
      <c r="A231" s="219">
        <v>9.28931319E9</v>
      </c>
      <c r="B231" s="54" t="s">
        <v>705</v>
      </c>
      <c r="C231" s="40">
        <v>2.0</v>
      </c>
      <c r="D231" s="43">
        <v>84.0</v>
      </c>
      <c r="E231" s="46"/>
      <c r="F231" s="46"/>
      <c r="G231" s="139" t="s">
        <v>419</v>
      </c>
      <c r="H231" s="141"/>
      <c r="I231" s="3"/>
      <c r="J231" s="3"/>
      <c r="K231" s="3"/>
      <c r="L231" s="3"/>
      <c r="M231" s="3"/>
      <c r="N231" s="3"/>
      <c r="O231" s="3"/>
      <c r="P231" s="3"/>
      <c r="Q231" s="3"/>
    </row>
    <row r="232" ht="15.75" customHeight="1">
      <c r="A232" s="219">
        <v>9.34530219E9</v>
      </c>
      <c r="B232" s="54" t="s">
        <v>730</v>
      </c>
      <c r="C232" s="40">
        <v>3.0</v>
      </c>
      <c r="D232" s="43">
        <v>21.0</v>
      </c>
      <c r="E232" s="46"/>
      <c r="F232" s="46"/>
      <c r="G232" s="139" t="s">
        <v>456</v>
      </c>
      <c r="H232" s="141"/>
      <c r="I232" s="3"/>
      <c r="J232" s="3"/>
      <c r="K232" s="3"/>
      <c r="L232" s="3"/>
      <c r="M232" s="3"/>
      <c r="N232" s="3"/>
      <c r="O232" s="3"/>
      <c r="P232" s="3"/>
      <c r="Q232" s="3"/>
    </row>
    <row r="233" ht="15.75" customHeight="1">
      <c r="A233" s="219">
        <v>5.88908119E9</v>
      </c>
      <c r="B233" s="54" t="s">
        <v>722</v>
      </c>
      <c r="C233" s="40">
        <v>1.0</v>
      </c>
      <c r="D233" s="43">
        <v>28.0</v>
      </c>
      <c r="E233" s="46"/>
      <c r="F233" s="46"/>
      <c r="G233" s="139" t="s">
        <v>431</v>
      </c>
      <c r="H233" s="141"/>
      <c r="I233" s="3"/>
      <c r="J233" s="3"/>
      <c r="K233" s="3"/>
      <c r="L233" s="3"/>
      <c r="M233" s="3"/>
      <c r="N233" s="3"/>
      <c r="O233" s="3"/>
      <c r="P233" s="3"/>
      <c r="Q233" s="3"/>
    </row>
    <row r="234" ht="15.75" customHeight="1">
      <c r="A234" s="219">
        <v>7.29413119E9</v>
      </c>
      <c r="B234" s="54" t="s">
        <v>713</v>
      </c>
      <c r="C234" s="40">
        <v>1.0</v>
      </c>
      <c r="D234" s="43">
        <v>28.0</v>
      </c>
      <c r="E234" s="46"/>
      <c r="F234" s="46"/>
      <c r="G234" s="139" t="s">
        <v>431</v>
      </c>
      <c r="H234" s="141"/>
      <c r="I234" s="3"/>
      <c r="J234" s="3"/>
      <c r="K234" s="3"/>
      <c r="L234" s="3"/>
      <c r="M234" s="3"/>
      <c r="N234" s="3"/>
      <c r="O234" s="3"/>
      <c r="P234" s="3"/>
      <c r="Q234" s="3"/>
    </row>
    <row r="235" ht="15.75" customHeight="1">
      <c r="A235" s="292" t="s">
        <v>267</v>
      </c>
      <c r="B235" s="293"/>
      <c r="C235" s="218" t="s">
        <v>371</v>
      </c>
      <c r="D235" s="277" t="s">
        <v>167</v>
      </c>
      <c r="E235" s="294"/>
      <c r="F235" s="292" t="s">
        <v>169</v>
      </c>
      <c r="G235" s="295" t="s">
        <v>170</v>
      </c>
      <c r="H235" s="295" t="s">
        <v>171</v>
      </c>
      <c r="I235" s="3"/>
      <c r="J235" s="3"/>
      <c r="K235" s="3"/>
      <c r="L235" s="3"/>
      <c r="M235" s="3"/>
      <c r="N235" s="3"/>
      <c r="O235" s="3"/>
      <c r="P235" s="3"/>
      <c r="Q235" s="3"/>
    </row>
    <row r="236" ht="15.75" customHeight="1">
      <c r="A236" s="219">
        <v>5.694302001E9</v>
      </c>
      <c r="B236" s="50" t="s">
        <v>1139</v>
      </c>
      <c r="C236" s="43">
        <v>1.0</v>
      </c>
      <c r="D236" s="43">
        <v>365.0</v>
      </c>
      <c r="E236" s="46"/>
      <c r="F236" s="46"/>
      <c r="G236" s="139" t="s">
        <v>743</v>
      </c>
      <c r="H236" s="139" t="s">
        <v>743</v>
      </c>
      <c r="I236" s="3"/>
      <c r="J236" s="3"/>
      <c r="K236" s="3"/>
      <c r="L236" s="3"/>
      <c r="M236" s="3"/>
      <c r="N236" s="3"/>
      <c r="O236" s="3"/>
      <c r="P236" s="3"/>
      <c r="Q236" s="3"/>
    </row>
    <row r="237" ht="15.75" customHeight="1">
      <c r="A237" s="219">
        <v>7.29901019E9</v>
      </c>
      <c r="B237" s="50" t="s">
        <v>1140</v>
      </c>
      <c r="C237" s="40">
        <v>1.0</v>
      </c>
      <c r="D237" s="43">
        <v>112.0</v>
      </c>
      <c r="E237" s="46"/>
      <c r="F237" s="46"/>
      <c r="G237" s="139" t="s">
        <v>625</v>
      </c>
      <c r="H237" s="139" t="s">
        <v>625</v>
      </c>
      <c r="I237" s="3"/>
      <c r="J237" s="3"/>
      <c r="K237" s="3"/>
      <c r="L237" s="3"/>
      <c r="M237" s="3"/>
      <c r="N237" s="3"/>
      <c r="O237" s="3"/>
      <c r="P237" s="3"/>
      <c r="Q237" s="3"/>
    </row>
    <row r="238" ht="15.75" customHeight="1">
      <c r="A238" s="219">
        <v>7.29900119E9</v>
      </c>
      <c r="B238" s="50" t="s">
        <v>1141</v>
      </c>
      <c r="C238" s="40">
        <v>1.0</v>
      </c>
      <c r="D238" s="43">
        <v>112.0</v>
      </c>
      <c r="E238" s="46"/>
      <c r="F238" s="46"/>
      <c r="G238" s="139" t="s">
        <v>625</v>
      </c>
      <c r="H238" s="139" t="s">
        <v>625</v>
      </c>
      <c r="I238" s="3"/>
      <c r="J238" s="3"/>
      <c r="K238" s="3"/>
      <c r="L238" s="3"/>
      <c r="M238" s="3"/>
      <c r="N238" s="3"/>
      <c r="O238" s="3"/>
      <c r="P238" s="3"/>
      <c r="Q238" s="3"/>
    </row>
    <row r="239" ht="15.75" customHeight="1">
      <c r="A239" s="282">
        <v>9.76258219E9</v>
      </c>
      <c r="B239" s="50" t="s">
        <v>1142</v>
      </c>
      <c r="C239" s="40">
        <v>1.0</v>
      </c>
      <c r="D239" s="43">
        <v>28.0</v>
      </c>
      <c r="E239" s="46"/>
      <c r="F239" s="46"/>
      <c r="G239" s="139" t="s">
        <v>431</v>
      </c>
      <c r="H239" s="139" t="s">
        <v>431</v>
      </c>
      <c r="I239" s="3"/>
      <c r="J239" s="3"/>
      <c r="K239" s="3"/>
      <c r="L239" s="3"/>
      <c r="M239" s="3"/>
      <c r="N239" s="3"/>
      <c r="O239" s="3"/>
      <c r="P239" s="3"/>
      <c r="Q239" s="3"/>
    </row>
    <row r="240" ht="15.75" customHeight="1">
      <c r="A240" s="219">
        <v>6.90885319E9</v>
      </c>
      <c r="B240" s="50" t="s">
        <v>1143</v>
      </c>
      <c r="C240" s="40">
        <v>2.0</v>
      </c>
      <c r="D240" s="43">
        <v>28.0</v>
      </c>
      <c r="E240" s="46"/>
      <c r="F240" s="46"/>
      <c r="G240" s="139" t="s">
        <v>431</v>
      </c>
      <c r="H240" s="139" t="s">
        <v>431</v>
      </c>
      <c r="I240" s="3"/>
      <c r="J240" s="3"/>
      <c r="K240" s="3"/>
      <c r="L240" s="3"/>
      <c r="M240" s="3"/>
      <c r="N240" s="3"/>
      <c r="O240" s="3"/>
      <c r="P240" s="3"/>
      <c r="Q240" s="3"/>
    </row>
    <row r="241" ht="15.75" customHeight="1">
      <c r="A241" s="219">
        <v>6.90885319E9</v>
      </c>
      <c r="B241" s="50" t="s">
        <v>1144</v>
      </c>
      <c r="C241" s="40">
        <v>2.0</v>
      </c>
      <c r="D241" s="43">
        <v>28.0</v>
      </c>
      <c r="E241" s="46"/>
      <c r="F241" s="46"/>
      <c r="G241" s="139" t="s">
        <v>431</v>
      </c>
      <c r="H241" s="139" t="s">
        <v>431</v>
      </c>
      <c r="I241" s="3"/>
      <c r="J241" s="3"/>
      <c r="K241" s="3"/>
      <c r="L241" s="3"/>
      <c r="M241" s="3"/>
      <c r="N241" s="3"/>
      <c r="O241" s="3"/>
      <c r="P241" s="3"/>
      <c r="Q241" s="3"/>
    </row>
    <row r="242" ht="15.75" customHeight="1">
      <c r="A242" s="219">
        <v>4.88029319E9</v>
      </c>
      <c r="B242" s="50" t="s">
        <v>1145</v>
      </c>
      <c r="C242" s="40">
        <v>2.0</v>
      </c>
      <c r="D242" s="43">
        <v>21.0</v>
      </c>
      <c r="E242" s="46"/>
      <c r="F242" s="46"/>
      <c r="G242" s="139" t="s">
        <v>456</v>
      </c>
      <c r="H242" s="139" t="s">
        <v>456</v>
      </c>
      <c r="I242" s="3"/>
      <c r="J242" s="3"/>
      <c r="K242" s="3"/>
      <c r="L242" s="3"/>
      <c r="M242" s="3"/>
      <c r="N242" s="3"/>
      <c r="O242" s="3"/>
      <c r="P242" s="3"/>
      <c r="Q242" s="3"/>
    </row>
    <row r="243" ht="15.75" customHeight="1">
      <c r="A243" s="219">
        <v>4.88029319E9</v>
      </c>
      <c r="B243" s="50" t="s">
        <v>1146</v>
      </c>
      <c r="C243" s="40">
        <v>2.0</v>
      </c>
      <c r="D243" s="43">
        <v>21.0</v>
      </c>
      <c r="E243" s="46"/>
      <c r="F243" s="46"/>
      <c r="G243" s="139" t="s">
        <v>456</v>
      </c>
      <c r="H243" s="139" t="s">
        <v>456</v>
      </c>
      <c r="I243" s="3"/>
      <c r="J243" s="3"/>
      <c r="K243" s="3"/>
      <c r="L243" s="3"/>
      <c r="M243" s="3"/>
      <c r="N243" s="3"/>
      <c r="O243" s="3"/>
      <c r="P243" s="3"/>
      <c r="Q243" s="3"/>
    </row>
    <row r="244" ht="15.75" customHeight="1">
      <c r="A244" s="219">
        <v>6.90879919E9</v>
      </c>
      <c r="B244" s="50" t="s">
        <v>1147</v>
      </c>
      <c r="C244" s="40">
        <v>2.0</v>
      </c>
      <c r="D244" s="43">
        <v>21.0</v>
      </c>
      <c r="E244" s="46"/>
      <c r="F244" s="46"/>
      <c r="G244" s="139" t="s">
        <v>456</v>
      </c>
      <c r="H244" s="139" t="s">
        <v>456</v>
      </c>
      <c r="I244" s="3"/>
      <c r="J244" s="3"/>
      <c r="K244" s="3"/>
      <c r="L244" s="3"/>
      <c r="M244" s="3"/>
      <c r="N244" s="3"/>
      <c r="O244" s="3"/>
      <c r="P244" s="3"/>
      <c r="Q244" s="3"/>
    </row>
    <row r="245" ht="15.75" customHeight="1">
      <c r="A245" s="219">
        <v>6.90879919E9</v>
      </c>
      <c r="B245" s="50" t="s">
        <v>1148</v>
      </c>
      <c r="C245" s="40">
        <v>2.0</v>
      </c>
      <c r="D245" s="43">
        <v>21.0</v>
      </c>
      <c r="E245" s="46"/>
      <c r="F245" s="46"/>
      <c r="G245" s="139" t="s">
        <v>456</v>
      </c>
      <c r="H245" s="139" t="s">
        <v>456</v>
      </c>
      <c r="I245" s="3"/>
      <c r="J245" s="3"/>
      <c r="K245" s="3"/>
      <c r="L245" s="3"/>
      <c r="M245" s="3"/>
      <c r="N245" s="3"/>
      <c r="O245" s="3"/>
      <c r="P245" s="3"/>
      <c r="Q245" s="3"/>
    </row>
    <row r="246" ht="15.75" customHeight="1">
      <c r="A246" s="219">
        <v>7.37306619E9</v>
      </c>
      <c r="B246" s="50" t="s">
        <v>1149</v>
      </c>
      <c r="C246" s="40">
        <v>1.0</v>
      </c>
      <c r="D246" s="43">
        <v>112.0</v>
      </c>
      <c r="E246" s="46"/>
      <c r="F246" s="46"/>
      <c r="G246" s="139" t="s">
        <v>625</v>
      </c>
      <c r="H246" s="139" t="s">
        <v>625</v>
      </c>
      <c r="I246" s="3"/>
      <c r="J246" s="3"/>
      <c r="K246" s="3"/>
      <c r="L246" s="3"/>
      <c r="M246" s="3"/>
      <c r="N246" s="3"/>
      <c r="O246" s="3"/>
      <c r="P246" s="3"/>
      <c r="Q246" s="3"/>
    </row>
    <row r="247" ht="15.75" customHeight="1">
      <c r="A247" s="219">
        <v>7.37299019E9</v>
      </c>
      <c r="B247" s="50" t="s">
        <v>1150</v>
      </c>
      <c r="C247" s="40">
        <v>1.0</v>
      </c>
      <c r="D247" s="43">
        <v>112.0</v>
      </c>
      <c r="E247" s="46"/>
      <c r="F247" s="46"/>
      <c r="G247" s="139" t="s">
        <v>625</v>
      </c>
      <c r="H247" s="139" t="s">
        <v>625</v>
      </c>
      <c r="I247" s="3"/>
      <c r="J247" s="3"/>
      <c r="K247" s="3"/>
      <c r="L247" s="3"/>
      <c r="M247" s="3"/>
      <c r="N247" s="3"/>
      <c r="O247" s="3"/>
      <c r="P247" s="3"/>
      <c r="Q247" s="3"/>
    </row>
    <row r="248" ht="15.75" customHeight="1">
      <c r="A248" s="219">
        <v>5.11850619E9</v>
      </c>
      <c r="B248" s="50" t="s">
        <v>1151</v>
      </c>
      <c r="C248" s="40">
        <v>2.0</v>
      </c>
      <c r="D248" s="43">
        <v>5.0</v>
      </c>
      <c r="E248" s="46"/>
      <c r="F248" s="46"/>
      <c r="G248" s="139" t="s">
        <v>1152</v>
      </c>
      <c r="H248" s="139" t="s">
        <v>1152</v>
      </c>
      <c r="I248" s="3"/>
      <c r="J248" s="3"/>
      <c r="K248" s="3"/>
      <c r="L248" s="3"/>
      <c r="M248" s="3"/>
      <c r="N248" s="3"/>
      <c r="O248" s="3"/>
      <c r="P248" s="3"/>
      <c r="Q248" s="3"/>
    </row>
    <row r="249" ht="15.75" customHeight="1">
      <c r="A249" s="219">
        <v>4.444191001E9</v>
      </c>
      <c r="B249" s="50" t="s">
        <v>745</v>
      </c>
      <c r="C249" s="43">
        <v>1.0</v>
      </c>
      <c r="D249" s="43">
        <v>365.0</v>
      </c>
      <c r="E249" s="46"/>
      <c r="F249" s="46"/>
      <c r="G249" s="139" t="s">
        <v>743</v>
      </c>
      <c r="H249" s="139" t="s">
        <v>743</v>
      </c>
      <c r="I249" s="3"/>
      <c r="J249" s="3"/>
      <c r="K249" s="3"/>
      <c r="L249" s="3"/>
      <c r="M249" s="3"/>
      <c r="N249" s="3"/>
      <c r="O249" s="3"/>
      <c r="P249" s="3"/>
      <c r="Q249" s="3"/>
    </row>
    <row r="250" ht="15.75" customHeight="1">
      <c r="A250" s="297">
        <v>1.0394E14</v>
      </c>
      <c r="B250" s="50" t="s">
        <v>1153</v>
      </c>
      <c r="C250" s="43">
        <v>20.0</v>
      </c>
      <c r="D250" s="43">
        <v>365.0</v>
      </c>
      <c r="E250" s="46"/>
      <c r="F250" s="46"/>
      <c r="G250" s="139" t="s">
        <v>743</v>
      </c>
      <c r="H250" s="139" t="s">
        <v>743</v>
      </c>
      <c r="I250" s="3"/>
      <c r="J250" s="3"/>
      <c r="K250" s="3"/>
      <c r="L250" s="3"/>
      <c r="M250" s="3"/>
      <c r="N250" s="3"/>
      <c r="O250" s="3"/>
      <c r="P250" s="3"/>
      <c r="Q250" s="3"/>
    </row>
    <row r="251" ht="15.75" customHeight="1">
      <c r="A251" s="219">
        <v>3.142949122E9</v>
      </c>
      <c r="B251" s="54" t="s">
        <v>1154</v>
      </c>
      <c r="C251" s="40">
        <v>365.0</v>
      </c>
      <c r="D251" s="43">
        <v>1.0</v>
      </c>
      <c r="E251" s="46"/>
      <c r="F251" s="46"/>
      <c r="G251" s="139" t="s">
        <v>1087</v>
      </c>
      <c r="H251" s="139" t="s">
        <v>1087</v>
      </c>
      <c r="I251" s="3"/>
      <c r="J251" s="3"/>
      <c r="K251" s="3"/>
      <c r="L251" s="3"/>
      <c r="M251" s="3"/>
      <c r="N251" s="3"/>
      <c r="O251" s="3"/>
      <c r="P251" s="3"/>
      <c r="Q251" s="3"/>
    </row>
    <row r="252" ht="15.75" customHeight="1">
      <c r="A252" s="219">
        <v>5.88907319E9</v>
      </c>
      <c r="B252" s="54" t="s">
        <v>1155</v>
      </c>
      <c r="C252" s="40">
        <v>100.0</v>
      </c>
      <c r="D252" s="43">
        <v>84.0</v>
      </c>
      <c r="E252" s="46"/>
      <c r="F252" s="46"/>
      <c r="G252" s="139" t="s">
        <v>419</v>
      </c>
      <c r="H252" s="139" t="s">
        <v>419</v>
      </c>
      <c r="I252" s="3"/>
      <c r="J252" s="3"/>
      <c r="K252" s="3"/>
      <c r="L252" s="3"/>
      <c r="M252" s="3"/>
      <c r="N252" s="3"/>
      <c r="O252" s="3"/>
      <c r="P252" s="3"/>
      <c r="Q252" s="3"/>
    </row>
    <row r="253" ht="15.75" customHeight="1">
      <c r="A253" s="219">
        <v>5.94431719E9</v>
      </c>
      <c r="B253" s="54" t="s">
        <v>1156</v>
      </c>
      <c r="C253" s="40">
        <v>4.0</v>
      </c>
      <c r="D253" s="43">
        <v>14.0</v>
      </c>
      <c r="E253" s="46"/>
      <c r="F253" s="46"/>
      <c r="G253" s="139" t="s">
        <v>604</v>
      </c>
      <c r="H253" s="139" t="s">
        <v>604</v>
      </c>
      <c r="I253" s="3"/>
      <c r="J253" s="3"/>
      <c r="K253" s="3"/>
      <c r="L253" s="3"/>
      <c r="M253" s="3"/>
      <c r="N253" s="3"/>
      <c r="O253" s="3"/>
      <c r="P253" s="3"/>
      <c r="Q253" s="3"/>
    </row>
    <row r="254" ht="15.75" customHeight="1">
      <c r="A254" s="219">
        <v>9.37006419E9</v>
      </c>
      <c r="B254" s="54" t="s">
        <v>1157</v>
      </c>
      <c r="C254" s="40">
        <v>1.0</v>
      </c>
      <c r="D254" s="43">
        <v>28.0</v>
      </c>
      <c r="E254" s="46"/>
      <c r="F254" s="46"/>
      <c r="G254" s="139" t="s">
        <v>431</v>
      </c>
      <c r="H254" s="139" t="s">
        <v>431</v>
      </c>
      <c r="I254" s="3"/>
      <c r="J254" s="3"/>
      <c r="K254" s="3"/>
      <c r="L254" s="3"/>
      <c r="M254" s="3"/>
      <c r="N254" s="3"/>
      <c r="O254" s="3"/>
      <c r="P254" s="3"/>
      <c r="Q254" s="3"/>
    </row>
    <row r="255" ht="15.75" customHeight="1">
      <c r="A255" s="219">
        <v>9.37009919E9</v>
      </c>
      <c r="B255" s="54" t="s">
        <v>1158</v>
      </c>
      <c r="C255" s="40">
        <v>1.0</v>
      </c>
      <c r="D255" s="43">
        <v>28.0</v>
      </c>
      <c r="E255" s="46"/>
      <c r="F255" s="46"/>
      <c r="G255" s="139" t="s">
        <v>431</v>
      </c>
      <c r="H255" s="139" t="s">
        <v>431</v>
      </c>
      <c r="I255" s="3"/>
      <c r="J255" s="3"/>
      <c r="K255" s="3"/>
      <c r="L255" s="3"/>
      <c r="M255" s="3"/>
      <c r="N255" s="3"/>
      <c r="O255" s="3"/>
      <c r="P255" s="3"/>
      <c r="Q255" s="3"/>
    </row>
    <row r="256" ht="15.75" customHeight="1">
      <c r="A256" s="219">
        <v>9.12712719E9</v>
      </c>
      <c r="B256" s="54" t="s">
        <v>1159</v>
      </c>
      <c r="C256" s="40">
        <v>2.0</v>
      </c>
      <c r="D256" s="43">
        <v>56.0</v>
      </c>
      <c r="E256" s="46"/>
      <c r="F256" s="46"/>
      <c r="G256" s="139" t="s">
        <v>422</v>
      </c>
      <c r="H256" s="139" t="s">
        <v>422</v>
      </c>
      <c r="I256" s="3"/>
      <c r="J256" s="3"/>
      <c r="K256" s="3"/>
      <c r="L256" s="3"/>
      <c r="M256" s="3"/>
      <c r="N256" s="3"/>
      <c r="O256" s="3"/>
      <c r="P256" s="3"/>
      <c r="Q256" s="3"/>
    </row>
    <row r="257" ht="15.75" customHeight="1">
      <c r="A257" s="219">
        <v>5.870020001E9</v>
      </c>
      <c r="B257" s="50" t="s">
        <v>938</v>
      </c>
      <c r="C257" s="43">
        <v>1.0</v>
      </c>
      <c r="D257" s="43">
        <v>365.0</v>
      </c>
      <c r="E257" s="46"/>
      <c r="F257" s="46"/>
      <c r="G257" s="139" t="s">
        <v>743</v>
      </c>
      <c r="H257" s="139" t="s">
        <v>743</v>
      </c>
      <c r="I257" s="3"/>
      <c r="J257" s="3"/>
      <c r="K257" s="3"/>
      <c r="L257" s="3"/>
      <c r="M257" s="3"/>
      <c r="N257" s="3"/>
      <c r="O257" s="3"/>
      <c r="P257" s="3"/>
      <c r="Q257" s="3"/>
    </row>
    <row r="258" ht="15.75" customHeight="1">
      <c r="A258" s="219">
        <v>4.419987001E9</v>
      </c>
      <c r="B258" s="50" t="s">
        <v>940</v>
      </c>
      <c r="C258" s="43">
        <v>1.0</v>
      </c>
      <c r="D258" s="43">
        <v>365.0</v>
      </c>
      <c r="E258" s="46"/>
      <c r="F258" s="46"/>
      <c r="G258" s="139" t="s">
        <v>743</v>
      </c>
      <c r="H258" s="139" t="s">
        <v>743</v>
      </c>
      <c r="I258" s="3"/>
      <c r="J258" s="3"/>
      <c r="K258" s="3"/>
      <c r="L258" s="3"/>
      <c r="M258" s="3"/>
      <c r="N258" s="3"/>
      <c r="O258" s="3"/>
      <c r="P258" s="3"/>
      <c r="Q258" s="3"/>
    </row>
    <row r="259" ht="15.75" customHeight="1">
      <c r="A259" s="219">
        <v>7.485409001E9</v>
      </c>
      <c r="B259" s="50" t="s">
        <v>1160</v>
      </c>
      <c r="C259" s="43">
        <v>1.0</v>
      </c>
      <c r="D259" s="43">
        <v>365.0</v>
      </c>
      <c r="E259" s="46"/>
      <c r="F259" s="46"/>
      <c r="G259" s="139" t="s">
        <v>743</v>
      </c>
      <c r="H259" s="139" t="s">
        <v>743</v>
      </c>
      <c r="I259" s="3"/>
      <c r="J259" s="3"/>
      <c r="K259" s="3"/>
      <c r="L259" s="3"/>
      <c r="M259" s="3"/>
      <c r="N259" s="3"/>
      <c r="O259" s="3"/>
      <c r="P259" s="3"/>
      <c r="Q259" s="3"/>
    </row>
    <row r="260" ht="15.75" customHeight="1">
      <c r="A260" s="219">
        <v>7.485433001E9</v>
      </c>
      <c r="B260" s="50" t="s">
        <v>1161</v>
      </c>
      <c r="C260" s="43">
        <v>1.0</v>
      </c>
      <c r="D260" s="43">
        <v>365.0</v>
      </c>
      <c r="E260" s="46"/>
      <c r="F260" s="46"/>
      <c r="G260" s="139" t="s">
        <v>743</v>
      </c>
      <c r="H260" s="139" t="s">
        <v>743</v>
      </c>
      <c r="I260" s="3"/>
      <c r="J260" s="3"/>
      <c r="K260" s="3"/>
      <c r="L260" s="3"/>
      <c r="M260" s="3"/>
      <c r="N260" s="3"/>
      <c r="O260" s="3"/>
      <c r="P260" s="3"/>
      <c r="Q260" s="3"/>
    </row>
    <row r="261" ht="15.75" customHeight="1">
      <c r="A261" s="297">
        <v>1.1299E14</v>
      </c>
      <c r="B261" s="50" t="s">
        <v>749</v>
      </c>
      <c r="C261" s="43">
        <v>5.0</v>
      </c>
      <c r="D261" s="43">
        <v>73.0</v>
      </c>
      <c r="E261" s="46"/>
      <c r="F261" s="46"/>
      <c r="G261" s="139" t="s">
        <v>1162</v>
      </c>
      <c r="H261" s="139" t="s">
        <v>1162</v>
      </c>
      <c r="I261" s="3"/>
      <c r="J261" s="3"/>
      <c r="K261" s="3"/>
      <c r="L261" s="3"/>
      <c r="M261" s="3"/>
      <c r="N261" s="3"/>
      <c r="O261" s="3"/>
      <c r="P261" s="3"/>
      <c r="Q261" s="3"/>
    </row>
    <row r="262" ht="15.75" customHeight="1">
      <c r="A262" s="3"/>
      <c r="B262" s="3"/>
      <c r="C262" s="300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</row>
    <row r="263" ht="15.75" customHeight="1">
      <c r="A263" s="3"/>
      <c r="B263" s="3"/>
      <c r="C263" s="300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</row>
    <row r="264" ht="15.75" customHeight="1">
      <c r="A264" s="3"/>
      <c r="B264" s="3"/>
      <c r="C264" s="300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</row>
    <row r="265" ht="15.75" customHeight="1">
      <c r="A265" s="3"/>
      <c r="B265" s="3"/>
      <c r="C265" s="300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</row>
    <row r="266" ht="15.75" customHeight="1">
      <c r="A266" s="3"/>
      <c r="B266" s="3"/>
      <c r="C266" s="300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</row>
    <row r="267" ht="15.75" customHeight="1">
      <c r="A267" s="3"/>
      <c r="B267" s="3"/>
      <c r="C267" s="300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</row>
    <row r="268" ht="15.75" customHeight="1">
      <c r="A268" s="3"/>
      <c r="B268" s="3"/>
      <c r="C268" s="300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</row>
    <row r="269" ht="15.75" customHeight="1">
      <c r="A269" s="3"/>
      <c r="B269" s="3"/>
      <c r="C269" s="300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</row>
    <row r="270" ht="15.75" customHeight="1">
      <c r="A270" s="3"/>
      <c r="B270" s="3"/>
      <c r="C270" s="300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</row>
    <row r="271" ht="15.75" customHeight="1">
      <c r="A271" s="3"/>
      <c r="B271" s="3"/>
      <c r="C271" s="300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</row>
    <row r="272" ht="15.75" customHeight="1">
      <c r="A272" s="3"/>
      <c r="B272" s="3"/>
      <c r="C272" s="300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</row>
    <row r="273" ht="15.75" customHeight="1">
      <c r="A273" s="3"/>
      <c r="B273" s="3"/>
      <c r="C273" s="300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</row>
    <row r="274" ht="15.75" customHeight="1">
      <c r="A274" s="3"/>
      <c r="B274" s="3"/>
      <c r="C274" s="300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</row>
    <row r="275" ht="15.75" customHeight="1">
      <c r="A275" s="3"/>
      <c r="B275" s="3"/>
      <c r="C275" s="300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</row>
    <row r="276" ht="15.75" customHeight="1">
      <c r="A276" s="3"/>
      <c r="B276" s="3"/>
      <c r="C276" s="300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</row>
    <row r="277" ht="15.75" customHeight="1">
      <c r="A277" s="3"/>
      <c r="B277" s="3"/>
      <c r="C277" s="300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</row>
    <row r="278" ht="15.75" customHeight="1">
      <c r="A278" s="3"/>
      <c r="B278" s="3"/>
      <c r="C278" s="300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</row>
    <row r="279" ht="15.75" customHeight="1">
      <c r="A279" s="3"/>
      <c r="B279" s="3"/>
      <c r="C279" s="300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</row>
    <row r="280" ht="15.75" customHeight="1">
      <c r="A280" s="3"/>
      <c r="B280" s="3"/>
      <c r="C280" s="300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</row>
    <row r="281" ht="15.75" customHeight="1">
      <c r="A281" s="3"/>
      <c r="B281" s="3"/>
      <c r="C281" s="300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</row>
    <row r="282" ht="15.75" customHeight="1">
      <c r="A282" s="3"/>
      <c r="B282" s="3"/>
      <c r="C282" s="300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</row>
    <row r="283" ht="15.75" customHeight="1">
      <c r="A283" s="3"/>
      <c r="B283" s="3"/>
      <c r="C283" s="300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</row>
    <row r="284" ht="15.75" customHeight="1">
      <c r="A284" s="3"/>
      <c r="B284" s="3"/>
      <c r="C284" s="300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</row>
    <row r="285" ht="15.75" customHeight="1">
      <c r="A285" s="3"/>
      <c r="B285" s="3"/>
      <c r="C285" s="300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</row>
    <row r="286" ht="15.75" customHeight="1">
      <c r="A286" s="3"/>
      <c r="B286" s="3"/>
      <c r="C286" s="300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</row>
    <row r="287" ht="15.75" customHeight="1">
      <c r="A287" s="3"/>
      <c r="B287" s="3"/>
      <c r="C287" s="300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</row>
    <row r="288" ht="15.75" customHeight="1">
      <c r="A288" s="3"/>
      <c r="B288" s="3"/>
      <c r="C288" s="300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</row>
    <row r="289" ht="15.75" customHeight="1">
      <c r="A289" s="3"/>
      <c r="B289" s="3"/>
      <c r="C289" s="300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</row>
    <row r="290" ht="15.75" customHeight="1">
      <c r="A290" s="3"/>
      <c r="B290" s="3"/>
      <c r="C290" s="300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</row>
    <row r="291" ht="15.75" customHeight="1">
      <c r="A291" s="3"/>
      <c r="B291" s="3"/>
      <c r="C291" s="300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</row>
    <row r="292" ht="15.75" customHeight="1">
      <c r="A292" s="3"/>
      <c r="B292" s="3"/>
      <c r="C292" s="300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</row>
    <row r="293" ht="15.75" customHeight="1">
      <c r="A293" s="3"/>
      <c r="B293" s="3"/>
      <c r="C293" s="300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</row>
    <row r="294" ht="15.75" customHeight="1">
      <c r="A294" s="3"/>
      <c r="B294" s="3"/>
      <c r="C294" s="300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</row>
    <row r="295" ht="15.75" customHeight="1">
      <c r="A295" s="3"/>
      <c r="B295" s="3"/>
      <c r="C295" s="300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</row>
    <row r="296" ht="15.75" customHeight="1">
      <c r="A296" s="3"/>
      <c r="B296" s="3"/>
      <c r="C296" s="300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</row>
    <row r="297" ht="15.75" customHeight="1">
      <c r="A297" s="3"/>
      <c r="B297" s="3"/>
      <c r="C297" s="300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</row>
    <row r="298" ht="15.75" customHeight="1">
      <c r="A298" s="3"/>
      <c r="B298" s="3"/>
      <c r="C298" s="300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</row>
    <row r="299" ht="15.75" customHeight="1">
      <c r="A299" s="3"/>
      <c r="B299" s="3"/>
      <c r="C299" s="300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</row>
    <row r="300" ht="15.75" customHeight="1">
      <c r="A300" s="3"/>
      <c r="B300" s="3"/>
      <c r="C300" s="300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</row>
    <row r="301" ht="15.75" customHeight="1">
      <c r="A301" s="3"/>
      <c r="B301" s="3"/>
      <c r="C301" s="300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</row>
    <row r="302" ht="15.75" customHeight="1">
      <c r="A302" s="3"/>
      <c r="B302" s="3"/>
      <c r="C302" s="300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</row>
    <row r="303" ht="15.75" customHeight="1">
      <c r="A303" s="3"/>
      <c r="B303" s="3"/>
      <c r="C303" s="300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</row>
    <row r="304" ht="15.75" customHeight="1">
      <c r="A304" s="3"/>
      <c r="B304" s="3"/>
      <c r="C304" s="300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</row>
    <row r="305" ht="15.75" customHeight="1">
      <c r="A305" s="3"/>
      <c r="B305" s="3"/>
      <c r="C305" s="300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</row>
    <row r="306" ht="15.75" customHeight="1">
      <c r="A306" s="3"/>
      <c r="B306" s="3"/>
      <c r="C306" s="300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</row>
    <row r="307" ht="15.75" customHeight="1">
      <c r="A307" s="3"/>
      <c r="B307" s="3"/>
      <c r="C307" s="300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</row>
    <row r="308" ht="15.75" customHeight="1">
      <c r="A308" s="3"/>
      <c r="B308" s="3"/>
      <c r="C308" s="300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</row>
    <row r="309" ht="15.75" customHeight="1">
      <c r="A309" s="3"/>
      <c r="B309" s="3"/>
      <c r="C309" s="300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</row>
    <row r="310" ht="15.75" customHeight="1">
      <c r="A310" s="3"/>
      <c r="B310" s="3"/>
      <c r="C310" s="300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</row>
    <row r="311" ht="15.75" customHeight="1">
      <c r="A311" s="3"/>
      <c r="B311" s="3"/>
      <c r="C311" s="300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</row>
    <row r="312" ht="15.75" customHeight="1">
      <c r="A312" s="3"/>
      <c r="B312" s="3"/>
      <c r="C312" s="300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</row>
    <row r="313" ht="15.75" customHeight="1">
      <c r="A313" s="3"/>
      <c r="B313" s="3"/>
      <c r="C313" s="300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</row>
    <row r="314" ht="15.75" customHeight="1">
      <c r="A314" s="3"/>
      <c r="B314" s="3"/>
      <c r="C314" s="300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</row>
    <row r="315" ht="15.75" customHeight="1">
      <c r="A315" s="3"/>
      <c r="B315" s="3"/>
      <c r="C315" s="300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</row>
    <row r="316" ht="15.75" customHeight="1">
      <c r="A316" s="3"/>
      <c r="B316" s="3"/>
      <c r="C316" s="300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</row>
    <row r="317" ht="15.75" customHeight="1">
      <c r="A317" s="3"/>
      <c r="B317" s="3"/>
      <c r="C317" s="300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</row>
    <row r="318" ht="15.75" customHeight="1">
      <c r="A318" s="3"/>
      <c r="B318" s="3"/>
      <c r="C318" s="300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</row>
    <row r="319" ht="15.75" customHeight="1">
      <c r="A319" s="3"/>
      <c r="B319" s="3"/>
      <c r="C319" s="300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</row>
    <row r="320" ht="15.75" customHeight="1">
      <c r="A320" s="3"/>
      <c r="B320" s="3"/>
      <c r="C320" s="300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</row>
    <row r="321" ht="15.75" customHeight="1">
      <c r="A321" s="3"/>
      <c r="B321" s="3"/>
      <c r="C321" s="300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</row>
    <row r="322" ht="15.75" customHeight="1">
      <c r="A322" s="3"/>
      <c r="B322" s="3"/>
      <c r="C322" s="300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</row>
    <row r="323" ht="15.75" customHeight="1">
      <c r="A323" s="3"/>
      <c r="B323" s="3"/>
      <c r="C323" s="300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</row>
    <row r="324" ht="15.75" customHeight="1">
      <c r="A324" s="3"/>
      <c r="B324" s="3"/>
      <c r="C324" s="300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</row>
    <row r="325" ht="15.75" customHeight="1">
      <c r="A325" s="3"/>
      <c r="B325" s="3"/>
      <c r="C325" s="300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</row>
    <row r="326" ht="15.75" customHeight="1">
      <c r="A326" s="3"/>
      <c r="B326" s="3"/>
      <c r="C326" s="300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</row>
    <row r="327" ht="15.75" customHeight="1">
      <c r="A327" s="3"/>
      <c r="B327" s="3"/>
      <c r="C327" s="300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</row>
    <row r="328" ht="15.75" customHeight="1">
      <c r="A328" s="3"/>
      <c r="B328" s="3"/>
      <c r="C328" s="300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</row>
    <row r="329" ht="15.75" customHeight="1">
      <c r="A329" s="3"/>
      <c r="B329" s="3"/>
      <c r="C329" s="300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</row>
    <row r="330" ht="15.75" customHeight="1">
      <c r="A330" s="3"/>
      <c r="B330" s="3"/>
      <c r="C330" s="300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</row>
    <row r="331" ht="15.75" customHeight="1">
      <c r="A331" s="3"/>
      <c r="B331" s="3"/>
      <c r="C331" s="300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</row>
    <row r="332" ht="15.75" customHeight="1">
      <c r="A332" s="3"/>
      <c r="B332" s="3"/>
      <c r="C332" s="300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</row>
    <row r="333" ht="15.75" customHeight="1">
      <c r="A333" s="3"/>
      <c r="B333" s="3"/>
      <c r="C333" s="300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</row>
    <row r="334" ht="15.75" customHeight="1">
      <c r="A334" s="3"/>
      <c r="B334" s="3"/>
      <c r="C334" s="300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</row>
    <row r="335" ht="15.75" customHeight="1">
      <c r="A335" s="3"/>
      <c r="B335" s="3"/>
      <c r="C335" s="300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</row>
    <row r="336" ht="15.75" customHeight="1">
      <c r="A336" s="3"/>
      <c r="B336" s="3"/>
      <c r="C336" s="300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</row>
    <row r="337" ht="15.75" customHeight="1">
      <c r="A337" s="3"/>
      <c r="B337" s="3"/>
      <c r="C337" s="300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</row>
    <row r="338" ht="15.75" customHeight="1">
      <c r="A338" s="3"/>
      <c r="B338" s="3"/>
      <c r="C338" s="300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</row>
    <row r="339" ht="15.75" customHeight="1">
      <c r="A339" s="3"/>
      <c r="B339" s="3"/>
      <c r="C339" s="300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</row>
    <row r="340" ht="15.75" customHeight="1">
      <c r="A340" s="3"/>
      <c r="B340" s="3"/>
      <c r="C340" s="300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</row>
    <row r="341" ht="15.75" customHeight="1">
      <c r="A341" s="3"/>
      <c r="B341" s="3"/>
      <c r="C341" s="300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</row>
    <row r="342" ht="15.75" customHeight="1">
      <c r="A342" s="3"/>
      <c r="B342" s="3"/>
      <c r="C342" s="300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</row>
    <row r="343" ht="15.75" customHeight="1">
      <c r="A343" s="3"/>
      <c r="B343" s="3"/>
      <c r="C343" s="300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</row>
    <row r="344" ht="15.75" customHeight="1">
      <c r="A344" s="3"/>
      <c r="B344" s="3"/>
      <c r="C344" s="300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</row>
    <row r="345" ht="15.75" customHeight="1">
      <c r="A345" s="3"/>
      <c r="B345" s="3"/>
      <c r="C345" s="300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</row>
    <row r="346" ht="15.75" customHeight="1">
      <c r="A346" s="3"/>
      <c r="B346" s="3"/>
      <c r="C346" s="300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</row>
    <row r="347" ht="15.75" customHeight="1">
      <c r="A347" s="3"/>
      <c r="B347" s="3"/>
      <c r="C347" s="300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</row>
    <row r="348" ht="15.75" customHeight="1">
      <c r="A348" s="3"/>
      <c r="B348" s="3"/>
      <c r="C348" s="300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</row>
    <row r="349" ht="15.75" customHeight="1">
      <c r="A349" s="3"/>
      <c r="B349" s="3"/>
      <c r="C349" s="300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</row>
    <row r="350" ht="15.75" customHeight="1">
      <c r="A350" s="3"/>
      <c r="B350" s="3"/>
      <c r="C350" s="300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</row>
    <row r="351" ht="15.75" customHeight="1">
      <c r="A351" s="3"/>
      <c r="B351" s="3"/>
      <c r="C351" s="300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</row>
    <row r="352" ht="15.75" customHeight="1">
      <c r="A352" s="3"/>
      <c r="B352" s="3"/>
      <c r="C352" s="300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</row>
    <row r="353" ht="15.75" customHeight="1">
      <c r="A353" s="3"/>
      <c r="B353" s="3"/>
      <c r="C353" s="300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</row>
    <row r="354" ht="15.75" customHeight="1">
      <c r="A354" s="3"/>
      <c r="B354" s="3"/>
      <c r="C354" s="300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</row>
    <row r="355" ht="15.75" customHeight="1">
      <c r="A355" s="3"/>
      <c r="B355" s="3"/>
      <c r="C355" s="300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</row>
    <row r="356" ht="15.75" customHeight="1">
      <c r="A356" s="3"/>
      <c r="B356" s="3"/>
      <c r="C356" s="300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</row>
    <row r="357" ht="15.75" customHeight="1">
      <c r="A357" s="3"/>
      <c r="B357" s="3"/>
      <c r="C357" s="300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</row>
    <row r="358" ht="15.75" customHeight="1">
      <c r="A358" s="3"/>
      <c r="B358" s="3"/>
      <c r="C358" s="300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</row>
    <row r="359" ht="15.75" customHeight="1">
      <c r="A359" s="3"/>
      <c r="B359" s="3"/>
      <c r="C359" s="300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</row>
    <row r="360" ht="15.75" customHeight="1">
      <c r="A360" s="3"/>
      <c r="B360" s="3"/>
      <c r="C360" s="300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</row>
    <row r="361" ht="15.75" customHeight="1">
      <c r="A361" s="3"/>
      <c r="B361" s="3"/>
      <c r="C361" s="300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</row>
    <row r="362" ht="15.75" customHeight="1">
      <c r="A362" s="3"/>
      <c r="B362" s="3"/>
      <c r="C362" s="300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</row>
    <row r="363" ht="15.75" customHeight="1">
      <c r="A363" s="3"/>
      <c r="B363" s="3"/>
      <c r="C363" s="300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</row>
    <row r="364" ht="15.75" customHeight="1">
      <c r="A364" s="3"/>
      <c r="B364" s="3"/>
      <c r="C364" s="300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</row>
    <row r="365" ht="15.75" customHeight="1">
      <c r="A365" s="3"/>
      <c r="B365" s="3"/>
      <c r="C365" s="300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</row>
    <row r="366" ht="15.75" customHeight="1">
      <c r="A366" s="3"/>
      <c r="B366" s="3"/>
      <c r="C366" s="300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</row>
    <row r="367" ht="15.75" customHeight="1">
      <c r="A367" s="3"/>
      <c r="B367" s="3"/>
      <c r="C367" s="300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</row>
    <row r="368" ht="15.75" customHeight="1">
      <c r="A368" s="3"/>
      <c r="B368" s="3"/>
      <c r="C368" s="300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</row>
    <row r="369" ht="15.75" customHeight="1">
      <c r="A369" s="3"/>
      <c r="B369" s="3"/>
      <c r="C369" s="300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</row>
    <row r="370" ht="15.75" customHeight="1">
      <c r="A370" s="3"/>
      <c r="B370" s="3"/>
      <c r="C370" s="300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</row>
    <row r="371" ht="15.75" customHeight="1">
      <c r="A371" s="3"/>
      <c r="B371" s="3"/>
      <c r="C371" s="300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</row>
    <row r="372" ht="15.75" customHeight="1">
      <c r="A372" s="3"/>
      <c r="B372" s="3"/>
      <c r="C372" s="300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</row>
    <row r="373" ht="15.75" customHeight="1">
      <c r="A373" s="3"/>
      <c r="B373" s="3"/>
      <c r="C373" s="300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</row>
    <row r="374" ht="15.75" customHeight="1">
      <c r="A374" s="3"/>
      <c r="B374" s="3"/>
      <c r="C374" s="300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</row>
    <row r="375" ht="15.75" customHeight="1">
      <c r="A375" s="3"/>
      <c r="B375" s="3"/>
      <c r="C375" s="300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</row>
    <row r="376" ht="15.75" customHeight="1">
      <c r="A376" s="3"/>
      <c r="B376" s="3"/>
      <c r="C376" s="300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</row>
    <row r="377" ht="15.75" customHeight="1">
      <c r="A377" s="3"/>
      <c r="B377" s="3"/>
      <c r="C377" s="300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</row>
    <row r="378" ht="15.75" customHeight="1">
      <c r="A378" s="3"/>
      <c r="B378" s="3"/>
      <c r="C378" s="300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</row>
    <row r="379" ht="15.75" customHeight="1">
      <c r="A379" s="3"/>
      <c r="B379" s="3"/>
      <c r="C379" s="300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</row>
    <row r="380" ht="15.75" customHeight="1">
      <c r="A380" s="3"/>
      <c r="B380" s="3"/>
      <c r="C380" s="300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</row>
    <row r="381" ht="15.75" customHeight="1">
      <c r="A381" s="3"/>
      <c r="B381" s="3"/>
      <c r="C381" s="300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</row>
    <row r="382" ht="15.75" customHeight="1">
      <c r="A382" s="3"/>
      <c r="B382" s="3"/>
      <c r="C382" s="300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</row>
    <row r="383" ht="15.75" customHeight="1">
      <c r="A383" s="3"/>
      <c r="B383" s="3"/>
      <c r="C383" s="300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</row>
    <row r="384" ht="15.75" customHeight="1">
      <c r="A384" s="3"/>
      <c r="B384" s="3"/>
      <c r="C384" s="300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</row>
    <row r="385" ht="15.75" customHeight="1">
      <c r="A385" s="3"/>
      <c r="B385" s="3"/>
      <c r="C385" s="300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</row>
    <row r="386" ht="15.75" customHeight="1">
      <c r="A386" s="3"/>
      <c r="B386" s="3"/>
      <c r="C386" s="300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</row>
    <row r="387" ht="15.75" customHeight="1">
      <c r="A387" s="3"/>
      <c r="B387" s="3"/>
      <c r="C387" s="300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</row>
    <row r="388" ht="15.75" customHeight="1">
      <c r="A388" s="3"/>
      <c r="B388" s="3"/>
      <c r="C388" s="300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</row>
    <row r="389" ht="15.75" customHeight="1">
      <c r="A389" s="3"/>
      <c r="B389" s="3"/>
      <c r="C389" s="300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</row>
    <row r="390" ht="15.75" customHeight="1">
      <c r="A390" s="3"/>
      <c r="B390" s="3"/>
      <c r="C390" s="300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</row>
    <row r="391" ht="15.75" customHeight="1">
      <c r="A391" s="3"/>
      <c r="B391" s="3"/>
      <c r="C391" s="300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</row>
    <row r="392" ht="15.75" customHeight="1">
      <c r="A392" s="3"/>
      <c r="B392" s="3"/>
      <c r="C392" s="300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</row>
    <row r="393" ht="15.75" customHeight="1">
      <c r="A393" s="3"/>
      <c r="B393" s="3"/>
      <c r="C393" s="300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</row>
    <row r="394" ht="15.75" customHeight="1">
      <c r="A394" s="3"/>
      <c r="B394" s="3"/>
      <c r="C394" s="300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</row>
    <row r="395" ht="15.75" customHeight="1">
      <c r="A395" s="3"/>
      <c r="B395" s="3"/>
      <c r="C395" s="300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</row>
    <row r="396" ht="15.75" customHeight="1">
      <c r="A396" s="3"/>
      <c r="B396" s="3"/>
      <c r="C396" s="300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</row>
    <row r="397" ht="15.75" customHeight="1">
      <c r="A397" s="3"/>
      <c r="B397" s="3"/>
      <c r="C397" s="300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</row>
    <row r="398" ht="15.75" customHeight="1">
      <c r="A398" s="3"/>
      <c r="B398" s="3"/>
      <c r="C398" s="300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</row>
    <row r="399" ht="15.75" customHeight="1">
      <c r="A399" s="3"/>
      <c r="B399" s="3"/>
      <c r="C399" s="300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</row>
    <row r="400" ht="15.75" customHeight="1">
      <c r="A400" s="3"/>
      <c r="B400" s="3"/>
      <c r="C400" s="300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</row>
    <row r="401" ht="15.75" customHeight="1">
      <c r="A401" s="3"/>
      <c r="B401" s="3"/>
      <c r="C401" s="300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</row>
    <row r="402" ht="15.75" customHeight="1">
      <c r="A402" s="3"/>
      <c r="B402" s="3"/>
      <c r="C402" s="300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</row>
    <row r="403" ht="15.75" customHeight="1">
      <c r="A403" s="3"/>
      <c r="B403" s="3"/>
      <c r="C403" s="300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</row>
    <row r="404" ht="15.75" customHeight="1">
      <c r="A404" s="3"/>
      <c r="B404" s="3"/>
      <c r="C404" s="300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</row>
    <row r="405" ht="15.75" customHeight="1">
      <c r="A405" s="3"/>
      <c r="B405" s="3"/>
      <c r="C405" s="300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</row>
    <row r="406" ht="15.75" customHeight="1">
      <c r="A406" s="3"/>
      <c r="B406" s="3"/>
      <c r="C406" s="300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</row>
    <row r="407" ht="15.75" customHeight="1">
      <c r="A407" s="3"/>
      <c r="B407" s="3"/>
      <c r="C407" s="300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 ht="15.75" customHeight="1">
      <c r="A408" s="3"/>
      <c r="B408" s="3"/>
      <c r="C408" s="300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 ht="15.75" customHeight="1">
      <c r="A409" s="3"/>
      <c r="B409" s="3"/>
      <c r="C409" s="300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 ht="15.75" customHeight="1">
      <c r="A410" s="3"/>
      <c r="B410" s="3"/>
      <c r="C410" s="300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 ht="15.75" customHeight="1">
      <c r="A411" s="3"/>
      <c r="B411" s="3"/>
      <c r="C411" s="300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 ht="15.75" customHeight="1">
      <c r="A412" s="3"/>
      <c r="B412" s="3"/>
      <c r="C412" s="300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 ht="15.75" customHeight="1">
      <c r="A413" s="3"/>
      <c r="B413" s="3"/>
      <c r="C413" s="300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 ht="15.75" customHeight="1">
      <c r="A414" s="3"/>
      <c r="B414" s="3"/>
      <c r="C414" s="300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</row>
    <row r="415" ht="15.75" customHeight="1">
      <c r="A415" s="3"/>
      <c r="B415" s="3"/>
      <c r="C415" s="300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</row>
    <row r="416" ht="15.75" customHeight="1">
      <c r="A416" s="3"/>
      <c r="B416" s="3"/>
      <c r="C416" s="300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</row>
    <row r="417" ht="15.75" customHeight="1">
      <c r="A417" s="3"/>
      <c r="B417" s="3"/>
      <c r="C417" s="300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</row>
    <row r="418" ht="15.75" customHeight="1">
      <c r="A418" s="3"/>
      <c r="B418" s="3"/>
      <c r="C418" s="300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</row>
    <row r="419" ht="15.75" customHeight="1">
      <c r="A419" s="3"/>
      <c r="B419" s="3"/>
      <c r="C419" s="300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</row>
    <row r="420" ht="15.75" customHeight="1">
      <c r="A420" s="3"/>
      <c r="B420" s="3"/>
      <c r="C420" s="300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</row>
    <row r="421" ht="15.75" customHeight="1">
      <c r="A421" s="3"/>
      <c r="B421" s="3"/>
      <c r="C421" s="300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</row>
    <row r="422" ht="15.75" customHeight="1">
      <c r="A422" s="3"/>
      <c r="B422" s="3"/>
      <c r="C422" s="300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</row>
    <row r="423" ht="15.75" customHeight="1">
      <c r="A423" s="3"/>
      <c r="B423" s="3"/>
      <c r="C423" s="300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</row>
    <row r="424" ht="15.75" customHeight="1">
      <c r="A424" s="3"/>
      <c r="B424" s="3"/>
      <c r="C424" s="300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</row>
    <row r="425" ht="15.75" customHeight="1">
      <c r="A425" s="3"/>
      <c r="B425" s="3"/>
      <c r="C425" s="300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</row>
    <row r="426" ht="15.75" customHeight="1">
      <c r="A426" s="3"/>
      <c r="B426" s="3"/>
      <c r="C426" s="300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</row>
    <row r="427" ht="15.75" customHeight="1">
      <c r="A427" s="3"/>
      <c r="B427" s="3"/>
      <c r="C427" s="300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</row>
    <row r="428" ht="15.75" customHeight="1">
      <c r="A428" s="3"/>
      <c r="B428" s="3"/>
      <c r="C428" s="300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</row>
    <row r="429" ht="15.75" customHeight="1">
      <c r="A429" s="3"/>
      <c r="B429" s="3"/>
      <c r="C429" s="300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</row>
    <row r="430" ht="15.75" customHeight="1">
      <c r="A430" s="3"/>
      <c r="B430" s="3"/>
      <c r="C430" s="300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</row>
    <row r="431" ht="15.75" customHeight="1">
      <c r="A431" s="3"/>
      <c r="B431" s="3"/>
      <c r="C431" s="300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</row>
    <row r="432" ht="15.75" customHeight="1">
      <c r="A432" s="3"/>
      <c r="B432" s="3"/>
      <c r="C432" s="300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</row>
    <row r="433" ht="15.75" customHeight="1">
      <c r="A433" s="3"/>
      <c r="B433" s="3"/>
      <c r="C433" s="300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</row>
    <row r="434" ht="15.75" customHeight="1">
      <c r="A434" s="3"/>
      <c r="B434" s="3"/>
      <c r="C434" s="300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</row>
    <row r="435" ht="15.75" customHeight="1">
      <c r="A435" s="3"/>
      <c r="B435" s="3"/>
      <c r="C435" s="300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</row>
    <row r="436" ht="15.75" customHeight="1">
      <c r="A436" s="3"/>
      <c r="B436" s="3"/>
      <c r="C436" s="300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</row>
    <row r="437" ht="15.75" customHeight="1">
      <c r="A437" s="3"/>
      <c r="B437" s="3"/>
      <c r="C437" s="300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</row>
    <row r="438" ht="15.75" customHeight="1">
      <c r="A438" s="3"/>
      <c r="B438" s="3"/>
      <c r="C438" s="300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</row>
    <row r="439" ht="15.75" customHeight="1">
      <c r="A439" s="3"/>
      <c r="B439" s="3"/>
      <c r="C439" s="300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</row>
    <row r="440" ht="15.75" customHeight="1">
      <c r="A440" s="3"/>
      <c r="B440" s="3"/>
      <c r="C440" s="300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</row>
    <row r="441" ht="15.75" customHeight="1">
      <c r="A441" s="3"/>
      <c r="B441" s="3"/>
      <c r="C441" s="300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</row>
    <row r="442" ht="15.75" customHeight="1">
      <c r="A442" s="3"/>
      <c r="B442" s="3"/>
      <c r="C442" s="300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</row>
    <row r="443" ht="15.75" customHeight="1">
      <c r="A443" s="3"/>
      <c r="B443" s="3"/>
      <c r="C443" s="300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</row>
    <row r="444" ht="15.75" customHeight="1">
      <c r="A444" s="3"/>
      <c r="B444" s="3"/>
      <c r="C444" s="300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</row>
    <row r="445" ht="15.75" customHeight="1">
      <c r="A445" s="3"/>
      <c r="B445" s="3"/>
      <c r="C445" s="300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</row>
    <row r="446" ht="15.75" customHeight="1">
      <c r="A446" s="3"/>
      <c r="B446" s="3"/>
      <c r="C446" s="300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</row>
    <row r="447" ht="15.75" customHeight="1">
      <c r="A447" s="3"/>
      <c r="B447" s="3"/>
      <c r="C447" s="300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</row>
    <row r="448" ht="15.75" customHeight="1">
      <c r="A448" s="3"/>
      <c r="B448" s="3"/>
      <c r="C448" s="300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</row>
    <row r="449" ht="15.75" customHeight="1">
      <c r="A449" s="3"/>
      <c r="B449" s="3"/>
      <c r="C449" s="300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</row>
    <row r="450" ht="15.75" customHeight="1">
      <c r="A450" s="3"/>
      <c r="B450" s="3"/>
      <c r="C450" s="300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</row>
    <row r="451" ht="15.75" customHeight="1">
      <c r="A451" s="3"/>
      <c r="B451" s="3"/>
      <c r="C451" s="300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</row>
    <row r="452" ht="15.75" customHeight="1">
      <c r="A452" s="3"/>
      <c r="B452" s="3"/>
      <c r="C452" s="300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</row>
    <row r="453" ht="15.75" customHeight="1">
      <c r="A453" s="3"/>
      <c r="B453" s="3"/>
      <c r="C453" s="300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</row>
    <row r="454" ht="15.75" customHeight="1">
      <c r="A454" s="3"/>
      <c r="B454" s="3"/>
      <c r="C454" s="300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</row>
    <row r="455" ht="15.75" customHeight="1">
      <c r="A455" s="3"/>
      <c r="B455" s="3"/>
      <c r="C455" s="300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</row>
    <row r="456" ht="15.75" customHeight="1">
      <c r="A456" s="3"/>
      <c r="B456" s="3"/>
      <c r="C456" s="300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</row>
    <row r="457" ht="15.75" customHeight="1">
      <c r="A457" s="3"/>
      <c r="B457" s="3"/>
      <c r="C457" s="300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</row>
    <row r="458" ht="15.75" customHeight="1">
      <c r="A458" s="3"/>
      <c r="B458" s="3"/>
      <c r="C458" s="300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</row>
    <row r="459" ht="15.75" customHeight="1">
      <c r="A459" s="3"/>
      <c r="B459" s="3"/>
      <c r="C459" s="300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</row>
    <row r="460" ht="15.75" customHeight="1">
      <c r="A460" s="3"/>
      <c r="B460" s="3"/>
      <c r="C460" s="300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</row>
    <row r="461" ht="15.75" customHeight="1">
      <c r="A461" s="3"/>
      <c r="B461" s="3"/>
      <c r="C461" s="300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</row>
    <row r="462" ht="15.75" customHeight="1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</row>
    <row r="463" ht="15.75" customHeight="1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</row>
    <row r="464" ht="15.75" customHeight="1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</row>
    <row r="465" ht="15.75" customHeight="1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</row>
    <row r="466" ht="15.75" customHeight="1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</row>
    <row r="467" ht="15.75" customHeight="1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</row>
    <row r="468" ht="15.75" customHeight="1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</row>
    <row r="469" ht="15.75" customHeight="1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</row>
    <row r="470" ht="15.75" customHeight="1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</row>
    <row r="471" ht="15.75" customHeight="1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</row>
    <row r="472" ht="15.75" customHeight="1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</row>
    <row r="473" ht="15.75" customHeight="1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</row>
    <row r="474" ht="15.75" customHeight="1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</row>
    <row r="475" ht="15.75" customHeight="1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</row>
    <row r="476" ht="15.75" customHeight="1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</row>
    <row r="477" ht="15.75" customHeight="1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</row>
    <row r="478" ht="15.75" customHeight="1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</row>
    <row r="479" ht="15.75" customHeight="1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</row>
    <row r="480" ht="15.75" customHeight="1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</row>
    <row r="481" ht="15.75" customHeight="1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</row>
    <row r="482" ht="15.75" customHeight="1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</row>
    <row r="483" ht="15.75" customHeight="1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</row>
    <row r="484" ht="15.75" customHeight="1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</row>
    <row r="485" ht="15.75" customHeight="1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</row>
    <row r="486" ht="15.75" customHeight="1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</row>
    <row r="487" ht="15.75" customHeight="1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</row>
    <row r="488" ht="15.75" customHeight="1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</row>
    <row r="489" ht="15.75" customHeight="1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</row>
    <row r="490" ht="15.75" customHeight="1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</row>
    <row r="491" ht="15.75" customHeight="1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</row>
    <row r="492" ht="15.75" customHeight="1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</row>
    <row r="493" ht="15.75" customHeight="1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</row>
    <row r="494" ht="15.75" customHeight="1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</row>
    <row r="495" ht="15.75" customHeight="1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</row>
    <row r="496" ht="15.75" customHeight="1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</row>
    <row r="497" ht="15.75" customHeight="1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</row>
    <row r="498" ht="15.75" customHeight="1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</row>
    <row r="499" ht="15.75" customHeight="1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</row>
    <row r="500" ht="15.75" customHeight="1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</row>
    <row r="501" ht="15.75" customHeight="1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</row>
    <row r="502" ht="15.75" customHeight="1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</row>
    <row r="503" ht="15.75" customHeight="1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</row>
    <row r="504" ht="15.75" customHeight="1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</row>
    <row r="505" ht="15.75" customHeight="1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</row>
    <row r="506" ht="15.75" customHeight="1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</row>
    <row r="507" ht="15.75" customHeight="1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</row>
    <row r="508" ht="15.75" customHeight="1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</row>
    <row r="509" ht="15.75" customHeight="1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</row>
    <row r="510" ht="15.75" customHeight="1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</row>
    <row r="511" ht="15.75" customHeight="1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</row>
    <row r="512" ht="15.75" customHeight="1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</row>
    <row r="513" ht="15.75" customHeight="1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</row>
    <row r="514" ht="15.75" customHeight="1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</row>
    <row r="515" ht="15.75" customHeight="1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</row>
    <row r="516" ht="15.75" customHeight="1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</row>
    <row r="517" ht="15.75" customHeight="1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</row>
    <row r="518" ht="15.75" customHeight="1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</row>
    <row r="519" ht="15.75" customHeight="1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</row>
    <row r="520" ht="15.75" customHeight="1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</row>
    <row r="521" ht="15.75" customHeight="1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</row>
    <row r="522" ht="15.75" customHeight="1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</row>
    <row r="523" ht="15.75" customHeight="1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</row>
    <row r="524" ht="15.75" customHeight="1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</row>
    <row r="525" ht="15.75" customHeight="1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</row>
    <row r="526" ht="15.75" customHeight="1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</row>
    <row r="527" ht="15.75" customHeight="1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</row>
    <row r="528" ht="15.75" customHeight="1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</row>
    <row r="529" ht="15.75" customHeight="1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</row>
    <row r="530" ht="15.75" customHeight="1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</row>
    <row r="531" ht="15.75" customHeight="1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</row>
    <row r="532" ht="15.75" customHeight="1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</row>
    <row r="533" ht="15.75" customHeight="1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</row>
    <row r="534" ht="15.75" customHeight="1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</row>
    <row r="535" ht="15.75" customHeight="1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</row>
    <row r="536" ht="15.75" customHeight="1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</row>
    <row r="537" ht="15.75" customHeight="1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</row>
    <row r="538" ht="15.75" customHeight="1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</row>
    <row r="539" ht="15.75" customHeight="1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</row>
    <row r="540" ht="15.75" customHeight="1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</row>
    <row r="541" ht="15.75" customHeight="1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</row>
    <row r="542" ht="15.75" customHeight="1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</row>
    <row r="543" ht="15.75" customHeight="1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</row>
    <row r="544" ht="15.75" customHeight="1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</row>
    <row r="545" ht="15.75" customHeight="1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</row>
    <row r="546" ht="15.75" customHeight="1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</row>
    <row r="547" ht="15.75" customHeight="1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</row>
    <row r="548" ht="15.75" customHeight="1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</row>
    <row r="549" ht="15.75" customHeight="1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</row>
    <row r="550" ht="15.75" customHeight="1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</row>
    <row r="551" ht="15.75" customHeight="1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</row>
    <row r="552" ht="15.75" customHeight="1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</row>
    <row r="553" ht="15.75" customHeight="1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</row>
    <row r="554" ht="15.75" customHeight="1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</row>
    <row r="555" ht="15.75" customHeight="1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</row>
    <row r="556" ht="15.75" customHeight="1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</row>
    <row r="557" ht="15.75" customHeight="1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</row>
    <row r="558" ht="15.75" customHeight="1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</row>
    <row r="559" ht="15.75" customHeight="1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</row>
    <row r="560" ht="15.75" customHeight="1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</row>
    <row r="561" ht="15.75" customHeight="1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</row>
    <row r="562" ht="15.75" customHeight="1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</row>
    <row r="563" ht="15.75" customHeight="1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</row>
    <row r="564" ht="15.75" customHeight="1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</row>
    <row r="565" ht="15.75" customHeight="1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</row>
    <row r="566" ht="15.75" customHeight="1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</row>
    <row r="567" ht="15.75" customHeight="1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</row>
    <row r="568" ht="15.75" customHeight="1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</row>
    <row r="569" ht="15.75" customHeight="1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</row>
    <row r="570" ht="15.75" customHeight="1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</row>
    <row r="571" ht="15.75" customHeight="1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</row>
    <row r="572" ht="15.75" customHeight="1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</row>
    <row r="573" ht="15.75" customHeight="1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</row>
    <row r="574" ht="15.75" customHeight="1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</row>
    <row r="575" ht="15.75" customHeight="1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</row>
    <row r="576" ht="15.75" customHeight="1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</row>
    <row r="577" ht="15.75" customHeight="1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</row>
    <row r="578" ht="15.75" customHeight="1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</row>
    <row r="579" ht="15.75" customHeight="1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</row>
    <row r="580" ht="15.75" customHeight="1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</row>
    <row r="581" ht="15.75" customHeight="1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</row>
    <row r="582" ht="15.75" customHeight="1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</row>
    <row r="583" ht="15.75" customHeight="1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</row>
    <row r="584" ht="15.75" customHeight="1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</row>
    <row r="585" ht="15.75" customHeight="1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</row>
    <row r="586" ht="15.75" customHeight="1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</row>
    <row r="587" ht="15.75" customHeight="1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</row>
    <row r="588" ht="15.75" customHeight="1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</row>
    <row r="589" ht="15.75" customHeight="1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</row>
    <row r="590" ht="15.75" customHeight="1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</row>
    <row r="591" ht="15.75" customHeight="1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</row>
    <row r="592" ht="15.75" customHeight="1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</row>
    <row r="593" ht="15.75" customHeight="1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</row>
    <row r="594" ht="15.75" customHeight="1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</row>
    <row r="595" ht="15.75" customHeight="1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</row>
    <row r="596" ht="15.75" customHeight="1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</row>
    <row r="597" ht="15.75" customHeight="1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</row>
    <row r="598" ht="15.75" customHeight="1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</row>
    <row r="599" ht="15.75" customHeight="1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</row>
    <row r="600" ht="15.75" customHeight="1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</row>
    <row r="601" ht="15.75" customHeight="1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</row>
    <row r="602" ht="15.75" customHeight="1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</row>
    <row r="603" ht="15.75" customHeight="1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</row>
    <row r="604" ht="15.75" customHeight="1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</row>
    <row r="605" ht="15.75" customHeight="1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</row>
    <row r="606" ht="15.75" customHeight="1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</row>
    <row r="607" ht="15.75" customHeight="1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</row>
    <row r="608" ht="15.75" customHeight="1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</row>
    <row r="609" ht="15.75" customHeight="1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</row>
    <row r="610" ht="15.75" customHeight="1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</row>
    <row r="611" ht="15.75" customHeight="1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</row>
    <row r="612" ht="15.75" customHeight="1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</row>
    <row r="613" ht="15.75" customHeight="1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</row>
    <row r="614" ht="15.75" customHeight="1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</row>
    <row r="615" ht="15.75" customHeight="1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</row>
    <row r="616" ht="15.75" customHeight="1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</row>
    <row r="617" ht="15.75" customHeight="1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</row>
    <row r="618" ht="15.75" customHeight="1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</row>
    <row r="619" ht="15.75" customHeight="1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</row>
    <row r="620" ht="15.75" customHeight="1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</row>
    <row r="621" ht="15.75" customHeight="1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</row>
    <row r="622" ht="15.75" customHeight="1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</row>
    <row r="623" ht="15.75" customHeight="1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</row>
    <row r="624" ht="15.75" customHeight="1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</row>
    <row r="625" ht="15.75" customHeight="1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</row>
    <row r="626" ht="15.75" customHeight="1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</row>
    <row r="627" ht="15.75" customHeight="1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</row>
    <row r="628" ht="15.75" customHeight="1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</row>
    <row r="629" ht="15.75" customHeight="1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</row>
    <row r="630" ht="15.75" customHeight="1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</row>
    <row r="631" ht="15.75" customHeight="1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</row>
    <row r="632" ht="15.75" customHeight="1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</row>
    <row r="633" ht="15.75" customHeight="1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</row>
    <row r="634" ht="15.75" customHeight="1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</row>
    <row r="635" ht="15.75" customHeight="1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</row>
    <row r="636" ht="15.75" customHeight="1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</row>
    <row r="637" ht="15.75" customHeight="1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</row>
    <row r="638" ht="15.75" customHeight="1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</row>
    <row r="639" ht="15.75" customHeight="1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</row>
    <row r="640" ht="15.75" customHeight="1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</row>
    <row r="641" ht="15.75" customHeight="1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</row>
    <row r="642" ht="15.75" customHeight="1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</row>
    <row r="643" ht="15.75" customHeight="1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</row>
    <row r="644" ht="15.75" customHeight="1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</row>
    <row r="645" ht="15.75" customHeight="1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</row>
    <row r="646" ht="15.75" customHeight="1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</row>
    <row r="647" ht="15.75" customHeight="1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</row>
    <row r="648" ht="15.75" customHeight="1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</row>
    <row r="649" ht="15.75" customHeight="1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</row>
    <row r="650" ht="15.75" customHeight="1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</row>
    <row r="651" ht="15.75" customHeight="1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</row>
    <row r="652" ht="15.75" customHeight="1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</row>
    <row r="653" ht="15.75" customHeight="1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</row>
    <row r="654" ht="15.75" customHeight="1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</row>
    <row r="655" ht="15.75" customHeight="1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</row>
    <row r="656" ht="15.75" customHeight="1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</row>
    <row r="657" ht="15.75" customHeight="1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</row>
    <row r="658" ht="15.75" customHeight="1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</row>
    <row r="659" ht="15.75" customHeight="1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</row>
    <row r="660" ht="15.75" customHeight="1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</row>
    <row r="661" ht="15.75" customHeight="1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</row>
    <row r="662" ht="15.75" customHeight="1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</row>
    <row r="663" ht="15.75" customHeight="1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</row>
    <row r="664" ht="15.75" customHeight="1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</row>
    <row r="665" ht="15.75" customHeight="1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</row>
    <row r="666" ht="15.75" customHeight="1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</row>
    <row r="667" ht="15.75" customHeight="1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</row>
    <row r="668" ht="15.75" customHeight="1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</row>
    <row r="669" ht="15.75" customHeight="1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</row>
    <row r="670" ht="15.75" customHeight="1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</row>
    <row r="671" ht="15.75" customHeight="1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</row>
    <row r="672" ht="15.75" customHeight="1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</row>
    <row r="673" ht="15.75" customHeight="1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</row>
    <row r="674" ht="15.75" customHeight="1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</row>
    <row r="675" ht="15.75" customHeight="1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</row>
    <row r="676" ht="15.75" customHeight="1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</row>
    <row r="677" ht="15.75" customHeight="1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</row>
    <row r="678" ht="15.75" customHeight="1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</row>
    <row r="679" ht="15.75" customHeight="1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</row>
    <row r="680" ht="15.75" customHeight="1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</row>
    <row r="681" ht="15.75" customHeight="1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</row>
    <row r="682" ht="15.75" customHeight="1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</row>
    <row r="683" ht="15.75" customHeight="1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</row>
    <row r="684" ht="15.75" customHeight="1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</row>
    <row r="685" ht="15.75" customHeight="1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</row>
    <row r="686" ht="15.75" customHeight="1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</row>
    <row r="687" ht="15.75" customHeight="1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</row>
    <row r="688" ht="15.75" customHeight="1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</row>
    <row r="689" ht="15.75" customHeight="1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</row>
    <row r="690" ht="15.75" customHeight="1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</row>
    <row r="691" ht="15.75" customHeight="1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</row>
    <row r="692" ht="15.75" customHeight="1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</row>
    <row r="693" ht="15.75" customHeight="1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</row>
    <row r="694" ht="15.75" customHeight="1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</row>
    <row r="695" ht="15.75" customHeight="1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</row>
    <row r="696" ht="15.75" customHeight="1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</row>
    <row r="697" ht="15.75" customHeight="1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</row>
    <row r="698" ht="15.75" customHeight="1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</row>
    <row r="699" ht="15.75" customHeight="1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</row>
    <row r="700" ht="15.75" customHeight="1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</row>
    <row r="701" ht="15.75" customHeight="1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</row>
    <row r="702" ht="15.75" customHeight="1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</row>
    <row r="703" ht="15.75" customHeight="1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</row>
    <row r="704" ht="15.75" customHeight="1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</row>
    <row r="705" ht="15.75" customHeight="1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</row>
    <row r="706" ht="15.75" customHeight="1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</row>
    <row r="707" ht="15.75" customHeight="1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</row>
    <row r="708" ht="15.75" customHeight="1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</row>
    <row r="709" ht="15.75" customHeight="1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</row>
    <row r="710" ht="15.75" customHeight="1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</row>
    <row r="711" ht="15.75" customHeight="1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</row>
    <row r="712" ht="15.75" customHeight="1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</row>
    <row r="713" ht="15.75" customHeight="1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</row>
    <row r="714" ht="15.75" customHeight="1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</row>
    <row r="715" ht="15.75" customHeight="1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</row>
    <row r="716" ht="15.75" customHeight="1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</row>
    <row r="717" ht="15.75" customHeight="1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</row>
    <row r="718" ht="15.75" customHeight="1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</row>
    <row r="719" ht="15.75" customHeight="1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</row>
    <row r="720" ht="15.75" customHeight="1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</row>
    <row r="721" ht="15.75" customHeight="1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</row>
    <row r="722" ht="15.75" customHeight="1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</row>
    <row r="723" ht="15.75" customHeight="1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</row>
    <row r="724" ht="15.75" customHeight="1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</row>
    <row r="725" ht="15.75" customHeight="1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</row>
    <row r="726" ht="15.75" customHeight="1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</row>
    <row r="727" ht="15.75" customHeight="1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</row>
    <row r="728" ht="15.75" customHeight="1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</row>
    <row r="729" ht="15.75" customHeight="1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</row>
    <row r="730" ht="15.75" customHeight="1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</row>
    <row r="731" ht="15.75" customHeight="1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</row>
    <row r="732" ht="15.75" customHeight="1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</row>
    <row r="733" ht="15.75" customHeight="1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</row>
    <row r="734" ht="15.75" customHeight="1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</row>
    <row r="735" ht="15.75" customHeight="1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</row>
    <row r="736" ht="15.75" customHeight="1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</row>
    <row r="737" ht="15.75" customHeight="1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</row>
    <row r="738" ht="15.75" customHeight="1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</row>
    <row r="739" ht="15.75" customHeight="1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</row>
    <row r="740" ht="15.75" customHeight="1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</row>
    <row r="741" ht="15.75" customHeight="1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</row>
    <row r="742" ht="15.75" customHeight="1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</row>
    <row r="743" ht="15.75" customHeight="1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</row>
    <row r="744" ht="15.75" customHeight="1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</row>
    <row r="745" ht="15.75" customHeight="1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</row>
    <row r="746" ht="15.75" customHeight="1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</row>
    <row r="747" ht="15.75" customHeight="1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</row>
    <row r="748" ht="15.75" customHeight="1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</row>
    <row r="749" ht="15.75" customHeight="1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</row>
    <row r="750" ht="15.75" customHeight="1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</row>
    <row r="751" ht="15.75" customHeight="1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</row>
    <row r="752" ht="15.75" customHeight="1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</row>
    <row r="753" ht="15.75" customHeight="1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</row>
    <row r="754" ht="15.75" customHeight="1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</row>
    <row r="755" ht="15.75" customHeight="1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</row>
    <row r="756" ht="15.75" customHeight="1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</row>
    <row r="757" ht="15.75" customHeight="1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</row>
    <row r="758" ht="15.75" customHeight="1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</row>
    <row r="759" ht="15.75" customHeight="1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</row>
    <row r="760" ht="15.75" customHeight="1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</row>
    <row r="761" ht="15.75" customHeight="1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</row>
    <row r="762" ht="15.75" customHeight="1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</row>
    <row r="763" ht="15.75" customHeight="1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</row>
    <row r="764" ht="15.75" customHeight="1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</row>
    <row r="765" ht="15.75" customHeight="1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</row>
    <row r="766" ht="15.75" customHeight="1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</row>
    <row r="767" ht="15.75" customHeight="1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</row>
    <row r="768" ht="15.75" customHeight="1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</row>
    <row r="769" ht="15.75" customHeight="1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</row>
    <row r="770" ht="15.75" customHeight="1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</row>
    <row r="771" ht="15.75" customHeight="1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</row>
    <row r="772" ht="15.75" customHeight="1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</row>
    <row r="773" ht="15.75" customHeight="1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</row>
    <row r="774" ht="15.75" customHeight="1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</row>
    <row r="775" ht="15.75" customHeight="1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</row>
    <row r="776" ht="15.75" customHeight="1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</row>
    <row r="777" ht="15.75" customHeight="1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</row>
    <row r="778" ht="15.75" customHeight="1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</row>
    <row r="779" ht="15.75" customHeight="1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</row>
    <row r="780" ht="15.75" customHeight="1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</row>
    <row r="781" ht="15.75" customHeight="1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</row>
    <row r="782" ht="15.75" customHeight="1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</row>
    <row r="783" ht="15.75" customHeight="1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</row>
    <row r="784" ht="15.75" customHeight="1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</row>
    <row r="785" ht="15.75" customHeight="1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</row>
    <row r="786" ht="15.75" customHeight="1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</row>
    <row r="787" ht="15.75" customHeight="1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</row>
    <row r="788" ht="15.75" customHeight="1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</row>
    <row r="789" ht="15.75" customHeight="1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</row>
    <row r="790" ht="15.75" customHeight="1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</row>
    <row r="791" ht="15.75" customHeight="1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</row>
    <row r="792" ht="15.75" customHeight="1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</row>
    <row r="793" ht="15.75" customHeight="1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</row>
    <row r="794" ht="15.75" customHeight="1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</row>
    <row r="795" ht="15.75" customHeight="1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</row>
    <row r="796" ht="15.75" customHeight="1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</row>
    <row r="797" ht="15.75" customHeight="1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</row>
    <row r="798" ht="15.75" customHeight="1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</row>
    <row r="799" ht="15.75" customHeight="1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</row>
    <row r="800" ht="15.75" customHeight="1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</row>
    <row r="801" ht="15.75" customHeight="1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</row>
    <row r="802" ht="15.75" customHeight="1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</row>
    <row r="803" ht="15.75" customHeight="1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</row>
    <row r="804" ht="15.75" customHeight="1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</row>
    <row r="805" ht="15.75" customHeight="1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</row>
    <row r="806" ht="15.75" customHeight="1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</row>
    <row r="807" ht="15.75" customHeight="1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</row>
    <row r="808" ht="15.75" customHeight="1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</row>
    <row r="809" ht="15.75" customHeight="1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</row>
    <row r="810" ht="15.75" customHeight="1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</row>
    <row r="811" ht="15.75" customHeight="1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</row>
    <row r="812" ht="15.75" customHeight="1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</row>
    <row r="813" ht="15.75" customHeight="1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</row>
    <row r="814" ht="15.75" customHeight="1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</row>
    <row r="815" ht="15.75" customHeight="1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</row>
    <row r="816" ht="15.75" customHeight="1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</row>
    <row r="817" ht="15.75" customHeight="1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</row>
    <row r="818" ht="15.75" customHeight="1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</row>
    <row r="819" ht="15.75" customHeight="1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</row>
    <row r="820" ht="15.75" customHeight="1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</row>
    <row r="821" ht="15.75" customHeight="1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</row>
    <row r="822" ht="15.75" customHeight="1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</row>
    <row r="823" ht="15.75" customHeight="1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</row>
    <row r="824" ht="15.75" customHeight="1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</row>
    <row r="825" ht="15.75" customHeight="1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</row>
    <row r="826" ht="15.75" customHeight="1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</row>
    <row r="827" ht="15.75" customHeight="1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</row>
    <row r="828" ht="15.75" customHeight="1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</row>
    <row r="829" ht="15.75" customHeight="1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</row>
    <row r="830" ht="15.75" customHeight="1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</row>
    <row r="831" ht="15.75" customHeight="1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</row>
    <row r="832" ht="15.75" customHeight="1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</row>
    <row r="833" ht="15.75" customHeight="1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</row>
    <row r="834" ht="15.75" customHeight="1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</row>
    <row r="835" ht="15.75" customHeight="1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</row>
    <row r="836" ht="15.75" customHeight="1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</row>
    <row r="837" ht="15.75" customHeight="1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</row>
    <row r="838" ht="15.75" customHeight="1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</row>
    <row r="839" ht="15.75" customHeight="1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</row>
    <row r="840" ht="15.75" customHeight="1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</row>
    <row r="841" ht="15.75" customHeight="1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</row>
    <row r="842" ht="15.75" customHeight="1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</row>
    <row r="843" ht="15.75" customHeight="1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</row>
    <row r="844" ht="15.75" customHeight="1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</row>
    <row r="845" ht="15.75" customHeight="1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</row>
    <row r="846" ht="15.75" customHeight="1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</row>
    <row r="847" ht="15.75" customHeight="1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</row>
    <row r="848" ht="15.75" customHeight="1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</row>
    <row r="849" ht="15.75" customHeight="1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</row>
    <row r="850" ht="15.75" customHeight="1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</row>
    <row r="851" ht="15.75" customHeight="1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</row>
    <row r="852" ht="15.75" customHeight="1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</row>
    <row r="853" ht="15.75" customHeight="1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</row>
    <row r="854" ht="15.75" customHeight="1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</row>
    <row r="855" ht="15.75" customHeight="1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</row>
    <row r="856" ht="15.75" customHeight="1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</row>
    <row r="857" ht="15.75" customHeight="1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</row>
    <row r="858" ht="15.75" customHeight="1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</row>
    <row r="859" ht="15.75" customHeight="1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</row>
    <row r="860" ht="15.75" customHeight="1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</row>
    <row r="861" ht="15.75" customHeight="1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</row>
    <row r="862" ht="15.75" customHeight="1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</row>
    <row r="863" ht="15.75" customHeight="1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</row>
    <row r="864" ht="15.75" customHeight="1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</row>
    <row r="865" ht="15.75" customHeight="1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</row>
    <row r="866" ht="15.75" customHeight="1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</row>
    <row r="867" ht="15.75" customHeight="1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</row>
    <row r="868" ht="15.75" customHeight="1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</row>
    <row r="869" ht="15.75" customHeight="1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</row>
    <row r="870" ht="15.75" customHeight="1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</row>
    <row r="871" ht="15.75" customHeight="1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</row>
    <row r="872" ht="15.75" customHeight="1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</row>
    <row r="873" ht="15.75" customHeight="1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</row>
    <row r="874" ht="15.75" customHeight="1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</row>
    <row r="875" ht="15.75" customHeight="1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</row>
    <row r="876" ht="15.75" customHeight="1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</row>
    <row r="877" ht="15.75" customHeight="1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</row>
    <row r="878" ht="15.75" customHeight="1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</row>
    <row r="879" ht="15.75" customHeight="1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</row>
    <row r="880" ht="15.75" customHeight="1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</row>
    <row r="881" ht="15.75" customHeight="1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</row>
    <row r="882" ht="15.75" customHeight="1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</row>
    <row r="883" ht="15.75" customHeight="1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</row>
    <row r="884" ht="15.75" customHeight="1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</row>
    <row r="885" ht="15.75" customHeight="1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</row>
    <row r="886" ht="15.75" customHeight="1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</row>
    <row r="887" ht="15.75" customHeight="1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</row>
    <row r="888" ht="15.75" customHeight="1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</row>
    <row r="889" ht="15.75" customHeight="1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</row>
    <row r="890" ht="15.75" customHeight="1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</row>
    <row r="891" ht="15.75" customHeight="1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</row>
    <row r="892" ht="15.75" customHeight="1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</row>
    <row r="893" ht="15.75" customHeight="1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</row>
    <row r="894" ht="15.75" customHeight="1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</row>
    <row r="895" ht="15.75" customHeight="1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</row>
    <row r="896" ht="15.75" customHeight="1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</row>
    <row r="897" ht="15.75" customHeight="1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</row>
    <row r="898" ht="15.75" customHeight="1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</row>
    <row r="899" ht="15.75" customHeight="1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</row>
    <row r="900" ht="15.75" customHeight="1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</row>
    <row r="901" ht="15.75" customHeight="1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</row>
    <row r="902" ht="15.75" customHeight="1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</row>
    <row r="903" ht="15.75" customHeight="1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</row>
    <row r="904" ht="15.75" customHeight="1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</row>
    <row r="905" ht="15.75" customHeight="1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</row>
    <row r="906" ht="15.75" customHeight="1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</row>
    <row r="907" ht="15.75" customHeight="1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</row>
    <row r="908" ht="15.75" customHeight="1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</row>
    <row r="909" ht="15.75" customHeight="1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</row>
    <row r="910" ht="15.75" customHeight="1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</row>
    <row r="911" ht="15.75" customHeight="1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</row>
    <row r="912" ht="15.75" customHeight="1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</row>
    <row r="913" ht="15.75" customHeight="1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</row>
    <row r="914" ht="15.75" customHeight="1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</row>
    <row r="915" ht="15.75" customHeight="1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</row>
    <row r="916" ht="15.75" customHeight="1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</row>
    <row r="917" ht="15.75" customHeight="1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</row>
    <row r="918" ht="15.75" customHeight="1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</row>
    <row r="919" ht="15.75" customHeight="1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</row>
    <row r="920" ht="15.75" customHeight="1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</row>
    <row r="921" ht="15.75" customHeight="1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</row>
    <row r="922" ht="15.75" customHeight="1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</row>
    <row r="923" ht="15.75" customHeight="1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</row>
    <row r="924" ht="15.75" customHeight="1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</row>
    <row r="925" ht="15.75" customHeight="1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</row>
    <row r="926" ht="15.75" customHeight="1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</row>
    <row r="927" ht="15.75" customHeight="1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</row>
    <row r="928" ht="15.75" customHeight="1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</row>
    <row r="929" ht="15.75" customHeight="1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</row>
    <row r="930" ht="15.75" customHeight="1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</row>
    <row r="931" ht="15.75" customHeight="1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</row>
    <row r="932" ht="15.75" customHeight="1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</row>
    <row r="933" ht="15.75" customHeight="1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</row>
    <row r="934" ht="15.75" customHeight="1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</row>
    <row r="935" ht="15.75" customHeight="1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</row>
    <row r="936" ht="15.75" customHeight="1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</row>
    <row r="937" ht="15.75" customHeight="1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</row>
    <row r="938" ht="15.75" customHeight="1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</row>
    <row r="939" ht="15.75" customHeight="1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</row>
    <row r="940" ht="15.75" customHeight="1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</row>
    <row r="941" ht="15.75" customHeight="1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</row>
    <row r="942" ht="15.75" customHeight="1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</row>
    <row r="943" ht="15.75" customHeight="1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</row>
    <row r="944" ht="15.75" customHeight="1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</row>
    <row r="945" ht="15.75" customHeight="1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</row>
    <row r="946" ht="15.75" customHeight="1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</row>
    <row r="947" ht="15.75" customHeight="1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</row>
    <row r="948" ht="15.75" customHeight="1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</row>
    <row r="949" ht="15.75" customHeight="1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</row>
    <row r="950" ht="15.75" customHeight="1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</row>
    <row r="951" ht="15.75" customHeight="1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</row>
    <row r="952" ht="15.75" customHeight="1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</row>
    <row r="953" ht="15.75" customHeight="1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</row>
    <row r="954" ht="15.75" customHeight="1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</row>
    <row r="955" ht="15.75" customHeight="1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</row>
    <row r="956" ht="15.75" customHeight="1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</row>
    <row r="957" ht="15.75" customHeight="1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</row>
    <row r="958" ht="15.75" customHeight="1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</row>
    <row r="959" ht="15.75" customHeight="1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</row>
    <row r="960" ht="15.75" customHeight="1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</row>
    <row r="961" ht="15.75" customHeight="1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</row>
    <row r="962" ht="15.75" customHeight="1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</row>
    <row r="963" ht="15.75" customHeight="1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</row>
    <row r="964" ht="15.75" customHeight="1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</row>
    <row r="965" ht="15.75" customHeight="1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</row>
    <row r="966" ht="15.75" customHeight="1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</row>
    <row r="967" ht="15.75" customHeight="1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</row>
    <row r="968" ht="15.75" customHeight="1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</row>
    <row r="969" ht="15.75" customHeight="1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</row>
    <row r="970" ht="15.75" customHeight="1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</row>
    <row r="971" ht="15.75" customHeight="1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</row>
    <row r="972" ht="15.75" customHeight="1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</row>
    <row r="973" ht="15.75" customHeight="1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</row>
    <row r="974" ht="15.75" customHeight="1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</row>
    <row r="975" ht="15.75" customHeight="1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</row>
    <row r="976" ht="15.75" customHeight="1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</row>
    <row r="977" ht="15.75" customHeight="1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</row>
    <row r="978" ht="15.75" customHeight="1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</row>
    <row r="979" ht="15.75" customHeight="1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</row>
    <row r="980" ht="15.75" customHeight="1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</row>
    <row r="981" ht="15.75" customHeight="1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</row>
    <row r="982" ht="15.75" customHeight="1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</row>
    <row r="983" ht="15.75" customHeight="1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</row>
    <row r="984" ht="15.75" customHeight="1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</row>
    <row r="985" ht="15.75" customHeight="1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</row>
    <row r="986" ht="15.75" customHeight="1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</row>
    <row r="987" ht="15.75" customHeight="1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</row>
    <row r="988" ht="15.75" customHeight="1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</row>
    <row r="989" ht="15.75" customHeight="1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</row>
    <row r="990" ht="15.75" customHeight="1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</row>
    <row r="991" ht="15.75" customHeight="1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</row>
    <row r="992" ht="15.75" customHeight="1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</row>
    <row r="993" ht="15.75" customHeight="1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</row>
    <row r="994" ht="15.75" customHeight="1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</row>
    <row r="995" ht="15.75" customHeight="1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</row>
    <row r="996" ht="15.75" customHeight="1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</row>
    <row r="997" ht="15.75" customHeight="1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</row>
    <row r="998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</row>
    <row r="999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</row>
    <row r="1000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28.14"/>
    <col customWidth="1" min="3" max="3" width="21.14"/>
    <col customWidth="1" min="4" max="4" width="13.71"/>
    <col customWidth="1" min="5" max="5" width="12.14"/>
    <col customWidth="1" min="6" max="6" width="7.71"/>
    <col customWidth="1" min="7" max="7" width="9.14"/>
    <col customWidth="1" min="8" max="8" width="13.29"/>
    <col customWidth="1" min="9" max="20" width="10.71"/>
  </cols>
  <sheetData>
    <row r="1" ht="11.25" customHeight="1">
      <c r="A1" s="61" t="s">
        <v>5</v>
      </c>
      <c r="B1" s="61"/>
      <c r="C1" s="65"/>
      <c r="D1" s="65"/>
      <c r="E1" s="65"/>
      <c r="F1" s="65"/>
      <c r="G1" s="63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</row>
    <row r="2" ht="11.25" customHeight="1">
      <c r="A2" s="64" t="s">
        <v>155</v>
      </c>
      <c r="B2" s="61"/>
      <c r="C2" s="65"/>
      <c r="D2" s="65"/>
      <c r="E2" s="65"/>
      <c r="F2" s="65"/>
      <c r="G2" s="63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</row>
    <row r="3" ht="11.25" customHeight="1">
      <c r="A3" s="64" t="s">
        <v>156</v>
      </c>
      <c r="C3" s="65" t="s">
        <v>157</v>
      </c>
      <c r="D3" s="65"/>
      <c r="E3" s="65"/>
      <c r="F3" s="65"/>
      <c r="G3" s="63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</row>
    <row r="4" ht="11.25" customHeight="1">
      <c r="A4" s="64" t="s">
        <v>158</v>
      </c>
      <c r="B4" s="61"/>
      <c r="C4" s="65" t="s">
        <v>159</v>
      </c>
      <c r="D4" s="65"/>
      <c r="E4" s="65"/>
      <c r="F4" s="65"/>
      <c r="G4" s="63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</row>
    <row r="5" ht="11.25" customHeight="1">
      <c r="A5" s="64" t="s">
        <v>160</v>
      </c>
      <c r="B5" s="61"/>
      <c r="C5" s="65" t="s">
        <v>159</v>
      </c>
      <c r="D5" s="65"/>
      <c r="E5" s="65"/>
      <c r="F5" s="65"/>
      <c r="G5" s="63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</row>
    <row r="6" ht="11.25" customHeight="1">
      <c r="A6" s="64"/>
      <c r="B6" s="61"/>
      <c r="C6" s="65"/>
      <c r="D6" s="65"/>
      <c r="E6" s="65"/>
      <c r="F6" s="65"/>
      <c r="G6" s="63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</row>
    <row r="7" ht="11.25" customHeight="1">
      <c r="A7" s="301" t="s">
        <v>161</v>
      </c>
      <c r="B7" s="302" t="s">
        <v>1163</v>
      </c>
      <c r="C7" s="303"/>
      <c r="D7" s="303"/>
      <c r="E7" s="303"/>
      <c r="F7" s="303"/>
      <c r="G7" s="304"/>
      <c r="H7" s="303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</row>
    <row r="8" ht="11.25" customHeight="1">
      <c r="A8" s="62"/>
      <c r="B8" s="305"/>
      <c r="C8" s="63"/>
      <c r="D8" s="63"/>
      <c r="E8" s="63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</row>
    <row r="9">
      <c r="A9" s="241" t="s">
        <v>282</v>
      </c>
      <c r="B9" s="241" t="s">
        <v>209</v>
      </c>
      <c r="C9" s="243" t="s">
        <v>166</v>
      </c>
      <c r="D9" s="243" t="s">
        <v>167</v>
      </c>
      <c r="E9" s="243" t="s">
        <v>284</v>
      </c>
      <c r="F9" s="243" t="s">
        <v>169</v>
      </c>
      <c r="G9" s="306" t="s">
        <v>170</v>
      </c>
      <c r="H9" s="243" t="s">
        <v>756</v>
      </c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</row>
    <row r="10" ht="11.25" customHeight="1">
      <c r="A10" s="307">
        <v>7.10335219E9</v>
      </c>
      <c r="B10" s="307" t="s">
        <v>1164</v>
      </c>
      <c r="C10" s="308">
        <v>700.0</v>
      </c>
      <c r="D10" s="307">
        <v>50.0</v>
      </c>
      <c r="E10" s="76">
        <v>0.0</v>
      </c>
      <c r="F10" s="309">
        <f t="shared" ref="F10:F12" si="1">E10/C10</f>
        <v>0</v>
      </c>
      <c r="G10" s="310">
        <f t="shared" ref="G10:G13" si="2">365/D10</f>
        <v>7.3</v>
      </c>
      <c r="H10" s="311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</row>
    <row r="11" ht="11.25" customHeight="1">
      <c r="A11" s="307">
        <v>7.10342519E9</v>
      </c>
      <c r="B11" s="307" t="s">
        <v>1165</v>
      </c>
      <c r="C11" s="307">
        <v>1300.0</v>
      </c>
      <c r="D11" s="307">
        <v>140.0</v>
      </c>
      <c r="E11" s="76">
        <v>0.0</v>
      </c>
      <c r="F11" s="312">
        <f t="shared" si="1"/>
        <v>0</v>
      </c>
      <c r="G11" s="310">
        <f t="shared" si="2"/>
        <v>2.607142857</v>
      </c>
      <c r="H11" s="313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</row>
    <row r="12" ht="11.25" customHeight="1">
      <c r="A12" s="76">
        <v>7.10343319E9</v>
      </c>
      <c r="B12" s="76" t="s">
        <v>1166</v>
      </c>
      <c r="C12" s="76">
        <v>1300.0</v>
      </c>
      <c r="D12" s="76">
        <v>70.0</v>
      </c>
      <c r="E12" s="76">
        <f>$E$11</f>
        <v>0</v>
      </c>
      <c r="F12" s="78">
        <f t="shared" si="1"/>
        <v>0</v>
      </c>
      <c r="G12" s="314">
        <f t="shared" si="2"/>
        <v>5.214285714</v>
      </c>
      <c r="H12" s="313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</row>
    <row r="13" ht="11.25" customHeight="1">
      <c r="A13" s="76">
        <v>7.14205619E9</v>
      </c>
      <c r="B13" s="76" t="s">
        <v>1167</v>
      </c>
      <c r="C13" s="315">
        <v>14.0</v>
      </c>
      <c r="D13" s="76">
        <v>140.0</v>
      </c>
      <c r="E13" s="76">
        <f>$E$10</f>
        <v>0</v>
      </c>
      <c r="F13" s="78">
        <f>336/C13</f>
        <v>24</v>
      </c>
      <c r="G13" s="314">
        <f t="shared" si="2"/>
        <v>2.607142857</v>
      </c>
      <c r="H13" s="313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</row>
    <row r="14" ht="11.25" customHeight="1">
      <c r="A14" s="76">
        <v>7.10510019E9</v>
      </c>
      <c r="B14" s="76" t="s">
        <v>1168</v>
      </c>
      <c r="C14" s="315">
        <v>10.0</v>
      </c>
      <c r="D14" s="76">
        <v>20.0</v>
      </c>
      <c r="E14" s="76">
        <f t="shared" ref="E14:E16" si="3">$E$11</f>
        <v>0</v>
      </c>
      <c r="F14" s="78">
        <f t="shared" ref="F14:F16" si="4">365/C14</f>
        <v>36.5</v>
      </c>
      <c r="G14" s="314"/>
      <c r="H14" s="311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</row>
    <row r="15" ht="11.25" customHeight="1">
      <c r="A15" s="76">
        <v>7.10533919E9</v>
      </c>
      <c r="B15" s="76" t="s">
        <v>1169</v>
      </c>
      <c r="C15" s="315">
        <v>10.0</v>
      </c>
      <c r="D15" s="76">
        <v>20.0</v>
      </c>
      <c r="E15" s="76">
        <f t="shared" si="3"/>
        <v>0</v>
      </c>
      <c r="F15" s="78">
        <f t="shared" si="4"/>
        <v>36.5</v>
      </c>
      <c r="G15" s="314"/>
      <c r="H15" s="311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</row>
    <row r="16" ht="11.25" customHeight="1">
      <c r="A16" s="76">
        <v>7.10691219E9</v>
      </c>
      <c r="B16" s="76" t="s">
        <v>1170</v>
      </c>
      <c r="C16" s="315">
        <v>10.0</v>
      </c>
      <c r="D16" s="76">
        <v>20.0</v>
      </c>
      <c r="E16" s="76">
        <f t="shared" si="3"/>
        <v>0</v>
      </c>
      <c r="F16" s="78">
        <f t="shared" si="4"/>
        <v>36.5</v>
      </c>
      <c r="G16" s="314"/>
      <c r="H16" s="311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</row>
    <row r="17" ht="11.25" customHeight="1">
      <c r="A17" s="307">
        <v>6.58936719E9</v>
      </c>
      <c r="B17" s="307" t="s">
        <v>1171</v>
      </c>
      <c r="C17" s="307">
        <v>215.0</v>
      </c>
      <c r="D17" s="307">
        <v>140.0</v>
      </c>
      <c r="E17" s="315">
        <v>0.0</v>
      </c>
      <c r="F17" s="309">
        <f>E17/C17</f>
        <v>0</v>
      </c>
      <c r="G17" s="316">
        <f t="shared" ref="G17:G18" si="5">365/D17</f>
        <v>2.607142857</v>
      </c>
      <c r="H17" s="313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</row>
    <row r="18" ht="11.25" customHeight="1">
      <c r="A18" s="76">
        <v>7.31049819E9</v>
      </c>
      <c r="B18" s="76" t="s">
        <v>1172</v>
      </c>
      <c r="C18" s="76">
        <v>2.0</v>
      </c>
      <c r="D18" s="76">
        <v>112.0</v>
      </c>
      <c r="E18" s="315">
        <f t="shared" ref="E18:E19" si="6">$E$17</f>
        <v>0</v>
      </c>
      <c r="F18" s="78">
        <f>(E17/(0.0006*300)/3000)</f>
        <v>0</v>
      </c>
      <c r="G18" s="314">
        <f t="shared" si="5"/>
        <v>3.258928571</v>
      </c>
      <c r="H18" s="317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</row>
    <row r="19" ht="11.25" customHeight="1">
      <c r="A19" s="76">
        <v>7.31132019E9</v>
      </c>
      <c r="B19" s="76" t="s">
        <v>1173</v>
      </c>
      <c r="C19" s="76">
        <v>1.0</v>
      </c>
      <c r="D19" s="76">
        <v>1.0</v>
      </c>
      <c r="E19" s="315">
        <f t="shared" si="6"/>
        <v>0</v>
      </c>
      <c r="F19" s="78">
        <f>(E17/(0.0001*300)/3000)</f>
        <v>0</v>
      </c>
      <c r="G19" s="314"/>
      <c r="H19" s="311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</row>
    <row r="20" ht="11.25" customHeight="1">
      <c r="A20" s="76"/>
      <c r="B20" s="76"/>
      <c r="C20" s="76"/>
      <c r="D20" s="76"/>
      <c r="E20" s="318"/>
      <c r="F20" s="78"/>
      <c r="G20" s="314"/>
      <c r="H20" s="311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</row>
    <row r="21" ht="11.25" customHeight="1">
      <c r="A21" s="76">
        <v>7.10348419E9</v>
      </c>
      <c r="B21" s="76" t="s">
        <v>1174</v>
      </c>
      <c r="C21" s="76">
        <v>1900.0</v>
      </c>
      <c r="D21" s="76">
        <v>365.0</v>
      </c>
      <c r="E21" s="76">
        <f>E10+E11</f>
        <v>0</v>
      </c>
      <c r="F21" s="78">
        <f>E21/C21</f>
        <v>0</v>
      </c>
      <c r="G21" s="314">
        <f>365/D21</f>
        <v>1</v>
      </c>
      <c r="H21" s="313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</row>
    <row r="22" ht="11.25" customHeight="1">
      <c r="A22" s="76">
        <v>7.20473619E9</v>
      </c>
      <c r="B22" s="76" t="s">
        <v>1175</v>
      </c>
      <c r="C22" s="315">
        <v>10.0</v>
      </c>
      <c r="D22" s="76">
        <v>24.0</v>
      </c>
      <c r="E22" s="76">
        <f>E10+E11</f>
        <v>0</v>
      </c>
      <c r="F22" s="78">
        <f t="shared" ref="F22:G22" si="7">365/C22</f>
        <v>36.5</v>
      </c>
      <c r="G22" s="314">
        <f t="shared" si="7"/>
        <v>15.20833333</v>
      </c>
      <c r="H22" s="313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</row>
    <row r="23" ht="11.25" customHeight="1">
      <c r="A23" s="76">
        <v>7.25592619E9</v>
      </c>
      <c r="B23" s="76" t="s">
        <v>1176</v>
      </c>
      <c r="C23" s="315">
        <v>60.0</v>
      </c>
      <c r="D23" s="76">
        <v>336.0</v>
      </c>
      <c r="E23" s="76">
        <f>E10+E11</f>
        <v>0</v>
      </c>
      <c r="F23" s="78">
        <f>240/C23</f>
        <v>4</v>
      </c>
      <c r="G23" s="314">
        <f t="shared" ref="G23:G26" si="8">365/D23</f>
        <v>1.086309524</v>
      </c>
      <c r="H23" s="313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</row>
    <row r="24" ht="11.25" customHeight="1">
      <c r="A24" s="76">
        <v>5.064210001E9</v>
      </c>
      <c r="B24" s="76" t="s">
        <v>1177</v>
      </c>
      <c r="C24" s="76">
        <v>2320.0</v>
      </c>
      <c r="D24" s="76">
        <v>365.0</v>
      </c>
      <c r="E24" s="76">
        <f>E10+E11</f>
        <v>0</v>
      </c>
      <c r="F24" s="78">
        <f>((E17/C24)+(E10/C24)+(E11/C24))*1.2</f>
        <v>0</v>
      </c>
      <c r="G24" s="314">
        <f t="shared" si="8"/>
        <v>1</v>
      </c>
      <c r="H24" s="313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</row>
    <row r="25" ht="11.25" customHeight="1">
      <c r="A25" s="76">
        <v>4.444191001E9</v>
      </c>
      <c r="B25" s="76" t="s">
        <v>1178</v>
      </c>
      <c r="C25" s="76">
        <v>1.0</v>
      </c>
      <c r="D25" s="76">
        <v>365.0</v>
      </c>
      <c r="E25" s="76">
        <f>E10+E11</f>
        <v>0</v>
      </c>
      <c r="F25" s="78">
        <f>(((E10+E11+E17)-((E10+E11+E17)*0.9))/D25)</f>
        <v>0</v>
      </c>
      <c r="G25" s="314">
        <f t="shared" si="8"/>
        <v>1</v>
      </c>
      <c r="H25" s="311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</row>
    <row r="26" ht="11.25" customHeight="1">
      <c r="A26" s="76" t="s">
        <v>1179</v>
      </c>
      <c r="B26" s="76" t="s">
        <v>1180</v>
      </c>
      <c r="C26" s="315">
        <v>13.0</v>
      </c>
      <c r="D26" s="76">
        <v>2.0</v>
      </c>
      <c r="E26" s="76">
        <f>E10+E11</f>
        <v>0</v>
      </c>
      <c r="F26" s="78">
        <f>(0.002*(E26/C26))*365</f>
        <v>0</v>
      </c>
      <c r="G26" s="314">
        <f t="shared" si="8"/>
        <v>182.5</v>
      </c>
      <c r="H26" s="311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</row>
    <row r="27" ht="11.25" customHeight="1">
      <c r="A27" s="76"/>
      <c r="B27" s="76" t="s">
        <v>1181</v>
      </c>
      <c r="C27" s="76">
        <v>1.0</v>
      </c>
      <c r="D27" s="76"/>
      <c r="E27" s="76">
        <f>E10+E11</f>
        <v>0</v>
      </c>
      <c r="F27" s="78"/>
      <c r="G27" s="314"/>
      <c r="H27" s="311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</row>
    <row r="28" ht="11.25" customHeight="1">
      <c r="A28" s="63"/>
      <c r="B28" s="63"/>
      <c r="C28" s="63"/>
      <c r="D28" s="63"/>
      <c r="E28" s="63"/>
      <c r="F28" s="63"/>
      <c r="G28" s="63"/>
      <c r="H28" s="63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</row>
    <row r="29" ht="11.25" customHeight="1">
      <c r="A29" s="63"/>
      <c r="B29" s="63"/>
      <c r="C29" s="63"/>
      <c r="D29" s="63"/>
      <c r="E29" s="63"/>
      <c r="F29" s="63"/>
      <c r="G29" s="63"/>
      <c r="H29" s="63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</row>
    <row r="30" ht="11.25" customHeight="1">
      <c r="A30" s="63"/>
      <c r="B30" s="63"/>
      <c r="C30" s="63"/>
      <c r="D30" s="63"/>
      <c r="E30" s="63"/>
      <c r="F30" s="63"/>
      <c r="G30" s="63"/>
      <c r="H30" s="63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</row>
    <row r="31">
      <c r="A31" s="319" t="s">
        <v>161</v>
      </c>
      <c r="B31" s="319" t="s">
        <v>1182</v>
      </c>
      <c r="C31" s="320"/>
      <c r="D31" s="320"/>
      <c r="E31" s="320"/>
      <c r="F31" s="320"/>
      <c r="G31" s="320"/>
      <c r="H31" s="320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</row>
    <row r="32">
      <c r="A32" s="321"/>
      <c r="B32" s="321"/>
      <c r="C32" s="63"/>
      <c r="D32" s="63"/>
      <c r="E32" s="63"/>
      <c r="F32" s="63"/>
      <c r="G32" s="63"/>
      <c r="H32" s="63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</row>
    <row r="33">
      <c r="A33" s="239" t="s">
        <v>282</v>
      </c>
      <c r="B33" s="239" t="s">
        <v>209</v>
      </c>
      <c r="C33" s="243" t="s">
        <v>166</v>
      </c>
      <c r="D33" s="243" t="s">
        <v>167</v>
      </c>
      <c r="E33" s="243" t="s">
        <v>284</v>
      </c>
      <c r="F33" s="243" t="s">
        <v>169</v>
      </c>
      <c r="G33" s="306" t="s">
        <v>170</v>
      </c>
      <c r="H33" s="243" t="s">
        <v>756</v>
      </c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</row>
    <row r="34" ht="11.25" customHeight="1">
      <c r="A34" s="322">
        <v>4.87780219E9</v>
      </c>
      <c r="B34" s="322" t="s">
        <v>1183</v>
      </c>
      <c r="C34" s="76">
        <v>10.0</v>
      </c>
      <c r="D34" s="76"/>
      <c r="E34" s="76">
        <v>0.0</v>
      </c>
      <c r="F34" s="76">
        <f t="shared" ref="F34:F37" si="9">E34/C34</f>
        <v>0</v>
      </c>
      <c r="G34" s="76"/>
      <c r="H34" s="76">
        <f t="shared" ref="H34:H37" si="10">IF(G34&gt;F34,G34,F34)</f>
        <v>0</v>
      </c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</row>
    <row r="35">
      <c r="A35" s="76">
        <v>4.87790019E9</v>
      </c>
      <c r="B35" s="76" t="s">
        <v>1184</v>
      </c>
      <c r="C35" s="76">
        <v>10.0</v>
      </c>
      <c r="D35" s="76"/>
      <c r="E35" s="76">
        <v>0.0</v>
      </c>
      <c r="F35" s="76">
        <f t="shared" si="9"/>
        <v>0</v>
      </c>
      <c r="G35" s="76"/>
      <c r="H35" s="76">
        <f t="shared" si="10"/>
        <v>0</v>
      </c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</row>
    <row r="36" ht="11.25" customHeight="1">
      <c r="A36" s="76">
        <v>5.53364319E9</v>
      </c>
      <c r="B36" s="76" t="s">
        <v>1185</v>
      </c>
      <c r="C36" s="76">
        <v>10.0</v>
      </c>
      <c r="D36" s="76"/>
      <c r="E36" s="76">
        <v>0.0</v>
      </c>
      <c r="F36" s="76">
        <f t="shared" si="9"/>
        <v>0</v>
      </c>
      <c r="G36" s="76"/>
      <c r="H36" s="76">
        <f t="shared" si="10"/>
        <v>0</v>
      </c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</row>
    <row r="37" ht="11.25" customHeight="1">
      <c r="A37" s="76">
        <v>7.00730219E9</v>
      </c>
      <c r="B37" s="76" t="s">
        <v>1186</v>
      </c>
      <c r="C37" s="76">
        <v>10.0</v>
      </c>
      <c r="D37" s="76"/>
      <c r="E37" s="76">
        <v>0.0</v>
      </c>
      <c r="F37" s="76">
        <f t="shared" si="9"/>
        <v>0</v>
      </c>
      <c r="G37" s="76"/>
      <c r="H37" s="76">
        <f t="shared" si="10"/>
        <v>0</v>
      </c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</row>
    <row r="38" ht="11.25" customHeight="1">
      <c r="A38" s="322"/>
      <c r="B38" s="322" t="s">
        <v>1187</v>
      </c>
      <c r="C38" s="76">
        <v>100.0</v>
      </c>
      <c r="D38" s="76"/>
      <c r="E38" s="323"/>
      <c r="F38" s="76">
        <f>E39/C38</f>
        <v>0</v>
      </c>
      <c r="G38" s="76"/>
      <c r="H38" s="76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</row>
    <row r="39" ht="11.25" customHeight="1">
      <c r="A39" s="63"/>
      <c r="B39" s="63"/>
      <c r="C39" s="63"/>
      <c r="D39" s="63"/>
      <c r="E39" s="63"/>
      <c r="F39" s="63"/>
      <c r="G39" s="63"/>
      <c r="H39" s="63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</row>
    <row r="40" ht="11.25" customHeight="1">
      <c r="A40" s="63"/>
      <c r="B40" s="63"/>
      <c r="C40" s="63"/>
      <c r="D40" s="63"/>
      <c r="E40" s="63"/>
      <c r="F40" s="63"/>
      <c r="G40" s="63"/>
      <c r="H40" s="63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</row>
    <row r="41" ht="11.25" customHeight="1">
      <c r="A41" s="63"/>
      <c r="B41" s="63"/>
      <c r="C41" s="63"/>
      <c r="D41" s="63"/>
      <c r="E41" s="63"/>
      <c r="F41" s="63"/>
      <c r="G41" s="63"/>
      <c r="H41" s="63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</row>
    <row r="42" ht="11.25" customHeight="1">
      <c r="A42" s="63"/>
      <c r="B42" s="63"/>
      <c r="C42" s="63"/>
      <c r="D42" s="63"/>
      <c r="E42" s="63"/>
      <c r="F42" s="63"/>
      <c r="G42" s="63"/>
      <c r="H42" s="63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</row>
    <row r="43" ht="11.25" customHeight="1">
      <c r="A43" s="63"/>
      <c r="B43" s="63"/>
      <c r="C43" s="63"/>
      <c r="D43" s="63"/>
      <c r="E43" s="63"/>
      <c r="F43" s="63"/>
      <c r="G43" s="63"/>
      <c r="H43" s="63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</row>
    <row r="44" ht="11.25" customHeight="1">
      <c r="A44" s="63"/>
      <c r="B44" s="63"/>
      <c r="C44" s="63"/>
      <c r="D44" s="63"/>
      <c r="E44" s="63"/>
      <c r="F44" s="63"/>
      <c r="G44" s="63"/>
      <c r="H44" s="63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</row>
    <row r="45" ht="11.25" customHeight="1">
      <c r="A45" s="63"/>
      <c r="B45" s="63"/>
      <c r="C45" s="63"/>
      <c r="D45" s="63"/>
      <c r="E45" s="63"/>
      <c r="F45" s="63"/>
      <c r="G45" s="63"/>
      <c r="H45" s="63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</row>
    <row r="46" ht="11.25" customHeight="1">
      <c r="A46" s="63"/>
      <c r="B46" s="63"/>
      <c r="C46" s="63"/>
      <c r="D46" s="63"/>
      <c r="E46" s="63"/>
      <c r="F46" s="63"/>
      <c r="G46" s="63"/>
      <c r="H46" s="63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</row>
    <row r="47" ht="11.25" customHeight="1">
      <c r="A47" s="63"/>
      <c r="B47" s="63"/>
      <c r="C47" s="63"/>
      <c r="D47" s="63"/>
      <c r="E47" s="63"/>
      <c r="F47" s="63"/>
      <c r="G47" s="63"/>
      <c r="H47" s="63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</row>
    <row r="48" ht="11.25" customHeight="1">
      <c r="A48" s="63"/>
      <c r="B48" s="63"/>
      <c r="C48" s="63"/>
      <c r="D48" s="63"/>
      <c r="E48" s="63"/>
      <c r="F48" s="63"/>
      <c r="G48" s="63"/>
      <c r="H48" s="63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</row>
    <row r="49" ht="11.25" customHeight="1">
      <c r="A49" s="63"/>
      <c r="B49" s="63"/>
      <c r="C49" s="63"/>
      <c r="D49" s="63"/>
      <c r="E49" s="63"/>
      <c r="F49" s="63"/>
      <c r="G49" s="63"/>
      <c r="H49" s="63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</row>
    <row r="50" ht="11.25" customHeight="1">
      <c r="A50" s="63"/>
      <c r="B50" s="63"/>
      <c r="C50" s="63"/>
      <c r="D50" s="63"/>
      <c r="E50" s="63"/>
      <c r="F50" s="63"/>
      <c r="G50" s="63"/>
      <c r="H50" s="63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</row>
    <row r="51" ht="11.25" customHeight="1">
      <c r="A51" s="63"/>
      <c r="B51" s="63"/>
      <c r="C51" s="63"/>
      <c r="D51" s="63"/>
      <c r="E51" s="63"/>
      <c r="F51" s="63"/>
      <c r="G51" s="63"/>
      <c r="H51" s="63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</row>
    <row r="52" ht="11.25" customHeight="1">
      <c r="A52" s="63"/>
      <c r="B52" s="63"/>
      <c r="C52" s="63"/>
      <c r="D52" s="63"/>
      <c r="E52" s="63"/>
      <c r="F52" s="63"/>
      <c r="G52" s="63"/>
      <c r="H52" s="63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</row>
    <row r="53" ht="11.25" customHeight="1">
      <c r="A53" s="63"/>
      <c r="B53" s="63"/>
      <c r="C53" s="63"/>
      <c r="D53" s="63"/>
      <c r="E53" s="63"/>
      <c r="F53" s="63"/>
      <c r="G53" s="63"/>
      <c r="H53" s="63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</row>
    <row r="54" ht="11.25" customHeight="1">
      <c r="A54" s="63"/>
      <c r="B54" s="63"/>
      <c r="C54" s="63"/>
      <c r="D54" s="63"/>
      <c r="E54" s="63"/>
      <c r="F54" s="63"/>
      <c r="G54" s="63"/>
      <c r="H54" s="63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</row>
    <row r="55" ht="11.25" customHeight="1">
      <c r="A55" s="63"/>
      <c r="B55" s="63"/>
      <c r="C55" s="63"/>
      <c r="D55" s="63"/>
      <c r="E55" s="63"/>
      <c r="F55" s="63"/>
      <c r="G55" s="63"/>
      <c r="H55" s="63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</row>
    <row r="56" ht="11.25" customHeight="1">
      <c r="A56" s="63"/>
      <c r="B56" s="63"/>
      <c r="C56" s="63"/>
      <c r="D56" s="63"/>
      <c r="E56" s="63"/>
      <c r="F56" s="63"/>
      <c r="G56" s="63"/>
      <c r="H56" s="63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</row>
    <row r="57" ht="11.25" customHeight="1">
      <c r="A57" s="63"/>
      <c r="B57" s="63"/>
      <c r="C57" s="63"/>
      <c r="D57" s="63"/>
      <c r="E57" s="63"/>
      <c r="F57" s="63"/>
      <c r="G57" s="63"/>
      <c r="H57" s="63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</row>
    <row r="58" ht="11.25" customHeight="1">
      <c r="A58" s="63"/>
      <c r="B58" s="63"/>
      <c r="C58" s="63"/>
      <c r="D58" s="63"/>
      <c r="E58" s="63"/>
      <c r="F58" s="63"/>
      <c r="G58" s="63"/>
      <c r="H58" s="63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</row>
    <row r="59" ht="11.25" customHeight="1">
      <c r="A59" s="63"/>
      <c r="B59" s="63"/>
      <c r="C59" s="63"/>
      <c r="D59" s="63"/>
      <c r="E59" s="63"/>
      <c r="F59" s="63"/>
      <c r="G59" s="63"/>
      <c r="H59" s="63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</row>
    <row r="60" ht="11.25" customHeight="1">
      <c r="A60" s="63"/>
      <c r="B60" s="63"/>
      <c r="C60" s="63"/>
      <c r="D60" s="63"/>
      <c r="E60" s="63"/>
      <c r="F60" s="63"/>
      <c r="G60" s="63"/>
      <c r="H60" s="63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</row>
    <row r="61" ht="11.25" customHeight="1">
      <c r="A61" s="63"/>
      <c r="B61" s="63"/>
      <c r="C61" s="63"/>
      <c r="D61" s="63"/>
      <c r="E61" s="63"/>
      <c r="F61" s="63"/>
      <c r="G61" s="63"/>
      <c r="H61" s="63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</row>
    <row r="62" ht="11.25" customHeight="1">
      <c r="A62" s="63"/>
      <c r="B62" s="63"/>
      <c r="C62" s="63"/>
      <c r="D62" s="63"/>
      <c r="E62" s="63"/>
      <c r="F62" s="63"/>
      <c r="G62" s="63"/>
      <c r="H62" s="63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</row>
    <row r="63" ht="11.25" customHeight="1">
      <c r="A63" s="63"/>
      <c r="B63" s="63"/>
      <c r="C63" s="63"/>
      <c r="D63" s="63"/>
      <c r="E63" s="63"/>
      <c r="F63" s="63"/>
      <c r="G63" s="63"/>
      <c r="H63" s="63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</row>
    <row r="64" ht="11.25" customHeight="1">
      <c r="A64" s="63"/>
      <c r="B64" s="63"/>
      <c r="C64" s="63"/>
      <c r="D64" s="63"/>
      <c r="E64" s="63"/>
      <c r="F64" s="63"/>
      <c r="G64" s="63"/>
      <c r="H64" s="63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</row>
    <row r="65" ht="11.25" customHeight="1">
      <c r="A65" s="63"/>
      <c r="B65" s="63"/>
      <c r="C65" s="63"/>
      <c r="D65" s="63"/>
      <c r="E65" s="63"/>
      <c r="F65" s="63"/>
      <c r="G65" s="63"/>
      <c r="H65" s="63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</row>
    <row r="66" ht="11.25" customHeight="1">
      <c r="A66" s="63"/>
      <c r="B66" s="63"/>
      <c r="C66" s="63"/>
      <c r="D66" s="63"/>
      <c r="E66" s="63"/>
      <c r="F66" s="63"/>
      <c r="G66" s="63"/>
      <c r="H66" s="63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</row>
    <row r="67" ht="11.25" customHeight="1">
      <c r="A67" s="63"/>
      <c r="B67" s="63"/>
      <c r="C67" s="63"/>
      <c r="D67" s="63"/>
      <c r="E67" s="63"/>
      <c r="F67" s="63"/>
      <c r="G67" s="63"/>
      <c r="H67" s="63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</row>
    <row r="68" ht="11.25" customHeight="1">
      <c r="A68" s="63"/>
      <c r="B68" s="63"/>
      <c r="C68" s="63"/>
      <c r="D68" s="63"/>
      <c r="E68" s="63"/>
      <c r="F68" s="63"/>
      <c r="G68" s="63"/>
      <c r="H68" s="63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</row>
    <row r="69" ht="11.25" customHeight="1">
      <c r="A69" s="63"/>
      <c r="B69" s="63"/>
      <c r="C69" s="63"/>
      <c r="D69" s="63"/>
      <c r="E69" s="63"/>
      <c r="F69" s="63"/>
      <c r="G69" s="63"/>
      <c r="H69" s="63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</row>
    <row r="70" ht="11.25" customHeight="1">
      <c r="A70" s="63"/>
      <c r="B70" s="63"/>
      <c r="C70" s="63"/>
      <c r="D70" s="63"/>
      <c r="E70" s="63"/>
      <c r="F70" s="63"/>
      <c r="G70" s="63"/>
      <c r="H70" s="63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</row>
    <row r="71" ht="11.25" customHeight="1">
      <c r="A71" s="63"/>
      <c r="B71" s="63"/>
      <c r="C71" s="63"/>
      <c r="D71" s="63"/>
      <c r="E71" s="63"/>
      <c r="F71" s="63"/>
      <c r="G71" s="63"/>
      <c r="H71" s="63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</row>
    <row r="72" ht="11.25" customHeight="1">
      <c r="A72" s="63"/>
      <c r="B72" s="63"/>
      <c r="C72" s="63"/>
      <c r="D72" s="63"/>
      <c r="E72" s="63"/>
      <c r="F72" s="63"/>
      <c r="G72" s="63"/>
      <c r="H72" s="63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</row>
    <row r="73" ht="11.25" customHeight="1">
      <c r="A73" s="63"/>
      <c r="B73" s="63"/>
      <c r="C73" s="63"/>
      <c r="D73" s="63"/>
      <c r="E73" s="63"/>
      <c r="F73" s="63"/>
      <c r="G73" s="63"/>
      <c r="H73" s="63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</row>
    <row r="74" ht="11.25" customHeight="1">
      <c r="A74" s="63"/>
      <c r="B74" s="63"/>
      <c r="C74" s="63"/>
      <c r="D74" s="63"/>
      <c r="E74" s="63"/>
      <c r="F74" s="63"/>
      <c r="G74" s="63"/>
      <c r="H74" s="63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</row>
    <row r="75" ht="11.25" customHeight="1">
      <c r="A75" s="63"/>
      <c r="B75" s="63"/>
      <c r="C75" s="63"/>
      <c r="D75" s="63"/>
      <c r="E75" s="63"/>
      <c r="F75" s="63"/>
      <c r="G75" s="63"/>
      <c r="H75" s="63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</row>
    <row r="76" ht="11.25" customHeight="1">
      <c r="A76" s="63"/>
      <c r="B76" s="63"/>
      <c r="C76" s="63"/>
      <c r="D76" s="63"/>
      <c r="E76" s="63"/>
      <c r="F76" s="63"/>
      <c r="G76" s="63"/>
      <c r="H76" s="63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</row>
    <row r="77" ht="11.25" customHeight="1">
      <c r="A77" s="63"/>
      <c r="B77" s="63"/>
      <c r="C77" s="63"/>
      <c r="D77" s="63"/>
      <c r="E77" s="63"/>
      <c r="F77" s="63"/>
      <c r="G77" s="63"/>
      <c r="H77" s="63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</row>
    <row r="78" ht="11.25" customHeight="1">
      <c r="A78" s="63"/>
      <c r="B78" s="63"/>
      <c r="C78" s="63"/>
      <c r="D78" s="63"/>
      <c r="E78" s="63"/>
      <c r="F78" s="63"/>
      <c r="G78" s="63"/>
      <c r="H78" s="63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</row>
    <row r="79" ht="11.25" customHeight="1">
      <c r="A79" s="63"/>
      <c r="B79" s="63"/>
      <c r="C79" s="63"/>
      <c r="D79" s="63"/>
      <c r="E79" s="63"/>
      <c r="F79" s="63"/>
      <c r="G79" s="63"/>
      <c r="H79" s="63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</row>
    <row r="80" ht="11.25" customHeight="1">
      <c r="A80" s="63"/>
      <c r="B80" s="63"/>
      <c r="C80" s="63"/>
      <c r="D80" s="63"/>
      <c r="E80" s="63"/>
      <c r="F80" s="63"/>
      <c r="G80" s="63"/>
      <c r="H80" s="63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</row>
    <row r="81" ht="11.25" customHeight="1">
      <c r="A81" s="63"/>
      <c r="B81" s="63"/>
      <c r="C81" s="63"/>
      <c r="D81" s="63"/>
      <c r="E81" s="63"/>
      <c r="F81" s="63"/>
      <c r="G81" s="63"/>
      <c r="H81" s="63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</row>
    <row r="82" ht="11.25" customHeight="1">
      <c r="A82" s="63"/>
      <c r="B82" s="63"/>
      <c r="C82" s="63"/>
      <c r="D82" s="63"/>
      <c r="E82" s="63"/>
      <c r="F82" s="63"/>
      <c r="G82" s="63"/>
      <c r="H82" s="63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</row>
    <row r="83" ht="11.25" customHeight="1">
      <c r="A83" s="63"/>
      <c r="B83" s="63"/>
      <c r="C83" s="63"/>
      <c r="D83" s="63"/>
      <c r="E83" s="63"/>
      <c r="F83" s="63"/>
      <c r="G83" s="63"/>
      <c r="H83" s="63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</row>
    <row r="84" ht="11.25" customHeight="1">
      <c r="A84" s="63"/>
      <c r="B84" s="63"/>
      <c r="C84" s="63"/>
      <c r="D84" s="63"/>
      <c r="E84" s="63"/>
      <c r="F84" s="63"/>
      <c r="G84" s="63"/>
      <c r="H84" s="63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</row>
    <row r="85" ht="11.25" customHeight="1">
      <c r="A85" s="63"/>
      <c r="B85" s="63"/>
      <c r="C85" s="63"/>
      <c r="D85" s="63"/>
      <c r="E85" s="63"/>
      <c r="F85" s="63"/>
      <c r="G85" s="63"/>
      <c r="H85" s="63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</row>
    <row r="86" ht="11.25" customHeight="1">
      <c r="A86" s="63"/>
      <c r="B86" s="63"/>
      <c r="C86" s="63"/>
      <c r="D86" s="63"/>
      <c r="E86" s="63"/>
      <c r="F86" s="63"/>
      <c r="G86" s="63"/>
      <c r="H86" s="63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</row>
    <row r="87" ht="11.25" customHeight="1">
      <c r="A87" s="63"/>
      <c r="B87" s="63"/>
      <c r="C87" s="63"/>
      <c r="D87" s="63"/>
      <c r="E87" s="63"/>
      <c r="F87" s="63"/>
      <c r="G87" s="63"/>
      <c r="H87" s="63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</row>
    <row r="88" ht="11.25" customHeight="1">
      <c r="A88" s="63"/>
      <c r="B88" s="63"/>
      <c r="C88" s="63"/>
      <c r="D88" s="63"/>
      <c r="E88" s="63"/>
      <c r="F88" s="63"/>
      <c r="G88" s="63"/>
      <c r="H88" s="63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</row>
    <row r="89" ht="11.25" customHeight="1">
      <c r="A89" s="63"/>
      <c r="B89" s="63"/>
      <c r="C89" s="63"/>
      <c r="D89" s="63"/>
      <c r="E89" s="63"/>
      <c r="F89" s="63"/>
      <c r="G89" s="63"/>
      <c r="H89" s="63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</row>
    <row r="90" ht="11.25" customHeight="1">
      <c r="A90" s="63"/>
      <c r="B90" s="63"/>
      <c r="C90" s="63"/>
      <c r="D90" s="63"/>
      <c r="E90" s="63"/>
      <c r="F90" s="63"/>
      <c r="G90" s="63"/>
      <c r="H90" s="63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</row>
    <row r="91" ht="11.25" customHeight="1">
      <c r="A91" s="63"/>
      <c r="B91" s="63"/>
      <c r="C91" s="63"/>
      <c r="D91" s="63"/>
      <c r="E91" s="63"/>
      <c r="F91" s="63"/>
      <c r="G91" s="63"/>
      <c r="H91" s="63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</row>
    <row r="92" ht="11.25" customHeight="1">
      <c r="A92" s="63"/>
      <c r="B92" s="63"/>
      <c r="C92" s="63"/>
      <c r="D92" s="63"/>
      <c r="E92" s="63"/>
      <c r="F92" s="63"/>
      <c r="G92" s="63"/>
      <c r="H92" s="63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</row>
    <row r="93" ht="11.25" customHeight="1">
      <c r="A93" s="63"/>
      <c r="B93" s="63"/>
      <c r="C93" s="63"/>
      <c r="D93" s="63"/>
      <c r="E93" s="63"/>
      <c r="F93" s="63"/>
      <c r="G93" s="63"/>
      <c r="H93" s="63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</row>
    <row r="94" ht="11.25" customHeight="1">
      <c r="A94" s="63"/>
      <c r="B94" s="63"/>
      <c r="C94" s="63"/>
      <c r="D94" s="63"/>
      <c r="E94" s="63"/>
      <c r="F94" s="63"/>
      <c r="G94" s="63"/>
      <c r="H94" s="63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</row>
    <row r="95" ht="11.25" customHeight="1">
      <c r="A95" s="63"/>
      <c r="B95" s="63"/>
      <c r="C95" s="63"/>
      <c r="D95" s="63"/>
      <c r="E95" s="63"/>
      <c r="F95" s="63"/>
      <c r="G95" s="63"/>
      <c r="H95" s="63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</row>
    <row r="96" ht="11.25" customHeight="1">
      <c r="A96" s="63"/>
      <c r="B96" s="63"/>
      <c r="C96" s="63"/>
      <c r="D96" s="63"/>
      <c r="E96" s="63"/>
      <c r="F96" s="63"/>
      <c r="G96" s="63"/>
      <c r="H96" s="63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</row>
    <row r="97" ht="11.25" customHeight="1">
      <c r="A97" s="63"/>
      <c r="B97" s="63"/>
      <c r="C97" s="63"/>
      <c r="D97" s="63"/>
      <c r="E97" s="63"/>
      <c r="F97" s="63"/>
      <c r="G97" s="63"/>
      <c r="H97" s="63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</row>
    <row r="98" ht="11.25" customHeight="1">
      <c r="A98" s="63"/>
      <c r="B98" s="63"/>
      <c r="C98" s="63"/>
      <c r="D98" s="63"/>
      <c r="E98" s="63"/>
      <c r="F98" s="63"/>
      <c r="G98" s="63"/>
      <c r="H98" s="63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</row>
    <row r="99" ht="11.25" customHeight="1">
      <c r="A99" s="63"/>
      <c r="B99" s="63"/>
      <c r="C99" s="63"/>
      <c r="D99" s="63"/>
      <c r="E99" s="63"/>
      <c r="F99" s="63"/>
      <c r="G99" s="63"/>
      <c r="H99" s="63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</row>
    <row r="100" ht="11.25" customHeight="1">
      <c r="A100" s="63"/>
      <c r="B100" s="63"/>
      <c r="C100" s="63"/>
      <c r="D100" s="63"/>
      <c r="E100" s="63"/>
      <c r="F100" s="63"/>
      <c r="G100" s="63"/>
      <c r="H100" s="63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</row>
    <row r="101" ht="11.25" customHeight="1">
      <c r="A101" s="63"/>
      <c r="B101" s="63"/>
      <c r="C101" s="63"/>
      <c r="D101" s="63"/>
      <c r="E101" s="63"/>
      <c r="F101" s="63"/>
      <c r="G101" s="63"/>
      <c r="H101" s="63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</row>
    <row r="102" ht="11.25" customHeight="1">
      <c r="A102" s="63"/>
      <c r="B102" s="63"/>
      <c r="C102" s="63"/>
      <c r="D102" s="63"/>
      <c r="E102" s="63"/>
      <c r="F102" s="63"/>
      <c r="G102" s="63"/>
      <c r="H102" s="63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</row>
    <row r="103" ht="11.25" customHeight="1">
      <c r="A103" s="63"/>
      <c r="B103" s="63"/>
      <c r="C103" s="63"/>
      <c r="D103" s="63"/>
      <c r="E103" s="63"/>
      <c r="F103" s="63"/>
      <c r="G103" s="63"/>
      <c r="H103" s="63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</row>
    <row r="104" ht="11.25" customHeight="1">
      <c r="A104" s="63"/>
      <c r="B104" s="63"/>
      <c r="C104" s="63"/>
      <c r="D104" s="63"/>
      <c r="E104" s="63"/>
      <c r="F104" s="63"/>
      <c r="G104" s="63"/>
      <c r="H104" s="63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</row>
    <row r="105" ht="11.25" customHeight="1">
      <c r="A105" s="63"/>
      <c r="B105" s="63"/>
      <c r="C105" s="63"/>
      <c r="D105" s="63"/>
      <c r="E105" s="63"/>
      <c r="F105" s="63"/>
      <c r="G105" s="63"/>
      <c r="H105" s="63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</row>
    <row r="106" ht="11.25" customHeight="1">
      <c r="A106" s="63"/>
      <c r="B106" s="63"/>
      <c r="C106" s="63"/>
      <c r="D106" s="63"/>
      <c r="E106" s="63"/>
      <c r="F106" s="63"/>
      <c r="G106" s="63"/>
      <c r="H106" s="63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</row>
    <row r="107" ht="11.25" customHeight="1">
      <c r="A107" s="63"/>
      <c r="B107" s="63"/>
      <c r="C107" s="63"/>
      <c r="D107" s="63"/>
      <c r="E107" s="63"/>
      <c r="F107" s="63"/>
      <c r="G107" s="63"/>
      <c r="H107" s="63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</row>
    <row r="108" ht="11.25" customHeight="1">
      <c r="A108" s="63"/>
      <c r="B108" s="63"/>
      <c r="C108" s="63"/>
      <c r="D108" s="63"/>
      <c r="E108" s="63"/>
      <c r="F108" s="63"/>
      <c r="G108" s="63"/>
      <c r="H108" s="63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</row>
    <row r="109" ht="11.25" customHeight="1">
      <c r="A109" s="63"/>
      <c r="B109" s="63"/>
      <c r="C109" s="63"/>
      <c r="D109" s="63"/>
      <c r="E109" s="63"/>
      <c r="F109" s="63"/>
      <c r="G109" s="63"/>
      <c r="H109" s="63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</row>
    <row r="110" ht="11.25" customHeight="1">
      <c r="A110" s="63"/>
      <c r="B110" s="63"/>
      <c r="C110" s="63"/>
      <c r="D110" s="63"/>
      <c r="E110" s="63"/>
      <c r="F110" s="63"/>
      <c r="G110" s="63"/>
      <c r="H110" s="63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</row>
    <row r="111" ht="11.25" customHeight="1">
      <c r="A111" s="63"/>
      <c r="B111" s="63"/>
      <c r="C111" s="63"/>
      <c r="D111" s="63"/>
      <c r="E111" s="63"/>
      <c r="F111" s="63"/>
      <c r="G111" s="63"/>
      <c r="H111" s="63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</row>
    <row r="112" ht="11.25" customHeight="1">
      <c r="A112" s="63"/>
      <c r="B112" s="63"/>
      <c r="C112" s="63"/>
      <c r="D112" s="63"/>
      <c r="E112" s="63"/>
      <c r="F112" s="63"/>
      <c r="G112" s="63"/>
      <c r="H112" s="63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</row>
    <row r="113" ht="11.25" customHeight="1">
      <c r="A113" s="63"/>
      <c r="B113" s="63"/>
      <c r="C113" s="63"/>
      <c r="D113" s="63"/>
      <c r="E113" s="63"/>
      <c r="F113" s="63"/>
      <c r="G113" s="63"/>
      <c r="H113" s="63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</row>
    <row r="114" ht="11.25" customHeight="1">
      <c r="A114" s="63"/>
      <c r="B114" s="63"/>
      <c r="C114" s="63"/>
      <c r="D114" s="63"/>
      <c r="E114" s="63"/>
      <c r="F114" s="63"/>
      <c r="G114" s="63"/>
      <c r="H114" s="63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</row>
    <row r="115" ht="11.25" customHeight="1">
      <c r="A115" s="63"/>
      <c r="B115" s="63"/>
      <c r="C115" s="63"/>
      <c r="D115" s="63"/>
      <c r="E115" s="63"/>
      <c r="F115" s="63"/>
      <c r="G115" s="63"/>
      <c r="H115" s="63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</row>
    <row r="116" ht="11.25" customHeight="1">
      <c r="A116" s="63"/>
      <c r="B116" s="63"/>
      <c r="C116" s="63"/>
      <c r="D116" s="63"/>
      <c r="E116" s="63"/>
      <c r="F116" s="63"/>
      <c r="G116" s="63"/>
      <c r="H116" s="63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</row>
    <row r="117" ht="11.25" customHeight="1">
      <c r="A117" s="63"/>
      <c r="B117" s="63"/>
      <c r="C117" s="63"/>
      <c r="D117" s="63"/>
      <c r="E117" s="63"/>
      <c r="F117" s="63"/>
      <c r="G117" s="63"/>
      <c r="H117" s="63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</row>
    <row r="118" ht="11.25" customHeight="1">
      <c r="A118" s="63"/>
      <c r="B118" s="63"/>
      <c r="C118" s="63"/>
      <c r="D118" s="63"/>
      <c r="E118" s="63"/>
      <c r="F118" s="63"/>
      <c r="G118" s="63"/>
      <c r="H118" s="63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</row>
    <row r="119" ht="11.25" customHeight="1">
      <c r="A119" s="63"/>
      <c r="B119" s="63"/>
      <c r="C119" s="63"/>
      <c r="D119" s="63"/>
      <c r="E119" s="63"/>
      <c r="F119" s="63"/>
      <c r="G119" s="63"/>
      <c r="H119" s="63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</row>
    <row r="120" ht="11.25" customHeight="1">
      <c r="A120" s="63"/>
      <c r="B120" s="63"/>
      <c r="C120" s="63"/>
      <c r="D120" s="63"/>
      <c r="E120" s="63"/>
      <c r="F120" s="63"/>
      <c r="G120" s="63"/>
      <c r="H120" s="63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</row>
    <row r="121" ht="11.25" customHeight="1">
      <c r="A121" s="63"/>
      <c r="B121" s="63"/>
      <c r="C121" s="63"/>
      <c r="D121" s="63"/>
      <c r="E121" s="63"/>
      <c r="F121" s="63"/>
      <c r="G121" s="63"/>
      <c r="H121" s="63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</row>
    <row r="122" ht="11.25" customHeight="1">
      <c r="A122" s="63"/>
      <c r="B122" s="63"/>
      <c r="C122" s="63"/>
      <c r="D122" s="63"/>
      <c r="E122" s="63"/>
      <c r="F122" s="63"/>
      <c r="G122" s="63"/>
      <c r="H122" s="63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</row>
    <row r="123" ht="11.25" customHeight="1">
      <c r="A123" s="63"/>
      <c r="B123" s="63"/>
      <c r="C123" s="63"/>
      <c r="D123" s="63"/>
      <c r="E123" s="63"/>
      <c r="F123" s="63"/>
      <c r="G123" s="63"/>
      <c r="H123" s="63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</row>
    <row r="124" ht="11.25" customHeight="1">
      <c r="A124" s="63"/>
      <c r="B124" s="63"/>
      <c r="C124" s="63"/>
      <c r="D124" s="63"/>
      <c r="E124" s="63"/>
      <c r="F124" s="63"/>
      <c r="G124" s="63"/>
      <c r="H124" s="63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</row>
    <row r="125" ht="11.25" customHeight="1">
      <c r="A125" s="63"/>
      <c r="B125" s="63"/>
      <c r="C125" s="63"/>
      <c r="D125" s="63"/>
      <c r="E125" s="63"/>
      <c r="F125" s="63"/>
      <c r="G125" s="63"/>
      <c r="H125" s="63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</row>
    <row r="126" ht="11.25" customHeight="1">
      <c r="A126" s="63"/>
      <c r="B126" s="63"/>
      <c r="C126" s="63"/>
      <c r="D126" s="63"/>
      <c r="E126" s="63"/>
      <c r="F126" s="63"/>
      <c r="G126" s="63"/>
      <c r="H126" s="63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</row>
    <row r="127" ht="11.25" customHeight="1">
      <c r="A127" s="63"/>
      <c r="B127" s="63"/>
      <c r="C127" s="63"/>
      <c r="D127" s="63"/>
      <c r="E127" s="63"/>
      <c r="F127" s="63"/>
      <c r="G127" s="63"/>
      <c r="H127" s="63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</row>
    <row r="128" ht="11.25" customHeight="1">
      <c r="A128" s="63"/>
      <c r="B128" s="63"/>
      <c r="C128" s="63"/>
      <c r="D128" s="63"/>
      <c r="E128" s="63"/>
      <c r="F128" s="63"/>
      <c r="G128" s="63"/>
      <c r="H128" s="63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</row>
    <row r="129" ht="11.25" customHeight="1">
      <c r="A129" s="63"/>
      <c r="B129" s="63"/>
      <c r="C129" s="63"/>
      <c r="D129" s="63"/>
      <c r="E129" s="63"/>
      <c r="F129" s="63"/>
      <c r="G129" s="63"/>
      <c r="H129" s="63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</row>
    <row r="130" ht="11.25" customHeight="1">
      <c r="A130" s="63"/>
      <c r="B130" s="63"/>
      <c r="C130" s="63"/>
      <c r="D130" s="63"/>
      <c r="E130" s="63"/>
      <c r="F130" s="63"/>
      <c r="G130" s="63"/>
      <c r="H130" s="63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</row>
    <row r="131" ht="11.25" customHeight="1">
      <c r="A131" s="63"/>
      <c r="B131" s="63"/>
      <c r="C131" s="63"/>
      <c r="D131" s="63"/>
      <c r="E131" s="63"/>
      <c r="F131" s="63"/>
      <c r="G131" s="63"/>
      <c r="H131" s="63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</row>
    <row r="132" ht="11.25" customHeight="1">
      <c r="A132" s="63"/>
      <c r="B132" s="63"/>
      <c r="C132" s="63"/>
      <c r="D132" s="63"/>
      <c r="E132" s="63"/>
      <c r="F132" s="63"/>
      <c r="G132" s="63"/>
      <c r="H132" s="63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</row>
    <row r="133" ht="11.25" customHeight="1">
      <c r="A133" s="63"/>
      <c r="B133" s="63"/>
      <c r="C133" s="63"/>
      <c r="D133" s="63"/>
      <c r="E133" s="63"/>
      <c r="F133" s="63"/>
      <c r="G133" s="63"/>
      <c r="H133" s="63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</row>
    <row r="134" ht="11.25" customHeight="1">
      <c r="A134" s="63"/>
      <c r="B134" s="63"/>
      <c r="C134" s="63"/>
      <c r="D134" s="63"/>
      <c r="E134" s="63"/>
      <c r="F134" s="63"/>
      <c r="G134" s="63"/>
      <c r="H134" s="63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</row>
    <row r="135" ht="11.25" customHeight="1">
      <c r="A135" s="63"/>
      <c r="B135" s="63"/>
      <c r="C135" s="63"/>
      <c r="D135" s="63"/>
      <c r="E135" s="63"/>
      <c r="F135" s="63"/>
      <c r="G135" s="63"/>
      <c r="H135" s="63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</row>
    <row r="136" ht="11.25" customHeight="1">
      <c r="A136" s="63"/>
      <c r="B136" s="63"/>
      <c r="C136" s="63"/>
      <c r="D136" s="63"/>
      <c r="E136" s="63"/>
      <c r="F136" s="63"/>
      <c r="G136" s="63"/>
      <c r="H136" s="63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</row>
    <row r="137" ht="11.25" customHeight="1">
      <c r="A137" s="63"/>
      <c r="B137" s="63"/>
      <c r="C137" s="63"/>
      <c r="D137" s="63"/>
      <c r="E137" s="63"/>
      <c r="F137" s="63"/>
      <c r="G137" s="63"/>
      <c r="H137" s="63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</row>
    <row r="138" ht="11.25" customHeight="1">
      <c r="A138" s="63"/>
      <c r="B138" s="63"/>
      <c r="C138" s="63"/>
      <c r="D138" s="63"/>
      <c r="E138" s="63"/>
      <c r="F138" s="63"/>
      <c r="G138" s="63"/>
      <c r="H138" s="63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</row>
    <row r="139" ht="11.25" customHeight="1">
      <c r="A139" s="63"/>
      <c r="B139" s="63"/>
      <c r="C139" s="63"/>
      <c r="D139" s="63"/>
      <c r="E139" s="63"/>
      <c r="F139" s="63"/>
      <c r="G139" s="63"/>
      <c r="H139" s="63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</row>
    <row r="140" ht="11.25" customHeight="1">
      <c r="A140" s="63"/>
      <c r="B140" s="63"/>
      <c r="C140" s="63"/>
      <c r="D140" s="63"/>
      <c r="E140" s="63"/>
      <c r="F140" s="63"/>
      <c r="G140" s="63"/>
      <c r="H140" s="63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</row>
    <row r="141" ht="11.25" customHeight="1">
      <c r="A141" s="63"/>
      <c r="B141" s="63"/>
      <c r="C141" s="63"/>
      <c r="D141" s="63"/>
      <c r="E141" s="63"/>
      <c r="F141" s="63"/>
      <c r="G141" s="63"/>
      <c r="H141" s="63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</row>
    <row r="142" ht="11.25" customHeight="1">
      <c r="A142" s="63"/>
      <c r="B142" s="63"/>
      <c r="C142" s="63"/>
      <c r="D142" s="63"/>
      <c r="E142" s="63"/>
      <c r="F142" s="63"/>
      <c r="G142" s="63"/>
      <c r="H142" s="63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</row>
    <row r="143" ht="11.25" customHeight="1">
      <c r="A143" s="63"/>
      <c r="B143" s="63"/>
      <c r="C143" s="63"/>
      <c r="D143" s="63"/>
      <c r="E143" s="63"/>
      <c r="F143" s="63"/>
      <c r="G143" s="63"/>
      <c r="H143" s="63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</row>
    <row r="144" ht="11.25" customHeight="1">
      <c r="A144" s="63"/>
      <c r="B144" s="63"/>
      <c r="C144" s="63"/>
      <c r="D144" s="63"/>
      <c r="E144" s="63"/>
      <c r="F144" s="63"/>
      <c r="G144" s="63"/>
      <c r="H144" s="63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</row>
    <row r="145" ht="11.25" customHeight="1">
      <c r="A145" s="63"/>
      <c r="B145" s="63"/>
      <c r="C145" s="63"/>
      <c r="D145" s="63"/>
      <c r="E145" s="63"/>
      <c r="F145" s="63"/>
      <c r="G145" s="63"/>
      <c r="H145" s="63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</row>
    <row r="146" ht="11.25" customHeight="1">
      <c r="A146" s="63"/>
      <c r="B146" s="63"/>
      <c r="C146" s="63"/>
      <c r="D146" s="63"/>
      <c r="E146" s="63"/>
      <c r="F146" s="63"/>
      <c r="G146" s="63"/>
      <c r="H146" s="63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</row>
    <row r="147" ht="11.25" customHeight="1">
      <c r="A147" s="63"/>
      <c r="B147" s="63"/>
      <c r="C147" s="63"/>
      <c r="D147" s="63"/>
      <c r="E147" s="63"/>
      <c r="F147" s="63"/>
      <c r="G147" s="63"/>
      <c r="H147" s="63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</row>
    <row r="148" ht="11.25" customHeight="1">
      <c r="A148" s="63"/>
      <c r="B148" s="63"/>
      <c r="C148" s="63"/>
      <c r="D148" s="63"/>
      <c r="E148" s="63"/>
      <c r="F148" s="63"/>
      <c r="G148" s="63"/>
      <c r="H148" s="63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</row>
    <row r="149" ht="11.25" customHeight="1">
      <c r="A149" s="63"/>
      <c r="B149" s="63"/>
      <c r="C149" s="63"/>
      <c r="D149" s="63"/>
      <c r="E149" s="63"/>
      <c r="F149" s="63"/>
      <c r="G149" s="63"/>
      <c r="H149" s="63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</row>
    <row r="150" ht="11.25" customHeight="1">
      <c r="A150" s="63"/>
      <c r="B150" s="63"/>
      <c r="C150" s="63"/>
      <c r="D150" s="63"/>
      <c r="E150" s="63"/>
      <c r="F150" s="63"/>
      <c r="G150" s="63"/>
      <c r="H150" s="63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</row>
    <row r="151" ht="11.25" customHeight="1">
      <c r="A151" s="63"/>
      <c r="B151" s="63"/>
      <c r="C151" s="63"/>
      <c r="D151" s="63"/>
      <c r="E151" s="63"/>
      <c r="F151" s="63"/>
      <c r="G151" s="63"/>
      <c r="H151" s="63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</row>
    <row r="152" ht="11.25" customHeight="1">
      <c r="A152" s="63"/>
      <c r="B152" s="63"/>
      <c r="C152" s="63"/>
      <c r="D152" s="63"/>
      <c r="E152" s="63"/>
      <c r="F152" s="63"/>
      <c r="G152" s="63"/>
      <c r="H152" s="63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</row>
    <row r="153" ht="11.25" customHeight="1">
      <c r="A153" s="63"/>
      <c r="B153" s="63"/>
      <c r="C153" s="63"/>
      <c r="D153" s="63"/>
      <c r="E153" s="63"/>
      <c r="F153" s="63"/>
      <c r="G153" s="63"/>
      <c r="H153" s="63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</row>
    <row r="154" ht="11.25" customHeight="1">
      <c r="A154" s="63"/>
      <c r="B154" s="63"/>
      <c r="C154" s="63"/>
      <c r="D154" s="63"/>
      <c r="E154" s="63"/>
      <c r="F154" s="63"/>
      <c r="G154" s="63"/>
      <c r="H154" s="63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</row>
    <row r="155" ht="11.25" customHeight="1">
      <c r="A155" s="63"/>
      <c r="B155" s="63"/>
      <c r="C155" s="63"/>
      <c r="D155" s="63"/>
      <c r="E155" s="63"/>
      <c r="F155" s="63"/>
      <c r="G155" s="63"/>
      <c r="H155" s="63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</row>
    <row r="156" ht="11.25" customHeight="1">
      <c r="A156" s="63"/>
      <c r="B156" s="63"/>
      <c r="C156" s="63"/>
      <c r="D156" s="63"/>
      <c r="E156" s="63"/>
      <c r="F156" s="63"/>
      <c r="G156" s="63"/>
      <c r="H156" s="63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</row>
    <row r="157" ht="11.25" customHeight="1">
      <c r="A157" s="63"/>
      <c r="B157" s="63"/>
      <c r="C157" s="63"/>
      <c r="D157" s="63"/>
      <c r="E157" s="63"/>
      <c r="F157" s="63"/>
      <c r="G157" s="63"/>
      <c r="H157" s="63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</row>
    <row r="158" ht="11.25" customHeight="1">
      <c r="A158" s="63"/>
      <c r="B158" s="63"/>
      <c r="C158" s="63"/>
      <c r="D158" s="63"/>
      <c r="E158" s="63"/>
      <c r="F158" s="63"/>
      <c r="G158" s="63"/>
      <c r="H158" s="63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</row>
    <row r="159" ht="11.25" customHeight="1">
      <c r="A159" s="63"/>
      <c r="B159" s="63"/>
      <c r="C159" s="63"/>
      <c r="D159" s="63"/>
      <c r="E159" s="63"/>
      <c r="F159" s="63"/>
      <c r="G159" s="63"/>
      <c r="H159" s="63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</row>
    <row r="160" ht="11.25" customHeight="1">
      <c r="A160" s="63"/>
      <c r="B160" s="63"/>
      <c r="C160" s="63"/>
      <c r="D160" s="63"/>
      <c r="E160" s="63"/>
      <c r="F160" s="63"/>
      <c r="G160" s="63"/>
      <c r="H160" s="63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</row>
    <row r="161" ht="11.25" customHeight="1">
      <c r="A161" s="63"/>
      <c r="B161" s="63"/>
      <c r="C161" s="63"/>
      <c r="D161" s="63"/>
      <c r="E161" s="63"/>
      <c r="F161" s="63"/>
      <c r="G161" s="63"/>
      <c r="H161" s="63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</row>
    <row r="162" ht="11.25" customHeight="1">
      <c r="A162" s="63"/>
      <c r="B162" s="63"/>
      <c r="C162" s="63"/>
      <c r="D162" s="63"/>
      <c r="E162" s="63"/>
      <c r="F162" s="63"/>
      <c r="G162" s="63"/>
      <c r="H162" s="63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</row>
    <row r="163" ht="11.25" customHeight="1">
      <c r="A163" s="63"/>
      <c r="B163" s="63"/>
      <c r="C163" s="63"/>
      <c r="D163" s="63"/>
      <c r="E163" s="63"/>
      <c r="F163" s="63"/>
      <c r="G163" s="63"/>
      <c r="H163" s="63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</row>
    <row r="164" ht="11.25" customHeight="1">
      <c r="A164" s="63"/>
      <c r="B164" s="63"/>
      <c r="C164" s="63"/>
      <c r="D164" s="63"/>
      <c r="E164" s="63"/>
      <c r="F164" s="63"/>
      <c r="G164" s="63"/>
      <c r="H164" s="63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</row>
    <row r="165" ht="11.25" customHeight="1">
      <c r="A165" s="63"/>
      <c r="B165" s="63"/>
      <c r="C165" s="63"/>
      <c r="D165" s="63"/>
      <c r="E165" s="63"/>
      <c r="F165" s="63"/>
      <c r="G165" s="63"/>
      <c r="H165" s="63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</row>
    <row r="166" ht="11.25" customHeight="1">
      <c r="A166" s="63"/>
      <c r="B166" s="63"/>
      <c r="C166" s="63"/>
      <c r="D166" s="63"/>
      <c r="E166" s="63"/>
      <c r="F166" s="63"/>
      <c r="G166" s="63"/>
      <c r="H166" s="63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</row>
    <row r="167" ht="11.25" customHeight="1">
      <c r="A167" s="63"/>
      <c r="B167" s="63"/>
      <c r="C167" s="63"/>
      <c r="D167" s="63"/>
      <c r="E167" s="63"/>
      <c r="F167" s="63"/>
      <c r="G167" s="63"/>
      <c r="H167" s="63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</row>
    <row r="168" ht="11.25" customHeight="1">
      <c r="A168" s="63"/>
      <c r="B168" s="63"/>
      <c r="C168" s="63"/>
      <c r="D168" s="63"/>
      <c r="E168" s="63"/>
      <c r="F168" s="63"/>
      <c r="G168" s="63"/>
      <c r="H168" s="63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</row>
    <row r="169" ht="11.25" customHeight="1">
      <c r="A169" s="63"/>
      <c r="B169" s="63"/>
      <c r="C169" s="63"/>
      <c r="D169" s="63"/>
      <c r="E169" s="63"/>
      <c r="F169" s="63"/>
      <c r="G169" s="63"/>
      <c r="H169" s="63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</row>
    <row r="170" ht="11.25" customHeight="1">
      <c r="A170" s="63"/>
      <c r="B170" s="63"/>
      <c r="C170" s="63"/>
      <c r="D170" s="63"/>
      <c r="E170" s="63"/>
      <c r="F170" s="63"/>
      <c r="G170" s="63"/>
      <c r="H170" s="63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</row>
    <row r="171" ht="11.25" customHeight="1">
      <c r="A171" s="63"/>
      <c r="B171" s="63"/>
      <c r="C171" s="63"/>
      <c r="D171" s="63"/>
      <c r="E171" s="63"/>
      <c r="F171" s="63"/>
      <c r="G171" s="63"/>
      <c r="H171" s="63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</row>
    <row r="172" ht="11.25" customHeight="1">
      <c r="A172" s="63"/>
      <c r="B172" s="63"/>
      <c r="C172" s="63"/>
      <c r="D172" s="63"/>
      <c r="E172" s="63"/>
      <c r="F172" s="63"/>
      <c r="G172" s="63"/>
      <c r="H172" s="63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</row>
    <row r="173" ht="11.25" customHeight="1">
      <c r="A173" s="63"/>
      <c r="B173" s="63"/>
      <c r="C173" s="63"/>
      <c r="D173" s="63"/>
      <c r="E173" s="63"/>
      <c r="F173" s="63"/>
      <c r="G173" s="63"/>
      <c r="H173" s="63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</row>
    <row r="174" ht="11.25" customHeight="1">
      <c r="A174" s="63"/>
      <c r="B174" s="63"/>
      <c r="C174" s="63"/>
      <c r="D174" s="63"/>
      <c r="E174" s="63"/>
      <c r="F174" s="63"/>
      <c r="G174" s="63"/>
      <c r="H174" s="63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</row>
    <row r="175" ht="11.25" customHeight="1">
      <c r="A175" s="63"/>
      <c r="B175" s="63"/>
      <c r="C175" s="63"/>
      <c r="D175" s="63"/>
      <c r="E175" s="63"/>
      <c r="F175" s="63"/>
      <c r="G175" s="63"/>
      <c r="H175" s="63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</row>
    <row r="176" ht="11.25" customHeight="1">
      <c r="A176" s="63"/>
      <c r="B176" s="63"/>
      <c r="C176" s="63"/>
      <c r="D176" s="63"/>
      <c r="E176" s="63"/>
      <c r="F176" s="63"/>
      <c r="G176" s="63"/>
      <c r="H176" s="63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</row>
    <row r="177" ht="11.25" customHeight="1">
      <c r="A177" s="63"/>
      <c r="B177" s="63"/>
      <c r="C177" s="63"/>
      <c r="D177" s="63"/>
      <c r="E177" s="63"/>
      <c r="F177" s="63"/>
      <c r="G177" s="63"/>
      <c r="H177" s="63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</row>
    <row r="178" ht="11.25" customHeight="1">
      <c r="A178" s="63"/>
      <c r="B178" s="63"/>
      <c r="C178" s="63"/>
      <c r="D178" s="63"/>
      <c r="E178" s="63"/>
      <c r="F178" s="63"/>
      <c r="G178" s="63"/>
      <c r="H178" s="63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</row>
    <row r="179" ht="11.25" customHeight="1">
      <c r="A179" s="63"/>
      <c r="B179" s="63"/>
      <c r="C179" s="63"/>
      <c r="D179" s="63"/>
      <c r="E179" s="63"/>
      <c r="F179" s="63"/>
      <c r="G179" s="63"/>
      <c r="H179" s="63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</row>
    <row r="180" ht="11.25" customHeight="1">
      <c r="A180" s="63"/>
      <c r="B180" s="63"/>
      <c r="C180" s="63"/>
      <c r="D180" s="63"/>
      <c r="E180" s="63"/>
      <c r="F180" s="63"/>
      <c r="G180" s="63"/>
      <c r="H180" s="63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</row>
    <row r="181" ht="11.25" customHeight="1">
      <c r="A181" s="63"/>
      <c r="B181" s="63"/>
      <c r="C181" s="63"/>
      <c r="D181" s="63"/>
      <c r="E181" s="63"/>
      <c r="F181" s="63"/>
      <c r="G181" s="63"/>
      <c r="H181" s="63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</row>
    <row r="182" ht="11.25" customHeight="1">
      <c r="A182" s="63"/>
      <c r="B182" s="63"/>
      <c r="C182" s="63"/>
      <c r="D182" s="63"/>
      <c r="E182" s="63"/>
      <c r="F182" s="63"/>
      <c r="G182" s="63"/>
      <c r="H182" s="63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</row>
    <row r="183" ht="11.25" customHeight="1">
      <c r="A183" s="63"/>
      <c r="B183" s="63"/>
      <c r="C183" s="63"/>
      <c r="D183" s="63"/>
      <c r="E183" s="63"/>
      <c r="F183" s="63"/>
      <c r="G183" s="63"/>
      <c r="H183" s="63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</row>
    <row r="184" ht="11.25" customHeight="1">
      <c r="A184" s="63"/>
      <c r="B184" s="63"/>
      <c r="C184" s="63"/>
      <c r="D184" s="63"/>
      <c r="E184" s="63"/>
      <c r="F184" s="63"/>
      <c r="G184" s="63"/>
      <c r="H184" s="63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</row>
    <row r="185" ht="11.25" customHeight="1">
      <c r="A185" s="63"/>
      <c r="B185" s="63"/>
      <c r="C185" s="63"/>
      <c r="D185" s="63"/>
      <c r="E185" s="63"/>
      <c r="F185" s="63"/>
      <c r="G185" s="63"/>
      <c r="H185" s="63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</row>
    <row r="186" ht="11.25" customHeight="1">
      <c r="A186" s="63"/>
      <c r="B186" s="63"/>
      <c r="C186" s="63"/>
      <c r="D186" s="63"/>
      <c r="E186" s="63"/>
      <c r="F186" s="63"/>
      <c r="G186" s="63"/>
      <c r="H186" s="63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</row>
    <row r="187" ht="11.25" customHeight="1">
      <c r="A187" s="63"/>
      <c r="B187" s="63"/>
      <c r="C187" s="63"/>
      <c r="D187" s="63"/>
      <c r="E187" s="63"/>
      <c r="F187" s="63"/>
      <c r="G187" s="63"/>
      <c r="H187" s="63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</row>
    <row r="188" ht="11.25" customHeight="1">
      <c r="A188" s="63"/>
      <c r="B188" s="63"/>
      <c r="C188" s="63"/>
      <c r="D188" s="63"/>
      <c r="E188" s="63"/>
      <c r="F188" s="63"/>
      <c r="G188" s="63"/>
      <c r="H188" s="63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</row>
    <row r="189" ht="11.25" customHeight="1">
      <c r="A189" s="63"/>
      <c r="B189" s="63"/>
      <c r="C189" s="63"/>
      <c r="D189" s="63"/>
      <c r="E189" s="63"/>
      <c r="F189" s="63"/>
      <c r="G189" s="63"/>
      <c r="H189" s="63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</row>
    <row r="190" ht="11.25" customHeight="1">
      <c r="A190" s="63"/>
      <c r="B190" s="63"/>
      <c r="C190" s="63"/>
      <c r="D190" s="63"/>
      <c r="E190" s="63"/>
      <c r="F190" s="63"/>
      <c r="G190" s="63"/>
      <c r="H190" s="63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</row>
    <row r="191" ht="11.25" customHeight="1">
      <c r="A191" s="63"/>
      <c r="B191" s="63"/>
      <c r="C191" s="63"/>
      <c r="D191" s="63"/>
      <c r="E191" s="63"/>
      <c r="F191" s="63"/>
      <c r="G191" s="63"/>
      <c r="H191" s="63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</row>
    <row r="192" ht="11.25" customHeight="1">
      <c r="A192" s="63"/>
      <c r="B192" s="63"/>
      <c r="C192" s="63"/>
      <c r="D192" s="63"/>
      <c r="E192" s="63"/>
      <c r="F192" s="63"/>
      <c r="G192" s="63"/>
      <c r="H192" s="63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</row>
    <row r="193" ht="11.25" customHeight="1">
      <c r="A193" s="63"/>
      <c r="B193" s="63"/>
      <c r="C193" s="63"/>
      <c r="D193" s="63"/>
      <c r="E193" s="63"/>
      <c r="F193" s="63"/>
      <c r="G193" s="63"/>
      <c r="H193" s="63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</row>
    <row r="194" ht="11.25" customHeight="1">
      <c r="A194" s="63"/>
      <c r="B194" s="63"/>
      <c r="C194" s="63"/>
      <c r="D194" s="63"/>
      <c r="E194" s="63"/>
      <c r="F194" s="63"/>
      <c r="G194" s="63"/>
      <c r="H194" s="63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</row>
    <row r="195" ht="11.25" customHeight="1">
      <c r="A195" s="63"/>
      <c r="B195" s="63"/>
      <c r="C195" s="63"/>
      <c r="D195" s="63"/>
      <c r="E195" s="63"/>
      <c r="F195" s="63"/>
      <c r="G195" s="63"/>
      <c r="H195" s="63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</row>
    <row r="196" ht="11.25" customHeight="1">
      <c r="A196" s="63"/>
      <c r="B196" s="63"/>
      <c r="C196" s="63"/>
      <c r="D196" s="63"/>
      <c r="E196" s="63"/>
      <c r="F196" s="63"/>
      <c r="G196" s="63"/>
      <c r="H196" s="63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</row>
    <row r="197" ht="11.25" customHeight="1">
      <c r="A197" s="63"/>
      <c r="B197" s="63"/>
      <c r="C197" s="63"/>
      <c r="D197" s="63"/>
      <c r="E197" s="63"/>
      <c r="F197" s="63"/>
      <c r="G197" s="63"/>
      <c r="H197" s="63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</row>
    <row r="198" ht="11.25" customHeight="1">
      <c r="A198" s="63"/>
      <c r="B198" s="63"/>
      <c r="C198" s="63"/>
      <c r="D198" s="63"/>
      <c r="E198" s="63"/>
      <c r="F198" s="63"/>
      <c r="G198" s="63"/>
      <c r="H198" s="63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</row>
    <row r="199" ht="11.25" customHeight="1">
      <c r="A199" s="63"/>
      <c r="B199" s="63"/>
      <c r="C199" s="63"/>
      <c r="D199" s="63"/>
      <c r="E199" s="63"/>
      <c r="F199" s="63"/>
      <c r="G199" s="63"/>
      <c r="H199" s="63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</row>
    <row r="200" ht="11.25" customHeight="1">
      <c r="A200" s="63"/>
      <c r="B200" s="63"/>
      <c r="C200" s="63"/>
      <c r="D200" s="63"/>
      <c r="E200" s="63"/>
      <c r="F200" s="63"/>
      <c r="G200" s="63"/>
      <c r="H200" s="63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</row>
    <row r="201" ht="11.25" customHeight="1">
      <c r="A201" s="63"/>
      <c r="B201" s="63"/>
      <c r="C201" s="63"/>
      <c r="D201" s="63"/>
      <c r="E201" s="63"/>
      <c r="F201" s="63"/>
      <c r="G201" s="63"/>
      <c r="H201" s="63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</row>
    <row r="202" ht="11.25" customHeight="1">
      <c r="A202" s="63"/>
      <c r="B202" s="63"/>
      <c r="C202" s="63"/>
      <c r="D202" s="63"/>
      <c r="E202" s="63"/>
      <c r="F202" s="63"/>
      <c r="G202" s="63"/>
      <c r="H202" s="63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</row>
    <row r="203" ht="11.25" customHeight="1">
      <c r="A203" s="63"/>
      <c r="B203" s="63"/>
      <c r="C203" s="63"/>
      <c r="D203" s="63"/>
      <c r="E203" s="63"/>
      <c r="F203" s="63"/>
      <c r="G203" s="63"/>
      <c r="H203" s="63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</row>
    <row r="204" ht="11.25" customHeight="1">
      <c r="A204" s="63"/>
      <c r="B204" s="63"/>
      <c r="C204" s="63"/>
      <c r="D204" s="63"/>
      <c r="E204" s="63"/>
      <c r="F204" s="63"/>
      <c r="G204" s="63"/>
      <c r="H204" s="63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</row>
    <row r="205" ht="11.25" customHeight="1">
      <c r="A205" s="63"/>
      <c r="B205" s="63"/>
      <c r="C205" s="63"/>
      <c r="D205" s="63"/>
      <c r="E205" s="63"/>
      <c r="F205" s="63"/>
      <c r="G205" s="63"/>
      <c r="H205" s="63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</row>
    <row r="206" ht="11.25" customHeight="1">
      <c r="A206" s="63"/>
      <c r="B206" s="63"/>
      <c r="C206" s="63"/>
      <c r="D206" s="63"/>
      <c r="E206" s="63"/>
      <c r="F206" s="63"/>
      <c r="G206" s="63"/>
      <c r="H206" s="63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</row>
    <row r="207" ht="11.25" customHeight="1">
      <c r="A207" s="63"/>
      <c r="B207" s="63"/>
      <c r="C207" s="63"/>
      <c r="D207" s="63"/>
      <c r="E207" s="63"/>
      <c r="F207" s="63"/>
      <c r="G207" s="63"/>
      <c r="H207" s="63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</row>
    <row r="208" ht="11.25" customHeight="1">
      <c r="A208" s="63"/>
      <c r="B208" s="63"/>
      <c r="C208" s="63"/>
      <c r="D208" s="63"/>
      <c r="E208" s="63"/>
      <c r="F208" s="63"/>
      <c r="G208" s="63"/>
      <c r="H208" s="63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</row>
    <row r="209" ht="11.25" customHeight="1">
      <c r="A209" s="63"/>
      <c r="B209" s="63"/>
      <c r="C209" s="63"/>
      <c r="D209" s="63"/>
      <c r="E209" s="63"/>
      <c r="F209" s="63"/>
      <c r="G209" s="63"/>
      <c r="H209" s="63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</row>
    <row r="210" ht="11.25" customHeight="1">
      <c r="A210" s="63"/>
      <c r="B210" s="63"/>
      <c r="C210" s="63"/>
      <c r="D210" s="63"/>
      <c r="E210" s="63"/>
      <c r="F210" s="63"/>
      <c r="G210" s="63"/>
      <c r="H210" s="63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</row>
    <row r="211" ht="11.25" customHeight="1">
      <c r="A211" s="63"/>
      <c r="B211" s="63"/>
      <c r="C211" s="63"/>
      <c r="D211" s="63"/>
      <c r="E211" s="63"/>
      <c r="F211" s="63"/>
      <c r="G211" s="63"/>
      <c r="H211" s="63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</row>
    <row r="212" ht="11.25" customHeight="1">
      <c r="A212" s="63"/>
      <c r="B212" s="63"/>
      <c r="C212" s="63"/>
      <c r="D212" s="63"/>
      <c r="E212" s="63"/>
      <c r="F212" s="63"/>
      <c r="G212" s="63"/>
      <c r="H212" s="63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</row>
    <row r="213" ht="11.25" customHeight="1">
      <c r="A213" s="63"/>
      <c r="B213" s="63"/>
      <c r="C213" s="63"/>
      <c r="D213" s="63"/>
      <c r="E213" s="63"/>
      <c r="F213" s="63"/>
      <c r="G213" s="63"/>
      <c r="H213" s="63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</row>
    <row r="214" ht="11.25" customHeight="1">
      <c r="A214" s="63"/>
      <c r="B214" s="63"/>
      <c r="C214" s="63"/>
      <c r="D214" s="63"/>
      <c r="E214" s="63"/>
      <c r="F214" s="63"/>
      <c r="G214" s="63"/>
      <c r="H214" s="63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</row>
    <row r="215" ht="11.25" customHeight="1">
      <c r="A215" s="63"/>
      <c r="B215" s="63"/>
      <c r="C215" s="63"/>
      <c r="D215" s="63"/>
      <c r="E215" s="63"/>
      <c r="F215" s="63"/>
      <c r="G215" s="63"/>
      <c r="H215" s="63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</row>
    <row r="216" ht="11.25" customHeight="1">
      <c r="A216" s="63"/>
      <c r="B216" s="63"/>
      <c r="C216" s="63"/>
      <c r="D216" s="63"/>
      <c r="E216" s="63"/>
      <c r="F216" s="63"/>
      <c r="G216" s="63"/>
      <c r="H216" s="63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</row>
    <row r="217" ht="11.25" customHeight="1">
      <c r="A217" s="63"/>
      <c r="B217" s="63"/>
      <c r="C217" s="63"/>
      <c r="D217" s="63"/>
      <c r="E217" s="63"/>
      <c r="F217" s="63"/>
      <c r="G217" s="63"/>
      <c r="H217" s="63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</row>
    <row r="218" ht="11.25" customHeight="1">
      <c r="A218" s="63"/>
      <c r="B218" s="63"/>
      <c r="C218" s="63"/>
      <c r="D218" s="63"/>
      <c r="E218" s="63"/>
      <c r="F218" s="63"/>
      <c r="G218" s="63"/>
      <c r="H218" s="63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</row>
    <row r="219" ht="11.25" customHeight="1">
      <c r="A219" s="63"/>
      <c r="B219" s="63"/>
      <c r="C219" s="63"/>
      <c r="D219" s="63"/>
      <c r="E219" s="63"/>
      <c r="F219" s="63"/>
      <c r="G219" s="63"/>
      <c r="H219" s="63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</row>
    <row r="220" ht="11.25" customHeight="1">
      <c r="A220" s="63"/>
      <c r="B220" s="63"/>
      <c r="C220" s="63"/>
      <c r="D220" s="63"/>
      <c r="E220" s="63"/>
      <c r="F220" s="63"/>
      <c r="G220" s="63"/>
      <c r="H220" s="63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</row>
    <row r="221" ht="11.25" customHeight="1">
      <c r="A221" s="63"/>
      <c r="B221" s="63"/>
      <c r="C221" s="63"/>
      <c r="D221" s="63"/>
      <c r="E221" s="63"/>
      <c r="F221" s="63"/>
      <c r="G221" s="63"/>
      <c r="H221" s="63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</row>
    <row r="222" ht="11.25" customHeight="1">
      <c r="A222" s="63"/>
      <c r="B222" s="63"/>
      <c r="C222" s="63"/>
      <c r="D222" s="63"/>
      <c r="E222" s="63"/>
      <c r="F222" s="63"/>
      <c r="G222" s="63"/>
      <c r="H222" s="63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</row>
    <row r="223" ht="11.25" customHeight="1">
      <c r="A223" s="63"/>
      <c r="B223" s="63"/>
      <c r="C223" s="63"/>
      <c r="D223" s="63"/>
      <c r="E223" s="63"/>
      <c r="F223" s="63"/>
      <c r="G223" s="63"/>
      <c r="H223" s="63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</row>
    <row r="224" ht="11.25" customHeight="1">
      <c r="A224" s="63"/>
      <c r="B224" s="63"/>
      <c r="C224" s="63"/>
      <c r="D224" s="63"/>
      <c r="E224" s="63"/>
      <c r="F224" s="63"/>
      <c r="G224" s="63"/>
      <c r="H224" s="63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</row>
    <row r="225" ht="11.25" customHeight="1">
      <c r="A225" s="63"/>
      <c r="B225" s="63"/>
      <c r="C225" s="63"/>
      <c r="D225" s="63"/>
      <c r="E225" s="63"/>
      <c r="F225" s="63"/>
      <c r="G225" s="63"/>
      <c r="H225" s="63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</row>
    <row r="226" ht="11.25" customHeight="1">
      <c r="A226" s="63"/>
      <c r="B226" s="63"/>
      <c r="C226" s="63"/>
      <c r="D226" s="63"/>
      <c r="E226" s="63"/>
      <c r="F226" s="63"/>
      <c r="G226" s="63"/>
      <c r="H226" s="63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</row>
    <row r="227" ht="11.25" customHeight="1">
      <c r="A227" s="63"/>
      <c r="B227" s="63"/>
      <c r="C227" s="63"/>
      <c r="D227" s="63"/>
      <c r="E227" s="63"/>
      <c r="F227" s="63"/>
      <c r="G227" s="63"/>
      <c r="H227" s="63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</row>
    <row r="228" ht="11.25" customHeight="1">
      <c r="A228" s="63"/>
      <c r="B228" s="63"/>
      <c r="C228" s="63"/>
      <c r="D228" s="63"/>
      <c r="E228" s="63"/>
      <c r="F228" s="63"/>
      <c r="G228" s="63"/>
      <c r="H228" s="63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</row>
    <row r="229" ht="11.25" customHeight="1">
      <c r="A229" s="63"/>
      <c r="B229" s="63"/>
      <c r="C229" s="63"/>
      <c r="D229" s="63"/>
      <c r="E229" s="63"/>
      <c r="F229" s="63"/>
      <c r="G229" s="63"/>
      <c r="H229" s="63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</row>
    <row r="230" ht="11.25" customHeight="1">
      <c r="A230" s="63"/>
      <c r="B230" s="63"/>
      <c r="C230" s="63"/>
      <c r="D230" s="63"/>
      <c r="E230" s="63"/>
      <c r="F230" s="63"/>
      <c r="G230" s="63"/>
      <c r="H230" s="63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</row>
    <row r="231" ht="11.25" customHeight="1">
      <c r="A231" s="63"/>
      <c r="B231" s="63"/>
      <c r="C231" s="63"/>
      <c r="D231" s="63"/>
      <c r="E231" s="63"/>
      <c r="F231" s="63"/>
      <c r="G231" s="63"/>
      <c r="H231" s="63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</row>
    <row r="232" ht="11.25" customHeight="1">
      <c r="A232" s="63"/>
      <c r="B232" s="63"/>
      <c r="C232" s="63"/>
      <c r="D232" s="63"/>
      <c r="E232" s="63"/>
      <c r="F232" s="63"/>
      <c r="G232" s="63"/>
      <c r="H232" s="63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</row>
    <row r="233" ht="11.25" customHeight="1">
      <c r="A233" s="63"/>
      <c r="B233" s="63"/>
      <c r="C233" s="63"/>
      <c r="D233" s="63"/>
      <c r="E233" s="63"/>
      <c r="F233" s="63"/>
      <c r="G233" s="63"/>
      <c r="H233" s="63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</row>
    <row r="234" ht="11.25" customHeight="1">
      <c r="A234" s="63"/>
      <c r="B234" s="63"/>
      <c r="C234" s="63"/>
      <c r="D234" s="63"/>
      <c r="E234" s="63"/>
      <c r="F234" s="63"/>
      <c r="G234" s="63"/>
      <c r="H234" s="63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</row>
    <row r="235" ht="11.25" customHeight="1">
      <c r="A235" s="63"/>
      <c r="B235" s="63"/>
      <c r="C235" s="63"/>
      <c r="D235" s="63"/>
      <c r="E235" s="63"/>
      <c r="F235" s="63"/>
      <c r="G235" s="63"/>
      <c r="H235" s="63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</row>
    <row r="236" ht="11.25" customHeight="1">
      <c r="A236" s="63"/>
      <c r="B236" s="63"/>
      <c r="C236" s="63"/>
      <c r="D236" s="63"/>
      <c r="E236" s="63"/>
      <c r="F236" s="63"/>
      <c r="G236" s="63"/>
      <c r="H236" s="63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</row>
    <row r="237" ht="11.25" customHeight="1">
      <c r="A237" s="63"/>
      <c r="B237" s="63"/>
      <c r="C237" s="63"/>
      <c r="D237" s="63"/>
      <c r="E237" s="63"/>
      <c r="F237" s="63"/>
      <c r="G237" s="63"/>
      <c r="H237" s="63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</row>
    <row r="238" ht="11.25" customHeight="1">
      <c r="A238" s="63"/>
      <c r="B238" s="63"/>
      <c r="C238" s="63"/>
      <c r="D238" s="63"/>
      <c r="E238" s="63"/>
      <c r="F238" s="63"/>
      <c r="G238" s="63"/>
      <c r="H238" s="63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</row>
    <row r="239" ht="11.25" customHeight="1">
      <c r="A239" s="63"/>
      <c r="B239" s="63"/>
      <c r="C239" s="63"/>
      <c r="D239" s="63"/>
      <c r="E239" s="63"/>
      <c r="F239" s="63"/>
      <c r="G239" s="63"/>
      <c r="H239" s="63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</row>
    <row r="240" ht="11.25" customHeight="1">
      <c r="A240" s="63"/>
      <c r="B240" s="63"/>
      <c r="C240" s="63"/>
      <c r="D240" s="63"/>
      <c r="E240" s="63"/>
      <c r="F240" s="63"/>
      <c r="G240" s="63"/>
      <c r="H240" s="63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</row>
    <row r="241" ht="11.25" customHeight="1">
      <c r="A241" s="63"/>
      <c r="B241" s="63"/>
      <c r="C241" s="63"/>
      <c r="D241" s="63"/>
      <c r="E241" s="63"/>
      <c r="F241" s="63"/>
      <c r="G241" s="63"/>
      <c r="H241" s="63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</row>
    <row r="242" ht="11.25" customHeight="1">
      <c r="A242" s="63"/>
      <c r="B242" s="63"/>
      <c r="C242" s="63"/>
      <c r="D242" s="63"/>
      <c r="E242" s="63"/>
      <c r="F242" s="63"/>
      <c r="G242" s="63"/>
      <c r="H242" s="63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</row>
    <row r="243" ht="11.25" customHeight="1">
      <c r="A243" s="63"/>
      <c r="B243" s="63"/>
      <c r="C243" s="63"/>
      <c r="D243" s="63"/>
      <c r="E243" s="63"/>
      <c r="F243" s="63"/>
      <c r="G243" s="63"/>
      <c r="H243" s="63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</row>
    <row r="244" ht="11.25" customHeight="1">
      <c r="A244" s="63"/>
      <c r="B244" s="63"/>
      <c r="C244" s="63"/>
      <c r="D244" s="63"/>
      <c r="E244" s="63"/>
      <c r="F244" s="63"/>
      <c r="G244" s="63"/>
      <c r="H244" s="63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</row>
    <row r="245" ht="11.25" customHeight="1">
      <c r="A245" s="63"/>
      <c r="B245" s="63"/>
      <c r="C245" s="63"/>
      <c r="D245" s="63"/>
      <c r="E245" s="63"/>
      <c r="F245" s="63"/>
      <c r="G245" s="63"/>
      <c r="H245" s="63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</row>
    <row r="246" ht="11.25" customHeight="1">
      <c r="A246" s="63"/>
      <c r="B246" s="63"/>
      <c r="C246" s="63"/>
      <c r="D246" s="63"/>
      <c r="E246" s="63"/>
      <c r="F246" s="63"/>
      <c r="G246" s="63"/>
      <c r="H246" s="63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</row>
    <row r="247" ht="11.25" customHeight="1">
      <c r="A247" s="63"/>
      <c r="B247" s="63"/>
      <c r="C247" s="63"/>
      <c r="D247" s="63"/>
      <c r="E247" s="63"/>
      <c r="F247" s="63"/>
      <c r="G247" s="63"/>
      <c r="H247" s="63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</row>
    <row r="248" ht="11.25" customHeight="1">
      <c r="A248" s="63"/>
      <c r="B248" s="63"/>
      <c r="C248" s="63"/>
      <c r="D248" s="63"/>
      <c r="E248" s="63"/>
      <c r="F248" s="63"/>
      <c r="G248" s="63"/>
      <c r="H248" s="63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</row>
    <row r="249" ht="11.25" customHeight="1">
      <c r="A249" s="63"/>
      <c r="B249" s="63"/>
      <c r="C249" s="63"/>
      <c r="D249" s="63"/>
      <c r="E249" s="63"/>
      <c r="F249" s="63"/>
      <c r="G249" s="63"/>
      <c r="H249" s="63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</row>
    <row r="250" ht="11.25" customHeight="1">
      <c r="A250" s="63"/>
      <c r="B250" s="63"/>
      <c r="C250" s="63"/>
      <c r="D250" s="63"/>
      <c r="E250" s="63"/>
      <c r="F250" s="63"/>
      <c r="G250" s="63"/>
      <c r="H250" s="63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</row>
    <row r="251" ht="11.25" customHeight="1">
      <c r="A251" s="63"/>
      <c r="B251" s="63"/>
      <c r="C251" s="63"/>
      <c r="D251" s="63"/>
      <c r="E251" s="63"/>
      <c r="F251" s="63"/>
      <c r="G251" s="63"/>
      <c r="H251" s="63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</row>
    <row r="252" ht="11.25" customHeight="1">
      <c r="A252" s="63"/>
      <c r="B252" s="63"/>
      <c r="C252" s="63"/>
      <c r="D252" s="63"/>
      <c r="E252" s="63"/>
      <c r="F252" s="63"/>
      <c r="G252" s="63"/>
      <c r="H252" s="63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</row>
    <row r="253" ht="11.25" customHeight="1">
      <c r="A253" s="63"/>
      <c r="B253" s="63"/>
      <c r="C253" s="63"/>
      <c r="D253" s="63"/>
      <c r="E253" s="63"/>
      <c r="F253" s="63"/>
      <c r="G253" s="63"/>
      <c r="H253" s="63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</row>
    <row r="254" ht="11.25" customHeight="1">
      <c r="A254" s="63"/>
      <c r="B254" s="63"/>
      <c r="C254" s="63"/>
      <c r="D254" s="63"/>
      <c r="E254" s="63"/>
      <c r="F254" s="63"/>
      <c r="G254" s="63"/>
      <c r="H254" s="63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</row>
    <row r="255" ht="11.25" customHeight="1">
      <c r="A255" s="63"/>
      <c r="B255" s="63"/>
      <c r="C255" s="63"/>
      <c r="D255" s="63"/>
      <c r="E255" s="63"/>
      <c r="F255" s="63"/>
      <c r="G255" s="63"/>
      <c r="H255" s="63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</row>
    <row r="256" ht="11.25" customHeight="1">
      <c r="A256" s="63"/>
      <c r="B256" s="63"/>
      <c r="C256" s="63"/>
      <c r="D256" s="63"/>
      <c r="E256" s="63"/>
      <c r="F256" s="63"/>
      <c r="G256" s="63"/>
      <c r="H256" s="63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</row>
    <row r="257" ht="11.25" customHeight="1">
      <c r="A257" s="63"/>
      <c r="B257" s="63"/>
      <c r="C257" s="63"/>
      <c r="D257" s="63"/>
      <c r="E257" s="63"/>
      <c r="F257" s="63"/>
      <c r="G257" s="63"/>
      <c r="H257" s="63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</row>
    <row r="258" ht="11.25" customHeight="1">
      <c r="A258" s="63"/>
      <c r="B258" s="63"/>
      <c r="C258" s="63"/>
      <c r="D258" s="63"/>
      <c r="E258" s="63"/>
      <c r="F258" s="63"/>
      <c r="G258" s="63"/>
      <c r="H258" s="63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</row>
    <row r="259" ht="11.25" customHeight="1">
      <c r="A259" s="63"/>
      <c r="B259" s="63"/>
      <c r="C259" s="63"/>
      <c r="D259" s="63"/>
      <c r="E259" s="63"/>
      <c r="F259" s="63"/>
      <c r="G259" s="63"/>
      <c r="H259" s="63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</row>
    <row r="260" ht="11.25" customHeight="1">
      <c r="A260" s="63"/>
      <c r="B260" s="63"/>
      <c r="C260" s="63"/>
      <c r="D260" s="63"/>
      <c r="E260" s="63"/>
      <c r="F260" s="63"/>
      <c r="G260" s="63"/>
      <c r="H260" s="63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</row>
    <row r="261" ht="11.25" customHeight="1">
      <c r="A261" s="63"/>
      <c r="B261" s="63"/>
      <c r="C261" s="63"/>
      <c r="D261" s="63"/>
      <c r="E261" s="63"/>
      <c r="F261" s="63"/>
      <c r="G261" s="63"/>
      <c r="H261" s="63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</row>
    <row r="262" ht="11.25" customHeight="1">
      <c r="A262" s="63"/>
      <c r="B262" s="63"/>
      <c r="C262" s="63"/>
      <c r="D262" s="63"/>
      <c r="E262" s="63"/>
      <c r="F262" s="63"/>
      <c r="G262" s="63"/>
      <c r="H262" s="63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</row>
    <row r="263" ht="11.25" customHeight="1">
      <c r="A263" s="63"/>
      <c r="B263" s="63"/>
      <c r="C263" s="63"/>
      <c r="D263" s="63"/>
      <c r="E263" s="63"/>
      <c r="F263" s="63"/>
      <c r="G263" s="63"/>
      <c r="H263" s="63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</row>
    <row r="264" ht="11.25" customHeight="1">
      <c r="A264" s="63"/>
      <c r="B264" s="63"/>
      <c r="C264" s="63"/>
      <c r="D264" s="63"/>
      <c r="E264" s="63"/>
      <c r="F264" s="63"/>
      <c r="G264" s="63"/>
      <c r="H264" s="63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</row>
    <row r="265" ht="11.25" customHeight="1">
      <c r="A265" s="63"/>
      <c r="B265" s="63"/>
      <c r="C265" s="63"/>
      <c r="D265" s="63"/>
      <c r="E265" s="63"/>
      <c r="F265" s="63"/>
      <c r="G265" s="63"/>
      <c r="H265" s="63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</row>
    <row r="266" ht="11.25" customHeight="1">
      <c r="A266" s="63"/>
      <c r="B266" s="63"/>
      <c r="C266" s="63"/>
      <c r="D266" s="63"/>
      <c r="E266" s="63"/>
      <c r="F266" s="63"/>
      <c r="G266" s="63"/>
      <c r="H266" s="63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</row>
    <row r="267" ht="11.25" customHeight="1">
      <c r="A267" s="63"/>
      <c r="B267" s="63"/>
      <c r="C267" s="63"/>
      <c r="D267" s="63"/>
      <c r="E267" s="63"/>
      <c r="F267" s="63"/>
      <c r="G267" s="63"/>
      <c r="H267" s="63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</row>
    <row r="268" ht="11.25" customHeight="1">
      <c r="A268" s="63"/>
      <c r="B268" s="63"/>
      <c r="C268" s="63"/>
      <c r="D268" s="63"/>
      <c r="E268" s="63"/>
      <c r="F268" s="63"/>
      <c r="G268" s="63"/>
      <c r="H268" s="63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</row>
    <row r="269" ht="11.25" customHeight="1">
      <c r="A269" s="63"/>
      <c r="B269" s="63"/>
      <c r="C269" s="63"/>
      <c r="D269" s="63"/>
      <c r="E269" s="63"/>
      <c r="F269" s="63"/>
      <c r="G269" s="63"/>
      <c r="H269" s="63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</row>
    <row r="270" ht="11.25" customHeight="1">
      <c r="A270" s="63"/>
      <c r="B270" s="63"/>
      <c r="C270" s="63"/>
      <c r="D270" s="63"/>
      <c r="E270" s="63"/>
      <c r="F270" s="63"/>
      <c r="G270" s="63"/>
      <c r="H270" s="63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</row>
    <row r="271" ht="11.25" customHeight="1">
      <c r="A271" s="63"/>
      <c r="B271" s="63"/>
      <c r="C271" s="63"/>
      <c r="D271" s="63"/>
      <c r="E271" s="63"/>
      <c r="F271" s="63"/>
      <c r="G271" s="63"/>
      <c r="H271" s="63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</row>
    <row r="272" ht="11.25" customHeight="1">
      <c r="A272" s="63"/>
      <c r="B272" s="63"/>
      <c r="C272" s="63"/>
      <c r="D272" s="63"/>
      <c r="E272" s="63"/>
      <c r="F272" s="63"/>
      <c r="G272" s="63"/>
      <c r="H272" s="63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</row>
    <row r="273" ht="11.25" customHeight="1">
      <c r="A273" s="63"/>
      <c r="B273" s="63"/>
      <c r="C273" s="63"/>
      <c r="D273" s="63"/>
      <c r="E273" s="63"/>
      <c r="F273" s="63"/>
      <c r="G273" s="63"/>
      <c r="H273" s="63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</row>
    <row r="274" ht="11.25" customHeight="1">
      <c r="A274" s="63"/>
      <c r="B274" s="63"/>
      <c r="C274" s="63"/>
      <c r="D274" s="63"/>
      <c r="E274" s="63"/>
      <c r="F274" s="63"/>
      <c r="G274" s="63"/>
      <c r="H274" s="63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</row>
    <row r="275" ht="11.25" customHeight="1">
      <c r="A275" s="63"/>
      <c r="B275" s="63"/>
      <c r="C275" s="63"/>
      <c r="D275" s="63"/>
      <c r="E275" s="63"/>
      <c r="F275" s="63"/>
      <c r="G275" s="63"/>
      <c r="H275" s="63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</row>
    <row r="276" ht="11.25" customHeight="1">
      <c r="A276" s="63"/>
      <c r="B276" s="63"/>
      <c r="C276" s="63"/>
      <c r="D276" s="63"/>
      <c r="E276" s="63"/>
      <c r="F276" s="63"/>
      <c r="G276" s="63"/>
      <c r="H276" s="63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</row>
    <row r="277" ht="11.25" customHeight="1">
      <c r="A277" s="63"/>
      <c r="B277" s="63"/>
      <c r="C277" s="63"/>
      <c r="D277" s="63"/>
      <c r="E277" s="63"/>
      <c r="F277" s="63"/>
      <c r="G277" s="63"/>
      <c r="H277" s="63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</row>
    <row r="278" ht="11.25" customHeight="1">
      <c r="A278" s="63"/>
      <c r="B278" s="63"/>
      <c r="C278" s="63"/>
      <c r="D278" s="63"/>
      <c r="E278" s="63"/>
      <c r="F278" s="63"/>
      <c r="G278" s="63"/>
      <c r="H278" s="63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</row>
    <row r="279" ht="11.25" customHeight="1">
      <c r="A279" s="63"/>
      <c r="B279" s="63"/>
      <c r="C279" s="63"/>
      <c r="D279" s="63"/>
      <c r="E279" s="63"/>
      <c r="F279" s="63"/>
      <c r="G279" s="63"/>
      <c r="H279" s="63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</row>
    <row r="280" ht="11.25" customHeight="1">
      <c r="A280" s="63"/>
      <c r="B280" s="63"/>
      <c r="C280" s="63"/>
      <c r="D280" s="63"/>
      <c r="E280" s="63"/>
      <c r="F280" s="63"/>
      <c r="G280" s="63"/>
      <c r="H280" s="63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</row>
    <row r="281" ht="11.25" customHeight="1">
      <c r="A281" s="63"/>
      <c r="B281" s="63"/>
      <c r="C281" s="63"/>
      <c r="D281" s="63"/>
      <c r="E281" s="63"/>
      <c r="F281" s="63"/>
      <c r="G281" s="63"/>
      <c r="H281" s="63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</row>
    <row r="282" ht="11.25" customHeight="1">
      <c r="A282" s="63"/>
      <c r="B282" s="63"/>
      <c r="C282" s="63"/>
      <c r="D282" s="63"/>
      <c r="E282" s="63"/>
      <c r="F282" s="63"/>
      <c r="G282" s="63"/>
      <c r="H282" s="63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</row>
    <row r="283" ht="11.25" customHeight="1">
      <c r="A283" s="63"/>
      <c r="B283" s="63"/>
      <c r="C283" s="63"/>
      <c r="D283" s="63"/>
      <c r="E283" s="63"/>
      <c r="F283" s="63"/>
      <c r="G283" s="63"/>
      <c r="H283" s="63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</row>
    <row r="284" ht="11.25" customHeight="1">
      <c r="A284" s="63"/>
      <c r="B284" s="63"/>
      <c r="C284" s="63"/>
      <c r="D284" s="63"/>
      <c r="E284" s="63"/>
      <c r="F284" s="63"/>
      <c r="G284" s="63"/>
      <c r="H284" s="63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</row>
    <row r="285" ht="11.25" customHeight="1">
      <c r="A285" s="63"/>
      <c r="B285" s="63"/>
      <c r="C285" s="63"/>
      <c r="D285" s="63"/>
      <c r="E285" s="63"/>
      <c r="F285" s="63"/>
      <c r="G285" s="63"/>
      <c r="H285" s="63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</row>
    <row r="286" ht="11.25" customHeight="1">
      <c r="A286" s="63"/>
      <c r="B286" s="63"/>
      <c r="C286" s="63"/>
      <c r="D286" s="63"/>
      <c r="E286" s="63"/>
      <c r="F286" s="63"/>
      <c r="G286" s="63"/>
      <c r="H286" s="63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</row>
    <row r="287" ht="11.25" customHeight="1">
      <c r="A287" s="63"/>
      <c r="B287" s="63"/>
      <c r="C287" s="63"/>
      <c r="D287" s="63"/>
      <c r="E287" s="63"/>
      <c r="F287" s="63"/>
      <c r="G287" s="63"/>
      <c r="H287" s="63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</row>
    <row r="288" ht="11.25" customHeight="1">
      <c r="A288" s="63"/>
      <c r="B288" s="63"/>
      <c r="C288" s="63"/>
      <c r="D288" s="63"/>
      <c r="E288" s="63"/>
      <c r="F288" s="63"/>
      <c r="G288" s="63"/>
      <c r="H288" s="63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</row>
    <row r="289" ht="11.25" customHeight="1">
      <c r="A289" s="63"/>
      <c r="B289" s="63"/>
      <c r="C289" s="63"/>
      <c r="D289" s="63"/>
      <c r="E289" s="63"/>
      <c r="F289" s="63"/>
      <c r="G289" s="63"/>
      <c r="H289" s="63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</row>
    <row r="290" ht="11.25" customHeight="1">
      <c r="A290" s="63"/>
      <c r="B290" s="63"/>
      <c r="C290" s="63"/>
      <c r="D290" s="63"/>
      <c r="E290" s="63"/>
      <c r="F290" s="63"/>
      <c r="G290" s="63"/>
      <c r="H290" s="63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</row>
    <row r="291" ht="11.25" customHeight="1">
      <c r="A291" s="63"/>
      <c r="B291" s="63"/>
      <c r="C291" s="63"/>
      <c r="D291" s="63"/>
      <c r="E291" s="63"/>
      <c r="F291" s="63"/>
      <c r="G291" s="63"/>
      <c r="H291" s="63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</row>
    <row r="292" ht="11.25" customHeight="1">
      <c r="A292" s="63"/>
      <c r="B292" s="63"/>
      <c r="C292" s="63"/>
      <c r="D292" s="63"/>
      <c r="E292" s="63"/>
      <c r="F292" s="63"/>
      <c r="G292" s="63"/>
      <c r="H292" s="63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</row>
    <row r="293" ht="11.25" customHeight="1">
      <c r="A293" s="63"/>
      <c r="B293" s="63"/>
      <c r="C293" s="63"/>
      <c r="D293" s="63"/>
      <c r="E293" s="63"/>
      <c r="F293" s="63"/>
      <c r="G293" s="63"/>
      <c r="H293" s="63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</row>
    <row r="294" ht="11.25" customHeight="1">
      <c r="A294" s="63"/>
      <c r="B294" s="63"/>
      <c r="C294" s="63"/>
      <c r="D294" s="63"/>
      <c r="E294" s="63"/>
      <c r="F294" s="63"/>
      <c r="G294" s="63"/>
      <c r="H294" s="63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</row>
    <row r="295" ht="11.25" customHeight="1">
      <c r="A295" s="63"/>
      <c r="B295" s="63"/>
      <c r="C295" s="63"/>
      <c r="D295" s="63"/>
      <c r="E295" s="63"/>
      <c r="F295" s="63"/>
      <c r="G295" s="63"/>
      <c r="H295" s="63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</row>
    <row r="296" ht="11.25" customHeight="1">
      <c r="A296" s="63"/>
      <c r="B296" s="63"/>
      <c r="C296" s="63"/>
      <c r="D296" s="63"/>
      <c r="E296" s="63"/>
      <c r="F296" s="63"/>
      <c r="G296" s="63"/>
      <c r="H296" s="63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</row>
    <row r="297" ht="11.25" customHeight="1">
      <c r="A297" s="63"/>
      <c r="B297" s="63"/>
      <c r="C297" s="63"/>
      <c r="D297" s="63"/>
      <c r="E297" s="63"/>
      <c r="F297" s="63"/>
      <c r="G297" s="63"/>
      <c r="H297" s="63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</row>
    <row r="298" ht="11.25" customHeight="1">
      <c r="A298" s="63"/>
      <c r="B298" s="63"/>
      <c r="C298" s="63"/>
      <c r="D298" s="63"/>
      <c r="E298" s="63"/>
      <c r="F298" s="63"/>
      <c r="G298" s="63"/>
      <c r="H298" s="63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</row>
    <row r="299" ht="11.25" customHeight="1">
      <c r="A299" s="63"/>
      <c r="B299" s="63"/>
      <c r="C299" s="63"/>
      <c r="D299" s="63"/>
      <c r="E299" s="63"/>
      <c r="F299" s="63"/>
      <c r="G299" s="63"/>
      <c r="H299" s="63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</row>
    <row r="300" ht="11.25" customHeight="1">
      <c r="A300" s="63"/>
      <c r="B300" s="63"/>
      <c r="C300" s="63"/>
      <c r="D300" s="63"/>
      <c r="E300" s="63"/>
      <c r="F300" s="63"/>
      <c r="G300" s="63"/>
      <c r="H300" s="63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</row>
    <row r="301" ht="11.25" customHeight="1">
      <c r="A301" s="63"/>
      <c r="B301" s="63"/>
      <c r="C301" s="63"/>
      <c r="D301" s="63"/>
      <c r="E301" s="63"/>
      <c r="F301" s="63"/>
      <c r="G301" s="63"/>
      <c r="H301" s="63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</row>
    <row r="302" ht="11.25" customHeight="1">
      <c r="A302" s="63"/>
      <c r="B302" s="63"/>
      <c r="C302" s="63"/>
      <c r="D302" s="63"/>
      <c r="E302" s="63"/>
      <c r="F302" s="63"/>
      <c r="G302" s="63"/>
      <c r="H302" s="63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</row>
    <row r="303" ht="11.25" customHeight="1">
      <c r="A303" s="63"/>
      <c r="B303" s="63"/>
      <c r="C303" s="63"/>
      <c r="D303" s="63"/>
      <c r="E303" s="63"/>
      <c r="F303" s="63"/>
      <c r="G303" s="63"/>
      <c r="H303" s="63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</row>
    <row r="304" ht="11.25" customHeight="1">
      <c r="A304" s="63"/>
      <c r="B304" s="63"/>
      <c r="C304" s="63"/>
      <c r="D304" s="63"/>
      <c r="E304" s="63"/>
      <c r="F304" s="63"/>
      <c r="G304" s="63"/>
      <c r="H304" s="63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</row>
    <row r="305" ht="11.25" customHeight="1">
      <c r="A305" s="63"/>
      <c r="B305" s="63"/>
      <c r="C305" s="63"/>
      <c r="D305" s="63"/>
      <c r="E305" s="63"/>
      <c r="F305" s="63"/>
      <c r="G305" s="63"/>
      <c r="H305" s="63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</row>
    <row r="306" ht="11.25" customHeight="1">
      <c r="A306" s="63"/>
      <c r="B306" s="63"/>
      <c r="C306" s="63"/>
      <c r="D306" s="63"/>
      <c r="E306" s="63"/>
      <c r="F306" s="63"/>
      <c r="G306" s="63"/>
      <c r="H306" s="63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</row>
    <row r="307" ht="11.25" customHeight="1">
      <c r="A307" s="63"/>
      <c r="B307" s="63"/>
      <c r="C307" s="63"/>
      <c r="D307" s="63"/>
      <c r="E307" s="63"/>
      <c r="F307" s="63"/>
      <c r="G307" s="63"/>
      <c r="H307" s="63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</row>
    <row r="308" ht="11.25" customHeight="1">
      <c r="A308" s="63"/>
      <c r="B308" s="63"/>
      <c r="C308" s="63"/>
      <c r="D308" s="63"/>
      <c r="E308" s="63"/>
      <c r="F308" s="63"/>
      <c r="G308" s="63"/>
      <c r="H308" s="63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</row>
    <row r="309" ht="11.25" customHeight="1">
      <c r="A309" s="63"/>
      <c r="B309" s="63"/>
      <c r="C309" s="63"/>
      <c r="D309" s="63"/>
      <c r="E309" s="63"/>
      <c r="F309" s="63"/>
      <c r="G309" s="63"/>
      <c r="H309" s="63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</row>
    <row r="310" ht="11.25" customHeight="1">
      <c r="A310" s="63"/>
      <c r="B310" s="63"/>
      <c r="C310" s="63"/>
      <c r="D310" s="63"/>
      <c r="E310" s="63"/>
      <c r="F310" s="63"/>
      <c r="G310" s="63"/>
      <c r="H310" s="63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</row>
    <row r="311" ht="11.25" customHeight="1">
      <c r="A311" s="63"/>
      <c r="B311" s="63"/>
      <c r="C311" s="63"/>
      <c r="D311" s="63"/>
      <c r="E311" s="63"/>
      <c r="F311" s="63"/>
      <c r="G311" s="63"/>
      <c r="H311" s="63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</row>
    <row r="312" ht="11.25" customHeight="1">
      <c r="A312" s="63"/>
      <c r="B312" s="63"/>
      <c r="C312" s="63"/>
      <c r="D312" s="63"/>
      <c r="E312" s="63"/>
      <c r="F312" s="63"/>
      <c r="G312" s="63"/>
      <c r="H312" s="63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</row>
    <row r="313" ht="11.25" customHeight="1">
      <c r="A313" s="63"/>
      <c r="B313" s="63"/>
      <c r="C313" s="63"/>
      <c r="D313" s="63"/>
      <c r="E313" s="63"/>
      <c r="F313" s="63"/>
      <c r="G313" s="63"/>
      <c r="H313" s="63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</row>
    <row r="314" ht="11.25" customHeight="1">
      <c r="A314" s="63"/>
      <c r="B314" s="63"/>
      <c r="C314" s="63"/>
      <c r="D314" s="63"/>
      <c r="E314" s="63"/>
      <c r="F314" s="63"/>
      <c r="G314" s="63"/>
      <c r="H314" s="63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</row>
    <row r="315" ht="11.25" customHeight="1">
      <c r="A315" s="63"/>
      <c r="B315" s="63"/>
      <c r="C315" s="63"/>
      <c r="D315" s="63"/>
      <c r="E315" s="63"/>
      <c r="F315" s="63"/>
      <c r="G315" s="63"/>
      <c r="H315" s="63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</row>
    <row r="316" ht="11.25" customHeight="1">
      <c r="A316" s="63"/>
      <c r="B316" s="63"/>
      <c r="C316" s="63"/>
      <c r="D316" s="63"/>
      <c r="E316" s="63"/>
      <c r="F316" s="63"/>
      <c r="G316" s="63"/>
      <c r="H316" s="63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</row>
    <row r="317" ht="11.25" customHeight="1">
      <c r="A317" s="63"/>
      <c r="B317" s="63"/>
      <c r="C317" s="63"/>
      <c r="D317" s="63"/>
      <c r="E317" s="63"/>
      <c r="F317" s="63"/>
      <c r="G317" s="63"/>
      <c r="H317" s="63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</row>
    <row r="318" ht="11.25" customHeight="1">
      <c r="A318" s="63"/>
      <c r="B318" s="63"/>
      <c r="C318" s="63"/>
      <c r="D318" s="63"/>
      <c r="E318" s="63"/>
      <c r="F318" s="63"/>
      <c r="G318" s="63"/>
      <c r="H318" s="63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</row>
    <row r="319" ht="11.25" customHeight="1">
      <c r="A319" s="63"/>
      <c r="B319" s="63"/>
      <c r="C319" s="63"/>
      <c r="D319" s="63"/>
      <c r="E319" s="63"/>
      <c r="F319" s="63"/>
      <c r="G319" s="63"/>
      <c r="H319" s="63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</row>
    <row r="320" ht="11.25" customHeight="1">
      <c r="A320" s="63"/>
      <c r="B320" s="63"/>
      <c r="C320" s="63"/>
      <c r="D320" s="63"/>
      <c r="E320" s="63"/>
      <c r="F320" s="63"/>
      <c r="G320" s="63"/>
      <c r="H320" s="63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</row>
    <row r="321" ht="11.25" customHeight="1">
      <c r="A321" s="63"/>
      <c r="B321" s="63"/>
      <c r="C321" s="63"/>
      <c r="D321" s="63"/>
      <c r="E321" s="63"/>
      <c r="F321" s="63"/>
      <c r="G321" s="63"/>
      <c r="H321" s="63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</row>
    <row r="322" ht="11.25" customHeight="1">
      <c r="A322" s="63"/>
      <c r="B322" s="63"/>
      <c r="C322" s="63"/>
      <c r="D322" s="63"/>
      <c r="E322" s="63"/>
      <c r="F322" s="63"/>
      <c r="G322" s="63"/>
      <c r="H322" s="63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</row>
    <row r="323" ht="11.25" customHeight="1">
      <c r="A323" s="63"/>
      <c r="B323" s="63"/>
      <c r="C323" s="63"/>
      <c r="D323" s="63"/>
      <c r="E323" s="63"/>
      <c r="F323" s="63"/>
      <c r="G323" s="63"/>
      <c r="H323" s="63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</row>
    <row r="324" ht="11.25" customHeight="1">
      <c r="A324" s="63"/>
      <c r="B324" s="63"/>
      <c r="C324" s="63"/>
      <c r="D324" s="63"/>
      <c r="E324" s="63"/>
      <c r="F324" s="63"/>
      <c r="G324" s="63"/>
      <c r="H324" s="63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</row>
    <row r="325" ht="11.25" customHeight="1">
      <c r="A325" s="63"/>
      <c r="B325" s="63"/>
      <c r="C325" s="63"/>
      <c r="D325" s="63"/>
      <c r="E325" s="63"/>
      <c r="F325" s="63"/>
      <c r="G325" s="63"/>
      <c r="H325" s="63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</row>
    <row r="326" ht="11.25" customHeight="1">
      <c r="A326" s="63"/>
      <c r="B326" s="63"/>
      <c r="C326" s="63"/>
      <c r="D326" s="63"/>
      <c r="E326" s="63"/>
      <c r="F326" s="63"/>
      <c r="G326" s="63"/>
      <c r="H326" s="63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</row>
    <row r="327" ht="11.25" customHeight="1">
      <c r="A327" s="63"/>
      <c r="B327" s="63"/>
      <c r="C327" s="63"/>
      <c r="D327" s="63"/>
      <c r="E327" s="63"/>
      <c r="F327" s="63"/>
      <c r="G327" s="63"/>
      <c r="H327" s="63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</row>
    <row r="328" ht="11.25" customHeight="1">
      <c r="A328" s="63"/>
      <c r="B328" s="63"/>
      <c r="C328" s="63"/>
      <c r="D328" s="63"/>
      <c r="E328" s="63"/>
      <c r="F328" s="63"/>
      <c r="G328" s="63"/>
      <c r="H328" s="63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</row>
    <row r="329" ht="11.25" customHeight="1">
      <c r="A329" s="63"/>
      <c r="B329" s="63"/>
      <c r="C329" s="63"/>
      <c r="D329" s="63"/>
      <c r="E329" s="63"/>
      <c r="F329" s="63"/>
      <c r="G329" s="63"/>
      <c r="H329" s="63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</row>
    <row r="330" ht="11.25" customHeight="1">
      <c r="A330" s="63"/>
      <c r="B330" s="63"/>
      <c r="C330" s="63"/>
      <c r="D330" s="63"/>
      <c r="E330" s="63"/>
      <c r="F330" s="63"/>
      <c r="G330" s="63"/>
      <c r="H330" s="63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</row>
    <row r="331" ht="11.25" customHeight="1">
      <c r="A331" s="63"/>
      <c r="B331" s="63"/>
      <c r="C331" s="63"/>
      <c r="D331" s="63"/>
      <c r="E331" s="63"/>
      <c r="F331" s="63"/>
      <c r="G331" s="63"/>
      <c r="H331" s="63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</row>
    <row r="332" ht="11.25" customHeight="1">
      <c r="A332" s="63"/>
      <c r="B332" s="63"/>
      <c r="C332" s="63"/>
      <c r="D332" s="63"/>
      <c r="E332" s="63"/>
      <c r="F332" s="63"/>
      <c r="G332" s="63"/>
      <c r="H332" s="63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</row>
    <row r="333" ht="11.25" customHeight="1">
      <c r="A333" s="63"/>
      <c r="B333" s="63"/>
      <c r="C333" s="63"/>
      <c r="D333" s="63"/>
      <c r="E333" s="63"/>
      <c r="F333" s="63"/>
      <c r="G333" s="63"/>
      <c r="H333" s="63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</row>
    <row r="334" ht="11.25" customHeight="1">
      <c r="A334" s="63"/>
      <c r="B334" s="63"/>
      <c r="C334" s="63"/>
      <c r="D334" s="63"/>
      <c r="E334" s="63"/>
      <c r="F334" s="63"/>
      <c r="G334" s="63"/>
      <c r="H334" s="63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</row>
    <row r="335" ht="11.25" customHeight="1">
      <c r="A335" s="63"/>
      <c r="B335" s="63"/>
      <c r="C335" s="63"/>
      <c r="D335" s="63"/>
      <c r="E335" s="63"/>
      <c r="F335" s="63"/>
      <c r="G335" s="63"/>
      <c r="H335" s="63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</row>
    <row r="336" ht="11.25" customHeight="1">
      <c r="A336" s="63"/>
      <c r="B336" s="63"/>
      <c r="C336" s="63"/>
      <c r="D336" s="63"/>
      <c r="E336" s="63"/>
      <c r="F336" s="63"/>
      <c r="G336" s="63"/>
      <c r="H336" s="63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</row>
    <row r="337" ht="11.25" customHeight="1">
      <c r="A337" s="63"/>
      <c r="B337" s="63"/>
      <c r="C337" s="63"/>
      <c r="D337" s="63"/>
      <c r="E337" s="63"/>
      <c r="F337" s="63"/>
      <c r="G337" s="63"/>
      <c r="H337" s="63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</row>
    <row r="338" ht="11.25" customHeight="1">
      <c r="A338" s="63"/>
      <c r="B338" s="63"/>
      <c r="C338" s="63"/>
      <c r="D338" s="63"/>
      <c r="E338" s="63"/>
      <c r="F338" s="63"/>
      <c r="G338" s="63"/>
      <c r="H338" s="63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</row>
    <row r="339" ht="11.25" customHeight="1">
      <c r="A339" s="63"/>
      <c r="B339" s="63"/>
      <c r="C339" s="63"/>
      <c r="D339" s="63"/>
      <c r="E339" s="63"/>
      <c r="F339" s="63"/>
      <c r="G339" s="63"/>
      <c r="H339" s="63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</row>
    <row r="340" ht="11.25" customHeight="1">
      <c r="A340" s="63"/>
      <c r="B340" s="63"/>
      <c r="C340" s="63"/>
      <c r="D340" s="63"/>
      <c r="E340" s="63"/>
      <c r="F340" s="63"/>
      <c r="G340" s="63"/>
      <c r="H340" s="63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</row>
    <row r="341" ht="11.25" customHeight="1">
      <c r="A341" s="63"/>
      <c r="B341" s="63"/>
      <c r="C341" s="63"/>
      <c r="D341" s="63"/>
      <c r="E341" s="63"/>
      <c r="F341" s="63"/>
      <c r="G341" s="63"/>
      <c r="H341" s="63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</row>
    <row r="342" ht="11.25" customHeight="1">
      <c r="A342" s="63"/>
      <c r="B342" s="63"/>
      <c r="C342" s="63"/>
      <c r="D342" s="63"/>
      <c r="E342" s="63"/>
      <c r="F342" s="63"/>
      <c r="G342" s="63"/>
      <c r="H342" s="63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</row>
    <row r="343" ht="11.25" customHeight="1">
      <c r="A343" s="63"/>
      <c r="B343" s="63"/>
      <c r="C343" s="63"/>
      <c r="D343" s="63"/>
      <c r="E343" s="63"/>
      <c r="F343" s="63"/>
      <c r="G343" s="63"/>
      <c r="H343" s="63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</row>
    <row r="344" ht="11.25" customHeight="1">
      <c r="A344" s="63"/>
      <c r="B344" s="63"/>
      <c r="C344" s="63"/>
      <c r="D344" s="63"/>
      <c r="E344" s="63"/>
      <c r="F344" s="63"/>
      <c r="G344" s="63"/>
      <c r="H344" s="63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</row>
    <row r="345" ht="11.25" customHeight="1">
      <c r="A345" s="63"/>
      <c r="B345" s="63"/>
      <c r="C345" s="63"/>
      <c r="D345" s="63"/>
      <c r="E345" s="63"/>
      <c r="F345" s="63"/>
      <c r="G345" s="63"/>
      <c r="H345" s="63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</row>
    <row r="346" ht="11.25" customHeight="1">
      <c r="A346" s="63"/>
      <c r="B346" s="63"/>
      <c r="C346" s="63"/>
      <c r="D346" s="63"/>
      <c r="E346" s="63"/>
      <c r="F346" s="63"/>
      <c r="G346" s="63"/>
      <c r="H346" s="63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</row>
    <row r="347" ht="11.25" customHeight="1">
      <c r="A347" s="63"/>
      <c r="B347" s="63"/>
      <c r="C347" s="63"/>
      <c r="D347" s="63"/>
      <c r="E347" s="63"/>
      <c r="F347" s="63"/>
      <c r="G347" s="63"/>
      <c r="H347" s="63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</row>
    <row r="348" ht="11.25" customHeight="1">
      <c r="A348" s="63"/>
      <c r="B348" s="63"/>
      <c r="C348" s="63"/>
      <c r="D348" s="63"/>
      <c r="E348" s="63"/>
      <c r="F348" s="63"/>
      <c r="G348" s="63"/>
      <c r="H348" s="63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</row>
    <row r="349" ht="11.25" customHeight="1">
      <c r="A349" s="63"/>
      <c r="B349" s="63"/>
      <c r="C349" s="63"/>
      <c r="D349" s="63"/>
      <c r="E349" s="63"/>
      <c r="F349" s="63"/>
      <c r="G349" s="63"/>
      <c r="H349" s="63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</row>
    <row r="350" ht="11.25" customHeight="1">
      <c r="A350" s="63"/>
      <c r="B350" s="63"/>
      <c r="C350" s="63"/>
      <c r="D350" s="63"/>
      <c r="E350" s="63"/>
      <c r="F350" s="63"/>
      <c r="G350" s="63"/>
      <c r="H350" s="63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</row>
    <row r="351" ht="11.25" customHeight="1">
      <c r="A351" s="63"/>
      <c r="B351" s="63"/>
      <c r="C351" s="63"/>
      <c r="D351" s="63"/>
      <c r="E351" s="63"/>
      <c r="F351" s="63"/>
      <c r="G351" s="63"/>
      <c r="H351" s="63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</row>
    <row r="352" ht="11.25" customHeight="1">
      <c r="A352" s="63"/>
      <c r="B352" s="63"/>
      <c r="C352" s="63"/>
      <c r="D352" s="63"/>
      <c r="E352" s="63"/>
      <c r="F352" s="63"/>
      <c r="G352" s="63"/>
      <c r="H352" s="63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</row>
    <row r="353" ht="11.25" customHeight="1">
      <c r="A353" s="63"/>
      <c r="B353" s="63"/>
      <c r="C353" s="63"/>
      <c r="D353" s="63"/>
      <c r="E353" s="63"/>
      <c r="F353" s="63"/>
      <c r="G353" s="63"/>
      <c r="H353" s="63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</row>
    <row r="354" ht="11.25" customHeight="1">
      <c r="A354" s="63"/>
      <c r="B354" s="63"/>
      <c r="C354" s="63"/>
      <c r="D354" s="63"/>
      <c r="E354" s="63"/>
      <c r="F354" s="63"/>
      <c r="G354" s="63"/>
      <c r="H354" s="63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</row>
    <row r="355" ht="11.25" customHeight="1">
      <c r="A355" s="63"/>
      <c r="B355" s="63"/>
      <c r="C355" s="63"/>
      <c r="D355" s="63"/>
      <c r="E355" s="63"/>
      <c r="F355" s="63"/>
      <c r="G355" s="63"/>
      <c r="H355" s="63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</row>
    <row r="356" ht="11.25" customHeight="1">
      <c r="A356" s="63"/>
      <c r="B356" s="63"/>
      <c r="C356" s="63"/>
      <c r="D356" s="63"/>
      <c r="E356" s="63"/>
      <c r="F356" s="63"/>
      <c r="G356" s="63"/>
      <c r="H356" s="63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</row>
    <row r="357" ht="11.25" customHeight="1">
      <c r="A357" s="63"/>
      <c r="B357" s="63"/>
      <c r="C357" s="63"/>
      <c r="D357" s="63"/>
      <c r="E357" s="63"/>
      <c r="F357" s="63"/>
      <c r="G357" s="63"/>
      <c r="H357" s="63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</row>
    <row r="358" ht="11.25" customHeight="1">
      <c r="A358" s="63"/>
      <c r="B358" s="63"/>
      <c r="C358" s="63"/>
      <c r="D358" s="63"/>
      <c r="E358" s="63"/>
      <c r="F358" s="63"/>
      <c r="G358" s="63"/>
      <c r="H358" s="63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</row>
    <row r="359" ht="11.25" customHeight="1">
      <c r="A359" s="63"/>
      <c r="B359" s="63"/>
      <c r="C359" s="63"/>
      <c r="D359" s="63"/>
      <c r="E359" s="63"/>
      <c r="F359" s="63"/>
      <c r="G359" s="63"/>
      <c r="H359" s="63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</row>
    <row r="360" ht="11.25" customHeight="1">
      <c r="A360" s="63"/>
      <c r="B360" s="63"/>
      <c r="C360" s="63"/>
      <c r="D360" s="63"/>
      <c r="E360" s="63"/>
      <c r="F360" s="63"/>
      <c r="G360" s="63"/>
      <c r="H360" s="63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</row>
    <row r="361" ht="11.25" customHeight="1">
      <c r="A361" s="63"/>
      <c r="B361" s="63"/>
      <c r="C361" s="63"/>
      <c r="D361" s="63"/>
      <c r="E361" s="63"/>
      <c r="F361" s="63"/>
      <c r="G361" s="63"/>
      <c r="H361" s="63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</row>
    <row r="362" ht="11.25" customHeight="1">
      <c r="A362" s="63"/>
      <c r="B362" s="63"/>
      <c r="C362" s="63"/>
      <c r="D362" s="63"/>
      <c r="E362" s="63"/>
      <c r="F362" s="63"/>
      <c r="G362" s="63"/>
      <c r="H362" s="63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</row>
    <row r="363" ht="11.25" customHeight="1">
      <c r="A363" s="63"/>
      <c r="B363" s="63"/>
      <c r="C363" s="63"/>
      <c r="D363" s="63"/>
      <c r="E363" s="63"/>
      <c r="F363" s="63"/>
      <c r="G363" s="63"/>
      <c r="H363" s="63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</row>
    <row r="364" ht="11.25" customHeight="1">
      <c r="A364" s="63"/>
      <c r="B364" s="63"/>
      <c r="C364" s="63"/>
      <c r="D364" s="63"/>
      <c r="E364" s="63"/>
      <c r="F364" s="63"/>
      <c r="G364" s="63"/>
      <c r="H364" s="63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</row>
    <row r="365" ht="11.25" customHeight="1">
      <c r="A365" s="63"/>
      <c r="B365" s="63"/>
      <c r="C365" s="63"/>
      <c r="D365" s="63"/>
      <c r="E365" s="63"/>
      <c r="F365" s="63"/>
      <c r="G365" s="63"/>
      <c r="H365" s="63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</row>
    <row r="366" ht="11.25" customHeight="1">
      <c r="A366" s="63"/>
      <c r="B366" s="63"/>
      <c r="C366" s="63"/>
      <c r="D366" s="63"/>
      <c r="E366" s="63"/>
      <c r="F366" s="63"/>
      <c r="G366" s="63"/>
      <c r="H366" s="63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</row>
    <row r="367" ht="11.25" customHeight="1">
      <c r="A367" s="63"/>
      <c r="B367" s="63"/>
      <c r="C367" s="63"/>
      <c r="D367" s="63"/>
      <c r="E367" s="63"/>
      <c r="F367" s="63"/>
      <c r="G367" s="63"/>
      <c r="H367" s="63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</row>
    <row r="368" ht="11.25" customHeight="1">
      <c r="A368" s="63"/>
      <c r="B368" s="63"/>
      <c r="C368" s="63"/>
      <c r="D368" s="63"/>
      <c r="E368" s="63"/>
      <c r="F368" s="63"/>
      <c r="G368" s="63"/>
      <c r="H368" s="63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</row>
    <row r="369" ht="11.25" customHeight="1">
      <c r="A369" s="63"/>
      <c r="B369" s="63"/>
      <c r="C369" s="63"/>
      <c r="D369" s="63"/>
      <c r="E369" s="63"/>
      <c r="F369" s="63"/>
      <c r="G369" s="63"/>
      <c r="H369" s="63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</row>
    <row r="370" ht="11.25" customHeight="1">
      <c r="A370" s="63"/>
      <c r="B370" s="63"/>
      <c r="C370" s="63"/>
      <c r="D370" s="63"/>
      <c r="E370" s="63"/>
      <c r="F370" s="63"/>
      <c r="G370" s="63"/>
      <c r="H370" s="63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</row>
    <row r="371" ht="11.25" customHeight="1">
      <c r="A371" s="63"/>
      <c r="B371" s="63"/>
      <c r="C371" s="63"/>
      <c r="D371" s="63"/>
      <c r="E371" s="63"/>
      <c r="F371" s="63"/>
      <c r="G371" s="63"/>
      <c r="H371" s="63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</row>
    <row r="372" ht="11.25" customHeight="1">
      <c r="A372" s="63"/>
      <c r="B372" s="63"/>
      <c r="C372" s="63"/>
      <c r="D372" s="63"/>
      <c r="E372" s="63"/>
      <c r="F372" s="63"/>
      <c r="G372" s="63"/>
      <c r="H372" s="63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</row>
    <row r="373" ht="11.25" customHeight="1">
      <c r="A373" s="63"/>
      <c r="B373" s="63"/>
      <c r="C373" s="63"/>
      <c r="D373" s="63"/>
      <c r="E373" s="63"/>
      <c r="F373" s="63"/>
      <c r="G373" s="63"/>
      <c r="H373" s="63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</row>
    <row r="374" ht="11.25" customHeight="1">
      <c r="A374" s="63"/>
      <c r="B374" s="63"/>
      <c r="C374" s="63"/>
      <c r="D374" s="63"/>
      <c r="E374" s="63"/>
      <c r="F374" s="63"/>
      <c r="G374" s="63"/>
      <c r="H374" s="63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</row>
    <row r="375" ht="11.25" customHeight="1">
      <c r="A375" s="63"/>
      <c r="B375" s="63"/>
      <c r="C375" s="63"/>
      <c r="D375" s="63"/>
      <c r="E375" s="63"/>
      <c r="F375" s="63"/>
      <c r="G375" s="63"/>
      <c r="H375" s="63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</row>
    <row r="376" ht="11.25" customHeight="1">
      <c r="A376" s="63"/>
      <c r="B376" s="63"/>
      <c r="C376" s="63"/>
      <c r="D376" s="63"/>
      <c r="E376" s="63"/>
      <c r="F376" s="63"/>
      <c r="G376" s="63"/>
      <c r="H376" s="63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</row>
    <row r="377" ht="11.25" customHeight="1">
      <c r="A377" s="63"/>
      <c r="B377" s="63"/>
      <c r="C377" s="63"/>
      <c r="D377" s="63"/>
      <c r="E377" s="63"/>
      <c r="F377" s="63"/>
      <c r="G377" s="63"/>
      <c r="H377" s="63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</row>
    <row r="378" ht="11.25" customHeight="1">
      <c r="A378" s="63"/>
      <c r="B378" s="63"/>
      <c r="C378" s="63"/>
      <c r="D378" s="63"/>
      <c r="E378" s="63"/>
      <c r="F378" s="63"/>
      <c r="G378" s="63"/>
      <c r="H378" s="63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</row>
    <row r="379" ht="11.25" customHeight="1">
      <c r="A379" s="63"/>
      <c r="B379" s="63"/>
      <c r="C379" s="63"/>
      <c r="D379" s="63"/>
      <c r="E379" s="63"/>
      <c r="F379" s="63"/>
      <c r="G379" s="63"/>
      <c r="H379" s="63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</row>
    <row r="380" ht="11.25" customHeight="1">
      <c r="A380" s="63"/>
      <c r="B380" s="63"/>
      <c r="C380" s="63"/>
      <c r="D380" s="63"/>
      <c r="E380" s="63"/>
      <c r="F380" s="63"/>
      <c r="G380" s="63"/>
      <c r="H380" s="63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</row>
    <row r="381" ht="11.25" customHeight="1">
      <c r="A381" s="63"/>
      <c r="B381" s="63"/>
      <c r="C381" s="63"/>
      <c r="D381" s="63"/>
      <c r="E381" s="63"/>
      <c r="F381" s="63"/>
      <c r="G381" s="63"/>
      <c r="H381" s="63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</row>
    <row r="382" ht="11.25" customHeight="1">
      <c r="A382" s="63"/>
      <c r="B382" s="63"/>
      <c r="C382" s="63"/>
      <c r="D382" s="63"/>
      <c r="E382" s="63"/>
      <c r="F382" s="63"/>
      <c r="G382" s="63"/>
      <c r="H382" s="63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</row>
    <row r="383" ht="11.25" customHeight="1">
      <c r="A383" s="63"/>
      <c r="B383" s="63"/>
      <c r="C383" s="63"/>
      <c r="D383" s="63"/>
      <c r="E383" s="63"/>
      <c r="F383" s="63"/>
      <c r="G383" s="63"/>
      <c r="H383" s="63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</row>
    <row r="384" ht="11.25" customHeight="1">
      <c r="A384" s="63"/>
      <c r="B384" s="63"/>
      <c r="C384" s="63"/>
      <c r="D384" s="63"/>
      <c r="E384" s="63"/>
      <c r="F384" s="63"/>
      <c r="G384" s="63"/>
      <c r="H384" s="63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</row>
    <row r="385" ht="11.25" customHeight="1">
      <c r="A385" s="63"/>
      <c r="B385" s="63"/>
      <c r="C385" s="63"/>
      <c r="D385" s="63"/>
      <c r="E385" s="63"/>
      <c r="F385" s="63"/>
      <c r="G385" s="63"/>
      <c r="H385" s="63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</row>
    <row r="386" ht="11.25" customHeight="1">
      <c r="A386" s="63"/>
      <c r="B386" s="63"/>
      <c r="C386" s="63"/>
      <c r="D386" s="63"/>
      <c r="E386" s="63"/>
      <c r="F386" s="63"/>
      <c r="G386" s="63"/>
      <c r="H386" s="63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</row>
    <row r="387" ht="11.25" customHeight="1">
      <c r="A387" s="63"/>
      <c r="B387" s="63"/>
      <c r="C387" s="63"/>
      <c r="D387" s="63"/>
      <c r="E387" s="63"/>
      <c r="F387" s="63"/>
      <c r="G387" s="63"/>
      <c r="H387" s="63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</row>
    <row r="388" ht="11.25" customHeight="1">
      <c r="A388" s="63"/>
      <c r="B388" s="63"/>
      <c r="C388" s="63"/>
      <c r="D388" s="63"/>
      <c r="E388" s="63"/>
      <c r="F388" s="63"/>
      <c r="G388" s="63"/>
      <c r="H388" s="63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</row>
    <row r="389" ht="11.25" customHeight="1">
      <c r="A389" s="63"/>
      <c r="B389" s="63"/>
      <c r="C389" s="63"/>
      <c r="D389" s="63"/>
      <c r="E389" s="63"/>
      <c r="F389" s="63"/>
      <c r="G389" s="63"/>
      <c r="H389" s="63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</row>
    <row r="390" ht="11.25" customHeight="1">
      <c r="A390" s="63"/>
      <c r="B390" s="63"/>
      <c r="C390" s="63"/>
      <c r="D390" s="63"/>
      <c r="E390" s="63"/>
      <c r="F390" s="63"/>
      <c r="G390" s="63"/>
      <c r="H390" s="63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</row>
    <row r="391" ht="11.25" customHeight="1">
      <c r="A391" s="63"/>
      <c r="B391" s="63"/>
      <c r="C391" s="63"/>
      <c r="D391" s="63"/>
      <c r="E391" s="63"/>
      <c r="F391" s="63"/>
      <c r="G391" s="63"/>
      <c r="H391" s="63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</row>
    <row r="392" ht="11.25" customHeight="1">
      <c r="A392" s="63"/>
      <c r="B392" s="63"/>
      <c r="C392" s="63"/>
      <c r="D392" s="63"/>
      <c r="E392" s="63"/>
      <c r="F392" s="63"/>
      <c r="G392" s="63"/>
      <c r="H392" s="63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</row>
    <row r="393" ht="11.25" customHeight="1">
      <c r="A393" s="63"/>
      <c r="B393" s="63"/>
      <c r="C393" s="63"/>
      <c r="D393" s="63"/>
      <c r="E393" s="63"/>
      <c r="F393" s="63"/>
      <c r="G393" s="63"/>
      <c r="H393" s="63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</row>
    <row r="394" ht="11.25" customHeight="1">
      <c r="A394" s="63"/>
      <c r="B394" s="63"/>
      <c r="C394" s="63"/>
      <c r="D394" s="63"/>
      <c r="E394" s="63"/>
      <c r="F394" s="63"/>
      <c r="G394" s="63"/>
      <c r="H394" s="63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</row>
    <row r="395" ht="11.25" customHeight="1">
      <c r="A395" s="63"/>
      <c r="B395" s="63"/>
      <c r="C395" s="63"/>
      <c r="D395" s="63"/>
      <c r="E395" s="63"/>
      <c r="F395" s="63"/>
      <c r="G395" s="63"/>
      <c r="H395" s="63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</row>
    <row r="396" ht="11.25" customHeight="1">
      <c r="A396" s="63"/>
      <c r="B396" s="63"/>
      <c r="C396" s="63"/>
      <c r="D396" s="63"/>
      <c r="E396" s="63"/>
      <c r="F396" s="63"/>
      <c r="G396" s="63"/>
      <c r="H396" s="63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</row>
    <row r="397" ht="11.25" customHeight="1">
      <c r="A397" s="63"/>
      <c r="B397" s="63"/>
      <c r="C397" s="63"/>
      <c r="D397" s="63"/>
      <c r="E397" s="63"/>
      <c r="F397" s="63"/>
      <c r="G397" s="63"/>
      <c r="H397" s="63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</row>
    <row r="398" ht="11.25" customHeight="1">
      <c r="A398" s="63"/>
      <c r="B398" s="63"/>
      <c r="C398" s="63"/>
      <c r="D398" s="63"/>
      <c r="E398" s="63"/>
      <c r="F398" s="63"/>
      <c r="G398" s="63"/>
      <c r="H398" s="63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</row>
    <row r="399" ht="11.25" customHeight="1">
      <c r="A399" s="63"/>
      <c r="B399" s="63"/>
      <c r="C399" s="63"/>
      <c r="D399" s="63"/>
      <c r="E399" s="63"/>
      <c r="F399" s="63"/>
      <c r="G399" s="63"/>
      <c r="H399" s="63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</row>
    <row r="400" ht="11.25" customHeight="1">
      <c r="A400" s="63"/>
      <c r="B400" s="63"/>
      <c r="C400" s="63"/>
      <c r="D400" s="63"/>
      <c r="E400" s="63"/>
      <c r="F400" s="63"/>
      <c r="G400" s="63"/>
      <c r="H400" s="63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</row>
    <row r="401" ht="11.25" customHeight="1">
      <c r="A401" s="63"/>
      <c r="B401" s="63"/>
      <c r="C401" s="63"/>
      <c r="D401" s="63"/>
      <c r="E401" s="63"/>
      <c r="F401" s="63"/>
      <c r="G401" s="63"/>
      <c r="H401" s="63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</row>
    <row r="402" ht="11.25" customHeight="1">
      <c r="A402" s="63"/>
      <c r="B402" s="63"/>
      <c r="C402" s="63"/>
      <c r="D402" s="63"/>
      <c r="E402" s="63"/>
      <c r="F402" s="63"/>
      <c r="G402" s="63"/>
      <c r="H402" s="63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</row>
    <row r="403" ht="11.25" customHeight="1">
      <c r="A403" s="63"/>
      <c r="B403" s="63"/>
      <c r="C403" s="63"/>
      <c r="D403" s="63"/>
      <c r="E403" s="63"/>
      <c r="F403" s="63"/>
      <c r="G403" s="63"/>
      <c r="H403" s="63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</row>
    <row r="404" ht="11.25" customHeight="1">
      <c r="A404" s="63"/>
      <c r="B404" s="63"/>
      <c r="C404" s="63"/>
      <c r="D404" s="63"/>
      <c r="E404" s="63"/>
      <c r="F404" s="63"/>
      <c r="G404" s="63"/>
      <c r="H404" s="63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</row>
    <row r="405" ht="11.25" customHeight="1">
      <c r="A405" s="63"/>
      <c r="B405" s="63"/>
      <c r="C405" s="63"/>
      <c r="D405" s="63"/>
      <c r="E405" s="63"/>
      <c r="F405" s="63"/>
      <c r="G405" s="63"/>
      <c r="H405" s="63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</row>
    <row r="406" ht="11.25" customHeight="1">
      <c r="A406" s="63"/>
      <c r="B406" s="63"/>
      <c r="C406" s="63"/>
      <c r="D406" s="63"/>
      <c r="E406" s="63"/>
      <c r="F406" s="63"/>
      <c r="G406" s="63"/>
      <c r="H406" s="63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</row>
    <row r="407" ht="11.25" customHeight="1">
      <c r="A407" s="63"/>
      <c r="B407" s="63"/>
      <c r="C407" s="63"/>
      <c r="D407" s="63"/>
      <c r="E407" s="63"/>
      <c r="F407" s="63"/>
      <c r="G407" s="63"/>
      <c r="H407" s="63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</row>
    <row r="408" ht="11.25" customHeight="1">
      <c r="A408" s="63"/>
      <c r="B408" s="63"/>
      <c r="C408" s="63"/>
      <c r="D408" s="63"/>
      <c r="E408" s="63"/>
      <c r="F408" s="63"/>
      <c r="G408" s="63"/>
      <c r="H408" s="63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</row>
    <row r="409" ht="11.25" customHeight="1">
      <c r="A409" s="63"/>
      <c r="B409" s="63"/>
      <c r="C409" s="63"/>
      <c r="D409" s="63"/>
      <c r="E409" s="63"/>
      <c r="F409" s="63"/>
      <c r="G409" s="63"/>
      <c r="H409" s="63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</row>
    <row r="410" ht="11.25" customHeight="1">
      <c r="A410" s="63"/>
      <c r="B410" s="63"/>
      <c r="C410" s="63"/>
      <c r="D410" s="63"/>
      <c r="E410" s="63"/>
      <c r="F410" s="63"/>
      <c r="G410" s="63"/>
      <c r="H410" s="63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</row>
    <row r="411" ht="11.25" customHeight="1">
      <c r="A411" s="63"/>
      <c r="B411" s="63"/>
      <c r="C411" s="63"/>
      <c r="D411" s="63"/>
      <c r="E411" s="63"/>
      <c r="F411" s="63"/>
      <c r="G411" s="63"/>
      <c r="H411" s="63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</row>
    <row r="412" ht="11.25" customHeight="1">
      <c r="A412" s="63"/>
      <c r="B412" s="63"/>
      <c r="C412" s="63"/>
      <c r="D412" s="63"/>
      <c r="E412" s="63"/>
      <c r="F412" s="63"/>
      <c r="G412" s="63"/>
      <c r="H412" s="63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</row>
    <row r="413" ht="11.25" customHeight="1">
      <c r="A413" s="63"/>
      <c r="B413" s="63"/>
      <c r="C413" s="63"/>
      <c r="D413" s="63"/>
      <c r="E413" s="63"/>
      <c r="F413" s="63"/>
      <c r="G413" s="63"/>
      <c r="H413" s="63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</row>
    <row r="414" ht="11.25" customHeight="1">
      <c r="A414" s="63"/>
      <c r="B414" s="63"/>
      <c r="C414" s="63"/>
      <c r="D414" s="63"/>
      <c r="E414" s="63"/>
      <c r="F414" s="63"/>
      <c r="G414" s="63"/>
      <c r="H414" s="63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</row>
    <row r="415" ht="11.25" customHeight="1">
      <c r="A415" s="63"/>
      <c r="B415" s="63"/>
      <c r="C415" s="63"/>
      <c r="D415" s="63"/>
      <c r="E415" s="63"/>
      <c r="F415" s="63"/>
      <c r="G415" s="63"/>
      <c r="H415" s="63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</row>
    <row r="416" ht="11.25" customHeight="1">
      <c r="A416" s="63"/>
      <c r="B416" s="63"/>
      <c r="C416" s="63"/>
      <c r="D416" s="63"/>
      <c r="E416" s="63"/>
      <c r="F416" s="63"/>
      <c r="G416" s="63"/>
      <c r="H416" s="63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</row>
    <row r="417" ht="11.25" customHeight="1">
      <c r="A417" s="63"/>
      <c r="B417" s="63"/>
      <c r="C417" s="63"/>
      <c r="D417" s="63"/>
      <c r="E417" s="63"/>
      <c r="F417" s="63"/>
      <c r="G417" s="63"/>
      <c r="H417" s="63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</row>
    <row r="418" ht="11.25" customHeight="1">
      <c r="A418" s="63"/>
      <c r="B418" s="63"/>
      <c r="C418" s="63"/>
      <c r="D418" s="63"/>
      <c r="E418" s="63"/>
      <c r="F418" s="63"/>
      <c r="G418" s="63"/>
      <c r="H418" s="63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</row>
    <row r="419" ht="11.25" customHeight="1">
      <c r="A419" s="63"/>
      <c r="B419" s="63"/>
      <c r="C419" s="63"/>
      <c r="D419" s="63"/>
      <c r="E419" s="63"/>
      <c r="F419" s="63"/>
      <c r="G419" s="63"/>
      <c r="H419" s="63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</row>
    <row r="420" ht="11.25" customHeight="1">
      <c r="A420" s="63"/>
      <c r="B420" s="63"/>
      <c r="C420" s="63"/>
      <c r="D420" s="63"/>
      <c r="E420" s="63"/>
      <c r="F420" s="63"/>
      <c r="G420" s="63"/>
      <c r="H420" s="63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</row>
    <row r="421" ht="11.25" customHeight="1">
      <c r="A421" s="63"/>
      <c r="B421" s="63"/>
      <c r="C421" s="63"/>
      <c r="D421" s="63"/>
      <c r="E421" s="63"/>
      <c r="F421" s="63"/>
      <c r="G421" s="63"/>
      <c r="H421" s="63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</row>
    <row r="422" ht="11.25" customHeight="1">
      <c r="A422" s="63"/>
      <c r="B422" s="63"/>
      <c r="C422" s="63"/>
      <c r="D422" s="63"/>
      <c r="E422" s="63"/>
      <c r="F422" s="63"/>
      <c r="G422" s="63"/>
      <c r="H422" s="63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</row>
    <row r="423" ht="11.25" customHeight="1">
      <c r="A423" s="63"/>
      <c r="B423" s="63"/>
      <c r="C423" s="63"/>
      <c r="D423" s="63"/>
      <c r="E423" s="63"/>
      <c r="F423" s="63"/>
      <c r="G423" s="63"/>
      <c r="H423" s="63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</row>
    <row r="424" ht="11.25" customHeight="1">
      <c r="A424" s="63"/>
      <c r="B424" s="63"/>
      <c r="C424" s="63"/>
      <c r="D424" s="63"/>
      <c r="E424" s="63"/>
      <c r="F424" s="63"/>
      <c r="G424" s="63"/>
      <c r="H424" s="63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</row>
    <row r="425" ht="11.25" customHeight="1">
      <c r="A425" s="63"/>
      <c r="B425" s="63"/>
      <c r="C425" s="63"/>
      <c r="D425" s="63"/>
      <c r="E425" s="63"/>
      <c r="F425" s="63"/>
      <c r="G425" s="63"/>
      <c r="H425" s="63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</row>
    <row r="426" ht="11.25" customHeight="1">
      <c r="A426" s="63"/>
      <c r="B426" s="63"/>
      <c r="C426" s="63"/>
      <c r="D426" s="63"/>
      <c r="E426" s="63"/>
      <c r="F426" s="63"/>
      <c r="G426" s="63"/>
      <c r="H426" s="63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</row>
    <row r="427" ht="11.25" customHeight="1">
      <c r="A427" s="63"/>
      <c r="B427" s="63"/>
      <c r="C427" s="63"/>
      <c r="D427" s="63"/>
      <c r="E427" s="63"/>
      <c r="F427" s="63"/>
      <c r="G427" s="63"/>
      <c r="H427" s="63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</row>
    <row r="428" ht="11.25" customHeight="1">
      <c r="A428" s="63"/>
      <c r="B428" s="63"/>
      <c r="C428" s="63"/>
      <c r="D428" s="63"/>
      <c r="E428" s="63"/>
      <c r="F428" s="63"/>
      <c r="G428" s="63"/>
      <c r="H428" s="63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</row>
    <row r="429" ht="11.25" customHeight="1">
      <c r="A429" s="63"/>
      <c r="B429" s="63"/>
      <c r="C429" s="63"/>
      <c r="D429" s="63"/>
      <c r="E429" s="63"/>
      <c r="F429" s="63"/>
      <c r="G429" s="63"/>
      <c r="H429" s="63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</row>
    <row r="430" ht="11.25" customHeight="1">
      <c r="A430" s="63"/>
      <c r="B430" s="63"/>
      <c r="C430" s="63"/>
      <c r="D430" s="63"/>
      <c r="E430" s="63"/>
      <c r="F430" s="63"/>
      <c r="G430" s="63"/>
      <c r="H430" s="63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</row>
    <row r="431" ht="11.25" customHeight="1">
      <c r="A431" s="63"/>
      <c r="B431" s="63"/>
      <c r="C431" s="63"/>
      <c r="D431" s="63"/>
      <c r="E431" s="63"/>
      <c r="F431" s="63"/>
      <c r="G431" s="63"/>
      <c r="H431" s="63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</row>
    <row r="432" ht="11.25" customHeight="1">
      <c r="A432" s="63"/>
      <c r="B432" s="63"/>
      <c r="C432" s="63"/>
      <c r="D432" s="63"/>
      <c r="E432" s="63"/>
      <c r="F432" s="63"/>
      <c r="G432" s="63"/>
      <c r="H432" s="63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</row>
    <row r="433" ht="11.25" customHeight="1">
      <c r="A433" s="63"/>
      <c r="B433" s="63"/>
      <c r="C433" s="63"/>
      <c r="D433" s="63"/>
      <c r="E433" s="63"/>
      <c r="F433" s="63"/>
      <c r="G433" s="63"/>
      <c r="H433" s="63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</row>
    <row r="434" ht="11.25" customHeight="1">
      <c r="A434" s="63"/>
      <c r="B434" s="63"/>
      <c r="C434" s="63"/>
      <c r="D434" s="63"/>
      <c r="E434" s="63"/>
      <c r="F434" s="63"/>
      <c r="G434" s="63"/>
      <c r="H434" s="63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</row>
    <row r="435" ht="11.25" customHeight="1">
      <c r="A435" s="63"/>
      <c r="B435" s="63"/>
      <c r="C435" s="63"/>
      <c r="D435" s="63"/>
      <c r="E435" s="63"/>
      <c r="F435" s="63"/>
      <c r="G435" s="63"/>
      <c r="H435" s="63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</row>
    <row r="436" ht="11.25" customHeight="1">
      <c r="A436" s="63"/>
      <c r="B436" s="63"/>
      <c r="C436" s="63"/>
      <c r="D436" s="63"/>
      <c r="E436" s="63"/>
      <c r="F436" s="63"/>
      <c r="G436" s="63"/>
      <c r="H436" s="63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</row>
    <row r="437" ht="11.25" customHeight="1">
      <c r="A437" s="63"/>
      <c r="B437" s="63"/>
      <c r="C437" s="63"/>
      <c r="D437" s="63"/>
      <c r="E437" s="63"/>
      <c r="F437" s="63"/>
      <c r="G437" s="63"/>
      <c r="H437" s="63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</row>
    <row r="438" ht="11.25" customHeight="1">
      <c r="A438" s="63"/>
      <c r="B438" s="63"/>
      <c r="C438" s="63"/>
      <c r="D438" s="63"/>
      <c r="E438" s="63"/>
      <c r="F438" s="63"/>
      <c r="G438" s="63"/>
      <c r="H438" s="63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</row>
    <row r="439" ht="11.25" customHeight="1">
      <c r="A439" s="63"/>
      <c r="B439" s="63"/>
      <c r="C439" s="63"/>
      <c r="D439" s="63"/>
      <c r="E439" s="63"/>
      <c r="F439" s="63"/>
      <c r="G439" s="63"/>
      <c r="H439" s="63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</row>
    <row r="440" ht="11.25" customHeight="1">
      <c r="A440" s="63"/>
      <c r="B440" s="63"/>
      <c r="C440" s="63"/>
      <c r="D440" s="63"/>
      <c r="E440" s="63"/>
      <c r="F440" s="63"/>
      <c r="G440" s="63"/>
      <c r="H440" s="63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</row>
    <row r="441" ht="11.25" customHeight="1">
      <c r="A441" s="63"/>
      <c r="B441" s="63"/>
      <c r="C441" s="63"/>
      <c r="D441" s="63"/>
      <c r="E441" s="63"/>
      <c r="F441" s="63"/>
      <c r="G441" s="63"/>
      <c r="H441" s="63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</row>
    <row r="442" ht="11.25" customHeight="1">
      <c r="A442" s="63"/>
      <c r="B442" s="63"/>
      <c r="C442" s="63"/>
      <c r="D442" s="63"/>
      <c r="E442" s="63"/>
      <c r="F442" s="63"/>
      <c r="G442" s="63"/>
      <c r="H442" s="63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</row>
    <row r="443" ht="11.25" customHeight="1">
      <c r="A443" s="63"/>
      <c r="B443" s="63"/>
      <c r="C443" s="63"/>
      <c r="D443" s="63"/>
      <c r="E443" s="63"/>
      <c r="F443" s="63"/>
      <c r="G443" s="63"/>
      <c r="H443" s="63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</row>
    <row r="444" ht="11.25" customHeight="1">
      <c r="A444" s="63"/>
      <c r="B444" s="63"/>
      <c r="C444" s="63"/>
      <c r="D444" s="63"/>
      <c r="E444" s="63"/>
      <c r="F444" s="63"/>
      <c r="G444" s="63"/>
      <c r="H444" s="63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</row>
    <row r="445" ht="11.25" customHeight="1">
      <c r="A445" s="63"/>
      <c r="B445" s="63"/>
      <c r="C445" s="63"/>
      <c r="D445" s="63"/>
      <c r="E445" s="63"/>
      <c r="F445" s="63"/>
      <c r="G445" s="63"/>
      <c r="H445" s="63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</row>
    <row r="446" ht="11.25" customHeight="1">
      <c r="A446" s="63"/>
      <c r="B446" s="63"/>
      <c r="C446" s="63"/>
      <c r="D446" s="63"/>
      <c r="E446" s="63"/>
      <c r="F446" s="63"/>
      <c r="G446" s="63"/>
      <c r="H446" s="63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</row>
    <row r="447" ht="11.25" customHeight="1">
      <c r="A447" s="63"/>
      <c r="B447" s="63"/>
      <c r="C447" s="63"/>
      <c r="D447" s="63"/>
      <c r="E447" s="63"/>
      <c r="F447" s="63"/>
      <c r="G447" s="63"/>
      <c r="H447" s="63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</row>
    <row r="448" ht="11.25" customHeight="1">
      <c r="A448" s="63"/>
      <c r="B448" s="63"/>
      <c r="C448" s="63"/>
      <c r="D448" s="63"/>
      <c r="E448" s="63"/>
      <c r="F448" s="63"/>
      <c r="G448" s="63"/>
      <c r="H448" s="63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</row>
    <row r="449" ht="11.25" customHeight="1">
      <c r="A449" s="63"/>
      <c r="B449" s="63"/>
      <c r="C449" s="63"/>
      <c r="D449" s="63"/>
      <c r="E449" s="63"/>
      <c r="F449" s="63"/>
      <c r="G449" s="63"/>
      <c r="H449" s="63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</row>
    <row r="450" ht="11.25" customHeight="1">
      <c r="A450" s="63"/>
      <c r="B450" s="63"/>
      <c r="C450" s="63"/>
      <c r="D450" s="63"/>
      <c r="E450" s="63"/>
      <c r="F450" s="63"/>
      <c r="G450" s="63"/>
      <c r="H450" s="63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</row>
    <row r="451" ht="11.25" customHeight="1">
      <c r="A451" s="63"/>
      <c r="B451" s="63"/>
      <c r="C451" s="63"/>
      <c r="D451" s="63"/>
      <c r="E451" s="63"/>
      <c r="F451" s="63"/>
      <c r="G451" s="63"/>
      <c r="H451" s="63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</row>
    <row r="452" ht="11.25" customHeight="1">
      <c r="A452" s="63"/>
      <c r="B452" s="63"/>
      <c r="C452" s="63"/>
      <c r="D452" s="63"/>
      <c r="E452" s="63"/>
      <c r="F452" s="63"/>
      <c r="G452" s="63"/>
      <c r="H452" s="63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</row>
    <row r="453" ht="11.25" customHeight="1">
      <c r="A453" s="63"/>
      <c r="B453" s="63"/>
      <c r="C453" s="63"/>
      <c r="D453" s="63"/>
      <c r="E453" s="63"/>
      <c r="F453" s="63"/>
      <c r="G453" s="63"/>
      <c r="H453" s="63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</row>
    <row r="454" ht="11.25" customHeight="1">
      <c r="A454" s="63"/>
      <c r="B454" s="63"/>
      <c r="C454" s="63"/>
      <c r="D454" s="63"/>
      <c r="E454" s="63"/>
      <c r="F454" s="63"/>
      <c r="G454" s="63"/>
      <c r="H454" s="63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</row>
    <row r="455" ht="11.25" customHeight="1">
      <c r="A455" s="63"/>
      <c r="B455" s="63"/>
      <c r="C455" s="63"/>
      <c r="D455" s="63"/>
      <c r="E455" s="63"/>
      <c r="F455" s="63"/>
      <c r="G455" s="63"/>
      <c r="H455" s="63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</row>
    <row r="456" ht="11.25" customHeight="1">
      <c r="A456" s="63"/>
      <c r="B456" s="63"/>
      <c r="C456" s="63"/>
      <c r="D456" s="63"/>
      <c r="E456" s="63"/>
      <c r="F456" s="63"/>
      <c r="G456" s="63"/>
      <c r="H456" s="63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</row>
    <row r="457" ht="11.25" customHeight="1">
      <c r="A457" s="63"/>
      <c r="B457" s="63"/>
      <c r="C457" s="63"/>
      <c r="D457" s="63"/>
      <c r="E457" s="63"/>
      <c r="F457" s="63"/>
      <c r="G457" s="63"/>
      <c r="H457" s="63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</row>
    <row r="458" ht="11.25" customHeight="1">
      <c r="A458" s="63"/>
      <c r="B458" s="63"/>
      <c r="C458" s="63"/>
      <c r="D458" s="63"/>
      <c r="E458" s="63"/>
      <c r="F458" s="63"/>
      <c r="G458" s="63"/>
      <c r="H458" s="63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</row>
    <row r="459" ht="11.25" customHeight="1">
      <c r="A459" s="63"/>
      <c r="B459" s="63"/>
      <c r="C459" s="63"/>
      <c r="D459" s="63"/>
      <c r="E459" s="63"/>
      <c r="F459" s="63"/>
      <c r="G459" s="63"/>
      <c r="H459" s="63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</row>
    <row r="460" ht="11.25" customHeight="1">
      <c r="A460" s="63"/>
      <c r="B460" s="63"/>
      <c r="C460" s="63"/>
      <c r="D460" s="63"/>
      <c r="E460" s="63"/>
      <c r="F460" s="63"/>
      <c r="G460" s="63"/>
      <c r="H460" s="63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</row>
    <row r="461" ht="11.25" customHeight="1">
      <c r="A461" s="63"/>
      <c r="B461" s="63"/>
      <c r="C461" s="63"/>
      <c r="D461" s="63"/>
      <c r="E461" s="63"/>
      <c r="F461" s="63"/>
      <c r="G461" s="63"/>
      <c r="H461" s="63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</row>
    <row r="462" ht="11.25" customHeight="1">
      <c r="A462" s="63"/>
      <c r="B462" s="63"/>
      <c r="C462" s="63"/>
      <c r="D462" s="63"/>
      <c r="E462" s="63"/>
      <c r="F462" s="63"/>
      <c r="G462" s="63"/>
      <c r="H462" s="63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</row>
    <row r="463" ht="11.25" customHeight="1">
      <c r="A463" s="63"/>
      <c r="B463" s="63"/>
      <c r="C463" s="63"/>
      <c r="D463" s="63"/>
      <c r="E463" s="63"/>
      <c r="F463" s="63"/>
      <c r="G463" s="63"/>
      <c r="H463" s="63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</row>
    <row r="464" ht="11.25" customHeight="1">
      <c r="A464" s="63"/>
      <c r="B464" s="63"/>
      <c r="C464" s="63"/>
      <c r="D464" s="63"/>
      <c r="E464" s="63"/>
      <c r="F464" s="63"/>
      <c r="G464" s="63"/>
      <c r="H464" s="63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</row>
    <row r="465" ht="11.25" customHeight="1">
      <c r="A465" s="63"/>
      <c r="B465" s="63"/>
      <c r="C465" s="63"/>
      <c r="D465" s="63"/>
      <c r="E465" s="63"/>
      <c r="F465" s="63"/>
      <c r="G465" s="63"/>
      <c r="H465" s="63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</row>
    <row r="466" ht="11.25" customHeight="1">
      <c r="A466" s="63"/>
      <c r="B466" s="63"/>
      <c r="C466" s="63"/>
      <c r="D466" s="63"/>
      <c r="E466" s="63"/>
      <c r="F466" s="63"/>
      <c r="G466" s="63"/>
      <c r="H466" s="63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</row>
    <row r="467" ht="11.25" customHeight="1">
      <c r="A467" s="63"/>
      <c r="B467" s="63"/>
      <c r="C467" s="63"/>
      <c r="D467" s="63"/>
      <c r="E467" s="63"/>
      <c r="F467" s="63"/>
      <c r="G467" s="63"/>
      <c r="H467" s="63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</row>
    <row r="468" ht="11.25" customHeight="1">
      <c r="A468" s="63"/>
      <c r="B468" s="63"/>
      <c r="C468" s="63"/>
      <c r="D468" s="63"/>
      <c r="E468" s="63"/>
      <c r="F468" s="63"/>
      <c r="G468" s="63"/>
      <c r="H468" s="63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</row>
    <row r="469" ht="11.25" customHeight="1">
      <c r="A469" s="63"/>
      <c r="B469" s="63"/>
      <c r="C469" s="63"/>
      <c r="D469" s="63"/>
      <c r="E469" s="63"/>
      <c r="F469" s="63"/>
      <c r="G469" s="63"/>
      <c r="H469" s="63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</row>
    <row r="470" ht="11.25" customHeight="1">
      <c r="A470" s="63"/>
      <c r="B470" s="63"/>
      <c r="C470" s="63"/>
      <c r="D470" s="63"/>
      <c r="E470" s="63"/>
      <c r="F470" s="63"/>
      <c r="G470" s="63"/>
      <c r="H470" s="63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</row>
    <row r="471" ht="11.25" customHeight="1">
      <c r="A471" s="63"/>
      <c r="B471" s="63"/>
      <c r="C471" s="63"/>
      <c r="D471" s="63"/>
      <c r="E471" s="63"/>
      <c r="F471" s="63"/>
      <c r="G471" s="63"/>
      <c r="H471" s="63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</row>
    <row r="472" ht="11.25" customHeight="1">
      <c r="A472" s="63"/>
      <c r="B472" s="63"/>
      <c r="C472" s="63"/>
      <c r="D472" s="63"/>
      <c r="E472" s="63"/>
      <c r="F472" s="63"/>
      <c r="G472" s="63"/>
      <c r="H472" s="63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</row>
    <row r="473" ht="11.25" customHeight="1">
      <c r="A473" s="63"/>
      <c r="B473" s="63"/>
      <c r="C473" s="63"/>
      <c r="D473" s="63"/>
      <c r="E473" s="63"/>
      <c r="F473" s="63"/>
      <c r="G473" s="63"/>
      <c r="H473" s="63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</row>
    <row r="474" ht="11.25" customHeight="1">
      <c r="A474" s="63"/>
      <c r="B474" s="63"/>
      <c r="C474" s="63"/>
      <c r="D474" s="63"/>
      <c r="E474" s="63"/>
      <c r="F474" s="63"/>
      <c r="G474" s="63"/>
      <c r="H474" s="63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</row>
    <row r="475" ht="11.25" customHeight="1">
      <c r="A475" s="63"/>
      <c r="B475" s="63"/>
      <c r="C475" s="63"/>
      <c r="D475" s="63"/>
      <c r="E475" s="63"/>
      <c r="F475" s="63"/>
      <c r="G475" s="63"/>
      <c r="H475" s="63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</row>
    <row r="476" ht="11.25" customHeight="1">
      <c r="A476" s="63"/>
      <c r="B476" s="63"/>
      <c r="C476" s="63"/>
      <c r="D476" s="63"/>
      <c r="E476" s="63"/>
      <c r="F476" s="63"/>
      <c r="G476" s="63"/>
      <c r="H476" s="63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</row>
    <row r="477" ht="11.25" customHeight="1">
      <c r="A477" s="63"/>
      <c r="B477" s="63"/>
      <c r="C477" s="63"/>
      <c r="D477" s="63"/>
      <c r="E477" s="63"/>
      <c r="F477" s="63"/>
      <c r="G477" s="63"/>
      <c r="H477" s="63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</row>
    <row r="478" ht="11.25" customHeight="1">
      <c r="A478" s="63"/>
      <c r="B478" s="63"/>
      <c r="C478" s="63"/>
      <c r="D478" s="63"/>
      <c r="E478" s="63"/>
      <c r="F478" s="63"/>
      <c r="G478" s="63"/>
      <c r="H478" s="63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</row>
    <row r="479" ht="11.25" customHeight="1">
      <c r="A479" s="63"/>
      <c r="B479" s="63"/>
      <c r="C479" s="63"/>
      <c r="D479" s="63"/>
      <c r="E479" s="63"/>
      <c r="F479" s="63"/>
      <c r="G479" s="63"/>
      <c r="H479" s="63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</row>
    <row r="480" ht="11.25" customHeight="1">
      <c r="A480" s="63"/>
      <c r="B480" s="63"/>
      <c r="C480" s="63"/>
      <c r="D480" s="63"/>
      <c r="E480" s="63"/>
      <c r="F480" s="63"/>
      <c r="G480" s="63"/>
      <c r="H480" s="63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</row>
    <row r="481" ht="11.25" customHeight="1">
      <c r="A481" s="63"/>
      <c r="B481" s="63"/>
      <c r="C481" s="63"/>
      <c r="D481" s="63"/>
      <c r="E481" s="63"/>
      <c r="F481" s="63"/>
      <c r="G481" s="63"/>
      <c r="H481" s="63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</row>
    <row r="482" ht="11.25" customHeight="1">
      <c r="A482" s="63"/>
      <c r="B482" s="63"/>
      <c r="C482" s="63"/>
      <c r="D482" s="63"/>
      <c r="E482" s="63"/>
      <c r="F482" s="63"/>
      <c r="G482" s="63"/>
      <c r="H482" s="63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</row>
    <row r="483" ht="11.25" customHeight="1">
      <c r="A483" s="63"/>
      <c r="B483" s="63"/>
      <c r="C483" s="63"/>
      <c r="D483" s="63"/>
      <c r="E483" s="63"/>
      <c r="F483" s="63"/>
      <c r="G483" s="63"/>
      <c r="H483" s="63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</row>
    <row r="484" ht="11.25" customHeight="1">
      <c r="A484" s="63"/>
      <c r="B484" s="63"/>
      <c r="C484" s="63"/>
      <c r="D484" s="63"/>
      <c r="E484" s="63"/>
      <c r="F484" s="63"/>
      <c r="G484" s="63"/>
      <c r="H484" s="63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</row>
    <row r="485" ht="11.25" customHeight="1">
      <c r="A485" s="63"/>
      <c r="B485" s="63"/>
      <c r="C485" s="63"/>
      <c r="D485" s="63"/>
      <c r="E485" s="63"/>
      <c r="F485" s="63"/>
      <c r="G485" s="63"/>
      <c r="H485" s="63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</row>
    <row r="486" ht="11.25" customHeight="1">
      <c r="A486" s="63"/>
      <c r="B486" s="63"/>
      <c r="C486" s="63"/>
      <c r="D486" s="63"/>
      <c r="E486" s="63"/>
      <c r="F486" s="63"/>
      <c r="G486" s="63"/>
      <c r="H486" s="63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</row>
    <row r="487" ht="11.25" customHeight="1">
      <c r="A487" s="63"/>
      <c r="B487" s="63"/>
      <c r="C487" s="63"/>
      <c r="D487" s="63"/>
      <c r="E487" s="63"/>
      <c r="F487" s="63"/>
      <c r="G487" s="63"/>
      <c r="H487" s="63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</row>
    <row r="488" ht="11.25" customHeight="1">
      <c r="A488" s="63"/>
      <c r="B488" s="63"/>
      <c r="C488" s="63"/>
      <c r="D488" s="63"/>
      <c r="E488" s="63"/>
      <c r="F488" s="63"/>
      <c r="G488" s="63"/>
      <c r="H488" s="63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</row>
    <row r="489" ht="11.25" customHeight="1">
      <c r="A489" s="63"/>
      <c r="B489" s="63"/>
      <c r="C489" s="63"/>
      <c r="D489" s="63"/>
      <c r="E489" s="63"/>
      <c r="F489" s="63"/>
      <c r="G489" s="63"/>
      <c r="H489" s="63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</row>
    <row r="490" ht="11.25" customHeight="1">
      <c r="A490" s="63"/>
      <c r="B490" s="63"/>
      <c r="C490" s="63"/>
      <c r="D490" s="63"/>
      <c r="E490" s="63"/>
      <c r="F490" s="63"/>
      <c r="G490" s="63"/>
      <c r="H490" s="63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</row>
    <row r="491" ht="11.25" customHeight="1">
      <c r="A491" s="63"/>
      <c r="B491" s="63"/>
      <c r="C491" s="63"/>
      <c r="D491" s="63"/>
      <c r="E491" s="63"/>
      <c r="F491" s="63"/>
      <c r="G491" s="63"/>
      <c r="H491" s="63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</row>
    <row r="492" ht="11.25" customHeight="1">
      <c r="A492" s="63"/>
      <c r="B492" s="63"/>
      <c r="C492" s="63"/>
      <c r="D492" s="63"/>
      <c r="E492" s="63"/>
      <c r="F492" s="63"/>
      <c r="G492" s="63"/>
      <c r="H492" s="63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</row>
    <row r="493" ht="11.25" customHeight="1">
      <c r="A493" s="63"/>
      <c r="B493" s="63"/>
      <c r="C493" s="63"/>
      <c r="D493" s="63"/>
      <c r="E493" s="63"/>
      <c r="F493" s="63"/>
      <c r="G493" s="63"/>
      <c r="H493" s="63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</row>
    <row r="494" ht="11.25" customHeight="1">
      <c r="A494" s="63"/>
      <c r="B494" s="63"/>
      <c r="C494" s="63"/>
      <c r="D494" s="63"/>
      <c r="E494" s="63"/>
      <c r="F494" s="63"/>
      <c r="G494" s="63"/>
      <c r="H494" s="63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</row>
    <row r="495" ht="11.25" customHeight="1">
      <c r="A495" s="63"/>
      <c r="B495" s="63"/>
      <c r="C495" s="63"/>
      <c r="D495" s="63"/>
      <c r="E495" s="63"/>
      <c r="F495" s="63"/>
      <c r="G495" s="63"/>
      <c r="H495" s="63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</row>
    <row r="496" ht="11.25" customHeight="1">
      <c r="A496" s="63"/>
      <c r="B496" s="63"/>
      <c r="C496" s="63"/>
      <c r="D496" s="63"/>
      <c r="E496" s="63"/>
      <c r="F496" s="63"/>
      <c r="G496" s="63"/>
      <c r="H496" s="63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</row>
    <row r="497" ht="11.25" customHeight="1">
      <c r="A497" s="63"/>
      <c r="B497" s="63"/>
      <c r="C497" s="63"/>
      <c r="D497" s="63"/>
      <c r="E497" s="63"/>
      <c r="F497" s="63"/>
      <c r="G497" s="63"/>
      <c r="H497" s="63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</row>
    <row r="498" ht="11.25" customHeight="1">
      <c r="A498" s="63"/>
      <c r="B498" s="63"/>
      <c r="C498" s="63"/>
      <c r="D498" s="63"/>
      <c r="E498" s="63"/>
      <c r="F498" s="63"/>
      <c r="G498" s="63"/>
      <c r="H498" s="63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</row>
    <row r="499" ht="11.25" customHeight="1">
      <c r="A499" s="63"/>
      <c r="B499" s="63"/>
      <c r="C499" s="63"/>
      <c r="D499" s="63"/>
      <c r="E499" s="63"/>
      <c r="F499" s="63"/>
      <c r="G499" s="63"/>
      <c r="H499" s="63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</row>
    <row r="500" ht="11.25" customHeight="1">
      <c r="A500" s="63"/>
      <c r="B500" s="63"/>
      <c r="C500" s="63"/>
      <c r="D500" s="63"/>
      <c r="E500" s="63"/>
      <c r="F500" s="63"/>
      <c r="G500" s="63"/>
      <c r="H500" s="63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</row>
    <row r="501" ht="11.25" customHeight="1">
      <c r="A501" s="63"/>
      <c r="B501" s="63"/>
      <c r="C501" s="63"/>
      <c r="D501" s="63"/>
      <c r="E501" s="63"/>
      <c r="F501" s="63"/>
      <c r="G501" s="63"/>
      <c r="H501" s="63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</row>
    <row r="502" ht="11.25" customHeight="1">
      <c r="A502" s="63"/>
      <c r="B502" s="63"/>
      <c r="C502" s="63"/>
      <c r="D502" s="63"/>
      <c r="E502" s="63"/>
      <c r="F502" s="63"/>
      <c r="G502" s="63"/>
      <c r="H502" s="63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</row>
    <row r="503" ht="11.25" customHeight="1">
      <c r="A503" s="63"/>
      <c r="B503" s="63"/>
      <c r="C503" s="63"/>
      <c r="D503" s="63"/>
      <c r="E503" s="63"/>
      <c r="F503" s="63"/>
      <c r="G503" s="63"/>
      <c r="H503" s="63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</row>
    <row r="504" ht="11.25" customHeight="1">
      <c r="A504" s="63"/>
      <c r="B504" s="63"/>
      <c r="C504" s="63"/>
      <c r="D504" s="63"/>
      <c r="E504" s="63"/>
      <c r="F504" s="63"/>
      <c r="G504" s="63"/>
      <c r="H504" s="63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</row>
    <row r="505" ht="11.25" customHeight="1">
      <c r="A505" s="63"/>
      <c r="B505" s="63"/>
      <c r="C505" s="63"/>
      <c r="D505" s="63"/>
      <c r="E505" s="63"/>
      <c r="F505" s="63"/>
      <c r="G505" s="63"/>
      <c r="H505" s="63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</row>
    <row r="506" ht="11.25" customHeight="1">
      <c r="A506" s="63"/>
      <c r="B506" s="63"/>
      <c r="C506" s="63"/>
      <c r="D506" s="63"/>
      <c r="E506" s="63"/>
      <c r="F506" s="63"/>
      <c r="G506" s="63"/>
      <c r="H506" s="63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</row>
    <row r="507" ht="11.25" customHeight="1">
      <c r="A507" s="63"/>
      <c r="B507" s="63"/>
      <c r="C507" s="63"/>
      <c r="D507" s="63"/>
      <c r="E507" s="63"/>
      <c r="F507" s="63"/>
      <c r="G507" s="63"/>
      <c r="H507" s="63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</row>
    <row r="508" ht="11.25" customHeight="1">
      <c r="A508" s="63"/>
      <c r="B508" s="63"/>
      <c r="C508" s="63"/>
      <c r="D508" s="63"/>
      <c r="E508" s="63"/>
      <c r="F508" s="63"/>
      <c r="G508" s="63"/>
      <c r="H508" s="63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</row>
    <row r="509" ht="11.25" customHeight="1">
      <c r="A509" s="63"/>
      <c r="B509" s="63"/>
      <c r="C509" s="63"/>
      <c r="D509" s="63"/>
      <c r="E509" s="63"/>
      <c r="F509" s="63"/>
      <c r="G509" s="63"/>
      <c r="H509" s="63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</row>
    <row r="510" ht="11.25" customHeight="1">
      <c r="A510" s="63"/>
      <c r="B510" s="63"/>
      <c r="C510" s="63"/>
      <c r="D510" s="63"/>
      <c r="E510" s="63"/>
      <c r="F510" s="63"/>
      <c r="G510" s="63"/>
      <c r="H510" s="63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</row>
    <row r="511" ht="11.25" customHeight="1">
      <c r="A511" s="63"/>
      <c r="B511" s="63"/>
      <c r="C511" s="63"/>
      <c r="D511" s="63"/>
      <c r="E511" s="63"/>
      <c r="F511" s="63"/>
      <c r="G511" s="63"/>
      <c r="H511" s="63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</row>
    <row r="512" ht="11.25" customHeight="1">
      <c r="A512" s="63"/>
      <c r="B512" s="63"/>
      <c r="C512" s="63"/>
      <c r="D512" s="63"/>
      <c r="E512" s="63"/>
      <c r="F512" s="63"/>
      <c r="G512" s="63"/>
      <c r="H512" s="63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</row>
    <row r="513" ht="11.25" customHeight="1">
      <c r="A513" s="63"/>
      <c r="B513" s="63"/>
      <c r="C513" s="63"/>
      <c r="D513" s="63"/>
      <c r="E513" s="63"/>
      <c r="F513" s="63"/>
      <c r="G513" s="63"/>
      <c r="H513" s="63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</row>
    <row r="514" ht="11.25" customHeight="1">
      <c r="A514" s="63"/>
      <c r="B514" s="63"/>
      <c r="C514" s="63"/>
      <c r="D514" s="63"/>
      <c r="E514" s="63"/>
      <c r="F514" s="63"/>
      <c r="G514" s="63"/>
      <c r="H514" s="63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</row>
    <row r="515" ht="11.25" customHeight="1">
      <c r="A515" s="63"/>
      <c r="B515" s="63"/>
      <c r="C515" s="63"/>
      <c r="D515" s="63"/>
      <c r="E515" s="63"/>
      <c r="F515" s="63"/>
      <c r="G515" s="63"/>
      <c r="H515" s="63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</row>
    <row r="516" ht="11.25" customHeight="1">
      <c r="A516" s="63"/>
      <c r="B516" s="63"/>
      <c r="C516" s="63"/>
      <c r="D516" s="63"/>
      <c r="E516" s="63"/>
      <c r="F516" s="63"/>
      <c r="G516" s="63"/>
      <c r="H516" s="63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</row>
    <row r="517" ht="11.25" customHeight="1">
      <c r="A517" s="63"/>
      <c r="B517" s="63"/>
      <c r="C517" s="63"/>
      <c r="D517" s="63"/>
      <c r="E517" s="63"/>
      <c r="F517" s="63"/>
      <c r="G517" s="63"/>
      <c r="H517" s="63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</row>
    <row r="518" ht="11.25" customHeight="1">
      <c r="A518" s="63"/>
      <c r="B518" s="63"/>
      <c r="C518" s="63"/>
      <c r="D518" s="63"/>
      <c r="E518" s="63"/>
      <c r="F518" s="63"/>
      <c r="G518" s="63"/>
      <c r="H518" s="63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</row>
    <row r="519" ht="11.25" customHeight="1">
      <c r="A519" s="63"/>
      <c r="B519" s="63"/>
      <c r="C519" s="63"/>
      <c r="D519" s="63"/>
      <c r="E519" s="63"/>
      <c r="F519" s="63"/>
      <c r="G519" s="63"/>
      <c r="H519" s="63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</row>
    <row r="520" ht="11.25" customHeight="1">
      <c r="A520" s="63"/>
      <c r="B520" s="63"/>
      <c r="C520" s="63"/>
      <c r="D520" s="63"/>
      <c r="E520" s="63"/>
      <c r="F520" s="63"/>
      <c r="G520" s="63"/>
      <c r="H520" s="63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</row>
    <row r="521" ht="11.25" customHeight="1">
      <c r="A521" s="63"/>
      <c r="B521" s="63"/>
      <c r="C521" s="63"/>
      <c r="D521" s="63"/>
      <c r="E521" s="63"/>
      <c r="F521" s="63"/>
      <c r="G521" s="63"/>
      <c r="H521" s="63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</row>
    <row r="522" ht="11.25" customHeight="1">
      <c r="A522" s="63"/>
      <c r="B522" s="63"/>
      <c r="C522" s="63"/>
      <c r="D522" s="63"/>
      <c r="E522" s="63"/>
      <c r="F522" s="63"/>
      <c r="G522" s="63"/>
      <c r="H522" s="63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</row>
    <row r="523" ht="11.25" customHeight="1">
      <c r="A523" s="63"/>
      <c r="B523" s="63"/>
      <c r="C523" s="63"/>
      <c r="D523" s="63"/>
      <c r="E523" s="63"/>
      <c r="F523" s="63"/>
      <c r="G523" s="63"/>
      <c r="H523" s="63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</row>
    <row r="524" ht="11.25" customHeight="1">
      <c r="A524" s="63"/>
      <c r="B524" s="63"/>
      <c r="C524" s="63"/>
      <c r="D524" s="63"/>
      <c r="E524" s="63"/>
      <c r="F524" s="63"/>
      <c r="G524" s="63"/>
      <c r="H524" s="63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</row>
    <row r="525" ht="11.25" customHeight="1">
      <c r="A525" s="63"/>
      <c r="B525" s="63"/>
      <c r="C525" s="63"/>
      <c r="D525" s="63"/>
      <c r="E525" s="63"/>
      <c r="F525" s="63"/>
      <c r="G525" s="63"/>
      <c r="H525" s="63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</row>
    <row r="526" ht="11.25" customHeight="1">
      <c r="A526" s="63"/>
      <c r="B526" s="63"/>
      <c r="C526" s="63"/>
      <c r="D526" s="63"/>
      <c r="E526" s="63"/>
      <c r="F526" s="63"/>
      <c r="G526" s="63"/>
      <c r="H526" s="63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</row>
    <row r="527" ht="11.25" customHeight="1">
      <c r="A527" s="63"/>
      <c r="B527" s="63"/>
      <c r="C527" s="63"/>
      <c r="D527" s="63"/>
      <c r="E527" s="63"/>
      <c r="F527" s="63"/>
      <c r="G527" s="63"/>
      <c r="H527" s="63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</row>
    <row r="528" ht="11.25" customHeight="1">
      <c r="A528" s="63"/>
      <c r="B528" s="63"/>
      <c r="C528" s="63"/>
      <c r="D528" s="63"/>
      <c r="E528" s="63"/>
      <c r="F528" s="63"/>
      <c r="G528" s="63"/>
      <c r="H528" s="63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</row>
    <row r="529" ht="11.25" customHeight="1">
      <c r="A529" s="63"/>
      <c r="B529" s="63"/>
      <c r="C529" s="63"/>
      <c r="D529" s="63"/>
      <c r="E529" s="63"/>
      <c r="F529" s="63"/>
      <c r="G529" s="63"/>
      <c r="H529" s="63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</row>
    <row r="530" ht="11.25" customHeight="1">
      <c r="A530" s="63"/>
      <c r="B530" s="63"/>
      <c r="C530" s="63"/>
      <c r="D530" s="63"/>
      <c r="E530" s="63"/>
      <c r="F530" s="63"/>
      <c r="G530" s="63"/>
      <c r="H530" s="63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</row>
    <row r="531" ht="11.25" customHeight="1">
      <c r="A531" s="63"/>
      <c r="B531" s="63"/>
      <c r="C531" s="63"/>
      <c r="D531" s="63"/>
      <c r="E531" s="63"/>
      <c r="F531" s="63"/>
      <c r="G531" s="63"/>
      <c r="H531" s="63"/>
      <c r="I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</row>
    <row r="532" ht="11.25" customHeight="1">
      <c r="A532" s="63"/>
      <c r="B532" s="63"/>
      <c r="C532" s="63"/>
      <c r="D532" s="63"/>
      <c r="E532" s="63"/>
      <c r="F532" s="63"/>
      <c r="G532" s="63"/>
      <c r="H532" s="63"/>
      <c r="I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</row>
    <row r="533" ht="11.25" customHeight="1">
      <c r="A533" s="63"/>
      <c r="B533" s="63"/>
      <c r="C533" s="63"/>
      <c r="D533" s="63"/>
      <c r="E533" s="63"/>
      <c r="F533" s="63"/>
      <c r="G533" s="63"/>
      <c r="H533" s="63"/>
      <c r="I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</row>
    <row r="534" ht="11.25" customHeight="1">
      <c r="A534" s="63"/>
      <c r="B534" s="63"/>
      <c r="C534" s="63"/>
      <c r="D534" s="63"/>
      <c r="E534" s="63"/>
      <c r="F534" s="63"/>
      <c r="G534" s="63"/>
      <c r="H534" s="63"/>
      <c r="I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</row>
    <row r="535" ht="11.25" customHeight="1">
      <c r="A535" s="63"/>
      <c r="B535" s="63"/>
      <c r="C535" s="63"/>
      <c r="D535" s="63"/>
      <c r="E535" s="63"/>
      <c r="F535" s="63"/>
      <c r="G535" s="63"/>
      <c r="H535" s="63"/>
      <c r="I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</row>
    <row r="536" ht="11.25" customHeight="1">
      <c r="A536" s="63"/>
      <c r="B536" s="63"/>
      <c r="C536" s="63"/>
      <c r="D536" s="63"/>
      <c r="E536" s="63"/>
      <c r="F536" s="63"/>
      <c r="G536" s="63"/>
      <c r="H536" s="63"/>
      <c r="I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</row>
    <row r="537" ht="11.25" customHeight="1">
      <c r="A537" s="63"/>
      <c r="B537" s="63"/>
      <c r="C537" s="63"/>
      <c r="D537" s="63"/>
      <c r="E537" s="63"/>
      <c r="F537" s="63"/>
      <c r="G537" s="63"/>
      <c r="H537" s="63"/>
      <c r="I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</row>
    <row r="538" ht="11.25" customHeight="1">
      <c r="A538" s="63"/>
      <c r="B538" s="63"/>
      <c r="C538" s="63"/>
      <c r="D538" s="63"/>
      <c r="E538" s="63"/>
      <c r="F538" s="63"/>
      <c r="G538" s="63"/>
      <c r="H538" s="63"/>
      <c r="I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</row>
    <row r="539" ht="11.25" customHeight="1">
      <c r="A539" s="63"/>
      <c r="B539" s="63"/>
      <c r="C539" s="63"/>
      <c r="D539" s="63"/>
      <c r="E539" s="63"/>
      <c r="F539" s="63"/>
      <c r="G539" s="63"/>
      <c r="H539" s="63"/>
      <c r="I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</row>
    <row r="540" ht="11.25" customHeight="1">
      <c r="A540" s="63"/>
      <c r="B540" s="63"/>
      <c r="C540" s="63"/>
      <c r="D540" s="63"/>
      <c r="E540" s="63"/>
      <c r="F540" s="63"/>
      <c r="G540" s="63"/>
      <c r="H540" s="63"/>
      <c r="I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</row>
    <row r="541" ht="11.25" customHeight="1">
      <c r="A541" s="63"/>
      <c r="B541" s="63"/>
      <c r="C541" s="63"/>
      <c r="D541" s="63"/>
      <c r="E541" s="63"/>
      <c r="F541" s="63"/>
      <c r="G541" s="63"/>
      <c r="H541" s="63"/>
      <c r="I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</row>
    <row r="542" ht="11.25" customHeight="1">
      <c r="A542" s="63"/>
      <c r="B542" s="63"/>
      <c r="C542" s="63"/>
      <c r="D542" s="63"/>
      <c r="E542" s="63"/>
      <c r="F542" s="63"/>
      <c r="G542" s="63"/>
      <c r="H542" s="63"/>
      <c r="I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</row>
    <row r="543" ht="11.25" customHeight="1">
      <c r="A543" s="63"/>
      <c r="B543" s="63"/>
      <c r="C543" s="63"/>
      <c r="D543" s="63"/>
      <c r="E543" s="63"/>
      <c r="F543" s="63"/>
      <c r="G543" s="63"/>
      <c r="H543" s="63"/>
      <c r="I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</row>
    <row r="544" ht="11.25" customHeight="1">
      <c r="A544" s="63"/>
      <c r="B544" s="63"/>
      <c r="C544" s="63"/>
      <c r="D544" s="63"/>
      <c r="E544" s="63"/>
      <c r="F544" s="63"/>
      <c r="G544" s="63"/>
      <c r="H544" s="63"/>
      <c r="I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</row>
    <row r="545" ht="11.25" customHeight="1">
      <c r="A545" s="63"/>
      <c r="B545" s="63"/>
      <c r="C545" s="63"/>
      <c r="D545" s="63"/>
      <c r="E545" s="63"/>
      <c r="F545" s="63"/>
      <c r="G545" s="63"/>
      <c r="H545" s="63"/>
      <c r="I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</row>
    <row r="546" ht="11.25" customHeight="1">
      <c r="A546" s="63"/>
      <c r="B546" s="63"/>
      <c r="C546" s="63"/>
      <c r="D546" s="63"/>
      <c r="E546" s="63"/>
      <c r="F546" s="63"/>
      <c r="G546" s="63"/>
      <c r="H546" s="63"/>
      <c r="I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</row>
    <row r="547" ht="11.25" customHeight="1">
      <c r="A547" s="63"/>
      <c r="B547" s="63"/>
      <c r="C547" s="63"/>
      <c r="D547" s="63"/>
      <c r="E547" s="63"/>
      <c r="F547" s="63"/>
      <c r="G547" s="63"/>
      <c r="H547" s="63"/>
      <c r="I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</row>
    <row r="548" ht="11.25" customHeight="1">
      <c r="A548" s="63"/>
      <c r="B548" s="63"/>
      <c r="C548" s="63"/>
      <c r="D548" s="63"/>
      <c r="E548" s="63"/>
      <c r="F548" s="63"/>
      <c r="G548" s="63"/>
      <c r="H548" s="63"/>
      <c r="I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</row>
    <row r="549" ht="11.25" customHeight="1">
      <c r="A549" s="63"/>
      <c r="B549" s="63"/>
      <c r="C549" s="63"/>
      <c r="D549" s="63"/>
      <c r="E549" s="63"/>
      <c r="F549" s="63"/>
      <c r="G549" s="63"/>
      <c r="H549" s="63"/>
      <c r="I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</row>
    <row r="550" ht="11.25" customHeight="1">
      <c r="A550" s="63"/>
      <c r="B550" s="63"/>
      <c r="C550" s="63"/>
      <c r="D550" s="63"/>
      <c r="E550" s="63"/>
      <c r="F550" s="63"/>
      <c r="G550" s="63"/>
      <c r="H550" s="63"/>
      <c r="I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</row>
    <row r="551" ht="11.25" customHeight="1">
      <c r="A551" s="63"/>
      <c r="B551" s="63"/>
      <c r="C551" s="63"/>
      <c r="D551" s="63"/>
      <c r="E551" s="63"/>
      <c r="F551" s="63"/>
      <c r="G551" s="63"/>
      <c r="H551" s="63"/>
      <c r="I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</row>
    <row r="552" ht="11.25" customHeight="1">
      <c r="A552" s="63"/>
      <c r="B552" s="63"/>
      <c r="C552" s="63"/>
      <c r="D552" s="63"/>
      <c r="E552" s="63"/>
      <c r="F552" s="63"/>
      <c r="G552" s="63"/>
      <c r="H552" s="63"/>
      <c r="I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</row>
    <row r="553" ht="11.25" customHeight="1">
      <c r="A553" s="63"/>
      <c r="B553" s="63"/>
      <c r="C553" s="63"/>
      <c r="D553" s="63"/>
      <c r="E553" s="63"/>
      <c r="F553" s="63"/>
      <c r="G553" s="63"/>
      <c r="H553" s="63"/>
      <c r="I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</row>
    <row r="554" ht="11.25" customHeight="1">
      <c r="A554" s="63"/>
      <c r="B554" s="63"/>
      <c r="C554" s="63"/>
      <c r="D554" s="63"/>
      <c r="E554" s="63"/>
      <c r="F554" s="63"/>
      <c r="G554" s="63"/>
      <c r="H554" s="63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</row>
    <row r="555" ht="11.25" customHeight="1">
      <c r="A555" s="63"/>
      <c r="B555" s="63"/>
      <c r="C555" s="63"/>
      <c r="D555" s="63"/>
      <c r="E555" s="63"/>
      <c r="F555" s="63"/>
      <c r="G555" s="63"/>
      <c r="H555" s="63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</row>
    <row r="556" ht="11.25" customHeight="1">
      <c r="A556" s="63"/>
      <c r="B556" s="63"/>
      <c r="C556" s="63"/>
      <c r="D556" s="63"/>
      <c r="E556" s="63"/>
      <c r="F556" s="63"/>
      <c r="G556" s="63"/>
      <c r="H556" s="63"/>
      <c r="I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</row>
    <row r="557" ht="11.25" customHeight="1">
      <c r="A557" s="63"/>
      <c r="B557" s="63"/>
      <c r="C557" s="63"/>
      <c r="D557" s="63"/>
      <c r="E557" s="63"/>
      <c r="F557" s="63"/>
      <c r="G557" s="63"/>
      <c r="H557" s="63"/>
      <c r="I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</row>
    <row r="558" ht="11.25" customHeight="1">
      <c r="A558" s="63"/>
      <c r="B558" s="63"/>
      <c r="C558" s="63"/>
      <c r="D558" s="63"/>
      <c r="E558" s="63"/>
      <c r="F558" s="63"/>
      <c r="G558" s="63"/>
      <c r="H558" s="63"/>
      <c r="I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</row>
    <row r="559" ht="11.25" customHeight="1">
      <c r="A559" s="63"/>
      <c r="B559" s="63"/>
      <c r="C559" s="63"/>
      <c r="D559" s="63"/>
      <c r="E559" s="63"/>
      <c r="F559" s="63"/>
      <c r="G559" s="63"/>
      <c r="H559" s="63"/>
      <c r="I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</row>
    <row r="560" ht="11.25" customHeight="1">
      <c r="A560" s="63"/>
      <c r="B560" s="63"/>
      <c r="C560" s="63"/>
      <c r="D560" s="63"/>
      <c r="E560" s="63"/>
      <c r="F560" s="63"/>
      <c r="G560" s="63"/>
      <c r="H560" s="63"/>
      <c r="I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</row>
    <row r="561" ht="11.25" customHeight="1">
      <c r="A561" s="63"/>
      <c r="B561" s="63"/>
      <c r="C561" s="63"/>
      <c r="D561" s="63"/>
      <c r="E561" s="63"/>
      <c r="F561" s="63"/>
      <c r="G561" s="63"/>
      <c r="H561" s="63"/>
      <c r="I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</row>
    <row r="562" ht="11.25" customHeight="1">
      <c r="A562" s="63"/>
      <c r="B562" s="63"/>
      <c r="C562" s="63"/>
      <c r="D562" s="63"/>
      <c r="E562" s="63"/>
      <c r="F562" s="63"/>
      <c r="G562" s="63"/>
      <c r="H562" s="63"/>
      <c r="I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</row>
    <row r="563" ht="11.25" customHeight="1">
      <c r="A563" s="63"/>
      <c r="B563" s="63"/>
      <c r="C563" s="63"/>
      <c r="D563" s="63"/>
      <c r="E563" s="63"/>
      <c r="F563" s="63"/>
      <c r="G563" s="63"/>
      <c r="H563" s="63"/>
      <c r="I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</row>
    <row r="564" ht="11.25" customHeight="1">
      <c r="A564" s="63"/>
      <c r="B564" s="63"/>
      <c r="C564" s="63"/>
      <c r="D564" s="63"/>
      <c r="E564" s="63"/>
      <c r="F564" s="63"/>
      <c r="G564" s="63"/>
      <c r="H564" s="63"/>
      <c r="I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</row>
    <row r="565" ht="11.25" customHeight="1">
      <c r="A565" s="63"/>
      <c r="B565" s="63"/>
      <c r="C565" s="63"/>
      <c r="D565" s="63"/>
      <c r="E565" s="63"/>
      <c r="F565" s="63"/>
      <c r="G565" s="63"/>
      <c r="H565" s="63"/>
      <c r="I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</row>
    <row r="566" ht="11.25" customHeight="1">
      <c r="A566" s="63"/>
      <c r="B566" s="63"/>
      <c r="C566" s="63"/>
      <c r="D566" s="63"/>
      <c r="E566" s="63"/>
      <c r="F566" s="63"/>
      <c r="G566" s="63"/>
      <c r="H566" s="63"/>
      <c r="I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</row>
    <row r="567" ht="11.25" customHeight="1">
      <c r="A567" s="63"/>
      <c r="B567" s="63"/>
      <c r="C567" s="63"/>
      <c r="D567" s="63"/>
      <c r="E567" s="63"/>
      <c r="F567" s="63"/>
      <c r="G567" s="63"/>
      <c r="H567" s="63"/>
      <c r="I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</row>
    <row r="568" ht="11.25" customHeight="1">
      <c r="A568" s="63"/>
      <c r="B568" s="63"/>
      <c r="C568" s="63"/>
      <c r="D568" s="63"/>
      <c r="E568" s="63"/>
      <c r="F568" s="63"/>
      <c r="G568" s="63"/>
      <c r="H568" s="63"/>
      <c r="I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</row>
    <row r="569" ht="11.25" customHeight="1">
      <c r="A569" s="63"/>
      <c r="B569" s="63"/>
      <c r="C569" s="63"/>
      <c r="D569" s="63"/>
      <c r="E569" s="63"/>
      <c r="F569" s="63"/>
      <c r="G569" s="63"/>
      <c r="H569" s="63"/>
      <c r="I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</row>
    <row r="570" ht="11.25" customHeight="1">
      <c r="A570" s="63"/>
      <c r="B570" s="63"/>
      <c r="C570" s="63"/>
      <c r="D570" s="63"/>
      <c r="E570" s="63"/>
      <c r="F570" s="63"/>
      <c r="G570" s="63"/>
      <c r="H570" s="63"/>
      <c r="I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</row>
    <row r="571" ht="11.25" customHeight="1">
      <c r="A571" s="63"/>
      <c r="B571" s="63"/>
      <c r="C571" s="63"/>
      <c r="D571" s="63"/>
      <c r="E571" s="63"/>
      <c r="F571" s="63"/>
      <c r="G571" s="63"/>
      <c r="H571" s="63"/>
      <c r="I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</row>
    <row r="572" ht="11.25" customHeight="1">
      <c r="A572" s="63"/>
      <c r="B572" s="63"/>
      <c r="C572" s="63"/>
      <c r="D572" s="63"/>
      <c r="E572" s="63"/>
      <c r="F572" s="63"/>
      <c r="G572" s="63"/>
      <c r="H572" s="63"/>
      <c r="I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</row>
    <row r="573" ht="11.25" customHeight="1">
      <c r="A573" s="63"/>
      <c r="B573" s="63"/>
      <c r="C573" s="63"/>
      <c r="D573" s="63"/>
      <c r="E573" s="63"/>
      <c r="F573" s="63"/>
      <c r="G573" s="63"/>
      <c r="H573" s="63"/>
      <c r="I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</row>
    <row r="574" ht="11.25" customHeight="1">
      <c r="A574" s="63"/>
      <c r="B574" s="63"/>
      <c r="C574" s="63"/>
      <c r="D574" s="63"/>
      <c r="E574" s="63"/>
      <c r="F574" s="63"/>
      <c r="G574" s="63"/>
      <c r="H574" s="63"/>
      <c r="I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</row>
    <row r="575" ht="11.25" customHeight="1">
      <c r="A575" s="63"/>
      <c r="B575" s="63"/>
      <c r="C575" s="63"/>
      <c r="D575" s="63"/>
      <c r="E575" s="63"/>
      <c r="F575" s="63"/>
      <c r="G575" s="63"/>
      <c r="H575" s="63"/>
      <c r="I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</row>
    <row r="576" ht="11.25" customHeight="1">
      <c r="A576" s="63"/>
      <c r="B576" s="63"/>
      <c r="C576" s="63"/>
      <c r="D576" s="63"/>
      <c r="E576" s="63"/>
      <c r="F576" s="63"/>
      <c r="G576" s="63"/>
      <c r="H576" s="63"/>
      <c r="I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</row>
    <row r="577" ht="11.25" customHeight="1">
      <c r="A577" s="63"/>
      <c r="B577" s="63"/>
      <c r="C577" s="63"/>
      <c r="D577" s="63"/>
      <c r="E577" s="63"/>
      <c r="F577" s="63"/>
      <c r="G577" s="63"/>
      <c r="H577" s="63"/>
      <c r="I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</row>
    <row r="578" ht="11.25" customHeight="1">
      <c r="A578" s="63"/>
      <c r="B578" s="63"/>
      <c r="C578" s="63"/>
      <c r="D578" s="63"/>
      <c r="E578" s="63"/>
      <c r="F578" s="63"/>
      <c r="G578" s="63"/>
      <c r="H578" s="63"/>
      <c r="I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</row>
    <row r="579" ht="11.25" customHeight="1">
      <c r="A579" s="63"/>
      <c r="B579" s="63"/>
      <c r="C579" s="63"/>
      <c r="D579" s="63"/>
      <c r="E579" s="63"/>
      <c r="F579" s="63"/>
      <c r="G579" s="63"/>
      <c r="H579" s="63"/>
      <c r="I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</row>
    <row r="580" ht="11.25" customHeight="1">
      <c r="A580" s="63"/>
      <c r="B580" s="63"/>
      <c r="C580" s="63"/>
      <c r="D580" s="63"/>
      <c r="E580" s="63"/>
      <c r="F580" s="63"/>
      <c r="G580" s="63"/>
      <c r="H580" s="63"/>
      <c r="I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</row>
    <row r="581" ht="11.25" customHeight="1">
      <c r="A581" s="63"/>
      <c r="B581" s="63"/>
      <c r="C581" s="63"/>
      <c r="D581" s="63"/>
      <c r="E581" s="63"/>
      <c r="F581" s="63"/>
      <c r="G581" s="63"/>
      <c r="H581" s="63"/>
      <c r="I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</row>
    <row r="582" ht="11.25" customHeight="1">
      <c r="A582" s="63"/>
      <c r="B582" s="63"/>
      <c r="C582" s="63"/>
      <c r="D582" s="63"/>
      <c r="E582" s="63"/>
      <c r="F582" s="63"/>
      <c r="G582" s="63"/>
      <c r="H582" s="63"/>
      <c r="I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</row>
    <row r="583" ht="11.25" customHeight="1">
      <c r="A583" s="63"/>
      <c r="B583" s="63"/>
      <c r="C583" s="63"/>
      <c r="D583" s="63"/>
      <c r="E583" s="63"/>
      <c r="F583" s="63"/>
      <c r="G583" s="63"/>
      <c r="H583" s="63"/>
      <c r="I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</row>
    <row r="584" ht="11.25" customHeight="1">
      <c r="A584" s="63"/>
      <c r="B584" s="63"/>
      <c r="C584" s="63"/>
      <c r="D584" s="63"/>
      <c r="E584" s="63"/>
      <c r="F584" s="63"/>
      <c r="G584" s="63"/>
      <c r="H584" s="63"/>
      <c r="I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</row>
    <row r="585" ht="11.25" customHeight="1">
      <c r="A585" s="63"/>
      <c r="B585" s="63"/>
      <c r="C585" s="63"/>
      <c r="D585" s="63"/>
      <c r="E585" s="63"/>
      <c r="F585" s="63"/>
      <c r="G585" s="63"/>
      <c r="H585" s="63"/>
      <c r="I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</row>
    <row r="586" ht="11.25" customHeight="1">
      <c r="A586" s="63"/>
      <c r="B586" s="63"/>
      <c r="C586" s="63"/>
      <c r="D586" s="63"/>
      <c r="E586" s="63"/>
      <c r="F586" s="63"/>
      <c r="G586" s="63"/>
      <c r="H586" s="63"/>
      <c r="I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</row>
    <row r="587" ht="11.25" customHeight="1">
      <c r="A587" s="63"/>
      <c r="B587" s="63"/>
      <c r="C587" s="63"/>
      <c r="D587" s="63"/>
      <c r="E587" s="63"/>
      <c r="F587" s="63"/>
      <c r="G587" s="63"/>
      <c r="H587" s="63"/>
      <c r="I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</row>
    <row r="588" ht="11.25" customHeight="1">
      <c r="A588" s="63"/>
      <c r="B588" s="63"/>
      <c r="C588" s="63"/>
      <c r="D588" s="63"/>
      <c r="E588" s="63"/>
      <c r="F588" s="63"/>
      <c r="G588" s="63"/>
      <c r="H588" s="63"/>
      <c r="I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</row>
    <row r="589" ht="11.25" customHeight="1">
      <c r="A589" s="63"/>
      <c r="B589" s="63"/>
      <c r="C589" s="63"/>
      <c r="D589" s="63"/>
      <c r="E589" s="63"/>
      <c r="F589" s="63"/>
      <c r="G589" s="63"/>
      <c r="H589" s="63"/>
      <c r="I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</row>
    <row r="590" ht="11.25" customHeight="1">
      <c r="A590" s="63"/>
      <c r="B590" s="63"/>
      <c r="C590" s="63"/>
      <c r="D590" s="63"/>
      <c r="E590" s="63"/>
      <c r="F590" s="63"/>
      <c r="G590" s="63"/>
      <c r="H590" s="63"/>
      <c r="I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</row>
    <row r="591" ht="11.25" customHeight="1">
      <c r="A591" s="63"/>
      <c r="B591" s="63"/>
      <c r="C591" s="63"/>
      <c r="D591" s="63"/>
      <c r="E591" s="63"/>
      <c r="F591" s="63"/>
      <c r="G591" s="63"/>
      <c r="H591" s="63"/>
      <c r="I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</row>
    <row r="592" ht="11.25" customHeight="1">
      <c r="A592" s="63"/>
      <c r="B592" s="63"/>
      <c r="C592" s="63"/>
      <c r="D592" s="63"/>
      <c r="E592" s="63"/>
      <c r="F592" s="63"/>
      <c r="G592" s="63"/>
      <c r="H592" s="63"/>
      <c r="I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</row>
    <row r="593" ht="11.25" customHeight="1">
      <c r="A593" s="63"/>
      <c r="B593" s="63"/>
      <c r="C593" s="63"/>
      <c r="D593" s="63"/>
      <c r="E593" s="63"/>
      <c r="F593" s="63"/>
      <c r="G593" s="63"/>
      <c r="H593" s="63"/>
      <c r="I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</row>
    <row r="594" ht="11.25" customHeight="1">
      <c r="A594" s="63"/>
      <c r="B594" s="63"/>
      <c r="C594" s="63"/>
      <c r="D594" s="63"/>
      <c r="E594" s="63"/>
      <c r="F594" s="63"/>
      <c r="G594" s="63"/>
      <c r="H594" s="63"/>
      <c r="I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</row>
    <row r="595" ht="11.25" customHeight="1">
      <c r="A595" s="63"/>
      <c r="B595" s="63"/>
      <c r="C595" s="63"/>
      <c r="D595" s="63"/>
      <c r="E595" s="63"/>
      <c r="F595" s="63"/>
      <c r="G595" s="63"/>
      <c r="H595" s="63"/>
      <c r="I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</row>
    <row r="596" ht="11.25" customHeight="1">
      <c r="A596" s="63"/>
      <c r="B596" s="63"/>
      <c r="C596" s="63"/>
      <c r="D596" s="63"/>
      <c r="E596" s="63"/>
      <c r="F596" s="63"/>
      <c r="G596" s="63"/>
      <c r="H596" s="63"/>
      <c r="I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</row>
    <row r="597" ht="11.25" customHeight="1">
      <c r="A597" s="63"/>
      <c r="B597" s="63"/>
      <c r="C597" s="63"/>
      <c r="D597" s="63"/>
      <c r="E597" s="63"/>
      <c r="F597" s="63"/>
      <c r="G597" s="63"/>
      <c r="H597" s="63"/>
      <c r="I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</row>
    <row r="598" ht="11.25" customHeight="1">
      <c r="A598" s="63"/>
      <c r="B598" s="63"/>
      <c r="C598" s="63"/>
      <c r="D598" s="63"/>
      <c r="E598" s="63"/>
      <c r="F598" s="63"/>
      <c r="G598" s="63"/>
      <c r="H598" s="63"/>
      <c r="I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</row>
    <row r="599" ht="11.25" customHeight="1">
      <c r="A599" s="63"/>
      <c r="B599" s="63"/>
      <c r="C599" s="63"/>
      <c r="D599" s="63"/>
      <c r="E599" s="63"/>
      <c r="F599" s="63"/>
      <c r="G599" s="63"/>
      <c r="H599" s="63"/>
      <c r="I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</row>
    <row r="600" ht="11.25" customHeight="1">
      <c r="A600" s="63"/>
      <c r="B600" s="63"/>
      <c r="C600" s="63"/>
      <c r="D600" s="63"/>
      <c r="E600" s="63"/>
      <c r="F600" s="63"/>
      <c r="G600" s="63"/>
      <c r="H600" s="63"/>
      <c r="I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</row>
    <row r="601" ht="11.25" customHeight="1">
      <c r="A601" s="63"/>
      <c r="B601" s="63"/>
      <c r="C601" s="63"/>
      <c r="D601" s="63"/>
      <c r="E601" s="63"/>
      <c r="F601" s="63"/>
      <c r="G601" s="63"/>
      <c r="H601" s="63"/>
      <c r="I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</row>
    <row r="602" ht="11.25" customHeight="1">
      <c r="A602" s="63"/>
      <c r="B602" s="63"/>
      <c r="C602" s="63"/>
      <c r="D602" s="63"/>
      <c r="E602" s="63"/>
      <c r="F602" s="63"/>
      <c r="G602" s="63"/>
      <c r="H602" s="63"/>
      <c r="I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</row>
    <row r="603" ht="11.25" customHeight="1">
      <c r="A603" s="63"/>
      <c r="B603" s="63"/>
      <c r="C603" s="63"/>
      <c r="D603" s="63"/>
      <c r="E603" s="63"/>
      <c r="F603" s="63"/>
      <c r="G603" s="63"/>
      <c r="H603" s="63"/>
      <c r="I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</row>
    <row r="604" ht="11.25" customHeight="1">
      <c r="A604" s="63"/>
      <c r="B604" s="63"/>
      <c r="C604" s="63"/>
      <c r="D604" s="63"/>
      <c r="E604" s="63"/>
      <c r="F604" s="63"/>
      <c r="G604" s="63"/>
      <c r="H604" s="63"/>
      <c r="I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</row>
    <row r="605" ht="11.25" customHeight="1">
      <c r="A605" s="63"/>
      <c r="B605" s="63"/>
      <c r="C605" s="63"/>
      <c r="D605" s="63"/>
      <c r="E605" s="63"/>
      <c r="F605" s="63"/>
      <c r="G605" s="63"/>
      <c r="H605" s="63"/>
      <c r="I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</row>
    <row r="606" ht="11.25" customHeight="1">
      <c r="A606" s="63"/>
      <c r="B606" s="63"/>
      <c r="C606" s="63"/>
      <c r="D606" s="63"/>
      <c r="E606" s="63"/>
      <c r="F606" s="63"/>
      <c r="G606" s="63"/>
      <c r="H606" s="63"/>
      <c r="I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</row>
    <row r="607" ht="11.25" customHeight="1">
      <c r="A607" s="63"/>
      <c r="B607" s="63"/>
      <c r="C607" s="63"/>
      <c r="D607" s="63"/>
      <c r="E607" s="63"/>
      <c r="F607" s="63"/>
      <c r="G607" s="63"/>
      <c r="H607" s="63"/>
      <c r="I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</row>
    <row r="608" ht="11.25" customHeight="1">
      <c r="A608" s="63"/>
      <c r="B608" s="63"/>
      <c r="C608" s="63"/>
      <c r="D608" s="63"/>
      <c r="E608" s="63"/>
      <c r="F608" s="63"/>
      <c r="G608" s="63"/>
      <c r="H608" s="63"/>
      <c r="I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</row>
    <row r="609" ht="11.25" customHeight="1">
      <c r="A609" s="63"/>
      <c r="B609" s="63"/>
      <c r="C609" s="63"/>
      <c r="D609" s="63"/>
      <c r="E609" s="63"/>
      <c r="F609" s="63"/>
      <c r="G609" s="63"/>
      <c r="H609" s="63"/>
      <c r="I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</row>
    <row r="610" ht="11.25" customHeight="1">
      <c r="A610" s="63"/>
      <c r="B610" s="63"/>
      <c r="C610" s="63"/>
      <c r="D610" s="63"/>
      <c r="E610" s="63"/>
      <c r="F610" s="63"/>
      <c r="G610" s="63"/>
      <c r="H610" s="63"/>
      <c r="I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</row>
    <row r="611" ht="11.25" customHeight="1">
      <c r="A611" s="63"/>
      <c r="B611" s="63"/>
      <c r="C611" s="63"/>
      <c r="D611" s="63"/>
      <c r="E611" s="63"/>
      <c r="F611" s="63"/>
      <c r="G611" s="63"/>
      <c r="H611" s="63"/>
      <c r="I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</row>
    <row r="612" ht="11.25" customHeight="1">
      <c r="A612" s="63"/>
      <c r="B612" s="63"/>
      <c r="C612" s="63"/>
      <c r="D612" s="63"/>
      <c r="E612" s="63"/>
      <c r="F612" s="63"/>
      <c r="G612" s="63"/>
      <c r="H612" s="63"/>
      <c r="I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</row>
    <row r="613" ht="11.25" customHeight="1">
      <c r="A613" s="63"/>
      <c r="B613" s="63"/>
      <c r="C613" s="63"/>
      <c r="D613" s="63"/>
      <c r="E613" s="63"/>
      <c r="F613" s="63"/>
      <c r="G613" s="63"/>
      <c r="H613" s="63"/>
      <c r="I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</row>
    <row r="614" ht="11.25" customHeight="1">
      <c r="A614" s="63"/>
      <c r="B614" s="63"/>
      <c r="C614" s="63"/>
      <c r="D614" s="63"/>
      <c r="E614" s="63"/>
      <c r="F614" s="63"/>
      <c r="G614" s="63"/>
      <c r="H614" s="63"/>
      <c r="I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</row>
    <row r="615" ht="11.25" customHeight="1">
      <c r="A615" s="63"/>
      <c r="B615" s="63"/>
      <c r="C615" s="63"/>
      <c r="D615" s="63"/>
      <c r="E615" s="63"/>
      <c r="F615" s="63"/>
      <c r="G615" s="63"/>
      <c r="H615" s="63"/>
      <c r="I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</row>
    <row r="616" ht="11.25" customHeight="1">
      <c r="A616" s="63"/>
      <c r="B616" s="63"/>
      <c r="C616" s="63"/>
      <c r="D616" s="63"/>
      <c r="E616" s="63"/>
      <c r="F616" s="63"/>
      <c r="G616" s="63"/>
      <c r="H616" s="63"/>
      <c r="I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</row>
    <row r="617" ht="11.25" customHeight="1">
      <c r="A617" s="63"/>
      <c r="B617" s="63"/>
      <c r="C617" s="63"/>
      <c r="D617" s="63"/>
      <c r="E617" s="63"/>
      <c r="F617" s="63"/>
      <c r="G617" s="63"/>
      <c r="H617" s="63"/>
      <c r="I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</row>
    <row r="618" ht="11.25" customHeight="1">
      <c r="A618" s="63"/>
      <c r="B618" s="63"/>
      <c r="C618" s="63"/>
      <c r="D618" s="63"/>
      <c r="E618" s="63"/>
      <c r="F618" s="63"/>
      <c r="G618" s="63"/>
      <c r="H618" s="63"/>
      <c r="I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</row>
    <row r="619" ht="11.25" customHeight="1">
      <c r="A619" s="63"/>
      <c r="B619" s="63"/>
      <c r="C619" s="63"/>
      <c r="D619" s="63"/>
      <c r="E619" s="63"/>
      <c r="F619" s="63"/>
      <c r="G619" s="63"/>
      <c r="H619" s="63"/>
      <c r="I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</row>
    <row r="620" ht="11.25" customHeight="1">
      <c r="A620" s="63"/>
      <c r="B620" s="63"/>
      <c r="C620" s="63"/>
      <c r="D620" s="63"/>
      <c r="E620" s="63"/>
      <c r="F620" s="63"/>
      <c r="G620" s="63"/>
      <c r="H620" s="63"/>
      <c r="I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</row>
    <row r="621" ht="11.25" customHeight="1">
      <c r="A621" s="63"/>
      <c r="B621" s="63"/>
      <c r="C621" s="63"/>
      <c r="D621" s="63"/>
      <c r="E621" s="63"/>
      <c r="F621" s="63"/>
      <c r="G621" s="63"/>
      <c r="H621" s="63"/>
      <c r="I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</row>
    <row r="622" ht="11.25" customHeight="1">
      <c r="A622" s="63"/>
      <c r="B622" s="63"/>
      <c r="C622" s="63"/>
      <c r="D622" s="63"/>
      <c r="E622" s="63"/>
      <c r="F622" s="63"/>
      <c r="G622" s="63"/>
      <c r="H622" s="63"/>
      <c r="I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</row>
    <row r="623" ht="11.25" customHeight="1">
      <c r="A623" s="63"/>
      <c r="B623" s="63"/>
      <c r="C623" s="63"/>
      <c r="D623" s="63"/>
      <c r="E623" s="63"/>
      <c r="F623" s="63"/>
      <c r="G623" s="63"/>
      <c r="H623" s="63"/>
      <c r="I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</row>
    <row r="624" ht="11.25" customHeight="1">
      <c r="A624" s="63"/>
      <c r="B624" s="63"/>
      <c r="C624" s="63"/>
      <c r="D624" s="63"/>
      <c r="E624" s="63"/>
      <c r="F624" s="63"/>
      <c r="G624" s="63"/>
      <c r="H624" s="63"/>
      <c r="I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</row>
    <row r="625" ht="11.25" customHeight="1">
      <c r="A625" s="63"/>
      <c r="B625" s="63"/>
      <c r="C625" s="63"/>
      <c r="D625" s="63"/>
      <c r="E625" s="63"/>
      <c r="F625" s="63"/>
      <c r="G625" s="63"/>
      <c r="H625" s="63"/>
      <c r="I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</row>
    <row r="626" ht="11.25" customHeight="1">
      <c r="A626" s="63"/>
      <c r="B626" s="63"/>
      <c r="C626" s="63"/>
      <c r="D626" s="63"/>
      <c r="E626" s="63"/>
      <c r="F626" s="63"/>
      <c r="G626" s="63"/>
      <c r="H626" s="63"/>
      <c r="I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</row>
    <row r="627" ht="11.25" customHeight="1">
      <c r="A627" s="63"/>
      <c r="B627" s="63"/>
      <c r="C627" s="63"/>
      <c r="D627" s="63"/>
      <c r="E627" s="63"/>
      <c r="F627" s="63"/>
      <c r="G627" s="63"/>
      <c r="H627" s="63"/>
      <c r="I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</row>
    <row r="628" ht="11.25" customHeight="1">
      <c r="A628" s="63"/>
      <c r="B628" s="63"/>
      <c r="C628" s="63"/>
      <c r="D628" s="63"/>
      <c r="E628" s="63"/>
      <c r="F628" s="63"/>
      <c r="G628" s="63"/>
      <c r="H628" s="63"/>
      <c r="I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</row>
    <row r="629" ht="11.25" customHeight="1">
      <c r="A629" s="63"/>
      <c r="B629" s="63"/>
      <c r="C629" s="63"/>
      <c r="D629" s="63"/>
      <c r="E629" s="63"/>
      <c r="F629" s="63"/>
      <c r="G629" s="63"/>
      <c r="H629" s="63"/>
      <c r="I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</row>
    <row r="630" ht="11.25" customHeight="1">
      <c r="A630" s="63"/>
      <c r="B630" s="63"/>
      <c r="C630" s="63"/>
      <c r="D630" s="63"/>
      <c r="E630" s="63"/>
      <c r="F630" s="63"/>
      <c r="G630" s="63"/>
      <c r="H630" s="63"/>
      <c r="I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</row>
    <row r="631" ht="11.25" customHeight="1">
      <c r="A631" s="63"/>
      <c r="B631" s="63"/>
      <c r="C631" s="63"/>
      <c r="D631" s="63"/>
      <c r="E631" s="63"/>
      <c r="F631" s="63"/>
      <c r="G631" s="63"/>
      <c r="H631" s="63"/>
      <c r="I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</row>
    <row r="632" ht="11.25" customHeight="1">
      <c r="A632" s="63"/>
      <c r="B632" s="63"/>
      <c r="C632" s="63"/>
      <c r="D632" s="63"/>
      <c r="E632" s="63"/>
      <c r="F632" s="63"/>
      <c r="G632" s="63"/>
      <c r="H632" s="63"/>
      <c r="I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</row>
    <row r="633" ht="11.25" customHeight="1">
      <c r="A633" s="63"/>
      <c r="B633" s="63"/>
      <c r="C633" s="63"/>
      <c r="D633" s="63"/>
      <c r="E633" s="63"/>
      <c r="F633" s="63"/>
      <c r="G633" s="63"/>
      <c r="H633" s="63"/>
      <c r="I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</row>
    <row r="634" ht="11.25" customHeight="1">
      <c r="A634" s="63"/>
      <c r="B634" s="63"/>
      <c r="C634" s="63"/>
      <c r="D634" s="63"/>
      <c r="E634" s="63"/>
      <c r="F634" s="63"/>
      <c r="G634" s="63"/>
      <c r="H634" s="63"/>
      <c r="I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</row>
    <row r="635" ht="11.25" customHeight="1">
      <c r="A635" s="63"/>
      <c r="B635" s="63"/>
      <c r="C635" s="63"/>
      <c r="D635" s="63"/>
      <c r="E635" s="63"/>
      <c r="F635" s="63"/>
      <c r="G635" s="63"/>
      <c r="H635" s="63"/>
      <c r="I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</row>
    <row r="636" ht="11.25" customHeight="1">
      <c r="A636" s="63"/>
      <c r="B636" s="63"/>
      <c r="C636" s="63"/>
      <c r="D636" s="63"/>
      <c r="E636" s="63"/>
      <c r="F636" s="63"/>
      <c r="G636" s="63"/>
      <c r="H636" s="63"/>
      <c r="I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</row>
    <row r="637" ht="11.25" customHeight="1">
      <c r="A637" s="63"/>
      <c r="B637" s="63"/>
      <c r="C637" s="63"/>
      <c r="D637" s="63"/>
      <c r="E637" s="63"/>
      <c r="F637" s="63"/>
      <c r="G637" s="63"/>
      <c r="H637" s="63"/>
      <c r="I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</row>
    <row r="638" ht="11.25" customHeight="1">
      <c r="A638" s="63"/>
      <c r="B638" s="63"/>
      <c r="C638" s="63"/>
      <c r="D638" s="63"/>
      <c r="E638" s="63"/>
      <c r="F638" s="63"/>
      <c r="G638" s="63"/>
      <c r="H638" s="63"/>
      <c r="I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</row>
    <row r="639" ht="11.25" customHeight="1">
      <c r="A639" s="63"/>
      <c r="B639" s="63"/>
      <c r="C639" s="63"/>
      <c r="D639" s="63"/>
      <c r="E639" s="63"/>
      <c r="F639" s="63"/>
      <c r="G639" s="63"/>
      <c r="H639" s="63"/>
      <c r="I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</row>
    <row r="640" ht="11.25" customHeight="1">
      <c r="A640" s="63"/>
      <c r="B640" s="63"/>
      <c r="C640" s="63"/>
      <c r="D640" s="63"/>
      <c r="E640" s="63"/>
      <c r="F640" s="63"/>
      <c r="G640" s="63"/>
      <c r="H640" s="63"/>
      <c r="I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</row>
    <row r="641" ht="11.25" customHeight="1">
      <c r="A641" s="63"/>
      <c r="B641" s="63"/>
      <c r="C641" s="63"/>
      <c r="D641" s="63"/>
      <c r="E641" s="63"/>
      <c r="F641" s="63"/>
      <c r="G641" s="63"/>
      <c r="H641" s="63"/>
      <c r="I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</row>
    <row r="642" ht="11.25" customHeight="1">
      <c r="A642" s="63"/>
      <c r="B642" s="63"/>
      <c r="C642" s="63"/>
      <c r="D642" s="63"/>
      <c r="E642" s="63"/>
      <c r="F642" s="63"/>
      <c r="G642" s="63"/>
      <c r="H642" s="63"/>
      <c r="I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</row>
    <row r="643" ht="11.25" customHeight="1">
      <c r="A643" s="63"/>
      <c r="B643" s="63"/>
      <c r="C643" s="63"/>
      <c r="D643" s="63"/>
      <c r="E643" s="63"/>
      <c r="F643" s="63"/>
      <c r="G643" s="63"/>
      <c r="H643" s="63"/>
      <c r="I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</row>
    <row r="644" ht="11.25" customHeight="1">
      <c r="A644" s="63"/>
      <c r="B644" s="63"/>
      <c r="C644" s="63"/>
      <c r="D644" s="63"/>
      <c r="E644" s="63"/>
      <c r="F644" s="63"/>
      <c r="G644" s="63"/>
      <c r="H644" s="63"/>
      <c r="I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</row>
    <row r="645" ht="11.25" customHeight="1">
      <c r="A645" s="63"/>
      <c r="B645" s="63"/>
      <c r="C645" s="63"/>
      <c r="D645" s="63"/>
      <c r="E645" s="63"/>
      <c r="F645" s="63"/>
      <c r="G645" s="63"/>
      <c r="H645" s="63"/>
      <c r="I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</row>
    <row r="646" ht="11.25" customHeight="1">
      <c r="A646" s="63"/>
      <c r="B646" s="63"/>
      <c r="C646" s="63"/>
      <c r="D646" s="63"/>
      <c r="E646" s="63"/>
      <c r="F646" s="63"/>
      <c r="G646" s="63"/>
      <c r="H646" s="63"/>
      <c r="I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</row>
    <row r="647" ht="11.25" customHeight="1">
      <c r="A647" s="63"/>
      <c r="B647" s="63"/>
      <c r="C647" s="63"/>
      <c r="D647" s="63"/>
      <c r="E647" s="63"/>
      <c r="F647" s="63"/>
      <c r="G647" s="63"/>
      <c r="H647" s="63"/>
      <c r="I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</row>
    <row r="648" ht="11.25" customHeight="1">
      <c r="A648" s="63"/>
      <c r="B648" s="63"/>
      <c r="C648" s="63"/>
      <c r="D648" s="63"/>
      <c r="E648" s="63"/>
      <c r="F648" s="63"/>
      <c r="G648" s="63"/>
      <c r="H648" s="63"/>
      <c r="I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</row>
    <row r="649" ht="11.25" customHeight="1">
      <c r="A649" s="63"/>
      <c r="B649" s="63"/>
      <c r="C649" s="63"/>
      <c r="D649" s="63"/>
      <c r="E649" s="63"/>
      <c r="F649" s="63"/>
      <c r="G649" s="63"/>
      <c r="H649" s="63"/>
      <c r="I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</row>
    <row r="650" ht="11.25" customHeight="1">
      <c r="A650" s="63"/>
      <c r="B650" s="63"/>
      <c r="C650" s="63"/>
      <c r="D650" s="63"/>
      <c r="E650" s="63"/>
      <c r="F650" s="63"/>
      <c r="G650" s="63"/>
      <c r="H650" s="63"/>
      <c r="I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</row>
    <row r="651" ht="11.25" customHeight="1">
      <c r="A651" s="63"/>
      <c r="B651" s="63"/>
      <c r="C651" s="63"/>
      <c r="D651" s="63"/>
      <c r="E651" s="63"/>
      <c r="F651" s="63"/>
      <c r="G651" s="63"/>
      <c r="H651" s="63"/>
      <c r="I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</row>
    <row r="652" ht="11.25" customHeight="1">
      <c r="A652" s="63"/>
      <c r="B652" s="63"/>
      <c r="C652" s="63"/>
      <c r="D652" s="63"/>
      <c r="E652" s="63"/>
      <c r="F652" s="63"/>
      <c r="G652" s="63"/>
      <c r="H652" s="63"/>
      <c r="I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</row>
    <row r="653" ht="11.25" customHeight="1">
      <c r="A653" s="63"/>
      <c r="B653" s="63"/>
      <c r="C653" s="63"/>
      <c r="D653" s="63"/>
      <c r="E653" s="63"/>
      <c r="F653" s="63"/>
      <c r="G653" s="63"/>
      <c r="H653" s="63"/>
      <c r="I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</row>
    <row r="654" ht="11.25" customHeight="1">
      <c r="A654" s="63"/>
      <c r="B654" s="63"/>
      <c r="C654" s="63"/>
      <c r="D654" s="63"/>
      <c r="E654" s="63"/>
      <c r="F654" s="63"/>
      <c r="G654" s="63"/>
      <c r="H654" s="63"/>
      <c r="I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</row>
    <row r="655" ht="11.25" customHeight="1">
      <c r="A655" s="63"/>
      <c r="B655" s="63"/>
      <c r="C655" s="63"/>
      <c r="D655" s="63"/>
      <c r="E655" s="63"/>
      <c r="F655" s="63"/>
      <c r="G655" s="63"/>
      <c r="H655" s="63"/>
      <c r="I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</row>
    <row r="656" ht="11.25" customHeight="1">
      <c r="A656" s="63"/>
      <c r="B656" s="63"/>
      <c r="C656" s="63"/>
      <c r="D656" s="63"/>
      <c r="E656" s="63"/>
      <c r="F656" s="63"/>
      <c r="G656" s="63"/>
      <c r="H656" s="63"/>
      <c r="I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</row>
    <row r="657" ht="11.25" customHeight="1">
      <c r="A657" s="63"/>
      <c r="B657" s="63"/>
      <c r="C657" s="63"/>
      <c r="D657" s="63"/>
      <c r="E657" s="63"/>
      <c r="F657" s="63"/>
      <c r="G657" s="63"/>
      <c r="H657" s="63"/>
      <c r="I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</row>
    <row r="658" ht="11.25" customHeight="1">
      <c r="A658" s="63"/>
      <c r="B658" s="63"/>
      <c r="C658" s="63"/>
      <c r="D658" s="63"/>
      <c r="E658" s="63"/>
      <c r="F658" s="63"/>
      <c r="G658" s="63"/>
      <c r="H658" s="63"/>
      <c r="I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</row>
    <row r="659" ht="11.25" customHeight="1">
      <c r="A659" s="63"/>
      <c r="B659" s="63"/>
      <c r="C659" s="63"/>
      <c r="D659" s="63"/>
      <c r="E659" s="63"/>
      <c r="F659" s="63"/>
      <c r="G659" s="63"/>
      <c r="H659" s="63"/>
      <c r="I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</row>
    <row r="660" ht="11.25" customHeight="1">
      <c r="A660" s="63"/>
      <c r="B660" s="63"/>
      <c r="C660" s="63"/>
      <c r="D660" s="63"/>
      <c r="E660" s="63"/>
      <c r="F660" s="63"/>
      <c r="G660" s="63"/>
      <c r="H660" s="63"/>
      <c r="I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</row>
    <row r="661" ht="11.25" customHeight="1">
      <c r="A661" s="63"/>
      <c r="B661" s="63"/>
      <c r="C661" s="63"/>
      <c r="D661" s="63"/>
      <c r="E661" s="63"/>
      <c r="F661" s="63"/>
      <c r="G661" s="63"/>
      <c r="H661" s="63"/>
      <c r="I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</row>
    <row r="662" ht="11.25" customHeight="1">
      <c r="A662" s="63"/>
      <c r="B662" s="63"/>
      <c r="C662" s="63"/>
      <c r="D662" s="63"/>
      <c r="E662" s="63"/>
      <c r="F662" s="63"/>
      <c r="G662" s="63"/>
      <c r="H662" s="63"/>
      <c r="I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</row>
    <row r="663" ht="11.25" customHeight="1">
      <c r="A663" s="63"/>
      <c r="B663" s="63"/>
      <c r="C663" s="63"/>
      <c r="D663" s="63"/>
      <c r="E663" s="63"/>
      <c r="F663" s="63"/>
      <c r="G663" s="63"/>
      <c r="H663" s="63"/>
      <c r="I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</row>
    <row r="664" ht="11.25" customHeight="1">
      <c r="A664" s="63"/>
      <c r="B664" s="63"/>
      <c r="C664" s="63"/>
      <c r="D664" s="63"/>
      <c r="E664" s="63"/>
      <c r="F664" s="63"/>
      <c r="G664" s="63"/>
      <c r="H664" s="63"/>
      <c r="I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</row>
    <row r="665" ht="11.25" customHeight="1">
      <c r="A665" s="63"/>
      <c r="B665" s="63"/>
      <c r="C665" s="63"/>
      <c r="D665" s="63"/>
      <c r="E665" s="63"/>
      <c r="F665" s="63"/>
      <c r="G665" s="63"/>
      <c r="H665" s="63"/>
      <c r="I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</row>
    <row r="666" ht="11.25" customHeight="1">
      <c r="A666" s="63"/>
      <c r="B666" s="63"/>
      <c r="C666" s="63"/>
      <c r="D666" s="63"/>
      <c r="E666" s="63"/>
      <c r="F666" s="63"/>
      <c r="G666" s="63"/>
      <c r="H666" s="63"/>
      <c r="I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</row>
    <row r="667" ht="11.25" customHeight="1">
      <c r="A667" s="63"/>
      <c r="B667" s="63"/>
      <c r="C667" s="63"/>
      <c r="D667" s="63"/>
      <c r="E667" s="63"/>
      <c r="F667" s="63"/>
      <c r="G667" s="63"/>
      <c r="H667" s="63"/>
      <c r="I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</row>
    <row r="668" ht="11.25" customHeight="1">
      <c r="A668" s="63"/>
      <c r="B668" s="63"/>
      <c r="C668" s="63"/>
      <c r="D668" s="63"/>
      <c r="E668" s="63"/>
      <c r="F668" s="63"/>
      <c r="G668" s="63"/>
      <c r="H668" s="63"/>
      <c r="I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</row>
    <row r="669" ht="11.25" customHeight="1">
      <c r="A669" s="63"/>
      <c r="B669" s="63"/>
      <c r="C669" s="63"/>
      <c r="D669" s="63"/>
      <c r="E669" s="63"/>
      <c r="F669" s="63"/>
      <c r="G669" s="63"/>
      <c r="H669" s="63"/>
      <c r="I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</row>
    <row r="670" ht="11.25" customHeight="1">
      <c r="A670" s="63"/>
      <c r="B670" s="63"/>
      <c r="C670" s="63"/>
      <c r="D670" s="63"/>
      <c r="E670" s="63"/>
      <c r="F670" s="63"/>
      <c r="G670" s="63"/>
      <c r="H670" s="63"/>
      <c r="I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</row>
    <row r="671" ht="11.25" customHeight="1">
      <c r="A671" s="63"/>
      <c r="B671" s="63"/>
      <c r="C671" s="63"/>
      <c r="D671" s="63"/>
      <c r="E671" s="63"/>
      <c r="F671" s="63"/>
      <c r="G671" s="63"/>
      <c r="H671" s="63"/>
      <c r="I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</row>
    <row r="672" ht="11.25" customHeight="1">
      <c r="A672" s="63"/>
      <c r="B672" s="63"/>
      <c r="C672" s="63"/>
      <c r="D672" s="63"/>
      <c r="E672" s="63"/>
      <c r="F672" s="63"/>
      <c r="G672" s="63"/>
      <c r="H672" s="63"/>
      <c r="I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</row>
    <row r="673" ht="11.25" customHeight="1">
      <c r="A673" s="63"/>
      <c r="B673" s="63"/>
      <c r="C673" s="63"/>
      <c r="D673" s="63"/>
      <c r="E673" s="63"/>
      <c r="F673" s="63"/>
      <c r="G673" s="63"/>
      <c r="H673" s="63"/>
      <c r="I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</row>
    <row r="674" ht="11.25" customHeight="1">
      <c r="A674" s="63"/>
      <c r="B674" s="63"/>
      <c r="C674" s="63"/>
      <c r="D674" s="63"/>
      <c r="E674" s="63"/>
      <c r="F674" s="63"/>
      <c r="G674" s="63"/>
      <c r="H674" s="63"/>
      <c r="I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</row>
    <row r="675" ht="11.25" customHeight="1">
      <c r="A675" s="63"/>
      <c r="B675" s="63"/>
      <c r="C675" s="63"/>
      <c r="D675" s="63"/>
      <c r="E675" s="63"/>
      <c r="F675" s="63"/>
      <c r="G675" s="63"/>
      <c r="H675" s="63"/>
      <c r="I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</row>
    <row r="676" ht="11.25" customHeight="1">
      <c r="A676" s="63"/>
      <c r="B676" s="63"/>
      <c r="C676" s="63"/>
      <c r="D676" s="63"/>
      <c r="E676" s="63"/>
      <c r="F676" s="63"/>
      <c r="G676" s="63"/>
      <c r="H676" s="63"/>
      <c r="I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</row>
    <row r="677" ht="11.25" customHeight="1">
      <c r="A677" s="63"/>
      <c r="B677" s="63"/>
      <c r="C677" s="63"/>
      <c r="D677" s="63"/>
      <c r="E677" s="63"/>
      <c r="F677" s="63"/>
      <c r="G677" s="63"/>
      <c r="H677" s="63"/>
      <c r="I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</row>
    <row r="678" ht="11.25" customHeight="1">
      <c r="A678" s="63"/>
      <c r="B678" s="63"/>
      <c r="C678" s="63"/>
      <c r="D678" s="63"/>
      <c r="E678" s="63"/>
      <c r="F678" s="63"/>
      <c r="G678" s="63"/>
      <c r="H678" s="63"/>
      <c r="I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</row>
    <row r="679" ht="11.25" customHeight="1">
      <c r="A679" s="63"/>
      <c r="B679" s="63"/>
      <c r="C679" s="63"/>
      <c r="D679" s="63"/>
      <c r="E679" s="63"/>
      <c r="F679" s="63"/>
      <c r="G679" s="63"/>
      <c r="H679" s="63"/>
      <c r="I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</row>
    <row r="680" ht="11.25" customHeight="1">
      <c r="A680" s="63"/>
      <c r="B680" s="63"/>
      <c r="C680" s="63"/>
      <c r="D680" s="63"/>
      <c r="E680" s="63"/>
      <c r="F680" s="63"/>
      <c r="G680" s="63"/>
      <c r="H680" s="63"/>
      <c r="I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</row>
    <row r="681" ht="11.25" customHeight="1">
      <c r="A681" s="63"/>
      <c r="B681" s="63"/>
      <c r="C681" s="63"/>
      <c r="D681" s="63"/>
      <c r="E681" s="63"/>
      <c r="F681" s="63"/>
      <c r="G681" s="63"/>
      <c r="H681" s="63"/>
      <c r="I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</row>
    <row r="682" ht="11.25" customHeight="1">
      <c r="A682" s="63"/>
      <c r="B682" s="63"/>
      <c r="C682" s="63"/>
      <c r="D682" s="63"/>
      <c r="E682" s="63"/>
      <c r="F682" s="63"/>
      <c r="G682" s="63"/>
      <c r="H682" s="63"/>
      <c r="I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</row>
    <row r="683" ht="11.25" customHeight="1">
      <c r="A683" s="63"/>
      <c r="B683" s="63"/>
      <c r="C683" s="63"/>
      <c r="D683" s="63"/>
      <c r="E683" s="63"/>
      <c r="F683" s="63"/>
      <c r="G683" s="63"/>
      <c r="H683" s="63"/>
      <c r="I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</row>
    <row r="684" ht="11.25" customHeight="1">
      <c r="A684" s="63"/>
      <c r="B684" s="63"/>
      <c r="C684" s="63"/>
      <c r="D684" s="63"/>
      <c r="E684" s="63"/>
      <c r="F684" s="63"/>
      <c r="G684" s="63"/>
      <c r="H684" s="63"/>
      <c r="I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</row>
    <row r="685" ht="11.25" customHeight="1">
      <c r="A685" s="63"/>
      <c r="B685" s="63"/>
      <c r="C685" s="63"/>
      <c r="D685" s="63"/>
      <c r="E685" s="63"/>
      <c r="F685" s="63"/>
      <c r="G685" s="63"/>
      <c r="H685" s="63"/>
      <c r="I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</row>
    <row r="686" ht="11.25" customHeight="1">
      <c r="A686" s="63"/>
      <c r="B686" s="63"/>
      <c r="C686" s="63"/>
      <c r="D686" s="63"/>
      <c r="E686" s="63"/>
      <c r="F686" s="63"/>
      <c r="G686" s="63"/>
      <c r="H686" s="63"/>
      <c r="I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</row>
    <row r="687" ht="11.25" customHeight="1">
      <c r="A687" s="63"/>
      <c r="B687" s="63"/>
      <c r="C687" s="63"/>
      <c r="D687" s="63"/>
      <c r="E687" s="63"/>
      <c r="F687" s="63"/>
      <c r="G687" s="63"/>
      <c r="H687" s="63"/>
      <c r="I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</row>
    <row r="688" ht="11.25" customHeight="1">
      <c r="A688" s="63"/>
      <c r="B688" s="63"/>
      <c r="C688" s="63"/>
      <c r="D688" s="63"/>
      <c r="E688" s="63"/>
      <c r="F688" s="63"/>
      <c r="G688" s="63"/>
      <c r="H688" s="63"/>
      <c r="I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</row>
    <row r="689" ht="11.25" customHeight="1">
      <c r="A689" s="63"/>
      <c r="B689" s="63"/>
      <c r="C689" s="63"/>
      <c r="D689" s="63"/>
      <c r="E689" s="63"/>
      <c r="F689" s="63"/>
      <c r="G689" s="63"/>
      <c r="H689" s="63"/>
      <c r="I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</row>
    <row r="690" ht="11.25" customHeight="1">
      <c r="A690" s="63"/>
      <c r="B690" s="63"/>
      <c r="C690" s="63"/>
      <c r="D690" s="63"/>
      <c r="E690" s="63"/>
      <c r="F690" s="63"/>
      <c r="G690" s="63"/>
      <c r="H690" s="63"/>
      <c r="I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</row>
    <row r="691" ht="11.25" customHeight="1">
      <c r="A691" s="63"/>
      <c r="B691" s="63"/>
      <c r="C691" s="63"/>
      <c r="D691" s="63"/>
      <c r="E691" s="63"/>
      <c r="F691" s="63"/>
      <c r="G691" s="63"/>
      <c r="H691" s="63"/>
      <c r="I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</row>
    <row r="692" ht="11.25" customHeight="1">
      <c r="A692" s="63"/>
      <c r="B692" s="63"/>
      <c r="C692" s="63"/>
      <c r="D692" s="63"/>
      <c r="E692" s="63"/>
      <c r="F692" s="63"/>
      <c r="G692" s="63"/>
      <c r="H692" s="63"/>
      <c r="I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</row>
    <row r="693" ht="11.25" customHeight="1">
      <c r="A693" s="63"/>
      <c r="B693" s="63"/>
      <c r="C693" s="63"/>
      <c r="D693" s="63"/>
      <c r="E693" s="63"/>
      <c r="F693" s="63"/>
      <c r="G693" s="63"/>
      <c r="H693" s="63"/>
      <c r="I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</row>
    <row r="694" ht="11.25" customHeight="1">
      <c r="A694" s="63"/>
      <c r="B694" s="63"/>
      <c r="C694" s="63"/>
      <c r="D694" s="63"/>
      <c r="E694" s="63"/>
      <c r="F694" s="63"/>
      <c r="G694" s="63"/>
      <c r="H694" s="63"/>
      <c r="I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</row>
    <row r="695" ht="11.25" customHeight="1">
      <c r="A695" s="63"/>
      <c r="B695" s="63"/>
      <c r="C695" s="63"/>
      <c r="D695" s="63"/>
      <c r="E695" s="63"/>
      <c r="F695" s="63"/>
      <c r="G695" s="63"/>
      <c r="H695" s="63"/>
      <c r="I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</row>
    <row r="696" ht="11.25" customHeight="1">
      <c r="A696" s="63"/>
      <c r="B696" s="63"/>
      <c r="C696" s="63"/>
      <c r="D696" s="63"/>
      <c r="E696" s="63"/>
      <c r="F696" s="63"/>
      <c r="G696" s="63"/>
      <c r="H696" s="63"/>
      <c r="I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</row>
    <row r="697" ht="11.25" customHeight="1">
      <c r="A697" s="63"/>
      <c r="B697" s="63"/>
      <c r="C697" s="63"/>
      <c r="D697" s="63"/>
      <c r="E697" s="63"/>
      <c r="F697" s="63"/>
      <c r="G697" s="63"/>
      <c r="H697" s="63"/>
      <c r="I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</row>
    <row r="698" ht="11.25" customHeight="1">
      <c r="A698" s="63"/>
      <c r="B698" s="63"/>
      <c r="C698" s="63"/>
      <c r="D698" s="63"/>
      <c r="E698" s="63"/>
      <c r="F698" s="63"/>
      <c r="G698" s="63"/>
      <c r="H698" s="63"/>
      <c r="I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</row>
    <row r="699" ht="11.25" customHeight="1">
      <c r="A699" s="63"/>
      <c r="B699" s="63"/>
      <c r="C699" s="63"/>
      <c r="D699" s="63"/>
      <c r="E699" s="63"/>
      <c r="F699" s="63"/>
      <c r="G699" s="63"/>
      <c r="H699" s="63"/>
      <c r="I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</row>
    <row r="700" ht="11.25" customHeight="1">
      <c r="A700" s="63"/>
      <c r="B700" s="63"/>
      <c r="C700" s="63"/>
      <c r="D700" s="63"/>
      <c r="E700" s="63"/>
      <c r="F700" s="63"/>
      <c r="G700" s="63"/>
      <c r="H700" s="63"/>
      <c r="I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</row>
    <row r="701" ht="11.25" customHeight="1">
      <c r="A701" s="63"/>
      <c r="B701" s="63"/>
      <c r="C701" s="63"/>
      <c r="D701" s="63"/>
      <c r="E701" s="63"/>
      <c r="F701" s="63"/>
      <c r="G701" s="63"/>
      <c r="H701" s="63"/>
      <c r="I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</row>
    <row r="702" ht="11.25" customHeight="1">
      <c r="A702" s="63"/>
      <c r="B702" s="63"/>
      <c r="C702" s="63"/>
      <c r="D702" s="63"/>
      <c r="E702" s="63"/>
      <c r="F702" s="63"/>
      <c r="G702" s="63"/>
      <c r="H702" s="63"/>
      <c r="I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</row>
    <row r="703" ht="11.25" customHeight="1">
      <c r="A703" s="63"/>
      <c r="B703" s="63"/>
      <c r="C703" s="63"/>
      <c r="D703" s="63"/>
      <c r="E703" s="63"/>
      <c r="F703" s="63"/>
      <c r="G703" s="63"/>
      <c r="H703" s="63"/>
      <c r="I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</row>
    <row r="704" ht="11.25" customHeight="1">
      <c r="A704" s="63"/>
      <c r="B704" s="63"/>
      <c r="C704" s="63"/>
      <c r="D704" s="63"/>
      <c r="E704" s="63"/>
      <c r="F704" s="63"/>
      <c r="G704" s="63"/>
      <c r="H704" s="63"/>
      <c r="I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</row>
    <row r="705" ht="11.25" customHeight="1">
      <c r="A705" s="63"/>
      <c r="B705" s="63"/>
      <c r="C705" s="63"/>
      <c r="D705" s="63"/>
      <c r="E705" s="63"/>
      <c r="F705" s="63"/>
      <c r="G705" s="63"/>
      <c r="H705" s="63"/>
      <c r="I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</row>
    <row r="706" ht="11.25" customHeight="1">
      <c r="A706" s="63"/>
      <c r="B706" s="63"/>
      <c r="C706" s="63"/>
      <c r="D706" s="63"/>
      <c r="E706" s="63"/>
      <c r="F706" s="63"/>
      <c r="G706" s="63"/>
      <c r="H706" s="63"/>
      <c r="I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</row>
    <row r="707" ht="11.25" customHeight="1">
      <c r="A707" s="63"/>
      <c r="B707" s="63"/>
      <c r="C707" s="63"/>
      <c r="D707" s="63"/>
      <c r="E707" s="63"/>
      <c r="F707" s="63"/>
      <c r="G707" s="63"/>
      <c r="H707" s="63"/>
      <c r="I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</row>
    <row r="708" ht="11.25" customHeight="1">
      <c r="A708" s="63"/>
      <c r="B708" s="63"/>
      <c r="C708" s="63"/>
      <c r="D708" s="63"/>
      <c r="E708" s="63"/>
      <c r="F708" s="63"/>
      <c r="G708" s="63"/>
      <c r="H708" s="63"/>
      <c r="I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</row>
    <row r="709" ht="11.25" customHeight="1">
      <c r="A709" s="63"/>
      <c r="B709" s="63"/>
      <c r="C709" s="63"/>
      <c r="D709" s="63"/>
      <c r="E709" s="63"/>
      <c r="F709" s="63"/>
      <c r="G709" s="63"/>
      <c r="H709" s="63"/>
      <c r="I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</row>
    <row r="710" ht="11.25" customHeight="1">
      <c r="A710" s="63"/>
      <c r="B710" s="63"/>
      <c r="C710" s="63"/>
      <c r="D710" s="63"/>
      <c r="E710" s="63"/>
      <c r="F710" s="63"/>
      <c r="G710" s="63"/>
      <c r="H710" s="63"/>
      <c r="I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</row>
    <row r="711" ht="11.25" customHeight="1">
      <c r="A711" s="63"/>
      <c r="B711" s="63"/>
      <c r="C711" s="63"/>
      <c r="D711" s="63"/>
      <c r="E711" s="63"/>
      <c r="F711" s="63"/>
      <c r="G711" s="63"/>
      <c r="H711" s="63"/>
      <c r="I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</row>
    <row r="712" ht="11.25" customHeight="1">
      <c r="A712" s="63"/>
      <c r="B712" s="63"/>
      <c r="C712" s="63"/>
      <c r="D712" s="63"/>
      <c r="E712" s="63"/>
      <c r="F712" s="63"/>
      <c r="G712" s="63"/>
      <c r="H712" s="63"/>
      <c r="I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</row>
    <row r="713" ht="11.25" customHeight="1">
      <c r="A713" s="63"/>
      <c r="B713" s="63"/>
      <c r="C713" s="63"/>
      <c r="D713" s="63"/>
      <c r="E713" s="63"/>
      <c r="F713" s="63"/>
      <c r="G713" s="63"/>
      <c r="H713" s="63"/>
      <c r="I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</row>
    <row r="714" ht="11.25" customHeight="1">
      <c r="A714" s="63"/>
      <c r="B714" s="63"/>
      <c r="C714" s="63"/>
      <c r="D714" s="63"/>
      <c r="E714" s="63"/>
      <c r="F714" s="63"/>
      <c r="G714" s="63"/>
      <c r="H714" s="63"/>
      <c r="I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</row>
    <row r="715" ht="11.25" customHeight="1">
      <c r="A715" s="63"/>
      <c r="B715" s="63"/>
      <c r="C715" s="63"/>
      <c r="D715" s="63"/>
      <c r="E715" s="63"/>
      <c r="F715" s="63"/>
      <c r="G715" s="63"/>
      <c r="H715" s="63"/>
      <c r="I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</row>
    <row r="716" ht="11.25" customHeight="1">
      <c r="A716" s="63"/>
      <c r="B716" s="63"/>
      <c r="C716" s="63"/>
      <c r="D716" s="63"/>
      <c r="E716" s="63"/>
      <c r="F716" s="63"/>
      <c r="G716" s="63"/>
      <c r="H716" s="63"/>
      <c r="I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</row>
    <row r="717" ht="11.25" customHeight="1">
      <c r="A717" s="63"/>
      <c r="B717" s="63"/>
      <c r="C717" s="63"/>
      <c r="D717" s="63"/>
      <c r="E717" s="63"/>
      <c r="F717" s="63"/>
      <c r="G717" s="63"/>
      <c r="H717" s="63"/>
      <c r="I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</row>
    <row r="718" ht="11.25" customHeight="1">
      <c r="A718" s="63"/>
      <c r="B718" s="63"/>
      <c r="C718" s="63"/>
      <c r="D718" s="63"/>
      <c r="E718" s="63"/>
      <c r="F718" s="63"/>
      <c r="G718" s="63"/>
      <c r="H718" s="63"/>
      <c r="I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</row>
    <row r="719" ht="11.25" customHeight="1">
      <c r="A719" s="63"/>
      <c r="B719" s="63"/>
      <c r="C719" s="63"/>
      <c r="D719" s="63"/>
      <c r="E719" s="63"/>
      <c r="F719" s="63"/>
      <c r="G719" s="63"/>
      <c r="H719" s="63"/>
      <c r="I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</row>
    <row r="720" ht="11.25" customHeight="1">
      <c r="A720" s="63"/>
      <c r="B720" s="63"/>
      <c r="C720" s="63"/>
      <c r="D720" s="63"/>
      <c r="E720" s="63"/>
      <c r="F720" s="63"/>
      <c r="G720" s="63"/>
      <c r="H720" s="63"/>
      <c r="I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</row>
    <row r="721" ht="11.25" customHeight="1">
      <c r="A721" s="63"/>
      <c r="B721" s="63"/>
      <c r="C721" s="63"/>
      <c r="D721" s="63"/>
      <c r="E721" s="63"/>
      <c r="F721" s="63"/>
      <c r="G721" s="63"/>
      <c r="H721" s="63"/>
      <c r="I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</row>
    <row r="722" ht="11.25" customHeight="1">
      <c r="A722" s="63"/>
      <c r="B722" s="63"/>
      <c r="C722" s="63"/>
      <c r="D722" s="63"/>
      <c r="E722" s="63"/>
      <c r="F722" s="63"/>
      <c r="G722" s="63"/>
      <c r="H722" s="63"/>
      <c r="I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</row>
    <row r="723" ht="11.25" customHeight="1">
      <c r="A723" s="63"/>
      <c r="B723" s="63"/>
      <c r="C723" s="63"/>
      <c r="D723" s="63"/>
      <c r="E723" s="63"/>
      <c r="F723" s="63"/>
      <c r="G723" s="63"/>
      <c r="H723" s="63"/>
      <c r="I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</row>
    <row r="724" ht="11.25" customHeight="1">
      <c r="A724" s="63"/>
      <c r="B724" s="63"/>
      <c r="C724" s="63"/>
      <c r="D724" s="63"/>
      <c r="E724" s="63"/>
      <c r="F724" s="63"/>
      <c r="G724" s="63"/>
      <c r="H724" s="63"/>
      <c r="I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</row>
    <row r="725" ht="11.25" customHeight="1">
      <c r="A725" s="63"/>
      <c r="B725" s="63"/>
      <c r="C725" s="63"/>
      <c r="D725" s="63"/>
      <c r="E725" s="63"/>
      <c r="F725" s="63"/>
      <c r="G725" s="63"/>
      <c r="H725" s="63"/>
      <c r="I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</row>
    <row r="726" ht="11.25" customHeight="1">
      <c r="A726" s="63"/>
      <c r="B726" s="63"/>
      <c r="C726" s="63"/>
      <c r="D726" s="63"/>
      <c r="E726" s="63"/>
      <c r="F726" s="63"/>
      <c r="G726" s="63"/>
      <c r="H726" s="63"/>
      <c r="I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</row>
    <row r="727" ht="11.25" customHeight="1">
      <c r="A727" s="63"/>
      <c r="B727" s="63"/>
      <c r="C727" s="63"/>
      <c r="D727" s="63"/>
      <c r="E727" s="63"/>
      <c r="F727" s="63"/>
      <c r="G727" s="63"/>
      <c r="H727" s="63"/>
      <c r="I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</row>
    <row r="728" ht="11.25" customHeight="1">
      <c r="A728" s="63"/>
      <c r="B728" s="63"/>
      <c r="C728" s="63"/>
      <c r="D728" s="63"/>
      <c r="E728" s="63"/>
      <c r="F728" s="63"/>
      <c r="G728" s="63"/>
      <c r="H728" s="63"/>
      <c r="I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</row>
    <row r="729" ht="11.25" customHeight="1">
      <c r="A729" s="63"/>
      <c r="B729" s="63"/>
      <c r="C729" s="63"/>
      <c r="D729" s="63"/>
      <c r="E729" s="63"/>
      <c r="F729" s="63"/>
      <c r="G729" s="63"/>
      <c r="H729" s="63"/>
      <c r="I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</row>
    <row r="730" ht="11.25" customHeight="1">
      <c r="A730" s="63"/>
      <c r="B730" s="63"/>
      <c r="C730" s="63"/>
      <c r="D730" s="63"/>
      <c r="E730" s="63"/>
      <c r="F730" s="63"/>
      <c r="G730" s="63"/>
      <c r="H730" s="63"/>
      <c r="I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</row>
    <row r="731" ht="11.25" customHeight="1">
      <c r="A731" s="63"/>
      <c r="B731" s="63"/>
      <c r="C731" s="63"/>
      <c r="D731" s="63"/>
      <c r="E731" s="63"/>
      <c r="F731" s="63"/>
      <c r="G731" s="63"/>
      <c r="H731" s="63"/>
      <c r="I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</row>
    <row r="732" ht="11.25" customHeight="1">
      <c r="A732" s="63"/>
      <c r="B732" s="63"/>
      <c r="C732" s="63"/>
      <c r="D732" s="63"/>
      <c r="E732" s="63"/>
      <c r="F732" s="63"/>
      <c r="G732" s="63"/>
      <c r="H732" s="63"/>
      <c r="I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</row>
    <row r="733" ht="11.25" customHeight="1">
      <c r="A733" s="63"/>
      <c r="B733" s="63"/>
      <c r="C733" s="63"/>
      <c r="D733" s="63"/>
      <c r="E733" s="63"/>
      <c r="F733" s="63"/>
      <c r="G733" s="63"/>
      <c r="H733" s="63"/>
      <c r="I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</row>
    <row r="734" ht="11.25" customHeight="1">
      <c r="A734" s="63"/>
      <c r="B734" s="63"/>
      <c r="C734" s="63"/>
      <c r="D734" s="63"/>
      <c r="E734" s="63"/>
      <c r="F734" s="63"/>
      <c r="G734" s="63"/>
      <c r="H734" s="63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</row>
    <row r="735" ht="11.25" customHeight="1">
      <c r="A735" s="63"/>
      <c r="B735" s="63"/>
      <c r="C735" s="63"/>
      <c r="D735" s="63"/>
      <c r="E735" s="63"/>
      <c r="F735" s="63"/>
      <c r="G735" s="63"/>
      <c r="H735" s="63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</row>
    <row r="736" ht="11.25" customHeight="1">
      <c r="A736" s="63"/>
      <c r="B736" s="63"/>
      <c r="C736" s="63"/>
      <c r="D736" s="63"/>
      <c r="E736" s="63"/>
      <c r="F736" s="63"/>
      <c r="G736" s="63"/>
      <c r="H736" s="63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</row>
    <row r="737" ht="11.25" customHeight="1">
      <c r="A737" s="63"/>
      <c r="B737" s="63"/>
      <c r="C737" s="63"/>
      <c r="D737" s="63"/>
      <c r="E737" s="63"/>
      <c r="F737" s="63"/>
      <c r="G737" s="63"/>
      <c r="H737" s="63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</row>
    <row r="738" ht="11.25" customHeight="1">
      <c r="A738" s="63"/>
      <c r="B738" s="63"/>
      <c r="C738" s="63"/>
      <c r="D738" s="63"/>
      <c r="E738" s="63"/>
      <c r="F738" s="63"/>
      <c r="G738" s="63"/>
      <c r="H738" s="63"/>
      <c r="I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</row>
    <row r="739" ht="11.25" customHeight="1">
      <c r="A739" s="63"/>
      <c r="B739" s="63"/>
      <c r="C739" s="63"/>
      <c r="D739" s="63"/>
      <c r="E739" s="63"/>
      <c r="F739" s="63"/>
      <c r="G739" s="63"/>
      <c r="H739" s="63"/>
      <c r="I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</row>
    <row r="740" ht="11.25" customHeight="1">
      <c r="A740" s="63"/>
      <c r="B740" s="63"/>
      <c r="C740" s="63"/>
      <c r="D740" s="63"/>
      <c r="E740" s="63"/>
      <c r="F740" s="63"/>
      <c r="G740" s="63"/>
      <c r="H740" s="63"/>
      <c r="I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</row>
    <row r="741" ht="11.25" customHeight="1">
      <c r="A741" s="63"/>
      <c r="B741" s="63"/>
      <c r="C741" s="63"/>
      <c r="D741" s="63"/>
      <c r="E741" s="63"/>
      <c r="F741" s="63"/>
      <c r="G741" s="63"/>
      <c r="H741" s="63"/>
      <c r="I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</row>
    <row r="742" ht="11.25" customHeight="1">
      <c r="A742" s="63"/>
      <c r="B742" s="63"/>
      <c r="C742" s="63"/>
      <c r="D742" s="63"/>
      <c r="E742" s="63"/>
      <c r="F742" s="63"/>
      <c r="G742" s="63"/>
      <c r="H742" s="63"/>
      <c r="I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</row>
    <row r="743" ht="11.25" customHeight="1">
      <c r="A743" s="63"/>
      <c r="B743" s="63"/>
      <c r="C743" s="63"/>
      <c r="D743" s="63"/>
      <c r="E743" s="63"/>
      <c r="F743" s="63"/>
      <c r="G743" s="63"/>
      <c r="H743" s="63"/>
      <c r="I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</row>
    <row r="744" ht="11.25" customHeight="1">
      <c r="A744" s="63"/>
      <c r="B744" s="63"/>
      <c r="C744" s="63"/>
      <c r="D744" s="63"/>
      <c r="E744" s="63"/>
      <c r="F744" s="63"/>
      <c r="G744" s="63"/>
      <c r="H744" s="63"/>
      <c r="I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</row>
    <row r="745" ht="11.25" customHeight="1">
      <c r="A745" s="63"/>
      <c r="B745" s="63"/>
      <c r="C745" s="63"/>
      <c r="D745" s="63"/>
      <c r="E745" s="63"/>
      <c r="F745" s="63"/>
      <c r="G745" s="63"/>
      <c r="H745" s="63"/>
      <c r="I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</row>
    <row r="746" ht="11.25" customHeight="1">
      <c r="A746" s="63"/>
      <c r="B746" s="63"/>
      <c r="C746" s="63"/>
      <c r="D746" s="63"/>
      <c r="E746" s="63"/>
      <c r="F746" s="63"/>
      <c r="G746" s="63"/>
      <c r="H746" s="63"/>
      <c r="I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</row>
    <row r="747" ht="11.25" customHeight="1">
      <c r="A747" s="63"/>
      <c r="B747" s="63"/>
      <c r="C747" s="63"/>
      <c r="D747" s="63"/>
      <c r="E747" s="63"/>
      <c r="F747" s="63"/>
      <c r="G747" s="63"/>
      <c r="H747" s="63"/>
      <c r="I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</row>
    <row r="748" ht="11.25" customHeight="1">
      <c r="A748" s="63"/>
      <c r="B748" s="63"/>
      <c r="C748" s="63"/>
      <c r="D748" s="63"/>
      <c r="E748" s="63"/>
      <c r="F748" s="63"/>
      <c r="G748" s="63"/>
      <c r="H748" s="63"/>
      <c r="I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</row>
    <row r="749" ht="11.25" customHeight="1">
      <c r="A749" s="63"/>
      <c r="B749" s="63"/>
      <c r="C749" s="63"/>
      <c r="D749" s="63"/>
      <c r="E749" s="63"/>
      <c r="F749" s="63"/>
      <c r="G749" s="63"/>
      <c r="H749" s="63"/>
      <c r="I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</row>
    <row r="750" ht="11.25" customHeight="1">
      <c r="A750" s="63"/>
      <c r="B750" s="63"/>
      <c r="C750" s="63"/>
      <c r="D750" s="63"/>
      <c r="E750" s="63"/>
      <c r="F750" s="63"/>
      <c r="G750" s="63"/>
      <c r="H750" s="63"/>
      <c r="I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</row>
    <row r="751" ht="11.25" customHeight="1">
      <c r="A751" s="63"/>
      <c r="B751" s="63"/>
      <c r="C751" s="63"/>
      <c r="D751" s="63"/>
      <c r="E751" s="63"/>
      <c r="F751" s="63"/>
      <c r="G751" s="63"/>
      <c r="H751" s="63"/>
      <c r="I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</row>
    <row r="752" ht="11.25" customHeight="1">
      <c r="A752" s="63"/>
      <c r="B752" s="63"/>
      <c r="C752" s="63"/>
      <c r="D752" s="63"/>
      <c r="E752" s="63"/>
      <c r="F752" s="63"/>
      <c r="G752" s="63"/>
      <c r="H752" s="63"/>
      <c r="I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</row>
    <row r="753" ht="11.25" customHeight="1">
      <c r="A753" s="63"/>
      <c r="B753" s="63"/>
      <c r="C753" s="63"/>
      <c r="D753" s="63"/>
      <c r="E753" s="63"/>
      <c r="F753" s="63"/>
      <c r="G753" s="63"/>
      <c r="H753" s="63"/>
      <c r="I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</row>
    <row r="754" ht="11.25" customHeight="1">
      <c r="A754" s="63"/>
      <c r="B754" s="63"/>
      <c r="C754" s="63"/>
      <c r="D754" s="63"/>
      <c r="E754" s="63"/>
      <c r="F754" s="63"/>
      <c r="G754" s="63"/>
      <c r="H754" s="63"/>
      <c r="I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</row>
    <row r="755" ht="11.25" customHeight="1">
      <c r="A755" s="63"/>
      <c r="B755" s="63"/>
      <c r="C755" s="63"/>
      <c r="D755" s="63"/>
      <c r="E755" s="63"/>
      <c r="F755" s="63"/>
      <c r="G755" s="63"/>
      <c r="H755" s="63"/>
      <c r="I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</row>
    <row r="756" ht="11.25" customHeight="1">
      <c r="A756" s="63"/>
      <c r="B756" s="63"/>
      <c r="C756" s="63"/>
      <c r="D756" s="63"/>
      <c r="E756" s="63"/>
      <c r="F756" s="63"/>
      <c r="G756" s="63"/>
      <c r="H756" s="63"/>
      <c r="I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</row>
    <row r="757" ht="11.25" customHeight="1">
      <c r="A757" s="63"/>
      <c r="B757" s="63"/>
      <c r="C757" s="63"/>
      <c r="D757" s="63"/>
      <c r="E757" s="63"/>
      <c r="F757" s="63"/>
      <c r="G757" s="63"/>
      <c r="H757" s="63"/>
      <c r="I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</row>
    <row r="758" ht="11.25" customHeight="1">
      <c r="A758" s="63"/>
      <c r="B758" s="63"/>
      <c r="C758" s="63"/>
      <c r="D758" s="63"/>
      <c r="E758" s="63"/>
      <c r="F758" s="63"/>
      <c r="G758" s="63"/>
      <c r="H758" s="63"/>
      <c r="I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</row>
    <row r="759" ht="11.25" customHeight="1">
      <c r="A759" s="63"/>
      <c r="B759" s="63"/>
      <c r="C759" s="63"/>
      <c r="D759" s="63"/>
      <c r="E759" s="63"/>
      <c r="F759" s="63"/>
      <c r="G759" s="63"/>
      <c r="H759" s="63"/>
      <c r="I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</row>
    <row r="760" ht="11.25" customHeight="1">
      <c r="A760" s="63"/>
      <c r="B760" s="63"/>
      <c r="C760" s="63"/>
      <c r="D760" s="63"/>
      <c r="E760" s="63"/>
      <c r="F760" s="63"/>
      <c r="G760" s="63"/>
      <c r="H760" s="63"/>
      <c r="I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</row>
    <row r="761" ht="11.25" customHeight="1">
      <c r="A761" s="63"/>
      <c r="B761" s="63"/>
      <c r="C761" s="63"/>
      <c r="D761" s="63"/>
      <c r="E761" s="63"/>
      <c r="F761" s="63"/>
      <c r="G761" s="63"/>
      <c r="H761" s="63"/>
      <c r="I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</row>
    <row r="762" ht="11.25" customHeight="1">
      <c r="A762" s="63"/>
      <c r="B762" s="63"/>
      <c r="C762" s="63"/>
      <c r="D762" s="63"/>
      <c r="E762" s="63"/>
      <c r="F762" s="63"/>
      <c r="G762" s="63"/>
      <c r="H762" s="63"/>
      <c r="I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</row>
    <row r="763" ht="11.25" customHeight="1">
      <c r="A763" s="63"/>
      <c r="B763" s="63"/>
      <c r="C763" s="63"/>
      <c r="D763" s="63"/>
      <c r="E763" s="63"/>
      <c r="F763" s="63"/>
      <c r="G763" s="63"/>
      <c r="H763" s="63"/>
      <c r="I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</row>
    <row r="764" ht="11.25" customHeight="1">
      <c r="A764" s="63"/>
      <c r="B764" s="63"/>
      <c r="C764" s="63"/>
      <c r="D764" s="63"/>
      <c r="E764" s="63"/>
      <c r="F764" s="63"/>
      <c r="G764" s="63"/>
      <c r="H764" s="63"/>
      <c r="I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</row>
    <row r="765" ht="11.25" customHeight="1">
      <c r="A765" s="63"/>
      <c r="B765" s="63"/>
      <c r="C765" s="63"/>
      <c r="D765" s="63"/>
      <c r="E765" s="63"/>
      <c r="F765" s="63"/>
      <c r="G765" s="63"/>
      <c r="H765" s="63"/>
      <c r="I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</row>
    <row r="766" ht="11.25" customHeight="1">
      <c r="A766" s="63"/>
      <c r="B766" s="63"/>
      <c r="C766" s="63"/>
      <c r="D766" s="63"/>
      <c r="E766" s="63"/>
      <c r="F766" s="63"/>
      <c r="G766" s="63"/>
      <c r="H766" s="63"/>
      <c r="I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</row>
    <row r="767" ht="11.25" customHeight="1">
      <c r="A767" s="63"/>
      <c r="B767" s="63"/>
      <c r="C767" s="63"/>
      <c r="D767" s="63"/>
      <c r="E767" s="63"/>
      <c r="F767" s="63"/>
      <c r="G767" s="63"/>
      <c r="H767" s="63"/>
      <c r="I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</row>
    <row r="768" ht="11.25" customHeight="1">
      <c r="A768" s="63"/>
      <c r="B768" s="63"/>
      <c r="C768" s="63"/>
      <c r="D768" s="63"/>
      <c r="E768" s="63"/>
      <c r="F768" s="63"/>
      <c r="G768" s="63"/>
      <c r="H768" s="63"/>
      <c r="I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</row>
    <row r="769" ht="11.25" customHeight="1">
      <c r="A769" s="63"/>
      <c r="B769" s="63"/>
      <c r="C769" s="63"/>
      <c r="D769" s="63"/>
      <c r="E769" s="63"/>
      <c r="F769" s="63"/>
      <c r="G769" s="63"/>
      <c r="H769" s="63"/>
      <c r="I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</row>
    <row r="770" ht="11.25" customHeight="1">
      <c r="A770" s="63"/>
      <c r="B770" s="63"/>
      <c r="C770" s="63"/>
      <c r="D770" s="63"/>
      <c r="E770" s="63"/>
      <c r="F770" s="63"/>
      <c r="G770" s="63"/>
      <c r="H770" s="63"/>
      <c r="I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</row>
    <row r="771" ht="11.25" customHeight="1">
      <c r="A771" s="63"/>
      <c r="B771" s="63"/>
      <c r="C771" s="63"/>
      <c r="D771" s="63"/>
      <c r="E771" s="63"/>
      <c r="F771" s="63"/>
      <c r="G771" s="63"/>
      <c r="H771" s="63"/>
      <c r="I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</row>
    <row r="772" ht="11.25" customHeight="1">
      <c r="A772" s="63"/>
      <c r="B772" s="63"/>
      <c r="C772" s="63"/>
      <c r="D772" s="63"/>
      <c r="E772" s="63"/>
      <c r="F772" s="63"/>
      <c r="G772" s="63"/>
      <c r="H772" s="63"/>
      <c r="I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</row>
    <row r="773" ht="11.25" customHeight="1">
      <c r="A773" s="63"/>
      <c r="B773" s="63"/>
      <c r="C773" s="63"/>
      <c r="D773" s="63"/>
      <c r="E773" s="63"/>
      <c r="F773" s="63"/>
      <c r="G773" s="63"/>
      <c r="H773" s="63"/>
      <c r="I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</row>
    <row r="774" ht="11.25" customHeight="1">
      <c r="A774" s="63"/>
      <c r="B774" s="63"/>
      <c r="C774" s="63"/>
      <c r="D774" s="63"/>
      <c r="E774" s="63"/>
      <c r="F774" s="63"/>
      <c r="G774" s="63"/>
      <c r="H774" s="63"/>
      <c r="I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</row>
    <row r="775" ht="11.25" customHeight="1">
      <c r="A775" s="63"/>
      <c r="B775" s="63"/>
      <c r="C775" s="63"/>
      <c r="D775" s="63"/>
      <c r="E775" s="63"/>
      <c r="F775" s="63"/>
      <c r="G775" s="63"/>
      <c r="H775" s="63"/>
      <c r="I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</row>
    <row r="776" ht="11.25" customHeight="1">
      <c r="A776" s="63"/>
      <c r="B776" s="63"/>
      <c r="C776" s="63"/>
      <c r="D776" s="63"/>
      <c r="E776" s="63"/>
      <c r="F776" s="63"/>
      <c r="G776" s="63"/>
      <c r="H776" s="63"/>
      <c r="I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</row>
    <row r="777" ht="11.25" customHeight="1">
      <c r="A777" s="63"/>
      <c r="B777" s="63"/>
      <c r="C777" s="63"/>
      <c r="D777" s="63"/>
      <c r="E777" s="63"/>
      <c r="F777" s="63"/>
      <c r="G777" s="63"/>
      <c r="H777" s="63"/>
      <c r="I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</row>
    <row r="778" ht="11.25" customHeight="1">
      <c r="A778" s="63"/>
      <c r="B778" s="63"/>
      <c r="C778" s="63"/>
      <c r="D778" s="63"/>
      <c r="E778" s="63"/>
      <c r="F778" s="63"/>
      <c r="G778" s="63"/>
      <c r="H778" s="63"/>
      <c r="I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</row>
    <row r="779" ht="11.25" customHeight="1">
      <c r="A779" s="63"/>
      <c r="B779" s="63"/>
      <c r="C779" s="63"/>
      <c r="D779" s="63"/>
      <c r="E779" s="63"/>
      <c r="F779" s="63"/>
      <c r="G779" s="63"/>
      <c r="H779" s="63"/>
      <c r="I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</row>
    <row r="780" ht="11.25" customHeight="1">
      <c r="A780" s="63"/>
      <c r="B780" s="63"/>
      <c r="C780" s="63"/>
      <c r="D780" s="63"/>
      <c r="E780" s="63"/>
      <c r="F780" s="63"/>
      <c r="G780" s="63"/>
      <c r="H780" s="63"/>
      <c r="I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</row>
    <row r="781" ht="11.25" customHeight="1">
      <c r="A781" s="63"/>
      <c r="B781" s="63"/>
      <c r="C781" s="63"/>
      <c r="D781" s="63"/>
      <c r="E781" s="63"/>
      <c r="F781" s="63"/>
      <c r="G781" s="63"/>
      <c r="H781" s="63"/>
      <c r="I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</row>
    <row r="782" ht="11.25" customHeight="1">
      <c r="A782" s="63"/>
      <c r="B782" s="63"/>
      <c r="C782" s="63"/>
      <c r="D782" s="63"/>
      <c r="E782" s="63"/>
      <c r="F782" s="63"/>
      <c r="G782" s="63"/>
      <c r="H782" s="63"/>
      <c r="I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</row>
    <row r="783" ht="11.25" customHeight="1">
      <c r="A783" s="63"/>
      <c r="B783" s="63"/>
      <c r="C783" s="63"/>
      <c r="D783" s="63"/>
      <c r="E783" s="63"/>
      <c r="F783" s="63"/>
      <c r="G783" s="63"/>
      <c r="H783" s="63"/>
      <c r="I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</row>
    <row r="784" ht="11.25" customHeight="1">
      <c r="A784" s="63"/>
      <c r="B784" s="63"/>
      <c r="C784" s="63"/>
      <c r="D784" s="63"/>
      <c r="E784" s="63"/>
      <c r="F784" s="63"/>
      <c r="G784" s="63"/>
      <c r="H784" s="63"/>
      <c r="I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</row>
    <row r="785" ht="11.25" customHeight="1">
      <c r="A785" s="63"/>
      <c r="B785" s="63"/>
      <c r="C785" s="63"/>
      <c r="D785" s="63"/>
      <c r="E785" s="63"/>
      <c r="F785" s="63"/>
      <c r="G785" s="63"/>
      <c r="H785" s="63"/>
      <c r="I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</row>
    <row r="786" ht="11.25" customHeight="1">
      <c r="A786" s="63"/>
      <c r="B786" s="63"/>
      <c r="C786" s="63"/>
      <c r="D786" s="63"/>
      <c r="E786" s="63"/>
      <c r="F786" s="63"/>
      <c r="G786" s="63"/>
      <c r="H786" s="63"/>
      <c r="I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</row>
    <row r="787" ht="11.25" customHeight="1">
      <c r="A787" s="63"/>
      <c r="B787" s="63"/>
      <c r="C787" s="63"/>
      <c r="D787" s="63"/>
      <c r="E787" s="63"/>
      <c r="F787" s="63"/>
      <c r="G787" s="63"/>
      <c r="H787" s="63"/>
      <c r="I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</row>
    <row r="788" ht="11.25" customHeight="1">
      <c r="A788" s="63"/>
      <c r="B788" s="63"/>
      <c r="C788" s="63"/>
      <c r="D788" s="63"/>
      <c r="E788" s="63"/>
      <c r="F788" s="63"/>
      <c r="G788" s="63"/>
      <c r="H788" s="63"/>
      <c r="I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</row>
    <row r="789" ht="11.25" customHeight="1">
      <c r="A789" s="63"/>
      <c r="B789" s="63"/>
      <c r="C789" s="63"/>
      <c r="D789" s="63"/>
      <c r="E789" s="63"/>
      <c r="F789" s="63"/>
      <c r="G789" s="63"/>
      <c r="H789" s="63"/>
      <c r="I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</row>
    <row r="790" ht="11.25" customHeight="1">
      <c r="A790" s="63"/>
      <c r="B790" s="63"/>
      <c r="C790" s="63"/>
      <c r="D790" s="63"/>
      <c r="E790" s="63"/>
      <c r="F790" s="63"/>
      <c r="G790" s="63"/>
      <c r="H790" s="63"/>
      <c r="I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</row>
    <row r="791" ht="11.25" customHeight="1">
      <c r="A791" s="63"/>
      <c r="B791" s="63"/>
      <c r="C791" s="63"/>
      <c r="D791" s="63"/>
      <c r="E791" s="63"/>
      <c r="F791" s="63"/>
      <c r="G791" s="63"/>
      <c r="H791" s="63"/>
      <c r="I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</row>
    <row r="792" ht="11.25" customHeight="1">
      <c r="A792" s="63"/>
      <c r="B792" s="63"/>
      <c r="C792" s="63"/>
      <c r="D792" s="63"/>
      <c r="E792" s="63"/>
      <c r="F792" s="63"/>
      <c r="G792" s="63"/>
      <c r="H792" s="63"/>
      <c r="I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</row>
    <row r="793" ht="11.25" customHeight="1">
      <c r="A793" s="63"/>
      <c r="B793" s="63"/>
      <c r="C793" s="63"/>
      <c r="D793" s="63"/>
      <c r="E793" s="63"/>
      <c r="F793" s="63"/>
      <c r="G793" s="63"/>
      <c r="H793" s="63"/>
      <c r="I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</row>
    <row r="794" ht="11.25" customHeight="1">
      <c r="A794" s="63"/>
      <c r="B794" s="63"/>
      <c r="C794" s="63"/>
      <c r="D794" s="63"/>
      <c r="E794" s="63"/>
      <c r="F794" s="63"/>
      <c r="G794" s="63"/>
      <c r="H794" s="63"/>
      <c r="I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</row>
    <row r="795" ht="11.25" customHeight="1">
      <c r="A795" s="63"/>
      <c r="B795" s="63"/>
      <c r="C795" s="63"/>
      <c r="D795" s="63"/>
      <c r="E795" s="63"/>
      <c r="F795" s="63"/>
      <c r="G795" s="63"/>
      <c r="H795" s="63"/>
      <c r="I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</row>
    <row r="796" ht="11.25" customHeight="1">
      <c r="A796" s="63"/>
      <c r="B796" s="63"/>
      <c r="C796" s="63"/>
      <c r="D796" s="63"/>
      <c r="E796" s="63"/>
      <c r="F796" s="63"/>
      <c r="G796" s="63"/>
      <c r="H796" s="63"/>
      <c r="I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</row>
    <row r="797" ht="11.25" customHeight="1">
      <c r="A797" s="63"/>
      <c r="B797" s="63"/>
      <c r="C797" s="63"/>
      <c r="D797" s="63"/>
      <c r="E797" s="63"/>
      <c r="F797" s="63"/>
      <c r="G797" s="63"/>
      <c r="H797" s="63"/>
      <c r="I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</row>
    <row r="798" ht="11.25" customHeight="1">
      <c r="A798" s="63"/>
      <c r="B798" s="63"/>
      <c r="C798" s="63"/>
      <c r="D798" s="63"/>
      <c r="E798" s="63"/>
      <c r="F798" s="63"/>
      <c r="G798" s="63"/>
      <c r="H798" s="63"/>
      <c r="I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</row>
    <row r="799" ht="11.25" customHeight="1">
      <c r="A799" s="63"/>
      <c r="B799" s="63"/>
      <c r="C799" s="63"/>
      <c r="D799" s="63"/>
      <c r="E799" s="63"/>
      <c r="F799" s="63"/>
      <c r="G799" s="63"/>
      <c r="H799" s="63"/>
      <c r="I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</row>
    <row r="800" ht="11.25" customHeight="1">
      <c r="A800" s="63"/>
      <c r="B800" s="63"/>
      <c r="C800" s="63"/>
      <c r="D800" s="63"/>
      <c r="E800" s="63"/>
      <c r="F800" s="63"/>
      <c r="G800" s="63"/>
      <c r="H800" s="63"/>
      <c r="I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</row>
    <row r="801" ht="11.25" customHeight="1">
      <c r="A801" s="63"/>
      <c r="B801" s="63"/>
      <c r="C801" s="63"/>
      <c r="D801" s="63"/>
      <c r="E801" s="63"/>
      <c r="F801" s="63"/>
      <c r="G801" s="63"/>
      <c r="H801" s="63"/>
      <c r="I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</row>
    <row r="802" ht="11.25" customHeight="1">
      <c r="A802" s="63"/>
      <c r="B802" s="63"/>
      <c r="C802" s="63"/>
      <c r="D802" s="63"/>
      <c r="E802" s="63"/>
      <c r="F802" s="63"/>
      <c r="G802" s="63"/>
      <c r="H802" s="63"/>
      <c r="I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</row>
    <row r="803" ht="11.25" customHeight="1">
      <c r="A803" s="63"/>
      <c r="B803" s="63"/>
      <c r="C803" s="63"/>
      <c r="D803" s="63"/>
      <c r="E803" s="63"/>
      <c r="F803" s="63"/>
      <c r="G803" s="63"/>
      <c r="H803" s="63"/>
      <c r="I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</row>
    <row r="804" ht="11.25" customHeight="1">
      <c r="A804" s="63"/>
      <c r="B804" s="63"/>
      <c r="C804" s="63"/>
      <c r="D804" s="63"/>
      <c r="E804" s="63"/>
      <c r="F804" s="63"/>
      <c r="G804" s="63"/>
      <c r="H804" s="63"/>
      <c r="I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</row>
    <row r="805" ht="11.25" customHeight="1">
      <c r="A805" s="63"/>
      <c r="B805" s="63"/>
      <c r="C805" s="63"/>
      <c r="D805" s="63"/>
      <c r="E805" s="63"/>
      <c r="F805" s="63"/>
      <c r="G805" s="63"/>
      <c r="H805" s="63"/>
      <c r="I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</row>
    <row r="806" ht="11.25" customHeight="1">
      <c r="A806" s="63"/>
      <c r="B806" s="63"/>
      <c r="C806" s="63"/>
      <c r="D806" s="63"/>
      <c r="E806" s="63"/>
      <c r="F806" s="63"/>
      <c r="G806" s="63"/>
      <c r="H806" s="63"/>
      <c r="I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</row>
    <row r="807" ht="11.25" customHeight="1">
      <c r="A807" s="63"/>
      <c r="B807" s="63"/>
      <c r="C807" s="63"/>
      <c r="D807" s="63"/>
      <c r="E807" s="63"/>
      <c r="F807" s="63"/>
      <c r="G807" s="63"/>
      <c r="H807" s="63"/>
      <c r="I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</row>
    <row r="808" ht="11.25" customHeight="1">
      <c r="A808" s="63"/>
      <c r="B808" s="63"/>
      <c r="C808" s="63"/>
      <c r="D808" s="63"/>
      <c r="E808" s="63"/>
      <c r="F808" s="63"/>
      <c r="G808" s="63"/>
      <c r="H808" s="63"/>
      <c r="I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</row>
    <row r="809" ht="11.25" customHeight="1">
      <c r="A809" s="63"/>
      <c r="B809" s="63"/>
      <c r="C809" s="63"/>
      <c r="D809" s="63"/>
      <c r="E809" s="63"/>
      <c r="F809" s="63"/>
      <c r="G809" s="63"/>
      <c r="H809" s="63"/>
      <c r="I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</row>
    <row r="810" ht="11.25" customHeight="1">
      <c r="A810" s="63"/>
      <c r="B810" s="63"/>
      <c r="C810" s="63"/>
      <c r="D810" s="63"/>
      <c r="E810" s="63"/>
      <c r="F810" s="63"/>
      <c r="G810" s="63"/>
      <c r="H810" s="63"/>
      <c r="I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</row>
    <row r="811" ht="11.25" customHeight="1">
      <c r="A811" s="63"/>
      <c r="B811" s="63"/>
      <c r="C811" s="63"/>
      <c r="D811" s="63"/>
      <c r="E811" s="63"/>
      <c r="F811" s="63"/>
      <c r="G811" s="63"/>
      <c r="H811" s="63"/>
      <c r="I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</row>
    <row r="812" ht="11.25" customHeight="1">
      <c r="A812" s="63"/>
      <c r="B812" s="63"/>
      <c r="C812" s="63"/>
      <c r="D812" s="63"/>
      <c r="E812" s="63"/>
      <c r="F812" s="63"/>
      <c r="G812" s="63"/>
      <c r="H812" s="63"/>
      <c r="I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</row>
    <row r="813" ht="11.25" customHeight="1">
      <c r="A813" s="63"/>
      <c r="B813" s="63"/>
      <c r="C813" s="63"/>
      <c r="D813" s="63"/>
      <c r="E813" s="63"/>
      <c r="F813" s="63"/>
      <c r="G813" s="63"/>
      <c r="H813" s="63"/>
      <c r="I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</row>
    <row r="814" ht="11.25" customHeight="1">
      <c r="A814" s="63"/>
      <c r="B814" s="63"/>
      <c r="C814" s="63"/>
      <c r="D814" s="63"/>
      <c r="E814" s="63"/>
      <c r="F814" s="63"/>
      <c r="G814" s="63"/>
      <c r="H814" s="63"/>
      <c r="I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</row>
    <row r="815" ht="11.25" customHeight="1">
      <c r="A815" s="63"/>
      <c r="B815" s="63"/>
      <c r="C815" s="63"/>
      <c r="D815" s="63"/>
      <c r="E815" s="63"/>
      <c r="F815" s="63"/>
      <c r="G815" s="63"/>
      <c r="H815" s="63"/>
      <c r="I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</row>
    <row r="816" ht="11.25" customHeight="1">
      <c r="A816" s="63"/>
      <c r="B816" s="63"/>
      <c r="C816" s="63"/>
      <c r="D816" s="63"/>
      <c r="E816" s="63"/>
      <c r="F816" s="63"/>
      <c r="G816" s="63"/>
      <c r="H816" s="63"/>
      <c r="I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</row>
    <row r="817" ht="11.25" customHeight="1">
      <c r="A817" s="63"/>
      <c r="B817" s="63"/>
      <c r="C817" s="63"/>
      <c r="D817" s="63"/>
      <c r="E817" s="63"/>
      <c r="F817" s="63"/>
      <c r="G817" s="63"/>
      <c r="H817" s="63"/>
      <c r="I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</row>
    <row r="818" ht="11.25" customHeight="1">
      <c r="A818" s="63"/>
      <c r="B818" s="63"/>
      <c r="C818" s="63"/>
      <c r="D818" s="63"/>
      <c r="E818" s="63"/>
      <c r="F818" s="63"/>
      <c r="G818" s="63"/>
      <c r="H818" s="63"/>
      <c r="I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</row>
    <row r="819" ht="11.25" customHeight="1">
      <c r="A819" s="63"/>
      <c r="B819" s="63"/>
      <c r="C819" s="63"/>
      <c r="D819" s="63"/>
      <c r="E819" s="63"/>
      <c r="F819" s="63"/>
      <c r="G819" s="63"/>
      <c r="H819" s="63"/>
      <c r="I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</row>
    <row r="820" ht="11.25" customHeight="1">
      <c r="A820" s="63"/>
      <c r="B820" s="63"/>
      <c r="C820" s="63"/>
      <c r="D820" s="63"/>
      <c r="E820" s="63"/>
      <c r="F820" s="63"/>
      <c r="G820" s="63"/>
      <c r="H820" s="63"/>
      <c r="I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</row>
    <row r="821" ht="11.25" customHeight="1">
      <c r="A821" s="63"/>
      <c r="B821" s="63"/>
      <c r="C821" s="63"/>
      <c r="D821" s="63"/>
      <c r="E821" s="63"/>
      <c r="F821" s="63"/>
      <c r="G821" s="63"/>
      <c r="H821" s="63"/>
      <c r="I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</row>
    <row r="822" ht="11.25" customHeight="1">
      <c r="A822" s="63"/>
      <c r="B822" s="63"/>
      <c r="C822" s="63"/>
      <c r="D822" s="63"/>
      <c r="E822" s="63"/>
      <c r="F822" s="63"/>
      <c r="G822" s="63"/>
      <c r="H822" s="63"/>
      <c r="I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</row>
    <row r="823" ht="11.25" customHeight="1">
      <c r="A823" s="63"/>
      <c r="B823" s="63"/>
      <c r="C823" s="63"/>
      <c r="D823" s="63"/>
      <c r="E823" s="63"/>
      <c r="F823" s="63"/>
      <c r="G823" s="63"/>
      <c r="H823" s="63"/>
      <c r="I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</row>
    <row r="824" ht="11.25" customHeight="1">
      <c r="A824" s="63"/>
      <c r="B824" s="63"/>
      <c r="C824" s="63"/>
      <c r="D824" s="63"/>
      <c r="E824" s="63"/>
      <c r="F824" s="63"/>
      <c r="G824" s="63"/>
      <c r="H824" s="63"/>
      <c r="I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</row>
    <row r="825" ht="11.25" customHeight="1">
      <c r="A825" s="63"/>
      <c r="B825" s="63"/>
      <c r="C825" s="63"/>
      <c r="D825" s="63"/>
      <c r="E825" s="63"/>
      <c r="F825" s="63"/>
      <c r="G825" s="63"/>
      <c r="H825" s="63"/>
      <c r="I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</row>
    <row r="826" ht="11.25" customHeight="1">
      <c r="A826" s="63"/>
      <c r="B826" s="63"/>
      <c r="C826" s="63"/>
      <c r="D826" s="63"/>
      <c r="E826" s="63"/>
      <c r="F826" s="63"/>
      <c r="G826" s="63"/>
      <c r="H826" s="63"/>
      <c r="I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</row>
    <row r="827" ht="11.25" customHeight="1">
      <c r="A827" s="63"/>
      <c r="B827" s="63"/>
      <c r="C827" s="63"/>
      <c r="D827" s="63"/>
      <c r="E827" s="63"/>
      <c r="F827" s="63"/>
      <c r="G827" s="63"/>
      <c r="H827" s="63"/>
      <c r="I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</row>
    <row r="828" ht="11.25" customHeight="1">
      <c r="A828" s="63"/>
      <c r="B828" s="63"/>
      <c r="C828" s="63"/>
      <c r="D828" s="63"/>
      <c r="E828" s="63"/>
      <c r="F828" s="63"/>
      <c r="G828" s="63"/>
      <c r="H828" s="63"/>
      <c r="I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</row>
    <row r="829" ht="11.25" customHeight="1">
      <c r="A829" s="63"/>
      <c r="B829" s="63"/>
      <c r="C829" s="63"/>
      <c r="D829" s="63"/>
      <c r="E829" s="63"/>
      <c r="F829" s="63"/>
      <c r="G829" s="63"/>
      <c r="H829" s="63"/>
      <c r="I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</row>
    <row r="830" ht="11.25" customHeight="1">
      <c r="A830" s="63"/>
      <c r="B830" s="63"/>
      <c r="C830" s="63"/>
      <c r="D830" s="63"/>
      <c r="E830" s="63"/>
      <c r="F830" s="63"/>
      <c r="G830" s="63"/>
      <c r="H830" s="63"/>
      <c r="I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</row>
    <row r="831" ht="11.25" customHeight="1">
      <c r="A831" s="63"/>
      <c r="B831" s="63"/>
      <c r="C831" s="63"/>
      <c r="D831" s="63"/>
      <c r="E831" s="63"/>
      <c r="F831" s="63"/>
      <c r="G831" s="63"/>
      <c r="H831" s="63"/>
      <c r="I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</row>
    <row r="832" ht="11.25" customHeight="1">
      <c r="A832" s="63"/>
      <c r="B832" s="63"/>
      <c r="C832" s="63"/>
      <c r="D832" s="63"/>
      <c r="E832" s="63"/>
      <c r="F832" s="63"/>
      <c r="G832" s="63"/>
      <c r="H832" s="63"/>
      <c r="I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</row>
    <row r="833" ht="11.25" customHeight="1">
      <c r="A833" s="63"/>
      <c r="B833" s="63"/>
      <c r="C833" s="63"/>
      <c r="D833" s="63"/>
      <c r="E833" s="63"/>
      <c r="F833" s="63"/>
      <c r="G833" s="63"/>
      <c r="H833" s="63"/>
      <c r="I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</row>
    <row r="834" ht="11.25" customHeight="1">
      <c r="A834" s="63"/>
      <c r="B834" s="63"/>
      <c r="C834" s="63"/>
      <c r="D834" s="63"/>
      <c r="E834" s="63"/>
      <c r="F834" s="63"/>
      <c r="G834" s="63"/>
      <c r="H834" s="63"/>
      <c r="I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</row>
    <row r="835" ht="11.25" customHeight="1">
      <c r="A835" s="63"/>
      <c r="B835" s="63"/>
      <c r="C835" s="63"/>
      <c r="D835" s="63"/>
      <c r="E835" s="63"/>
      <c r="F835" s="63"/>
      <c r="G835" s="63"/>
      <c r="H835" s="63"/>
      <c r="I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</row>
    <row r="836" ht="11.25" customHeight="1">
      <c r="A836" s="63"/>
      <c r="B836" s="63"/>
      <c r="C836" s="63"/>
      <c r="D836" s="63"/>
      <c r="E836" s="63"/>
      <c r="F836" s="63"/>
      <c r="G836" s="63"/>
      <c r="H836" s="63"/>
      <c r="I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</row>
    <row r="837" ht="11.25" customHeight="1">
      <c r="A837" s="63"/>
      <c r="B837" s="63"/>
      <c r="C837" s="63"/>
      <c r="D837" s="63"/>
      <c r="E837" s="63"/>
      <c r="F837" s="63"/>
      <c r="G837" s="63"/>
      <c r="H837" s="63"/>
      <c r="I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</row>
    <row r="838" ht="11.25" customHeight="1">
      <c r="A838" s="63"/>
      <c r="B838" s="63"/>
      <c r="C838" s="63"/>
      <c r="D838" s="63"/>
      <c r="E838" s="63"/>
      <c r="F838" s="63"/>
      <c r="G838" s="63"/>
      <c r="H838" s="63"/>
      <c r="I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</row>
    <row r="839" ht="11.25" customHeight="1">
      <c r="A839" s="63"/>
      <c r="B839" s="63"/>
      <c r="C839" s="63"/>
      <c r="D839" s="63"/>
      <c r="E839" s="63"/>
      <c r="F839" s="63"/>
      <c r="G839" s="63"/>
      <c r="H839" s="63"/>
      <c r="I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</row>
    <row r="840" ht="11.25" customHeight="1">
      <c r="A840" s="63"/>
      <c r="B840" s="63"/>
      <c r="C840" s="63"/>
      <c r="D840" s="63"/>
      <c r="E840" s="63"/>
      <c r="F840" s="63"/>
      <c r="G840" s="63"/>
      <c r="H840" s="63"/>
      <c r="I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</row>
    <row r="841" ht="11.25" customHeight="1">
      <c r="A841" s="63"/>
      <c r="B841" s="63"/>
      <c r="C841" s="63"/>
      <c r="D841" s="63"/>
      <c r="E841" s="63"/>
      <c r="F841" s="63"/>
      <c r="G841" s="63"/>
      <c r="H841" s="63"/>
      <c r="I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</row>
    <row r="842" ht="11.25" customHeight="1">
      <c r="A842" s="63"/>
      <c r="B842" s="63"/>
      <c r="C842" s="63"/>
      <c r="D842" s="63"/>
      <c r="E842" s="63"/>
      <c r="F842" s="63"/>
      <c r="G842" s="63"/>
      <c r="H842" s="63"/>
      <c r="I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</row>
    <row r="843" ht="11.25" customHeight="1">
      <c r="A843" s="63"/>
      <c r="B843" s="63"/>
      <c r="C843" s="63"/>
      <c r="D843" s="63"/>
      <c r="E843" s="63"/>
      <c r="F843" s="63"/>
      <c r="G843" s="63"/>
      <c r="H843" s="63"/>
      <c r="I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</row>
    <row r="844" ht="11.25" customHeight="1">
      <c r="A844" s="63"/>
      <c r="B844" s="63"/>
      <c r="C844" s="63"/>
      <c r="D844" s="63"/>
      <c r="E844" s="63"/>
      <c r="F844" s="63"/>
      <c r="G844" s="63"/>
      <c r="H844" s="63"/>
      <c r="I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</row>
    <row r="845" ht="11.25" customHeight="1">
      <c r="A845" s="63"/>
      <c r="B845" s="63"/>
      <c r="C845" s="63"/>
      <c r="D845" s="63"/>
      <c r="E845" s="63"/>
      <c r="F845" s="63"/>
      <c r="G845" s="63"/>
      <c r="H845" s="63"/>
      <c r="I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</row>
    <row r="846" ht="11.25" customHeight="1">
      <c r="A846" s="63"/>
      <c r="B846" s="63"/>
      <c r="C846" s="63"/>
      <c r="D846" s="63"/>
      <c r="E846" s="63"/>
      <c r="F846" s="63"/>
      <c r="G846" s="63"/>
      <c r="H846" s="63"/>
      <c r="I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</row>
    <row r="847" ht="11.25" customHeight="1">
      <c r="A847" s="63"/>
      <c r="B847" s="63"/>
      <c r="C847" s="63"/>
      <c r="D847" s="63"/>
      <c r="E847" s="63"/>
      <c r="F847" s="63"/>
      <c r="G847" s="63"/>
      <c r="H847" s="63"/>
      <c r="I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</row>
    <row r="848" ht="11.25" customHeight="1">
      <c r="A848" s="63"/>
      <c r="B848" s="63"/>
      <c r="C848" s="63"/>
      <c r="D848" s="63"/>
      <c r="E848" s="63"/>
      <c r="F848" s="63"/>
      <c r="G848" s="63"/>
      <c r="H848" s="63"/>
      <c r="I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</row>
    <row r="849" ht="11.25" customHeight="1">
      <c r="A849" s="63"/>
      <c r="B849" s="63"/>
      <c r="C849" s="63"/>
      <c r="D849" s="63"/>
      <c r="E849" s="63"/>
      <c r="F849" s="63"/>
      <c r="G849" s="63"/>
      <c r="H849" s="63"/>
      <c r="I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</row>
    <row r="850" ht="11.25" customHeight="1">
      <c r="A850" s="63"/>
      <c r="B850" s="63"/>
      <c r="C850" s="63"/>
      <c r="D850" s="63"/>
      <c r="E850" s="63"/>
      <c r="F850" s="63"/>
      <c r="G850" s="63"/>
      <c r="H850" s="63"/>
      <c r="I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</row>
    <row r="851" ht="11.25" customHeight="1">
      <c r="A851" s="63"/>
      <c r="B851" s="63"/>
      <c r="C851" s="63"/>
      <c r="D851" s="63"/>
      <c r="E851" s="63"/>
      <c r="F851" s="63"/>
      <c r="G851" s="63"/>
      <c r="H851" s="63"/>
      <c r="I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</row>
    <row r="852" ht="11.25" customHeight="1">
      <c r="A852" s="63"/>
      <c r="B852" s="63"/>
      <c r="C852" s="63"/>
      <c r="D852" s="63"/>
      <c r="E852" s="63"/>
      <c r="F852" s="63"/>
      <c r="G852" s="63"/>
      <c r="H852" s="63"/>
      <c r="I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</row>
    <row r="853" ht="11.25" customHeight="1">
      <c r="A853" s="63"/>
      <c r="B853" s="63"/>
      <c r="C853" s="63"/>
      <c r="D853" s="63"/>
      <c r="E853" s="63"/>
      <c r="F853" s="63"/>
      <c r="G853" s="63"/>
      <c r="H853" s="63"/>
      <c r="I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</row>
    <row r="854" ht="11.25" customHeight="1">
      <c r="A854" s="63"/>
      <c r="B854" s="63"/>
      <c r="C854" s="63"/>
      <c r="D854" s="63"/>
      <c r="E854" s="63"/>
      <c r="F854" s="63"/>
      <c r="G854" s="63"/>
      <c r="H854" s="63"/>
      <c r="I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</row>
    <row r="855" ht="11.25" customHeight="1">
      <c r="A855" s="63"/>
      <c r="B855" s="63"/>
      <c r="C855" s="63"/>
      <c r="D855" s="63"/>
      <c r="E855" s="63"/>
      <c r="F855" s="63"/>
      <c r="G855" s="63"/>
      <c r="H855" s="63"/>
      <c r="I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</row>
    <row r="856" ht="11.25" customHeight="1">
      <c r="A856" s="63"/>
      <c r="B856" s="63"/>
      <c r="C856" s="63"/>
      <c r="D856" s="63"/>
      <c r="E856" s="63"/>
      <c r="F856" s="63"/>
      <c r="G856" s="63"/>
      <c r="H856" s="63"/>
      <c r="I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</row>
    <row r="857" ht="11.25" customHeight="1">
      <c r="A857" s="63"/>
      <c r="B857" s="63"/>
      <c r="C857" s="63"/>
      <c r="D857" s="63"/>
      <c r="E857" s="63"/>
      <c r="F857" s="63"/>
      <c r="G857" s="63"/>
      <c r="H857" s="63"/>
      <c r="I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</row>
    <row r="858" ht="11.25" customHeight="1">
      <c r="A858" s="63"/>
      <c r="B858" s="63"/>
      <c r="C858" s="63"/>
      <c r="D858" s="63"/>
      <c r="E858" s="63"/>
      <c r="F858" s="63"/>
      <c r="G858" s="63"/>
      <c r="H858" s="63"/>
      <c r="I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</row>
    <row r="859" ht="11.25" customHeight="1">
      <c r="A859" s="63"/>
      <c r="B859" s="63"/>
      <c r="C859" s="63"/>
      <c r="D859" s="63"/>
      <c r="E859" s="63"/>
      <c r="F859" s="63"/>
      <c r="G859" s="63"/>
      <c r="H859" s="63"/>
      <c r="I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</row>
    <row r="860" ht="11.25" customHeight="1">
      <c r="A860" s="63"/>
      <c r="B860" s="63"/>
      <c r="C860" s="63"/>
      <c r="D860" s="63"/>
      <c r="E860" s="63"/>
      <c r="F860" s="63"/>
      <c r="G860" s="63"/>
      <c r="H860" s="63"/>
      <c r="I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</row>
    <row r="861" ht="11.25" customHeight="1">
      <c r="A861" s="63"/>
      <c r="B861" s="63"/>
      <c r="C861" s="63"/>
      <c r="D861" s="63"/>
      <c r="E861" s="63"/>
      <c r="F861" s="63"/>
      <c r="G861" s="63"/>
      <c r="H861" s="63"/>
      <c r="I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</row>
    <row r="862" ht="11.25" customHeight="1">
      <c r="A862" s="63"/>
      <c r="B862" s="63"/>
      <c r="C862" s="63"/>
      <c r="D862" s="63"/>
      <c r="E862" s="63"/>
      <c r="F862" s="63"/>
      <c r="G862" s="63"/>
      <c r="H862" s="63"/>
      <c r="I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</row>
    <row r="863" ht="11.25" customHeight="1">
      <c r="A863" s="63"/>
      <c r="B863" s="63"/>
      <c r="C863" s="63"/>
      <c r="D863" s="63"/>
      <c r="E863" s="63"/>
      <c r="F863" s="63"/>
      <c r="G863" s="63"/>
      <c r="H863" s="63"/>
      <c r="I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</row>
    <row r="864" ht="11.25" customHeight="1">
      <c r="A864" s="63"/>
      <c r="B864" s="63"/>
      <c r="C864" s="63"/>
      <c r="D864" s="63"/>
      <c r="E864" s="63"/>
      <c r="F864" s="63"/>
      <c r="G864" s="63"/>
      <c r="H864" s="63"/>
      <c r="I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</row>
    <row r="865" ht="11.25" customHeight="1">
      <c r="A865" s="63"/>
      <c r="B865" s="63"/>
      <c r="C865" s="63"/>
      <c r="D865" s="63"/>
      <c r="E865" s="63"/>
      <c r="F865" s="63"/>
      <c r="G865" s="63"/>
      <c r="H865" s="63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</row>
    <row r="866" ht="11.25" customHeight="1">
      <c r="A866" s="63"/>
      <c r="B866" s="63"/>
      <c r="C866" s="63"/>
      <c r="D866" s="63"/>
      <c r="E866" s="63"/>
      <c r="F866" s="63"/>
      <c r="G866" s="63"/>
      <c r="H866" s="63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</row>
    <row r="867" ht="11.25" customHeight="1">
      <c r="A867" s="63"/>
      <c r="B867" s="63"/>
      <c r="C867" s="63"/>
      <c r="D867" s="63"/>
      <c r="E867" s="63"/>
      <c r="F867" s="63"/>
      <c r="G867" s="63"/>
      <c r="H867" s="63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</row>
    <row r="868" ht="11.25" customHeight="1">
      <c r="A868" s="63"/>
      <c r="B868" s="63"/>
      <c r="C868" s="63"/>
      <c r="D868" s="63"/>
      <c r="E868" s="63"/>
      <c r="F868" s="63"/>
      <c r="G868" s="63"/>
      <c r="H868" s="63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</row>
    <row r="869" ht="11.25" customHeight="1">
      <c r="A869" s="63"/>
      <c r="B869" s="63"/>
      <c r="C869" s="63"/>
      <c r="D869" s="63"/>
      <c r="E869" s="63"/>
      <c r="F869" s="63"/>
      <c r="G869" s="63"/>
      <c r="H869" s="63"/>
      <c r="I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</row>
    <row r="870" ht="11.25" customHeight="1">
      <c r="A870" s="63"/>
      <c r="B870" s="63"/>
      <c r="C870" s="63"/>
      <c r="D870" s="63"/>
      <c r="E870" s="63"/>
      <c r="F870" s="63"/>
      <c r="G870" s="63"/>
      <c r="H870" s="63"/>
      <c r="I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</row>
    <row r="871" ht="11.25" customHeight="1">
      <c r="A871" s="63"/>
      <c r="B871" s="63"/>
      <c r="C871" s="63"/>
      <c r="D871" s="63"/>
      <c r="E871" s="63"/>
      <c r="F871" s="63"/>
      <c r="G871" s="63"/>
      <c r="H871" s="63"/>
      <c r="I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</row>
    <row r="872" ht="11.25" customHeight="1">
      <c r="A872" s="63"/>
      <c r="B872" s="63"/>
      <c r="C872" s="63"/>
      <c r="D872" s="63"/>
      <c r="E872" s="63"/>
      <c r="F872" s="63"/>
      <c r="G872" s="63"/>
      <c r="H872" s="63"/>
      <c r="I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</row>
    <row r="873" ht="11.25" customHeight="1">
      <c r="A873" s="63"/>
      <c r="B873" s="63"/>
      <c r="C873" s="63"/>
      <c r="D873" s="63"/>
      <c r="E873" s="63"/>
      <c r="F873" s="63"/>
      <c r="G873" s="63"/>
      <c r="H873" s="63"/>
      <c r="I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</row>
    <row r="874" ht="11.25" customHeight="1">
      <c r="A874" s="63"/>
      <c r="B874" s="63"/>
      <c r="C874" s="63"/>
      <c r="D874" s="63"/>
      <c r="E874" s="63"/>
      <c r="F874" s="63"/>
      <c r="G874" s="63"/>
      <c r="H874" s="63"/>
      <c r="I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</row>
    <row r="875" ht="11.25" customHeight="1">
      <c r="A875" s="63"/>
      <c r="B875" s="63"/>
      <c r="C875" s="63"/>
      <c r="D875" s="63"/>
      <c r="E875" s="63"/>
      <c r="F875" s="63"/>
      <c r="G875" s="63"/>
      <c r="H875" s="63"/>
      <c r="I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</row>
    <row r="876" ht="11.25" customHeight="1">
      <c r="A876" s="63"/>
      <c r="B876" s="63"/>
      <c r="C876" s="63"/>
      <c r="D876" s="63"/>
      <c r="E876" s="63"/>
      <c r="F876" s="63"/>
      <c r="G876" s="63"/>
      <c r="H876" s="63"/>
      <c r="I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</row>
    <row r="877" ht="11.25" customHeight="1">
      <c r="A877" s="63"/>
      <c r="B877" s="63"/>
      <c r="C877" s="63"/>
      <c r="D877" s="63"/>
      <c r="E877" s="63"/>
      <c r="F877" s="63"/>
      <c r="G877" s="63"/>
      <c r="H877" s="63"/>
      <c r="I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</row>
    <row r="878" ht="11.25" customHeight="1">
      <c r="A878" s="63"/>
      <c r="B878" s="63"/>
      <c r="C878" s="63"/>
      <c r="D878" s="63"/>
      <c r="E878" s="63"/>
      <c r="F878" s="63"/>
      <c r="G878" s="63"/>
      <c r="H878" s="63"/>
      <c r="I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</row>
    <row r="879" ht="11.25" customHeight="1">
      <c r="A879" s="63"/>
      <c r="B879" s="63"/>
      <c r="C879" s="63"/>
      <c r="D879" s="63"/>
      <c r="E879" s="63"/>
      <c r="F879" s="63"/>
      <c r="G879" s="63"/>
      <c r="H879" s="63"/>
      <c r="I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</row>
    <row r="880" ht="11.25" customHeight="1">
      <c r="A880" s="63"/>
      <c r="B880" s="63"/>
      <c r="C880" s="63"/>
      <c r="D880" s="63"/>
      <c r="E880" s="63"/>
      <c r="F880" s="63"/>
      <c r="G880" s="63"/>
      <c r="H880" s="63"/>
      <c r="I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</row>
    <row r="881" ht="11.25" customHeight="1">
      <c r="A881" s="63"/>
      <c r="B881" s="63"/>
      <c r="C881" s="63"/>
      <c r="D881" s="63"/>
      <c r="E881" s="63"/>
      <c r="F881" s="63"/>
      <c r="G881" s="63"/>
      <c r="H881" s="63"/>
      <c r="I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</row>
    <row r="882" ht="11.25" customHeight="1">
      <c r="A882" s="63"/>
      <c r="B882" s="63"/>
      <c r="C882" s="63"/>
      <c r="D882" s="63"/>
      <c r="E882" s="63"/>
      <c r="F882" s="63"/>
      <c r="G882" s="63"/>
      <c r="H882" s="63"/>
      <c r="I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</row>
    <row r="883" ht="11.25" customHeight="1">
      <c r="A883" s="63"/>
      <c r="B883" s="63"/>
      <c r="C883" s="63"/>
      <c r="D883" s="63"/>
      <c r="E883" s="63"/>
      <c r="F883" s="63"/>
      <c r="G883" s="63"/>
      <c r="H883" s="63"/>
      <c r="I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</row>
    <row r="884" ht="11.25" customHeight="1">
      <c r="A884" s="63"/>
      <c r="B884" s="63"/>
      <c r="C884" s="63"/>
      <c r="D884" s="63"/>
      <c r="E884" s="63"/>
      <c r="F884" s="63"/>
      <c r="G884" s="63"/>
      <c r="H884" s="63"/>
      <c r="I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</row>
    <row r="885" ht="11.25" customHeight="1">
      <c r="A885" s="63"/>
      <c r="B885" s="63"/>
      <c r="C885" s="63"/>
      <c r="D885" s="63"/>
      <c r="E885" s="63"/>
      <c r="F885" s="63"/>
      <c r="G885" s="63"/>
      <c r="H885" s="63"/>
      <c r="I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</row>
    <row r="886" ht="11.25" customHeight="1">
      <c r="A886" s="63"/>
      <c r="B886" s="63"/>
      <c r="C886" s="63"/>
      <c r="D886" s="63"/>
      <c r="E886" s="63"/>
      <c r="F886" s="63"/>
      <c r="G886" s="63"/>
      <c r="H886" s="63"/>
      <c r="I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</row>
    <row r="887" ht="11.25" customHeight="1">
      <c r="A887" s="63"/>
      <c r="B887" s="63"/>
      <c r="C887" s="63"/>
      <c r="D887" s="63"/>
      <c r="E887" s="63"/>
      <c r="F887" s="63"/>
      <c r="G887" s="63"/>
      <c r="H887" s="63"/>
      <c r="I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</row>
    <row r="888" ht="11.25" customHeight="1">
      <c r="A888" s="63"/>
      <c r="B888" s="63"/>
      <c r="C888" s="63"/>
      <c r="D888" s="63"/>
      <c r="E888" s="63"/>
      <c r="F888" s="63"/>
      <c r="G888" s="63"/>
      <c r="H888" s="63"/>
      <c r="I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</row>
    <row r="889" ht="11.25" customHeight="1">
      <c r="A889" s="63"/>
      <c r="B889" s="63"/>
      <c r="C889" s="63"/>
      <c r="D889" s="63"/>
      <c r="E889" s="63"/>
      <c r="F889" s="63"/>
      <c r="G889" s="63"/>
      <c r="H889" s="63"/>
      <c r="I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</row>
    <row r="890" ht="11.25" customHeight="1">
      <c r="A890" s="63"/>
      <c r="B890" s="63"/>
      <c r="C890" s="63"/>
      <c r="D890" s="63"/>
      <c r="E890" s="63"/>
      <c r="F890" s="63"/>
      <c r="G890" s="63"/>
      <c r="H890" s="63"/>
      <c r="I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</row>
    <row r="891" ht="11.25" customHeight="1">
      <c r="A891" s="63"/>
      <c r="B891" s="63"/>
      <c r="C891" s="63"/>
      <c r="D891" s="63"/>
      <c r="E891" s="63"/>
      <c r="F891" s="63"/>
      <c r="G891" s="63"/>
      <c r="H891" s="63"/>
      <c r="I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</row>
    <row r="892" ht="11.25" customHeight="1">
      <c r="A892" s="63"/>
      <c r="B892" s="63"/>
      <c r="C892" s="63"/>
      <c r="D892" s="63"/>
      <c r="E892" s="63"/>
      <c r="F892" s="63"/>
      <c r="G892" s="63"/>
      <c r="H892" s="63"/>
      <c r="I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</row>
    <row r="893" ht="11.25" customHeight="1">
      <c r="A893" s="63"/>
      <c r="B893" s="63"/>
      <c r="C893" s="63"/>
      <c r="D893" s="63"/>
      <c r="E893" s="63"/>
      <c r="F893" s="63"/>
      <c r="G893" s="63"/>
      <c r="H893" s="63"/>
      <c r="I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</row>
    <row r="894" ht="11.25" customHeight="1">
      <c r="A894" s="63"/>
      <c r="B894" s="63"/>
      <c r="C894" s="63"/>
      <c r="D894" s="63"/>
      <c r="E894" s="63"/>
      <c r="F894" s="63"/>
      <c r="G894" s="63"/>
      <c r="H894" s="63"/>
      <c r="I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</row>
    <row r="895" ht="11.25" customHeight="1">
      <c r="A895" s="63"/>
      <c r="B895" s="63"/>
      <c r="C895" s="63"/>
      <c r="D895" s="63"/>
      <c r="E895" s="63"/>
      <c r="F895" s="63"/>
      <c r="G895" s="63"/>
      <c r="H895" s="63"/>
      <c r="I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</row>
    <row r="896" ht="11.25" customHeight="1">
      <c r="A896" s="63"/>
      <c r="B896" s="63"/>
      <c r="C896" s="63"/>
      <c r="D896" s="63"/>
      <c r="E896" s="63"/>
      <c r="F896" s="63"/>
      <c r="G896" s="63"/>
      <c r="H896" s="63"/>
      <c r="I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</row>
    <row r="897" ht="11.25" customHeight="1">
      <c r="A897" s="63"/>
      <c r="B897" s="63"/>
      <c r="C897" s="63"/>
      <c r="D897" s="63"/>
      <c r="E897" s="63"/>
      <c r="F897" s="63"/>
      <c r="G897" s="63"/>
      <c r="H897" s="63"/>
      <c r="I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</row>
    <row r="898" ht="11.25" customHeight="1">
      <c r="A898" s="63"/>
      <c r="B898" s="63"/>
      <c r="C898" s="63"/>
      <c r="D898" s="63"/>
      <c r="E898" s="63"/>
      <c r="F898" s="63"/>
      <c r="G898" s="63"/>
      <c r="H898" s="63"/>
      <c r="I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</row>
    <row r="899" ht="11.25" customHeight="1">
      <c r="A899" s="63"/>
      <c r="B899" s="63"/>
      <c r="C899" s="63"/>
      <c r="D899" s="63"/>
      <c r="E899" s="63"/>
      <c r="F899" s="63"/>
      <c r="G899" s="63"/>
      <c r="H899" s="63"/>
      <c r="I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</row>
    <row r="900" ht="11.25" customHeight="1">
      <c r="A900" s="63"/>
      <c r="B900" s="63"/>
      <c r="C900" s="63"/>
      <c r="D900" s="63"/>
      <c r="E900" s="63"/>
      <c r="F900" s="63"/>
      <c r="G900" s="63"/>
      <c r="H900" s="63"/>
      <c r="I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</row>
    <row r="901" ht="11.25" customHeight="1">
      <c r="A901" s="63"/>
      <c r="B901" s="63"/>
      <c r="C901" s="63"/>
      <c r="D901" s="63"/>
      <c r="E901" s="63"/>
      <c r="F901" s="63"/>
      <c r="G901" s="63"/>
      <c r="H901" s="63"/>
      <c r="I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</row>
    <row r="902" ht="11.25" customHeight="1">
      <c r="A902" s="63"/>
      <c r="B902" s="63"/>
      <c r="C902" s="63"/>
      <c r="D902" s="63"/>
      <c r="E902" s="63"/>
      <c r="F902" s="63"/>
      <c r="G902" s="63"/>
      <c r="H902" s="63"/>
      <c r="I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</row>
    <row r="903" ht="11.25" customHeight="1">
      <c r="A903" s="63"/>
      <c r="B903" s="63"/>
      <c r="C903" s="63"/>
      <c r="D903" s="63"/>
      <c r="E903" s="63"/>
      <c r="F903" s="63"/>
      <c r="G903" s="63"/>
      <c r="H903" s="63"/>
      <c r="I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</row>
    <row r="904" ht="11.25" customHeight="1">
      <c r="A904" s="63"/>
      <c r="B904" s="63"/>
      <c r="C904" s="63"/>
      <c r="D904" s="63"/>
      <c r="E904" s="63"/>
      <c r="F904" s="63"/>
      <c r="G904" s="63"/>
      <c r="H904" s="63"/>
      <c r="I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</row>
    <row r="905" ht="11.25" customHeight="1">
      <c r="A905" s="63"/>
      <c r="B905" s="63"/>
      <c r="C905" s="63"/>
      <c r="D905" s="63"/>
      <c r="E905" s="63"/>
      <c r="F905" s="63"/>
      <c r="G905" s="63"/>
      <c r="H905" s="63"/>
      <c r="I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</row>
    <row r="906" ht="11.25" customHeight="1">
      <c r="A906" s="63"/>
      <c r="B906" s="63"/>
      <c r="C906" s="63"/>
      <c r="D906" s="63"/>
      <c r="E906" s="63"/>
      <c r="F906" s="63"/>
      <c r="G906" s="63"/>
      <c r="H906" s="63"/>
      <c r="I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</row>
    <row r="907" ht="11.25" customHeight="1">
      <c r="A907" s="63"/>
      <c r="B907" s="63"/>
      <c r="C907" s="63"/>
      <c r="D907" s="63"/>
      <c r="E907" s="63"/>
      <c r="F907" s="63"/>
      <c r="G907" s="63"/>
      <c r="H907" s="63"/>
      <c r="I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</row>
    <row r="908" ht="11.25" customHeight="1">
      <c r="A908" s="63"/>
      <c r="B908" s="63"/>
      <c r="C908" s="63"/>
      <c r="D908" s="63"/>
      <c r="E908" s="63"/>
      <c r="F908" s="63"/>
      <c r="G908" s="63"/>
      <c r="H908" s="63"/>
      <c r="I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</row>
    <row r="909" ht="11.25" customHeight="1">
      <c r="A909" s="63"/>
      <c r="B909" s="63"/>
      <c r="C909" s="63"/>
      <c r="D909" s="63"/>
      <c r="E909" s="63"/>
      <c r="F909" s="63"/>
      <c r="G909" s="63"/>
      <c r="H909" s="63"/>
      <c r="I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</row>
    <row r="910" ht="11.25" customHeight="1">
      <c r="A910" s="63"/>
      <c r="B910" s="63"/>
      <c r="C910" s="63"/>
      <c r="D910" s="63"/>
      <c r="E910" s="63"/>
      <c r="F910" s="63"/>
      <c r="G910" s="63"/>
      <c r="H910" s="63"/>
      <c r="I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</row>
    <row r="911" ht="11.25" customHeight="1">
      <c r="A911" s="63"/>
      <c r="B911" s="63"/>
      <c r="C911" s="63"/>
      <c r="D911" s="63"/>
      <c r="E911" s="63"/>
      <c r="F911" s="63"/>
      <c r="G911" s="63"/>
      <c r="H911" s="63"/>
      <c r="I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</row>
    <row r="912" ht="11.25" customHeight="1">
      <c r="A912" s="63"/>
      <c r="B912" s="63"/>
      <c r="C912" s="63"/>
      <c r="D912" s="63"/>
      <c r="E912" s="63"/>
      <c r="F912" s="63"/>
      <c r="G912" s="63"/>
      <c r="H912" s="63"/>
      <c r="I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</row>
    <row r="913" ht="11.25" customHeight="1">
      <c r="A913" s="63"/>
      <c r="B913" s="63"/>
      <c r="C913" s="63"/>
      <c r="D913" s="63"/>
      <c r="E913" s="63"/>
      <c r="F913" s="63"/>
      <c r="G913" s="63"/>
      <c r="H913" s="63"/>
      <c r="I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</row>
    <row r="914" ht="11.25" customHeight="1">
      <c r="A914" s="63"/>
      <c r="B914" s="63"/>
      <c r="C914" s="63"/>
      <c r="D914" s="63"/>
      <c r="E914" s="63"/>
      <c r="F914" s="63"/>
      <c r="G914" s="63"/>
      <c r="H914" s="63"/>
      <c r="I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</row>
    <row r="915" ht="11.25" customHeight="1">
      <c r="A915" s="63"/>
      <c r="B915" s="63"/>
      <c r="C915" s="63"/>
      <c r="D915" s="63"/>
      <c r="E915" s="63"/>
      <c r="F915" s="63"/>
      <c r="G915" s="63"/>
      <c r="H915" s="63"/>
      <c r="I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</row>
    <row r="916" ht="11.25" customHeight="1">
      <c r="A916" s="63"/>
      <c r="B916" s="63"/>
      <c r="C916" s="63"/>
      <c r="D916" s="63"/>
      <c r="E916" s="63"/>
      <c r="F916" s="63"/>
      <c r="G916" s="63"/>
      <c r="H916" s="63"/>
      <c r="I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</row>
    <row r="917" ht="11.25" customHeight="1">
      <c r="A917" s="63"/>
      <c r="B917" s="63"/>
      <c r="C917" s="63"/>
      <c r="D917" s="63"/>
      <c r="E917" s="63"/>
      <c r="F917" s="63"/>
      <c r="G917" s="63"/>
      <c r="H917" s="63"/>
      <c r="I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</row>
    <row r="918" ht="11.25" customHeight="1">
      <c r="A918" s="63"/>
      <c r="B918" s="63"/>
      <c r="C918" s="63"/>
      <c r="D918" s="63"/>
      <c r="E918" s="63"/>
      <c r="F918" s="63"/>
      <c r="G918" s="63"/>
      <c r="H918" s="63"/>
      <c r="I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</row>
    <row r="919" ht="11.25" customHeight="1">
      <c r="A919" s="63"/>
      <c r="B919" s="63"/>
      <c r="C919" s="63"/>
      <c r="D919" s="63"/>
      <c r="E919" s="63"/>
      <c r="F919" s="63"/>
      <c r="G919" s="63"/>
      <c r="H919" s="63"/>
      <c r="I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</row>
    <row r="920" ht="11.25" customHeight="1">
      <c r="A920" s="63"/>
      <c r="B920" s="63"/>
      <c r="C920" s="63"/>
      <c r="D920" s="63"/>
      <c r="E920" s="63"/>
      <c r="F920" s="63"/>
      <c r="G920" s="63"/>
      <c r="H920" s="63"/>
      <c r="I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</row>
    <row r="921" ht="11.25" customHeight="1">
      <c r="A921" s="63"/>
      <c r="B921" s="63"/>
      <c r="C921" s="63"/>
      <c r="D921" s="63"/>
      <c r="E921" s="63"/>
      <c r="F921" s="63"/>
      <c r="G921" s="63"/>
      <c r="H921" s="63"/>
      <c r="I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</row>
    <row r="922" ht="11.25" customHeight="1">
      <c r="A922" s="63"/>
      <c r="B922" s="63"/>
      <c r="C922" s="63"/>
      <c r="D922" s="63"/>
      <c r="E922" s="63"/>
      <c r="F922" s="63"/>
      <c r="G922" s="63"/>
      <c r="H922" s="63"/>
      <c r="I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</row>
    <row r="923" ht="11.25" customHeight="1">
      <c r="A923" s="63"/>
      <c r="B923" s="63"/>
      <c r="C923" s="63"/>
      <c r="D923" s="63"/>
      <c r="E923" s="63"/>
      <c r="F923" s="63"/>
      <c r="G923" s="63"/>
      <c r="H923" s="63"/>
      <c r="I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</row>
    <row r="924" ht="11.25" customHeight="1">
      <c r="A924" s="63"/>
      <c r="B924" s="63"/>
      <c r="C924" s="63"/>
      <c r="D924" s="63"/>
      <c r="E924" s="63"/>
      <c r="F924" s="63"/>
      <c r="G924" s="63"/>
      <c r="H924" s="63"/>
      <c r="I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</row>
    <row r="925" ht="11.25" customHeight="1">
      <c r="A925" s="63"/>
      <c r="B925" s="63"/>
      <c r="C925" s="63"/>
      <c r="D925" s="63"/>
      <c r="E925" s="63"/>
      <c r="F925" s="63"/>
      <c r="G925" s="63"/>
      <c r="H925" s="63"/>
      <c r="I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</row>
    <row r="926" ht="11.25" customHeight="1">
      <c r="A926" s="63"/>
      <c r="B926" s="63"/>
      <c r="C926" s="63"/>
      <c r="D926" s="63"/>
      <c r="E926" s="63"/>
      <c r="F926" s="63"/>
      <c r="G926" s="63"/>
      <c r="H926" s="63"/>
      <c r="I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</row>
    <row r="927" ht="11.25" customHeight="1">
      <c r="A927" s="63"/>
      <c r="B927" s="63"/>
      <c r="C927" s="63"/>
      <c r="D927" s="63"/>
      <c r="E927" s="63"/>
      <c r="F927" s="63"/>
      <c r="G927" s="63"/>
      <c r="H927" s="63"/>
      <c r="I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</row>
    <row r="928" ht="11.25" customHeight="1">
      <c r="A928" s="63"/>
      <c r="B928" s="63"/>
      <c r="C928" s="63"/>
      <c r="D928" s="63"/>
      <c r="E928" s="63"/>
      <c r="F928" s="63"/>
      <c r="G928" s="63"/>
      <c r="H928" s="63"/>
      <c r="I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</row>
    <row r="929" ht="11.25" customHeight="1">
      <c r="A929" s="63"/>
      <c r="B929" s="63"/>
      <c r="C929" s="63"/>
      <c r="D929" s="63"/>
      <c r="E929" s="63"/>
      <c r="F929" s="63"/>
      <c r="G929" s="63"/>
      <c r="H929" s="63"/>
      <c r="I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</row>
    <row r="930" ht="11.25" customHeight="1">
      <c r="A930" s="63"/>
      <c r="B930" s="63"/>
      <c r="C930" s="63"/>
      <c r="D930" s="63"/>
      <c r="E930" s="63"/>
      <c r="F930" s="63"/>
      <c r="G930" s="63"/>
      <c r="H930" s="63"/>
      <c r="I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</row>
    <row r="931" ht="11.25" customHeight="1">
      <c r="A931" s="63"/>
      <c r="B931" s="63"/>
      <c r="C931" s="63"/>
      <c r="D931" s="63"/>
      <c r="E931" s="63"/>
      <c r="F931" s="63"/>
      <c r="G931" s="63"/>
      <c r="H931" s="63"/>
      <c r="I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</row>
    <row r="932" ht="11.25" customHeight="1">
      <c r="A932" s="63"/>
      <c r="B932" s="63"/>
      <c r="C932" s="63"/>
      <c r="D932" s="63"/>
      <c r="E932" s="63"/>
      <c r="F932" s="63"/>
      <c r="G932" s="63"/>
      <c r="H932" s="63"/>
      <c r="I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</row>
    <row r="933" ht="11.25" customHeight="1">
      <c r="A933" s="63"/>
      <c r="B933" s="63"/>
      <c r="C933" s="63"/>
      <c r="D933" s="63"/>
      <c r="E933" s="63"/>
      <c r="F933" s="63"/>
      <c r="G933" s="63"/>
      <c r="H933" s="63"/>
      <c r="I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</row>
    <row r="934" ht="11.25" customHeight="1">
      <c r="A934" s="63"/>
      <c r="B934" s="63"/>
      <c r="C934" s="63"/>
      <c r="D934" s="63"/>
      <c r="E934" s="63"/>
      <c r="F934" s="63"/>
      <c r="G934" s="63"/>
      <c r="H934" s="63"/>
      <c r="I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</row>
    <row r="935" ht="11.25" customHeight="1">
      <c r="A935" s="63"/>
      <c r="B935" s="63"/>
      <c r="C935" s="63"/>
      <c r="D935" s="63"/>
      <c r="E935" s="63"/>
      <c r="F935" s="63"/>
      <c r="G935" s="63"/>
      <c r="H935" s="63"/>
      <c r="I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</row>
    <row r="936" ht="11.25" customHeight="1">
      <c r="A936" s="63"/>
      <c r="B936" s="63"/>
      <c r="C936" s="63"/>
      <c r="D936" s="63"/>
      <c r="E936" s="63"/>
      <c r="F936" s="63"/>
      <c r="G936" s="63"/>
      <c r="H936" s="63"/>
      <c r="I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</row>
    <row r="937" ht="11.25" customHeight="1">
      <c r="A937" s="63"/>
      <c r="B937" s="63"/>
      <c r="C937" s="63"/>
      <c r="D937" s="63"/>
      <c r="E937" s="63"/>
      <c r="F937" s="63"/>
      <c r="G937" s="63"/>
      <c r="H937" s="63"/>
      <c r="I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</row>
    <row r="938" ht="11.25" customHeight="1">
      <c r="A938" s="63"/>
      <c r="B938" s="63"/>
      <c r="C938" s="63"/>
      <c r="D938" s="63"/>
      <c r="E938" s="63"/>
      <c r="F938" s="63"/>
      <c r="G938" s="63"/>
      <c r="H938" s="63"/>
      <c r="I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</row>
    <row r="939" ht="11.25" customHeight="1">
      <c r="A939" s="63"/>
      <c r="B939" s="63"/>
      <c r="C939" s="63"/>
      <c r="D939" s="63"/>
      <c r="E939" s="63"/>
      <c r="F939" s="63"/>
      <c r="G939" s="63"/>
      <c r="H939" s="63"/>
      <c r="I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</row>
    <row r="940" ht="11.25" customHeight="1">
      <c r="A940" s="63"/>
      <c r="B940" s="63"/>
      <c r="C940" s="63"/>
      <c r="D940" s="63"/>
      <c r="E940" s="63"/>
      <c r="F940" s="63"/>
      <c r="G940" s="63"/>
      <c r="H940" s="63"/>
      <c r="I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</row>
    <row r="941" ht="11.25" customHeight="1">
      <c r="A941" s="63"/>
      <c r="B941" s="63"/>
      <c r="C941" s="63"/>
      <c r="D941" s="63"/>
      <c r="E941" s="63"/>
      <c r="F941" s="63"/>
      <c r="G941" s="63"/>
      <c r="H941" s="63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</row>
    <row r="942" ht="11.25" customHeight="1">
      <c r="A942" s="63"/>
      <c r="B942" s="63"/>
      <c r="C942" s="63"/>
      <c r="D942" s="63"/>
      <c r="E942" s="63"/>
      <c r="F942" s="63"/>
      <c r="G942" s="63"/>
      <c r="H942" s="63"/>
      <c r="I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</row>
    <row r="943" ht="11.25" customHeight="1">
      <c r="A943" s="63"/>
      <c r="B943" s="63"/>
      <c r="C943" s="63"/>
      <c r="D943" s="63"/>
      <c r="E943" s="63"/>
      <c r="F943" s="63"/>
      <c r="G943" s="63"/>
      <c r="H943" s="63"/>
      <c r="I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</row>
    <row r="944" ht="11.25" customHeight="1">
      <c r="A944" s="63"/>
      <c r="B944" s="63"/>
      <c r="C944" s="63"/>
      <c r="D944" s="63"/>
      <c r="E944" s="63"/>
      <c r="F944" s="63"/>
      <c r="G944" s="63"/>
      <c r="H944" s="63"/>
      <c r="I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</row>
    <row r="945" ht="11.25" customHeight="1">
      <c r="A945" s="63"/>
      <c r="B945" s="63"/>
      <c r="C945" s="63"/>
      <c r="D945" s="63"/>
      <c r="E945" s="63"/>
      <c r="F945" s="63"/>
      <c r="G945" s="63"/>
      <c r="H945" s="63"/>
      <c r="I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</row>
    <row r="946" ht="11.25" customHeight="1">
      <c r="A946" s="63"/>
      <c r="B946" s="63"/>
      <c r="C946" s="63"/>
      <c r="D946" s="63"/>
      <c r="E946" s="63"/>
      <c r="F946" s="63"/>
      <c r="G946" s="63"/>
      <c r="H946" s="63"/>
      <c r="I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</row>
    <row r="947" ht="11.25" customHeight="1">
      <c r="A947" s="63"/>
      <c r="B947" s="63"/>
      <c r="C947" s="63"/>
      <c r="D947" s="63"/>
      <c r="E947" s="63"/>
      <c r="F947" s="63"/>
      <c r="G947" s="63"/>
      <c r="H947" s="63"/>
      <c r="I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</row>
    <row r="948" ht="11.25" customHeight="1">
      <c r="A948" s="63"/>
      <c r="B948" s="63"/>
      <c r="C948" s="63"/>
      <c r="D948" s="63"/>
      <c r="E948" s="63"/>
      <c r="F948" s="63"/>
      <c r="G948" s="63"/>
      <c r="H948" s="63"/>
      <c r="I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</row>
    <row r="949" ht="11.25" customHeight="1">
      <c r="A949" s="63"/>
      <c r="B949" s="63"/>
      <c r="C949" s="63"/>
      <c r="D949" s="63"/>
      <c r="E949" s="63"/>
      <c r="F949" s="63"/>
      <c r="G949" s="63"/>
      <c r="H949" s="63"/>
      <c r="I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</row>
    <row r="950" ht="11.25" customHeight="1">
      <c r="A950" s="63"/>
      <c r="B950" s="63"/>
      <c r="C950" s="63"/>
      <c r="D950" s="63"/>
      <c r="E950" s="63"/>
      <c r="F950" s="63"/>
      <c r="G950" s="63"/>
      <c r="H950" s="63"/>
      <c r="I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</row>
    <row r="951" ht="11.25" customHeight="1">
      <c r="A951" s="63"/>
      <c r="B951" s="63"/>
      <c r="C951" s="63"/>
      <c r="D951" s="63"/>
      <c r="E951" s="63"/>
      <c r="F951" s="63"/>
      <c r="G951" s="63"/>
      <c r="H951" s="63"/>
      <c r="I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</row>
    <row r="952" ht="11.25" customHeight="1">
      <c r="A952" s="63"/>
      <c r="B952" s="63"/>
      <c r="C952" s="63"/>
      <c r="D952" s="63"/>
      <c r="E952" s="63"/>
      <c r="F952" s="63"/>
      <c r="G952" s="63"/>
      <c r="H952" s="63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</row>
    <row r="953" ht="11.25" customHeight="1">
      <c r="A953" s="63"/>
      <c r="B953" s="63"/>
      <c r="C953" s="63"/>
      <c r="D953" s="63"/>
      <c r="E953" s="63"/>
      <c r="F953" s="63"/>
      <c r="G953" s="63"/>
      <c r="H953" s="63"/>
      <c r="I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</row>
    <row r="954" ht="11.25" customHeight="1">
      <c r="A954" s="63"/>
      <c r="B954" s="63"/>
      <c r="C954" s="63"/>
      <c r="D954" s="63"/>
      <c r="E954" s="63"/>
      <c r="F954" s="63"/>
      <c r="G954" s="63"/>
      <c r="H954" s="63"/>
      <c r="I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</row>
    <row r="955" ht="11.25" customHeight="1">
      <c r="A955" s="63"/>
      <c r="B955" s="63"/>
      <c r="C955" s="63"/>
      <c r="D955" s="63"/>
      <c r="E955" s="63"/>
      <c r="F955" s="63"/>
      <c r="G955" s="63"/>
      <c r="H955" s="63"/>
      <c r="I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</row>
    <row r="956" ht="11.25" customHeight="1">
      <c r="A956" s="63"/>
      <c r="B956" s="63"/>
      <c r="C956" s="63"/>
      <c r="D956" s="63"/>
      <c r="E956" s="63"/>
      <c r="F956" s="63"/>
      <c r="G956" s="63"/>
      <c r="H956" s="63"/>
      <c r="I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</row>
    <row r="957" ht="11.25" customHeight="1">
      <c r="A957" s="63"/>
      <c r="B957" s="63"/>
      <c r="C957" s="63"/>
      <c r="D957" s="63"/>
      <c r="E957" s="63"/>
      <c r="F957" s="63"/>
      <c r="G957" s="63"/>
      <c r="H957" s="63"/>
      <c r="I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</row>
    <row r="958" ht="11.25" customHeight="1">
      <c r="A958" s="63"/>
      <c r="B958" s="63"/>
      <c r="C958" s="63"/>
      <c r="D958" s="63"/>
      <c r="E958" s="63"/>
      <c r="F958" s="63"/>
      <c r="G958" s="63"/>
      <c r="H958" s="63"/>
      <c r="I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</row>
    <row r="959" ht="11.25" customHeight="1">
      <c r="A959" s="63"/>
      <c r="B959" s="63"/>
      <c r="C959" s="63"/>
      <c r="D959" s="63"/>
      <c r="E959" s="63"/>
      <c r="F959" s="63"/>
      <c r="G959" s="63"/>
      <c r="H959" s="63"/>
      <c r="I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</row>
    <row r="960" ht="11.25" customHeight="1">
      <c r="A960" s="63"/>
      <c r="B960" s="63"/>
      <c r="C960" s="63"/>
      <c r="D960" s="63"/>
      <c r="E960" s="63"/>
      <c r="F960" s="63"/>
      <c r="G960" s="63"/>
      <c r="H960" s="63"/>
      <c r="I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</row>
    <row r="961" ht="11.25" customHeight="1">
      <c r="A961" s="63"/>
      <c r="B961" s="63"/>
      <c r="C961" s="63"/>
      <c r="D961" s="63"/>
      <c r="E961" s="63"/>
      <c r="F961" s="63"/>
      <c r="G961" s="63"/>
      <c r="H961" s="63"/>
      <c r="I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</row>
    <row r="962" ht="11.25" customHeight="1">
      <c r="A962" s="63"/>
      <c r="B962" s="63"/>
      <c r="C962" s="63"/>
      <c r="D962" s="63"/>
      <c r="E962" s="63"/>
      <c r="F962" s="63"/>
      <c r="G962" s="63"/>
      <c r="H962" s="63"/>
      <c r="I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</row>
    <row r="963" ht="11.25" customHeight="1">
      <c r="A963" s="63"/>
      <c r="B963" s="63"/>
      <c r="C963" s="63"/>
      <c r="D963" s="63"/>
      <c r="E963" s="63"/>
      <c r="F963" s="63"/>
      <c r="G963" s="63"/>
      <c r="H963" s="63"/>
      <c r="I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</row>
    <row r="964" ht="11.25" customHeight="1">
      <c r="A964" s="63"/>
      <c r="B964" s="63"/>
      <c r="C964" s="63"/>
      <c r="D964" s="63"/>
      <c r="E964" s="63"/>
      <c r="F964" s="63"/>
      <c r="G964" s="63"/>
      <c r="H964" s="63"/>
      <c r="I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</row>
    <row r="965" ht="11.25" customHeight="1">
      <c r="A965" s="63"/>
      <c r="B965" s="63"/>
      <c r="C965" s="63"/>
      <c r="D965" s="63"/>
      <c r="E965" s="63"/>
      <c r="F965" s="63"/>
      <c r="G965" s="63"/>
      <c r="H965" s="63"/>
      <c r="I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</row>
    <row r="966" ht="11.25" customHeight="1">
      <c r="A966" s="63"/>
      <c r="B966" s="63"/>
      <c r="C966" s="63"/>
      <c r="D966" s="63"/>
      <c r="E966" s="63"/>
      <c r="F966" s="63"/>
      <c r="G966" s="63"/>
      <c r="H966" s="63"/>
      <c r="I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</row>
    <row r="967" ht="11.25" customHeight="1">
      <c r="A967" s="63"/>
      <c r="B967" s="63"/>
      <c r="C967" s="63"/>
      <c r="D967" s="63"/>
      <c r="E967" s="63"/>
      <c r="F967" s="63"/>
      <c r="G967" s="63"/>
      <c r="H967" s="63"/>
      <c r="I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</row>
    <row r="968" ht="11.25" customHeight="1">
      <c r="A968" s="63"/>
      <c r="B968" s="63"/>
      <c r="C968" s="63"/>
      <c r="D968" s="63"/>
      <c r="E968" s="63"/>
      <c r="F968" s="63"/>
      <c r="G968" s="63"/>
      <c r="H968" s="63"/>
      <c r="I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</row>
    <row r="969" ht="11.25" customHeight="1">
      <c r="A969" s="63"/>
      <c r="B969" s="63"/>
      <c r="C969" s="63"/>
      <c r="D969" s="63"/>
      <c r="E969" s="63"/>
      <c r="F969" s="63"/>
      <c r="G969" s="63"/>
      <c r="H969" s="63"/>
      <c r="I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</row>
    <row r="970" ht="11.25" customHeight="1">
      <c r="A970" s="63"/>
      <c r="B970" s="63"/>
      <c r="C970" s="63"/>
      <c r="D970" s="63"/>
      <c r="E970" s="63"/>
      <c r="F970" s="63"/>
      <c r="G970" s="63"/>
      <c r="H970" s="63"/>
      <c r="I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</row>
    <row r="971" ht="11.25" customHeight="1">
      <c r="A971" s="63"/>
      <c r="B971" s="63"/>
      <c r="C971" s="63"/>
      <c r="D971" s="63"/>
      <c r="E971" s="63"/>
      <c r="F971" s="63"/>
      <c r="G971" s="63"/>
      <c r="H971" s="63"/>
      <c r="I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</row>
    <row r="972" ht="11.25" customHeight="1">
      <c r="A972" s="63"/>
      <c r="B972" s="63"/>
      <c r="C972" s="63"/>
      <c r="D972" s="63"/>
      <c r="E972" s="63"/>
      <c r="F972" s="63"/>
      <c r="G972" s="63"/>
      <c r="H972" s="63"/>
      <c r="I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</row>
    <row r="973" ht="11.25" customHeight="1">
      <c r="A973" s="63"/>
      <c r="B973" s="63"/>
      <c r="C973" s="63"/>
      <c r="D973" s="63"/>
      <c r="E973" s="63"/>
      <c r="F973" s="63"/>
      <c r="G973" s="63"/>
      <c r="H973" s="63"/>
      <c r="I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</row>
    <row r="974" ht="11.25" customHeight="1">
      <c r="A974" s="63"/>
      <c r="B974" s="63"/>
      <c r="C974" s="63"/>
      <c r="D974" s="63"/>
      <c r="E974" s="63"/>
      <c r="F974" s="63"/>
      <c r="G974" s="63"/>
      <c r="H974" s="63"/>
      <c r="I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</row>
    <row r="975" ht="11.25" customHeight="1">
      <c r="A975" s="63"/>
      <c r="B975" s="63"/>
      <c r="C975" s="63"/>
      <c r="D975" s="63"/>
      <c r="E975" s="63"/>
      <c r="F975" s="63"/>
      <c r="G975" s="63"/>
      <c r="H975" s="63"/>
      <c r="I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</row>
    <row r="976" ht="11.25" customHeight="1">
      <c r="A976" s="63"/>
      <c r="B976" s="63"/>
      <c r="C976" s="63"/>
      <c r="D976" s="63"/>
      <c r="E976" s="63"/>
      <c r="F976" s="63"/>
      <c r="G976" s="63"/>
      <c r="H976" s="63"/>
      <c r="I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</row>
    <row r="977" ht="11.25" customHeight="1">
      <c r="A977" s="63"/>
      <c r="B977" s="63"/>
      <c r="C977" s="63"/>
      <c r="D977" s="63"/>
      <c r="E977" s="63"/>
      <c r="F977" s="63"/>
      <c r="G977" s="63"/>
      <c r="H977" s="63"/>
      <c r="I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</row>
    <row r="978" ht="11.25" customHeight="1">
      <c r="A978" s="63"/>
      <c r="B978" s="63"/>
      <c r="C978" s="63"/>
      <c r="D978" s="63"/>
      <c r="E978" s="63"/>
      <c r="F978" s="63"/>
      <c r="G978" s="63"/>
      <c r="H978" s="63"/>
      <c r="I978" s="65"/>
      <c r="J978" s="65"/>
      <c r="K978" s="65"/>
      <c r="L978" s="65"/>
      <c r="M978" s="65"/>
      <c r="N978" s="65"/>
      <c r="O978" s="65"/>
      <c r="P978" s="65"/>
      <c r="Q978" s="65"/>
      <c r="R978" s="65"/>
      <c r="S978" s="65"/>
      <c r="T978" s="65"/>
    </row>
    <row r="979" ht="11.25" customHeight="1">
      <c r="A979" s="63"/>
      <c r="B979" s="63"/>
      <c r="C979" s="63"/>
      <c r="D979" s="63"/>
      <c r="E979" s="63"/>
      <c r="F979" s="63"/>
      <c r="G979" s="63"/>
      <c r="H979" s="63"/>
      <c r="I979" s="65"/>
      <c r="J979" s="65"/>
      <c r="K979" s="65"/>
      <c r="L979" s="65"/>
      <c r="M979" s="65"/>
      <c r="N979" s="65"/>
      <c r="O979" s="65"/>
      <c r="P979" s="65"/>
      <c r="Q979" s="65"/>
      <c r="R979" s="65"/>
      <c r="S979" s="65"/>
      <c r="T979" s="65"/>
    </row>
    <row r="980" ht="11.25" customHeight="1">
      <c r="A980" s="63"/>
      <c r="B980" s="63"/>
      <c r="C980" s="63"/>
      <c r="D980" s="63"/>
      <c r="E980" s="63"/>
      <c r="F980" s="63"/>
      <c r="G980" s="63"/>
      <c r="H980" s="63"/>
      <c r="I980" s="65"/>
      <c r="J980" s="65"/>
      <c r="K980" s="65"/>
      <c r="L980" s="65"/>
      <c r="M980" s="65"/>
      <c r="N980" s="65"/>
      <c r="O980" s="65"/>
      <c r="P980" s="65"/>
      <c r="Q980" s="65"/>
      <c r="R980" s="65"/>
      <c r="S980" s="65"/>
      <c r="T980" s="65"/>
    </row>
    <row r="981" ht="11.25" customHeight="1">
      <c r="A981" s="63"/>
      <c r="B981" s="63"/>
      <c r="C981" s="63"/>
      <c r="D981" s="63"/>
      <c r="E981" s="63"/>
      <c r="F981" s="63"/>
      <c r="G981" s="63"/>
      <c r="H981" s="63"/>
      <c r="I981" s="65"/>
      <c r="J981" s="65"/>
      <c r="K981" s="65"/>
      <c r="L981" s="65"/>
      <c r="M981" s="65"/>
      <c r="N981" s="65"/>
      <c r="O981" s="65"/>
      <c r="P981" s="65"/>
      <c r="Q981" s="65"/>
      <c r="R981" s="65"/>
      <c r="S981" s="65"/>
      <c r="T981" s="65"/>
    </row>
    <row r="982" ht="11.25" customHeight="1">
      <c r="A982" s="63"/>
      <c r="B982" s="63"/>
      <c r="C982" s="63"/>
      <c r="D982" s="63"/>
      <c r="E982" s="63"/>
      <c r="F982" s="63"/>
      <c r="G982" s="63"/>
      <c r="H982" s="63"/>
      <c r="I982" s="65"/>
      <c r="J982" s="65"/>
      <c r="K982" s="65"/>
      <c r="L982" s="65"/>
      <c r="M982" s="65"/>
      <c r="N982" s="65"/>
      <c r="O982" s="65"/>
      <c r="P982" s="65"/>
      <c r="Q982" s="65"/>
      <c r="R982" s="65"/>
      <c r="S982" s="65"/>
      <c r="T982" s="65"/>
    </row>
    <row r="983" ht="11.25" customHeight="1">
      <c r="A983" s="63"/>
      <c r="B983" s="63"/>
      <c r="C983" s="63"/>
      <c r="D983" s="63"/>
      <c r="E983" s="63"/>
      <c r="F983" s="63"/>
      <c r="G983" s="63"/>
      <c r="H983" s="63"/>
      <c r="I983" s="65"/>
      <c r="J983" s="65"/>
      <c r="K983" s="65"/>
      <c r="L983" s="65"/>
      <c r="M983" s="65"/>
      <c r="N983" s="65"/>
      <c r="O983" s="65"/>
      <c r="P983" s="65"/>
      <c r="Q983" s="65"/>
      <c r="R983" s="65"/>
      <c r="S983" s="65"/>
      <c r="T983" s="65"/>
    </row>
    <row r="984" ht="11.25" customHeight="1">
      <c r="A984" s="63"/>
      <c r="B984" s="63"/>
      <c r="C984" s="63"/>
      <c r="D984" s="63"/>
      <c r="E984" s="63"/>
      <c r="F984" s="63"/>
      <c r="G984" s="63"/>
      <c r="H984" s="63"/>
      <c r="I984" s="65"/>
      <c r="J984" s="65"/>
      <c r="K984" s="65"/>
      <c r="L984" s="65"/>
      <c r="M984" s="65"/>
      <c r="N984" s="65"/>
      <c r="O984" s="65"/>
      <c r="P984" s="65"/>
      <c r="Q984" s="65"/>
      <c r="R984" s="65"/>
      <c r="S984" s="65"/>
      <c r="T984" s="65"/>
    </row>
    <row r="985" ht="11.25" customHeight="1">
      <c r="A985" s="63"/>
      <c r="B985" s="63"/>
      <c r="C985" s="63"/>
      <c r="D985" s="63"/>
      <c r="E985" s="63"/>
      <c r="F985" s="63"/>
      <c r="G985" s="63"/>
      <c r="H985" s="63"/>
      <c r="I985" s="65"/>
      <c r="J985" s="65"/>
      <c r="K985" s="65"/>
      <c r="L985" s="65"/>
      <c r="M985" s="65"/>
      <c r="N985" s="65"/>
      <c r="O985" s="65"/>
      <c r="P985" s="65"/>
      <c r="Q985" s="65"/>
      <c r="R985" s="65"/>
      <c r="S985" s="65"/>
      <c r="T985" s="65"/>
    </row>
    <row r="986" ht="11.25" customHeight="1">
      <c r="A986" s="63"/>
      <c r="B986" s="63"/>
      <c r="C986" s="63"/>
      <c r="D986" s="63"/>
      <c r="E986" s="63"/>
      <c r="F986" s="63"/>
      <c r="G986" s="63"/>
      <c r="H986" s="63"/>
      <c r="I986" s="65"/>
      <c r="J986" s="65"/>
      <c r="K986" s="65"/>
      <c r="L986" s="65"/>
      <c r="M986" s="65"/>
      <c r="N986" s="65"/>
      <c r="O986" s="65"/>
      <c r="P986" s="65"/>
      <c r="Q986" s="65"/>
      <c r="R986" s="65"/>
      <c r="S986" s="65"/>
      <c r="T986" s="65"/>
    </row>
    <row r="987" ht="11.25" customHeight="1">
      <c r="A987" s="63"/>
      <c r="B987" s="63"/>
      <c r="C987" s="63"/>
      <c r="D987" s="63"/>
      <c r="E987" s="63"/>
      <c r="F987" s="63"/>
      <c r="G987" s="63"/>
      <c r="H987" s="63"/>
      <c r="I987" s="65"/>
      <c r="J987" s="65"/>
      <c r="K987" s="65"/>
      <c r="L987" s="65"/>
      <c r="M987" s="65"/>
      <c r="N987" s="65"/>
      <c r="O987" s="65"/>
      <c r="P987" s="65"/>
      <c r="Q987" s="65"/>
      <c r="R987" s="65"/>
      <c r="S987" s="65"/>
      <c r="T987" s="65"/>
    </row>
    <row r="988" ht="11.25" customHeight="1">
      <c r="A988" s="63"/>
      <c r="B988" s="63"/>
      <c r="C988" s="63"/>
      <c r="D988" s="63"/>
      <c r="E988" s="63"/>
      <c r="F988" s="63"/>
      <c r="G988" s="63"/>
      <c r="H988" s="63"/>
      <c r="I988" s="65"/>
      <c r="J988" s="65"/>
      <c r="K988" s="65"/>
      <c r="L988" s="65"/>
      <c r="M988" s="65"/>
      <c r="N988" s="65"/>
      <c r="O988" s="65"/>
      <c r="P988" s="65"/>
      <c r="Q988" s="65"/>
      <c r="R988" s="65"/>
      <c r="S988" s="65"/>
      <c r="T988" s="65"/>
    </row>
    <row r="989" ht="11.25" customHeight="1">
      <c r="A989" s="63"/>
      <c r="B989" s="63"/>
      <c r="C989" s="63"/>
      <c r="D989" s="63"/>
      <c r="E989" s="63"/>
      <c r="F989" s="63"/>
      <c r="G989" s="63"/>
      <c r="H989" s="63"/>
      <c r="I989" s="65"/>
      <c r="J989" s="65"/>
      <c r="K989" s="65"/>
      <c r="L989" s="65"/>
      <c r="M989" s="65"/>
      <c r="N989" s="65"/>
      <c r="O989" s="65"/>
      <c r="P989" s="65"/>
      <c r="Q989" s="65"/>
      <c r="R989" s="65"/>
      <c r="S989" s="65"/>
      <c r="T989" s="65"/>
    </row>
    <row r="990" ht="11.25" customHeight="1">
      <c r="A990" s="63"/>
      <c r="B990" s="63"/>
      <c r="C990" s="63"/>
      <c r="D990" s="63"/>
      <c r="E990" s="63"/>
      <c r="F990" s="63"/>
      <c r="G990" s="63"/>
      <c r="H990" s="63"/>
      <c r="I990" s="65"/>
      <c r="J990" s="65"/>
      <c r="K990" s="65"/>
      <c r="L990" s="65"/>
      <c r="M990" s="65"/>
      <c r="N990" s="65"/>
      <c r="O990" s="65"/>
      <c r="P990" s="65"/>
      <c r="Q990" s="65"/>
      <c r="R990" s="65"/>
      <c r="S990" s="65"/>
      <c r="T990" s="65"/>
    </row>
    <row r="991" ht="11.25" customHeight="1">
      <c r="A991" s="63"/>
      <c r="B991" s="63"/>
      <c r="C991" s="63"/>
      <c r="D991" s="63"/>
      <c r="E991" s="63"/>
      <c r="F991" s="63"/>
      <c r="G991" s="63"/>
      <c r="H991" s="63"/>
      <c r="I991" s="65"/>
      <c r="J991" s="65"/>
      <c r="K991" s="65"/>
      <c r="L991" s="65"/>
      <c r="M991" s="65"/>
      <c r="N991" s="65"/>
      <c r="O991" s="65"/>
      <c r="P991" s="65"/>
      <c r="Q991" s="65"/>
      <c r="R991" s="65"/>
      <c r="S991" s="65"/>
      <c r="T991" s="65"/>
    </row>
    <row r="992" ht="11.25" customHeight="1">
      <c r="A992" s="63"/>
      <c r="B992" s="63"/>
      <c r="C992" s="63"/>
      <c r="D992" s="63"/>
      <c r="E992" s="63"/>
      <c r="F992" s="63"/>
      <c r="G992" s="63"/>
      <c r="H992" s="63"/>
      <c r="I992" s="65"/>
      <c r="J992" s="65"/>
      <c r="K992" s="65"/>
      <c r="L992" s="65"/>
      <c r="M992" s="65"/>
      <c r="N992" s="65"/>
      <c r="O992" s="65"/>
      <c r="P992" s="65"/>
      <c r="Q992" s="65"/>
      <c r="R992" s="65"/>
      <c r="S992" s="65"/>
      <c r="T992" s="65"/>
    </row>
    <row r="993" ht="11.25" customHeight="1">
      <c r="A993" s="63"/>
      <c r="B993" s="63"/>
      <c r="C993" s="63"/>
      <c r="D993" s="63"/>
      <c r="E993" s="63"/>
      <c r="F993" s="63"/>
      <c r="G993" s="63"/>
      <c r="H993" s="63"/>
      <c r="I993" s="65"/>
      <c r="J993" s="65"/>
      <c r="K993" s="65"/>
      <c r="L993" s="65"/>
      <c r="M993" s="65"/>
      <c r="N993" s="65"/>
      <c r="O993" s="65"/>
      <c r="P993" s="65"/>
      <c r="Q993" s="65"/>
      <c r="R993" s="65"/>
      <c r="S993" s="65"/>
      <c r="T993" s="65"/>
    </row>
    <row r="994" ht="11.25" customHeight="1">
      <c r="A994" s="63"/>
      <c r="B994" s="63"/>
      <c r="C994" s="63"/>
      <c r="D994" s="63"/>
      <c r="E994" s="63"/>
      <c r="F994" s="63"/>
      <c r="G994" s="63"/>
      <c r="H994" s="63"/>
      <c r="I994" s="65"/>
      <c r="J994" s="65"/>
      <c r="K994" s="65"/>
      <c r="L994" s="65"/>
      <c r="M994" s="65"/>
      <c r="N994" s="65"/>
      <c r="O994" s="65"/>
      <c r="P994" s="65"/>
      <c r="Q994" s="65"/>
      <c r="R994" s="65"/>
      <c r="S994" s="65"/>
      <c r="T994" s="65"/>
    </row>
    <row r="995">
      <c r="A995" s="323"/>
      <c r="B995" s="323"/>
      <c r="C995" s="323"/>
      <c r="D995" s="323"/>
      <c r="E995" s="323"/>
      <c r="F995" s="323"/>
      <c r="G995" s="323"/>
      <c r="H995" s="323"/>
    </row>
    <row r="996">
      <c r="A996" s="323"/>
      <c r="B996" s="323"/>
      <c r="C996" s="323"/>
      <c r="D996" s="323"/>
      <c r="E996" s="323"/>
      <c r="F996" s="323"/>
      <c r="G996" s="323"/>
      <c r="H996" s="323"/>
    </row>
    <row r="997">
      <c r="A997" s="323"/>
      <c r="B997" s="323"/>
      <c r="C997" s="323"/>
      <c r="D997" s="323"/>
      <c r="E997" s="323"/>
      <c r="F997" s="323"/>
      <c r="G997" s="323"/>
      <c r="H997" s="323"/>
    </row>
    <row r="998">
      <c r="A998" s="323"/>
      <c r="B998" s="323"/>
      <c r="C998" s="323"/>
      <c r="D998" s="323"/>
      <c r="E998" s="323"/>
      <c r="F998" s="323"/>
      <c r="G998" s="323"/>
      <c r="H998" s="323"/>
    </row>
    <row r="999">
      <c r="A999" s="323"/>
      <c r="B999" s="323"/>
      <c r="C999" s="323"/>
      <c r="D999" s="323"/>
      <c r="E999" s="323"/>
      <c r="F999" s="323"/>
      <c r="G999" s="323"/>
      <c r="H999" s="323"/>
    </row>
    <row r="1000">
      <c r="A1000" s="323"/>
      <c r="B1000" s="323"/>
      <c r="C1000" s="323"/>
      <c r="D1000" s="323"/>
      <c r="E1000" s="323"/>
      <c r="F1000" s="323"/>
      <c r="G1000" s="323"/>
      <c r="H1000" s="323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7.0"/>
    <col customWidth="1" min="3" max="6" width="10.71"/>
    <col customWidth="1" min="7" max="7" width="13.71"/>
    <col customWidth="1" min="8" max="22" width="10.71"/>
  </cols>
  <sheetData>
    <row r="1">
      <c r="A1" s="61" t="s">
        <v>5</v>
      </c>
      <c r="B1" s="61"/>
      <c r="C1" s="324"/>
      <c r="D1" s="324"/>
      <c r="E1" s="324"/>
      <c r="F1" s="324"/>
      <c r="G1" s="324"/>
      <c r="H1" s="324"/>
    </row>
    <row r="2">
      <c r="A2" s="64" t="s">
        <v>155</v>
      </c>
      <c r="B2" s="61"/>
      <c r="C2" s="324"/>
      <c r="D2" s="324"/>
      <c r="E2" s="324"/>
      <c r="F2" s="324"/>
      <c r="G2" s="324"/>
      <c r="H2" s="324"/>
    </row>
    <row r="3">
      <c r="A3" s="64" t="s">
        <v>156</v>
      </c>
      <c r="C3" s="324" t="s">
        <v>157</v>
      </c>
      <c r="D3" s="324"/>
      <c r="E3" s="324"/>
      <c r="F3" s="324"/>
      <c r="G3" s="324"/>
      <c r="H3" s="324"/>
    </row>
    <row r="4">
      <c r="A4" s="64" t="s">
        <v>158</v>
      </c>
      <c r="B4" s="61"/>
      <c r="C4" s="324" t="s">
        <v>159</v>
      </c>
      <c r="D4" s="324"/>
      <c r="E4" s="324"/>
      <c r="F4" s="324"/>
      <c r="G4" s="324"/>
      <c r="H4" s="324"/>
    </row>
    <row r="5">
      <c r="A5" s="64" t="s">
        <v>160</v>
      </c>
      <c r="B5" s="61"/>
      <c r="C5" s="324" t="s">
        <v>159</v>
      </c>
      <c r="D5" s="324"/>
      <c r="E5" s="324"/>
      <c r="F5" s="324"/>
      <c r="G5" s="324"/>
      <c r="H5" s="324"/>
    </row>
    <row r="6">
      <c r="A6" s="325" t="s">
        <v>161</v>
      </c>
      <c r="B6" s="326" t="s">
        <v>1188</v>
      </c>
      <c r="C6" s="327"/>
      <c r="D6" s="327"/>
      <c r="E6" s="327"/>
      <c r="F6" s="327"/>
      <c r="G6" s="327"/>
      <c r="H6" s="327"/>
    </row>
    <row r="7">
      <c r="A7" s="62"/>
      <c r="B7" s="305"/>
      <c r="C7" s="324"/>
      <c r="D7" s="324"/>
      <c r="E7" s="324"/>
      <c r="F7" s="324"/>
      <c r="G7" s="324"/>
      <c r="H7" s="324"/>
    </row>
    <row r="8">
      <c r="A8" s="259" t="s">
        <v>282</v>
      </c>
      <c r="B8" s="259" t="s">
        <v>209</v>
      </c>
      <c r="C8" s="241" t="s">
        <v>166</v>
      </c>
      <c r="D8" s="242" t="s">
        <v>167</v>
      </c>
      <c r="E8" s="242" t="s">
        <v>284</v>
      </c>
      <c r="F8" s="242" t="s">
        <v>169</v>
      </c>
      <c r="G8" s="242" t="s">
        <v>170</v>
      </c>
      <c r="H8" s="242" t="s">
        <v>756</v>
      </c>
    </row>
    <row r="9">
      <c r="A9" s="75">
        <v>3.11234918E9</v>
      </c>
      <c r="B9" s="75" t="s">
        <v>1189</v>
      </c>
      <c r="C9" s="328">
        <v>250.0</v>
      </c>
      <c r="D9" s="263">
        <v>112.0</v>
      </c>
      <c r="E9" s="329" t="str">
        <f>'[2]AVL-9180'!E9</f>
        <v>#REF!</v>
      </c>
      <c r="F9" s="263" t="str">
        <f>E9/C9</f>
        <v>#REF!</v>
      </c>
      <c r="G9" s="330">
        <f t="shared" ref="G9:G15" si="1">(360/D9)</f>
        <v>3.214285714</v>
      </c>
      <c r="H9" s="330"/>
    </row>
    <row r="10">
      <c r="A10" s="75">
        <v>3.11043518E9</v>
      </c>
      <c r="B10" s="75" t="s">
        <v>1190</v>
      </c>
      <c r="C10" s="328">
        <v>1.0</v>
      </c>
      <c r="D10" s="328">
        <v>365.0</v>
      </c>
      <c r="E10" s="328"/>
      <c r="F10" s="263" t="str">
        <f>(E9/(0.009*450)/2500)</f>
        <v>#REF!</v>
      </c>
      <c r="G10" s="330">
        <f t="shared" si="1"/>
        <v>0.9863013699</v>
      </c>
      <c r="H10" s="330"/>
    </row>
    <row r="11">
      <c r="A11" s="75">
        <v>3.11155518E9</v>
      </c>
      <c r="B11" s="75" t="s">
        <v>1191</v>
      </c>
      <c r="C11" s="328">
        <v>1.0</v>
      </c>
      <c r="D11" s="328">
        <v>365.0</v>
      </c>
      <c r="E11" s="328"/>
      <c r="F11" s="263" t="str">
        <f>(E9/(0.009*450)/1250)</f>
        <v>#REF!</v>
      </c>
      <c r="G11" s="330">
        <f t="shared" si="1"/>
        <v>0.9863013699</v>
      </c>
      <c r="H11" s="330"/>
    </row>
    <row r="12">
      <c r="A12" s="75">
        <v>3.11036218E9</v>
      </c>
      <c r="B12" s="75" t="s">
        <v>1192</v>
      </c>
      <c r="C12" s="328">
        <v>1.0</v>
      </c>
      <c r="D12" s="328">
        <v>365.0</v>
      </c>
      <c r="E12" s="328"/>
      <c r="F12" s="263" t="str">
        <f>(E9/(0.009*450)/1250)</f>
        <v>#REF!</v>
      </c>
      <c r="G12" s="330">
        <f t="shared" si="1"/>
        <v>0.9863013699</v>
      </c>
      <c r="H12" s="330"/>
    </row>
    <row r="13">
      <c r="A13" s="331">
        <v>3.11024918E9</v>
      </c>
      <c r="B13" s="331" t="s">
        <v>1193</v>
      </c>
      <c r="C13" s="328">
        <v>1.0</v>
      </c>
      <c r="D13" s="328">
        <v>365.0</v>
      </c>
      <c r="E13" s="328"/>
      <c r="F13" s="263" t="str">
        <f>(E9/(0.009*300)/2500)</f>
        <v>#REF!</v>
      </c>
      <c r="G13" s="330">
        <f t="shared" si="1"/>
        <v>0.9863013699</v>
      </c>
      <c r="H13" s="330"/>
    </row>
    <row r="14">
      <c r="A14" s="75">
        <v>3.11288818E9</v>
      </c>
      <c r="B14" s="75" t="s">
        <v>1194</v>
      </c>
      <c r="C14" s="328">
        <v>30.0</v>
      </c>
      <c r="D14" s="328">
        <v>12.0</v>
      </c>
      <c r="E14" s="328"/>
      <c r="F14" s="263" t="str">
        <f>(E9/(0.008*450)/1250)</f>
        <v>#REF!</v>
      </c>
      <c r="G14" s="330">
        <f t="shared" si="1"/>
        <v>30</v>
      </c>
      <c r="H14" s="330"/>
    </row>
    <row r="15">
      <c r="A15" s="75">
        <v>3.112292018E9</v>
      </c>
      <c r="B15" s="75" t="s">
        <v>1195</v>
      </c>
      <c r="C15" s="328">
        <v>5.0</v>
      </c>
      <c r="D15" s="328">
        <v>73.0</v>
      </c>
      <c r="E15" s="328"/>
      <c r="F15" s="263" t="str">
        <f>(E9/(0.001*300)/1250)</f>
        <v>#REF!</v>
      </c>
      <c r="G15" s="330">
        <f t="shared" si="1"/>
        <v>4.931506849</v>
      </c>
      <c r="H15" s="330"/>
    </row>
    <row r="16">
      <c r="A16" s="75">
        <v>3.11041918E9</v>
      </c>
      <c r="B16" s="75" t="s">
        <v>1196</v>
      </c>
      <c r="C16" s="328">
        <v>1.0</v>
      </c>
      <c r="D16" s="328">
        <v>196.0</v>
      </c>
      <c r="E16" s="328"/>
      <c r="F16" s="263" t="str">
        <f>([2]BC!$B$47*28)/D16</f>
        <v>#ERROR!</v>
      </c>
      <c r="G16" s="330">
        <f t="shared" ref="G16:G21" si="2">(360/(D16))</f>
        <v>1.836734694</v>
      </c>
      <c r="H16" s="330"/>
    </row>
    <row r="17">
      <c r="A17" s="75">
        <v>3.11033818E9</v>
      </c>
      <c r="B17" s="75" t="s">
        <v>1197</v>
      </c>
      <c r="C17" s="328">
        <v>1.0</v>
      </c>
      <c r="D17" s="328">
        <v>140.0</v>
      </c>
      <c r="E17" s="328"/>
      <c r="F17" s="263" t="str">
        <f>([2]BC!$B$47*28)/D17</f>
        <v>#ERROR!</v>
      </c>
      <c r="G17" s="330">
        <f t="shared" si="2"/>
        <v>2.571428571</v>
      </c>
      <c r="H17" s="330"/>
    </row>
    <row r="18">
      <c r="A18" s="74">
        <v>3.11035418E9</v>
      </c>
      <c r="B18" s="75" t="s">
        <v>1198</v>
      </c>
      <c r="C18" s="328">
        <v>1.0</v>
      </c>
      <c r="D18" s="328">
        <v>84.0</v>
      </c>
      <c r="E18" s="328"/>
      <c r="F18" s="263" t="str">
        <f>([2]BC!$B$47*28)/D18</f>
        <v>#ERROR!</v>
      </c>
      <c r="G18" s="330">
        <f t="shared" si="2"/>
        <v>4.285714286</v>
      </c>
      <c r="H18" s="330"/>
    </row>
    <row r="19">
      <c r="A19" s="75">
        <v>3.11045118E9</v>
      </c>
      <c r="B19" s="75" t="s">
        <v>1199</v>
      </c>
      <c r="C19" s="328">
        <v>1.0</v>
      </c>
      <c r="D19" s="328">
        <v>84.0</v>
      </c>
      <c r="E19" s="328"/>
      <c r="F19" s="263" t="str">
        <f>([2]BC!$B$47*28)/D19</f>
        <v>#ERROR!</v>
      </c>
      <c r="G19" s="330">
        <f t="shared" si="2"/>
        <v>4.285714286</v>
      </c>
      <c r="H19" s="330"/>
    </row>
    <row r="20">
      <c r="A20" s="75">
        <v>3.11230618E9</v>
      </c>
      <c r="B20" s="75" t="s">
        <v>1200</v>
      </c>
      <c r="C20" s="328">
        <v>1.0</v>
      </c>
      <c r="D20" s="328">
        <v>308.0</v>
      </c>
      <c r="E20" s="328"/>
      <c r="F20" s="263" t="str">
        <f>([2]BC!$B$47*28)/D20</f>
        <v>#ERROR!</v>
      </c>
      <c r="G20" s="330">
        <f t="shared" si="2"/>
        <v>1.168831169</v>
      </c>
      <c r="H20" s="330"/>
    </row>
    <row r="21" ht="15.75" customHeight="1">
      <c r="A21" s="332">
        <v>3.11228418E9</v>
      </c>
      <c r="B21" s="75" t="s">
        <v>1201</v>
      </c>
      <c r="C21" s="328">
        <v>1.0</v>
      </c>
      <c r="D21" s="328">
        <v>308.0</v>
      </c>
      <c r="E21" s="328"/>
      <c r="F21" s="263" t="str">
        <f>([2]BC!$B$47*28)/D21</f>
        <v>#ERROR!</v>
      </c>
      <c r="G21" s="330">
        <f t="shared" si="2"/>
        <v>1.168831169</v>
      </c>
      <c r="H21" s="330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9.57"/>
    <col customWidth="1" min="3" max="7" width="10.71"/>
    <col customWidth="1" min="8" max="8" width="13.14"/>
    <col customWidth="1" min="9" max="24" width="10.71"/>
  </cols>
  <sheetData>
    <row r="1">
      <c r="A1" s="61" t="s">
        <v>5</v>
      </c>
      <c r="B1" s="61"/>
      <c r="C1" s="65"/>
      <c r="D1" s="65"/>
      <c r="E1" s="65"/>
      <c r="F1" s="63"/>
      <c r="G1" s="65"/>
      <c r="H1" s="65"/>
    </row>
    <row r="2">
      <c r="A2" s="64" t="s">
        <v>155</v>
      </c>
      <c r="B2" s="61"/>
      <c r="C2" s="65"/>
      <c r="D2" s="65"/>
      <c r="E2" s="65"/>
      <c r="F2" s="63"/>
      <c r="G2" s="65"/>
      <c r="H2" s="65"/>
    </row>
    <row r="3">
      <c r="A3" s="64" t="s">
        <v>156</v>
      </c>
      <c r="C3" s="65" t="s">
        <v>157</v>
      </c>
      <c r="D3" s="65"/>
      <c r="E3" s="65"/>
      <c r="F3" s="63"/>
      <c r="G3" s="65"/>
      <c r="H3" s="65"/>
    </row>
    <row r="4">
      <c r="A4" s="64" t="s">
        <v>158</v>
      </c>
      <c r="B4" s="61"/>
      <c r="C4" s="65" t="s">
        <v>159</v>
      </c>
      <c r="D4" s="65"/>
      <c r="E4" s="65"/>
      <c r="F4" s="63"/>
      <c r="G4" s="65"/>
      <c r="H4" s="65"/>
    </row>
    <row r="5">
      <c r="A5" s="64" t="s">
        <v>160</v>
      </c>
      <c r="B5" s="61"/>
      <c r="C5" s="65" t="s">
        <v>159</v>
      </c>
      <c r="D5" s="65"/>
      <c r="E5" s="65"/>
      <c r="F5" s="63"/>
      <c r="G5" s="65"/>
      <c r="H5" s="65"/>
    </row>
    <row r="6">
      <c r="A6" s="333" t="s">
        <v>161</v>
      </c>
      <c r="B6" s="319"/>
      <c r="C6" s="334" t="s">
        <v>1202</v>
      </c>
      <c r="D6" s="335"/>
      <c r="E6" s="335"/>
      <c r="F6" s="320"/>
      <c r="G6" s="335"/>
      <c r="H6" s="335"/>
    </row>
    <row r="8">
      <c r="A8" s="239" t="s">
        <v>282</v>
      </c>
      <c r="B8" s="239" t="s">
        <v>209</v>
      </c>
      <c r="C8" s="239" t="s">
        <v>166</v>
      </c>
      <c r="D8" s="243" t="s">
        <v>1203</v>
      </c>
      <c r="E8" s="243" t="s">
        <v>284</v>
      </c>
      <c r="F8" s="243" t="s">
        <v>169</v>
      </c>
      <c r="G8" s="243" t="s">
        <v>170</v>
      </c>
      <c r="H8" s="336" t="s">
        <v>756</v>
      </c>
    </row>
    <row r="9">
      <c r="A9" s="76">
        <v>5.169992001E9</v>
      </c>
      <c r="B9" s="75" t="s">
        <v>1204</v>
      </c>
      <c r="C9" s="76">
        <v>200.0</v>
      </c>
      <c r="D9" s="328">
        <v>42.0</v>
      </c>
      <c r="E9" s="76"/>
      <c r="F9" s="76">
        <f>E9/C9</f>
        <v>0</v>
      </c>
      <c r="G9" s="78">
        <f t="shared" ref="G9:G13" si="1">(360/D9)</f>
        <v>8.571428571</v>
      </c>
      <c r="H9" s="337"/>
    </row>
    <row r="10">
      <c r="A10" s="328">
        <v>3.321207001E9</v>
      </c>
      <c r="B10" s="210" t="s">
        <v>1205</v>
      </c>
      <c r="C10" s="76">
        <v>30.0</v>
      </c>
      <c r="D10" s="328">
        <v>30.0</v>
      </c>
      <c r="E10" s="76"/>
      <c r="F10" s="76">
        <f t="shared" ref="F10:F12" si="2">360/C10</f>
        <v>12</v>
      </c>
      <c r="G10" s="78">
        <f t="shared" si="1"/>
        <v>12</v>
      </c>
      <c r="H10" s="337"/>
    </row>
    <row r="11">
      <c r="A11" s="76">
        <v>3.321193001E9</v>
      </c>
      <c r="B11" s="75" t="s">
        <v>1206</v>
      </c>
      <c r="C11" s="76">
        <v>30.0</v>
      </c>
      <c r="D11" s="76">
        <v>30.0</v>
      </c>
      <c r="E11" s="76"/>
      <c r="F11" s="76">
        <f t="shared" si="2"/>
        <v>12</v>
      </c>
      <c r="G11" s="78">
        <f t="shared" si="1"/>
        <v>12</v>
      </c>
      <c r="H11" s="337"/>
    </row>
    <row r="12">
      <c r="A12" s="76">
        <v>3.321215001E9</v>
      </c>
      <c r="B12" s="75" t="s">
        <v>1207</v>
      </c>
      <c r="C12" s="76">
        <v>30.0</v>
      </c>
      <c r="D12" s="76">
        <v>30.0</v>
      </c>
      <c r="E12" s="76"/>
      <c r="F12" s="76">
        <f t="shared" si="2"/>
        <v>12</v>
      </c>
      <c r="G12" s="78">
        <f t="shared" si="1"/>
        <v>12</v>
      </c>
      <c r="H12" s="337"/>
    </row>
    <row r="13">
      <c r="A13" s="328">
        <v>5.170478001E9</v>
      </c>
      <c r="B13" s="210" t="s">
        <v>1208</v>
      </c>
      <c r="C13" s="76">
        <v>1.0</v>
      </c>
      <c r="D13" s="328">
        <v>21.0</v>
      </c>
      <c r="E13" s="76"/>
      <c r="F13" s="76">
        <f>(360/D13)</f>
        <v>17.14285714</v>
      </c>
      <c r="G13" s="78">
        <f t="shared" si="1"/>
        <v>17.14285714</v>
      </c>
      <c r="H13" s="337"/>
    </row>
    <row r="14" ht="15.0" customHeight="1">
      <c r="A14" s="328">
        <v>5.082595001E9</v>
      </c>
      <c r="B14" s="210" t="s">
        <v>1209</v>
      </c>
      <c r="C14" s="76">
        <v>1.0</v>
      </c>
      <c r="D14" s="76">
        <v>365.0</v>
      </c>
      <c r="E14" s="76"/>
      <c r="F14" s="76">
        <f>(E9/(0.001*200)/1250)</f>
        <v>0</v>
      </c>
      <c r="G14" s="78">
        <f t="shared" ref="G14:G15" si="3">(365/D14)</f>
        <v>1</v>
      </c>
      <c r="H14" s="337"/>
    </row>
    <row r="15" ht="15.0" customHeight="1">
      <c r="A15" s="76">
        <v>5.689856001E9</v>
      </c>
      <c r="B15" s="75" t="s">
        <v>1210</v>
      </c>
      <c r="C15" s="76">
        <v>100.0</v>
      </c>
      <c r="D15" s="76">
        <v>365.0</v>
      </c>
      <c r="E15" s="76"/>
      <c r="F15" s="76">
        <f>E9/C15</f>
        <v>0</v>
      </c>
      <c r="G15" s="78">
        <f t="shared" si="3"/>
        <v>1</v>
      </c>
      <c r="H15" s="337"/>
    </row>
    <row r="16" ht="15.0" customHeight="1">
      <c r="A16" s="76">
        <v>3.066762001E9</v>
      </c>
      <c r="B16" s="75" t="s">
        <v>1211</v>
      </c>
      <c r="C16" s="76">
        <v>150.0</v>
      </c>
      <c r="D16" s="76">
        <v>365.0</v>
      </c>
      <c r="E16" s="76"/>
      <c r="F16" s="76">
        <f>((F10*D10)+(F11*D11)+(F12*D12))/C16</f>
        <v>7.2</v>
      </c>
      <c r="G16" s="78">
        <f>365/D16</f>
        <v>1</v>
      </c>
      <c r="H16" s="337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48.43"/>
    <col customWidth="1" min="3" max="26" width="10.71"/>
  </cols>
  <sheetData>
    <row r="1" ht="13.5" customHeight="1">
      <c r="A1" s="64" t="s">
        <v>158</v>
      </c>
      <c r="B1" s="61"/>
      <c r="C1" s="65" t="s">
        <v>159</v>
      </c>
      <c r="D1" s="65"/>
      <c r="E1" s="63"/>
      <c r="F1" s="65"/>
      <c r="G1" s="65"/>
      <c r="H1" s="65"/>
    </row>
    <row r="2" ht="13.5" customHeight="1">
      <c r="A2" s="64" t="s">
        <v>160</v>
      </c>
      <c r="B2" s="61"/>
      <c r="C2" s="65" t="s">
        <v>159</v>
      </c>
      <c r="D2" s="65"/>
      <c r="E2" s="63"/>
      <c r="F2" s="65"/>
      <c r="G2" s="65"/>
      <c r="H2" s="65"/>
    </row>
    <row r="3" ht="13.5" customHeight="1">
      <c r="A3" s="333" t="s">
        <v>161</v>
      </c>
      <c r="B3" s="319"/>
      <c r="C3" s="334" t="s">
        <v>1202</v>
      </c>
      <c r="D3" s="335"/>
      <c r="E3" s="320"/>
      <c r="F3" s="335"/>
      <c r="G3" s="335"/>
      <c r="H3" s="335"/>
    </row>
    <row r="4" ht="13.5" customHeight="1"/>
    <row r="5" ht="13.5" customHeight="1">
      <c r="A5" s="239" t="s">
        <v>282</v>
      </c>
      <c r="B5" s="239" t="s">
        <v>209</v>
      </c>
      <c r="C5" s="239" t="s">
        <v>166</v>
      </c>
      <c r="D5" s="243" t="s">
        <v>1203</v>
      </c>
      <c r="E5" s="243" t="s">
        <v>284</v>
      </c>
      <c r="F5" s="243" t="s">
        <v>169</v>
      </c>
      <c r="G5" s="243" t="s">
        <v>170</v>
      </c>
      <c r="H5" s="243" t="s">
        <v>756</v>
      </c>
    </row>
    <row r="6" ht="13.5" customHeight="1">
      <c r="A6" s="338">
        <v>8.03869419E9</v>
      </c>
      <c r="B6" s="338" t="s">
        <v>1212</v>
      </c>
      <c r="C6" s="339">
        <v>10.0</v>
      </c>
      <c r="D6" s="339"/>
      <c r="E6" s="339"/>
      <c r="F6" s="339">
        <f t="shared" ref="F6:F7" si="1">E6/C6</f>
        <v>0</v>
      </c>
      <c r="G6" s="339"/>
      <c r="H6" s="339"/>
    </row>
    <row r="7" ht="13.5" customHeight="1">
      <c r="A7" s="339">
        <v>6.38011519E9</v>
      </c>
      <c r="B7" s="339" t="s">
        <v>1213</v>
      </c>
      <c r="C7" s="339">
        <v>10.0</v>
      </c>
      <c r="D7" s="339"/>
      <c r="E7" s="339"/>
      <c r="F7" s="339">
        <f t="shared" si="1"/>
        <v>0</v>
      </c>
      <c r="G7" s="339"/>
      <c r="H7" s="339"/>
    </row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29.57"/>
    <col customWidth="1" min="3" max="7" width="11.43"/>
    <col customWidth="1" min="8" max="8" width="2.0"/>
    <col customWidth="1" min="9" max="24" width="10.71"/>
  </cols>
  <sheetData>
    <row r="1" ht="11.25" customHeight="1">
      <c r="A1" s="61" t="s">
        <v>5</v>
      </c>
      <c r="B1" s="61"/>
      <c r="C1" s="65"/>
      <c r="D1" s="65"/>
      <c r="E1" s="65"/>
      <c r="F1" s="63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ht="11.25" customHeight="1">
      <c r="A2" s="64" t="s">
        <v>155</v>
      </c>
      <c r="B2" s="61"/>
      <c r="C2" s="65"/>
      <c r="D2" s="65"/>
      <c r="E2" s="65"/>
      <c r="F2" s="63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</row>
    <row r="3" ht="11.25" customHeight="1">
      <c r="A3" s="64" t="s">
        <v>156</v>
      </c>
      <c r="B3" s="65"/>
      <c r="C3" s="65" t="s">
        <v>157</v>
      </c>
      <c r="D3" s="65"/>
      <c r="E3" s="65"/>
      <c r="F3" s="63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</row>
    <row r="4" ht="11.25" customHeight="1">
      <c r="A4" s="64" t="s">
        <v>158</v>
      </c>
      <c r="B4" s="61"/>
      <c r="C4" s="65" t="s">
        <v>159</v>
      </c>
      <c r="D4" s="65"/>
      <c r="E4" s="65"/>
      <c r="F4" s="63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</row>
    <row r="5" ht="11.25" customHeight="1">
      <c r="A5" s="64" t="s">
        <v>160</v>
      </c>
      <c r="B5" s="61"/>
      <c r="C5" s="65" t="s">
        <v>159</v>
      </c>
      <c r="D5" s="65"/>
      <c r="E5" s="65"/>
      <c r="F5" s="63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</row>
    <row r="6" ht="11.25" customHeight="1">
      <c r="A6" s="333" t="s">
        <v>161</v>
      </c>
      <c r="B6" s="319"/>
      <c r="C6" s="334" t="s">
        <v>1214</v>
      </c>
      <c r="D6" s="335"/>
      <c r="E6" s="335"/>
      <c r="F6" s="320"/>
      <c r="G6" s="335"/>
      <c r="H6" s="33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</row>
    <row r="7" ht="11.2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</row>
    <row r="8">
      <c r="A8" s="241" t="s">
        <v>282</v>
      </c>
      <c r="B8" s="241" t="s">
        <v>209</v>
      </c>
      <c r="C8" s="241" t="s">
        <v>166</v>
      </c>
      <c r="D8" s="242" t="s">
        <v>1203</v>
      </c>
      <c r="E8" s="242" t="s">
        <v>1215</v>
      </c>
      <c r="F8" s="242" t="s">
        <v>169</v>
      </c>
      <c r="G8" s="340" t="s">
        <v>171</v>
      </c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</row>
    <row r="9" ht="11.25" customHeight="1">
      <c r="A9" s="341">
        <v>6.390552001E9</v>
      </c>
      <c r="B9" s="210" t="s">
        <v>1216</v>
      </c>
      <c r="C9" s="76">
        <v>400.0</v>
      </c>
      <c r="D9" s="318"/>
      <c r="E9" s="318"/>
      <c r="F9" s="75"/>
      <c r="G9" s="268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</row>
    <row r="10" ht="11.25" customHeight="1">
      <c r="A10" s="341">
        <v>6.334601001E9</v>
      </c>
      <c r="B10" s="210" t="s">
        <v>1217</v>
      </c>
      <c r="C10" s="76">
        <v>400.0</v>
      </c>
      <c r="D10" s="318"/>
      <c r="E10" s="318"/>
      <c r="F10" s="75"/>
      <c r="G10" s="268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</row>
    <row r="11" ht="11.25" customHeight="1">
      <c r="A11" s="240" t="s">
        <v>267</v>
      </c>
      <c r="B11" s="59"/>
      <c r="C11" s="342"/>
      <c r="D11" s="343"/>
      <c r="E11" s="343"/>
      <c r="F11" s="344"/>
      <c r="G11" s="34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</row>
    <row r="12" ht="11.25" customHeight="1">
      <c r="A12" s="341">
        <v>6.390579001E9</v>
      </c>
      <c r="B12" s="210" t="s">
        <v>1218</v>
      </c>
      <c r="C12" s="76" t="s">
        <v>1219</v>
      </c>
      <c r="D12" s="76" t="s">
        <v>1220</v>
      </c>
      <c r="E12" s="75"/>
      <c r="F12" s="75"/>
      <c r="G12" s="268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</row>
    <row r="13" ht="11.25" customHeight="1">
      <c r="A13" s="246">
        <v>8.181004001E9</v>
      </c>
      <c r="B13" s="75" t="s">
        <v>1221</v>
      </c>
      <c r="C13" s="76">
        <v>1.0</v>
      </c>
      <c r="D13" s="318" t="s">
        <v>1222</v>
      </c>
      <c r="E13" s="75"/>
      <c r="F13" s="75"/>
      <c r="G13" s="268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</row>
    <row r="14" ht="11.25" customHeight="1">
      <c r="A14" s="75">
        <v>6.390544001E9</v>
      </c>
      <c r="B14" s="75" t="s">
        <v>1223</v>
      </c>
      <c r="C14" s="76"/>
      <c r="D14" s="76"/>
      <c r="E14" s="76"/>
      <c r="F14" s="75"/>
      <c r="G14" s="268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</row>
    <row r="15" ht="11.2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</row>
    <row r="16" ht="11.2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</row>
    <row r="17" ht="11.2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</row>
    <row r="18" ht="11.2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</row>
    <row r="19" ht="11.2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</row>
    <row r="20" ht="11.2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</row>
    <row r="21" ht="11.2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</row>
    <row r="22" ht="11.2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</row>
    <row r="23" ht="11.2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</row>
    <row r="24" ht="11.2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</row>
    <row r="25" ht="11.2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</row>
    <row r="26" ht="11.2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</row>
    <row r="27" ht="11.2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</row>
    <row r="28" ht="11.2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</row>
    <row r="29" ht="11.2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</row>
    <row r="30" ht="11.2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</row>
    <row r="31" ht="11.2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</row>
    <row r="32" ht="11.2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</row>
    <row r="33" ht="11.2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</row>
    <row r="34" ht="11.2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</row>
    <row r="35" ht="11.2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</row>
    <row r="36" ht="11.2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</row>
    <row r="37" ht="11.2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</row>
    <row r="38" ht="11.2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</row>
    <row r="39" ht="11.2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</row>
    <row r="40" ht="11.2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</row>
    <row r="41" ht="11.2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</row>
    <row r="42" ht="11.2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</row>
    <row r="43" ht="11.2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</row>
    <row r="44" ht="11.2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</row>
    <row r="45" ht="11.2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</row>
    <row r="46" ht="11.2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</row>
    <row r="47" ht="11.2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</row>
    <row r="48" ht="11.2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</row>
    <row r="49" ht="11.2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</row>
    <row r="50" ht="11.2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</row>
    <row r="51" ht="11.2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</row>
    <row r="52" ht="11.2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</row>
    <row r="53" ht="11.2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</row>
    <row r="54" ht="11.2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</row>
    <row r="55" ht="11.2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</row>
    <row r="56" ht="11.2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</row>
    <row r="57" ht="11.2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</row>
    <row r="58" ht="11.2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</row>
    <row r="59" ht="11.2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</row>
    <row r="60" ht="11.2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</row>
    <row r="61" ht="11.2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</row>
    <row r="62" ht="11.2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</row>
    <row r="63" ht="11.2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</row>
    <row r="64" ht="11.2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</row>
    <row r="65" ht="11.2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</row>
    <row r="66" ht="11.2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</row>
    <row r="67" ht="11.2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</row>
    <row r="68" ht="11.2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</row>
    <row r="69" ht="11.2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</row>
    <row r="70" ht="11.2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</row>
    <row r="71" ht="11.2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</row>
    <row r="72" ht="11.2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</row>
    <row r="73" ht="11.2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</row>
    <row r="74" ht="11.2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</row>
    <row r="75" ht="11.2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</row>
    <row r="76" ht="11.2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</row>
    <row r="77" ht="11.2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</row>
    <row r="78" ht="11.2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</row>
    <row r="79" ht="11.2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</row>
    <row r="80" ht="11.2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</row>
    <row r="81" ht="11.2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</row>
    <row r="82" ht="11.2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</row>
    <row r="83" ht="11.2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</row>
    <row r="84" ht="11.2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</row>
    <row r="85" ht="11.2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</row>
    <row r="86" ht="11.2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</row>
    <row r="87" ht="11.2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</row>
    <row r="88" ht="11.2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</row>
    <row r="89" ht="11.2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</row>
    <row r="90" ht="11.2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</row>
    <row r="91" ht="11.2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</row>
    <row r="92" ht="11.2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</row>
    <row r="93" ht="11.2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</row>
    <row r="94" ht="11.2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</row>
    <row r="95" ht="11.2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</row>
    <row r="96" ht="11.2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</row>
    <row r="97" ht="11.2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</row>
    <row r="98" ht="11.2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</row>
    <row r="99" ht="11.2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</row>
    <row r="100" ht="11.2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</row>
    <row r="101" ht="11.25" customHeight="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</row>
    <row r="102" ht="11.25" customHeight="1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</row>
    <row r="103" ht="11.25" customHeight="1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</row>
    <row r="104" ht="11.25" customHeight="1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</row>
    <row r="105" ht="11.25" customHeight="1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</row>
    <row r="106" ht="11.25" customHeight="1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</row>
    <row r="107" ht="11.25" customHeight="1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</row>
    <row r="108" ht="11.25" customHeight="1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</row>
    <row r="109" ht="11.25" customHeight="1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</row>
    <row r="110" ht="11.25" customHeight="1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</row>
    <row r="111" ht="11.25" customHeight="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</row>
    <row r="112" ht="11.25" customHeight="1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</row>
    <row r="113" ht="11.25" customHeight="1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</row>
    <row r="114" ht="11.25" customHeight="1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</row>
    <row r="115" ht="11.25" customHeight="1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</row>
    <row r="116" ht="11.25" customHeight="1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</row>
    <row r="117" ht="11.25" customHeight="1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</row>
    <row r="118" ht="11.25" customHeight="1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</row>
    <row r="119" ht="11.25" customHeight="1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</row>
    <row r="120" ht="11.25" customHeight="1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</row>
    <row r="121" ht="11.25" customHeight="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</row>
    <row r="122" ht="11.25" customHeight="1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</row>
    <row r="123" ht="11.25" customHeight="1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</row>
    <row r="124" ht="11.25" customHeight="1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</row>
    <row r="125" ht="11.25" customHeight="1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</row>
    <row r="126" ht="11.25" customHeight="1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</row>
    <row r="127" ht="11.25" customHeight="1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</row>
    <row r="128" ht="11.25" customHeight="1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</row>
    <row r="129" ht="11.25" customHeight="1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</row>
    <row r="130" ht="11.25" customHeight="1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</row>
    <row r="131" ht="11.25" customHeight="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</row>
    <row r="132" ht="11.25" customHeight="1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</row>
    <row r="133" ht="11.25" customHeight="1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</row>
    <row r="134" ht="11.25" customHeight="1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</row>
    <row r="135" ht="11.25" customHeight="1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</row>
    <row r="136" ht="11.25" customHeight="1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</row>
    <row r="137" ht="11.25" customHeight="1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</row>
    <row r="138" ht="11.25" customHeight="1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</row>
    <row r="139" ht="11.25" customHeight="1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</row>
    <row r="140" ht="11.25" customHeight="1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</row>
    <row r="141" ht="11.25" customHeight="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</row>
    <row r="142" ht="11.25" customHeight="1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</row>
    <row r="143" ht="11.25" customHeight="1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</row>
    <row r="144" ht="11.25" customHeight="1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</row>
    <row r="145" ht="11.25" customHeight="1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</row>
    <row r="146" ht="11.25" customHeight="1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</row>
    <row r="147" ht="11.25" customHeight="1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</row>
    <row r="148" ht="11.25" customHeight="1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</row>
    <row r="149" ht="11.25" customHeight="1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</row>
    <row r="150" ht="11.25" customHeight="1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</row>
    <row r="151" ht="11.25" customHeight="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</row>
    <row r="152" ht="11.25" customHeight="1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</row>
    <row r="153" ht="11.25" customHeight="1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</row>
    <row r="154" ht="11.25" customHeight="1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</row>
    <row r="155" ht="11.25" customHeight="1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</row>
    <row r="156" ht="11.25" customHeight="1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</row>
    <row r="157" ht="11.25" customHeight="1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</row>
    <row r="158" ht="11.25" customHeight="1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</row>
    <row r="159" ht="11.25" customHeight="1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</row>
    <row r="160" ht="11.25" customHeight="1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</row>
    <row r="161" ht="11.25" customHeight="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</row>
    <row r="162" ht="11.25" customHeight="1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</row>
    <row r="163" ht="11.25" customHeight="1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</row>
    <row r="164" ht="11.25" customHeight="1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</row>
    <row r="165" ht="11.25" customHeight="1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</row>
    <row r="166" ht="11.25" customHeight="1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</row>
    <row r="167" ht="11.25" customHeight="1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</row>
    <row r="168" ht="11.25" customHeight="1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</row>
    <row r="169" ht="11.25" customHeight="1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</row>
    <row r="170" ht="11.25" customHeight="1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</row>
    <row r="171" ht="11.25" customHeight="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</row>
    <row r="172" ht="11.25" customHeight="1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</row>
    <row r="173" ht="11.25" customHeight="1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</row>
    <row r="174" ht="11.25" customHeight="1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</row>
    <row r="175" ht="11.25" customHeight="1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</row>
    <row r="176" ht="11.25" customHeight="1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</row>
    <row r="177" ht="11.25" customHeight="1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</row>
    <row r="178" ht="11.25" customHeight="1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</row>
    <row r="179" ht="11.25" customHeight="1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</row>
    <row r="180" ht="11.25" customHeight="1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</row>
    <row r="181" ht="11.25" customHeight="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</row>
    <row r="182" ht="11.25" customHeight="1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</row>
    <row r="183" ht="11.25" customHeight="1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</row>
    <row r="184" ht="11.25" customHeight="1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</row>
    <row r="185" ht="11.25" customHeight="1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</row>
    <row r="186" ht="11.25" customHeight="1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</row>
    <row r="187" ht="11.25" customHeight="1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</row>
    <row r="188" ht="11.25" customHeight="1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</row>
    <row r="189" ht="11.25" customHeight="1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</row>
    <row r="190" ht="11.25" customHeight="1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</row>
    <row r="191" ht="11.25" customHeight="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</row>
    <row r="192" ht="11.25" customHeight="1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</row>
    <row r="193" ht="11.25" customHeight="1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</row>
    <row r="194" ht="11.25" customHeight="1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</row>
    <row r="195" ht="11.25" customHeight="1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</row>
    <row r="196" ht="11.25" customHeight="1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</row>
    <row r="197" ht="11.25" customHeight="1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</row>
    <row r="198" ht="11.25" customHeight="1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</row>
    <row r="199" ht="11.25" customHeight="1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</row>
    <row r="200" ht="11.25" customHeight="1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</row>
    <row r="201" ht="11.25" customHeight="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</row>
    <row r="202" ht="11.25" customHeight="1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</row>
    <row r="203" ht="11.25" customHeight="1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</row>
    <row r="204" ht="11.25" customHeight="1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</row>
    <row r="205" ht="11.25" customHeight="1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</row>
    <row r="206" ht="11.25" customHeight="1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</row>
    <row r="207" ht="11.25" customHeight="1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</row>
    <row r="208" ht="11.25" customHeight="1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</row>
    <row r="209" ht="11.25" customHeight="1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</row>
    <row r="210" ht="11.25" customHeight="1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</row>
    <row r="211" ht="11.25" customHeight="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</row>
    <row r="212" ht="11.25" customHeight="1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</row>
    <row r="213" ht="11.25" customHeight="1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</row>
    <row r="214" ht="11.25" customHeight="1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</row>
    <row r="215" ht="11.25" customHeight="1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</row>
    <row r="216" ht="11.25" customHeight="1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</row>
    <row r="217" ht="11.25" customHeight="1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</row>
    <row r="218" ht="11.25" customHeight="1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</row>
    <row r="219" ht="11.25" customHeight="1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</row>
    <row r="220" ht="11.25" customHeight="1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</row>
    <row r="221" ht="11.25" customHeight="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</row>
    <row r="222" ht="11.25" customHeight="1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</row>
    <row r="223" ht="11.25" customHeight="1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</row>
    <row r="224" ht="11.25" customHeight="1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</row>
    <row r="225" ht="11.25" customHeight="1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</row>
    <row r="226" ht="11.25" customHeight="1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</row>
    <row r="227" ht="11.25" customHeight="1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</row>
    <row r="228" ht="11.25" customHeight="1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</row>
    <row r="229" ht="11.25" customHeight="1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</row>
    <row r="230" ht="11.25" customHeight="1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</row>
    <row r="231" ht="11.25" customHeight="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</row>
    <row r="232" ht="11.25" customHeight="1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</row>
    <row r="233" ht="11.25" customHeight="1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</row>
    <row r="234" ht="11.25" customHeight="1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</row>
    <row r="235" ht="11.25" customHeight="1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</row>
    <row r="236" ht="11.25" customHeight="1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</row>
    <row r="237" ht="11.25" customHeight="1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</row>
    <row r="238" ht="11.25" customHeight="1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</row>
    <row r="239" ht="11.25" customHeight="1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</row>
    <row r="240" ht="11.25" customHeight="1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</row>
    <row r="241" ht="11.25" customHeight="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</row>
    <row r="242" ht="11.25" customHeight="1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</row>
    <row r="243" ht="11.25" customHeight="1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</row>
    <row r="244" ht="11.25" customHeight="1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</row>
    <row r="245" ht="11.25" customHeight="1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</row>
    <row r="246" ht="11.25" customHeight="1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</row>
    <row r="247" ht="11.25" customHeight="1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</row>
    <row r="248" ht="11.25" customHeight="1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</row>
    <row r="249" ht="11.25" customHeight="1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</row>
    <row r="250" ht="11.25" customHeight="1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</row>
    <row r="251" ht="11.25" customHeight="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</row>
    <row r="252" ht="11.25" customHeight="1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</row>
    <row r="253" ht="11.25" customHeight="1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</row>
    <row r="254" ht="11.25" customHeight="1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</row>
    <row r="255" ht="11.25" customHeight="1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</row>
    <row r="256" ht="11.25" customHeight="1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</row>
    <row r="257" ht="11.25" customHeight="1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</row>
    <row r="258" ht="11.25" customHeight="1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</row>
    <row r="259" ht="11.25" customHeight="1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</row>
    <row r="260" ht="11.25" customHeight="1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</row>
    <row r="261" ht="11.25" customHeight="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</row>
    <row r="262" ht="11.25" customHeight="1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</row>
    <row r="263" ht="11.25" customHeight="1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</row>
    <row r="264" ht="11.25" customHeight="1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</row>
    <row r="265" ht="11.25" customHeight="1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</row>
    <row r="266" ht="11.25" customHeight="1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</row>
    <row r="267" ht="11.25" customHeight="1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</row>
    <row r="268" ht="11.25" customHeight="1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</row>
    <row r="269" ht="11.25" customHeight="1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</row>
    <row r="270" ht="11.25" customHeight="1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</row>
    <row r="271" ht="11.25" customHeight="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</row>
    <row r="272" ht="11.25" customHeight="1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</row>
    <row r="273" ht="11.25" customHeight="1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</row>
    <row r="274" ht="11.25" customHeight="1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</row>
    <row r="275" ht="11.25" customHeight="1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</row>
    <row r="276" ht="11.25" customHeight="1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</row>
    <row r="277" ht="11.25" customHeight="1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</row>
    <row r="278" ht="11.25" customHeight="1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</row>
    <row r="279" ht="11.25" customHeight="1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</row>
    <row r="280" ht="11.25" customHeight="1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</row>
    <row r="281" ht="11.25" customHeight="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</row>
    <row r="282" ht="11.25" customHeight="1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</row>
    <row r="283" ht="11.25" customHeight="1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</row>
    <row r="284" ht="11.25" customHeight="1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</row>
    <row r="285" ht="11.25" customHeight="1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</row>
    <row r="286" ht="11.25" customHeight="1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</row>
    <row r="287" ht="11.25" customHeight="1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</row>
    <row r="288" ht="11.25" customHeight="1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</row>
    <row r="289" ht="11.25" customHeight="1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</row>
    <row r="290" ht="11.25" customHeight="1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</row>
    <row r="291" ht="11.25" customHeight="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</row>
    <row r="292" ht="11.25" customHeight="1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</row>
    <row r="293" ht="11.25" customHeight="1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</row>
    <row r="294" ht="11.25" customHeight="1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</row>
    <row r="295" ht="11.25" customHeight="1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</row>
    <row r="296" ht="11.25" customHeight="1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</row>
    <row r="297" ht="11.25" customHeight="1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</row>
    <row r="298" ht="11.25" customHeight="1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</row>
    <row r="299" ht="11.25" customHeight="1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</row>
    <row r="300" ht="11.25" customHeight="1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</row>
    <row r="301" ht="11.25" customHeight="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</row>
    <row r="302" ht="11.25" customHeight="1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</row>
    <row r="303" ht="11.25" customHeight="1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</row>
    <row r="304" ht="11.25" customHeight="1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</row>
    <row r="305" ht="11.25" customHeight="1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</row>
    <row r="306" ht="11.25" customHeight="1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</row>
    <row r="307" ht="11.25" customHeight="1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</row>
    <row r="308" ht="11.25" customHeight="1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</row>
    <row r="309" ht="11.25" customHeight="1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</row>
    <row r="310" ht="11.25" customHeight="1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</row>
    <row r="311" ht="11.25" customHeight="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</row>
    <row r="312" ht="11.25" customHeight="1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</row>
    <row r="313" ht="11.25" customHeight="1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</row>
    <row r="314" ht="11.25" customHeight="1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</row>
    <row r="315" ht="11.25" customHeight="1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</row>
    <row r="316" ht="11.25" customHeight="1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</row>
    <row r="317" ht="11.25" customHeight="1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</row>
    <row r="318" ht="11.25" customHeight="1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</row>
    <row r="319" ht="11.25" customHeight="1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</row>
    <row r="320" ht="11.25" customHeight="1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</row>
    <row r="321" ht="11.25" customHeight="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</row>
    <row r="322" ht="11.25" customHeight="1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</row>
    <row r="323" ht="11.25" customHeight="1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</row>
    <row r="324" ht="11.25" customHeight="1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</row>
    <row r="325" ht="11.25" customHeight="1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</row>
    <row r="326" ht="11.25" customHeight="1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</row>
    <row r="327" ht="11.25" customHeight="1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</row>
    <row r="328" ht="11.25" customHeight="1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</row>
    <row r="329" ht="11.25" customHeight="1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</row>
    <row r="330" ht="11.25" customHeight="1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</row>
    <row r="331" ht="11.25" customHeight="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</row>
    <row r="332" ht="11.25" customHeight="1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</row>
    <row r="333" ht="11.25" customHeight="1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</row>
    <row r="334" ht="11.25" customHeight="1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</row>
    <row r="335" ht="11.25" customHeight="1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</row>
    <row r="336" ht="11.25" customHeight="1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</row>
    <row r="337" ht="11.25" customHeight="1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</row>
    <row r="338" ht="11.25" customHeight="1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</row>
    <row r="339" ht="11.25" customHeight="1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</row>
    <row r="340" ht="11.25" customHeight="1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</row>
    <row r="341" ht="11.25" customHeight="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</row>
    <row r="342" ht="11.25" customHeight="1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</row>
    <row r="343" ht="11.25" customHeight="1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</row>
    <row r="344" ht="11.25" customHeight="1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</row>
    <row r="345" ht="11.25" customHeight="1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</row>
    <row r="346" ht="11.25" customHeight="1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</row>
    <row r="347" ht="11.25" customHeight="1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</row>
    <row r="348" ht="11.25" customHeight="1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</row>
    <row r="349" ht="11.25" customHeight="1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</row>
    <row r="350" ht="11.25" customHeight="1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</row>
    <row r="351" ht="11.25" customHeight="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</row>
    <row r="352" ht="11.25" customHeight="1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</row>
    <row r="353" ht="11.25" customHeight="1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</row>
    <row r="354" ht="11.25" customHeight="1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</row>
    <row r="355" ht="11.25" customHeight="1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</row>
    <row r="356" ht="11.25" customHeight="1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</row>
    <row r="357" ht="11.25" customHeight="1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</row>
    <row r="358" ht="11.25" customHeight="1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</row>
    <row r="359" ht="11.25" customHeight="1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</row>
    <row r="360" ht="11.25" customHeight="1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</row>
    <row r="361" ht="11.25" customHeight="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</row>
    <row r="362" ht="11.25" customHeight="1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</row>
    <row r="363" ht="11.25" customHeight="1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</row>
    <row r="364" ht="11.25" customHeight="1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</row>
    <row r="365" ht="11.25" customHeight="1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</row>
    <row r="366" ht="11.25" customHeight="1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</row>
    <row r="367" ht="11.25" customHeight="1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</row>
    <row r="368" ht="11.25" customHeight="1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</row>
    <row r="369" ht="11.25" customHeight="1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</row>
    <row r="370" ht="11.25" customHeight="1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</row>
    <row r="371" ht="11.25" customHeight="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</row>
    <row r="372" ht="11.25" customHeight="1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</row>
    <row r="373" ht="11.25" customHeight="1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</row>
    <row r="374" ht="11.25" customHeight="1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</row>
    <row r="375" ht="11.25" customHeight="1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</row>
    <row r="376" ht="11.25" customHeight="1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</row>
    <row r="377" ht="11.25" customHeight="1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</row>
    <row r="378" ht="11.25" customHeight="1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</row>
    <row r="379" ht="11.25" customHeight="1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</row>
    <row r="380" ht="11.25" customHeight="1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</row>
    <row r="381" ht="11.25" customHeight="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</row>
    <row r="382" ht="11.25" customHeight="1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</row>
    <row r="383" ht="11.25" customHeight="1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</row>
    <row r="384" ht="11.25" customHeight="1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</row>
    <row r="385" ht="11.25" customHeight="1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</row>
    <row r="386" ht="11.25" customHeight="1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</row>
    <row r="387" ht="11.25" customHeight="1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</row>
    <row r="388" ht="11.25" customHeight="1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</row>
    <row r="389" ht="11.25" customHeight="1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</row>
    <row r="390" ht="11.25" customHeight="1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</row>
    <row r="391" ht="11.25" customHeight="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</row>
    <row r="392" ht="11.25" customHeight="1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</row>
    <row r="393" ht="11.25" customHeight="1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</row>
    <row r="394" ht="11.25" customHeight="1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</row>
    <row r="395" ht="11.25" customHeight="1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</row>
    <row r="396" ht="11.25" customHeight="1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</row>
    <row r="397" ht="11.25" customHeight="1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</row>
    <row r="398" ht="11.25" customHeight="1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</row>
    <row r="399" ht="11.25" customHeight="1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</row>
    <row r="400" ht="11.25" customHeight="1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</row>
    <row r="401" ht="11.25" customHeight="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</row>
    <row r="402" ht="11.25" customHeight="1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</row>
    <row r="403" ht="11.25" customHeight="1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</row>
    <row r="404" ht="11.25" customHeight="1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</row>
    <row r="405" ht="11.25" customHeight="1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</row>
    <row r="406" ht="11.25" customHeight="1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</row>
    <row r="407" ht="11.25" customHeight="1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</row>
    <row r="408" ht="11.25" customHeight="1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</row>
    <row r="409" ht="11.25" customHeight="1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</row>
    <row r="410" ht="11.25" customHeight="1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</row>
    <row r="411" ht="11.25" customHeight="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</row>
    <row r="412" ht="11.25" customHeight="1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</row>
    <row r="413" ht="11.25" customHeight="1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</row>
    <row r="414" ht="11.25" customHeight="1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</row>
    <row r="415" ht="11.25" customHeight="1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</row>
    <row r="416" ht="11.25" customHeight="1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</row>
    <row r="417" ht="11.25" customHeight="1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</row>
    <row r="418" ht="11.25" customHeight="1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</row>
    <row r="419" ht="11.25" customHeight="1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</row>
    <row r="420" ht="11.25" customHeight="1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</row>
    <row r="421" ht="11.25" customHeight="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</row>
    <row r="422" ht="11.25" customHeight="1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</row>
    <row r="423" ht="11.25" customHeight="1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</row>
    <row r="424" ht="11.25" customHeight="1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</row>
    <row r="425" ht="11.25" customHeight="1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</row>
    <row r="426" ht="11.25" customHeight="1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</row>
    <row r="427" ht="11.25" customHeight="1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</row>
    <row r="428" ht="11.25" customHeight="1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</row>
    <row r="429" ht="11.25" customHeight="1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</row>
    <row r="430" ht="11.25" customHeight="1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</row>
    <row r="431" ht="11.25" customHeight="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</row>
    <row r="432" ht="11.25" customHeight="1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</row>
    <row r="433" ht="11.25" customHeight="1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</row>
    <row r="434" ht="11.25" customHeight="1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</row>
    <row r="435" ht="11.25" customHeight="1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</row>
    <row r="436" ht="11.25" customHeight="1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</row>
    <row r="437" ht="11.25" customHeight="1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</row>
    <row r="438" ht="11.25" customHeight="1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</row>
    <row r="439" ht="11.25" customHeight="1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</row>
    <row r="440" ht="11.25" customHeight="1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</row>
    <row r="441" ht="11.25" customHeight="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</row>
    <row r="442" ht="11.25" customHeight="1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</row>
    <row r="443" ht="11.25" customHeight="1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</row>
    <row r="444" ht="11.25" customHeight="1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</row>
    <row r="445" ht="11.25" customHeight="1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</row>
    <row r="446" ht="11.25" customHeight="1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</row>
    <row r="447" ht="11.25" customHeight="1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</row>
    <row r="448" ht="11.25" customHeight="1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</row>
    <row r="449" ht="11.25" customHeight="1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</row>
    <row r="450" ht="11.25" customHeight="1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</row>
    <row r="451" ht="11.25" customHeight="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</row>
    <row r="452" ht="11.25" customHeight="1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</row>
    <row r="453" ht="11.25" customHeight="1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</row>
    <row r="454" ht="11.25" customHeight="1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</row>
    <row r="455" ht="11.25" customHeight="1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</row>
    <row r="456" ht="11.25" customHeight="1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</row>
    <row r="457" ht="11.25" customHeight="1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</row>
    <row r="458" ht="11.25" customHeight="1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</row>
    <row r="459" ht="11.25" customHeight="1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</row>
    <row r="460" ht="11.25" customHeight="1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</row>
    <row r="461" ht="11.25" customHeight="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</row>
    <row r="462" ht="11.25" customHeight="1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</row>
    <row r="463" ht="11.25" customHeight="1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</row>
    <row r="464" ht="11.25" customHeight="1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</row>
    <row r="465" ht="11.25" customHeight="1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</row>
    <row r="466" ht="11.25" customHeight="1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</row>
    <row r="467" ht="11.25" customHeight="1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</row>
    <row r="468" ht="11.25" customHeight="1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</row>
    <row r="469" ht="11.25" customHeight="1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</row>
    <row r="470" ht="11.25" customHeight="1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</row>
    <row r="471" ht="11.25" customHeight="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</row>
    <row r="472" ht="11.25" customHeight="1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</row>
    <row r="473" ht="11.25" customHeight="1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</row>
    <row r="474" ht="11.25" customHeight="1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</row>
    <row r="475" ht="11.25" customHeight="1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</row>
    <row r="476" ht="11.25" customHeight="1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</row>
    <row r="477" ht="11.25" customHeight="1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</row>
    <row r="478" ht="11.25" customHeight="1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</row>
    <row r="479" ht="11.25" customHeight="1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</row>
    <row r="480" ht="11.25" customHeight="1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</row>
    <row r="481" ht="11.25" customHeight="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</row>
    <row r="482" ht="11.25" customHeight="1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</row>
    <row r="483" ht="11.25" customHeight="1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</row>
    <row r="484" ht="11.25" customHeight="1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</row>
    <row r="485" ht="11.25" customHeight="1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</row>
    <row r="486" ht="11.25" customHeight="1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</row>
    <row r="487" ht="11.25" customHeight="1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</row>
    <row r="488" ht="11.25" customHeight="1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</row>
    <row r="489" ht="11.25" customHeight="1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</row>
    <row r="490" ht="11.25" customHeight="1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</row>
    <row r="491" ht="11.25" customHeight="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</row>
    <row r="492" ht="11.25" customHeight="1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</row>
    <row r="493" ht="11.25" customHeight="1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</row>
    <row r="494" ht="11.25" customHeight="1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</row>
    <row r="495" ht="11.25" customHeight="1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</row>
    <row r="496" ht="11.25" customHeight="1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</row>
    <row r="497" ht="11.25" customHeight="1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</row>
    <row r="498" ht="11.25" customHeight="1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</row>
    <row r="499" ht="11.25" customHeight="1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</row>
    <row r="500" ht="11.25" customHeight="1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</row>
    <row r="501" ht="11.25" customHeight="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</row>
    <row r="502" ht="11.25" customHeight="1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</row>
    <row r="503" ht="11.25" customHeight="1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</row>
    <row r="504" ht="11.25" customHeight="1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</row>
    <row r="505" ht="11.25" customHeight="1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</row>
    <row r="506" ht="11.25" customHeight="1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</row>
    <row r="507" ht="11.25" customHeight="1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</row>
    <row r="508" ht="11.25" customHeight="1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</row>
    <row r="509" ht="11.25" customHeight="1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</row>
    <row r="510" ht="11.25" customHeight="1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</row>
    <row r="511" ht="11.25" customHeight="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</row>
    <row r="512" ht="11.25" customHeight="1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</row>
    <row r="513" ht="11.25" customHeight="1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</row>
    <row r="514" ht="11.25" customHeight="1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</row>
    <row r="515" ht="11.25" customHeight="1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</row>
    <row r="516" ht="11.25" customHeight="1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</row>
    <row r="517" ht="11.25" customHeight="1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</row>
    <row r="518" ht="11.25" customHeight="1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</row>
    <row r="519" ht="11.25" customHeight="1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</row>
    <row r="520" ht="11.25" customHeight="1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</row>
    <row r="521" ht="11.25" customHeight="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</row>
    <row r="522" ht="11.25" customHeight="1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</row>
    <row r="523" ht="11.25" customHeight="1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</row>
    <row r="524" ht="11.25" customHeight="1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</row>
    <row r="525" ht="11.25" customHeight="1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</row>
    <row r="526" ht="11.25" customHeight="1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</row>
    <row r="527" ht="11.25" customHeight="1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</row>
    <row r="528" ht="11.25" customHeight="1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</row>
    <row r="529" ht="11.25" customHeight="1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</row>
    <row r="530" ht="11.25" customHeight="1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</row>
    <row r="531" ht="11.25" customHeight="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</row>
    <row r="532" ht="11.25" customHeight="1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</row>
    <row r="533" ht="11.25" customHeight="1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</row>
    <row r="534" ht="11.25" customHeight="1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</row>
    <row r="535" ht="11.25" customHeight="1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</row>
    <row r="536" ht="11.25" customHeight="1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</row>
    <row r="537" ht="11.25" customHeight="1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</row>
    <row r="538" ht="11.25" customHeight="1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</row>
    <row r="539" ht="11.25" customHeight="1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</row>
    <row r="540" ht="11.25" customHeight="1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</row>
    <row r="541" ht="11.25" customHeight="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</row>
    <row r="542" ht="11.25" customHeight="1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</row>
    <row r="543" ht="11.25" customHeight="1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</row>
    <row r="544" ht="11.25" customHeight="1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</row>
    <row r="545" ht="11.25" customHeight="1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</row>
    <row r="546" ht="11.25" customHeight="1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</row>
    <row r="547" ht="11.25" customHeight="1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</row>
    <row r="548" ht="11.25" customHeight="1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</row>
    <row r="549" ht="11.25" customHeight="1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</row>
    <row r="550" ht="11.25" customHeight="1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</row>
    <row r="551" ht="11.25" customHeight="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</row>
    <row r="552" ht="11.25" customHeight="1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</row>
    <row r="553" ht="11.25" customHeight="1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</row>
    <row r="554" ht="11.25" customHeight="1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</row>
    <row r="555" ht="11.25" customHeight="1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</row>
    <row r="556" ht="11.25" customHeight="1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</row>
    <row r="557" ht="11.25" customHeight="1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</row>
    <row r="558" ht="11.25" customHeight="1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</row>
    <row r="559" ht="11.25" customHeight="1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</row>
    <row r="560" ht="11.25" customHeight="1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</row>
    <row r="561" ht="11.25" customHeight="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</row>
    <row r="562" ht="11.25" customHeight="1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</row>
    <row r="563" ht="11.25" customHeight="1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</row>
    <row r="564" ht="11.25" customHeight="1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</row>
    <row r="565" ht="11.25" customHeight="1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</row>
    <row r="566" ht="11.25" customHeight="1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</row>
    <row r="567" ht="11.25" customHeight="1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</row>
    <row r="568" ht="11.25" customHeight="1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</row>
    <row r="569" ht="11.25" customHeight="1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</row>
    <row r="570" ht="11.25" customHeight="1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</row>
    <row r="571" ht="11.25" customHeight="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</row>
    <row r="572" ht="11.25" customHeight="1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</row>
    <row r="573" ht="11.25" customHeight="1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</row>
    <row r="574" ht="11.25" customHeight="1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</row>
    <row r="575" ht="11.25" customHeight="1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</row>
    <row r="576" ht="11.25" customHeight="1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</row>
    <row r="577" ht="11.25" customHeight="1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</row>
    <row r="578" ht="11.25" customHeight="1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</row>
    <row r="579" ht="11.25" customHeight="1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</row>
    <row r="580" ht="11.25" customHeight="1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</row>
    <row r="581" ht="11.25" customHeight="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</row>
    <row r="582" ht="11.25" customHeight="1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</row>
    <row r="583" ht="11.25" customHeight="1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</row>
    <row r="584" ht="11.25" customHeight="1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</row>
    <row r="585" ht="11.25" customHeight="1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</row>
    <row r="586" ht="11.25" customHeight="1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</row>
    <row r="587" ht="11.25" customHeight="1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</row>
    <row r="588" ht="11.25" customHeight="1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</row>
    <row r="589" ht="11.25" customHeight="1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</row>
    <row r="590" ht="11.25" customHeight="1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</row>
    <row r="591" ht="11.25" customHeight="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</row>
    <row r="592" ht="11.25" customHeight="1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</row>
    <row r="593" ht="11.25" customHeight="1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</row>
    <row r="594" ht="11.25" customHeight="1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</row>
    <row r="595" ht="11.25" customHeight="1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</row>
    <row r="596" ht="11.25" customHeight="1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</row>
    <row r="597" ht="11.25" customHeight="1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</row>
    <row r="598" ht="11.25" customHeight="1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</row>
    <row r="599" ht="11.25" customHeight="1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</row>
    <row r="600" ht="11.25" customHeight="1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</row>
    <row r="601" ht="11.25" customHeight="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</row>
    <row r="602" ht="11.25" customHeight="1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</row>
    <row r="603" ht="11.25" customHeight="1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</row>
    <row r="604" ht="11.25" customHeight="1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</row>
    <row r="605" ht="11.25" customHeight="1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</row>
    <row r="606" ht="11.25" customHeight="1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</row>
    <row r="607" ht="11.25" customHeight="1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</row>
    <row r="608" ht="11.25" customHeight="1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</row>
    <row r="609" ht="11.25" customHeight="1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</row>
    <row r="610" ht="11.25" customHeight="1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</row>
    <row r="611" ht="11.25" customHeight="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</row>
    <row r="612" ht="11.25" customHeight="1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</row>
    <row r="613" ht="11.25" customHeight="1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</row>
    <row r="614" ht="11.25" customHeight="1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</row>
    <row r="615" ht="11.25" customHeight="1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</row>
    <row r="616" ht="11.25" customHeight="1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</row>
    <row r="617" ht="11.25" customHeight="1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</row>
    <row r="618" ht="11.25" customHeight="1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</row>
    <row r="619" ht="11.25" customHeight="1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</row>
    <row r="620" ht="11.25" customHeight="1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</row>
    <row r="621" ht="11.25" customHeight="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</row>
    <row r="622" ht="11.25" customHeight="1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</row>
    <row r="623" ht="11.25" customHeight="1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</row>
    <row r="624" ht="11.25" customHeight="1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</row>
    <row r="625" ht="11.25" customHeight="1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</row>
    <row r="626" ht="11.25" customHeight="1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</row>
    <row r="627" ht="11.25" customHeight="1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</row>
    <row r="628" ht="11.25" customHeight="1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</row>
    <row r="629" ht="11.25" customHeight="1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</row>
    <row r="630" ht="11.25" customHeight="1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</row>
    <row r="631" ht="11.25" customHeight="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</row>
    <row r="632" ht="11.25" customHeight="1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</row>
    <row r="633" ht="11.25" customHeight="1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</row>
    <row r="634" ht="11.25" customHeight="1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</row>
    <row r="635" ht="11.25" customHeight="1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</row>
    <row r="636" ht="11.25" customHeight="1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</row>
    <row r="637" ht="11.25" customHeight="1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</row>
    <row r="638" ht="11.25" customHeight="1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</row>
    <row r="639" ht="11.25" customHeight="1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</row>
    <row r="640" ht="11.25" customHeight="1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</row>
    <row r="641" ht="11.25" customHeight="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</row>
    <row r="642" ht="11.25" customHeight="1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</row>
    <row r="643" ht="11.25" customHeight="1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</row>
    <row r="644" ht="11.25" customHeight="1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</row>
    <row r="645" ht="11.25" customHeight="1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</row>
    <row r="646" ht="11.25" customHeight="1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</row>
    <row r="647" ht="11.25" customHeight="1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</row>
    <row r="648" ht="11.25" customHeight="1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</row>
    <row r="649" ht="11.25" customHeight="1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</row>
    <row r="650" ht="11.25" customHeight="1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</row>
    <row r="651" ht="11.25" customHeight="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</row>
    <row r="652" ht="11.25" customHeight="1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</row>
    <row r="653" ht="11.25" customHeight="1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</row>
    <row r="654" ht="11.25" customHeight="1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</row>
    <row r="655" ht="11.25" customHeight="1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</row>
    <row r="656" ht="11.25" customHeight="1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</row>
    <row r="657" ht="11.25" customHeight="1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</row>
    <row r="658" ht="11.25" customHeight="1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</row>
    <row r="659" ht="11.25" customHeight="1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</row>
    <row r="660" ht="11.25" customHeight="1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</row>
    <row r="661" ht="11.25" customHeight="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</row>
    <row r="662" ht="11.25" customHeight="1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</row>
    <row r="663" ht="11.25" customHeight="1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</row>
    <row r="664" ht="11.25" customHeight="1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</row>
    <row r="665" ht="11.25" customHeight="1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</row>
    <row r="666" ht="11.25" customHeight="1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</row>
    <row r="667" ht="11.25" customHeight="1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</row>
    <row r="668" ht="11.25" customHeight="1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</row>
    <row r="669" ht="11.25" customHeight="1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</row>
    <row r="670" ht="11.25" customHeight="1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</row>
    <row r="671" ht="11.25" customHeight="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</row>
    <row r="672" ht="11.25" customHeight="1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</row>
    <row r="673" ht="11.25" customHeight="1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</row>
    <row r="674" ht="11.25" customHeight="1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</row>
    <row r="675" ht="11.25" customHeight="1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</row>
    <row r="676" ht="11.25" customHeight="1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</row>
    <row r="677" ht="11.25" customHeight="1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</row>
    <row r="678" ht="11.25" customHeight="1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</row>
    <row r="679" ht="11.25" customHeight="1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</row>
    <row r="680" ht="11.25" customHeight="1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</row>
    <row r="681" ht="11.25" customHeight="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</row>
    <row r="682" ht="11.25" customHeight="1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</row>
    <row r="683" ht="11.25" customHeight="1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</row>
    <row r="684" ht="11.25" customHeight="1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</row>
    <row r="685" ht="11.25" customHeight="1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</row>
    <row r="686" ht="11.25" customHeight="1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</row>
    <row r="687" ht="11.25" customHeight="1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</row>
    <row r="688" ht="11.25" customHeight="1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</row>
    <row r="689" ht="11.25" customHeight="1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</row>
    <row r="690" ht="11.25" customHeight="1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</row>
    <row r="691" ht="11.25" customHeight="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</row>
    <row r="692" ht="11.25" customHeight="1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</row>
    <row r="693" ht="11.25" customHeight="1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</row>
    <row r="694" ht="11.25" customHeight="1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</row>
    <row r="695" ht="11.25" customHeight="1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</row>
    <row r="696" ht="11.25" customHeight="1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</row>
    <row r="697" ht="11.25" customHeight="1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</row>
    <row r="698" ht="11.25" customHeight="1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</row>
    <row r="699" ht="11.25" customHeight="1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</row>
    <row r="700" ht="11.25" customHeight="1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</row>
    <row r="701" ht="11.25" customHeight="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</row>
    <row r="702" ht="11.25" customHeight="1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</row>
    <row r="703" ht="11.25" customHeight="1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</row>
    <row r="704" ht="11.25" customHeight="1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</row>
    <row r="705" ht="11.25" customHeight="1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</row>
    <row r="706" ht="11.25" customHeight="1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</row>
    <row r="707" ht="11.25" customHeight="1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</row>
    <row r="708" ht="11.25" customHeight="1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</row>
    <row r="709" ht="11.25" customHeight="1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</row>
    <row r="710" ht="11.25" customHeight="1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</row>
    <row r="711" ht="11.25" customHeight="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</row>
    <row r="712" ht="11.25" customHeight="1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</row>
    <row r="713" ht="11.25" customHeight="1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</row>
    <row r="714" ht="11.25" customHeight="1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</row>
    <row r="715" ht="11.25" customHeight="1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</row>
    <row r="716" ht="11.25" customHeight="1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</row>
    <row r="717" ht="11.25" customHeight="1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</row>
    <row r="718" ht="11.25" customHeight="1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</row>
    <row r="719" ht="11.25" customHeight="1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</row>
    <row r="720" ht="11.25" customHeight="1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</row>
    <row r="721" ht="11.25" customHeight="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</row>
    <row r="722" ht="11.25" customHeight="1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</row>
    <row r="723" ht="11.25" customHeight="1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</row>
    <row r="724" ht="11.25" customHeight="1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</row>
    <row r="725" ht="11.25" customHeight="1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</row>
    <row r="726" ht="11.25" customHeight="1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</row>
    <row r="727" ht="11.25" customHeight="1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</row>
    <row r="728" ht="11.25" customHeight="1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</row>
    <row r="729" ht="11.25" customHeight="1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</row>
    <row r="730" ht="11.25" customHeight="1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</row>
    <row r="731" ht="11.25" customHeight="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</row>
    <row r="732" ht="11.25" customHeight="1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</row>
    <row r="733" ht="11.25" customHeight="1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</row>
    <row r="734" ht="11.25" customHeight="1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</row>
    <row r="735" ht="11.25" customHeight="1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</row>
    <row r="736" ht="11.25" customHeight="1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</row>
    <row r="737" ht="11.25" customHeight="1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</row>
    <row r="738" ht="11.25" customHeight="1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</row>
    <row r="739" ht="11.25" customHeight="1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</row>
    <row r="740" ht="11.25" customHeight="1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</row>
    <row r="741" ht="11.25" customHeight="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</row>
    <row r="742" ht="11.25" customHeight="1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</row>
    <row r="743" ht="11.25" customHeight="1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</row>
    <row r="744" ht="11.25" customHeight="1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</row>
    <row r="745" ht="11.25" customHeight="1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</row>
    <row r="746" ht="11.25" customHeight="1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</row>
    <row r="747" ht="11.25" customHeight="1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</row>
    <row r="748" ht="11.25" customHeight="1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</row>
    <row r="749" ht="11.25" customHeight="1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</row>
    <row r="750" ht="11.25" customHeight="1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</row>
    <row r="751" ht="11.25" customHeight="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</row>
    <row r="752" ht="11.25" customHeight="1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</row>
    <row r="753" ht="11.25" customHeight="1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</row>
    <row r="754" ht="11.25" customHeight="1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</row>
    <row r="755" ht="11.25" customHeight="1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</row>
    <row r="756" ht="11.25" customHeight="1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</row>
    <row r="757" ht="11.25" customHeight="1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</row>
    <row r="758" ht="11.25" customHeight="1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</row>
    <row r="759" ht="11.25" customHeight="1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</row>
    <row r="760" ht="11.25" customHeight="1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</row>
    <row r="761" ht="11.25" customHeight="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</row>
    <row r="762" ht="11.25" customHeight="1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</row>
    <row r="763" ht="11.25" customHeight="1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</row>
    <row r="764" ht="11.25" customHeight="1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</row>
    <row r="765" ht="11.25" customHeight="1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</row>
    <row r="766" ht="11.25" customHeight="1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</row>
    <row r="767" ht="11.25" customHeight="1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</row>
    <row r="768" ht="11.25" customHeight="1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</row>
    <row r="769" ht="11.25" customHeight="1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</row>
    <row r="770" ht="11.25" customHeight="1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</row>
    <row r="771" ht="11.25" customHeight="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</row>
    <row r="772" ht="11.25" customHeight="1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</row>
    <row r="773" ht="11.25" customHeight="1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</row>
    <row r="774" ht="11.25" customHeight="1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</row>
    <row r="775" ht="11.25" customHeight="1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</row>
    <row r="776" ht="11.25" customHeight="1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</row>
    <row r="777" ht="11.25" customHeight="1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</row>
    <row r="778" ht="11.25" customHeight="1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</row>
    <row r="779" ht="11.25" customHeight="1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</row>
    <row r="780" ht="11.25" customHeight="1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</row>
    <row r="781" ht="11.25" customHeight="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</row>
    <row r="782" ht="11.25" customHeight="1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</row>
    <row r="783" ht="11.25" customHeight="1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</row>
    <row r="784" ht="11.25" customHeight="1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</row>
    <row r="785" ht="11.25" customHeight="1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</row>
    <row r="786" ht="11.25" customHeight="1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</row>
    <row r="787" ht="11.25" customHeight="1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</row>
    <row r="788" ht="11.25" customHeight="1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</row>
    <row r="789" ht="11.25" customHeight="1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</row>
    <row r="790" ht="11.25" customHeight="1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</row>
    <row r="791" ht="11.25" customHeight="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</row>
    <row r="792" ht="11.25" customHeight="1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</row>
    <row r="793" ht="11.25" customHeight="1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</row>
    <row r="794" ht="11.25" customHeight="1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</row>
    <row r="795" ht="11.25" customHeight="1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</row>
    <row r="796" ht="11.25" customHeight="1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</row>
    <row r="797" ht="11.25" customHeight="1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</row>
    <row r="798" ht="11.25" customHeight="1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</row>
    <row r="799" ht="11.25" customHeight="1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</row>
    <row r="800" ht="11.25" customHeight="1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</row>
    <row r="801" ht="11.25" customHeight="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</row>
    <row r="802" ht="11.25" customHeight="1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</row>
    <row r="803" ht="11.25" customHeight="1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</row>
    <row r="804" ht="11.25" customHeight="1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</row>
    <row r="805" ht="11.25" customHeight="1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</row>
    <row r="806" ht="11.25" customHeight="1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</row>
    <row r="807" ht="11.25" customHeight="1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</row>
    <row r="808" ht="11.25" customHeight="1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</row>
    <row r="809" ht="11.25" customHeight="1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</row>
    <row r="810" ht="11.25" customHeight="1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</row>
    <row r="811" ht="11.25" customHeight="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</row>
    <row r="812" ht="11.25" customHeight="1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</row>
    <row r="813" ht="11.25" customHeight="1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</row>
    <row r="814" ht="11.25" customHeight="1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</row>
    <row r="815" ht="11.25" customHeight="1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</row>
    <row r="816" ht="11.25" customHeight="1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</row>
    <row r="817" ht="11.25" customHeight="1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</row>
    <row r="818" ht="11.25" customHeight="1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</row>
    <row r="819" ht="11.25" customHeight="1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</row>
    <row r="820" ht="11.25" customHeight="1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</row>
    <row r="821" ht="11.25" customHeight="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</row>
    <row r="822" ht="11.25" customHeight="1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</row>
    <row r="823" ht="11.25" customHeight="1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</row>
    <row r="824" ht="11.25" customHeight="1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</row>
    <row r="825" ht="11.25" customHeight="1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</row>
    <row r="826" ht="11.25" customHeight="1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</row>
    <row r="827" ht="11.25" customHeight="1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</row>
    <row r="828" ht="11.25" customHeight="1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</row>
    <row r="829" ht="11.25" customHeight="1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</row>
    <row r="830" ht="11.25" customHeight="1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</row>
    <row r="831" ht="11.25" customHeight="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</row>
    <row r="832" ht="11.25" customHeight="1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</row>
    <row r="833" ht="11.25" customHeight="1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</row>
    <row r="834" ht="11.25" customHeight="1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</row>
    <row r="835" ht="11.25" customHeight="1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</row>
    <row r="836" ht="11.25" customHeight="1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</row>
    <row r="837" ht="11.25" customHeight="1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</row>
    <row r="838" ht="11.25" customHeight="1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</row>
    <row r="839" ht="11.25" customHeight="1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</row>
    <row r="840" ht="11.25" customHeight="1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</row>
    <row r="841" ht="11.25" customHeight="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</row>
    <row r="842" ht="11.25" customHeight="1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</row>
    <row r="843" ht="11.25" customHeight="1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</row>
    <row r="844" ht="11.25" customHeight="1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</row>
    <row r="845" ht="11.25" customHeight="1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</row>
    <row r="846" ht="11.25" customHeight="1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</row>
    <row r="847" ht="11.25" customHeight="1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</row>
    <row r="848" ht="11.25" customHeight="1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</row>
    <row r="849" ht="11.25" customHeight="1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</row>
    <row r="850" ht="11.25" customHeight="1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</row>
    <row r="851" ht="11.25" customHeight="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</row>
    <row r="852" ht="11.25" customHeight="1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</row>
    <row r="853" ht="11.25" customHeight="1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</row>
    <row r="854" ht="11.25" customHeight="1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</row>
    <row r="855" ht="11.25" customHeight="1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</row>
    <row r="856" ht="11.25" customHeight="1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</row>
    <row r="857" ht="11.25" customHeight="1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</row>
    <row r="858" ht="11.25" customHeight="1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</row>
    <row r="859" ht="11.25" customHeight="1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</row>
    <row r="860" ht="11.25" customHeight="1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</row>
    <row r="861" ht="11.25" customHeight="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</row>
    <row r="862" ht="11.25" customHeight="1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</row>
    <row r="863" ht="11.25" customHeight="1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</row>
    <row r="864" ht="11.25" customHeight="1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</row>
    <row r="865" ht="11.25" customHeight="1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</row>
    <row r="866" ht="11.25" customHeight="1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</row>
    <row r="867" ht="11.25" customHeight="1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</row>
    <row r="868" ht="11.25" customHeight="1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</row>
    <row r="869" ht="11.25" customHeight="1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</row>
    <row r="870" ht="11.25" customHeight="1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</row>
    <row r="871" ht="11.25" customHeight="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</row>
    <row r="872" ht="11.25" customHeight="1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</row>
    <row r="873" ht="11.25" customHeight="1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</row>
    <row r="874" ht="11.25" customHeight="1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</row>
    <row r="875" ht="11.25" customHeight="1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</row>
    <row r="876" ht="11.25" customHeight="1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</row>
    <row r="877" ht="11.25" customHeight="1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</row>
    <row r="878" ht="11.25" customHeight="1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</row>
    <row r="879" ht="11.25" customHeight="1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</row>
    <row r="880" ht="11.25" customHeight="1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</row>
    <row r="881" ht="11.25" customHeight="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</row>
    <row r="882" ht="11.25" customHeight="1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</row>
    <row r="883" ht="11.25" customHeight="1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</row>
    <row r="884" ht="11.25" customHeight="1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</row>
    <row r="885" ht="11.25" customHeight="1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</row>
    <row r="886" ht="11.25" customHeight="1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</row>
    <row r="887" ht="11.25" customHeight="1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</row>
    <row r="888" ht="11.25" customHeight="1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</row>
    <row r="889" ht="11.25" customHeight="1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</row>
    <row r="890" ht="11.25" customHeight="1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</row>
    <row r="891" ht="11.25" customHeight="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</row>
    <row r="892" ht="11.25" customHeight="1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</row>
    <row r="893" ht="11.25" customHeight="1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</row>
    <row r="894" ht="11.25" customHeight="1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</row>
    <row r="895" ht="11.25" customHeight="1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</row>
    <row r="896" ht="11.25" customHeight="1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</row>
    <row r="897" ht="11.25" customHeight="1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</row>
    <row r="898" ht="11.25" customHeight="1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</row>
    <row r="899" ht="11.25" customHeight="1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</row>
    <row r="900" ht="11.25" customHeight="1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</row>
    <row r="901" ht="11.25" customHeight="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</row>
    <row r="902" ht="11.25" customHeight="1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</row>
    <row r="903" ht="11.25" customHeight="1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</row>
    <row r="904" ht="11.25" customHeight="1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</row>
    <row r="905" ht="11.25" customHeight="1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</row>
    <row r="906" ht="11.25" customHeight="1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</row>
    <row r="907" ht="11.25" customHeight="1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</row>
    <row r="908" ht="11.25" customHeight="1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</row>
    <row r="909" ht="11.25" customHeight="1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</row>
    <row r="910" ht="11.25" customHeight="1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</row>
    <row r="911" ht="11.25" customHeight="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</row>
    <row r="912" ht="11.25" customHeight="1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</row>
    <row r="913" ht="11.25" customHeight="1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</row>
    <row r="914" ht="11.25" customHeight="1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</row>
    <row r="915" ht="11.25" customHeight="1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</row>
    <row r="916" ht="11.25" customHeight="1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</row>
    <row r="917" ht="11.25" customHeight="1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</row>
    <row r="918" ht="11.25" customHeight="1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</row>
    <row r="919" ht="11.25" customHeight="1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</row>
    <row r="920" ht="11.25" customHeight="1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</row>
    <row r="921" ht="11.25" customHeight="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</row>
    <row r="922" ht="11.25" customHeight="1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</row>
    <row r="923" ht="11.25" customHeight="1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</row>
    <row r="924" ht="11.25" customHeight="1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</row>
    <row r="925" ht="11.25" customHeight="1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</row>
    <row r="926" ht="11.25" customHeight="1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</row>
    <row r="927" ht="11.25" customHeight="1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</row>
    <row r="928" ht="11.25" customHeight="1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</row>
    <row r="929" ht="11.25" customHeight="1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</row>
    <row r="930" ht="11.25" customHeight="1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</row>
    <row r="931" ht="11.25" customHeight="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</row>
    <row r="932" ht="11.25" customHeight="1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</row>
    <row r="933" ht="11.25" customHeight="1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</row>
    <row r="934" ht="11.25" customHeight="1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</row>
    <row r="935" ht="11.25" customHeight="1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</row>
    <row r="936" ht="11.25" customHeight="1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</row>
    <row r="937" ht="11.25" customHeight="1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</row>
    <row r="938" ht="11.25" customHeight="1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</row>
    <row r="939" ht="11.25" customHeight="1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</row>
    <row r="940" ht="11.25" customHeight="1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</row>
    <row r="941" ht="11.25" customHeight="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</row>
    <row r="942" ht="11.25" customHeight="1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</row>
    <row r="943" ht="11.25" customHeight="1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</row>
    <row r="944" ht="11.25" customHeight="1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</row>
    <row r="945" ht="11.25" customHeight="1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</row>
    <row r="946" ht="11.25" customHeight="1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</row>
    <row r="947" ht="11.25" customHeight="1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</row>
    <row r="948" ht="11.25" customHeight="1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</row>
    <row r="949" ht="11.25" customHeight="1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</row>
    <row r="950" ht="11.25" customHeight="1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</row>
    <row r="951" ht="11.25" customHeight="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</row>
    <row r="952" ht="11.25" customHeight="1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</row>
    <row r="953" ht="11.25" customHeight="1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</row>
    <row r="954" ht="11.25" customHeight="1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</row>
    <row r="955" ht="11.25" customHeight="1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</row>
    <row r="956" ht="11.25" customHeight="1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</row>
    <row r="957" ht="11.25" customHeight="1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</row>
    <row r="958" ht="11.25" customHeight="1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</row>
    <row r="959" ht="11.25" customHeight="1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</row>
    <row r="960" ht="11.25" customHeight="1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</row>
    <row r="961" ht="11.25" customHeight="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</row>
    <row r="962" ht="11.25" customHeight="1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</row>
    <row r="963" ht="11.25" customHeight="1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</row>
    <row r="964" ht="11.25" customHeight="1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</row>
    <row r="965" ht="11.25" customHeight="1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</row>
    <row r="966" ht="11.25" customHeight="1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</row>
    <row r="967" ht="11.25" customHeight="1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</row>
    <row r="968" ht="11.25" customHeight="1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</row>
    <row r="969" ht="11.25" customHeight="1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</row>
    <row r="970" ht="11.25" customHeight="1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</row>
    <row r="971" ht="11.25" customHeight="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</row>
    <row r="972" ht="11.25" customHeight="1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</row>
    <row r="973" ht="11.25" customHeight="1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</row>
    <row r="974" ht="11.25" customHeight="1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</row>
    <row r="975" ht="11.25" customHeight="1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</row>
    <row r="976" ht="11.25" customHeight="1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</row>
    <row r="977" ht="11.25" customHeight="1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</row>
    <row r="978" ht="11.25" customHeight="1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</row>
    <row r="979" ht="11.25" customHeight="1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</row>
    <row r="980" ht="11.25" customHeight="1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</row>
    <row r="981" ht="11.25" customHeight="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</row>
    <row r="982" ht="11.25" customHeight="1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</row>
    <row r="983" ht="11.25" customHeight="1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</row>
    <row r="984" ht="11.25" customHeight="1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</row>
    <row r="985" ht="11.25" customHeight="1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</row>
    <row r="986" ht="11.25" customHeight="1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</row>
    <row r="987" ht="11.25" customHeight="1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  <c r="R987" s="65"/>
      <c r="S987" s="65"/>
      <c r="T987" s="65"/>
      <c r="U987" s="65"/>
      <c r="V987" s="65"/>
      <c r="W987" s="65"/>
      <c r="X987" s="65"/>
    </row>
    <row r="988" ht="11.25" customHeight="1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  <c r="R988" s="65"/>
      <c r="S988" s="65"/>
      <c r="T988" s="65"/>
      <c r="U988" s="65"/>
      <c r="V988" s="65"/>
      <c r="W988" s="65"/>
      <c r="X988" s="65"/>
    </row>
    <row r="989" ht="11.25" customHeight="1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  <c r="R989" s="65"/>
      <c r="S989" s="65"/>
      <c r="T989" s="65"/>
      <c r="U989" s="65"/>
      <c r="V989" s="65"/>
      <c r="W989" s="65"/>
      <c r="X989" s="65"/>
    </row>
    <row r="990" ht="11.25" customHeight="1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  <c r="R990" s="65"/>
      <c r="S990" s="65"/>
      <c r="T990" s="65"/>
      <c r="U990" s="65"/>
      <c r="V990" s="65"/>
      <c r="W990" s="65"/>
      <c r="X990" s="65"/>
    </row>
    <row r="991" ht="11.25" customHeight="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  <c r="R991" s="65"/>
      <c r="S991" s="65"/>
      <c r="T991" s="65"/>
      <c r="U991" s="65"/>
      <c r="V991" s="65"/>
      <c r="W991" s="65"/>
      <c r="X991" s="65"/>
    </row>
    <row r="992" ht="11.25" customHeight="1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  <c r="R992" s="65"/>
      <c r="S992" s="65"/>
      <c r="T992" s="65"/>
      <c r="U992" s="65"/>
      <c r="V992" s="65"/>
      <c r="W992" s="65"/>
      <c r="X992" s="65"/>
    </row>
    <row r="993" ht="11.25" customHeight="1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  <c r="R993" s="65"/>
      <c r="S993" s="65"/>
      <c r="T993" s="65"/>
      <c r="U993" s="65"/>
      <c r="V993" s="65"/>
      <c r="W993" s="65"/>
      <c r="X993" s="65"/>
    </row>
    <row r="994" ht="11.25" customHeight="1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  <c r="R994" s="65"/>
      <c r="S994" s="65"/>
      <c r="T994" s="65"/>
      <c r="U994" s="65"/>
      <c r="V994" s="65"/>
      <c r="W994" s="65"/>
      <c r="X994" s="65"/>
    </row>
    <row r="995" ht="11.25" customHeight="1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  <c r="R995" s="65"/>
      <c r="S995" s="65"/>
      <c r="T995" s="65"/>
      <c r="U995" s="65"/>
      <c r="V995" s="65"/>
      <c r="W995" s="65"/>
      <c r="X995" s="65"/>
    </row>
    <row r="996" ht="11.25" customHeight="1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  <c r="R996" s="65"/>
      <c r="S996" s="65"/>
      <c r="T996" s="65"/>
      <c r="U996" s="65"/>
      <c r="V996" s="65"/>
      <c r="W996" s="65"/>
      <c r="X996" s="65"/>
    </row>
    <row r="997" ht="11.25" customHeight="1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  <c r="R997" s="65"/>
      <c r="S997" s="65"/>
      <c r="T997" s="65"/>
      <c r="U997" s="65"/>
      <c r="V997" s="65"/>
      <c r="W997" s="65"/>
      <c r="X997" s="65"/>
    </row>
    <row r="998" ht="11.25" customHeight="1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  <c r="R998" s="65"/>
      <c r="S998" s="65"/>
      <c r="T998" s="65"/>
      <c r="U998" s="65"/>
      <c r="V998" s="65"/>
      <c r="W998" s="65"/>
      <c r="X998" s="65"/>
    </row>
    <row r="999" ht="11.25" customHeight="1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  <c r="R999" s="65"/>
      <c r="S999" s="65"/>
      <c r="T999" s="65"/>
      <c r="U999" s="65"/>
      <c r="V999" s="65"/>
      <c r="W999" s="65"/>
      <c r="X999" s="65"/>
    </row>
    <row r="1000" ht="11.25" customHeight="1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  <c r="R1000" s="65"/>
      <c r="S1000" s="65"/>
      <c r="T1000" s="65"/>
      <c r="U1000" s="65"/>
      <c r="V1000" s="65"/>
      <c r="W1000" s="65"/>
      <c r="X1000" s="65"/>
    </row>
  </sheetData>
  <mergeCells count="1">
    <mergeCell ref="A11:B1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2024-07-17T17:27:37Z</dcterms:created>
  <dc:creator>pamealtamirano0481@gmail.com</dc:creator>
</cp:coreProperties>
</file>