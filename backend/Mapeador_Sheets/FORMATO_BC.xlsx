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C" sheetId="1" r:id="rId1"/>
    <sheet name="XP 300" sheetId="2" r:id="rId2"/>
    <sheet name="XN-L" sheetId="3" r:id="rId3"/>
    <sheet name="XN 1000" sheetId="4" r:id="rId4"/>
    <sheet name="c111" sheetId="5" r:id="rId5"/>
    <sheet name="c311" sheetId="6" r:id="rId6"/>
    <sheet name="e411" sheetId="7" r:id="rId7"/>
    <sheet name="c303 c503" sheetId="8" r:id="rId8"/>
    <sheet name=" e402 e801" sheetId="9" r:id="rId9"/>
    <sheet name="t411 h232" sheetId="10" r:id="rId10"/>
    <sheet name="AVL 9180" sheetId="11" r:id="rId11"/>
    <sheet name="b123" sheetId="12" r:id="rId12"/>
    <sheet name="b101" sheetId="13" r:id="rId13"/>
    <sheet name="u6500" sheetId="14" r:id="rId1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6">
    <numFmt numFmtId="43" formatCode="_ * #,##0.00_ ;_ * \-#,##0.00_ ;_ * &quot;-&quot;??_ ;_ @_ "/>
    <numFmt numFmtId="56" formatCode="&quot;上午/下午 &quot;hh&quot;時&quot;mm&quot;分&quot;ss&quot;秒 &quot;"/>
    <numFmt numFmtId="164" formatCode="_-&quot;$&quot;* #,##0.00_-;\-&quot;$&quot;* #,##0.00_-;_-&quot;$&quot;* &quot;-&quot;??_-;_-@"/>
    <numFmt numFmtId="165" formatCode="_(&quot;$&quot;\ * #,##0.00_);_(&quot;$&quot;\ * \(#,##0.00\);_(&quot;$&quot;\ * &quot;-&quot;??_);_(@_)"/>
    <numFmt numFmtId="166" formatCode="0.000000000"/>
    <numFmt numFmtId="167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NumberFormat="1"/>
    <xf numFmtId="164" fontId="0" fillId="0" borderId="0" xfId="0" applyNumberFormat="1"/>
    <xf numFmtId="9" fontId="0" fillId="0" borderId="0" xfId="0" applyNumberFormat="1"/>
    <xf numFmtId="15" fontId="0" fillId="0" borderId="0" xfId="0" applyNumberFormat="1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5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Z1000"/>
  <sheetViews>
    <sheetView workbookViewId="0" rightToLeft="0"/>
  </sheetViews>
  <cols>
    <col min="1" max="1" customWidth="1" width="47.6640625"/>
    <col min="2" max="2" customWidth="1" width="43.109375"/>
    <col min="3" max="3" customWidth="1" width="11.44140625"/>
    <col min="4" max="4" customWidth="1" width="11.44140625"/>
    <col min="5" max="5" customWidth="1" width="35.33203125"/>
    <col min="6" max="6" customWidth="1" width="11.44140625"/>
    <col min="7" max="7" customWidth="1" width="10.6640625"/>
    <col min="8" max="8" customWidth="1" width="10.6640625"/>
    <col min="9" max="9" customWidth="1" width="10.6640625"/>
    <col min="10" max="10" customWidth="1" width="10.6640625"/>
    <col min="11" max="11" customWidth="1" width="10.6640625"/>
    <col min="12" max="12" customWidth="1" width="10.6640625"/>
    <col min="13" max="13" customWidth="1" width="10.6640625"/>
    <col min="14" max="14" customWidth="1" width="10.6640625"/>
    <col min="15" max="15" customWidth="1" width="10.6640625"/>
    <col min="16" max="16" customWidth="1" width="10.6640625"/>
    <col min="17" max="17" customWidth="1" width="10.6640625"/>
    <col min="18" max="18" customWidth="1" width="10.6640625"/>
    <col min="19" max="19" customWidth="1" width="10.6640625"/>
    <col min="20" max="20" customWidth="1" width="10.6640625"/>
    <col min="21" max="21" customWidth="1" width="10.6640625"/>
    <col min="22" max="22" customWidth="1" width="10.6640625"/>
    <col min="23" max="23" customWidth="1" width="10.6640625"/>
    <col min="24" max="24" customWidth="1" width="10.6640625"/>
    <col min="25" max="25" customWidth="1" width="10.6640625"/>
    <col min="26" max="26" customWidth="1" width="10.6640625"/>
  </cols>
  <sheetData>
    <row r="1" ht="13.5" customHeight="1">
      <c r="A1" t="str">
        <v>INFORMACIÓN GENERAL PARA CASO DE NEGOCIO (BC)</v>
      </c>
    </row>
    <row r="2" ht="13.5" customHeight="1">
      <c r="A2" t="str">
        <v>Actualización: 15 enero 2026 17:05</v>
      </c>
    </row>
    <row r="3" ht="13.5" customHeight="1">
      <c r="A3" t="str">
        <v>FECHA MAXIMA PARA CALCULO DE CONSUMIBLES (NO MENOR A 48 HORAS)</v>
      </c>
    </row>
    <row r="4" ht="13.5" customHeight="1">
      <c r="A4" t="str">
        <v>TIPO DE CLIENTE</v>
      </c>
    </row>
    <row r="5" ht="13.5" customHeight="1">
      <c r="A5" t="str">
        <v>ENTIDAD CONTRATANTE</v>
      </c>
    </row>
    <row r="6" ht="13.5" customHeight="1">
      <c r="A6" t="str">
        <v>CLIENTE</v>
      </c>
    </row>
    <row r="7" ht="13.5" customHeight="1">
      <c r="A7" t="str">
        <v>Código del Proceso</v>
      </c>
    </row>
    <row r="8" ht="13.5" customHeight="1">
      <c r="A8" t="str">
        <v>Objeto de contratación</v>
      </c>
    </row>
    <row r="9" ht="13.5" customHeight="1">
      <c r="A9" t="str">
        <v>Provincia /Ciudad</v>
      </c>
    </row>
    <row r="10" ht="13.5" customHeight="1">
      <c r="A10" t="str">
        <v>* Ambiente de Laboratorio :</v>
      </c>
    </row>
    <row r="11" ht="13.5" customHeight="1">
      <c r="A11" t="str">
        <v>Número de días por semana que trabaja el laboratorio</v>
      </c>
    </row>
    <row r="12" ht="13.5" customHeight="1">
      <c r="A12" t="str">
        <v>Turnos por dia</v>
      </c>
    </row>
    <row r="13" ht="13.5" customHeight="1">
      <c r="A13" t="str">
        <v>Horas por turno</v>
      </c>
    </row>
    <row r="14" ht="13.5" customHeight="1">
      <c r="A14" t="str">
        <v>Controles de calidad por turno</v>
      </c>
    </row>
    <row r="15" ht="13.5" customHeight="1">
      <c r="A15" t="str">
        <v>Niveles de Control</v>
      </c>
    </row>
    <row r="16" ht="13.5" customHeight="1">
      <c r="A16" t="str">
        <v>Frecuencia de controles de calidad  (Rutina)</v>
      </c>
    </row>
    <row r="17" ht="13.5" customHeight="1">
      <c r="A17" t="str">
        <v>Pruebas Especiales</v>
      </c>
    </row>
    <row r="18" ht="13.5" customHeight="1">
      <c r="A18" t="str">
        <v>Frecuencia de controles de calidad pruebas especiales</v>
      </c>
    </row>
    <row r="19" ht="13.5" customHeight="1">
      <c r="A19" t="str">
        <v>*Equipamiento</v>
      </c>
    </row>
    <row r="20" ht="13.5" customHeight="1">
      <c r="A20" t="str">
        <v>Nombre de Equipo Principal</v>
      </c>
    </row>
    <row r="21" ht="13.5" customHeight="1">
      <c r="A21" t="str">
        <v>Estado de equipo principal (nuevo / usado/ año de fabricación) TDR</v>
      </c>
    </row>
    <row r="22" ht="15" customHeight="1">
      <c r="A22" t="str">
        <v>Estado de equipo: Propio / Alquilado /Nuevo /Reservado/ Serie (FAM)</v>
      </c>
    </row>
    <row r="23" ht="13.5" customHeight="1">
      <c r="A23" t="str">
        <v>Imagen reserva de equipo</v>
      </c>
    </row>
    <row r="24" ht="13.5" customHeight="1">
      <c r="A24" t="str">
        <v>Nombre de Equipo Back up</v>
      </c>
    </row>
    <row r="25" ht="13.5" customHeight="1">
      <c r="A25" t="str">
        <v>Estado de equipo back up (nuevo / usado/ año de fabricación)</v>
      </c>
    </row>
    <row r="26" ht="13.5" customHeight="1">
      <c r="A26" t="str">
        <v>Se debe instalar a la par del equipo principal? SI/NO</v>
      </c>
    </row>
    <row r="27" ht="13.5" customHeight="1">
      <c r="A27" t="str">
        <v>Ubicación de los equipos a instalar</v>
      </c>
    </row>
    <row r="28" ht="13.5" customHeight="1">
      <c r="A28" t="str">
        <v>Permite equipo provisional</v>
      </c>
    </row>
    <row r="29" ht="13.5" customHeight="1">
      <c r="A29" t="str">
        <v>Requiere equipo complementario) SI/NO</v>
      </c>
    </row>
    <row r="30" ht="13.5" customHeight="1">
      <c r="A30" t="str">
        <v>Equipo complementario, para que prueba</v>
      </c>
    </row>
    <row r="31" ht="13.5" customHeight="1">
      <c r="A31" t="str">
        <v>*LIS</v>
      </c>
    </row>
    <row r="32" ht="13.5" customHeight="1">
      <c r="A32" t="str">
        <v>Incluye LIS : Si / No</v>
      </c>
    </row>
    <row r="33" ht="13.5" customHeight="1">
      <c r="A33" t="str">
        <v>Proveedor del sistema a trabajar</v>
      </c>
    </row>
    <row r="34" ht="13.5" customHeight="1">
      <c r="A34" t="str">
        <v>Incluye Hadware: Si/No</v>
      </c>
    </row>
    <row r="35" ht="13.5" customHeight="1">
      <c r="A35" t="str">
        <v>Número de pacientes MENSUAL</v>
      </c>
    </row>
    <row r="36" ht="13.5" customHeight="1">
      <c r="A36" t="str">
        <v>Interfaz a sistema actual</v>
      </c>
    </row>
    <row r="37" ht="13.5" customHeight="1">
      <c r="A37" t="str">
        <v>Nombre del sistema</v>
      </c>
    </row>
    <row r="38" ht="13.5" customHeight="1">
      <c r="A38" t="str">
        <v>Proveedor</v>
      </c>
    </row>
    <row r="39" ht="13.5" customHeight="1">
      <c r="A39" t="str">
        <v>Incluye Hadware: Si/No</v>
      </c>
    </row>
    <row r="40" ht="13.5" customHeight="1">
      <c r="A40" t="str">
        <v>Interfaz de equipos</v>
      </c>
    </row>
    <row r="41" ht="13.5" customHeight="1">
      <c r="A41" t="str">
        <v>Modelo / Proveedor</v>
      </c>
    </row>
    <row r="42" ht="13.5" customHeight="1">
      <c r="A42" t="str">
        <v>Modelo / Proveedor</v>
      </c>
    </row>
    <row r="43" ht="13.5" customHeight="1">
      <c r="A43" t="str">
        <v>Modelo / Proveedor</v>
      </c>
    </row>
    <row r="44" ht="13.5" customHeight="1">
      <c r="A44" t="str">
        <v>* Requerimiento del BC:</v>
      </c>
    </row>
    <row r="45" ht="13.5" customHeight="1">
      <c r="A45" t="str">
        <v>Cobro de arriendo del equipamiento: Si / NO (GERENCIA)</v>
      </c>
    </row>
    <row r="46" ht="13.5" customHeight="1">
      <c r="A46" t="str">
        <v>Plazo</v>
      </c>
    </row>
    <row r="47" ht="13.5" customHeight="1">
      <c r="A47" t="str">
        <v>Proyección de plazo</v>
      </c>
    </row>
    <row r="48" ht="13.5" customHeight="1">
      <c r="A48" t="str">
        <v>*Compra</v>
      </c>
    </row>
    <row r="49" ht="13.5" customHeight="1">
      <c r="A49" t="str">
        <v>Presupuesto Referencial del proceso</v>
      </c>
    </row>
    <row r="50" ht="13.5" customHeight="1">
      <c r="A50" t="str">
        <v>Porcentaje máximo de canje</v>
      </c>
    </row>
    <row r="51" ht="13.5" customHeight="1">
      <c r="A51" t="str">
        <v>Compromiso de compra (GERENCIA)</v>
      </c>
    </row>
    <row r="52" ht="13.5" customHeight="1">
      <c r="A52" t="str">
        <v>*Entregas</v>
      </c>
    </row>
    <row r="53" ht="13.5" customHeight="1">
      <c r="A53" t="str">
        <v>Total/Parcial - tiempo/Parcial a necesidad del laboratorio</v>
      </c>
    </row>
    <row r="54" ht="13.5" customHeight="1">
      <c r="A54" t="str">
        <v>Determinacion Efectiva Si/No</v>
      </c>
    </row>
    <row r="55" ht="13.5" customHeight="1">
      <c r="A55" t="str">
        <v>Observaciones</v>
      </c>
    </row>
    <row r="56" ht="13.5" customHeight="1">
      <c r="B56" t="str">
        <f>IFERROR(__xludf.DUMMYFUNCTION("REGEXREPLACE(LOWER(A56),""[^a-z0-9]+"",""_"")"),"")</f>
        <v/>
      </c>
    </row>
    <row r="57" ht="13.5" customHeight="1">
      <c r="A57" t="str">
        <v>*Inversiones adicionales</v>
      </c>
      <c r="B57" t="str">
        <v>Características</v>
      </c>
      <c r="C57" t="str">
        <v>Estado</v>
      </c>
      <c r="D57" t="str">
        <v>Cantidad</v>
      </c>
      <c r="E57" t="str">
        <v>Precio</v>
      </c>
      <c r="F57" t="str">
        <v>Total</v>
      </c>
    </row>
    <row r="58" ht="13.5" customHeight="1">
      <c r="A58" t="str">
        <v>Control externo de tercera opinión</v>
      </c>
      <c r="F58" s="1" t="str">
        <v>$ -</v>
      </c>
    </row>
    <row r="59" ht="13.5" customHeight="1">
      <c r="A59" t="str">
        <v>Control interno interlaboratorial</v>
      </c>
      <c r="F59" s="1" t="str">
        <v>$ -</v>
      </c>
    </row>
    <row r="60" ht="13.5" customHeight="1">
      <c r="A60" t="str">
        <v>Póliza de Fiel Cumplimiento del Contrato</v>
      </c>
      <c r="F60" s="1" t="str">
        <v>$ -</v>
      </c>
    </row>
    <row r="61" ht="13.5" customHeight="1">
      <c r="A61" t="str">
        <v>Póliza de seguro de equipos</v>
      </c>
      <c r="F61" s="1" t="str">
        <v>$ -</v>
      </c>
    </row>
    <row r="62" ht="13.5" customHeight="1">
      <c r="A62" t="str">
        <v>Ups equipo</v>
      </c>
      <c r="F62" s="1" t="str">
        <v>$ -</v>
      </c>
    </row>
    <row r="63" ht="13.5" customHeight="1">
      <c r="A63" t="str">
        <v>Ups servidor</v>
      </c>
      <c r="F63" s="1" t="str">
        <v>$ -</v>
      </c>
    </row>
    <row r="64" ht="13.5" customHeight="1">
      <c r="A64" t="str">
        <v>LIS</v>
      </c>
      <c r="F64" s="1" t="str">
        <v>$ -</v>
      </c>
    </row>
    <row r="65" ht="13.5" customHeight="1">
      <c r="A65" t="str">
        <v>Interfaz</v>
      </c>
      <c r="F65" s="1" t="str">
        <v>$ -</v>
      </c>
    </row>
    <row r="66" ht="13.5" customHeight="1">
      <c r="A66" t="str">
        <v>Lantronix</v>
      </c>
      <c r="F66" s="1" t="str">
        <v>$ -</v>
      </c>
    </row>
    <row r="67" ht="13.5" customHeight="1">
      <c r="A67" t="str">
        <v>IP publica</v>
      </c>
      <c r="F67" s="1" t="str">
        <v>$ -</v>
      </c>
    </row>
    <row r="68" ht="13.5" customHeight="1">
      <c r="A68" t="str">
        <v>Punto de consulta web</v>
      </c>
    </row>
    <row r="69" ht="13.5" customHeight="1">
      <c r="A69" t="str">
        <v>Internet</v>
      </c>
      <c r="F69" s="1" t="str">
        <v>$ -</v>
      </c>
    </row>
    <row r="70" ht="13.5" customHeight="1">
      <c r="A70" t="str">
        <v>Router para Internet</v>
      </c>
    </row>
    <row r="71" ht="13.5" customHeight="1">
      <c r="A71" t="str">
        <v>Servidor</v>
      </c>
      <c r="F71" s="1" t="str">
        <v>$ -</v>
      </c>
    </row>
    <row r="72" ht="13.5" customHeight="1">
      <c r="A72" t="str">
        <v>Computadores</v>
      </c>
      <c r="F72" s="1" t="str">
        <v>$ -</v>
      </c>
    </row>
    <row r="73" ht="13.5" customHeight="1">
      <c r="A73" t="str">
        <v>Mantenimiento Computador</v>
      </c>
    </row>
    <row r="74" ht="13.5" customHeight="1">
      <c r="A74" t="str">
        <v>Impresora</v>
      </c>
      <c r="F74" s="1" t="str">
        <v>$ -</v>
      </c>
    </row>
    <row r="75" ht="13.5" customHeight="1">
      <c r="A75" t="str">
        <v>Man</v>
      </c>
    </row>
    <row r="76" ht="13.5" customHeight="1">
      <c r="A76" t="str">
        <v>Tinta</v>
      </c>
      <c r="F76" s="1" t="str">
        <v>$ -</v>
      </c>
    </row>
    <row r="77" ht="13.5" customHeight="1">
      <c r="A77" t="str">
        <v>Toner para impresora de equipos (en caso de dejar las impresoras)</v>
      </c>
      <c r="F77" s="1" t="str">
        <v>$ -</v>
      </c>
    </row>
    <row r="78" ht="13.5" customHeight="1">
      <c r="A78" t="str">
        <v>Impresora Zebra Termica ZD230 ETHERNET Y USB</v>
      </c>
      <c r="F78" s="1" t="str">
        <v>$ -</v>
      </c>
    </row>
    <row r="79" ht="13.5" customHeight="1">
      <c r="A79" t="str">
        <v>Lector inalambrico de codigo de barra</v>
      </c>
    </row>
    <row r="80" ht="13.5" customHeight="1">
      <c r="A80" t="str">
        <v>Sistema de destilación de agua pequeño</v>
      </c>
    </row>
    <row r="81" ht="13.5" customHeight="1">
      <c r="A81" t="str">
        <v>Sistema de osmosis</v>
      </c>
      <c r="F81" s="1" t="str">
        <v>$ -</v>
      </c>
    </row>
    <row r="82" ht="13.5" customHeight="1">
      <c r="A82" t="str">
        <v>Mantenimiento sistema de osmosis</v>
      </c>
    </row>
    <row r="83" ht="13.5" customHeight="1">
      <c r="A83" t="str">
        <v>Sistema de prefiltracion</v>
      </c>
      <c r="F83" s="1" t="str">
        <v>$ -</v>
      </c>
    </row>
    <row r="84" ht="13.5" customHeight="1">
      <c r="A84" t="str">
        <v>Mantenimiento sistema pre filtración</v>
      </c>
    </row>
    <row r="85" ht="13.5" customHeight="1">
      <c r="A85" t="str">
        <v>Tanque para resina mixta (muerta)</v>
      </c>
      <c r="F85" s="1" t="str">
        <v>$ -</v>
      </c>
    </row>
    <row r="86" ht="13.5" customHeight="1">
      <c r="A86" t="str">
        <v>Estructura de proteccion para sistema de agua</v>
      </c>
      <c r="F86" s="1" t="str">
        <v>$ -</v>
      </c>
    </row>
    <row r="87" ht="13.5" customHeight="1">
      <c r="A87" t="str">
        <v>MEMBRANE EQ.OSMOSIS, AG2521TF  2.5 diam</v>
      </c>
    </row>
    <row r="88" ht="13.5" customHeight="1">
      <c r="A88" t="str">
        <v>FILTER NOM. P/SEDIMENTS PX10-20XX  PURTR (CARBON - AZUL)</v>
      </c>
    </row>
    <row r="89" ht="13.5" customHeight="1">
      <c r="A89" t="str">
        <v>FILTER NOM.P/SEDIMENTS GX05-20XX  HYTREX (FIBRA - PAPEL - PAPEL)</v>
      </c>
    </row>
    <row r="90" ht="13.5" customHeight="1">
      <c r="A90" t="str">
        <v>RESINA IONICA REGENERADA 20 "</v>
      </c>
    </row>
    <row r="91" ht="13.5" customHeight="1">
      <c r="A91" t="str">
        <v>RESINA MUERTA 16kilos</v>
      </c>
    </row>
    <row r="92" ht="13.5" customHeight="1">
      <c r="A92" t="str">
        <v>Sal en grano x quintal</v>
      </c>
    </row>
    <row r="93" ht="13.5" customHeight="1">
      <c r="A93" t="str">
        <v>Modificaciones de espacio fisico - estructura</v>
      </c>
    </row>
    <row r="94" ht="13.5" customHeight="1">
      <c r="A94" t="str">
        <v>Modificaciones de espacio fisico - mobiliario</v>
      </c>
    </row>
    <row r="95" ht="13.5" customHeight="1">
      <c r="A95" t="str">
        <v>Climatizacion del area</v>
      </c>
      <c r="F95" s="1" t="str">
        <v>$ -</v>
      </c>
    </row>
    <row r="96" ht="13.5" customHeight="1">
      <c r="A96" t="str">
        <v>Rollo de cable UTP CAT5e x 100m</v>
      </c>
      <c r="F96" s="1" t="str">
        <v>$ -</v>
      </c>
    </row>
    <row r="97" ht="13.5" customHeight="1">
      <c r="A97" t="str">
        <v>Conector RJ45 Delta CAT5E x 50 unds</v>
      </c>
      <c r="F97" s="1" t="str">
        <v>$ -</v>
      </c>
    </row>
    <row r="98" ht="13.5" customHeight="1">
      <c r="A98" t="str">
        <v>Rack Cerrado POWEST 5UR</v>
      </c>
      <c r="F98" s="1" t="str">
        <v>$ -</v>
      </c>
    </row>
    <row r="99" ht="13.5" customHeight="1">
      <c r="A99" t="str">
        <v>Switch HP Aruba Ion 5 puertos</v>
      </c>
      <c r="F99" s="1" t="str">
        <v>$ -</v>
      </c>
    </row>
    <row r="100" ht="13.5" customHeight="1">
      <c r="A100" t="str">
        <v>Switch HP Aruba Ion 1430 24 puertos</v>
      </c>
      <c r="F100" s="1" t="str">
        <v>$ -</v>
      </c>
    </row>
    <row r="101" ht="13.5" customHeight="1">
      <c r="A101" t="str">
        <v>Extensiones y cortapicos</v>
      </c>
      <c r="F101" s="1" t="str">
        <v>$ -</v>
      </c>
    </row>
    <row r="102" ht="13.5" customHeight="1">
      <c r="A102" t="str">
        <v>Extras (tairas, canaletas, espiral plastico)</v>
      </c>
      <c r="F102" s="1" t="str">
        <v>$ -</v>
      </c>
    </row>
    <row r="103" ht="13.5" customHeight="1">
      <c r="A103" t="str">
        <v>Etiquetas</v>
      </c>
      <c r="F103" s="1" t="str">
        <v>$ -</v>
      </c>
    </row>
    <row r="104" ht="13.5" customHeight="1">
      <c r="A104" t="str">
        <v>A4 printer paper</v>
      </c>
      <c r="F104" s="1" t="str">
        <v>$ -</v>
      </c>
    </row>
    <row r="105" ht="13.5" customHeight="1">
      <c r="A105" t="str">
        <v>Refrigerador panorámico</v>
      </c>
      <c r="F105" s="1" t="str">
        <v>$ -</v>
      </c>
    </row>
    <row r="106" ht="13.5" customHeight="1">
      <c r="A106" t="str">
        <v>Refrigerador médico</v>
      </c>
    </row>
    <row r="107" ht="13.5" customHeight="1">
      <c r="A107" t="str">
        <v>Termometro para refrigerador</v>
      </c>
      <c r="F107" s="1" t="str">
        <v>$ -</v>
      </c>
    </row>
    <row r="108" ht="13.5" customHeight="1">
      <c r="A108" t="str">
        <v>Termohigrometros</v>
      </c>
      <c r="F108" s="1" t="str">
        <v>$ -</v>
      </c>
    </row>
    <row r="109" ht="13.5" customHeight="1">
      <c r="A109" t="str">
        <v>Cronometros digitales</v>
      </c>
      <c r="F109" s="1" t="str">
        <v>$ -</v>
      </c>
    </row>
    <row r="110" ht="13.5" customHeight="1">
      <c r="A110" t="str">
        <v>Centrifuga</v>
      </c>
      <c r="F110" s="1" t="str">
        <v>$ -</v>
      </c>
    </row>
    <row r="111" ht="13.5" customHeight="1">
      <c r="A111" t="str">
        <v>Servicio Logisticos Proveedores</v>
      </c>
      <c r="F111" s="1" t="str">
        <v>$ -</v>
      </c>
    </row>
    <row r="112" ht="13.5" customHeight="1">
      <c r="A112" t="str">
        <v>Servicio Logisticos Clientes</v>
      </c>
      <c r="F112" s="1" t="str">
        <v>$ -</v>
      </c>
    </row>
    <row r="113" ht="13.5" customHeight="1">
      <c r="A113" t="str">
        <v>Ampolla de agua bidestilada</v>
      </c>
      <c r="F113" s="1" t="str">
        <v>$ -</v>
      </c>
    </row>
    <row r="114" ht="13.5" customHeight="1">
      <c r="A114" t="str">
        <v>Agua destilada por galón</v>
      </c>
      <c r="F114" s="1" t="str">
        <v>$ -</v>
      </c>
    </row>
    <row r="115" ht="13.5" customHeight="1">
      <c r="A115" t="str">
        <v>Hisopos x 100 uds</v>
      </c>
      <c r="F115" s="1" t="str">
        <v>$ -</v>
      </c>
    </row>
    <row r="116" ht="13.5" customHeight="1">
      <c r="A116" t="str">
        <v>Gasas x 100 uds</v>
      </c>
      <c r="F116" s="1" t="str">
        <v>$ -</v>
      </c>
    </row>
    <row r="117" ht="13.5" customHeight="1">
      <c r="A117" t="str">
        <v>Alcohol prepad 10 x 100 uds</v>
      </c>
      <c r="F117" s="1" t="str">
        <v>$ -</v>
      </c>
    </row>
    <row r="118" ht="13.5" customHeight="1">
      <c r="A118" t="str">
        <v>Tubos eppendorf X 500 UDS</v>
      </c>
    </row>
    <row r="119" ht="13.5" customHeight="1">
      <c r="A119" t="str">
        <v xml:space="preserve">Otros </v>
      </c>
    </row>
    <row r="120" ht="13.5" customHeight="1">
      <c r="D120" t="str">
        <f>IFERROR(__xludf.DUMMYFUNCTION("REGEXREPLACE(LOWER(A120),""[^a-z0-9]+"",""_"")"),"")</f>
        <v/>
      </c>
      <c r="E120" t="str">
        <v>Sub total</v>
      </c>
      <c r="F120" s="1">
        <f>SUM(F58:F117)</f>
        <v>0</v>
      </c>
    </row>
    <row r="121" ht="13.5" customHeight="1">
      <c r="D121" t="str">
        <f>IFERROR(__xludf.DUMMYFUNCTION("REGEXREPLACE(LOWER(A121),""[^a-z0-9]+"",""_"")"),"")</f>
        <v/>
      </c>
      <c r="E121" s="2">
        <v>0.15</v>
      </c>
      <c r="F121" s="1" t="str">
        <v>$ -</v>
      </c>
    </row>
    <row r="122" ht="13.5" customHeight="1">
      <c r="D122" t="str">
        <f>IFERROR(__xludf.DUMMYFUNCTION("REGEXREPLACE(LOWER(A122),""[^a-z0-9]+"",""_"")"),"")</f>
        <v/>
      </c>
      <c r="E122" t="str">
        <v>Total</v>
      </c>
      <c r="F122" s="1" t="str">
        <v>$ -</v>
      </c>
    </row>
    <row r="123" ht="13.5" customHeight="1">
      <c r="D123" t="str">
        <f>IFERROR(__xludf.DUMMYFUNCTION("REGEXREPLACE(LOWER(A123),""[^a-z0-9]+"",""_"")"),"")</f>
        <v/>
      </c>
    </row>
    <row r="124" ht="13.5" customHeight="1">
      <c r="A124" t="str">
        <v>¿Porque es importante ganar este proceso ?</v>
      </c>
      <c r="B124" t="str">
        <v>OBJETIVO SMART +  ESTRATEGIA</v>
      </c>
    </row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1"/>
    <mergeCell ref="B124:F124"/>
  </mergeCells>
  <pageMargins left="0.7" right="0.7" top="0.75" bottom="0.75" header="0" footer="0"/>
  <ignoredErrors>
    <ignoredError numberStoredAsText="1" sqref="A1:Z100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K1000"/>
  <sheetViews>
    <sheetView workbookViewId="0" rightToLeft="0"/>
  </sheetViews>
  <cols>
    <col min="1" max="1" customWidth="1" width="17.109375"/>
    <col min="2" max="2" customWidth="1" width="10.6640625"/>
    <col min="3" max="3" customWidth="1" width="30.109375"/>
    <col min="4" max="4" customWidth="1" width="10.6640625"/>
    <col min="5" max="5" customWidth="1" width="10.6640625"/>
    <col min="6" max="6" customWidth="1" width="10.6640625"/>
    <col min="7" max="7" customWidth="1" width="10.6640625"/>
    <col min="8" max="8" customWidth="1" width="10.6640625"/>
    <col min="9" max="9" customWidth="1" width="10.6640625"/>
    <col min="10" max="10" customWidth="1" width="10.6640625"/>
    <col min="11" max="11" customWidth="1" width="10.6640625"/>
  </cols>
  <sheetData>
    <row r="1" ht="14.4" customHeight="1">
      <c r="A1" t="str">
        <v>CLIENTE</v>
      </c>
    </row>
    <row r="2" ht="14.4" customHeight="1">
      <c r="A2" s="3" t="str">
        <v>FECHA</v>
      </c>
    </row>
    <row r="3" ht="14.4" customHeight="1">
      <c r="A3" s="3" t="str">
        <v>MODALIDAD</v>
      </c>
      <c r="C3" t="str">
        <v>DETERMINACIÓN/ DETERMINACIÓN EFECTIVA/COMODATO TODO COBRADO/COMODATO POR DETERMINACIÓN/EQUIPO ALQUILADO</v>
      </c>
    </row>
    <row r="4" ht="14.4" customHeight="1">
      <c r="A4" s="3" t="str">
        <v>PLAZO</v>
      </c>
      <c r="C4" t="str">
        <v>MESES</v>
      </c>
    </row>
    <row r="5" ht="14.4" customHeight="1">
      <c r="A5" s="3" t="str">
        <v>PROYECCIÓN</v>
      </c>
      <c r="C5" s="1" t="str">
        <v>MESES</v>
      </c>
    </row>
    <row r="6" ht="14.4" customHeight="1">
      <c r="A6" t="str">
        <v>EQUIPO</v>
      </c>
      <c r="B6" t="str">
        <v>XP 300</v>
      </c>
    </row>
    <row r="8" ht="20.4" customHeight="1">
      <c r="A8" t="str">
        <v>Parámetro</v>
      </c>
      <c r="B8" t="str">
        <v>ID</v>
      </c>
      <c r="C8" t="str">
        <v>PRODUCTO</v>
      </c>
      <c r="D8" t="str">
        <v>DET/KIT</v>
      </c>
      <c r="E8" t="str">
        <v>DIAS ESTABILIDAD</v>
      </c>
      <c r="F8" t="str">
        <v>DET/AÑO PROCESO</v>
      </c>
      <c r="G8" t="str">
        <v>PRODUCTO CALCULADO</v>
      </c>
      <c r="H8" t="str">
        <v>MINIMOS POR ESTABILIDAD</v>
      </c>
      <c r="I8" t="str">
        <v>PRODUCTO A ENTREGAR</v>
      </c>
      <c r="J8" t="str">
        <v>REGISTROS SANITARIOS</v>
      </c>
      <c r="K8" t="str">
        <v>VIGENCIA</v>
      </c>
    </row>
    <row r="9" ht="14.4" customHeight="1">
      <c r="A9" t="str">
        <v>Biometria básica</v>
      </c>
      <c r="B9">
        <v>3145611001</v>
      </c>
      <c r="C9" t="str">
        <v>CELLPACK 20L</v>
      </c>
      <c r="D9">
        <v>450</v>
      </c>
      <c r="E9">
        <v>60</v>
      </c>
      <c r="G9" s="4">
        <f>F9/D9</f>
        <v>0</v>
      </c>
      <c r="H9" s="4" t="str">
        <v>#REF!</v>
      </c>
      <c r="J9" s="4" t="str">
        <v>AD-102-03-10</v>
      </c>
    </row>
    <row r="10" ht="14.4" customHeight="1">
      <c r="B10">
        <v>12216540001</v>
      </c>
      <c r="C10" t="str">
        <v>STROMA WH KX21 x 500ML</v>
      </c>
      <c r="D10">
        <v>450</v>
      </c>
      <c r="E10">
        <v>60</v>
      </c>
      <c r="G10" s="4">
        <f>F10/D10</f>
        <v>0</v>
      </c>
      <c r="H10" s="4" t="str">
        <v>#REF!</v>
      </c>
      <c r="J10" s="4" t="str">
        <v>AD-102-03-10</v>
      </c>
    </row>
    <row r="11" ht="14.4" customHeight="1">
      <c r="B11">
        <v>3134466001</v>
      </c>
      <c r="C11" t="str">
        <v>EIGHT CHECK-3WP XTRA ( 4 X 2 ML)</v>
      </c>
      <c r="D11">
        <f>(((F9/30)/12)*E11)</f>
        <v>0</v>
      </c>
      <c r="E11">
        <v>85</v>
      </c>
      <c r="G11" s="4" t="e">
        <f>F11/D11</f>
        <v>#DIV/0!</v>
      </c>
      <c r="H11" s="4" t="str">
        <v>#REF!</v>
      </c>
      <c r="J11" s="4" t="str">
        <v>AD-485-11-12</v>
      </c>
    </row>
    <row r="12" ht="14.4" customHeight="1">
      <c r="B12">
        <v>3113353180</v>
      </c>
      <c r="C12" t="str">
        <v>PAPER ROLL F.PRINTER STP211-144 (10PCS.)</v>
      </c>
      <c r="D12">
        <v>900</v>
      </c>
      <c r="E12">
        <v>365</v>
      </c>
      <c r="G12" s="4">
        <f>F12/D12</f>
        <v>0</v>
      </c>
      <c r="H12" s="4" t="str">
        <v>#REF!</v>
      </c>
      <c r="J12" s="4" t="str">
        <v>No Aplica</v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9:A12"/>
  </mergeCells>
  <pageMargins left="0.7" right="0.7" top="0.75" bottom="0.75" header="0" footer="0"/>
  <ignoredErrors>
    <ignoredError numberStoredAsText="1" sqref="A1:K100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L1000"/>
  <sheetViews>
    <sheetView workbookViewId="0" rightToLeft="0"/>
  </sheetViews>
  <cols>
    <col min="1" max="1" customWidth="1" width="19.5546875"/>
    <col min="2" max="2" customWidth="1" width="10.6640625"/>
    <col min="3" max="3" customWidth="1" width="26.33203125"/>
    <col min="4" max="4" customWidth="1" width="10.6640625"/>
    <col min="5" max="5" customWidth="1" width="10.6640625"/>
    <col min="6" max="6" customWidth="1" width="10.6640625"/>
    <col min="7" max="7" customWidth="1" width="10.6640625"/>
    <col min="8" max="8" customWidth="1" width="10.6640625"/>
    <col min="9" max="9" customWidth="1" width="10.6640625"/>
    <col min="10" max="10" customWidth="1" width="10.6640625"/>
    <col min="11" max="11" customWidth="1" width="10.6640625"/>
    <col min="12" max="12" customWidth="1" width="10.6640625"/>
  </cols>
  <sheetData>
    <row r="1" ht="18.75" customHeight="1">
      <c r="A1" t="str">
        <v>CLIENTE</v>
      </c>
    </row>
    <row r="2" ht="18.75" customHeight="1">
      <c r="A2" s="3" t="str">
        <v>FECHA</v>
      </c>
    </row>
    <row r="3" ht="18.75" customHeight="1">
      <c r="A3" s="3" t="str">
        <v>MODALIDAD</v>
      </c>
      <c r="C3" t="str">
        <v>DETERMINACIÓN/ DETERMINACIÓN EFECTIVA/COMODATO TODO COBRADO/COMODATO POR DETERMINACIÓN/EQUIPO ALQUILADO</v>
      </c>
    </row>
    <row r="4" ht="18.75" customHeight="1">
      <c r="A4" s="3" t="str">
        <v>PLAZO</v>
      </c>
      <c r="C4" t="str">
        <v>MESES</v>
      </c>
    </row>
    <row r="5" ht="18.75" customHeight="1">
      <c r="A5" s="3" t="str">
        <v>PROYECCIÓN</v>
      </c>
      <c r="C5" t="str">
        <v>MESES</v>
      </c>
    </row>
    <row r="6" ht="18.75" customHeight="1">
      <c r="A6" t="str">
        <v>EQUIPO</v>
      </c>
      <c r="B6" t="str">
        <v>XN 550</v>
      </c>
      <c r="C6" t="str">
        <v>(350/450/550)</v>
      </c>
    </row>
    <row r="7" ht="18.75" customHeight="1"/>
    <row r="8" ht="24" customHeight="1">
      <c r="A8" t="str">
        <v>Parámetro</v>
      </c>
      <c r="B8" t="str">
        <v>ID</v>
      </c>
      <c r="C8" t="str">
        <v>PRODUCTO</v>
      </c>
      <c r="D8" t="str">
        <v>DET/KIT</v>
      </c>
      <c r="E8" t="str">
        <v>DIAS ESTABILIDAD</v>
      </c>
      <c r="F8" t="str">
        <v>DET/AÑO/PROCESO</v>
      </c>
      <c r="G8" t="str">
        <v>PRODUCTO CALCULADO</v>
      </c>
      <c r="H8" t="str">
        <v>MINIMOS POR ESTABILIDAD</v>
      </c>
      <c r="I8" t="str">
        <v>PRODUCTO A ENTREGAR</v>
      </c>
      <c r="J8" t="str">
        <v>PRODUCTO A ENTREGAR</v>
      </c>
      <c r="K8" t="str">
        <v>REGISTROS SANITARIOS</v>
      </c>
      <c r="L8" t="str">
        <v>VIGENCIA</v>
      </c>
    </row>
    <row r="9" ht="18.75" customHeight="1">
      <c r="A9" t="str">
        <v>Biometria básica</v>
      </c>
      <c r="B9">
        <v>6510167001</v>
      </c>
      <c r="C9" t="str">
        <v>CELLPACK DCL</v>
      </c>
      <c r="D9">
        <v>450</v>
      </c>
      <c r="E9">
        <v>60</v>
      </c>
      <c r="G9">
        <f>F9/D9</f>
        <v>0</v>
      </c>
      <c r="H9" t="str">
        <v>#REF!</v>
      </c>
      <c r="K9" s="4" t="str">
        <v>AD-565-06-13</v>
      </c>
    </row>
    <row r="10" ht="18.75" customHeight="1">
      <c r="B10">
        <v>3337006001</v>
      </c>
      <c r="C10" t="str">
        <v>SULFOLYSER REAGENT X 5L</v>
      </c>
      <c r="D10">
        <v>9450</v>
      </c>
      <c r="E10">
        <v>60</v>
      </c>
      <c r="G10">
        <f>F10/D10</f>
        <v>0</v>
      </c>
      <c r="H10" t="str">
        <v>#REF!</v>
      </c>
      <c r="K10" s="4" t="str">
        <v>AD-102-03-10</v>
      </c>
    </row>
    <row r="11" ht="18.75" customHeight="1">
      <c r="B11">
        <v>12215616001</v>
      </c>
      <c r="C11" t="str">
        <v>SULFOLYSER REAGENT 500 ml</v>
      </c>
      <c r="D11">
        <v>850</v>
      </c>
      <c r="E11">
        <v>60</v>
      </c>
      <c r="G11">
        <f>F11/D11</f>
        <v>0</v>
      </c>
      <c r="H11" t="str">
        <v>#REF!</v>
      </c>
      <c r="K11" s="4" t="str">
        <v>AD-102-03-10</v>
      </c>
    </row>
    <row r="12" ht="18.75" customHeight="1">
      <c r="B12">
        <v>7837984001</v>
      </c>
      <c r="C12" t="str">
        <v>WDF Lysercell WDF</v>
      </c>
      <c r="D12">
        <v>2450</v>
      </c>
      <c r="E12">
        <v>90</v>
      </c>
      <c r="G12">
        <f>F12/D12</f>
        <v>0</v>
      </c>
      <c r="H12" t="str">
        <v>#REF!</v>
      </c>
      <c r="K12" s="4" t="str">
        <v>657-RBE-1015</v>
      </c>
    </row>
    <row r="13" ht="18.75" customHeight="1">
      <c r="B13">
        <v>6510256001</v>
      </c>
      <c r="C13" t="str">
        <v>WDF Fluorocell WDF 2X42 ML</v>
      </c>
      <c r="D13">
        <v>3400</v>
      </c>
      <c r="E13">
        <v>180</v>
      </c>
      <c r="G13" t="str">
        <v xml:space="preserve"> k</v>
      </c>
      <c r="H13" t="str">
        <v>#REF!</v>
      </c>
      <c r="K13" s="4" t="str">
        <v>AD-546-04-13</v>
      </c>
    </row>
    <row r="14" ht="18.75" customHeight="1">
      <c r="B14">
        <v>6952291001</v>
      </c>
      <c r="C14" t="str">
        <v xml:space="preserve">CELLCLEAN AUTO 4 ML X 20  </v>
      </c>
      <c r="D14">
        <f>(((F9/30)/12)*E14)</f>
        <v>0</v>
      </c>
      <c r="E14">
        <v>150</v>
      </c>
      <c r="G14" t="e">
        <f>F14/D14</f>
        <v>#DIV/0!</v>
      </c>
      <c r="H14" t="str">
        <v>#REF!</v>
      </c>
      <c r="K14" t="str">
        <v>AD-546-04-13</v>
      </c>
    </row>
    <row r="15" ht="18.75" customHeight="1">
      <c r="B15">
        <v>7051506001</v>
      </c>
      <c r="C15" t="str">
        <v>XN Check 12x3.0ml Level 1,2,3</v>
      </c>
      <c r="D15">
        <f>(((F9/30)/12)*E15)</f>
        <v>0</v>
      </c>
      <c r="E15">
        <v>56</v>
      </c>
      <c r="G15" t="e">
        <f>F15/D15</f>
        <v>#DIV/0!</v>
      </c>
      <c r="H15" t="str">
        <v>#REF!</v>
      </c>
      <c r="K15" t="str">
        <v>657-RBE-1015</v>
      </c>
    </row>
    <row r="16" ht="18.75" customHeight="1">
      <c r="A16" t="str">
        <v>Reticulocitos</v>
      </c>
      <c r="B16">
        <v>6510272001</v>
      </c>
      <c r="C16" t="str">
        <v>FLUOROCELL RET 2 X 12ML</v>
      </c>
      <c r="D16">
        <v>650</v>
      </c>
      <c r="E16">
        <v>180</v>
      </c>
      <c r="G16">
        <f>F16/D16</f>
        <v>0</v>
      </c>
      <c r="H16" t="str">
        <v>#REF!</v>
      </c>
      <c r="K16" s="4" t="str">
        <v>AD-546-04-13</v>
      </c>
    </row>
    <row r="17" ht="18.75" customHeight="1">
      <c r="B17">
        <v>9426752001</v>
      </c>
      <c r="C17" t="str">
        <v>CELLPACK DFL 1 L</v>
      </c>
      <c r="D17">
        <v>450</v>
      </c>
      <c r="E17">
        <v>60</v>
      </c>
      <c r="G17">
        <f>F17/D17</f>
        <v>0</v>
      </c>
      <c r="H17" t="str">
        <v>#REF!</v>
      </c>
      <c r="K17" s="4" t="str">
        <v>180-RBE-1014</v>
      </c>
    </row>
    <row r="18" ht="18.75" customHeight="1">
      <c r="A18" t="str">
        <v>Líquidos</v>
      </c>
      <c r="B18">
        <v>7051409001</v>
      </c>
      <c r="C18" t="str">
        <v>XN-Check BF 6x3.0ml Level 1,2</v>
      </c>
      <c r="D18">
        <f>(((F9/30)/12)*E18)</f>
        <v>0</v>
      </c>
      <c r="E18">
        <v>56</v>
      </c>
      <c r="G18" t="e">
        <f>F18/D18</f>
        <v>#DIV/0!</v>
      </c>
      <c r="H18" t="str">
        <v>#REF!</v>
      </c>
      <c r="K18" s="4" t="str">
        <v>AD-546-04-13</v>
      </c>
    </row>
    <row r="19" ht="18.75" customHeight="1"/>
    <row r="20" ht="18.75" customHeight="1"/>
    <row r="21" ht="18.75" customHeight="1"/>
    <row r="22" ht="18.75" customHeight="1"/>
    <row r="23" ht="18.75" customHeight="1"/>
    <row r="24" ht="18.75" customHeight="1"/>
    <row r="25" ht="18.75" customHeight="1"/>
    <row r="26" ht="18.75" customHeight="1"/>
    <row r="27" ht="18.75" customHeight="1"/>
    <row r="28" ht="18.75" customHeight="1"/>
    <row r="29" ht="18.75" customHeight="1"/>
    <row r="30" ht="18.75" customHeight="1"/>
    <row r="31" ht="18.75" customHeight="1"/>
    <row r="32" ht="18.75" customHeight="1"/>
    <row r="33" ht="18.75" customHeight="1"/>
    <row r="34" ht="18.75" customHeight="1"/>
    <row r="35" ht="18.75" customHeight="1"/>
    <row r="36" ht="18.75" customHeight="1"/>
    <row r="37" ht="18.75" customHeight="1"/>
    <row r="38" ht="18.75" customHeight="1"/>
    <row r="39" ht="18.75" customHeight="1"/>
    <row r="40" ht="18.75" customHeight="1"/>
    <row r="41" ht="18.75" customHeight="1"/>
    <row r="42" ht="18.75" customHeight="1"/>
    <row r="43" ht="18.75" customHeight="1"/>
    <row r="44" ht="18.75" customHeight="1"/>
    <row r="45" ht="18.75" customHeight="1"/>
    <row r="46" ht="18.75" customHeight="1"/>
    <row r="47" ht="18.75" customHeight="1"/>
    <row r="48" ht="18.75" customHeight="1"/>
    <row r="49" ht="18.75" customHeight="1"/>
    <row r="50" ht="18.75" customHeight="1"/>
    <row r="51" ht="18.75" customHeight="1"/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/>
    <row r="59" ht="18.75" customHeight="1"/>
    <row r="60" ht="18.75" customHeight="1"/>
    <row r="61" ht="18.75" customHeight="1"/>
    <row r="62" ht="18.75" customHeight="1"/>
    <row r="63" ht="18.75" customHeight="1"/>
    <row r="64" ht="18.75" customHeight="1"/>
    <row r="65" ht="18.75" customHeight="1"/>
    <row r="66" ht="18.75" customHeight="1"/>
    <row r="67" ht="18.75" customHeight="1"/>
    <row r="68" ht="18.75" customHeight="1"/>
    <row r="69" ht="18.75" customHeight="1"/>
    <row r="70" ht="18.75" customHeight="1"/>
    <row r="71" ht="18.75" customHeight="1"/>
    <row r="72" ht="18.75" customHeight="1"/>
    <row r="73" ht="18.75" customHeight="1"/>
    <row r="74" ht="18.75" customHeight="1"/>
    <row r="75" ht="18.75" customHeight="1"/>
    <row r="76" ht="18.75" customHeight="1"/>
    <row r="77" ht="18.75" customHeight="1"/>
    <row r="78" ht="18.75" customHeight="1"/>
    <row r="79" ht="18.75" customHeight="1"/>
    <row r="80" ht="18.75" customHeight="1"/>
    <row r="81" ht="18.75" customHeight="1"/>
    <row r="82" ht="18.75" customHeight="1"/>
    <row r="83" ht="18.75" customHeight="1"/>
    <row r="84" ht="18.75" customHeight="1"/>
    <row r="85" ht="18.75" customHeight="1"/>
    <row r="86" ht="18.75" customHeight="1"/>
    <row r="87" ht="18.75" customHeight="1"/>
    <row r="88" ht="18.75" customHeight="1"/>
    <row r="89" ht="18.75" customHeight="1"/>
    <row r="90" ht="18.75" customHeight="1"/>
    <row r="91" ht="18.75" customHeight="1"/>
    <row r="92" ht="18.75" customHeight="1"/>
    <row r="93" ht="18.75" customHeight="1"/>
    <row r="94" ht="18.75" customHeight="1"/>
    <row r="95" ht="18.75" customHeight="1"/>
    <row r="96" ht="18.75" customHeight="1"/>
    <row r="97" ht="18.75" customHeight="1"/>
    <row r="98" ht="18.75" customHeight="1"/>
    <row r="99" ht="18.75" customHeight="1"/>
    <row r="100" ht="18.75" customHeight="1"/>
    <row r="101" ht="18.75" customHeight="1"/>
    <row r="102" ht="18.75" customHeight="1"/>
    <row r="103" ht="18.75" customHeight="1"/>
    <row r="104" ht="18.75" customHeight="1"/>
    <row r="105" ht="18.75" customHeight="1"/>
    <row r="106" ht="18.75" customHeight="1"/>
    <row r="107" ht="18.75" customHeight="1"/>
    <row r="108" ht="18.75" customHeight="1"/>
    <row r="109" ht="18.75" customHeight="1"/>
    <row r="110" ht="18.75" customHeight="1"/>
    <row r="111" ht="18.75" customHeight="1"/>
    <row r="112" ht="18.75" customHeight="1"/>
    <row r="113" ht="18.75" customHeight="1"/>
    <row r="114" ht="18.75" customHeight="1"/>
    <row r="115" ht="18.75" customHeight="1"/>
    <row r="116" ht="18.75" customHeight="1"/>
    <row r="117" ht="18.75" customHeight="1"/>
    <row r="118" ht="18.75" customHeight="1"/>
    <row r="119" ht="18.75" customHeight="1"/>
    <row r="120" ht="18.75" customHeight="1"/>
    <row r="121" ht="18.75" customHeight="1"/>
    <row r="122" ht="18.75" customHeight="1"/>
    <row r="123" ht="18.75" customHeight="1"/>
    <row r="124" ht="18.75" customHeight="1"/>
    <row r="125" ht="18.75" customHeight="1"/>
    <row r="126" ht="18.75" customHeight="1"/>
    <row r="127" ht="18.75" customHeight="1"/>
    <row r="128" ht="18.75" customHeight="1"/>
    <row r="129" ht="18.75" customHeight="1"/>
    <row r="130" ht="18.75" customHeight="1"/>
    <row r="131" ht="18.75" customHeight="1"/>
    <row r="132" ht="18.75" customHeight="1"/>
    <row r="133" ht="18.75" customHeight="1"/>
    <row r="134" ht="18.75" customHeight="1"/>
    <row r="135" ht="18.75" customHeight="1"/>
    <row r="136" ht="18.75" customHeight="1"/>
    <row r="137" ht="18.75" customHeight="1"/>
    <row r="138" ht="18.75" customHeight="1"/>
    <row r="139" ht="18.75" customHeight="1"/>
    <row r="140" ht="18.75" customHeight="1"/>
    <row r="141" ht="18.75" customHeight="1"/>
    <row r="142" ht="18.75" customHeight="1"/>
    <row r="143" ht="18.75" customHeight="1"/>
    <row r="144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9:A15"/>
    <mergeCell ref="A16:A17"/>
  </mergeCells>
  <pageMargins left="0.7" right="0.7" top="0.75" bottom="0.75" header="0" footer="0"/>
  <ignoredErrors>
    <ignoredError numberStoredAsText="1" sqref="A1:L100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K1000"/>
  <sheetViews>
    <sheetView workbookViewId="0" rightToLeft="0"/>
  </sheetViews>
  <cols>
    <col min="1" max="1" customWidth="1" width="19.5546875"/>
    <col min="2" max="2" customWidth="1" width="10.6640625"/>
    <col min="3" max="3" customWidth="1" width="26.33203125"/>
    <col min="4" max="4" customWidth="1" width="10.6640625"/>
    <col min="5" max="5" customWidth="1" width="10.6640625"/>
    <col min="6" max="6" customWidth="1" width="10.6640625"/>
    <col min="7" max="7" customWidth="1" width="10.6640625"/>
    <col min="8" max="8" customWidth="1" width="10.6640625"/>
    <col min="9" max="9" customWidth="1" width="10.6640625"/>
    <col min="10" max="10" customWidth="1" width="10.6640625"/>
    <col min="11" max="11" customWidth="1" width="10.6640625"/>
  </cols>
  <sheetData>
    <row r="1" ht="18.75" customHeight="1">
      <c r="A1" t="str">
        <v>CLIENTE</v>
      </c>
    </row>
    <row r="2" ht="18.75" customHeight="1">
      <c r="A2" s="3" t="str">
        <v>FECHA</v>
      </c>
    </row>
    <row r="3" ht="18.75" customHeight="1">
      <c r="A3" s="3" t="str">
        <v>MODALIDAD</v>
      </c>
      <c r="C3" t="str">
        <v>DETERMINACIÓN/ DETERMINACIÓN EFECTIVA/COMODATO TODO COBRADO/COMODATO POR DETERMINACIÓN/EQUIPO ALQUILADO</v>
      </c>
    </row>
    <row r="4" ht="18.75" customHeight="1">
      <c r="A4" s="3" t="str">
        <v>PLAZO</v>
      </c>
      <c r="C4" t="str">
        <v>MESES</v>
      </c>
    </row>
    <row r="5" ht="18.75" customHeight="1">
      <c r="A5" s="3" t="str">
        <v>PROYECCIÓN</v>
      </c>
      <c r="C5" t="str">
        <v>MESES</v>
      </c>
    </row>
    <row r="6" ht="18.75" customHeight="1">
      <c r="A6" t="str">
        <v>EQUIPO</v>
      </c>
      <c r="B6" t="str">
        <v>XN</v>
      </c>
      <c r="C6">
        <v>1000</v>
      </c>
    </row>
    <row r="7" ht="18.75" customHeight="1"/>
    <row r="8" ht="24" customHeight="1">
      <c r="A8" t="str">
        <v>Parámetro</v>
      </c>
      <c r="B8" t="str">
        <v>ID</v>
      </c>
      <c r="C8" t="str">
        <v>PRODUCTO</v>
      </c>
      <c r="D8" t="str">
        <v>DET/KIT</v>
      </c>
      <c r="E8" t="str">
        <v>DIAS ESTABILIDAD</v>
      </c>
      <c r="F8" t="str">
        <v>DET/AÑO PROCESO</v>
      </c>
      <c r="G8" t="str">
        <v>PRODUCTO CALCULADO</v>
      </c>
      <c r="H8" t="str">
        <v>MINIMOS POR ESTABILIDAD</v>
      </c>
      <c r="I8" t="str">
        <v>PRODUCTO A ENTREGAR</v>
      </c>
      <c r="J8" t="str">
        <v>REGISTROS SANITARIOS</v>
      </c>
      <c r="K8" t="str">
        <v>VIGENCIA</v>
      </c>
    </row>
    <row r="9" ht="18.75" customHeight="1">
      <c r="A9" t="str">
        <v>Biometria básica</v>
      </c>
      <c r="B9">
        <v>6510167001</v>
      </c>
      <c r="C9" t="str">
        <v>CELLPACK DCL</v>
      </c>
      <c r="D9">
        <v>450</v>
      </c>
      <c r="E9">
        <v>60</v>
      </c>
      <c r="G9">
        <f>F9/D9</f>
        <v>0</v>
      </c>
      <c r="H9" t="str">
        <v>#REF!</v>
      </c>
      <c r="J9" s="4" t="str">
        <v>AD-546-04-13</v>
      </c>
    </row>
    <row r="10" ht="18.75" customHeight="1" xml:space="preserve">
      <c r="B10">
        <v>3337006001</v>
      </c>
      <c r="C10" t="str">
        <v>SULFOLYSER REAGENT X 5L</v>
      </c>
      <c r="D10">
        <v>9450</v>
      </c>
      <c r="E10">
        <v>60</v>
      </c>
      <c r="G10">
        <f>F10/D10</f>
        <v>0</v>
      </c>
      <c r="H10" t="str">
        <v>#REF!</v>
      </c>
      <c r="J10" s="4" t="str" xml:space="preserve">
        <v xml:space="preserve">AD-102-03-10_x000d_
</v>
      </c>
    </row>
    <row r="11" ht="18.75" customHeight="1" xml:space="preserve">
      <c r="B11">
        <v>12215616001</v>
      </c>
      <c r="C11" t="str">
        <v>SULFOLYSER REAGENT 500 ml</v>
      </c>
      <c r="D11">
        <v>850</v>
      </c>
      <c r="E11">
        <v>60</v>
      </c>
      <c r="G11">
        <f>F11/D11</f>
        <v>0</v>
      </c>
      <c r="H11" t="str">
        <v>#REF!</v>
      </c>
      <c r="J11" s="4" t="str" xml:space="preserve">
        <v xml:space="preserve">AD-102-03-10_x000d_
</v>
      </c>
    </row>
    <row r="12" ht="18.75" customHeight="1" xml:space="preserve">
      <c r="B12">
        <v>7837984001</v>
      </c>
      <c r="C12" t="str">
        <v>WDF Lysercell WDF</v>
      </c>
      <c r="D12">
        <v>2450</v>
      </c>
      <c r="E12">
        <v>90</v>
      </c>
      <c r="G12">
        <f>F12/D12</f>
        <v>0</v>
      </c>
      <c r="H12" t="str">
        <v>#REF!</v>
      </c>
      <c r="J12" s="4" t="str" xml:space="preserve">
        <v xml:space="preserve">657-RBE-1015_x000d_
</v>
      </c>
    </row>
    <row r="13" ht="18.75" customHeight="1" xml:space="preserve">
      <c r="B13">
        <v>6510256001</v>
      </c>
      <c r="C13" t="str">
        <v>WDF Fluorocell WDF 2X42 ML</v>
      </c>
      <c r="D13">
        <v>3400</v>
      </c>
      <c r="E13">
        <v>180</v>
      </c>
      <c r="G13">
        <f>F13/D13</f>
        <v>0</v>
      </c>
      <c r="H13" t="str">
        <v>#REF!</v>
      </c>
      <c r="J13" s="4" t="str" xml:space="preserve">
        <v xml:space="preserve">AD-546-04-13_x000d_
</v>
      </c>
    </row>
    <row r="14" ht="18.75" customHeight="1">
      <c r="B14">
        <v>6510248001</v>
      </c>
      <c r="C14" t="str">
        <v>FLUOROCELL WNR 2 X 82ML</v>
      </c>
      <c r="D14">
        <v>6945</v>
      </c>
      <c r="E14">
        <v>180</v>
      </c>
      <c r="G14">
        <f>F14/D14</f>
        <v>0</v>
      </c>
      <c r="H14" t="str">
        <v>#REF!</v>
      </c>
      <c r="J14" t="str">
        <v>AD-546-04-13</v>
      </c>
    </row>
    <row r="15" ht="18.75" customHeight="1" xml:space="preserve">
      <c r="B15">
        <v>7838000001</v>
      </c>
      <c r="C15" t="str">
        <v>LYSERCELL-WNR WNR-210A</v>
      </c>
      <c r="D15">
        <v>2950</v>
      </c>
      <c r="E15">
        <v>90</v>
      </c>
      <c r="G15">
        <f>F15/D15</f>
        <v>0</v>
      </c>
      <c r="H15" t="str">
        <v>#REF!</v>
      </c>
      <c r="J15" t="str" xml:space="preserve">
        <v xml:space="preserve">657-RBE-1015_x000d_
</v>
      </c>
    </row>
    <row r="16" ht="18.75" customHeight="1" xml:space="preserve">
      <c r="B16">
        <v>6952291001</v>
      </c>
      <c r="C16" t="str">
        <v xml:space="preserve">CELLCLEAN AUTO 4 ML X 20  </v>
      </c>
      <c r="D16">
        <f>(((F9/30)/12)*E16)</f>
        <v>0</v>
      </c>
      <c r="E16">
        <v>150</v>
      </c>
      <c r="G16" t="e">
        <f>F16/D16</f>
        <v>#DIV/0!</v>
      </c>
      <c r="H16" t="str">
        <v>#REF!</v>
      </c>
      <c r="J16" s="4" t="str" xml:space="preserve">
        <v xml:space="preserve">AD-546-04-13_x000d_
</v>
      </c>
    </row>
    <row r="17" ht="18.75" customHeight="1">
      <c r="B17">
        <v>7051506001</v>
      </c>
      <c r="C17" t="str">
        <v>XN Check 12x3.0ml Level 1,2,3</v>
      </c>
      <c r="D17">
        <f>(((F9/30)/12)*E17)</f>
        <v>0</v>
      </c>
      <c r="E17">
        <v>56</v>
      </c>
      <c r="G17" t="e">
        <f>F17/D17</f>
        <v>#DIV/0!</v>
      </c>
      <c r="H17" t="str">
        <v>#REF!</v>
      </c>
      <c r="J17" s="4" t="str">
        <v>180-RBE-1014</v>
      </c>
    </row>
    <row r="18" ht="18.75" customHeight="1">
      <c r="A18" t="str">
        <v>Plaquetas Fluorescentes</v>
      </c>
      <c r="B18">
        <v>6510299001</v>
      </c>
      <c r="C18" t="str">
        <v>FLUOROCELL PLT 2 X 12ML</v>
      </c>
      <c r="D18">
        <v>650</v>
      </c>
      <c r="E18">
        <v>180</v>
      </c>
      <c r="G18">
        <f>F18/D18</f>
        <v>0</v>
      </c>
      <c r="H18" t="str">
        <v>#REF!</v>
      </c>
      <c r="J18" s="4" t="str">
        <v>AD-546-04-13</v>
      </c>
    </row>
    <row r="19" ht="18.75" customHeight="1">
      <c r="B19">
        <v>9426752001</v>
      </c>
      <c r="C19" t="str">
        <v>CELLPACK DFL 1 L</v>
      </c>
      <c r="D19">
        <v>450</v>
      </c>
      <c r="E19">
        <v>60</v>
      </c>
      <c r="G19">
        <f>F19/D19</f>
        <v>0</v>
      </c>
      <c r="H19" t="str">
        <v>#REF!</v>
      </c>
      <c r="J19" s="4" t="str">
        <v>AD-546-04-13</v>
      </c>
    </row>
    <row r="20" ht="18.75" customHeight="1">
      <c r="A20" t="str">
        <v>Reticulocitos</v>
      </c>
      <c r="B20">
        <v>6510272001</v>
      </c>
      <c r="C20" t="str">
        <v>FLUOROCELL RET 2 X 12ML</v>
      </c>
      <c r="D20">
        <v>650</v>
      </c>
      <c r="E20">
        <v>180</v>
      </c>
      <c r="G20">
        <f>F20/D20</f>
        <v>0</v>
      </c>
      <c r="H20" t="str">
        <v>#REF!</v>
      </c>
      <c r="J20" s="4" t="str">
        <v>AD-546-04-13</v>
      </c>
    </row>
    <row r="21" ht="18.75" customHeight="1">
      <c r="B21">
        <v>9426752001</v>
      </c>
      <c r="C21" t="str">
        <v>CELLPACK DFL 1 L</v>
      </c>
      <c r="D21">
        <v>450</v>
      </c>
      <c r="E21">
        <v>60</v>
      </c>
      <c r="G21">
        <f>F21/D21</f>
        <v>0</v>
      </c>
      <c r="H21" t="str">
        <v>#REF!</v>
      </c>
      <c r="J21" t="str">
        <v>AD-546-04-13</v>
      </c>
    </row>
    <row r="22" ht="18.75" customHeight="1">
      <c r="A22" t="str">
        <v>Líquidos</v>
      </c>
      <c r="B22">
        <v>7051409001</v>
      </c>
      <c r="C22" t="str">
        <v>XN-Check BF 6x3.0ml Level 1,2</v>
      </c>
      <c r="D22">
        <f>(((F9/30)/12)*E22)</f>
        <v>0</v>
      </c>
      <c r="E22">
        <v>56</v>
      </c>
      <c r="G22" t="e">
        <f>F22/D22</f>
        <v>#DIV/0!</v>
      </c>
      <c r="H22" t="str">
        <v>#REF!</v>
      </c>
      <c r="J22" s="4" t="str">
        <v>180-RBE-1014</v>
      </c>
    </row>
    <row r="23" ht="18.75" customHeight="1"/>
    <row r="24" ht="18.75" customHeight="1"/>
    <row r="25" ht="18.75" customHeight="1"/>
    <row r="26" ht="18.75" customHeight="1"/>
    <row r="27" ht="18.75" customHeight="1"/>
    <row r="28" ht="18.75" customHeight="1"/>
    <row r="29" ht="18.75" customHeight="1"/>
    <row r="30" ht="18.75" customHeight="1"/>
    <row r="31" ht="18.75" customHeight="1"/>
    <row r="32" ht="18.75" customHeight="1"/>
    <row r="33" ht="18.75" customHeight="1"/>
    <row r="34" ht="18.75" customHeight="1"/>
    <row r="35" ht="18.75" customHeight="1"/>
    <row r="36" ht="18.75" customHeight="1"/>
    <row r="37" ht="18.75" customHeight="1"/>
    <row r="38" ht="18.75" customHeight="1"/>
    <row r="39" ht="18.75" customHeight="1"/>
    <row r="40" ht="18.75" customHeight="1"/>
    <row r="41" ht="18.75" customHeight="1"/>
    <row r="42" ht="18.75" customHeight="1"/>
    <row r="43" ht="18.75" customHeight="1"/>
    <row r="44" ht="18.75" customHeight="1"/>
    <row r="45" ht="18.75" customHeight="1"/>
    <row r="46" ht="18.75" customHeight="1"/>
    <row r="47" ht="18.75" customHeight="1"/>
    <row r="48" ht="18.75" customHeight="1"/>
    <row r="49" ht="18.75" customHeight="1"/>
    <row r="50" ht="18.75" customHeight="1"/>
    <row r="51" ht="18.75" customHeight="1"/>
    <row r="52" ht="18.75" customHeight="1"/>
    <row r="53" ht="18.75" customHeight="1"/>
    <row r="54" ht="18.75" customHeight="1"/>
    <row r="55" ht="18.75" customHeight="1"/>
    <row r="56" ht="18.75" customHeight="1"/>
    <row r="57" ht="18.75" customHeight="1"/>
    <row r="58" ht="18.75" customHeight="1"/>
    <row r="59" ht="18.75" customHeight="1"/>
    <row r="60" ht="18.75" customHeight="1"/>
    <row r="61" ht="18.75" customHeight="1"/>
    <row r="62" ht="18.75" customHeight="1"/>
    <row r="63" ht="18.75" customHeight="1"/>
    <row r="64" ht="18.75" customHeight="1"/>
    <row r="65" ht="18.75" customHeight="1"/>
    <row r="66" ht="18.75" customHeight="1"/>
    <row r="67" ht="18.75" customHeight="1"/>
    <row r="68" ht="18.75" customHeight="1"/>
    <row r="69" ht="18.75" customHeight="1"/>
    <row r="70" ht="18.75" customHeight="1"/>
    <row r="71" ht="18.75" customHeight="1"/>
    <row r="72" ht="18.75" customHeight="1"/>
    <row r="73" ht="18.75" customHeight="1"/>
    <row r="74" ht="18.75" customHeight="1"/>
    <row r="75" ht="18.75" customHeight="1"/>
    <row r="76" ht="18.75" customHeight="1"/>
    <row r="77" ht="18.75" customHeight="1"/>
    <row r="78" ht="18.75" customHeight="1"/>
    <row r="79" ht="18.75" customHeight="1"/>
    <row r="80" ht="18.75" customHeight="1"/>
    <row r="81" ht="18.75" customHeight="1"/>
    <row r="82" ht="18.75" customHeight="1"/>
    <row r="83" ht="18.75" customHeight="1"/>
    <row r="84" ht="18.75" customHeight="1"/>
    <row r="85" ht="18.75" customHeight="1"/>
    <row r="86" ht="18.75" customHeight="1"/>
    <row r="87" ht="18.75" customHeight="1"/>
    <row r="88" ht="18.75" customHeight="1"/>
    <row r="89" ht="18.75" customHeight="1"/>
    <row r="90" ht="18.75" customHeight="1"/>
    <row r="91" ht="18.75" customHeight="1"/>
    <row r="92" ht="18.75" customHeight="1"/>
    <row r="93" ht="18.75" customHeight="1"/>
    <row r="94" ht="18.75" customHeight="1"/>
    <row r="95" ht="18.75" customHeight="1"/>
    <row r="96" ht="18.75" customHeight="1"/>
    <row r="97" ht="18.75" customHeight="1"/>
    <row r="98" ht="18.75" customHeight="1"/>
    <row r="99" ht="18.75" customHeight="1"/>
    <row r="100" ht="18.75" customHeight="1"/>
    <row r="101" ht="18.75" customHeight="1"/>
    <row r="102" ht="18.75" customHeight="1"/>
    <row r="103" ht="18.75" customHeight="1"/>
    <row r="104" ht="18.75" customHeight="1"/>
    <row r="105" ht="18.75" customHeight="1"/>
    <row r="106" ht="18.75" customHeight="1"/>
    <row r="107" ht="18.75" customHeight="1"/>
    <row r="108" ht="18.75" customHeight="1"/>
    <row r="109" ht="18.75" customHeight="1"/>
    <row r="110" ht="18.75" customHeight="1"/>
    <row r="111" ht="18.75" customHeight="1"/>
    <row r="112" ht="18.75" customHeight="1"/>
    <row r="113" ht="18.75" customHeight="1"/>
    <row r="114" ht="18.75" customHeight="1"/>
    <row r="115" ht="18.75" customHeight="1"/>
    <row r="116" ht="18.75" customHeight="1"/>
    <row r="117" ht="18.75" customHeight="1"/>
    <row r="118" ht="18.75" customHeight="1"/>
    <row r="119" ht="18.75" customHeight="1"/>
    <row r="120" ht="18.75" customHeight="1"/>
    <row r="121" ht="18.75" customHeight="1"/>
    <row r="122" ht="18.75" customHeight="1"/>
    <row r="123" ht="18.75" customHeight="1"/>
    <row r="124" ht="18.75" customHeight="1"/>
    <row r="125" ht="18.75" customHeight="1"/>
    <row r="126" ht="18.75" customHeight="1"/>
    <row r="127" ht="18.75" customHeight="1"/>
    <row r="128" ht="18.75" customHeight="1"/>
    <row r="129" ht="18.75" customHeight="1"/>
    <row r="130" ht="18.75" customHeight="1"/>
    <row r="131" ht="18.75" customHeight="1"/>
    <row r="132" ht="18.75" customHeight="1"/>
    <row r="133" ht="18.75" customHeight="1"/>
    <row r="134" ht="18.75" customHeight="1"/>
    <row r="135" ht="18.75" customHeight="1"/>
    <row r="136" ht="18.75" customHeight="1"/>
    <row r="137" ht="18.75" customHeight="1"/>
    <row r="138" ht="18.75" customHeight="1"/>
    <row r="139" ht="18.75" customHeight="1"/>
    <row r="140" ht="18.75" customHeight="1"/>
    <row r="141" ht="18.75" customHeight="1"/>
    <row r="142" ht="18.75" customHeight="1"/>
    <row r="143" ht="18.75" customHeight="1"/>
    <row r="144" ht="18.75" customHeight="1"/>
    <row r="145" ht="18.75" customHeight="1"/>
    <row r="146" ht="18.75" customHeight="1"/>
    <row r="147" ht="18.75" customHeight="1"/>
    <row r="148" ht="18.75" customHeight="1"/>
    <row r="149" ht="18.75" customHeight="1"/>
    <row r="150" ht="18.75" customHeight="1"/>
    <row r="151" ht="18.75" customHeight="1"/>
    <row r="152" ht="18.75" customHeight="1"/>
    <row r="153" ht="18.75" customHeight="1"/>
    <row r="154" ht="18.75" customHeight="1"/>
    <row r="155" ht="18.75" customHeight="1"/>
    <row r="156" ht="18.75" customHeight="1"/>
    <row r="157" ht="18.75" customHeight="1"/>
    <row r="158" ht="18.75" customHeight="1"/>
    <row r="159" ht="18.75" customHeight="1"/>
    <row r="160" ht="18.75" customHeight="1"/>
    <row r="161" ht="18.75" customHeight="1"/>
    <row r="162" ht="18.75" customHeight="1"/>
    <row r="163" ht="18.75" customHeight="1"/>
    <row r="164" ht="18.75" customHeight="1"/>
    <row r="165" ht="18.75" customHeight="1"/>
    <row r="166" ht="18.75" customHeight="1"/>
    <row r="167" ht="18.75" customHeight="1"/>
    <row r="168" ht="18.75" customHeight="1"/>
    <row r="169" ht="18.75" customHeight="1"/>
    <row r="170" ht="18.75" customHeight="1"/>
    <row r="171" ht="18.75" customHeight="1"/>
    <row r="172" ht="18.75" customHeight="1"/>
    <row r="173" ht="18.75" customHeight="1"/>
    <row r="174" ht="18.75" customHeight="1"/>
    <row r="175" ht="18.75" customHeight="1"/>
    <row r="176" ht="18.75" customHeight="1"/>
    <row r="177" ht="18.75" customHeight="1"/>
    <row r="178" ht="18.75" customHeight="1"/>
    <row r="179" ht="18.75" customHeight="1"/>
    <row r="180" ht="18.75" customHeight="1"/>
    <row r="181" ht="18.75" customHeight="1"/>
    <row r="182" ht="18.75" customHeight="1"/>
    <row r="183" ht="18.75" customHeight="1"/>
    <row r="184" ht="18.75" customHeight="1"/>
    <row r="185" ht="18.75" customHeight="1"/>
    <row r="186" ht="18.75" customHeight="1"/>
    <row r="187" ht="18.75" customHeight="1"/>
    <row r="188" ht="18.75" customHeight="1"/>
    <row r="189" ht="18.75" customHeight="1"/>
    <row r="190" ht="18.75" customHeight="1"/>
    <row r="191" ht="18.75" customHeight="1"/>
    <row r="192" ht="18.75" customHeight="1"/>
    <row r="193" ht="18.75" customHeight="1"/>
    <row r="194" ht="18.75" customHeight="1"/>
    <row r="195" ht="18.75" customHeight="1"/>
    <row r="196" ht="18.75" customHeight="1"/>
    <row r="197" ht="18.75" customHeight="1"/>
    <row r="198" ht="18.75" customHeight="1"/>
    <row r="199" ht="18.75" customHeight="1"/>
    <row r="200" ht="18.75" customHeight="1"/>
    <row r="201" ht="18.75" customHeight="1"/>
    <row r="202" ht="18.75" customHeight="1"/>
    <row r="203" ht="18.75" customHeight="1"/>
    <row r="204" ht="18.75" customHeight="1"/>
    <row r="205" ht="18.75" customHeight="1"/>
    <row r="206" ht="18.75" customHeight="1"/>
    <row r="207" ht="18.75" customHeight="1"/>
    <row r="208" ht="18.75" customHeight="1"/>
    <row r="209" ht="18.75" customHeight="1"/>
    <row r="210" ht="18.75" customHeight="1"/>
    <row r="211" ht="18.75" customHeight="1"/>
    <row r="212" ht="18.75" customHeight="1"/>
    <row r="213" ht="18.75" customHeight="1"/>
    <row r="214" ht="18.75" customHeight="1"/>
    <row r="215" ht="18.75" customHeight="1"/>
    <row r="216" ht="18.75" customHeight="1"/>
    <row r="217" ht="18.75" customHeight="1"/>
    <row r="218" ht="18.75" customHeight="1"/>
    <row r="219" ht="18.75" customHeight="1"/>
    <row r="220" ht="18.75" customHeight="1"/>
    <row r="221" ht="18.75" customHeight="1"/>
    <row r="222" ht="18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9:A17"/>
    <mergeCell ref="A18:A19"/>
    <mergeCell ref="A20:A21"/>
  </mergeCells>
  <pageMargins left="0.7" right="0.7" top="0.75" bottom="0.75" header="0" footer="0"/>
  <ignoredErrors>
    <ignoredError numberStoredAsText="1" sqref="A1:K100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H1000"/>
  <sheetViews>
    <sheetView workbookViewId="0" rightToLeft="0"/>
  </sheetViews>
  <cols>
    <col min="1" max="1" customWidth="1" width="9.44140625"/>
    <col min="2" max="2" customWidth="1" width="24.44140625"/>
    <col min="3" max="3" customWidth="1" width="7.109375"/>
    <col min="4" max="4" customWidth="1" width="8.44140625"/>
    <col min="5" max="5" customWidth="1" width="9.6640625"/>
    <col min="6" max="6" customWidth="1" width="8"/>
    <col min="7" max="7" customWidth="1" width="9.44140625"/>
    <col min="8" max="8" customWidth="1" width="8.5546875"/>
  </cols>
  <sheetData>
    <row r="1" ht="15" customHeight="1">
      <c r="A1" t="str">
        <v>CLIENTE</v>
      </c>
    </row>
    <row r="2" ht="15" customHeight="1">
      <c r="A2" t="str">
        <v>FECHA</v>
      </c>
    </row>
    <row r="3" ht="15" customHeight="1">
      <c r="A3" t="str">
        <v>MODALIDAD</v>
      </c>
    </row>
    <row r="4" ht="15" customHeight="1">
      <c r="A4" t="str">
        <v>PLAZO</v>
      </c>
      <c r="C4" t="str">
        <v>MESES</v>
      </c>
    </row>
    <row r="5" ht="15" customHeight="1">
      <c r="A5" t="str">
        <v>PROYECCIÓN</v>
      </c>
      <c r="C5" t="str">
        <v>MESES</v>
      </c>
    </row>
    <row r="6" ht="15" customHeight="1">
      <c r="A6" t="str">
        <v>EQUIPO</v>
      </c>
      <c r="B6" t="str">
        <v>c 111</v>
      </c>
    </row>
    <row r="8" ht="30.75" customHeight="1">
      <c r="A8" t="str">
        <v>ID</v>
      </c>
      <c r="B8" t="str">
        <v>REACTIVO</v>
      </c>
      <c r="C8" t="str">
        <v>DET/KIT</v>
      </c>
      <c r="D8" t="str">
        <v>DIAS ESTABILIDAD</v>
      </c>
      <c r="E8" t="str">
        <v>CANTIDAD PROCESO/AÑO</v>
      </c>
      <c r="F8" t="str">
        <v>PRODUCTO CALCULADO</v>
      </c>
      <c r="G8" t="str">
        <v>MINIMOS POR ESTABILIDAD</v>
      </c>
      <c r="H8" t="str">
        <v>PRODUCTO A ENTREGAR</v>
      </c>
    </row>
    <row r="9" ht="15" customHeight="1">
      <c r="A9">
        <v>4657527190</v>
      </c>
      <c r="B9" t="str">
        <v xml:space="preserve">Glucosa </v>
      </c>
      <c r="C9">
        <v>400</v>
      </c>
      <c r="D9" s="5">
        <v>120</v>
      </c>
      <c r="F9" s="4">
        <f>E9/C9</f>
        <v>0</v>
      </c>
      <c r="G9" s="4">
        <f>365/D9</f>
        <v>3.0416666666666665</v>
      </c>
    </row>
    <row r="10" ht="15" customHeight="1">
      <c r="A10">
        <v>4657616190</v>
      </c>
      <c r="B10" t="str">
        <v>Urea</v>
      </c>
      <c r="C10">
        <v>400</v>
      </c>
      <c r="D10" s="5">
        <v>120</v>
      </c>
      <c r="F10" s="4">
        <f>E10/C10</f>
        <v>0</v>
      </c>
      <c r="G10" s="4">
        <f>365/D10</f>
        <v>3.0416666666666665</v>
      </c>
    </row>
    <row r="11" ht="15" customHeight="1">
      <c r="A11">
        <v>5401755190</v>
      </c>
      <c r="B11" t="str">
        <v>Creatinina</v>
      </c>
      <c r="C11">
        <v>400</v>
      </c>
      <c r="D11" s="5">
        <v>120</v>
      </c>
      <c r="F11" s="4">
        <f>E11/C11</f>
        <v>0</v>
      </c>
      <c r="G11" s="4">
        <f>365/D11</f>
        <v>3.0416666666666665</v>
      </c>
    </row>
    <row r="12" ht="15" customHeight="1">
      <c r="A12">
        <v>4657608190</v>
      </c>
      <c r="B12" t="str">
        <v>Acido Úrico</v>
      </c>
      <c r="C12">
        <v>400</v>
      </c>
      <c r="D12" s="5">
        <v>120</v>
      </c>
      <c r="F12" s="4">
        <f>E12/C12</f>
        <v>0</v>
      </c>
      <c r="G12" s="4">
        <f>365/D12</f>
        <v>3.0416666666666665</v>
      </c>
    </row>
    <row r="13" ht="15" customHeight="1">
      <c r="A13">
        <v>4718917190</v>
      </c>
      <c r="B13" t="str">
        <v>Colesterol</v>
      </c>
      <c r="C13">
        <v>400</v>
      </c>
      <c r="D13" s="5">
        <v>120</v>
      </c>
      <c r="F13" s="4">
        <f>E13/C13</f>
        <v>0</v>
      </c>
      <c r="G13" s="4">
        <f>365/D13</f>
        <v>3.0416666666666665</v>
      </c>
    </row>
    <row r="14" ht="15" customHeight="1">
      <c r="A14">
        <v>4657594190</v>
      </c>
      <c r="B14" t="str">
        <v>Triglicéridos</v>
      </c>
      <c r="C14">
        <v>200</v>
      </c>
      <c r="D14" s="5">
        <v>120</v>
      </c>
      <c r="F14" s="4">
        <f>E14/C14</f>
        <v>0</v>
      </c>
      <c r="G14" s="4">
        <f>365/D14</f>
        <v>3.0416666666666665</v>
      </c>
    </row>
    <row r="15" ht="15" customHeight="1">
      <c r="A15">
        <v>4718569190</v>
      </c>
      <c r="B15" t="str">
        <v>ALT - TGP</v>
      </c>
      <c r="C15">
        <v>400</v>
      </c>
      <c r="D15" s="5">
        <v>120</v>
      </c>
      <c r="F15" s="4">
        <f>E15/C15</f>
        <v>0</v>
      </c>
      <c r="G15" s="4">
        <f>365/D15</f>
        <v>3.0416666666666665</v>
      </c>
    </row>
    <row r="16" ht="15" customHeight="1">
      <c r="A16">
        <v>4657543190</v>
      </c>
      <c r="B16" t="str">
        <v>AST - TGO</v>
      </c>
      <c r="C16">
        <v>400</v>
      </c>
      <c r="D16" s="5">
        <v>120</v>
      </c>
      <c r="F16" s="4">
        <f>E16/C16</f>
        <v>0</v>
      </c>
      <c r="G16" s="4">
        <f>365/D16</f>
        <v>3.0416666666666665</v>
      </c>
    </row>
    <row r="17" ht="15" customHeight="1">
      <c r="A17">
        <v>4657373190</v>
      </c>
      <c r="B17" t="str">
        <v>Fosfatasa alcalina</v>
      </c>
      <c r="C17">
        <v>200</v>
      </c>
      <c r="D17" s="5">
        <v>120</v>
      </c>
      <c r="F17" s="4">
        <f>E17/C17</f>
        <v>0</v>
      </c>
      <c r="G17" s="4">
        <f>365/D17</f>
        <v>3.0416666666666665</v>
      </c>
    </row>
    <row r="18" ht="15" customHeight="1">
      <c r="A18">
        <v>5795648190</v>
      </c>
      <c r="B18" t="str">
        <v>Bilirrubina Total</v>
      </c>
      <c r="C18">
        <v>400</v>
      </c>
      <c r="D18" s="5">
        <v>120</v>
      </c>
      <c r="F18" s="4">
        <f>E18/C18</f>
        <v>0</v>
      </c>
      <c r="G18" s="4">
        <f>365/D18</f>
        <v>3.0416666666666665</v>
      </c>
    </row>
    <row r="19" ht="15" customHeight="1">
      <c r="A19">
        <v>5589134190</v>
      </c>
      <c r="B19" t="str">
        <v>Bilirrubina Directa</v>
      </c>
      <c r="C19">
        <v>100</v>
      </c>
      <c r="D19" s="5">
        <v>60</v>
      </c>
      <c r="F19" s="4">
        <f>E19/C19</f>
        <v>0</v>
      </c>
      <c r="G19" s="4">
        <f>365/D19</f>
        <v>6.083333333333333</v>
      </c>
    </row>
    <row r="20" ht="15" customHeight="1">
      <c r="A20">
        <v>7528604190</v>
      </c>
      <c r="B20" t="str">
        <v>HDL Colesterol</v>
      </c>
      <c r="C20">
        <v>200</v>
      </c>
      <c r="D20" s="5">
        <v>60</v>
      </c>
      <c r="F20" s="4">
        <f>E20/C20</f>
        <v>0</v>
      </c>
      <c r="G20" s="4">
        <f>365/D20</f>
        <v>6.083333333333333</v>
      </c>
    </row>
    <row r="21" ht="15" customHeight="1">
      <c r="A21">
        <v>5401496190</v>
      </c>
      <c r="B21" t="str">
        <v>AMILASA</v>
      </c>
      <c r="C21">
        <v>200</v>
      </c>
      <c r="D21" s="5">
        <v>60</v>
      </c>
      <c r="F21" s="4">
        <f>E21/C21</f>
        <v>0</v>
      </c>
      <c r="G21" s="4">
        <f>365/D21</f>
        <v>6.083333333333333</v>
      </c>
    </row>
    <row r="22" ht="15" customHeight="1">
      <c r="A22">
        <v>5401704190</v>
      </c>
      <c r="B22" t="str">
        <v>LIPASA</v>
      </c>
      <c r="C22">
        <v>100</v>
      </c>
      <c r="D22" s="5">
        <v>60</v>
      </c>
      <c r="F22" s="4">
        <f>E22/C22</f>
        <v>0</v>
      </c>
      <c r="G22" s="4">
        <f>365/D22</f>
        <v>6.083333333333333</v>
      </c>
    </row>
    <row r="23" ht="15" customHeight="1">
      <c r="A23">
        <v>5401461190</v>
      </c>
      <c r="B23" t="str">
        <v>GGT</v>
      </c>
      <c r="C23">
        <v>200</v>
      </c>
      <c r="D23" s="5">
        <v>60</v>
      </c>
      <c r="F23" s="4">
        <f>E23/C23</f>
        <v>0</v>
      </c>
      <c r="G23" s="4">
        <f>365/D23</f>
        <v>6.083333333333333</v>
      </c>
    </row>
    <row r="24" ht="15" customHeight="1">
      <c r="A24">
        <v>4657357190</v>
      </c>
      <c r="B24" t="str">
        <v>Albumina</v>
      </c>
      <c r="C24">
        <v>400</v>
      </c>
      <c r="D24" s="5">
        <v>120</v>
      </c>
      <c r="F24" s="4">
        <f>E24/C24</f>
        <v>0</v>
      </c>
      <c r="G24" s="4">
        <f>365/D24</f>
        <v>3.0416666666666665</v>
      </c>
    </row>
    <row r="25" ht="15" customHeight="1">
      <c r="A25">
        <v>7005806190</v>
      </c>
      <c r="B25" t="str">
        <v>LDL Colesterol</v>
      </c>
      <c r="C25">
        <v>100</v>
      </c>
      <c r="D25" s="5">
        <v>60</v>
      </c>
      <c r="F25" s="4">
        <f>E25/C25</f>
        <v>0</v>
      </c>
      <c r="G25" s="4">
        <f>365/D25</f>
        <v>6.083333333333333</v>
      </c>
    </row>
    <row r="26" ht="15" customHeight="1">
      <c r="A26">
        <v>5061504190</v>
      </c>
      <c r="B26" t="str">
        <v>Calcio</v>
      </c>
      <c r="C26">
        <v>400</v>
      </c>
      <c r="D26" s="5">
        <v>120</v>
      </c>
      <c r="F26" s="4">
        <f>E26/C26</f>
        <v>0</v>
      </c>
      <c r="G26" s="4">
        <f>365/D26</f>
        <v>3.0416666666666665</v>
      </c>
    </row>
    <row r="27" ht="15" customHeight="1">
      <c r="A27">
        <v>7442017190</v>
      </c>
      <c r="B27" t="str">
        <v>CK</v>
      </c>
      <c r="C27">
        <v>200</v>
      </c>
      <c r="D27" s="5">
        <v>60</v>
      </c>
      <c r="F27" s="4">
        <f>E27/C27</f>
        <v>0</v>
      </c>
      <c r="G27" s="4">
        <f>365/D27</f>
        <v>6.083333333333333</v>
      </c>
    </row>
    <row r="28" ht="15" customHeight="1">
      <c r="A28">
        <v>5401674190</v>
      </c>
      <c r="B28" t="str">
        <v>LDH</v>
      </c>
      <c r="C28">
        <v>100</v>
      </c>
      <c r="D28" s="5">
        <v>60</v>
      </c>
      <c r="F28" s="4">
        <f>E28/C28</f>
        <v>0</v>
      </c>
      <c r="G28" s="4">
        <f>365/D28</f>
        <v>6.083333333333333</v>
      </c>
    </row>
    <row r="29" ht="15" customHeight="1">
      <c r="A29">
        <v>5336180190</v>
      </c>
      <c r="B29" t="str">
        <v xml:space="preserve">HbA1c </v>
      </c>
      <c r="C29">
        <v>200</v>
      </c>
      <c r="D29" s="5">
        <v>60</v>
      </c>
      <c r="F29" s="4">
        <f>E29/C29</f>
        <v>0</v>
      </c>
      <c r="G29" s="4">
        <f>365/D29</f>
        <v>6.083333333333333</v>
      </c>
    </row>
    <row r="30" ht="15" customHeight="1">
      <c r="A30">
        <v>5401658190</v>
      </c>
      <c r="B30" t="str">
        <v>Hierro</v>
      </c>
      <c r="C30">
        <v>100</v>
      </c>
      <c r="D30" s="5">
        <v>60</v>
      </c>
      <c r="F30" s="4">
        <f>E30/C30</f>
        <v>0</v>
      </c>
      <c r="G30" s="4">
        <f>365/D30</f>
        <v>6.083333333333333</v>
      </c>
    </row>
    <row r="31" ht="15" customHeight="1">
      <c r="A31">
        <v>4657586190</v>
      </c>
      <c r="B31" t="str">
        <v>Proteinas totales</v>
      </c>
      <c r="C31">
        <v>400</v>
      </c>
      <c r="D31" s="5">
        <v>120</v>
      </c>
      <c r="F31" s="4">
        <f>E31/C31</f>
        <v>0</v>
      </c>
      <c r="G31" s="4">
        <f>365/D31</f>
        <v>3.0416666666666665</v>
      </c>
    </row>
    <row r="32" ht="15" customHeight="1">
      <c r="A32">
        <v>7876432190</v>
      </c>
      <c r="B32" t="str">
        <v>PCR latex</v>
      </c>
      <c r="C32">
        <v>200</v>
      </c>
      <c r="D32" s="5">
        <v>60</v>
      </c>
      <c r="F32" s="4">
        <f>E32/C32</f>
        <v>0</v>
      </c>
      <c r="G32" s="4">
        <f>365/D32</f>
        <v>6.083333333333333</v>
      </c>
    </row>
    <row r="33" ht="15" customHeight="1">
      <c r="A33">
        <v>5077753190</v>
      </c>
      <c r="B33" t="str">
        <v xml:space="preserve">D-Dimer </v>
      </c>
      <c r="C33">
        <v>200</v>
      </c>
      <c r="D33" s="5">
        <v>120</v>
      </c>
      <c r="F33" s="4">
        <f>E33/C33</f>
        <v>0</v>
      </c>
      <c r="G33" s="4">
        <f>365/D33</f>
        <v>3.0416666666666665</v>
      </c>
    </row>
    <row r="34" ht="15" customHeight="1">
      <c r="A34">
        <v>5401780190</v>
      </c>
      <c r="B34" t="str">
        <v>Phosforo</v>
      </c>
      <c r="C34">
        <v>100</v>
      </c>
      <c r="D34" s="5">
        <v>60</v>
      </c>
      <c r="F34" s="4">
        <f>E34/C34</f>
        <v>0</v>
      </c>
      <c r="G34" s="4">
        <f>365/D34</f>
        <v>6.083333333333333</v>
      </c>
    </row>
    <row r="35" ht="15" customHeight="1">
      <c r="A35">
        <v>5401739190</v>
      </c>
      <c r="B35" t="str">
        <v>NH3L Ammonia</v>
      </c>
      <c r="C35">
        <v>100</v>
      </c>
      <c r="D35" s="5">
        <v>56</v>
      </c>
      <c r="F35" s="4">
        <f>E35/C35</f>
        <v>0</v>
      </c>
      <c r="G35" s="4">
        <f>365/D35</f>
        <v>6.517857142857143</v>
      </c>
    </row>
    <row r="36" ht="15" customHeight="1">
      <c r="A36">
        <v>7442050190</v>
      </c>
      <c r="B36" t="str">
        <v>CK-MB</v>
      </c>
      <c r="C36">
        <v>100</v>
      </c>
      <c r="D36">
        <v>60</v>
      </c>
      <c r="F36" s="4">
        <f>E36/C36</f>
        <v>0</v>
      </c>
      <c r="G36" s="4">
        <f>365/D36</f>
        <v>6.083333333333333</v>
      </c>
    </row>
    <row r="37" ht="15" customHeight="1">
      <c r="C37" s="5" t="str">
        <v>TOTAL DET</v>
      </c>
      <c r="E37" s="5">
        <f>SUM(E9:E36)</f>
        <v>0</v>
      </c>
    </row>
    <row r="38" ht="15" customHeight="1">
      <c r="A38" t="str">
        <v>CALIBRADOR</v>
      </c>
    </row>
    <row r="39" ht="15" customHeight="1">
      <c r="A39">
        <v>10759350190</v>
      </c>
      <c r="B39" t="str">
        <v>Calibrator f.a.s. 12x3 ml</v>
      </c>
      <c r="C39">
        <v>12</v>
      </c>
      <c r="D39" s="5">
        <v>28</v>
      </c>
      <c r="G39" s="4">
        <f>(365/D39)/C39</f>
        <v>1.086309523809524</v>
      </c>
    </row>
    <row r="40" ht="15" customHeight="1">
      <c r="A40">
        <v>12172623122</v>
      </c>
      <c r="B40" t="str">
        <v xml:space="preserve">Cfas Lipids 3x1ML </v>
      </c>
      <c r="C40">
        <v>3</v>
      </c>
      <c r="D40" s="5">
        <v>28</v>
      </c>
      <c r="G40" s="4">
        <f>(365/D40)/C40</f>
        <v>4.345238095238096</v>
      </c>
    </row>
    <row r="41" ht="15" customHeight="1">
      <c r="A41">
        <v>11355279216</v>
      </c>
      <c r="B41" t="str">
        <v>Cfas Proteins</v>
      </c>
      <c r="C41">
        <v>5</v>
      </c>
      <c r="D41" s="5">
        <v>28</v>
      </c>
      <c r="G41" s="4">
        <f>(365/D41)/C41</f>
        <v>2.607142857142857</v>
      </c>
    </row>
    <row r="42" ht="15" customHeight="1">
      <c r="A42">
        <v>4528417190</v>
      </c>
      <c r="B42" t="str">
        <v>Cfas HbA1c, 3x2ml</v>
      </c>
      <c r="C42">
        <v>3</v>
      </c>
      <c r="D42" s="5">
        <v>84</v>
      </c>
      <c r="G42" s="4">
        <f>(365/D42)/C42</f>
        <v>1.4484126984126984</v>
      </c>
    </row>
    <row r="43" ht="15" customHeight="1">
      <c r="A43">
        <v>20751995190</v>
      </c>
      <c r="B43" t="str">
        <v>Ammonia/Ethanol/CO2 Calibrator</v>
      </c>
      <c r="C43">
        <v>2</v>
      </c>
      <c r="D43" s="5">
        <v>56</v>
      </c>
      <c r="G43" s="4">
        <f>(365/D43)/C43</f>
        <v>3.2589285714285716</v>
      </c>
    </row>
    <row r="44" ht="15" customHeight="1">
      <c r="A44">
        <v>5050901190</v>
      </c>
      <c r="B44" t="str">
        <v>Cfas D- Dimer</v>
      </c>
      <c r="C44">
        <v>1</v>
      </c>
      <c r="D44" s="5">
        <v>84</v>
      </c>
      <c r="G44" s="4">
        <f>(365/D44)/C44</f>
        <v>4.345238095238095</v>
      </c>
    </row>
    <row r="45" ht="15" customHeight="1">
      <c r="A45">
        <v>11447394216</v>
      </c>
      <c r="B45" t="str">
        <v>Calibrator f.a.s. CK‑MB</v>
      </c>
      <c r="C45">
        <v>3</v>
      </c>
      <c r="D45">
        <v>28</v>
      </c>
      <c r="G45" s="4">
        <f>(365/D45)/C45</f>
        <v>4.345238095238096</v>
      </c>
    </row>
    <row r="46" ht="15" customHeight="1">
      <c r="A46" t="str">
        <v>CONTROL</v>
      </c>
    </row>
    <row r="47" ht="15" customHeight="1">
      <c r="A47">
        <v>5947626190</v>
      </c>
      <c r="B47" t="str">
        <v>PreciControl ClinChem Multi 1 4x5ml</v>
      </c>
      <c r="C47">
        <v>4</v>
      </c>
      <c r="D47" s="5">
        <v>14</v>
      </c>
      <c r="G47" s="4">
        <f>(365/D47)/C47</f>
        <v>6.517857142857143</v>
      </c>
    </row>
    <row r="48" ht="15" customHeight="1">
      <c r="A48">
        <v>5947774190</v>
      </c>
      <c r="B48" t="str">
        <v>PreciControl ClinChem Multi 2 4x5ml</v>
      </c>
      <c r="C48">
        <v>4</v>
      </c>
      <c r="D48" s="5">
        <v>14</v>
      </c>
      <c r="G48" s="4">
        <f>(365/D48)/C48</f>
        <v>6.517857142857143</v>
      </c>
    </row>
    <row r="49" ht="15" customHeight="1">
      <c r="A49">
        <v>5479207190</v>
      </c>
      <c r="B49" t="str">
        <v>PreciControl HBA1c Norm</v>
      </c>
      <c r="C49">
        <v>4</v>
      </c>
      <c r="D49" s="5">
        <v>28</v>
      </c>
      <c r="G49" s="4">
        <f>(365/D49)/C49</f>
        <v>3.2589285714285716</v>
      </c>
    </row>
    <row r="50" ht="15" customHeight="1">
      <c r="A50">
        <v>5912504190</v>
      </c>
      <c r="B50" t="str">
        <v>PRECICONTROL HBA1C PATH</v>
      </c>
      <c r="C50">
        <v>4</v>
      </c>
      <c r="D50" s="5">
        <v>28</v>
      </c>
      <c r="G50" s="4">
        <f>(365/D50)/C50</f>
        <v>3.2589285714285716</v>
      </c>
    </row>
    <row r="51" ht="15" customHeight="1">
      <c r="A51">
        <v>20752401190</v>
      </c>
      <c r="B51" t="str">
        <v>Ammonia/Ethanol/CO2 Control Normal</v>
      </c>
      <c r="C51">
        <v>5</v>
      </c>
      <c r="D51" s="5">
        <v>56</v>
      </c>
      <c r="G51" s="4">
        <f>(365/D51)/C51</f>
        <v>1.3035714285714286</v>
      </c>
    </row>
    <row r="52" ht="15" customHeight="1">
      <c r="A52">
        <v>20753009190</v>
      </c>
      <c r="B52" t="str">
        <v>Ammonia/Ethanol/CO2 Control Normal</v>
      </c>
      <c r="C52">
        <v>5</v>
      </c>
      <c r="D52" s="5">
        <v>56</v>
      </c>
      <c r="G52" s="4">
        <f>(365/D52)/C52</f>
        <v>1.3035714285714286</v>
      </c>
    </row>
    <row r="53" ht="15" customHeight="1">
      <c r="A53">
        <v>5050936190</v>
      </c>
      <c r="B53" t="str">
        <v>PreciControl D- Dimer</v>
      </c>
      <c r="C53">
        <v>2</v>
      </c>
      <c r="D53" s="5">
        <v>84</v>
      </c>
      <c r="G53" s="4">
        <f>(365/D53)/C53</f>
        <v>2.1726190476190474</v>
      </c>
    </row>
    <row r="54" ht="15" customHeight="1">
      <c r="A54" t="str">
        <v>CONSUMIBLES</v>
      </c>
    </row>
    <row r="55" ht="15" customHeight="1">
      <c r="A55">
        <v>4774230190</v>
      </c>
      <c r="B55" t="str">
        <v>NaCL 9% cobas c 111</v>
      </c>
      <c r="C55">
        <v>4</v>
      </c>
      <c r="D55" s="5">
        <v>28</v>
      </c>
      <c r="G55" s="4">
        <f>(365/D55)/C55</f>
        <v>3.2589285714285716</v>
      </c>
    </row>
    <row r="56" ht="15" customHeight="1">
      <c r="A56">
        <v>5007232190</v>
      </c>
      <c r="B56" t="str">
        <v>HAEMOLYSE REAGENT 800T COBAS C111</v>
      </c>
      <c r="C56">
        <v>8</v>
      </c>
      <c r="D56" s="5">
        <v>10</v>
      </c>
      <c r="G56" s="4">
        <f>(365/D56)/C56</f>
        <v>4.5625</v>
      </c>
    </row>
    <row r="57" ht="15" customHeight="1">
      <c r="A57">
        <v>4663632190</v>
      </c>
      <c r="B57" t="str">
        <v>Activator for cobas c,Integra,c111</v>
      </c>
      <c r="C57">
        <v>9</v>
      </c>
      <c r="D57" s="5">
        <v>12</v>
      </c>
      <c r="G57" s="4">
        <f>(365/D57)/C57</f>
        <v>3.3796296296296298</v>
      </c>
    </row>
    <row r="58" ht="15" customHeight="1">
      <c r="A58">
        <v>11298500316</v>
      </c>
      <c r="B58" t="str">
        <v>ISE CLEANING SOLUTION  5x100ml</v>
      </c>
      <c r="C58">
        <v>5</v>
      </c>
      <c r="D58" s="5">
        <v>73</v>
      </c>
      <c r="G58" s="4">
        <f>(365/D58)/C58</f>
        <v>1</v>
      </c>
    </row>
    <row r="59" ht="15.75" customHeight="1">
      <c r="A59">
        <v>20754765322</v>
      </c>
      <c r="B59" t="str">
        <v>Cobas Integra Cleaner</v>
      </c>
      <c r="C59">
        <v>1</v>
      </c>
      <c r="D59" s="5">
        <v>84</v>
      </c>
      <c r="G59" s="4">
        <f>(365/D59)/C59</f>
        <v>4.345238095238095</v>
      </c>
    </row>
    <row r="60" ht="15.75" customHeight="1">
      <c r="A60">
        <v>4357108001</v>
      </c>
      <c r="B60" t="str">
        <v>Micro Cuvette Segment</v>
      </c>
      <c r="C60">
        <v>1</v>
      </c>
      <c r="D60" s="5">
        <v>365</v>
      </c>
      <c r="G60" s="4">
        <f>(365/D60)/C60</f>
        <v>1</v>
      </c>
    </row>
    <row r="61" ht="15.75" customHeight="1">
      <c r="A61">
        <v>4444191001</v>
      </c>
      <c r="B61" t="str">
        <v>Sample cup    250 St</v>
      </c>
      <c r="C61">
        <v>1</v>
      </c>
      <c r="D61" s="5">
        <v>365</v>
      </c>
      <c r="G61" s="4">
        <f>(365/D61)/C61</f>
        <v>1</v>
      </c>
    </row>
    <row r="62" ht="15.75" customHeight="1">
      <c r="A62">
        <v>4352483001</v>
      </c>
      <c r="B62" t="str">
        <v>URISYS Thermo-printer paper 5</v>
      </c>
      <c r="C62">
        <v>5</v>
      </c>
      <c r="D62" s="5">
        <v>365</v>
      </c>
      <c r="G62" s="4">
        <f>(365/D62)/C62</f>
        <v>0.2</v>
      </c>
    </row>
    <row r="63" ht="15.75" customHeight="1">
      <c r="A63">
        <v>5344620001</v>
      </c>
      <c r="B63" t="str">
        <v>LAMP HALOGEN 12V/20W ASSY</v>
      </c>
      <c r="C63">
        <v>1</v>
      </c>
      <c r="D63" s="5">
        <v>365</v>
      </c>
      <c r="G63" s="4">
        <f>(365/D63)/C63</f>
        <v>1</v>
      </c>
    </row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3:F3"/>
  </mergeCells>
  <pageMargins left="0.7" right="0.7" top="0.75" bottom="0.75" header="0" footer="0"/>
  <ignoredErrors>
    <ignoredError numberStoredAsText="1" sqref="A1:H100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Z1000"/>
  <sheetViews>
    <sheetView workbookViewId="0" rightToLeft="0"/>
  </sheetViews>
  <cols>
    <col min="1" max="1" customWidth="1" width="8.6640625"/>
    <col min="2" max="2" customWidth="1" width="29.33203125"/>
    <col min="3" max="3" customWidth="1" width="12"/>
    <col min="4" max="4" customWidth="1" width="11"/>
    <col min="5" max="5" customWidth="1" width="12"/>
    <col min="6" max="6" customWidth="1" width="14.33203125"/>
    <col min="7" max="7" customWidth="1" width="16.6640625"/>
    <col min="8" max="8" customWidth="1" width="14.5546875"/>
    <col min="9" max="9" customWidth="1" width="10.6640625"/>
    <col min="10" max="10" customWidth="1" width="10.6640625"/>
    <col min="11" max="11" customWidth="1" width="10.6640625"/>
    <col min="12" max="12" customWidth="1" width="10.6640625"/>
    <col min="13" max="13" customWidth="1" width="10.6640625"/>
    <col min="14" max="14" customWidth="1" width="10.6640625"/>
    <col min="15" max="15" customWidth="1" width="10.6640625"/>
    <col min="16" max="16" customWidth="1" width="10.6640625"/>
    <col min="17" max="17" customWidth="1" width="10.6640625"/>
    <col min="18" max="18" customWidth="1" width="10.6640625"/>
    <col min="19" max="19" customWidth="1" width="10.6640625"/>
    <col min="20" max="20" customWidth="1" width="10.6640625"/>
    <col min="21" max="21" customWidth="1" width="10.6640625"/>
    <col min="22" max="22" customWidth="1" width="10.6640625"/>
    <col min="23" max="23" customWidth="1" width="10.6640625"/>
    <col min="24" max="24" customWidth="1" width="10.6640625"/>
    <col min="25" max="25" customWidth="1" width="10.6640625"/>
    <col min="26" max="26" customWidth="1" width="10.6640625"/>
  </cols>
  <sheetData>
    <row r="1" ht="13.5" customHeight="1">
      <c r="A1" t="str">
        <v>CLIENTE</v>
      </c>
    </row>
    <row r="2" ht="13.5" customHeight="1">
      <c r="A2" t="str">
        <v>FECHA</v>
      </c>
    </row>
    <row r="3" ht="13.5" customHeight="1">
      <c r="A3" t="str">
        <v>MODALIDAD</v>
      </c>
    </row>
    <row r="4" ht="13.5" customHeight="1">
      <c r="A4" t="str">
        <v>PLAZO</v>
      </c>
      <c r="C4" t="str">
        <v>MESES</v>
      </c>
    </row>
    <row r="5" ht="13.5" customHeight="1">
      <c r="A5" t="str">
        <v>PROYECCIÓN</v>
      </c>
      <c r="C5" t="str">
        <v>MESES</v>
      </c>
    </row>
    <row r="6" ht="13.5" customHeight="1">
      <c r="A6" t="str">
        <v>EQUIPO</v>
      </c>
      <c r="B6" t="str">
        <v>C311</v>
      </c>
    </row>
    <row r="7" ht="13.5" customHeight="1"/>
    <row r="8" ht="13.5" customHeight="1">
      <c r="A8" t="str">
        <v>I.D</v>
      </c>
      <c r="B8" t="str">
        <v>DESCRIPCION</v>
      </c>
      <c r="C8" t="str">
        <v>DET/KIT</v>
      </c>
      <c r="D8" t="str">
        <v>DIAS ESTABILIDAD</v>
      </c>
      <c r="E8" t="str">
        <v>DET/AÑO/PROCESO</v>
      </c>
      <c r="F8" t="str">
        <v>PRODUCTO CALCULADO</v>
      </c>
      <c r="G8" t="str">
        <v>MINIMOS POR ESTABILIDAD</v>
      </c>
      <c r="H8" t="str">
        <v>PRODUCTO A ENTREGAR</v>
      </c>
    </row>
    <row r="9" ht="13.5" customHeight="1">
      <c r="A9">
        <v>6750052190</v>
      </c>
      <c r="B9" t="str">
        <v>A-1MG TQ GEN.2, 100TEST, COBAS C/INT</v>
      </c>
      <c r="C9">
        <v>200</v>
      </c>
      <c r="D9">
        <v>84</v>
      </c>
      <c r="F9" s="4">
        <f>E9/C9</f>
        <v>0</v>
      </c>
      <c r="G9" s="4">
        <f>365/D9</f>
        <v>4.345238095238095</v>
      </c>
    </row>
    <row r="10" ht="13.5" customHeight="1">
      <c r="A10">
        <v>3005771322</v>
      </c>
      <c r="B10" t="str">
        <v>AAT GEN.2, 100TESTS, COBAS C, INTEGRA</v>
      </c>
      <c r="C10">
        <v>100</v>
      </c>
      <c r="D10">
        <v>84</v>
      </c>
      <c r="F10" s="4">
        <f>E10/C10</f>
        <v>0</v>
      </c>
      <c r="G10" s="4">
        <f>365/D10</f>
        <v>4.345238095238095</v>
      </c>
    </row>
    <row r="11" ht="13.5" customHeight="1">
      <c r="A11">
        <v>4375351190</v>
      </c>
      <c r="B11" t="str">
        <v>ACP HIT 917 LARGE</v>
      </c>
      <c r="C11">
        <v>400</v>
      </c>
      <c r="D11">
        <v>84</v>
      </c>
      <c r="F11" s="4">
        <f>E11/C11</f>
        <v>0</v>
      </c>
      <c r="G11" s="4">
        <f>365/D11</f>
        <v>4.345238095238095</v>
      </c>
    </row>
    <row r="12" ht="13.5" customHeight="1">
      <c r="A12">
        <v>3183688122</v>
      </c>
      <c r="B12" t="str">
        <v>ALB2, 300T, COBAS C, INTEGRA</v>
      </c>
      <c r="C12">
        <v>300</v>
      </c>
      <c r="D12">
        <v>84</v>
      </c>
      <c r="F12" s="4">
        <f>E12/C12</f>
        <v>0</v>
      </c>
      <c r="G12" s="4">
        <f>365/D12</f>
        <v>4.345238095238095</v>
      </c>
    </row>
    <row r="13" ht="13.5" customHeight="1">
      <c r="A13">
        <v>4469658190</v>
      </c>
      <c r="B13" t="str">
        <v>ALB-T TQ GEN.2, 100TESTS, COBAS C, INT</v>
      </c>
      <c r="C13">
        <v>100</v>
      </c>
      <c r="D13">
        <v>84</v>
      </c>
      <c r="F13" s="4">
        <f>E13/C13</f>
        <v>0</v>
      </c>
      <c r="G13" s="4">
        <f>365/D13</f>
        <v>4.345238095238095</v>
      </c>
    </row>
    <row r="14" ht="13.5" customHeight="1">
      <c r="A14">
        <v>3333752190</v>
      </c>
      <c r="B14" t="str">
        <v>ALP2, 200T, COBAS C, INTEGRA</v>
      </c>
      <c r="C14">
        <v>200</v>
      </c>
      <c r="D14">
        <v>56</v>
      </c>
      <c r="F14" s="4">
        <f>E14/C14</f>
        <v>0</v>
      </c>
      <c r="G14" s="4">
        <f>365/D14</f>
        <v>6.517857142857143</v>
      </c>
    </row>
    <row r="15" ht="13.5" customHeight="1">
      <c r="A15">
        <v>20764957322</v>
      </c>
      <c r="B15" t="str">
        <v>ALTL, 500TESTS, COBAS C, INTEGRA</v>
      </c>
      <c r="C15">
        <v>500</v>
      </c>
      <c r="D15">
        <v>84</v>
      </c>
      <c r="F15" s="4">
        <f>E15/C15</f>
        <v>0</v>
      </c>
      <c r="G15" s="4">
        <f>365/D15</f>
        <v>4.345238095238095</v>
      </c>
    </row>
    <row r="16" ht="13.5" customHeight="1">
      <c r="A16">
        <v>3183742122</v>
      </c>
      <c r="B16" t="str">
        <v>AMYL GEN.2, 300TESTS, COBAS C, INTEGRA</v>
      </c>
      <c r="C16">
        <v>300</v>
      </c>
      <c r="D16">
        <v>84</v>
      </c>
      <c r="F16" s="4">
        <f>E16/C16</f>
        <v>0</v>
      </c>
      <c r="G16" s="4">
        <f>365/D16</f>
        <v>4.345238095238095</v>
      </c>
    </row>
    <row r="17" ht="13.5" customHeight="1">
      <c r="A17">
        <v>3032566122</v>
      </c>
      <c r="B17" t="str">
        <v xml:space="preserve">APOAT, 100TESTS, COBAS C, INTEGRA </v>
      </c>
      <c r="C17">
        <v>100</v>
      </c>
      <c r="D17">
        <v>84</v>
      </c>
      <c r="F17" s="4">
        <f>E17/C17</f>
        <v>0</v>
      </c>
      <c r="G17" s="4">
        <f>365/D17</f>
        <v>4.345238095238095</v>
      </c>
    </row>
    <row r="18" ht="13.5" customHeight="1">
      <c r="A18">
        <v>3032574122</v>
      </c>
      <c r="B18" t="str">
        <v>APOBT, 100TESTS, COBAS C, INTEGRA</v>
      </c>
      <c r="C18">
        <v>100</v>
      </c>
      <c r="D18">
        <v>84</v>
      </c>
      <c r="F18" s="4">
        <f>E18/C18</f>
        <v>0</v>
      </c>
      <c r="G18" s="4">
        <f>365/D18</f>
        <v>4.345238095238095</v>
      </c>
    </row>
    <row r="19" ht="13.5" customHeight="1">
      <c r="A19">
        <v>4489403190</v>
      </c>
      <c r="B19" t="str">
        <v>ASLO TQ, 150TESTS, COBAS C</v>
      </c>
      <c r="C19">
        <v>150</v>
      </c>
      <c r="D19">
        <v>84</v>
      </c>
      <c r="F19" s="4">
        <f>E19/C19</f>
        <v>0</v>
      </c>
      <c r="G19" s="4">
        <f>365/D19</f>
        <v>4.345238095238095</v>
      </c>
    </row>
    <row r="20" ht="13.5" customHeight="1">
      <c r="A20">
        <v>20764949322</v>
      </c>
      <c r="B20" t="str">
        <v>ASTL, 500TESTS, COBAS C, INTEGRA</v>
      </c>
      <c r="C20">
        <v>500</v>
      </c>
      <c r="D20">
        <v>84</v>
      </c>
      <c r="F20" s="4">
        <f>E20/C20</f>
        <v>0</v>
      </c>
      <c r="G20" s="4">
        <f>365/D20</f>
        <v>4.345238095238095</v>
      </c>
    </row>
    <row r="21" ht="13.5" customHeight="1">
      <c r="A21">
        <v>8047430190</v>
      </c>
      <c r="B21" t="str">
        <v>B2MG, 140T, COBAS C 311, COBAS C 501/502</v>
      </c>
      <c r="C21">
        <v>140</v>
      </c>
      <c r="D21">
        <v>84</v>
      </c>
      <c r="F21" s="4">
        <f>E21/C21</f>
        <v>0</v>
      </c>
      <c r="G21" s="4">
        <f>365/D21</f>
        <v>4.345238095238095</v>
      </c>
    </row>
    <row r="22" ht="13.5" customHeight="1">
      <c r="A22">
        <v>5589061190</v>
      </c>
      <c r="B22" t="str">
        <v>BIL-D GEN.2, 350TESTS COBAS C, INTEGRA</v>
      </c>
      <c r="C22">
        <v>350</v>
      </c>
      <c r="D22">
        <v>42</v>
      </c>
      <c r="F22" s="4">
        <f>E22/C22</f>
        <v>0</v>
      </c>
      <c r="G22" s="4">
        <f>365/D22</f>
        <v>8.69047619047619</v>
      </c>
    </row>
    <row r="23" ht="13.5" customHeight="1">
      <c r="A23">
        <v>5795397190</v>
      </c>
      <c r="B23" t="str">
        <v>BIL-T GEN.3, 250TESTS COBAS C,INTEGRA</v>
      </c>
      <c r="C23">
        <v>250</v>
      </c>
      <c r="D23">
        <v>42</v>
      </c>
      <c r="F23" s="4">
        <f>E23/C23</f>
        <v>0</v>
      </c>
      <c r="G23" s="4">
        <f>365/D23</f>
        <v>8.69047619047619</v>
      </c>
    </row>
    <row r="24" ht="13.5" customHeight="1">
      <c r="A24">
        <v>3001938322</v>
      </c>
      <c r="B24" t="str">
        <v>C3C, 100TESTS, COBAS C, INTEGRA</v>
      </c>
      <c r="C24">
        <v>100</v>
      </c>
      <c r="D24">
        <v>42</v>
      </c>
      <c r="F24" s="4">
        <f>E24/C24</f>
        <v>0</v>
      </c>
      <c r="G24" s="4">
        <f>365/D24</f>
        <v>8.69047619047619</v>
      </c>
    </row>
    <row r="25" ht="13.5" customHeight="1">
      <c r="A25">
        <v>3001962322</v>
      </c>
      <c r="B25" t="str">
        <v>C4, 100TESTS, COBAS C, INTEGRA</v>
      </c>
      <c r="C25">
        <v>100</v>
      </c>
      <c r="D25">
        <v>56</v>
      </c>
      <c r="F25" s="4">
        <f>E25/C25</f>
        <v>0</v>
      </c>
      <c r="G25" s="4">
        <f>365/D25</f>
        <v>6.517857142857143</v>
      </c>
    </row>
    <row r="26" ht="13.5" customHeight="1">
      <c r="A26">
        <v>5061482190</v>
      </c>
      <c r="B26" t="str">
        <v>CA, GEN.2, 300TESTS, COBAS C,INTEGRA</v>
      </c>
      <c r="C26">
        <v>300</v>
      </c>
      <c r="D26">
        <v>56</v>
      </c>
      <c r="F26" s="4">
        <f>E26/C26</f>
        <v>0</v>
      </c>
      <c r="G26" s="4">
        <f>365/D26</f>
        <v>6.517857142857143</v>
      </c>
    </row>
    <row r="27" ht="13.5" customHeight="1">
      <c r="A27">
        <v>20764663322</v>
      </c>
      <c r="B27" t="str">
        <v>CERU, 100TESTS, COBAS C, INTEGRA</v>
      </c>
      <c r="C27">
        <v>100</v>
      </c>
      <c r="D27">
        <v>56</v>
      </c>
      <c r="F27" s="4">
        <f>E27/C27</f>
        <v>0</v>
      </c>
      <c r="G27" s="4">
        <f>365/D27</f>
        <v>6.517857142857143</v>
      </c>
    </row>
    <row r="28" ht="13.5" customHeight="1">
      <c r="A28">
        <v>4498577190</v>
      </c>
      <c r="B28" t="str">
        <v>CHE GEN.2, 200TESTS, COBAS C, INTEGRA</v>
      </c>
      <c r="C28">
        <v>200</v>
      </c>
      <c r="D28">
        <v>28</v>
      </c>
      <c r="F28" s="4">
        <f>E28/C28</f>
        <v>0</v>
      </c>
      <c r="G28" s="4">
        <f>365/D28</f>
        <v>13.035714285714286</v>
      </c>
    </row>
    <row r="29" ht="13.5" customHeight="1">
      <c r="A29">
        <v>3039773190</v>
      </c>
      <c r="B29" t="str">
        <v>CHOL HICO GEN.2, 400TESTS, COBAS C, INT.</v>
      </c>
      <c r="C29">
        <v>400</v>
      </c>
      <c r="D29">
        <v>28</v>
      </c>
      <c r="F29" s="4">
        <f>E29/C29</f>
        <v>0</v>
      </c>
      <c r="G29" s="4">
        <f>365/D29</f>
        <v>13.035714285714286</v>
      </c>
    </row>
    <row r="30" ht="13.5" customHeight="1">
      <c r="A30">
        <v>7190794190</v>
      </c>
      <c r="B30" t="str">
        <v>CK 200 TESTS, COBAS C/INTEGRA</v>
      </c>
      <c r="C30">
        <v>200</v>
      </c>
      <c r="D30">
        <v>56</v>
      </c>
      <c r="F30" s="4">
        <f>E30/C30</f>
        <v>0</v>
      </c>
      <c r="G30" s="4">
        <f>365/D30</f>
        <v>6.517857142857143</v>
      </c>
    </row>
    <row r="31" ht="13.5" customHeight="1">
      <c r="A31">
        <v>7190808190</v>
      </c>
      <c r="B31" t="str">
        <v>CK-MB 100TESTS, COBAS C/INTEGRA</v>
      </c>
      <c r="C31">
        <v>100</v>
      </c>
      <c r="D31">
        <v>56</v>
      </c>
      <c r="F31" s="4">
        <f>E31/C31</f>
        <v>0</v>
      </c>
      <c r="G31" s="4">
        <f>365/D31</f>
        <v>6.517857142857143</v>
      </c>
    </row>
    <row r="32" ht="13.5" customHeight="1">
      <c r="A32">
        <v>3289923190</v>
      </c>
      <c r="B32" t="str">
        <v>COBAS INTEGRA CO2-L GEN.2 250 TEST</v>
      </c>
      <c r="C32">
        <v>250</v>
      </c>
      <c r="D32">
        <v>42</v>
      </c>
      <c r="F32" s="4">
        <f>E32/C32</f>
        <v>0</v>
      </c>
      <c r="G32" s="4">
        <f>365/D32</f>
        <v>8.69047619047619</v>
      </c>
    </row>
    <row r="33" ht="13.5" customHeight="1">
      <c r="A33">
        <v>4490827190</v>
      </c>
      <c r="B33" t="str">
        <v>COC2, 200T, COBAS C</v>
      </c>
      <c r="C33">
        <v>200</v>
      </c>
      <c r="D33">
        <v>56</v>
      </c>
      <c r="F33" s="4">
        <f>E33/C33</f>
        <v>0</v>
      </c>
      <c r="G33" s="4">
        <f>365/D33</f>
        <v>6.517857142857143</v>
      </c>
    </row>
    <row r="34" ht="13.5" customHeight="1">
      <c r="A34">
        <v>4810716190</v>
      </c>
      <c r="B34" t="str">
        <v>CREAJ2, 700T, COBAS C, INTEGRA</v>
      </c>
      <c r="C34">
        <v>700</v>
      </c>
      <c r="D34">
        <v>56</v>
      </c>
      <c r="F34" s="4">
        <f>E34/C34</f>
        <v>0</v>
      </c>
      <c r="G34" s="4">
        <f>365/D34</f>
        <v>6.517857142857143</v>
      </c>
    </row>
    <row r="35" ht="13.5" customHeight="1">
      <c r="A35">
        <v>4628918190</v>
      </c>
      <c r="B35" t="str">
        <v>CRP LX HS, 300TESTS, COBAS C, INTEGRA</v>
      </c>
      <c r="C35">
        <v>100</v>
      </c>
      <c r="D35">
        <v>84</v>
      </c>
      <c r="F35" s="4">
        <f>E35/C35</f>
        <v>0</v>
      </c>
      <c r="G35" s="4">
        <f>365/D35</f>
        <v>4.345238095238095</v>
      </c>
    </row>
    <row r="36" ht="13.5" customHeight="1">
      <c r="A36">
        <v>7876033190</v>
      </c>
      <c r="B36" t="str">
        <v>CRP4, 250T, COBAS C 311/501/502,INTEGRA</v>
      </c>
      <c r="C36">
        <v>250</v>
      </c>
      <c r="D36">
        <v>84</v>
      </c>
      <c r="F36" s="4">
        <f>E36/C36</f>
        <v>0</v>
      </c>
      <c r="G36" s="4">
        <f>365/D36</f>
        <v>4.345238095238095</v>
      </c>
    </row>
    <row r="37" ht="13.5" customHeight="1">
      <c r="A37">
        <v>6600239190</v>
      </c>
      <c r="B37" t="str">
        <v>CYSC2, 225T, COBAS INTEGRA</v>
      </c>
      <c r="C37">
        <v>225</v>
      </c>
      <c r="D37">
        <v>56</v>
      </c>
      <c r="F37" s="4">
        <f>E37/C37</f>
        <v>0</v>
      </c>
      <c r="G37" s="4">
        <f>365/D37</f>
        <v>6.517857142857143</v>
      </c>
    </row>
    <row r="38" ht="13.5" customHeight="1">
      <c r="A38">
        <v>4912551190</v>
      </c>
      <c r="B38" t="str">
        <v>D-DIMER GEN.2, 100TEST, COBAS C, INTEGRA</v>
      </c>
      <c r="C38">
        <v>100</v>
      </c>
      <c r="D38">
        <v>84</v>
      </c>
      <c r="F38" s="4">
        <f>E38/C38</f>
        <v>0</v>
      </c>
      <c r="G38" s="4">
        <f>365/D38</f>
        <v>4.345238095238095</v>
      </c>
    </row>
    <row r="39" ht="13.5" customHeight="1">
      <c r="A39">
        <v>3183777190</v>
      </c>
      <c r="B39" t="str">
        <v>ETOH2 , 100T, COBAS INTEGRA</v>
      </c>
      <c r="C39">
        <v>100</v>
      </c>
      <c r="D39">
        <v>84</v>
      </c>
      <c r="F39" s="4">
        <f>E39/C39</f>
        <v>0</v>
      </c>
      <c r="G39" s="4">
        <f>365/D39</f>
        <v>4.345238095238095</v>
      </c>
    </row>
    <row r="40" ht="13.5" customHeight="1">
      <c r="A40">
        <v>4537939190</v>
      </c>
      <c r="B40" t="str">
        <v>FRUC, 150TESTS, COBAS C, INTEGRA</v>
      </c>
      <c r="C40">
        <v>150</v>
      </c>
      <c r="D40">
        <v>56</v>
      </c>
      <c r="F40" s="4">
        <f>E40/C40</f>
        <v>0</v>
      </c>
      <c r="G40" s="4">
        <f>365/D40</f>
        <v>6.517857142857143</v>
      </c>
    </row>
    <row r="41" ht="13.5" customHeight="1">
      <c r="A41">
        <v>3002721122</v>
      </c>
      <c r="B41" t="str">
        <v>GGT-2, 400T, COBAS C, INTEGRA</v>
      </c>
      <c r="C41">
        <v>400</v>
      </c>
      <c r="D41">
        <v>84</v>
      </c>
      <c r="F41" s="4">
        <f>E41/C41</f>
        <v>0</v>
      </c>
      <c r="G41" s="4">
        <f>365/D41</f>
        <v>4.345238095238095</v>
      </c>
    </row>
    <row r="42" ht="13.5" customHeight="1">
      <c r="A42">
        <v>4404483190</v>
      </c>
      <c r="B42" t="str">
        <v>GLUC HK GEN.3, 800TESTS, COBAS C, INT.</v>
      </c>
      <c r="C42">
        <v>800</v>
      </c>
      <c r="D42">
        <v>56</v>
      </c>
      <c r="F42" s="4">
        <f>E42/C42</f>
        <v>0</v>
      </c>
      <c r="G42" s="4">
        <f>365/D42</f>
        <v>6.517857142857143</v>
      </c>
    </row>
    <row r="43" ht="13.5" customHeight="1">
      <c r="A43">
        <v>3005593322</v>
      </c>
      <c r="B43" t="str">
        <v>HAPT GEN.2, 100TESTS, COBAS C, INTEGRA</v>
      </c>
      <c r="C43">
        <v>100</v>
      </c>
      <c r="D43">
        <v>84</v>
      </c>
      <c r="F43" s="4">
        <f>E43/C43</f>
        <v>0</v>
      </c>
      <c r="G43" s="4">
        <f>365/D43</f>
        <v>4.345238095238095</v>
      </c>
    </row>
    <row r="44" ht="13.5" customHeight="1">
      <c r="A44">
        <v>5336163190</v>
      </c>
      <c r="B44" t="str">
        <v>HBA1C TQ GEN.3, 150TESTS,COBAS C501/INT</v>
      </c>
      <c r="C44">
        <v>150</v>
      </c>
      <c r="D44">
        <v>84</v>
      </c>
      <c r="F44" s="4">
        <f>E44/C44</f>
        <v>0</v>
      </c>
      <c r="G44" s="4">
        <f>365/D44</f>
        <v>4.345238095238095</v>
      </c>
    </row>
    <row r="45" ht="13.5" customHeight="1">
      <c r="A45">
        <v>6750036190</v>
      </c>
      <c r="B45" t="str">
        <v>HBDH GEN.2, 100TESTS, COBAS C/INT</v>
      </c>
      <c r="C45">
        <v>100</v>
      </c>
      <c r="D45">
        <v>84</v>
      </c>
      <c r="F45" s="4">
        <f>E45/C45</f>
        <v>0</v>
      </c>
      <c r="G45" s="4">
        <f>365/D45</f>
        <v>4.345238095238095</v>
      </c>
    </row>
    <row r="46" ht="13.5" customHeight="1">
      <c r="A46">
        <v>5385415190</v>
      </c>
      <c r="B46" t="str">
        <v>HCYS, 100T COBAS INTEGRA</v>
      </c>
      <c r="C46">
        <v>100</v>
      </c>
      <c r="D46">
        <v>28</v>
      </c>
      <c r="F46" s="4">
        <f>E46/C46</f>
        <v>0</v>
      </c>
      <c r="G46" s="4">
        <f>365/D46</f>
        <v>13.035714285714286</v>
      </c>
    </row>
    <row r="47" ht="13.5" customHeight="1">
      <c r="A47">
        <v>7528566190</v>
      </c>
      <c r="B47" t="str">
        <v>HDLC4, 350T, COBAS C, INTEGRA</v>
      </c>
      <c r="C47">
        <v>350</v>
      </c>
      <c r="D47">
        <v>84</v>
      </c>
      <c r="F47" s="4">
        <f>E47/C47</f>
        <v>0</v>
      </c>
      <c r="G47" s="4">
        <f>365/D47</f>
        <v>4.345238095238095</v>
      </c>
    </row>
    <row r="48" ht="13.5" customHeight="1">
      <c r="A48">
        <v>3507343190</v>
      </c>
      <c r="B48" t="str">
        <v>IGA GEN.2, 150TESTS, COBAS C</v>
      </c>
      <c r="C48">
        <v>150</v>
      </c>
      <c r="D48">
        <v>84</v>
      </c>
      <c r="F48" s="4">
        <f>E48/C48</f>
        <v>0</v>
      </c>
      <c r="G48" s="4">
        <f>365/D48</f>
        <v>4.345238095238095</v>
      </c>
    </row>
    <row r="49" ht="13.5" customHeight="1">
      <c r="A49">
        <v>5973058190</v>
      </c>
      <c r="B49" t="str">
        <v>IGA-C,150T, COBAS C 501/502, COBAS C 311</v>
      </c>
      <c r="C49">
        <v>150</v>
      </c>
      <c r="D49">
        <v>84</v>
      </c>
      <c r="F49" s="4">
        <f>E49/C49</f>
        <v>0</v>
      </c>
      <c r="G49" s="4">
        <f>365/D49</f>
        <v>4.345238095238095</v>
      </c>
    </row>
    <row r="50" ht="13.5" customHeight="1">
      <c r="A50">
        <v>3507432190</v>
      </c>
      <c r="B50" t="str">
        <v>IGG GEN.2, 150TESTS, COBAS C</v>
      </c>
      <c r="C50">
        <v>150</v>
      </c>
      <c r="D50">
        <v>84</v>
      </c>
      <c r="F50" s="4">
        <f>E50/C50</f>
        <v>0</v>
      </c>
      <c r="G50" s="4">
        <f>365/D50</f>
        <v>4.345238095238095</v>
      </c>
    </row>
    <row r="51" ht="13.5" customHeight="1">
      <c r="A51">
        <v>3507190190</v>
      </c>
      <c r="B51" t="str">
        <v>IGM GEN.2, 150TESTS, COBAS C</v>
      </c>
      <c r="C51">
        <v>150</v>
      </c>
      <c r="D51">
        <v>84</v>
      </c>
      <c r="F51" s="4">
        <f>E51/C51</f>
        <v>0</v>
      </c>
      <c r="G51" s="4">
        <f>365/D51</f>
        <v>4.345238095238095</v>
      </c>
    </row>
    <row r="52" ht="13.5" customHeight="1">
      <c r="A52">
        <v>3183696122</v>
      </c>
      <c r="B52" t="str">
        <v>IRON GEN.2, 200TESTS, COBAS C, INTEGRA</v>
      </c>
      <c r="C52">
        <v>200</v>
      </c>
      <c r="D52">
        <v>42</v>
      </c>
      <c r="F52" s="4">
        <f>E52/C52</f>
        <v>0</v>
      </c>
      <c r="G52" s="4">
        <f>365/D52</f>
        <v>8.69047619047619</v>
      </c>
    </row>
    <row r="53" ht="13.5" customHeight="1">
      <c r="A53">
        <v>6749976190</v>
      </c>
      <c r="B53" t="str">
        <v>KAPPA TQ GEN.2, 100TESTS, COBAS C/INT</v>
      </c>
      <c r="C53">
        <v>100</v>
      </c>
      <c r="D53">
        <v>84</v>
      </c>
      <c r="F53" s="4">
        <f>E53/C53</f>
        <v>0</v>
      </c>
      <c r="G53" s="4">
        <f>365/D53</f>
        <v>4.345238095238095</v>
      </c>
    </row>
    <row r="54" ht="13.5" customHeight="1">
      <c r="A54">
        <v>3183700190</v>
      </c>
      <c r="B54" t="str">
        <v>LACT2, 100T, COBAS C, INTEGRA</v>
      </c>
      <c r="C54">
        <v>100</v>
      </c>
      <c r="D54">
        <v>84</v>
      </c>
      <c r="F54" s="4">
        <f>E54/C54</f>
        <v>0</v>
      </c>
      <c r="G54" s="4">
        <f>365/D54</f>
        <v>4.345238095238095</v>
      </c>
    </row>
    <row r="55" ht="13.5" customHeight="1">
      <c r="A55">
        <v>6749992190</v>
      </c>
      <c r="B55" t="str">
        <v>LAMB TQ GEN.2, 100TESTS, COBAS C/INT</v>
      </c>
      <c r="C55">
        <v>100</v>
      </c>
      <c r="D55">
        <v>84</v>
      </c>
      <c r="F55" s="4">
        <f>E55/C55</f>
        <v>0</v>
      </c>
      <c r="G55" s="4">
        <f>365/D55</f>
        <v>4.345238095238095</v>
      </c>
    </row>
    <row r="56" ht="13.5" customHeight="1">
      <c r="A56">
        <v>3004732122</v>
      </c>
      <c r="B56" t="str">
        <v>LDHI GEN.2 ACC.IFCC, 300T, COBAS C, INT</v>
      </c>
      <c r="C56">
        <v>300</v>
      </c>
      <c r="D56">
        <v>84</v>
      </c>
      <c r="F56" s="4">
        <f>E56/C56</f>
        <v>0</v>
      </c>
      <c r="G56" s="4">
        <f>365/D56</f>
        <v>4.345238095238095</v>
      </c>
    </row>
    <row r="57" ht="13.5" customHeight="1">
      <c r="A57">
        <v>7005717190</v>
      </c>
      <c r="B57" t="str">
        <v>LDL-C GEN.3, 200TESTS, COBAS C,INT</v>
      </c>
      <c r="C57">
        <v>200</v>
      </c>
      <c r="D57">
        <v>84</v>
      </c>
      <c r="F57" s="4">
        <f>E57/C57</f>
        <v>0</v>
      </c>
      <c r="G57" s="4">
        <f>365/D57</f>
        <v>4.345238095238095</v>
      </c>
    </row>
    <row r="58" ht="13.5" customHeight="1">
      <c r="A58">
        <v>3029590322</v>
      </c>
      <c r="B58" t="str">
        <v>LIPC, 200TESTS, COBAS C, INTEGRA</v>
      </c>
      <c r="C58">
        <v>200</v>
      </c>
      <c r="D58">
        <v>28</v>
      </c>
      <c r="F58" s="4">
        <f>E58/C58</f>
        <v>0</v>
      </c>
      <c r="G58" s="4">
        <f>365/D58</f>
        <v>13.035714285714286</v>
      </c>
    </row>
    <row r="59" ht="13.5" customHeight="1">
      <c r="A59">
        <v>5852625190</v>
      </c>
      <c r="B59" t="str">
        <v>LPA GEN.2, 150TESTS COBAS C/INT</v>
      </c>
      <c r="C59">
        <v>150</v>
      </c>
      <c r="D59">
        <v>42</v>
      </c>
      <c r="F59" s="4">
        <f>E59/C59</f>
        <v>0</v>
      </c>
      <c r="G59" s="4">
        <f>365/D59</f>
        <v>8.69047619047619</v>
      </c>
    </row>
    <row r="60" ht="13.5" customHeight="1">
      <c r="A60">
        <v>6481647190</v>
      </c>
      <c r="B60" t="str">
        <v>MG2, 250T, COBAS C,INTEGRA</v>
      </c>
      <c r="C60">
        <v>250</v>
      </c>
      <c r="D60">
        <v>84</v>
      </c>
      <c r="F60" s="4">
        <f>E60/C60</f>
        <v>0</v>
      </c>
      <c r="G60" s="4">
        <f>365/D60</f>
        <v>4.345238095238095</v>
      </c>
    </row>
    <row r="61" ht="13.5" customHeight="1">
      <c r="A61" t="str">
        <v>7229593190</v>
      </c>
      <c r="B61" t="str">
        <v>NH3L2, 150T, cobas c 311,cobas c 5</v>
      </c>
      <c r="C61">
        <v>150</v>
      </c>
      <c r="D61">
        <v>56</v>
      </c>
      <c r="F61" s="4">
        <f>E61/C61</f>
        <v>0</v>
      </c>
      <c r="G61" s="4">
        <f>365/D61</f>
        <v>6.517857142857143</v>
      </c>
    </row>
    <row r="62" ht="13.5" customHeight="1">
      <c r="A62">
        <v>3183793122</v>
      </c>
      <c r="B62" t="str">
        <v>PHOS GEN.2, 250TESTS, COBAS C, INTEGRA</v>
      </c>
      <c r="C62">
        <v>250</v>
      </c>
      <c r="D62">
        <v>84</v>
      </c>
      <c r="F62" s="4">
        <f>E62/C62</f>
        <v>0</v>
      </c>
      <c r="G62" s="4">
        <f>365/D62</f>
        <v>4.345238095238095</v>
      </c>
    </row>
    <row r="63" ht="13.5" customHeight="1">
      <c r="A63">
        <v>20764655322</v>
      </c>
      <c r="B63" t="str">
        <v>PREA, 100TESTS, COBAS C, INTEGRA</v>
      </c>
      <c r="C63">
        <v>100</v>
      </c>
      <c r="D63">
        <v>56</v>
      </c>
      <c r="F63" s="4">
        <f>E63/C63</f>
        <v>0</v>
      </c>
      <c r="G63" s="4">
        <f>365/D63</f>
        <v>6.517857142857143</v>
      </c>
    </row>
    <row r="64" ht="13.5" customHeight="1">
      <c r="A64">
        <v>20764574322</v>
      </c>
      <c r="B64" t="str">
        <v>RFII, 100TESTS, COBAS C, INTEGRA</v>
      </c>
      <c r="C64">
        <v>100</v>
      </c>
      <c r="D64">
        <v>56</v>
      </c>
      <c r="F64" s="4">
        <f>E64/C64</f>
        <v>0</v>
      </c>
      <c r="G64" s="4">
        <f>365/D64</f>
        <v>6.517857142857143</v>
      </c>
    </row>
    <row r="65" ht="13.5" customHeight="1">
      <c r="A65">
        <v>7227841190</v>
      </c>
      <c r="B65" t="str">
        <v>STFR2, 100T,COBAS C, INTEGRA</v>
      </c>
      <c r="C65">
        <v>100</v>
      </c>
      <c r="D65">
        <v>182</v>
      </c>
      <c r="F65" s="4">
        <f>E65/C65</f>
        <v>0</v>
      </c>
      <c r="G65" s="4">
        <f>365/D65</f>
        <v>2.0054945054945055</v>
      </c>
    </row>
    <row r="66" ht="13.5" customHeight="1">
      <c r="A66">
        <v>4491009190</v>
      </c>
      <c r="B66" t="str">
        <v>THC2, 200T, COBAS C</v>
      </c>
      <c r="C66">
        <v>200</v>
      </c>
      <c r="D66">
        <v>56</v>
      </c>
      <c r="F66" s="4">
        <f>E66/C66</f>
        <v>0</v>
      </c>
      <c r="G66" s="4">
        <f>365/D66</f>
        <v>6.517857142857143</v>
      </c>
    </row>
    <row r="67" ht="13.5" customHeight="1">
      <c r="A67">
        <v>3183734190</v>
      </c>
      <c r="B67" t="str">
        <v>TP GEN.2, 300TESTS, COBAS C, INTEGRA</v>
      </c>
      <c r="C67">
        <v>300</v>
      </c>
      <c r="D67">
        <v>28</v>
      </c>
      <c r="F67" s="4">
        <f>E67/C67</f>
        <v>0</v>
      </c>
      <c r="G67" s="4">
        <f>365/D67</f>
        <v>13.035714285714286</v>
      </c>
    </row>
    <row r="68" ht="13.5" customHeight="1">
      <c r="A68">
        <v>3333825190</v>
      </c>
      <c r="B68" t="str">
        <v>TPUC3, 150T, COBAS C, INTEGRA</v>
      </c>
      <c r="C68">
        <v>150</v>
      </c>
      <c r="D68">
        <v>84</v>
      </c>
      <c r="F68" s="4">
        <f>E68/C68</f>
        <v>0</v>
      </c>
      <c r="G68" s="4">
        <f>365/D68</f>
        <v>4.345238095238095</v>
      </c>
    </row>
    <row r="69" ht="13.5" customHeight="1">
      <c r="A69">
        <v>20767107322</v>
      </c>
      <c r="B69" t="str">
        <v>TRIGL, 250TESTS, COBAS C, INTEGRA</v>
      </c>
      <c r="C69">
        <v>250</v>
      </c>
      <c r="D69">
        <v>56</v>
      </c>
      <c r="F69" s="4">
        <f>E69/C69</f>
        <v>0</v>
      </c>
      <c r="G69" s="4">
        <f>365/D69</f>
        <v>6.517857142857143</v>
      </c>
    </row>
    <row r="70" ht="13.5" customHeight="1">
      <c r="A70">
        <v>3015050122</v>
      </c>
      <c r="B70" t="str">
        <v>TRSF GEN.2, 100TESTS, COBAS C, INTEGRA</v>
      </c>
      <c r="C70">
        <v>100</v>
      </c>
      <c r="D70">
        <v>56</v>
      </c>
      <c r="F70" s="4">
        <f>E70/C70</f>
        <v>0</v>
      </c>
      <c r="G70" s="4">
        <f>365/D70</f>
        <v>6.517857142857143</v>
      </c>
    </row>
    <row r="71" ht="13.5" customHeight="1">
      <c r="A71">
        <v>3183807190</v>
      </c>
      <c r="B71" t="str">
        <v>UA GEN.2, 400TESTS, COBAS C, INTEGRA</v>
      </c>
      <c r="C71">
        <v>400</v>
      </c>
      <c r="D71">
        <v>56</v>
      </c>
      <c r="F71" s="4">
        <f>E71/C71</f>
        <v>0</v>
      </c>
      <c r="G71" s="4">
        <f>365/D71</f>
        <v>6.517857142857143</v>
      </c>
    </row>
    <row r="72" ht="13.5" customHeight="1">
      <c r="A72">
        <v>4536355190</v>
      </c>
      <c r="B72" t="str">
        <v>UIBC, 100TESTS, COBAS C, INTEGRA</v>
      </c>
      <c r="C72">
        <v>100</v>
      </c>
      <c r="D72">
        <v>56</v>
      </c>
      <c r="F72" s="4">
        <f>E72/C72</f>
        <v>0</v>
      </c>
      <c r="G72" s="4">
        <f>365/D72</f>
        <v>6.517857142857143</v>
      </c>
    </row>
    <row r="73" ht="13.5" customHeight="1">
      <c r="A73">
        <v>4460715190</v>
      </c>
      <c r="B73" t="str">
        <v>UREAL, 500T, COBAS C, INTEGRA</v>
      </c>
      <c r="C73">
        <v>500</v>
      </c>
      <c r="D73">
        <v>56</v>
      </c>
      <c r="F73" s="4">
        <f>E73/C73</f>
        <v>0</v>
      </c>
      <c r="G73" s="4">
        <f>365/D73</f>
        <v>6.517857142857143</v>
      </c>
    </row>
    <row r="74" ht="13.5" customHeight="1">
      <c r="D74" s="5" t="str">
        <v>TOTAL DET</v>
      </c>
      <c r="E74" s="5">
        <f>SUM(E9:E73)</f>
        <v>0</v>
      </c>
    </row>
    <row r="75" ht="13.5" customHeight="1">
      <c r="B75" t="str">
        <v>CALIBRADORES</v>
      </c>
      <c r="D75" t="str">
        <v>DIAS ESTABILIDAD</v>
      </c>
      <c r="F75" t="str">
        <v>PRODUCTO CALCULADO</v>
      </c>
      <c r="G75" t="str">
        <v>MINIMOS POR ESTABILIDAD</v>
      </c>
      <c r="H75" t="str">
        <v>PRODUCTO A ENTREGAR</v>
      </c>
    </row>
    <row r="76" ht="13.5" customHeight="1">
      <c r="A76">
        <v>20751995190</v>
      </c>
      <c r="B76" t="str">
        <v>Ammonia/Ethanol/CO2 Calibrator</v>
      </c>
      <c r="C76">
        <v>2</v>
      </c>
      <c r="D76">
        <v>56</v>
      </c>
      <c r="G76" s="4">
        <f>(365/D76)/C76</f>
        <v>3.2589285714285716</v>
      </c>
    </row>
    <row r="77" ht="13.5" customHeight="1">
      <c r="A77">
        <v>4975901190</v>
      </c>
      <c r="B77" t="str">
        <v>C.f.a.s. Cystatin C</v>
      </c>
      <c r="C77">
        <v>1</v>
      </c>
      <c r="G77" s="4" t="e">
        <f>(365/D77)/C77</f>
        <v>#DIV/0!</v>
      </c>
    </row>
    <row r="78" ht="13.5" customHeight="1">
      <c r="A78">
        <v>3555941190</v>
      </c>
      <c r="B78" t="str">
        <v>C.f.a.s. PAC</v>
      </c>
      <c r="C78">
        <v>3</v>
      </c>
      <c r="D78">
        <v>14</v>
      </c>
      <c r="G78" s="4">
        <f>(365/D78)/C78</f>
        <v>8.690476190476192</v>
      </c>
    </row>
    <row r="79" ht="13.5" customHeight="1">
      <c r="A79">
        <v>10759350190</v>
      </c>
      <c r="B79" t="str">
        <v>Calibrator f.a.s.</v>
      </c>
      <c r="C79">
        <v>12</v>
      </c>
      <c r="D79">
        <v>28</v>
      </c>
      <c r="G79" s="4">
        <f>(365/D79)/C79</f>
        <v>1.086309523809524</v>
      </c>
    </row>
    <row r="80" ht="13.5" customHeight="1">
      <c r="A80">
        <v>11447394216</v>
      </c>
      <c r="B80" t="str">
        <v xml:space="preserve">Calibrator f.a.s. CK-MB </v>
      </c>
      <c r="C80">
        <v>3</v>
      </c>
      <c r="D80">
        <v>28</v>
      </c>
      <c r="G80" s="4">
        <f>(365/D80)/C80</f>
        <v>4.345238095238096</v>
      </c>
    </row>
    <row r="81" ht="13.5" customHeight="1">
      <c r="A81">
        <v>6533850190</v>
      </c>
      <c r="B81" t="str">
        <v>Calibrator f.a.s. IgA/IgM CSF</v>
      </c>
      <c r="C81">
        <v>3</v>
      </c>
      <c r="D81">
        <v>14</v>
      </c>
      <c r="G81" s="4">
        <f>(365/D81)/C81</f>
        <v>8.690476190476192</v>
      </c>
    </row>
    <row r="82" ht="13.5" customHeight="1">
      <c r="A82">
        <v>12172623122</v>
      </c>
      <c r="B82" t="str">
        <v xml:space="preserve">Calibrator f.a.s. Lipids </v>
      </c>
      <c r="C82">
        <v>3</v>
      </c>
      <c r="D82">
        <v>28</v>
      </c>
      <c r="G82" s="4">
        <f>(365/D82)/C82</f>
        <v>4.345238095238096</v>
      </c>
    </row>
    <row r="83" ht="13.5" customHeight="1">
      <c r="A83">
        <v>11355279216</v>
      </c>
      <c r="B83" t="str">
        <v>Calibrator f.a.s.proteins</v>
      </c>
      <c r="C83">
        <v>5</v>
      </c>
      <c r="D83">
        <v>28</v>
      </c>
      <c r="G83" s="4">
        <f>(365/D83)/C83</f>
        <v>2.607142857142857</v>
      </c>
    </row>
    <row r="84" ht="13.5" customHeight="1">
      <c r="A84">
        <v>8753776190</v>
      </c>
      <c r="B84" t="str">
        <v>CALIBRATOR STFR GEN.2</v>
      </c>
      <c r="C84">
        <v>3</v>
      </c>
      <c r="D84">
        <v>28</v>
      </c>
      <c r="G84" s="4">
        <f>(365/D84)/C84</f>
        <v>4.345238095238096</v>
      </c>
    </row>
    <row r="85" ht="13.5" customHeight="1">
      <c r="A85">
        <v>8047545190</v>
      </c>
      <c r="B85" t="str">
        <v>Calibrator β2‑Microglobulin</v>
      </c>
      <c r="C85">
        <v>2</v>
      </c>
      <c r="D85">
        <v>84</v>
      </c>
      <c r="G85" s="4">
        <f>(365/D85)/C85</f>
        <v>2.1726190476190474</v>
      </c>
    </row>
    <row r="86" ht="13.5" customHeight="1">
      <c r="A86">
        <v>4528417190</v>
      </c>
      <c r="B86" t="str">
        <v>Cfas HbA1c</v>
      </c>
      <c r="C86">
        <v>3</v>
      </c>
      <c r="D86">
        <v>84</v>
      </c>
      <c r="G86" s="4">
        <f>(365/D86)/C86</f>
        <v>1.4484126984126984</v>
      </c>
    </row>
    <row r="87" ht="13.5" customHeight="1">
      <c r="A87">
        <v>3121305122</v>
      </c>
      <c r="B87" t="str">
        <v>Cfas Proteins U</v>
      </c>
      <c r="C87">
        <v>5</v>
      </c>
      <c r="D87">
        <v>28</v>
      </c>
      <c r="G87" s="4">
        <f>(365/D87)/C87</f>
        <v>2.607142857142857</v>
      </c>
    </row>
    <row r="88" ht="13.5" customHeight="1">
      <c r="A88">
        <v>5050901190</v>
      </c>
      <c r="B88" t="str">
        <v>D-Dimer Gen.2 Calibrator Set</v>
      </c>
      <c r="C88">
        <v>1</v>
      </c>
      <c r="D88">
        <v>84</v>
      </c>
      <c r="G88" s="4">
        <f>(365/D88)/C88</f>
        <v>4.345238095238095</v>
      </c>
    </row>
    <row r="89" ht="13.5" customHeight="1">
      <c r="A89">
        <v>12146401216</v>
      </c>
      <c r="B89" t="str">
        <v>Fe Standard</v>
      </c>
      <c r="C89">
        <v>1</v>
      </c>
      <c r="D89">
        <v>360</v>
      </c>
      <c r="G89" s="4">
        <f>(365/D89)/C89</f>
        <v>1.0138888888888888</v>
      </c>
    </row>
    <row r="90" ht="13.5" customHeight="1">
      <c r="A90">
        <v>5385504190</v>
      </c>
      <c r="B90" t="str">
        <v>HCYS Calibrator Kit</v>
      </c>
      <c r="C90">
        <v>2</v>
      </c>
      <c r="D90">
        <v>28</v>
      </c>
      <c r="G90" s="4">
        <f>(365/D90)/C90</f>
        <v>6.517857142857143</v>
      </c>
    </row>
    <row r="91" ht="13.5" customHeight="1">
      <c r="A91">
        <v>11098993122</v>
      </c>
      <c r="B91" t="str">
        <v>Precimat Fructosamina</v>
      </c>
      <c r="C91">
        <v>3</v>
      </c>
      <c r="D91">
        <v>28</v>
      </c>
      <c r="G91" s="4">
        <f>(365/D91)/C91</f>
        <v>4.345238095238096</v>
      </c>
    </row>
    <row r="92" ht="13.5" customHeight="1">
      <c r="A92">
        <v>3304671190</v>
      </c>
      <c r="B92" t="str">
        <v>PRECISET DAT PLUS I</v>
      </c>
      <c r="C92">
        <v>1</v>
      </c>
      <c r="D92">
        <v>60</v>
      </c>
      <c r="G92" s="4">
        <f>(365/D92)/C92</f>
        <v>6.083333333333333</v>
      </c>
    </row>
    <row r="93" ht="13.5" customHeight="1">
      <c r="A93">
        <v>5852641190</v>
      </c>
      <c r="B93" t="str">
        <v>Preciset Lp(a) Gen.2</v>
      </c>
      <c r="C93">
        <v>1</v>
      </c>
      <c r="D93">
        <v>14</v>
      </c>
      <c r="G93" s="4">
        <f>(365/D93)/C93</f>
        <v>26.071428571428573</v>
      </c>
    </row>
    <row r="94" ht="13.5" customHeight="1">
      <c r="A94">
        <v>12172828322</v>
      </c>
      <c r="B94" t="str">
        <v>Preciset RF</v>
      </c>
      <c r="C94">
        <v>1</v>
      </c>
      <c r="D94">
        <v>30</v>
      </c>
      <c r="G94" s="4">
        <f>(365/D94)/C94</f>
        <v>12.166666666666666</v>
      </c>
    </row>
    <row r="95" ht="13.5" customHeight="1">
      <c r="B95" t="str">
        <v>CONTROLES</v>
      </c>
      <c r="C95" t="str">
        <v>PRESENTACION</v>
      </c>
      <c r="D95" t="str">
        <v>DIAS ESTABILIDAD</v>
      </c>
      <c r="F95" t="str">
        <v>PRODUCTO CALCULADO</v>
      </c>
      <c r="G95" t="str">
        <v>MINIMOS POR ESTABILIDAD</v>
      </c>
      <c r="H95" t="str">
        <v>PRODUCTO A ENTREGAR</v>
      </c>
    </row>
    <row r="96" ht="13.5" customHeight="1">
      <c r="A96">
        <v>20752401190</v>
      </c>
      <c r="B96" t="str">
        <v xml:space="preserve">Ammonia/Ethanol/CO2 Control  Normal </v>
      </c>
      <c r="C96">
        <v>5</v>
      </c>
      <c r="D96">
        <v>56</v>
      </c>
      <c r="G96" s="4">
        <f>(365/D96)/C96</f>
        <v>1.3035714285714286</v>
      </c>
    </row>
    <row r="97" ht="13.5" customHeight="1">
      <c r="A97">
        <v>20753009190</v>
      </c>
      <c r="B97" t="str">
        <v>Ammonia/Ethanol/CO2 Control Abnormal</v>
      </c>
      <c r="C97">
        <v>5</v>
      </c>
      <c r="D97">
        <v>56</v>
      </c>
      <c r="G97" s="4">
        <f>(365/D97)/C97</f>
        <v>1.3035714285714286</v>
      </c>
    </row>
    <row r="98" ht="13.5" customHeight="1">
      <c r="A98">
        <v>8362785190</v>
      </c>
      <c r="B98" t="str">
        <v>Control Set  β2‑Microglobulin (Nivel 1-2)</v>
      </c>
      <c r="C98">
        <v>2</v>
      </c>
      <c r="D98">
        <v>84</v>
      </c>
      <c r="G98" s="4">
        <f>(365/D98)/C98</f>
        <v>2.1726190476190474</v>
      </c>
    </row>
    <row r="99" ht="13.5" customHeight="1">
      <c r="A99">
        <v>8278202190</v>
      </c>
      <c r="B99" t="str">
        <v xml:space="preserve">CONTROL-SET STFR </v>
      </c>
      <c r="C99">
        <v>3</v>
      </c>
      <c r="D99">
        <v>28</v>
      </c>
      <c r="G99" s="4">
        <f>(365/D99)/C99</f>
        <v>4.345238095238096</v>
      </c>
    </row>
    <row r="100" ht="13.5" customHeight="1">
      <c r="A100">
        <v>6729371190</v>
      </c>
      <c r="B100" t="str">
        <v>Cystatin C  Control  Set  Gen.2 (1,2,3)</v>
      </c>
      <c r="C100">
        <v>3</v>
      </c>
      <c r="D100">
        <v>30</v>
      </c>
      <c r="G100" s="4">
        <f>(365/D100)/C100</f>
        <v>4.055555555555555</v>
      </c>
    </row>
    <row r="101" ht="13.5" customHeight="1">
      <c r="A101">
        <v>5050936190</v>
      </c>
      <c r="B101" t="str">
        <v>D-Dimer Gen.2 Control I/II</v>
      </c>
      <c r="C101">
        <v>2</v>
      </c>
      <c r="D101">
        <v>84</v>
      </c>
      <c r="G101" s="4">
        <f>(365/D101)/C101</f>
        <v>2.1726190476190474</v>
      </c>
    </row>
    <row r="102" ht="13.5" customHeight="1">
      <c r="A102">
        <v>5142423190</v>
      </c>
      <c r="B102" t="str">
        <v>HCYS Control Kit Control 1 y 2</v>
      </c>
      <c r="C102">
        <v>2</v>
      </c>
      <c r="D102">
        <v>28</v>
      </c>
      <c r="G102" s="4">
        <f>(365/D102)/C102</f>
        <v>6.517857142857143</v>
      </c>
    </row>
    <row r="103" ht="13.5" customHeight="1">
      <c r="A103">
        <v>5947626190</v>
      </c>
      <c r="B103" t="str">
        <v>PreciControl ClinChem Multi 1, 4x5 ml</v>
      </c>
      <c r="C103">
        <v>4</v>
      </c>
      <c r="D103">
        <v>14</v>
      </c>
      <c r="G103" s="4">
        <f>(365/D103)/C103</f>
        <v>6.517857142857143</v>
      </c>
    </row>
    <row r="104" ht="13.5" customHeight="1">
      <c r="A104">
        <v>5947774190</v>
      </c>
      <c r="B104" t="str">
        <v>PreciControl ClinChem Multi 2, 4x5 ml</v>
      </c>
      <c r="C104">
        <v>4</v>
      </c>
      <c r="D104">
        <v>14</v>
      </c>
      <c r="G104" s="4">
        <f>(365/D104)/C104</f>
        <v>6.517857142857143</v>
      </c>
    </row>
    <row r="105" ht="13.5" customHeight="1">
      <c r="A105">
        <v>5479207190</v>
      </c>
      <c r="B105" t="str">
        <v>PreciControl HbA1c norm</v>
      </c>
      <c r="C105">
        <v>4</v>
      </c>
      <c r="D105">
        <v>28</v>
      </c>
      <c r="G105" s="4">
        <f>(365/D105)/C105</f>
        <v>3.2589285714285716</v>
      </c>
    </row>
    <row r="106" ht="13.5" customHeight="1">
      <c r="A106">
        <v>5912504190</v>
      </c>
      <c r="B106" t="str">
        <v>PreciControl HbA1c path</v>
      </c>
      <c r="C106">
        <v>4</v>
      </c>
      <c r="D106">
        <v>28</v>
      </c>
      <c r="G106" s="4">
        <f>(365/D106)/C106</f>
        <v>3.2589285714285716</v>
      </c>
    </row>
    <row r="107" ht="13.5" customHeight="1">
      <c r="A107">
        <v>5852650190</v>
      </c>
      <c r="B107" t="str">
        <v>PreciControl Lp(a) Gen.2</v>
      </c>
      <c r="C107">
        <v>2</v>
      </c>
      <c r="D107">
        <v>14</v>
      </c>
      <c r="G107" s="4">
        <f>(365/D107)/C107</f>
        <v>13.035714285714286</v>
      </c>
    </row>
    <row r="108" ht="13.5" customHeight="1">
      <c r="A108">
        <v>11098985122</v>
      </c>
      <c r="B108" t="str">
        <v>PRECINORM FRUC</v>
      </c>
      <c r="C108">
        <v>3</v>
      </c>
      <c r="D108">
        <v>28</v>
      </c>
      <c r="G108" s="4">
        <f>(365/D108)/C108</f>
        <v>4.345238095238096</v>
      </c>
    </row>
    <row r="109" ht="13.5" customHeight="1">
      <c r="A109">
        <v>3121313122</v>
      </c>
      <c r="B109" t="str">
        <v>PRECINORM PUC</v>
      </c>
      <c r="C109">
        <v>4</v>
      </c>
      <c r="D109">
        <v>28</v>
      </c>
      <c r="G109" s="4">
        <f>(365/D109)/C109</f>
        <v>3.2589285714285716</v>
      </c>
    </row>
    <row r="110" ht="13.5" customHeight="1">
      <c r="A110">
        <v>11174118122</v>
      </c>
      <c r="B110" t="str">
        <v>PRECIPATH FRUC</v>
      </c>
      <c r="C110">
        <v>3</v>
      </c>
      <c r="D110">
        <v>28</v>
      </c>
      <c r="G110" s="4">
        <f>(365/D110)/C110</f>
        <v>4.345238095238096</v>
      </c>
    </row>
    <row r="111" ht="13.5" customHeight="1">
      <c r="A111">
        <v>3121291122</v>
      </c>
      <c r="B111" t="str">
        <v>PRECIPATH PUC</v>
      </c>
      <c r="C111">
        <v>4</v>
      </c>
      <c r="D111">
        <v>28</v>
      </c>
      <c r="G111" s="4">
        <f>(365/D111)/C111</f>
        <v>3.2589285714285716</v>
      </c>
    </row>
    <row r="112" ht="13.5" customHeight="1">
      <c r="A112">
        <v>3005496122</v>
      </c>
      <c r="B112" t="str">
        <v>RF Control Set</v>
      </c>
      <c r="C112">
        <v>4</v>
      </c>
      <c r="D112">
        <v>30</v>
      </c>
      <c r="G112" s="4">
        <f>(365/D112)/C112</f>
        <v>3.0416666666666665</v>
      </c>
    </row>
    <row r="113" ht="13.5" customHeight="1">
      <c r="B113" t="str">
        <v>CONSUMIBLES</v>
      </c>
      <c r="C113" t="str">
        <v>PRESENTACION</v>
      </c>
      <c r="D113" t="str">
        <v>DIAS ESTABILIDAD</v>
      </c>
      <c r="F113" t="str">
        <v>PRODUCTO CALCULADO</v>
      </c>
      <c r="G113" t="str">
        <v>MINIMOS POR ESTABILIDAD</v>
      </c>
      <c r="H113" t="str">
        <v>PRODUCTO A ENTREGAR</v>
      </c>
    </row>
    <row r="114" ht="13.5" customHeight="1">
      <c r="A114">
        <v>4880285190</v>
      </c>
      <c r="B114" t="str">
        <v>Cell Wash Solution I / NaOH-D</v>
      </c>
      <c r="C114">
        <v>2</v>
      </c>
      <c r="D114">
        <v>70</v>
      </c>
      <c r="G114" s="4">
        <f>(365/D114)/C114</f>
        <v>2.607142857142857</v>
      </c>
    </row>
    <row r="115" ht="13.5" customHeight="1">
      <c r="A115">
        <v>4880307190</v>
      </c>
      <c r="B115" t="str">
        <v>Cell Wash Solution II / Acid Wash</v>
      </c>
      <c r="C115">
        <v>2</v>
      </c>
      <c r="D115">
        <v>84</v>
      </c>
      <c r="G115" s="4">
        <f>(365/D115)/C115</f>
        <v>2.1726190476190474</v>
      </c>
    </row>
    <row r="116" ht="13.5" customHeight="1">
      <c r="A116">
        <v>4444191001</v>
      </c>
      <c r="B116" t="str">
        <v>cobas sample cups</v>
      </c>
      <c r="C116">
        <v>1</v>
      </c>
      <c r="D116">
        <v>365</v>
      </c>
      <c r="G116" s="4">
        <f>(365/D116)/C116</f>
        <v>1</v>
      </c>
    </row>
    <row r="117" ht="13.5" customHeight="1">
      <c r="A117">
        <v>4555040001</v>
      </c>
      <c r="B117" t="str">
        <v>Cuvettes – reaction cell sets</v>
      </c>
      <c r="C117">
        <v>3</v>
      </c>
      <c r="D117">
        <v>84</v>
      </c>
      <c r="G117" s="4">
        <f>(365/D117)/C117</f>
        <v>1.4484126984126984</v>
      </c>
    </row>
    <row r="118" ht="13.5" customHeight="1">
      <c r="A118">
        <v>5422485190</v>
      </c>
      <c r="B118" t="str">
        <v>Ecotergent</v>
      </c>
      <c r="C118">
        <v>1</v>
      </c>
      <c r="D118">
        <v>28</v>
      </c>
      <c r="G118" s="4">
        <f>(365/D118)/C118</f>
        <v>13.035714285714286</v>
      </c>
    </row>
    <row r="119" ht="13.5" customHeight="1">
      <c r="A119">
        <v>4554124001</v>
      </c>
      <c r="B119" t="str">
        <v>FILTRO DE RESINA IONICA REGENERADA 20"</v>
      </c>
      <c r="C119">
        <v>1</v>
      </c>
      <c r="D119">
        <v>30</v>
      </c>
      <c r="G119" s="4">
        <f>(365/D119)/C119</f>
        <v>12.166666666666666</v>
      </c>
    </row>
    <row r="120" ht="13.5" customHeight="1">
      <c r="A120">
        <v>4516273001</v>
      </c>
      <c r="B120" t="str">
        <v>FILTRO NOM. P/SEDIMENTS GX05-20XX (BLANCO)</v>
      </c>
      <c r="C120">
        <v>1</v>
      </c>
      <c r="D120">
        <v>30</v>
      </c>
      <c r="G120" s="4">
        <f>(365/D120)/C120</f>
        <v>12.166666666666666</v>
      </c>
    </row>
    <row r="121" ht="13.5" customHeight="1">
      <c r="A121">
        <v>4516265001</v>
      </c>
      <c r="B121" t="str">
        <v>FILTRO NOM. P/SEDIMENTS PX5-20 PURTR (AZUL)</v>
      </c>
      <c r="C121">
        <v>1</v>
      </c>
      <c r="D121">
        <v>30</v>
      </c>
      <c r="G121" s="4">
        <f>(365/D121)/C121</f>
        <v>12.166666666666666</v>
      </c>
    </row>
    <row r="122" ht="13.5" customHeight="1">
      <c r="A122">
        <v>4528182190</v>
      </c>
      <c r="B122" t="str">
        <v>HBA1C TQ HAEMOLYZING RGT, COBAS C</v>
      </c>
      <c r="C122">
        <v>1</v>
      </c>
      <c r="D122">
        <v>28</v>
      </c>
      <c r="G122" s="4">
        <f>(365/D122)/C122</f>
        <v>13.035714285714286</v>
      </c>
    </row>
    <row r="123" ht="13.5" customHeight="1">
      <c r="A123">
        <v>4813707001</v>
      </c>
      <c r="B123" t="str">
        <v>Lamp, Halogen</v>
      </c>
      <c r="C123">
        <v>1</v>
      </c>
      <c r="D123">
        <v>45</v>
      </c>
      <c r="G123" s="4">
        <f>(365/D123)/C123</f>
        <v>8.11111111111111</v>
      </c>
    </row>
    <row r="124" ht="13.5" customHeight="1">
      <c r="A124">
        <v>4516303001</v>
      </c>
      <c r="B124" t="str">
        <v>MEMBRANE EQ.OSMOSIS, AG2521TF 2.5 diam</v>
      </c>
      <c r="C124">
        <v>1</v>
      </c>
      <c r="D124">
        <v>360</v>
      </c>
      <c r="G124" s="4">
        <f>(365/D124)/C124</f>
        <v>1.0138888888888888</v>
      </c>
    </row>
    <row r="125" ht="13.5" customHeight="1">
      <c r="A125">
        <v>4708725190</v>
      </c>
      <c r="B125" t="str">
        <v>Multiclean, Sample Cleaner 1</v>
      </c>
      <c r="C125">
        <v>12</v>
      </c>
      <c r="D125">
        <v>28</v>
      </c>
      <c r="G125" s="4">
        <f>(365/D125)/C125</f>
        <v>1.086309523809524</v>
      </c>
    </row>
    <row r="126" ht="13.5" customHeight="1">
      <c r="A126">
        <v>4489357190</v>
      </c>
      <c r="B126" t="str">
        <v>NaCl 9% Diluent</v>
      </c>
      <c r="C126">
        <v>1</v>
      </c>
      <c r="D126">
        <v>84</v>
      </c>
      <c r="G126" s="4">
        <f>(365/D126)/C126</f>
        <v>4.345238095238095</v>
      </c>
    </row>
    <row r="127" ht="13.5" customHeight="1">
      <c r="A127">
        <v>4489241190</v>
      </c>
      <c r="B127" t="str">
        <v>NaOH-D c pack</v>
      </c>
      <c r="C127">
        <v>1</v>
      </c>
      <c r="D127">
        <v>84</v>
      </c>
      <c r="G127" s="4">
        <f>(365/D127)/C127</f>
        <v>4.345238095238095</v>
      </c>
    </row>
    <row r="128" ht="13.5" customHeight="1">
      <c r="A128">
        <v>4489225190</v>
      </c>
      <c r="B128" t="str">
        <v>SMS</v>
      </c>
      <c r="C128">
        <v>1</v>
      </c>
      <c r="D128">
        <v>84</v>
      </c>
      <c r="G128" s="4">
        <f>(365/D128)/C128</f>
        <v>4.345238095238095</v>
      </c>
    </row>
    <row r="129" ht="13.5" customHeight="1"/>
    <row r="130" ht="13.5" customHeight="1">
      <c r="A130" t="str">
        <v>SISTEMA PARA ELECTROLITOS</v>
      </c>
      <c r="C130" t="str">
        <v>DET/AÑO/PROCESO</v>
      </c>
      <c r="D130" t="str">
        <v>PRESENTACION</v>
      </c>
      <c r="E130" t="str">
        <v>DIAS ESTABILIDAD</v>
      </c>
      <c r="F130" t="str">
        <v>PRODUCTO CALCULADO</v>
      </c>
      <c r="G130" t="str">
        <v>MINIMOS POR ESTABILIDAD</v>
      </c>
      <c r="H130" t="str">
        <v>PRODUCTO A ENTREGAR</v>
      </c>
    </row>
    <row r="131" ht="13.5" customHeight="1">
      <c r="A131">
        <v>11183974216</v>
      </c>
      <c r="B131" t="str">
        <v>ISE Standard low 10x3ML</v>
      </c>
      <c r="D131">
        <v>10</v>
      </c>
      <c r="E131">
        <v>1</v>
      </c>
      <c r="G131">
        <f>365/D131</f>
        <v>36.5</v>
      </c>
    </row>
    <row r="132" ht="13.5" customHeight="1">
      <c r="A132">
        <v>11183982216</v>
      </c>
      <c r="B132" t="str">
        <v>ISE Standard high 10x3ML</v>
      </c>
      <c r="D132">
        <v>10</v>
      </c>
      <c r="E132">
        <v>1</v>
      </c>
      <c r="G132">
        <f>365/D132</f>
        <v>36.5</v>
      </c>
    </row>
    <row r="133" ht="13.5" customHeight="1">
      <c r="A133">
        <v>11298500316</v>
      </c>
      <c r="B133" t="str">
        <v>ISE cleaning solution Sys Clean</v>
      </c>
      <c r="D133">
        <v>5</v>
      </c>
      <c r="E133">
        <v>74</v>
      </c>
      <c r="G133">
        <f>365/D133</f>
        <v>73</v>
      </c>
    </row>
    <row r="134" ht="13.5" customHeight="1">
      <c r="A134">
        <v>4663632190</v>
      </c>
      <c r="B134" t="str">
        <v>Activator</v>
      </c>
      <c r="D134">
        <v>9</v>
      </c>
      <c r="E134">
        <v>28</v>
      </c>
      <c r="G134" s="4">
        <f>365/D134</f>
        <v>40.55555555555556</v>
      </c>
    </row>
    <row r="135" ht="13.5" customHeight="1">
      <c r="A135">
        <v>4522630190</v>
      </c>
      <c r="B135" t="str">
        <v>ISE Diluent Gen.2 (5 × 300 mL)</v>
      </c>
      <c r="D135">
        <v>5</v>
      </c>
      <c r="E135">
        <v>14</v>
      </c>
      <c r="G135">
        <f>365/D135</f>
        <v>73</v>
      </c>
    </row>
    <row r="136" ht="13.5" customHeight="1">
      <c r="A136">
        <v>4522320190</v>
      </c>
      <c r="B136" t="str">
        <v>ISE Internal Standard Gen.2 (5 × 600 mL)</v>
      </c>
      <c r="D136">
        <v>5</v>
      </c>
      <c r="E136">
        <v>14</v>
      </c>
      <c r="G136">
        <f>365/D136</f>
        <v>73</v>
      </c>
    </row>
    <row r="137" ht="13.5" customHeight="1">
      <c r="A137">
        <v>11360981216</v>
      </c>
      <c r="B137" t="str">
        <v>ISE Reference Electrolyte (5 × 300 mL)</v>
      </c>
      <c r="D137">
        <v>5</v>
      </c>
      <c r="E137">
        <v>28</v>
      </c>
      <c r="G137">
        <f>365/D137</f>
        <v>73</v>
      </c>
    </row>
    <row r="138" ht="13.5" customHeight="1">
      <c r="A138">
        <v>3149501001</v>
      </c>
      <c r="B138" t="str">
        <v>REFERENCE ELECTRODE</v>
      </c>
      <c r="D138">
        <v>1</v>
      </c>
      <c r="E138">
        <v>168</v>
      </c>
      <c r="G138">
        <f>365/D138</f>
        <v>365</v>
      </c>
    </row>
    <row r="139" ht="13.5" customHeight="1">
      <c r="A139">
        <v>10825468001</v>
      </c>
      <c r="B139" t="str">
        <v>Electrodo sodio</v>
      </c>
      <c r="D139">
        <v>1</v>
      </c>
      <c r="E139">
        <v>56</v>
      </c>
      <c r="G139">
        <f>365/D139</f>
        <v>365</v>
      </c>
    </row>
    <row r="140" ht="13.5" customHeight="1">
      <c r="A140">
        <v>10825441001</v>
      </c>
      <c r="B140" t="str">
        <v>Electrodo potasio</v>
      </c>
      <c r="D140">
        <v>1</v>
      </c>
      <c r="E140">
        <v>56</v>
      </c>
      <c r="G140">
        <f>365/D140</f>
        <v>365</v>
      </c>
    </row>
    <row r="141" ht="13.5" customHeight="1">
      <c r="A141">
        <v>3246353001</v>
      </c>
      <c r="B141" t="str">
        <v>Electrodo cloro</v>
      </c>
      <c r="D141">
        <v>1</v>
      </c>
      <c r="E141">
        <v>56</v>
      </c>
      <c r="G141">
        <f>365/D141</f>
        <v>365</v>
      </c>
    </row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3:F3"/>
    <mergeCell ref="A130:B130"/>
  </mergeCells>
  <pageMargins left="0.7" right="0.7" top="0.75" bottom="0.75" header="0" footer="0"/>
  <ignoredErrors>
    <ignoredError numberStoredAsText="1" sqref="A1:Z1000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AA1000"/>
  <sheetViews>
    <sheetView workbookViewId="0" rightToLeft="0"/>
  </sheetViews>
  <cols>
    <col min="1" max="1" customWidth="1" width="15.109375"/>
    <col min="2" max="2" customWidth="1" width="30"/>
    <col min="3" max="3" customWidth="1" width="37.44140625"/>
    <col min="4" max="4" customWidth="1" width="8"/>
    <col min="5" max="5" customWidth="1" width="12.88671875"/>
    <col min="6" max="6" customWidth="1" width="15.33203125"/>
    <col min="7" max="7" customWidth="1" width="13.6640625"/>
  </cols>
  <sheetData>
    <row r="1" ht="15.75" customHeight="1">
      <c r="A1" t="str">
        <v>CLIENTE</v>
      </c>
    </row>
    <row r="2" ht="15.75" customHeight="1">
      <c r="A2" t="str">
        <v>FECHA</v>
      </c>
    </row>
    <row r="3" ht="15.75" customHeight="1">
      <c r="A3" t="str">
        <v>MODALIDAD</v>
      </c>
    </row>
    <row r="4" ht="15.75" customHeight="1">
      <c r="A4" t="str">
        <v>PLAZO</v>
      </c>
      <c r="C4" t="str">
        <v>MESES</v>
      </c>
    </row>
    <row r="5" ht="15.75" customHeight="1">
      <c r="A5" t="str">
        <v>PROYECCIÓN</v>
      </c>
      <c r="C5" t="str">
        <v>MESES</v>
      </c>
    </row>
    <row r="6" ht="15.75" customHeight="1">
      <c r="A6" t="str">
        <v>EQUIPO</v>
      </c>
      <c r="B6" t="str">
        <v>E411 DISK</v>
      </c>
    </row>
    <row r="7" ht="15.75" customHeight="1"/>
    <row r="8" ht="21.600000000000005" customHeight="1">
      <c r="A8" t="str">
        <v>I.D</v>
      </c>
      <c r="B8" t="str">
        <v>DESCRIPCION</v>
      </c>
      <c r="C8" t="str">
        <v>NOMBRE</v>
      </c>
      <c r="D8" t="str">
        <v>DET/KIT</v>
      </c>
      <c r="E8" t="str">
        <v>DIAS ESTABILIDAD</v>
      </c>
      <c r="F8" t="str">
        <v>DET/AÑO/PROCESO</v>
      </c>
      <c r="G8" t="str">
        <v>PRODUCTO CALCULADO</v>
      </c>
      <c r="H8" t="str">
        <v>MINIMOS POR ESTABILIDAD</v>
      </c>
      <c r="I8" t="str">
        <v>PRODUCTO A ENTREGAR</v>
      </c>
    </row>
    <row r="9" ht="15.75" customHeight="1">
      <c r="A9">
        <v>8946710190</v>
      </c>
      <c r="B9" t="str">
        <v>ACTH ELECSYS COBAS E 100 V2</v>
      </c>
      <c r="C9" t="str">
        <v>Hormona Adrenocorticotrópica</v>
      </c>
      <c r="D9">
        <v>100</v>
      </c>
      <c r="E9">
        <v>84</v>
      </c>
      <c r="G9">
        <f>F9/D9</f>
        <v>0</v>
      </c>
      <c r="H9" s="4">
        <f>(360/E9)</f>
        <v>4.285714285714286</v>
      </c>
    </row>
    <row r="10" ht="15.75" customHeight="1">
      <c r="A10">
        <v>9015060190</v>
      </c>
      <c r="B10" t="str">
        <v>AFP ELECSYS COBAS E 100 V2</v>
      </c>
      <c r="C10" t="str">
        <v>Alfa1 - Fetoproteína</v>
      </c>
      <c r="D10">
        <v>100</v>
      </c>
      <c r="E10">
        <v>56</v>
      </c>
      <c r="G10">
        <f>F10/D10</f>
        <v>0</v>
      </c>
      <c r="H10" s="4">
        <f>(360/E10)</f>
        <v>6.428571428571429</v>
      </c>
    </row>
    <row r="11" ht="15.75" customHeight="1">
      <c r="A11">
        <v>10059516190</v>
      </c>
      <c r="B11" t="str">
        <v>AMH plus Elecsys cobas e 100 V3</v>
      </c>
      <c r="C11" t="str">
        <v xml:space="preserve">Hormona Antimülleriana </v>
      </c>
      <c r="D11">
        <v>100</v>
      </c>
      <c r="G11">
        <f>F11/D11</f>
        <v>0</v>
      </c>
      <c r="H11" s="4" t="e">
        <f>(360/E11)</f>
        <v>#DIV/0!</v>
      </c>
    </row>
    <row r="12" ht="15.75" customHeight="1">
      <c r="A12">
        <v>6368590190</v>
      </c>
      <c r="B12" t="str">
        <v>ANTI TPO</v>
      </c>
      <c r="C12" t="str">
        <v>Anti-Peroxidasa Tiroidea</v>
      </c>
      <c r="D12">
        <v>100</v>
      </c>
      <c r="E12">
        <v>15</v>
      </c>
      <c r="G12">
        <f>F12/D12</f>
        <v>0</v>
      </c>
      <c r="H12" s="4">
        <f>(360/E12)</f>
        <v>24</v>
      </c>
    </row>
    <row r="13" ht="15.75" customHeight="1">
      <c r="A13">
        <v>5031656190</v>
      </c>
      <c r="B13" t="str">
        <v>ANTI-CCP ELECSYS COBAS E 100</v>
      </c>
      <c r="C13" t="str">
        <v>Anticuerpos Antipéptido Cíclico Citrulinado</v>
      </c>
      <c r="D13">
        <v>100</v>
      </c>
      <c r="E13">
        <v>28</v>
      </c>
      <c r="G13">
        <f>F13/D13</f>
        <v>0</v>
      </c>
      <c r="H13" s="4">
        <f>(360/E13)</f>
        <v>12.857142857142858</v>
      </c>
    </row>
    <row r="14" ht="15.75" customHeight="1">
      <c r="A14">
        <v>8086630190</v>
      </c>
      <c r="B14" t="str">
        <v>ANTI-HAV G2 ELECSYS,COBAS E100 (COI)</v>
      </c>
      <c r="C14" t="str">
        <v>Anticuerpos Hepatitis A</v>
      </c>
      <c r="D14">
        <v>100</v>
      </c>
      <c r="E14">
        <v>56</v>
      </c>
      <c r="G14">
        <f>F14/D14</f>
        <v>0</v>
      </c>
      <c r="H14" s="4">
        <f>(360/E14)</f>
        <v>6.428571428571429</v>
      </c>
    </row>
    <row r="15" ht="15.75" customHeight="1">
      <c r="A15">
        <v>11820591122</v>
      </c>
      <c r="B15" t="str">
        <v xml:space="preserve">ANTI-HAV IGM ELECSYS COBAS E 100 </v>
      </c>
      <c r="C15" t="str">
        <v>Anticuerpos IGM Hepatitis A</v>
      </c>
      <c r="D15">
        <v>100</v>
      </c>
      <c r="E15">
        <v>56</v>
      </c>
      <c r="G15">
        <f>F15/D15</f>
        <v>0</v>
      </c>
      <c r="H15" s="4">
        <f>(360/E15)</f>
        <v>6.428571428571429</v>
      </c>
    </row>
    <row r="16" ht="15.75" customHeight="1">
      <c r="A16">
        <v>11820567122</v>
      </c>
      <c r="B16" t="str">
        <v>ANTI-HBC IGM ELECSYS COBAS E 100</v>
      </c>
      <c r="C16" t="str">
        <v>Anticuerpos IGM Hepatitis B</v>
      </c>
      <c r="D16">
        <v>100</v>
      </c>
      <c r="E16">
        <v>28</v>
      </c>
      <c r="G16">
        <f>F16/D16</f>
        <v>0</v>
      </c>
      <c r="H16" s="4">
        <f>(360/E16)</f>
        <v>12.857142857142858</v>
      </c>
    </row>
    <row r="17" ht="15.75" customHeight="1">
      <c r="A17">
        <v>9014918190</v>
      </c>
      <c r="B17" t="str">
        <v>Anti-HBc II ELECSYS COBAS E100</v>
      </c>
      <c r="C17" t="str">
        <v>Anticuerpos IgG e IgM Hepatitis B</v>
      </c>
      <c r="D17">
        <v>100</v>
      </c>
      <c r="E17">
        <v>56</v>
      </c>
      <c r="G17">
        <f>F17/D17</f>
        <v>0</v>
      </c>
      <c r="H17" s="4">
        <f>(360/E17)</f>
        <v>6.428571428571429</v>
      </c>
    </row>
    <row r="18" ht="15.75" customHeight="1">
      <c r="A18">
        <v>11820613122</v>
      </c>
      <c r="B18" t="str">
        <v>ANTI-HBE ELECSYS COBAS E 100</v>
      </c>
      <c r="C18" t="str">
        <v>Anticuerpo contra antigeno de HBE</v>
      </c>
      <c r="D18">
        <v>100</v>
      </c>
      <c r="E18">
        <v>56</v>
      </c>
      <c r="G18">
        <f>F18/D18</f>
        <v>0</v>
      </c>
      <c r="H18" s="4">
        <f>(360/E18)</f>
        <v>6.428571428571429</v>
      </c>
    </row>
    <row r="19" ht="15.75" customHeight="1">
      <c r="A19">
        <v>8498598190</v>
      </c>
      <c r="B19" t="str">
        <v>Anti-HBs G2 Elecsys cobas e 100 V2</v>
      </c>
      <c r="C19" t="str">
        <v>Anticuerpo contra antigeno de HBs</v>
      </c>
      <c r="D19">
        <v>100</v>
      </c>
      <c r="E19">
        <v>56</v>
      </c>
      <c r="G19">
        <f>F19/D19</f>
        <v>0</v>
      </c>
      <c r="H19" s="4">
        <f>(360/E19)</f>
        <v>6.428571428571429</v>
      </c>
    </row>
    <row r="20" ht="15.75" customHeight="1">
      <c r="A20">
        <v>8836981190</v>
      </c>
      <c r="B20" t="str">
        <v>ANTI-HCV G2 ELECSYS COBAS E 100 V2</v>
      </c>
      <c r="C20" t="str">
        <v>Anticuerpos contra el virus de la hepatitis C</v>
      </c>
      <c r="D20">
        <v>100</v>
      </c>
      <c r="E20">
        <v>49</v>
      </c>
      <c r="G20">
        <f>F20/D20</f>
        <v>0</v>
      </c>
      <c r="H20" s="4">
        <f>(360/E20)</f>
        <v>7.346938775510204</v>
      </c>
    </row>
    <row r="21" ht="15.75" customHeight="1">
      <c r="A21">
        <v>9203095190</v>
      </c>
      <c r="B21" t="str">
        <v xml:space="preserve">ANTI-SARS-COV-2 ELECSYS COBAS E 200 </v>
      </c>
      <c r="C21" t="str">
        <v xml:space="preserve">Antígeno de la nucleocápside del coronavirus 2 </v>
      </c>
      <c r="D21">
        <v>200</v>
      </c>
      <c r="E21">
        <v>28</v>
      </c>
      <c r="G21">
        <f>F21/D21</f>
        <v>0</v>
      </c>
      <c r="H21" s="4">
        <f>(360/E21)</f>
        <v>12.857142857142858</v>
      </c>
    </row>
    <row r="22" ht="15.75" customHeight="1">
      <c r="A22">
        <v>9289267190</v>
      </c>
      <c r="B22" t="str">
        <v>ANTI-SARS-COV-2 S ELECSYS COBAS E 200</v>
      </c>
      <c r="C22" t="str">
        <v>Anticuerpos de proteina espícula S contra el corona virus 2</v>
      </c>
      <c r="D22">
        <v>200</v>
      </c>
      <c r="E22">
        <v>28</v>
      </c>
      <c r="G22">
        <f>F22/D22</f>
        <v>0</v>
      </c>
      <c r="H22" s="4">
        <f>(360/E22)</f>
        <v>12.857142857142858</v>
      </c>
    </row>
    <row r="23" ht="15.75" customHeight="1">
      <c r="A23">
        <v>9004998190</v>
      </c>
      <c r="B23" t="str">
        <v>ANTI-TG ELECSYS COBAS E 100 V5</v>
      </c>
      <c r="C23" t="str">
        <v>Anticuerpos anti-tiroglobulina</v>
      </c>
      <c r="D23">
        <v>100</v>
      </c>
      <c r="E23">
        <v>42</v>
      </c>
      <c r="G23">
        <f>F23/D23</f>
        <v>0</v>
      </c>
      <c r="H23" s="4">
        <f>(360/E23)</f>
        <v>8.571428571428571</v>
      </c>
    </row>
    <row r="24" ht="15.75" customHeight="1">
      <c r="A24">
        <v>8496609190</v>
      </c>
      <c r="B24" t="str">
        <v>ANTI-TSHR ELECSYS COBAS E 100 V2</v>
      </c>
      <c r="C24" t="str">
        <v>Autoanticuerpos antirreceptor del hipertiroidismo</v>
      </c>
      <c r="D24">
        <v>100</v>
      </c>
      <c r="E24">
        <v>21</v>
      </c>
      <c r="G24">
        <f>F24/D24</f>
        <v>0</v>
      </c>
      <c r="H24" s="4">
        <f>(360/E24)</f>
        <v>17.142857142857142</v>
      </c>
    </row>
    <row r="25" ht="15.75" customHeight="1">
      <c r="A25">
        <v>9005773190</v>
      </c>
      <c r="B25" t="str">
        <v>B -CROSSLAPS/SERUM ELECSYS COBAS E 100 V2</v>
      </c>
      <c r="C25" t="str">
        <v xml:space="preserve">Productos de degradación del colágeno tipo </v>
      </c>
      <c r="D25">
        <v>100</v>
      </c>
      <c r="E25">
        <v>56</v>
      </c>
      <c r="G25">
        <f>F25/D25</f>
        <v>0</v>
      </c>
      <c r="H25" s="4">
        <f>(360/E25)</f>
        <v>6.428571428571429</v>
      </c>
    </row>
    <row r="26" ht="15.75" customHeight="1">
      <c r="A26">
        <v>11776223190</v>
      </c>
      <c r="B26" t="str">
        <v>CA 125 G2 ELECSYS COBAS E 100</v>
      </c>
      <c r="C26" t="str">
        <v>Marcador Tumoral 125 cancer de ovario</v>
      </c>
      <c r="D26">
        <v>100</v>
      </c>
      <c r="E26">
        <v>42</v>
      </c>
      <c r="G26">
        <f>F26/D26</f>
        <v>0</v>
      </c>
      <c r="H26" s="4">
        <f>(360/E26)</f>
        <v>8.571428571428571</v>
      </c>
    </row>
    <row r="27" ht="15.75" customHeight="1">
      <c r="A27">
        <v>3045838122</v>
      </c>
      <c r="B27" t="str">
        <v>CA 15-3 G2 ELECSYS COBAS E 100</v>
      </c>
      <c r="C27" t="str">
        <v>Marcador Tumoral 15-3 cancer de mama</v>
      </c>
      <c r="D27">
        <v>100</v>
      </c>
      <c r="E27">
        <v>35</v>
      </c>
      <c r="G27">
        <f>F27/D27</f>
        <v>0</v>
      </c>
      <c r="H27" s="4">
        <f>(360/E27)</f>
        <v>10.285714285714286</v>
      </c>
    </row>
    <row r="28" ht="15.75" customHeight="1">
      <c r="A28">
        <v>11776193122</v>
      </c>
      <c r="B28" t="str">
        <v xml:space="preserve">CA 19-9 ELECSYS COBAS E 100 </v>
      </c>
      <c r="C28" t="str">
        <v>Marcador Tumoral 19-9 cancer de pancreas</v>
      </c>
      <c r="D28">
        <v>100</v>
      </c>
      <c r="E28">
        <v>56</v>
      </c>
      <c r="G28">
        <f>F28/D28</f>
        <v>0</v>
      </c>
      <c r="H28" s="4">
        <f>(360/E28)</f>
        <v>6.428571428571429</v>
      </c>
    </row>
    <row r="29" ht="15.75" customHeight="1">
      <c r="A29">
        <v>9005692190</v>
      </c>
      <c r="B29" t="str">
        <v>CA 72-4 ELECSYS COBAS E 100 V2</v>
      </c>
      <c r="C29" t="str">
        <v>Marcador Tumoral Glicoproteína 72-4</v>
      </c>
      <c r="D29">
        <v>100</v>
      </c>
      <c r="E29">
        <v>56</v>
      </c>
      <c r="G29">
        <f>F29/D29</f>
        <v>0</v>
      </c>
      <c r="H29" s="4">
        <f>(360/E29)</f>
        <v>6.428571428571429</v>
      </c>
    </row>
    <row r="30" ht="15.75" customHeight="1">
      <c r="A30">
        <v>11731629322</v>
      </c>
      <c r="B30" t="str">
        <v>CEA ELECSYS COBAS E 100</v>
      </c>
      <c r="C30" t="str">
        <v>Antígeno carcinoembrionario</v>
      </c>
      <c r="D30">
        <v>100</v>
      </c>
      <c r="E30">
        <v>42</v>
      </c>
      <c r="G30">
        <f>F30/D30</f>
        <v>0</v>
      </c>
      <c r="H30" s="4">
        <f>(360/E30)</f>
        <v>8.571428571428571</v>
      </c>
    </row>
    <row r="31" ht="15.75" customHeight="1">
      <c r="A31">
        <v>9015566190</v>
      </c>
      <c r="B31" t="str">
        <v>CHAGAS ELECSYS COBAS E 100 V2</v>
      </c>
      <c r="C31" t="str">
        <v>Anticuerpos contra Trypanosoma cruzi</v>
      </c>
      <c r="D31">
        <v>100</v>
      </c>
      <c r="E31">
        <v>56</v>
      </c>
      <c r="G31">
        <f>F31/D31</f>
        <v>0</v>
      </c>
      <c r="H31" s="4">
        <f>(360/E31)</f>
        <v>6.428571428571429</v>
      </c>
    </row>
    <row r="32" ht="15.75" customHeight="1">
      <c r="A32">
        <v>5957648190</v>
      </c>
      <c r="B32" t="str">
        <v>CK-MB STAT ELECSYS COBAS E 100 V4</v>
      </c>
      <c r="C32" t="str">
        <v>Isoenzima MB de la creatina quinasa</v>
      </c>
      <c r="D32">
        <v>100</v>
      </c>
      <c r="E32">
        <v>56</v>
      </c>
      <c r="G32">
        <f>F32/D32</f>
        <v>0</v>
      </c>
      <c r="H32" s="4">
        <f>(360/E32)</f>
        <v>6.428571428571429</v>
      </c>
    </row>
    <row r="33" ht="15.75" customHeight="1">
      <c r="A33">
        <v>9342397190</v>
      </c>
      <c r="B33" t="str">
        <v>CMV IGG AVIDITY ELECSYS COBAS E 100 V2</v>
      </c>
      <c r="C33" t="str">
        <v>Avidez de anticuerpos IgG contra citomegalovirus</v>
      </c>
      <c r="D33">
        <v>100</v>
      </c>
      <c r="E33">
        <v>56</v>
      </c>
      <c r="G33">
        <f>F33/D33</f>
        <v>0</v>
      </c>
      <c r="H33" s="4">
        <f>(360/E33)</f>
        <v>6.428571428571429</v>
      </c>
    </row>
    <row r="34" ht="15.75" customHeight="1">
      <c r="A34">
        <v>9118543190</v>
      </c>
      <c r="B34" t="str">
        <v>CMV IGG ELECSYS COBAS E 100 V2</v>
      </c>
      <c r="C34" t="str">
        <v xml:space="preserve">Anticuerpos Inmunoglobinas G contra citomegalovirus  </v>
      </c>
      <c r="D34">
        <v>100</v>
      </c>
      <c r="E34">
        <v>21</v>
      </c>
      <c r="G34">
        <f>F34/D34</f>
        <v>0</v>
      </c>
      <c r="H34" s="4">
        <f>(360/E34)</f>
        <v>17.142857142857142</v>
      </c>
    </row>
    <row r="35" ht="15.75" customHeight="1">
      <c r="A35">
        <v>4784618190</v>
      </c>
      <c r="B35" t="str">
        <v>CMV IGM ELECSYS COBAS E 100</v>
      </c>
      <c r="C35" t="str">
        <v xml:space="preserve">Anticuerpos Inmunoglobinas M contra citomegalovirus  </v>
      </c>
      <c r="D35">
        <v>100</v>
      </c>
      <c r="E35">
        <v>42</v>
      </c>
      <c r="G35">
        <f>F35/D35</f>
        <v>0</v>
      </c>
      <c r="H35" s="4">
        <f>(360/E35)</f>
        <v>8.571428571428571</v>
      </c>
    </row>
    <row r="36" ht="15.75" customHeight="1">
      <c r="A36">
        <v>6687733190</v>
      </c>
      <c r="B36" t="str">
        <v>CORTISOL G2 ELECSYS COBAS E 100</v>
      </c>
      <c r="C36" t="str">
        <v>Cortisol</v>
      </c>
      <c r="D36">
        <v>100</v>
      </c>
      <c r="E36">
        <v>56</v>
      </c>
      <c r="G36">
        <f>F36/D36</f>
        <v>0</v>
      </c>
      <c r="H36" s="4">
        <f>(360/E36)</f>
        <v>6.428571428571429</v>
      </c>
    </row>
    <row r="37" ht="15.75" customHeight="1">
      <c r="A37">
        <v>3184897190</v>
      </c>
      <c r="B37" t="str">
        <v>C-PEPTIDE ELECSYS COBAS E 100</v>
      </c>
      <c r="C37" t="str">
        <v>Péptido C</v>
      </c>
      <c r="D37">
        <v>100</v>
      </c>
      <c r="E37">
        <v>56</v>
      </c>
      <c r="G37">
        <f>F37/D37</f>
        <v>0</v>
      </c>
      <c r="H37" s="4">
        <f>(360/E37)</f>
        <v>6.428571428571429</v>
      </c>
    </row>
    <row r="38" ht="15.75" customHeight="1">
      <c r="A38">
        <v>11820966122</v>
      </c>
      <c r="B38" t="str">
        <v>CYFRA 21-1 ELECSYS COBAS E 100</v>
      </c>
      <c r="C38" t="str">
        <v>Fragmentos de citoqueratina 19</v>
      </c>
      <c r="D38">
        <v>100</v>
      </c>
      <c r="E38">
        <v>56</v>
      </c>
      <c r="G38">
        <f>F38/D38</f>
        <v>0</v>
      </c>
      <c r="H38" s="4">
        <f>(360/E38)</f>
        <v>6.428571428571429</v>
      </c>
    </row>
    <row r="39" ht="15.75" customHeight="1">
      <c r="A39">
        <v>3000087122</v>
      </c>
      <c r="B39" t="str">
        <v>DHEA-S ELECSYS COBAS E 100</v>
      </c>
      <c r="C39" t="str">
        <v>Sulfato de dehidroepiandrosterona</v>
      </c>
      <c r="D39">
        <v>100</v>
      </c>
      <c r="E39">
        <v>56</v>
      </c>
      <c r="G39">
        <f>F39/D39</f>
        <v>0</v>
      </c>
      <c r="H39" s="4">
        <f>(360/E39)</f>
        <v>6.428571428571429</v>
      </c>
    </row>
    <row r="40" ht="15.75" customHeight="1">
      <c r="A40">
        <v>11820796190</v>
      </c>
      <c r="B40" t="str">
        <v xml:space="preserve">DIGOXIN ELECSYS COBAS E 100 V2 </v>
      </c>
      <c r="C40" t="str">
        <v>Digoxina</v>
      </c>
      <c r="D40">
        <v>100</v>
      </c>
      <c r="E40">
        <v>56</v>
      </c>
      <c r="G40">
        <f>F40/D40</f>
        <v>0</v>
      </c>
      <c r="H40" s="4">
        <f>(360/E40)</f>
        <v>6.428571428571429</v>
      </c>
    </row>
    <row r="41" ht="15.75" customHeight="1">
      <c r="A41">
        <v>8355371190</v>
      </c>
      <c r="B41" t="str">
        <v>EBV EBNA IGG ELECSYS COBAS E 100</v>
      </c>
      <c r="C41" t="str">
        <v>Anticuerpos IgG contra el antígeno nuclear 1</v>
      </c>
      <c r="D41">
        <v>100</v>
      </c>
      <c r="E41">
        <v>28</v>
      </c>
      <c r="G41">
        <f>F41/D41</f>
        <v>0</v>
      </c>
      <c r="H41" s="4">
        <f>(360/E41)</f>
        <v>12.857142857142858</v>
      </c>
    </row>
    <row r="42" ht="15.75" customHeight="1">
      <c r="A42">
        <v>8355258190</v>
      </c>
      <c r="B42" t="str">
        <v xml:space="preserve">EBV IGM ELECSYS COBAS E 100 </v>
      </c>
      <c r="C42" t="str">
        <v>Anticuerpos IgM contra el virus de Epstein-Bar</v>
      </c>
      <c r="D42">
        <v>100</v>
      </c>
      <c r="E42">
        <v>28</v>
      </c>
      <c r="G42">
        <f>F42/D42</f>
        <v>0</v>
      </c>
      <c r="H42" s="4">
        <f>(360/E42)</f>
        <v>12.857142857142858</v>
      </c>
    </row>
    <row r="43" ht="15.75" customHeight="1">
      <c r="A43">
        <v>8355312190</v>
      </c>
      <c r="B43" t="str">
        <v>EBV VCA IGG ELECSYS COBAS E 100</v>
      </c>
      <c r="C43" t="str">
        <v>Anticuerpos IgG contra el virus de Epstein-Barr</v>
      </c>
      <c r="D43">
        <v>100</v>
      </c>
      <c r="E43">
        <v>28</v>
      </c>
      <c r="G43">
        <f>F43/D43</f>
        <v>0</v>
      </c>
      <c r="H43" s="4">
        <f>(360/E43)</f>
        <v>12.857142857142858</v>
      </c>
    </row>
    <row r="44" ht="15.75" customHeight="1">
      <c r="A44">
        <v>6656021190</v>
      </c>
      <c r="B44" t="str">
        <v>ESTRADIOL G3 ELECSYS COBAS E100</v>
      </c>
      <c r="C44" t="str">
        <v>Estradiol</v>
      </c>
      <c r="D44">
        <v>100</v>
      </c>
      <c r="E44">
        <v>56</v>
      </c>
      <c r="G44">
        <f>F44/D44</f>
        <v>0</v>
      </c>
      <c r="H44" s="4">
        <f>(360/E44)</f>
        <v>6.428571428571429</v>
      </c>
    </row>
    <row r="45" ht="15.75" customHeight="1">
      <c r="A45">
        <v>3737551190</v>
      </c>
      <c r="B45" t="str">
        <v>FERRITIN ELECSYS COBAS E 100 V2</v>
      </c>
      <c r="C45" t="str">
        <v>Ferritina</v>
      </c>
      <c r="D45">
        <v>100</v>
      </c>
      <c r="E45">
        <v>42</v>
      </c>
      <c r="G45">
        <f>F45/D45</f>
        <v>0</v>
      </c>
      <c r="H45" s="4">
        <f>(360/E45)</f>
        <v>8.571428571428571</v>
      </c>
    </row>
    <row r="46" ht="15.75" customHeight="1">
      <c r="A46">
        <v>7559992190</v>
      </c>
      <c r="B46" t="str">
        <v xml:space="preserve">FOLATE G3 ELECSYS COBAS E 100 V2 </v>
      </c>
      <c r="C46" t="str">
        <v>Ácido Fólico</v>
      </c>
      <c r="D46">
        <v>100</v>
      </c>
      <c r="E46">
        <v>28</v>
      </c>
      <c r="G46">
        <f>F46/D46</f>
        <v>0</v>
      </c>
      <c r="H46" s="4">
        <f>(360/E46)</f>
        <v>12.857142857142858</v>
      </c>
    </row>
    <row r="47" ht="15.75" customHeight="1">
      <c r="A47">
        <v>8860297190</v>
      </c>
      <c r="B47" t="str">
        <v xml:space="preserve">FREE HCGBETA ELECSYS COBAS E 100 V2 </v>
      </c>
      <c r="C47" t="str">
        <v>Subunidad β libre de la gonadotropina coriónica humana</v>
      </c>
      <c r="D47">
        <v>100</v>
      </c>
      <c r="E47">
        <v>28</v>
      </c>
      <c r="G47">
        <f>F47/D47</f>
        <v>0</v>
      </c>
      <c r="H47" s="4">
        <f>(360/E47)</f>
        <v>12.857142857142858</v>
      </c>
    </row>
    <row r="48" ht="15.75" customHeight="1">
      <c r="A48">
        <v>8828601190</v>
      </c>
      <c r="B48" t="str">
        <v>FREE PSA ELECSYS COBAS E 100 V3</v>
      </c>
      <c r="C48" t="str">
        <v>Antigeno Prostatico Especifico Libre</v>
      </c>
      <c r="D48">
        <v>100</v>
      </c>
      <c r="E48">
        <v>42</v>
      </c>
      <c r="G48">
        <f>F48/D48</f>
        <v>0</v>
      </c>
      <c r="H48" s="4">
        <f>(360/E48)</f>
        <v>8.571428571428571</v>
      </c>
    </row>
    <row r="49" ht="15.75" customHeight="1">
      <c r="A49">
        <v>8932352190</v>
      </c>
      <c r="B49" t="str">
        <v>FSH ELECSYS COBAS E 100 V2</v>
      </c>
      <c r="C49" t="str">
        <v>Hormona Folículoestimulant</v>
      </c>
      <c r="D49">
        <v>100</v>
      </c>
      <c r="E49">
        <v>56</v>
      </c>
      <c r="G49">
        <f>F49/D49</f>
        <v>0</v>
      </c>
      <c r="H49" s="4">
        <f>(360/E49)</f>
        <v>6.428571428571429</v>
      </c>
    </row>
    <row r="50" ht="15.75" customHeight="1">
      <c r="A50">
        <v>9005803190</v>
      </c>
      <c r="B50" t="str">
        <v>FT3 G3 ELECSYS COBAS E 200 V2</v>
      </c>
      <c r="C50" t="str">
        <v>Triyodotironina libre</v>
      </c>
      <c r="D50">
        <v>200</v>
      </c>
      <c r="E50">
        <v>56</v>
      </c>
      <c r="G50">
        <f>F50/D50</f>
        <v>0</v>
      </c>
      <c r="H50" s="4">
        <f>(360/E50)</f>
        <v>6.428571428571429</v>
      </c>
    </row>
    <row r="51" ht="15.75" customHeight="1">
      <c r="A51">
        <v>9043276190</v>
      </c>
      <c r="B51" t="str">
        <v>FT4 G4 ELECSYS COBAS E 200</v>
      </c>
      <c r="C51" t="str">
        <v xml:space="preserve">Tiroxina libre </v>
      </c>
      <c r="D51">
        <v>200</v>
      </c>
      <c r="E51">
        <v>56</v>
      </c>
      <c r="G51">
        <f>F51/D51</f>
        <v>0</v>
      </c>
      <c r="H51" s="4">
        <f>(360/E51)</f>
        <v>6.428571428571429</v>
      </c>
    </row>
    <row r="52" ht="15.75" customHeight="1">
      <c r="A52">
        <v>8946779190</v>
      </c>
      <c r="B52" t="str">
        <v>GDF-15 ELECSYS COBAS E 100 V2</v>
      </c>
      <c r="C52" t="str">
        <v xml:space="preserve">Factor de diferenciación de crecimiento </v>
      </c>
      <c r="D52">
        <v>100</v>
      </c>
      <c r="E52">
        <v>56</v>
      </c>
      <c r="G52">
        <f>F52/D52</f>
        <v>0</v>
      </c>
      <c r="H52" s="4">
        <f>(360/E52)</f>
        <v>6.428571428571429</v>
      </c>
    </row>
    <row r="53" ht="15.75" customHeight="1">
      <c r="A53">
        <v>11820583122</v>
      </c>
      <c r="B53" t="str">
        <v xml:space="preserve">HBEAG ELECSYS COBAS E 100 </v>
      </c>
      <c r="C53" t="str">
        <v>Antigeno E Hepatitis B</v>
      </c>
      <c r="D53">
        <v>100</v>
      </c>
      <c r="E53">
        <v>56</v>
      </c>
      <c r="G53">
        <f>F53/D53</f>
        <v>0</v>
      </c>
      <c r="H53" s="4">
        <f>(360/E53)</f>
        <v>6.428571428571429</v>
      </c>
    </row>
    <row r="54" ht="15.75" customHeight="1">
      <c r="A54">
        <v>8814856190</v>
      </c>
      <c r="B54" t="str">
        <v>HBSAG G2 ELECSYS COBAS E 100 V2</v>
      </c>
      <c r="C54" t="str">
        <v>Antigeno de Superficie Hepatitis B</v>
      </c>
      <c r="D54">
        <v>100</v>
      </c>
      <c r="E54">
        <v>42</v>
      </c>
      <c r="G54">
        <f>F54/D54</f>
        <v>0</v>
      </c>
      <c r="H54" s="4">
        <f>(360/E54)</f>
        <v>8.571428571428571</v>
      </c>
    </row>
    <row r="55" ht="15.75" customHeight="1">
      <c r="A55">
        <v>8890587190</v>
      </c>
      <c r="B55" t="str">
        <v xml:space="preserve">HCG STAT ELECSYS COBAS E 100 V3 </v>
      </c>
      <c r="C55" t="str">
        <v>Gonadotropina Coriónica Humana</v>
      </c>
      <c r="D55">
        <v>100</v>
      </c>
      <c r="E55">
        <v>28</v>
      </c>
      <c r="G55">
        <f>F55/D55</f>
        <v>0</v>
      </c>
      <c r="H55" s="4">
        <f>(360/E55)</f>
        <v>12.857142857142858</v>
      </c>
    </row>
    <row r="56" ht="15.75" customHeight="1">
      <c r="A56">
        <v>3271749190</v>
      </c>
      <c r="B56" t="str">
        <v>HCG+BETA ELECSYS COBAS E 100 V2</v>
      </c>
      <c r="C56" t="str">
        <v>Subunidad β Gonadotropina Coriónica Humana</v>
      </c>
      <c r="D56">
        <v>100</v>
      </c>
      <c r="E56">
        <v>28</v>
      </c>
      <c r="G56">
        <f>F56/D56</f>
        <v>0</v>
      </c>
      <c r="H56" s="4">
        <f>(360/E56)</f>
        <v>12.857142857142858</v>
      </c>
    </row>
    <row r="57" ht="15.75" customHeight="1">
      <c r="A57">
        <v>5950929190</v>
      </c>
      <c r="B57" t="str">
        <v xml:space="preserve">HE4 ELECSYS COBAS E 100 </v>
      </c>
      <c r="C57" t="str">
        <v>Proteína Epididimaria Humana</v>
      </c>
      <c r="D57">
        <v>100</v>
      </c>
      <c r="E57">
        <v>28</v>
      </c>
      <c r="G57">
        <f>F57/D57</f>
        <v>0</v>
      </c>
      <c r="H57" s="4">
        <f>(360/E57)</f>
        <v>12.857142857142858</v>
      </c>
    </row>
    <row r="58" ht="15.75" customHeight="1">
      <c r="A58">
        <v>5390125190</v>
      </c>
      <c r="B58" t="str">
        <v>HGH ELECSYS COBAS E 100</v>
      </c>
      <c r="C58" t="str">
        <v>Hormona de Crecimiento Humana</v>
      </c>
      <c r="D58">
        <v>100</v>
      </c>
      <c r="E58">
        <v>56</v>
      </c>
      <c r="G58">
        <f>F58/D58</f>
        <v>0</v>
      </c>
      <c r="H58" s="4">
        <f>(360/E58)</f>
        <v>6.428571428571429</v>
      </c>
    </row>
    <row r="59" ht="15.75" customHeight="1">
      <c r="A59">
        <v>8924163190</v>
      </c>
      <c r="B59" t="str">
        <v>HIV COMBI PT ELECSYS COBAS E 100 V2</v>
      </c>
      <c r="C59" t="str">
        <v>Antigeno y anticuerpo contra VIH</v>
      </c>
      <c r="D59">
        <v>100</v>
      </c>
      <c r="E59">
        <v>28</v>
      </c>
      <c r="G59">
        <f>F59/D59</f>
        <v>0</v>
      </c>
      <c r="H59" s="4">
        <f>(360/E59)</f>
        <v>12.857142857142858</v>
      </c>
    </row>
    <row r="60" ht="15.75" customHeight="1">
      <c r="A60">
        <v>8948844190</v>
      </c>
      <c r="B60" t="str">
        <v>HSV-1 IgG Elecsys cobas e 100 V2</v>
      </c>
      <c r="C60" t="str">
        <v>Anticuerpos IGG contra virus de herpes 1</v>
      </c>
      <c r="D60">
        <v>100</v>
      </c>
      <c r="E60">
        <v>28</v>
      </c>
      <c r="G60">
        <f>F60/D60</f>
        <v>0</v>
      </c>
      <c r="H60" s="4">
        <f>(360/E60)</f>
        <v>12.857142857142858</v>
      </c>
    </row>
    <row r="61" ht="15.75" customHeight="1">
      <c r="A61">
        <v>8948887190</v>
      </c>
      <c r="B61" t="str">
        <v>HSV-2 IgG Elecsys cobas e 100 V2</v>
      </c>
      <c r="C61" t="str">
        <v>Anticuerpos IGG contra virus de herpes 2</v>
      </c>
      <c r="D61">
        <v>100</v>
      </c>
      <c r="E61">
        <v>28</v>
      </c>
      <c r="G61">
        <f>F61/D61</f>
        <v>0</v>
      </c>
      <c r="H61" s="4">
        <f>(360/E61)</f>
        <v>12.857142857142858</v>
      </c>
    </row>
    <row r="62" ht="15.75" customHeight="1">
      <c r="A62">
        <v>9015175190</v>
      </c>
      <c r="B62" t="str">
        <v>HTLV I/II ELECSYS COBAS E100 V2</v>
      </c>
      <c r="C62" t="str">
        <v>Anticuerpos contra virus linfotrópico humano de células T</v>
      </c>
      <c r="D62">
        <v>100</v>
      </c>
      <c r="E62">
        <v>28</v>
      </c>
      <c r="G62">
        <f>F62/D62</f>
        <v>0</v>
      </c>
      <c r="H62" s="4">
        <f>(360/E62)</f>
        <v>12.857142857142858</v>
      </c>
    </row>
    <row r="63" ht="15.75" customHeight="1">
      <c r="A63">
        <v>4827031190</v>
      </c>
      <c r="B63" t="str">
        <v>IGE G2 ELECSYS COBAS E 100</v>
      </c>
      <c r="C63" t="str">
        <v>Inmunoglobulina E</v>
      </c>
      <c r="D63">
        <v>100</v>
      </c>
      <c r="E63">
        <v>56</v>
      </c>
      <c r="G63">
        <f>F63/D63</f>
        <v>0</v>
      </c>
      <c r="H63" s="4">
        <f>(360/E63)</f>
        <v>6.428571428571429</v>
      </c>
    </row>
    <row r="64" ht="15.75" customHeight="1">
      <c r="A64">
        <v>7475896190</v>
      </c>
      <c r="B64" t="str">
        <v>IGF-1 ELECSYS COBAS E 100</v>
      </c>
      <c r="C64" t="str">
        <v xml:space="preserve">Factor de crecimiento </v>
      </c>
      <c r="D64">
        <v>100</v>
      </c>
      <c r="E64">
        <v>28</v>
      </c>
      <c r="G64">
        <f>F64/D64</f>
        <v>0</v>
      </c>
      <c r="H64" s="4">
        <f>(360/E64)</f>
        <v>12.857142857142858</v>
      </c>
    </row>
    <row r="65" ht="15.75" customHeight="1">
      <c r="A65">
        <v>7574690190</v>
      </c>
      <c r="B65" t="str">
        <v>IGFBP-3 ELECSYS COBAS E 100</v>
      </c>
      <c r="C65" t="str">
        <v>Proteína transportadora de factor crecimiento</v>
      </c>
      <c r="D65">
        <v>100</v>
      </c>
      <c r="E65">
        <v>28</v>
      </c>
      <c r="G65">
        <f>F65/D65</f>
        <v>0</v>
      </c>
      <c r="H65" s="4">
        <f>(360/E65)</f>
        <v>12.857142857142858</v>
      </c>
    </row>
    <row r="66" ht="15.75" customHeight="1">
      <c r="A66">
        <v>9015604190</v>
      </c>
      <c r="B66" t="str">
        <v>IL 6 ELECSYS COBAS E 100 V2</v>
      </c>
      <c r="C66" t="str">
        <v>Interleucina-6</v>
      </c>
      <c r="D66">
        <v>100</v>
      </c>
      <c r="E66">
        <v>28</v>
      </c>
      <c r="G66">
        <f>F66/D66</f>
        <v>0</v>
      </c>
      <c r="H66" s="4">
        <f>(360/E66)</f>
        <v>12.857142857142858</v>
      </c>
    </row>
    <row r="67" ht="15.75" customHeight="1">
      <c r="A67">
        <v>12017547122</v>
      </c>
      <c r="B67" t="str">
        <v>INSULIN ELECSYS COBAS E 100</v>
      </c>
      <c r="C67" t="str">
        <v>Insulina</v>
      </c>
      <c r="D67">
        <v>100</v>
      </c>
      <c r="E67">
        <v>28</v>
      </c>
      <c r="G67">
        <f>F67/D67</f>
        <v>0</v>
      </c>
      <c r="H67" s="4">
        <f>(360/E67)</f>
        <v>12.857142857142858</v>
      </c>
    </row>
    <row r="68" ht="15.75" customHeight="1">
      <c r="A68">
        <v>11732234122</v>
      </c>
      <c r="B68" t="str">
        <v>LH ELECSYS COBAS E 100</v>
      </c>
      <c r="C68" t="str">
        <v>Hormona luteinizante</v>
      </c>
      <c r="D68">
        <v>100</v>
      </c>
      <c r="E68">
        <v>56</v>
      </c>
      <c r="G68">
        <f>F68/D68</f>
        <v>0</v>
      </c>
      <c r="H68" s="4">
        <f>(360/E68)</f>
        <v>6.428571428571429</v>
      </c>
    </row>
    <row r="69" ht="15.75" customHeight="1">
      <c r="A69">
        <v>11820788122</v>
      </c>
      <c r="B69" t="str">
        <v>MYOGLOBIN STAT ELECSYS COBAS E 100</v>
      </c>
      <c r="C69" t="str">
        <v xml:space="preserve">Mioglobina </v>
      </c>
      <c r="D69">
        <v>100</v>
      </c>
      <c r="E69">
        <v>56</v>
      </c>
      <c r="G69">
        <f>F69/D69</f>
        <v>0</v>
      </c>
      <c r="H69" s="4">
        <f>(360/E69)</f>
        <v>6.428571428571429</v>
      </c>
    </row>
    <row r="70" ht="15.75" customHeight="1">
      <c r="A70">
        <v>12149133122</v>
      </c>
      <c r="B70" t="str">
        <v>N-MID OSTEOCALCIN ELECSYS COBAS E 100</v>
      </c>
      <c r="C70" t="str">
        <v>Osteocalcina N-MID</v>
      </c>
      <c r="D70">
        <v>100</v>
      </c>
      <c r="E70">
        <v>56</v>
      </c>
      <c r="G70">
        <f>F70/D70</f>
        <v>0</v>
      </c>
      <c r="H70" s="4">
        <f>(360/E70)</f>
        <v>6.428571428571429</v>
      </c>
    </row>
    <row r="71" ht="15.75" customHeight="1">
      <c r="A71">
        <v>12133113122</v>
      </c>
      <c r="B71" t="str">
        <v xml:space="preserve">NSE ELECSYS COBAS E 100 </v>
      </c>
      <c r="C71" t="str">
        <v>Enolasa neuronal específica</v>
      </c>
      <c r="D71">
        <v>100</v>
      </c>
      <c r="E71">
        <v>56</v>
      </c>
      <c r="G71">
        <f>F71/D71</f>
        <v>0</v>
      </c>
      <c r="H71" s="4">
        <f>(360/E71)</f>
        <v>6.428571428571429</v>
      </c>
    </row>
    <row r="72" ht="15.75" customHeight="1">
      <c r="A72">
        <v>8860173190</v>
      </c>
      <c r="B72" t="str">
        <v xml:space="preserve">PAPP-A ELECSYS COBAS E 100 V2 </v>
      </c>
      <c r="C72" t="str">
        <v>Proteina Plasmatica A</v>
      </c>
      <c r="D72">
        <v>100</v>
      </c>
      <c r="E72">
        <v>21</v>
      </c>
      <c r="G72">
        <f>F72/D72</f>
        <v>0</v>
      </c>
      <c r="H72" s="4">
        <f>(360/E72)</f>
        <v>17.142857142857142</v>
      </c>
    </row>
    <row r="73" ht="15.75" customHeight="1">
      <c r="A73">
        <v>9318712190</v>
      </c>
      <c r="B73" t="str">
        <v>PCT BRAHMS-ROCHE ELECSYS COBAS E100 V2.1</v>
      </c>
      <c r="C73" t="str">
        <v>Procalcitonina</v>
      </c>
      <c r="D73">
        <v>100</v>
      </c>
      <c r="E73">
        <v>28</v>
      </c>
      <c r="G73">
        <f>F73/D73</f>
        <v>0</v>
      </c>
      <c r="H73" s="4">
        <f>(360/E73)</f>
        <v>12.857142857142858</v>
      </c>
    </row>
    <row r="74" ht="15.75" customHeight="1">
      <c r="A74">
        <v>5144671190</v>
      </c>
      <c r="B74" t="str">
        <v>PIGF ELECSYS COBAS E 100</v>
      </c>
      <c r="C74" t="str">
        <v>Preeclampsia</v>
      </c>
      <c r="D74">
        <v>100</v>
      </c>
      <c r="E74">
        <v>84</v>
      </c>
      <c r="G74">
        <f>F74/D74</f>
        <v>0</v>
      </c>
      <c r="H74" s="4">
        <f>(360/E74)</f>
        <v>4.285714285714286</v>
      </c>
    </row>
    <row r="75" ht="15.75" customHeight="1">
      <c r="A75">
        <v>9315268190</v>
      </c>
      <c r="B75" t="str">
        <v>PROBNP G2 ELECSYS COBAS E 100 V2</v>
      </c>
      <c r="C75" t="str">
        <v>Péptidos natriuréticos</v>
      </c>
      <c r="D75">
        <v>100</v>
      </c>
      <c r="E75">
        <v>56</v>
      </c>
      <c r="G75">
        <f>F75/D75</f>
        <v>0</v>
      </c>
      <c r="H75" s="4">
        <f>(360/E75)</f>
        <v>6.428571428571429</v>
      </c>
    </row>
    <row r="76" ht="15.75" customHeight="1">
      <c r="A76">
        <v>8836744190</v>
      </c>
      <c r="B76" t="str">
        <v>PROBNP G2 STAT ELECSYS COBAS E 100 V2</v>
      </c>
      <c r="C76" t="str">
        <v>Péptidos natriuréticos STAT</v>
      </c>
      <c r="D76">
        <v>100</v>
      </c>
      <c r="G76">
        <f>F76/D76</f>
        <v>0</v>
      </c>
      <c r="H76" s="4" t="e">
        <f>(360/E76)</f>
        <v>#DIV/0!</v>
      </c>
    </row>
    <row r="77" ht="15.75" customHeight="1">
      <c r="A77">
        <v>7092539190</v>
      </c>
      <c r="B77" t="str">
        <v>PROGESTERONE G3 ELECSYS COBAS E 100</v>
      </c>
      <c r="C77" t="str">
        <v>Progesterona</v>
      </c>
      <c r="D77">
        <v>100</v>
      </c>
      <c r="E77">
        <v>56</v>
      </c>
      <c r="G77">
        <f>F77/D77</f>
        <v>0</v>
      </c>
      <c r="H77" s="4">
        <f>(360/E77)</f>
        <v>6.428571428571429</v>
      </c>
    </row>
    <row r="78" ht="15.75" customHeight="1">
      <c r="A78">
        <v>9007636190</v>
      </c>
      <c r="B78" t="str">
        <v>PROGRP ELECSYS COBAS E 100 V2</v>
      </c>
      <c r="C78" t="str">
        <v>Péptido liberador de gastrina</v>
      </c>
      <c r="D78">
        <v>100</v>
      </c>
      <c r="E78">
        <v>42</v>
      </c>
      <c r="G78">
        <f>F78/D78</f>
        <v>0</v>
      </c>
      <c r="H78" s="4">
        <f>(360/E78)</f>
        <v>8.571428571428571</v>
      </c>
    </row>
    <row r="79" ht="15.75" customHeight="1">
      <c r="A79">
        <v>3203093190</v>
      </c>
      <c r="B79" t="str">
        <v>PROLACTIN G2 ELECSYS COBAS E 100 V2.1</v>
      </c>
      <c r="C79" t="str">
        <v>Prolactina</v>
      </c>
      <c r="D79">
        <v>100</v>
      </c>
      <c r="E79">
        <v>56</v>
      </c>
      <c r="G79">
        <f>F79/D79</f>
        <v>0</v>
      </c>
      <c r="H79" s="4">
        <f>(360/E79)</f>
        <v>6.428571428571429</v>
      </c>
    </row>
    <row r="80" ht="15.75" customHeight="1">
      <c r="A80">
        <v>9005757190</v>
      </c>
      <c r="B80" t="str">
        <v xml:space="preserve">PTH (1-84) ELECSYS COBAS E 100 V2 </v>
      </c>
      <c r="C80" t="str">
        <v>Parathormona 1-84</v>
      </c>
      <c r="D80">
        <v>100</v>
      </c>
      <c r="E80">
        <v>56</v>
      </c>
      <c r="G80">
        <f>F80/D80</f>
        <v>0</v>
      </c>
      <c r="H80" s="4">
        <f>(360/E80)</f>
        <v>6.428571428571429</v>
      </c>
    </row>
    <row r="81" ht="15.75" customHeight="1">
      <c r="A81">
        <v>8928380190</v>
      </c>
      <c r="B81" t="str">
        <v>PTH ELECSYS COBAS E 100</v>
      </c>
      <c r="C81" t="str">
        <v>Parathormona</v>
      </c>
      <c r="D81">
        <v>100</v>
      </c>
      <c r="E81">
        <v>56</v>
      </c>
      <c r="G81">
        <f>F81/D81</f>
        <v>0</v>
      </c>
      <c r="H81" s="4">
        <f>(360/E81)</f>
        <v>6.428571428571429</v>
      </c>
    </row>
    <row r="82" ht="15.75" customHeight="1">
      <c r="A82">
        <v>4618793190</v>
      </c>
      <c r="B82" t="str">
        <v>RUBELLA IGG ELECSYS COBAS E 100</v>
      </c>
      <c r="C82" t="str">
        <v>Rubéola Inmunoglobina G</v>
      </c>
      <c r="D82">
        <v>100</v>
      </c>
      <c r="E82">
        <v>84</v>
      </c>
      <c r="G82">
        <f>F82/D82</f>
        <v>0</v>
      </c>
      <c r="H82" s="4">
        <f>(360/E82)</f>
        <v>4.285714285714286</v>
      </c>
    </row>
    <row r="83" ht="15.75" customHeight="1">
      <c r="A83">
        <v>4618831190</v>
      </c>
      <c r="B83" t="str">
        <v>RUBELLA IGM ELECSYS COBAS E100</v>
      </c>
      <c r="C83" t="str">
        <v>Rubéola Inmunoglobina M</v>
      </c>
      <c r="D83">
        <v>100</v>
      </c>
      <c r="E83">
        <v>84</v>
      </c>
      <c r="G83">
        <f>F83/D83</f>
        <v>0</v>
      </c>
      <c r="H83" s="4">
        <f>(360/E83)</f>
        <v>4.285714285714286</v>
      </c>
    </row>
    <row r="84" ht="15.75" customHeight="1">
      <c r="A84">
        <v>9345272190</v>
      </c>
      <c r="B84" t="str">
        <v>SARS-COV-2 AG ELECSYS COBAS E 200</v>
      </c>
      <c r="C84" t="str">
        <v>Antigeno corona virus 2</v>
      </c>
      <c r="D84">
        <v>200</v>
      </c>
      <c r="E84">
        <v>56</v>
      </c>
      <c r="G84">
        <f>F84/D84</f>
        <v>0</v>
      </c>
      <c r="H84" s="4">
        <f>(360/E84)</f>
        <v>6.428571428571429</v>
      </c>
    </row>
    <row r="85" ht="15.75" customHeight="1">
      <c r="A85">
        <v>7126972190</v>
      </c>
      <c r="B85" t="str">
        <v>SCC ELECSYS COBAS E 100</v>
      </c>
      <c r="C85" t="str">
        <v>Antígeno del Carcinoma de Células Escamosas</v>
      </c>
      <c r="D85">
        <v>100</v>
      </c>
      <c r="E85">
        <v>49</v>
      </c>
      <c r="G85">
        <f>F85/D85</f>
        <v>0</v>
      </c>
      <c r="H85" s="4">
        <f>(360/E85)</f>
        <v>7.346938775510204</v>
      </c>
    </row>
    <row r="86" ht="15.75" customHeight="1">
      <c r="A86">
        <v>5109523190</v>
      </c>
      <c r="B86" t="str">
        <v>SFLT1 ELECSYS COBAS E 100</v>
      </c>
      <c r="C86" t="str">
        <v>Tirosina quinasa -1</v>
      </c>
      <c r="D86">
        <v>100</v>
      </c>
      <c r="E86">
        <v>84</v>
      </c>
      <c r="G86">
        <f>F86/D86</f>
        <v>0</v>
      </c>
      <c r="H86" s="4">
        <f>(360/E86)</f>
        <v>4.285714285714286</v>
      </c>
    </row>
    <row r="87" ht="15.75" customHeight="1">
      <c r="A87">
        <v>3052001190</v>
      </c>
      <c r="B87" t="str">
        <v xml:space="preserve">SHBG ELECSYS COBAS E 100 </v>
      </c>
      <c r="C87" t="str">
        <v>Globulina Fijadora de Hormonas Sexuales</v>
      </c>
      <c r="D87">
        <v>100</v>
      </c>
      <c r="E87">
        <v>49</v>
      </c>
      <c r="G87">
        <f>F87/D87</f>
        <v>0</v>
      </c>
      <c r="H87" s="4">
        <f>(360/E87)</f>
        <v>7.346938775510204</v>
      </c>
    </row>
    <row r="88" ht="15.75" customHeight="1">
      <c r="A88">
        <v>9014977190</v>
      </c>
      <c r="B88" t="str">
        <v>SYPHILIS ELECSYS COBAS E 100 V2</v>
      </c>
      <c r="C88" t="str">
        <v>Anticuerpos Treponema Pallidum</v>
      </c>
      <c r="D88">
        <v>100</v>
      </c>
      <c r="E88">
        <v>28</v>
      </c>
      <c r="G88">
        <f>F88/D88</f>
        <v>0</v>
      </c>
      <c r="H88" s="4">
        <f>(360/E88)</f>
        <v>12.857142857142858</v>
      </c>
    </row>
    <row r="89" ht="15.75" customHeight="1">
      <c r="A89">
        <v>9007725190</v>
      </c>
      <c r="B89" t="str">
        <v>T3 ELECSYS COBAS E 200 V2</v>
      </c>
      <c r="C89" t="str">
        <v>Triyodotironina</v>
      </c>
      <c r="D89">
        <v>200</v>
      </c>
      <c r="E89">
        <v>56</v>
      </c>
      <c r="G89">
        <f>F89/D89</f>
        <v>0</v>
      </c>
      <c r="H89" s="4">
        <f>(360/E89)</f>
        <v>6.428571428571429</v>
      </c>
    </row>
    <row r="90" ht="15.75" customHeight="1">
      <c r="A90">
        <v>9007741190</v>
      </c>
      <c r="B90" t="str">
        <v>T4 ELECSYS COBAS E 200 V3</v>
      </c>
      <c r="C90" t="str">
        <v xml:space="preserve"> Tiroxina</v>
      </c>
      <c r="D90">
        <v>200</v>
      </c>
      <c r="E90">
        <v>56</v>
      </c>
      <c r="G90">
        <f>F90/D90</f>
        <v>0</v>
      </c>
      <c r="H90" s="4">
        <f>(360/E90)</f>
        <v>6.428571428571429</v>
      </c>
    </row>
    <row r="91" ht="15.75" customHeight="1">
      <c r="A91">
        <v>8946353190</v>
      </c>
      <c r="B91" t="str">
        <v>Testosterone</v>
      </c>
      <c r="C91" t="str">
        <v>Testosterona</v>
      </c>
      <c r="D91">
        <v>100</v>
      </c>
      <c r="E91">
        <v>56</v>
      </c>
      <c r="G91">
        <f>F91/D91</f>
        <v>0</v>
      </c>
      <c r="H91" s="4">
        <f>(360/E91)</f>
        <v>6.428571428571429</v>
      </c>
    </row>
    <row r="92" ht="15.75" customHeight="1">
      <c r="A92">
        <v>8906556190</v>
      </c>
      <c r="B92" t="str">
        <v>TG G2 ELECSYS COBAS E 100 V2</v>
      </c>
      <c r="C92" t="str">
        <v>Tiroglobulina</v>
      </c>
      <c r="D92">
        <v>100</v>
      </c>
      <c r="E92">
        <v>28</v>
      </c>
      <c r="G92">
        <f>F92/D92</f>
        <v>0</v>
      </c>
      <c r="H92" s="4">
        <f>(360/E92)</f>
        <v>12.857142857142858</v>
      </c>
    </row>
    <row r="93" ht="15.75" customHeight="1">
      <c r="A93">
        <v>8791686190</v>
      </c>
      <c r="B93" t="str">
        <v>TOTAL PSA ELECSYS COBAS E 100 V3</v>
      </c>
      <c r="C93" t="str">
        <v>Antigeno Prostatico Especifico Total</v>
      </c>
      <c r="D93">
        <v>100</v>
      </c>
      <c r="E93">
        <v>56</v>
      </c>
      <c r="G93">
        <f>F93/D93</f>
        <v>0</v>
      </c>
      <c r="H93" s="4">
        <f>(360/E93)</f>
        <v>6.428571428571429</v>
      </c>
    </row>
    <row r="94" ht="15.75" customHeight="1">
      <c r="A94">
        <v>5802571190</v>
      </c>
      <c r="B94" t="str">
        <v xml:space="preserve">TOXO IGG AVIDITY ELECSYS COBAS E 100 </v>
      </c>
      <c r="C94" t="str">
        <v>Toxoplasma Inmunoglobinas G Avidity</v>
      </c>
      <c r="D94">
        <v>100</v>
      </c>
      <c r="E94">
        <v>84</v>
      </c>
      <c r="G94">
        <f>F94/D94</f>
        <v>0</v>
      </c>
      <c r="H94" s="4">
        <f>(360/E94)</f>
        <v>4.285714285714286</v>
      </c>
    </row>
    <row r="95" ht="15.75" customHeight="1">
      <c r="A95">
        <v>4618815190</v>
      </c>
      <c r="B95" t="str">
        <v>TOXO IGG ELECSYS COBAS E 100</v>
      </c>
      <c r="C95" t="str">
        <v>Toxoplasma Inmunoglobinas G</v>
      </c>
      <c r="D95">
        <v>100</v>
      </c>
      <c r="E95">
        <v>84</v>
      </c>
      <c r="G95">
        <f>F95/D95</f>
        <v>0</v>
      </c>
      <c r="H95" s="4">
        <f>(360/E95)</f>
        <v>4.285714285714286</v>
      </c>
    </row>
    <row r="96" ht="15.75" customHeight="1">
      <c r="A96">
        <v>4618858190</v>
      </c>
      <c r="B96" t="str">
        <v>TOXO IGM ELECSYS COBAS E 100</v>
      </c>
      <c r="C96" t="str">
        <v>Toxoplasma Inmunoglobinas M</v>
      </c>
      <c r="D96">
        <v>100</v>
      </c>
      <c r="E96">
        <v>84</v>
      </c>
      <c r="G96">
        <f>F96/D96</f>
        <v>0</v>
      </c>
      <c r="H96" s="4">
        <f>(360/E96)</f>
        <v>4.285714285714286</v>
      </c>
    </row>
    <row r="97" ht="15.75" customHeight="1">
      <c r="A97">
        <v>5094798190</v>
      </c>
      <c r="B97" t="str">
        <v>TROPONIN I STAT ELECSYS COBAS E 100</v>
      </c>
      <c r="C97" t="str">
        <v xml:space="preserve">Troponina I Cardiaca </v>
      </c>
      <c r="D97">
        <v>100</v>
      </c>
      <c r="E97">
        <v>14</v>
      </c>
      <c r="G97">
        <f>F97/D97</f>
        <v>0</v>
      </c>
      <c r="H97" s="4">
        <f>(360/E97)</f>
        <v>25.714285714285715</v>
      </c>
    </row>
    <row r="98" ht="15.75" customHeight="1">
      <c r="A98">
        <v>9315322190</v>
      </c>
      <c r="B98" t="str">
        <v>TROPONIN T HS ELECSYS COBAS E 200 V2.1</v>
      </c>
      <c r="C98" t="str">
        <v>Troponina T Cardiaca High Sensitive</v>
      </c>
      <c r="D98">
        <v>200</v>
      </c>
      <c r="E98">
        <v>28</v>
      </c>
      <c r="G98">
        <f>F98/D98</f>
        <v>0</v>
      </c>
      <c r="H98" s="4">
        <f>(360/E98)</f>
        <v>12.857142857142858</v>
      </c>
    </row>
    <row r="99" ht="15.75" customHeight="1">
      <c r="A99">
        <v>9315349190</v>
      </c>
      <c r="B99" t="str">
        <v>TROPONIN T HS STAT ELECSYS COBAS E100 V2</v>
      </c>
      <c r="C99" t="str">
        <v>Troponina T Cardiaca High Sensitive STAT</v>
      </c>
      <c r="D99">
        <v>100</v>
      </c>
      <c r="E99">
        <v>28</v>
      </c>
      <c r="G99">
        <f>F99/D99</f>
        <v>0</v>
      </c>
      <c r="H99" s="4">
        <f>(360/E99)</f>
        <v>12.857142857142858</v>
      </c>
    </row>
    <row r="100" ht="15.75" customHeight="1">
      <c r="A100">
        <v>8429324190</v>
      </c>
      <c r="B100" t="str">
        <v>TSH ELECSYS COBAS E 200 V2</v>
      </c>
      <c r="C100" t="str">
        <v>Hormona Estimulante de Tiroides</v>
      </c>
      <c r="D100">
        <v>200</v>
      </c>
      <c r="E100">
        <v>56</v>
      </c>
      <c r="G100">
        <f>F100/D100</f>
        <v>0</v>
      </c>
      <c r="H100" s="4">
        <f>(360/E100)</f>
        <v>6.428571428571429</v>
      </c>
    </row>
    <row r="101" ht="15.75" customHeight="1">
      <c r="A101">
        <v>7212771190</v>
      </c>
      <c r="B101" t="str">
        <v>VITAMIN B12 G2 ELECSYS COBAS E 100</v>
      </c>
      <c r="C101" t="str">
        <v>Vitamina B12</v>
      </c>
      <c r="D101">
        <v>100</v>
      </c>
      <c r="E101">
        <v>60</v>
      </c>
      <c r="G101">
        <f>F101/D101</f>
        <v>0</v>
      </c>
      <c r="H101" s="4">
        <f>(360/E101)</f>
        <v>6</v>
      </c>
    </row>
    <row r="102" ht="15.75" customHeight="1">
      <c r="A102">
        <v>9038078190</v>
      </c>
      <c r="B102" t="str">
        <v>VITAMIN D TOTAL G3 ELECSYS COBAS E 100</v>
      </c>
      <c r="C102" t="str">
        <v>Vitamina D</v>
      </c>
      <c r="D102">
        <v>100</v>
      </c>
      <c r="E102">
        <v>28</v>
      </c>
      <c r="G102">
        <f>F102/D102</f>
        <v>0</v>
      </c>
      <c r="H102" s="4">
        <f>(360/E102)</f>
        <v>12.857142857142858</v>
      </c>
    </row>
    <row r="103" ht="15.75" customHeight="1">
      <c r="A103" t="str">
        <v>TOTAL DET</v>
      </c>
      <c r="F103">
        <f>SUM(F9:F102)</f>
        <v>0</v>
      </c>
    </row>
    <row r="104" ht="15.75" customHeight="1">
      <c r="A104" t="str">
        <v>CALIBRADORES</v>
      </c>
      <c r="D104" t="str">
        <v>PRESENTACION</v>
      </c>
      <c r="E104" t="str">
        <v>DIAS ESTABILDAD</v>
      </c>
      <c r="G104" t="str">
        <v>PRODUCTO CALCULADO</v>
      </c>
      <c r="H104" s="4" t="str">
        <v>MINIMOS POR ESTABILIDAD</v>
      </c>
      <c r="I104" t="str">
        <v>PRODUCTO A ENTREGAR</v>
      </c>
    </row>
    <row r="105" ht="15.75" customHeight="1">
      <c r="A105">
        <v>8959820190</v>
      </c>
      <c r="B105" t="str">
        <v>ACTH CS ELECSYS V2</v>
      </c>
      <c r="C105" t="str">
        <v>-</v>
      </c>
      <c r="D105">
        <v>2</v>
      </c>
      <c r="E105">
        <v>28</v>
      </c>
      <c r="H105" s="4">
        <f>(360/E105)/D105</f>
        <v>6.428571428571429</v>
      </c>
    </row>
    <row r="106" ht="15.75" customHeight="1">
      <c r="A106">
        <v>9227261190</v>
      </c>
      <c r="B106" t="str">
        <v>AFP G2 CS ELECSYS V3</v>
      </c>
      <c r="C106" t="str">
        <v>-</v>
      </c>
      <c r="D106">
        <v>2</v>
      </c>
      <c r="E106">
        <v>84</v>
      </c>
      <c r="H106" s="4">
        <f>(360/E106)/D106</f>
        <v>2.142857142857143</v>
      </c>
    </row>
    <row r="107" ht="15.75" customHeight="1">
      <c r="A107">
        <v>7957203190</v>
      </c>
      <c r="B107" t="str">
        <v>AMH PLUS CS ELECSYS</v>
      </c>
      <c r="C107" t="str">
        <v>-</v>
      </c>
      <c r="D107">
        <v>2</v>
      </c>
      <c r="E107">
        <v>28</v>
      </c>
      <c r="H107" s="4">
        <f>(360/E107)/D107</f>
        <v>6.428571428571429</v>
      </c>
    </row>
    <row r="108" ht="15.75" customHeight="1">
      <c r="A108">
        <v>9289291190</v>
      </c>
      <c r="B108" t="str">
        <v>Anti SARS-COV-2-S CS</v>
      </c>
      <c r="C108" t="str">
        <v>-</v>
      </c>
      <c r="D108">
        <v>2</v>
      </c>
      <c r="E108">
        <v>42</v>
      </c>
      <c r="H108" s="4">
        <f>(360/E108)/D108</f>
        <v>4.285714285714286</v>
      </c>
    </row>
    <row r="109" ht="15.75" customHeight="1">
      <c r="A109">
        <v>9005030190</v>
      </c>
      <c r="B109" t="str">
        <v>ANTI-TG CS ELECSYS</v>
      </c>
      <c r="C109" t="str">
        <v>-</v>
      </c>
      <c r="D109">
        <v>2</v>
      </c>
      <c r="E109">
        <v>42</v>
      </c>
      <c r="H109" s="4">
        <f>(360/E109)/D109</f>
        <v>4.285714285714286</v>
      </c>
    </row>
    <row r="110" ht="15.75" customHeight="1">
      <c r="A110">
        <v>6472931190</v>
      </c>
      <c r="B110" t="str">
        <v>ANTI-TPO CS ELECSYS</v>
      </c>
      <c r="C110" t="str">
        <v>-</v>
      </c>
      <c r="D110">
        <v>2</v>
      </c>
      <c r="E110">
        <v>56</v>
      </c>
      <c r="H110" s="4">
        <f>(360/E110)/D110</f>
        <v>3.2142857142857144</v>
      </c>
    </row>
    <row r="111" ht="15.75" customHeight="1">
      <c r="A111">
        <v>8496641190</v>
      </c>
      <c r="B111" t="str">
        <v>ANTI-TSHR CS</v>
      </c>
      <c r="C111" t="str">
        <v>-</v>
      </c>
      <c r="D111">
        <v>2</v>
      </c>
      <c r="E111">
        <v>84</v>
      </c>
      <c r="H111" s="4">
        <f>(360/E111)/D111</f>
        <v>2.142857142857143</v>
      </c>
    </row>
    <row r="112" ht="15.75" customHeight="1">
      <c r="A112">
        <v>11972316122</v>
      </c>
      <c r="B112" t="str">
        <v>B-CrossLaps CS</v>
      </c>
      <c r="C112" t="str">
        <v>-</v>
      </c>
      <c r="D112">
        <v>2</v>
      </c>
      <c r="E112">
        <v>84</v>
      </c>
      <c r="H112" s="4">
        <f>(360/E112)/D112</f>
        <v>2.142857142857143</v>
      </c>
    </row>
    <row r="113" ht="15.75" customHeight="1">
      <c r="A113">
        <v>7030207190</v>
      </c>
      <c r="B113" t="str">
        <v>CA 125 CS</v>
      </c>
      <c r="C113" t="str">
        <v>-</v>
      </c>
      <c r="D113">
        <v>2</v>
      </c>
      <c r="E113">
        <v>140</v>
      </c>
      <c r="H113" s="4">
        <f>(360/E113)/D113</f>
        <v>1.2857142857142858</v>
      </c>
    </row>
    <row r="114" ht="15.75" customHeight="1">
      <c r="A114">
        <v>3045846122</v>
      </c>
      <c r="B114" t="str">
        <v>CA 15-3 G2 CS ELECSYS</v>
      </c>
      <c r="C114" t="str">
        <v>-</v>
      </c>
      <c r="D114">
        <v>2</v>
      </c>
      <c r="E114">
        <v>84</v>
      </c>
      <c r="H114" s="4">
        <f>(360/E114)/D114</f>
        <v>2.142857142857143</v>
      </c>
    </row>
    <row r="115" ht="15.75" customHeight="1">
      <c r="A115">
        <v>11776215122</v>
      </c>
      <c r="B115" t="str">
        <v>CA 19-9 CS</v>
      </c>
      <c r="C115" t="str">
        <v>-</v>
      </c>
      <c r="D115">
        <v>2</v>
      </c>
      <c r="E115">
        <v>56</v>
      </c>
      <c r="H115" s="4">
        <f>(360/E115)/D115</f>
        <v>3.2142857142857144</v>
      </c>
    </row>
    <row r="116" ht="15.75" customHeight="1">
      <c r="A116">
        <v>9175130190</v>
      </c>
      <c r="B116" t="str">
        <v>CA 72-4 CS ELECSYS V2</v>
      </c>
      <c r="C116" t="str">
        <v>-</v>
      </c>
      <c r="D116">
        <v>2</v>
      </c>
      <c r="E116">
        <v>42</v>
      </c>
      <c r="H116" s="4">
        <f>(360/E116)/D116</f>
        <v>4.285714285714286</v>
      </c>
    </row>
    <row r="117" ht="15.75" customHeight="1">
      <c r="A117">
        <v>11731645322</v>
      </c>
      <c r="B117" t="str">
        <v>CEA CS</v>
      </c>
      <c r="C117" t="str">
        <v>-</v>
      </c>
      <c r="D117">
        <v>2</v>
      </c>
      <c r="E117">
        <v>84</v>
      </c>
      <c r="H117" s="4">
        <f>(360/E117)/D117</f>
        <v>2.142857142857143</v>
      </c>
    </row>
    <row r="118" ht="15.75" customHeight="1">
      <c r="A118" t="str">
        <v xml:space="preserve"> 5957656190</v>
      </c>
      <c r="B118" t="str">
        <v>CK-MB STAT CS</v>
      </c>
      <c r="C118" t="str">
        <v>-</v>
      </c>
      <c r="D118">
        <v>2</v>
      </c>
      <c r="E118">
        <v>84</v>
      </c>
      <c r="H118" s="4">
        <f>(360/E118)/D118</f>
        <v>2.142857142857143</v>
      </c>
    </row>
    <row r="119" ht="15.75" customHeight="1">
      <c r="A119">
        <v>6687750190</v>
      </c>
      <c r="B119" t="str">
        <v>Cortisol CS</v>
      </c>
      <c r="C119" t="str">
        <v>-</v>
      </c>
      <c r="D119">
        <v>2</v>
      </c>
      <c r="E119">
        <v>84</v>
      </c>
      <c r="H119" s="4">
        <f>(360/E119)/D119</f>
        <v>2.142857142857143</v>
      </c>
    </row>
    <row r="120" ht="15.75" customHeight="1">
      <c r="A120">
        <v>3184919190</v>
      </c>
      <c r="B120" t="str">
        <v>C-PEPTIDE CS ELECSYS</v>
      </c>
      <c r="C120" t="str">
        <v>-</v>
      </c>
      <c r="D120">
        <v>2</v>
      </c>
      <c r="E120">
        <v>28</v>
      </c>
      <c r="H120" s="4">
        <f>(360/E120)/D120</f>
        <v>6.428571428571429</v>
      </c>
    </row>
    <row r="121" ht="15.75" customHeight="1">
      <c r="A121">
        <v>11820974322</v>
      </c>
      <c r="B121" t="str">
        <v>CYFRA 21-1 CS</v>
      </c>
      <c r="C121" t="str">
        <v>-</v>
      </c>
      <c r="D121">
        <v>2</v>
      </c>
      <c r="E121">
        <v>56</v>
      </c>
      <c r="H121" s="4">
        <f>(360/E121)/D121</f>
        <v>3.2142857142857144</v>
      </c>
    </row>
    <row r="122" ht="15.75" customHeight="1">
      <c r="A122">
        <v>3000095122</v>
      </c>
      <c r="B122" t="str">
        <v>DHEA-S CS ELECSYS</v>
      </c>
      <c r="C122" t="str">
        <v>-</v>
      </c>
      <c r="D122">
        <v>2</v>
      </c>
      <c r="E122">
        <v>84</v>
      </c>
      <c r="H122" s="4">
        <f>(360/E122)/D122</f>
        <v>2.142857142857143</v>
      </c>
    </row>
    <row r="123" ht="15.75" customHeight="1">
      <c r="A123">
        <v>11820907322</v>
      </c>
      <c r="B123" t="str">
        <v>DIGOXIN CS</v>
      </c>
      <c r="C123" t="str">
        <v>-</v>
      </c>
      <c r="D123">
        <v>2</v>
      </c>
      <c r="E123">
        <v>56</v>
      </c>
      <c r="H123" s="4">
        <f>(360/E123)/D123</f>
        <v>3.2142857142857144</v>
      </c>
    </row>
    <row r="124" ht="15.75" customHeight="1">
      <c r="A124">
        <v>6656048190</v>
      </c>
      <c r="B124" t="str">
        <v>ESTRADIOL G3 CS ELECYSS</v>
      </c>
      <c r="C124" t="str">
        <v>-</v>
      </c>
      <c r="D124">
        <v>2</v>
      </c>
      <c r="E124">
        <v>31</v>
      </c>
      <c r="H124" s="4">
        <f>(360/E124)/D124</f>
        <v>5.806451612903226</v>
      </c>
    </row>
    <row r="125" ht="15.75" customHeight="1">
      <c r="A125">
        <v>3737586190</v>
      </c>
      <c r="B125" t="str">
        <v>Ferritina CS</v>
      </c>
      <c r="C125" t="str">
        <v>-</v>
      </c>
      <c r="D125">
        <v>2</v>
      </c>
      <c r="E125">
        <v>84</v>
      </c>
      <c r="H125" s="4">
        <f>(360/E125)/D125</f>
        <v>2.142857142857143</v>
      </c>
    </row>
    <row r="126" ht="15.75" customHeight="1">
      <c r="A126">
        <v>7560001190</v>
      </c>
      <c r="B126" t="str">
        <v>Folate G3 CS</v>
      </c>
      <c r="C126" t="str">
        <v>-</v>
      </c>
      <c r="D126">
        <v>2</v>
      </c>
      <c r="E126">
        <v>84</v>
      </c>
      <c r="H126" s="4">
        <f>(360/E126)/D126</f>
        <v>2.142857142857143</v>
      </c>
    </row>
    <row r="127" ht="15.75" customHeight="1">
      <c r="A127">
        <v>4854080200</v>
      </c>
      <c r="B127" t="str">
        <v>FREE B HCG CS</v>
      </c>
      <c r="C127" t="str">
        <v>-</v>
      </c>
      <c r="D127">
        <v>2</v>
      </c>
      <c r="E127">
        <v>84</v>
      </c>
      <c r="H127" s="4">
        <f>(360/E127)/D127</f>
        <v>2.142857142857143</v>
      </c>
    </row>
    <row r="128" ht="15.75" customHeight="1">
      <c r="A128">
        <v>8851964190</v>
      </c>
      <c r="B128" t="str">
        <v>Free PSA Calset</v>
      </c>
      <c r="C128" t="str">
        <v>-</v>
      </c>
      <c r="D128">
        <v>2</v>
      </c>
      <c r="E128">
        <v>84</v>
      </c>
      <c r="H128" s="4">
        <f>(360/E128)/D128</f>
        <v>2.142857142857143</v>
      </c>
    </row>
    <row r="129" ht="15.75" customHeight="1">
      <c r="A129">
        <v>9557440190</v>
      </c>
      <c r="B129" t="str">
        <v>FSH CS Elecsys V3.1</v>
      </c>
      <c r="C129" t="str">
        <v>-</v>
      </c>
      <c r="D129">
        <v>2</v>
      </c>
      <c r="E129">
        <v>84</v>
      </c>
      <c r="H129" s="4">
        <f>(360/E129)/D129</f>
        <v>2.142857142857143</v>
      </c>
    </row>
    <row r="130" ht="15.75" customHeight="1">
      <c r="A130">
        <v>9077871190</v>
      </c>
      <c r="B130" t="str">
        <v>FT3 Calset</v>
      </c>
      <c r="C130" t="str">
        <v>-</v>
      </c>
      <c r="D130">
        <v>2</v>
      </c>
      <c r="E130">
        <v>56</v>
      </c>
      <c r="H130" s="4">
        <f>(360/E130)/D130</f>
        <v>3.2142857142857144</v>
      </c>
    </row>
    <row r="131" ht="15.75" customHeight="1">
      <c r="A131">
        <v>9043292190</v>
      </c>
      <c r="B131" t="str">
        <v>FT4 Calset</v>
      </c>
      <c r="C131" t="str">
        <v>-</v>
      </c>
      <c r="D131">
        <v>2</v>
      </c>
      <c r="E131">
        <v>84</v>
      </c>
      <c r="H131" s="4">
        <f>(360/E131)/D131</f>
        <v>2.142857142857143</v>
      </c>
    </row>
    <row r="132" ht="15.75" customHeight="1">
      <c r="A132" t="str">
        <v xml:space="preserve"> 7125941190</v>
      </c>
      <c r="B132" t="str">
        <v>GDF-15 CS</v>
      </c>
      <c r="C132" t="str">
        <v>-</v>
      </c>
      <c r="D132">
        <v>2</v>
      </c>
      <c r="E132">
        <v>56</v>
      </c>
      <c r="H132" s="4">
        <f>(360/E132)/D132</f>
        <v>3.2142857142857144</v>
      </c>
    </row>
    <row r="133" ht="15.75" customHeight="1">
      <c r="A133">
        <v>9013296190</v>
      </c>
      <c r="B133" t="str">
        <v>HCG STAT CS</v>
      </c>
      <c r="C133" t="str">
        <v>-</v>
      </c>
      <c r="D133">
        <v>2</v>
      </c>
      <c r="E133">
        <v>84</v>
      </c>
      <c r="H133" s="4">
        <f>(360/E133)/D133</f>
        <v>2.142857142857143</v>
      </c>
    </row>
    <row r="134" ht="15.75" customHeight="1">
      <c r="A134">
        <v>3302652190</v>
      </c>
      <c r="B134" t="str">
        <v>HCG+B CalSet</v>
      </c>
      <c r="C134" t="str">
        <v>-</v>
      </c>
      <c r="D134">
        <v>2</v>
      </c>
      <c r="E134">
        <v>84</v>
      </c>
      <c r="H134" s="4">
        <f>(360/E134)/D134</f>
        <v>2.142857142857143</v>
      </c>
    </row>
    <row r="135" ht="15.75" customHeight="1">
      <c r="A135" t="str">
        <v xml:space="preserve"> 5950945190</v>
      </c>
      <c r="B135" t="str">
        <v>HE4 CS</v>
      </c>
      <c r="C135" t="str">
        <v>-</v>
      </c>
      <c r="D135">
        <v>2</v>
      </c>
      <c r="E135">
        <v>56</v>
      </c>
      <c r="H135" s="4">
        <f>(360/E135)/D135</f>
        <v>3.2142857142857144</v>
      </c>
    </row>
    <row r="136" ht="15.75" customHeight="1">
      <c r="A136" t="str">
        <v xml:space="preserve"> 5390133190</v>
      </c>
      <c r="B136" t="str">
        <v>HGH CS</v>
      </c>
      <c r="C136" t="str">
        <v>-</v>
      </c>
      <c r="D136">
        <v>2</v>
      </c>
      <c r="E136">
        <v>28</v>
      </c>
      <c r="H136" s="4">
        <f>(360/E136)/D136</f>
        <v>6.428571428571429</v>
      </c>
    </row>
    <row r="137" ht="15.75" customHeight="1">
      <c r="A137">
        <v>11930427122</v>
      </c>
      <c r="B137" t="str">
        <v>IgE CS</v>
      </c>
      <c r="C137" t="str">
        <v>-</v>
      </c>
      <c r="D137">
        <v>2</v>
      </c>
      <c r="E137">
        <v>84</v>
      </c>
      <c r="H137" s="4">
        <f>(360/E137)/D137</f>
        <v>2.142857142857143</v>
      </c>
    </row>
    <row r="138" ht="15.75" customHeight="1">
      <c r="A138">
        <v>7475969190</v>
      </c>
      <c r="B138" t="str">
        <v>IGF-1 CS</v>
      </c>
      <c r="C138" t="str">
        <v>-</v>
      </c>
      <c r="D138">
        <v>2</v>
      </c>
      <c r="E138">
        <v>31</v>
      </c>
      <c r="H138" s="4">
        <f>(360/E138)/D138</f>
        <v>5.806451612903226</v>
      </c>
    </row>
    <row r="139" ht="15.75" customHeight="1">
      <c r="A139">
        <v>7574762190</v>
      </c>
      <c r="B139" t="str">
        <v>IGFBP-3 CS</v>
      </c>
      <c r="C139" t="str">
        <v>-</v>
      </c>
      <c r="D139">
        <v>2</v>
      </c>
      <c r="E139">
        <v>84</v>
      </c>
      <c r="H139" s="4">
        <f>(360/E139)/D139</f>
        <v>2.142857142857143</v>
      </c>
    </row>
    <row r="140" ht="15.75" customHeight="1">
      <c r="A140">
        <v>5109469190</v>
      </c>
      <c r="B140" t="str">
        <v>IL 6 CS ELECSYS</v>
      </c>
      <c r="C140" t="str">
        <v>-</v>
      </c>
      <c r="D140">
        <v>2</v>
      </c>
      <c r="E140">
        <v>84</v>
      </c>
      <c r="H140" s="4">
        <f>(360/E140)/D140</f>
        <v>2.142857142857143</v>
      </c>
    </row>
    <row r="141" ht="15.75" customHeight="1">
      <c r="A141">
        <v>12017504122</v>
      </c>
      <c r="B141" t="str">
        <v>Insulina CS</v>
      </c>
      <c r="C141" t="str">
        <v>-</v>
      </c>
      <c r="D141">
        <v>2</v>
      </c>
      <c r="E141">
        <v>84</v>
      </c>
      <c r="H141" s="4">
        <f>(360/E141)/D141</f>
        <v>2.142857142857143</v>
      </c>
    </row>
    <row r="142" ht="15.75" customHeight="1">
      <c r="A142">
        <v>9557423190</v>
      </c>
      <c r="B142" t="str">
        <v>LH Calset</v>
      </c>
      <c r="C142" t="str">
        <v>-</v>
      </c>
      <c r="D142">
        <v>2</v>
      </c>
      <c r="E142">
        <v>84</v>
      </c>
      <c r="H142" s="4">
        <f>(360/E142)/D142</f>
        <v>2.142857142857143</v>
      </c>
    </row>
    <row r="143" ht="15.75" customHeight="1">
      <c r="A143">
        <v>11820893122</v>
      </c>
      <c r="B143" t="str">
        <v>MYOGLOBIN STAT CS</v>
      </c>
      <c r="C143" t="str">
        <v>-</v>
      </c>
      <c r="D143">
        <v>2</v>
      </c>
      <c r="E143">
        <v>84</v>
      </c>
      <c r="H143" s="4">
        <f>(360/E143)/D143</f>
        <v>2.142857142857143</v>
      </c>
    </row>
    <row r="144" ht="15.75" customHeight="1">
      <c r="A144">
        <v>11972111122</v>
      </c>
      <c r="B144" t="str">
        <v>N-MID OSTEOCALCIN CS</v>
      </c>
      <c r="C144" t="str">
        <v>-</v>
      </c>
      <c r="D144">
        <v>2</v>
      </c>
      <c r="E144">
        <v>84</v>
      </c>
      <c r="H144" s="4">
        <f>(360/E144)/D144</f>
        <v>2.142857142857143</v>
      </c>
    </row>
    <row r="145" ht="15.75" customHeight="1">
      <c r="A145">
        <v>12133121122</v>
      </c>
      <c r="B145" t="str">
        <v>NSE CS</v>
      </c>
      <c r="C145" t="str">
        <v>-</v>
      </c>
      <c r="D145">
        <v>2</v>
      </c>
      <c r="E145">
        <v>42</v>
      </c>
      <c r="H145" s="4">
        <f>(360/E145)/D145</f>
        <v>4.285714285714286</v>
      </c>
    </row>
    <row r="146" ht="15.75" customHeight="1">
      <c r="A146">
        <v>4854101200</v>
      </c>
      <c r="B146" t="str">
        <v>PAPP-A CS</v>
      </c>
      <c r="C146" t="str">
        <v>-</v>
      </c>
      <c r="D146">
        <v>2</v>
      </c>
      <c r="E146">
        <v>84</v>
      </c>
      <c r="H146" s="4">
        <f>(360/E146)/D146</f>
        <v>2.142857142857143</v>
      </c>
    </row>
    <row r="147" ht="15.75" customHeight="1">
      <c r="A147">
        <v>5144701190</v>
      </c>
      <c r="B147" t="str">
        <v>PIGF CS</v>
      </c>
      <c r="C147" t="str">
        <v>-</v>
      </c>
      <c r="D147">
        <v>2</v>
      </c>
      <c r="E147">
        <v>28</v>
      </c>
      <c r="H147" s="4">
        <f>(360/E147)/D147</f>
        <v>6.428571428571429</v>
      </c>
    </row>
    <row r="148" ht="15.75" customHeight="1">
      <c r="A148">
        <v>9315292190</v>
      </c>
      <c r="B148" t="str">
        <v>proBNP CS</v>
      </c>
      <c r="C148" t="str">
        <v>-</v>
      </c>
      <c r="D148">
        <v>2</v>
      </c>
      <c r="E148">
        <v>84</v>
      </c>
      <c r="H148" s="4">
        <f>(360/E148)/D148</f>
        <v>2.142857142857143</v>
      </c>
    </row>
    <row r="149" ht="15.75" customHeight="1">
      <c r="A149">
        <v>9315276190</v>
      </c>
      <c r="B149" t="str">
        <v>proBNP STAT CS</v>
      </c>
      <c r="C149" t="str">
        <v>-</v>
      </c>
      <c r="D149">
        <v>2</v>
      </c>
      <c r="H149" s="4" t="e">
        <f>(360/E149)/D149</f>
        <v>#DIV/0!</v>
      </c>
    </row>
    <row r="150" ht="15.75" customHeight="1">
      <c r="A150">
        <v>7092547190</v>
      </c>
      <c r="B150" t="str">
        <v>Progesterona Calset</v>
      </c>
      <c r="C150" t="str">
        <v>-</v>
      </c>
      <c r="D150">
        <v>2</v>
      </c>
      <c r="E150">
        <v>31</v>
      </c>
      <c r="H150" s="4">
        <f>(360/E150)/D150</f>
        <v>5.806451612903226</v>
      </c>
    </row>
    <row r="151" ht="15.75" customHeight="1">
      <c r="A151">
        <v>6505970190</v>
      </c>
      <c r="B151" t="str">
        <v>ProGRP CS</v>
      </c>
      <c r="C151" t="str">
        <v>-</v>
      </c>
      <c r="D151">
        <v>2</v>
      </c>
      <c r="E151">
        <v>56</v>
      </c>
      <c r="H151" s="4">
        <f>(360/E151)/D151</f>
        <v>3.2142857142857144</v>
      </c>
    </row>
    <row r="152" ht="15.75" customHeight="1">
      <c r="A152">
        <v>3277356190</v>
      </c>
      <c r="B152" t="str">
        <v>Prolactin CalSet</v>
      </c>
      <c r="C152" t="str">
        <v>-</v>
      </c>
      <c r="D152">
        <v>2</v>
      </c>
      <c r="E152">
        <v>84</v>
      </c>
      <c r="H152" s="4">
        <f>(360/E152)/D152</f>
        <v>2.142857142857143</v>
      </c>
    </row>
    <row r="153" ht="15.75" customHeight="1">
      <c r="A153">
        <v>5608554190</v>
      </c>
      <c r="B153" t="str">
        <v>PTH (1-84) CS</v>
      </c>
      <c r="C153" t="str">
        <v>-</v>
      </c>
      <c r="D153">
        <v>2</v>
      </c>
      <c r="E153">
        <v>90</v>
      </c>
      <c r="H153" s="4">
        <f>(360/E153)/D153</f>
        <v>2</v>
      </c>
    </row>
    <row r="154" ht="15.75" customHeight="1">
      <c r="A154">
        <v>8928452190</v>
      </c>
      <c r="B154" t="str">
        <v>PTH CS ELECSYS V2</v>
      </c>
      <c r="C154" t="str">
        <v>-</v>
      </c>
      <c r="D154">
        <v>2</v>
      </c>
      <c r="E154">
        <v>84</v>
      </c>
      <c r="H154" s="4">
        <f>(360/E154)/D154</f>
        <v>2.142857142857143</v>
      </c>
    </row>
    <row r="155" ht="15.75" customHeight="1">
      <c r="A155">
        <v>7126999190</v>
      </c>
      <c r="B155" t="str">
        <v>SCC CS</v>
      </c>
      <c r="C155" t="str">
        <v>-</v>
      </c>
      <c r="D155">
        <v>2</v>
      </c>
      <c r="E155">
        <v>28</v>
      </c>
      <c r="H155" s="4">
        <f>(360/E155)/D155</f>
        <v>6.428571428571429</v>
      </c>
    </row>
    <row r="156" ht="15.75" customHeight="1">
      <c r="A156" t="str">
        <v xml:space="preserve"> 5109531190</v>
      </c>
      <c r="B156" t="str">
        <v>sFLT-1 CS</v>
      </c>
      <c r="C156" t="str">
        <v>-</v>
      </c>
      <c r="D156">
        <v>2</v>
      </c>
      <c r="E156">
        <v>28</v>
      </c>
      <c r="H156" s="4">
        <f>(360/E156)/D156</f>
        <v>6.428571428571429</v>
      </c>
    </row>
    <row r="157" ht="15.75" customHeight="1">
      <c r="A157">
        <v>3052028190</v>
      </c>
      <c r="B157" t="str">
        <v>SHBG CS</v>
      </c>
      <c r="C157" t="str">
        <v>-</v>
      </c>
      <c r="D157">
        <v>2</v>
      </c>
      <c r="E157">
        <v>56</v>
      </c>
      <c r="H157" s="4">
        <f>(360/E157)/D157</f>
        <v>3.2142857142857144</v>
      </c>
    </row>
    <row r="158" ht="15.75" customHeight="1">
      <c r="A158">
        <v>11731548122</v>
      </c>
      <c r="B158" t="str">
        <v>T3 Calset</v>
      </c>
      <c r="C158" t="str">
        <v>-</v>
      </c>
      <c r="D158">
        <v>2</v>
      </c>
      <c r="E158">
        <v>56</v>
      </c>
      <c r="H158" s="4">
        <f>(360/E158)/D158</f>
        <v>3.2142857142857144</v>
      </c>
    </row>
    <row r="159" ht="15.75" customHeight="1">
      <c r="A159">
        <v>12017717122</v>
      </c>
      <c r="B159" t="str">
        <v>T4 Calset</v>
      </c>
      <c r="C159" t="str">
        <v>-</v>
      </c>
      <c r="D159">
        <v>2</v>
      </c>
      <c r="E159">
        <v>84</v>
      </c>
      <c r="H159" s="4">
        <f>(360/E159)/D159</f>
        <v>2.142857142857143</v>
      </c>
    </row>
    <row r="160" ht="15.75" customHeight="1">
      <c r="A160">
        <v>5202230190</v>
      </c>
      <c r="B160" t="str">
        <v>Testosterone Calset</v>
      </c>
      <c r="C160" t="str">
        <v>-</v>
      </c>
      <c r="D160">
        <v>2</v>
      </c>
      <c r="E160">
        <v>84</v>
      </c>
      <c r="H160" s="4">
        <f>(360/E160)/D160</f>
        <v>2.142857142857143</v>
      </c>
    </row>
    <row r="161" ht="15.75" customHeight="1">
      <c r="A161">
        <v>8991405190</v>
      </c>
      <c r="B161" t="str">
        <v>TG G2 CS ELECSYS V2</v>
      </c>
      <c r="C161" t="str">
        <v>-</v>
      </c>
      <c r="D161">
        <v>2</v>
      </c>
      <c r="E161">
        <v>93</v>
      </c>
      <c r="H161" s="4">
        <f>(360/E161)/D161</f>
        <v>1.935483870967742</v>
      </c>
    </row>
    <row r="162" ht="15.75" customHeight="1">
      <c r="A162">
        <v>8838534190</v>
      </c>
      <c r="B162" t="str">
        <v>Total PSA CalSet</v>
      </c>
      <c r="C162" t="str">
        <v>-</v>
      </c>
      <c r="D162">
        <v>2</v>
      </c>
      <c r="E162">
        <v>84</v>
      </c>
      <c r="H162" s="4">
        <f>(360/E162)/D162</f>
        <v>2.142857142857143</v>
      </c>
    </row>
    <row r="163" ht="15.75" customHeight="1">
      <c r="A163" t="str">
        <v xml:space="preserve"> 5094801190</v>
      </c>
      <c r="B163" t="str">
        <v>TROPONIN I STAT CS</v>
      </c>
      <c r="C163" t="str">
        <v>-</v>
      </c>
      <c r="D163">
        <v>2</v>
      </c>
      <c r="E163">
        <v>84</v>
      </c>
      <c r="H163" s="4">
        <f>(360/E163)/D163</f>
        <v>2.142857142857143</v>
      </c>
    </row>
    <row r="164" ht="15.75" customHeight="1">
      <c r="A164">
        <v>9315365190</v>
      </c>
      <c r="B164" t="str">
        <v>TROPONIN T HS CS ELECSYS V1.1</v>
      </c>
      <c r="C164" t="str">
        <v>-</v>
      </c>
      <c r="D164">
        <v>2</v>
      </c>
      <c r="E164">
        <v>84</v>
      </c>
      <c r="H164" s="4">
        <f>(360/E164)/D164</f>
        <v>2.142857142857143</v>
      </c>
    </row>
    <row r="165" ht="15.75" customHeight="1">
      <c r="A165">
        <v>9315381190</v>
      </c>
      <c r="B165" t="str">
        <v>TROPONIN T HS STAT CS ELECSYS V1.1</v>
      </c>
      <c r="C165" t="str">
        <v>-</v>
      </c>
      <c r="D165">
        <v>2</v>
      </c>
      <c r="E165">
        <v>84</v>
      </c>
      <c r="H165" s="4">
        <f>(360/E165)/D165</f>
        <v>2.142857142857143</v>
      </c>
    </row>
    <row r="166" ht="15.75" customHeight="1">
      <c r="A166">
        <v>8443459190</v>
      </c>
      <c r="B166" t="str">
        <v>TSH CalSet</v>
      </c>
      <c r="C166" t="str">
        <v>-</v>
      </c>
      <c r="D166">
        <v>2</v>
      </c>
      <c r="E166">
        <v>84</v>
      </c>
      <c r="H166" s="4">
        <f>(360/E166)/D166</f>
        <v>2.142857142857143</v>
      </c>
    </row>
    <row r="167" ht="15.75" customHeight="1">
      <c r="A167">
        <v>7212780190</v>
      </c>
      <c r="B167" t="str">
        <v>VITAMIN B12 G2 CS ELECSYS V2</v>
      </c>
      <c r="C167" t="str">
        <v>-</v>
      </c>
      <c r="D167">
        <v>2</v>
      </c>
      <c r="E167">
        <v>84</v>
      </c>
      <c r="H167" s="4">
        <f>(360/E167)/D167</f>
        <v>2.142857142857143</v>
      </c>
    </row>
    <row r="168" ht="15.75" customHeight="1">
      <c r="A168">
        <v>9038116190</v>
      </c>
      <c r="B168" t="str">
        <v>Vitamina D CS</v>
      </c>
      <c r="C168" t="str">
        <v>-</v>
      </c>
      <c r="D168">
        <v>2</v>
      </c>
      <c r="E168">
        <v>84</v>
      </c>
      <c r="H168" s="4">
        <f>(360/E168)/D168</f>
        <v>2.142857142857143</v>
      </c>
    </row>
    <row r="169" ht="15.75" customHeight="1">
      <c r="A169" t="str">
        <v>CONTROLES</v>
      </c>
      <c r="D169" t="str">
        <v>PRESENTACION</v>
      </c>
      <c r="E169" t="str">
        <v>DIAS ESTABILDAD</v>
      </c>
      <c r="G169" t="str">
        <v>PRODUCTO CALCULADO</v>
      </c>
      <c r="H169" s="4" t="str">
        <v>MINIMOS POR ESTABILIDAD</v>
      </c>
      <c r="I169" t="str">
        <v>PRODUCTO A ENTREGAR</v>
      </c>
    </row>
    <row r="170" ht="15.75" customHeight="1">
      <c r="A170" t="str">
        <v xml:space="preserve"> 9216928190</v>
      </c>
      <c r="B170" t="str">
        <v>ANTI-SARS-COV-2 PC ELECSYS</v>
      </c>
      <c r="C170" t="str">
        <v>-</v>
      </c>
      <c r="D170">
        <v>2</v>
      </c>
      <c r="E170">
        <v>28</v>
      </c>
      <c r="H170" s="4">
        <f>(360/E170)/D170</f>
        <v>6.428571428571429</v>
      </c>
    </row>
    <row r="171" ht="15.75" customHeight="1">
      <c r="A171">
        <v>5942322190</v>
      </c>
      <c r="B171" t="str">
        <v>CMV IgG Avidity PC Elecsys</v>
      </c>
      <c r="C171" t="str">
        <v>-</v>
      </c>
      <c r="D171">
        <v>3</v>
      </c>
      <c r="E171">
        <v>84</v>
      </c>
      <c r="H171" s="4">
        <f>(360/E171)/D171</f>
        <v>1.4285714285714286</v>
      </c>
    </row>
    <row r="172" ht="15.75" customHeight="1">
      <c r="A172">
        <v>8335923190</v>
      </c>
      <c r="B172" t="str">
        <v>HCV Duo PC Elecsys</v>
      </c>
      <c r="C172" t="str">
        <v>-</v>
      </c>
      <c r="D172">
        <v>5</v>
      </c>
      <c r="H172" s="4" t="e">
        <f>(360/E172)/D172</f>
        <v>#DIV/0!</v>
      </c>
    </row>
    <row r="173" ht="15.75" customHeight="1">
      <c r="A173">
        <v>8740062190</v>
      </c>
      <c r="B173" t="str">
        <v>Maternal Care Gen.2 PC Elecsys</v>
      </c>
      <c r="C173" t="str">
        <v>-</v>
      </c>
      <c r="D173">
        <v>3</v>
      </c>
      <c r="E173">
        <v>84</v>
      </c>
      <c r="H173" s="4">
        <f>(360/E173)/D173</f>
        <v>1.4285714285714286</v>
      </c>
    </row>
    <row r="174" ht="15.75" customHeight="1">
      <c r="A174">
        <v>6709966190</v>
      </c>
      <c r="B174" t="str">
        <v>PreciControl AMH</v>
      </c>
      <c r="C174" t="str">
        <v>-</v>
      </c>
      <c r="D174">
        <v>2</v>
      </c>
      <c r="H174" s="4" t="e">
        <f>(360/E174)/D174</f>
        <v>#DIV/0!</v>
      </c>
    </row>
    <row r="175" ht="15.75" customHeight="1">
      <c r="A175">
        <v>7957211190</v>
      </c>
      <c r="B175" t="str">
        <v>PreciControl AMH Plus</v>
      </c>
      <c r="C175" t="str">
        <v>-</v>
      </c>
      <c r="D175">
        <v>2</v>
      </c>
      <c r="E175">
        <v>28</v>
      </c>
      <c r="H175" s="4">
        <f>(360/E175)/D175</f>
        <v>6.428571428571429</v>
      </c>
    </row>
    <row r="176" ht="15.75" customHeight="1">
      <c r="A176">
        <v>5031664190</v>
      </c>
      <c r="B176" t="str">
        <v xml:space="preserve">PreciControl Anti‑CCP  </v>
      </c>
      <c r="C176" t="str">
        <v>-</v>
      </c>
      <c r="D176">
        <v>2</v>
      </c>
      <c r="E176">
        <v>28</v>
      </c>
      <c r="H176" s="4">
        <f>(360/E176)/D176</f>
        <v>6.428571428571429</v>
      </c>
    </row>
    <row r="177" ht="15.75" customHeight="1">
      <c r="A177">
        <v>11876368122</v>
      </c>
      <c r="B177" t="str">
        <v>PreciControl Anti‑HAV IgM</v>
      </c>
      <c r="C177" t="str">
        <v>-</v>
      </c>
      <c r="D177">
        <v>8</v>
      </c>
      <c r="E177">
        <v>56</v>
      </c>
      <c r="H177" s="4">
        <f>(360/E177)/D177</f>
        <v>0.8035714285714286</v>
      </c>
    </row>
    <row r="178" ht="15.75" customHeight="1">
      <c r="A178">
        <v>8086672190</v>
      </c>
      <c r="B178" t="str">
        <v xml:space="preserve">PreciControl Anti‑HAV II  </v>
      </c>
      <c r="C178" t="str">
        <v>-</v>
      </c>
      <c r="D178">
        <v>4</v>
      </c>
      <c r="E178">
        <v>56</v>
      </c>
      <c r="H178" s="4">
        <f>(360/E178)/D178</f>
        <v>1.6071428571428572</v>
      </c>
    </row>
    <row r="179" ht="15.75" customHeight="1">
      <c r="A179">
        <v>11876333122</v>
      </c>
      <c r="B179" t="str">
        <v>PreciControl Anti‑HBc IgM</v>
      </c>
      <c r="C179" t="str">
        <v>-</v>
      </c>
      <c r="D179">
        <v>8</v>
      </c>
      <c r="E179">
        <v>56</v>
      </c>
      <c r="H179" s="4">
        <f>(360/E179)/D179</f>
        <v>0.8035714285714286</v>
      </c>
    </row>
    <row r="180" ht="15.75" customHeight="1">
      <c r="A180">
        <v>4927931190</v>
      </c>
      <c r="B180" t="str">
        <v xml:space="preserve">PreciControl Anti‑HBc II  </v>
      </c>
      <c r="C180" t="str">
        <v>-</v>
      </c>
      <c r="D180">
        <v>8</v>
      </c>
      <c r="E180">
        <v>56</v>
      </c>
      <c r="H180" s="4">
        <f>(360/E180)/D180</f>
        <v>0.8035714285714286</v>
      </c>
    </row>
    <row r="181" ht="15.75" customHeight="1">
      <c r="A181">
        <v>11876384122</v>
      </c>
      <c r="B181" t="str">
        <v>PreciControl Anti‑HBe</v>
      </c>
      <c r="C181" t="str">
        <v>-</v>
      </c>
      <c r="D181">
        <v>8</v>
      </c>
      <c r="E181">
        <v>56</v>
      </c>
      <c r="H181" s="4">
        <f>(360/E181)/D181</f>
        <v>0.8035714285714286</v>
      </c>
    </row>
    <row r="182" ht="15.75" customHeight="1">
      <c r="A182">
        <v>11876317122</v>
      </c>
      <c r="B182" t="str">
        <v>PreciControl Anti‑HBs</v>
      </c>
      <c r="C182" t="str">
        <v>-</v>
      </c>
      <c r="D182">
        <v>8</v>
      </c>
      <c r="E182">
        <v>56</v>
      </c>
      <c r="H182" s="4">
        <f>(360/E182)/D182</f>
        <v>0.8035714285714286</v>
      </c>
    </row>
    <row r="183" ht="15.75" customHeight="1">
      <c r="A183">
        <v>3290379190</v>
      </c>
      <c r="B183" t="str">
        <v>PreciControl Anti‑HCV</v>
      </c>
      <c r="C183" t="str">
        <v>-</v>
      </c>
      <c r="D183">
        <v>8</v>
      </c>
      <c r="E183">
        <v>56</v>
      </c>
      <c r="H183" s="4">
        <f>(360/E183)/D183</f>
        <v>0.8035714285714286</v>
      </c>
    </row>
    <row r="184" ht="15.75" customHeight="1">
      <c r="A184">
        <v>9216928190</v>
      </c>
      <c r="B184" t="str">
        <v>PreciControl Anti‑SARS‑CoV‑2</v>
      </c>
      <c r="C184" t="str">
        <v>-</v>
      </c>
      <c r="D184">
        <v>2</v>
      </c>
      <c r="E184">
        <v>28</v>
      </c>
      <c r="H184" s="4">
        <f>(360/E184)/D184</f>
        <v>6.428571428571429</v>
      </c>
    </row>
    <row r="185" ht="15.75" customHeight="1">
      <c r="A185">
        <v>9289313190</v>
      </c>
      <c r="B185" t="str">
        <v>PreciControl Anti‑SARS‑CoV‑2</v>
      </c>
      <c r="C185" t="str">
        <v>-</v>
      </c>
      <c r="D185">
        <v>2</v>
      </c>
      <c r="E185">
        <v>84</v>
      </c>
      <c r="H185" s="4">
        <f>(360/E185)/D185</f>
        <v>2.142857142857143</v>
      </c>
    </row>
    <row r="186" ht="15.75" customHeight="1">
      <c r="A186">
        <v>4917049190</v>
      </c>
      <c r="B186" t="str">
        <v xml:space="preserve">PreciControl Cardiac II  </v>
      </c>
      <c r="C186" t="str">
        <v>-</v>
      </c>
      <c r="D186">
        <v>2</v>
      </c>
      <c r="E186">
        <v>84</v>
      </c>
      <c r="H186" s="4">
        <f>(360/E186)/D186</f>
        <v>2.142857142857143</v>
      </c>
    </row>
    <row r="187" ht="15.75" customHeight="1">
      <c r="A187">
        <v>7092571190</v>
      </c>
      <c r="B187" t="str">
        <v>PreciControl Chagas</v>
      </c>
      <c r="C187" t="str">
        <v>-</v>
      </c>
      <c r="D187">
        <v>8</v>
      </c>
      <c r="E187">
        <v>28</v>
      </c>
      <c r="H187" s="4">
        <f>(360/E187)/D187</f>
        <v>1.6071428571428572</v>
      </c>
    </row>
    <row r="188" ht="15.75" customHeight="1">
      <c r="A188">
        <v>4784600190</v>
      </c>
      <c r="B188" t="str">
        <v>PreciControl CMV IgG</v>
      </c>
      <c r="C188" t="str">
        <v>-</v>
      </c>
      <c r="D188">
        <v>8</v>
      </c>
      <c r="E188">
        <v>56</v>
      </c>
      <c r="H188" s="4">
        <f>(360/E188)/D188</f>
        <v>0.8035714285714286</v>
      </c>
    </row>
    <row r="189" ht="15.75" customHeight="1">
      <c r="A189">
        <v>4784626190</v>
      </c>
      <c r="B189" t="str">
        <v>PreciControl CMV IgM</v>
      </c>
      <c r="C189" t="str">
        <v>-</v>
      </c>
      <c r="D189">
        <v>8</v>
      </c>
      <c r="E189">
        <v>56</v>
      </c>
      <c r="H189" s="4">
        <f>(360/E189)/D189</f>
        <v>0.8035714285714286</v>
      </c>
    </row>
    <row r="190" ht="15.75" customHeight="1">
      <c r="A190">
        <v>8355436190</v>
      </c>
      <c r="B190" t="str">
        <v xml:space="preserve">PreciControl EBV EBNA IgG </v>
      </c>
      <c r="C190" t="str">
        <v>-</v>
      </c>
      <c r="D190">
        <v>4</v>
      </c>
      <c r="E190">
        <v>84</v>
      </c>
      <c r="H190" s="4">
        <f>(360/E190)/D190</f>
        <v>1.0714285714285714</v>
      </c>
    </row>
    <row r="191" ht="15.75" customHeight="1">
      <c r="A191">
        <v>8355428190</v>
      </c>
      <c r="B191" t="str">
        <v>PreciControl EBV IgM/VCA IgG</v>
      </c>
      <c r="C191" t="str">
        <v>-</v>
      </c>
      <c r="D191">
        <v>3</v>
      </c>
      <c r="E191">
        <v>112</v>
      </c>
      <c r="H191" s="4">
        <f>(360/E191)/D191</f>
        <v>1.0714285714285714</v>
      </c>
    </row>
    <row r="192" ht="15.75" customHeight="1">
      <c r="A192">
        <v>7294131190</v>
      </c>
      <c r="B192" t="str">
        <v>PreciControl Everolimus</v>
      </c>
      <c r="C192" t="str">
        <v>-</v>
      </c>
      <c r="D192">
        <v>1</v>
      </c>
      <c r="E192">
        <v>28</v>
      </c>
      <c r="H192" s="4">
        <f>(360/E192)/D192</f>
        <v>12.857142857142858</v>
      </c>
    </row>
    <row r="193" ht="15.75" customHeight="1">
      <c r="A193">
        <v>7476108190</v>
      </c>
      <c r="B193" t="str">
        <v>PreciControl Growth</v>
      </c>
      <c r="C193" t="str">
        <v>-</v>
      </c>
      <c r="D193">
        <v>2</v>
      </c>
      <c r="E193">
        <v>31</v>
      </c>
      <c r="H193" s="4">
        <f>(360/E193)/D193</f>
        <v>5.806451612903226</v>
      </c>
    </row>
    <row r="194" ht="15.75" customHeight="1">
      <c r="A194">
        <v>11876376122</v>
      </c>
      <c r="B194" t="str">
        <v>PreciControl HBeAg</v>
      </c>
      <c r="C194" t="str">
        <v>-</v>
      </c>
      <c r="D194">
        <v>8</v>
      </c>
      <c r="E194">
        <v>56</v>
      </c>
      <c r="H194" s="4">
        <f>(360/E194)/D194</f>
        <v>0.8035714285714286</v>
      </c>
    </row>
    <row r="195" ht="15.75" customHeight="1">
      <c r="A195">
        <v>4687876190</v>
      </c>
      <c r="B195" t="str">
        <v xml:space="preserve">PreciControl HBsAg II </v>
      </c>
      <c r="C195" t="str">
        <v>-</v>
      </c>
      <c r="D195">
        <v>8</v>
      </c>
      <c r="E195">
        <v>56</v>
      </c>
      <c r="H195" s="4">
        <f>(360/E195)/D195</f>
        <v>0.8035714285714286</v>
      </c>
    </row>
    <row r="196" ht="15.75" customHeight="1">
      <c r="A196">
        <v>7143745190</v>
      </c>
      <c r="B196" t="str">
        <v xml:space="preserve">PreciControl HBsAg II quant </v>
      </c>
      <c r="C196" t="str">
        <v>-</v>
      </c>
      <c r="D196">
        <v>5</v>
      </c>
      <c r="E196">
        <v>56</v>
      </c>
      <c r="H196" s="4">
        <f>(360/E196)/D196</f>
        <v>1.2857142857142858</v>
      </c>
    </row>
    <row r="197" ht="15.75" customHeight="1">
      <c r="A197">
        <v>5950953190</v>
      </c>
      <c r="B197" t="str">
        <v xml:space="preserve">PreciControl HE4 </v>
      </c>
      <c r="C197" t="str">
        <v>-</v>
      </c>
      <c r="D197">
        <v>2</v>
      </c>
      <c r="E197">
        <v>28</v>
      </c>
      <c r="H197" s="4">
        <f>(360/E197)/D197</f>
        <v>6.428571428571429</v>
      </c>
    </row>
    <row r="198" ht="15.75" customHeight="1">
      <c r="A198">
        <v>6924107190</v>
      </c>
      <c r="B198" t="str">
        <v>PreciControl HIV Gen II</v>
      </c>
      <c r="C198" t="str">
        <v>-</v>
      </c>
      <c r="D198">
        <v>3</v>
      </c>
      <c r="E198">
        <v>84</v>
      </c>
      <c r="H198" s="4">
        <f>(360/E198)/D198</f>
        <v>1.4285714285714286</v>
      </c>
    </row>
    <row r="199" ht="15.75" customHeight="1">
      <c r="A199">
        <v>5572207190</v>
      </c>
      <c r="B199" t="str">
        <v xml:space="preserve">PreciControl HSV </v>
      </c>
      <c r="C199" t="str">
        <v>-</v>
      </c>
      <c r="D199">
        <v>2</v>
      </c>
      <c r="E199">
        <v>28</v>
      </c>
      <c r="H199" s="4">
        <f>(360/E199)/D199</f>
        <v>6.428571428571429</v>
      </c>
    </row>
    <row r="200" ht="15.75" customHeight="1">
      <c r="A200">
        <v>7108133190</v>
      </c>
      <c r="B200" t="str">
        <v>PreciControl HTLV</v>
      </c>
      <c r="C200" t="str">
        <v>-</v>
      </c>
      <c r="D200">
        <v>3</v>
      </c>
      <c r="E200">
        <v>84</v>
      </c>
      <c r="H200" s="4">
        <f>(360/E200)/D200</f>
        <v>1.4285714285714286</v>
      </c>
    </row>
    <row r="201" ht="15.75" customHeight="1">
      <c r="A201">
        <v>5889081190</v>
      </c>
      <c r="B201" t="str">
        <v>PreciControl ISD</v>
      </c>
      <c r="C201" t="str">
        <v>-</v>
      </c>
      <c r="D201">
        <v>1</v>
      </c>
      <c r="E201">
        <v>28</v>
      </c>
      <c r="H201" s="4">
        <f>(360/E201)/D201</f>
        <v>12.857142857142858</v>
      </c>
    </row>
    <row r="202" ht="15.75" customHeight="1">
      <c r="A202">
        <v>7360070190</v>
      </c>
      <c r="B202" t="str">
        <v xml:space="preserve">PreciControl Lung Cancer  </v>
      </c>
      <c r="C202" t="str">
        <v>-</v>
      </c>
      <c r="D202">
        <v>2</v>
      </c>
      <c r="E202">
        <v>28</v>
      </c>
      <c r="H202" s="4">
        <f>(360/E202)/D202</f>
        <v>6.428571428571429</v>
      </c>
    </row>
    <row r="203" ht="15.75" customHeight="1">
      <c r="A203">
        <v>8740062190</v>
      </c>
      <c r="B203" t="str">
        <v>PreciControl Maternal Care p</v>
      </c>
      <c r="C203" t="str">
        <v>-</v>
      </c>
      <c r="D203">
        <v>3</v>
      </c>
      <c r="E203">
        <v>84</v>
      </c>
      <c r="H203" s="4">
        <f>(360/E203)/D203</f>
        <v>1.4285714285714286</v>
      </c>
    </row>
    <row r="204" ht="15.75" customHeight="1">
      <c r="A204">
        <v>5341787190</v>
      </c>
      <c r="B204" t="str">
        <v>PreciControl Multimarker Elecsys,cobas e</v>
      </c>
      <c r="C204" t="str">
        <v>-</v>
      </c>
      <c r="D204">
        <v>3</v>
      </c>
      <c r="E204">
        <v>31</v>
      </c>
      <c r="H204" s="4">
        <f>(360/E204)/D204</f>
        <v>3.870967741935484</v>
      </c>
    </row>
    <row r="205" ht="15.75" customHeight="1">
      <c r="A205">
        <v>6505988190</v>
      </c>
      <c r="B205" t="str">
        <v>PreciControl ProGRP</v>
      </c>
      <c r="C205" t="str">
        <v>-</v>
      </c>
      <c r="D205">
        <v>2</v>
      </c>
      <c r="H205" s="4" t="e">
        <f>(360/E205)/D205</f>
        <v>#DIV/0!</v>
      </c>
    </row>
    <row r="206" ht="15.75" customHeight="1">
      <c r="A206">
        <v>4618807190</v>
      </c>
      <c r="B206" t="str">
        <v>PreciControl Rubella IgG</v>
      </c>
      <c r="C206" t="str">
        <v>-</v>
      </c>
      <c r="D206">
        <v>8</v>
      </c>
      <c r="E206">
        <v>56</v>
      </c>
      <c r="H206" s="4">
        <f>(360/E206)/D206</f>
        <v>0.8035714285714286</v>
      </c>
    </row>
    <row r="207" ht="15.75" customHeight="1">
      <c r="A207">
        <v>4618840190</v>
      </c>
      <c r="B207" t="str">
        <v>PreciControl Rubella IgM</v>
      </c>
      <c r="C207" t="str">
        <v>-</v>
      </c>
      <c r="D207">
        <v>4</v>
      </c>
      <c r="E207">
        <v>56</v>
      </c>
      <c r="H207" s="4">
        <f>(360/E207)/D207</f>
        <v>1.6071428571428572</v>
      </c>
    </row>
    <row r="208" ht="15.75" customHeight="1">
      <c r="A208">
        <v>9345302190</v>
      </c>
      <c r="B208" t="str">
        <v>PreciControl SARS‑CoV‑2 Antigen</v>
      </c>
      <c r="C208" t="str">
        <v>-</v>
      </c>
      <c r="D208">
        <v>3</v>
      </c>
      <c r="E208">
        <v>21</v>
      </c>
      <c r="H208" s="4">
        <f>(360/E208)/D208</f>
        <v>5.714285714285714</v>
      </c>
    </row>
    <row r="209" ht="15.75" customHeight="1">
      <c r="A209">
        <v>6923364190</v>
      </c>
      <c r="B209" t="str">
        <v>PreciControl Syphilis</v>
      </c>
      <c r="C209" t="str">
        <v>-</v>
      </c>
      <c r="D209">
        <v>2</v>
      </c>
      <c r="E209">
        <v>168</v>
      </c>
      <c r="H209" s="4">
        <f>(360/E209)/D209</f>
        <v>1.0714285714285714</v>
      </c>
    </row>
    <row r="210" ht="15.75" customHeight="1">
      <c r="A210">
        <v>5042666191</v>
      </c>
      <c r="B210" t="str">
        <v>PreciControl ThyroAB</v>
      </c>
      <c r="C210" t="str">
        <v>-</v>
      </c>
      <c r="D210">
        <v>2</v>
      </c>
      <c r="E210">
        <v>28</v>
      </c>
      <c r="H210" s="4">
        <f>(360/E210)/D210</f>
        <v>6.428571428571429</v>
      </c>
    </row>
    <row r="211" ht="15.75" customHeight="1">
      <c r="A211">
        <v>4618823190</v>
      </c>
      <c r="B211" t="str">
        <v xml:space="preserve">PreciControl Toxo IgG </v>
      </c>
      <c r="C211" t="str">
        <v>-</v>
      </c>
      <c r="D211">
        <v>8</v>
      </c>
      <c r="E211">
        <v>56</v>
      </c>
      <c r="H211" s="4">
        <f>(360/E211)/D211</f>
        <v>0.8035714285714286</v>
      </c>
    </row>
    <row r="212" ht="15.75" customHeight="1">
      <c r="A212">
        <v>5802580190</v>
      </c>
      <c r="B212" t="str">
        <v>PreciControl Toxo IgG Avidity</v>
      </c>
      <c r="C212" t="str">
        <v>-</v>
      </c>
      <c r="D212">
        <v>3</v>
      </c>
      <c r="E212">
        <v>56</v>
      </c>
      <c r="H212" s="4">
        <f>(360/E212)/D212</f>
        <v>2.142857142857143</v>
      </c>
    </row>
    <row r="213" ht="15.75" customHeight="1">
      <c r="A213">
        <v>4618866190</v>
      </c>
      <c r="B213" t="str">
        <v>PreciControl Toxo IgM</v>
      </c>
      <c r="C213" t="str">
        <v>-</v>
      </c>
      <c r="D213">
        <v>8</v>
      </c>
      <c r="E213">
        <v>56</v>
      </c>
      <c r="H213" s="4">
        <f>(360/E213)/D213</f>
        <v>0.8035714285714286</v>
      </c>
    </row>
    <row r="214" ht="15.75" customHeight="1">
      <c r="A214">
        <v>5095107190</v>
      </c>
      <c r="B214" t="str">
        <v>PreciControl Troponin</v>
      </c>
      <c r="C214" t="str">
        <v>-</v>
      </c>
      <c r="D214">
        <v>2</v>
      </c>
      <c r="E214">
        <v>84</v>
      </c>
      <c r="H214" s="4">
        <f>(360/E214)/D214</f>
        <v>2.142857142857143</v>
      </c>
    </row>
    <row r="215" ht="15.75" customHeight="1">
      <c r="A215">
        <v>11776452122</v>
      </c>
      <c r="B215" t="str">
        <v>PreciControl Tumor Marker Elec</v>
      </c>
      <c r="C215" t="str">
        <v>-</v>
      </c>
      <c r="D215">
        <v>2</v>
      </c>
      <c r="E215">
        <v>28</v>
      </c>
      <c r="H215" s="4">
        <f>(360/E215)/D215</f>
        <v>6.428571428571429</v>
      </c>
    </row>
    <row r="216" ht="15.75" customHeight="1">
      <c r="A216">
        <v>11731416190</v>
      </c>
      <c r="B216" t="str">
        <v>PreciControl Universal</v>
      </c>
      <c r="C216" t="str">
        <v>-</v>
      </c>
      <c r="D216">
        <v>2</v>
      </c>
      <c r="E216">
        <v>28</v>
      </c>
      <c r="H216" s="4">
        <f>(360/E216)/D216</f>
        <v>6.428571428571429</v>
      </c>
    </row>
    <row r="217" ht="15.75" customHeight="1">
      <c r="A217">
        <v>5618860190</v>
      </c>
      <c r="B217" t="str">
        <v>PreciControl Varia Elecsys</v>
      </c>
      <c r="C217" t="str">
        <v>-</v>
      </c>
      <c r="D217">
        <v>2</v>
      </c>
      <c r="E217">
        <v>28</v>
      </c>
      <c r="H217" s="4">
        <f>(360/E217)/D217</f>
        <v>6.428571428571429</v>
      </c>
    </row>
    <row r="218" ht="15.75" customHeight="1">
      <c r="A218">
        <v>9038124190</v>
      </c>
      <c r="B218" t="str">
        <v xml:space="preserve">PreciControl Vitamin D total III  </v>
      </c>
      <c r="C218" t="str">
        <v>-</v>
      </c>
      <c r="D218">
        <v>3</v>
      </c>
      <c r="E218">
        <v>31</v>
      </c>
      <c r="H218" s="4">
        <f>(360/E218)/D218</f>
        <v>3.870967741935484</v>
      </c>
    </row>
    <row r="219" ht="15.75" customHeight="1">
      <c r="A219" t="str">
        <v>CONSUMIBLES</v>
      </c>
      <c r="D219" t="str">
        <v>PRESENTACION</v>
      </c>
      <c r="E219" t="str">
        <v>DIAS ESTABILDAD</v>
      </c>
      <c r="G219" t="str">
        <v>PRODUCTO CALCULADO</v>
      </c>
      <c r="H219" s="4" t="str">
        <v>MINIMOS POR ESTABILIDAD</v>
      </c>
      <c r="I219" t="str">
        <v>PRODUCTO A ENTREGAR</v>
      </c>
    </row>
    <row r="220" ht="15.75" customHeight="1">
      <c r="A220">
        <v>11706802001</v>
      </c>
      <c r="B220" t="str">
        <v xml:space="preserve">ASSAY CUP </v>
      </c>
      <c r="C220" t="str">
        <v>-</v>
      </c>
      <c r="D220">
        <v>1</v>
      </c>
      <c r="E220">
        <v>365</v>
      </c>
      <c r="H220" s="4">
        <f>(360/E220)/D220</f>
        <v>0.9863013698630136</v>
      </c>
    </row>
    <row r="221" ht="15.75" customHeight="1">
      <c r="A221">
        <v>11706799001</v>
      </c>
      <c r="B221" t="str">
        <v xml:space="preserve">ASSY TIP </v>
      </c>
      <c r="C221" t="str">
        <v>-</v>
      </c>
      <c r="D221">
        <v>1</v>
      </c>
      <c r="E221">
        <v>365</v>
      </c>
      <c r="H221" s="4">
        <f>(360/E221)/D221</f>
        <v>0.9863013698630136</v>
      </c>
    </row>
    <row r="222" ht="15.75" customHeight="1">
      <c r="A222">
        <v>4444191001</v>
      </c>
      <c r="B222" t="str">
        <v>Copillas de muestra Hitachi</v>
      </c>
      <c r="C222" t="str">
        <v>-</v>
      </c>
      <c r="D222">
        <v>1</v>
      </c>
      <c r="E222">
        <v>365</v>
      </c>
      <c r="H222" s="4">
        <f>(360/E222)/D222</f>
        <v>0.9863013698630136</v>
      </c>
    </row>
    <row r="223" ht="15.75" customHeight="1">
      <c r="A223">
        <v>11662970122</v>
      </c>
      <c r="B223" t="str">
        <v>Elecsys Clean-Cell</v>
      </c>
      <c r="C223" t="str">
        <v>-</v>
      </c>
      <c r="D223">
        <v>6</v>
      </c>
      <c r="E223">
        <v>28</v>
      </c>
      <c r="H223" s="4">
        <f>(360/E223)/D223</f>
        <v>2.142857142857143</v>
      </c>
    </row>
    <row r="224" ht="15.75" customHeight="1">
      <c r="A224">
        <v>11662988122</v>
      </c>
      <c r="B224" t="str">
        <v>Elecsys ProCell</v>
      </c>
      <c r="C224" t="str">
        <v>-</v>
      </c>
      <c r="D224">
        <v>6</v>
      </c>
      <c r="E224">
        <v>28</v>
      </c>
      <c r="H224" s="4">
        <f>(360/E224)/D224</f>
        <v>2.142857142857143</v>
      </c>
    </row>
    <row r="225" ht="15.75" customHeight="1">
      <c r="A225">
        <v>11930346122</v>
      </c>
      <c r="B225" t="str">
        <v>Elecsys Sys Wash</v>
      </c>
      <c r="C225" t="str">
        <v>-</v>
      </c>
      <c r="D225">
        <v>1</v>
      </c>
      <c r="E225">
        <v>168</v>
      </c>
      <c r="H225" s="4">
        <f>(360/E225)/D225</f>
        <v>2.142857142857143</v>
      </c>
    </row>
    <row r="226" ht="15.75" customHeight="1">
      <c r="A226">
        <v>11298500316</v>
      </c>
      <c r="B226" t="str">
        <v xml:space="preserve">ISE CLEANING SOLUTION </v>
      </c>
      <c r="C226" t="str">
        <v>-</v>
      </c>
      <c r="D226">
        <v>5</v>
      </c>
      <c r="E226">
        <v>365</v>
      </c>
      <c r="H226" s="4">
        <f>(360/E226)/D226</f>
        <v>0.19726027397260273</v>
      </c>
    </row>
    <row r="227" ht="15.75" customHeight="1">
      <c r="A227">
        <v>5151643001</v>
      </c>
      <c r="B227" t="str">
        <v>Measuring CELL</v>
      </c>
      <c r="C227" t="str">
        <v>-</v>
      </c>
      <c r="D227">
        <v>1</v>
      </c>
      <c r="E227">
        <v>365</v>
      </c>
      <c r="H227" s="4">
        <f>(360/E227)/D227</f>
        <v>0.9863013698630136</v>
      </c>
    </row>
    <row r="228" ht="15.75" customHeight="1">
      <c r="A228">
        <v>11732277122</v>
      </c>
      <c r="B228" t="str">
        <v>UNIVERSAL DILUENT 2X16ML ELECSYS,COBAS E</v>
      </c>
      <c r="C228" t="str">
        <v>-</v>
      </c>
      <c r="D228">
        <v>2</v>
      </c>
      <c r="E228">
        <v>84</v>
      </c>
      <c r="H228" s="4">
        <f>(360/E228)/D228</f>
        <v>2.142857142857143</v>
      </c>
    </row>
    <row r="229" ht="15.75" customHeight="1">
      <c r="A229">
        <v>3183971122</v>
      </c>
      <c r="B229" t="str">
        <v>UNIVERSAL DILUENT 2X36ML ELECSYS,COBAS E</v>
      </c>
      <c r="C229" t="str">
        <v>-</v>
      </c>
      <c r="D229">
        <v>1</v>
      </c>
      <c r="E229">
        <v>84</v>
      </c>
      <c r="H229" s="4">
        <f>(360/E229)/D229</f>
        <v>4.285714285714286</v>
      </c>
    </row>
    <row r="230" ht="15.75" customHeight="1">
      <c r="A230">
        <v>11800507001</v>
      </c>
      <c r="B230" t="str">
        <v>CLEAN-LINER</v>
      </c>
      <c r="C230" t="str">
        <v>-</v>
      </c>
      <c r="D230">
        <v>1</v>
      </c>
      <c r="E230">
        <v>365</v>
      </c>
      <c r="H230" s="4">
        <f>(360/E230)/D230</f>
        <v>0.9863013698630136</v>
      </c>
    </row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03:E103"/>
  </mergeCells>
  <pageMargins left="0.7" right="0.7" top="0.75" bottom="0.75" header="0" footer="0"/>
  <ignoredErrors>
    <ignoredError numberStoredAsText="1" sqref="A1:AA100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Z1000"/>
  <sheetViews>
    <sheetView workbookViewId="0" rightToLeft="0"/>
  </sheetViews>
  <cols>
    <col min="1" max="1" customWidth="1" width="8.6640625"/>
    <col min="2" max="2" customWidth="1" width="25.33203125"/>
    <col min="3" max="3" customWidth="1" width="25.109375"/>
    <col min="4" max="4" customWidth="1" width="10.5546875"/>
    <col min="5" max="5" customWidth="1" width="11"/>
    <col min="6" max="6" customWidth="1" width="10.5546875"/>
    <col min="7" max="7" customWidth="1" width="14.6640625"/>
    <col min="8" max="8" customWidth="1" width="17.109375"/>
    <col min="9" max="9" customWidth="1" width="15"/>
    <col min="10" max="10" customWidth="1" width="10.6640625"/>
    <col min="11" max="11" customWidth="1" width="10.6640625"/>
    <col min="12" max="12" customWidth="1" width="10.6640625"/>
    <col min="13" max="13" customWidth="1" width="10.6640625"/>
    <col min="14" max="14" customWidth="1" width="10.6640625"/>
    <col min="15" max="15" customWidth="1" width="10.6640625"/>
    <col min="16" max="16" customWidth="1" width="10.6640625"/>
    <col min="17" max="17" customWidth="1" width="10.6640625"/>
    <col min="18" max="18" customWidth="1" width="10.6640625"/>
    <col min="19" max="19" customWidth="1" width="10.6640625"/>
    <col min="20" max="20" customWidth="1" width="10.6640625"/>
    <col min="21" max="21" customWidth="1" width="10.6640625"/>
    <col min="22" max="22" customWidth="1" width="10.6640625"/>
    <col min="23" max="23" customWidth="1" width="10.6640625"/>
    <col min="24" max="24" customWidth="1" width="10.6640625"/>
    <col min="25" max="25" customWidth="1" width="10.6640625"/>
    <col min="26" max="26" customWidth="1" width="10.6640625"/>
  </cols>
  <sheetData>
    <row r="1" ht="14.4" customHeight="1">
      <c r="A1" t="str">
        <v>CLIENTE</v>
      </c>
    </row>
    <row r="2" ht="14.4" customHeight="1">
      <c r="A2" t="str">
        <v>FECHA</v>
      </c>
    </row>
    <row r="3" ht="14.4" customHeight="1">
      <c r="A3" t="str">
        <v>MODALIDAD</v>
      </c>
    </row>
    <row r="4" ht="14.4" customHeight="1">
      <c r="A4" t="str">
        <v>PLAZO</v>
      </c>
      <c r="C4" t="str">
        <v>MESES</v>
      </c>
    </row>
    <row r="5" ht="14.4" customHeight="1">
      <c r="A5" t="str">
        <v>PROYECCIÓN</v>
      </c>
      <c r="C5" t="str">
        <v>MESES</v>
      </c>
    </row>
    <row r="6" ht="14.4" customHeight="1">
      <c r="A6" t="str">
        <v>EQUIPO</v>
      </c>
      <c r="B6" t="str">
        <v>COBAS PURE c303</v>
      </c>
      <c r="D6" t="str">
        <v>COBAS PRO c503</v>
      </c>
    </row>
    <row r="7" ht="14.4" customHeight="1"/>
    <row r="8" ht="20.4" customHeight="1">
      <c r="A8" t="str">
        <v>I.D</v>
      </c>
      <c r="B8" t="str">
        <v>DESCRIPCION</v>
      </c>
      <c r="D8" t="str">
        <v>DET/KIT</v>
      </c>
      <c r="E8" t="str">
        <v>DIAS ESTABILIDAD</v>
      </c>
      <c r="F8" t="str">
        <v>DET/AÑO/PROCESO</v>
      </c>
      <c r="G8" t="str">
        <v>PRODUCTO CALCULADO</v>
      </c>
      <c r="H8" t="str">
        <v>MINIMOS POR ESTABILIDAD</v>
      </c>
      <c r="I8" t="str">
        <v>PRODUCTO A ENVIAR</v>
      </c>
    </row>
    <row r="9" ht="14.4" customHeight="1">
      <c r="A9">
        <v>8058750190</v>
      </c>
      <c r="B9" t="str">
        <v>ÁCIDO ÚRICO</v>
      </c>
      <c r="C9" t="str">
        <v>UA2, 1300T, cobas c pack green</v>
      </c>
      <c r="D9">
        <v>1300</v>
      </c>
      <c r="E9">
        <v>182</v>
      </c>
      <c r="G9">
        <f>F9/D9</f>
        <v>0</v>
      </c>
      <c r="H9" s="4">
        <f>(360/E9)</f>
        <v>1.978021978021978</v>
      </c>
    </row>
    <row r="10" ht="14.4" customHeight="1">
      <c r="A10">
        <v>8056692190</v>
      </c>
      <c r="B10" t="str">
        <v>ALBÚMINA RUTINA</v>
      </c>
      <c r="C10" t="str">
        <v>ALB2, 750T, cobas c pack green</v>
      </c>
      <c r="D10">
        <v>750</v>
      </c>
      <c r="E10">
        <v>182</v>
      </c>
      <c r="G10">
        <f>F10/D10</f>
        <v>0</v>
      </c>
      <c r="H10" s="4">
        <f>(360/E10)</f>
        <v>1.978021978021978</v>
      </c>
    </row>
    <row r="11" ht="14.4" customHeight="1">
      <c r="A11">
        <v>8056811190</v>
      </c>
      <c r="B11" t="str">
        <v>Amilasa Serica</v>
      </c>
      <c r="C11" t="str">
        <v>AMYL2, 750T, cobas c pack green</v>
      </c>
      <c r="D11">
        <v>750</v>
      </c>
      <c r="E11">
        <v>182</v>
      </c>
      <c r="G11">
        <f>F11/D11</f>
        <v>0</v>
      </c>
      <c r="H11" s="4">
        <f>(360/E11)</f>
        <v>1.978021978021978</v>
      </c>
    </row>
    <row r="12" ht="14.4" customHeight="1">
      <c r="A12">
        <v>8056820190</v>
      </c>
      <c r="B12" t="str">
        <v>Amilasa Pancreatica</v>
      </c>
      <c r="C12" t="str">
        <v>AMY-P, 450T, cobas c pack green</v>
      </c>
      <c r="D12">
        <v>450</v>
      </c>
      <c r="E12">
        <v>182</v>
      </c>
      <c r="G12">
        <f>F12/D12</f>
        <v>0</v>
      </c>
      <c r="H12" s="4">
        <f>(360/E12)</f>
        <v>1.978021978021978</v>
      </c>
    </row>
    <row r="13" ht="14.4" customHeight="1">
      <c r="A13">
        <v>8056960190</v>
      </c>
      <c r="B13" t="str">
        <v>BILIRRUBINA TOTAL</v>
      </c>
      <c r="C13" t="str">
        <v>BILT3, 1050T, cobas c pack green</v>
      </c>
      <c r="D13">
        <v>1050</v>
      </c>
      <c r="E13">
        <v>42</v>
      </c>
      <c r="G13">
        <f>F13/D13</f>
        <v>0</v>
      </c>
      <c r="H13" s="4">
        <f>(360/E13)</f>
        <v>8.571428571428571</v>
      </c>
    </row>
    <row r="14" ht="14.4" customHeight="1">
      <c r="A14">
        <v>8056951190</v>
      </c>
      <c r="B14" t="str">
        <v>Bilirrubina Directa Alto Rendimiento</v>
      </c>
      <c r="C14" t="str">
        <v>BILD2, 1000T, cobas c pack green</v>
      </c>
      <c r="D14">
        <v>1000</v>
      </c>
      <c r="E14">
        <v>182</v>
      </c>
      <c r="G14">
        <f>F14/D14</f>
        <v>0</v>
      </c>
      <c r="H14" s="4">
        <f>(360/E14)</f>
        <v>1.978021978021978</v>
      </c>
    </row>
    <row r="15" ht="14.4" customHeight="1">
      <c r="A15">
        <v>8057427190</v>
      </c>
      <c r="B15" t="str">
        <v>CALCIO</v>
      </c>
      <c r="C15" t="str">
        <v>CA2, 1500T, cobas c pack green</v>
      </c>
      <c r="D15">
        <v>1500</v>
      </c>
      <c r="E15">
        <v>182</v>
      </c>
      <c r="G15">
        <f>F15/D15</f>
        <v>0</v>
      </c>
      <c r="H15" s="4">
        <f>(360/E15)</f>
        <v>1.978021978021978</v>
      </c>
    </row>
    <row r="16" ht="14.4" customHeight="1">
      <c r="A16">
        <v>8057443190</v>
      </c>
      <c r="B16" t="str">
        <v>COLESTEROL</v>
      </c>
      <c r="C16" t="str">
        <v>CHOL2, 2600T, cobas c pack green</v>
      </c>
      <c r="D16">
        <v>2600</v>
      </c>
      <c r="E16">
        <v>182</v>
      </c>
      <c r="G16">
        <f>F16/D16</f>
        <v>0</v>
      </c>
      <c r="H16" s="4">
        <f>(360/E16)</f>
        <v>1.978021978021978</v>
      </c>
    </row>
    <row r="17" ht="14.4" customHeight="1">
      <c r="A17">
        <v>8105561190</v>
      </c>
      <c r="B17" t="str">
        <v>Colinesterasa Gen 2</v>
      </c>
      <c r="C17" t="str">
        <v>CHE2, 1050T, cobas c pack green</v>
      </c>
      <c r="D17">
        <v>1050</v>
      </c>
      <c r="E17">
        <v>182</v>
      </c>
      <c r="G17">
        <f>F17/D17</f>
        <v>0</v>
      </c>
      <c r="H17" s="4">
        <f>(360/E17)</f>
        <v>1.978021978021978</v>
      </c>
    </row>
    <row r="18" ht="14.4" customHeight="1">
      <c r="A18">
        <v>8057460190</v>
      </c>
      <c r="B18" t="str">
        <v>CREATIN KINASA</v>
      </c>
      <c r="C18" t="str">
        <v>CK, 500T, cobas c pack green</v>
      </c>
      <c r="D18">
        <v>500</v>
      </c>
      <c r="E18">
        <v>56</v>
      </c>
      <c r="G18">
        <f>F18/D18</f>
        <v>0</v>
      </c>
      <c r="H18" s="4">
        <f>(360/E18)</f>
        <v>6.428571428571429</v>
      </c>
    </row>
    <row r="19" ht="14.4" customHeight="1">
      <c r="A19">
        <v>8056757190</v>
      </c>
      <c r="B19" t="str">
        <v>FOSFATASA ALCALINA</v>
      </c>
      <c r="C19" t="str">
        <v>ALP2, 1100T, cobas c pack green</v>
      </c>
      <c r="D19">
        <v>1100</v>
      </c>
      <c r="E19">
        <v>56</v>
      </c>
      <c r="G19">
        <f>F19/D19</f>
        <v>0</v>
      </c>
      <c r="H19" s="4">
        <f>(360/E19)</f>
        <v>6.428571428571429</v>
      </c>
    </row>
    <row r="20" ht="14.4" customHeight="1">
      <c r="A20">
        <v>8058610190</v>
      </c>
      <c r="B20" t="str">
        <v>FOSFORO TOTAL</v>
      </c>
      <c r="C20" t="str">
        <v>PHOS2, 750T, cobas c pack green</v>
      </c>
      <c r="D20">
        <v>750</v>
      </c>
      <c r="E20">
        <v>182</v>
      </c>
      <c r="G20">
        <f>F20/D20</f>
        <v>0</v>
      </c>
      <c r="H20" s="4">
        <f>(360/E20)</f>
        <v>1.978021978021978</v>
      </c>
    </row>
    <row r="21" ht="15.75" customHeight="1">
      <c r="A21">
        <v>8057796190</v>
      </c>
      <c r="B21" t="str">
        <v>γ-Glutamyltransferasa ver. 2</v>
      </c>
      <c r="C21" t="str">
        <v>GGT-2, 400T, cobas c pack green</v>
      </c>
      <c r="D21">
        <v>400</v>
      </c>
      <c r="E21">
        <v>84</v>
      </c>
      <c r="G21">
        <f>F21/D21</f>
        <v>0</v>
      </c>
      <c r="H21" s="4">
        <f>(360/E21)</f>
        <v>4.285714285714286</v>
      </c>
    </row>
    <row r="22" ht="15.75" customHeight="1">
      <c r="A22">
        <v>8057800190</v>
      </c>
      <c r="B22" t="str">
        <v>GLUCOSA</v>
      </c>
      <c r="C22" t="str">
        <v>GLUC3, 3300T, cobas c pack green</v>
      </c>
      <c r="D22">
        <v>3300</v>
      </c>
      <c r="E22">
        <v>182</v>
      </c>
      <c r="G22">
        <f>F22/D22</f>
        <v>0</v>
      </c>
      <c r="H22" s="4">
        <f>(360/E22)</f>
        <v>1.978021978021978</v>
      </c>
    </row>
    <row r="23" ht="15.75" customHeight="1">
      <c r="A23">
        <v>8057931190</v>
      </c>
      <c r="B23" t="str">
        <v>HIERRO SÉRICO</v>
      </c>
      <c r="C23" t="str">
        <v>IRON2, 700T, cobas c pack green</v>
      </c>
      <c r="D23">
        <v>700</v>
      </c>
      <c r="E23">
        <v>84</v>
      </c>
      <c r="G23">
        <f>F23/D23</f>
        <v>0</v>
      </c>
      <c r="H23" s="4">
        <f>(360/E23)</f>
        <v>4.285714285714286</v>
      </c>
    </row>
    <row r="24" ht="15.75" customHeight="1">
      <c r="A24">
        <v>8057940190</v>
      </c>
      <c r="B24" t="str">
        <v>Lactato</v>
      </c>
      <c r="C24" t="str">
        <v>LACT2, 100T, cobas c pack green</v>
      </c>
      <c r="D24">
        <v>100</v>
      </c>
      <c r="E24">
        <v>84</v>
      </c>
      <c r="G24">
        <f>F24/D24</f>
        <v>0</v>
      </c>
      <c r="H24" s="4">
        <f>(360/E24)</f>
        <v>4.285714285714286</v>
      </c>
    </row>
    <row r="25" ht="15.75" customHeight="1">
      <c r="A25">
        <v>8057958190</v>
      </c>
      <c r="B25" t="str">
        <v>LDH</v>
      </c>
      <c r="C25" t="str">
        <v>LDHI2, 850T, cobas c pack green</v>
      </c>
      <c r="D25">
        <v>850</v>
      </c>
      <c r="E25">
        <v>182</v>
      </c>
      <c r="G25">
        <f>F25/D25</f>
        <v>0</v>
      </c>
      <c r="H25" s="4">
        <f>(360/E25)</f>
        <v>1.978021978021978</v>
      </c>
    </row>
    <row r="26" ht="15.75" customHeight="1">
      <c r="A26">
        <v>8057982190</v>
      </c>
      <c r="B26" t="str">
        <v>LIPASA</v>
      </c>
      <c r="C26" t="str">
        <v>LIPC, 200T, cobas c pack green</v>
      </c>
      <c r="D26">
        <v>200</v>
      </c>
      <c r="E26">
        <v>28</v>
      </c>
      <c r="G26">
        <f>F26/D26</f>
        <v>0</v>
      </c>
      <c r="H26" s="4">
        <f>(360/E26)</f>
        <v>12.857142857142858</v>
      </c>
    </row>
    <row r="27" ht="15.75" customHeight="1">
      <c r="A27">
        <v>8058016190</v>
      </c>
      <c r="B27" t="str">
        <v>MAGNESIO</v>
      </c>
      <c r="C27" t="str">
        <v>MG2, 690T, cobas c pack green</v>
      </c>
      <c r="D27">
        <v>690</v>
      </c>
      <c r="E27">
        <v>182</v>
      </c>
      <c r="G27">
        <f>F27/D27</f>
        <v>0</v>
      </c>
      <c r="H27" s="4">
        <f>(360/E27)</f>
        <v>1.978021978021978</v>
      </c>
    </row>
    <row r="28" ht="15.75" customHeight="1">
      <c r="A28">
        <v>8104697190</v>
      </c>
      <c r="B28" t="str">
        <v>ALT (PYP en el mismo reactivo)</v>
      </c>
      <c r="C28" t="str">
        <v>ALTP2, 800T, cobas c pack green</v>
      </c>
      <c r="D28">
        <v>800</v>
      </c>
      <c r="E28">
        <v>182</v>
      </c>
      <c r="G28">
        <f>F28/D28</f>
        <v>0</v>
      </c>
      <c r="H28" s="4">
        <f>(360/E28)</f>
        <v>1.978021978021978</v>
      </c>
    </row>
    <row r="29" ht="15.75" customHeight="1">
      <c r="A29">
        <v>8104719190</v>
      </c>
      <c r="B29" t="str">
        <v>AST (PYP en el mismo reactivo)</v>
      </c>
      <c r="C29" t="str">
        <v>ASTP2, 800T, cobas c pack green</v>
      </c>
      <c r="D29">
        <v>800</v>
      </c>
      <c r="E29">
        <v>182</v>
      </c>
      <c r="G29">
        <f>F29/D29</f>
        <v>0</v>
      </c>
      <c r="H29" s="4">
        <f>(360/E29)</f>
        <v>1.978021978021978</v>
      </c>
    </row>
    <row r="30" ht="15.75" customHeight="1">
      <c r="A30">
        <v>8058687190</v>
      </c>
      <c r="B30" t="str">
        <v>TRIGLICÉRIDOS</v>
      </c>
      <c r="C30" t="str">
        <v>TRIGL, 1000T, cobas c pack green</v>
      </c>
      <c r="D30">
        <v>1000</v>
      </c>
      <c r="E30">
        <v>182</v>
      </c>
      <c r="G30">
        <f>F30/D30</f>
        <v>0</v>
      </c>
      <c r="H30" s="4">
        <f>(360/E30)</f>
        <v>1.978021978021978</v>
      </c>
    </row>
    <row r="31" ht="15.75" customHeight="1">
      <c r="A31">
        <v>8058806190</v>
      </c>
      <c r="B31" t="str">
        <v>UREA</v>
      </c>
      <c r="C31" t="str">
        <v>UREAL, 600T, cobas c pack green</v>
      </c>
      <c r="D31">
        <v>600</v>
      </c>
      <c r="E31">
        <v>56</v>
      </c>
      <c r="G31">
        <f>F31/D31</f>
        <v>0</v>
      </c>
      <c r="H31" s="4">
        <f>(360/E31)</f>
        <v>6.428571428571429</v>
      </c>
    </row>
    <row r="32" ht="15.75" customHeight="1">
      <c r="A32">
        <v>8106053190</v>
      </c>
      <c r="B32" t="str">
        <v>α-Hydroxybutyrate Dehydrogenase  Gen.2</v>
      </c>
      <c r="C32" t="str">
        <v>HBDH, 300T, cobas c pack green</v>
      </c>
      <c r="D32">
        <v>300</v>
      </c>
      <c r="E32">
        <v>182</v>
      </c>
      <c r="G32">
        <f>F32/D32</f>
        <v>0</v>
      </c>
      <c r="H32" s="4">
        <f>(360/E32)</f>
        <v>1.978021978021978</v>
      </c>
    </row>
    <row r="33" ht="15.75" customHeight="1">
      <c r="A33">
        <v>8056714190</v>
      </c>
      <c r="B33" t="str">
        <v>Albumin BC</v>
      </c>
      <c r="C33" t="str">
        <v>ALBP, 500T, cobas c pack green</v>
      </c>
      <c r="D33">
        <v>500</v>
      </c>
      <c r="E33">
        <v>182</v>
      </c>
      <c r="G33">
        <f>F33/D33</f>
        <v>0</v>
      </c>
      <c r="H33" s="4">
        <f>(360/E33)</f>
        <v>1.978021978021978</v>
      </c>
    </row>
    <row r="34" ht="15.75" customHeight="1">
      <c r="A34">
        <v>8058652190</v>
      </c>
      <c r="B34" t="str">
        <v>PROTEÍNAS TOTALES</v>
      </c>
      <c r="C34" t="str">
        <v>TP2, 1050T, cobas c pack green</v>
      </c>
      <c r="D34">
        <v>1050</v>
      </c>
      <c r="E34">
        <v>182</v>
      </c>
      <c r="G34">
        <f>F34/D34</f>
        <v>0</v>
      </c>
      <c r="H34" s="4">
        <f>(360/E34)</f>
        <v>1.978021978021978</v>
      </c>
    </row>
    <row r="35" ht="15.75" customHeight="1">
      <c r="A35">
        <v>8057524190</v>
      </c>
      <c r="B35" t="str">
        <v>Creatinina Enzimatica</v>
      </c>
      <c r="C35" t="str">
        <v>CREP2, 600T, cobas c pack green</v>
      </c>
      <c r="D35">
        <v>600</v>
      </c>
      <c r="E35">
        <v>126</v>
      </c>
      <c r="G35">
        <f>F35/D35</f>
        <v>0</v>
      </c>
      <c r="H35" s="4">
        <f>(360/E35)</f>
        <v>2.857142857142857</v>
      </c>
    </row>
    <row r="36" ht="15.75" customHeight="1">
      <c r="A36">
        <v>8057532190</v>
      </c>
      <c r="B36" t="str">
        <v>Creatinina Jaffe</v>
      </c>
      <c r="C36" t="str">
        <v>CREAJ2, 2500T, cobas c pack green</v>
      </c>
      <c r="D36">
        <v>2500</v>
      </c>
      <c r="E36">
        <v>182</v>
      </c>
      <c r="G36">
        <f>F36/D36</f>
        <v>0</v>
      </c>
      <c r="H36" s="4">
        <f>(360/E36)</f>
        <v>1.978021978021978</v>
      </c>
    </row>
    <row r="37" ht="15.75" customHeight="1">
      <c r="A37">
        <v>8057877190</v>
      </c>
      <c r="B37" t="str">
        <v>COLESTEROL HDL</v>
      </c>
      <c r="C37" t="str">
        <v>HDLC4, 700T, cobas c pack green</v>
      </c>
      <c r="D37">
        <v>700</v>
      </c>
      <c r="E37">
        <v>84</v>
      </c>
      <c r="G37">
        <f>F37/D37</f>
        <v>0</v>
      </c>
      <c r="H37" s="4">
        <f>(360/E37)</f>
        <v>4.285714285714286</v>
      </c>
    </row>
    <row r="38" ht="15.75" customHeight="1">
      <c r="A38">
        <v>8057966190</v>
      </c>
      <c r="B38" t="str">
        <v>COLESTEROL LDL</v>
      </c>
      <c r="C38" t="str">
        <v>LDLC3, 600T, cobas c pack green</v>
      </c>
      <c r="D38">
        <v>600</v>
      </c>
      <c r="E38">
        <v>182</v>
      </c>
      <c r="G38">
        <f>F38/D38</f>
        <v>0</v>
      </c>
      <c r="H38" s="4">
        <f>(360/E38)</f>
        <v>1.978021978021978</v>
      </c>
    </row>
    <row r="39" ht="15.75" customHeight="1">
      <c r="A39">
        <v>8105448190</v>
      </c>
      <c r="B39" t="str">
        <v>Apoliproteina A-1</v>
      </c>
      <c r="C39" t="str">
        <v>APOAT, 250T, cobas c pack green</v>
      </c>
      <c r="D39">
        <v>250</v>
      </c>
      <c r="E39">
        <v>182</v>
      </c>
      <c r="G39">
        <f>F39/D39</f>
        <v>0</v>
      </c>
      <c r="H39" s="4">
        <f>(360/E39)</f>
        <v>1.978021978021978</v>
      </c>
    </row>
    <row r="40" ht="15.75" customHeight="1">
      <c r="A40">
        <v>8105464190</v>
      </c>
      <c r="B40" t="str">
        <v>Apoliproteina B</v>
      </c>
      <c r="C40" t="str">
        <v>APOBT, 250T, cobas c pack green</v>
      </c>
      <c r="D40">
        <v>250</v>
      </c>
      <c r="E40">
        <v>182</v>
      </c>
      <c r="G40">
        <f>F40/D40</f>
        <v>0</v>
      </c>
      <c r="H40" s="4">
        <f>(360/E40)</f>
        <v>1.978021978021978</v>
      </c>
    </row>
    <row r="41" ht="15.75" customHeight="1">
      <c r="A41">
        <v>8063516190</v>
      </c>
      <c r="B41" t="str">
        <v>Indices Sericos</v>
      </c>
      <c r="C41" t="str">
        <v>SI2, 14500T, cobas c pack green</v>
      </c>
      <c r="D41">
        <v>14500</v>
      </c>
      <c r="E41">
        <v>182</v>
      </c>
      <c r="G41">
        <f>F41/D41</f>
        <v>0</v>
      </c>
      <c r="H41" s="4">
        <f>(360/E41)</f>
        <v>1.978021978021978</v>
      </c>
    </row>
    <row r="42" ht="15.75" customHeight="1">
      <c r="A42">
        <v>8057486190</v>
      </c>
      <c r="B42" t="str">
        <v>Creatinin Kinasa MB</v>
      </c>
      <c r="C42" t="str">
        <v>CKMB, 150T, cobas c pack green</v>
      </c>
      <c r="D42">
        <v>150</v>
      </c>
      <c r="E42">
        <v>56</v>
      </c>
      <c r="G42">
        <f>F42/D42</f>
        <v>0</v>
      </c>
      <c r="H42" s="4">
        <f>(360/E42)</f>
        <v>6.428571428571429</v>
      </c>
    </row>
    <row r="43" ht="15.75" customHeight="1">
      <c r="A43">
        <v>8056722190</v>
      </c>
      <c r="B43" t="str">
        <v>MICROALBUMINURIA</v>
      </c>
      <c r="C43" t="str">
        <v>ALBT2, 500T, cobas c pack green</v>
      </c>
      <c r="D43">
        <v>500</v>
      </c>
      <c r="E43">
        <v>182</v>
      </c>
      <c r="G43">
        <f>F43/D43</f>
        <v>0</v>
      </c>
      <c r="H43" s="4">
        <f>(360/E43)</f>
        <v>1.978021978021978</v>
      </c>
    </row>
    <row r="44" ht="15.75" customHeight="1">
      <c r="A44">
        <v>8058679190</v>
      </c>
      <c r="B44" t="str">
        <v>Proteinas en Orina y LCR</v>
      </c>
      <c r="C44" t="str">
        <v>TPUC3, 650T, cobas c pack green</v>
      </c>
      <c r="D44">
        <v>650</v>
      </c>
      <c r="E44">
        <v>182</v>
      </c>
      <c r="G44">
        <f>F44/D44</f>
        <v>0</v>
      </c>
      <c r="H44" s="4">
        <f>(360/E44)</f>
        <v>1.978021978021978</v>
      </c>
    </row>
    <row r="45" ht="15.75" customHeight="1">
      <c r="A45">
        <v>8057915190</v>
      </c>
      <c r="B45" t="str">
        <v>Inmunoglobulina G (Ig G)</v>
      </c>
      <c r="C45" t="str">
        <v>IGG-2, 300T, cobas c pack green</v>
      </c>
      <c r="D45">
        <v>300</v>
      </c>
      <c r="E45">
        <v>182</v>
      </c>
      <c r="G45">
        <f>F45/D45</f>
        <v>0</v>
      </c>
      <c r="H45" s="4">
        <f>(360/E45)</f>
        <v>1.978021978021978</v>
      </c>
    </row>
    <row r="46" ht="15.75" customHeight="1">
      <c r="A46">
        <v>8105472190</v>
      </c>
      <c r="B46" t="str">
        <v>Anti-Estreptolisina O (ASO)</v>
      </c>
      <c r="C46" t="str">
        <v>ASLOT, 200T, cobas c pack green</v>
      </c>
      <c r="D46">
        <v>200</v>
      </c>
      <c r="E46">
        <v>182</v>
      </c>
      <c r="G46">
        <f>F46/D46</f>
        <v>0</v>
      </c>
      <c r="H46" s="4">
        <f>(360/E46)</f>
        <v>1.978021978021978</v>
      </c>
    </row>
    <row r="47" ht="15.75" customHeight="1">
      <c r="A47">
        <v>8105553190</v>
      </c>
      <c r="B47" t="str">
        <v>Ceruloplasmina</v>
      </c>
      <c r="C47" t="str">
        <v>CERU, 200T, cobas c pack green</v>
      </c>
      <c r="D47">
        <v>200</v>
      </c>
      <c r="E47">
        <v>56</v>
      </c>
      <c r="G47">
        <f>F47/D47</f>
        <v>0</v>
      </c>
      <c r="H47" s="4">
        <f>(360/E47)</f>
        <v>6.428571428571429</v>
      </c>
    </row>
    <row r="48" ht="15.75" customHeight="1">
      <c r="A48">
        <v>8252645190</v>
      </c>
      <c r="B48" t="str">
        <v>Prealbumina</v>
      </c>
      <c r="C48" t="str">
        <v>PREA, 200T, cobas c pack green</v>
      </c>
      <c r="D48">
        <v>200</v>
      </c>
      <c r="E48">
        <v>182</v>
      </c>
      <c r="G48">
        <f>F48/D48</f>
        <v>0</v>
      </c>
      <c r="H48" s="4">
        <f>(360/E48)</f>
        <v>1.978021978021978</v>
      </c>
    </row>
    <row r="49" ht="15.75" customHeight="1">
      <c r="A49">
        <v>8106070190</v>
      </c>
      <c r="B49" t="str">
        <v>Tina-quant IgM  CSF</v>
      </c>
      <c r="C49" t="str">
        <v>IGM-C, 150T, cobas c pack green</v>
      </c>
      <c r="D49">
        <v>150</v>
      </c>
      <c r="E49">
        <v>182</v>
      </c>
      <c r="G49">
        <f>F49/D49</f>
        <v>0</v>
      </c>
      <c r="H49" s="4">
        <f>(360/E49)</f>
        <v>1.978021978021978</v>
      </c>
    </row>
    <row r="50" ht="15.75" customHeight="1">
      <c r="A50">
        <v>8106061190</v>
      </c>
      <c r="B50" t="str">
        <v>Tina-quant IgA  CSF</v>
      </c>
      <c r="C50" t="str">
        <v>IGA-C, 150T, cobas c pack green</v>
      </c>
      <c r="D50">
        <v>150</v>
      </c>
      <c r="E50">
        <v>182</v>
      </c>
      <c r="G50">
        <f>F50/D50</f>
        <v>0</v>
      </c>
      <c r="H50" s="4">
        <f>(360/E50)</f>
        <v>1.978021978021978</v>
      </c>
    </row>
    <row r="51" ht="15.75" customHeight="1">
      <c r="A51">
        <v>8058776190</v>
      </c>
      <c r="B51" t="str">
        <v>UIBC</v>
      </c>
      <c r="C51" t="str">
        <v>UIBC, 100T, cobas c pack green</v>
      </c>
      <c r="D51">
        <v>100</v>
      </c>
      <c r="E51">
        <v>56</v>
      </c>
      <c r="G51">
        <f>F51/D51</f>
        <v>0</v>
      </c>
      <c r="H51" s="4">
        <f>(360/E51)</f>
        <v>6.428571428571429</v>
      </c>
    </row>
    <row r="52" ht="15.75" customHeight="1">
      <c r="A52">
        <v>8057591190</v>
      </c>
      <c r="B52" t="str">
        <v>CRP CUANTITATIVA*</v>
      </c>
      <c r="C52" t="str">
        <v>CRP4, 500T, cobas c pack green</v>
      </c>
      <c r="D52">
        <v>500</v>
      </c>
      <c r="E52">
        <v>84</v>
      </c>
      <c r="G52">
        <f>F52/D52</f>
        <v>0</v>
      </c>
      <c r="H52" s="4">
        <f>(360/E52)</f>
        <v>4.285714285714286</v>
      </c>
    </row>
    <row r="53" ht="15.75" customHeight="1">
      <c r="A53">
        <v>8105545190</v>
      </c>
      <c r="B53" t="str">
        <v>Complemento C4</v>
      </c>
      <c r="C53" t="str">
        <v>C4-2, 150T, cobas c pack green</v>
      </c>
      <c r="D53">
        <v>150</v>
      </c>
      <c r="E53">
        <v>154</v>
      </c>
      <c r="G53">
        <f>F53/D53</f>
        <v>0</v>
      </c>
      <c r="H53" s="4">
        <f>(360/E53)</f>
        <v>2.3376623376623376</v>
      </c>
    </row>
    <row r="54" ht="15.75" customHeight="1">
      <c r="A54">
        <v>8106045190</v>
      </c>
      <c r="B54" t="str">
        <v>Haptoglobina</v>
      </c>
      <c r="C54" t="str">
        <v>HAPT2, 200T, cobas c pack green</v>
      </c>
      <c r="D54">
        <v>200</v>
      </c>
      <c r="E54">
        <v>182</v>
      </c>
      <c r="G54">
        <f>F54/D54</f>
        <v>0</v>
      </c>
      <c r="H54" s="4">
        <f>(360/E54)</f>
        <v>1.978021978021978</v>
      </c>
    </row>
    <row r="55" ht="15.75" customHeight="1">
      <c r="A55">
        <v>8105537190</v>
      </c>
      <c r="B55" t="str">
        <v>Complemento C3</v>
      </c>
      <c r="C55" t="str">
        <v>C3C-2, 150T, cobas c pack green</v>
      </c>
      <c r="D55">
        <v>150</v>
      </c>
      <c r="E55">
        <v>154</v>
      </c>
      <c r="G55">
        <f>F55/D55</f>
        <v>0</v>
      </c>
      <c r="H55" s="4">
        <f>(360/E55)</f>
        <v>2.3376623376623376</v>
      </c>
    </row>
    <row r="56" ht="15.75" customHeight="1">
      <c r="A56">
        <v>8106088190</v>
      </c>
      <c r="B56" t="str">
        <v>Cadenas Ligeras Totales Kappa</v>
      </c>
      <c r="C56" t="str">
        <v>KAPP2, 100T, cobas c pack green</v>
      </c>
      <c r="D56">
        <v>100</v>
      </c>
      <c r="E56">
        <v>182</v>
      </c>
      <c r="G56">
        <f>F56/D56</f>
        <v>0</v>
      </c>
      <c r="H56" s="4">
        <f>(360/E56)</f>
        <v>1.978021978021978</v>
      </c>
    </row>
    <row r="57" ht="15.75" customHeight="1">
      <c r="A57">
        <v>8106096190</v>
      </c>
      <c r="B57" t="str">
        <v>Cadenas Ligeras Totales Lambda</v>
      </c>
      <c r="C57" t="str">
        <v>LAMB2, 100T, cobas c pack green</v>
      </c>
      <c r="D57">
        <v>100</v>
      </c>
      <c r="E57">
        <v>182</v>
      </c>
      <c r="G57">
        <f>F57/D57</f>
        <v>0</v>
      </c>
      <c r="H57" s="4">
        <f>(360/E57)</f>
        <v>1.978021978021978</v>
      </c>
    </row>
    <row r="58" ht="15.75" customHeight="1">
      <c r="A58">
        <v>8101396190</v>
      </c>
      <c r="B58" t="str">
        <v>Tina-quant α1-Antitrypsin  ver.2</v>
      </c>
      <c r="C58" t="str">
        <v>AAT2, 200T, cobas c pack green</v>
      </c>
      <c r="D58">
        <v>200</v>
      </c>
      <c r="E58">
        <v>182</v>
      </c>
      <c r="G58">
        <f>F58/D58</f>
        <v>0</v>
      </c>
      <c r="H58" s="4">
        <f>(360/E58)</f>
        <v>1.978021978021978</v>
      </c>
    </row>
    <row r="59" ht="15.75" customHeight="1">
      <c r="A59">
        <v>8058733190</v>
      </c>
      <c r="B59" t="str">
        <v>Transferrina</v>
      </c>
      <c r="C59" t="str">
        <v>TRSF2, 500T, cobas c pack green</v>
      </c>
      <c r="D59">
        <v>500</v>
      </c>
      <c r="E59">
        <v>182</v>
      </c>
      <c r="G59">
        <f>F59/D59</f>
        <v>0</v>
      </c>
      <c r="H59" s="4">
        <f>(360/E59)</f>
        <v>1.978021978021978</v>
      </c>
    </row>
    <row r="60" ht="15.75" customHeight="1">
      <c r="A60">
        <v>8057648190</v>
      </c>
      <c r="B60" t="str">
        <v>Tina-quant Ferritin  Gen.4</v>
      </c>
      <c r="C60" t="str">
        <v>FERR4, 400T, cobas c pack green</v>
      </c>
      <c r="D60">
        <v>400</v>
      </c>
      <c r="E60">
        <v>182</v>
      </c>
      <c r="G60">
        <f>F60/D60</f>
        <v>0</v>
      </c>
      <c r="H60" s="4">
        <f>(360/E60)</f>
        <v>1.978021978021978</v>
      </c>
    </row>
    <row r="61" ht="15.75" customHeight="1">
      <c r="A61">
        <v>8057923190</v>
      </c>
      <c r="B61" t="str">
        <v>Inmunoglobulina M (Ig M) en suero</v>
      </c>
      <c r="C61" t="str">
        <v>IGM-2, 300T, cobas c pack green</v>
      </c>
      <c r="D61">
        <v>300</v>
      </c>
      <c r="E61">
        <v>182</v>
      </c>
      <c r="G61">
        <f>F61/D61</f>
        <v>0</v>
      </c>
      <c r="H61" s="4">
        <f>(360/E61)</f>
        <v>1.978021978021978</v>
      </c>
    </row>
    <row r="62" ht="15.75" customHeight="1">
      <c r="A62" s="6" t="str">
        <v>8057915190</v>
      </c>
      <c r="B62" t="str">
        <v>Inmunoglobulina G (Ig G) en suero</v>
      </c>
      <c r="C62" s="6" t="str">
        <v>IGG-2, 300T, cobas c pack green</v>
      </c>
      <c r="D62">
        <v>300</v>
      </c>
      <c r="E62">
        <v>182</v>
      </c>
      <c r="G62">
        <f>F62/D62</f>
        <v>0</v>
      </c>
      <c r="H62" s="4">
        <f>(360/E62)</f>
        <v>1.978021978021978</v>
      </c>
    </row>
    <row r="63" ht="15.75" customHeight="1">
      <c r="A63">
        <v>8057885190</v>
      </c>
      <c r="B63" t="str">
        <v>Inmunoglobulina A (Ig A) en suero</v>
      </c>
      <c r="C63" t="str">
        <v>IGA-2, 300T, cobas c pack green</v>
      </c>
      <c r="D63">
        <v>300</v>
      </c>
      <c r="E63">
        <v>182</v>
      </c>
      <c r="G63">
        <f>F63/D63</f>
        <v>0</v>
      </c>
      <c r="H63" s="4">
        <f>(360/E63)</f>
        <v>1.978021978021978</v>
      </c>
    </row>
    <row r="64" ht="15.75" customHeight="1">
      <c r="A64">
        <v>8056668190</v>
      </c>
      <c r="B64" t="str">
        <v>Hemoglobina Glicosilada alto rendimiento</v>
      </c>
      <c r="C64" t="str">
        <v>A1CX3, 500T, cobas c pack green</v>
      </c>
      <c r="D64">
        <v>500</v>
      </c>
      <c r="E64">
        <v>182</v>
      </c>
      <c r="G64">
        <f>F64/D64</f>
        <v>0</v>
      </c>
      <c r="H64" s="4">
        <f>(360/E64)</f>
        <v>1.978021978021978</v>
      </c>
    </row>
    <row r="65" ht="15.75" customHeight="1">
      <c r="A65">
        <v>8445699190</v>
      </c>
      <c r="B65" t="str">
        <v>Hemoglobina Glicosilada bajo rendimiento</v>
      </c>
      <c r="C65" t="str">
        <v>A1CX3, 200T, cobas c pack green</v>
      </c>
      <c r="D65">
        <v>200</v>
      </c>
      <c r="E65">
        <v>28</v>
      </c>
      <c r="G65">
        <f>F65/D65</f>
        <v>0</v>
      </c>
      <c r="H65" s="4">
        <f>(360/E65)</f>
        <v>12.857142857142858</v>
      </c>
    </row>
    <row r="66" ht="15.75" customHeight="1">
      <c r="A66">
        <v>8105626190</v>
      </c>
      <c r="B66" t="str">
        <v>DIMERO D</v>
      </c>
      <c r="C66" t="str">
        <v>D-Dimer Gen.2,100Test,cobas c pack green</v>
      </c>
      <c r="D66">
        <v>100</v>
      </c>
      <c r="E66">
        <v>182</v>
      </c>
      <c r="G66">
        <f>F66/D66</f>
        <v>0</v>
      </c>
      <c r="H66" s="4">
        <f>(360/E66)</f>
        <v>1.978021978021978</v>
      </c>
    </row>
    <row r="67" ht="15.75" customHeight="1">
      <c r="A67">
        <v>8105529190</v>
      </c>
      <c r="B67" t="str">
        <v>B2-Microglobulina</v>
      </c>
      <c r="C67" t="str">
        <v>B2MG, 150T, cobas c pack green</v>
      </c>
      <c r="D67">
        <v>150</v>
      </c>
      <c r="E67">
        <v>84</v>
      </c>
      <c r="G67">
        <f>F67/D67</f>
        <v>0</v>
      </c>
      <c r="H67" s="4">
        <f>(360/E67)</f>
        <v>4.285714285714286</v>
      </c>
    </row>
    <row r="68" ht="15.75" customHeight="1">
      <c r="A68">
        <v>8106126190</v>
      </c>
      <c r="B68" t="str">
        <v>Lipoproteina A</v>
      </c>
      <c r="C68" t="str">
        <v>LPA2, 150T, cobas c pack green</v>
      </c>
      <c r="D68">
        <v>150</v>
      </c>
      <c r="E68">
        <v>182</v>
      </c>
      <c r="G68">
        <f>F68/D68</f>
        <v>0</v>
      </c>
      <c r="H68" s="4">
        <f>(360/E68)</f>
        <v>1.978021978021978</v>
      </c>
    </row>
    <row r="69" ht="15.75" customHeight="1">
      <c r="A69">
        <v>8105596190</v>
      </c>
      <c r="B69" t="str">
        <v>Cistatina C</v>
      </c>
      <c r="C69" t="str">
        <v>CYSC2, 250T, cobas c pack green</v>
      </c>
      <c r="D69">
        <v>250</v>
      </c>
      <c r="E69">
        <v>182</v>
      </c>
      <c r="G69">
        <f>F69/D69</f>
        <v>0</v>
      </c>
      <c r="H69" s="4">
        <f>(360/E69)</f>
        <v>1.978021978021978</v>
      </c>
    </row>
    <row r="70" ht="15.75" customHeight="1">
      <c r="A70">
        <v>8057826190</v>
      </c>
      <c r="B70" t="str">
        <v>Homocisteina</v>
      </c>
      <c r="C70" t="str">
        <v>HCYS, 100T, cobas c pack green</v>
      </c>
      <c r="D70">
        <v>100</v>
      </c>
      <c r="E70">
        <v>28</v>
      </c>
      <c r="G70">
        <f>F70/D70</f>
        <v>0</v>
      </c>
      <c r="H70" s="4">
        <f>(360/E70)</f>
        <v>12.857142857142858</v>
      </c>
    </row>
    <row r="71" ht="15.75" customHeight="1">
      <c r="A71">
        <v>8057494190</v>
      </c>
      <c r="B71" t="str">
        <v>Bicarbonato</v>
      </c>
      <c r="C71" t="str">
        <v>CO2-L, 250T, cobas c pack green</v>
      </c>
      <c r="D71">
        <v>250</v>
      </c>
      <c r="E71">
        <v>42</v>
      </c>
      <c r="G71">
        <f>F71/D71</f>
        <v>0</v>
      </c>
      <c r="H71" s="4">
        <f>(360/E71)</f>
        <v>8.571428571428571</v>
      </c>
    </row>
    <row r="72" ht="15.75" customHeight="1">
      <c r="A72">
        <v>8058024190</v>
      </c>
      <c r="B72" t="str">
        <v>Amonio Plasmatico</v>
      </c>
      <c r="C72" t="str">
        <v>NH3L2, 300T cobas c pack green</v>
      </c>
      <c r="D72">
        <v>300</v>
      </c>
      <c r="E72">
        <v>112</v>
      </c>
      <c r="G72">
        <f>F72/D72</f>
        <v>0</v>
      </c>
      <c r="H72" s="4">
        <f>(360/E72)</f>
        <v>3.2142857142857144</v>
      </c>
    </row>
    <row r="73" ht="15.75" customHeight="1">
      <c r="A73">
        <v>8057630190</v>
      </c>
      <c r="B73" t="str">
        <v>Etanol alto rendimiento</v>
      </c>
      <c r="C73" t="str">
        <v>ETOH2, 850T, cobas c pack green</v>
      </c>
      <c r="D73">
        <v>850</v>
      </c>
      <c r="E73">
        <v>84</v>
      </c>
      <c r="G73">
        <f>F73/D73</f>
        <v>0</v>
      </c>
      <c r="H73" s="4">
        <f>(360/E73)</f>
        <v>4.285714285714286</v>
      </c>
    </row>
    <row r="74" ht="15.75" customHeight="1">
      <c r="A74">
        <v>8445672190</v>
      </c>
      <c r="B74" t="str">
        <v>Etanol bajo rendimiento</v>
      </c>
      <c r="C74" t="str">
        <v>ETOH2, 150T, cobas c pack green</v>
      </c>
      <c r="D74">
        <v>150</v>
      </c>
      <c r="E74">
        <v>84</v>
      </c>
      <c r="G74">
        <f>F74/D74</f>
        <v>0</v>
      </c>
      <c r="H74" s="4">
        <f>(360/E74)</f>
        <v>4.285714285714286</v>
      </c>
    </row>
    <row r="75" ht="15.75" customHeight="1">
      <c r="A75">
        <v>8105677190</v>
      </c>
      <c r="B75" t="str">
        <v>FRUCTOSAMINA</v>
      </c>
      <c r="C75" t="str">
        <v>FRA, 550T, cobas c pack green</v>
      </c>
      <c r="D75">
        <v>550</v>
      </c>
      <c r="E75">
        <v>56</v>
      </c>
      <c r="G75">
        <f>F75/D75</f>
        <v>0</v>
      </c>
      <c r="H75" s="4">
        <f>(360/E75)</f>
        <v>6.428571428571429</v>
      </c>
    </row>
    <row r="76" ht="15.75" customHeight="1">
      <c r="A76">
        <v>8252629190</v>
      </c>
      <c r="B76" t="str">
        <v>Tina-quant Myoglobin  Gen.2</v>
      </c>
      <c r="C76" t="str">
        <v>MYO2, 200T, cobas c pack green</v>
      </c>
      <c r="D76">
        <v>200</v>
      </c>
      <c r="E76">
        <v>84</v>
      </c>
      <c r="G76">
        <f>F76/D76</f>
        <v>0</v>
      </c>
      <c r="H76" s="4">
        <f>(360/E76)</f>
        <v>4.285714285714286</v>
      </c>
    </row>
    <row r="77" ht="15.75" customHeight="1">
      <c r="A77">
        <v>8058628190</v>
      </c>
      <c r="B77" t="str">
        <v>Factor Reumatoideo cuantitativo*</v>
      </c>
      <c r="C77" t="str">
        <v>RF-II, 400T, cobas c pack green</v>
      </c>
      <c r="D77">
        <v>400</v>
      </c>
      <c r="E77">
        <v>56</v>
      </c>
      <c r="G77">
        <f>F77/D77</f>
        <v>0</v>
      </c>
      <c r="H77" s="4">
        <f>(360/E77)</f>
        <v>6.428571428571429</v>
      </c>
    </row>
    <row r="78" ht="15.75" customHeight="1">
      <c r="A78">
        <v>8445567190</v>
      </c>
      <c r="B78" t="str">
        <v>Fenitoína  libre y total</v>
      </c>
      <c r="C78" t="str">
        <v>PHNY2, 100T, cobas c pack green</v>
      </c>
      <c r="D78">
        <v>100</v>
      </c>
      <c r="E78">
        <v>84</v>
      </c>
      <c r="G78">
        <f>F78/D78</f>
        <v>0</v>
      </c>
      <c r="H78" s="4">
        <f>(360/E78)</f>
        <v>4.285714285714286</v>
      </c>
    </row>
    <row r="79" ht="15.75" customHeight="1">
      <c r="A79">
        <v>8058580190</v>
      </c>
      <c r="B79" t="str">
        <v>Fenobarbital</v>
      </c>
      <c r="C79" t="str">
        <v>PHNO2, 200T, cobas c pack green</v>
      </c>
      <c r="D79">
        <v>200</v>
      </c>
      <c r="E79">
        <v>90</v>
      </c>
      <c r="G79">
        <f>F79/D79</f>
        <v>0</v>
      </c>
      <c r="H79" s="4">
        <f>(360/E79)</f>
        <v>4</v>
      </c>
    </row>
    <row r="80" ht="15.75" customHeight="1">
      <c r="A80">
        <v>8057435190</v>
      </c>
      <c r="B80" t="str">
        <v>CARBAMAZEPINA</v>
      </c>
      <c r="C80" t="str">
        <v>CARB4, 500T, cobas c pack green</v>
      </c>
      <c r="D80">
        <v>500</v>
      </c>
      <c r="E80">
        <v>182</v>
      </c>
      <c r="G80">
        <f>F80/D80</f>
        <v>0</v>
      </c>
      <c r="H80" s="4">
        <f>(360/E80)</f>
        <v>1.978021978021978</v>
      </c>
    </row>
    <row r="81" ht="15.75" customHeight="1">
      <c r="A81">
        <v>8445575190</v>
      </c>
      <c r="B81" t="str">
        <v>Ácido valproico</v>
      </c>
      <c r="C81" t="str">
        <v>VALP2, 200T, cobas c pack green</v>
      </c>
      <c r="D81">
        <v>200</v>
      </c>
      <c r="E81">
        <v>126</v>
      </c>
      <c r="G81">
        <f>F81/D81</f>
        <v>0</v>
      </c>
      <c r="H81" s="4">
        <f>(360/E81)</f>
        <v>2.857142857142857</v>
      </c>
    </row>
    <row r="82" ht="15.75" customHeight="1">
      <c r="A82">
        <v>8058849190</v>
      </c>
      <c r="B82" t="str">
        <v>Vancomicina</v>
      </c>
      <c r="C82" t="str">
        <v>VANC3, 200T, cobas c pack green</v>
      </c>
      <c r="D82">
        <v>200</v>
      </c>
      <c r="E82">
        <v>84</v>
      </c>
      <c r="G82">
        <f>F82/D82</f>
        <v>0</v>
      </c>
      <c r="H82" s="4">
        <f>(360/E82)</f>
        <v>4.285714285714286</v>
      </c>
    </row>
    <row r="83" ht="15.75" customHeight="1">
      <c r="E83" s="5" t="str">
        <v>TOTAL DET</v>
      </c>
      <c r="F83" s="5">
        <f>SUM(F9:F82)</f>
        <v>0</v>
      </c>
    </row>
    <row r="84" ht="15.75" customHeight="1">
      <c r="A84" t="str">
        <v>CONTROLES Y CALIBRADORES</v>
      </c>
      <c r="D84" t="str">
        <v>PRESENTACION</v>
      </c>
      <c r="E84" t="str">
        <v>DIAS ESTABILDAD</v>
      </c>
      <c r="G84" t="str">
        <v>PRODUCTO CALCULADO</v>
      </c>
      <c r="H84" s="4" t="str">
        <v>MINIMOS POR ESTABILIDAD</v>
      </c>
      <c r="I84" s="4" t="str">
        <v>PRODUCTO A ENTREGAR</v>
      </c>
    </row>
    <row r="85" ht="15.75" customHeight="1">
      <c r="A85">
        <v>10759350190</v>
      </c>
      <c r="B85" t="str">
        <v>Calibrator f.a.s.</v>
      </c>
      <c r="C85" t="str">
        <v>Calibrator f.a.s.</v>
      </c>
      <c r="D85">
        <v>12</v>
      </c>
      <c r="E85">
        <v>28</v>
      </c>
      <c r="H85" s="4">
        <f>(360/E85)</f>
        <v>12.857142857142858</v>
      </c>
    </row>
    <row r="86" ht="15.75" customHeight="1">
      <c r="A86">
        <v>3121313122</v>
      </c>
      <c r="B86" t="str">
        <v>PRECINORM PUC</v>
      </c>
      <c r="C86" t="str">
        <v>PRECINORM PUC</v>
      </c>
      <c r="D86">
        <v>4</v>
      </c>
      <c r="E86">
        <v>28</v>
      </c>
      <c r="H86" s="4">
        <f>(360/E86)</f>
        <v>12.857142857142858</v>
      </c>
    </row>
    <row r="87" ht="15.75" customHeight="1">
      <c r="A87">
        <v>3121291122</v>
      </c>
      <c r="B87" t="str">
        <v>PRECIPATH PUC</v>
      </c>
      <c r="C87" t="str">
        <v>PRECIPATH PUC</v>
      </c>
      <c r="D87">
        <v>4</v>
      </c>
      <c r="E87">
        <v>28</v>
      </c>
      <c r="H87" s="4">
        <f>(360/E87)</f>
        <v>12.857142857142858</v>
      </c>
    </row>
    <row r="88" ht="15.75" customHeight="1">
      <c r="A88">
        <v>12172623122</v>
      </c>
      <c r="B88" t="str">
        <v xml:space="preserve">Calibrator f.a.s. Lipids </v>
      </c>
      <c r="C88" t="str">
        <v>Cfas Lipids 3x1ML</v>
      </c>
      <c r="D88">
        <v>3</v>
      </c>
      <c r="E88">
        <v>28</v>
      </c>
      <c r="H88" s="4">
        <f>(360/E88)</f>
        <v>12.857142857142858</v>
      </c>
    </row>
    <row r="89" ht="15.75" customHeight="1">
      <c r="A89">
        <v>11447394216</v>
      </c>
      <c r="B89" t="str">
        <v xml:space="preserve">Calibrator f.a.s. CK-MB </v>
      </c>
      <c r="C89" t="str">
        <v>Cfas CK.MB 3x1ML</v>
      </c>
      <c r="D89">
        <v>3</v>
      </c>
      <c r="E89">
        <v>28</v>
      </c>
      <c r="H89" s="4">
        <f>(360/E89)</f>
        <v>12.857142857142858</v>
      </c>
    </row>
    <row r="90" ht="15.75" customHeight="1">
      <c r="A90">
        <v>3121305122</v>
      </c>
      <c r="B90" t="str">
        <v>Cfas Proteins U</v>
      </c>
      <c r="C90" t="str">
        <v>C.f.a.s. PUC</v>
      </c>
      <c r="D90">
        <v>5</v>
      </c>
      <c r="E90">
        <v>28</v>
      </c>
      <c r="H90" s="4">
        <f>(360/E90)</f>
        <v>12.857142857142858</v>
      </c>
    </row>
    <row r="91" ht="15.75" customHeight="1">
      <c r="A91">
        <v>3555941190</v>
      </c>
      <c r="B91" t="str">
        <v>C.f.a.s. PAC</v>
      </c>
      <c r="C91" t="str">
        <v>C.f.a.s. PAC</v>
      </c>
      <c r="D91">
        <v>3</v>
      </c>
      <c r="E91">
        <v>14</v>
      </c>
      <c r="H91" s="4">
        <f>(360/E91)</f>
        <v>25.714285714285715</v>
      </c>
    </row>
    <row r="92" ht="15.75" customHeight="1">
      <c r="A92">
        <v>6533850190</v>
      </c>
      <c r="B92" t="str">
        <v>Calibrator f.a.s. IgA/IgM CSF</v>
      </c>
      <c r="C92" t="str">
        <v>Calibrator f.a.s. IgA/IgM CSF</v>
      </c>
      <c r="D92">
        <v>3</v>
      </c>
      <c r="E92">
        <v>14</v>
      </c>
      <c r="H92" s="4">
        <f>(360/E92)</f>
        <v>25.714285714285715</v>
      </c>
    </row>
    <row r="93" ht="15.75" customHeight="1">
      <c r="A93">
        <v>12146401216</v>
      </c>
      <c r="B93" t="str">
        <v>Fe Standard</v>
      </c>
      <c r="C93" t="str">
        <v>Fe Standard</v>
      </c>
      <c r="D93">
        <v>1</v>
      </c>
      <c r="E93">
        <v>183</v>
      </c>
      <c r="H93" s="4">
        <f>(360/E93)</f>
        <v>1.9672131147540983</v>
      </c>
    </row>
    <row r="94" ht="15.75" customHeight="1">
      <c r="A94">
        <v>11355279216</v>
      </c>
      <c r="B94" t="str">
        <v>Calibrator f.a.s.proteins</v>
      </c>
      <c r="C94" t="str">
        <v>Calibrator f.a.s.proteins</v>
      </c>
      <c r="D94">
        <v>5</v>
      </c>
      <c r="E94">
        <v>28</v>
      </c>
      <c r="H94" s="4">
        <f>(360/E94)</f>
        <v>12.857142857142858</v>
      </c>
    </row>
    <row r="95" ht="15.75" customHeight="1">
      <c r="A95">
        <v>5117003190</v>
      </c>
      <c r="B95" t="str">
        <v>PreciControl ClinChem Multi 1,20x5ml</v>
      </c>
      <c r="C95" t="str">
        <v>PreciControl ClinChem Multi 1,20x5ml</v>
      </c>
      <c r="D95">
        <v>20</v>
      </c>
      <c r="E95">
        <v>28</v>
      </c>
      <c r="H95" s="4">
        <f>(360/E95)</f>
        <v>12.857142857142858</v>
      </c>
    </row>
    <row r="96" ht="15.75" customHeight="1">
      <c r="A96">
        <v>5117216190</v>
      </c>
      <c r="B96" t="str">
        <v>PreciControl ClinChem Multi 2,20x5ml</v>
      </c>
      <c r="C96" t="str">
        <v>PreciControl ClinChem Multi 2,20x5ml</v>
      </c>
      <c r="D96">
        <v>20</v>
      </c>
      <c r="E96">
        <v>14</v>
      </c>
      <c r="H96" s="4">
        <f>(360/E96)</f>
        <v>25.714285714285715</v>
      </c>
    </row>
    <row r="97" ht="15.75" customHeight="1">
      <c r="A97">
        <v>5117208922</v>
      </c>
      <c r="B97" t="str">
        <v>PreciControl ClinChem Multi 1 QCS,20x5ml</v>
      </c>
      <c r="C97" t="str">
        <v>PreciControl ClinChem Multi 1 QCS,20x5ml</v>
      </c>
      <c r="D97">
        <v>20</v>
      </c>
      <c r="H97" s="4" t="e">
        <f>(360/E97)</f>
        <v>#DIV/0!</v>
      </c>
    </row>
    <row r="98" ht="15.75" customHeight="1">
      <c r="A98">
        <v>5117291922</v>
      </c>
      <c r="B98" t="str">
        <v>PreciControl ClinChem Multi 2 QCS,20x5ml</v>
      </c>
      <c r="C98" t="str">
        <v>PreciControl ClinChem Multi 2 QCS,20x5ml</v>
      </c>
      <c r="D98">
        <v>20</v>
      </c>
      <c r="H98" s="4" t="e">
        <f>(360/E98)</f>
        <v>#DIV/0!</v>
      </c>
    </row>
    <row r="99" ht="15.75" customHeight="1">
      <c r="A99">
        <v>5947626190</v>
      </c>
      <c r="B99" t="str">
        <v>PreciControl ClinChem Multi 1, 4x5 ml</v>
      </c>
      <c r="C99" t="str">
        <v>PreciControl ClinChem Multi 1, 4x5 ml</v>
      </c>
      <c r="D99">
        <v>4</v>
      </c>
      <c r="E99">
        <v>14</v>
      </c>
      <c r="H99" s="4">
        <f>(360/E99)</f>
        <v>25.714285714285715</v>
      </c>
    </row>
    <row r="100" ht="15.75" customHeight="1">
      <c r="A100">
        <v>5947774190</v>
      </c>
      <c r="B100" t="str">
        <v>PreciControl ClinChem Multi 2, 4x5 ml</v>
      </c>
      <c r="C100" t="str">
        <v>PreciControl ClinChem Multi 2, 4x5 ml</v>
      </c>
      <c r="D100">
        <v>4</v>
      </c>
      <c r="E100">
        <v>14</v>
      </c>
      <c r="H100" s="4">
        <f>(360/E100)</f>
        <v>25.714285714285715</v>
      </c>
    </row>
    <row r="101" ht="15.75" customHeight="1">
      <c r="A101">
        <v>4528417190</v>
      </c>
      <c r="B101" t="str">
        <v>Cfas HbA1c</v>
      </c>
      <c r="C101" t="str">
        <v>Cfas HbA1c</v>
      </c>
      <c r="D101">
        <v>3</v>
      </c>
      <c r="E101">
        <v>84</v>
      </c>
      <c r="H101" s="4">
        <f>(360/E101)</f>
        <v>4.285714285714286</v>
      </c>
    </row>
    <row r="102" ht="15.75" customHeight="1">
      <c r="A102">
        <v>5479207190</v>
      </c>
      <c r="B102" t="str">
        <v>PreciControl HbA1c norm</v>
      </c>
      <c r="C102" t="str">
        <v>PreciControl HbA1c norm</v>
      </c>
      <c r="D102">
        <v>4</v>
      </c>
      <c r="E102">
        <v>28</v>
      </c>
      <c r="H102" s="4">
        <f>(360/E102)</f>
        <v>12.857142857142858</v>
      </c>
    </row>
    <row r="103" ht="15.75" customHeight="1">
      <c r="A103">
        <v>5912504190</v>
      </c>
      <c r="B103" t="str">
        <v>PreciControl HbA1c path</v>
      </c>
      <c r="C103" t="str">
        <v>PreciControl HbA1c path</v>
      </c>
      <c r="D103">
        <v>4</v>
      </c>
      <c r="E103">
        <v>28</v>
      </c>
      <c r="H103" s="4">
        <f>(360/E103)</f>
        <v>12.857142857142858</v>
      </c>
    </row>
    <row r="104" ht="15.75" customHeight="1">
      <c r="A104">
        <v>5050901190</v>
      </c>
      <c r="B104" t="str">
        <v>D-Dimer Gen.2 Calibrator Set</v>
      </c>
      <c r="D104">
        <v>1</v>
      </c>
      <c r="E104">
        <v>84</v>
      </c>
      <c r="H104" s="4">
        <f>(360/E104)</f>
        <v>4.285714285714286</v>
      </c>
    </row>
    <row r="105" ht="15.75" customHeight="1">
      <c r="A105">
        <v>5050936190</v>
      </c>
      <c r="B105" t="str">
        <v>D-Dimer Gen.2 Control I/II</v>
      </c>
      <c r="D105">
        <v>2</v>
      </c>
      <c r="E105">
        <v>84</v>
      </c>
      <c r="H105" s="4">
        <f>(360/E105)</f>
        <v>4.285714285714286</v>
      </c>
    </row>
    <row r="106" ht="15.75" customHeight="1">
      <c r="A106">
        <v>8047545190</v>
      </c>
      <c r="B106" t="str">
        <v>Calibrator β2‑Microglobulin</v>
      </c>
      <c r="D106">
        <v>2</v>
      </c>
      <c r="E106">
        <v>84</v>
      </c>
      <c r="H106" s="4">
        <f>(360/E106)</f>
        <v>4.285714285714286</v>
      </c>
    </row>
    <row r="107" ht="15.75" customHeight="1">
      <c r="A107">
        <v>8362785190</v>
      </c>
      <c r="B107" t="str">
        <v>Control Set  β2‑Microglobulin (Nivel 1-2)</v>
      </c>
      <c r="D107">
        <v>2</v>
      </c>
      <c r="E107">
        <v>84</v>
      </c>
      <c r="H107" s="4">
        <f>(360/E107)</f>
        <v>4.285714285714286</v>
      </c>
    </row>
    <row r="108" ht="15.75" customHeight="1">
      <c r="A108">
        <v>5852641190</v>
      </c>
      <c r="B108" t="str">
        <v>Preciset Lp(a) Gen.2</v>
      </c>
      <c r="D108">
        <v>1</v>
      </c>
      <c r="E108">
        <v>14</v>
      </c>
      <c r="H108" s="4">
        <f>(360/E108)</f>
        <v>25.714285714285715</v>
      </c>
    </row>
    <row r="109" ht="15.75" customHeight="1">
      <c r="A109">
        <v>5852650190</v>
      </c>
      <c r="B109" t="str">
        <v>PreciControl Lp(a) Gen.2</v>
      </c>
      <c r="D109">
        <v>2</v>
      </c>
      <c r="E109">
        <v>14</v>
      </c>
      <c r="H109" s="4">
        <f>(360/E109)</f>
        <v>25.714285714285715</v>
      </c>
    </row>
    <row r="110" ht="15.75" customHeight="1">
      <c r="A110">
        <v>4975901191</v>
      </c>
      <c r="B110" t="str">
        <v>C.f.a.s. Cystatin C</v>
      </c>
      <c r="D110">
        <v>1</v>
      </c>
      <c r="E110">
        <v>30</v>
      </c>
      <c r="H110" s="4">
        <f>(360/E110)</f>
        <v>12</v>
      </c>
    </row>
    <row r="111" ht="15.75" customHeight="1">
      <c r="A111">
        <v>6729371190</v>
      </c>
      <c r="B111" t="str">
        <v>Cystatin C  Control  Set  Gen.2 (1,2,3)</v>
      </c>
      <c r="D111">
        <v>3</v>
      </c>
      <c r="E111">
        <v>30</v>
      </c>
      <c r="H111" s="4">
        <f>(360/E111)</f>
        <v>12</v>
      </c>
    </row>
    <row r="112" ht="15.75" customHeight="1">
      <c r="A112">
        <v>5385504190</v>
      </c>
      <c r="B112" t="str">
        <v>HCYS Calibrator Kit</v>
      </c>
      <c r="D112">
        <v>2</v>
      </c>
      <c r="E112">
        <v>28</v>
      </c>
      <c r="H112" s="4">
        <f>(360/E112)</f>
        <v>12.857142857142858</v>
      </c>
    </row>
    <row r="113" ht="15.75" customHeight="1">
      <c r="A113">
        <v>5142423190</v>
      </c>
      <c r="B113" t="str">
        <v>HCYS Control Kit Control 1 y 2</v>
      </c>
      <c r="D113">
        <v>2</v>
      </c>
      <c r="E113">
        <v>28</v>
      </c>
      <c r="H113" s="4">
        <f>(360/E113)</f>
        <v>12.857142857142858</v>
      </c>
    </row>
    <row r="114" ht="15.75" customHeight="1">
      <c r="A114">
        <v>20751995190</v>
      </c>
      <c r="B114" t="str">
        <v>Ammonia/Ethanol/CO2 Calibrator</v>
      </c>
      <c r="C114" t="str">
        <v>NH3/ETH/CO2 Calibrator</v>
      </c>
      <c r="D114">
        <v>2</v>
      </c>
      <c r="E114">
        <v>56</v>
      </c>
      <c r="H114" s="4">
        <f>(360/E114)</f>
        <v>6.428571428571429</v>
      </c>
    </row>
    <row r="115" ht="15.75" customHeight="1">
      <c r="A115">
        <v>20752401190</v>
      </c>
      <c r="B115" t="str">
        <v xml:space="preserve">Ammonia/Ethanol/CO2 Control  Normal </v>
      </c>
      <c r="C115" t="str">
        <v>NH3/ETH/CO2 Control N</v>
      </c>
      <c r="D115">
        <v>5</v>
      </c>
      <c r="E115">
        <v>56</v>
      </c>
      <c r="H115" s="4">
        <f>(360/E115)</f>
        <v>6.428571428571429</v>
      </c>
    </row>
    <row r="116" ht="15.75" customHeight="1">
      <c r="A116">
        <v>20753009190</v>
      </c>
      <c r="B116" t="str">
        <v>Ammonia/Ethanol/CO2 Control Abnormal</v>
      </c>
      <c r="C116" t="str">
        <v>NH3/ETH/CO2 Control A</v>
      </c>
      <c r="D116">
        <v>5</v>
      </c>
      <c r="E116">
        <v>56</v>
      </c>
      <c r="H116" s="4">
        <f>(360/E116)</f>
        <v>6.428571428571429</v>
      </c>
    </row>
    <row r="117" ht="15.75" customHeight="1">
      <c r="A117">
        <v>11098993122</v>
      </c>
      <c r="B117" t="str">
        <v>Precimat Fructosamina</v>
      </c>
      <c r="C117" t="str">
        <v>PRECIMAT FRUC 3x1ML</v>
      </c>
      <c r="D117">
        <v>3</v>
      </c>
      <c r="E117">
        <v>28</v>
      </c>
      <c r="H117" s="4">
        <f>(360/E117)</f>
        <v>12.857142857142858</v>
      </c>
    </row>
    <row r="118" ht="15.75" customHeight="1">
      <c r="A118">
        <v>11098985122</v>
      </c>
      <c r="B118" t="str">
        <v>PRECINORM FRUC</v>
      </c>
      <c r="D118">
        <v>3</v>
      </c>
      <c r="E118">
        <v>28</v>
      </c>
      <c r="H118" s="4">
        <f>(360/E118)</f>
        <v>12.857142857142858</v>
      </c>
    </row>
    <row r="119" ht="15.75" customHeight="1">
      <c r="A119">
        <v>11174118122</v>
      </c>
      <c r="B119" t="str">
        <v>PRECIPATH FRUC</v>
      </c>
      <c r="D119">
        <v>3</v>
      </c>
      <c r="E119">
        <v>28</v>
      </c>
      <c r="H119" s="4">
        <f>(360/E119)</f>
        <v>12.857142857142858</v>
      </c>
    </row>
    <row r="120" ht="15.75" customHeight="1">
      <c r="A120">
        <v>4580044190</v>
      </c>
      <c r="B120" t="str">
        <v>C.f.a.s. Myoglobin</v>
      </c>
      <c r="D120">
        <v>3</v>
      </c>
      <c r="E120">
        <v>28</v>
      </c>
      <c r="H120" s="4">
        <f>(360/E120)</f>
        <v>12.857142857142858</v>
      </c>
    </row>
    <row r="121" ht="15.75" customHeight="1">
      <c r="A121">
        <v>11730835216</v>
      </c>
      <c r="B121" t="str">
        <v>Myoglobin Control Set (Nivel I, II)</v>
      </c>
      <c r="D121">
        <v>2</v>
      </c>
      <c r="E121">
        <v>56</v>
      </c>
      <c r="H121" s="4">
        <f>(360/E121)</f>
        <v>6.428571428571429</v>
      </c>
    </row>
    <row r="122" ht="15.75" customHeight="1">
      <c r="A122">
        <v>12172828322</v>
      </c>
      <c r="B122" t="str">
        <v>Preciset RF</v>
      </c>
      <c r="D122">
        <v>1</v>
      </c>
      <c r="E122">
        <v>30</v>
      </c>
      <c r="H122" s="4">
        <f>(360/E122)</f>
        <v>12</v>
      </c>
    </row>
    <row r="123" ht="15.75" customHeight="1">
      <c r="A123">
        <v>3005496122</v>
      </c>
      <c r="B123" t="str">
        <v>RF Control Set</v>
      </c>
      <c r="D123">
        <v>4</v>
      </c>
      <c r="E123">
        <v>30</v>
      </c>
      <c r="H123" s="4">
        <f>(360/E123)</f>
        <v>12</v>
      </c>
    </row>
    <row r="124" ht="15.75" customHeight="1">
      <c r="A124">
        <v>3375790190</v>
      </c>
      <c r="B124" t="str">
        <v>HITACHI I PRECISET TDM 1</v>
      </c>
      <c r="D124">
        <v>6</v>
      </c>
      <c r="E124">
        <v>280</v>
      </c>
      <c r="H124" s="4">
        <f>(360/E124)</f>
        <v>1.2857142857142858</v>
      </c>
    </row>
    <row r="125" ht="15.75" customHeight="1">
      <c r="A125">
        <v>4521536190</v>
      </c>
      <c r="B125" t="str">
        <v>TDM Control Set</v>
      </c>
      <c r="D125">
        <v>6</v>
      </c>
      <c r="E125">
        <v>336</v>
      </c>
      <c r="H125" s="4">
        <f>(360/E125)</f>
        <v>1.0714285714285714</v>
      </c>
    </row>
    <row r="126" ht="15.75" customHeight="1">
      <c r="A126" t="str">
        <v>CONSUMIBLES</v>
      </c>
      <c r="D126" t="str">
        <v>PRESENTACION</v>
      </c>
      <c r="E126" t="str">
        <v>DIAS ESTABILDAD</v>
      </c>
      <c r="G126" t="str">
        <v>PRODUCTO CALCULADO</v>
      </c>
      <c r="H126" s="4" t="str">
        <v>MINIMOS POR ESTABILIDAD</v>
      </c>
      <c r="I126" s="4" t="str">
        <v>PRODUCTO A ENTREGAR</v>
      </c>
    </row>
    <row r="127" ht="15.75" customHeight="1">
      <c r="A127">
        <v>7700814001</v>
      </c>
      <c r="B127" t="str">
        <v>Reaction Cell for c 503 / c 513*</v>
      </c>
      <c r="C127" t="str">
        <v xml:space="preserve">Caja </v>
      </c>
      <c r="D127">
        <v>1</v>
      </c>
      <c r="E127">
        <v>60</v>
      </c>
      <c r="H127" s="4">
        <f>(360/E127)</f>
        <v>6</v>
      </c>
    </row>
    <row r="128" ht="15.75" customHeight="1">
      <c r="A128">
        <v>9033408001</v>
      </c>
      <c r="B128" t="str">
        <v>Reaction Cell for c303</v>
      </c>
      <c r="C128" t="str">
        <v xml:space="preserve">Caja </v>
      </c>
      <c r="D128">
        <v>1</v>
      </c>
      <c r="E128">
        <v>60</v>
      </c>
      <c r="H128" s="4">
        <f>(360/E128)</f>
        <v>6</v>
      </c>
    </row>
    <row r="129" ht="15.75" customHeight="1">
      <c r="A129">
        <v>8063354190</v>
      </c>
      <c r="B129" t="str">
        <v>ECO-D, 40T, cobas c pack green c303</v>
      </c>
      <c r="C129" t="str">
        <v>Cassette</v>
      </c>
      <c r="D129">
        <v>1</v>
      </c>
      <c r="E129">
        <v>28</v>
      </c>
      <c r="H129" s="4">
        <f>(360/E129)</f>
        <v>12.857142857142858</v>
      </c>
    </row>
    <row r="130" ht="15.75" customHeight="1">
      <c r="A130">
        <v>8063354190</v>
      </c>
      <c r="B130" t="str">
        <v>ECO-D, 40T, cobas c pack green c503</v>
      </c>
      <c r="C130" t="str">
        <v>Cassette</v>
      </c>
      <c r="D130">
        <v>1</v>
      </c>
      <c r="E130">
        <v>28</v>
      </c>
      <c r="H130" s="4">
        <f>(360/E130)</f>
        <v>12.857142857142858</v>
      </c>
    </row>
    <row r="131" ht="15.75" customHeight="1">
      <c r="A131">
        <v>8063451190</v>
      </c>
      <c r="B131" t="str">
        <v>NaOH-D, cobas c pack green c303</v>
      </c>
      <c r="C131" t="str">
        <v>Cassette</v>
      </c>
      <c r="D131">
        <v>1</v>
      </c>
      <c r="E131">
        <v>84</v>
      </c>
      <c r="H131" s="4">
        <f>(360/E131)</f>
        <v>4.285714285714286</v>
      </c>
    </row>
    <row r="132" ht="15.75" customHeight="1">
      <c r="A132">
        <v>8063451190</v>
      </c>
      <c r="B132" t="str">
        <v>NaOH-D, cobas c pack green c503</v>
      </c>
      <c r="C132" t="str">
        <v>Cassette</v>
      </c>
      <c r="D132">
        <v>1</v>
      </c>
      <c r="E132">
        <v>84</v>
      </c>
      <c r="H132" s="4">
        <f>(360/E132)</f>
        <v>4.285714285714286</v>
      </c>
    </row>
    <row r="133" ht="15.75" customHeight="1">
      <c r="A133">
        <v>8063494190</v>
      </c>
      <c r="B133" t="str">
        <v>NACl, cobas c pack green</v>
      </c>
      <c r="C133" t="str">
        <v>Cassette</v>
      </c>
      <c r="D133">
        <v>1</v>
      </c>
      <c r="E133">
        <v>182</v>
      </c>
      <c r="H133" s="4">
        <f>(360/E133)</f>
        <v>1.978021978021978</v>
      </c>
    </row>
    <row r="134" ht="15.75" customHeight="1">
      <c r="A134">
        <v>8063478190</v>
      </c>
      <c r="B134" t="str">
        <v>SMS, cobas c pack green</v>
      </c>
      <c r="C134" t="str">
        <v>Cassette</v>
      </c>
      <c r="D134">
        <v>1</v>
      </c>
      <c r="E134">
        <v>84</v>
      </c>
      <c r="H134" s="4">
        <f>(360/E134)</f>
        <v>4.285714285714286</v>
      </c>
    </row>
    <row r="135" ht="15.75" customHeight="1">
      <c r="A135">
        <v>8302723190</v>
      </c>
      <c r="B135" t="str">
        <v>Acid Wash 2x2 L c303</v>
      </c>
      <c r="C135" t="str">
        <v>Caja por 02 galoneras de 2L</v>
      </c>
      <c r="D135">
        <v>2</v>
      </c>
      <c r="E135">
        <v>84</v>
      </c>
      <c r="H135" s="4">
        <f>(360/E135)</f>
        <v>4.285714285714286</v>
      </c>
    </row>
    <row r="136" ht="15.75" customHeight="1">
      <c r="A136">
        <v>8302723190</v>
      </c>
      <c r="B136" t="str">
        <v>Acid Wash 2x2 L c503</v>
      </c>
      <c r="C136" t="str">
        <v>Caja por 02 galoneras de 2L</v>
      </c>
      <c r="D136">
        <v>2</v>
      </c>
      <c r="E136">
        <v>84</v>
      </c>
      <c r="H136" s="4">
        <f>(360/E136)</f>
        <v>4.285714285714286</v>
      </c>
    </row>
    <row r="137" ht="15.75" customHeight="1">
      <c r="A137">
        <v>8463093190</v>
      </c>
      <c r="B137" t="str">
        <v>SCCS, 50mL, cobas c pack green</v>
      </c>
      <c r="C137" t="str">
        <v>Cassette</v>
      </c>
      <c r="D137">
        <v>1</v>
      </c>
      <c r="E137">
        <v>7</v>
      </c>
      <c r="H137" s="4">
        <f>(360/E137)</f>
        <v>51.42857142857143</v>
      </c>
    </row>
    <row r="138" ht="15.75" customHeight="1">
      <c r="A138">
        <v>8302545190</v>
      </c>
      <c r="B138" t="str">
        <v>Basic Wash 2x2 L c303</v>
      </c>
      <c r="C138" t="str">
        <v>Caja por 02 galoneras de 2L</v>
      </c>
      <c r="D138">
        <v>2</v>
      </c>
      <c r="E138">
        <v>70</v>
      </c>
      <c r="H138" s="4">
        <f>(360/E138)</f>
        <v>5.142857142857143</v>
      </c>
    </row>
    <row r="139" ht="15.75" customHeight="1">
      <c r="A139">
        <v>8302545190</v>
      </c>
      <c r="B139" t="str">
        <v>Basic Wash 2x2 L c503</v>
      </c>
      <c r="C139" t="str">
        <v>Caja por 02 galoneras de 2L</v>
      </c>
      <c r="D139">
        <v>2</v>
      </c>
      <c r="E139">
        <v>70</v>
      </c>
      <c r="H139" s="4">
        <f>(360/E139)</f>
        <v>5.142857142857143</v>
      </c>
    </row>
    <row r="140" ht="15.75" customHeight="1">
      <c r="A140">
        <v>4444191001</v>
      </c>
      <c r="B140" t="str">
        <v>Copillas de muestra Hitachi</v>
      </c>
      <c r="C140" t="str">
        <v>funda de 250</v>
      </c>
      <c r="D140">
        <v>1</v>
      </c>
      <c r="E140">
        <v>365</v>
      </c>
      <c r="H140" s="4">
        <f>(360/E140)</f>
        <v>0.9863013698630136</v>
      </c>
    </row>
    <row r="141" ht="15.75" customHeight="1">
      <c r="A141">
        <v>8463107190</v>
      </c>
      <c r="B141" t="str">
        <v>A1CD, cobas c pack green</v>
      </c>
      <c r="C141" t="str">
        <v>Cassette</v>
      </c>
      <c r="D141">
        <v>1</v>
      </c>
      <c r="E141">
        <v>28</v>
      </c>
      <c r="H141" s="4">
        <f>(360/E141)</f>
        <v>12.857142857142858</v>
      </c>
    </row>
    <row r="142" ht="15.75" customHeight="1">
      <c r="A142">
        <v>8059322190</v>
      </c>
      <c r="B142" t="str">
        <v>Antigen Excess  Reagent  (START)</v>
      </c>
      <c r="C142" t="str">
        <v>START, 1000T, cobas c pack green</v>
      </c>
      <c r="D142">
        <v>1</v>
      </c>
      <c r="E142">
        <v>182</v>
      </c>
      <c r="H142" s="4">
        <f>(360/E142)</f>
        <v>1.978021978021978</v>
      </c>
    </row>
    <row r="143" ht="15.75" customHeight="1">
      <c r="A143">
        <v>5870020001</v>
      </c>
      <c r="B143" t="str">
        <v>Barcode Label 2,5x5,1cm</v>
      </c>
      <c r="C143" t="str">
        <v>rollo</v>
      </c>
      <c r="D143">
        <v>1</v>
      </c>
      <c r="H143" s="4" t="e">
        <f>(360/E143)</f>
        <v>#DIV/0!</v>
      </c>
    </row>
    <row r="144" ht="15.75" customHeight="1">
      <c r="A144">
        <v>4419987001</v>
      </c>
      <c r="B144" t="str">
        <v>A4 PRINTER PAPER</v>
      </c>
      <c r="C144" t="str">
        <v>resma</v>
      </c>
      <c r="D144">
        <v>1</v>
      </c>
      <c r="H144" s="4" t="e">
        <f>(360/E144)</f>
        <v>#DIV/0!</v>
      </c>
    </row>
    <row r="145" ht="15.75" customHeight="1">
      <c r="A145">
        <v>4740955001</v>
      </c>
      <c r="B145" t="str">
        <v>RD Standard False Bottom Tube</v>
      </c>
      <c r="D145">
        <v>1</v>
      </c>
      <c r="H145" s="4" t="e">
        <f>(360/E145)</f>
        <v>#DIV/0!</v>
      </c>
    </row>
    <row r="146" ht="15.75" customHeight="1">
      <c r="A146">
        <v>4813707001</v>
      </c>
      <c r="B146" t="str">
        <v>Lamp, Halogen</v>
      </c>
      <c r="D146">
        <v>1</v>
      </c>
      <c r="H146" s="4" t="e">
        <f>(360/E146)</f>
        <v>#DIV/0!</v>
      </c>
    </row>
    <row r="147" ht="15.75" customHeight="1">
      <c r="A147" t="str">
        <v>SISTEMA PARA ELECTROLITOS-ISE</v>
      </c>
      <c r="C147" t="str">
        <v>DET/AÑO/PROCESO</v>
      </c>
      <c r="D147" t="str">
        <v>PRESENTACION</v>
      </c>
      <c r="E147" t="str">
        <v>DIAS ESTABILDAD</v>
      </c>
      <c r="G147" t="str">
        <v>PRODUCTO CALCULADO</v>
      </c>
      <c r="H147" t="str">
        <v>MINIMOS POR ESTABILIDAD</v>
      </c>
      <c r="I147" t="str">
        <v>PRODUCTO A ENTREGAR</v>
      </c>
    </row>
    <row r="148" ht="15.75" customHeight="1">
      <c r="A148">
        <v>11183974216</v>
      </c>
      <c r="B148" t="str">
        <v>ISE Standard low 10x3ML</v>
      </c>
      <c r="C148">
        <v>7500</v>
      </c>
      <c r="D148">
        <v>10</v>
      </c>
      <c r="E148">
        <v>1</v>
      </c>
      <c r="H148">
        <f>(360/E148)</f>
        <v>360</v>
      </c>
    </row>
    <row r="149" ht="15.75" customHeight="1">
      <c r="A149">
        <v>11183982216</v>
      </c>
      <c r="B149" t="str">
        <v>ISE Standard high 10x3ML</v>
      </c>
      <c r="D149">
        <v>10</v>
      </c>
      <c r="E149">
        <v>1</v>
      </c>
      <c r="H149">
        <f>(360/E149)</f>
        <v>360</v>
      </c>
    </row>
    <row r="150" ht="15.75" customHeight="1">
      <c r="A150">
        <v>11298500316</v>
      </c>
      <c r="B150" t="str">
        <v>ISE cleaning solution Sys Clean</v>
      </c>
      <c r="D150">
        <v>5</v>
      </c>
      <c r="E150">
        <v>73</v>
      </c>
      <c r="H150" s="4">
        <f>(360/E150)</f>
        <v>4.931506849315069</v>
      </c>
    </row>
    <row r="151" ht="15.75" customHeight="1">
      <c r="A151">
        <v>4663632190</v>
      </c>
      <c r="B151" t="str">
        <v>Activator</v>
      </c>
      <c r="D151">
        <v>9</v>
      </c>
      <c r="E151">
        <v>12</v>
      </c>
      <c r="H151" s="4">
        <f>(360/E151)</f>
        <v>30</v>
      </c>
    </row>
    <row r="152" ht="15.75" customHeight="1">
      <c r="A152">
        <v>20763071122</v>
      </c>
      <c r="B152" t="str">
        <v>ISE DEPROTEINIZER cobas integra (6x21ML)</v>
      </c>
      <c r="D152">
        <v>6</v>
      </c>
      <c r="E152">
        <v>56</v>
      </c>
      <c r="H152" s="4">
        <f>(360/E152)</f>
        <v>6.428571428571429</v>
      </c>
    </row>
    <row r="153" ht="15.75" customHeight="1">
      <c r="A153">
        <v>4880480190</v>
      </c>
      <c r="B153" t="str">
        <v>ISE Diluent Gen.2, 2x2 Liter</v>
      </c>
      <c r="D153">
        <v>2</v>
      </c>
      <c r="E153">
        <v>42</v>
      </c>
      <c r="H153" s="4">
        <f>(360/E153)</f>
        <v>8.571428571428571</v>
      </c>
    </row>
    <row r="154" ht="15.75" customHeight="1">
      <c r="A154">
        <v>4880455190</v>
      </c>
      <c r="B154" t="str">
        <v>ISE Internal Stand Gen.2, 2x2 Liter</v>
      </c>
      <c r="D154">
        <v>2</v>
      </c>
      <c r="E154">
        <v>42</v>
      </c>
      <c r="H154" s="4">
        <f>(360/E154)</f>
        <v>8.571428571428571</v>
      </c>
    </row>
    <row r="155" ht="15.75" customHeight="1">
      <c r="A155">
        <v>8392013190</v>
      </c>
      <c r="B155" t="str">
        <v>ISE Reference Electrolyte, 2L</v>
      </c>
      <c r="D155">
        <v>2</v>
      </c>
      <c r="E155">
        <v>365</v>
      </c>
      <c r="H155" s="4">
        <f>(360/E155)</f>
        <v>0.9863013698630136</v>
      </c>
    </row>
    <row r="156" ht="15.75" customHeight="1">
      <c r="A156">
        <v>10820652216</v>
      </c>
      <c r="B156" t="str">
        <v>ISE Reference Electrolyte 500ML</v>
      </c>
      <c r="D156">
        <v>1</v>
      </c>
      <c r="E156">
        <v>365</v>
      </c>
      <c r="H156" s="4">
        <f>(360/E156)</f>
        <v>0.9863013698630136</v>
      </c>
    </row>
    <row r="157" ht="15.75" customHeight="1">
      <c r="A157">
        <v>3149501001</v>
      </c>
      <c r="B157" t="str">
        <v>REFERENCE ELECTRODE</v>
      </c>
      <c r="D157">
        <v>1</v>
      </c>
      <c r="E157">
        <v>168</v>
      </c>
      <c r="H157" s="4">
        <f>(360/E157)</f>
        <v>2.142857142857143</v>
      </c>
    </row>
    <row r="158" ht="15.75" customHeight="1">
      <c r="A158">
        <v>10825468001</v>
      </c>
      <c r="B158" t="str">
        <v>Electrodo sodio</v>
      </c>
      <c r="D158">
        <v>1</v>
      </c>
      <c r="E158">
        <v>56</v>
      </c>
      <c r="H158" s="4">
        <f>(360/E158)</f>
        <v>6.428571428571429</v>
      </c>
    </row>
    <row r="159" ht="15.75" customHeight="1">
      <c r="A159">
        <v>10825441001</v>
      </c>
      <c r="B159" t="str">
        <v>Electrodo potasio</v>
      </c>
      <c r="D159">
        <v>1</v>
      </c>
      <c r="E159">
        <v>56</v>
      </c>
      <c r="H159" s="4">
        <f>(360/E159)</f>
        <v>6.428571428571429</v>
      </c>
    </row>
    <row r="160" ht="15.75" customHeight="1">
      <c r="A160">
        <v>3246353001</v>
      </c>
      <c r="B160" t="str">
        <v>Electrodo cloro</v>
      </c>
      <c r="D160">
        <v>1</v>
      </c>
      <c r="E160">
        <v>56</v>
      </c>
      <c r="H160" s="4">
        <f>(360/E160)</f>
        <v>6.428571428571429</v>
      </c>
    </row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8:C8"/>
    <mergeCell ref="A84:C84"/>
    <mergeCell ref="A126:C126"/>
    <mergeCell ref="A147:B147"/>
  </mergeCells>
  <pageMargins left="0.7" right="0.7" top="0.75" bottom="0.75" header="0" footer="0"/>
  <ignoredErrors>
    <ignoredError numberStoredAsText="1" sqref="A1:Z1000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Q1000"/>
  <sheetViews>
    <sheetView workbookViewId="0" rightToLeft="0"/>
  </sheetViews>
  <cols>
    <col min="1" max="1" customWidth="1" width="9.5546875"/>
    <col min="2" max="2" customWidth="1" width="24.109375"/>
    <col min="3" max="3" customWidth="1" width="9.5546875"/>
    <col min="4" max="4" customWidth="1" width="11.44140625"/>
    <col min="5" max="5" customWidth="1" width="10.5546875"/>
    <col min="6" max="6" customWidth="1" width="14.6640625"/>
    <col min="7" max="7" customWidth="1" width="17.109375"/>
    <col min="8" max="8" customWidth="1" width="15"/>
    <col min="9" max="9" customWidth="1" width="10.6640625"/>
    <col min="10" max="10" customWidth="1" width="10.6640625"/>
    <col min="11" max="11" customWidth="1" width="10.6640625"/>
    <col min="12" max="12" customWidth="1" width="10.6640625"/>
    <col min="13" max="13" customWidth="1" width="10.6640625"/>
    <col min="14" max="14" customWidth="1" width="10.6640625"/>
    <col min="15" max="15" customWidth="1" width="10.6640625"/>
    <col min="16" max="16" customWidth="1" width="10.6640625"/>
    <col min="17" max="17" customWidth="1" width="10.6640625"/>
  </cols>
  <sheetData>
    <row r="1" ht="14.4" customHeight="1">
      <c r="A1" t="str">
        <v>CLIENTE</v>
      </c>
    </row>
    <row r="2" ht="14.4" customHeight="1">
      <c r="A2" t="str">
        <v>FECHA</v>
      </c>
    </row>
    <row r="3" ht="14.4" customHeight="1">
      <c r="A3" t="str">
        <v>MODALIDAD</v>
      </c>
    </row>
    <row r="4" ht="14.4" customHeight="1">
      <c r="A4" t="str">
        <v>PLAZO</v>
      </c>
      <c r="C4" t="str">
        <v>MESES</v>
      </c>
    </row>
    <row r="5" ht="14.4" customHeight="1">
      <c r="A5" t="str">
        <v>PROYECCIÓN</v>
      </c>
      <c r="C5" t="str">
        <v>MESES</v>
      </c>
    </row>
    <row r="6" ht="14.4" customHeight="1">
      <c r="A6" t="str">
        <v>EQUIPO</v>
      </c>
      <c r="B6" t="str">
        <v>COBAS PURE e402</v>
      </c>
      <c r="D6" t="str">
        <v>COBAS PRO e801</v>
      </c>
    </row>
    <row r="7" ht="14.4" customHeight="1"/>
    <row r="8" ht="21.600000000000005" customHeight="1">
      <c r="A8" t="str">
        <v>DESCRIPCION</v>
      </c>
      <c r="B8" t="str">
        <v>I.D</v>
      </c>
      <c r="C8" t="str">
        <v>DET/KIT</v>
      </c>
      <c r="D8" t="str">
        <v>DIAS ESTABILIDAD</v>
      </c>
      <c r="E8" t="str">
        <v>DET/AÑO/PROCESO</v>
      </c>
      <c r="F8" t="str">
        <v>PRODUCTO CALCULADO</v>
      </c>
      <c r="G8" t="str">
        <v>MINIMOS POR ESTABILIDAD</v>
      </c>
      <c r="H8" t="str">
        <v>PRODUCTO A ENVIAR</v>
      </c>
    </row>
    <row r="9" ht="14.4" customHeight="1">
      <c r="A9">
        <v>8443432190</v>
      </c>
      <c r="B9" t="str">
        <v>TSH Elecsys E2G 300 V2</v>
      </c>
      <c r="C9">
        <v>300</v>
      </c>
      <c r="D9">
        <v>112</v>
      </c>
      <c r="F9">
        <f>E9/C9</f>
        <v>0</v>
      </c>
      <c r="G9" s="4">
        <f>(360/D9)</f>
        <v>3.2142857142857144</v>
      </c>
    </row>
    <row r="10" ht="14.4" customHeight="1">
      <c r="A10">
        <v>9007733190</v>
      </c>
      <c r="B10" t="str">
        <v>T3 Elecsys E2G 300 V2</v>
      </c>
      <c r="C10">
        <v>300</v>
      </c>
      <c r="D10">
        <v>112</v>
      </c>
      <c r="F10">
        <f>E10/C10</f>
        <v>0</v>
      </c>
      <c r="G10" s="4">
        <f>(360/D10)</f>
        <v>3.2142857142857144</v>
      </c>
    </row>
    <row r="11" ht="14.4" customHeight="1">
      <c r="A11">
        <v>9007784190</v>
      </c>
      <c r="B11" t="str">
        <v>T4 Elecsys E2G 300 V2</v>
      </c>
      <c r="C11">
        <v>300</v>
      </c>
      <c r="D11">
        <v>112</v>
      </c>
      <c r="F11">
        <f>E11/C11</f>
        <v>0</v>
      </c>
      <c r="G11" s="4">
        <f>(360/D11)</f>
        <v>3.2142857142857144</v>
      </c>
    </row>
    <row r="12" ht="14.4" customHeight="1">
      <c r="A12">
        <v>9005811190</v>
      </c>
      <c r="B12" t="str">
        <v>FT3 G3 Elecsys E2G 300</v>
      </c>
      <c r="C12">
        <v>300</v>
      </c>
      <c r="D12">
        <v>112</v>
      </c>
      <c r="F12">
        <f>E12/C12</f>
        <v>0</v>
      </c>
      <c r="G12" s="4">
        <f>(360/D12)</f>
        <v>3.2142857142857144</v>
      </c>
    </row>
    <row r="13" ht="14.4" customHeight="1">
      <c r="A13">
        <v>9043284190</v>
      </c>
      <c r="B13" t="str">
        <v>FT4 G3 Elecsys E2G 300</v>
      </c>
      <c r="C13">
        <v>300</v>
      </c>
      <c r="D13">
        <v>112</v>
      </c>
      <c r="F13">
        <f>E13/C13</f>
        <v>0</v>
      </c>
      <c r="G13" s="4">
        <f>(360/D13)</f>
        <v>3.2142857142857144</v>
      </c>
    </row>
    <row r="14" ht="14.4" customHeight="1">
      <c r="A14">
        <v>8906564190</v>
      </c>
      <c r="B14" t="str">
        <v>TG G2 Elecsys E2G 300 V2</v>
      </c>
      <c r="C14">
        <v>300</v>
      </c>
      <c r="D14">
        <v>112</v>
      </c>
      <c r="F14">
        <f>E14/C14</f>
        <v>0</v>
      </c>
      <c r="G14" s="4">
        <f>(360/D14)</f>
        <v>3.2142857142857144</v>
      </c>
    </row>
    <row r="15" ht="14.4" customHeight="1">
      <c r="A15">
        <v>7026935190</v>
      </c>
      <c r="B15" t="str">
        <v>Anti-TPO Elecsys E2G 300</v>
      </c>
      <c r="C15">
        <v>300</v>
      </c>
      <c r="D15">
        <v>112</v>
      </c>
      <c r="F15">
        <f>E15/C15</f>
        <v>0</v>
      </c>
      <c r="G15" s="4">
        <f>(360/D15)</f>
        <v>3.2142857142857144</v>
      </c>
    </row>
    <row r="16" ht="14.4" customHeight="1">
      <c r="A16">
        <v>9005021190</v>
      </c>
      <c r="B16" t="str">
        <v>Anti-TG Elecsys E2G 300</v>
      </c>
      <c r="C16">
        <v>300</v>
      </c>
      <c r="D16">
        <v>112</v>
      </c>
      <c r="F16">
        <f>E16/C16</f>
        <v>0</v>
      </c>
      <c r="G16" s="4">
        <f>(360/D16)</f>
        <v>3.2142857142857144</v>
      </c>
    </row>
    <row r="17" ht="14.4" customHeight="1">
      <c r="A17">
        <v>8496633190</v>
      </c>
      <c r="B17" t="str">
        <v>Anti-TSHR Elecsys E2G 300 V2</v>
      </c>
      <c r="C17">
        <v>100</v>
      </c>
      <c r="D17">
        <v>112</v>
      </c>
      <c r="F17">
        <f>E17/C17</f>
        <v>0</v>
      </c>
      <c r="G17" s="4">
        <f>(360/D17)</f>
        <v>3.2142857142857144</v>
      </c>
    </row>
    <row r="18" ht="14.4" customHeight="1">
      <c r="A18">
        <v>7027575190</v>
      </c>
      <c r="B18" t="str">
        <v>LH Elecsys E2G 300</v>
      </c>
      <c r="C18">
        <v>300</v>
      </c>
      <c r="D18">
        <v>112</v>
      </c>
      <c r="F18">
        <f>E18/C18</f>
        <v>0</v>
      </c>
      <c r="G18" s="4">
        <f>(360/D18)</f>
        <v>3.2142857142857144</v>
      </c>
    </row>
    <row r="19" ht="14.4" customHeight="1">
      <c r="A19">
        <v>8932387190</v>
      </c>
      <c r="B19" t="str">
        <v>FSH Elecsys E2G 300</v>
      </c>
      <c r="C19">
        <v>300</v>
      </c>
      <c r="D19">
        <v>112</v>
      </c>
      <c r="F19">
        <f>E19/C19</f>
        <v>0</v>
      </c>
      <c r="G19" s="4">
        <f>(360/D19)</f>
        <v>3.2142857142857144</v>
      </c>
    </row>
    <row r="20" ht="15.75" customHeight="1">
      <c r="A20">
        <v>7027249190</v>
      </c>
      <c r="B20" t="str">
        <v>Estradiol G3 Elecsys E2G 300</v>
      </c>
      <c r="C20">
        <v>300</v>
      </c>
      <c r="D20">
        <v>112</v>
      </c>
      <c r="F20">
        <f>E20/C20</f>
        <v>0</v>
      </c>
      <c r="G20" s="4">
        <f>(360/D20)</f>
        <v>3.2142857142857144</v>
      </c>
    </row>
    <row r="21" ht="15.75" customHeight="1">
      <c r="A21">
        <v>7027699190</v>
      </c>
      <c r="B21" t="str">
        <v>Progesterone G3 Elecsys E2G 300</v>
      </c>
      <c r="C21">
        <v>300</v>
      </c>
      <c r="D21">
        <v>112</v>
      </c>
      <c r="F21">
        <f>E21/C21</f>
        <v>0</v>
      </c>
      <c r="G21" s="4">
        <f>(360/D21)</f>
        <v>3.2142857142857144</v>
      </c>
    </row>
    <row r="22" ht="15.75" customHeight="1">
      <c r="A22">
        <v>7027737190</v>
      </c>
      <c r="B22" t="str">
        <v>Prolactin G2 Elecsys E2G 300</v>
      </c>
      <c r="C22">
        <v>300</v>
      </c>
      <c r="D22">
        <v>112</v>
      </c>
      <c r="F22">
        <f>E22/C22</f>
        <v>0</v>
      </c>
      <c r="G22" s="4">
        <f>(360/D22)</f>
        <v>3.2142857142857144</v>
      </c>
    </row>
    <row r="23" ht="15.75" customHeight="1">
      <c r="A23">
        <v>8946370190</v>
      </c>
      <c r="B23" t="str">
        <v>Testosterone G2 Elecsys E2G 300</v>
      </c>
      <c r="C23">
        <v>300</v>
      </c>
      <c r="D23">
        <v>112</v>
      </c>
      <c r="F23">
        <f>E23/C23</f>
        <v>0</v>
      </c>
      <c r="G23" s="4">
        <f>(360/D23)</f>
        <v>3.2142857142857144</v>
      </c>
    </row>
    <row r="24" ht="15.75" customHeight="1">
      <c r="A24">
        <v>7258496190</v>
      </c>
      <c r="B24" t="str">
        <v>SHBG Elecsys E2G 300</v>
      </c>
      <c r="C24">
        <v>300</v>
      </c>
      <c r="D24">
        <v>112</v>
      </c>
      <c r="F24">
        <f>E24/C24</f>
        <v>0</v>
      </c>
      <c r="G24" s="4">
        <f>(360/D24)</f>
        <v>3.2142857142857144</v>
      </c>
    </row>
    <row r="25" ht="15.75" customHeight="1">
      <c r="A25">
        <v>7027192190</v>
      </c>
      <c r="B25" t="str">
        <v>DHEA-S Elecsys E2G 100</v>
      </c>
      <c r="C25">
        <v>100</v>
      </c>
      <c r="D25">
        <v>112</v>
      </c>
      <c r="F25">
        <f>E25/C25</f>
        <v>0</v>
      </c>
      <c r="G25" s="4">
        <f>(360/D25)</f>
        <v>3.2142857142857144</v>
      </c>
    </row>
    <row r="26" ht="15.75" customHeight="1">
      <c r="A26">
        <v>7251025190</v>
      </c>
      <c r="B26" t="str">
        <v>HCG+beta Elecsys E2G 300</v>
      </c>
      <c r="C26">
        <v>300</v>
      </c>
      <c r="D26">
        <v>112</v>
      </c>
      <c r="F26">
        <f>E26/C26</f>
        <v>0</v>
      </c>
      <c r="G26" s="4">
        <f>(360/D26)</f>
        <v>3.2142857142857144</v>
      </c>
    </row>
    <row r="27" ht="15.75" customHeight="1">
      <c r="A27">
        <v>8890595190</v>
      </c>
      <c r="B27" t="str">
        <v>hCG STAT Elecsys E2G 100 V2</v>
      </c>
      <c r="C27">
        <v>100</v>
      </c>
      <c r="D27">
        <v>112</v>
      </c>
      <c r="F27">
        <f>E27/C27</f>
        <v>0</v>
      </c>
      <c r="G27" s="4">
        <f>(360/D27)</f>
        <v>3.2142857142857144</v>
      </c>
    </row>
    <row r="28" ht="15.75" customHeight="1">
      <c r="A28">
        <v>8860319190</v>
      </c>
      <c r="B28" t="str">
        <v>Free HCGbeta Elecsys E2G 100 V2</v>
      </c>
      <c r="C28">
        <v>100</v>
      </c>
      <c r="D28">
        <v>112</v>
      </c>
      <c r="F28">
        <f>E28/C28</f>
        <v>0</v>
      </c>
      <c r="G28" s="4">
        <f>(360/D28)</f>
        <v>3.2142857142857144</v>
      </c>
    </row>
    <row r="29" ht="15.75" customHeight="1">
      <c r="A29">
        <v>8860181190</v>
      </c>
      <c r="B29" t="str">
        <v>PAPP-A Elecsys E2G 100 V2</v>
      </c>
      <c r="C29">
        <v>100</v>
      </c>
      <c r="D29">
        <v>112</v>
      </c>
      <c r="F29">
        <f>E29/C29</f>
        <v>0</v>
      </c>
      <c r="G29" s="4">
        <f>(360/D29)</f>
        <v>3.2142857142857144</v>
      </c>
    </row>
    <row r="30" ht="15.75" customHeight="1">
      <c r="A30">
        <v>7027648190</v>
      </c>
      <c r="B30" t="str">
        <v>PLGF Elecsys E2G 100</v>
      </c>
      <c r="C30">
        <v>100</v>
      </c>
      <c r="D30">
        <v>112</v>
      </c>
      <c r="F30">
        <f>E30/C30</f>
        <v>0</v>
      </c>
      <c r="G30" s="4">
        <f>(360/D30)</f>
        <v>3.2142857142857144</v>
      </c>
    </row>
    <row r="31" ht="15.75" customHeight="1">
      <c r="A31">
        <v>7027818190</v>
      </c>
      <c r="B31" t="str">
        <v>sFLT1 Elecsys E2G 100</v>
      </c>
      <c r="C31">
        <v>100</v>
      </c>
      <c r="D31">
        <v>112</v>
      </c>
      <c r="F31">
        <f>E31/C31</f>
        <v>0</v>
      </c>
      <c r="G31" s="4">
        <f>(360/D31)</f>
        <v>3.2142857142857144</v>
      </c>
    </row>
    <row r="32" ht="15.75" customHeight="1">
      <c r="A32">
        <v>7027168190</v>
      </c>
      <c r="B32" t="str">
        <v>C-Peptide Elecsys E2G 100</v>
      </c>
      <c r="C32">
        <v>100</v>
      </c>
      <c r="D32">
        <v>112</v>
      </c>
      <c r="F32">
        <f>E32/C32</f>
        <v>0</v>
      </c>
      <c r="G32" s="4">
        <f>(360/D32)</f>
        <v>3.2142857142857144</v>
      </c>
    </row>
    <row r="33" ht="15.75" customHeight="1">
      <c r="A33">
        <v>7027559190</v>
      </c>
      <c r="B33" t="str">
        <v>Insulin Elecsys E2G 100</v>
      </c>
      <c r="C33">
        <v>100</v>
      </c>
      <c r="D33">
        <v>112</v>
      </c>
      <c r="F33">
        <f>E33/C33</f>
        <v>0</v>
      </c>
      <c r="G33" s="4">
        <f>(360/D33)</f>
        <v>3.2142857142857144</v>
      </c>
    </row>
    <row r="34" ht="15.75" customHeight="1">
      <c r="A34">
        <v>7027150190</v>
      </c>
      <c r="B34" t="str">
        <v>Cortisol G2 Elecsys E2G 300</v>
      </c>
      <c r="C34">
        <v>300</v>
      </c>
      <c r="D34">
        <v>112</v>
      </c>
      <c r="F34">
        <f>E34/C34</f>
        <v>0</v>
      </c>
      <c r="G34" s="4">
        <f>(360/D34)</f>
        <v>3.2142857142857144</v>
      </c>
    </row>
    <row r="35" ht="15.75" customHeight="1">
      <c r="A35">
        <v>7682808190</v>
      </c>
      <c r="B35" t="str">
        <v>Cortisol III Elecsys E2G 300</v>
      </c>
      <c r="C35">
        <v>300</v>
      </c>
      <c r="D35">
        <v>112</v>
      </c>
      <c r="F35">
        <f>E35/C35</f>
        <v>0</v>
      </c>
      <c r="G35" s="4">
        <f>(360/D35)</f>
        <v>3.2142857142857144</v>
      </c>
    </row>
    <row r="36" ht="15.75" customHeight="1">
      <c r="A36">
        <v>8946728190</v>
      </c>
      <c r="B36" t="str">
        <v>ACTH Elecsys E2G 100</v>
      </c>
      <c r="C36">
        <v>100</v>
      </c>
      <c r="D36">
        <v>112</v>
      </c>
      <c r="F36">
        <f>E36/C36</f>
        <v>0</v>
      </c>
      <c r="G36" s="4">
        <f>(360/D36)</f>
        <v>3.2142857142857144</v>
      </c>
    </row>
    <row r="37" ht="15.75" customHeight="1">
      <c r="A37">
        <v>7027486190</v>
      </c>
      <c r="B37" t="str">
        <v>hGH Elecsys E2G 100</v>
      </c>
      <c r="C37">
        <v>100</v>
      </c>
      <c r="D37">
        <v>112</v>
      </c>
      <c r="F37">
        <f>E37/C37</f>
        <v>0</v>
      </c>
      <c r="G37" s="4">
        <f>(360/D37)</f>
        <v>3.2142857142857144</v>
      </c>
    </row>
    <row r="38" ht="15.75" customHeight="1">
      <c r="A38">
        <v>10059524190</v>
      </c>
      <c r="B38" t="str">
        <v>AMH plus Elecsys E2G 100 V2</v>
      </c>
      <c r="C38">
        <v>100</v>
      </c>
      <c r="D38">
        <v>112</v>
      </c>
      <c r="F38">
        <f>E38/C38</f>
        <v>0</v>
      </c>
      <c r="G38" s="4">
        <f>(360/D38)</f>
        <v>3.2142857142857144</v>
      </c>
    </row>
    <row r="39" ht="15.75" customHeight="1">
      <c r="A39">
        <v>8791732190</v>
      </c>
      <c r="B39" t="str">
        <v>Total PSA Elecsys E2G 300 V2</v>
      </c>
      <c r="C39">
        <v>300</v>
      </c>
      <c r="D39">
        <v>112</v>
      </c>
      <c r="F39">
        <f>E39/C39</f>
        <v>0</v>
      </c>
      <c r="G39" s="4">
        <f>(360/D39)</f>
        <v>3.2142857142857144</v>
      </c>
    </row>
    <row r="40" ht="15.75" customHeight="1">
      <c r="A40">
        <v>8828610190</v>
      </c>
      <c r="B40" t="str">
        <v>free PSA Elecsys E2G 300 V2</v>
      </c>
      <c r="C40">
        <v>300</v>
      </c>
      <c r="D40">
        <v>112</v>
      </c>
      <c r="F40">
        <f>E40/C40</f>
        <v>0</v>
      </c>
      <c r="G40" s="4">
        <f>(360/D40)</f>
        <v>3.2142857142857144</v>
      </c>
    </row>
    <row r="41" ht="15.75" customHeight="1">
      <c r="A41">
        <v>9015124190</v>
      </c>
      <c r="B41" t="str">
        <v>AFP Elecsys E2G 300</v>
      </c>
      <c r="C41">
        <v>300</v>
      </c>
      <c r="D41">
        <v>112</v>
      </c>
      <c r="F41">
        <f>E41/C41</f>
        <v>0</v>
      </c>
      <c r="G41" s="4">
        <f>(360/D41)</f>
        <v>3.2142857142857144</v>
      </c>
    </row>
    <row r="42" ht="15.75" customHeight="1">
      <c r="A42">
        <v>7027079190</v>
      </c>
      <c r="B42" t="str">
        <v>CEA Elecsys E2G 300</v>
      </c>
      <c r="C42">
        <v>300</v>
      </c>
      <c r="D42">
        <v>112</v>
      </c>
      <c r="F42">
        <f>E42/C42</f>
        <v>0</v>
      </c>
      <c r="G42" s="4">
        <f>(360/D42)</f>
        <v>3.2142857142857144</v>
      </c>
    </row>
    <row r="43" ht="15.75" customHeight="1">
      <c r="A43">
        <v>7026986190</v>
      </c>
      <c r="B43" t="str">
        <v>CA 125 G2 Elecsys E2G 300</v>
      </c>
      <c r="C43">
        <v>300</v>
      </c>
      <c r="D43">
        <v>112</v>
      </c>
      <c r="F43">
        <f>E43/C43</f>
        <v>0</v>
      </c>
      <c r="G43" s="4">
        <f>(360/D43)</f>
        <v>3.2142857142857144</v>
      </c>
    </row>
    <row r="44" ht="15.75" customHeight="1">
      <c r="A44">
        <v>7027001190</v>
      </c>
      <c r="B44" t="str">
        <v>CA 15-3 G2 Elecsys E2G 300</v>
      </c>
      <c r="C44">
        <v>300</v>
      </c>
      <c r="D44">
        <v>112</v>
      </c>
      <c r="F44">
        <f>E44/C44</f>
        <v>0</v>
      </c>
      <c r="G44" s="4">
        <f>(360/D44)</f>
        <v>3.2142857142857144</v>
      </c>
    </row>
    <row r="45" ht="15.75" customHeight="1">
      <c r="A45">
        <v>7027028190</v>
      </c>
      <c r="B45" t="str">
        <v>CA 19-9 Elecsys E2G 300</v>
      </c>
      <c r="C45">
        <v>300</v>
      </c>
      <c r="D45">
        <v>112</v>
      </c>
      <c r="F45">
        <f>E45/C45</f>
        <v>0</v>
      </c>
      <c r="G45" s="4">
        <f>(360/D45)</f>
        <v>3.2142857142857144</v>
      </c>
    </row>
    <row r="46" ht="15.75" customHeight="1">
      <c r="A46">
        <v>7299966190</v>
      </c>
      <c r="B46" t="str">
        <v>Cyfra 21-1 Elecsys E2G 300</v>
      </c>
      <c r="C46">
        <v>300</v>
      </c>
      <c r="D46">
        <v>112</v>
      </c>
      <c r="F46">
        <f>E46/C46</f>
        <v>0</v>
      </c>
      <c r="G46" s="4">
        <f>(360/D46)</f>
        <v>3.2142857142857144</v>
      </c>
    </row>
    <row r="47" ht="15.75" customHeight="1">
      <c r="A47">
        <v>9005706190</v>
      </c>
      <c r="B47" t="str">
        <v>CA 72-4 Elecsys E2G 300</v>
      </c>
      <c r="C47">
        <v>300</v>
      </c>
      <c r="D47">
        <v>112</v>
      </c>
      <c r="F47">
        <f>E47/C47</f>
        <v>0</v>
      </c>
      <c r="G47" s="4">
        <f>(360/D47)</f>
        <v>3.2142857142857144</v>
      </c>
    </row>
    <row r="48" ht="15.75" customHeight="1">
      <c r="A48">
        <v>7299982190</v>
      </c>
      <c r="B48" t="str">
        <v>NSE Elecsys E2G 300</v>
      </c>
      <c r="C48">
        <v>300</v>
      </c>
      <c r="D48">
        <v>112</v>
      </c>
      <c r="F48">
        <f>E48/C48</f>
        <v>0</v>
      </c>
      <c r="G48" s="4">
        <f>(360/D48)</f>
        <v>3.2142857142857144</v>
      </c>
    </row>
    <row r="49" ht="15.75" customHeight="1">
      <c r="A49">
        <v>8817324190</v>
      </c>
      <c r="B49" t="str">
        <v>S100 Elecsys E2G 100 V2</v>
      </c>
      <c r="C49">
        <v>100</v>
      </c>
      <c r="D49">
        <v>112</v>
      </c>
      <c r="F49">
        <f>E49/C49</f>
        <v>0</v>
      </c>
      <c r="G49" s="4">
        <f>(360/D49)</f>
        <v>3.2142857142857144</v>
      </c>
    </row>
    <row r="50" ht="15.75" customHeight="1">
      <c r="A50">
        <v>7027478190</v>
      </c>
      <c r="B50" t="str">
        <v>HE4 Elecsys E2G 100</v>
      </c>
      <c r="C50">
        <v>100</v>
      </c>
      <c r="D50">
        <v>112</v>
      </c>
      <c r="F50">
        <f>E50/C50</f>
        <v>0</v>
      </c>
      <c r="G50" s="4">
        <f>(360/D50)</f>
        <v>3.2142857142857144</v>
      </c>
    </row>
    <row r="51" ht="15.75" customHeight="1">
      <c r="A51">
        <v>9015043190</v>
      </c>
      <c r="B51" t="str">
        <v>PIVKAII Elecsys E2G 300</v>
      </c>
      <c r="C51">
        <v>300</v>
      </c>
      <c r="D51">
        <v>112</v>
      </c>
      <c r="F51">
        <f>E51/C51</f>
        <v>0</v>
      </c>
      <c r="G51" s="4">
        <f>(360/D51)</f>
        <v>3.2142857142857144</v>
      </c>
    </row>
    <row r="52" ht="15.75" customHeight="1">
      <c r="A52">
        <v>9007695190</v>
      </c>
      <c r="B52" t="str">
        <v>proGRP Elecsys E2G 100 V2</v>
      </c>
      <c r="C52">
        <v>100</v>
      </c>
      <c r="D52">
        <v>112</v>
      </c>
      <c r="F52">
        <f>E52/C52</f>
        <v>0</v>
      </c>
      <c r="G52" s="4">
        <f>(360/D52)</f>
        <v>3.2142857142857144</v>
      </c>
    </row>
    <row r="53" ht="15.75" customHeight="1">
      <c r="A53">
        <v>7028253190</v>
      </c>
      <c r="B53" t="str">
        <v>SCC Elecsys E2G 100</v>
      </c>
      <c r="C53">
        <v>100</v>
      </c>
      <c r="D53">
        <v>112</v>
      </c>
      <c r="F53">
        <f>E53/C53</f>
        <v>0</v>
      </c>
      <c r="G53" s="4">
        <f>(360/D53)</f>
        <v>3.2142857142857144</v>
      </c>
    </row>
    <row r="54" ht="15.75" customHeight="1">
      <c r="A54">
        <v>7027214190</v>
      </c>
      <c r="B54" t="str">
        <v>Digoxin Elecsys E2G 100</v>
      </c>
      <c r="C54">
        <v>100</v>
      </c>
      <c r="D54">
        <v>112</v>
      </c>
      <c r="F54">
        <f>E54/C54</f>
        <v>0</v>
      </c>
      <c r="G54" s="4">
        <f>(360/D54)</f>
        <v>3.2142857142857144</v>
      </c>
    </row>
    <row r="55" ht="15.75" customHeight="1">
      <c r="A55">
        <v>7027087190</v>
      </c>
      <c r="B55" t="str">
        <v>CK-MB Elecsys E2G 100</v>
      </c>
      <c r="C55">
        <v>100</v>
      </c>
      <c r="D55">
        <v>112</v>
      </c>
      <c r="F55">
        <f>E55/C55</f>
        <v>0</v>
      </c>
      <c r="G55" s="4">
        <f>(360/D55)</f>
        <v>3.2142857142857144</v>
      </c>
    </row>
    <row r="56" ht="15.75" customHeight="1">
      <c r="A56">
        <v>7027583190</v>
      </c>
      <c r="B56" t="str">
        <v>Myoglobin Elecsys E2G 100</v>
      </c>
      <c r="C56">
        <v>100</v>
      </c>
      <c r="D56">
        <v>112</v>
      </c>
      <c r="F56">
        <f>E56/C56</f>
        <v>0</v>
      </c>
      <c r="G56" s="4">
        <f>(360/D56)</f>
        <v>3.2142857142857144</v>
      </c>
    </row>
    <row r="57" ht="15.75" customHeight="1">
      <c r="A57">
        <v>8946809190</v>
      </c>
      <c r="B57" t="str">
        <v>GDF-15 Elecsys E2G 100 V2</v>
      </c>
      <c r="C57">
        <v>100</v>
      </c>
      <c r="D57">
        <v>112</v>
      </c>
      <c r="F57">
        <f>E57/C57</f>
        <v>0</v>
      </c>
      <c r="G57" s="4">
        <f>(360/D57)</f>
        <v>3.2142857142857144</v>
      </c>
    </row>
    <row r="58" ht="15.75" customHeight="1">
      <c r="A58">
        <v>9315357190</v>
      </c>
      <c r="B58" t="str">
        <v>Troponin T hs Elecsys E2G 300 V2.1</v>
      </c>
      <c r="C58">
        <v>300</v>
      </c>
      <c r="D58">
        <v>112</v>
      </c>
      <c r="F58">
        <f>E58/C58</f>
        <v>0</v>
      </c>
      <c r="G58" s="4">
        <f>(360/D58)</f>
        <v>3.2142857142857144</v>
      </c>
    </row>
    <row r="59" ht="15.75" customHeight="1">
      <c r="A59">
        <v>7028059190</v>
      </c>
      <c r="B59" t="str">
        <v>Troponin I Elecsys E2G 300</v>
      </c>
      <c r="C59">
        <v>300</v>
      </c>
      <c r="D59">
        <v>112</v>
      </c>
      <c r="F59">
        <f>E59/C59</f>
        <v>0</v>
      </c>
      <c r="G59" s="4">
        <f>(360/D59)</f>
        <v>3.2142857142857144</v>
      </c>
    </row>
    <row r="60" ht="15.75" customHeight="1">
      <c r="A60" s="6" t="str">
        <v>9315284190</v>
      </c>
      <c r="B60" s="6" t="str">
        <v>proBNP G2 Elecsys E2G 300 V2.1</v>
      </c>
      <c r="C60">
        <v>300</v>
      </c>
      <c r="D60">
        <v>112</v>
      </c>
      <c r="F60">
        <f>E60/C60</f>
        <v>0</v>
      </c>
      <c r="G60" s="4">
        <f>(360/D60)</f>
        <v>3.2142857142857144</v>
      </c>
    </row>
    <row r="61" ht="15.75" customHeight="1">
      <c r="A61">
        <v>9005676190</v>
      </c>
      <c r="B61" t="str">
        <v>Calcitonin Elecsys E2G 100</v>
      </c>
      <c r="C61">
        <v>100</v>
      </c>
      <c r="D61">
        <v>112</v>
      </c>
      <c r="F61">
        <f>E61/C61</f>
        <v>0</v>
      </c>
      <c r="G61" s="4">
        <f>(360/D61)</f>
        <v>3.2142857142857144</v>
      </c>
    </row>
    <row r="62" ht="15.75" customHeight="1">
      <c r="A62">
        <v>9015612190</v>
      </c>
      <c r="B62" t="str">
        <v>IL 6 Elecsys E2G 100 V2</v>
      </c>
      <c r="C62">
        <v>100</v>
      </c>
      <c r="D62">
        <v>112</v>
      </c>
      <c r="F62">
        <f>E62/C62</f>
        <v>0</v>
      </c>
      <c r="G62" s="4">
        <f>(360/D62)</f>
        <v>3.2142857142857144</v>
      </c>
    </row>
    <row r="63" ht="15.75" customHeight="1">
      <c r="A63">
        <v>7027273190</v>
      </c>
      <c r="B63" t="str">
        <v>Ferritin Elecsys E2G 300</v>
      </c>
      <c r="C63">
        <v>300</v>
      </c>
      <c r="D63">
        <v>112</v>
      </c>
      <c r="F63">
        <f>E63/C63</f>
        <v>0</v>
      </c>
      <c r="G63" s="4">
        <f>(360/D63)</f>
        <v>3.2142857142857144</v>
      </c>
    </row>
    <row r="64" ht="15.75" customHeight="1">
      <c r="A64">
        <v>7027290190</v>
      </c>
      <c r="B64" t="str">
        <v>Folate G3 Elecsys E2G 300</v>
      </c>
      <c r="C64">
        <v>300</v>
      </c>
      <c r="D64">
        <v>112</v>
      </c>
      <c r="F64">
        <f>E64/C64</f>
        <v>0</v>
      </c>
      <c r="G64" s="4">
        <f>(360/D64)</f>
        <v>3.2142857142857144</v>
      </c>
    </row>
    <row r="65" ht="15.75" customHeight="1">
      <c r="A65">
        <v>7028121190</v>
      </c>
      <c r="B65" t="str">
        <v>Vitamin B12 G2 Elecsys E2G 300</v>
      </c>
      <c r="C65">
        <v>300</v>
      </c>
      <c r="D65">
        <v>112</v>
      </c>
      <c r="F65">
        <f>E65/C65</f>
        <v>0</v>
      </c>
      <c r="G65" s="4">
        <f>(360/D65)</f>
        <v>3.2142857142857144</v>
      </c>
    </row>
    <row r="66" ht="15.75" customHeight="1">
      <c r="A66">
        <v>7713258190</v>
      </c>
      <c r="B66" t="str">
        <v>Active B12 Elecsys cobas E2G 300</v>
      </c>
      <c r="C66">
        <v>300</v>
      </c>
      <c r="D66">
        <v>112</v>
      </c>
      <c r="F66">
        <f>E66/C66</f>
        <v>0</v>
      </c>
      <c r="G66" s="4">
        <f>(360/D66)</f>
        <v>3.2142857142857144</v>
      </c>
    </row>
    <row r="67" ht="15.75" customHeight="1">
      <c r="A67">
        <v>7027516190</v>
      </c>
      <c r="B67" t="str">
        <v>IgE G2 Elecsys E2G 100</v>
      </c>
      <c r="C67">
        <v>100</v>
      </c>
      <c r="D67">
        <v>112</v>
      </c>
      <c r="F67">
        <f>E67/C67</f>
        <v>0</v>
      </c>
      <c r="G67" s="4">
        <f>(360/D67)</f>
        <v>3.2142857142857144</v>
      </c>
    </row>
    <row r="68" ht="15.75" customHeight="1">
      <c r="A68">
        <v>7251068190</v>
      </c>
      <c r="B68" t="str">
        <v>PTH Elecsys E2G 300</v>
      </c>
      <c r="C68">
        <v>300</v>
      </c>
      <c r="D68">
        <v>112</v>
      </c>
      <c r="F68">
        <f>E68/C68</f>
        <v>0</v>
      </c>
      <c r="G68" s="4">
        <f>(360/D68)</f>
        <v>3.2142857142857144</v>
      </c>
    </row>
    <row r="69" ht="15.75" customHeight="1">
      <c r="A69">
        <v>9005765190</v>
      </c>
      <c r="B69" t="str">
        <v>PTH (1-84) Elecsys E2G 100</v>
      </c>
      <c r="C69">
        <v>100</v>
      </c>
      <c r="D69">
        <v>112</v>
      </c>
      <c r="F69">
        <f>E69/C69</f>
        <v>0</v>
      </c>
      <c r="G69" s="4">
        <f>(360/D69)</f>
        <v>3.2142857142857144</v>
      </c>
    </row>
    <row r="70" ht="15.75" customHeight="1">
      <c r="A70">
        <v>7027940190</v>
      </c>
      <c r="B70" t="str">
        <v>Total P1NP Elecsys E2G 100</v>
      </c>
      <c r="C70">
        <v>100</v>
      </c>
      <c r="D70">
        <v>112</v>
      </c>
      <c r="F70">
        <f>E70/C70</f>
        <v>0</v>
      </c>
      <c r="G70" s="4">
        <f>(360/D70)</f>
        <v>3.2142857142857144</v>
      </c>
    </row>
    <row r="71" ht="15.75" customHeight="1">
      <c r="A71" s="6" t="str">
        <v>9005781190</v>
      </c>
      <c r="B71" s="6" t="str">
        <v>B-CrossLaps/serum Elecsys E2G 100</v>
      </c>
      <c r="C71">
        <v>100</v>
      </c>
      <c r="D71">
        <v>112</v>
      </c>
      <c r="F71">
        <f>E71/C71</f>
        <v>0</v>
      </c>
      <c r="G71" s="4">
        <f>(360/D71)</f>
        <v>3.2142857142857144</v>
      </c>
    </row>
    <row r="72" ht="15.75" customHeight="1">
      <c r="A72">
        <v>7027591190</v>
      </c>
      <c r="B72" t="str">
        <v>N-MID Osteocalcin Elecsys E2G 100</v>
      </c>
      <c r="C72">
        <v>100</v>
      </c>
      <c r="D72">
        <v>112</v>
      </c>
      <c r="F72">
        <f>E72/C72</f>
        <v>0</v>
      </c>
      <c r="G72" s="4">
        <f>(360/D72)</f>
        <v>3.2142857142857144</v>
      </c>
    </row>
    <row r="73" ht="15.75" customHeight="1">
      <c r="A73" s="6" t="str">
        <v>7251670190</v>
      </c>
      <c r="B73" s="6" t="str">
        <v>Anti-CCP Elecsys E2G 100 V1</v>
      </c>
      <c r="C73">
        <v>100</v>
      </c>
      <c r="D73">
        <v>112</v>
      </c>
      <c r="F73">
        <f>E73/C73</f>
        <v>0</v>
      </c>
      <c r="G73" s="4">
        <f>(360/D73)</f>
        <v>3.2142857142857144</v>
      </c>
    </row>
    <row r="74" ht="15.75" customHeight="1">
      <c r="A74" s="6" t="str">
        <v>9318747190</v>
      </c>
      <c r="B74" s="6" t="str">
        <v>PCT Brahms-Roche Elecsys E2G 300 V</v>
      </c>
      <c r="C74">
        <v>300</v>
      </c>
      <c r="D74">
        <v>112</v>
      </c>
      <c r="F74">
        <f>E74/C74</f>
        <v>0</v>
      </c>
      <c r="G74" s="4">
        <f>(360/D74)</f>
        <v>3.2142857142857144</v>
      </c>
    </row>
    <row r="75" ht="15.75" customHeight="1">
      <c r="A75">
        <v>9038086190</v>
      </c>
      <c r="B75" t="str">
        <v>Vitamin D total G2 Elecsys E2G 300</v>
      </c>
      <c r="C75">
        <v>300</v>
      </c>
      <c r="D75">
        <v>77</v>
      </c>
      <c r="F75">
        <f>E75/C75</f>
        <v>0</v>
      </c>
      <c r="G75" s="4">
        <f>(360/D75)</f>
        <v>4.675324675324675</v>
      </c>
    </row>
    <row r="76" ht="15.75" customHeight="1">
      <c r="A76">
        <v>7475918190</v>
      </c>
      <c r="B76" t="str">
        <v>IGF-1 Elecsys E2G 100</v>
      </c>
      <c r="C76">
        <v>100</v>
      </c>
      <c r="D76">
        <v>112</v>
      </c>
      <c r="F76">
        <f>E76/C76</f>
        <v>0</v>
      </c>
      <c r="G76" s="4">
        <f>(360/D76)</f>
        <v>3.2142857142857144</v>
      </c>
    </row>
    <row r="77" ht="15.75" customHeight="1">
      <c r="A77">
        <v>7574720190</v>
      </c>
      <c r="B77" t="str">
        <v>IGFBP-3 Elecsys E2G 100</v>
      </c>
      <c r="C77">
        <v>100</v>
      </c>
      <c r="D77">
        <v>112</v>
      </c>
      <c r="F77">
        <f>E77/C77</f>
        <v>0</v>
      </c>
      <c r="G77" s="4">
        <f>(360/D77)</f>
        <v>3.2142857142857144</v>
      </c>
    </row>
    <row r="78" ht="15.75" customHeight="1">
      <c r="A78">
        <v>8836973190</v>
      </c>
      <c r="B78" t="str">
        <v>HIV duo Elecsys E2G 300 V2</v>
      </c>
      <c r="C78">
        <v>300</v>
      </c>
      <c r="D78">
        <v>112</v>
      </c>
      <c r="F78">
        <f>E78/C78</f>
        <v>0</v>
      </c>
      <c r="G78" s="4">
        <f>(360/D78)</f>
        <v>3.2142857142857144</v>
      </c>
    </row>
    <row r="79" ht="15.75" customHeight="1">
      <c r="A79">
        <v>8110697190</v>
      </c>
      <c r="B79" t="str">
        <v>HCV Duo Elecsys E2G 300</v>
      </c>
      <c r="C79">
        <v>300</v>
      </c>
      <c r="D79">
        <v>31</v>
      </c>
      <c r="F79">
        <f>E79/C79</f>
        <v>0</v>
      </c>
      <c r="G79" s="4">
        <f>(360/D79)</f>
        <v>11.612903225806452</v>
      </c>
    </row>
    <row r="80" ht="15.75" customHeight="1">
      <c r="A80">
        <v>8086664190</v>
      </c>
      <c r="B80" t="str">
        <v>Anti-HAV G2 Elecsys E2G 300</v>
      </c>
      <c r="C80">
        <v>300</v>
      </c>
      <c r="D80">
        <v>112</v>
      </c>
      <c r="F80">
        <f>E80/C80</f>
        <v>0</v>
      </c>
      <c r="G80" s="4">
        <f>(360/D80)</f>
        <v>3.2142857142857144</v>
      </c>
    </row>
    <row r="81" ht="15.75" customHeight="1">
      <c r="A81">
        <v>7026773190</v>
      </c>
      <c r="B81" t="str">
        <v>Anti-HAV IgM Elecsys E2G 300</v>
      </c>
      <c r="C81">
        <v>300</v>
      </c>
      <c r="D81">
        <v>112</v>
      </c>
      <c r="F81">
        <f>E81/C81</f>
        <v>0</v>
      </c>
      <c r="G81" s="4">
        <f>(360/D81)</f>
        <v>3.2142857142857144</v>
      </c>
    </row>
    <row r="82" ht="15.75" customHeight="1">
      <c r="A82">
        <v>8814848190</v>
      </c>
      <c r="B82" t="str">
        <v>HBsAg G2 Elecsys E2G 300 V2</v>
      </c>
      <c r="C82">
        <v>300</v>
      </c>
      <c r="D82">
        <v>112</v>
      </c>
      <c r="F82">
        <f>E82/C82</f>
        <v>0</v>
      </c>
      <c r="G82" s="4">
        <f>(360/D82)</f>
        <v>3.2142857142857144</v>
      </c>
    </row>
    <row r="83" ht="15.75" customHeight="1">
      <c r="A83">
        <v>8498610190</v>
      </c>
      <c r="B83" t="str">
        <v>Anti-HBs G2 Elecsys E2G 300 V2</v>
      </c>
      <c r="C83">
        <v>300</v>
      </c>
      <c r="D83">
        <v>112</v>
      </c>
      <c r="F83">
        <f>E83/C83</f>
        <v>0</v>
      </c>
      <c r="G83" s="4">
        <f>(360/D83)</f>
        <v>3.2142857142857144</v>
      </c>
    </row>
    <row r="84" ht="15.75" customHeight="1">
      <c r="A84">
        <v>7027427190</v>
      </c>
      <c r="B84" t="str">
        <v>HBeAg Elecsys E2G 300</v>
      </c>
      <c r="C84">
        <v>300</v>
      </c>
      <c r="D84">
        <v>112</v>
      </c>
      <c r="F84">
        <f>E84/C84</f>
        <v>0</v>
      </c>
      <c r="G84" s="4">
        <f>(360/D84)</f>
        <v>3.2142857142857144</v>
      </c>
    </row>
    <row r="85" ht="15.75" customHeight="1">
      <c r="A85">
        <v>7026838190</v>
      </c>
      <c r="B85" t="str">
        <v>Anti-HBe Elecsys E2G 300</v>
      </c>
      <c r="C85">
        <v>300</v>
      </c>
      <c r="D85">
        <v>112</v>
      </c>
      <c r="F85">
        <f>E85/C85</f>
        <v>0</v>
      </c>
      <c r="G85" s="4">
        <f>(360/D85)</f>
        <v>3.2142857142857144</v>
      </c>
    </row>
    <row r="86" ht="15.75" customHeight="1">
      <c r="A86">
        <v>9014926190</v>
      </c>
      <c r="B86" t="str">
        <v>Anti-HBc G2 Elecsys E2G 300</v>
      </c>
      <c r="C86">
        <v>300</v>
      </c>
      <c r="D86">
        <v>112</v>
      </c>
      <c r="F86">
        <f>E86/C86</f>
        <v>0</v>
      </c>
      <c r="G86" s="4">
        <f>(360/D86)</f>
        <v>3.2142857142857144</v>
      </c>
    </row>
    <row r="87" ht="15.75" customHeight="1">
      <c r="A87">
        <v>7026811190</v>
      </c>
      <c r="B87" t="str">
        <v>Anti-HBc IgM Elecsys E2G 300</v>
      </c>
      <c r="C87">
        <v>300</v>
      </c>
      <c r="D87">
        <v>112</v>
      </c>
      <c r="F87">
        <f>E87/C87</f>
        <v>0</v>
      </c>
      <c r="G87" s="4">
        <f>(360/D87)</f>
        <v>3.2142857142857144</v>
      </c>
    </row>
    <row r="88" ht="15.75" customHeight="1">
      <c r="A88">
        <v>8837058190</v>
      </c>
      <c r="B88" t="str">
        <v>Anti-HCV G2 Elecsys E2G 300 V2</v>
      </c>
      <c r="C88">
        <v>300</v>
      </c>
      <c r="D88">
        <v>31</v>
      </c>
      <c r="F88">
        <f>E88/C88</f>
        <v>0</v>
      </c>
      <c r="G88" s="4">
        <f>(360/D88)</f>
        <v>11.612903225806452</v>
      </c>
    </row>
    <row r="89" ht="15.75" customHeight="1">
      <c r="A89">
        <v>7027770190</v>
      </c>
      <c r="B89" t="str">
        <v>Rubella IgG Elecsys E2G 300</v>
      </c>
      <c r="C89">
        <v>300</v>
      </c>
      <c r="D89">
        <v>112</v>
      </c>
      <c r="F89">
        <f>E89/C89</f>
        <v>0</v>
      </c>
      <c r="G89" s="4">
        <f>(360/D89)</f>
        <v>3.2142857142857144</v>
      </c>
    </row>
    <row r="90" ht="15.75" customHeight="1">
      <c r="A90">
        <v>7027796190</v>
      </c>
      <c r="B90" t="str">
        <v>Rubella IgM Elecsys E2G 300</v>
      </c>
      <c r="C90">
        <v>300</v>
      </c>
      <c r="D90">
        <v>112</v>
      </c>
      <c r="F90">
        <f>E90/C90</f>
        <v>0</v>
      </c>
      <c r="G90" s="4">
        <f>(360/D90)</f>
        <v>3.2142857142857144</v>
      </c>
    </row>
    <row r="91" ht="15.75" customHeight="1">
      <c r="A91">
        <v>7028008190</v>
      </c>
      <c r="B91" t="str">
        <v>Toxo IgG Elecsys E2G 300</v>
      </c>
      <c r="C91">
        <v>300</v>
      </c>
      <c r="D91">
        <v>112</v>
      </c>
      <c r="F91">
        <f>E91/C91</f>
        <v>0</v>
      </c>
      <c r="G91" s="4">
        <f>(360/D91)</f>
        <v>3.2142857142857144</v>
      </c>
    </row>
    <row r="92" ht="15.75" customHeight="1">
      <c r="A92">
        <v>7027974190</v>
      </c>
      <c r="B92" t="str">
        <v>Toxo IgG Avidity Elecsys E2G 100</v>
      </c>
      <c r="C92">
        <v>100</v>
      </c>
      <c r="D92">
        <v>112</v>
      </c>
      <c r="F92">
        <f>E92/C92</f>
        <v>0</v>
      </c>
      <c r="G92" s="4">
        <f>(360/D92)</f>
        <v>3.2142857142857144</v>
      </c>
    </row>
    <row r="93" ht="15.75" customHeight="1">
      <c r="A93">
        <v>7028024190</v>
      </c>
      <c r="B93" t="str">
        <v>Toxo IgM Elecsys E2G 300</v>
      </c>
      <c r="C93">
        <v>300</v>
      </c>
      <c r="D93">
        <v>112</v>
      </c>
      <c r="F93">
        <f>E93/C93</f>
        <v>0</v>
      </c>
      <c r="G93" s="4">
        <f>(360/D93)</f>
        <v>3.2142857142857144</v>
      </c>
    </row>
    <row r="94" ht="15.75" customHeight="1">
      <c r="A94">
        <v>9118551190</v>
      </c>
      <c r="B94" t="str">
        <v>CMV IgG Elecsys E2G 300 V2</v>
      </c>
      <c r="C94">
        <v>300</v>
      </c>
      <c r="D94">
        <v>112</v>
      </c>
      <c r="F94">
        <f>E94/C94</f>
        <v>0</v>
      </c>
      <c r="G94" s="4">
        <f>(360/D94)</f>
        <v>3.2142857142857144</v>
      </c>
    </row>
    <row r="95" ht="15.75" customHeight="1">
      <c r="A95">
        <v>9342389190</v>
      </c>
      <c r="B95" t="str">
        <v>CMV IgG Avidity Elecsys E2G 100 V2</v>
      </c>
      <c r="C95">
        <v>100</v>
      </c>
      <c r="D95">
        <v>112</v>
      </c>
      <c r="F95">
        <f>E95/C95</f>
        <v>0</v>
      </c>
      <c r="G95" s="4">
        <f>(360/D95)</f>
        <v>3.2142857142857144</v>
      </c>
    </row>
    <row r="96" ht="15.75" customHeight="1">
      <c r="A96">
        <v>7027133190</v>
      </c>
      <c r="B96" t="str">
        <v>CMV IgM Elecsys E2G 300</v>
      </c>
      <c r="C96">
        <v>300</v>
      </c>
      <c r="D96">
        <v>112</v>
      </c>
      <c r="F96">
        <f>E96/C96</f>
        <v>0</v>
      </c>
      <c r="G96" s="4">
        <f>(360/D96)</f>
        <v>3.2142857142857144</v>
      </c>
    </row>
    <row r="97" ht="15.75" customHeight="1">
      <c r="A97">
        <v>8948852190</v>
      </c>
      <c r="B97" t="str">
        <v>HSV-1 IgG Elecsys E2G 100 V2</v>
      </c>
      <c r="C97">
        <v>100</v>
      </c>
      <c r="D97">
        <v>112</v>
      </c>
      <c r="F97">
        <f>E97/C97</f>
        <v>0</v>
      </c>
      <c r="G97" s="4">
        <f>(360/D97)</f>
        <v>3.2142857142857144</v>
      </c>
    </row>
    <row r="98" ht="15.75" customHeight="1">
      <c r="A98">
        <v>8948909190</v>
      </c>
      <c r="B98" t="str">
        <v>HSV-2 IgG Elecsys E2G 100 V2</v>
      </c>
      <c r="C98">
        <v>100</v>
      </c>
      <c r="D98">
        <v>112</v>
      </c>
      <c r="F98">
        <f>E98/C98</f>
        <v>0</v>
      </c>
      <c r="G98" s="4">
        <f>(360/D98)</f>
        <v>3.2142857142857144</v>
      </c>
    </row>
    <row r="99" ht="15.75" customHeight="1">
      <c r="A99">
        <v>8355274190</v>
      </c>
      <c r="B99" t="str">
        <v>EBV IGM ELECSYS E2G 300</v>
      </c>
      <c r="C99">
        <v>300</v>
      </c>
      <c r="D99">
        <v>112</v>
      </c>
      <c r="F99">
        <f>E99/C99</f>
        <v>0</v>
      </c>
      <c r="G99" s="4">
        <f>(360/D99)</f>
        <v>3.2142857142857144</v>
      </c>
    </row>
    <row r="100" ht="15.75" customHeight="1">
      <c r="A100">
        <v>8355355190</v>
      </c>
      <c r="B100" t="str">
        <v>EBV VCA IGG ELECSYS E2G 300</v>
      </c>
      <c r="C100">
        <v>300</v>
      </c>
      <c r="D100">
        <v>112</v>
      </c>
      <c r="F100">
        <f>E100/C100</f>
        <v>0</v>
      </c>
      <c r="G100" s="4">
        <f>(360/D100)</f>
        <v>3.2142857142857144</v>
      </c>
    </row>
    <row r="101" ht="15.75" customHeight="1">
      <c r="A101">
        <v>8355380190</v>
      </c>
      <c r="B101" t="str">
        <v>EBV EBNA IGG ELECSYS E2G 300</v>
      </c>
      <c r="C101">
        <v>300</v>
      </c>
      <c r="D101">
        <v>112</v>
      </c>
      <c r="F101">
        <f>E101/C101</f>
        <v>0</v>
      </c>
      <c r="G101" s="4">
        <f>(360/D101)</f>
        <v>3.2142857142857144</v>
      </c>
    </row>
    <row r="102" ht="15.75" customHeight="1">
      <c r="A102">
        <v>9015272190</v>
      </c>
      <c r="B102" t="str">
        <v>HTLV Elecsys E2G 300 V2</v>
      </c>
      <c r="C102">
        <v>300</v>
      </c>
      <c r="D102">
        <v>112</v>
      </c>
      <c r="F102">
        <f>E102/C102</f>
        <v>0</v>
      </c>
      <c r="G102" s="4">
        <f>(360/D102)</f>
        <v>3.2142857142857144</v>
      </c>
    </row>
    <row r="103" ht="15.75" customHeight="1">
      <c r="A103">
        <v>9015051190</v>
      </c>
      <c r="B103" t="str">
        <v>SYPHILIS ELECSYS E2G 300 V2</v>
      </c>
      <c r="C103">
        <v>300</v>
      </c>
      <c r="D103">
        <v>112</v>
      </c>
      <c r="F103">
        <f>E103/C103</f>
        <v>0</v>
      </c>
      <c r="G103" s="4">
        <f>(360/D103)</f>
        <v>3.2142857142857144</v>
      </c>
    </row>
    <row r="104" ht="15.75" customHeight="1">
      <c r="A104">
        <v>9015582190</v>
      </c>
      <c r="B104" t="str">
        <v>Chagas Elecsys E2G 300 V2</v>
      </c>
      <c r="C104">
        <v>300</v>
      </c>
      <c r="D104">
        <v>112</v>
      </c>
      <c r="F104">
        <f>E104/C104</f>
        <v>0</v>
      </c>
      <c r="G104" s="4">
        <f>(360/D104)</f>
        <v>3.2142857142857144</v>
      </c>
    </row>
    <row r="105" ht="15.75" customHeight="1">
      <c r="A105">
        <v>9203079190</v>
      </c>
      <c r="B105" t="str">
        <v>Anti-SARS-CoV-2 Elecsys E2G 300</v>
      </c>
      <c r="C105">
        <v>300</v>
      </c>
      <c r="D105">
        <v>30</v>
      </c>
      <c r="F105">
        <f>E105/C105</f>
        <v>0</v>
      </c>
      <c r="G105" s="4">
        <f>(360/D105)</f>
        <v>12</v>
      </c>
    </row>
    <row r="106" ht="15.75" customHeight="1">
      <c r="A106">
        <v>9289275190</v>
      </c>
      <c r="B106" t="str">
        <v>Anti-SARS-CoV-2 S Elecsys E2G 300</v>
      </c>
      <c r="C106">
        <v>300</v>
      </c>
      <c r="D106">
        <v>112</v>
      </c>
      <c r="F106">
        <f>E106/C106</f>
        <v>0</v>
      </c>
      <c r="G106" s="4">
        <f>(360/D106)</f>
        <v>3.2142857142857144</v>
      </c>
    </row>
    <row r="107" ht="15.75" customHeight="1">
      <c r="A107">
        <v>9345299190</v>
      </c>
      <c r="B107" t="str">
        <v>SARS-CoV-2 Ag Elecsys E2G 300</v>
      </c>
      <c r="C107">
        <v>300</v>
      </c>
      <c r="F107">
        <f>E107/C107</f>
        <v>0</v>
      </c>
      <c r="G107" s="4" t="e">
        <f>(360/D107)</f>
        <v>#DIV/0!</v>
      </c>
    </row>
    <row r="108" ht="15.75" customHeight="1">
      <c r="A108">
        <v>7251246190</v>
      </c>
      <c r="B108" t="str">
        <v>Cyclosporine Elecsys E2G 300</v>
      </c>
      <c r="C108">
        <v>300</v>
      </c>
      <c r="F108">
        <f>E108/C108</f>
        <v>0</v>
      </c>
      <c r="G108" s="4" t="e">
        <f>(360/D108)</f>
        <v>#DIV/0!</v>
      </c>
    </row>
    <row r="109" ht="15.75" customHeight="1">
      <c r="A109">
        <v>7027257190</v>
      </c>
      <c r="B109" t="str">
        <v>Everolimus Elecsys E2G 100</v>
      </c>
      <c r="C109">
        <v>100</v>
      </c>
      <c r="F109">
        <f>E109/C109</f>
        <v>0</v>
      </c>
      <c r="G109" s="4" t="e">
        <f>(360/D109)</f>
        <v>#DIV/0!</v>
      </c>
    </row>
    <row r="110" ht="15.75" customHeight="1">
      <c r="A110">
        <v>7027834190</v>
      </c>
      <c r="B110" t="str">
        <v>Sirolimus Elecsys E2G 100</v>
      </c>
      <c r="C110">
        <v>100</v>
      </c>
      <c r="F110">
        <f>E110/C110</f>
        <v>0</v>
      </c>
      <c r="G110" s="4" t="e">
        <f>(360/D110)</f>
        <v>#DIV/0!</v>
      </c>
    </row>
    <row r="111" ht="15.75" customHeight="1">
      <c r="A111">
        <v>7251254190</v>
      </c>
      <c r="B111" t="str">
        <v>Tacrolimus Elecsys E2G 300</v>
      </c>
      <c r="C111">
        <v>300</v>
      </c>
      <c r="F111">
        <f>E111/C111</f>
        <v>0</v>
      </c>
      <c r="G111" s="4" t="e">
        <f>(360/D111)</f>
        <v>#DIV/0!</v>
      </c>
    </row>
    <row r="112" ht="15.75" customHeight="1">
      <c r="D112" s="5" t="str">
        <v>TOTAL DET</v>
      </c>
      <c r="E112" s="5">
        <f>SUM(E9:E111)</f>
        <v>0</v>
      </c>
    </row>
    <row r="113" ht="15.75" customHeight="1">
      <c r="A113" t="str">
        <v>CALIBRADORES</v>
      </c>
      <c r="C113" t="str">
        <v xml:space="preserve">PRESENTACION </v>
      </c>
      <c r="D113" t="str">
        <v>DIAS ESTABILIDAD</v>
      </c>
      <c r="F113" t="str">
        <v>PRODUCTO CALCULADO</v>
      </c>
      <c r="G113" s="4" t="str">
        <v>MINIMOS POR ESTABILIDAD</v>
      </c>
      <c r="H113" s="4" t="str">
        <v>PRODUCTO A ENTREGAR</v>
      </c>
    </row>
    <row r="114" ht="15.75" customHeight="1">
      <c r="A114">
        <v>8443459190</v>
      </c>
      <c r="B114" t="str">
        <v>TSH CalSet</v>
      </c>
      <c r="C114">
        <v>2</v>
      </c>
      <c r="D114">
        <v>84</v>
      </c>
      <c r="G114" s="4">
        <f>(360/D114)</f>
        <v>4.285714285714286</v>
      </c>
    </row>
    <row r="115" ht="15.75" customHeight="1">
      <c r="A115">
        <v>11731548122</v>
      </c>
      <c r="B115" t="str">
        <v>T3 CalSet</v>
      </c>
      <c r="C115">
        <v>2</v>
      </c>
      <c r="D115">
        <v>84</v>
      </c>
      <c r="G115" s="4">
        <f>(360/D115)</f>
        <v>4.285714285714286</v>
      </c>
    </row>
    <row r="116" ht="15.75" customHeight="1">
      <c r="A116">
        <v>12017717122</v>
      </c>
      <c r="B116" t="str">
        <v>T4 CalSet</v>
      </c>
      <c r="C116">
        <v>2</v>
      </c>
      <c r="D116">
        <v>84</v>
      </c>
      <c r="G116" s="4">
        <f>(360/D116)</f>
        <v>4.285714285714286</v>
      </c>
    </row>
    <row r="117" ht="15.75" customHeight="1">
      <c r="A117">
        <v>9077871190</v>
      </c>
      <c r="B117" t="str">
        <v>FT3 III CalSet</v>
      </c>
      <c r="C117">
        <v>2</v>
      </c>
      <c r="D117">
        <v>56</v>
      </c>
      <c r="G117" s="4">
        <f>(360/D117)</f>
        <v>6.428571428571429</v>
      </c>
    </row>
    <row r="118" ht="15.75" customHeight="1">
      <c r="A118">
        <v>9043292190</v>
      </c>
      <c r="B118" t="str">
        <v>CalSet FT4 III</v>
      </c>
      <c r="C118">
        <v>2</v>
      </c>
      <c r="D118">
        <v>84</v>
      </c>
      <c r="G118" s="4">
        <f>(360/D118)</f>
        <v>4.285714285714286</v>
      </c>
    </row>
    <row r="119" ht="15.75" customHeight="1">
      <c r="A119">
        <v>8991405190</v>
      </c>
      <c r="B119" t="str">
        <v>Tg II CalSet</v>
      </c>
      <c r="C119">
        <v>2</v>
      </c>
      <c r="D119">
        <v>93</v>
      </c>
      <c r="G119" s="4">
        <f>(360/D119)</f>
        <v>3.870967741935484</v>
      </c>
    </row>
    <row r="120" ht="15.75" customHeight="1">
      <c r="A120">
        <v>6472931190</v>
      </c>
      <c r="B120" t="str">
        <v xml:space="preserve">Anti‑TPO CalSet </v>
      </c>
      <c r="C120">
        <v>2</v>
      </c>
      <c r="D120">
        <v>56</v>
      </c>
      <c r="G120" s="4">
        <f>(360/D120)</f>
        <v>6.428571428571429</v>
      </c>
    </row>
    <row r="121" ht="15.75" customHeight="1">
      <c r="A121">
        <v>9005030190</v>
      </c>
      <c r="B121" t="str">
        <v>Anti‑Tg CalSet</v>
      </c>
      <c r="C121">
        <v>2</v>
      </c>
      <c r="D121">
        <v>42</v>
      </c>
      <c r="G121" s="4">
        <f>(360/D121)</f>
        <v>8.571428571428571</v>
      </c>
    </row>
    <row r="122" ht="15.75" customHeight="1">
      <c r="A122">
        <v>8496641190</v>
      </c>
      <c r="B122" t="str">
        <v>CalSet Anti‑TSHR</v>
      </c>
      <c r="C122">
        <v>2</v>
      </c>
      <c r="D122">
        <v>84</v>
      </c>
      <c r="G122" s="4">
        <f>(360/D122)</f>
        <v>4.285714285714286</v>
      </c>
    </row>
    <row r="123" ht="15.75" customHeight="1">
      <c r="A123">
        <v>9557423190</v>
      </c>
      <c r="B123" t="str">
        <v>LH CalSet II</v>
      </c>
      <c r="C123">
        <v>2</v>
      </c>
      <c r="D123">
        <v>84</v>
      </c>
      <c r="G123" s="4">
        <f>(360/D123)</f>
        <v>4.285714285714286</v>
      </c>
    </row>
    <row r="124" ht="15.75" customHeight="1">
      <c r="A124">
        <v>9557440190</v>
      </c>
      <c r="B124" t="str">
        <v>FSH CS Elecsys V3</v>
      </c>
      <c r="C124">
        <v>2</v>
      </c>
      <c r="D124">
        <v>84</v>
      </c>
      <c r="G124" s="4">
        <f>(360/D124)</f>
        <v>4.285714285714286</v>
      </c>
    </row>
    <row r="125" ht="15.75" customHeight="1">
      <c r="A125">
        <v>6656048190</v>
      </c>
      <c r="B125" t="str">
        <v xml:space="preserve">Estradiol III CalSet </v>
      </c>
      <c r="C125">
        <v>2</v>
      </c>
      <c r="D125">
        <v>31</v>
      </c>
      <c r="G125" s="4">
        <f>(360/D125)</f>
        <v>11.612903225806452</v>
      </c>
    </row>
    <row r="126" ht="15.75" customHeight="1">
      <c r="A126">
        <v>7092547190</v>
      </c>
      <c r="B126" t="str">
        <v>Progesterone III CalSet</v>
      </c>
      <c r="C126">
        <v>2</v>
      </c>
      <c r="D126">
        <v>31</v>
      </c>
      <c r="G126" s="4">
        <f>(360/D126)</f>
        <v>11.612903225806452</v>
      </c>
    </row>
    <row r="127" ht="15.75" customHeight="1">
      <c r="A127">
        <v>3277356190</v>
      </c>
      <c r="B127" t="str">
        <v>Prolactin II CalSet</v>
      </c>
      <c r="C127">
        <v>2</v>
      </c>
      <c r="D127">
        <v>84</v>
      </c>
      <c r="G127" s="4">
        <f>(360/D127)</f>
        <v>4.285714285714286</v>
      </c>
    </row>
    <row r="128" ht="15.75" customHeight="1">
      <c r="A128">
        <v>5202230190</v>
      </c>
      <c r="B128" t="str">
        <v xml:space="preserve">Testosterone II CalSet II </v>
      </c>
      <c r="C128">
        <v>2</v>
      </c>
      <c r="D128">
        <v>84</v>
      </c>
      <c r="G128" s="4">
        <f>(360/D128)</f>
        <v>4.285714285714286</v>
      </c>
    </row>
    <row r="129" ht="15.75" customHeight="1">
      <c r="A129">
        <v>3052028190</v>
      </c>
      <c r="B129" t="str">
        <v>SHBG CalSet</v>
      </c>
      <c r="C129">
        <v>2</v>
      </c>
      <c r="D129">
        <v>56</v>
      </c>
      <c r="G129" s="4">
        <f>(360/D129)</f>
        <v>6.428571428571429</v>
      </c>
    </row>
    <row r="130" ht="15.75" customHeight="1">
      <c r="A130">
        <v>3000095122</v>
      </c>
      <c r="B130" t="str">
        <v xml:space="preserve">DHEA‑S CalSet  </v>
      </c>
      <c r="C130">
        <v>2</v>
      </c>
      <c r="D130">
        <v>84</v>
      </c>
      <c r="G130" s="4">
        <f>(360/D130)</f>
        <v>4.285714285714286</v>
      </c>
    </row>
    <row r="131" ht="15.75" customHeight="1">
      <c r="A131">
        <v>3302652190</v>
      </c>
      <c r="B131" t="str">
        <v>HCG+β CalSet</v>
      </c>
      <c r="C131">
        <v>2</v>
      </c>
      <c r="D131">
        <v>84</v>
      </c>
      <c r="G131" s="4">
        <f>(360/D131)</f>
        <v>4.285714285714286</v>
      </c>
    </row>
    <row r="132" ht="15.75" customHeight="1">
      <c r="A132">
        <v>9013296190</v>
      </c>
      <c r="B132" t="str">
        <v xml:space="preserve">HCG STAT CalSet  </v>
      </c>
      <c r="C132">
        <v>2</v>
      </c>
      <c r="D132">
        <v>84</v>
      </c>
      <c r="G132" s="4">
        <f>(360/D132)</f>
        <v>4.285714285714286</v>
      </c>
    </row>
    <row r="133" ht="15.75" customHeight="1">
      <c r="A133">
        <v>4854080200</v>
      </c>
      <c r="B133" t="str">
        <v xml:space="preserve">free βhCG CalSet  </v>
      </c>
      <c r="C133">
        <v>2</v>
      </c>
      <c r="D133">
        <v>84</v>
      </c>
      <c r="G133" s="4">
        <f>(360/D133)</f>
        <v>4.285714285714286</v>
      </c>
    </row>
    <row r="134" ht="15.75" customHeight="1">
      <c r="A134">
        <v>4854101200</v>
      </c>
      <c r="B134" t="str">
        <v>PAPP‑A CalSet</v>
      </c>
      <c r="C134">
        <v>2</v>
      </c>
      <c r="D134">
        <v>84</v>
      </c>
      <c r="G134" s="4">
        <f>(360/D134)</f>
        <v>4.285714285714286</v>
      </c>
    </row>
    <row r="135" ht="15.75" customHeight="1">
      <c r="A135">
        <v>5144701190</v>
      </c>
      <c r="B135" t="str">
        <v>PlGF CalSet</v>
      </c>
      <c r="C135">
        <v>2</v>
      </c>
      <c r="D135">
        <v>28</v>
      </c>
      <c r="G135" s="4">
        <f>(360/D135)</f>
        <v>12.857142857142858</v>
      </c>
    </row>
    <row r="136" ht="15.75" customHeight="1">
      <c r="A136">
        <v>5109531190</v>
      </c>
      <c r="B136" t="str">
        <v xml:space="preserve">sFlt‑1 CalSet  </v>
      </c>
      <c r="C136">
        <v>2</v>
      </c>
      <c r="D136">
        <v>28</v>
      </c>
      <c r="G136" s="4">
        <f>(360/D136)</f>
        <v>12.857142857142858</v>
      </c>
    </row>
    <row r="137" ht="15.75" customHeight="1">
      <c r="A137">
        <v>3184919190</v>
      </c>
      <c r="B137" t="str">
        <v>C‑Peptide CalSet</v>
      </c>
      <c r="C137">
        <v>2</v>
      </c>
      <c r="D137">
        <v>28</v>
      </c>
      <c r="G137" s="4">
        <f>(360/D137)</f>
        <v>12.857142857142858</v>
      </c>
    </row>
    <row r="138" ht="15.75" customHeight="1">
      <c r="A138">
        <v>12017504122</v>
      </c>
      <c r="B138" t="str">
        <v>Insulin CalSet</v>
      </c>
      <c r="C138">
        <v>2</v>
      </c>
      <c r="D138">
        <v>84</v>
      </c>
      <c r="G138" s="4">
        <f>(360/D138)</f>
        <v>4.285714285714286</v>
      </c>
    </row>
    <row r="139" ht="15.75" customHeight="1">
      <c r="A139">
        <v>6687750190</v>
      </c>
      <c r="B139" t="str">
        <v>Cortisol II CalSet</v>
      </c>
      <c r="C139">
        <v>2</v>
      </c>
      <c r="D139">
        <v>84</v>
      </c>
      <c r="G139" s="4">
        <f>(360/D139)</f>
        <v>4.285714285714286</v>
      </c>
    </row>
    <row r="140" ht="15.75" customHeight="1">
      <c r="A140">
        <v>9290940190</v>
      </c>
      <c r="B140" t="str">
        <v>CalSet Cortisol III Urine</v>
      </c>
      <c r="C140">
        <v>2</v>
      </c>
      <c r="D140">
        <v>1</v>
      </c>
      <c r="G140" s="4">
        <f>(360/D140)</f>
        <v>360</v>
      </c>
    </row>
    <row r="141" ht="15.75" customHeight="1">
      <c r="A141">
        <v>8959820190</v>
      </c>
      <c r="B141" t="str">
        <v>ACTH CalSet</v>
      </c>
      <c r="C141">
        <v>2</v>
      </c>
      <c r="D141">
        <v>28</v>
      </c>
      <c r="G141" s="4">
        <f>(360/D141)</f>
        <v>12.857142857142858</v>
      </c>
    </row>
    <row r="142" ht="15.75" customHeight="1">
      <c r="A142">
        <v>5390133190</v>
      </c>
      <c r="B142" t="str">
        <v>hGH CalSet</v>
      </c>
      <c r="C142">
        <v>2</v>
      </c>
      <c r="D142">
        <v>28</v>
      </c>
      <c r="G142" s="4">
        <f>(360/D142)</f>
        <v>12.857142857142858</v>
      </c>
    </row>
    <row r="143" ht="15.75" customHeight="1">
      <c r="A143">
        <v>7957203190</v>
      </c>
      <c r="B143" t="str">
        <v>CalSet AMH Plus</v>
      </c>
      <c r="C143">
        <v>2</v>
      </c>
      <c r="D143">
        <v>28</v>
      </c>
      <c r="G143" s="4">
        <f>(360/D143)</f>
        <v>12.857142857142858</v>
      </c>
    </row>
    <row r="144" ht="15.75" customHeight="1">
      <c r="A144">
        <v>8838534190</v>
      </c>
      <c r="B144" t="str">
        <v>total PSA CalSet II</v>
      </c>
      <c r="C144">
        <v>2</v>
      </c>
      <c r="D144">
        <v>84</v>
      </c>
      <c r="G144" s="4">
        <f>(360/D144)</f>
        <v>4.285714285714286</v>
      </c>
    </row>
    <row r="145" ht="15.75" customHeight="1">
      <c r="A145">
        <v>8851964190</v>
      </c>
      <c r="B145" t="str">
        <v>free PSA CalSet</v>
      </c>
      <c r="C145">
        <v>2</v>
      </c>
      <c r="D145">
        <v>84</v>
      </c>
      <c r="G145" s="4">
        <f>(360/D145)</f>
        <v>4.285714285714286</v>
      </c>
    </row>
    <row r="146" ht="15.75" customHeight="1">
      <c r="A146">
        <v>9227261190</v>
      </c>
      <c r="B146" t="str">
        <v>AFP CalSet II</v>
      </c>
      <c r="C146">
        <v>2</v>
      </c>
      <c r="D146">
        <v>84</v>
      </c>
      <c r="G146" s="4">
        <f>(360/D146)</f>
        <v>4.285714285714286</v>
      </c>
    </row>
    <row r="147" ht="15.75" customHeight="1">
      <c r="A147">
        <v>11731645322</v>
      </c>
      <c r="B147" t="str">
        <v>CEA CalSet</v>
      </c>
      <c r="C147">
        <v>2</v>
      </c>
      <c r="D147">
        <v>84</v>
      </c>
      <c r="G147" s="4">
        <f>(360/D147)</f>
        <v>4.285714285714286</v>
      </c>
    </row>
    <row r="148" ht="15.75" customHeight="1">
      <c r="A148">
        <v>7030207190</v>
      </c>
      <c r="B148" t="str">
        <v>CA 125 II CalSet</v>
      </c>
      <c r="C148">
        <v>2</v>
      </c>
      <c r="D148">
        <v>140</v>
      </c>
      <c r="G148" s="4">
        <f>(360/D148)</f>
        <v>2.5714285714285716</v>
      </c>
    </row>
    <row r="149" ht="15.75" customHeight="1">
      <c r="A149">
        <v>3045846122</v>
      </c>
      <c r="B149" t="str">
        <v>CA 15-3 II CalSet</v>
      </c>
      <c r="C149">
        <v>2</v>
      </c>
      <c r="D149">
        <v>84</v>
      </c>
      <c r="G149" s="4">
        <f>(360/D149)</f>
        <v>4.285714285714286</v>
      </c>
    </row>
    <row r="150" ht="15.75" customHeight="1">
      <c r="A150">
        <v>11776215122</v>
      </c>
      <c r="B150" t="str">
        <v>CA 19‑9 CalSet</v>
      </c>
      <c r="C150">
        <v>2</v>
      </c>
      <c r="D150">
        <v>56</v>
      </c>
      <c r="G150" s="4">
        <f>(360/D150)</f>
        <v>6.428571428571429</v>
      </c>
    </row>
    <row r="151" ht="15.75" customHeight="1">
      <c r="A151">
        <v>11820974322</v>
      </c>
      <c r="B151" t="str">
        <v>CYFRA 21‑1 CalSet</v>
      </c>
      <c r="C151">
        <v>2</v>
      </c>
      <c r="D151">
        <v>56</v>
      </c>
      <c r="G151" s="4">
        <f>(360/D151)</f>
        <v>6.428571428571429</v>
      </c>
    </row>
    <row r="152" ht="15.75" customHeight="1">
      <c r="A152">
        <v>9175130190</v>
      </c>
      <c r="B152" t="str">
        <v>CA 72‑4 CalSet</v>
      </c>
      <c r="C152">
        <v>2</v>
      </c>
      <c r="D152">
        <v>42</v>
      </c>
      <c r="G152" s="4">
        <f>(360/D152)</f>
        <v>8.571428571428571</v>
      </c>
    </row>
    <row r="153" ht="15.75" customHeight="1">
      <c r="A153">
        <v>12133121122</v>
      </c>
      <c r="B153" t="str">
        <v xml:space="preserve">NSE CalSet  </v>
      </c>
      <c r="C153">
        <v>2</v>
      </c>
      <c r="D153">
        <v>42</v>
      </c>
      <c r="G153" s="4">
        <f>(360/D153)</f>
        <v>8.571428571428571</v>
      </c>
    </row>
    <row r="154" ht="15.75" customHeight="1">
      <c r="A154">
        <v>3289834190</v>
      </c>
      <c r="B154" t="str">
        <v xml:space="preserve">S100 CalSet </v>
      </c>
      <c r="C154">
        <v>2</v>
      </c>
      <c r="D154">
        <v>84</v>
      </c>
      <c r="G154" s="4">
        <f>(360/D154)</f>
        <v>4.285714285714286</v>
      </c>
    </row>
    <row r="155" ht="15.75" customHeight="1">
      <c r="A155">
        <v>5950945190</v>
      </c>
      <c r="B155" t="str">
        <v>HE4 CalSet</v>
      </c>
      <c r="C155">
        <v>2</v>
      </c>
      <c r="D155">
        <v>56</v>
      </c>
      <c r="G155" s="4">
        <f>(360/D155)</f>
        <v>6.428571428571429</v>
      </c>
    </row>
    <row r="156" ht="15.75" customHeight="1">
      <c r="A156">
        <v>8333637190</v>
      </c>
      <c r="B156" t="str">
        <v xml:space="preserve">CalSet PIVKA‑II  </v>
      </c>
      <c r="C156">
        <v>2</v>
      </c>
      <c r="D156">
        <v>28</v>
      </c>
      <c r="G156" s="4">
        <f>(360/D156)</f>
        <v>12.857142857142858</v>
      </c>
    </row>
    <row r="157" ht="15.75" customHeight="1">
      <c r="A157">
        <v>6505970190</v>
      </c>
      <c r="B157" t="str">
        <v>ProGRP CalSet</v>
      </c>
      <c r="C157">
        <v>2</v>
      </c>
      <c r="D157">
        <v>56</v>
      </c>
      <c r="G157" s="4">
        <f>(360/D157)</f>
        <v>6.428571428571429</v>
      </c>
    </row>
    <row r="158" ht="15.75" customHeight="1">
      <c r="A158">
        <v>7126999190</v>
      </c>
      <c r="B158" t="str">
        <v>SCC CalSet</v>
      </c>
      <c r="C158">
        <v>2</v>
      </c>
      <c r="D158">
        <v>28</v>
      </c>
      <c r="G158" s="4">
        <f>(360/D158)</f>
        <v>12.857142857142858</v>
      </c>
    </row>
    <row r="159" ht="15.75" customHeight="1">
      <c r="A159">
        <v>11820907322</v>
      </c>
      <c r="B159" t="str">
        <v>Digoxin CalSet</v>
      </c>
      <c r="C159">
        <v>2</v>
      </c>
      <c r="D159">
        <v>56</v>
      </c>
      <c r="G159" s="4">
        <f>(360/D159)</f>
        <v>6.428571428571429</v>
      </c>
    </row>
    <row r="160" ht="15.75" customHeight="1">
      <c r="A160">
        <v>7394667190</v>
      </c>
      <c r="B160" t="str">
        <v>CalSet CK‑MB</v>
      </c>
      <c r="C160">
        <v>2</v>
      </c>
      <c r="D160">
        <v>84</v>
      </c>
      <c r="G160" s="4">
        <f>(360/D160)</f>
        <v>4.285714285714286</v>
      </c>
    </row>
    <row r="161" ht="15.75" customHeight="1">
      <c r="A161">
        <v>7394675190</v>
      </c>
      <c r="B161" t="str">
        <v>CalSet Myoglobin</v>
      </c>
      <c r="C161">
        <v>2</v>
      </c>
      <c r="D161">
        <v>84</v>
      </c>
      <c r="G161" s="4">
        <f>(360/D161)</f>
        <v>4.285714285714286</v>
      </c>
    </row>
    <row r="162" ht="15.75" customHeight="1">
      <c r="A162">
        <v>7125941190</v>
      </c>
      <c r="B162" t="str">
        <v xml:space="preserve">CalSet GDF‑15 </v>
      </c>
      <c r="C162">
        <v>2</v>
      </c>
      <c r="D162">
        <v>56</v>
      </c>
      <c r="G162" s="4">
        <f>(360/D162)</f>
        <v>6.428571428571429</v>
      </c>
    </row>
    <row r="163" ht="15.75" customHeight="1">
      <c r="A163">
        <v>9315373190</v>
      </c>
      <c r="B163" t="str">
        <v>Troponin T hs CS Elecsys E2G V1.1</v>
      </c>
      <c r="C163">
        <v>2</v>
      </c>
      <c r="D163">
        <v>84</v>
      </c>
      <c r="G163" s="4">
        <f>(360/D163)</f>
        <v>4.285714285714286</v>
      </c>
    </row>
    <row r="164" ht="15.75" customHeight="1">
      <c r="A164">
        <v>7439547190</v>
      </c>
      <c r="B164" t="str">
        <v xml:space="preserve">CalSet Troponin I  </v>
      </c>
      <c r="C164">
        <v>2</v>
      </c>
      <c r="D164">
        <v>84</v>
      </c>
      <c r="G164" s="4">
        <f>(360/D164)</f>
        <v>4.285714285714286</v>
      </c>
    </row>
    <row r="165" ht="15.75" customHeight="1">
      <c r="A165" s="6" t="str">
        <v>9315314190</v>
      </c>
      <c r="B165" s="6" t="str">
        <v>proBNP G2 CS Elecsys E2G V2.1</v>
      </c>
      <c r="C165">
        <v>2</v>
      </c>
      <c r="D165">
        <v>84</v>
      </c>
      <c r="G165" s="4">
        <f>(360/D165)</f>
        <v>4.285714285714286</v>
      </c>
    </row>
    <row r="166" ht="15.75" customHeight="1">
      <c r="A166">
        <v>9005684190</v>
      </c>
      <c r="B166" t="str">
        <v>Calcitonin CalSet</v>
      </c>
      <c r="C166">
        <v>2</v>
      </c>
      <c r="D166">
        <v>84</v>
      </c>
      <c r="G166" s="4">
        <f>(360/D166)</f>
        <v>4.285714285714286</v>
      </c>
    </row>
    <row r="167" ht="15.75" customHeight="1">
      <c r="A167">
        <v>5109469190</v>
      </c>
      <c r="B167" t="str">
        <v>Elecsys IL 6 Calset</v>
      </c>
      <c r="C167">
        <v>2</v>
      </c>
      <c r="D167">
        <v>84</v>
      </c>
      <c r="G167" s="4">
        <f>(360/D167)</f>
        <v>4.285714285714286</v>
      </c>
    </row>
    <row r="168" ht="15.75" customHeight="1">
      <c r="A168">
        <v>3737586190</v>
      </c>
      <c r="B168" t="str">
        <v>Ferritin CalSet</v>
      </c>
      <c r="C168">
        <v>2</v>
      </c>
      <c r="D168">
        <v>84</v>
      </c>
      <c r="G168" s="4">
        <f>(360/D168)</f>
        <v>4.285714285714286</v>
      </c>
    </row>
    <row r="169" ht="15.75" customHeight="1">
      <c r="A169">
        <v>7396473190</v>
      </c>
      <c r="B169" t="str">
        <v>CalSet Folate</v>
      </c>
      <c r="C169">
        <v>2</v>
      </c>
      <c r="D169">
        <v>84</v>
      </c>
      <c r="G169" s="4">
        <f>(360/D169)</f>
        <v>4.285714285714286</v>
      </c>
    </row>
    <row r="170" ht="15.75" customHeight="1">
      <c r="A170">
        <v>7212780190</v>
      </c>
      <c r="B170" t="str">
        <v>Vitamin B12 II CalSet</v>
      </c>
      <c r="C170">
        <v>2</v>
      </c>
      <c r="D170">
        <v>84</v>
      </c>
      <c r="G170" s="4">
        <f>(360/D170)</f>
        <v>4.285714285714286</v>
      </c>
    </row>
    <row r="171" ht="15.75" customHeight="1">
      <c r="A171">
        <v>7726350190</v>
      </c>
      <c r="B171" t="str">
        <v xml:space="preserve">CalSet Active B12 </v>
      </c>
      <c r="C171">
        <v>2</v>
      </c>
      <c r="D171">
        <v>31</v>
      </c>
      <c r="G171" s="4">
        <f>(360/D171)</f>
        <v>11.612903225806452</v>
      </c>
    </row>
    <row r="172" ht="15.75" customHeight="1">
      <c r="A172">
        <v>11930427122</v>
      </c>
      <c r="B172" t="str">
        <v>IgE CalSet</v>
      </c>
      <c r="C172">
        <v>2</v>
      </c>
      <c r="D172">
        <v>84</v>
      </c>
      <c r="G172" s="4">
        <f>(360/D172)</f>
        <v>4.285714285714286</v>
      </c>
    </row>
    <row r="173" ht="15.75" customHeight="1">
      <c r="A173">
        <v>8243891190</v>
      </c>
      <c r="B173" t="str">
        <v>CalSet PTH</v>
      </c>
      <c r="C173">
        <v>2</v>
      </c>
      <c r="D173">
        <v>84</v>
      </c>
      <c r="G173" s="4">
        <f>(360/D173)</f>
        <v>4.285714285714286</v>
      </c>
    </row>
    <row r="174" ht="15.75" customHeight="1">
      <c r="A174">
        <v>5608554190</v>
      </c>
      <c r="B174" t="str">
        <v>PTH (1‑84) CalSet</v>
      </c>
      <c r="C174">
        <v>2</v>
      </c>
      <c r="D174">
        <v>90</v>
      </c>
      <c r="G174" s="4">
        <f>(360/D174)</f>
        <v>4</v>
      </c>
    </row>
    <row r="175" ht="15.75" customHeight="1">
      <c r="A175">
        <v>3141080190</v>
      </c>
      <c r="B175" t="str">
        <v>total P1NP CalSet</v>
      </c>
      <c r="C175">
        <v>2</v>
      </c>
      <c r="D175">
        <v>84</v>
      </c>
      <c r="G175" s="4">
        <f>(360/D175)</f>
        <v>4.285714285714286</v>
      </c>
    </row>
    <row r="176" ht="15.75" customHeight="1">
      <c r="A176">
        <v>11972316122</v>
      </c>
      <c r="B176" t="str">
        <v>β‑CrossLaps CalSet</v>
      </c>
      <c r="C176">
        <v>2</v>
      </c>
      <c r="D176">
        <v>84</v>
      </c>
      <c r="G176" s="4">
        <f>(360/D176)</f>
        <v>4.285714285714286</v>
      </c>
    </row>
    <row r="177" ht="15.75" customHeight="1">
      <c r="A177">
        <v>11972111122</v>
      </c>
      <c r="B177" t="str">
        <v xml:space="preserve">N‑MID Osteocalcin CalSet  </v>
      </c>
      <c r="C177">
        <v>2</v>
      </c>
      <c r="D177">
        <v>84</v>
      </c>
      <c r="G177" s="4">
        <f>(360/D177)</f>
        <v>4.285714285714286</v>
      </c>
    </row>
    <row r="178" ht="15.75" customHeight="1">
      <c r="A178">
        <v>9038116190</v>
      </c>
      <c r="B178" t="str">
        <v>CalSet Vitamin D total III</v>
      </c>
      <c r="C178">
        <v>2</v>
      </c>
      <c r="D178">
        <v>84</v>
      </c>
      <c r="G178" s="4">
        <f>(360/D178)</f>
        <v>4.285714285714286</v>
      </c>
    </row>
    <row r="179" ht="15.75" customHeight="1">
      <c r="A179">
        <v>7475969190</v>
      </c>
      <c r="B179" t="str">
        <v>CalSet IGF‑1</v>
      </c>
      <c r="C179">
        <v>2</v>
      </c>
      <c r="D179">
        <v>31</v>
      </c>
      <c r="G179" s="4">
        <f>(360/D179)</f>
        <v>11.612903225806452</v>
      </c>
    </row>
    <row r="180" ht="15.75" customHeight="1">
      <c r="A180">
        <v>7574762190</v>
      </c>
      <c r="B180" t="str">
        <v xml:space="preserve">CalSet IGFBP‑3  </v>
      </c>
      <c r="C180">
        <v>2</v>
      </c>
      <c r="D180">
        <v>84</v>
      </c>
      <c r="G180" s="4">
        <f>(360/D180)</f>
        <v>4.285714285714286</v>
      </c>
    </row>
    <row r="181" ht="15.75" customHeight="1">
      <c r="A181">
        <v>9289291190</v>
      </c>
      <c r="B181" t="str">
        <v>CalSet Anti‑SARS‑CoV‑2 S</v>
      </c>
      <c r="C181">
        <v>2</v>
      </c>
      <c r="D181">
        <v>84</v>
      </c>
      <c r="G181" s="4">
        <f>(360/D181)</f>
        <v>4.285714285714286</v>
      </c>
    </row>
    <row r="182" ht="15.75" customHeight="1">
      <c r="A182">
        <v>5889022190</v>
      </c>
      <c r="B182" t="str">
        <v>Cyclosporine CalSet</v>
      </c>
      <c r="C182">
        <v>3</v>
      </c>
      <c r="D182">
        <v>28</v>
      </c>
      <c r="G182" s="4">
        <f>(360/D182)</f>
        <v>12.857142857142858</v>
      </c>
    </row>
    <row r="183" ht="15.75" customHeight="1">
      <c r="A183">
        <v>6633196190</v>
      </c>
      <c r="B183" t="str">
        <v xml:space="preserve">Everolimus CalSet </v>
      </c>
      <c r="C183">
        <v>3</v>
      </c>
      <c r="D183">
        <v>28</v>
      </c>
      <c r="G183" s="4">
        <f>(360/D183)</f>
        <v>12.857142857142858</v>
      </c>
    </row>
    <row r="184" ht="15.75" customHeight="1">
      <c r="A184">
        <v>6327982190</v>
      </c>
      <c r="B184" t="str">
        <v xml:space="preserve">Sirolimus CalSet  </v>
      </c>
      <c r="C184">
        <v>3</v>
      </c>
      <c r="D184">
        <v>28</v>
      </c>
      <c r="G184" s="4">
        <f>(360/D184)</f>
        <v>12.857142857142858</v>
      </c>
    </row>
    <row r="185" ht="15.75" customHeight="1">
      <c r="A185">
        <v>5889065190</v>
      </c>
      <c r="B185" t="str">
        <v>Tacrolimus CalSet</v>
      </c>
      <c r="C185">
        <v>3</v>
      </c>
      <c r="D185">
        <v>28</v>
      </c>
      <c r="G185" s="4">
        <f>(360/D185)</f>
        <v>12.857142857142858</v>
      </c>
    </row>
    <row r="186" ht="15.75" customHeight="1">
      <c r="A186" t="str">
        <v>CONTROLES</v>
      </c>
      <c r="C186" t="str">
        <v xml:space="preserve">PRESENTACION </v>
      </c>
      <c r="D186" t="str">
        <v>DIAS ESTABILIDAD</v>
      </c>
      <c r="F186" t="str">
        <v>PRODUCTO CALCULADO</v>
      </c>
      <c r="G186" s="4" t="str">
        <v>MINIMOS POR ESTABILIDAD</v>
      </c>
      <c r="H186" s="4" t="str">
        <v>PRODUCTO A ENTREGAR</v>
      </c>
    </row>
    <row r="187" ht="15.75" customHeight="1">
      <c r="A187">
        <v>11731416190</v>
      </c>
      <c r="B187" t="str">
        <v>PreciControl Universal</v>
      </c>
      <c r="C187">
        <v>2</v>
      </c>
      <c r="D187">
        <v>28</v>
      </c>
      <c r="G187" s="4">
        <f>(360/D187)</f>
        <v>12.857142857142858</v>
      </c>
    </row>
    <row r="188" ht="15.75" customHeight="1">
      <c r="A188">
        <v>8740062190</v>
      </c>
      <c r="B188" t="str">
        <v>Maternal Care Gen.2 PC Elecsys</v>
      </c>
      <c r="C188">
        <v>2</v>
      </c>
      <c r="D188">
        <v>84</v>
      </c>
      <c r="G188" s="4">
        <f>(360/D188)</f>
        <v>4.285714285714286</v>
      </c>
    </row>
    <row r="189" ht="15.75" customHeight="1">
      <c r="A189">
        <v>5341787190</v>
      </c>
      <c r="B189" t="str">
        <v>PreciControl Multimarker Elecsys,cobas e</v>
      </c>
      <c r="C189">
        <v>3</v>
      </c>
      <c r="D189">
        <v>31</v>
      </c>
      <c r="G189" s="4">
        <f>(360/D189)</f>
        <v>11.612903225806452</v>
      </c>
    </row>
    <row r="190" ht="15.75" customHeight="1">
      <c r="A190">
        <v>6687776190</v>
      </c>
      <c r="B190" t="str">
        <v>PreciControl Cortisol Urine</v>
      </c>
      <c r="C190">
        <v>2</v>
      </c>
      <c r="D190">
        <v>28</v>
      </c>
      <c r="G190" s="4">
        <f>(360/D190)</f>
        <v>12.857142857142858</v>
      </c>
    </row>
    <row r="191" ht="15.75" customHeight="1">
      <c r="A191">
        <v>11776452122</v>
      </c>
      <c r="B191" t="str">
        <v>PreciControl Tumor Marker Elec</v>
      </c>
      <c r="C191">
        <v>2</v>
      </c>
      <c r="D191">
        <v>28</v>
      </c>
      <c r="G191" s="4">
        <f>(360/D191)</f>
        <v>12.857142857142858</v>
      </c>
    </row>
    <row r="192" ht="15.75" customHeight="1">
      <c r="A192">
        <v>7713223190</v>
      </c>
      <c r="B192" t="str">
        <v>PreciControl Active B12</v>
      </c>
      <c r="C192">
        <v>2</v>
      </c>
      <c r="D192">
        <v>31</v>
      </c>
      <c r="G192" s="4">
        <f>(360/D192)</f>
        <v>11.612903225806452</v>
      </c>
    </row>
    <row r="193" ht="15.75" customHeight="1">
      <c r="A193">
        <v>4917049190</v>
      </c>
      <c r="B193" t="str">
        <v xml:space="preserve">PreciControl Cardiac II  </v>
      </c>
      <c r="C193">
        <v>2</v>
      </c>
      <c r="D193">
        <v>84</v>
      </c>
      <c r="G193" s="4">
        <f>(360/D193)</f>
        <v>4.285714285714286</v>
      </c>
    </row>
    <row r="194" ht="15.75" customHeight="1">
      <c r="A194">
        <v>5095107190</v>
      </c>
      <c r="B194" t="str">
        <v>PreciControl Troponin</v>
      </c>
      <c r="C194">
        <v>2</v>
      </c>
      <c r="D194">
        <v>84</v>
      </c>
      <c r="G194" s="4">
        <f>(360/D194)</f>
        <v>4.285714285714286</v>
      </c>
    </row>
    <row r="195" ht="15.75" customHeight="1">
      <c r="A195">
        <v>5042666191</v>
      </c>
      <c r="B195" t="str">
        <v>PreciControl ThyroAB</v>
      </c>
      <c r="C195">
        <v>2</v>
      </c>
      <c r="D195">
        <v>28</v>
      </c>
      <c r="G195" s="4">
        <f>(360/D195)</f>
        <v>12.857142857142858</v>
      </c>
    </row>
    <row r="196" ht="15.75" customHeight="1">
      <c r="A196">
        <v>7957211190</v>
      </c>
      <c r="B196" t="str">
        <v>PreciControl AMH Plus</v>
      </c>
      <c r="C196">
        <v>2</v>
      </c>
      <c r="D196">
        <v>28</v>
      </c>
      <c r="G196" s="4">
        <f>(360/D196)</f>
        <v>12.857142857142858</v>
      </c>
    </row>
    <row r="197" ht="15.75" customHeight="1">
      <c r="A197">
        <v>5950953190</v>
      </c>
      <c r="B197" t="str">
        <v xml:space="preserve">PreciControl HE4 </v>
      </c>
      <c r="C197">
        <v>2</v>
      </c>
      <c r="D197">
        <v>28</v>
      </c>
      <c r="G197" s="4">
        <f>(360/D197)</f>
        <v>12.857142857142858</v>
      </c>
    </row>
    <row r="198" ht="15.75" customHeight="1">
      <c r="A198">
        <v>8333645190</v>
      </c>
      <c r="B198" t="str">
        <v>PreciControl HCC</v>
      </c>
      <c r="C198">
        <v>2</v>
      </c>
      <c r="D198">
        <v>28</v>
      </c>
      <c r="G198" s="4">
        <f>(360/D198)</f>
        <v>12.857142857142858</v>
      </c>
    </row>
    <row r="199" ht="15.75" customHeight="1">
      <c r="A199">
        <v>6505988190</v>
      </c>
      <c r="B199" t="str">
        <v>PreciControl ProGRP</v>
      </c>
      <c r="C199">
        <v>2</v>
      </c>
      <c r="D199">
        <v>28</v>
      </c>
      <c r="G199" s="4">
        <f>(360/D199)</f>
        <v>12.857142857142858</v>
      </c>
    </row>
    <row r="200" ht="15.75" customHeight="1">
      <c r="A200">
        <v>7360070190</v>
      </c>
      <c r="B200" t="str">
        <v xml:space="preserve">PreciControl Lung Cancer  </v>
      </c>
      <c r="C200">
        <v>2</v>
      </c>
      <c r="D200">
        <v>28</v>
      </c>
      <c r="G200" s="4">
        <f>(360/D200)</f>
        <v>12.857142857142858</v>
      </c>
    </row>
    <row r="201" ht="15.75" customHeight="1">
      <c r="A201">
        <v>5618860190</v>
      </c>
      <c r="B201" t="str">
        <v>PreciControl Varia Elecsys</v>
      </c>
      <c r="C201">
        <v>2</v>
      </c>
      <c r="D201">
        <v>31</v>
      </c>
      <c r="G201" s="4">
        <f>(360/D201)</f>
        <v>11.612903225806452</v>
      </c>
    </row>
    <row r="202" ht="15.75" customHeight="1">
      <c r="A202">
        <v>5031664190</v>
      </c>
      <c r="B202" t="str">
        <v xml:space="preserve">PreciControl Anti‑CCP  </v>
      </c>
      <c r="C202">
        <v>2</v>
      </c>
      <c r="D202">
        <v>28</v>
      </c>
      <c r="G202" s="4">
        <f>(360/D202)</f>
        <v>12.857142857142858</v>
      </c>
    </row>
    <row r="203" ht="15.75" customHeight="1">
      <c r="A203">
        <v>9038124190</v>
      </c>
      <c r="B203" t="str">
        <v xml:space="preserve">PreciControl Vitamin D total III  </v>
      </c>
      <c r="C203">
        <v>3</v>
      </c>
      <c r="D203">
        <v>31</v>
      </c>
      <c r="G203" s="4">
        <f>(360/D203)</f>
        <v>11.612903225806452</v>
      </c>
    </row>
    <row r="204" ht="15.75" customHeight="1">
      <c r="A204">
        <v>7476108190</v>
      </c>
      <c r="B204" t="str">
        <v>PreciControl Growth</v>
      </c>
      <c r="C204">
        <v>2</v>
      </c>
      <c r="D204">
        <v>31</v>
      </c>
      <c r="G204" s="4">
        <f>(360/D204)</f>
        <v>11.612903225806452</v>
      </c>
    </row>
    <row r="205" ht="15.75" customHeight="1">
      <c r="A205">
        <v>6924107190</v>
      </c>
      <c r="B205" t="str">
        <v>PreciControl HIV Gen II</v>
      </c>
      <c r="C205">
        <v>2</v>
      </c>
      <c r="D205">
        <v>84</v>
      </c>
      <c r="G205" s="4">
        <f>(360/D205)</f>
        <v>4.285714285714286</v>
      </c>
    </row>
    <row r="206" ht="15.75" customHeight="1">
      <c r="A206">
        <v>8335923190</v>
      </c>
      <c r="B206" t="str">
        <v>HCV Duo PC Elecsys</v>
      </c>
      <c r="C206">
        <v>5</v>
      </c>
      <c r="D206">
        <v>56</v>
      </c>
      <c r="G206" s="4">
        <f>(360/D206)</f>
        <v>6.428571428571429</v>
      </c>
    </row>
    <row r="207" ht="15.75" customHeight="1">
      <c r="A207">
        <v>8086672190</v>
      </c>
      <c r="B207" t="str">
        <v xml:space="preserve">PreciControl Anti‑HAV II  </v>
      </c>
      <c r="C207">
        <v>8</v>
      </c>
      <c r="D207">
        <v>56</v>
      </c>
      <c r="G207" s="4">
        <f>(360/D207)</f>
        <v>6.428571428571429</v>
      </c>
    </row>
    <row r="208" ht="15.75" customHeight="1">
      <c r="A208">
        <v>11876368122</v>
      </c>
      <c r="B208" t="str">
        <v>PreciControl Anti‑HAV IgM</v>
      </c>
      <c r="C208">
        <v>8</v>
      </c>
      <c r="D208">
        <v>56</v>
      </c>
      <c r="G208" s="4">
        <f>(360/D208)</f>
        <v>6.428571428571429</v>
      </c>
    </row>
    <row r="209" ht="15.75" customHeight="1">
      <c r="A209">
        <v>4687876190</v>
      </c>
      <c r="B209" t="str">
        <v xml:space="preserve">PreciControl HBsAg II </v>
      </c>
      <c r="C209">
        <v>8</v>
      </c>
      <c r="D209">
        <v>56</v>
      </c>
      <c r="G209" s="4">
        <f>(360/D209)</f>
        <v>6.428571428571429</v>
      </c>
    </row>
    <row r="210" ht="15.75" customHeight="1">
      <c r="A210">
        <v>11876317122</v>
      </c>
      <c r="B210" t="str">
        <v>PreciControl Anti‑HBs</v>
      </c>
      <c r="C210">
        <v>8</v>
      </c>
      <c r="D210">
        <v>56</v>
      </c>
      <c r="G210" s="4">
        <f>(360/D210)</f>
        <v>6.428571428571429</v>
      </c>
    </row>
    <row r="211" ht="15.75" customHeight="1">
      <c r="A211">
        <v>11876376122</v>
      </c>
      <c r="B211" t="str">
        <v>PreciControl HBeAg</v>
      </c>
      <c r="C211">
        <v>8</v>
      </c>
      <c r="D211">
        <v>56</v>
      </c>
      <c r="G211" s="4">
        <f>(360/D211)</f>
        <v>6.428571428571429</v>
      </c>
    </row>
    <row r="212" ht="15.75" customHeight="1">
      <c r="A212">
        <v>11876384122</v>
      </c>
      <c r="B212" t="str">
        <v>PreciControl Anti‑HBe</v>
      </c>
      <c r="C212">
        <v>8</v>
      </c>
      <c r="D212">
        <v>56</v>
      </c>
      <c r="G212" s="4">
        <f>(360/D212)</f>
        <v>6.428571428571429</v>
      </c>
    </row>
    <row r="213" ht="15.75" customHeight="1">
      <c r="A213">
        <v>4927931190</v>
      </c>
      <c r="B213" t="str">
        <v xml:space="preserve">PreciControl Anti‑HBc II  </v>
      </c>
      <c r="C213">
        <v>8</v>
      </c>
      <c r="D213">
        <v>56</v>
      </c>
      <c r="G213" s="4">
        <f>(360/D213)</f>
        <v>6.428571428571429</v>
      </c>
    </row>
    <row r="214" ht="15.75" customHeight="1">
      <c r="A214">
        <v>11876333122</v>
      </c>
      <c r="B214" t="str">
        <v>PreciControl Anti‑HBc IgM</v>
      </c>
      <c r="C214">
        <v>8</v>
      </c>
      <c r="D214">
        <v>56</v>
      </c>
      <c r="G214" s="4">
        <f>(360/D214)</f>
        <v>6.428571428571429</v>
      </c>
    </row>
    <row r="215" ht="15.75" customHeight="1">
      <c r="A215">
        <v>3290379190</v>
      </c>
      <c r="B215" t="str">
        <v>PreciControl Anti‑HCV</v>
      </c>
      <c r="C215">
        <v>8</v>
      </c>
      <c r="D215">
        <v>56</v>
      </c>
      <c r="G215" s="4">
        <f>(360/D215)</f>
        <v>6.428571428571429</v>
      </c>
    </row>
    <row r="216" ht="15.75" customHeight="1">
      <c r="A216">
        <v>4618807190</v>
      </c>
      <c r="B216" t="str">
        <v>PreciControl Rubella IgG</v>
      </c>
      <c r="C216">
        <v>8</v>
      </c>
      <c r="D216">
        <v>56</v>
      </c>
      <c r="G216" s="4">
        <f>(360/D216)</f>
        <v>6.428571428571429</v>
      </c>
    </row>
    <row r="217" ht="15.75" customHeight="1">
      <c r="A217">
        <v>4618840190</v>
      </c>
      <c r="B217" t="str">
        <v>PreciControl Rubella IgM</v>
      </c>
      <c r="C217">
        <v>4</v>
      </c>
      <c r="D217">
        <v>56</v>
      </c>
      <c r="G217" s="4">
        <f>(360/D217)</f>
        <v>6.428571428571429</v>
      </c>
    </row>
    <row r="218" ht="15.75" customHeight="1">
      <c r="A218">
        <v>4618823190</v>
      </c>
      <c r="B218" t="str">
        <v xml:space="preserve">PreciControl Toxo IgG </v>
      </c>
      <c r="C218">
        <v>8</v>
      </c>
      <c r="D218">
        <v>56</v>
      </c>
      <c r="G218" s="4">
        <f>(360/D218)</f>
        <v>6.428571428571429</v>
      </c>
    </row>
    <row r="219" ht="15.75" customHeight="1">
      <c r="A219">
        <v>5802580190</v>
      </c>
      <c r="B219" t="str">
        <v>PreciControl Toxo IgG Avidity</v>
      </c>
      <c r="C219">
        <v>3</v>
      </c>
      <c r="D219">
        <v>56</v>
      </c>
      <c r="G219" s="4">
        <f>(360/D219)</f>
        <v>6.428571428571429</v>
      </c>
    </row>
    <row r="220" ht="15.75" customHeight="1">
      <c r="A220">
        <v>4618866190</v>
      </c>
      <c r="B220" t="str">
        <v>PreciControl Toxo IgM</v>
      </c>
      <c r="C220">
        <v>8</v>
      </c>
      <c r="D220">
        <v>56</v>
      </c>
      <c r="G220" s="4">
        <f>(360/D220)</f>
        <v>6.428571428571429</v>
      </c>
    </row>
    <row r="221" ht="15.75" customHeight="1">
      <c r="A221">
        <v>4784600190</v>
      </c>
      <c r="B221" t="str">
        <v>PreciControl CMV IgG</v>
      </c>
      <c r="C221">
        <v>8</v>
      </c>
      <c r="D221">
        <v>56</v>
      </c>
      <c r="G221" s="4">
        <f>(360/D221)</f>
        <v>6.428571428571429</v>
      </c>
    </row>
    <row r="222" ht="15.75" customHeight="1">
      <c r="A222">
        <v>5942322190</v>
      </c>
      <c r="B222" t="str">
        <v>CMV IgG Avidity PC Elecsys</v>
      </c>
      <c r="C222">
        <v>3</v>
      </c>
      <c r="D222">
        <v>84</v>
      </c>
      <c r="G222" s="4">
        <f>(360/D222)</f>
        <v>4.285714285714286</v>
      </c>
    </row>
    <row r="223" ht="15.75" customHeight="1">
      <c r="A223">
        <v>4784626190</v>
      </c>
      <c r="B223" t="str">
        <v>PreciControl CMV IgM</v>
      </c>
      <c r="C223">
        <v>8</v>
      </c>
      <c r="D223">
        <v>56</v>
      </c>
      <c r="G223" s="4">
        <f>(360/D223)</f>
        <v>6.428571428571429</v>
      </c>
    </row>
    <row r="224" ht="15.75" customHeight="1">
      <c r="A224">
        <v>5572207190</v>
      </c>
      <c r="B224" t="str">
        <v xml:space="preserve">PreciControl HSV </v>
      </c>
      <c r="C224">
        <v>2</v>
      </c>
      <c r="D224">
        <v>28</v>
      </c>
      <c r="G224" s="4">
        <f>(360/D224)</f>
        <v>12.857142857142858</v>
      </c>
    </row>
    <row r="225" ht="15.75" customHeight="1">
      <c r="A225">
        <v>8355428190</v>
      </c>
      <c r="B225" t="str">
        <v>PreciControl EBV IgM/VCA IgG</v>
      </c>
      <c r="C225">
        <v>2</v>
      </c>
      <c r="D225">
        <v>112</v>
      </c>
      <c r="G225" s="4">
        <f>(360/D225)</f>
        <v>3.2142857142857144</v>
      </c>
    </row>
    <row r="226" ht="15.75" customHeight="1">
      <c r="A226">
        <v>8355436190</v>
      </c>
      <c r="B226" t="str">
        <v xml:space="preserve">PreciControl EBV EBNA IgG </v>
      </c>
      <c r="C226">
        <v>4</v>
      </c>
      <c r="D226">
        <v>112</v>
      </c>
      <c r="G226" s="4">
        <f>(360/D226)</f>
        <v>3.2142857142857144</v>
      </c>
    </row>
    <row r="227" ht="15.75" customHeight="1">
      <c r="A227">
        <v>7108133190</v>
      </c>
      <c r="B227" t="str">
        <v>PreciControl HTLV</v>
      </c>
      <c r="C227">
        <v>2</v>
      </c>
      <c r="D227">
        <v>84</v>
      </c>
      <c r="G227" s="4">
        <f>(360/D227)</f>
        <v>4.285714285714286</v>
      </c>
    </row>
    <row r="228" ht="15.75" customHeight="1">
      <c r="A228">
        <v>6923364190</v>
      </c>
      <c r="B228" t="str">
        <v>PreciControl Syphilis</v>
      </c>
      <c r="C228">
        <v>2</v>
      </c>
      <c r="D228">
        <v>168</v>
      </c>
      <c r="G228" s="4">
        <f>(360/D228)</f>
        <v>2.142857142857143</v>
      </c>
    </row>
    <row r="229" ht="15.75" customHeight="1">
      <c r="A229">
        <v>7092571190</v>
      </c>
      <c r="B229" t="str">
        <v>PreciControl Chagas</v>
      </c>
      <c r="C229">
        <v>8</v>
      </c>
      <c r="D229">
        <v>28</v>
      </c>
      <c r="G229" s="4">
        <f>(360/D229)</f>
        <v>12.857142857142858</v>
      </c>
    </row>
    <row r="230" ht="15.75" customHeight="1">
      <c r="A230">
        <v>9216928190</v>
      </c>
      <c r="B230" t="str">
        <v>PreciControl Anti‑SARS‑CoV‑2</v>
      </c>
      <c r="C230">
        <v>2</v>
      </c>
      <c r="D230">
        <v>28</v>
      </c>
      <c r="G230" s="4">
        <f>(360/D230)</f>
        <v>12.857142857142858</v>
      </c>
    </row>
    <row r="231" ht="15.75" customHeight="1">
      <c r="A231">
        <v>9289313190</v>
      </c>
      <c r="B231" t="str">
        <v>PreciControl Anti‑SARS‑CoV‑2</v>
      </c>
      <c r="C231">
        <v>2</v>
      </c>
      <c r="D231">
        <v>84</v>
      </c>
      <c r="G231" s="4">
        <f>(360/D231)</f>
        <v>4.285714285714286</v>
      </c>
    </row>
    <row r="232" ht="15.75" customHeight="1">
      <c r="A232">
        <v>9345302190</v>
      </c>
      <c r="B232" t="str">
        <v>PreciControl SARS‑CoV‑2 Antigen</v>
      </c>
      <c r="C232">
        <v>3</v>
      </c>
      <c r="D232">
        <v>21</v>
      </c>
      <c r="G232" s="4">
        <f>(360/D232)</f>
        <v>17.142857142857142</v>
      </c>
    </row>
    <row r="233" ht="15.75" customHeight="1">
      <c r="A233">
        <v>5889081190</v>
      </c>
      <c r="B233" t="str">
        <v>PreciControl ISD</v>
      </c>
      <c r="C233">
        <v>1</v>
      </c>
      <c r="D233">
        <v>28</v>
      </c>
      <c r="G233" s="4">
        <f>(360/D233)</f>
        <v>12.857142857142858</v>
      </c>
    </row>
    <row r="234" ht="15.75" customHeight="1">
      <c r="A234">
        <v>7294131190</v>
      </c>
      <c r="B234" t="str">
        <v>PreciControl Everolimus</v>
      </c>
      <c r="C234">
        <v>1</v>
      </c>
      <c r="D234">
        <v>28</v>
      </c>
      <c r="G234" s="4">
        <f>(360/D234)</f>
        <v>12.857142857142858</v>
      </c>
    </row>
    <row r="235" ht="15.75" customHeight="1">
      <c r="A235" t="str">
        <v>CONSUMIBLES</v>
      </c>
      <c r="C235" t="str">
        <v xml:space="preserve">PRESENTACION </v>
      </c>
      <c r="D235" t="str">
        <v>DIAS ESTABILIDAD</v>
      </c>
      <c r="F235" t="str">
        <v>PRODUCTO CALCULADO</v>
      </c>
      <c r="G235" s="4" t="str">
        <v>MINIMOS POR ESTABILIDAD</v>
      </c>
      <c r="H235" s="4" t="str">
        <v>PRODUCTO A ENTREGAR</v>
      </c>
    </row>
    <row r="236" ht="15.75" customHeight="1">
      <c r="A236">
        <v>5694302001</v>
      </c>
      <c r="B236" t="str">
        <v>AssayTip/AssayCup tray</v>
      </c>
      <c r="C236">
        <v>1</v>
      </c>
      <c r="D236">
        <v>365</v>
      </c>
      <c r="G236" s="4">
        <f>(360/D236)</f>
        <v>0.9863013698630136</v>
      </c>
      <c r="H236" s="4">
        <f>IF(G236&gt;F236,G236,F236)</f>
        <v>0.9863013698630136</v>
      </c>
    </row>
    <row r="237" ht="15.75" customHeight="1">
      <c r="A237">
        <v>7299010190</v>
      </c>
      <c r="B237" t="str">
        <v>Diluent MultiAssay E2G</v>
      </c>
      <c r="C237">
        <v>1</v>
      </c>
      <c r="D237">
        <v>112</v>
      </c>
      <c r="G237" s="4">
        <f>(360/D237)</f>
        <v>3.2142857142857144</v>
      </c>
      <c r="H237" s="4">
        <f>IF(G237&gt;F237,G237,F237)</f>
        <v>3.2142857142857144</v>
      </c>
    </row>
    <row r="238" ht="15.75" customHeight="1">
      <c r="A238">
        <v>7299001190</v>
      </c>
      <c r="B238" t="str">
        <v>Diluent Universal E2G</v>
      </c>
      <c r="C238">
        <v>1</v>
      </c>
      <c r="D238">
        <v>112</v>
      </c>
      <c r="G238" s="4">
        <f>(360/D238)</f>
        <v>3.2142857142857144</v>
      </c>
      <c r="H238" s="4">
        <f>IF(G238&gt;F238,G238,F238)</f>
        <v>3.2142857142857144</v>
      </c>
    </row>
    <row r="239" ht="15.75" customHeight="1">
      <c r="A239">
        <v>9762582190</v>
      </c>
      <c r="B239" t="str">
        <v>Elecsys Progesteron Diluent</v>
      </c>
      <c r="C239">
        <v>1</v>
      </c>
      <c r="D239">
        <v>28</v>
      </c>
      <c r="G239" s="4">
        <f>(360/D239)</f>
        <v>12.857142857142858</v>
      </c>
      <c r="H239" s="4">
        <f>IF(G239&gt;F239,G239,F239)</f>
        <v>12.857142857142858</v>
      </c>
    </row>
    <row r="240" ht="15.75" customHeight="1">
      <c r="A240">
        <v>6908853190</v>
      </c>
      <c r="B240" t="str">
        <v>PreClean M G2 2x2L Elecsys E2G e801</v>
      </c>
      <c r="C240">
        <v>2</v>
      </c>
      <c r="D240">
        <v>28</v>
      </c>
      <c r="G240" s="4">
        <f>(360/D240)</f>
        <v>12.857142857142858</v>
      </c>
      <c r="H240" s="4">
        <f>IF(G240&gt;F240,G240,F240)</f>
        <v>12.857142857142858</v>
      </c>
    </row>
    <row r="241" ht="15.75" customHeight="1">
      <c r="A241">
        <v>6908853190</v>
      </c>
      <c r="B241" t="str">
        <v>PreClean M G2 2x2L Elecsys E2G e402</v>
      </c>
      <c r="C241">
        <v>2</v>
      </c>
      <c r="D241">
        <v>28</v>
      </c>
      <c r="G241" s="4">
        <f>(360/D241)</f>
        <v>12.857142857142858</v>
      </c>
      <c r="H241" s="4">
        <f>IF(G241&gt;F241,G241,F241)</f>
        <v>12.857142857142858</v>
      </c>
    </row>
    <row r="242" ht="15.75" customHeight="1">
      <c r="A242">
        <v>4880293190</v>
      </c>
      <c r="B242" t="str">
        <v>CleanCell M 2x2 L Elecsys,cobas e801</v>
      </c>
      <c r="C242">
        <v>2</v>
      </c>
      <c r="D242">
        <v>21</v>
      </c>
      <c r="G242" s="4">
        <f>(360/D242)</f>
        <v>17.142857142857142</v>
      </c>
      <c r="H242" s="4">
        <f>IF(G242&gt;F242,G242,F242)</f>
        <v>17.142857142857142</v>
      </c>
    </row>
    <row r="243" ht="15.75" customHeight="1">
      <c r="A243">
        <v>4880293190</v>
      </c>
      <c r="B243" t="str">
        <v>CleanCell M 2x2 L Elecsys,cobas e402</v>
      </c>
      <c r="C243">
        <v>2</v>
      </c>
      <c r="D243">
        <v>21</v>
      </c>
      <c r="G243" s="4">
        <f>(360/D243)</f>
        <v>17.142857142857142</v>
      </c>
      <c r="H243" s="4">
        <f>IF(G243&gt;F243,G243,F243)</f>
        <v>17.142857142857142</v>
      </c>
    </row>
    <row r="244" ht="15.75" customHeight="1">
      <c r="A244">
        <v>6908799190</v>
      </c>
      <c r="B244" t="str">
        <v>ProCell M G2 2x2L Elecsys E2G e801</v>
      </c>
      <c r="C244">
        <v>2</v>
      </c>
      <c r="D244">
        <v>21</v>
      </c>
      <c r="G244" s="4">
        <f>(360/D244)</f>
        <v>17.142857142857142</v>
      </c>
      <c r="H244" s="4">
        <f>IF(G244&gt;F244,G244,F244)</f>
        <v>17.142857142857142</v>
      </c>
    </row>
    <row r="245" ht="15.75" customHeight="1">
      <c r="A245">
        <v>6908799190</v>
      </c>
      <c r="B245" t="str">
        <v>ProCell M G2 2x2L Elecsys E2G e402</v>
      </c>
      <c r="C245">
        <v>2</v>
      </c>
      <c r="D245">
        <v>21</v>
      </c>
      <c r="G245" s="4">
        <f>(360/D245)</f>
        <v>17.142857142857142</v>
      </c>
      <c r="H245" s="4">
        <f>IF(G245&gt;F245,G245,F245)</f>
        <v>17.142857142857142</v>
      </c>
    </row>
    <row r="246" ht="15.75" customHeight="1">
      <c r="A246">
        <v>7373066190</v>
      </c>
      <c r="B246" t="str">
        <v>BlankCell High Elecsys E2G</v>
      </c>
      <c r="C246">
        <v>1</v>
      </c>
      <c r="D246">
        <v>112</v>
      </c>
      <c r="G246" s="4">
        <f>(360/D246)</f>
        <v>3.2142857142857144</v>
      </c>
      <c r="H246" s="4">
        <f>IF(G246&gt;F246,G246,F246)</f>
        <v>3.2142857142857144</v>
      </c>
    </row>
    <row r="247" ht="15.75" customHeight="1">
      <c r="A247">
        <v>7372990190</v>
      </c>
      <c r="B247" t="str">
        <v>CellCheck Gen2 Elecsys E2G</v>
      </c>
      <c r="C247">
        <v>1</v>
      </c>
      <c r="D247">
        <v>112</v>
      </c>
      <c r="G247" s="4">
        <f>(360/D247)</f>
        <v>3.2142857142857144</v>
      </c>
      <c r="H247" s="4">
        <f>IF(G247&gt;F247,G247,F247)</f>
        <v>3.2142857142857144</v>
      </c>
    </row>
    <row r="248" ht="15.75" customHeight="1">
      <c r="A248">
        <v>5118506190</v>
      </c>
      <c r="B248" t="str">
        <v>HBQ Sample Set Elecsys,cobas e</v>
      </c>
      <c r="C248">
        <v>2</v>
      </c>
      <c r="D248">
        <v>5</v>
      </c>
      <c r="G248" s="4">
        <f>(360/D248)</f>
        <v>72</v>
      </c>
      <c r="H248" s="4">
        <f>IF(G248&gt;F248,G248,F248)</f>
        <v>72</v>
      </c>
    </row>
    <row r="249" ht="15.75" customHeight="1">
      <c r="A249">
        <v>4444191001</v>
      </c>
      <c r="B249" t="str">
        <v>Copillas de muestra Hitachi</v>
      </c>
      <c r="C249">
        <v>1</v>
      </c>
      <c r="D249">
        <v>365</v>
      </c>
      <c r="G249" s="4">
        <f>(360/D249)</f>
        <v>0.9863013698630136</v>
      </c>
      <c r="H249" s="4">
        <f>IF(G249&gt;F249,G249,F249)</f>
        <v>0.9863013698630136</v>
      </c>
    </row>
    <row r="250" ht="15.75" customHeight="1">
      <c r="A250">
        <v>10394246001</v>
      </c>
      <c r="B250" t="str">
        <v>Cobas sample cup 5000pcs</v>
      </c>
      <c r="C250">
        <v>20</v>
      </c>
      <c r="D250">
        <v>365</v>
      </c>
      <c r="G250" s="4">
        <f>(360/D250)</f>
        <v>0.9863013698630136</v>
      </c>
      <c r="H250" s="4">
        <f>IF(G250&gt;F250,G250,F250)</f>
        <v>0.9863013698630136</v>
      </c>
    </row>
    <row r="251" ht="15.75" customHeight="1">
      <c r="A251">
        <v>3142949122</v>
      </c>
      <c r="B251" t="str">
        <v>ControlSet Vials Elecsys,cobas e</v>
      </c>
      <c r="C251">
        <v>365</v>
      </c>
      <c r="D251">
        <v>1</v>
      </c>
      <c r="G251" s="4">
        <f>(360/D251)</f>
        <v>360</v>
      </c>
      <c r="H251" s="4">
        <f>IF(G251&gt;F251,G251,F251)</f>
        <v>360</v>
      </c>
    </row>
    <row r="252" ht="15.75" customHeight="1">
      <c r="A252">
        <v>5889073190</v>
      </c>
      <c r="B252" t="str">
        <v>ISD Sample PT Elecsys cobas e 100</v>
      </c>
      <c r="C252">
        <v>100</v>
      </c>
      <c r="D252">
        <v>84</v>
      </c>
      <c r="G252" s="4">
        <f>(360/D252)</f>
        <v>4.285714285714286</v>
      </c>
      <c r="H252" s="4">
        <f>IF(G252&gt;F252,G252,F252)</f>
        <v>4.285714285714286</v>
      </c>
    </row>
    <row r="253" ht="15.75" customHeight="1">
      <c r="A253">
        <v>5944317190</v>
      </c>
      <c r="B253" t="str">
        <v>Folate RBC Hemolyzing Elecsys,cobas e</v>
      </c>
      <c r="C253">
        <v>4</v>
      </c>
      <c r="D253">
        <v>14</v>
      </c>
      <c r="G253" s="4">
        <f>(360/D253)</f>
        <v>25.714285714285715</v>
      </c>
      <c r="H253" s="4">
        <f>IF(G253&gt;F253,G253,F253)</f>
        <v>25.714285714285715</v>
      </c>
    </row>
    <row r="254" ht="15.75" customHeight="1">
      <c r="A254">
        <v>9370064190</v>
      </c>
      <c r="B254" t="str">
        <v>SARS-CoV-2 Extraction Solution</v>
      </c>
      <c r="C254">
        <v>1</v>
      </c>
      <c r="D254">
        <v>28</v>
      </c>
      <c r="G254" s="4">
        <f>(360/D254)</f>
        <v>12.857142857142858</v>
      </c>
      <c r="H254" s="4">
        <f>IF(G254&gt;F254,G254,F254)</f>
        <v>12.857142857142858</v>
      </c>
    </row>
    <row r="255" ht="15.75" customHeight="1">
      <c r="A255">
        <v>9370099190</v>
      </c>
      <c r="B255" t="str">
        <v>SARS-CoV-2 Extraction Solution C</v>
      </c>
      <c r="C255">
        <v>1</v>
      </c>
      <c r="D255">
        <v>28</v>
      </c>
      <c r="G255" s="4">
        <f>(360/D255)</f>
        <v>12.857142857142858</v>
      </c>
      <c r="H255" s="4">
        <f>IF(G255&gt;F255,G255,F255)</f>
        <v>12.857142857142858</v>
      </c>
    </row>
    <row r="256" ht="15.75" customHeight="1">
      <c r="A256">
        <v>9127127190</v>
      </c>
      <c r="B256" t="str">
        <v>HBsAg Confirmatory Elecsys cobas e</v>
      </c>
      <c r="C256">
        <v>2</v>
      </c>
      <c r="D256">
        <v>56</v>
      </c>
      <c r="G256" s="4">
        <f>(360/D256)</f>
        <v>6.428571428571429</v>
      </c>
      <c r="H256" s="4">
        <f>IF(G256&gt;F256,G256,F256)</f>
        <v>6.428571428571429</v>
      </c>
    </row>
    <row r="257" ht="15.75" customHeight="1">
      <c r="A257">
        <v>5870020001</v>
      </c>
      <c r="B257" t="str">
        <v>Barcode Label 2,5x5,1cm</v>
      </c>
      <c r="C257">
        <v>1</v>
      </c>
      <c r="D257">
        <v>365</v>
      </c>
      <c r="G257" s="4">
        <f>(360/D257)</f>
        <v>0.9863013698630136</v>
      </c>
      <c r="H257" s="4">
        <f>IF(G257&gt;F257,G257,F257)</f>
        <v>0.9863013698630136</v>
      </c>
    </row>
    <row r="258" ht="15.75" customHeight="1">
      <c r="A258">
        <v>4419987001</v>
      </c>
      <c r="B258" t="str">
        <v>A4 PRINTER PAPER</v>
      </c>
      <c r="C258">
        <v>1</v>
      </c>
      <c r="D258">
        <v>365</v>
      </c>
      <c r="G258" s="4">
        <f>(360/D258)</f>
        <v>0.9863013698630136</v>
      </c>
      <c r="H258" s="4">
        <f>IF(G258&gt;F258,G258,F258)</f>
        <v>0.9863013698630136</v>
      </c>
    </row>
    <row r="259" ht="15.75" customHeight="1">
      <c r="A259">
        <v>7485409001</v>
      </c>
      <c r="B259" t="str">
        <v>Reservoir cup Assy</v>
      </c>
      <c r="C259">
        <v>1</v>
      </c>
      <c r="D259">
        <v>365</v>
      </c>
      <c r="G259" s="4">
        <f>(360/D259)</f>
        <v>0.9863013698630136</v>
      </c>
      <c r="H259" s="4">
        <f>IF(G259&gt;F259,G259,F259)</f>
        <v>0.9863013698630136</v>
      </c>
    </row>
    <row r="260" ht="15.75" customHeight="1">
      <c r="A260">
        <v>7485433001</v>
      </c>
      <c r="B260" t="str">
        <v>PW LFC CUP ASSY</v>
      </c>
      <c r="C260">
        <v>1</v>
      </c>
      <c r="D260">
        <v>365</v>
      </c>
      <c r="G260" s="4">
        <f>(360/D260)</f>
        <v>0.9863013698630136</v>
      </c>
      <c r="H260" s="4">
        <f>IF(G260&gt;F260,G260,F260)</f>
        <v>0.9863013698630136</v>
      </c>
    </row>
    <row r="261" ht="15.75" customHeight="1">
      <c r="A261">
        <v>11298500316</v>
      </c>
      <c r="B261" t="str">
        <v>ISE CLEANING SOLUTION</v>
      </c>
      <c r="C261">
        <v>5</v>
      </c>
      <c r="D261">
        <v>73</v>
      </c>
      <c r="G261" s="4">
        <f>(360/D261)</f>
        <v>4.931506849315069</v>
      </c>
      <c r="H261" s="4">
        <f>IF(G261&gt;F261,G261,F261)</f>
        <v>4.931506849315069</v>
      </c>
    </row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ignoredErrors>
    <ignoredError numberStoredAsText="1" sqref="A1:Q1000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T1000"/>
  <sheetViews>
    <sheetView workbookViewId="0" rightToLeft="0"/>
  </sheetViews>
  <cols>
    <col min="1" max="1" customWidth="1" width="8.109375"/>
    <col min="2" max="2" customWidth="1" width="28.109375"/>
    <col min="3" max="3" customWidth="1" width="21.109375"/>
    <col min="4" max="4" customWidth="1" width="13.6640625"/>
    <col min="5" max="5" customWidth="1" width="12.109375"/>
    <col min="6" max="6" customWidth="1" width="7.6640625"/>
    <col min="7" max="7" customWidth="1" width="9.109375"/>
    <col min="8" max="8" customWidth="1" width="13.33203125"/>
    <col min="9" max="9" customWidth="1" width="10.6640625"/>
    <col min="10" max="10" customWidth="1" width="10.6640625"/>
    <col min="11" max="11" customWidth="1" width="10.6640625"/>
    <col min="12" max="12" customWidth="1" width="10.6640625"/>
    <col min="13" max="13" customWidth="1" width="10.6640625"/>
    <col min="14" max="14" customWidth="1" width="10.6640625"/>
    <col min="15" max="15" customWidth="1" width="10.6640625"/>
    <col min="16" max="16" customWidth="1" width="10.6640625"/>
    <col min="17" max="17" customWidth="1" width="10.6640625"/>
    <col min="18" max="18" customWidth="1" width="10.6640625"/>
    <col min="19" max="19" customWidth="1" width="10.6640625"/>
    <col min="20" max="20" customWidth="1" width="10.6640625"/>
  </cols>
  <sheetData>
    <row r="1" ht="11.25" customHeight="1">
      <c r="A1" t="str">
        <v>CLIENTE</v>
      </c>
    </row>
    <row r="2" ht="11.25" customHeight="1">
      <c r="A2" s="3" t="str">
        <v>FECHA</v>
      </c>
    </row>
    <row r="3" ht="11.25" customHeight="1">
      <c r="A3" s="3" t="str">
        <v>MODALIDAD</v>
      </c>
      <c r="C3" t="str">
        <v>DETERMINACIÓN/ DETERMINACIÓN EFECTIVA/COMODATO TODO COBRADO/COMODATO POR DETERMINACIÓN/EQUIPO ALQUILADO</v>
      </c>
    </row>
    <row r="4" ht="11.25" customHeight="1">
      <c r="A4" s="3" t="str">
        <v>PLAZO</v>
      </c>
      <c r="C4" t="str">
        <v>MESES</v>
      </c>
    </row>
    <row r="5" ht="11.25" customHeight="1">
      <c r="A5" s="3" t="str">
        <v>PROYECCIÓN</v>
      </c>
      <c r="C5" t="str">
        <v>MESES</v>
      </c>
    </row>
    <row r="6" ht="11.25" customHeight="1"/>
    <row r="7" ht="11.25" customHeight="1">
      <c r="A7" t="str">
        <v>EQUIPO</v>
      </c>
      <c r="B7" t="str">
        <v>cobas t411</v>
      </c>
    </row>
    <row r="8" ht="11.25" customHeight="1"/>
    <row r="9" ht="31.8" customHeight="1">
      <c r="A9" t="str">
        <v>I.D</v>
      </c>
      <c r="B9" t="str">
        <v>REACTIVO</v>
      </c>
      <c r="C9" t="str">
        <v>DET/KIT</v>
      </c>
      <c r="D9" t="str">
        <v>DIAS ESTABILIDAD</v>
      </c>
      <c r="E9" t="str">
        <v>DET/AÑO/PROCESO</v>
      </c>
      <c r="F9" t="str">
        <v>PRODUCTO CALCULADO</v>
      </c>
      <c r="G9" t="str">
        <v>MINIMOS POR ESTABILIDAD</v>
      </c>
      <c r="H9" t="str">
        <v>PRODUCTO A ENVIAR</v>
      </c>
    </row>
    <row r="10" ht="11.25" customHeight="1">
      <c r="A10">
        <v>7103352190</v>
      </c>
      <c r="B10" t="str">
        <v>PT screen cobas t411 (10x10ml)</v>
      </c>
      <c r="C10">
        <v>700</v>
      </c>
      <c r="D10">
        <v>50</v>
      </c>
      <c r="E10">
        <v>0</v>
      </c>
      <c r="F10" s="4">
        <f>E10/C10</f>
        <v>0</v>
      </c>
      <c r="G10" s="4">
        <f>365/D10</f>
        <v>7.3</v>
      </c>
    </row>
    <row r="11" ht="11.25" customHeight="1">
      <c r="A11">
        <v>7103425190</v>
      </c>
      <c r="B11" t="str">
        <v>aPTT MedS cobas t411 (20x5ml)</v>
      </c>
      <c r="C11">
        <v>1300</v>
      </c>
      <c r="D11">
        <v>140</v>
      </c>
      <c r="E11">
        <v>0</v>
      </c>
      <c r="F11" s="4">
        <f>E11/C11</f>
        <v>0</v>
      </c>
      <c r="G11" s="4">
        <f>365/D11</f>
        <v>2.607142857142857</v>
      </c>
    </row>
    <row r="12" ht="11.25" customHeight="1">
      <c r="A12">
        <v>7103433190</v>
      </c>
      <c r="B12" t="str">
        <v>aPTT LowS cobas t411 (10x10ml)</v>
      </c>
      <c r="C12">
        <v>1300</v>
      </c>
      <c r="D12">
        <v>70</v>
      </c>
      <c r="E12">
        <f>$E$11</f>
        <v>0</v>
      </c>
      <c r="F12" s="4">
        <f>E12/C12</f>
        <v>0</v>
      </c>
      <c r="G12" s="4">
        <f>365/D12</f>
        <v>5.214285714285714</v>
      </c>
    </row>
    <row r="13" ht="11.25" customHeight="1">
      <c r="A13">
        <v>7142056190</v>
      </c>
      <c r="B13" t="str">
        <v>PT Calibrator Set cobas t411 (5x1x1ml)</v>
      </c>
      <c r="C13" s="5">
        <v>14</v>
      </c>
      <c r="D13">
        <v>140</v>
      </c>
      <c r="E13">
        <f>$E$10</f>
        <v>0</v>
      </c>
      <c r="F13" s="4">
        <f>336/C13</f>
        <v>24</v>
      </c>
      <c r="G13" s="4">
        <f>365/D13</f>
        <v>2.607142857142857</v>
      </c>
    </row>
    <row r="14" ht="11.25" customHeight="1">
      <c r="A14">
        <v>7105100190</v>
      </c>
      <c r="B14" t="str">
        <v>Control 1 cobas t411 (20x1ml)</v>
      </c>
      <c r="C14" s="5">
        <v>10</v>
      </c>
      <c r="D14">
        <v>20</v>
      </c>
      <c r="E14">
        <f>$E$11</f>
        <v>0</v>
      </c>
      <c r="F14" s="4">
        <f>365/C14</f>
        <v>36.5</v>
      </c>
    </row>
    <row r="15" ht="11.25" customHeight="1">
      <c r="A15">
        <v>7105339190</v>
      </c>
      <c r="B15" t="str">
        <v>Control 2 cobas t411 (20x1ml)</v>
      </c>
      <c r="C15" s="5">
        <v>10</v>
      </c>
      <c r="D15">
        <v>20</v>
      </c>
      <c r="E15">
        <f>$E$11</f>
        <v>0</v>
      </c>
      <c r="F15" s="4">
        <f>365/C15</f>
        <v>36.5</v>
      </c>
    </row>
    <row r="16" ht="11.25" customHeight="1">
      <c r="A16">
        <v>7106912190</v>
      </c>
      <c r="B16" t="str">
        <v>Control 4 cobas t411 (20x1ml)</v>
      </c>
      <c r="C16" s="5">
        <v>10</v>
      </c>
      <c r="D16">
        <v>20</v>
      </c>
      <c r="E16">
        <f>$E$11</f>
        <v>0</v>
      </c>
      <c r="F16" s="4">
        <f>365/C16</f>
        <v>36.5</v>
      </c>
    </row>
    <row r="17" ht="11.25" customHeight="1">
      <c r="A17">
        <v>6589367190</v>
      </c>
      <c r="B17" t="str">
        <v>D-Dimer Gen. 2 cobas t411</v>
      </c>
      <c r="C17">
        <v>215</v>
      </c>
      <c r="D17">
        <v>140</v>
      </c>
      <c r="E17" s="5">
        <v>0</v>
      </c>
      <c r="F17" s="4">
        <f>E17/C17</f>
        <v>0</v>
      </c>
      <c r="G17" s="4">
        <f>365/D17</f>
        <v>2.607142857142857</v>
      </c>
    </row>
    <row r="18" ht="11.25" customHeight="1">
      <c r="A18">
        <v>7310498190</v>
      </c>
      <c r="B18" t="str">
        <v>D-Dimer Gen.2 Control I/II for t411</v>
      </c>
      <c r="C18">
        <v>2</v>
      </c>
      <c r="D18">
        <v>112</v>
      </c>
      <c r="E18" s="5">
        <f>$E$17</f>
        <v>0</v>
      </c>
      <c r="F18" s="4">
        <f>(E17/(0.0006*300)/3000)</f>
        <v>0</v>
      </c>
      <c r="G18" s="4">
        <f>365/D18</f>
        <v>3.2589285714285716</v>
      </c>
    </row>
    <row r="19" ht="11.25" customHeight="1">
      <c r="A19">
        <v>7311320190</v>
      </c>
      <c r="B19" t="str">
        <v>D-Dimer Gen.2 Calibrator for t411</v>
      </c>
      <c r="C19">
        <v>1</v>
      </c>
      <c r="D19">
        <v>1</v>
      </c>
      <c r="E19" s="5">
        <f>$E$17</f>
        <v>0</v>
      </c>
      <c r="F19" s="4">
        <f>(E17/(0.0001*300)/3000)</f>
        <v>0</v>
      </c>
    </row>
    <row r="20" ht="11.25" customHeight="1"/>
    <row r="21" ht="11.25" customHeight="1">
      <c r="A21">
        <v>7103484190</v>
      </c>
      <c r="B21" t="str">
        <v>CC 25mM cobas t411 (10x15ml)</v>
      </c>
      <c r="C21">
        <v>1900</v>
      </c>
      <c r="D21">
        <v>365</v>
      </c>
      <c r="E21">
        <f>E10+E11</f>
        <v>0</v>
      </c>
      <c r="F21" s="4">
        <f>E21/C21</f>
        <v>0</v>
      </c>
      <c r="G21" s="4">
        <f>365/D21</f>
        <v>1</v>
      </c>
    </row>
    <row r="22" ht="11.25" customHeight="1">
      <c r="A22">
        <v>7204736190</v>
      </c>
      <c r="B22" t="str">
        <v>Day Clean (12x11ml)</v>
      </c>
      <c r="C22" s="5">
        <v>10</v>
      </c>
      <c r="D22">
        <v>24</v>
      </c>
      <c r="E22">
        <f>E10+E11</f>
        <v>0</v>
      </c>
      <c r="F22" s="4">
        <f>365/C22</f>
        <v>36.5</v>
      </c>
      <c r="G22" s="4">
        <f>365/D22</f>
        <v>15.208333333333334</v>
      </c>
    </row>
    <row r="23" ht="11.25" customHeight="1">
      <c r="A23">
        <v>7255926190</v>
      </c>
      <c r="B23" t="str">
        <v>CleanSol cobas t411 (12x5ml)</v>
      </c>
      <c r="C23" s="5">
        <v>60</v>
      </c>
      <c r="D23">
        <v>336</v>
      </c>
      <c r="E23">
        <f>E10+E11</f>
        <v>0</v>
      </c>
      <c r="F23" s="4">
        <f>240/C23</f>
        <v>4</v>
      </c>
      <c r="G23" s="4">
        <f>365/D23</f>
        <v>1.0863095238095237</v>
      </c>
    </row>
    <row r="24" ht="11.25" customHeight="1">
      <c r="A24">
        <v>5064210001</v>
      </c>
      <c r="B24" t="str">
        <v>CPC / t 411 Cuvette bar</v>
      </c>
      <c r="C24">
        <v>2320</v>
      </c>
      <c r="D24">
        <v>365</v>
      </c>
      <c r="E24">
        <f>E10+E11</f>
        <v>0</v>
      </c>
      <c r="F24" s="4">
        <f>((E17/C24)+(E10/C24)+(E11/C24))*1.2</f>
        <v>0</v>
      </c>
      <c r="G24" s="4">
        <f>365/D24</f>
        <v>1</v>
      </c>
    </row>
    <row r="25" ht="11.25" customHeight="1">
      <c r="A25">
        <v>4444191001</v>
      </c>
      <c r="B25" t="str">
        <v>SAMPLE CUP</v>
      </c>
      <c r="C25">
        <v>1</v>
      </c>
      <c r="D25">
        <v>365</v>
      </c>
      <c r="E25">
        <f>E10+E11</f>
        <v>0</v>
      </c>
      <c r="F25" s="4">
        <f>(((E10+E11+E17)-((E10+E11+E17)*0.9))/D25)</f>
        <v>0</v>
      </c>
      <c r="G25" s="4">
        <f>365/D25</f>
        <v>1</v>
      </c>
    </row>
    <row r="26" ht="11.25" customHeight="1">
      <c r="A26" t="str">
        <v>FAM4</v>
      </c>
      <c r="B26" t="str">
        <v>AGUA DESTILADA X GALON</v>
      </c>
      <c r="C26" s="5">
        <v>13</v>
      </c>
      <c r="D26">
        <v>2</v>
      </c>
      <c r="E26">
        <f>E10+E11</f>
        <v>0</v>
      </c>
      <c r="F26" s="4">
        <f>(0.002*(E26/C26))*365</f>
        <v>0</v>
      </c>
      <c r="G26" s="4">
        <f>365/D26</f>
        <v>182.5</v>
      </c>
    </row>
    <row r="27" ht="11.25" customHeight="1">
      <c r="B27" t="str">
        <v>AMPOLLA DE AGUA BIDESTILADA</v>
      </c>
      <c r="C27">
        <v>1</v>
      </c>
      <c r="E27">
        <f>E10+E11</f>
        <v>0</v>
      </c>
    </row>
    <row r="28" ht="11.25" customHeight="1"/>
    <row r="29" ht="11.25" customHeight="1"/>
    <row r="30" ht="11.25" customHeight="1"/>
    <row r="31" ht="15.75" customHeight="1">
      <c r="A31" t="str">
        <v>EQUIPO</v>
      </c>
      <c r="B31" t="str">
        <v>cobas h 232</v>
      </c>
    </row>
    <row r="32" ht="15.75" customHeight="1"/>
    <row r="33" ht="15.75" customHeight="1">
      <c r="A33" t="str">
        <v>I.D</v>
      </c>
      <c r="B33" t="str">
        <v>REACTIVO</v>
      </c>
      <c r="C33" t="str">
        <v>DET/KIT</v>
      </c>
      <c r="D33" t="str">
        <v>DIAS ESTABILIDAD</v>
      </c>
      <c r="E33" t="str">
        <v>DET/AÑO/PROCESO</v>
      </c>
      <c r="F33" t="str">
        <v>PRODUCTO CALCULADO</v>
      </c>
      <c r="G33" t="str">
        <v>MINIMOS POR ESTABILIDAD</v>
      </c>
      <c r="H33" t="str">
        <v>PRODUCTO A ENVIAR</v>
      </c>
    </row>
    <row r="34" ht="11.25" customHeight="1">
      <c r="A34">
        <v>4877802190</v>
      </c>
      <c r="B34" t="str">
        <v>Roche Cardiac Dimero D</v>
      </c>
      <c r="C34">
        <v>10</v>
      </c>
      <c r="E34">
        <v>0</v>
      </c>
      <c r="F34">
        <f>E34/C34</f>
        <v>0</v>
      </c>
      <c r="H34">
        <f>IF(G34&gt;F34,G34,F34)</f>
        <v>0</v>
      </c>
    </row>
    <row r="35" ht="15.75" customHeight="1">
      <c r="A35">
        <v>4877900190</v>
      </c>
      <c r="B35" t="str">
        <v>ROCHE CARDIAC CK-MB 10 TESTS (COBAS)</v>
      </c>
      <c r="C35">
        <v>10</v>
      </c>
      <c r="E35">
        <v>0</v>
      </c>
      <c r="F35">
        <f>E35/C35</f>
        <v>0</v>
      </c>
      <c r="H35">
        <f>IF(G35&gt;F35,G35,F35)</f>
        <v>0</v>
      </c>
    </row>
    <row r="36" ht="11.25" customHeight="1">
      <c r="A36">
        <v>5533643190</v>
      </c>
      <c r="B36" t="str">
        <v>ROCHE CARDIAC PROBNP+ 10 TESTS (COBAS)</v>
      </c>
      <c r="C36">
        <v>10</v>
      </c>
      <c r="E36">
        <v>0</v>
      </c>
      <c r="F36">
        <f>E36/C36</f>
        <v>0</v>
      </c>
      <c r="H36">
        <f>IF(G36&gt;F36,G36,F36)</f>
        <v>0</v>
      </c>
    </row>
    <row r="37" ht="11.25" customHeight="1">
      <c r="A37">
        <v>7007302190</v>
      </c>
      <c r="B37" t="str">
        <v>ROCHE CARDIAC POC TROP T FOR NEW SW VER.</v>
      </c>
      <c r="C37">
        <v>10</v>
      </c>
      <c r="E37">
        <v>0</v>
      </c>
      <c r="F37">
        <f>E37/C37</f>
        <v>0</v>
      </c>
      <c r="H37">
        <f>IF(G37&gt;F37,G37,F37)</f>
        <v>0</v>
      </c>
    </row>
    <row r="38" ht="11.25" customHeight="1">
      <c r="B38" t="str">
        <v xml:space="preserve">Tubo tapa verde </v>
      </c>
      <c r="C38">
        <v>100</v>
      </c>
      <c r="F38">
        <f>E39/C38</f>
        <v>0</v>
      </c>
    </row>
    <row r="39" ht="11.25" customHeight="1"/>
    <row r="40" ht="11.25" customHeight="1"/>
    <row r="41" ht="11.25" customHeight="1"/>
    <row r="42" ht="11.25" customHeight="1"/>
    <row r="43" ht="11.25" customHeight="1"/>
    <row r="44" ht="11.25" customHeight="1"/>
    <row r="45" ht="11.25" customHeight="1"/>
    <row r="46" ht="11.25" customHeight="1"/>
    <row r="47" ht="11.25" customHeight="1"/>
    <row r="48" ht="11.25" customHeight="1"/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/>
    <row r="100" ht="11.25" customHeight="1"/>
    <row r="101" ht="11.25" customHeight="1"/>
    <row r="102" ht="11.25" customHeight="1"/>
    <row r="103" ht="11.25" customHeight="1"/>
    <row r="104" ht="11.25" customHeight="1"/>
    <row r="105" ht="11.25" customHeight="1"/>
    <row r="106" ht="11.25" customHeight="1"/>
    <row r="107" ht="11.25" customHeight="1"/>
    <row r="108" ht="11.25" customHeight="1"/>
    <row r="109" ht="11.25" customHeight="1"/>
    <row r="110" ht="11.25" customHeight="1"/>
    <row r="111" ht="11.25" customHeight="1"/>
    <row r="112" ht="11.25" customHeight="1"/>
    <row r="113" ht="11.25" customHeight="1"/>
    <row r="114" ht="11.25" customHeight="1"/>
    <row r="115" ht="11.25" customHeight="1"/>
    <row r="116" ht="11.25" customHeight="1"/>
    <row r="117" ht="11.25" customHeight="1"/>
    <row r="118" ht="11.25" customHeight="1"/>
    <row r="119" ht="11.25" customHeight="1"/>
    <row r="120" ht="11.25" customHeight="1"/>
    <row r="121" ht="11.25" customHeight="1"/>
    <row r="122" ht="11.25" customHeight="1"/>
    <row r="123" ht="11.25" customHeight="1"/>
    <row r="124" ht="11.25" customHeight="1"/>
    <row r="125" ht="11.25" customHeight="1"/>
    <row r="126" ht="11.25" customHeight="1"/>
    <row r="127" ht="11.25" customHeight="1"/>
    <row r="128" ht="11.25" customHeight="1"/>
    <row r="129" ht="11.25" customHeight="1"/>
    <row r="130" ht="11.25" customHeight="1"/>
    <row r="131" ht="11.25" customHeight="1"/>
    <row r="132" ht="11.25" customHeight="1"/>
    <row r="133" ht="11.25" customHeight="1"/>
    <row r="134" ht="11.25" customHeight="1"/>
    <row r="135" ht="11.25" customHeight="1"/>
    <row r="136" ht="11.25" customHeight="1"/>
    <row r="137" ht="11.25" customHeight="1"/>
    <row r="138" ht="11.25" customHeight="1"/>
    <row r="139" ht="11.25" customHeight="1"/>
    <row r="140" ht="11.25" customHeight="1"/>
    <row r="141" ht="11.25" customHeight="1"/>
    <row r="142" ht="11.25" customHeight="1"/>
    <row r="143" ht="11.25" customHeight="1"/>
    <row r="144" ht="11.25" customHeight="1"/>
    <row r="145" ht="11.25" customHeight="1"/>
    <row r="146" ht="11.25" customHeight="1"/>
    <row r="147" ht="11.25" customHeight="1"/>
    <row r="148" ht="11.25" customHeight="1"/>
    <row r="149" ht="11.25" customHeight="1"/>
    <row r="150" ht="11.25" customHeight="1"/>
    <row r="151" ht="11.25" customHeight="1"/>
    <row r="152" ht="11.25" customHeight="1"/>
    <row r="153" ht="11.25" customHeight="1"/>
    <row r="154" ht="11.25" customHeight="1"/>
    <row r="155" ht="11.25" customHeight="1"/>
    <row r="156" ht="11.25" customHeight="1"/>
    <row r="157" ht="11.25" customHeight="1"/>
    <row r="158" ht="11.25" customHeight="1"/>
    <row r="159" ht="11.25" customHeight="1"/>
    <row r="160" ht="11.25" customHeight="1"/>
    <row r="161" ht="11.25" customHeight="1"/>
    <row r="162" ht="11.25" customHeight="1"/>
    <row r="163" ht="11.25" customHeight="1"/>
    <row r="164" ht="11.25" customHeight="1"/>
    <row r="165" ht="11.25" customHeight="1"/>
    <row r="166" ht="11.25" customHeight="1"/>
    <row r="167" ht="11.25" customHeight="1"/>
    <row r="168" ht="11.25" customHeight="1"/>
    <row r="169" ht="11.25" customHeight="1"/>
    <row r="170" ht="11.25" customHeight="1"/>
    <row r="171" ht="11.25" customHeight="1"/>
    <row r="172" ht="11.25" customHeight="1"/>
    <row r="173" ht="11.25" customHeight="1"/>
    <row r="174" ht="11.25" customHeight="1"/>
    <row r="175" ht="11.25" customHeight="1"/>
    <row r="176" ht="11.25" customHeight="1"/>
    <row r="177" ht="11.25" customHeight="1"/>
    <row r="178" ht="11.25" customHeight="1"/>
    <row r="179" ht="11.25" customHeight="1"/>
    <row r="180" ht="11.25" customHeight="1"/>
    <row r="181" ht="11.25" customHeight="1"/>
    <row r="182" ht="11.25" customHeight="1"/>
    <row r="183" ht="11.25" customHeight="1"/>
    <row r="184" ht="11.25" customHeight="1"/>
    <row r="185" ht="11.25" customHeight="1"/>
    <row r="186" ht="11.25" customHeight="1"/>
    <row r="187" ht="11.25" customHeight="1"/>
    <row r="188" ht="11.25" customHeight="1"/>
    <row r="189" ht="11.25" customHeight="1"/>
    <row r="190" ht="11.25" customHeight="1"/>
    <row r="191" ht="11.25" customHeight="1"/>
    <row r="192" ht="11.25" customHeight="1"/>
    <row r="193" ht="11.25" customHeight="1"/>
    <row r="194" ht="11.25" customHeight="1"/>
    <row r="195" ht="11.25" customHeight="1"/>
    <row r="196" ht="11.25" customHeight="1"/>
    <row r="197" ht="11.25" customHeight="1"/>
    <row r="198" ht="11.25" customHeight="1"/>
    <row r="199" ht="11.25" customHeight="1"/>
    <row r="200" ht="11.25" customHeight="1"/>
    <row r="201" ht="11.25" customHeight="1"/>
    <row r="202" ht="11.25" customHeight="1"/>
    <row r="203" ht="11.25" customHeight="1"/>
    <row r="204" ht="11.25" customHeight="1"/>
    <row r="205" ht="11.25" customHeight="1"/>
    <row r="206" ht="11.25" customHeight="1"/>
    <row r="207" ht="11.25" customHeight="1"/>
    <row r="208" ht="11.25" customHeight="1"/>
    <row r="209" ht="11.25" customHeight="1"/>
    <row r="210" ht="11.25" customHeight="1"/>
    <row r="211" ht="11.25" customHeight="1"/>
    <row r="212" ht="11.25" customHeight="1"/>
    <row r="213" ht="11.25" customHeight="1"/>
    <row r="214" ht="11.25" customHeight="1"/>
    <row r="215" ht="11.25" customHeight="1"/>
    <row r="216" ht="11.25" customHeight="1"/>
    <row r="217" ht="11.25" customHeight="1"/>
    <row r="218" ht="11.25" customHeight="1"/>
    <row r="219" ht="11.25" customHeight="1"/>
    <row r="220" ht="11.25" customHeight="1"/>
    <row r="221" ht="11.25" customHeight="1"/>
    <row r="222" ht="11.25" customHeight="1"/>
    <row r="223" ht="11.25" customHeight="1"/>
    <row r="224" ht="11.25" customHeight="1"/>
    <row r="225" ht="11.25" customHeight="1"/>
    <row r="226" ht="11.25" customHeight="1"/>
    <row r="227" ht="11.25" customHeight="1"/>
    <row r="228" ht="11.25" customHeight="1"/>
    <row r="229" ht="11.25" customHeight="1"/>
    <row r="230" ht="11.25" customHeight="1"/>
    <row r="231" ht="11.25" customHeight="1"/>
    <row r="232" ht="11.25" customHeight="1"/>
    <row r="233" ht="11.25" customHeight="1"/>
    <row r="234" ht="11.25" customHeight="1"/>
    <row r="235" ht="11.25" customHeight="1"/>
    <row r="236" ht="11.25" customHeight="1"/>
    <row r="237" ht="11.25" customHeight="1"/>
    <row r="238" ht="11.2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ignoredErrors>
    <ignoredError numberStoredAsText="1" sqref="A1:T1000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H1000"/>
  <sheetViews>
    <sheetView workbookViewId="0" rightToLeft="0"/>
  </sheetViews>
  <cols>
    <col min="1" max="1" customWidth="1" width="10.6640625"/>
    <col min="2" max="2" customWidth="1" width="27"/>
    <col min="3" max="3" customWidth="1" width="10.6640625"/>
    <col min="4" max="4" customWidth="1" width="10.6640625"/>
    <col min="5" max="5" customWidth="1" width="10.6640625"/>
    <col min="6" max="6" customWidth="1" width="10.6640625"/>
    <col min="7" max="7" customWidth="1" width="13.6640625"/>
    <col min="8" max="8" customWidth="1" width="10.6640625"/>
  </cols>
  <sheetData>
    <row r="1" ht="14.4" customHeight="1">
      <c r="A1" t="str">
        <v>CLIENTE</v>
      </c>
    </row>
    <row r="2" ht="14.4" customHeight="1">
      <c r="A2" s="3" t="str">
        <v>FECHA</v>
      </c>
    </row>
    <row r="3" ht="14.4" customHeight="1">
      <c r="A3" s="3" t="str">
        <v>MODALIDAD</v>
      </c>
      <c r="C3" t="str">
        <v>DETERMINACIÓN/ DETERMINACIÓN EFECTIVA/COMODATO TODO COBRADO/COMODATO POR DETERMINACIÓN/EQUIPO ALQUILADO</v>
      </c>
    </row>
    <row r="4" ht="14.4" customHeight="1">
      <c r="A4" s="3" t="str">
        <v>PLAZO</v>
      </c>
      <c r="C4" t="str">
        <v>MESES</v>
      </c>
    </row>
    <row r="5" ht="14.4" customHeight="1">
      <c r="A5" s="3" t="str">
        <v>PROYECCIÓN</v>
      </c>
      <c r="C5" t="str">
        <v>MESES</v>
      </c>
    </row>
    <row r="6" ht="14.4" customHeight="1">
      <c r="A6" t="str">
        <v>EQUIPO</v>
      </c>
      <c r="B6" t="str">
        <v>AVL 9180</v>
      </c>
    </row>
    <row r="7" ht="14.4" customHeight="1"/>
    <row r="8" ht="20.4" customHeight="1">
      <c r="A8" t="str">
        <v>I.D</v>
      </c>
      <c r="B8" t="str">
        <v>REACTIVO</v>
      </c>
      <c r="C8" t="str">
        <v>DET/KIT</v>
      </c>
      <c r="D8" t="str">
        <v>DIAS ESTABILIDAD</v>
      </c>
      <c r="E8" t="str">
        <v>DET/AÑO/PROCESO</v>
      </c>
      <c r="F8" t="str">
        <v>PRODUCTO CALCULADO</v>
      </c>
      <c r="G8" t="str">
        <v>MINIMOS POR ESTABILIDAD</v>
      </c>
      <c r="H8" t="str">
        <v>PRODUCTO A ENVIAR</v>
      </c>
    </row>
    <row r="9" ht="14.4" customHeight="1">
      <c r="A9">
        <v>3112349180</v>
      </c>
      <c r="B9" t="str">
        <v>SNAPPAK, 9180 9181</v>
      </c>
      <c r="C9">
        <v>250</v>
      </c>
      <c r="D9">
        <v>112</v>
      </c>
      <c r="E9" t="str">
        <v>#REF!</v>
      </c>
      <c r="F9" t="e">
        <f>E9/C9</f>
        <v>#VALUE!</v>
      </c>
      <c r="G9" s="4">
        <f>(360/D9)</f>
        <v>3.2142857142857144</v>
      </c>
    </row>
    <row r="10" ht="14.4" customHeight="1">
      <c r="A10">
        <v>3110435180</v>
      </c>
      <c r="B10" t="str">
        <v>DEPROTEINIZER (125 ML)</v>
      </c>
      <c r="C10">
        <v>1</v>
      </c>
      <c r="D10">
        <v>365</v>
      </c>
      <c r="F10" t="e">
        <f>(E9/(0.009*450)/2500)</f>
        <v>#VALUE!</v>
      </c>
      <c r="G10" s="4">
        <f>(360/D10)</f>
        <v>0.9863013698630136</v>
      </c>
    </row>
    <row r="11" ht="14.4" customHeight="1">
      <c r="A11">
        <v>3111555180</v>
      </c>
      <c r="B11" t="str">
        <v>CLEANING SOLUTION 988-4</v>
      </c>
      <c r="C11">
        <v>1</v>
      </c>
      <c r="D11">
        <v>365</v>
      </c>
      <c r="F11" t="e">
        <f>(E9/(0.009*450)/1250)</f>
        <v>#VALUE!</v>
      </c>
      <c r="G11" s="4">
        <f>(360/D11)</f>
        <v>0.9863013698630136</v>
      </c>
    </row>
    <row r="12" ht="14.4" customHeight="1">
      <c r="A12">
        <v>3110362180</v>
      </c>
      <c r="B12" t="str">
        <v xml:space="preserve">SODIUM CONDITIONER </v>
      </c>
      <c r="C12">
        <v>1</v>
      </c>
      <c r="D12">
        <v>365</v>
      </c>
      <c r="F12" t="e">
        <f>(E9/(0.009*450)/1250)</f>
        <v>#VALUE!</v>
      </c>
      <c r="G12" s="4">
        <f>(360/D12)</f>
        <v>0.9863013698630136</v>
      </c>
    </row>
    <row r="13" ht="20.4" customHeight="1">
      <c r="A13">
        <v>3110249180</v>
      </c>
      <c r="B13" t="str">
        <v>URINE DILUENT, 125ML (tiempo en uso 5 meses)</v>
      </c>
      <c r="C13">
        <v>1</v>
      </c>
      <c r="D13">
        <v>365</v>
      </c>
      <c r="F13" t="e">
        <f>(E9/(0.009*300)/2500)</f>
        <v>#VALUE!</v>
      </c>
      <c r="G13" s="4">
        <f>(360/D13)</f>
        <v>0.9863013698630136</v>
      </c>
    </row>
    <row r="14" ht="14.4" customHeight="1">
      <c r="A14">
        <v>3112888180</v>
      </c>
      <c r="B14" t="str">
        <v>ISETROL ELECTROLYTE CTRL L 1-3</v>
      </c>
      <c r="C14">
        <v>30</v>
      </c>
      <c r="D14">
        <v>12</v>
      </c>
      <c r="F14" t="e">
        <f>(E9/(0.008*450)/1250)</f>
        <v>#VALUE!</v>
      </c>
      <c r="G14" s="4">
        <f>(360/D14)</f>
        <v>30</v>
      </c>
    </row>
    <row r="15" ht="14.4" customHeight="1">
      <c r="A15">
        <v>3112292018</v>
      </c>
      <c r="B15" t="str">
        <v>PAPER 91XX SERIES PRINTER 5/PKG</v>
      </c>
      <c r="C15">
        <v>5</v>
      </c>
      <c r="D15">
        <v>73</v>
      </c>
      <c r="F15" t="e">
        <f>(E9/(0.001*300)/1250)</f>
        <v>#VALUE!</v>
      </c>
      <c r="G15" s="4">
        <f>(360/D15)</f>
        <v>4.931506849315069</v>
      </c>
    </row>
    <row r="16" ht="14.4" customHeight="1">
      <c r="A16">
        <v>3110419180</v>
      </c>
      <c r="B16" t="str">
        <v>AVL NA+ ELECTRODE</v>
      </c>
      <c r="C16">
        <v>1</v>
      </c>
      <c r="D16">
        <v>196</v>
      </c>
      <c r="F16" t="str">
        <v>#ERROR!</v>
      </c>
      <c r="G16" s="4">
        <f>(360/(D16))</f>
        <v>1.836734693877551</v>
      </c>
    </row>
    <row r="17" ht="14.4" customHeight="1">
      <c r="A17">
        <v>3110338180</v>
      </c>
      <c r="B17" t="str">
        <v>AVL K+ ELECTRODE</v>
      </c>
      <c r="C17">
        <v>1</v>
      </c>
      <c r="D17">
        <v>140</v>
      </c>
      <c r="F17" t="str">
        <v>#ERROR!</v>
      </c>
      <c r="G17" s="4">
        <f>(360/(D17))</f>
        <v>2.5714285714285716</v>
      </c>
    </row>
    <row r="18" ht="14.4" customHeight="1">
      <c r="A18">
        <v>3110354180</v>
      </c>
      <c r="B18" t="str">
        <v>AVL CA+ ELECTRODE</v>
      </c>
      <c r="C18">
        <v>1</v>
      </c>
      <c r="D18">
        <v>84</v>
      </c>
      <c r="F18" t="str">
        <v>#ERROR!</v>
      </c>
      <c r="G18" s="4">
        <f>(360/(D18))</f>
        <v>4.285714285714286</v>
      </c>
    </row>
    <row r="19" ht="14.4" customHeight="1">
      <c r="A19">
        <v>3110451180</v>
      </c>
      <c r="B19" t="str">
        <v>AVL CL ECTRODE</v>
      </c>
      <c r="C19">
        <v>1</v>
      </c>
      <c r="D19">
        <v>84</v>
      </c>
      <c r="F19" t="str">
        <v>#ERROR!</v>
      </c>
      <c r="G19" s="4">
        <f>(360/(D19))</f>
        <v>4.285714285714286</v>
      </c>
    </row>
    <row r="20" ht="14.4" customHeight="1">
      <c r="A20">
        <v>3112306180</v>
      </c>
      <c r="B20" t="str">
        <v>ELECTRODE, ISE REFERENCE, 91XX</v>
      </c>
      <c r="C20">
        <v>1</v>
      </c>
      <c r="D20">
        <v>308</v>
      </c>
      <c r="F20" t="str">
        <v>#ERROR!</v>
      </c>
      <c r="G20" s="4">
        <f>(360/(D20))</f>
        <v>1.1688311688311688</v>
      </c>
    </row>
    <row r="21" ht="15.75" customHeight="1">
      <c r="A21">
        <v>3112284180</v>
      </c>
      <c r="B21" t="str">
        <v>REFERENCE HOUSING</v>
      </c>
      <c r="C21">
        <v>1</v>
      </c>
      <c r="D21">
        <v>308</v>
      </c>
      <c r="F21" t="str">
        <v>#ERROR!</v>
      </c>
      <c r="G21" s="4">
        <f>(360/(D21))</f>
        <v>1.1688311688311688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ignoredErrors>
    <ignoredError numberStoredAsText="1" sqref="A1:H1000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H1000"/>
  <sheetViews>
    <sheetView workbookViewId="0" rightToLeft="0"/>
  </sheetViews>
  <cols>
    <col min="1" max="1" customWidth="1" width="10.6640625"/>
    <col min="2" max="2" customWidth="1" width="29.5546875"/>
    <col min="3" max="3" customWidth="1" width="10.6640625"/>
    <col min="4" max="4" customWidth="1" width="10.6640625"/>
    <col min="5" max="5" customWidth="1" width="10.6640625"/>
    <col min="6" max="6" customWidth="1" width="10.6640625"/>
    <col min="7" max="7" customWidth="1" width="10.6640625"/>
    <col min="8" max="8" customWidth="1" width="13.109375"/>
  </cols>
  <sheetData>
    <row r="1" ht="14.4" customHeight="1">
      <c r="A1" t="str">
        <v>CLIENTE</v>
      </c>
    </row>
    <row r="2" ht="14.4" customHeight="1">
      <c r="A2" s="3" t="str">
        <v>FECHA</v>
      </c>
    </row>
    <row r="3" ht="14.4" customHeight="1">
      <c r="A3" s="3" t="str">
        <v>MODALIDAD</v>
      </c>
      <c r="C3" t="str">
        <v>DETERMINACIÓN/ DETERMINACIÓN EFECTIVA/COMODATO TODO COBRADO/COMODATO POR DETERMINACIÓN/EQUIPO ALQUILADO</v>
      </c>
    </row>
    <row r="4" ht="14.4" customHeight="1">
      <c r="A4" s="3" t="str">
        <v>PLAZO</v>
      </c>
      <c r="C4" t="str">
        <v>MESES</v>
      </c>
    </row>
    <row r="5" ht="14.4" customHeight="1">
      <c r="A5" s="3" t="str">
        <v>PROYECCIÓN</v>
      </c>
      <c r="C5" t="str">
        <v>MESES</v>
      </c>
    </row>
    <row r="6" ht="14.4" customHeight="1">
      <c r="A6" t="str">
        <v>EQUIPO</v>
      </c>
      <c r="C6" t="str">
        <v>cobas b123</v>
      </c>
    </row>
    <row r="8" ht="20.4" customHeight="1">
      <c r="A8" t="str">
        <v>I.D</v>
      </c>
      <c r="B8" t="str">
        <v>REACTIVO</v>
      </c>
      <c r="C8" t="str">
        <v>DET/KIT</v>
      </c>
      <c r="D8" t="str">
        <v>ESTABILIDAD</v>
      </c>
      <c r="E8" t="str">
        <v>DET/AÑO/PROCESO</v>
      </c>
      <c r="F8" t="str">
        <v>PRODUCTO CALCULADO</v>
      </c>
      <c r="G8" t="str">
        <v>MINIMOS POR ESTABILIDAD</v>
      </c>
      <c r="H8" t="str">
        <v>PRODUCTO A ENVIAR</v>
      </c>
    </row>
    <row r="9" ht="14.4" customHeight="1">
      <c r="A9">
        <v>5169992001</v>
      </c>
      <c r="B9" t="str">
        <v>FLUID PACK COOX 200</v>
      </c>
      <c r="C9">
        <v>200</v>
      </c>
      <c r="D9">
        <v>42</v>
      </c>
      <c r="F9">
        <f>E9/C9</f>
        <v>0</v>
      </c>
      <c r="G9" s="4">
        <f>(360/D9)</f>
        <v>8.571428571428571</v>
      </c>
    </row>
    <row r="10" ht="14.4" customHeight="1">
      <c r="A10">
        <v>3321207001</v>
      </c>
      <c r="B10" t="str">
        <v>Combitrol Plus B, Level 2, 30 pcs</v>
      </c>
      <c r="C10">
        <v>30</v>
      </c>
      <c r="D10">
        <v>30</v>
      </c>
      <c r="F10">
        <f>360/C10</f>
        <v>12</v>
      </c>
      <c r="G10" s="4">
        <f>(360/D10)</f>
        <v>12</v>
      </c>
    </row>
    <row r="11" ht="14.4" customHeight="1">
      <c r="A11">
        <v>3321193001</v>
      </c>
      <c r="B11" t="str">
        <v>Combitrol Plus B, Level 1, 30 pcs</v>
      </c>
      <c r="C11">
        <v>30</v>
      </c>
      <c r="D11">
        <v>30</v>
      </c>
      <c r="F11">
        <f>360/C11</f>
        <v>12</v>
      </c>
      <c r="G11" s="4">
        <f>(360/D11)</f>
        <v>12</v>
      </c>
    </row>
    <row r="12" ht="14.4" customHeight="1">
      <c r="A12">
        <v>3321215001</v>
      </c>
      <c r="B12" t="str">
        <v>Combitrol Plus B, Level 3, 30 pcs</v>
      </c>
      <c r="C12">
        <v>30</v>
      </c>
      <c r="D12">
        <v>30</v>
      </c>
      <c r="F12">
        <f>360/C12</f>
        <v>12</v>
      </c>
      <c r="G12" s="4">
        <f>(360/D12)</f>
        <v>12</v>
      </c>
    </row>
    <row r="13" ht="14.4" customHeight="1">
      <c r="A13">
        <v>5170478001</v>
      </c>
      <c r="B13" t="str">
        <v>Sensor Cartridge, BG/ISE/GLU/LAC</v>
      </c>
      <c r="C13">
        <v>1</v>
      </c>
      <c r="D13">
        <v>21</v>
      </c>
      <c r="F13">
        <f>(360/D13)</f>
        <v>17.142857142857142</v>
      </c>
      <c r="G13" s="4">
        <f>(360/D13)</f>
        <v>17.142857142857142</v>
      </c>
    </row>
    <row r="14" ht="15" customHeight="1">
      <c r="A14">
        <v>5082595001</v>
      </c>
      <c r="B14" t="str">
        <v>Printer paper,  b123</v>
      </c>
      <c r="C14">
        <v>1</v>
      </c>
      <c r="D14">
        <v>365</v>
      </c>
      <c r="F14">
        <f>(E9/(0.001*200)/1250)</f>
        <v>0</v>
      </c>
      <c r="G14" s="4">
        <f>(365/D14)</f>
        <v>1</v>
      </c>
    </row>
    <row r="15" ht="15" customHeight="1">
      <c r="A15">
        <v>5689856001</v>
      </c>
      <c r="B15" t="str">
        <v>CLOT CATCHER PRO</v>
      </c>
      <c r="C15">
        <v>100</v>
      </c>
      <c r="D15">
        <v>365</v>
      </c>
      <c r="F15">
        <f>E9/C15</f>
        <v>0</v>
      </c>
      <c r="G15" s="4">
        <f>(365/D15)</f>
        <v>1</v>
      </c>
    </row>
    <row r="16" ht="15" customHeight="1">
      <c r="A16">
        <v>3066762001</v>
      </c>
      <c r="B16" t="str">
        <v>AMPOULE ADAPTER (150 PCS)</v>
      </c>
      <c r="C16">
        <v>150</v>
      </c>
      <c r="D16">
        <v>365</v>
      </c>
      <c r="F16">
        <f>((F10*D10)+(F11*D11)+(F12*D12))/C16</f>
        <v>7.2</v>
      </c>
      <c r="G16" s="4">
        <f>365/D16</f>
        <v>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ignoredErrors>
    <ignoredError numberStoredAsText="1" sqref="A1:H1000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H1000"/>
  <sheetViews>
    <sheetView workbookViewId="0" rightToLeft="0"/>
  </sheetViews>
  <cols>
    <col min="1" max="1" customWidth="1" width="10.6640625"/>
    <col min="2" max="2" customWidth="1" width="48.44140625"/>
    <col min="3" max="3" customWidth="1" width="10.6640625"/>
    <col min="4" max="4" customWidth="1" width="10.6640625"/>
    <col min="5" max="5" customWidth="1" width="10.6640625"/>
    <col min="6" max="6" customWidth="1" width="10.6640625"/>
    <col min="7" max="7" customWidth="1" width="10.6640625"/>
    <col min="8" max="8" customWidth="1" width="10.6640625"/>
  </cols>
  <sheetData>
    <row r="1" ht="13.5" customHeight="1">
      <c r="A1" s="3" t="str">
        <v>PLAZO</v>
      </c>
      <c r="C1" t="str">
        <v>MESES</v>
      </c>
    </row>
    <row r="2" ht="13.5" customHeight="1">
      <c r="A2" s="3" t="str">
        <v>PROYECCIÓN</v>
      </c>
      <c r="C2" t="str">
        <v>MESES</v>
      </c>
    </row>
    <row r="3" ht="13.5" customHeight="1">
      <c r="A3" t="str">
        <v>EQUIPO</v>
      </c>
      <c r="C3" t="str">
        <v>cobas b101</v>
      </c>
    </row>
    <row r="4" ht="13.5" customHeight="1"/>
    <row r="5" ht="13.5" customHeight="1">
      <c r="A5" t="str">
        <v>I.D</v>
      </c>
      <c r="B5" t="str">
        <v>REACTIVO</v>
      </c>
      <c r="C5" t="str">
        <v>DET/KIT</v>
      </c>
      <c r="D5" t="str">
        <v>ESTABILIDAD</v>
      </c>
      <c r="E5" t="str">
        <v>DET/AÑO/PROCESO</v>
      </c>
      <c r="F5" t="str">
        <v>PRODUCTO CALCULADO</v>
      </c>
      <c r="G5" t="str">
        <v>MINIMOS POR ESTABILIDAD</v>
      </c>
      <c r="H5" t="str">
        <v>PRODUCTO A ENVIAR</v>
      </c>
    </row>
    <row r="6" ht="13.5" customHeight="1">
      <c r="A6">
        <v>8038694190</v>
      </c>
      <c r="B6" t="str">
        <v>COBAS B101 HBA1C TEST 10PC (DIA CLAIM)</v>
      </c>
      <c r="C6">
        <v>10</v>
      </c>
      <c r="F6">
        <f>E6/C6</f>
        <v>0</v>
      </c>
    </row>
    <row r="7" ht="13.5" customHeight="1">
      <c r="A7">
        <v>6380115190</v>
      </c>
      <c r="B7" t="str">
        <v>COBAS B 101 LIPID PANEL 10PC</v>
      </c>
      <c r="C7">
        <v>10</v>
      </c>
      <c r="F7">
        <f>E7/C7</f>
        <v>0</v>
      </c>
    </row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ignoredErrors>
    <ignoredError numberStoredAsText="1" sqref="A1:H1000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X1000"/>
  <sheetViews>
    <sheetView workbookViewId="0" rightToLeft="0"/>
  </sheetViews>
  <cols>
    <col min="1" max="1" customWidth="1" width="11.44140625"/>
    <col min="2" max="2" customWidth="1" width="29.5546875"/>
    <col min="3" max="3" customWidth="1" width="11.44140625"/>
    <col min="4" max="4" customWidth="1" width="11.44140625"/>
    <col min="5" max="5" customWidth="1" width="11.44140625"/>
    <col min="6" max="6" customWidth="1" width="11.44140625"/>
    <col min="7" max="7" customWidth="1" width="11.44140625"/>
    <col min="8" max="8" customWidth="1" width="2"/>
    <col min="9" max="9" customWidth="1" width="10.6640625"/>
    <col min="10" max="10" customWidth="1" width="10.6640625"/>
    <col min="11" max="11" customWidth="1" width="10.6640625"/>
    <col min="12" max="12" customWidth="1" width="10.6640625"/>
    <col min="13" max="13" customWidth="1" width="10.6640625"/>
    <col min="14" max="14" customWidth="1" width="10.6640625"/>
    <col min="15" max="15" customWidth="1" width="10.6640625"/>
    <col min="16" max="16" customWidth="1" width="10.6640625"/>
    <col min="17" max="17" customWidth="1" width="10.6640625"/>
    <col min="18" max="18" customWidth="1" width="10.6640625"/>
    <col min="19" max="19" customWidth="1" width="10.6640625"/>
    <col min="20" max="20" customWidth="1" width="10.6640625"/>
    <col min="21" max="21" customWidth="1" width="10.6640625"/>
    <col min="22" max="22" customWidth="1" width="10.6640625"/>
    <col min="23" max="23" customWidth="1" width="10.6640625"/>
    <col min="24" max="24" customWidth="1" width="10.6640625"/>
  </cols>
  <sheetData>
    <row r="1" ht="11.25" customHeight="1">
      <c r="A1" t="str">
        <v>CLIENTE</v>
      </c>
    </row>
    <row r="2" ht="11.25" customHeight="1">
      <c r="A2" s="3" t="str">
        <v>FECHA</v>
      </c>
    </row>
    <row r="3" ht="11.25" customHeight="1">
      <c r="A3" s="3" t="str">
        <v>MODALIDAD</v>
      </c>
      <c r="C3" t="str">
        <v>DETERMINACIÓN/ DETERMINACIÓN EFECTIVA/COMODATO TODO COBRADO/COMODATO POR DETERMINACIÓN/EQUIPO ALQUILADO</v>
      </c>
    </row>
    <row r="4" ht="11.25" customHeight="1">
      <c r="A4" s="3" t="str">
        <v>PLAZO</v>
      </c>
      <c r="C4" t="str">
        <v>MESES</v>
      </c>
    </row>
    <row r="5" ht="11.25" customHeight="1">
      <c r="A5" s="3" t="str">
        <v>PROYECCIÓN</v>
      </c>
      <c r="C5" t="str">
        <v>MESES</v>
      </c>
    </row>
    <row r="6" ht="11.25" customHeight="1">
      <c r="A6" t="str">
        <v>EQUIPO</v>
      </c>
      <c r="C6" t="str">
        <v>cobas u6500</v>
      </c>
    </row>
    <row r="7" ht="11.25" customHeight="1"/>
    <row r="8" ht="20.4" customHeight="1">
      <c r="A8" t="str">
        <v>I.D</v>
      </c>
      <c r="B8" t="str">
        <v>REACTIVO</v>
      </c>
      <c r="C8" t="str">
        <v>DET/KIT</v>
      </c>
      <c r="D8" t="str">
        <v>ESTABILIDAD</v>
      </c>
      <c r="E8" t="str">
        <v>DET AÑO/PROCESO</v>
      </c>
      <c r="F8" t="str">
        <v>PRODUCTO CALCULADO</v>
      </c>
      <c r="G8" s="7" t="str">
        <v>PRODUCTO A ENTREGAR</v>
      </c>
    </row>
    <row r="9" ht="11.25" customHeight="1">
      <c r="A9">
        <v>6390552001</v>
      </c>
      <c r="B9" t="str">
        <v>cobas u cuvette (400 pc)</v>
      </c>
      <c r="C9">
        <v>400</v>
      </c>
    </row>
    <row r="10" ht="11.25" customHeight="1">
      <c r="A10">
        <v>6334601001</v>
      </c>
      <c r="B10" t="str">
        <v>cobas u pack (400 strips)</v>
      </c>
      <c r="C10">
        <v>400</v>
      </c>
    </row>
    <row r="11" ht="11.25" customHeight="1">
      <c r="A11" t="str">
        <v>CONSUMIBLES</v>
      </c>
    </row>
    <row r="12" ht="11.25" customHeight="1">
      <c r="A12">
        <v>6390579001</v>
      </c>
      <c r="B12" t="str">
        <v>cobas U Calibration Strip, 25 Str.</v>
      </c>
      <c r="C12" t="str">
        <v>25 (1 UN AÑO)</v>
      </c>
      <c r="D12" t="str">
        <v>12 MESES</v>
      </c>
    </row>
    <row r="13" ht="11.25" customHeight="1">
      <c r="A13">
        <v>8181004001</v>
      </c>
      <c r="B13" t="str">
        <v>DIP &amp; SPIN URINE CONTROL (1470-01)</v>
      </c>
      <c r="C13">
        <v>1</v>
      </c>
      <c r="D13" s="8" t="str">
        <v>2 MESES</v>
      </c>
    </row>
    <row r="14" ht="11.25" customHeight="1">
      <c r="A14">
        <v>6390544001</v>
      </c>
      <c r="B14" t="str">
        <v>WASTE BOX CARTON</v>
      </c>
    </row>
    <row r="15" ht="11.25" customHeight="1"/>
    <row r="16" ht="11.25" customHeight="1"/>
    <row r="17" ht="11.25" customHeight="1"/>
    <row r="18" ht="11.25" customHeight="1"/>
    <row r="19" ht="11.25" customHeight="1"/>
    <row r="20" ht="11.25" customHeight="1"/>
    <row r="21" ht="11.25" customHeight="1"/>
    <row r="22" ht="11.25" customHeight="1"/>
    <row r="23" ht="11.25" customHeight="1"/>
    <row r="24" ht="11.25" customHeight="1"/>
    <row r="25" ht="11.25" customHeight="1"/>
    <row r="26" ht="11.25" customHeight="1"/>
    <row r="27" ht="11.25" customHeight="1"/>
    <row r="28" ht="11.25" customHeight="1"/>
    <row r="29" ht="11.25" customHeight="1"/>
    <row r="30" ht="11.25" customHeight="1"/>
    <row r="31" ht="11.25" customHeight="1"/>
    <row r="32" ht="11.25" customHeight="1"/>
    <row r="33" ht="11.25" customHeight="1"/>
    <row r="34" ht="11.25" customHeight="1"/>
    <row r="35" ht="11.25" customHeight="1"/>
    <row r="36" ht="11.25" customHeight="1"/>
    <row r="37" ht="11.25" customHeight="1"/>
    <row r="38" ht="11.25" customHeight="1"/>
    <row r="39" ht="11.25" customHeight="1"/>
    <row r="40" ht="11.25" customHeight="1"/>
    <row r="41" ht="11.25" customHeight="1"/>
    <row r="42" ht="11.25" customHeight="1"/>
    <row r="43" ht="11.25" customHeight="1"/>
    <row r="44" ht="11.25" customHeight="1"/>
    <row r="45" ht="11.25" customHeight="1"/>
    <row r="46" ht="11.25" customHeight="1"/>
    <row r="47" ht="11.25" customHeight="1"/>
    <row r="48" ht="11.25" customHeight="1"/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/>
    <row r="100" ht="11.25" customHeight="1"/>
    <row r="101" ht="11.25" customHeight="1"/>
    <row r="102" ht="11.25" customHeight="1"/>
    <row r="103" ht="11.25" customHeight="1"/>
    <row r="104" ht="11.25" customHeight="1"/>
    <row r="105" ht="11.25" customHeight="1"/>
    <row r="106" ht="11.25" customHeight="1"/>
    <row r="107" ht="11.25" customHeight="1"/>
    <row r="108" ht="11.25" customHeight="1"/>
    <row r="109" ht="11.25" customHeight="1"/>
    <row r="110" ht="11.25" customHeight="1"/>
    <row r="111" ht="11.25" customHeight="1"/>
    <row r="112" ht="11.25" customHeight="1"/>
    <row r="113" ht="11.25" customHeight="1"/>
    <row r="114" ht="11.25" customHeight="1"/>
    <row r="115" ht="11.25" customHeight="1"/>
    <row r="116" ht="11.25" customHeight="1"/>
    <row r="117" ht="11.25" customHeight="1"/>
    <row r="118" ht="11.25" customHeight="1"/>
    <row r="119" ht="11.25" customHeight="1"/>
    <row r="120" ht="11.25" customHeight="1"/>
    <row r="121" ht="11.25" customHeight="1"/>
    <row r="122" ht="11.25" customHeight="1"/>
    <row r="123" ht="11.25" customHeight="1"/>
    <row r="124" ht="11.25" customHeight="1"/>
    <row r="125" ht="11.25" customHeight="1"/>
    <row r="126" ht="11.25" customHeight="1"/>
    <row r="127" ht="11.25" customHeight="1"/>
    <row r="128" ht="11.25" customHeight="1"/>
    <row r="129" ht="11.25" customHeight="1"/>
    <row r="130" ht="11.25" customHeight="1"/>
    <row r="131" ht="11.25" customHeight="1"/>
    <row r="132" ht="11.25" customHeight="1"/>
    <row r="133" ht="11.25" customHeight="1"/>
    <row r="134" ht="11.25" customHeight="1"/>
    <row r="135" ht="11.25" customHeight="1"/>
    <row r="136" ht="11.25" customHeight="1"/>
    <row r="137" ht="11.25" customHeight="1"/>
    <row r="138" ht="11.25" customHeight="1"/>
    <row r="139" ht="11.25" customHeight="1"/>
    <row r="140" ht="11.25" customHeight="1"/>
    <row r="141" ht="11.25" customHeight="1"/>
    <row r="142" ht="11.25" customHeight="1"/>
    <row r="143" ht="11.25" customHeight="1"/>
    <row r="144" ht="11.25" customHeight="1"/>
    <row r="145" ht="11.25" customHeight="1"/>
    <row r="146" ht="11.25" customHeight="1"/>
    <row r="147" ht="11.25" customHeight="1"/>
    <row r="148" ht="11.25" customHeight="1"/>
    <row r="149" ht="11.25" customHeight="1"/>
    <row r="150" ht="11.25" customHeight="1"/>
    <row r="151" ht="11.25" customHeight="1"/>
    <row r="152" ht="11.25" customHeight="1"/>
    <row r="153" ht="11.25" customHeight="1"/>
    <row r="154" ht="11.25" customHeight="1"/>
    <row r="155" ht="11.25" customHeight="1"/>
    <row r="156" ht="11.25" customHeight="1"/>
    <row r="157" ht="11.25" customHeight="1"/>
    <row r="158" ht="11.25" customHeight="1"/>
    <row r="159" ht="11.25" customHeight="1"/>
    <row r="160" ht="11.25" customHeight="1"/>
    <row r="161" ht="11.25" customHeight="1"/>
    <row r="162" ht="11.25" customHeight="1"/>
    <row r="163" ht="11.25" customHeight="1"/>
    <row r="164" ht="11.25" customHeight="1"/>
    <row r="165" ht="11.25" customHeight="1"/>
    <row r="166" ht="11.25" customHeight="1"/>
    <row r="167" ht="11.25" customHeight="1"/>
    <row r="168" ht="11.25" customHeight="1"/>
    <row r="169" ht="11.25" customHeight="1"/>
    <row r="170" ht="11.25" customHeight="1"/>
    <row r="171" ht="11.25" customHeight="1"/>
    <row r="172" ht="11.25" customHeight="1"/>
    <row r="173" ht="11.25" customHeight="1"/>
    <row r="174" ht="11.25" customHeight="1"/>
    <row r="175" ht="11.25" customHeight="1"/>
    <row r="176" ht="11.25" customHeight="1"/>
    <row r="177" ht="11.25" customHeight="1"/>
    <row r="178" ht="11.25" customHeight="1"/>
    <row r="179" ht="11.25" customHeight="1"/>
    <row r="180" ht="11.25" customHeight="1"/>
    <row r="181" ht="11.25" customHeight="1"/>
    <row r="182" ht="11.25" customHeight="1"/>
    <row r="183" ht="11.25" customHeight="1"/>
    <row r="184" ht="11.25" customHeight="1"/>
    <row r="185" ht="11.25" customHeight="1"/>
    <row r="186" ht="11.25" customHeight="1"/>
    <row r="187" ht="11.25" customHeight="1"/>
    <row r="188" ht="11.25" customHeight="1"/>
    <row r="189" ht="11.25" customHeight="1"/>
    <row r="190" ht="11.25" customHeight="1"/>
    <row r="191" ht="11.25" customHeight="1"/>
    <row r="192" ht="11.25" customHeight="1"/>
    <row r="193" ht="11.25" customHeight="1"/>
    <row r="194" ht="11.25" customHeight="1"/>
    <row r="195" ht="11.25" customHeight="1"/>
    <row r="196" ht="11.25" customHeight="1"/>
    <row r="197" ht="11.25" customHeight="1"/>
    <row r="198" ht="11.25" customHeight="1"/>
    <row r="199" ht="11.25" customHeight="1"/>
    <row r="200" ht="11.25" customHeight="1"/>
    <row r="201" ht="11.25" customHeight="1"/>
    <row r="202" ht="11.25" customHeight="1"/>
    <row r="203" ht="11.25" customHeight="1"/>
    <row r="204" ht="11.25" customHeight="1"/>
    <row r="205" ht="11.25" customHeight="1"/>
    <row r="206" ht="11.25" customHeight="1"/>
    <row r="207" ht="11.25" customHeight="1"/>
    <row r="208" ht="11.25" customHeight="1"/>
    <row r="209" ht="11.25" customHeight="1"/>
    <row r="210" ht="11.25" customHeight="1"/>
    <row r="211" ht="11.25" customHeight="1"/>
    <row r="212" ht="11.25" customHeight="1"/>
    <row r="213" ht="11.25" customHeight="1"/>
    <row r="214" ht="11.25" customHeight="1"/>
    <row r="215" ht="11.25" customHeight="1"/>
    <row r="216" ht="11.25" customHeight="1"/>
    <row r="217" ht="11.25" customHeight="1"/>
    <row r="218" ht="11.25" customHeight="1"/>
    <row r="219" ht="11.25" customHeight="1"/>
    <row r="220" ht="11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1:B11"/>
  </mergeCells>
  <pageMargins left="0.7" right="0.7" top="0.75" bottom="0.75" header="0" footer="0"/>
  <ignoredErrors>
    <ignoredError numberStoredAsText="1" sqref="A1:X100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BC</vt:lpstr>
      <vt:lpstr>XP 300</vt:lpstr>
      <vt:lpstr>XN-L</vt:lpstr>
      <vt:lpstr>XN 1000</vt:lpstr>
      <vt:lpstr>c111</vt:lpstr>
      <vt:lpstr>c311</vt:lpstr>
      <vt:lpstr>e411</vt:lpstr>
      <vt:lpstr>c303 c503</vt:lpstr>
      <vt:lpstr> e402 e801</vt:lpstr>
      <vt:lpstr>t411 h232</vt:lpstr>
      <vt:lpstr>AVL 9180</vt:lpstr>
      <vt:lpstr>b123</vt:lpstr>
      <vt:lpstr>b101</vt:lpstr>
      <vt:lpstr>u6500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2026-03-17T14:09:03Z</dcterms:created>
  <dcterms:modified xsi:type="dcterms:W3CDTF">2026-03-17T14:09:03Z</dcterms:modified>
  <cp:lastModifiedBy>Departamento de TI</cp:lastModifiedBy>
</cp:coreProperties>
</file>